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/>
  <mc:AlternateContent xmlns:mc="http://schemas.openxmlformats.org/markup-compatibility/2006">
    <mc:Choice Requires="x15">
      <x15ac:absPath xmlns:x15ac="http://schemas.microsoft.com/office/spreadsheetml/2010/11/ac" url="D:\cy_excel\"/>
    </mc:Choice>
  </mc:AlternateContent>
  <xr:revisionPtr revIDLastSave="0" documentId="13_ncr:1_{C96D2B03-B501-4B8D-8FCB-9134AF9039A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00" i="2" l="1"/>
  <c r="G99" i="2"/>
  <c r="G98" i="2"/>
  <c r="G97" i="2"/>
  <c r="G96" i="2"/>
  <c r="G95" i="2"/>
  <c r="G94" i="2"/>
  <c r="G93" i="2"/>
  <c r="G92" i="2"/>
  <c r="G91" i="2"/>
  <c r="G90" i="2"/>
  <c r="G89" i="2"/>
  <c r="G88" i="2"/>
  <c r="G87" i="2"/>
  <c r="G86" i="2"/>
  <c r="G85" i="2"/>
  <c r="G84" i="2"/>
  <c r="G83" i="2"/>
  <c r="G82" i="2"/>
  <c r="G81" i="2"/>
  <c r="G80" i="2"/>
  <c r="G79" i="2"/>
  <c r="G78" i="2"/>
  <c r="G77" i="2"/>
  <c r="G76" i="2"/>
  <c r="G75" i="2"/>
  <c r="G74" i="2"/>
  <c r="G73" i="2"/>
  <c r="G72" i="2"/>
  <c r="G71" i="2"/>
  <c r="G70" i="2"/>
  <c r="G69" i="2"/>
  <c r="G68" i="2"/>
  <c r="G67" i="2"/>
  <c r="G66" i="2"/>
  <c r="G65" i="2"/>
  <c r="G64" i="2"/>
  <c r="G63" i="2"/>
  <c r="G62" i="2"/>
  <c r="G61" i="2"/>
  <c r="G60" i="2"/>
  <c r="G59" i="2"/>
  <c r="G58" i="2"/>
  <c r="G57" i="2"/>
  <c r="G56" i="2"/>
  <c r="G55" i="2"/>
  <c r="G54" i="2"/>
  <c r="G53" i="2"/>
  <c r="G52" i="2"/>
  <c r="G51" i="2"/>
  <c r="G50" i="2"/>
  <c r="G49" i="2"/>
  <c r="G48" i="2"/>
  <c r="G47" i="2"/>
  <c r="G46" i="2"/>
  <c r="G45" i="2"/>
  <c r="G44" i="2"/>
  <c r="G43" i="2"/>
  <c r="G42" i="2"/>
  <c r="G41" i="2"/>
  <c r="G40" i="2"/>
  <c r="G39" i="2"/>
  <c r="G38" i="2"/>
  <c r="G37" i="2"/>
  <c r="G36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M19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3" i="2"/>
  <c r="G2" i="2"/>
  <c r="H8" i="1"/>
  <c r="I8" i="1" s="1"/>
  <c r="H7" i="1"/>
  <c r="I7" i="1" s="1"/>
  <c r="I6" i="1"/>
  <c r="H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xz_chen</author>
    <author>droidhang</author>
  </authors>
  <commentList>
    <comment ref="A1" authorId="0" shapeId="0" xr:uid="{00000000-0006-0000-0000-000001000000}">
      <text>
        <r>
          <rPr>
            <b/>
            <sz val="9"/>
            <rFont val="宋体"/>
            <family val="3"/>
            <charset val="134"/>
          </rPr>
          <t>xz_chen:</t>
        </r>
        <r>
          <rPr>
            <sz val="9"/>
            <rFont val="宋体"/>
            <family val="3"/>
            <charset val="134"/>
          </rPr>
          <t xml:space="preserve">
关联天赋表TalentID</t>
        </r>
      </text>
    </comment>
    <comment ref="C1" authorId="0" shapeId="0" xr:uid="{00000000-0006-0000-0000-000002000000}">
      <text>
        <r>
          <rPr>
            <b/>
            <sz val="9"/>
            <rFont val="宋体"/>
            <family val="3"/>
            <charset val="134"/>
          </rPr>
          <t>xz_chen:</t>
        </r>
        <r>
          <rPr>
            <sz val="9"/>
            <rFont val="宋体"/>
            <family val="3"/>
            <charset val="134"/>
          </rPr>
          <t xml:space="preserve">
主线关卡武器刷新权重</t>
        </r>
      </text>
    </comment>
    <comment ref="D1" authorId="0" shapeId="0" xr:uid="{00000000-0006-0000-0000-000003000000}">
      <text>
        <r>
          <rPr>
            <b/>
            <sz val="9"/>
            <rFont val="宋体"/>
            <family val="3"/>
            <charset val="134"/>
          </rPr>
          <t>xz_chen:</t>
        </r>
        <r>
          <rPr>
            <sz val="9"/>
            <rFont val="宋体"/>
            <family val="3"/>
            <charset val="134"/>
          </rPr>
          <t xml:space="preserve">
单个天赋单局对战中，最多可选择次数</t>
        </r>
      </text>
    </comment>
    <comment ref="E1" authorId="1" shapeId="0" xr:uid="{00000000-0006-0000-0000-000004000000}">
      <text>
        <r>
          <rPr>
            <b/>
            <sz val="9"/>
            <rFont val="宋体"/>
            <family val="3"/>
            <charset val="134"/>
          </rPr>
          <t>droidhang:</t>
        </r>
        <r>
          <rPr>
            <sz val="9"/>
            <rFont val="宋体"/>
            <family val="3"/>
            <charset val="134"/>
          </rPr>
          <t xml:space="preserve">
equipSkill配置表id</t>
        </r>
      </text>
    </comment>
  </commentList>
</comments>
</file>

<file path=xl/sharedStrings.xml><?xml version="1.0" encoding="utf-8"?>
<sst xmlns="http://schemas.openxmlformats.org/spreadsheetml/2006/main" count="235" uniqueCount="128">
  <si>
    <t>天赋id【KEY】</t>
  </si>
  <si>
    <t>所属品质</t>
  </si>
  <si>
    <t>天赋权重</t>
  </si>
  <si>
    <t>选取上限</t>
  </si>
  <si>
    <t>装备技能id</t>
  </si>
  <si>
    <t>both</t>
  </si>
  <si>
    <t>id</t>
  </si>
  <si>
    <t>quality</t>
  </si>
  <si>
    <t>weight</t>
  </si>
  <si>
    <t>pickQuantity</t>
  </si>
  <si>
    <t>equipSkillId</t>
  </si>
  <si>
    <t>int</t>
  </si>
  <si>
    <t>index</t>
  </si>
  <si>
    <t>每波银币获取+10</t>
  </si>
  <si>
    <t>对boss的伤害+50%</t>
  </si>
  <si>
    <t>对boss的伤害+100%</t>
  </si>
  <si>
    <t>随机1件装备合成等级提升1级</t>
  </si>
  <si>
    <t>商店刷新价格-20%</t>
  </si>
  <si>
    <t>胜利后结算奖励+10%</t>
  </si>
  <si>
    <t>胜利后结算奖励+20%</t>
  </si>
  <si>
    <t>胜利后结算奖励+30%</t>
  </si>
  <si>
    <t>商店刷新时免费多刷1个装备</t>
  </si>
  <si>
    <t>背包里每有1件装备伤害+1%</t>
  </si>
  <si>
    <t>背包里每有1件装备伤害+2%</t>
  </si>
  <si>
    <t>每波战斗结束时获得5%利息，上限30金币</t>
  </si>
  <si>
    <t>每波战斗结束时获得10%利息，上限30金币</t>
  </si>
  <si>
    <t>每波战斗结束时获得20%利息，上限30金币</t>
  </si>
  <si>
    <t>经验获取+10%</t>
  </si>
  <si>
    <t>经验获取+50%</t>
  </si>
  <si>
    <t>经验获取+30%</t>
  </si>
  <si>
    <t>立即获得30银币</t>
  </si>
  <si>
    <t>立即获得50银币</t>
  </si>
  <si>
    <t>立即获得100银币</t>
  </si>
  <si>
    <t>所有防具生命+5%</t>
  </si>
  <si>
    <t>所有防具生命+10%</t>
  </si>
  <si>
    <t>所有防具生命+15%</t>
  </si>
  <si>
    <t>所有武器伤害+5%</t>
  </si>
  <si>
    <t>所有武器伤害+10%</t>
  </si>
  <si>
    <t>所有武器伤害+15%</t>
  </si>
  <si>
    <t>所有装备速度+5%</t>
  </si>
  <si>
    <t>所有装备速度+10%</t>
  </si>
  <si>
    <t>所有装备速度+15%</t>
  </si>
  <si>
    <t>商店出现2级物品概率+5%</t>
  </si>
  <si>
    <t>商店出现2级物品概率+10%</t>
  </si>
  <si>
    <t>商店出现2级物品概率+15%</t>
  </si>
  <si>
    <t>所有敌人移动速度-5%</t>
  </si>
  <si>
    <t>所有敌人移动速度-10%</t>
  </si>
  <si>
    <t>所有敌人移动速度-15%</t>
  </si>
  <si>
    <t>长剑每攻击2次后,下次攻击100%暴击</t>
  </si>
  <si>
    <t>长剑固定暴击所需攻击次数-1</t>
  </si>
  <si>
    <t>长剑的攻击+50%</t>
  </si>
  <si>
    <t>长剑的暴击伤害+150%</t>
  </si>
  <si>
    <t>水之剑对冰冻减速/冻结目标伤害+100%</t>
  </si>
  <si>
    <t>火之剑对灼烧目标伤害+50%</t>
  </si>
  <si>
    <t>在水之剑两侧的其他水属性武器击败敌人,回复武器自身攻击50%的血量,效果可叠加</t>
  </si>
  <si>
    <t>火之剑附加灼烧目标数量+8</t>
  </si>
  <si>
    <t>匕首攻击同一目标每次伤害+20%,最多叠加5层</t>
  </si>
  <si>
    <t>匕首的速度+30%</t>
  </si>
  <si>
    <t>匕首的暴击率+50%</t>
  </si>
  <si>
    <t>匕首的暴击伤害+50%</t>
  </si>
  <si>
    <t>风之刃到达场地边缘后反弹,最多5次</t>
  </si>
  <si>
    <t>毒之刃对中毒目标伤害100%</t>
  </si>
  <si>
    <t>风之刃穿透数量+6</t>
  </si>
  <si>
    <t>毒之刃的毒爆会附加中毒:每0.5秒,造成攻击100%伤害,持续2秒</t>
  </si>
  <si>
    <t>弓箭攻击时,射出3颗箭矢</t>
  </si>
  <si>
    <t>弓箭攻击可穿透1个敌人</t>
  </si>
  <si>
    <t>弓箭散射的箭矢数量+2</t>
  </si>
  <si>
    <t>弓箭的速度+10%</t>
  </si>
  <si>
    <t>箭雨发动概率额外+20%</t>
  </si>
  <si>
    <t>暗之弓秒杀概率额外+2%</t>
  </si>
  <si>
    <t>箭雨有40%概率造成眩晕,持续3秒</t>
  </si>
  <si>
    <t>暗之弓命中后,使目标攻击-20%持续3秒,效果不叠加,时间覆盖</t>
  </si>
  <si>
    <t>忍者镖命中后,进行一次弹射,最多弹射1次</t>
  </si>
  <si>
    <t>忍者镖的攻击+25%</t>
  </si>
  <si>
    <t>忍者镖的暴击率+25%</t>
  </si>
  <si>
    <t>忍者镖攻击时,多发射1枚忍者镖</t>
  </si>
  <si>
    <t>暗之忍者镖附加重伤概率+50%</t>
  </si>
  <si>
    <t>风之忍者镖弹射不再降低伤害</t>
  </si>
  <si>
    <t>暗之忍者镖对重伤目标伤害+150%</t>
  </si>
  <si>
    <t>风之忍者镖弹射次数+1</t>
  </si>
  <si>
    <t>背包中与魔法帽相邻的所有魔法武器攻击+20%</t>
  </si>
  <si>
    <t>魔法帽的回血+20%</t>
  </si>
  <si>
    <t>背包中与魔法帽相邻的所有魔法武器攻击+30%</t>
  </si>
  <si>
    <t>魔法帽的速度+20%</t>
  </si>
  <si>
    <t>叠盾效果额外+10%</t>
  </si>
  <si>
    <t>所有暗属性的武器伤害增幅额外+30%</t>
  </si>
  <si>
    <t>与地之魔法帽在同一行的防具都可获得叠盾效果增幅</t>
  </si>
  <si>
    <t>暗之魔法帽每次扣除的血量-1%</t>
  </si>
  <si>
    <t>背包中与手套相邻的所有物理武器速度+20%</t>
  </si>
  <si>
    <t>手套的速度+20%</t>
  </si>
  <si>
    <t>手套的叠盾+20%</t>
  </si>
  <si>
    <t>背包中与手套相邻的所有物理武器速度+30%</t>
  </si>
  <si>
    <t>火之手套附魔数量+2</t>
  </si>
  <si>
    <t>风之手套效果触发时,攻速额外+20%</t>
  </si>
  <si>
    <t>火之手套附魔加攻效果额外+20%</t>
  </si>
  <si>
    <t>风之手套攻速增持续时间+300%</t>
  </si>
  <si>
    <t>冰杖命中后,有25%概率使目标冻结,持续3秒</t>
  </si>
  <si>
    <t>冰杖冻结概率+25%</t>
  </si>
  <si>
    <t>冰杖命中后,分裂出5个碎片,碎片伤害为冰杖攻击的30%,有概率附加冰冻减速效果</t>
  </si>
  <si>
    <t>冰杖的攻击+30%</t>
  </si>
  <si>
    <t>冰霜新星有25%概率使目标冻结,持续3秒</t>
  </si>
  <si>
    <t>暴风雪范围+50%</t>
  </si>
  <si>
    <t>冰霜新星的范围+30%</t>
  </si>
  <si>
    <t>暴风雪释放时,每次伤害+10%</t>
  </si>
  <si>
    <t>毒药瓶中毒伤害+100%</t>
  </si>
  <si>
    <t>毒药瓶的速度+20%</t>
  </si>
  <si>
    <t>命中时,对目标周围造成范围伤害,并附加中毒效果</t>
  </si>
  <si>
    <t>中毒持续时间+50%</t>
  </si>
  <si>
    <t>麻痹毒药麻痹的减速效果额外-20%(最高100%)</t>
  </si>
  <si>
    <t>烈性毒药叠毒概率额外20%</t>
  </si>
  <si>
    <t>麻痹毒药麻痹触发概率额外+20%</t>
  </si>
  <si>
    <t>烈性毒药造成的中毒伤害间隔-40%</t>
  </si>
  <si>
    <t>每攻击2次后,进行蓄力,下次攻击时附带回旋效果</t>
  </si>
  <si>
    <t>每次攻击都发动蓄力回旋</t>
  </si>
  <si>
    <t>回旋镖最大飞行距离+25%</t>
  </si>
  <si>
    <t>回旋镖攻击时额外射出1枚回旋镖</t>
  </si>
  <si>
    <t>投掷斧大小+20%</t>
  </si>
  <si>
    <t>投掷斧命中后,50%概率使目标附加物理重伤:受到物理伤害时,伤害+20%,持续3秒</t>
  </si>
  <si>
    <t>投掷斧最大飞行距离+25%</t>
  </si>
  <si>
    <t>投掷斧对物理重伤的敌人,暴击率+60%</t>
  </si>
  <si>
    <t>火球的暴击+50%</t>
  </si>
  <si>
    <t>火球命中后,追加一次火焰爆炸,造成攻击50%的伤害</t>
  </si>
  <si>
    <t>火焰爆炸伤害+50%</t>
  </si>
  <si>
    <t>火焰爆炸半径+30%</t>
  </si>
  <si>
    <t>落雷杖攻击时额外释放1次落雷攻击,目标独立判定</t>
  </si>
  <si>
    <t>落雷杖多重落雷次数+1</t>
  </si>
  <si>
    <t>落雷杖命中后，追加一次半径1.2的磁暴，伤害为武器攻击的30%</t>
  </si>
  <si>
    <t>磁暴命中，有50%概率使目标感电:受到魔法伤害时，伤害+20%，持续3秒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</si>
</sst>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宋体"/>
      <charset val="134"/>
      <scheme val="minor"/>
    </font>
    <font>
      <sz val="12"/>
      <color theme="1"/>
      <name val="微软雅黑"/>
      <family val="2"/>
      <charset val="134"/>
    </font>
    <font>
      <b/>
      <sz val="12"/>
      <color theme="1"/>
      <name val="微软雅黑"/>
      <family val="2"/>
      <charset val="134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</font>
    <font>
      <b/>
      <sz val="9"/>
      <name val="宋体"/>
      <family val="3"/>
      <charset val="134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79857783745845"/>
        <bgColor indexed="64"/>
      </patternFill>
    </fill>
    <fill>
      <patternFill patternType="solid">
        <fgColor theme="0" tint="-0.14981536301767021"/>
        <bgColor indexed="64"/>
      </patternFill>
    </fill>
  </fills>
  <borders count="4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>
      <alignment vertical="center"/>
    </xf>
    <xf numFmtId="9" fontId="3" fillId="0" borderId="0" applyFont="0" applyFill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9" fontId="1" fillId="0" borderId="0" xfId="1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9" fontId="0" fillId="0" borderId="0" xfId="1" applyFont="1">
      <alignment vertical="center"/>
    </xf>
    <xf numFmtId="49" fontId="2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2" fillId="2" borderId="2" xfId="0" applyNumberFormat="1" applyFont="1" applyFill="1" applyBorder="1" applyAlignment="1">
      <alignment horizontal="center" vertical="center"/>
    </xf>
    <xf numFmtId="49" fontId="1" fillId="3" borderId="2" xfId="0" applyNumberFormat="1" applyFont="1" applyFill="1" applyBorder="1" applyAlignment="1">
      <alignment horizontal="center" vertical="center"/>
    </xf>
    <xf numFmtId="49" fontId="1" fillId="3" borderId="3" xfId="0" applyNumberFormat="1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3"/>
  <sheetViews>
    <sheetView tabSelected="1" workbookViewId="0">
      <pane ySplit="5" topLeftCell="A156" activePane="bottomLeft" state="frozen"/>
      <selection pane="bottomLeft" activeCell="F167" sqref="F167"/>
    </sheetView>
  </sheetViews>
  <sheetFormatPr defaultColWidth="9" defaultRowHeight="17.25" x14ac:dyDescent="0.15"/>
  <cols>
    <col min="1" max="3" width="15.625" style="7" customWidth="1"/>
    <col min="4" max="4" width="14" style="7" customWidth="1"/>
    <col min="5" max="5" width="14.875" style="7" customWidth="1"/>
    <col min="6" max="6" width="44.875" style="7" customWidth="1"/>
    <col min="7" max="16384" width="9" style="7"/>
  </cols>
  <sheetData>
    <row r="1" spans="1:10" s="5" customFormat="1" ht="20.100000000000001" customHeight="1" x14ac:dyDescent="0.15">
      <c r="A1" s="8" t="s">
        <v>0</v>
      </c>
      <c r="B1" s="8" t="s">
        <v>1</v>
      </c>
      <c r="C1" s="8" t="s">
        <v>2</v>
      </c>
      <c r="D1" s="8" t="s">
        <v>3</v>
      </c>
      <c r="E1" s="5" t="s">
        <v>4</v>
      </c>
    </row>
    <row r="2" spans="1:10" s="5" customFormat="1" ht="20.100000000000001" customHeight="1" x14ac:dyDescent="0.15">
      <c r="A2" s="9" t="s">
        <v>5</v>
      </c>
      <c r="B2" s="9" t="s">
        <v>5</v>
      </c>
      <c r="C2" s="9" t="s">
        <v>5</v>
      </c>
      <c r="D2" s="9" t="s">
        <v>5</v>
      </c>
      <c r="E2" s="9" t="s">
        <v>5</v>
      </c>
    </row>
    <row r="3" spans="1:10" ht="15.95" customHeight="1" x14ac:dyDescent="0.15">
      <c r="A3" s="9" t="s">
        <v>6</v>
      </c>
      <c r="B3" s="9" t="s">
        <v>7</v>
      </c>
      <c r="C3" s="9" t="s">
        <v>8</v>
      </c>
      <c r="D3" s="9" t="s">
        <v>9</v>
      </c>
      <c r="E3" s="7" t="s">
        <v>10</v>
      </c>
    </row>
    <row r="4" spans="1:10" ht="15.95" customHeight="1" x14ac:dyDescent="0.15">
      <c r="A4" s="9" t="s">
        <v>11</v>
      </c>
      <c r="B4" s="9" t="s">
        <v>11</v>
      </c>
      <c r="C4" s="9" t="s">
        <v>11</v>
      </c>
      <c r="D4" s="9" t="s">
        <v>11</v>
      </c>
      <c r="E4" s="9" t="s">
        <v>11</v>
      </c>
    </row>
    <row r="5" spans="1:10" ht="15.95" customHeight="1" x14ac:dyDescent="0.15">
      <c r="A5" s="10"/>
      <c r="B5" s="10" t="s">
        <v>12</v>
      </c>
      <c r="C5" s="10"/>
      <c r="D5" s="10"/>
      <c r="E5" s="10" t="s">
        <v>12</v>
      </c>
    </row>
    <row r="6" spans="1:10" s="6" customFormat="1" ht="15.95" customHeight="1" x14ac:dyDescent="0.15">
      <c r="A6" s="11">
        <v>101</v>
      </c>
      <c r="B6" s="11">
        <v>4</v>
      </c>
      <c r="C6" s="1">
        <v>700</v>
      </c>
      <c r="D6" s="11">
        <v>1</v>
      </c>
      <c r="E6" s="6">
        <v>0</v>
      </c>
      <c r="F6" s="3" t="s">
        <v>13</v>
      </c>
      <c r="G6" s="6">
        <v>2</v>
      </c>
      <c r="H6" s="6">
        <f>1/G6</f>
        <v>0.5</v>
      </c>
      <c r="I6" s="6">
        <f>H6*2.5</f>
        <v>1.25</v>
      </c>
      <c r="J6" s="6">
        <v>50000</v>
      </c>
    </row>
    <row r="7" spans="1:10" s="6" customFormat="1" x14ac:dyDescent="0.15">
      <c r="A7" s="11">
        <v>102</v>
      </c>
      <c r="B7" s="11">
        <v>3</v>
      </c>
      <c r="C7" s="1">
        <v>700</v>
      </c>
      <c r="D7" s="11">
        <v>1</v>
      </c>
      <c r="E7" s="6">
        <v>0</v>
      </c>
      <c r="F7" s="3" t="s">
        <v>14</v>
      </c>
      <c r="G7" s="6">
        <v>3</v>
      </c>
      <c r="H7" s="6">
        <f t="shared" ref="H7:H8" si="0">1/G7</f>
        <v>0.33333333333333331</v>
      </c>
      <c r="I7" s="6">
        <f>H7*1.5</f>
        <v>0.5</v>
      </c>
      <c r="J7" s="6">
        <v>5000</v>
      </c>
    </row>
    <row r="8" spans="1:10" s="6" customFormat="1" x14ac:dyDescent="0.15">
      <c r="A8" s="11">
        <v>103</v>
      </c>
      <c r="B8" s="11">
        <v>4</v>
      </c>
      <c r="C8" s="1">
        <v>700</v>
      </c>
      <c r="D8" s="11">
        <v>1</v>
      </c>
      <c r="E8" s="6">
        <v>0</v>
      </c>
      <c r="F8" s="3" t="s">
        <v>15</v>
      </c>
      <c r="G8" s="6">
        <v>4</v>
      </c>
      <c r="H8" s="6">
        <f t="shared" si="0"/>
        <v>0.25</v>
      </c>
      <c r="I8" s="6">
        <f>H8</f>
        <v>0.25</v>
      </c>
      <c r="J8" s="6">
        <v>1000</v>
      </c>
    </row>
    <row r="9" spans="1:10" s="6" customFormat="1" x14ac:dyDescent="0.15">
      <c r="A9" s="11">
        <v>104</v>
      </c>
      <c r="B9" s="11">
        <v>4</v>
      </c>
      <c r="C9" s="1">
        <v>700</v>
      </c>
      <c r="D9" s="11">
        <v>3</v>
      </c>
      <c r="E9" s="6">
        <v>0</v>
      </c>
      <c r="F9" s="3" t="s">
        <v>16</v>
      </c>
    </row>
    <row r="10" spans="1:10" s="6" customFormat="1" x14ac:dyDescent="0.15">
      <c r="A10" s="11">
        <v>105</v>
      </c>
      <c r="B10" s="11">
        <v>4</v>
      </c>
      <c r="C10" s="1">
        <v>700</v>
      </c>
      <c r="D10" s="11">
        <v>3</v>
      </c>
      <c r="E10" s="6">
        <v>0</v>
      </c>
      <c r="F10" s="3" t="s">
        <v>17</v>
      </c>
    </row>
    <row r="11" spans="1:10" s="6" customFormat="1" x14ac:dyDescent="0.15">
      <c r="A11" s="11">
        <v>106</v>
      </c>
      <c r="B11" s="11">
        <v>2</v>
      </c>
      <c r="C11" s="1">
        <v>700</v>
      </c>
      <c r="D11" s="11">
        <v>1</v>
      </c>
      <c r="E11" s="6">
        <v>0</v>
      </c>
      <c r="F11" s="3" t="s">
        <v>18</v>
      </c>
    </row>
    <row r="12" spans="1:10" s="6" customFormat="1" x14ac:dyDescent="0.15">
      <c r="A12" s="11">
        <v>107</v>
      </c>
      <c r="B12" s="11">
        <v>3</v>
      </c>
      <c r="C12" s="1">
        <v>700</v>
      </c>
      <c r="D12" s="11">
        <v>1</v>
      </c>
      <c r="E12" s="6">
        <v>0</v>
      </c>
      <c r="F12" s="3" t="s">
        <v>19</v>
      </c>
    </row>
    <row r="13" spans="1:10" s="6" customFormat="1" x14ac:dyDescent="0.15">
      <c r="A13" s="11">
        <v>108</v>
      </c>
      <c r="B13" s="11">
        <v>4</v>
      </c>
      <c r="C13" s="1">
        <v>700</v>
      </c>
      <c r="D13" s="11">
        <v>1</v>
      </c>
      <c r="E13" s="6">
        <v>0</v>
      </c>
      <c r="F13" s="3" t="s">
        <v>20</v>
      </c>
    </row>
    <row r="14" spans="1:10" s="6" customFormat="1" x14ac:dyDescent="0.15">
      <c r="A14" s="11">
        <v>109</v>
      </c>
      <c r="B14" s="11">
        <v>3</v>
      </c>
      <c r="C14" s="1">
        <v>700</v>
      </c>
      <c r="D14" s="11">
        <v>1</v>
      </c>
      <c r="E14" s="6">
        <v>0</v>
      </c>
      <c r="F14" s="3" t="s">
        <v>21</v>
      </c>
    </row>
    <row r="15" spans="1:10" s="6" customFormat="1" x14ac:dyDescent="0.15">
      <c r="A15" s="11">
        <v>110</v>
      </c>
      <c r="B15" s="11">
        <v>3</v>
      </c>
      <c r="C15" s="1">
        <v>700</v>
      </c>
      <c r="D15" s="11">
        <v>3</v>
      </c>
      <c r="E15" s="6">
        <v>0</v>
      </c>
      <c r="F15" s="3" t="s">
        <v>22</v>
      </c>
    </row>
    <row r="16" spans="1:10" s="6" customFormat="1" x14ac:dyDescent="0.15">
      <c r="A16" s="11">
        <v>111</v>
      </c>
      <c r="B16" s="11">
        <v>4</v>
      </c>
      <c r="C16" s="1">
        <v>700</v>
      </c>
      <c r="D16" s="11">
        <v>3</v>
      </c>
      <c r="E16" s="6">
        <v>0</v>
      </c>
      <c r="F16" s="3" t="s">
        <v>23</v>
      </c>
    </row>
    <row r="17" spans="1:6" s="6" customFormat="1" x14ac:dyDescent="0.15">
      <c r="A17" s="11">
        <v>112</v>
      </c>
      <c r="B17" s="11">
        <v>2</v>
      </c>
      <c r="C17" s="1">
        <v>700</v>
      </c>
      <c r="D17" s="11">
        <v>1</v>
      </c>
      <c r="E17" s="6">
        <v>0</v>
      </c>
      <c r="F17" s="3" t="s">
        <v>24</v>
      </c>
    </row>
    <row r="18" spans="1:6" s="6" customFormat="1" x14ac:dyDescent="0.15">
      <c r="A18" s="11">
        <v>113</v>
      </c>
      <c r="B18" s="11">
        <v>3</v>
      </c>
      <c r="C18" s="1">
        <v>700</v>
      </c>
      <c r="D18" s="11">
        <v>1</v>
      </c>
      <c r="E18" s="6">
        <v>0</v>
      </c>
      <c r="F18" s="3" t="s">
        <v>25</v>
      </c>
    </row>
    <row r="19" spans="1:6" s="6" customFormat="1" x14ac:dyDescent="0.15">
      <c r="A19" s="11">
        <v>114</v>
      </c>
      <c r="B19" s="11">
        <v>4</v>
      </c>
      <c r="C19" s="1">
        <v>700</v>
      </c>
      <c r="D19" s="11">
        <v>1</v>
      </c>
      <c r="E19" s="6">
        <v>0</v>
      </c>
      <c r="F19" s="3" t="s">
        <v>26</v>
      </c>
    </row>
    <row r="20" spans="1:6" s="6" customFormat="1" x14ac:dyDescent="0.15">
      <c r="A20" s="11">
        <v>115</v>
      </c>
      <c r="B20" s="11">
        <v>2</v>
      </c>
      <c r="C20" s="1">
        <v>700</v>
      </c>
      <c r="D20" s="11">
        <v>1</v>
      </c>
      <c r="E20" s="6">
        <v>0</v>
      </c>
      <c r="F20" s="3" t="s">
        <v>27</v>
      </c>
    </row>
    <row r="21" spans="1:6" s="6" customFormat="1" x14ac:dyDescent="0.15">
      <c r="A21" s="11">
        <v>116</v>
      </c>
      <c r="B21" s="11">
        <v>4</v>
      </c>
      <c r="C21" s="1">
        <v>700</v>
      </c>
      <c r="D21" s="11">
        <v>1</v>
      </c>
      <c r="E21" s="6">
        <v>0</v>
      </c>
      <c r="F21" s="3" t="s">
        <v>28</v>
      </c>
    </row>
    <row r="22" spans="1:6" s="6" customFormat="1" x14ac:dyDescent="0.15">
      <c r="A22" s="11">
        <v>117</v>
      </c>
      <c r="B22" s="11">
        <v>3</v>
      </c>
      <c r="C22" s="1">
        <v>700</v>
      </c>
      <c r="D22" s="11">
        <v>1</v>
      </c>
      <c r="E22" s="6">
        <v>0</v>
      </c>
      <c r="F22" s="3" t="s">
        <v>29</v>
      </c>
    </row>
    <row r="23" spans="1:6" s="6" customFormat="1" x14ac:dyDescent="0.15">
      <c r="A23" s="11">
        <v>118</v>
      </c>
      <c r="B23" s="11">
        <v>2</v>
      </c>
      <c r="C23" s="1">
        <v>700</v>
      </c>
      <c r="D23" s="11">
        <v>3</v>
      </c>
      <c r="E23" s="6">
        <v>0</v>
      </c>
      <c r="F23" s="3" t="s">
        <v>30</v>
      </c>
    </row>
    <row r="24" spans="1:6" s="6" customFormat="1" x14ac:dyDescent="0.15">
      <c r="A24" s="11">
        <v>119</v>
      </c>
      <c r="B24" s="11">
        <v>3</v>
      </c>
      <c r="C24" s="1">
        <v>700</v>
      </c>
      <c r="D24" s="11">
        <v>1</v>
      </c>
      <c r="E24" s="6">
        <v>0</v>
      </c>
      <c r="F24" s="3" t="s">
        <v>31</v>
      </c>
    </row>
    <row r="25" spans="1:6" s="6" customFormat="1" x14ac:dyDescent="0.15">
      <c r="A25" s="11">
        <v>120</v>
      </c>
      <c r="B25" s="11">
        <v>4</v>
      </c>
      <c r="C25" s="1">
        <v>700</v>
      </c>
      <c r="D25" s="11">
        <v>1</v>
      </c>
      <c r="E25" s="6">
        <v>0</v>
      </c>
      <c r="F25" s="3" t="s">
        <v>32</v>
      </c>
    </row>
    <row r="26" spans="1:6" s="6" customFormat="1" x14ac:dyDescent="0.15">
      <c r="A26" s="11">
        <v>121</v>
      </c>
      <c r="B26" s="11">
        <v>2</v>
      </c>
      <c r="C26" s="1">
        <v>700</v>
      </c>
      <c r="D26" s="11">
        <v>3</v>
      </c>
      <c r="E26" s="6">
        <v>0</v>
      </c>
      <c r="F26" s="3" t="s">
        <v>33</v>
      </c>
    </row>
    <row r="27" spans="1:6" s="6" customFormat="1" x14ac:dyDescent="0.15">
      <c r="A27" s="11">
        <v>122</v>
      </c>
      <c r="B27" s="11">
        <v>3</v>
      </c>
      <c r="C27" s="1">
        <v>700</v>
      </c>
      <c r="D27" s="11">
        <v>3</v>
      </c>
      <c r="E27" s="6">
        <v>0</v>
      </c>
      <c r="F27" s="3" t="s">
        <v>34</v>
      </c>
    </row>
    <row r="28" spans="1:6" s="6" customFormat="1" x14ac:dyDescent="0.15">
      <c r="A28" s="11">
        <v>123</v>
      </c>
      <c r="B28" s="11">
        <v>4</v>
      </c>
      <c r="C28" s="1">
        <v>700</v>
      </c>
      <c r="D28" s="11">
        <v>3</v>
      </c>
      <c r="E28" s="6">
        <v>0</v>
      </c>
      <c r="F28" s="3" t="s">
        <v>35</v>
      </c>
    </row>
    <row r="29" spans="1:6" s="6" customFormat="1" x14ac:dyDescent="0.15">
      <c r="A29" s="11">
        <v>124</v>
      </c>
      <c r="B29" s="11">
        <v>2</v>
      </c>
      <c r="C29" s="1">
        <v>700</v>
      </c>
      <c r="D29" s="11">
        <v>3</v>
      </c>
      <c r="E29" s="6">
        <v>0</v>
      </c>
      <c r="F29" s="3" t="s">
        <v>36</v>
      </c>
    </row>
    <row r="30" spans="1:6" s="6" customFormat="1" x14ac:dyDescent="0.15">
      <c r="A30" s="11">
        <v>125</v>
      </c>
      <c r="B30" s="11">
        <v>3</v>
      </c>
      <c r="C30" s="1">
        <v>700</v>
      </c>
      <c r="D30" s="11">
        <v>3</v>
      </c>
      <c r="E30" s="6">
        <v>0</v>
      </c>
      <c r="F30" s="3" t="s">
        <v>37</v>
      </c>
    </row>
    <row r="31" spans="1:6" s="6" customFormat="1" x14ac:dyDescent="0.15">
      <c r="A31" s="11">
        <v>126</v>
      </c>
      <c r="B31" s="11">
        <v>4</v>
      </c>
      <c r="C31" s="1">
        <v>700</v>
      </c>
      <c r="D31" s="11">
        <v>3</v>
      </c>
      <c r="E31" s="6">
        <v>0</v>
      </c>
      <c r="F31" s="3" t="s">
        <v>38</v>
      </c>
    </row>
    <row r="32" spans="1:6" s="6" customFormat="1" x14ac:dyDescent="0.15">
      <c r="A32" s="11">
        <v>127</v>
      </c>
      <c r="B32" s="11">
        <v>2</v>
      </c>
      <c r="C32" s="1">
        <v>700</v>
      </c>
      <c r="D32" s="11">
        <v>1</v>
      </c>
      <c r="E32" s="6">
        <v>0</v>
      </c>
      <c r="F32" s="3" t="s">
        <v>39</v>
      </c>
    </row>
    <row r="33" spans="1:6" s="6" customFormat="1" x14ac:dyDescent="0.15">
      <c r="A33" s="11">
        <v>128</v>
      </c>
      <c r="B33" s="11">
        <v>3</v>
      </c>
      <c r="C33" s="1">
        <v>700</v>
      </c>
      <c r="D33" s="11">
        <v>1</v>
      </c>
      <c r="E33" s="6">
        <v>0</v>
      </c>
      <c r="F33" s="3" t="s">
        <v>40</v>
      </c>
    </row>
    <row r="34" spans="1:6" s="6" customFormat="1" x14ac:dyDescent="0.15">
      <c r="A34" s="11">
        <v>129</v>
      </c>
      <c r="B34" s="11">
        <v>4</v>
      </c>
      <c r="C34" s="1">
        <v>700</v>
      </c>
      <c r="D34" s="11">
        <v>1</v>
      </c>
      <c r="E34" s="6">
        <v>0</v>
      </c>
      <c r="F34" s="3" t="s">
        <v>41</v>
      </c>
    </row>
    <row r="35" spans="1:6" s="6" customFormat="1" x14ac:dyDescent="0.15">
      <c r="A35" s="11">
        <v>130</v>
      </c>
      <c r="B35" s="11">
        <v>2</v>
      </c>
      <c r="C35" s="1">
        <v>700</v>
      </c>
      <c r="D35" s="11">
        <v>1</v>
      </c>
      <c r="E35" s="6">
        <v>0</v>
      </c>
      <c r="F35" s="3" t="s">
        <v>42</v>
      </c>
    </row>
    <row r="36" spans="1:6" s="6" customFormat="1" x14ac:dyDescent="0.15">
      <c r="A36" s="11">
        <v>131</v>
      </c>
      <c r="B36" s="11">
        <v>3</v>
      </c>
      <c r="C36" s="1">
        <v>700</v>
      </c>
      <c r="D36" s="11">
        <v>1</v>
      </c>
      <c r="E36" s="6">
        <v>0</v>
      </c>
      <c r="F36" s="3" t="s">
        <v>43</v>
      </c>
    </row>
    <row r="37" spans="1:6" s="6" customFormat="1" x14ac:dyDescent="0.15">
      <c r="A37" s="11">
        <v>133</v>
      </c>
      <c r="B37" s="11">
        <v>2</v>
      </c>
      <c r="C37" s="1">
        <v>700</v>
      </c>
      <c r="D37" s="11">
        <v>3</v>
      </c>
      <c r="E37" s="6">
        <v>0</v>
      </c>
      <c r="F37" s="3" t="s">
        <v>45</v>
      </c>
    </row>
    <row r="38" spans="1:6" s="6" customFormat="1" x14ac:dyDescent="0.15">
      <c r="A38" s="6">
        <v>134</v>
      </c>
      <c r="B38" s="6">
        <v>3</v>
      </c>
      <c r="C38" s="1">
        <v>700</v>
      </c>
      <c r="D38" s="11">
        <v>3</v>
      </c>
      <c r="E38" s="6">
        <v>0</v>
      </c>
      <c r="F38" s="3" t="s">
        <v>46</v>
      </c>
    </row>
    <row r="39" spans="1:6" s="6" customFormat="1" x14ac:dyDescent="0.15">
      <c r="A39" s="6">
        <v>135</v>
      </c>
      <c r="B39" s="6">
        <v>4</v>
      </c>
      <c r="C39" s="1">
        <v>700</v>
      </c>
      <c r="D39" s="11">
        <v>3</v>
      </c>
      <c r="E39" s="6">
        <v>0</v>
      </c>
      <c r="F39" s="3" t="s">
        <v>47</v>
      </c>
    </row>
    <row r="40" spans="1:6" s="6" customFormat="1" x14ac:dyDescent="0.15">
      <c r="A40" s="6">
        <v>201</v>
      </c>
      <c r="B40" s="6">
        <v>3</v>
      </c>
      <c r="C40" s="1">
        <v>1000</v>
      </c>
      <c r="D40" s="6">
        <v>1</v>
      </c>
      <c r="E40" s="6">
        <v>1201</v>
      </c>
      <c r="F40" s="3" t="s">
        <v>48</v>
      </c>
    </row>
    <row r="41" spans="1:6" s="6" customFormat="1" x14ac:dyDescent="0.15">
      <c r="A41" s="6">
        <v>202</v>
      </c>
      <c r="B41" s="6">
        <v>2</v>
      </c>
      <c r="C41" s="1">
        <v>1000</v>
      </c>
      <c r="D41" s="6">
        <v>1</v>
      </c>
      <c r="E41" s="6">
        <v>1202</v>
      </c>
      <c r="F41" s="3" t="s">
        <v>49</v>
      </c>
    </row>
    <row r="42" spans="1:6" s="6" customFormat="1" x14ac:dyDescent="0.15">
      <c r="A42" s="6">
        <v>203</v>
      </c>
      <c r="B42" s="6">
        <v>3</v>
      </c>
      <c r="C42" s="1">
        <v>1000</v>
      </c>
      <c r="D42" s="6">
        <v>1</v>
      </c>
      <c r="E42" s="6">
        <v>1203</v>
      </c>
      <c r="F42" s="3" t="s">
        <v>50</v>
      </c>
    </row>
    <row r="43" spans="1:6" s="6" customFormat="1" x14ac:dyDescent="0.15">
      <c r="A43" s="6">
        <v>204</v>
      </c>
      <c r="B43" s="6">
        <v>4</v>
      </c>
      <c r="C43" s="1">
        <v>1000</v>
      </c>
      <c r="D43" s="6">
        <v>1</v>
      </c>
      <c r="E43" s="6">
        <v>1204</v>
      </c>
      <c r="F43" s="3" t="s">
        <v>51</v>
      </c>
    </row>
    <row r="44" spans="1:6" s="6" customFormat="1" x14ac:dyDescent="0.15">
      <c r="A44" s="6">
        <v>205</v>
      </c>
      <c r="B44" s="6">
        <v>3</v>
      </c>
      <c r="C44" s="1">
        <v>1000</v>
      </c>
      <c r="D44" s="6">
        <v>1</v>
      </c>
      <c r="E44" s="6">
        <v>1205</v>
      </c>
      <c r="F44" s="3" t="s">
        <v>52</v>
      </c>
    </row>
    <row r="45" spans="1:6" s="6" customFormat="1" x14ac:dyDescent="0.15">
      <c r="A45" s="6">
        <v>206</v>
      </c>
      <c r="B45" s="6">
        <v>3</v>
      </c>
      <c r="C45" s="1">
        <v>1000</v>
      </c>
      <c r="D45" s="6">
        <v>1</v>
      </c>
      <c r="E45" s="6">
        <v>1206</v>
      </c>
      <c r="F45" s="3" t="s">
        <v>53</v>
      </c>
    </row>
    <row r="46" spans="1:6" s="6" customFormat="1" x14ac:dyDescent="0.15">
      <c r="A46" s="6">
        <v>207</v>
      </c>
      <c r="B46" s="6">
        <v>4</v>
      </c>
      <c r="C46" s="1">
        <v>1000</v>
      </c>
      <c r="D46" s="6">
        <v>1</v>
      </c>
      <c r="E46" s="6">
        <v>1207</v>
      </c>
      <c r="F46" s="3" t="s">
        <v>54</v>
      </c>
    </row>
    <row r="47" spans="1:6" s="6" customFormat="1" x14ac:dyDescent="0.15">
      <c r="A47" s="6">
        <v>208</v>
      </c>
      <c r="B47" s="6">
        <v>4</v>
      </c>
      <c r="C47" s="1">
        <v>1000</v>
      </c>
      <c r="D47" s="6">
        <v>1</v>
      </c>
      <c r="E47" s="6">
        <v>1208</v>
      </c>
      <c r="F47" s="3" t="s">
        <v>55</v>
      </c>
    </row>
    <row r="48" spans="1:6" s="6" customFormat="1" x14ac:dyDescent="0.15">
      <c r="A48" s="6">
        <v>209</v>
      </c>
      <c r="B48" s="6">
        <v>3</v>
      </c>
      <c r="C48" s="1">
        <v>1000</v>
      </c>
      <c r="D48" s="6">
        <v>1</v>
      </c>
      <c r="E48" s="6">
        <v>2201</v>
      </c>
      <c r="F48" s="3" t="s">
        <v>56</v>
      </c>
    </row>
    <row r="49" spans="1:6" s="6" customFormat="1" x14ac:dyDescent="0.15">
      <c r="A49" s="6">
        <v>210</v>
      </c>
      <c r="B49" s="6">
        <v>4</v>
      </c>
      <c r="C49" s="1">
        <v>1000</v>
      </c>
      <c r="D49" s="6">
        <v>1</v>
      </c>
      <c r="E49" s="6">
        <v>2202</v>
      </c>
      <c r="F49" s="3" t="s">
        <v>57</v>
      </c>
    </row>
    <row r="50" spans="1:6" s="6" customFormat="1" x14ac:dyDescent="0.15">
      <c r="A50" s="6">
        <v>211</v>
      </c>
      <c r="B50" s="6">
        <v>3</v>
      </c>
      <c r="C50" s="1">
        <v>1000</v>
      </c>
      <c r="D50" s="6">
        <v>1</v>
      </c>
      <c r="E50" s="6">
        <v>2203</v>
      </c>
      <c r="F50" s="3" t="s">
        <v>58</v>
      </c>
    </row>
    <row r="51" spans="1:6" s="6" customFormat="1" x14ac:dyDescent="0.15">
      <c r="A51" s="6">
        <v>212</v>
      </c>
      <c r="B51" s="6">
        <v>2</v>
      </c>
      <c r="C51" s="1">
        <v>1000</v>
      </c>
      <c r="D51" s="6">
        <v>1</v>
      </c>
      <c r="E51" s="6">
        <v>2204</v>
      </c>
      <c r="F51" s="3" t="s">
        <v>59</v>
      </c>
    </row>
    <row r="52" spans="1:6" s="6" customFormat="1" x14ac:dyDescent="0.15">
      <c r="A52" s="6">
        <v>213</v>
      </c>
      <c r="B52" s="6">
        <v>3</v>
      </c>
      <c r="C52" s="1">
        <v>1000</v>
      </c>
      <c r="D52" s="6">
        <v>1</v>
      </c>
      <c r="E52" s="6">
        <v>2205</v>
      </c>
      <c r="F52" s="3" t="s">
        <v>60</v>
      </c>
    </row>
    <row r="53" spans="1:6" s="6" customFormat="1" x14ac:dyDescent="0.15">
      <c r="A53" s="6">
        <v>214</v>
      </c>
      <c r="B53" s="6">
        <v>3</v>
      </c>
      <c r="C53" s="1">
        <v>1000</v>
      </c>
      <c r="D53" s="6">
        <v>1</v>
      </c>
      <c r="E53" s="6">
        <v>2206</v>
      </c>
      <c r="F53" s="3" t="s">
        <v>61</v>
      </c>
    </row>
    <row r="54" spans="1:6" s="6" customFormat="1" x14ac:dyDescent="0.15">
      <c r="A54" s="6">
        <v>215</v>
      </c>
      <c r="B54" s="6">
        <v>4</v>
      </c>
      <c r="C54" s="1">
        <v>1000</v>
      </c>
      <c r="D54" s="6">
        <v>1</v>
      </c>
      <c r="E54" s="6">
        <v>2207</v>
      </c>
      <c r="F54" s="3" t="s">
        <v>62</v>
      </c>
    </row>
    <row r="55" spans="1:6" s="6" customFormat="1" x14ac:dyDescent="0.15">
      <c r="A55" s="6">
        <v>216</v>
      </c>
      <c r="B55" s="6">
        <v>4</v>
      </c>
      <c r="C55" s="1">
        <v>1000</v>
      </c>
      <c r="D55" s="6">
        <v>1</v>
      </c>
      <c r="E55" s="6">
        <v>2208</v>
      </c>
      <c r="F55" s="3" t="s">
        <v>63</v>
      </c>
    </row>
    <row r="56" spans="1:6" s="6" customFormat="1" x14ac:dyDescent="0.15">
      <c r="A56" s="6">
        <v>217</v>
      </c>
      <c r="B56" s="6">
        <v>3</v>
      </c>
      <c r="C56" s="1">
        <v>1000</v>
      </c>
      <c r="D56" s="6">
        <v>1</v>
      </c>
      <c r="E56" s="6">
        <v>3201</v>
      </c>
      <c r="F56" s="3" t="s">
        <v>64</v>
      </c>
    </row>
    <row r="57" spans="1:6" s="6" customFormat="1" x14ac:dyDescent="0.15">
      <c r="A57" s="6">
        <v>218</v>
      </c>
      <c r="B57" s="6">
        <v>4</v>
      </c>
      <c r="C57" s="1">
        <v>1000</v>
      </c>
      <c r="D57" s="6">
        <v>1</v>
      </c>
      <c r="E57" s="6">
        <v>3202</v>
      </c>
      <c r="F57" s="3" t="s">
        <v>65</v>
      </c>
    </row>
    <row r="58" spans="1:6" s="6" customFormat="1" x14ac:dyDescent="0.15">
      <c r="A58" s="6">
        <v>219</v>
      </c>
      <c r="B58" s="6">
        <v>3</v>
      </c>
      <c r="C58" s="1">
        <v>1000</v>
      </c>
      <c r="D58" s="6">
        <v>1</v>
      </c>
      <c r="E58" s="6">
        <v>3203</v>
      </c>
      <c r="F58" s="3" t="s">
        <v>66</v>
      </c>
    </row>
    <row r="59" spans="1:6" s="6" customFormat="1" x14ac:dyDescent="0.15">
      <c r="A59" s="6">
        <v>220</v>
      </c>
      <c r="B59" s="6">
        <v>2</v>
      </c>
      <c r="C59" s="1">
        <v>1000</v>
      </c>
      <c r="D59" s="6">
        <v>1</v>
      </c>
      <c r="E59" s="6">
        <v>3204</v>
      </c>
      <c r="F59" s="3" t="s">
        <v>67</v>
      </c>
    </row>
    <row r="60" spans="1:6" s="6" customFormat="1" x14ac:dyDescent="0.15">
      <c r="A60" s="6">
        <v>221</v>
      </c>
      <c r="B60" s="6">
        <v>3</v>
      </c>
      <c r="C60" s="1">
        <v>1000</v>
      </c>
      <c r="D60" s="6">
        <v>1</v>
      </c>
      <c r="E60" s="6">
        <v>3205</v>
      </c>
      <c r="F60" s="3" t="s">
        <v>68</v>
      </c>
    </row>
    <row r="61" spans="1:6" s="6" customFormat="1" x14ac:dyDescent="0.15">
      <c r="A61" s="6">
        <v>222</v>
      </c>
      <c r="B61" s="6">
        <v>3</v>
      </c>
      <c r="C61" s="1">
        <v>1000</v>
      </c>
      <c r="D61" s="6">
        <v>1</v>
      </c>
      <c r="E61" s="6">
        <v>3206</v>
      </c>
      <c r="F61" s="3" t="s">
        <v>69</v>
      </c>
    </row>
    <row r="62" spans="1:6" s="6" customFormat="1" x14ac:dyDescent="0.15">
      <c r="A62" s="6">
        <v>223</v>
      </c>
      <c r="B62" s="6">
        <v>4</v>
      </c>
      <c r="C62" s="1">
        <v>1000</v>
      </c>
      <c r="D62" s="6">
        <v>1</v>
      </c>
      <c r="E62" s="6">
        <v>3207</v>
      </c>
      <c r="F62" s="3" t="s">
        <v>70</v>
      </c>
    </row>
    <row r="63" spans="1:6" s="6" customFormat="1" x14ac:dyDescent="0.15">
      <c r="A63" s="6">
        <v>224</v>
      </c>
      <c r="B63" s="6">
        <v>4</v>
      </c>
      <c r="C63" s="1">
        <v>1000</v>
      </c>
      <c r="D63" s="6">
        <v>1</v>
      </c>
      <c r="E63" s="6">
        <v>3208</v>
      </c>
      <c r="F63" s="3" t="s">
        <v>71</v>
      </c>
    </row>
    <row r="64" spans="1:6" s="6" customFormat="1" x14ac:dyDescent="0.15">
      <c r="A64" s="6">
        <v>225</v>
      </c>
      <c r="B64" s="6">
        <v>3</v>
      </c>
      <c r="C64" s="1">
        <v>1000</v>
      </c>
      <c r="D64" s="6">
        <v>1</v>
      </c>
      <c r="E64" s="6">
        <v>4201</v>
      </c>
      <c r="F64" s="3" t="s">
        <v>72</v>
      </c>
    </row>
    <row r="65" spans="1:6" s="6" customFormat="1" x14ac:dyDescent="0.15">
      <c r="A65" s="6">
        <v>226</v>
      </c>
      <c r="B65" s="6">
        <v>3</v>
      </c>
      <c r="C65" s="1">
        <v>1000</v>
      </c>
      <c r="D65" s="6">
        <v>1</v>
      </c>
      <c r="E65" s="6">
        <v>4202</v>
      </c>
      <c r="F65" s="3" t="s">
        <v>73</v>
      </c>
    </row>
    <row r="66" spans="1:6" s="6" customFormat="1" x14ac:dyDescent="0.15">
      <c r="A66" s="6">
        <v>227</v>
      </c>
      <c r="B66" s="6">
        <v>2</v>
      </c>
      <c r="C66" s="1">
        <v>1000</v>
      </c>
      <c r="D66" s="6">
        <v>1</v>
      </c>
      <c r="E66" s="6">
        <v>4203</v>
      </c>
      <c r="F66" s="3" t="s">
        <v>74</v>
      </c>
    </row>
    <row r="67" spans="1:6" s="6" customFormat="1" x14ac:dyDescent="0.15">
      <c r="A67" s="6">
        <v>228</v>
      </c>
      <c r="B67" s="6">
        <v>4</v>
      </c>
      <c r="C67" s="1">
        <v>1000</v>
      </c>
      <c r="D67" s="6">
        <v>1</v>
      </c>
      <c r="E67" s="6">
        <v>4204</v>
      </c>
      <c r="F67" s="3" t="s">
        <v>75</v>
      </c>
    </row>
    <row r="68" spans="1:6" s="6" customFormat="1" x14ac:dyDescent="0.15">
      <c r="A68" s="6">
        <v>229</v>
      </c>
      <c r="B68" s="6">
        <v>3</v>
      </c>
      <c r="C68" s="1">
        <v>1000</v>
      </c>
      <c r="D68" s="6">
        <v>1</v>
      </c>
      <c r="E68" s="6">
        <v>4205</v>
      </c>
      <c r="F68" s="3" t="s">
        <v>76</v>
      </c>
    </row>
    <row r="69" spans="1:6" s="6" customFormat="1" x14ac:dyDescent="0.15">
      <c r="A69" s="6">
        <v>230</v>
      </c>
      <c r="B69" s="6">
        <v>3</v>
      </c>
      <c r="C69" s="1">
        <v>1000</v>
      </c>
      <c r="D69" s="6">
        <v>1</v>
      </c>
      <c r="E69" s="6">
        <v>4206</v>
      </c>
      <c r="F69" s="3" t="s">
        <v>77</v>
      </c>
    </row>
    <row r="70" spans="1:6" s="6" customFormat="1" x14ac:dyDescent="0.15">
      <c r="A70" s="6">
        <v>231</v>
      </c>
      <c r="B70" s="6">
        <v>4</v>
      </c>
      <c r="C70" s="1">
        <v>1000</v>
      </c>
      <c r="D70" s="6">
        <v>1</v>
      </c>
      <c r="E70" s="6">
        <v>4207</v>
      </c>
      <c r="F70" s="3" t="s">
        <v>78</v>
      </c>
    </row>
    <row r="71" spans="1:6" s="6" customFormat="1" x14ac:dyDescent="0.15">
      <c r="A71" s="6">
        <v>232</v>
      </c>
      <c r="B71" s="6">
        <v>4</v>
      </c>
      <c r="C71" s="1">
        <v>1000</v>
      </c>
      <c r="D71" s="6">
        <v>1</v>
      </c>
      <c r="E71" s="6">
        <v>4208</v>
      </c>
      <c r="F71" s="3" t="s">
        <v>79</v>
      </c>
    </row>
    <row r="72" spans="1:6" s="6" customFormat="1" x14ac:dyDescent="0.15">
      <c r="A72" s="6">
        <v>233</v>
      </c>
      <c r="B72" s="6">
        <v>3</v>
      </c>
      <c r="C72" s="1">
        <v>1000</v>
      </c>
      <c r="D72" s="6">
        <v>1</v>
      </c>
      <c r="E72" s="6">
        <v>5201</v>
      </c>
      <c r="F72" s="3" t="s">
        <v>80</v>
      </c>
    </row>
    <row r="73" spans="1:6" s="6" customFormat="1" x14ac:dyDescent="0.15">
      <c r="A73" s="6">
        <v>234</v>
      </c>
      <c r="B73" s="6">
        <v>2</v>
      </c>
      <c r="C73" s="1">
        <v>1000</v>
      </c>
      <c r="D73" s="6">
        <v>1</v>
      </c>
      <c r="E73" s="6">
        <v>5202</v>
      </c>
      <c r="F73" s="3" t="s">
        <v>81</v>
      </c>
    </row>
    <row r="74" spans="1:6" s="6" customFormat="1" x14ac:dyDescent="0.15">
      <c r="A74" s="6">
        <v>235</v>
      </c>
      <c r="B74" s="6">
        <v>4</v>
      </c>
      <c r="C74" s="1">
        <v>1000</v>
      </c>
      <c r="D74" s="6">
        <v>1</v>
      </c>
      <c r="E74" s="6">
        <v>5203</v>
      </c>
      <c r="F74" s="3" t="s">
        <v>82</v>
      </c>
    </row>
    <row r="75" spans="1:6" s="6" customFormat="1" x14ac:dyDescent="0.15">
      <c r="A75" s="6">
        <v>236</v>
      </c>
      <c r="B75" s="6">
        <v>3</v>
      </c>
      <c r="C75" s="1">
        <v>1000</v>
      </c>
      <c r="D75" s="6">
        <v>1</v>
      </c>
      <c r="E75" s="6">
        <v>5204</v>
      </c>
      <c r="F75" s="3" t="s">
        <v>83</v>
      </c>
    </row>
    <row r="76" spans="1:6" s="6" customFormat="1" x14ac:dyDescent="0.15">
      <c r="A76" s="6">
        <v>237</v>
      </c>
      <c r="B76" s="6">
        <v>3</v>
      </c>
      <c r="C76" s="1">
        <v>1000</v>
      </c>
      <c r="D76" s="6">
        <v>1</v>
      </c>
      <c r="E76" s="6">
        <v>5205</v>
      </c>
      <c r="F76" s="3" t="s">
        <v>84</v>
      </c>
    </row>
    <row r="77" spans="1:6" s="6" customFormat="1" x14ac:dyDescent="0.15">
      <c r="A77" s="6">
        <v>238</v>
      </c>
      <c r="B77" s="6">
        <v>3</v>
      </c>
      <c r="C77" s="1">
        <v>1000</v>
      </c>
      <c r="D77" s="6">
        <v>1</v>
      </c>
      <c r="E77" s="6">
        <v>5206</v>
      </c>
      <c r="F77" s="3" t="s">
        <v>85</v>
      </c>
    </row>
    <row r="78" spans="1:6" s="6" customFormat="1" x14ac:dyDescent="0.15">
      <c r="A78" s="6">
        <v>239</v>
      </c>
      <c r="B78" s="6">
        <v>4</v>
      </c>
      <c r="C78" s="1">
        <v>1000</v>
      </c>
      <c r="D78" s="6">
        <v>1</v>
      </c>
      <c r="E78" s="6">
        <v>5207</v>
      </c>
      <c r="F78" s="3" t="s">
        <v>86</v>
      </c>
    </row>
    <row r="79" spans="1:6" s="6" customFormat="1" x14ac:dyDescent="0.15">
      <c r="A79" s="6">
        <v>240</v>
      </c>
      <c r="B79" s="6">
        <v>4</v>
      </c>
      <c r="C79" s="1">
        <v>1000</v>
      </c>
      <c r="D79" s="6">
        <v>1</v>
      </c>
      <c r="E79" s="6">
        <v>5208</v>
      </c>
      <c r="F79" s="3" t="s">
        <v>87</v>
      </c>
    </row>
    <row r="80" spans="1:6" s="6" customFormat="1" x14ac:dyDescent="0.15">
      <c r="A80" s="6">
        <v>241</v>
      </c>
      <c r="B80" s="6">
        <v>3</v>
      </c>
      <c r="C80" s="1">
        <v>1000</v>
      </c>
      <c r="D80" s="6">
        <v>1</v>
      </c>
      <c r="E80" s="6">
        <v>6201</v>
      </c>
      <c r="F80" s="3" t="s">
        <v>88</v>
      </c>
    </row>
    <row r="81" spans="1:6" s="6" customFormat="1" x14ac:dyDescent="0.15">
      <c r="A81" s="6">
        <v>242</v>
      </c>
      <c r="B81" s="6">
        <v>3</v>
      </c>
      <c r="C81" s="1">
        <v>1000</v>
      </c>
      <c r="D81" s="6">
        <v>1</v>
      </c>
      <c r="E81" s="6">
        <v>6202</v>
      </c>
      <c r="F81" s="3" t="s">
        <v>89</v>
      </c>
    </row>
    <row r="82" spans="1:6" s="6" customFormat="1" x14ac:dyDescent="0.15">
      <c r="A82" s="6">
        <v>243</v>
      </c>
      <c r="B82" s="6">
        <v>2</v>
      </c>
      <c r="C82" s="1">
        <v>1000</v>
      </c>
      <c r="D82" s="6">
        <v>1</v>
      </c>
      <c r="E82" s="6">
        <v>6203</v>
      </c>
      <c r="F82" s="3" t="s">
        <v>90</v>
      </c>
    </row>
    <row r="83" spans="1:6" s="6" customFormat="1" x14ac:dyDescent="0.15">
      <c r="A83" s="6">
        <v>244</v>
      </c>
      <c r="B83" s="6">
        <v>4</v>
      </c>
      <c r="C83" s="1">
        <v>1000</v>
      </c>
      <c r="D83" s="6">
        <v>1</v>
      </c>
      <c r="E83" s="6">
        <v>6204</v>
      </c>
      <c r="F83" s="3" t="s">
        <v>91</v>
      </c>
    </row>
    <row r="84" spans="1:6" s="6" customFormat="1" x14ac:dyDescent="0.15">
      <c r="A84" s="6">
        <v>245</v>
      </c>
      <c r="B84" s="6">
        <v>3</v>
      </c>
      <c r="C84" s="1">
        <v>1000</v>
      </c>
      <c r="D84" s="6">
        <v>1</v>
      </c>
      <c r="E84" s="6">
        <v>6205</v>
      </c>
      <c r="F84" s="3" t="s">
        <v>92</v>
      </c>
    </row>
    <row r="85" spans="1:6" s="6" customFormat="1" x14ac:dyDescent="0.15">
      <c r="A85" s="6">
        <v>246</v>
      </c>
      <c r="B85" s="6">
        <v>3</v>
      </c>
      <c r="C85" s="1">
        <v>1000</v>
      </c>
      <c r="D85" s="6">
        <v>1</v>
      </c>
      <c r="E85" s="6">
        <v>6206</v>
      </c>
      <c r="F85" s="3" t="s">
        <v>93</v>
      </c>
    </row>
    <row r="86" spans="1:6" s="6" customFormat="1" x14ac:dyDescent="0.15">
      <c r="A86" s="6">
        <v>247</v>
      </c>
      <c r="B86" s="6">
        <v>4</v>
      </c>
      <c r="C86" s="1">
        <v>1000</v>
      </c>
      <c r="D86" s="6">
        <v>1</v>
      </c>
      <c r="E86" s="6">
        <v>6207</v>
      </c>
      <c r="F86" s="3" t="s">
        <v>94</v>
      </c>
    </row>
    <row r="87" spans="1:6" s="6" customFormat="1" x14ac:dyDescent="0.15">
      <c r="A87" s="6">
        <v>248</v>
      </c>
      <c r="B87" s="6">
        <v>4</v>
      </c>
      <c r="C87" s="1">
        <v>1000</v>
      </c>
      <c r="D87" s="6">
        <v>1</v>
      </c>
      <c r="E87" s="6">
        <v>6208</v>
      </c>
      <c r="F87" s="3" t="s">
        <v>95</v>
      </c>
    </row>
    <row r="88" spans="1:6" s="6" customFormat="1" x14ac:dyDescent="0.15">
      <c r="A88" s="6">
        <v>249</v>
      </c>
      <c r="B88" s="6">
        <v>3</v>
      </c>
      <c r="C88" s="1">
        <v>1000</v>
      </c>
      <c r="D88" s="6">
        <v>1</v>
      </c>
      <c r="E88" s="6">
        <v>7201</v>
      </c>
      <c r="F88" s="3" t="s">
        <v>96</v>
      </c>
    </row>
    <row r="89" spans="1:6" s="6" customFormat="1" x14ac:dyDescent="0.15">
      <c r="A89" s="6">
        <v>250</v>
      </c>
      <c r="B89" s="6">
        <v>2</v>
      </c>
      <c r="C89" s="1">
        <v>1000</v>
      </c>
      <c r="D89" s="6">
        <v>1</v>
      </c>
      <c r="E89" s="6">
        <v>7202</v>
      </c>
      <c r="F89" s="3" t="s">
        <v>97</v>
      </c>
    </row>
    <row r="90" spans="1:6" s="6" customFormat="1" x14ac:dyDescent="0.15">
      <c r="A90" s="6">
        <v>251</v>
      </c>
      <c r="B90" s="6">
        <v>4</v>
      </c>
      <c r="C90" s="1">
        <v>1000</v>
      </c>
      <c r="D90" s="6">
        <v>1</v>
      </c>
      <c r="E90" s="6">
        <v>7203</v>
      </c>
      <c r="F90" s="3" t="s">
        <v>98</v>
      </c>
    </row>
    <row r="91" spans="1:6" s="6" customFormat="1" x14ac:dyDescent="0.15">
      <c r="A91" s="6">
        <v>252</v>
      </c>
      <c r="B91" s="6">
        <v>3</v>
      </c>
      <c r="C91" s="1">
        <v>1000</v>
      </c>
      <c r="D91" s="6">
        <v>1</v>
      </c>
      <c r="E91" s="6">
        <v>7204</v>
      </c>
      <c r="F91" s="3" t="s">
        <v>99</v>
      </c>
    </row>
    <row r="92" spans="1:6" s="6" customFormat="1" x14ac:dyDescent="0.15">
      <c r="A92" s="6">
        <v>253</v>
      </c>
      <c r="B92" s="6">
        <v>3</v>
      </c>
      <c r="C92" s="1">
        <v>1000</v>
      </c>
      <c r="D92" s="6">
        <v>1</v>
      </c>
      <c r="E92" s="6">
        <v>7205</v>
      </c>
      <c r="F92" s="3" t="s">
        <v>100</v>
      </c>
    </row>
    <row r="93" spans="1:6" s="6" customFormat="1" x14ac:dyDescent="0.15">
      <c r="A93" s="6">
        <v>254</v>
      </c>
      <c r="B93" s="6">
        <v>3</v>
      </c>
      <c r="C93" s="1">
        <v>1000</v>
      </c>
      <c r="D93" s="6">
        <v>1</v>
      </c>
      <c r="E93" s="6">
        <v>7206</v>
      </c>
      <c r="F93" s="3" t="s">
        <v>101</v>
      </c>
    </row>
    <row r="94" spans="1:6" s="6" customFormat="1" x14ac:dyDescent="0.15">
      <c r="A94" s="6">
        <v>255</v>
      </c>
      <c r="B94" s="6">
        <v>4</v>
      </c>
      <c r="C94" s="1">
        <v>1000</v>
      </c>
      <c r="D94" s="6">
        <v>1</v>
      </c>
      <c r="E94" s="6">
        <v>7207</v>
      </c>
      <c r="F94" s="3" t="s">
        <v>102</v>
      </c>
    </row>
    <row r="95" spans="1:6" s="6" customFormat="1" x14ac:dyDescent="0.15">
      <c r="A95" s="6">
        <v>256</v>
      </c>
      <c r="B95" s="6">
        <v>4</v>
      </c>
      <c r="C95" s="1">
        <v>1000</v>
      </c>
      <c r="D95" s="6">
        <v>1</v>
      </c>
      <c r="E95" s="6">
        <v>7208</v>
      </c>
      <c r="F95" s="3" t="s">
        <v>103</v>
      </c>
    </row>
    <row r="96" spans="1:6" s="6" customFormat="1" x14ac:dyDescent="0.15">
      <c r="A96" s="6">
        <v>257</v>
      </c>
      <c r="B96" s="6">
        <v>3</v>
      </c>
      <c r="C96" s="1">
        <v>1000</v>
      </c>
      <c r="D96" s="6">
        <v>1</v>
      </c>
      <c r="E96" s="6">
        <v>8201</v>
      </c>
      <c r="F96" s="3" t="s">
        <v>104</v>
      </c>
    </row>
    <row r="97" spans="1:6" s="6" customFormat="1" x14ac:dyDescent="0.15">
      <c r="A97" s="6">
        <v>258</v>
      </c>
      <c r="B97" s="6">
        <v>2</v>
      </c>
      <c r="C97" s="1">
        <v>1000</v>
      </c>
      <c r="D97" s="6">
        <v>1</v>
      </c>
      <c r="E97" s="6">
        <v>8202</v>
      </c>
      <c r="F97" s="3" t="s">
        <v>105</v>
      </c>
    </row>
    <row r="98" spans="1:6" s="6" customFormat="1" x14ac:dyDescent="0.15">
      <c r="A98" s="6">
        <v>259</v>
      </c>
      <c r="B98" s="6">
        <v>4</v>
      </c>
      <c r="C98" s="1">
        <v>1000</v>
      </c>
      <c r="D98" s="6">
        <v>1</v>
      </c>
      <c r="E98" s="6">
        <v>8203</v>
      </c>
      <c r="F98" s="3" t="s">
        <v>106</v>
      </c>
    </row>
    <row r="99" spans="1:6" s="6" customFormat="1" x14ac:dyDescent="0.15">
      <c r="A99" s="6">
        <v>260</v>
      </c>
      <c r="B99" s="6">
        <v>3</v>
      </c>
      <c r="C99" s="1">
        <v>1000</v>
      </c>
      <c r="D99" s="6">
        <v>1</v>
      </c>
      <c r="E99" s="6">
        <v>8204</v>
      </c>
      <c r="F99" s="3" t="s">
        <v>107</v>
      </c>
    </row>
    <row r="100" spans="1:6" s="6" customFormat="1" x14ac:dyDescent="0.15">
      <c r="A100" s="6">
        <v>261</v>
      </c>
      <c r="B100" s="6">
        <v>3</v>
      </c>
      <c r="C100" s="1">
        <v>1000</v>
      </c>
      <c r="D100" s="6">
        <v>1</v>
      </c>
      <c r="E100" s="6">
        <v>8205</v>
      </c>
      <c r="F100" s="3" t="s">
        <v>108</v>
      </c>
    </row>
    <row r="101" spans="1:6" s="6" customFormat="1" x14ac:dyDescent="0.15">
      <c r="A101" s="6">
        <v>262</v>
      </c>
      <c r="B101" s="6">
        <v>3</v>
      </c>
      <c r="C101" s="1">
        <v>1000</v>
      </c>
      <c r="D101" s="6">
        <v>1</v>
      </c>
      <c r="E101" s="6">
        <v>8206</v>
      </c>
      <c r="F101" s="3" t="s">
        <v>109</v>
      </c>
    </row>
    <row r="102" spans="1:6" s="6" customFormat="1" x14ac:dyDescent="0.15">
      <c r="A102" s="6">
        <v>263</v>
      </c>
      <c r="B102" s="6">
        <v>4</v>
      </c>
      <c r="C102" s="1">
        <v>1000</v>
      </c>
      <c r="D102" s="6">
        <v>1</v>
      </c>
      <c r="E102" s="6">
        <v>8207</v>
      </c>
      <c r="F102" s="3" t="s">
        <v>110</v>
      </c>
    </row>
    <row r="103" spans="1:6" s="6" customFormat="1" x14ac:dyDescent="0.15">
      <c r="A103" s="6">
        <v>264</v>
      </c>
      <c r="B103" s="6">
        <v>4</v>
      </c>
      <c r="C103" s="1">
        <v>1000</v>
      </c>
      <c r="D103" s="6">
        <v>1</v>
      </c>
      <c r="E103" s="6">
        <v>8208</v>
      </c>
      <c r="F103" s="3" t="s">
        <v>111</v>
      </c>
    </row>
    <row r="104" spans="1:6" s="6" customFormat="1" x14ac:dyDescent="0.15">
      <c r="A104" s="6">
        <v>265</v>
      </c>
      <c r="B104" s="6">
        <v>3</v>
      </c>
      <c r="C104" s="1">
        <v>1000</v>
      </c>
      <c r="D104" s="6">
        <v>1</v>
      </c>
      <c r="E104" s="6">
        <v>11201</v>
      </c>
      <c r="F104" s="3" t="s">
        <v>112</v>
      </c>
    </row>
    <row r="105" spans="1:6" s="6" customFormat="1" x14ac:dyDescent="0.15">
      <c r="A105" s="6">
        <v>266</v>
      </c>
      <c r="B105" s="6">
        <v>3</v>
      </c>
      <c r="C105" s="1">
        <v>1000</v>
      </c>
      <c r="D105" s="6">
        <v>1</v>
      </c>
      <c r="E105" s="6">
        <v>11202</v>
      </c>
      <c r="F105" s="3" t="s">
        <v>113</v>
      </c>
    </row>
    <row r="106" spans="1:6" s="6" customFormat="1" x14ac:dyDescent="0.15">
      <c r="A106" s="6">
        <v>267</v>
      </c>
      <c r="B106" s="6">
        <v>2</v>
      </c>
      <c r="C106" s="1">
        <v>1000</v>
      </c>
      <c r="D106" s="6">
        <v>1</v>
      </c>
      <c r="E106" s="6">
        <v>11203</v>
      </c>
      <c r="F106" s="3" t="s">
        <v>114</v>
      </c>
    </row>
    <row r="107" spans="1:6" s="6" customFormat="1" x14ac:dyDescent="0.15">
      <c r="A107" s="6">
        <v>268</v>
      </c>
      <c r="B107" s="6">
        <v>4</v>
      </c>
      <c r="C107" s="1">
        <v>1000</v>
      </c>
      <c r="D107" s="6">
        <v>1</v>
      </c>
      <c r="E107" s="6">
        <v>11204</v>
      </c>
      <c r="F107" s="3" t="s">
        <v>115</v>
      </c>
    </row>
    <row r="108" spans="1:6" s="6" customFormat="1" x14ac:dyDescent="0.15">
      <c r="A108" s="6">
        <v>269</v>
      </c>
      <c r="B108" s="6">
        <v>3</v>
      </c>
      <c r="C108" s="1">
        <v>1000</v>
      </c>
      <c r="D108" s="6">
        <v>1</v>
      </c>
      <c r="E108" s="6">
        <v>12201</v>
      </c>
      <c r="F108" s="3" t="s">
        <v>116</v>
      </c>
    </row>
    <row r="109" spans="1:6" s="6" customFormat="1" x14ac:dyDescent="0.15">
      <c r="A109" s="6">
        <v>270</v>
      </c>
      <c r="B109" s="6">
        <v>4</v>
      </c>
      <c r="C109" s="1">
        <v>1000</v>
      </c>
      <c r="D109" s="6">
        <v>1</v>
      </c>
      <c r="E109" s="6">
        <v>12202</v>
      </c>
      <c r="F109" s="3" t="s">
        <v>117</v>
      </c>
    </row>
    <row r="110" spans="1:6" s="6" customFormat="1" x14ac:dyDescent="0.15">
      <c r="A110" s="6">
        <v>271</v>
      </c>
      <c r="B110" s="6">
        <v>2</v>
      </c>
      <c r="C110" s="1">
        <v>1000</v>
      </c>
      <c r="D110" s="6">
        <v>1</v>
      </c>
      <c r="E110" s="6">
        <v>12203</v>
      </c>
      <c r="F110" s="3" t="s">
        <v>118</v>
      </c>
    </row>
    <row r="111" spans="1:6" s="6" customFormat="1" x14ac:dyDescent="0.15">
      <c r="A111" s="6">
        <v>272</v>
      </c>
      <c r="B111" s="6">
        <v>3</v>
      </c>
      <c r="C111" s="1">
        <v>1000</v>
      </c>
      <c r="D111" s="6">
        <v>1</v>
      </c>
      <c r="E111" s="6">
        <v>12204</v>
      </c>
      <c r="F111" s="3" t="s">
        <v>119</v>
      </c>
    </row>
    <row r="112" spans="1:6" s="6" customFormat="1" x14ac:dyDescent="0.15">
      <c r="A112" s="6">
        <v>273</v>
      </c>
      <c r="B112" s="6">
        <v>3</v>
      </c>
      <c r="C112" s="1">
        <v>1000</v>
      </c>
      <c r="D112" s="6">
        <v>1</v>
      </c>
      <c r="E112" s="6">
        <v>13201</v>
      </c>
      <c r="F112" s="3" t="s">
        <v>120</v>
      </c>
    </row>
    <row r="113" spans="1:6" s="6" customFormat="1" x14ac:dyDescent="0.15">
      <c r="A113" s="6">
        <v>274</v>
      </c>
      <c r="B113" s="6">
        <v>4</v>
      </c>
      <c r="C113" s="1">
        <v>1000</v>
      </c>
      <c r="D113" s="6">
        <v>1</v>
      </c>
      <c r="E113" s="6">
        <v>13202</v>
      </c>
      <c r="F113" s="3" t="s">
        <v>121</v>
      </c>
    </row>
    <row r="114" spans="1:6" s="6" customFormat="1" x14ac:dyDescent="0.15">
      <c r="A114" s="6">
        <v>275</v>
      </c>
      <c r="B114" s="6">
        <v>3</v>
      </c>
      <c r="C114" s="1">
        <v>1000</v>
      </c>
      <c r="D114" s="6">
        <v>1</v>
      </c>
      <c r="E114" s="6">
        <v>13203</v>
      </c>
      <c r="F114" s="3" t="s">
        <v>122</v>
      </c>
    </row>
    <row r="115" spans="1:6" s="6" customFormat="1" x14ac:dyDescent="0.15">
      <c r="A115" s="6">
        <v>276</v>
      </c>
      <c r="B115" s="6">
        <v>2</v>
      </c>
      <c r="C115" s="1">
        <v>1000</v>
      </c>
      <c r="D115" s="6">
        <v>1</v>
      </c>
      <c r="E115" s="6">
        <v>13204</v>
      </c>
      <c r="F115" s="3" t="s">
        <v>123</v>
      </c>
    </row>
    <row r="116" spans="1:6" s="6" customFormat="1" x14ac:dyDescent="0.15">
      <c r="A116" s="6">
        <v>277</v>
      </c>
      <c r="B116" s="6">
        <v>3</v>
      </c>
      <c r="C116" s="1">
        <v>1000</v>
      </c>
      <c r="D116" s="6">
        <v>1</v>
      </c>
      <c r="E116" s="6">
        <v>14201</v>
      </c>
      <c r="F116" s="3" t="s">
        <v>124</v>
      </c>
    </row>
    <row r="117" spans="1:6" s="6" customFormat="1" x14ac:dyDescent="0.15">
      <c r="A117" s="6">
        <v>278</v>
      </c>
      <c r="B117" s="6">
        <v>2</v>
      </c>
      <c r="C117" s="1">
        <v>1000</v>
      </c>
      <c r="D117" s="6">
        <v>1</v>
      </c>
      <c r="E117" s="6">
        <v>14202</v>
      </c>
      <c r="F117" s="3" t="s">
        <v>125</v>
      </c>
    </row>
    <row r="118" spans="1:6" s="6" customFormat="1" x14ac:dyDescent="0.15">
      <c r="A118" s="6">
        <v>279</v>
      </c>
      <c r="B118" s="6">
        <v>4</v>
      </c>
      <c r="C118" s="1">
        <v>1000</v>
      </c>
      <c r="D118" s="6">
        <v>1</v>
      </c>
      <c r="E118" s="6">
        <v>14203</v>
      </c>
      <c r="F118" s="3" t="s">
        <v>126</v>
      </c>
    </row>
    <row r="119" spans="1:6" s="6" customFormat="1" x14ac:dyDescent="0.15">
      <c r="A119" s="6">
        <v>280</v>
      </c>
      <c r="B119" s="6">
        <v>3</v>
      </c>
      <c r="C119" s="1">
        <v>1000</v>
      </c>
      <c r="D119" s="6">
        <v>1</v>
      </c>
      <c r="E119" s="6">
        <v>14204</v>
      </c>
      <c r="F119" s="3" t="s">
        <v>127</v>
      </c>
    </row>
    <row r="120" spans="1:6" s="6" customFormat="1" x14ac:dyDescent="0.15">
      <c r="A120" s="6">
        <v>281</v>
      </c>
      <c r="B120" s="6">
        <v>3</v>
      </c>
      <c r="C120" s="1">
        <v>1000</v>
      </c>
      <c r="D120" s="6">
        <v>1</v>
      </c>
      <c r="E120" s="6">
        <v>15201</v>
      </c>
    </row>
    <row r="121" spans="1:6" s="6" customFormat="1" x14ac:dyDescent="0.15">
      <c r="A121" s="6">
        <v>282</v>
      </c>
      <c r="B121" s="6">
        <v>2</v>
      </c>
      <c r="C121" s="1">
        <v>1000</v>
      </c>
      <c r="D121" s="6">
        <v>1</v>
      </c>
      <c r="E121" s="6">
        <v>15202</v>
      </c>
    </row>
    <row r="122" spans="1:6" s="6" customFormat="1" x14ac:dyDescent="0.15">
      <c r="A122" s="6">
        <v>283</v>
      </c>
      <c r="B122" s="6">
        <v>4</v>
      </c>
      <c r="C122" s="1">
        <v>1000</v>
      </c>
      <c r="D122" s="6">
        <v>1</v>
      </c>
      <c r="E122" s="6">
        <v>15203</v>
      </c>
    </row>
    <row r="123" spans="1:6" s="6" customFormat="1" x14ac:dyDescent="0.15">
      <c r="A123" s="6">
        <v>284</v>
      </c>
      <c r="B123" s="6">
        <v>3</v>
      </c>
      <c r="C123" s="1">
        <v>1000</v>
      </c>
      <c r="D123" s="6">
        <v>1</v>
      </c>
      <c r="E123" s="6">
        <v>15204</v>
      </c>
    </row>
    <row r="124" spans="1:6" s="6" customFormat="1" x14ac:dyDescent="0.15">
      <c r="A124" s="6">
        <v>285</v>
      </c>
      <c r="B124" s="6">
        <v>3</v>
      </c>
      <c r="C124" s="1">
        <v>1000</v>
      </c>
      <c r="D124" s="6">
        <v>1</v>
      </c>
      <c r="E124" s="6">
        <v>12205</v>
      </c>
    </row>
    <row r="125" spans="1:6" s="6" customFormat="1" x14ac:dyDescent="0.15">
      <c r="A125" s="6">
        <v>286</v>
      </c>
      <c r="B125" s="6">
        <v>3</v>
      </c>
      <c r="C125" s="1">
        <v>1000</v>
      </c>
      <c r="D125" s="6">
        <v>1</v>
      </c>
      <c r="E125" s="6">
        <v>12206</v>
      </c>
    </row>
    <row r="126" spans="1:6" s="6" customFormat="1" x14ac:dyDescent="0.15">
      <c r="A126" s="6">
        <v>287</v>
      </c>
      <c r="B126" s="6">
        <v>4</v>
      </c>
      <c r="C126" s="1">
        <v>1000</v>
      </c>
      <c r="D126" s="6">
        <v>1</v>
      </c>
      <c r="E126" s="6">
        <v>12207</v>
      </c>
    </row>
    <row r="127" spans="1:6" s="6" customFormat="1" x14ac:dyDescent="0.15">
      <c r="A127" s="6">
        <v>288</v>
      </c>
      <c r="B127" s="6">
        <v>4</v>
      </c>
      <c r="C127" s="1">
        <v>1000</v>
      </c>
      <c r="D127" s="6">
        <v>1</v>
      </c>
      <c r="E127" s="6">
        <v>12208</v>
      </c>
    </row>
    <row r="128" spans="1:6" s="6" customFormat="1" x14ac:dyDescent="0.15">
      <c r="A128" s="6">
        <v>289</v>
      </c>
      <c r="B128" s="6">
        <v>3</v>
      </c>
      <c r="C128" s="1">
        <v>1000</v>
      </c>
      <c r="D128" s="6">
        <v>1</v>
      </c>
      <c r="E128" s="6">
        <v>16201</v>
      </c>
    </row>
    <row r="129" spans="1:5" s="6" customFormat="1" x14ac:dyDescent="0.15">
      <c r="A129" s="6">
        <v>290</v>
      </c>
      <c r="B129" s="6">
        <v>2</v>
      </c>
      <c r="C129" s="1">
        <v>1000</v>
      </c>
      <c r="D129" s="6">
        <v>1</v>
      </c>
      <c r="E129" s="6">
        <v>16202</v>
      </c>
    </row>
    <row r="130" spans="1:5" s="6" customFormat="1" x14ac:dyDescent="0.15">
      <c r="A130" s="6">
        <v>291</v>
      </c>
      <c r="B130" s="6">
        <v>3</v>
      </c>
      <c r="C130" s="1">
        <v>1000</v>
      </c>
      <c r="D130" s="6">
        <v>1</v>
      </c>
      <c r="E130" s="6">
        <v>16203</v>
      </c>
    </row>
    <row r="131" spans="1:5" s="6" customFormat="1" x14ac:dyDescent="0.15">
      <c r="A131" s="6">
        <v>292</v>
      </c>
      <c r="B131" s="6">
        <v>4</v>
      </c>
      <c r="C131" s="1">
        <v>1000</v>
      </c>
      <c r="D131" s="6">
        <v>1</v>
      </c>
      <c r="E131" s="6">
        <v>16204</v>
      </c>
    </row>
    <row r="132" spans="1:5" s="6" customFormat="1" x14ac:dyDescent="0.15">
      <c r="A132" s="6">
        <v>293</v>
      </c>
      <c r="B132" s="6">
        <v>3</v>
      </c>
      <c r="C132" s="1">
        <v>1000</v>
      </c>
      <c r="D132" s="6">
        <v>1</v>
      </c>
      <c r="E132" s="6">
        <v>11205</v>
      </c>
    </row>
    <row r="133" spans="1:5" s="6" customFormat="1" x14ac:dyDescent="0.15">
      <c r="A133" s="6">
        <v>294</v>
      </c>
      <c r="B133" s="6">
        <v>3</v>
      </c>
      <c r="C133" s="1">
        <v>1000</v>
      </c>
      <c r="D133" s="6">
        <v>1</v>
      </c>
      <c r="E133" s="6">
        <v>11206</v>
      </c>
    </row>
    <row r="134" spans="1:5" s="6" customFormat="1" x14ac:dyDescent="0.15">
      <c r="A134" s="6">
        <v>295</v>
      </c>
      <c r="B134" s="6">
        <v>4</v>
      </c>
      <c r="C134" s="1">
        <v>1000</v>
      </c>
      <c r="D134" s="6">
        <v>1</v>
      </c>
      <c r="E134" s="6">
        <v>11207</v>
      </c>
    </row>
    <row r="135" spans="1:5" s="6" customFormat="1" x14ac:dyDescent="0.15">
      <c r="A135" s="6">
        <v>296</v>
      </c>
      <c r="B135" s="6">
        <v>4</v>
      </c>
      <c r="C135" s="1">
        <v>1000</v>
      </c>
      <c r="D135" s="6">
        <v>1</v>
      </c>
      <c r="E135" s="6">
        <v>11208</v>
      </c>
    </row>
    <row r="136" spans="1:5" s="6" customFormat="1" x14ac:dyDescent="0.15">
      <c r="A136" s="6">
        <v>297</v>
      </c>
      <c r="B136" s="6">
        <v>3</v>
      </c>
      <c r="C136" s="1">
        <v>1000</v>
      </c>
      <c r="D136" s="6">
        <v>1</v>
      </c>
      <c r="E136" s="6">
        <v>17201</v>
      </c>
    </row>
    <row r="137" spans="1:5" s="6" customFormat="1" x14ac:dyDescent="0.15">
      <c r="A137" s="6">
        <v>298</v>
      </c>
      <c r="B137" s="6">
        <v>2</v>
      </c>
      <c r="C137" s="1">
        <v>1000</v>
      </c>
      <c r="D137" s="6">
        <v>1</v>
      </c>
      <c r="E137" s="6">
        <v>17202</v>
      </c>
    </row>
    <row r="138" spans="1:5" s="6" customFormat="1" x14ac:dyDescent="0.15">
      <c r="A138" s="6">
        <v>299</v>
      </c>
      <c r="B138" s="6">
        <v>3</v>
      </c>
      <c r="C138" s="1">
        <v>1000</v>
      </c>
      <c r="D138" s="6">
        <v>1</v>
      </c>
      <c r="E138" s="6">
        <v>17203</v>
      </c>
    </row>
    <row r="139" spans="1:5" s="6" customFormat="1" x14ac:dyDescent="0.15">
      <c r="A139" s="6">
        <v>300</v>
      </c>
      <c r="B139" s="6">
        <v>4</v>
      </c>
      <c r="C139" s="1">
        <v>1000</v>
      </c>
      <c r="D139" s="6">
        <v>1</v>
      </c>
      <c r="E139" s="6">
        <v>17204</v>
      </c>
    </row>
    <row r="140" spans="1:5" s="6" customFormat="1" x14ac:dyDescent="0.15">
      <c r="A140" s="6">
        <v>301</v>
      </c>
      <c r="B140" s="6">
        <v>3</v>
      </c>
      <c r="C140" s="1">
        <v>1000</v>
      </c>
      <c r="D140" s="6">
        <v>1</v>
      </c>
      <c r="E140" s="6">
        <v>18201</v>
      </c>
    </row>
    <row r="141" spans="1:5" s="6" customFormat="1" x14ac:dyDescent="0.15">
      <c r="A141" s="6">
        <v>302</v>
      </c>
      <c r="B141" s="6">
        <v>2</v>
      </c>
      <c r="C141" s="1">
        <v>1000</v>
      </c>
      <c r="D141" s="6">
        <v>1</v>
      </c>
      <c r="E141" s="6">
        <v>18202</v>
      </c>
    </row>
    <row r="142" spans="1:5" s="6" customFormat="1" x14ac:dyDescent="0.15">
      <c r="A142" s="6">
        <v>303</v>
      </c>
      <c r="B142" s="6">
        <v>4</v>
      </c>
      <c r="C142" s="1">
        <v>1000</v>
      </c>
      <c r="D142" s="6">
        <v>1</v>
      </c>
      <c r="E142" s="6">
        <v>18203</v>
      </c>
    </row>
    <row r="143" spans="1:5" s="6" customFormat="1" x14ac:dyDescent="0.15">
      <c r="A143" s="6">
        <v>304</v>
      </c>
      <c r="B143" s="6">
        <v>3</v>
      </c>
      <c r="C143" s="1">
        <v>1000</v>
      </c>
      <c r="D143" s="6">
        <v>1</v>
      </c>
      <c r="E143" s="6">
        <v>18204</v>
      </c>
    </row>
    <row r="144" spans="1:5" s="6" customFormat="1" x14ac:dyDescent="0.15">
      <c r="A144" s="6">
        <v>305</v>
      </c>
      <c r="B144" s="6">
        <v>3</v>
      </c>
      <c r="C144" s="1">
        <v>1000</v>
      </c>
      <c r="D144" s="6">
        <v>1</v>
      </c>
      <c r="E144" s="6">
        <v>19201</v>
      </c>
    </row>
    <row r="145" spans="1:5" s="6" customFormat="1" x14ac:dyDescent="0.15">
      <c r="A145" s="6">
        <v>306</v>
      </c>
      <c r="B145" s="6">
        <v>2</v>
      </c>
      <c r="C145" s="1">
        <v>1000</v>
      </c>
      <c r="D145" s="6">
        <v>1</v>
      </c>
      <c r="E145" s="6">
        <v>19202</v>
      </c>
    </row>
    <row r="146" spans="1:5" s="6" customFormat="1" x14ac:dyDescent="0.15">
      <c r="A146" s="6">
        <v>307</v>
      </c>
      <c r="B146" s="6">
        <v>4</v>
      </c>
      <c r="C146" s="1">
        <v>1000</v>
      </c>
      <c r="D146" s="6">
        <v>1</v>
      </c>
      <c r="E146" s="6">
        <v>19203</v>
      </c>
    </row>
    <row r="147" spans="1:5" s="6" customFormat="1" x14ac:dyDescent="0.15">
      <c r="A147" s="6">
        <v>308</v>
      </c>
      <c r="B147" s="6">
        <v>3</v>
      </c>
      <c r="C147" s="1">
        <v>1000</v>
      </c>
      <c r="D147" s="6">
        <v>1</v>
      </c>
      <c r="E147" s="6">
        <v>19204</v>
      </c>
    </row>
    <row r="148" spans="1:5" s="6" customFormat="1" x14ac:dyDescent="0.15">
      <c r="A148" s="6">
        <v>309</v>
      </c>
      <c r="B148" s="6">
        <v>3</v>
      </c>
      <c r="C148" s="1">
        <v>1000</v>
      </c>
      <c r="D148" s="6">
        <v>1</v>
      </c>
      <c r="E148" s="6">
        <v>20201</v>
      </c>
    </row>
    <row r="149" spans="1:5" s="6" customFormat="1" x14ac:dyDescent="0.15">
      <c r="A149" s="6">
        <v>310</v>
      </c>
      <c r="B149" s="6">
        <v>2</v>
      </c>
      <c r="C149" s="1">
        <v>1000</v>
      </c>
      <c r="D149" s="6">
        <v>1</v>
      </c>
      <c r="E149" s="6">
        <v>20202</v>
      </c>
    </row>
    <row r="150" spans="1:5" s="6" customFormat="1" x14ac:dyDescent="0.15">
      <c r="A150" s="6">
        <v>311</v>
      </c>
      <c r="B150" s="6">
        <v>3</v>
      </c>
      <c r="C150" s="1">
        <v>1000</v>
      </c>
      <c r="D150" s="6">
        <v>1</v>
      </c>
      <c r="E150" s="6">
        <v>20203</v>
      </c>
    </row>
    <row r="151" spans="1:5" s="6" customFormat="1" x14ac:dyDescent="0.15">
      <c r="A151" s="6">
        <v>312</v>
      </c>
      <c r="B151" s="6">
        <v>4</v>
      </c>
      <c r="C151" s="1">
        <v>1000</v>
      </c>
      <c r="D151" s="6">
        <v>1</v>
      </c>
      <c r="E151" s="6">
        <v>20204</v>
      </c>
    </row>
    <row r="152" spans="1:5" s="6" customFormat="1" x14ac:dyDescent="0.15">
      <c r="A152" s="6">
        <v>313</v>
      </c>
      <c r="B152" s="6">
        <v>3</v>
      </c>
      <c r="C152" s="1">
        <v>1000</v>
      </c>
      <c r="D152" s="6">
        <v>1</v>
      </c>
      <c r="E152" s="6">
        <v>22201</v>
      </c>
    </row>
    <row r="153" spans="1:5" s="6" customFormat="1" x14ac:dyDescent="0.15">
      <c r="A153" s="6">
        <v>314</v>
      </c>
      <c r="B153" s="6">
        <v>2</v>
      </c>
      <c r="C153" s="1">
        <v>1000</v>
      </c>
      <c r="D153" s="6">
        <v>1</v>
      </c>
      <c r="E153" s="6">
        <v>22202</v>
      </c>
    </row>
    <row r="154" spans="1:5" s="6" customFormat="1" x14ac:dyDescent="0.15">
      <c r="A154" s="6">
        <v>315</v>
      </c>
      <c r="B154" s="6">
        <v>3</v>
      </c>
      <c r="C154" s="1">
        <v>1000</v>
      </c>
      <c r="D154" s="6">
        <v>1</v>
      </c>
      <c r="E154" s="6">
        <v>22203</v>
      </c>
    </row>
    <row r="155" spans="1:5" s="6" customFormat="1" x14ac:dyDescent="0.15">
      <c r="A155" s="6">
        <v>316</v>
      </c>
      <c r="B155" s="6">
        <v>4</v>
      </c>
      <c r="C155" s="1">
        <v>1000</v>
      </c>
      <c r="D155" s="6">
        <v>1</v>
      </c>
      <c r="E155" s="6">
        <v>22204</v>
      </c>
    </row>
    <row r="156" spans="1:5" s="6" customFormat="1" x14ac:dyDescent="0.15">
      <c r="A156" s="6">
        <v>317</v>
      </c>
      <c r="B156" s="6">
        <v>4</v>
      </c>
      <c r="C156" s="1">
        <v>1000</v>
      </c>
      <c r="D156" s="6">
        <v>1</v>
      </c>
      <c r="E156" s="6">
        <v>24203</v>
      </c>
    </row>
    <row r="157" spans="1:5" x14ac:dyDescent="0.15">
      <c r="A157" s="7">
        <v>318</v>
      </c>
      <c r="B157" s="7">
        <v>3</v>
      </c>
      <c r="C157" s="1">
        <v>1000</v>
      </c>
      <c r="D157" s="6">
        <v>1</v>
      </c>
      <c r="E157" s="7">
        <v>24204</v>
      </c>
    </row>
    <row r="158" spans="1:5" x14ac:dyDescent="0.15">
      <c r="A158" s="7">
        <v>319</v>
      </c>
      <c r="B158" s="7">
        <v>4</v>
      </c>
      <c r="C158" s="1">
        <v>1000</v>
      </c>
      <c r="D158" s="6">
        <v>1</v>
      </c>
      <c r="E158" s="7">
        <v>24205</v>
      </c>
    </row>
    <row r="159" spans="1:5" x14ac:dyDescent="0.15">
      <c r="A159" s="7">
        <v>320</v>
      </c>
      <c r="B159" s="7">
        <v>4</v>
      </c>
      <c r="C159" s="1">
        <v>1000</v>
      </c>
      <c r="D159" s="6">
        <v>1</v>
      </c>
      <c r="E159" s="7">
        <v>24206</v>
      </c>
    </row>
    <row r="160" spans="1:5" x14ac:dyDescent="0.15">
      <c r="A160" s="7">
        <v>321</v>
      </c>
      <c r="B160" s="7">
        <v>4</v>
      </c>
      <c r="C160" s="1">
        <v>1000</v>
      </c>
      <c r="D160" s="6">
        <v>1</v>
      </c>
      <c r="E160" s="7">
        <v>24207</v>
      </c>
    </row>
    <row r="161" spans="1:5" x14ac:dyDescent="0.15">
      <c r="A161" s="7">
        <v>322</v>
      </c>
      <c r="B161" s="7">
        <v>4</v>
      </c>
      <c r="C161" s="1">
        <v>1000</v>
      </c>
      <c r="D161" s="6">
        <v>1</v>
      </c>
      <c r="E161" s="7">
        <v>24208</v>
      </c>
    </row>
    <row r="162" spans="1:5" x14ac:dyDescent="0.15">
      <c r="A162" s="7">
        <v>323</v>
      </c>
      <c r="B162" s="7">
        <v>4</v>
      </c>
      <c r="C162" s="1">
        <v>1000</v>
      </c>
      <c r="D162" s="6">
        <v>1</v>
      </c>
      <c r="E162" s="7">
        <v>24209</v>
      </c>
    </row>
    <row r="163" spans="1:5" x14ac:dyDescent="0.15">
      <c r="A163" s="7">
        <v>324</v>
      </c>
      <c r="B163" s="7">
        <v>3</v>
      </c>
      <c r="C163" s="1">
        <v>1000</v>
      </c>
      <c r="D163" s="6">
        <v>1</v>
      </c>
      <c r="E163" s="7">
        <v>14205</v>
      </c>
    </row>
    <row r="164" spans="1:5" x14ac:dyDescent="0.15">
      <c r="A164" s="7">
        <v>325</v>
      </c>
      <c r="B164" s="7">
        <v>3</v>
      </c>
      <c r="C164" s="1">
        <v>1000</v>
      </c>
      <c r="D164" s="6">
        <v>1</v>
      </c>
      <c r="E164" s="7">
        <v>14206</v>
      </c>
    </row>
    <row r="165" spans="1:5" x14ac:dyDescent="0.15">
      <c r="A165" s="7">
        <v>326</v>
      </c>
      <c r="B165" s="7">
        <v>4</v>
      </c>
      <c r="C165" s="1">
        <v>1000</v>
      </c>
      <c r="D165" s="6">
        <v>1</v>
      </c>
      <c r="E165" s="7">
        <v>14207</v>
      </c>
    </row>
    <row r="166" spans="1:5" x14ac:dyDescent="0.15">
      <c r="A166" s="7">
        <v>327</v>
      </c>
      <c r="B166" s="7">
        <v>4</v>
      </c>
      <c r="C166" s="1">
        <v>1000</v>
      </c>
      <c r="D166" s="6">
        <v>1</v>
      </c>
      <c r="E166" s="7">
        <v>14208</v>
      </c>
    </row>
    <row r="167" spans="1:5" x14ac:dyDescent="0.15">
      <c r="A167" s="7">
        <v>328</v>
      </c>
      <c r="B167" s="7">
        <v>4</v>
      </c>
      <c r="C167" s="1">
        <v>1000</v>
      </c>
      <c r="D167" s="6">
        <v>1</v>
      </c>
      <c r="E167" s="7">
        <v>25203</v>
      </c>
    </row>
    <row r="168" spans="1:5" x14ac:dyDescent="0.15">
      <c r="A168" s="7">
        <v>329</v>
      </c>
      <c r="B168" s="7">
        <v>3</v>
      </c>
      <c r="C168" s="1">
        <v>1000</v>
      </c>
      <c r="D168" s="6">
        <v>1</v>
      </c>
      <c r="E168" s="7">
        <v>25204</v>
      </c>
    </row>
    <row r="169" spans="1:5" x14ac:dyDescent="0.15">
      <c r="A169" s="7">
        <v>330</v>
      </c>
      <c r="B169" s="7">
        <v>4</v>
      </c>
      <c r="C169" s="1">
        <v>1000</v>
      </c>
      <c r="D169" s="6">
        <v>1</v>
      </c>
      <c r="E169" s="7">
        <v>25205</v>
      </c>
    </row>
    <row r="170" spans="1:5" x14ac:dyDescent="0.15">
      <c r="A170" s="7">
        <v>331</v>
      </c>
      <c r="B170" s="7">
        <v>3</v>
      </c>
      <c r="C170" s="1">
        <v>1000</v>
      </c>
      <c r="D170" s="6">
        <v>1</v>
      </c>
      <c r="E170" s="7">
        <v>25206</v>
      </c>
    </row>
    <row r="171" spans="1:5" x14ac:dyDescent="0.15">
      <c r="A171" s="7">
        <v>332</v>
      </c>
      <c r="B171" s="7">
        <v>4</v>
      </c>
      <c r="C171" s="1">
        <v>1000</v>
      </c>
      <c r="D171" s="6">
        <v>1</v>
      </c>
      <c r="E171" s="7">
        <v>25207</v>
      </c>
    </row>
    <row r="172" spans="1:5" x14ac:dyDescent="0.15">
      <c r="A172" s="7">
        <v>333</v>
      </c>
      <c r="B172" s="7">
        <v>4</v>
      </c>
      <c r="C172" s="1">
        <v>1000</v>
      </c>
      <c r="D172" s="6">
        <v>1</v>
      </c>
      <c r="E172" s="7">
        <v>25208</v>
      </c>
    </row>
    <row r="173" spans="1:5" x14ac:dyDescent="0.15">
      <c r="A173" s="7">
        <v>334</v>
      </c>
      <c r="B173" s="7">
        <v>4</v>
      </c>
      <c r="C173" s="1">
        <v>1000</v>
      </c>
      <c r="D173" s="6">
        <v>1</v>
      </c>
      <c r="E173" s="7">
        <v>25209</v>
      </c>
    </row>
  </sheetData>
  <phoneticPr fontId="6" type="noConversion"/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F2:M100"/>
  <sheetViews>
    <sheetView workbookViewId="0">
      <selection activeCell="M19" sqref="M19"/>
    </sheetView>
  </sheetViews>
  <sheetFormatPr defaultColWidth="9" defaultRowHeight="13.5" x14ac:dyDescent="0.15"/>
  <cols>
    <col min="7" max="7" width="15.375" customWidth="1"/>
    <col min="13" max="13" width="12.625"/>
  </cols>
  <sheetData>
    <row r="2" spans="6:8" ht="17.25" x14ac:dyDescent="0.15">
      <c r="F2" s="1">
        <v>1000</v>
      </c>
      <c r="G2" s="2">
        <f>F2/SUM($F$2:$F$100)</f>
        <v>1.02406554019457E-2</v>
      </c>
      <c r="H2" s="3" t="s">
        <v>13</v>
      </c>
    </row>
    <row r="3" spans="6:8" ht="17.25" x14ac:dyDescent="0.15">
      <c r="F3" s="1">
        <v>1000</v>
      </c>
      <c r="G3" s="2">
        <f t="shared" ref="G3:G34" si="0">F3/SUM($F$2:$F$100)</f>
        <v>1.02406554019457E-2</v>
      </c>
      <c r="H3" s="3" t="s">
        <v>14</v>
      </c>
    </row>
    <row r="4" spans="6:8" ht="17.25" x14ac:dyDescent="0.15">
      <c r="F4" s="1">
        <v>1000</v>
      </c>
      <c r="G4" s="2">
        <f t="shared" si="0"/>
        <v>1.02406554019457E-2</v>
      </c>
      <c r="H4" s="3" t="s">
        <v>15</v>
      </c>
    </row>
    <row r="5" spans="6:8" ht="17.25" x14ac:dyDescent="0.15">
      <c r="F5" s="1">
        <v>1000</v>
      </c>
      <c r="G5" s="2">
        <f t="shared" si="0"/>
        <v>1.02406554019457E-2</v>
      </c>
      <c r="H5" s="3" t="s">
        <v>16</v>
      </c>
    </row>
    <row r="6" spans="6:8" ht="17.25" x14ac:dyDescent="0.15">
      <c r="F6" s="1">
        <v>1000</v>
      </c>
      <c r="G6" s="2">
        <f t="shared" si="0"/>
        <v>1.02406554019457E-2</v>
      </c>
      <c r="H6" s="3" t="s">
        <v>17</v>
      </c>
    </row>
    <row r="7" spans="6:8" ht="17.25" x14ac:dyDescent="0.15">
      <c r="F7" s="1">
        <v>1000</v>
      </c>
      <c r="G7" s="2">
        <f t="shared" si="0"/>
        <v>1.02406554019457E-2</v>
      </c>
      <c r="H7" s="3" t="s">
        <v>18</v>
      </c>
    </row>
    <row r="8" spans="6:8" ht="17.25" x14ac:dyDescent="0.15">
      <c r="F8" s="1">
        <v>1000</v>
      </c>
      <c r="G8" s="2">
        <f t="shared" si="0"/>
        <v>1.02406554019457E-2</v>
      </c>
      <c r="H8" s="3" t="s">
        <v>19</v>
      </c>
    </row>
    <row r="9" spans="6:8" ht="17.25" x14ac:dyDescent="0.15">
      <c r="F9" s="1">
        <v>1000</v>
      </c>
      <c r="G9" s="2">
        <f t="shared" si="0"/>
        <v>1.02406554019457E-2</v>
      </c>
      <c r="H9" s="3" t="s">
        <v>20</v>
      </c>
    </row>
    <row r="10" spans="6:8" ht="17.25" x14ac:dyDescent="0.15">
      <c r="F10" s="1">
        <v>1000</v>
      </c>
      <c r="G10" s="2">
        <f t="shared" si="0"/>
        <v>1.02406554019457E-2</v>
      </c>
      <c r="H10" s="3" t="s">
        <v>21</v>
      </c>
    </row>
    <row r="11" spans="6:8" ht="17.25" x14ac:dyDescent="0.15">
      <c r="F11" s="1">
        <v>1000</v>
      </c>
      <c r="G11" s="2">
        <f t="shared" si="0"/>
        <v>1.02406554019457E-2</v>
      </c>
      <c r="H11" s="3" t="s">
        <v>22</v>
      </c>
    </row>
    <row r="12" spans="6:8" ht="17.25" x14ac:dyDescent="0.15">
      <c r="F12" s="1">
        <v>1000</v>
      </c>
      <c r="G12" s="2">
        <f t="shared" si="0"/>
        <v>1.02406554019457E-2</v>
      </c>
      <c r="H12" s="3" t="s">
        <v>23</v>
      </c>
    </row>
    <row r="13" spans="6:8" ht="17.25" x14ac:dyDescent="0.15">
      <c r="F13" s="1">
        <v>1000</v>
      </c>
      <c r="G13" s="2">
        <f t="shared" si="0"/>
        <v>1.02406554019457E-2</v>
      </c>
      <c r="H13" s="3" t="s">
        <v>24</v>
      </c>
    </row>
    <row r="14" spans="6:8" ht="17.25" x14ac:dyDescent="0.15">
      <c r="F14" s="1">
        <v>1000</v>
      </c>
      <c r="G14" s="2">
        <f t="shared" si="0"/>
        <v>1.02406554019457E-2</v>
      </c>
      <c r="H14" s="3" t="s">
        <v>25</v>
      </c>
    </row>
    <row r="15" spans="6:8" ht="17.25" x14ac:dyDescent="0.15">
      <c r="F15" s="1">
        <v>1000</v>
      </c>
      <c r="G15" s="2">
        <f t="shared" si="0"/>
        <v>1.02406554019457E-2</v>
      </c>
      <c r="H15" s="3" t="s">
        <v>26</v>
      </c>
    </row>
    <row r="16" spans="6:8" ht="17.25" x14ac:dyDescent="0.15">
      <c r="F16" s="1">
        <v>1000</v>
      </c>
      <c r="G16" s="2">
        <f t="shared" si="0"/>
        <v>1.02406554019457E-2</v>
      </c>
      <c r="H16" s="3" t="s">
        <v>27</v>
      </c>
    </row>
    <row r="17" spans="6:13" ht="17.25" x14ac:dyDescent="0.15">
      <c r="F17" s="1">
        <v>1000</v>
      </c>
      <c r="G17" s="2">
        <f t="shared" si="0"/>
        <v>1.02406554019457E-2</v>
      </c>
      <c r="H17" s="3" t="s">
        <v>28</v>
      </c>
    </row>
    <row r="18" spans="6:13" ht="17.25" x14ac:dyDescent="0.15">
      <c r="F18" s="1">
        <v>1000</v>
      </c>
      <c r="G18" s="2">
        <f t="shared" si="0"/>
        <v>1.02406554019457E-2</v>
      </c>
      <c r="H18" s="3" t="s">
        <v>29</v>
      </c>
    </row>
    <row r="19" spans="6:13" ht="17.25" x14ac:dyDescent="0.15">
      <c r="F19" s="1">
        <v>700</v>
      </c>
      <c r="G19" s="2">
        <f t="shared" si="0"/>
        <v>7.1684587813620098E-3</v>
      </c>
      <c r="H19" s="3" t="s">
        <v>30</v>
      </c>
      <c r="M19" s="4">
        <f>1-(1-SUM(G19:G21))^3</f>
        <v>4.98395344674765E-2</v>
      </c>
    </row>
    <row r="20" spans="6:13" ht="17.25" x14ac:dyDescent="0.15">
      <c r="F20" s="1">
        <v>550</v>
      </c>
      <c r="G20" s="2">
        <f t="shared" si="0"/>
        <v>5.6323604710701502E-3</v>
      </c>
      <c r="H20" s="3" t="s">
        <v>31</v>
      </c>
    </row>
    <row r="21" spans="6:13" ht="17.25" x14ac:dyDescent="0.15">
      <c r="F21" s="1">
        <v>400</v>
      </c>
      <c r="G21" s="2">
        <f t="shared" si="0"/>
        <v>4.0962621607782898E-3</v>
      </c>
      <c r="H21" s="3" t="s">
        <v>32</v>
      </c>
    </row>
    <row r="22" spans="6:13" ht="17.25" x14ac:dyDescent="0.15">
      <c r="F22" s="1">
        <v>1000</v>
      </c>
      <c r="G22" s="2">
        <f t="shared" si="0"/>
        <v>1.02406554019457E-2</v>
      </c>
      <c r="H22" s="3" t="s">
        <v>33</v>
      </c>
    </row>
    <row r="23" spans="6:13" ht="17.25" x14ac:dyDescent="0.15">
      <c r="F23" s="1">
        <v>1000</v>
      </c>
      <c r="G23" s="2">
        <f t="shared" si="0"/>
        <v>1.02406554019457E-2</v>
      </c>
      <c r="H23" s="3" t="s">
        <v>34</v>
      </c>
    </row>
    <row r="24" spans="6:13" ht="17.25" x14ac:dyDescent="0.15">
      <c r="F24" s="1">
        <v>1000</v>
      </c>
      <c r="G24" s="2">
        <f t="shared" si="0"/>
        <v>1.02406554019457E-2</v>
      </c>
      <c r="H24" s="3" t="s">
        <v>35</v>
      </c>
    </row>
    <row r="25" spans="6:13" ht="17.25" x14ac:dyDescent="0.15">
      <c r="F25" s="1">
        <v>1000</v>
      </c>
      <c r="G25" s="2">
        <f t="shared" si="0"/>
        <v>1.02406554019457E-2</v>
      </c>
      <c r="H25" s="3" t="s">
        <v>36</v>
      </c>
    </row>
    <row r="26" spans="6:13" ht="17.25" x14ac:dyDescent="0.15">
      <c r="F26" s="1">
        <v>1000</v>
      </c>
      <c r="G26" s="2">
        <f t="shared" si="0"/>
        <v>1.02406554019457E-2</v>
      </c>
      <c r="H26" s="3" t="s">
        <v>37</v>
      </c>
    </row>
    <row r="27" spans="6:13" ht="17.25" x14ac:dyDescent="0.15">
      <c r="F27" s="1">
        <v>1000</v>
      </c>
      <c r="G27" s="2">
        <f t="shared" si="0"/>
        <v>1.02406554019457E-2</v>
      </c>
      <c r="H27" s="3" t="s">
        <v>38</v>
      </c>
    </row>
    <row r="28" spans="6:13" ht="17.25" x14ac:dyDescent="0.15">
      <c r="F28" s="1">
        <v>1000</v>
      </c>
      <c r="G28" s="2">
        <f t="shared" si="0"/>
        <v>1.02406554019457E-2</v>
      </c>
      <c r="H28" s="3" t="s">
        <v>39</v>
      </c>
    </row>
    <row r="29" spans="6:13" ht="17.25" x14ac:dyDescent="0.15">
      <c r="F29" s="1">
        <v>1000</v>
      </c>
      <c r="G29" s="2">
        <f t="shared" si="0"/>
        <v>1.02406554019457E-2</v>
      </c>
      <c r="H29" s="3" t="s">
        <v>40</v>
      </c>
    </row>
    <row r="30" spans="6:13" ht="17.25" x14ac:dyDescent="0.15">
      <c r="F30" s="1">
        <v>1000</v>
      </c>
      <c r="G30" s="2">
        <f t="shared" si="0"/>
        <v>1.02406554019457E-2</v>
      </c>
      <c r="H30" s="3" t="s">
        <v>41</v>
      </c>
    </row>
    <row r="31" spans="6:13" ht="17.25" x14ac:dyDescent="0.15">
      <c r="F31" s="1">
        <v>1000</v>
      </c>
      <c r="G31" s="2">
        <f t="shared" si="0"/>
        <v>1.02406554019457E-2</v>
      </c>
      <c r="H31" s="3" t="s">
        <v>42</v>
      </c>
    </row>
    <row r="32" spans="6:13" ht="17.25" x14ac:dyDescent="0.15">
      <c r="F32" s="1">
        <v>1000</v>
      </c>
      <c r="G32" s="2">
        <f t="shared" si="0"/>
        <v>1.02406554019457E-2</v>
      </c>
      <c r="H32" s="3" t="s">
        <v>43</v>
      </c>
    </row>
    <row r="33" spans="6:8" ht="17.25" x14ac:dyDescent="0.15">
      <c r="F33" s="1">
        <v>1000</v>
      </c>
      <c r="G33" s="2">
        <f t="shared" si="0"/>
        <v>1.02406554019457E-2</v>
      </c>
      <c r="H33" s="3" t="s">
        <v>44</v>
      </c>
    </row>
    <row r="34" spans="6:8" ht="17.25" x14ac:dyDescent="0.15">
      <c r="F34" s="1">
        <v>1000</v>
      </c>
      <c r="G34" s="2">
        <f t="shared" si="0"/>
        <v>1.02406554019457E-2</v>
      </c>
      <c r="H34" s="3" t="s">
        <v>45</v>
      </c>
    </row>
    <row r="35" spans="6:8" ht="17.25" x14ac:dyDescent="0.15">
      <c r="F35" s="1">
        <v>1000</v>
      </c>
      <c r="G35" s="2">
        <f t="shared" ref="G35:G66" si="1">F35/SUM($F$2:$F$100)</f>
        <v>1.02406554019457E-2</v>
      </c>
      <c r="H35" s="3" t="s">
        <v>46</v>
      </c>
    </row>
    <row r="36" spans="6:8" ht="17.25" x14ac:dyDescent="0.15">
      <c r="F36" s="1">
        <v>1000</v>
      </c>
      <c r="G36" s="2">
        <f t="shared" si="1"/>
        <v>1.02406554019457E-2</v>
      </c>
      <c r="H36" s="3" t="s">
        <v>47</v>
      </c>
    </row>
    <row r="37" spans="6:8" ht="17.25" x14ac:dyDescent="0.15">
      <c r="F37" s="1">
        <v>1000</v>
      </c>
      <c r="G37" s="2">
        <f t="shared" si="1"/>
        <v>1.02406554019457E-2</v>
      </c>
      <c r="H37" s="3" t="s">
        <v>48</v>
      </c>
    </row>
    <row r="38" spans="6:8" ht="17.25" x14ac:dyDescent="0.15">
      <c r="F38" s="1">
        <v>1000</v>
      </c>
      <c r="G38" s="2">
        <f t="shared" si="1"/>
        <v>1.02406554019457E-2</v>
      </c>
      <c r="H38" s="3" t="s">
        <v>49</v>
      </c>
    </row>
    <row r="39" spans="6:8" ht="17.25" x14ac:dyDescent="0.15">
      <c r="F39" s="1">
        <v>1000</v>
      </c>
      <c r="G39" s="2">
        <f t="shared" si="1"/>
        <v>1.02406554019457E-2</v>
      </c>
      <c r="H39" s="3" t="s">
        <v>50</v>
      </c>
    </row>
    <row r="40" spans="6:8" ht="17.25" x14ac:dyDescent="0.15">
      <c r="F40" s="1">
        <v>1000</v>
      </c>
      <c r="G40" s="2">
        <f t="shared" si="1"/>
        <v>1.02406554019457E-2</v>
      </c>
      <c r="H40" s="3" t="s">
        <v>51</v>
      </c>
    </row>
    <row r="41" spans="6:8" ht="17.25" x14ac:dyDescent="0.15">
      <c r="F41" s="1">
        <v>1000</v>
      </c>
      <c r="G41" s="2">
        <f t="shared" si="1"/>
        <v>1.02406554019457E-2</v>
      </c>
      <c r="H41" s="3" t="s">
        <v>52</v>
      </c>
    </row>
    <row r="42" spans="6:8" ht="17.25" x14ac:dyDescent="0.15">
      <c r="F42" s="1">
        <v>1000</v>
      </c>
      <c r="G42" s="2">
        <f t="shared" si="1"/>
        <v>1.02406554019457E-2</v>
      </c>
      <c r="H42" s="3" t="s">
        <v>53</v>
      </c>
    </row>
    <row r="43" spans="6:8" ht="17.25" x14ac:dyDescent="0.15">
      <c r="F43" s="1">
        <v>1000</v>
      </c>
      <c r="G43" s="2">
        <f t="shared" si="1"/>
        <v>1.02406554019457E-2</v>
      </c>
      <c r="H43" s="3" t="s">
        <v>54</v>
      </c>
    </row>
    <row r="44" spans="6:8" ht="17.25" x14ac:dyDescent="0.15">
      <c r="F44" s="1">
        <v>1000</v>
      </c>
      <c r="G44" s="2">
        <f t="shared" si="1"/>
        <v>1.02406554019457E-2</v>
      </c>
      <c r="H44" s="3" t="s">
        <v>55</v>
      </c>
    </row>
    <row r="45" spans="6:8" ht="17.25" x14ac:dyDescent="0.15">
      <c r="F45" s="1">
        <v>1000</v>
      </c>
      <c r="G45" s="2">
        <f t="shared" si="1"/>
        <v>1.02406554019457E-2</v>
      </c>
      <c r="H45" s="3" t="s">
        <v>56</v>
      </c>
    </row>
    <row r="46" spans="6:8" ht="17.25" x14ac:dyDescent="0.15">
      <c r="F46" s="1">
        <v>1000</v>
      </c>
      <c r="G46" s="2">
        <f t="shared" si="1"/>
        <v>1.02406554019457E-2</v>
      </c>
      <c r="H46" s="3" t="s">
        <v>57</v>
      </c>
    </row>
    <row r="47" spans="6:8" ht="17.25" x14ac:dyDescent="0.15">
      <c r="F47" s="1">
        <v>1000</v>
      </c>
      <c r="G47" s="2">
        <f t="shared" si="1"/>
        <v>1.02406554019457E-2</v>
      </c>
      <c r="H47" s="3" t="s">
        <v>58</v>
      </c>
    </row>
    <row r="48" spans="6:8" ht="17.25" x14ac:dyDescent="0.15">
      <c r="F48" s="1">
        <v>1000</v>
      </c>
      <c r="G48" s="2">
        <f t="shared" si="1"/>
        <v>1.02406554019457E-2</v>
      </c>
      <c r="H48" s="3" t="s">
        <v>59</v>
      </c>
    </row>
    <row r="49" spans="6:8" ht="17.25" x14ac:dyDescent="0.15">
      <c r="F49" s="1">
        <v>1000</v>
      </c>
      <c r="G49" s="2">
        <f t="shared" si="1"/>
        <v>1.02406554019457E-2</v>
      </c>
      <c r="H49" s="3" t="s">
        <v>60</v>
      </c>
    </row>
    <row r="50" spans="6:8" ht="17.25" x14ac:dyDescent="0.15">
      <c r="F50" s="1">
        <v>1000</v>
      </c>
      <c r="G50" s="2">
        <f t="shared" si="1"/>
        <v>1.02406554019457E-2</v>
      </c>
      <c r="H50" s="3" t="s">
        <v>61</v>
      </c>
    </row>
    <row r="51" spans="6:8" ht="17.25" x14ac:dyDescent="0.15">
      <c r="F51" s="1">
        <v>1000</v>
      </c>
      <c r="G51" s="2">
        <f t="shared" si="1"/>
        <v>1.02406554019457E-2</v>
      </c>
      <c r="H51" s="3" t="s">
        <v>62</v>
      </c>
    </row>
    <row r="52" spans="6:8" ht="17.25" x14ac:dyDescent="0.15">
      <c r="F52" s="1">
        <v>1000</v>
      </c>
      <c r="G52" s="2">
        <f t="shared" si="1"/>
        <v>1.02406554019457E-2</v>
      </c>
      <c r="H52" s="3" t="s">
        <v>63</v>
      </c>
    </row>
    <row r="53" spans="6:8" ht="17.25" x14ac:dyDescent="0.15">
      <c r="F53" s="1">
        <v>1000</v>
      </c>
      <c r="G53" s="2">
        <f t="shared" si="1"/>
        <v>1.02406554019457E-2</v>
      </c>
      <c r="H53" s="3" t="s">
        <v>64</v>
      </c>
    </row>
    <row r="54" spans="6:8" ht="17.25" x14ac:dyDescent="0.15">
      <c r="F54" s="1">
        <v>1000</v>
      </c>
      <c r="G54" s="2">
        <f t="shared" si="1"/>
        <v>1.02406554019457E-2</v>
      </c>
      <c r="H54" s="3" t="s">
        <v>65</v>
      </c>
    </row>
    <row r="55" spans="6:8" ht="17.25" x14ac:dyDescent="0.15">
      <c r="F55" s="1">
        <v>1000</v>
      </c>
      <c r="G55" s="2">
        <f t="shared" si="1"/>
        <v>1.02406554019457E-2</v>
      </c>
      <c r="H55" s="3" t="s">
        <v>66</v>
      </c>
    </row>
    <row r="56" spans="6:8" ht="17.25" x14ac:dyDescent="0.15">
      <c r="F56" s="1">
        <v>1000</v>
      </c>
      <c r="G56" s="2">
        <f t="shared" si="1"/>
        <v>1.02406554019457E-2</v>
      </c>
      <c r="H56" s="3" t="s">
        <v>67</v>
      </c>
    </row>
    <row r="57" spans="6:8" ht="17.25" x14ac:dyDescent="0.15">
      <c r="F57" s="1">
        <v>1000</v>
      </c>
      <c r="G57" s="2">
        <f t="shared" si="1"/>
        <v>1.02406554019457E-2</v>
      </c>
      <c r="H57" s="3" t="s">
        <v>68</v>
      </c>
    </row>
    <row r="58" spans="6:8" ht="17.25" x14ac:dyDescent="0.15">
      <c r="F58" s="1">
        <v>1000</v>
      </c>
      <c r="G58" s="2">
        <f t="shared" si="1"/>
        <v>1.02406554019457E-2</v>
      </c>
      <c r="H58" s="3" t="s">
        <v>69</v>
      </c>
    </row>
    <row r="59" spans="6:8" ht="17.25" x14ac:dyDescent="0.15">
      <c r="F59" s="1">
        <v>1000</v>
      </c>
      <c r="G59" s="2">
        <f t="shared" si="1"/>
        <v>1.02406554019457E-2</v>
      </c>
      <c r="H59" s="3" t="s">
        <v>70</v>
      </c>
    </row>
    <row r="60" spans="6:8" ht="17.25" x14ac:dyDescent="0.15">
      <c r="F60" s="1">
        <v>1000</v>
      </c>
      <c r="G60" s="2">
        <f t="shared" si="1"/>
        <v>1.02406554019457E-2</v>
      </c>
      <c r="H60" s="3" t="s">
        <v>71</v>
      </c>
    </row>
    <row r="61" spans="6:8" ht="17.25" x14ac:dyDescent="0.15">
      <c r="F61" s="1">
        <v>1000</v>
      </c>
      <c r="G61" s="2">
        <f t="shared" si="1"/>
        <v>1.02406554019457E-2</v>
      </c>
      <c r="H61" s="3" t="s">
        <v>72</v>
      </c>
    </row>
    <row r="62" spans="6:8" ht="17.25" x14ac:dyDescent="0.15">
      <c r="F62" s="1">
        <v>1000</v>
      </c>
      <c r="G62" s="2">
        <f t="shared" si="1"/>
        <v>1.02406554019457E-2</v>
      </c>
      <c r="H62" s="3" t="s">
        <v>73</v>
      </c>
    </row>
    <row r="63" spans="6:8" ht="17.25" x14ac:dyDescent="0.15">
      <c r="F63" s="1">
        <v>1000</v>
      </c>
      <c r="G63" s="2">
        <f t="shared" si="1"/>
        <v>1.02406554019457E-2</v>
      </c>
      <c r="H63" s="3" t="s">
        <v>74</v>
      </c>
    </row>
    <row r="64" spans="6:8" ht="17.25" x14ac:dyDescent="0.15">
      <c r="F64" s="1">
        <v>1000</v>
      </c>
      <c r="G64" s="2">
        <f t="shared" si="1"/>
        <v>1.02406554019457E-2</v>
      </c>
      <c r="H64" s="3" t="s">
        <v>75</v>
      </c>
    </row>
    <row r="65" spans="6:8" ht="17.25" x14ac:dyDescent="0.15">
      <c r="F65" s="1">
        <v>1000</v>
      </c>
      <c r="G65" s="2">
        <f t="shared" si="1"/>
        <v>1.02406554019457E-2</v>
      </c>
      <c r="H65" s="3" t="s">
        <v>76</v>
      </c>
    </row>
    <row r="66" spans="6:8" ht="17.25" x14ac:dyDescent="0.15">
      <c r="F66" s="1">
        <v>1000</v>
      </c>
      <c r="G66" s="2">
        <f t="shared" si="1"/>
        <v>1.02406554019457E-2</v>
      </c>
      <c r="H66" s="3" t="s">
        <v>77</v>
      </c>
    </row>
    <row r="67" spans="6:8" ht="17.25" x14ac:dyDescent="0.15">
      <c r="F67" s="1">
        <v>1000</v>
      </c>
      <c r="G67" s="2">
        <f t="shared" ref="G67:G100" si="2">F67/SUM($F$2:$F$100)</f>
        <v>1.02406554019457E-2</v>
      </c>
      <c r="H67" s="3" t="s">
        <v>78</v>
      </c>
    </row>
    <row r="68" spans="6:8" ht="17.25" x14ac:dyDescent="0.15">
      <c r="F68" s="1">
        <v>1000</v>
      </c>
      <c r="G68" s="2">
        <f t="shared" si="2"/>
        <v>1.02406554019457E-2</v>
      </c>
      <c r="H68" s="3" t="s">
        <v>79</v>
      </c>
    </row>
    <row r="69" spans="6:8" ht="17.25" x14ac:dyDescent="0.15">
      <c r="F69" s="1">
        <v>1000</v>
      </c>
      <c r="G69" s="2">
        <f t="shared" si="2"/>
        <v>1.02406554019457E-2</v>
      </c>
      <c r="H69" s="3" t="s">
        <v>80</v>
      </c>
    </row>
    <row r="70" spans="6:8" ht="17.25" x14ac:dyDescent="0.15">
      <c r="F70" s="1">
        <v>1000</v>
      </c>
      <c r="G70" s="2">
        <f t="shared" si="2"/>
        <v>1.02406554019457E-2</v>
      </c>
      <c r="H70" s="3" t="s">
        <v>81</v>
      </c>
    </row>
    <row r="71" spans="6:8" ht="17.25" x14ac:dyDescent="0.15">
      <c r="F71" s="1">
        <v>1000</v>
      </c>
      <c r="G71" s="2">
        <f t="shared" si="2"/>
        <v>1.02406554019457E-2</v>
      </c>
      <c r="H71" s="3" t="s">
        <v>82</v>
      </c>
    </row>
    <row r="72" spans="6:8" ht="17.25" x14ac:dyDescent="0.15">
      <c r="F72" s="1">
        <v>1000</v>
      </c>
      <c r="G72" s="2">
        <f t="shared" si="2"/>
        <v>1.02406554019457E-2</v>
      </c>
      <c r="H72" s="3" t="s">
        <v>83</v>
      </c>
    </row>
    <row r="73" spans="6:8" ht="17.25" x14ac:dyDescent="0.15">
      <c r="F73" s="1">
        <v>1000</v>
      </c>
      <c r="G73" s="2">
        <f t="shared" si="2"/>
        <v>1.02406554019457E-2</v>
      </c>
      <c r="H73" s="3" t="s">
        <v>84</v>
      </c>
    </row>
    <row r="74" spans="6:8" ht="17.25" x14ac:dyDescent="0.15">
      <c r="F74" s="1">
        <v>1000</v>
      </c>
      <c r="G74" s="2">
        <f t="shared" si="2"/>
        <v>1.02406554019457E-2</v>
      </c>
      <c r="H74" s="3" t="s">
        <v>85</v>
      </c>
    </row>
    <row r="75" spans="6:8" ht="17.25" x14ac:dyDescent="0.15">
      <c r="F75" s="1">
        <v>1000</v>
      </c>
      <c r="G75" s="2">
        <f t="shared" si="2"/>
        <v>1.02406554019457E-2</v>
      </c>
      <c r="H75" s="3" t="s">
        <v>86</v>
      </c>
    </row>
    <row r="76" spans="6:8" ht="17.25" x14ac:dyDescent="0.15">
      <c r="F76" s="1">
        <v>1000</v>
      </c>
      <c r="G76" s="2">
        <f t="shared" si="2"/>
        <v>1.02406554019457E-2</v>
      </c>
      <c r="H76" s="3" t="s">
        <v>87</v>
      </c>
    </row>
    <row r="77" spans="6:8" ht="17.25" x14ac:dyDescent="0.15">
      <c r="F77" s="1">
        <v>1000</v>
      </c>
      <c r="G77" s="2">
        <f t="shared" si="2"/>
        <v>1.02406554019457E-2</v>
      </c>
      <c r="H77" s="3" t="s">
        <v>88</v>
      </c>
    </row>
    <row r="78" spans="6:8" ht="17.25" x14ac:dyDescent="0.15">
      <c r="F78" s="1">
        <v>1000</v>
      </c>
      <c r="G78" s="2">
        <f t="shared" si="2"/>
        <v>1.02406554019457E-2</v>
      </c>
      <c r="H78" s="3" t="s">
        <v>89</v>
      </c>
    </row>
    <row r="79" spans="6:8" ht="17.25" x14ac:dyDescent="0.15">
      <c r="F79" s="1">
        <v>1000</v>
      </c>
      <c r="G79" s="2">
        <f t="shared" si="2"/>
        <v>1.02406554019457E-2</v>
      </c>
      <c r="H79" s="3" t="s">
        <v>90</v>
      </c>
    </row>
    <row r="80" spans="6:8" ht="17.25" x14ac:dyDescent="0.15">
      <c r="F80" s="1">
        <v>1000</v>
      </c>
      <c r="G80" s="2">
        <f t="shared" si="2"/>
        <v>1.02406554019457E-2</v>
      </c>
      <c r="H80" s="3" t="s">
        <v>91</v>
      </c>
    </row>
    <row r="81" spans="6:8" ht="17.25" x14ac:dyDescent="0.15">
      <c r="F81" s="1">
        <v>1000</v>
      </c>
      <c r="G81" s="2">
        <f t="shared" si="2"/>
        <v>1.02406554019457E-2</v>
      </c>
      <c r="H81" s="3" t="s">
        <v>92</v>
      </c>
    </row>
    <row r="82" spans="6:8" ht="17.25" x14ac:dyDescent="0.15">
      <c r="F82" s="1">
        <v>1000</v>
      </c>
      <c r="G82" s="2">
        <f t="shared" si="2"/>
        <v>1.02406554019457E-2</v>
      </c>
      <c r="H82" s="3" t="s">
        <v>93</v>
      </c>
    </row>
    <row r="83" spans="6:8" ht="17.25" x14ac:dyDescent="0.15">
      <c r="F83" s="1">
        <v>1000</v>
      </c>
      <c r="G83" s="2">
        <f t="shared" si="2"/>
        <v>1.02406554019457E-2</v>
      </c>
      <c r="H83" s="3" t="s">
        <v>94</v>
      </c>
    </row>
    <row r="84" spans="6:8" ht="17.25" x14ac:dyDescent="0.15">
      <c r="F84" s="1">
        <v>1000</v>
      </c>
      <c r="G84" s="2">
        <f t="shared" si="2"/>
        <v>1.02406554019457E-2</v>
      </c>
      <c r="H84" s="3" t="s">
        <v>95</v>
      </c>
    </row>
    <row r="85" spans="6:8" ht="17.25" x14ac:dyDescent="0.15">
      <c r="F85" s="1">
        <v>1000</v>
      </c>
      <c r="G85" s="2">
        <f t="shared" si="2"/>
        <v>1.02406554019457E-2</v>
      </c>
      <c r="H85" s="3" t="s">
        <v>96</v>
      </c>
    </row>
    <row r="86" spans="6:8" ht="17.25" x14ac:dyDescent="0.15">
      <c r="F86" s="1">
        <v>1000</v>
      </c>
      <c r="G86" s="2">
        <f t="shared" si="2"/>
        <v>1.02406554019457E-2</v>
      </c>
      <c r="H86" s="3" t="s">
        <v>97</v>
      </c>
    </row>
    <row r="87" spans="6:8" ht="17.25" x14ac:dyDescent="0.15">
      <c r="F87" s="1">
        <v>1000</v>
      </c>
      <c r="G87" s="2">
        <f t="shared" si="2"/>
        <v>1.02406554019457E-2</v>
      </c>
      <c r="H87" s="3" t="s">
        <v>98</v>
      </c>
    </row>
    <row r="88" spans="6:8" ht="17.25" x14ac:dyDescent="0.15">
      <c r="F88" s="1">
        <v>1000</v>
      </c>
      <c r="G88" s="2">
        <f t="shared" si="2"/>
        <v>1.02406554019457E-2</v>
      </c>
      <c r="H88" s="3" t="s">
        <v>99</v>
      </c>
    </row>
    <row r="89" spans="6:8" ht="17.25" x14ac:dyDescent="0.15">
      <c r="F89" s="1">
        <v>1000</v>
      </c>
      <c r="G89" s="2">
        <f t="shared" si="2"/>
        <v>1.02406554019457E-2</v>
      </c>
      <c r="H89" s="3" t="s">
        <v>100</v>
      </c>
    </row>
    <row r="90" spans="6:8" ht="17.25" x14ac:dyDescent="0.15">
      <c r="F90" s="1">
        <v>1000</v>
      </c>
      <c r="G90" s="2">
        <f t="shared" si="2"/>
        <v>1.02406554019457E-2</v>
      </c>
      <c r="H90" s="3" t="s">
        <v>101</v>
      </c>
    </row>
    <row r="91" spans="6:8" ht="17.25" x14ac:dyDescent="0.15">
      <c r="F91" s="1">
        <v>1000</v>
      </c>
      <c r="G91" s="2">
        <f t="shared" si="2"/>
        <v>1.02406554019457E-2</v>
      </c>
      <c r="H91" s="3" t="s">
        <v>102</v>
      </c>
    </row>
    <row r="92" spans="6:8" ht="17.25" x14ac:dyDescent="0.15">
      <c r="F92" s="1">
        <v>1000</v>
      </c>
      <c r="G92" s="2">
        <f t="shared" si="2"/>
        <v>1.02406554019457E-2</v>
      </c>
      <c r="H92" s="3" t="s">
        <v>103</v>
      </c>
    </row>
    <row r="93" spans="6:8" ht="17.25" x14ac:dyDescent="0.15">
      <c r="F93" s="1">
        <v>1000</v>
      </c>
      <c r="G93" s="2">
        <f t="shared" si="2"/>
        <v>1.02406554019457E-2</v>
      </c>
      <c r="H93" s="3" t="s">
        <v>104</v>
      </c>
    </row>
    <row r="94" spans="6:8" ht="17.25" x14ac:dyDescent="0.15">
      <c r="F94" s="1">
        <v>1000</v>
      </c>
      <c r="G94" s="2">
        <f t="shared" si="2"/>
        <v>1.02406554019457E-2</v>
      </c>
      <c r="H94" s="3" t="s">
        <v>105</v>
      </c>
    </row>
    <row r="95" spans="6:8" ht="17.25" x14ac:dyDescent="0.15">
      <c r="F95" s="1">
        <v>1000</v>
      </c>
      <c r="G95" s="2">
        <f t="shared" si="2"/>
        <v>1.02406554019457E-2</v>
      </c>
      <c r="H95" s="3" t="s">
        <v>106</v>
      </c>
    </row>
    <row r="96" spans="6:8" ht="17.25" x14ac:dyDescent="0.15">
      <c r="F96" s="1">
        <v>1000</v>
      </c>
      <c r="G96" s="2">
        <f t="shared" si="2"/>
        <v>1.02406554019457E-2</v>
      </c>
      <c r="H96" s="3" t="s">
        <v>107</v>
      </c>
    </row>
    <row r="97" spans="6:8" ht="17.25" x14ac:dyDescent="0.15">
      <c r="F97" s="1">
        <v>1000</v>
      </c>
      <c r="G97" s="2">
        <f t="shared" si="2"/>
        <v>1.02406554019457E-2</v>
      </c>
      <c r="H97" s="3" t="s">
        <v>108</v>
      </c>
    </row>
    <row r="98" spans="6:8" ht="17.25" x14ac:dyDescent="0.15">
      <c r="F98" s="1">
        <v>1000</v>
      </c>
      <c r="G98" s="2">
        <f t="shared" si="2"/>
        <v>1.02406554019457E-2</v>
      </c>
      <c r="H98" s="3" t="s">
        <v>109</v>
      </c>
    </row>
    <row r="99" spans="6:8" ht="17.25" x14ac:dyDescent="0.15">
      <c r="F99" s="1">
        <v>1000</v>
      </c>
      <c r="G99" s="2">
        <f t="shared" si="2"/>
        <v>1.02406554019457E-2</v>
      </c>
      <c r="H99" s="3" t="s">
        <v>110</v>
      </c>
    </row>
    <row r="100" spans="6:8" ht="17.25" x14ac:dyDescent="0.15">
      <c r="F100" s="1">
        <v>1000</v>
      </c>
      <c r="G100" s="2">
        <f t="shared" si="2"/>
        <v>1.02406554019457E-2</v>
      </c>
      <c r="H100" s="3" t="s">
        <v>111</v>
      </c>
    </row>
  </sheetData>
  <phoneticPr fontId="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xz_chen</dc:creator>
  <cp:lastModifiedBy>晨迪 代</cp:lastModifiedBy>
  <dcterms:created xsi:type="dcterms:W3CDTF">2023-02-09T02:02:00Z</dcterms:created>
  <dcterms:modified xsi:type="dcterms:W3CDTF">2024-10-12T05:44:28Z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57AF93B002B348F2803A067C8B808C26</vt:lpwstr>
  </property>
  <property fmtid="{D5CDD505-2E9C-101B-9397-08002B2CF9AE}" pid="3" name="KSOProductBuildVer">
    <vt:lpwstr>2052-12.1.0.15990</vt:lpwstr>
  </property>
</Properties>
</file>