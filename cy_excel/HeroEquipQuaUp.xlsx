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</authors>
  <commentList>
    <comment ref="G1" authorId="0">
      <text>
        <r>
          <rPr>
            <sz val="9"/>
            <rFont val="宋体"/>
            <charset val="134"/>
          </rPr>
          <t>chenjiahui：
1：消耗同名
（同服饰、同品质）
2：消耗同品质
（同品质、同部位）
3：本体（同服饰、同品质、同合成id）</t>
        </r>
      </text>
    </comment>
    <comment ref="I1" authorId="0">
      <text>
        <r>
          <rPr>
            <sz val="9"/>
            <rFont val="宋体"/>
            <charset val="134"/>
          </rPr>
          <t>chenjiahui：
提升品质会提升装备自身的基础属性。</t>
        </r>
      </text>
    </comment>
  </commentList>
</comments>
</file>

<file path=xl/sharedStrings.xml><?xml version="1.0" encoding="utf-8"?>
<sst xmlns="http://schemas.openxmlformats.org/spreadsheetml/2006/main" count="51" uniqueCount="37">
  <si>
    <t>合成id</t>
  </si>
  <si>
    <t>品质名称</t>
  </si>
  <si>
    <t>下一合成id</t>
  </si>
  <si>
    <t>品质id</t>
  </si>
  <si>
    <t>当前品质阶段</t>
  </si>
  <si>
    <t>最大等级</t>
  </si>
  <si>
    <t>消耗类型</t>
  </si>
  <si>
    <t>消耗数量</t>
  </si>
  <si>
    <t>品质系数</t>
  </si>
  <si>
    <t>both</t>
  </si>
  <si>
    <t>id</t>
  </si>
  <si>
    <t>nextId</t>
  </si>
  <si>
    <t>quaId</t>
  </si>
  <si>
    <t>quaStage</t>
  </si>
  <si>
    <t>maxLv</t>
  </si>
  <si>
    <t>type</t>
  </si>
  <si>
    <t>num</t>
  </si>
  <si>
    <t>value</t>
  </si>
  <si>
    <t>int</t>
  </si>
  <si>
    <t>策划看</t>
  </si>
  <si>
    <t>index</t>
  </si>
  <si>
    <t>普通</t>
  </si>
  <si>
    <t>精良</t>
  </si>
  <si>
    <t>稀有</t>
  </si>
  <si>
    <t>史诗</t>
  </si>
  <si>
    <t>史诗1</t>
  </si>
  <si>
    <t>史诗2</t>
  </si>
  <si>
    <t>卓越</t>
  </si>
  <si>
    <t>卓越1</t>
  </si>
  <si>
    <t>卓越2</t>
  </si>
  <si>
    <t>卓越3</t>
  </si>
  <si>
    <t>传说</t>
  </si>
  <si>
    <t>传说1</t>
  </si>
  <si>
    <t>传说2</t>
  </si>
  <si>
    <t>传说3</t>
  </si>
  <si>
    <t>传说4</t>
  </si>
  <si>
    <t>传说5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</si>
</sst>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indexed="8"/>
      <name val="微软雅黑"/>
      <charset val="134"/>
    </font>
    <font>
      <sz val="12"/>
      <name val="微软雅黑"/>
      <charset val="134"/>
    </font>
    <font>
      <sz val="11"/>
      <color theme="1"/>
      <name val="微软雅黑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49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rgb="FF7030A0"/>
        </patternFill>
      </fill>
    </dxf>
    <dxf>
      <fill>
        <patternFill patternType="solid"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workbookViewId="0">
      <selection activeCell="E23" sqref="E23"/>
    </sheetView>
  </sheetViews>
  <sheetFormatPr defaultColWidth="9" defaultRowHeight="17.25"/>
  <cols>
    <col min="1" max="1" width="12.375" style="1" customWidth="1"/>
    <col min="2" max="2" width="15.125" style="1" customWidth="1"/>
    <col min="3" max="3" width="12.375" style="1" customWidth="1"/>
    <col min="4" max="5" width="21.5" style="1" customWidth="1"/>
    <col min="6" max="6" width="15.5" style="1" customWidth="1"/>
    <col min="7" max="8" width="16.625" style="1" customWidth="1"/>
    <col min="9" max="9" width="21" style="1" customWidth="1"/>
    <col min="10" max="10" width="9" style="2"/>
    <col min="11" max="11" width="14.125" style="2"/>
    <col min="12" max="16384" width="9" style="2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3" t="s">
        <v>9</v>
      </c>
      <c r="B2" s="3"/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  <c r="H2" s="3" t="s">
        <v>9</v>
      </c>
      <c r="I2" s="3" t="s">
        <v>9</v>
      </c>
    </row>
    <row r="3" spans="1:9">
      <c r="A3" s="3" t="s">
        <v>10</v>
      </c>
      <c r="B3" s="3"/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>
      <c r="A4" s="3" t="s">
        <v>18</v>
      </c>
      <c r="B4" s="3"/>
      <c r="C4" s="3" t="s">
        <v>18</v>
      </c>
      <c r="D4" s="3" t="s">
        <v>18</v>
      </c>
      <c r="E4" s="3" t="s">
        <v>18</v>
      </c>
      <c r="F4" s="3" t="s">
        <v>18</v>
      </c>
      <c r="G4" s="3" t="s">
        <v>18</v>
      </c>
      <c r="H4" s="3" t="s">
        <v>18</v>
      </c>
      <c r="I4" s="3" t="s">
        <v>18</v>
      </c>
    </row>
    <row r="5" ht="18" spans="1:9">
      <c r="A5" s="3"/>
      <c r="B5" s="3" t="s">
        <v>19</v>
      </c>
      <c r="C5" s="3"/>
      <c r="D5" s="3" t="s">
        <v>20</v>
      </c>
      <c r="E5" s="3"/>
      <c r="F5" s="3"/>
      <c r="G5" s="4"/>
      <c r="H5" s="4"/>
      <c r="I5" s="4"/>
    </row>
    <row r="6" ht="20.1" customHeight="1" spans="1:12">
      <c r="A6" s="5">
        <v>1</v>
      </c>
      <c r="B6" s="6" t="s">
        <v>21</v>
      </c>
      <c r="C6" s="5">
        <v>2</v>
      </c>
      <c r="D6" s="6">
        <v>1</v>
      </c>
      <c r="E6" s="6">
        <v>0</v>
      </c>
      <c r="F6" s="7">
        <v>10</v>
      </c>
      <c r="G6" s="7">
        <v>1</v>
      </c>
      <c r="H6" s="7">
        <v>2</v>
      </c>
      <c r="I6" s="7">
        <v>10000</v>
      </c>
      <c r="J6" s="11">
        <v>1</v>
      </c>
      <c r="K6" s="2">
        <f>J6*10000</f>
        <v>10000</v>
      </c>
      <c r="L6" s="2">
        <f>ROUNDDOWN(K6,0)</f>
        <v>10000</v>
      </c>
    </row>
    <row r="7" ht="20.1" customHeight="1" spans="1:12">
      <c r="A7" s="5">
        <v>2</v>
      </c>
      <c r="B7" s="6" t="s">
        <v>22</v>
      </c>
      <c r="C7" s="5">
        <v>3</v>
      </c>
      <c r="D7" s="6">
        <v>2</v>
      </c>
      <c r="E7" s="6">
        <v>0</v>
      </c>
      <c r="F7" s="7">
        <v>20</v>
      </c>
      <c r="G7" s="7">
        <v>1</v>
      </c>
      <c r="H7" s="7">
        <v>2</v>
      </c>
      <c r="I7" s="7">
        <v>15000</v>
      </c>
      <c r="J7" s="11">
        <v>1.5</v>
      </c>
      <c r="K7" s="2">
        <f t="shared" ref="K7:K21" si="0">J7*10000</f>
        <v>15000</v>
      </c>
      <c r="L7" s="2">
        <f t="shared" ref="L7:L21" si="1">ROUNDDOWN(K7,0)</f>
        <v>15000</v>
      </c>
    </row>
    <row r="8" ht="20.1" customHeight="1" spans="1:12">
      <c r="A8" s="5">
        <v>3</v>
      </c>
      <c r="B8" s="6" t="s">
        <v>23</v>
      </c>
      <c r="C8" s="5">
        <v>4</v>
      </c>
      <c r="D8" s="6">
        <v>3</v>
      </c>
      <c r="E8" s="6">
        <v>0</v>
      </c>
      <c r="F8" s="7">
        <v>30</v>
      </c>
      <c r="G8" s="7">
        <v>1</v>
      </c>
      <c r="H8" s="7">
        <v>2</v>
      </c>
      <c r="I8" s="7">
        <v>20250</v>
      </c>
      <c r="J8" s="11">
        <v>2.025</v>
      </c>
      <c r="K8" s="2">
        <f t="shared" si="0"/>
        <v>20250</v>
      </c>
      <c r="L8" s="2">
        <f t="shared" si="1"/>
        <v>20250</v>
      </c>
    </row>
    <row r="9" ht="18" spans="1:12">
      <c r="A9" s="5">
        <v>4</v>
      </c>
      <c r="B9" s="8" t="s">
        <v>24</v>
      </c>
      <c r="C9" s="5">
        <v>5</v>
      </c>
      <c r="D9" s="6">
        <v>4</v>
      </c>
      <c r="E9" s="6">
        <v>0</v>
      </c>
      <c r="F9" s="7">
        <v>50</v>
      </c>
      <c r="G9" s="7">
        <v>2</v>
      </c>
      <c r="H9" s="7">
        <v>1</v>
      </c>
      <c r="I9" s="7">
        <v>34425</v>
      </c>
      <c r="J9" s="11">
        <v>3.4425</v>
      </c>
      <c r="K9" s="2">
        <f t="shared" si="0"/>
        <v>34425</v>
      </c>
      <c r="L9" s="2">
        <f t="shared" si="1"/>
        <v>34425</v>
      </c>
    </row>
    <row r="10" ht="18" spans="1:12">
      <c r="A10" s="5">
        <v>5</v>
      </c>
      <c r="B10" s="8" t="s">
        <v>25</v>
      </c>
      <c r="C10" s="5">
        <v>6</v>
      </c>
      <c r="D10" s="8">
        <v>4</v>
      </c>
      <c r="E10" s="6">
        <v>1</v>
      </c>
      <c r="F10" s="7">
        <v>60</v>
      </c>
      <c r="G10" s="7">
        <v>2</v>
      </c>
      <c r="H10" s="7">
        <v>2</v>
      </c>
      <c r="I10" s="7">
        <v>39588</v>
      </c>
      <c r="J10" s="11">
        <v>3.958875</v>
      </c>
      <c r="K10" s="2">
        <f t="shared" si="0"/>
        <v>39588.75</v>
      </c>
      <c r="L10" s="2">
        <f t="shared" si="1"/>
        <v>39588</v>
      </c>
    </row>
    <row r="11" ht="18" spans="1:12">
      <c r="A11" s="5">
        <v>6</v>
      </c>
      <c r="B11" s="8" t="s">
        <v>26</v>
      </c>
      <c r="C11" s="5">
        <v>7</v>
      </c>
      <c r="D11" s="8">
        <v>4</v>
      </c>
      <c r="E11" s="6">
        <v>2</v>
      </c>
      <c r="F11" s="7">
        <v>70</v>
      </c>
      <c r="G11" s="7">
        <v>3</v>
      </c>
      <c r="H11" s="7">
        <v>1</v>
      </c>
      <c r="I11" s="7">
        <v>44537</v>
      </c>
      <c r="J11" s="11">
        <v>4.453734375</v>
      </c>
      <c r="K11" s="2">
        <f t="shared" si="0"/>
        <v>44537.34375</v>
      </c>
      <c r="L11" s="2">
        <f t="shared" si="1"/>
        <v>44537</v>
      </c>
    </row>
    <row r="12" ht="18" spans="1:12">
      <c r="A12" s="5">
        <v>7</v>
      </c>
      <c r="B12" s="8" t="s">
        <v>27</v>
      </c>
      <c r="C12" s="5">
        <v>8</v>
      </c>
      <c r="D12" s="8">
        <v>5</v>
      </c>
      <c r="E12" s="8">
        <v>0</v>
      </c>
      <c r="F12" s="7">
        <v>100</v>
      </c>
      <c r="G12" s="7">
        <v>2</v>
      </c>
      <c r="H12" s="7">
        <v>1</v>
      </c>
      <c r="I12" s="7">
        <v>62352</v>
      </c>
      <c r="J12" s="11">
        <v>6.235228125</v>
      </c>
      <c r="K12" s="2">
        <f t="shared" si="0"/>
        <v>62352.28125</v>
      </c>
      <c r="L12" s="2">
        <f t="shared" si="1"/>
        <v>62352</v>
      </c>
    </row>
    <row r="13" ht="18" spans="1:12">
      <c r="A13" s="5">
        <v>8</v>
      </c>
      <c r="B13" s="8" t="s">
        <v>28</v>
      </c>
      <c r="C13" s="5">
        <v>9</v>
      </c>
      <c r="D13" s="8">
        <v>5</v>
      </c>
      <c r="E13" s="8">
        <v>1</v>
      </c>
      <c r="F13" s="7">
        <v>120</v>
      </c>
      <c r="G13" s="7">
        <v>2</v>
      </c>
      <c r="H13" s="7">
        <v>1</v>
      </c>
      <c r="I13" s="7">
        <v>68587</v>
      </c>
      <c r="J13" s="11">
        <v>6.858750937</v>
      </c>
      <c r="K13" s="2">
        <f t="shared" si="0"/>
        <v>68587.50937</v>
      </c>
      <c r="L13" s="2">
        <f t="shared" si="1"/>
        <v>68587</v>
      </c>
    </row>
    <row r="14" spans="1:12">
      <c r="A14" s="5">
        <v>9</v>
      </c>
      <c r="B14" s="8" t="s">
        <v>29</v>
      </c>
      <c r="C14" s="5">
        <v>10</v>
      </c>
      <c r="D14" s="8">
        <v>5</v>
      </c>
      <c r="E14" s="8">
        <v>2</v>
      </c>
      <c r="F14" s="7">
        <v>140</v>
      </c>
      <c r="G14" s="7">
        <v>2</v>
      </c>
      <c r="H14" s="7">
        <v>1</v>
      </c>
      <c r="I14" s="7">
        <v>75446</v>
      </c>
      <c r="J14" s="11">
        <v>7.544626031</v>
      </c>
      <c r="K14" s="2">
        <f t="shared" si="0"/>
        <v>75446.26031</v>
      </c>
      <c r="L14" s="2">
        <f t="shared" si="1"/>
        <v>75446</v>
      </c>
    </row>
    <row r="15" spans="1:12">
      <c r="A15" s="5">
        <v>10</v>
      </c>
      <c r="B15" s="8" t="s">
        <v>30</v>
      </c>
      <c r="C15" s="5">
        <v>11</v>
      </c>
      <c r="D15" s="8">
        <v>5</v>
      </c>
      <c r="E15" s="8">
        <v>3</v>
      </c>
      <c r="F15" s="7">
        <v>160</v>
      </c>
      <c r="G15" s="7">
        <v>1</v>
      </c>
      <c r="H15" s="7">
        <v>2</v>
      </c>
      <c r="I15" s="7">
        <v>82990</v>
      </c>
      <c r="J15" s="11">
        <v>8.299088634</v>
      </c>
      <c r="K15" s="2">
        <f t="shared" si="0"/>
        <v>82990.88634</v>
      </c>
      <c r="L15" s="2">
        <f t="shared" si="1"/>
        <v>82990</v>
      </c>
    </row>
    <row r="16" spans="1:12">
      <c r="A16" s="5">
        <v>11</v>
      </c>
      <c r="B16" s="9" t="s">
        <v>31</v>
      </c>
      <c r="C16" s="5">
        <v>12</v>
      </c>
      <c r="D16" s="8">
        <v>6</v>
      </c>
      <c r="E16" s="8">
        <v>0</v>
      </c>
      <c r="F16" s="7">
        <v>200</v>
      </c>
      <c r="G16" s="7">
        <v>2</v>
      </c>
      <c r="H16" s="7">
        <v>1</v>
      </c>
      <c r="I16" s="7">
        <v>103738</v>
      </c>
      <c r="J16" s="11">
        <v>10.37386079</v>
      </c>
      <c r="K16" s="2">
        <f t="shared" si="0"/>
        <v>103738.6079</v>
      </c>
      <c r="L16" s="2">
        <f t="shared" si="1"/>
        <v>103738</v>
      </c>
    </row>
    <row r="17" ht="18" spans="1:12">
      <c r="A17" s="5">
        <v>12</v>
      </c>
      <c r="B17" s="9" t="s">
        <v>32</v>
      </c>
      <c r="C17" s="5">
        <v>13</v>
      </c>
      <c r="D17" s="8">
        <v>6</v>
      </c>
      <c r="E17" s="6">
        <v>1</v>
      </c>
      <c r="F17" s="7">
        <v>220</v>
      </c>
      <c r="G17" s="7">
        <v>2</v>
      </c>
      <c r="H17" s="7">
        <v>1</v>
      </c>
      <c r="I17" s="7">
        <v>119299</v>
      </c>
      <c r="J17" s="11">
        <v>11.92993991</v>
      </c>
      <c r="K17" s="2">
        <f t="shared" si="0"/>
        <v>119299.3991</v>
      </c>
      <c r="L17" s="2">
        <f t="shared" si="1"/>
        <v>119299</v>
      </c>
    </row>
    <row r="18" ht="18" spans="1:12">
      <c r="A18" s="5">
        <v>13</v>
      </c>
      <c r="B18" s="9" t="s">
        <v>33</v>
      </c>
      <c r="C18" s="5">
        <v>14</v>
      </c>
      <c r="D18" s="8">
        <v>6</v>
      </c>
      <c r="E18" s="6">
        <v>2</v>
      </c>
      <c r="F18" s="7">
        <v>240</v>
      </c>
      <c r="G18" s="7">
        <v>2</v>
      </c>
      <c r="H18" s="7">
        <v>1</v>
      </c>
      <c r="I18" s="7">
        <v>137194</v>
      </c>
      <c r="J18" s="11">
        <v>13.7194309</v>
      </c>
      <c r="K18" s="2">
        <f t="shared" si="0"/>
        <v>137194.309</v>
      </c>
      <c r="L18" s="2">
        <f t="shared" si="1"/>
        <v>137194</v>
      </c>
    </row>
    <row r="19" ht="18" spans="1:12">
      <c r="A19" s="5">
        <v>14</v>
      </c>
      <c r="B19" s="9" t="s">
        <v>34</v>
      </c>
      <c r="C19" s="5">
        <v>15</v>
      </c>
      <c r="D19" s="8">
        <v>6</v>
      </c>
      <c r="E19" s="6">
        <v>3</v>
      </c>
      <c r="F19" s="7">
        <v>260</v>
      </c>
      <c r="G19" s="7">
        <v>2</v>
      </c>
      <c r="H19" s="7">
        <v>1</v>
      </c>
      <c r="I19" s="7">
        <v>157773</v>
      </c>
      <c r="J19" s="11">
        <v>15.77734553</v>
      </c>
      <c r="K19" s="2">
        <f t="shared" si="0"/>
        <v>157773.4553</v>
      </c>
      <c r="L19" s="2">
        <f t="shared" si="1"/>
        <v>157773</v>
      </c>
    </row>
    <row r="20" ht="18" spans="1:12">
      <c r="A20" s="5">
        <v>15</v>
      </c>
      <c r="B20" s="9" t="s">
        <v>35</v>
      </c>
      <c r="C20" s="5">
        <v>16</v>
      </c>
      <c r="D20" s="8">
        <v>6</v>
      </c>
      <c r="E20" s="6">
        <v>4</v>
      </c>
      <c r="F20" s="7">
        <v>280</v>
      </c>
      <c r="G20" s="7">
        <v>2</v>
      </c>
      <c r="H20" s="7">
        <v>1</v>
      </c>
      <c r="I20" s="7">
        <v>181439</v>
      </c>
      <c r="J20" s="11">
        <v>18.14394736</v>
      </c>
      <c r="K20" s="2">
        <f t="shared" si="0"/>
        <v>181439.4736</v>
      </c>
      <c r="L20" s="2">
        <f t="shared" si="1"/>
        <v>181439</v>
      </c>
    </row>
    <row r="21" ht="18" spans="1:12">
      <c r="A21" s="5">
        <v>16</v>
      </c>
      <c r="B21" s="9" t="s">
        <v>36</v>
      </c>
      <c r="C21" s="10"/>
      <c r="D21" s="8">
        <v>6</v>
      </c>
      <c r="E21" s="6">
        <v>5</v>
      </c>
      <c r="F21" s="7">
        <v>300</v>
      </c>
      <c r="G21" s="10"/>
      <c r="H21" s="10"/>
      <c r="I21" s="7">
        <v>208655</v>
      </c>
      <c r="J21" s="12">
        <v>20.86553947</v>
      </c>
      <c r="K21" s="2">
        <f t="shared" si="0"/>
        <v>208655.3947</v>
      </c>
      <c r="L21" s="2">
        <f t="shared" si="1"/>
        <v>208655</v>
      </c>
    </row>
  </sheetData>
  <conditionalFormatting sqref="F6:F16">
    <cfRule type="cellIs" dxfId="0" priority="23" operator="equal">
      <formula>1</formula>
    </cfRule>
    <cfRule type="cellIs" dxfId="1" priority="26" operator="equal">
      <formula>2</formula>
    </cfRule>
  </conditionalFormatting>
  <conditionalFormatting sqref="F17:F21">
    <cfRule type="cellIs" dxfId="1" priority="4" operator="equal">
      <formula>2</formula>
    </cfRule>
    <cfRule type="cellIs" dxfId="0" priority="3" operator="equal">
      <formula>1</formula>
    </cfRule>
  </conditionalFormatting>
  <conditionalFormatting sqref="I6:I15">
    <cfRule type="cellIs" dxfId="0" priority="7" operator="equal">
      <formula>1</formula>
    </cfRule>
    <cfRule type="cellIs" dxfId="1" priority="11" operator="equal">
      <formula>2</formula>
    </cfRule>
  </conditionalFormatting>
  <conditionalFormatting sqref="I16:I22">
    <cfRule type="cellIs" dxfId="1" priority="2" operator="equal">
      <formula>2</formula>
    </cfRule>
    <cfRule type="cellIs" dxfId="0" priority="1" operator="equal">
      <formula>1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2023-05-12T11:15:00Z</dcterms:created>
  <dcterms:modified xsi:type="dcterms:W3CDTF">2024-10-12T02:12:10Z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39654DDD51CB4F90B5CA242EF23B94D3_12</vt:lpwstr>
  </property>
</Properties>
</file>