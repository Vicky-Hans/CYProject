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Sheet1!$A$5:$H$43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 xml:space="preserve">没有可以不填
</t>
        </r>
      </text>
    </comment>
    <comment ref="D1" authorId="0">
      <text>
        <r>
          <rPr>
            <sz val="9"/>
            <rFont val="宋体"/>
            <charset val="134"/>
          </rPr>
          <t>chenjiahui:
0:普通奖池类型（不填默认为0）
1：装备奖池
2.无尽冒险怪物奖池
3.幸运转盘
5.幸运之旅卡池
6.扭蛋卡池
7.魔法宾果卡池</t>
        </r>
      </text>
    </comment>
    <comment ref="E1" authorId="0">
      <text>
        <r>
          <rPr>
            <sz val="9"/>
            <rFont val="宋体"/>
            <charset val="134"/>
          </rPr>
          <t xml:space="preserve">chenjiahui:
1.白色
2.绿色
3.蓝色
4.紫色
5.橙色
6.红色
</t>
        </r>
      </text>
    </comment>
    <comment ref="F1" authorId="0">
      <text>
        <r>
          <rPr>
            <sz val="9"/>
            <rFont val="宋体"/>
            <charset val="134"/>
          </rPr>
          <t xml:space="preserve">万分比
</t>
        </r>
      </text>
    </comment>
    <comment ref="G1" authorId="0">
      <text>
        <r>
          <rPr>
            <sz val="9"/>
            <rFont val="宋体"/>
            <charset val="134"/>
          </rPr>
          <t xml:space="preserve">chenjiahui：
{类型，物品id，数量，权重}
权重为万分比
</t>
        </r>
      </text>
    </comment>
  </commentList>
</comments>
</file>

<file path=xl/sharedStrings.xml><?xml version="1.0" encoding="utf-8"?>
<sst xmlns="http://schemas.openxmlformats.org/spreadsheetml/2006/main" count="118" uniqueCount="94">
  <si>
    <t>序列id</t>
  </si>
  <si>
    <t>奖池名称</t>
  </si>
  <si>
    <t>备注</t>
  </si>
  <si>
    <t>奖池类型</t>
  </si>
  <si>
    <t>奖池品质</t>
  </si>
  <si>
    <t>奖池权重</t>
  </si>
  <si>
    <t>随机奖励</t>
  </si>
  <si>
    <t>both</t>
  </si>
  <si>
    <t>client</t>
  </si>
  <si>
    <t>id</t>
  </si>
  <si>
    <t>itemTypeName</t>
  </si>
  <si>
    <t>type</t>
  </si>
  <si>
    <t>jackpotQua</t>
  </si>
  <si>
    <t>weight</t>
  </si>
  <si>
    <t>randomReward</t>
  </si>
  <si>
    <t>int</t>
  </si>
  <si>
    <t>string</t>
  </si>
  <si>
    <t>[RandomReward]</t>
  </si>
  <si>
    <t>策划看</t>
  </si>
  <si>
    <t>随机精良品质装备碎片(绿色)</t>
  </si>
  <si>
    <t>商城宝箱用</t>
  </si>
  <si>
    <t>[{Item,101,1,2500},{Item,102,1,2500},{Item,106,1,2500},{Item,108,1,2500}]</t>
  </si>
  <si>
    <t>随机稀有品质装备碎片（蓝色）</t>
  </si>
  <si>
    <t>[{Item,103,1,1667},{Item,104,1,1667},{Item,105,1,1667},{Item,107,1,1667},{Item,111,1,1667},{Item,113,1,1667}]</t>
  </si>
  <si>
    <t>随机史诗品质装备碎片(紫色)</t>
  </si>
  <si>
    <t>[{Item,112,1,1111},{Item,114,1,1111},{Item,115,1,1111},{Item,116,1,1111},{Item,117,1,1111},{Item,118,1,1111},{Item,119,1,1111},{Item,120,1,1111},{Item,122,1,1111}]</t>
  </si>
  <si>
    <t>随机史诗品质装备碎片(橙色)</t>
  </si>
  <si>
    <t>[{Item,124,1,5000},{Item,125,1,5000}]</t>
  </si>
  <si>
    <t>随机图纸（2、4、6、8）</t>
  </si>
  <si>
    <t>每日商店（id10）</t>
  </si>
  <si>
    <t>[{Item,214,2,2500},{Item,214,4,2500},{Item,214,6,2500},{Item,214,8,2500}]</t>
  </si>
  <si>
    <t>随机蓝色装备碎片（1）</t>
  </si>
  <si>
    <t>每日商店（id3）</t>
  </si>
  <si>
    <t>[{Item,103,1,1667},{Item,104,1,1667},{Item,105,1,1667},{Item,107,1,1667},{Item,111,1,1667},{Item,113,1,1667},{Item,200,1,1667}]</t>
  </si>
  <si>
    <t>随机绿色装备碎片（10，20）</t>
  </si>
  <si>
    <t>每日商店（id4）</t>
  </si>
  <si>
    <t>[{Item,101,10,1250},{Item,102,10,1250},{Item,106,10,1250},{Item,108,10,1250},{Item,101,20,1250},{Item,102,20,1250},{Item,106,20,1250},{Item,108,20,1250}]</t>
  </si>
  <si>
    <t>随机蓝色装备碎片（3，5）</t>
  </si>
  <si>
    <t>每日商店（id5）</t>
  </si>
  <si>
    <t>[{Item,103,3,833},{Item,104,3,833},{Item,105,3,833},{Item,107,3,833},{Item,111,3,833},{Item,113,3,833},{Item,103,5,833},{Item,104,5,833},{Item,105,5,833},{Item,107,5,833},{Item,111,5,833},{Item,113,5,833}]</t>
  </si>
  <si>
    <t>每日商店（id6）</t>
  </si>
  <si>
    <t>随机绿色装备碎片（5，10，20，广告）</t>
  </si>
  <si>
    <t>每日商店（id7）</t>
  </si>
  <si>
    <t>[{Item,101,5,833},{Item,102,5,833},{Item,106,5,833},{Item,108,5,833},{Item,101,10,833},{Item,102,10,833},{Item,106,10,833},{Item,108,10,833},{Item,101,20,833},{Item,102,20,833},{Item,106,20,833},{Item,108,20,833},{Item,200,1,833}]</t>
  </si>
  <si>
    <t>指定图纸（3、5、7、10）</t>
  </si>
  <si>
    <t>每日商店（id11）</t>
  </si>
  <si>
    <t>[{Item,11,3,417},{Item,12,3,417},{Item,13,3,417},{Item,14,3,417},{Item,15,3,417},{Item,16,3,417},{Item,11,5,417},{Item,12,5,417},{Item,13,5,417},{Item,14,5,417},{Item,15,5,417},{Item,16,5,417},{Item,11,7,417},{Item,12,7,417},{Item,13,7,417},{Item,14,7,417},{Item,15,7,417},{Item,16,7,417},{Item,11,10,417},{Item,12,10,417},{Item,13,10,417},{Item,14,10,417},{Item,15,10,417},{Item,16,10,417}]</t>
  </si>
  <si>
    <t>每日特惠可选取武器池</t>
  </si>
  <si>
    <t>[{Equip,1,1,556},{Equip,2,1,556},{Equip,3,1,556},{Equip,4,1,556},{Equip,5,1,556},{Equip,6,1,556},{Equip,7,1,556},{Equip,8,1,556},{Equip,11,1,556},{Equip,12,1,556},{Equip,13,1,556},{Equip,14,1,556},{Equip,15,1,556},{Equip,16,1,556},{Equip,17,1,556},{Equip,18,1,556},{Equip,19,1,556},{Equip,20,1,556},{Equip,22,1,556}]</t>
  </si>
  <si>
    <t>幸运转盘</t>
  </si>
  <si>
    <t>[{Item,313,1,105},{Item,215,2,1000},{Item,6,100,1500},{Item,201,10,1250},{Item,202,3,1000},{Item,203,1,500},{Item,204,1,160},{Item,206,2,250},{Item,207,1,170},{Item,208,1,40},{Item,1,3000,1000},{Item,203,2,250}]</t>
  </si>
  <si>
    <t>圣物奖池</t>
  </si>
  <si>
    <t>[{Holy,1,1,1000},{Holy,2,1,1000},{Holy,3,1,1000}]</t>
  </si>
  <si>
    <t>广告卷随机</t>
  </si>
  <si>
    <t>[{Item,7,2,434},{Item,7,3,869},{Item,7,4,1738},{Item,7,5,3475},{Item,7,6,1738},{Item,7,7,869},{Item,7,8,434},{Item,7,9,260},{Item,7,10,173},{Item,7,100,10}]</t>
  </si>
  <si>
    <t>无尽冒险小怪1</t>
  </si>
  <si>
    <t>[{TourMonster,102,1,1000},{TourMonster,101,1,1000},{TourMonster,203,1,1000},{TourMonster,301,1,1000},{TourMonster,302,1,1000},{TourMonster,503,1,1000},{TourMonster,403,1,1000},{TourMonster,703,1,1000},{TourMonster,901,1,1000},{TourMonster,902,1,1000},{TourMonster,1003,1,1000},{TourMonster,2301,1,1000},{TourMonster,2302,1,1000},{TourMonster,2303,1,1000},{TourMonster,1503,1,1000},{TourMonster,2403,1,1000},{TourMonster,9102,1,1000},{TourMonster,9702,1,1000}]</t>
  </si>
  <si>
    <t>无尽冒险小怪2</t>
  </si>
  <si>
    <t>无尽冒险小怪3</t>
  </si>
  <si>
    <t>无尽冒险boss1</t>
  </si>
  <si>
    <t>[{TourMonster,531,1,1000},{TourMonster,521,1,1000},{TourMonster,421,1,1000},{TourMonster,321,1,1000},{TourMonster,821,1,1000},{TourMonster,921,1,1000},{TourMonster,1021,1,1000},{TourMonster,2321,1,1000},{TourMonster,2421,1,1000},{TourMonster,1621,1,1000},{TourMonster,9131,1,1000},{TourMonster,9721,1,1000}]</t>
  </si>
  <si>
    <t>无尽冒险boss2</t>
  </si>
  <si>
    <t>秘林近战怪</t>
  </si>
  <si>
    <t>[{TourMonster,101,1,1000},{TourMonster,102,1,1000},{TourMonster,301,1,1000},{TourMonster,302,1,1000},{TourMonster,503,1,1000},{TourMonster,901,1,1000},{TourMonster,1003,1,1000},{TourMonster,1503,1,1000},{TourMonster,2301,1,1000},{TourMonster,2403,1,1000},{TourMonster,9102,1,1000},{TourMonster,13101,1,1000},{TourMonster,13201,1,1000},{TourMonster,15103,1,1000},{TourMonster,15302,1,1000}]</t>
  </si>
  <si>
    <t>秘林远程怪</t>
  </si>
  <si>
    <t>[{TourMonster,203,1,1000},{TourMonster,403,1,1000},{TourMonster,902,1,1000},{TourMonster,2302,1,1000},{TourMonster,9702,1,1000},{TourMonster,13302,1,1000},{TourMonster,15502,1,1000}]</t>
  </si>
  <si>
    <t>秘林特性怪</t>
  </si>
  <si>
    <t>[{TourMonster,703,1,1000},{TourMonster,2303,1,1000},{TourMonster,10203,1,1000},{TourMonster,15203,1,1000},{TourMonster,10102,1,1000}]</t>
  </si>
  <si>
    <t>秘林boss</t>
  </si>
  <si>
    <t>[{TourMonster,900001,1,1000},{TourMonster,900002,1,1000},]</t>
  </si>
  <si>
    <t>随机图纸</t>
  </si>
  <si>
    <t>[{Item,11,1,1667},{Item,12,1,1667},{Item,13,1,1667},{Item,14,1,1667},{Item,15,1,1667},{Item,16,1,1667}]</t>
  </si>
  <si>
    <t>随机普通品质服饰</t>
  </si>
  <si>
    <t>[{heroEquip,1,1,833},{heroEquip,2,1,833},{heroEquip,3,1,833},{heroEquip,4,1,833},{heroEquip,5,1,833},{heroEquip,6,1,833},{heroEquip,7,1,833},{heroEquip,8,1,833},{heroEquip,9,1,833},{heroEquip,10,1,833},{heroEquip,11,1,833},{heroEquip,12,1,833}]</t>
  </si>
  <si>
    <t>随机精良品质服饰</t>
  </si>
  <si>
    <t>随机稀有品质服饰</t>
  </si>
  <si>
    <t>随机史诗品质服饰</t>
  </si>
  <si>
    <t>随机卓越品质服饰</t>
  </si>
  <si>
    <t>随机传说品质服饰</t>
  </si>
  <si>
    <t>S级史诗品质服饰</t>
  </si>
  <si>
    <t>[{heroEquip,13,1,1667},{heroEquip,14,1,1667},{heroEquip,15,1,1667},{heroEquip,16,1,1667},{heroEquip,17,1,1667},{heroEquip,18,1,1667}]</t>
  </si>
  <si>
    <t>S级卓越品质服饰</t>
  </si>
  <si>
    <t>S级传说品质服饰</t>
  </si>
  <si>
    <t>幸运之旅累积大奖</t>
  </si>
  <si>
    <t>[{Item,2,5000,2500},{Item,1,500000,2500},{Item,6,25000,2500}]</t>
  </si>
  <si>
    <t>幸运之旅常规奖励</t>
  </si>
  <si>
    <t>[{Item,206,3,300},{Item,6,100,1100},{Item,203,1,650},{Item,207,1,300},{Item,1,2000,2200},{Item,208,1,65},{Item,215,3,900},{Item,313,1,140},{Item,1,10000,500},{Item,313,2,33}]</t>
  </si>
  <si>
    <t>扭蛋卡池</t>
  </si>
  <si>
    <t>[{Item,206,2,450},{Item,6,100,1350},{Item,203,1,525},{Item,207,1,350},{Item,1,3000,900},{Item,208,1,60},{Item,215,2,900},{Item,313,1,120},{Item,18,1,1350},{Item,124,2,75},{Item,18,2,690},{Item,18,5,280}]</t>
  </si>
  <si>
    <t>魔法宾果卡池</t>
  </si>
  <si>
    <t>[{Item,206,2,900},{Item,6,100,2700},{Item,203,1,1050},{Item,207,1,700},{Item,1,3000,1800},{Item,20,3,900},{Item,215,2,1800},{Item,313,1,75},{Item,20,1,2700},{Item,204,1,100},{Item,20,2,1380},{Item,20,5,560}]</t>
  </si>
  <si>
    <t>[{Item,</t>
  </si>
  <si>
    <t>终值：</t>
  </si>
  <si>
    <t>求平均：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</si>
</sst>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1"/>
      <color rgb="FFFF0000"/>
      <name val="黑体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37131870479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58484"/>
      <color rgb="00454545"/>
      <color rgb="00CEA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C1" workbookViewId="0">
      <pane ySplit="5" topLeftCell="A7" activePane="bottomLeft" state="frozen"/>
      <selection/>
      <selection pane="bottomLeft" activeCell="G25" sqref="G25"/>
    </sheetView>
  </sheetViews>
  <sheetFormatPr defaultColWidth="24.25" defaultRowHeight="17.25" outlineLevelCol="7"/>
  <cols>
    <col min="1" max="1" width="8.625" style="14" customWidth="1"/>
    <col min="2" max="2" width="34.5" style="14" customWidth="1"/>
    <col min="3" max="3" width="22.625" style="14" customWidth="1"/>
    <col min="4" max="4" width="13.5" style="14" customWidth="1"/>
    <col min="5" max="5" width="10.25" style="14" customWidth="1"/>
    <col min="6" max="6" width="10.75" style="15" customWidth="1"/>
    <col min="7" max="7" width="126.875" style="14" customWidth="1"/>
    <col min="8" max="16384" width="24.25" style="10"/>
  </cols>
  <sheetData>
    <row r="1" s="8" customForma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8" t="s">
        <v>2</v>
      </c>
    </row>
    <row r="2" s="8" customFormat="1" spans="1:7">
      <c r="A2" s="16" t="s">
        <v>7</v>
      </c>
      <c r="B2" s="16" t="s">
        <v>8</v>
      </c>
      <c r="C2" s="16"/>
      <c r="D2" s="16" t="s">
        <v>7</v>
      </c>
      <c r="E2" s="17" t="s">
        <v>7</v>
      </c>
      <c r="F2" s="17" t="s">
        <v>7</v>
      </c>
      <c r="G2" s="16" t="s">
        <v>7</v>
      </c>
    </row>
    <row r="3" s="8" customFormat="1" spans="1:7">
      <c r="A3" s="16" t="s">
        <v>9</v>
      </c>
      <c r="B3" s="16" t="s">
        <v>10</v>
      </c>
      <c r="C3" s="16"/>
      <c r="D3" s="16" t="s">
        <v>11</v>
      </c>
      <c r="E3" s="17" t="s">
        <v>12</v>
      </c>
      <c r="F3" s="17" t="s">
        <v>13</v>
      </c>
      <c r="G3" s="16" t="s">
        <v>14</v>
      </c>
    </row>
    <row r="4" s="8" customFormat="1" spans="1:7">
      <c r="A4" s="16" t="s">
        <v>15</v>
      </c>
      <c r="B4" s="16" t="s">
        <v>16</v>
      </c>
      <c r="C4" s="16"/>
      <c r="D4" s="16" t="s">
        <v>15</v>
      </c>
      <c r="E4" s="16" t="s">
        <v>15</v>
      </c>
      <c r="F4" s="17" t="s">
        <v>15</v>
      </c>
      <c r="G4" s="16" t="s">
        <v>17</v>
      </c>
    </row>
    <row r="5" s="8" customFormat="1" spans="1:7">
      <c r="A5" s="16"/>
      <c r="B5" s="16"/>
      <c r="C5" s="16" t="s">
        <v>18</v>
      </c>
      <c r="D5" s="16"/>
      <c r="E5" s="16"/>
      <c r="F5" s="17"/>
      <c r="G5" s="16"/>
    </row>
    <row r="6" s="9" customFormat="1" spans="1:7">
      <c r="A6" s="18">
        <v>1</v>
      </c>
      <c r="B6" s="18" t="s">
        <v>19</v>
      </c>
      <c r="C6" s="18" t="s">
        <v>20</v>
      </c>
      <c r="D6" s="18">
        <v>1</v>
      </c>
      <c r="E6" s="18">
        <v>2</v>
      </c>
      <c r="F6" s="19">
        <v>10000</v>
      </c>
      <c r="G6" s="20" t="s">
        <v>21</v>
      </c>
    </row>
    <row r="7" s="9" customFormat="1" spans="1:7">
      <c r="A7" s="18">
        <v>2</v>
      </c>
      <c r="B7" s="18" t="s">
        <v>22</v>
      </c>
      <c r="C7" s="18" t="s">
        <v>20</v>
      </c>
      <c r="D7" s="18">
        <v>1</v>
      </c>
      <c r="E7" s="18">
        <v>3</v>
      </c>
      <c r="F7" s="19">
        <v>10000</v>
      </c>
      <c r="G7" s="20" t="s">
        <v>23</v>
      </c>
    </row>
    <row r="8" s="9" customFormat="1" spans="1:7">
      <c r="A8" s="18">
        <v>3</v>
      </c>
      <c r="B8" s="18" t="s">
        <v>24</v>
      </c>
      <c r="C8" s="18" t="s">
        <v>20</v>
      </c>
      <c r="D8" s="18">
        <v>1</v>
      </c>
      <c r="E8" s="18">
        <v>4</v>
      </c>
      <c r="F8" s="19">
        <v>10000</v>
      </c>
      <c r="G8" s="19" t="s">
        <v>25</v>
      </c>
    </row>
    <row r="9" s="9" customFormat="1" spans="1:7">
      <c r="A9" s="18">
        <v>4</v>
      </c>
      <c r="B9" s="18" t="s">
        <v>26</v>
      </c>
      <c r="C9" s="18" t="s">
        <v>20</v>
      </c>
      <c r="D9" s="18">
        <v>1</v>
      </c>
      <c r="E9" s="18">
        <v>5</v>
      </c>
      <c r="F9" s="19">
        <v>10000</v>
      </c>
      <c r="G9" s="19" t="s">
        <v>27</v>
      </c>
    </row>
    <row r="10" s="9" customFormat="1" ht="17" customHeight="1" spans="1:7">
      <c r="A10" s="21">
        <v>11</v>
      </c>
      <c r="B10" s="21" t="s">
        <v>28</v>
      </c>
      <c r="C10" s="21" t="s">
        <v>29</v>
      </c>
      <c r="D10" s="21">
        <v>1</v>
      </c>
      <c r="E10" s="21">
        <v>2</v>
      </c>
      <c r="F10" s="22">
        <v>10000</v>
      </c>
      <c r="G10" s="23" t="s">
        <v>30</v>
      </c>
    </row>
    <row r="11" s="9" customFormat="1" ht="17" customHeight="1" spans="1:7">
      <c r="A11" s="21">
        <v>12</v>
      </c>
      <c r="B11" s="21" t="s">
        <v>31</v>
      </c>
      <c r="C11" s="21" t="s">
        <v>32</v>
      </c>
      <c r="D11" s="21">
        <v>1</v>
      </c>
      <c r="E11" s="21">
        <v>3</v>
      </c>
      <c r="F11" s="22">
        <v>10000</v>
      </c>
      <c r="G11" s="23" t="s">
        <v>33</v>
      </c>
    </row>
    <row r="12" s="10" customFormat="1" ht="17" customHeight="1" spans="1:7">
      <c r="A12" s="21">
        <v>13</v>
      </c>
      <c r="B12" s="21" t="s">
        <v>34</v>
      </c>
      <c r="C12" s="21" t="s">
        <v>35</v>
      </c>
      <c r="D12" s="21">
        <v>1</v>
      </c>
      <c r="E12" s="21">
        <v>2</v>
      </c>
      <c r="F12" s="22">
        <v>10000</v>
      </c>
      <c r="G12" s="23" t="s">
        <v>36</v>
      </c>
    </row>
    <row r="13" s="10" customFormat="1" ht="17" customHeight="1" spans="1:7">
      <c r="A13" s="21">
        <v>14</v>
      </c>
      <c r="B13" s="21" t="s">
        <v>37</v>
      </c>
      <c r="C13" s="21" t="s">
        <v>38</v>
      </c>
      <c r="D13" s="21">
        <v>1</v>
      </c>
      <c r="E13" s="21">
        <v>3</v>
      </c>
      <c r="F13" s="22">
        <v>10000</v>
      </c>
      <c r="G13" s="23" t="s">
        <v>39</v>
      </c>
    </row>
    <row r="14" s="10" customFormat="1" ht="17" customHeight="1" spans="1:7">
      <c r="A14" s="21">
        <v>15</v>
      </c>
      <c r="B14" s="21" t="s">
        <v>34</v>
      </c>
      <c r="C14" s="21" t="s">
        <v>40</v>
      </c>
      <c r="D14" s="21">
        <v>1</v>
      </c>
      <c r="E14" s="21">
        <v>2</v>
      </c>
      <c r="F14" s="22">
        <v>10000</v>
      </c>
      <c r="G14" s="23" t="s">
        <v>36</v>
      </c>
    </row>
    <row r="15" s="9" customFormat="1" ht="17" customHeight="1" spans="1:7">
      <c r="A15" s="21">
        <v>16</v>
      </c>
      <c r="B15" s="21" t="s">
        <v>41</v>
      </c>
      <c r="C15" s="21" t="s">
        <v>42</v>
      </c>
      <c r="D15" s="21">
        <v>1</v>
      </c>
      <c r="E15" s="21">
        <v>2</v>
      </c>
      <c r="F15" s="22">
        <v>10000</v>
      </c>
      <c r="G15" s="23" t="s">
        <v>43</v>
      </c>
    </row>
    <row r="16" s="10" customFormat="1" ht="17" customHeight="1" spans="1:7">
      <c r="A16" s="21">
        <v>17</v>
      </c>
      <c r="B16" s="21" t="s">
        <v>44</v>
      </c>
      <c r="C16" s="21" t="s">
        <v>45</v>
      </c>
      <c r="D16" s="21">
        <v>1</v>
      </c>
      <c r="E16" s="21">
        <v>3</v>
      </c>
      <c r="F16" s="22">
        <v>10000</v>
      </c>
      <c r="G16" s="23" t="s">
        <v>46</v>
      </c>
    </row>
    <row r="17" s="11" customFormat="1" ht="17" customHeight="1" spans="1:7">
      <c r="A17" s="24">
        <v>20</v>
      </c>
      <c r="B17" s="24" t="s">
        <v>47</v>
      </c>
      <c r="C17" s="24" t="s">
        <v>47</v>
      </c>
      <c r="D17" s="24">
        <v>0</v>
      </c>
      <c r="E17" s="24">
        <v>3</v>
      </c>
      <c r="F17" s="25">
        <v>10000</v>
      </c>
      <c r="G17" s="26" t="s">
        <v>48</v>
      </c>
    </row>
    <row r="18" s="11" customFormat="1" ht="17" customHeight="1" spans="1:7">
      <c r="A18" s="24">
        <v>30</v>
      </c>
      <c r="B18" s="24" t="s">
        <v>49</v>
      </c>
      <c r="C18" s="24"/>
      <c r="D18" s="24">
        <v>3</v>
      </c>
      <c r="E18" s="24">
        <v>4</v>
      </c>
      <c r="F18" s="25">
        <v>10000</v>
      </c>
      <c r="G18" s="14" t="s">
        <v>50</v>
      </c>
    </row>
    <row r="19" s="9" customFormat="1" ht="17" customHeight="1" spans="1:7">
      <c r="A19" s="18">
        <v>40</v>
      </c>
      <c r="B19" s="18" t="s">
        <v>51</v>
      </c>
      <c r="C19" s="18"/>
      <c r="D19" s="18">
        <v>0</v>
      </c>
      <c r="E19" s="18">
        <v>5</v>
      </c>
      <c r="F19" s="22">
        <v>10000</v>
      </c>
      <c r="G19" s="20" t="s">
        <v>52</v>
      </c>
    </row>
    <row r="20" s="12" customFormat="1" ht="17" customHeight="1" spans="1:7">
      <c r="A20" s="27">
        <v>50</v>
      </c>
      <c r="B20" s="27" t="s">
        <v>53</v>
      </c>
      <c r="C20" s="27"/>
      <c r="D20" s="27"/>
      <c r="E20" s="27"/>
      <c r="F20" s="28">
        <v>10000</v>
      </c>
      <c r="G20" s="29" t="s">
        <v>54</v>
      </c>
    </row>
    <row r="21" s="9" customFormat="1" ht="17" customHeight="1" spans="1:7">
      <c r="A21" s="18">
        <v>101</v>
      </c>
      <c r="B21" s="18" t="s">
        <v>55</v>
      </c>
      <c r="C21" s="18"/>
      <c r="D21" s="18">
        <v>2</v>
      </c>
      <c r="E21" s="18">
        <v>3</v>
      </c>
      <c r="F21" s="22">
        <v>10000</v>
      </c>
      <c r="G21" s="20" t="s">
        <v>56</v>
      </c>
    </row>
    <row r="22" s="9" customFormat="1" ht="17" customHeight="1" spans="1:7">
      <c r="A22" s="18">
        <v>102</v>
      </c>
      <c r="B22" s="18" t="s">
        <v>57</v>
      </c>
      <c r="C22" s="18"/>
      <c r="D22" s="18">
        <v>2</v>
      </c>
      <c r="E22" s="18">
        <v>3</v>
      </c>
      <c r="F22" s="22">
        <v>10000</v>
      </c>
      <c r="G22" s="20" t="s">
        <v>56</v>
      </c>
    </row>
    <row r="23" s="9" customFormat="1" ht="17" customHeight="1" spans="1:7">
      <c r="A23" s="18">
        <v>103</v>
      </c>
      <c r="B23" s="18" t="s">
        <v>58</v>
      </c>
      <c r="C23" s="18"/>
      <c r="D23" s="18">
        <v>2</v>
      </c>
      <c r="E23" s="18">
        <v>3</v>
      </c>
      <c r="F23" s="22">
        <v>10000</v>
      </c>
      <c r="G23" s="20" t="s">
        <v>56</v>
      </c>
    </row>
    <row r="24" s="9" customFormat="1" ht="17" customHeight="1" spans="1:7">
      <c r="A24" s="18">
        <v>104</v>
      </c>
      <c r="B24" s="18" t="s">
        <v>59</v>
      </c>
      <c r="C24" s="18"/>
      <c r="D24" s="18">
        <v>2</v>
      </c>
      <c r="E24" s="18">
        <v>3</v>
      </c>
      <c r="F24" s="22">
        <v>10000</v>
      </c>
      <c r="G24" s="20" t="s">
        <v>60</v>
      </c>
    </row>
    <row r="25" s="9" customFormat="1" ht="17" customHeight="1" spans="1:7">
      <c r="A25" s="18">
        <v>105</v>
      </c>
      <c r="B25" s="18" t="s">
        <v>61</v>
      </c>
      <c r="C25" s="18"/>
      <c r="D25" s="18">
        <v>2</v>
      </c>
      <c r="E25" s="18">
        <v>3</v>
      </c>
      <c r="F25" s="22">
        <v>10000</v>
      </c>
      <c r="G25" s="20" t="s">
        <v>60</v>
      </c>
    </row>
    <row r="26" s="9" customFormat="1" ht="17" customHeight="1" spans="1:7">
      <c r="A26" s="18">
        <v>106</v>
      </c>
      <c r="B26" s="18" t="s">
        <v>62</v>
      </c>
      <c r="C26" s="18"/>
      <c r="D26" s="18">
        <v>2</v>
      </c>
      <c r="E26" s="18">
        <v>3</v>
      </c>
      <c r="F26" s="22">
        <v>10000</v>
      </c>
      <c r="G26" s="20" t="s">
        <v>63</v>
      </c>
    </row>
    <row r="27" s="9" customFormat="1" ht="17" customHeight="1" spans="1:7">
      <c r="A27" s="18">
        <v>107</v>
      </c>
      <c r="B27" s="18" t="s">
        <v>64</v>
      </c>
      <c r="C27" s="18"/>
      <c r="D27" s="18">
        <v>2</v>
      </c>
      <c r="E27" s="18">
        <v>3</v>
      </c>
      <c r="F27" s="22">
        <v>10000</v>
      </c>
      <c r="G27" s="20" t="s">
        <v>65</v>
      </c>
    </row>
    <row r="28" s="9" customFormat="1" ht="17" customHeight="1" spans="1:7">
      <c r="A28" s="18">
        <v>108</v>
      </c>
      <c r="B28" s="18" t="s">
        <v>66</v>
      </c>
      <c r="C28" s="18"/>
      <c r="D28" s="18">
        <v>2</v>
      </c>
      <c r="E28" s="18">
        <v>3</v>
      </c>
      <c r="F28" s="22">
        <v>10000</v>
      </c>
      <c r="G28" s="20" t="s">
        <v>67</v>
      </c>
    </row>
    <row r="29" s="9" customFormat="1" ht="17" customHeight="1" spans="1:7">
      <c r="A29" s="18">
        <v>109</v>
      </c>
      <c r="B29" s="18" t="s">
        <v>68</v>
      </c>
      <c r="C29" s="18"/>
      <c r="D29" s="18">
        <v>2</v>
      </c>
      <c r="E29" s="18">
        <v>3</v>
      </c>
      <c r="F29" s="22">
        <v>10000</v>
      </c>
      <c r="G29" s="20" t="s">
        <v>69</v>
      </c>
    </row>
    <row r="30" s="9" customFormat="1" ht="17" customHeight="1" spans="1:7">
      <c r="A30" s="18">
        <v>200</v>
      </c>
      <c r="B30" s="18" t="s">
        <v>70</v>
      </c>
      <c r="C30" s="18"/>
      <c r="D30" s="18">
        <v>0</v>
      </c>
      <c r="E30" s="18">
        <v>3</v>
      </c>
      <c r="F30" s="22">
        <v>10000</v>
      </c>
      <c r="G30" s="20" t="s">
        <v>71</v>
      </c>
    </row>
    <row r="31" s="13" customFormat="1" spans="1:7">
      <c r="A31" s="13">
        <v>201</v>
      </c>
      <c r="B31" s="30" t="s">
        <v>72</v>
      </c>
      <c r="C31" s="31"/>
      <c r="D31" s="31">
        <v>4</v>
      </c>
      <c r="E31" s="31">
        <v>1</v>
      </c>
      <c r="F31" s="31">
        <v>10000</v>
      </c>
      <c r="G31" s="13" t="s">
        <v>73</v>
      </c>
    </row>
    <row r="32" s="13" customFormat="1" spans="1:7">
      <c r="A32" s="13">
        <v>202</v>
      </c>
      <c r="B32" s="30" t="s">
        <v>74</v>
      </c>
      <c r="C32" s="31"/>
      <c r="D32" s="31">
        <v>4</v>
      </c>
      <c r="E32" s="31">
        <v>2</v>
      </c>
      <c r="F32" s="32">
        <v>6660</v>
      </c>
      <c r="G32" s="13" t="s">
        <v>73</v>
      </c>
    </row>
    <row r="33" s="13" customFormat="1" spans="1:7">
      <c r="A33" s="13">
        <v>203</v>
      </c>
      <c r="B33" s="30" t="s">
        <v>75</v>
      </c>
      <c r="C33" s="31"/>
      <c r="D33" s="31">
        <v>4</v>
      </c>
      <c r="E33" s="31">
        <v>3</v>
      </c>
      <c r="F33" s="32">
        <v>3000</v>
      </c>
      <c r="G33" s="13" t="s">
        <v>73</v>
      </c>
    </row>
    <row r="34" s="13" customFormat="1" spans="1:7">
      <c r="A34" s="13">
        <v>204</v>
      </c>
      <c r="B34" s="30" t="s">
        <v>76</v>
      </c>
      <c r="C34" s="31"/>
      <c r="D34" s="31">
        <v>4</v>
      </c>
      <c r="E34" s="31">
        <v>4</v>
      </c>
      <c r="F34" s="31">
        <v>310</v>
      </c>
      <c r="G34" s="13" t="s">
        <v>73</v>
      </c>
    </row>
    <row r="35" s="13" customFormat="1" spans="1:7">
      <c r="A35" s="13">
        <v>205</v>
      </c>
      <c r="B35" s="30" t="s">
        <v>77</v>
      </c>
      <c r="C35" s="31"/>
      <c r="D35" s="31">
        <v>4</v>
      </c>
      <c r="E35" s="31">
        <v>7</v>
      </c>
      <c r="F35" s="31">
        <v>10000</v>
      </c>
      <c r="G35" s="13" t="s">
        <v>73</v>
      </c>
    </row>
    <row r="36" s="13" customFormat="1" spans="1:7">
      <c r="A36" s="13">
        <v>206</v>
      </c>
      <c r="B36" s="30" t="s">
        <v>78</v>
      </c>
      <c r="C36" s="31"/>
      <c r="D36" s="31">
        <v>4</v>
      </c>
      <c r="E36" s="31">
        <v>11</v>
      </c>
      <c r="F36" s="31">
        <v>10000</v>
      </c>
      <c r="G36" s="13" t="s">
        <v>73</v>
      </c>
    </row>
    <row r="37" s="13" customFormat="1" spans="1:7">
      <c r="A37" s="13">
        <v>207</v>
      </c>
      <c r="B37" s="30" t="s">
        <v>79</v>
      </c>
      <c r="C37" s="31"/>
      <c r="D37" s="31">
        <v>4</v>
      </c>
      <c r="E37" s="31">
        <v>4</v>
      </c>
      <c r="F37" s="32">
        <v>30</v>
      </c>
      <c r="G37" s="13" t="s">
        <v>80</v>
      </c>
    </row>
    <row r="38" s="10" customFormat="1" spans="1:7">
      <c r="A38" s="13">
        <v>208</v>
      </c>
      <c r="B38" s="30" t="s">
        <v>81</v>
      </c>
      <c r="C38" s="31"/>
      <c r="D38" s="31">
        <v>4</v>
      </c>
      <c r="E38" s="31">
        <v>7</v>
      </c>
      <c r="F38" s="31">
        <v>10000</v>
      </c>
      <c r="G38" s="13" t="s">
        <v>80</v>
      </c>
    </row>
    <row r="39" s="10" customFormat="1" spans="1:7">
      <c r="A39" s="13">
        <v>209</v>
      </c>
      <c r="B39" s="30" t="s">
        <v>82</v>
      </c>
      <c r="C39" s="31"/>
      <c r="D39" s="31">
        <v>4</v>
      </c>
      <c r="E39" s="31">
        <v>11</v>
      </c>
      <c r="F39" s="31">
        <v>10000</v>
      </c>
      <c r="G39" s="13" t="s">
        <v>80</v>
      </c>
    </row>
    <row r="40" spans="1:7">
      <c r="A40" s="33">
        <v>300</v>
      </c>
      <c r="B40" s="34" t="s">
        <v>83</v>
      </c>
      <c r="C40" s="34"/>
      <c r="D40" s="34">
        <v>5</v>
      </c>
      <c r="E40" s="34">
        <v>5</v>
      </c>
      <c r="F40" s="34">
        <v>12</v>
      </c>
      <c r="G40" s="33" t="s">
        <v>84</v>
      </c>
    </row>
    <row r="41" spans="1:7">
      <c r="A41" s="33">
        <v>301</v>
      </c>
      <c r="B41" s="34" t="s">
        <v>85</v>
      </c>
      <c r="C41" s="34"/>
      <c r="D41" s="34">
        <v>5</v>
      </c>
      <c r="E41" s="34">
        <v>4</v>
      </c>
      <c r="F41" s="34">
        <v>9988</v>
      </c>
      <c r="G41" s="33" t="s">
        <v>86</v>
      </c>
    </row>
    <row r="42" spans="1:7">
      <c r="A42" s="33">
        <v>302</v>
      </c>
      <c r="B42" s="34" t="s">
        <v>87</v>
      </c>
      <c r="C42" s="34"/>
      <c r="D42" s="34">
        <v>6</v>
      </c>
      <c r="E42" s="34">
        <v>4</v>
      </c>
      <c r="F42" s="34">
        <v>10000</v>
      </c>
      <c r="G42" s="33" t="s">
        <v>88</v>
      </c>
    </row>
    <row r="43" spans="1:7">
      <c r="A43" s="33">
        <v>303</v>
      </c>
      <c r="B43" s="14" t="s">
        <v>89</v>
      </c>
      <c r="D43" s="14">
        <v>7</v>
      </c>
      <c r="E43" s="14">
        <v>4</v>
      </c>
      <c r="F43" s="15">
        <v>10000</v>
      </c>
      <c r="G43" s="33" t="s">
        <v>90</v>
      </c>
    </row>
    <row r="44" spans="6:6">
      <c r="F44" s="14"/>
    </row>
    <row r="45" spans="6:6">
      <c r="F45" s="14"/>
    </row>
    <row r="46" spans="6:6">
      <c r="F46" s="14"/>
    </row>
    <row r="47" spans="6:6">
      <c r="F47" s="14"/>
    </row>
    <row r="48" spans="6:6">
      <c r="F48" s="14"/>
    </row>
    <row r="49" spans="6:6">
      <c r="F49" s="14"/>
    </row>
    <row r="50" spans="6:6">
      <c r="F50" s="14"/>
    </row>
  </sheetData>
  <autoFilter xmlns:etc="http://www.wps.cn/officeDocument/2017/etCustomData" ref="A5:H43" etc:filterBottomFollowUsedRange="0">
    <sortState ref="A5:H43">
      <sortCondition ref="A5"/>
    </sortState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workbookViewId="0">
      <selection activeCell="L1" sqref="L1"/>
    </sheetView>
  </sheetViews>
  <sheetFormatPr defaultColWidth="9" defaultRowHeight="13.5"/>
  <cols>
    <col min="1" max="1" width="3" style="1" customWidth="1"/>
    <col min="2" max="2" width="20.125" style="1" customWidth="1"/>
    <col min="3" max="3" width="12.625" style="2" customWidth="1"/>
    <col min="4" max="4" width="3.875" style="3" customWidth="1"/>
    <col min="5" max="5" width="5.875" style="4" customWidth="1"/>
    <col min="6" max="6" width="3.125" style="1" customWidth="1"/>
    <col min="7" max="7" width="9" style="1"/>
    <col min="8" max="8" width="12.625" style="1"/>
    <col min="9" max="9" width="9" style="1"/>
    <col min="10" max="10" width="12.625" style="1"/>
    <col min="11" max="14" width="9" style="1"/>
    <col min="15" max="15" width="12.625" style="1"/>
    <col min="16" max="16384" width="9" style="1"/>
  </cols>
  <sheetData>
    <row r="1" ht="16.5" spans="1:12">
      <c r="A1" s="1">
        <v>1</v>
      </c>
      <c r="B1" s="1" t="s">
        <v>91</v>
      </c>
      <c r="C1" s="5">
        <v>11</v>
      </c>
      <c r="D1" s="1" t="str">
        <f t="shared" ref="D1:D6" si="0">IF(C1="","",",1,")</f>
        <v>,1,</v>
      </c>
      <c r="E1" s="1">
        <f t="shared" ref="E1:E7" si="1">IF(D1="","",ROUND($J$23,0))</f>
        <v>417</v>
      </c>
      <c r="F1" s="1" t="str">
        <f t="shared" ref="F1:F8" si="2">IF(C2="","}]","},")</f>
        <v>},</v>
      </c>
      <c r="H1" s="1" t="str">
        <f>_xlfn.TEXTJOIN(,,B1:F1)</f>
        <v>[{Item,11,1,417},</v>
      </c>
      <c r="K1" s="7" t="s">
        <v>92</v>
      </c>
      <c r="L1" s="1" t="str">
        <f>_xlfn.TEXTJOIN(,,H:H)</f>
        <v>[{Item,11,1,417},{Item,12,1,417},{Item,13,1,417},{Item,14,1,417},{Item,15,1,417},{Item,16,1,417},{Item,11,1,417},{Item,12,1,417},{Item,13,1,417},{Item,14,1,417},{Item,15,1,417},{Item,16,1,417},{Item,11,1,417},{Item,12,1,417},{Item,13,1,417},{Item,14,1,417},{Item,15,1,417},{Item,16,1,417},{Item,11,1,417},{Item,12,1,417},{Item,13,1,417},{Item,14,1,417},{Item,15,1,417},{Item,16,1,417}]</v>
      </c>
    </row>
    <row r="2" ht="16.5" spans="1:8">
      <c r="A2" s="1">
        <f t="shared" ref="A2:A11" si="3">IF(C2="","",A1+1)</f>
        <v>2</v>
      </c>
      <c r="B2" s="1" t="str">
        <f>IF(C2="","","{Item,")</f>
        <v>{Item,</v>
      </c>
      <c r="C2" s="5">
        <v>12</v>
      </c>
      <c r="D2" s="1" t="str">
        <f t="shared" si="0"/>
        <v>,1,</v>
      </c>
      <c r="E2" s="1">
        <f t="shared" si="1"/>
        <v>417</v>
      </c>
      <c r="F2" s="1" t="str">
        <f t="shared" si="2"/>
        <v>},</v>
      </c>
      <c r="H2" s="1" t="str">
        <f>_xlfn.TEXTJOIN(,,B2:F2)</f>
        <v>{Item,12,1,417},</v>
      </c>
    </row>
    <row r="3" ht="16.5" spans="1:8">
      <c r="A3" s="1">
        <f t="shared" si="3"/>
        <v>3</v>
      </c>
      <c r="B3" s="1" t="str">
        <f>IF(C3="","","{Item,")</f>
        <v>{Item,</v>
      </c>
      <c r="C3" s="5">
        <v>13</v>
      </c>
      <c r="D3" s="1" t="str">
        <f t="shared" si="0"/>
        <v>,1,</v>
      </c>
      <c r="E3" s="1">
        <f t="shared" si="1"/>
        <v>417</v>
      </c>
      <c r="F3" s="1" t="str">
        <f t="shared" si="2"/>
        <v>},</v>
      </c>
      <c r="H3" s="1" t="str">
        <f>_xlfn.TEXTJOIN(,,B3:F3)</f>
        <v>{Item,13,1,417},</v>
      </c>
    </row>
    <row r="4" ht="16.5" spans="1:8">
      <c r="A4" s="1">
        <f t="shared" si="3"/>
        <v>4</v>
      </c>
      <c r="B4" s="1" t="str">
        <f>IF(C4="","","{Item,")</f>
        <v>{Item,</v>
      </c>
      <c r="C4" s="5">
        <v>14</v>
      </c>
      <c r="D4" s="1" t="str">
        <f t="shared" si="0"/>
        <v>,1,</v>
      </c>
      <c r="E4" s="1">
        <f t="shared" si="1"/>
        <v>417</v>
      </c>
      <c r="F4" s="1" t="str">
        <f t="shared" si="2"/>
        <v>},</v>
      </c>
      <c r="H4" s="1" t="str">
        <f>_xlfn.TEXTJOIN(,,B4:F4)</f>
        <v>{Item,14,1,417},</v>
      </c>
    </row>
    <row r="5" ht="16.5" spans="1:8">
      <c r="A5" s="1">
        <f t="shared" si="3"/>
        <v>5</v>
      </c>
      <c r="B5" s="1" t="str">
        <f>IF(C5="","","{Item,")</f>
        <v>{Item,</v>
      </c>
      <c r="C5" s="5">
        <v>15</v>
      </c>
      <c r="D5" s="1" t="str">
        <f t="shared" ref="D5:D24" si="4">IF(C5="","",",1,")</f>
        <v>,1,</v>
      </c>
      <c r="E5" s="1">
        <f t="shared" ref="E5:E24" si="5">IF(D5="","",ROUND($J$23,0))</f>
        <v>417</v>
      </c>
      <c r="F5" s="1" t="str">
        <f t="shared" ref="F5:F24" si="6">IF(C6="","}]","},")</f>
        <v>},</v>
      </c>
      <c r="H5" s="1" t="str">
        <f t="shared" ref="H5:H24" si="7">_xlfn.TEXTJOIN(,,B5:F5)</f>
        <v>{Item,15,1,417},</v>
      </c>
    </row>
    <row r="6" ht="16.5" spans="1:8">
      <c r="A6" s="1">
        <f t="shared" si="3"/>
        <v>6</v>
      </c>
      <c r="B6" s="1" t="str">
        <f>IF(C6="","","{Item,")</f>
        <v>{Item,</v>
      </c>
      <c r="C6" s="5">
        <v>16</v>
      </c>
      <c r="D6" s="1" t="str">
        <f t="shared" si="4"/>
        <v>,1,</v>
      </c>
      <c r="E6" s="1">
        <f t="shared" si="5"/>
        <v>417</v>
      </c>
      <c r="F6" s="1" t="str">
        <f t="shared" si="6"/>
        <v>},</v>
      </c>
      <c r="H6" s="1" t="str">
        <f t="shared" si="7"/>
        <v>{Item,16,1,417},</v>
      </c>
    </row>
    <row r="7" ht="16.5" spans="1:8">
      <c r="A7" s="1">
        <f t="shared" ref="A7:A19" si="8">IF(C7="","",A6+1)</f>
        <v>7</v>
      </c>
      <c r="B7" s="1" t="str">
        <f t="shared" ref="B7:B18" si="9">IF(C7="","","{Item,")</f>
        <v>{Item,</v>
      </c>
      <c r="C7" s="5">
        <v>11</v>
      </c>
      <c r="D7" s="1" t="str">
        <f t="shared" si="4"/>
        <v>,1,</v>
      </c>
      <c r="E7" s="1">
        <f t="shared" si="5"/>
        <v>417</v>
      </c>
      <c r="F7" s="1" t="str">
        <f t="shared" si="6"/>
        <v>},</v>
      </c>
      <c r="H7" s="1" t="str">
        <f t="shared" si="7"/>
        <v>{Item,11,1,417},</v>
      </c>
    </row>
    <row r="8" ht="16.5" spans="1:8">
      <c r="A8" s="1">
        <f t="shared" si="8"/>
        <v>8</v>
      </c>
      <c r="B8" s="1" t="str">
        <f t="shared" si="9"/>
        <v>{Item,</v>
      </c>
      <c r="C8" s="5">
        <v>12</v>
      </c>
      <c r="D8" s="1" t="str">
        <f t="shared" si="4"/>
        <v>,1,</v>
      </c>
      <c r="E8" s="1">
        <f t="shared" si="5"/>
        <v>417</v>
      </c>
      <c r="F8" s="1" t="str">
        <f t="shared" si="6"/>
        <v>},</v>
      </c>
      <c r="H8" s="1" t="str">
        <f t="shared" si="7"/>
        <v>{Item,12,1,417},</v>
      </c>
    </row>
    <row r="9" ht="16.5" spans="1:8">
      <c r="A9" s="1">
        <f t="shared" si="8"/>
        <v>9</v>
      </c>
      <c r="B9" s="1" t="str">
        <f t="shared" si="9"/>
        <v>{Item,</v>
      </c>
      <c r="C9" s="5">
        <v>13</v>
      </c>
      <c r="D9" s="1" t="str">
        <f t="shared" si="4"/>
        <v>,1,</v>
      </c>
      <c r="E9" s="1">
        <f t="shared" si="5"/>
        <v>417</v>
      </c>
      <c r="F9" s="1" t="str">
        <f t="shared" si="6"/>
        <v>},</v>
      </c>
      <c r="H9" s="1" t="str">
        <f t="shared" si="7"/>
        <v>{Item,13,1,417},</v>
      </c>
    </row>
    <row r="10" ht="16.5" spans="1:8">
      <c r="A10" s="1">
        <f t="shared" si="8"/>
        <v>10</v>
      </c>
      <c r="B10" s="1" t="str">
        <f t="shared" si="9"/>
        <v>{Item,</v>
      </c>
      <c r="C10" s="5">
        <v>14</v>
      </c>
      <c r="D10" s="1" t="str">
        <f t="shared" si="4"/>
        <v>,1,</v>
      </c>
      <c r="E10" s="1">
        <f t="shared" si="5"/>
        <v>417</v>
      </c>
      <c r="F10" s="1" t="str">
        <f t="shared" si="6"/>
        <v>},</v>
      </c>
      <c r="H10" s="1" t="str">
        <f t="shared" si="7"/>
        <v>{Item,14,1,417},</v>
      </c>
    </row>
    <row r="11" ht="16.5" spans="1:8">
      <c r="A11" s="1">
        <f t="shared" si="8"/>
        <v>11</v>
      </c>
      <c r="B11" s="1" t="str">
        <f t="shared" si="9"/>
        <v>{Item,</v>
      </c>
      <c r="C11" s="5">
        <v>15</v>
      </c>
      <c r="D11" s="1" t="str">
        <f t="shared" si="4"/>
        <v>,1,</v>
      </c>
      <c r="E11" s="1">
        <f t="shared" si="5"/>
        <v>417</v>
      </c>
      <c r="F11" s="1" t="str">
        <f t="shared" si="6"/>
        <v>},</v>
      </c>
      <c r="H11" s="1" t="str">
        <f t="shared" si="7"/>
        <v>{Item,15,1,417},</v>
      </c>
    </row>
    <row r="12" ht="16.5" spans="1:8">
      <c r="A12" s="1">
        <f t="shared" si="8"/>
        <v>12</v>
      </c>
      <c r="B12" s="1" t="str">
        <f t="shared" si="9"/>
        <v>{Item,</v>
      </c>
      <c r="C12" s="5">
        <v>16</v>
      </c>
      <c r="D12" s="1" t="str">
        <f t="shared" si="4"/>
        <v>,1,</v>
      </c>
      <c r="E12" s="1">
        <f t="shared" si="5"/>
        <v>417</v>
      </c>
      <c r="F12" s="1" t="str">
        <f t="shared" si="6"/>
        <v>},</v>
      </c>
      <c r="H12" s="1" t="str">
        <f t="shared" si="7"/>
        <v>{Item,16,1,417},</v>
      </c>
    </row>
    <row r="13" ht="16.5" spans="1:8">
      <c r="A13" s="1">
        <f t="shared" si="8"/>
        <v>13</v>
      </c>
      <c r="B13" s="1" t="str">
        <f t="shared" si="9"/>
        <v>{Item,</v>
      </c>
      <c r="C13" s="5">
        <v>11</v>
      </c>
      <c r="D13" s="1" t="str">
        <f t="shared" si="4"/>
        <v>,1,</v>
      </c>
      <c r="E13" s="1">
        <f t="shared" si="5"/>
        <v>417</v>
      </c>
      <c r="F13" s="1" t="str">
        <f t="shared" si="6"/>
        <v>},</v>
      </c>
      <c r="H13" s="1" t="str">
        <f t="shared" si="7"/>
        <v>{Item,11,1,417},</v>
      </c>
    </row>
    <row r="14" ht="16.5" spans="1:8">
      <c r="A14" s="1">
        <f t="shared" si="8"/>
        <v>14</v>
      </c>
      <c r="B14" s="1" t="str">
        <f t="shared" si="9"/>
        <v>{Item,</v>
      </c>
      <c r="C14" s="5">
        <v>12</v>
      </c>
      <c r="D14" s="1" t="str">
        <f t="shared" si="4"/>
        <v>,1,</v>
      </c>
      <c r="E14" s="1">
        <f t="shared" si="5"/>
        <v>417</v>
      </c>
      <c r="F14" s="1" t="str">
        <f t="shared" si="6"/>
        <v>},</v>
      </c>
      <c r="H14" s="1" t="str">
        <f t="shared" si="7"/>
        <v>{Item,12,1,417},</v>
      </c>
    </row>
    <row r="15" ht="16.5" spans="1:8">
      <c r="A15" s="1">
        <f t="shared" si="8"/>
        <v>15</v>
      </c>
      <c r="B15" s="1" t="str">
        <f t="shared" si="9"/>
        <v>{Item,</v>
      </c>
      <c r="C15" s="5">
        <v>13</v>
      </c>
      <c r="D15" s="1" t="str">
        <f t="shared" si="4"/>
        <v>,1,</v>
      </c>
      <c r="E15" s="1">
        <f t="shared" si="5"/>
        <v>417</v>
      </c>
      <c r="F15" s="1" t="str">
        <f t="shared" si="6"/>
        <v>},</v>
      </c>
      <c r="H15" s="1" t="str">
        <f t="shared" si="7"/>
        <v>{Item,13,1,417},</v>
      </c>
    </row>
    <row r="16" ht="16.5" spans="1:8">
      <c r="A16" s="1">
        <f t="shared" si="8"/>
        <v>16</v>
      </c>
      <c r="B16" s="1" t="str">
        <f t="shared" si="9"/>
        <v>{Item,</v>
      </c>
      <c r="C16" s="5">
        <v>14</v>
      </c>
      <c r="D16" s="1" t="str">
        <f t="shared" si="4"/>
        <v>,1,</v>
      </c>
      <c r="E16" s="1">
        <f t="shared" si="5"/>
        <v>417</v>
      </c>
      <c r="F16" s="1" t="str">
        <f t="shared" si="6"/>
        <v>},</v>
      </c>
      <c r="H16" s="1" t="str">
        <f t="shared" si="7"/>
        <v>{Item,14,1,417},</v>
      </c>
    </row>
    <row r="17" ht="16.5" spans="1:8">
      <c r="A17" s="1">
        <f t="shared" si="8"/>
        <v>17</v>
      </c>
      <c r="B17" s="1" t="str">
        <f t="shared" si="9"/>
        <v>{Item,</v>
      </c>
      <c r="C17" s="5">
        <v>15</v>
      </c>
      <c r="D17" s="1" t="str">
        <f t="shared" si="4"/>
        <v>,1,</v>
      </c>
      <c r="E17" s="1">
        <f t="shared" si="5"/>
        <v>417</v>
      </c>
      <c r="F17" s="1" t="str">
        <f t="shared" si="6"/>
        <v>},</v>
      </c>
      <c r="H17" s="1" t="str">
        <f t="shared" si="7"/>
        <v>{Item,15,1,417},</v>
      </c>
    </row>
    <row r="18" ht="16.5" spans="1:8">
      <c r="A18" s="1">
        <f t="shared" si="8"/>
        <v>18</v>
      </c>
      <c r="B18" s="1" t="str">
        <f t="shared" si="9"/>
        <v>{Item,</v>
      </c>
      <c r="C18" s="5">
        <v>16</v>
      </c>
      <c r="D18" s="1" t="str">
        <f t="shared" si="4"/>
        <v>,1,</v>
      </c>
      <c r="E18" s="1">
        <f t="shared" si="5"/>
        <v>417</v>
      </c>
      <c r="F18" s="1" t="str">
        <f t="shared" si="6"/>
        <v>},</v>
      </c>
      <c r="H18" s="1" t="str">
        <f t="shared" si="7"/>
        <v>{Item,16,1,417},</v>
      </c>
    </row>
    <row r="19" ht="16.5" spans="1:8">
      <c r="A19" s="1">
        <f t="shared" si="8"/>
        <v>19</v>
      </c>
      <c r="B19" s="1" t="str">
        <f t="shared" ref="B3:B34" si="10">IF(C19="","","{Item,")</f>
        <v>{Item,</v>
      </c>
      <c r="C19" s="5">
        <v>11</v>
      </c>
      <c r="D19" s="1" t="str">
        <f t="shared" si="4"/>
        <v>,1,</v>
      </c>
      <c r="E19" s="1">
        <f t="shared" si="5"/>
        <v>417</v>
      </c>
      <c r="F19" s="1" t="str">
        <f t="shared" si="6"/>
        <v>},</v>
      </c>
      <c r="H19" s="1" t="str">
        <f t="shared" si="7"/>
        <v>{Item,11,1,417},</v>
      </c>
    </row>
    <row r="20" ht="16.5" spans="1:8">
      <c r="A20" s="1">
        <f t="shared" ref="A15:A77" si="11">IF(C20="","",A19+1)</f>
        <v>20</v>
      </c>
      <c r="B20" s="1" t="str">
        <f t="shared" si="10"/>
        <v>{Item,</v>
      </c>
      <c r="C20" s="5">
        <v>12</v>
      </c>
      <c r="D20" s="1" t="str">
        <f t="shared" si="4"/>
        <v>,1,</v>
      </c>
      <c r="E20" s="1">
        <f t="shared" si="5"/>
        <v>417</v>
      </c>
      <c r="F20" s="1" t="str">
        <f t="shared" si="6"/>
        <v>},</v>
      </c>
      <c r="H20" s="1" t="str">
        <f t="shared" si="7"/>
        <v>{Item,12,1,417},</v>
      </c>
    </row>
    <row r="21" ht="16.5" spans="1:8">
      <c r="A21" s="1">
        <f t="shared" si="11"/>
        <v>21</v>
      </c>
      <c r="B21" s="1" t="str">
        <f t="shared" si="10"/>
        <v>{Item,</v>
      </c>
      <c r="C21" s="5">
        <v>13</v>
      </c>
      <c r="D21" s="1" t="str">
        <f t="shared" si="4"/>
        <v>,1,</v>
      </c>
      <c r="E21" s="1">
        <f t="shared" si="5"/>
        <v>417</v>
      </c>
      <c r="F21" s="1" t="str">
        <f t="shared" si="6"/>
        <v>},</v>
      </c>
      <c r="H21" s="1" t="str">
        <f t="shared" si="7"/>
        <v>{Item,13,1,417},</v>
      </c>
    </row>
    <row r="22" ht="16.5" spans="1:10">
      <c r="A22" s="1">
        <f t="shared" si="11"/>
        <v>22</v>
      </c>
      <c r="B22" s="1" t="str">
        <f t="shared" si="10"/>
        <v>{Item,</v>
      </c>
      <c r="C22" s="5">
        <v>14</v>
      </c>
      <c r="D22" s="1" t="str">
        <f t="shared" si="4"/>
        <v>,1,</v>
      </c>
      <c r="E22" s="1">
        <f t="shared" si="5"/>
        <v>417</v>
      </c>
      <c r="F22" s="1" t="str">
        <f t="shared" si="6"/>
        <v>},</v>
      </c>
      <c r="H22" s="1" t="str">
        <f t="shared" si="7"/>
        <v>{Item,14,1,417},</v>
      </c>
      <c r="J22" s="7" t="s">
        <v>93</v>
      </c>
    </row>
    <row r="23" ht="16.5" spans="1:10">
      <c r="A23" s="1">
        <f t="shared" si="11"/>
        <v>23</v>
      </c>
      <c r="B23" s="1" t="str">
        <f t="shared" si="10"/>
        <v>{Item,</v>
      </c>
      <c r="C23" s="5">
        <v>15</v>
      </c>
      <c r="D23" s="1" t="str">
        <f t="shared" si="4"/>
        <v>,1,</v>
      </c>
      <c r="E23" s="1">
        <f t="shared" si="5"/>
        <v>417</v>
      </c>
      <c r="F23" s="1" t="str">
        <f t="shared" si="6"/>
        <v>},</v>
      </c>
      <c r="H23" s="1" t="str">
        <f t="shared" si="7"/>
        <v>{Item,15,1,417},</v>
      </c>
      <c r="J23" s="1">
        <f>10000/COUNTA(C:C)</f>
        <v>416.666666666667</v>
      </c>
    </row>
    <row r="24" ht="16.5" spans="1:8">
      <c r="A24" s="1">
        <f t="shared" si="11"/>
        <v>24</v>
      </c>
      <c r="B24" s="1" t="str">
        <f t="shared" si="10"/>
        <v>{Item,</v>
      </c>
      <c r="C24" s="5">
        <v>16</v>
      </c>
      <c r="D24" s="1" t="str">
        <f t="shared" si="4"/>
        <v>,1,</v>
      </c>
      <c r="E24" s="1">
        <f t="shared" si="5"/>
        <v>417</v>
      </c>
      <c r="F24" s="1" t="str">
        <f t="shared" si="6"/>
        <v>}]</v>
      </c>
      <c r="H24" s="1" t="str">
        <f t="shared" si="7"/>
        <v>{Item,16,1,417}]</v>
      </c>
    </row>
    <row r="25" spans="1:5">
      <c r="A25" s="1" t="str">
        <f t="shared" si="11"/>
        <v/>
      </c>
      <c r="B25" s="1" t="str">
        <f t="shared" si="10"/>
        <v/>
      </c>
      <c r="D25" s="1" t="str">
        <f t="shared" ref="D15:D56" si="12">IF(C25="","",",1,")</f>
        <v/>
      </c>
      <c r="E25" s="1" t="str">
        <f t="shared" ref="E15:E39" si="13">IF(D25="","",ROUND($J$23,0))</f>
        <v/>
      </c>
    </row>
    <row r="26" spans="1:5">
      <c r="A26" s="1" t="str">
        <f t="shared" si="11"/>
        <v/>
      </c>
      <c r="B26" s="1" t="str">
        <f t="shared" si="10"/>
        <v/>
      </c>
      <c r="D26" s="1" t="str">
        <f t="shared" si="12"/>
        <v/>
      </c>
      <c r="E26" s="1" t="str">
        <f t="shared" si="13"/>
        <v/>
      </c>
    </row>
    <row r="27" spans="1:5">
      <c r="A27" s="1" t="str">
        <f t="shared" si="11"/>
        <v/>
      </c>
      <c r="B27" s="1" t="str">
        <f t="shared" si="10"/>
        <v/>
      </c>
      <c r="D27" s="1" t="str">
        <f t="shared" si="12"/>
        <v/>
      </c>
      <c r="E27" s="1" t="str">
        <f t="shared" si="13"/>
        <v/>
      </c>
    </row>
    <row r="28" spans="1:5">
      <c r="A28" s="1" t="str">
        <f t="shared" si="11"/>
        <v/>
      </c>
      <c r="B28" s="1" t="str">
        <f t="shared" si="10"/>
        <v/>
      </c>
      <c r="D28" s="1" t="str">
        <f t="shared" si="12"/>
        <v/>
      </c>
      <c r="E28" s="1" t="str">
        <f t="shared" si="13"/>
        <v/>
      </c>
    </row>
    <row r="29" spans="1:5">
      <c r="A29" s="1" t="str">
        <f t="shared" si="11"/>
        <v/>
      </c>
      <c r="B29" s="1" t="str">
        <f t="shared" si="10"/>
        <v/>
      </c>
      <c r="D29" s="1" t="str">
        <f t="shared" si="12"/>
        <v/>
      </c>
      <c r="E29" s="1" t="str">
        <f t="shared" si="13"/>
        <v/>
      </c>
    </row>
    <row r="30" spans="1:5">
      <c r="A30" s="1" t="str">
        <f t="shared" si="11"/>
        <v/>
      </c>
      <c r="B30" s="1" t="str">
        <f t="shared" si="10"/>
        <v/>
      </c>
      <c r="D30" s="1" t="str">
        <f t="shared" si="12"/>
        <v/>
      </c>
      <c r="E30" s="1" t="str">
        <f t="shared" si="13"/>
        <v/>
      </c>
    </row>
    <row r="31" spans="1:5">
      <c r="A31" s="1" t="str">
        <f t="shared" si="11"/>
        <v/>
      </c>
      <c r="B31" s="1" t="str">
        <f t="shared" si="10"/>
        <v/>
      </c>
      <c r="D31" s="1" t="str">
        <f t="shared" si="12"/>
        <v/>
      </c>
      <c r="E31" s="1" t="str">
        <f t="shared" si="13"/>
        <v/>
      </c>
    </row>
    <row r="32" spans="1:5">
      <c r="A32" s="1" t="str">
        <f t="shared" si="11"/>
        <v/>
      </c>
      <c r="B32" s="1" t="str">
        <f t="shared" si="10"/>
        <v/>
      </c>
      <c r="D32" s="1" t="str">
        <f t="shared" si="12"/>
        <v/>
      </c>
      <c r="E32" s="1" t="str">
        <f t="shared" si="13"/>
        <v/>
      </c>
    </row>
    <row r="33" spans="1:5">
      <c r="A33" s="1" t="str">
        <f t="shared" si="11"/>
        <v/>
      </c>
      <c r="B33" s="1" t="str">
        <f t="shared" si="10"/>
        <v/>
      </c>
      <c r="D33" s="1" t="str">
        <f t="shared" si="12"/>
        <v/>
      </c>
      <c r="E33" s="1" t="str">
        <f t="shared" si="13"/>
        <v/>
      </c>
    </row>
    <row r="34" spans="1:5">
      <c r="A34" s="1" t="str">
        <f t="shared" si="11"/>
        <v/>
      </c>
      <c r="B34" s="1" t="str">
        <f t="shared" si="10"/>
        <v/>
      </c>
      <c r="D34" s="1" t="str">
        <f t="shared" si="12"/>
        <v/>
      </c>
      <c r="E34" s="1" t="str">
        <f t="shared" si="13"/>
        <v/>
      </c>
    </row>
    <row r="35" spans="1:5">
      <c r="A35" s="1" t="str">
        <f t="shared" si="11"/>
        <v/>
      </c>
      <c r="B35" s="1" t="str">
        <f t="shared" ref="B35:B66" si="14">IF(C35="","","{Item,")</f>
        <v/>
      </c>
      <c r="D35" s="1" t="str">
        <f t="shared" si="12"/>
        <v/>
      </c>
      <c r="E35" s="1" t="str">
        <f t="shared" si="13"/>
        <v/>
      </c>
    </row>
    <row r="36" spans="1:5">
      <c r="A36" s="1" t="str">
        <f t="shared" si="11"/>
        <v/>
      </c>
      <c r="B36" s="1" t="str">
        <f t="shared" si="14"/>
        <v/>
      </c>
      <c r="D36" s="1" t="str">
        <f t="shared" si="12"/>
        <v/>
      </c>
      <c r="E36" s="1" t="str">
        <f t="shared" si="13"/>
        <v/>
      </c>
    </row>
    <row r="37" spans="1:5">
      <c r="A37" s="1" t="str">
        <f t="shared" si="11"/>
        <v/>
      </c>
      <c r="B37" s="1" t="str">
        <f t="shared" si="14"/>
        <v/>
      </c>
      <c r="D37" s="1" t="str">
        <f t="shared" si="12"/>
        <v/>
      </c>
      <c r="E37" s="1" t="str">
        <f t="shared" si="13"/>
        <v/>
      </c>
    </row>
    <row r="38" spans="1:5">
      <c r="A38" s="1" t="str">
        <f t="shared" si="11"/>
        <v/>
      </c>
      <c r="B38" s="1" t="str">
        <f t="shared" si="14"/>
        <v/>
      </c>
      <c r="D38" s="1" t="str">
        <f t="shared" si="12"/>
        <v/>
      </c>
      <c r="E38" s="1" t="str">
        <f t="shared" si="13"/>
        <v/>
      </c>
    </row>
    <row r="39" spans="1:5">
      <c r="A39" s="1" t="str">
        <f t="shared" si="11"/>
        <v/>
      </c>
      <c r="B39" s="1" t="str">
        <f t="shared" si="14"/>
        <v/>
      </c>
      <c r="D39" s="1" t="str">
        <f t="shared" si="12"/>
        <v/>
      </c>
      <c r="E39" s="1" t="str">
        <f t="shared" si="13"/>
        <v/>
      </c>
    </row>
    <row r="40" spans="1:5">
      <c r="A40" s="1" t="str">
        <f t="shared" si="11"/>
        <v/>
      </c>
      <c r="B40" s="1" t="str">
        <f t="shared" si="14"/>
        <v/>
      </c>
      <c r="D40" s="1" t="str">
        <f t="shared" si="12"/>
        <v/>
      </c>
      <c r="E40" s="1" t="str">
        <f t="shared" ref="E40:E45" si="15">IF(D40="","",ROUND($J$23,0))</f>
        <v/>
      </c>
    </row>
    <row r="41" spans="1:5">
      <c r="A41" s="1" t="str">
        <f t="shared" si="11"/>
        <v/>
      </c>
      <c r="B41" s="1" t="str">
        <f t="shared" si="14"/>
        <v/>
      </c>
      <c r="D41" s="1" t="str">
        <f t="shared" si="12"/>
        <v/>
      </c>
      <c r="E41" s="1" t="str">
        <f t="shared" si="15"/>
        <v/>
      </c>
    </row>
    <row r="42" spans="1:5">
      <c r="A42" s="1" t="str">
        <f t="shared" si="11"/>
        <v/>
      </c>
      <c r="B42" s="1" t="str">
        <f t="shared" si="14"/>
        <v/>
      </c>
      <c r="D42" s="1" t="str">
        <f t="shared" si="12"/>
        <v/>
      </c>
      <c r="E42" s="1" t="str">
        <f t="shared" si="15"/>
        <v/>
      </c>
    </row>
    <row r="43" spans="1:5">
      <c r="A43" s="1" t="str">
        <f t="shared" si="11"/>
        <v/>
      </c>
      <c r="B43" s="1" t="str">
        <f t="shared" si="14"/>
        <v/>
      </c>
      <c r="D43" s="1" t="str">
        <f t="shared" si="12"/>
        <v/>
      </c>
      <c r="E43" s="1" t="str">
        <f t="shared" si="15"/>
        <v/>
      </c>
    </row>
    <row r="44" spans="1:5">
      <c r="A44" s="1" t="str">
        <f t="shared" si="11"/>
        <v/>
      </c>
      <c r="B44" s="1" t="str">
        <f t="shared" si="14"/>
        <v/>
      </c>
      <c r="D44" s="1" t="str">
        <f t="shared" si="12"/>
        <v/>
      </c>
      <c r="E44" s="1" t="str">
        <f t="shared" si="15"/>
        <v/>
      </c>
    </row>
    <row r="45" spans="1:5">
      <c r="A45" s="1" t="str">
        <f t="shared" si="11"/>
        <v/>
      </c>
      <c r="B45" s="1" t="str">
        <f t="shared" si="14"/>
        <v/>
      </c>
      <c r="D45" s="1" t="str">
        <f t="shared" si="12"/>
        <v/>
      </c>
      <c r="E45" s="1" t="str">
        <f t="shared" si="15"/>
        <v/>
      </c>
    </row>
    <row r="46" spans="1:5">
      <c r="A46" s="1" t="str">
        <f t="shared" si="11"/>
        <v/>
      </c>
      <c r="B46" s="1" t="str">
        <f t="shared" si="14"/>
        <v/>
      </c>
      <c r="D46" s="1" t="str">
        <f t="shared" si="12"/>
        <v/>
      </c>
      <c r="E46" s="1" t="str">
        <f t="shared" ref="E46:E77" si="16">IF(D46="","",ROUND($J$23,0))</f>
        <v/>
      </c>
    </row>
    <row r="47" spans="1:5">
      <c r="A47" s="1" t="str">
        <f t="shared" si="11"/>
        <v/>
      </c>
      <c r="B47" s="1" t="str">
        <f t="shared" si="14"/>
        <v/>
      </c>
      <c r="D47" s="1" t="str">
        <f t="shared" si="12"/>
        <v/>
      </c>
      <c r="E47" s="1" t="str">
        <f t="shared" si="16"/>
        <v/>
      </c>
    </row>
    <row r="48" spans="1:5">
      <c r="A48" s="1" t="str">
        <f t="shared" si="11"/>
        <v/>
      </c>
      <c r="B48" s="1" t="str">
        <f t="shared" si="14"/>
        <v/>
      </c>
      <c r="D48" s="1" t="str">
        <f t="shared" si="12"/>
        <v/>
      </c>
      <c r="E48" s="1" t="str">
        <f t="shared" si="16"/>
        <v/>
      </c>
    </row>
    <row r="49" spans="1:5">
      <c r="A49" s="1" t="str">
        <f t="shared" si="11"/>
        <v/>
      </c>
      <c r="B49" s="1" t="str">
        <f t="shared" si="14"/>
        <v/>
      </c>
      <c r="D49" s="1" t="str">
        <f t="shared" si="12"/>
        <v/>
      </c>
      <c r="E49" s="1" t="str">
        <f t="shared" si="16"/>
        <v/>
      </c>
    </row>
    <row r="50" spans="1:5">
      <c r="A50" s="1" t="str">
        <f t="shared" si="11"/>
        <v/>
      </c>
      <c r="B50" s="1" t="str">
        <f t="shared" si="14"/>
        <v/>
      </c>
      <c r="D50" s="1" t="str">
        <f t="shared" si="12"/>
        <v/>
      </c>
      <c r="E50" s="1" t="str">
        <f t="shared" si="16"/>
        <v/>
      </c>
    </row>
    <row r="51" spans="1:5">
      <c r="A51" s="1" t="str">
        <f t="shared" si="11"/>
        <v/>
      </c>
      <c r="B51" s="1" t="str">
        <f t="shared" si="14"/>
        <v/>
      </c>
      <c r="D51" s="1" t="str">
        <f t="shared" si="12"/>
        <v/>
      </c>
      <c r="E51" s="1" t="str">
        <f t="shared" si="16"/>
        <v/>
      </c>
    </row>
    <row r="52" spans="1:5">
      <c r="A52" s="1" t="str">
        <f t="shared" si="11"/>
        <v/>
      </c>
      <c r="B52" s="1" t="str">
        <f t="shared" si="14"/>
        <v/>
      </c>
      <c r="D52" s="1" t="str">
        <f t="shared" si="12"/>
        <v/>
      </c>
      <c r="E52" s="1" t="str">
        <f t="shared" si="16"/>
        <v/>
      </c>
    </row>
    <row r="53" spans="1:5">
      <c r="A53" s="1" t="str">
        <f t="shared" si="11"/>
        <v/>
      </c>
      <c r="B53" s="1" t="str">
        <f t="shared" si="14"/>
        <v/>
      </c>
      <c r="D53" s="1" t="str">
        <f t="shared" si="12"/>
        <v/>
      </c>
      <c r="E53" s="1" t="str">
        <f t="shared" si="16"/>
        <v/>
      </c>
    </row>
    <row r="54" spans="1:5">
      <c r="A54" s="1" t="str">
        <f t="shared" si="11"/>
        <v/>
      </c>
      <c r="B54" s="1" t="str">
        <f t="shared" si="14"/>
        <v/>
      </c>
      <c r="D54" s="1" t="str">
        <f t="shared" si="12"/>
        <v/>
      </c>
      <c r="E54" s="1" t="str">
        <f t="shared" si="16"/>
        <v/>
      </c>
    </row>
    <row r="55" spans="1:5">
      <c r="A55" s="1" t="str">
        <f t="shared" si="11"/>
        <v/>
      </c>
      <c r="B55" s="1" t="str">
        <f t="shared" si="14"/>
        <v/>
      </c>
      <c r="D55" s="1" t="str">
        <f t="shared" si="12"/>
        <v/>
      </c>
      <c r="E55" s="1" t="str">
        <f t="shared" si="16"/>
        <v/>
      </c>
    </row>
    <row r="56" spans="1:5">
      <c r="A56" s="1" t="str">
        <f t="shared" si="11"/>
        <v/>
      </c>
      <c r="B56" s="1" t="str">
        <f t="shared" si="14"/>
        <v/>
      </c>
      <c r="D56" s="1" t="str">
        <f t="shared" si="12"/>
        <v/>
      </c>
      <c r="E56" s="1" t="str">
        <f t="shared" si="16"/>
        <v/>
      </c>
    </row>
    <row r="57" ht="16.5" spans="1:5">
      <c r="A57" s="1" t="str">
        <f t="shared" si="11"/>
        <v/>
      </c>
      <c r="B57" s="1" t="str">
        <f t="shared" si="14"/>
        <v/>
      </c>
      <c r="D57" s="6"/>
      <c r="E57" s="1" t="str">
        <f t="shared" si="16"/>
        <v/>
      </c>
    </row>
    <row r="58" ht="16.5" spans="1:5">
      <c r="A58" s="1" t="str">
        <f t="shared" si="11"/>
        <v/>
      </c>
      <c r="B58" s="1" t="str">
        <f t="shared" si="14"/>
        <v/>
      </c>
      <c r="D58" s="6"/>
      <c r="E58" s="1" t="str">
        <f t="shared" si="16"/>
        <v/>
      </c>
    </row>
    <row r="59" ht="16.5" spans="1:5">
      <c r="A59" s="1" t="str">
        <f t="shared" si="11"/>
        <v/>
      </c>
      <c r="B59" s="1" t="str">
        <f t="shared" si="14"/>
        <v/>
      </c>
      <c r="D59" s="6"/>
      <c r="E59" s="1" t="str">
        <f t="shared" si="16"/>
        <v/>
      </c>
    </row>
    <row r="60" ht="16.5" spans="1:5">
      <c r="A60" s="1" t="str">
        <f t="shared" si="11"/>
        <v/>
      </c>
      <c r="B60" s="1" t="str">
        <f t="shared" si="14"/>
        <v/>
      </c>
      <c r="D60" s="6"/>
      <c r="E60" s="1" t="str">
        <f t="shared" si="16"/>
        <v/>
      </c>
    </row>
    <row r="61" ht="16.5" spans="1:5">
      <c r="A61" s="1" t="str">
        <f t="shared" si="11"/>
        <v/>
      </c>
      <c r="B61" s="1" t="str">
        <f t="shared" si="14"/>
        <v/>
      </c>
      <c r="D61" s="6"/>
      <c r="E61" s="1" t="str">
        <f t="shared" si="16"/>
        <v/>
      </c>
    </row>
    <row r="62" ht="16.5" spans="1:5">
      <c r="A62" s="1" t="str">
        <f t="shared" si="11"/>
        <v/>
      </c>
      <c r="B62" s="1" t="str">
        <f t="shared" si="14"/>
        <v/>
      </c>
      <c r="D62" s="6"/>
      <c r="E62" s="1" t="str">
        <f t="shared" si="16"/>
        <v/>
      </c>
    </row>
    <row r="63" ht="16.5" spans="1:5">
      <c r="A63" s="1" t="str">
        <f t="shared" si="11"/>
        <v/>
      </c>
      <c r="B63" s="1" t="str">
        <f t="shared" si="14"/>
        <v/>
      </c>
      <c r="D63" s="6"/>
      <c r="E63" s="1" t="str">
        <f t="shared" si="16"/>
        <v/>
      </c>
    </row>
    <row r="64" ht="16.5" spans="1:5">
      <c r="A64" s="1" t="str">
        <f t="shared" si="11"/>
        <v/>
      </c>
      <c r="B64" s="1" t="str">
        <f t="shared" si="14"/>
        <v/>
      </c>
      <c r="D64" s="6"/>
      <c r="E64" s="1" t="str">
        <f t="shared" si="16"/>
        <v/>
      </c>
    </row>
    <row r="65" ht="16.5" spans="1:5">
      <c r="A65" s="1" t="str">
        <f t="shared" si="11"/>
        <v/>
      </c>
      <c r="B65" s="1" t="str">
        <f t="shared" si="14"/>
        <v/>
      </c>
      <c r="D65" s="6"/>
      <c r="E65" s="1" t="str">
        <f t="shared" si="16"/>
        <v/>
      </c>
    </row>
    <row r="66" ht="16.5" spans="1:5">
      <c r="A66" s="1" t="str">
        <f t="shared" si="11"/>
        <v/>
      </c>
      <c r="B66" s="1" t="str">
        <f t="shared" si="14"/>
        <v/>
      </c>
      <c r="D66" s="6"/>
      <c r="E66" s="1" t="str">
        <f t="shared" si="16"/>
        <v/>
      </c>
    </row>
    <row r="67" ht="16.5" spans="1:5">
      <c r="A67" s="1" t="str">
        <f t="shared" si="11"/>
        <v/>
      </c>
      <c r="B67" s="1" t="str">
        <f t="shared" ref="B67:B98" si="17">IF(C67="","","{Item,")</f>
        <v/>
      </c>
      <c r="D67" s="6"/>
      <c r="E67" s="1" t="str">
        <f t="shared" si="16"/>
        <v/>
      </c>
    </row>
    <row r="68" ht="16.5" spans="1:5">
      <c r="A68" s="1" t="str">
        <f t="shared" si="11"/>
        <v/>
      </c>
      <c r="B68" s="1" t="str">
        <f t="shared" si="17"/>
        <v/>
      </c>
      <c r="D68" s="6"/>
      <c r="E68" s="1" t="str">
        <f t="shared" si="16"/>
        <v/>
      </c>
    </row>
    <row r="69" ht="16.5" spans="1:5">
      <c r="A69" s="1" t="str">
        <f t="shared" si="11"/>
        <v/>
      </c>
      <c r="B69" s="1" t="str">
        <f t="shared" si="17"/>
        <v/>
      </c>
      <c r="D69" s="6"/>
      <c r="E69" s="1" t="str">
        <f t="shared" si="16"/>
        <v/>
      </c>
    </row>
    <row r="70" ht="16.5" spans="1:5">
      <c r="A70" s="1" t="str">
        <f t="shared" si="11"/>
        <v/>
      </c>
      <c r="B70" s="1" t="str">
        <f t="shared" si="17"/>
        <v/>
      </c>
      <c r="D70" s="6"/>
      <c r="E70" s="1" t="str">
        <f t="shared" si="16"/>
        <v/>
      </c>
    </row>
    <row r="71" ht="16.5" spans="1:5">
      <c r="A71" s="1" t="str">
        <f t="shared" si="11"/>
        <v/>
      </c>
      <c r="B71" s="1" t="str">
        <f t="shared" si="17"/>
        <v/>
      </c>
      <c r="D71" s="6"/>
      <c r="E71" s="1" t="str">
        <f t="shared" si="16"/>
        <v/>
      </c>
    </row>
    <row r="72" ht="16.5" spans="1:5">
      <c r="A72" s="1" t="str">
        <f t="shared" si="11"/>
        <v/>
      </c>
      <c r="B72" s="1" t="str">
        <f t="shared" si="17"/>
        <v/>
      </c>
      <c r="D72" s="6"/>
      <c r="E72" s="1" t="str">
        <f t="shared" si="16"/>
        <v/>
      </c>
    </row>
    <row r="73" ht="16.5" spans="1:5">
      <c r="A73" s="1" t="str">
        <f t="shared" si="11"/>
        <v/>
      </c>
      <c r="B73" s="1" t="str">
        <f t="shared" si="17"/>
        <v/>
      </c>
      <c r="D73" s="6"/>
      <c r="E73" s="1" t="str">
        <f t="shared" si="16"/>
        <v/>
      </c>
    </row>
    <row r="74" ht="16.5" spans="1:5">
      <c r="A74" s="1" t="str">
        <f t="shared" si="11"/>
        <v/>
      </c>
      <c r="B74" s="1" t="str">
        <f t="shared" si="17"/>
        <v/>
      </c>
      <c r="D74" s="6"/>
      <c r="E74" s="1" t="str">
        <f t="shared" si="16"/>
        <v/>
      </c>
    </row>
    <row r="75" ht="16.5" spans="1:5">
      <c r="A75" s="1" t="str">
        <f t="shared" si="11"/>
        <v/>
      </c>
      <c r="B75" s="1" t="str">
        <f t="shared" si="17"/>
        <v/>
      </c>
      <c r="D75" s="6"/>
      <c r="E75" s="1" t="str">
        <f t="shared" si="16"/>
        <v/>
      </c>
    </row>
    <row r="76" ht="16.5" spans="1:5">
      <c r="A76" s="1" t="str">
        <f t="shared" si="11"/>
        <v/>
      </c>
      <c r="B76" s="1" t="str">
        <f t="shared" si="17"/>
        <v/>
      </c>
      <c r="D76" s="6"/>
      <c r="E76" s="1" t="str">
        <f t="shared" si="16"/>
        <v/>
      </c>
    </row>
    <row r="77" ht="16.5" spans="1:5">
      <c r="A77" s="1" t="str">
        <f t="shared" si="11"/>
        <v/>
      </c>
      <c r="B77" s="1" t="str">
        <f t="shared" si="17"/>
        <v/>
      </c>
      <c r="D77" s="6"/>
      <c r="E77" s="1" t="str">
        <f t="shared" si="16"/>
        <v/>
      </c>
    </row>
    <row r="78" ht="16.5" spans="1:5">
      <c r="A78" s="1" t="str">
        <f t="shared" ref="A78:A141" si="18">IF(C78="","",A77+1)</f>
        <v/>
      </c>
      <c r="B78" s="1" t="str">
        <f t="shared" si="17"/>
        <v/>
      </c>
      <c r="D78" s="6"/>
      <c r="E78" s="1" t="str">
        <f t="shared" ref="E78:E109" si="19">IF(D78="","",ROUND($J$23,0))</f>
        <v/>
      </c>
    </row>
    <row r="79" ht="16.5" spans="1:5">
      <c r="A79" s="1" t="str">
        <f t="shared" si="18"/>
        <v/>
      </c>
      <c r="B79" s="1" t="str">
        <f t="shared" si="17"/>
        <v/>
      </c>
      <c r="D79" s="6"/>
      <c r="E79" s="1" t="str">
        <f t="shared" si="19"/>
        <v/>
      </c>
    </row>
    <row r="80" ht="16.5" spans="1:5">
      <c r="A80" s="1" t="str">
        <f t="shared" si="18"/>
        <v/>
      </c>
      <c r="B80" s="1" t="str">
        <f t="shared" si="17"/>
        <v/>
      </c>
      <c r="D80" s="6"/>
      <c r="E80" s="1" t="str">
        <f t="shared" si="19"/>
        <v/>
      </c>
    </row>
    <row r="81" ht="16.5" spans="1:5">
      <c r="A81" s="1" t="str">
        <f t="shared" si="18"/>
        <v/>
      </c>
      <c r="B81" s="1" t="str">
        <f t="shared" si="17"/>
        <v/>
      </c>
      <c r="D81" s="6"/>
      <c r="E81" s="1" t="str">
        <f t="shared" si="19"/>
        <v/>
      </c>
    </row>
    <row r="82" ht="16.5" spans="1:5">
      <c r="A82" s="1" t="str">
        <f t="shared" si="18"/>
        <v/>
      </c>
      <c r="B82" s="1" t="str">
        <f t="shared" si="17"/>
        <v/>
      </c>
      <c r="D82" s="6"/>
      <c r="E82" s="1" t="str">
        <f t="shared" si="19"/>
        <v/>
      </c>
    </row>
    <row r="83" ht="16.5" spans="1:5">
      <c r="A83" s="1" t="str">
        <f t="shared" si="18"/>
        <v/>
      </c>
      <c r="B83" s="1" t="str">
        <f t="shared" si="17"/>
        <v/>
      </c>
      <c r="D83" s="6"/>
      <c r="E83" s="1" t="str">
        <f t="shared" si="19"/>
        <v/>
      </c>
    </row>
    <row r="84" ht="16.5" spans="1:5">
      <c r="A84" s="1" t="str">
        <f t="shared" si="18"/>
        <v/>
      </c>
      <c r="B84" s="1" t="str">
        <f t="shared" si="17"/>
        <v/>
      </c>
      <c r="D84" s="6"/>
      <c r="E84" s="1" t="str">
        <f t="shared" si="19"/>
        <v/>
      </c>
    </row>
    <row r="85" ht="16.5" spans="1:5">
      <c r="A85" s="1" t="str">
        <f t="shared" si="18"/>
        <v/>
      </c>
      <c r="B85" s="1" t="str">
        <f t="shared" si="17"/>
        <v/>
      </c>
      <c r="D85" s="6"/>
      <c r="E85" s="1" t="str">
        <f t="shared" si="19"/>
        <v/>
      </c>
    </row>
    <row r="86" ht="16.5" spans="1:5">
      <c r="A86" s="1" t="str">
        <f t="shared" si="18"/>
        <v/>
      </c>
      <c r="B86" s="1" t="str">
        <f t="shared" si="17"/>
        <v/>
      </c>
      <c r="D86" s="6"/>
      <c r="E86" s="1" t="str">
        <f t="shared" si="19"/>
        <v/>
      </c>
    </row>
    <row r="87" ht="16.5" spans="1:5">
      <c r="A87" s="1" t="str">
        <f t="shared" si="18"/>
        <v/>
      </c>
      <c r="B87" s="1" t="str">
        <f t="shared" si="17"/>
        <v/>
      </c>
      <c r="D87" s="6"/>
      <c r="E87" s="1" t="str">
        <f t="shared" si="19"/>
        <v/>
      </c>
    </row>
    <row r="88" ht="16.5" spans="1:5">
      <c r="A88" s="1" t="str">
        <f t="shared" si="18"/>
        <v/>
      </c>
      <c r="B88" s="1" t="str">
        <f t="shared" si="17"/>
        <v/>
      </c>
      <c r="D88" s="6"/>
      <c r="E88" s="1" t="str">
        <f t="shared" si="19"/>
        <v/>
      </c>
    </row>
    <row r="89" ht="16.5" spans="1:5">
      <c r="A89" s="1" t="str">
        <f t="shared" si="18"/>
        <v/>
      </c>
      <c r="B89" s="1" t="str">
        <f t="shared" si="17"/>
        <v/>
      </c>
      <c r="D89" s="6"/>
      <c r="E89" s="1" t="str">
        <f t="shared" si="19"/>
        <v/>
      </c>
    </row>
    <row r="90" ht="16.5" spans="1:5">
      <c r="A90" s="1" t="str">
        <f t="shared" si="18"/>
        <v/>
      </c>
      <c r="B90" s="1" t="str">
        <f t="shared" si="17"/>
        <v/>
      </c>
      <c r="D90" s="6"/>
      <c r="E90" s="1" t="str">
        <f t="shared" si="19"/>
        <v/>
      </c>
    </row>
    <row r="91" ht="16.5" spans="1:5">
      <c r="A91" s="1" t="str">
        <f t="shared" si="18"/>
        <v/>
      </c>
      <c r="B91" s="1" t="str">
        <f t="shared" si="17"/>
        <v/>
      </c>
      <c r="D91" s="6"/>
      <c r="E91" s="1" t="str">
        <f t="shared" si="19"/>
        <v/>
      </c>
    </row>
    <row r="92" ht="16.5" spans="1:5">
      <c r="A92" s="1" t="str">
        <f t="shared" si="18"/>
        <v/>
      </c>
      <c r="B92" s="1" t="str">
        <f t="shared" si="17"/>
        <v/>
      </c>
      <c r="D92" s="6"/>
      <c r="E92" s="1" t="str">
        <f t="shared" si="19"/>
        <v/>
      </c>
    </row>
    <row r="93" ht="16.5" spans="1:5">
      <c r="A93" s="1" t="str">
        <f t="shared" si="18"/>
        <v/>
      </c>
      <c r="B93" s="1" t="str">
        <f t="shared" si="17"/>
        <v/>
      </c>
      <c r="D93" s="6"/>
      <c r="E93" s="1" t="str">
        <f t="shared" si="19"/>
        <v/>
      </c>
    </row>
    <row r="94" ht="16.5" spans="1:5">
      <c r="A94" s="1" t="str">
        <f t="shared" si="18"/>
        <v/>
      </c>
      <c r="B94" s="1" t="str">
        <f t="shared" si="17"/>
        <v/>
      </c>
      <c r="D94" s="6"/>
      <c r="E94" s="1" t="str">
        <f t="shared" si="19"/>
        <v/>
      </c>
    </row>
    <row r="95" ht="16.5" spans="1:5">
      <c r="A95" s="1" t="str">
        <f t="shared" si="18"/>
        <v/>
      </c>
      <c r="B95" s="1" t="str">
        <f t="shared" si="17"/>
        <v/>
      </c>
      <c r="D95" s="6"/>
      <c r="E95" s="1" t="str">
        <f t="shared" si="19"/>
        <v/>
      </c>
    </row>
    <row r="96" ht="16.5" spans="1:5">
      <c r="A96" s="1" t="str">
        <f t="shared" si="18"/>
        <v/>
      </c>
      <c r="B96" s="1" t="str">
        <f t="shared" si="17"/>
        <v/>
      </c>
      <c r="D96" s="6"/>
      <c r="E96" s="1" t="str">
        <f t="shared" si="19"/>
        <v/>
      </c>
    </row>
    <row r="97" ht="16.5" spans="1:5">
      <c r="A97" s="1" t="str">
        <f t="shared" si="18"/>
        <v/>
      </c>
      <c r="B97" s="1" t="str">
        <f t="shared" si="17"/>
        <v/>
      </c>
      <c r="D97" s="6"/>
      <c r="E97" s="1" t="str">
        <f t="shared" si="19"/>
        <v/>
      </c>
    </row>
    <row r="98" ht="16.5" spans="1:5">
      <c r="A98" s="1" t="str">
        <f t="shared" si="18"/>
        <v/>
      </c>
      <c r="B98" s="1" t="str">
        <f t="shared" si="17"/>
        <v/>
      </c>
      <c r="D98" s="6"/>
      <c r="E98" s="1" t="str">
        <f t="shared" si="19"/>
        <v/>
      </c>
    </row>
    <row r="99" ht="16.5" spans="1:5">
      <c r="A99" s="1" t="str">
        <f t="shared" si="18"/>
        <v/>
      </c>
      <c r="B99" s="1" t="str">
        <f t="shared" ref="B99:B130" si="20">IF(C99="","","{Item,")</f>
        <v/>
      </c>
      <c r="D99" s="6"/>
      <c r="E99" s="1" t="str">
        <f t="shared" si="19"/>
        <v/>
      </c>
    </row>
    <row r="100" ht="16.5" spans="1:5">
      <c r="A100" s="1" t="str">
        <f t="shared" si="18"/>
        <v/>
      </c>
      <c r="B100" s="1" t="str">
        <f t="shared" si="20"/>
        <v/>
      </c>
      <c r="D100" s="6"/>
      <c r="E100" s="1" t="str">
        <f t="shared" si="19"/>
        <v/>
      </c>
    </row>
    <row r="101" ht="16.5" spans="1:5">
      <c r="A101" s="1" t="str">
        <f t="shared" si="18"/>
        <v/>
      </c>
      <c r="B101" s="1" t="str">
        <f t="shared" si="20"/>
        <v/>
      </c>
      <c r="D101" s="6"/>
      <c r="E101" s="1" t="str">
        <f t="shared" si="19"/>
        <v/>
      </c>
    </row>
    <row r="102" ht="16.5" spans="1:5">
      <c r="A102" s="1" t="str">
        <f t="shared" si="18"/>
        <v/>
      </c>
      <c r="B102" s="1" t="str">
        <f t="shared" si="20"/>
        <v/>
      </c>
      <c r="D102" s="6"/>
      <c r="E102" s="1" t="str">
        <f t="shared" si="19"/>
        <v/>
      </c>
    </row>
    <row r="103" ht="16.5" spans="1:5">
      <c r="A103" s="1" t="str">
        <f t="shared" si="18"/>
        <v/>
      </c>
      <c r="B103" s="1" t="str">
        <f t="shared" si="20"/>
        <v/>
      </c>
      <c r="D103" s="6"/>
      <c r="E103" s="1" t="str">
        <f t="shared" si="19"/>
        <v/>
      </c>
    </row>
    <row r="104" ht="16.5" spans="1:5">
      <c r="A104" s="1" t="str">
        <f t="shared" si="18"/>
        <v/>
      </c>
      <c r="B104" s="1" t="str">
        <f t="shared" si="20"/>
        <v/>
      </c>
      <c r="D104" s="6"/>
      <c r="E104" s="1" t="str">
        <f t="shared" si="19"/>
        <v/>
      </c>
    </row>
    <row r="105" ht="16.5" spans="1:5">
      <c r="A105" s="1" t="str">
        <f t="shared" si="18"/>
        <v/>
      </c>
      <c r="B105" s="1" t="str">
        <f t="shared" si="20"/>
        <v/>
      </c>
      <c r="D105" s="6"/>
      <c r="E105" s="1" t="str">
        <f t="shared" si="19"/>
        <v/>
      </c>
    </row>
    <row r="106" ht="16.5" spans="1:5">
      <c r="A106" s="1" t="str">
        <f t="shared" si="18"/>
        <v/>
      </c>
      <c r="B106" s="1" t="str">
        <f t="shared" si="20"/>
        <v/>
      </c>
      <c r="D106" s="6"/>
      <c r="E106" s="1" t="str">
        <f t="shared" si="19"/>
        <v/>
      </c>
    </row>
    <row r="107" ht="16.5" spans="1:5">
      <c r="A107" s="1" t="str">
        <f t="shared" si="18"/>
        <v/>
      </c>
      <c r="B107" s="1" t="str">
        <f t="shared" si="20"/>
        <v/>
      </c>
      <c r="D107" s="6"/>
      <c r="E107" s="1" t="str">
        <f t="shared" si="19"/>
        <v/>
      </c>
    </row>
    <row r="108" ht="16.5" spans="1:5">
      <c r="A108" s="1" t="str">
        <f t="shared" si="18"/>
        <v/>
      </c>
      <c r="B108" s="1" t="str">
        <f t="shared" si="20"/>
        <v/>
      </c>
      <c r="D108" s="6"/>
      <c r="E108" s="1" t="str">
        <f t="shared" si="19"/>
        <v/>
      </c>
    </row>
    <row r="109" ht="16.5" spans="1:5">
      <c r="A109" s="1" t="str">
        <f t="shared" si="18"/>
        <v/>
      </c>
      <c r="B109" s="1" t="str">
        <f t="shared" si="20"/>
        <v/>
      </c>
      <c r="D109" s="6"/>
      <c r="E109" s="1" t="str">
        <f t="shared" si="19"/>
        <v/>
      </c>
    </row>
    <row r="110" ht="16.5" spans="1:5">
      <c r="A110" s="1" t="str">
        <f t="shared" si="18"/>
        <v/>
      </c>
      <c r="B110" s="1" t="str">
        <f t="shared" si="20"/>
        <v/>
      </c>
      <c r="D110" s="6"/>
      <c r="E110" s="1" t="str">
        <f t="shared" ref="E110:E132" si="21">IF(D110="","",ROUND($J$23,0))</f>
        <v/>
      </c>
    </row>
    <row r="111" ht="16.5" spans="1:5">
      <c r="A111" s="1" t="str">
        <f t="shared" si="18"/>
        <v/>
      </c>
      <c r="B111" s="1" t="str">
        <f t="shared" si="20"/>
        <v/>
      </c>
      <c r="D111" s="6"/>
      <c r="E111" s="1" t="str">
        <f t="shared" si="21"/>
        <v/>
      </c>
    </row>
    <row r="112" ht="16.5" spans="1:5">
      <c r="A112" s="1" t="str">
        <f t="shared" si="18"/>
        <v/>
      </c>
      <c r="B112" s="1" t="str">
        <f t="shared" si="20"/>
        <v/>
      </c>
      <c r="D112" s="6"/>
      <c r="E112" s="1" t="str">
        <f t="shared" si="21"/>
        <v/>
      </c>
    </row>
    <row r="113" ht="16.5" spans="1:5">
      <c r="A113" s="1" t="str">
        <f t="shared" si="18"/>
        <v/>
      </c>
      <c r="B113" s="1" t="str">
        <f t="shared" si="20"/>
        <v/>
      </c>
      <c r="D113" s="6"/>
      <c r="E113" s="1" t="str">
        <f t="shared" si="21"/>
        <v/>
      </c>
    </row>
    <row r="114" ht="16.5" spans="1:5">
      <c r="A114" s="1" t="str">
        <f t="shared" si="18"/>
        <v/>
      </c>
      <c r="B114" s="1" t="str">
        <f t="shared" si="20"/>
        <v/>
      </c>
      <c r="D114" s="6"/>
      <c r="E114" s="1" t="str">
        <f t="shared" si="21"/>
        <v/>
      </c>
    </row>
    <row r="115" ht="16.5" spans="1:5">
      <c r="A115" s="1" t="str">
        <f t="shared" si="18"/>
        <v/>
      </c>
      <c r="B115" s="1" t="str">
        <f t="shared" si="20"/>
        <v/>
      </c>
      <c r="D115" s="6"/>
      <c r="E115" s="1" t="str">
        <f t="shared" si="21"/>
        <v/>
      </c>
    </row>
    <row r="116" ht="16.5" spans="1:5">
      <c r="A116" s="1" t="str">
        <f t="shared" si="18"/>
        <v/>
      </c>
      <c r="B116" s="1" t="str">
        <f t="shared" si="20"/>
        <v/>
      </c>
      <c r="D116" s="6"/>
      <c r="E116" s="1" t="str">
        <f t="shared" si="21"/>
        <v/>
      </c>
    </row>
    <row r="117" ht="16.5" spans="1:5">
      <c r="A117" s="1" t="str">
        <f t="shared" si="18"/>
        <v/>
      </c>
      <c r="B117" s="1" t="str">
        <f t="shared" si="20"/>
        <v/>
      </c>
      <c r="D117" s="6"/>
      <c r="E117" s="1" t="str">
        <f t="shared" si="21"/>
        <v/>
      </c>
    </row>
    <row r="118" ht="16.5" spans="1:5">
      <c r="A118" s="1" t="str">
        <f t="shared" si="18"/>
        <v/>
      </c>
      <c r="B118" s="1" t="str">
        <f t="shared" si="20"/>
        <v/>
      </c>
      <c r="D118" s="6"/>
      <c r="E118" s="1" t="str">
        <f t="shared" si="21"/>
        <v/>
      </c>
    </row>
    <row r="119" ht="16.5" spans="1:5">
      <c r="A119" s="1" t="str">
        <f t="shared" si="18"/>
        <v/>
      </c>
      <c r="B119" s="1" t="str">
        <f t="shared" si="20"/>
        <v/>
      </c>
      <c r="D119" s="6"/>
      <c r="E119" s="1" t="str">
        <f t="shared" si="21"/>
        <v/>
      </c>
    </row>
    <row r="120" ht="16.5" spans="1:5">
      <c r="A120" s="1" t="str">
        <f t="shared" si="18"/>
        <v/>
      </c>
      <c r="B120" s="1" t="str">
        <f t="shared" si="20"/>
        <v/>
      </c>
      <c r="D120" s="6"/>
      <c r="E120" s="1" t="str">
        <f t="shared" si="21"/>
        <v/>
      </c>
    </row>
    <row r="121" ht="16.5" spans="1:5">
      <c r="A121" s="1" t="str">
        <f t="shared" si="18"/>
        <v/>
      </c>
      <c r="B121" s="1" t="str">
        <f t="shared" si="20"/>
        <v/>
      </c>
      <c r="D121" s="6"/>
      <c r="E121" s="1" t="str">
        <f t="shared" si="21"/>
        <v/>
      </c>
    </row>
    <row r="122" ht="16.5" spans="1:5">
      <c r="A122" s="1" t="str">
        <f t="shared" si="18"/>
        <v/>
      </c>
      <c r="B122" s="1" t="str">
        <f t="shared" si="20"/>
        <v/>
      </c>
      <c r="D122" s="6"/>
      <c r="E122" s="1" t="str">
        <f t="shared" si="21"/>
        <v/>
      </c>
    </row>
    <row r="123" ht="16.5" spans="1:5">
      <c r="A123" s="1" t="str">
        <f t="shared" si="18"/>
        <v/>
      </c>
      <c r="B123" s="1" t="str">
        <f t="shared" si="20"/>
        <v/>
      </c>
      <c r="D123" s="6"/>
      <c r="E123" s="1" t="str">
        <f t="shared" si="21"/>
        <v/>
      </c>
    </row>
    <row r="124" ht="16.5" spans="1:5">
      <c r="A124" s="1" t="str">
        <f t="shared" si="18"/>
        <v/>
      </c>
      <c r="B124" s="1" t="str">
        <f t="shared" si="20"/>
        <v/>
      </c>
      <c r="D124" s="6"/>
      <c r="E124" s="1" t="str">
        <f t="shared" si="21"/>
        <v/>
      </c>
    </row>
    <row r="125" ht="16.5" spans="1:5">
      <c r="A125" s="1" t="str">
        <f t="shared" si="18"/>
        <v/>
      </c>
      <c r="B125" s="1" t="str">
        <f t="shared" si="20"/>
        <v/>
      </c>
      <c r="D125" s="6"/>
      <c r="E125" s="1" t="str">
        <f t="shared" si="21"/>
        <v/>
      </c>
    </row>
    <row r="126" ht="16.5" spans="1:5">
      <c r="A126" s="1" t="str">
        <f t="shared" si="18"/>
        <v/>
      </c>
      <c r="B126" s="1" t="str">
        <f t="shared" si="20"/>
        <v/>
      </c>
      <c r="D126" s="6"/>
      <c r="E126" s="1" t="str">
        <f t="shared" si="21"/>
        <v/>
      </c>
    </row>
    <row r="127" ht="16.5" spans="1:5">
      <c r="A127" s="1" t="str">
        <f t="shared" si="18"/>
        <v/>
      </c>
      <c r="B127" s="1" t="str">
        <f t="shared" si="20"/>
        <v/>
      </c>
      <c r="D127" s="6"/>
      <c r="E127" s="1" t="str">
        <f t="shared" si="21"/>
        <v/>
      </c>
    </row>
    <row r="128" ht="16.5" spans="1:5">
      <c r="A128" s="1" t="str">
        <f t="shared" si="18"/>
        <v/>
      </c>
      <c r="B128" s="1" t="str">
        <f t="shared" si="20"/>
        <v/>
      </c>
      <c r="D128" s="6"/>
      <c r="E128" s="1" t="str">
        <f t="shared" si="21"/>
        <v/>
      </c>
    </row>
    <row r="129" ht="16.5" spans="1:5">
      <c r="A129" s="1" t="str">
        <f t="shared" si="18"/>
        <v/>
      </c>
      <c r="B129" s="1" t="str">
        <f t="shared" si="20"/>
        <v/>
      </c>
      <c r="D129" s="6"/>
      <c r="E129" s="1" t="str">
        <f t="shared" si="21"/>
        <v/>
      </c>
    </row>
    <row r="130" ht="16.5" spans="1:5">
      <c r="A130" s="1" t="str">
        <f t="shared" si="18"/>
        <v/>
      </c>
      <c r="B130" s="1" t="str">
        <f t="shared" si="20"/>
        <v/>
      </c>
      <c r="D130" s="6"/>
      <c r="E130" s="1" t="str">
        <f t="shared" si="21"/>
        <v/>
      </c>
    </row>
    <row r="131" ht="16.5" spans="1:5">
      <c r="A131" s="1" t="str">
        <f t="shared" si="18"/>
        <v/>
      </c>
      <c r="B131" s="1" t="str">
        <f t="shared" ref="B131:B148" si="22">IF(C131="","","{Item,")</f>
        <v/>
      </c>
      <c r="D131" s="6"/>
      <c r="E131" s="1" t="str">
        <f t="shared" si="21"/>
        <v/>
      </c>
    </row>
    <row r="132" ht="16.5" spans="1:5">
      <c r="A132" s="1" t="str">
        <f t="shared" si="18"/>
        <v/>
      </c>
      <c r="B132" s="1" t="str">
        <f t="shared" si="22"/>
        <v/>
      </c>
      <c r="D132" s="6"/>
      <c r="E132" s="1" t="str">
        <f t="shared" si="21"/>
        <v/>
      </c>
    </row>
    <row r="133" ht="16.5" spans="1:4">
      <c r="A133" s="1" t="str">
        <f t="shared" si="18"/>
        <v/>
      </c>
      <c r="B133" s="1" t="str">
        <f t="shared" si="22"/>
        <v/>
      </c>
      <c r="D133" s="6"/>
    </row>
    <row r="134" ht="16.5" spans="1:4">
      <c r="A134" s="1" t="str">
        <f t="shared" si="18"/>
        <v/>
      </c>
      <c r="B134" s="1" t="str">
        <f t="shared" si="22"/>
        <v/>
      </c>
      <c r="D134" s="6"/>
    </row>
    <row r="135" ht="16.5" spans="1:4">
      <c r="A135" s="1" t="str">
        <f t="shared" si="18"/>
        <v/>
      </c>
      <c r="B135" s="1" t="str">
        <f t="shared" si="22"/>
        <v/>
      </c>
      <c r="D135" s="6"/>
    </row>
    <row r="136" ht="16.5" spans="1:4">
      <c r="A136" s="1" t="str">
        <f t="shared" si="18"/>
        <v/>
      </c>
      <c r="B136" s="1" t="str">
        <f t="shared" si="22"/>
        <v/>
      </c>
      <c r="D136" s="6"/>
    </row>
    <row r="137" ht="16.5" spans="1:4">
      <c r="A137" s="1" t="str">
        <f t="shared" si="18"/>
        <v/>
      </c>
      <c r="B137" s="1" t="str">
        <f t="shared" si="22"/>
        <v/>
      </c>
      <c r="D137" s="6"/>
    </row>
    <row r="138" ht="16.5" spans="1:4">
      <c r="A138" s="1" t="str">
        <f t="shared" si="18"/>
        <v/>
      </c>
      <c r="B138" s="1" t="str">
        <f t="shared" si="22"/>
        <v/>
      </c>
      <c r="D138" s="6"/>
    </row>
    <row r="139" ht="16.5" spans="1:4">
      <c r="A139" s="1" t="str">
        <f t="shared" si="18"/>
        <v/>
      </c>
      <c r="B139" s="1" t="str">
        <f t="shared" si="22"/>
        <v/>
      </c>
      <c r="D139" s="6"/>
    </row>
    <row r="140" ht="16.5" spans="1:4">
      <c r="A140" s="1" t="str">
        <f t="shared" si="18"/>
        <v/>
      </c>
      <c r="B140" s="1" t="str">
        <f t="shared" si="22"/>
        <v/>
      </c>
      <c r="D140" s="6"/>
    </row>
    <row r="141" ht="16.5" spans="1:4">
      <c r="A141" s="1" t="str">
        <f t="shared" si="18"/>
        <v/>
      </c>
      <c r="B141" s="1" t="str">
        <f t="shared" si="22"/>
        <v/>
      </c>
      <c r="D141" s="6"/>
    </row>
    <row r="142" ht="16.5" spans="1:4">
      <c r="A142" s="1" t="str">
        <f t="shared" ref="A142:A205" si="23">IF(C142="","",A141+1)</f>
        <v/>
      </c>
      <c r="B142" s="1" t="str">
        <f t="shared" si="22"/>
        <v/>
      </c>
      <c r="D142" s="6"/>
    </row>
    <row r="143" ht="16.5" spans="1:4">
      <c r="A143" s="1" t="str">
        <f t="shared" si="23"/>
        <v/>
      </c>
      <c r="B143" s="1" t="str">
        <f t="shared" si="22"/>
        <v/>
      </c>
      <c r="D143" s="6"/>
    </row>
    <row r="144" ht="16.5" spans="1:4">
      <c r="A144" s="1" t="str">
        <f t="shared" si="23"/>
        <v/>
      </c>
      <c r="B144" s="1" t="str">
        <f t="shared" si="22"/>
        <v/>
      </c>
      <c r="D144" s="6"/>
    </row>
    <row r="145" ht="16.5" spans="1:4">
      <c r="A145" s="1" t="str">
        <f t="shared" si="23"/>
        <v/>
      </c>
      <c r="B145" s="1" t="str">
        <f t="shared" si="22"/>
        <v/>
      </c>
      <c r="D145" s="6"/>
    </row>
    <row r="146" ht="16.5" spans="1:4">
      <c r="A146" s="1" t="str">
        <f t="shared" si="23"/>
        <v/>
      </c>
      <c r="B146" s="1" t="str">
        <f t="shared" si="22"/>
        <v/>
      </c>
      <c r="D146" s="6"/>
    </row>
    <row r="147" ht="16.5" spans="1:4">
      <c r="A147" s="1" t="str">
        <f t="shared" si="23"/>
        <v/>
      </c>
      <c r="B147" s="1" t="str">
        <f t="shared" si="22"/>
        <v/>
      </c>
      <c r="D147" s="6"/>
    </row>
    <row r="148" ht="16.5" spans="1:4">
      <c r="A148" s="1" t="str">
        <f t="shared" si="23"/>
        <v/>
      </c>
      <c r="B148" s="1" t="str">
        <f t="shared" si="22"/>
        <v/>
      </c>
      <c r="D148" s="6"/>
    </row>
    <row r="149" ht="16.5" spans="1:4">
      <c r="A149" s="1" t="str">
        <f t="shared" si="23"/>
        <v/>
      </c>
      <c r="D149" s="6"/>
    </row>
    <row r="150" ht="16.5" spans="1:4">
      <c r="A150" s="1" t="str">
        <f t="shared" si="23"/>
        <v/>
      </c>
      <c r="D150" s="6"/>
    </row>
    <row r="151" ht="16.5" spans="1:4">
      <c r="A151" s="1" t="str">
        <f t="shared" si="23"/>
        <v/>
      </c>
      <c r="D151" s="6"/>
    </row>
    <row r="152" ht="16.5" spans="1:4">
      <c r="A152" s="1" t="str">
        <f t="shared" si="23"/>
        <v/>
      </c>
      <c r="D152" s="6"/>
    </row>
    <row r="153" ht="16.5" spans="1:4">
      <c r="A153" s="1" t="str">
        <f t="shared" si="23"/>
        <v/>
      </c>
      <c r="D153" s="6"/>
    </row>
    <row r="154" ht="16.5" spans="1:4">
      <c r="A154" s="1" t="str">
        <f t="shared" si="23"/>
        <v/>
      </c>
      <c r="D154" s="6"/>
    </row>
    <row r="155" ht="16.5" spans="1:4">
      <c r="A155" s="1" t="str">
        <f t="shared" si="23"/>
        <v/>
      </c>
      <c r="D155" s="6"/>
    </row>
    <row r="156" ht="16.5" spans="1:4">
      <c r="A156" s="1" t="str">
        <f t="shared" si="23"/>
        <v/>
      </c>
      <c r="D156" s="6"/>
    </row>
    <row r="157" ht="16.5" spans="1:4">
      <c r="A157" s="1" t="str">
        <f t="shared" si="23"/>
        <v/>
      </c>
      <c r="D157" s="6"/>
    </row>
    <row r="158" ht="16.5" spans="1:4">
      <c r="A158" s="1" t="str">
        <f t="shared" si="23"/>
        <v/>
      </c>
      <c r="D158" s="6"/>
    </row>
    <row r="159" ht="16.5" spans="1:4">
      <c r="A159" s="1" t="str">
        <f t="shared" si="23"/>
        <v/>
      </c>
      <c r="D159" s="6"/>
    </row>
    <row r="160" ht="16.5" spans="1:4">
      <c r="A160" s="1" t="str">
        <f t="shared" si="23"/>
        <v/>
      </c>
      <c r="D160" s="6"/>
    </row>
    <row r="161" ht="16.5" spans="1:4">
      <c r="A161" s="1" t="str">
        <f t="shared" si="23"/>
        <v/>
      </c>
      <c r="D161" s="6"/>
    </row>
    <row r="162" ht="16.5" spans="1:4">
      <c r="A162" s="1" t="str">
        <f t="shared" si="23"/>
        <v/>
      </c>
      <c r="D162" s="6"/>
    </row>
    <row r="163" ht="16.5" spans="1:4">
      <c r="A163" s="1" t="str">
        <f t="shared" si="23"/>
        <v/>
      </c>
      <c r="D163" s="6"/>
    </row>
    <row r="164" ht="16.5" spans="1:4">
      <c r="A164" s="1" t="str">
        <f t="shared" si="23"/>
        <v/>
      </c>
      <c r="D164" s="6"/>
    </row>
    <row r="165" ht="16.5" spans="1:4">
      <c r="A165" s="1" t="str">
        <f t="shared" si="23"/>
        <v/>
      </c>
      <c r="D165" s="6"/>
    </row>
    <row r="166" ht="16.5" spans="1:4">
      <c r="A166" s="1" t="str">
        <f t="shared" si="23"/>
        <v/>
      </c>
      <c r="D166" s="6"/>
    </row>
    <row r="167" ht="16.5" spans="1:4">
      <c r="A167" s="1" t="str">
        <f t="shared" si="23"/>
        <v/>
      </c>
      <c r="D167" s="6"/>
    </row>
    <row r="168" ht="16.5" spans="1:4">
      <c r="A168" s="1" t="str">
        <f t="shared" si="23"/>
        <v/>
      </c>
      <c r="D168" s="6"/>
    </row>
    <row r="169" ht="16.5" spans="1:4">
      <c r="A169" s="1" t="str">
        <f t="shared" si="23"/>
        <v/>
      </c>
      <c r="D169" s="6"/>
    </row>
    <row r="170" ht="16.5" spans="1:4">
      <c r="A170" s="1" t="str">
        <f t="shared" si="23"/>
        <v/>
      </c>
      <c r="D170" s="6"/>
    </row>
    <row r="171" ht="16.5" spans="1:4">
      <c r="A171" s="1" t="str">
        <f t="shared" si="23"/>
        <v/>
      </c>
      <c r="D171" s="6"/>
    </row>
    <row r="172" ht="16.5" spans="1:4">
      <c r="A172" s="1" t="str">
        <f t="shared" si="23"/>
        <v/>
      </c>
      <c r="D172" s="6"/>
    </row>
    <row r="173" ht="16.5" spans="1:4">
      <c r="A173" s="1" t="str">
        <f t="shared" si="23"/>
        <v/>
      </c>
      <c r="D173" s="6"/>
    </row>
    <row r="174" ht="16.5" spans="1:4">
      <c r="A174" s="1" t="str">
        <f t="shared" si="23"/>
        <v/>
      </c>
      <c r="D174" s="6"/>
    </row>
    <row r="175" ht="16.5" spans="1:4">
      <c r="A175" s="1" t="str">
        <f t="shared" si="23"/>
        <v/>
      </c>
      <c r="D175" s="6"/>
    </row>
    <row r="176" ht="16.5" spans="1:4">
      <c r="A176" s="1" t="str">
        <f t="shared" si="23"/>
        <v/>
      </c>
      <c r="D176" s="6"/>
    </row>
    <row r="177" ht="16.5" spans="1:4">
      <c r="A177" s="1" t="str">
        <f t="shared" si="23"/>
        <v/>
      </c>
      <c r="D177" s="6"/>
    </row>
    <row r="178" ht="16.5" spans="1:4">
      <c r="A178" s="1" t="str">
        <f t="shared" si="23"/>
        <v/>
      </c>
      <c r="D178" s="6"/>
    </row>
    <row r="179" ht="16.5" spans="1:4">
      <c r="A179" s="1" t="str">
        <f t="shared" si="23"/>
        <v/>
      </c>
      <c r="D179" s="6"/>
    </row>
    <row r="180" ht="16.5" spans="1:4">
      <c r="A180" s="1" t="str">
        <f t="shared" si="23"/>
        <v/>
      </c>
      <c r="D180" s="6"/>
    </row>
    <row r="181" ht="16.5" spans="1:4">
      <c r="A181" s="1" t="str">
        <f t="shared" si="23"/>
        <v/>
      </c>
      <c r="D181" s="6"/>
    </row>
    <row r="182" ht="16.5" spans="1:4">
      <c r="A182" s="1" t="str">
        <f t="shared" si="23"/>
        <v/>
      </c>
      <c r="D182" s="6"/>
    </row>
    <row r="183" ht="16.5" spans="1:4">
      <c r="A183" s="1" t="str">
        <f t="shared" si="23"/>
        <v/>
      </c>
      <c r="D183" s="6"/>
    </row>
    <row r="184" ht="16.5" spans="1:4">
      <c r="A184" s="1" t="str">
        <f t="shared" si="23"/>
        <v/>
      </c>
      <c r="D184" s="6"/>
    </row>
    <row r="185" ht="16.5" spans="1:4">
      <c r="A185" s="1" t="str">
        <f t="shared" si="23"/>
        <v/>
      </c>
      <c r="D185" s="6"/>
    </row>
    <row r="186" ht="16.5" spans="1:4">
      <c r="A186" s="1" t="str">
        <f t="shared" si="23"/>
        <v/>
      </c>
      <c r="D186" s="6"/>
    </row>
    <row r="187" ht="16.5" spans="1:4">
      <c r="A187" s="1" t="str">
        <f t="shared" si="23"/>
        <v/>
      </c>
      <c r="D187" s="6"/>
    </row>
    <row r="188" ht="16.5" spans="1:4">
      <c r="A188" s="1" t="str">
        <f t="shared" si="23"/>
        <v/>
      </c>
      <c r="D188" s="6"/>
    </row>
    <row r="189" ht="16.5" spans="1:4">
      <c r="A189" s="1" t="str">
        <f t="shared" si="23"/>
        <v/>
      </c>
      <c r="D189" s="6"/>
    </row>
    <row r="190" ht="16.5" spans="1:4">
      <c r="A190" s="1" t="str">
        <f t="shared" si="23"/>
        <v/>
      </c>
      <c r="D190" s="6"/>
    </row>
    <row r="191" ht="16.5" spans="1:4">
      <c r="A191" s="1" t="str">
        <f t="shared" si="23"/>
        <v/>
      </c>
      <c r="D191" s="6"/>
    </row>
    <row r="192" ht="16.5" spans="1:4">
      <c r="A192" s="1" t="str">
        <f t="shared" si="23"/>
        <v/>
      </c>
      <c r="D192" s="6"/>
    </row>
    <row r="193" ht="16.5" spans="1:4">
      <c r="A193" s="1" t="str">
        <f t="shared" si="23"/>
        <v/>
      </c>
      <c r="D193" s="6"/>
    </row>
    <row r="194" ht="16.5" spans="1:4">
      <c r="A194" s="1" t="str">
        <f t="shared" si="23"/>
        <v/>
      </c>
      <c r="D194" s="6"/>
    </row>
    <row r="195" ht="16.5" spans="1:4">
      <c r="A195" s="1" t="str">
        <f t="shared" si="23"/>
        <v/>
      </c>
      <c r="D195" s="6"/>
    </row>
    <row r="196" ht="16.5" spans="1:4">
      <c r="A196" s="1" t="str">
        <f t="shared" si="23"/>
        <v/>
      </c>
      <c r="D196" s="6"/>
    </row>
    <row r="197" ht="16.5" spans="1:4">
      <c r="A197" s="1" t="str">
        <f t="shared" si="23"/>
        <v/>
      </c>
      <c r="D197" s="6"/>
    </row>
    <row r="198" ht="16.5" spans="1:4">
      <c r="A198" s="1" t="str">
        <f t="shared" si="23"/>
        <v/>
      </c>
      <c r="D198" s="6"/>
    </row>
    <row r="199" ht="16.5" spans="1:4">
      <c r="A199" s="1" t="str">
        <f t="shared" si="23"/>
        <v/>
      </c>
      <c r="D199" s="6"/>
    </row>
    <row r="200" ht="16.5" spans="1:4">
      <c r="A200" s="1" t="str">
        <f t="shared" si="23"/>
        <v/>
      </c>
      <c r="D200" s="6"/>
    </row>
    <row r="201" ht="16.5" spans="1:4">
      <c r="A201" s="1" t="str">
        <f t="shared" si="23"/>
        <v/>
      </c>
      <c r="D201" s="6"/>
    </row>
    <row r="202" ht="16.5" spans="1:4">
      <c r="A202" s="1" t="str">
        <f t="shared" si="23"/>
        <v/>
      </c>
      <c r="D202" s="6"/>
    </row>
    <row r="203" ht="16.5" spans="1:4">
      <c r="A203" s="1" t="str">
        <f t="shared" si="23"/>
        <v/>
      </c>
      <c r="D203" s="6"/>
    </row>
    <row r="204" ht="16.5" spans="1:4">
      <c r="A204" s="1" t="str">
        <f t="shared" si="23"/>
        <v/>
      </c>
      <c r="D204" s="6"/>
    </row>
    <row r="205" ht="16.5" spans="1:4">
      <c r="A205" s="1" t="str">
        <f t="shared" si="23"/>
        <v/>
      </c>
      <c r="D205" s="6"/>
    </row>
    <row r="206" ht="16.5" spans="1:4">
      <c r="A206" s="1" t="str">
        <f t="shared" ref="A206:A217" si="24">IF(C206="","",A205+1)</f>
        <v/>
      </c>
      <c r="D206" s="6"/>
    </row>
    <row r="207" ht="16.5" spans="1:4">
      <c r="A207" s="1" t="str">
        <f t="shared" si="24"/>
        <v/>
      </c>
      <c r="D207" s="6"/>
    </row>
    <row r="208" ht="16.5" spans="1:4">
      <c r="A208" s="1" t="str">
        <f t="shared" si="24"/>
        <v/>
      </c>
      <c r="D208" s="6"/>
    </row>
    <row r="209" ht="16.5" spans="1:4">
      <c r="A209" s="1" t="str">
        <f t="shared" si="24"/>
        <v/>
      </c>
      <c r="D209" s="6"/>
    </row>
    <row r="210" ht="16.5" spans="1:4">
      <c r="A210" s="1" t="str">
        <f t="shared" si="24"/>
        <v/>
      </c>
      <c r="D210" s="6"/>
    </row>
    <row r="211" ht="16.5" spans="1:4">
      <c r="A211" s="1" t="str">
        <f t="shared" si="24"/>
        <v/>
      </c>
      <c r="D211" s="6"/>
    </row>
    <row r="212" ht="16.5" spans="1:4">
      <c r="A212" s="1" t="str">
        <f t="shared" si="24"/>
        <v/>
      </c>
      <c r="D212" s="6"/>
    </row>
    <row r="213" ht="16.5" spans="1:4">
      <c r="A213" s="1" t="str">
        <f t="shared" si="24"/>
        <v/>
      </c>
      <c r="D213" s="6"/>
    </row>
    <row r="214" ht="16.5" spans="1:4">
      <c r="A214" s="1" t="str">
        <f t="shared" si="24"/>
        <v/>
      </c>
      <c r="D214" s="6"/>
    </row>
    <row r="215" ht="16.5" spans="1:4">
      <c r="A215" s="1" t="str">
        <f t="shared" si="24"/>
        <v/>
      </c>
      <c r="D215" s="6"/>
    </row>
    <row r="216" ht="16.5" spans="1:4">
      <c r="A216" s="1" t="str">
        <f t="shared" si="24"/>
        <v/>
      </c>
      <c r="D216" s="6"/>
    </row>
    <row r="217" ht="16.5" spans="1:4">
      <c r="A217" s="1" t="str">
        <f t="shared" si="24"/>
        <v/>
      </c>
      <c r="D21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XI</cp:lastModifiedBy>
  <dcterms:created xsi:type="dcterms:W3CDTF">2019-05-31T10:57:00Z</dcterms:created>
  <dcterms:modified xsi:type="dcterms:W3CDTF">2024-10-15T08:08:51Z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