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925"/>
  </bookViews>
  <sheets>
    <sheet name="Sheet1" sheetId="1" r:id="rId1"/>
    <sheet name="Sheet5" sheetId="5" r:id="rId2"/>
    <sheet name="Sheet6" sheetId="6" r:id="rId3"/>
    <sheet name="Sheet4" sheetId="4" state="hidden" r:id="rId4"/>
    <sheet name="Sheet3" sheetId="3" state="hidden" r:id="rId5"/>
    <sheet name="Sheet2" sheetId="2" state="hidden" r:id="rId6"/>
  </sheets>
  <externalReferences>
    <externalReference r:id="rId7"/>
    <externalReference r:id="rId8"/>
    <externalReference r:id="rId9"/>
  </externalReferences>
  <definedNames>
    <definedName name="_xlnm._FilterDatabase" localSheetId="0" hidden="1">Sheet1!$A$5:$J$50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droidhang</author>
  </authors>
  <commentList>
    <comment ref="J1" authorId="0">
      <text>
        <r>
          <rPr>
            <b/>
            <sz val="9"/>
            <rFont val="宋体"/>
            <charset val="134"/>
          </rPr>
          <t>droidhang:</t>
        </r>
        <r>
          <rPr>
            <sz val="9"/>
            <rFont val="宋体"/>
            <charset val="134"/>
          </rPr>
          <t xml:space="preserve">
频率-怪物每多久出现
数量-怪物每次刷几只
重复出现-怪物是否重复出现or只出现1次 0-只出现1次 1-重复出现
怪物id-调用怪物属性表
刷怪方式-调用怪物进场表id</t>
        </r>
      </text>
    </comment>
  </commentList>
</comments>
</file>

<file path=xl/sharedStrings.xml><?xml version="1.0" encoding="utf-8"?>
<sst xmlns="http://schemas.openxmlformats.org/spreadsheetml/2006/main" count="5476" uniqueCount="140">
  <si>
    <t>id【KEY】</t>
  </si>
  <si>
    <t>注释字段</t>
  </si>
  <si>
    <t>下一节点id</t>
  </si>
  <si>
    <t>所属波次</t>
  </si>
  <si>
    <t>刷怪时间s</t>
  </si>
  <si>
    <t>持续刷怪时间</t>
  </si>
  <si>
    <t xml:space="preserve">事件0战斗开始 1BOSS 2敌群 </t>
  </si>
  <si>
    <t>波次生命系数</t>
  </si>
  <si>
    <t>波次攻击系数</t>
  </si>
  <si>
    <t>刷怪（频率，数量，重复出现，怪物形象id，刷怪方式）</t>
  </si>
  <si>
    <t>both</t>
  </si>
  <si>
    <t>client</t>
  </si>
  <si>
    <t>id</t>
  </si>
  <si>
    <t>string</t>
  </si>
  <si>
    <t>nextId</t>
  </si>
  <si>
    <t>nowWave</t>
  </si>
  <si>
    <t>time</t>
  </si>
  <si>
    <t>gringTime</t>
  </si>
  <si>
    <t>incident</t>
  </si>
  <si>
    <t>hpCoefficient</t>
  </si>
  <si>
    <t>atkCoefficient</t>
  </si>
  <si>
    <t>summon</t>
  </si>
  <si>
    <t>int</t>
  </si>
  <si>
    <t>[Grinding]</t>
  </si>
  <si>
    <t>index</t>
  </si>
  <si>
    <t>每日挑战</t>
  </si>
  <si>
    <t>[{1000,1,1,-1,-1}]</t>
  </si>
  <si>
    <t>[{1000,1,1,-2,-1}]</t>
  </si>
  <si>
    <t>[]</t>
  </si>
  <si>
    <t>[{1000,1,0,-4,-1}]</t>
  </si>
  <si>
    <t>[{1000,1,1,-3,-1}]</t>
  </si>
  <si>
    <t>[{1000,1,0,-5,-1}]</t>
  </si>
  <si>
    <t>关卡14</t>
  </si>
  <si>
    <t>[{1000</t>
  </si>
  <si>
    <t>101}]</t>
  </si>
  <si>
    <t/>
  </si>
  <si>
    <t>41}]</t>
  </si>
  <si>
    <t>401}]</t>
  </si>
  <si>
    <t>关卡15</t>
  </si>
  <si>
    <t>关卡16</t>
  </si>
  <si>
    <t>关卡17</t>
  </si>
  <si>
    <t>关卡18</t>
  </si>
  <si>
    <t>关卡19</t>
  </si>
  <si>
    <t>关卡20</t>
  </si>
  <si>
    <t>关卡21</t>
  </si>
  <si>
    <t>42}]</t>
  </si>
  <si>
    <t>关卡22</t>
  </si>
  <si>
    <t>关卡23</t>
  </si>
  <si>
    <t>关卡24</t>
  </si>
  <si>
    <t>关卡25</t>
  </si>
  <si>
    <t>关卡26</t>
  </si>
  <si>
    <t>关卡27</t>
  </si>
  <si>
    <t>关卡28</t>
  </si>
  <si>
    <t>关卡29</t>
  </si>
  <si>
    <t>2</t>
  </si>
  <si>
    <t>关卡30</t>
  </si>
  <si>
    <t>关卡31</t>
  </si>
  <si>
    <t>关卡32</t>
  </si>
  <si>
    <t>关卡33</t>
  </si>
  <si>
    <t>关卡34</t>
  </si>
  <si>
    <t>关卡35</t>
  </si>
  <si>
    <t>关卡36</t>
  </si>
  <si>
    <t>关卡37</t>
  </si>
  <si>
    <t>关卡38</t>
  </si>
  <si>
    <t>关卡39</t>
  </si>
  <si>
    <t>关卡40</t>
  </si>
  <si>
    <t>关卡41</t>
  </si>
  <si>
    <t>关卡42</t>
  </si>
  <si>
    <t>关卡43</t>
  </si>
  <si>
    <t>关卡44</t>
  </si>
  <si>
    <t>关卡45</t>
  </si>
  <si>
    <t>时间</t>
  </si>
  <si>
    <t>数量</t>
  </si>
  <si>
    <t>重复出现</t>
  </si>
  <si>
    <t>怪物id</t>
  </si>
  <si>
    <t>出现方式</t>
  </si>
  <si>
    <t>{</t>
  </si>
  <si>
    <t>}</t>
  </si>
  <si>
    <t>关卡1</t>
  </si>
  <si>
    <t>关卡2</t>
  </si>
  <si>
    <t>关卡3</t>
  </si>
  <si>
    <t>关卡4</t>
  </si>
  <si>
    <t>关卡5</t>
  </si>
  <si>
    <t>关卡6</t>
  </si>
  <si>
    <t>关卡7</t>
  </si>
  <si>
    <t>关卡8</t>
  </si>
  <si>
    <t>关卡9</t>
  </si>
  <si>
    <t>关卡10</t>
  </si>
  <si>
    <t>关卡11</t>
  </si>
  <si>
    <t>关卡12</t>
  </si>
  <si>
    <t>关卡13</t>
  </si>
  <si>
    <t>[{5000</t>
  </si>
  <si>
    <t>53}</t>
  </si>
  <si>
    <t>{5000</t>
  </si>
  <si>
    <t>55}</t>
  </si>
  <si>
    <t>60}</t>
  </si>
  <si>
    <t>71}</t>
  </si>
  <si>
    <t>76}]</t>
  </si>
  <si>
    <t>51}</t>
  </si>
  <si>
    <t>75}</t>
  </si>
  <si>
    <t>73}</t>
  </si>
  <si>
    <t>78}]</t>
  </si>
  <si>
    <t>58}</t>
  </si>
  <si>
    <t>76}</t>
  </si>
  <si>
    <t>79}]</t>
  </si>
  <si>
    <t>54}</t>
  </si>
  <si>
    <t>71}]</t>
  </si>
  <si>
    <t>56}</t>
  </si>
  <si>
    <t>57}</t>
  </si>
  <si>
    <t>72}</t>
  </si>
  <si>
    <t>{1000,1,0,99,4}</t>
  </si>
  <si>
    <t>59}</t>
  </si>
  <si>
    <t>52}</t>
  </si>
  <si>
    <t>77}]</t>
  </si>
  <si>
    <t>78}</t>
  </si>
  <si>
    <t>74}]</t>
  </si>
  <si>
    <t>boss</t>
  </si>
  <si>
    <t>2分</t>
  </si>
  <si>
    <t>3.5分</t>
  </si>
  <si>
    <t>79}</t>
  </si>
  <si>
    <t>77}</t>
  </si>
  <si>
    <t>72}]</t>
  </si>
  <si>
    <t>74}</t>
  </si>
  <si>
    <t>75}]</t>
  </si>
  <si>
    <t>5关</t>
  </si>
  <si>
    <t>7关</t>
  </si>
  <si>
    <t>10关</t>
  </si>
  <si>
    <t>12关</t>
  </si>
  <si>
    <t>15关</t>
  </si>
  <si>
    <t>最终攻击=基础攻击*（1+等级成长系数）</t>
  </si>
  <si>
    <t>等级</t>
  </si>
  <si>
    <t>星级</t>
  </si>
  <si>
    <t>基础攻击*(1+0.1(a-3)</t>
  </si>
  <si>
    <t>基础系数</t>
  </si>
  <si>
    <t>区间系数</t>
  </si>
  <si>
    <t>总系数</t>
  </si>
  <si>
    <t>平均每个珠子伤害系数</t>
  </si>
  <si>
    <t>BOSS血量</t>
  </si>
  <si>
    <t>次数</t>
  </si>
  <si>
    <t>珠子数量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</si>
</sst>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4" borderId="5" applyNumberFormat="0" applyAlignment="0" applyProtection="0">
      <alignment vertical="center"/>
    </xf>
    <xf numFmtId="0" fontId="14" fillId="15" borderId="6" applyNumberFormat="0" applyAlignment="0" applyProtection="0">
      <alignment vertical="center"/>
    </xf>
    <xf numFmtId="0" fontId="15" fillId="15" borderId="5" applyNumberFormat="0" applyAlignment="0" applyProtection="0">
      <alignment vertical="center"/>
    </xf>
    <xf numFmtId="0" fontId="16" fillId="1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Alignment="1">
      <alignment horizontal="center"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0" borderId="0" xfId="0" applyAlignment="1">
      <alignment horizontal="left"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0" borderId="0" xfId="0" applyFo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Sheet3!$J$31:$J$50</c:f>
              <c:numCache>
                <c:formatCode>General</c:formatCode>
                <c:ptCount val="20"/>
                <c:pt idx="0">
                  <c:v>1</c:v>
                </c:pt>
                <c:pt idx="1">
                  <c:v>8</c:v>
                </c:pt>
                <c:pt idx="2">
                  <c:v>20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68</c:v>
                </c:pt>
                <c:pt idx="7">
                  <c:v>80</c:v>
                </c:pt>
                <c:pt idx="8">
                  <c:v>94</c:v>
                </c:pt>
                <c:pt idx="9">
                  <c:v>107</c:v>
                </c:pt>
                <c:pt idx="10">
                  <c:v>118</c:v>
                </c:pt>
                <c:pt idx="11">
                  <c:v>132</c:v>
                </c:pt>
                <c:pt idx="12">
                  <c:v>144</c:v>
                </c:pt>
                <c:pt idx="13">
                  <c:v>156</c:v>
                </c:pt>
                <c:pt idx="14">
                  <c:v>175</c:v>
                </c:pt>
                <c:pt idx="15">
                  <c:v>190</c:v>
                </c:pt>
                <c:pt idx="16">
                  <c:v>206</c:v>
                </c:pt>
                <c:pt idx="17">
                  <c:v>224</c:v>
                </c:pt>
                <c:pt idx="18">
                  <c:v>240</c:v>
                </c:pt>
                <c:pt idx="19">
                  <c:v>256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42063312"/>
        <c:axId val="614847120"/>
      </c:lineChart>
      <c:catAx>
        <c:axId val="64206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4847120"/>
        <c:crosses val="autoZero"/>
        <c:auto val="1"/>
        <c:lblAlgn val="ctr"/>
        <c:lblOffset val="100"/>
        <c:noMultiLvlLbl val="0"/>
      </c:catAx>
      <c:valAx>
        <c:axId val="61484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2063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420277777777778"/>
          <c:y val="0.00694444444444444"/>
          <c:w val="0.901027777777778"/>
          <c:h val="0.711666666666667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[3]基础配置!$J$31:$J$46</c:f>
              <c:numCache>
                <c:formatCode>General</c:formatCode>
                <c:ptCount val="16"/>
                <c:pt idx="0">
                  <c:v>0.333333333333333</c:v>
                </c:pt>
                <c:pt idx="1">
                  <c:v>0.375</c:v>
                </c:pt>
                <c:pt idx="2">
                  <c:v>0.4</c:v>
                </c:pt>
                <c:pt idx="3">
                  <c:v>0.416666666666667</c:v>
                </c:pt>
                <c:pt idx="4">
                  <c:v>0.428571428571429</c:v>
                </c:pt>
                <c:pt idx="5">
                  <c:v>0.4375</c:v>
                </c:pt>
                <c:pt idx="6">
                  <c:v>0.444444444444444</c:v>
                </c:pt>
                <c:pt idx="7">
                  <c:v>0.45</c:v>
                </c:pt>
                <c:pt idx="8">
                  <c:v>0.466666666666667</c:v>
                </c:pt>
                <c:pt idx="9">
                  <c:v>0.475</c:v>
                </c:pt>
                <c:pt idx="10">
                  <c:v>0.48</c:v>
                </c:pt>
                <c:pt idx="11">
                  <c:v>0.483333333333333</c:v>
                </c:pt>
                <c:pt idx="12">
                  <c:v>0.485714285714286</c:v>
                </c:pt>
                <c:pt idx="13">
                  <c:v>0.4875</c:v>
                </c:pt>
                <c:pt idx="14">
                  <c:v>0.488888888888889</c:v>
                </c:pt>
                <c:pt idx="15">
                  <c:v>0.5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466504"/>
        <c:axId val="341471208"/>
      </c:scatterChart>
      <c:valAx>
        <c:axId val="341466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471208"/>
        <c:crosses val="autoZero"/>
        <c:crossBetween val="midCat"/>
      </c:valAx>
      <c:valAx>
        <c:axId val="341471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466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589420384951881"/>
          <c:y val="0.134027777777778"/>
          <c:w val="0.890196850393701"/>
          <c:h val="0.715748760571595"/>
        </c:manualLayout>
      </c:layout>
      <c:scatterChart>
        <c:scatterStyle val="line"/>
        <c:varyColors val="0"/>
        <c:ser>
          <c:idx val="0"/>
          <c:order val="0"/>
          <c:tx>
            <c:strRef>
              <c:f>[3]基础配置!$I$30</c:f>
              <c:strCache>
                <c:ptCount val="1"/>
                <c:pt idx="0">
                  <c:v>总系数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yVal>
            <c:numRef>
              <c:f>[3]基础配置!$I$31:$I$46</c:f>
              <c:numCache>
                <c:formatCode>General</c:formatCode>
                <c:ptCount val="1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5</c:v>
                </c:pt>
                <c:pt idx="8">
                  <c:v>7.5</c:v>
                </c:pt>
                <c:pt idx="9">
                  <c:v>10</c:v>
                </c:pt>
                <c:pt idx="10">
                  <c:v>13</c:v>
                </c:pt>
                <c:pt idx="11">
                  <c:v>15.5</c:v>
                </c:pt>
                <c:pt idx="12">
                  <c:v>18.5</c:v>
                </c:pt>
                <c:pt idx="13">
                  <c:v>21</c:v>
                </c:pt>
                <c:pt idx="14">
                  <c:v>24</c:v>
                </c:pt>
                <c:pt idx="15">
                  <c:v>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476696"/>
        <c:axId val="341468072"/>
      </c:scatterChart>
      <c:valAx>
        <c:axId val="341476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468072"/>
        <c:crosses val="autoZero"/>
        <c:crossBetween val="midCat"/>
      </c:valAx>
      <c:valAx>
        <c:axId val="341468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47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18</xdr:col>
      <xdr:colOff>461962</xdr:colOff>
      <xdr:row>30</xdr:row>
      <xdr:rowOff>14287</xdr:rowOff>
    </xdr:from>
    <xdr:to>
      <xdr:col>25</xdr:col>
      <xdr:colOff>233362</xdr:colOff>
      <xdr:row>46</xdr:row>
      <xdr:rowOff>14287</xdr:rowOff>
    </xdr:to>
    <xdr:graphicFrame>
      <xdr:nvGraphicFramePr>
        <xdr:cNvPr id="2" name="图表 1"/>
        <xdr:cNvGraphicFramePr/>
      </xdr:nvGraphicFramePr>
      <xdr:xfrm>
        <a:off x="12806045" y="519557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419100</xdr:colOff>
      <xdr:row>10</xdr:row>
      <xdr:rowOff>61595</xdr:rowOff>
    </xdr:from>
    <xdr:to>
      <xdr:col>14</xdr:col>
      <xdr:colOff>190500</xdr:colOff>
      <xdr:row>26</xdr:row>
      <xdr:rowOff>61595</xdr:rowOff>
    </xdr:to>
    <xdr:graphicFrame>
      <xdr:nvGraphicFramePr>
        <xdr:cNvPr id="2" name="图表 1"/>
        <xdr:cNvGraphicFramePr/>
      </xdr:nvGraphicFramePr>
      <xdr:xfrm>
        <a:off x="5219700" y="177609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247650</xdr:colOff>
      <xdr:row>9</xdr:row>
      <xdr:rowOff>137795</xdr:rowOff>
    </xdr:from>
    <xdr:to>
      <xdr:col>21</xdr:col>
      <xdr:colOff>19050</xdr:colOff>
      <xdr:row>25</xdr:row>
      <xdr:rowOff>137795</xdr:rowOff>
    </xdr:to>
    <xdr:graphicFrame>
      <xdr:nvGraphicFramePr>
        <xdr:cNvPr id="3" name="图表 2"/>
        <xdr:cNvGraphicFramePr/>
      </xdr:nvGraphicFramePr>
      <xdr:xfrm>
        <a:off x="9848850" y="168084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419100</xdr:colOff>
      <xdr:row>55</xdr:row>
      <xdr:rowOff>118745</xdr:rowOff>
    </xdr:from>
    <xdr:to>
      <xdr:col>22</xdr:col>
      <xdr:colOff>9525</xdr:colOff>
      <xdr:row>64</xdr:row>
      <xdr:rowOff>162560</xdr:rowOff>
    </xdr:to>
    <xdr:pic>
      <xdr:nvPicPr>
        <xdr:cNvPr id="4" name="图片 3" descr="http://mmbiz.qpic.cn/mmbiz_png/cvmYJvj3A8ubcGADdefQalYlpeibzkuL9QvibCS4ZDqgoNqX7fdPkhGvBOrIs7Sx1JiccXnChSEbRvOPZHKISchwg/0?wx_fmt=png"/>
        <xdr:cNvPicPr>
          <a:picLocks noChangeAspect="1" noChangeArrowheads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48700" y="9548495"/>
          <a:ext cx="6448425" cy="1586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roidhang\Desktop\&#33457;&#22253;&#25112;&#2600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st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angronggang\tf\tf_config\config\Users\yangronggang\tf\tf_config\config\Users\chockly\bf_config\config\Users\chockly\bf_config\config\866C6180\Hero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伤害结算流程"/>
      <sheetName val="战斗流程"/>
      <sheetName val="属性来源规划"/>
      <sheetName val="技能"/>
      <sheetName val="触发条件和效果"/>
      <sheetName val="武器等级"/>
      <sheetName val="怪物"/>
      <sheetName val="角色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80">
          <cell r="U80">
            <v>47</v>
          </cell>
          <cell r="V80">
            <v>486000</v>
          </cell>
        </row>
        <row r="81">
          <cell r="U81">
            <v>48</v>
          </cell>
          <cell r="V81">
            <v>516000</v>
          </cell>
        </row>
        <row r="82">
          <cell r="U82">
            <v>49</v>
          </cell>
          <cell r="V82">
            <v>546000</v>
          </cell>
        </row>
        <row r="83">
          <cell r="U83">
            <v>50</v>
          </cell>
          <cell r="V83">
            <v>606000</v>
          </cell>
        </row>
        <row r="92">
          <cell r="R92">
            <v>1</v>
          </cell>
          <cell r="S92">
            <v>1</v>
          </cell>
          <cell r="T92">
            <v>1</v>
          </cell>
          <cell r="U92">
            <v>1</v>
          </cell>
          <cell r="V92">
            <v>1</v>
          </cell>
          <cell r="W92">
            <v>1</v>
          </cell>
          <cell r="X92">
            <v>1</v>
          </cell>
          <cell r="Y92">
            <v>1</v>
          </cell>
          <cell r="Z92">
            <v>1</v>
          </cell>
        </row>
        <row r="93">
          <cell r="R93">
            <v>2</v>
          </cell>
          <cell r="S93">
            <v>1</v>
          </cell>
          <cell r="T93">
            <v>1</v>
          </cell>
          <cell r="U93">
            <v>1</v>
          </cell>
          <cell r="V93">
            <v>1</v>
          </cell>
          <cell r="W93">
            <v>1</v>
          </cell>
          <cell r="X93">
            <v>1</v>
          </cell>
          <cell r="Y93">
            <v>1</v>
          </cell>
          <cell r="Z93">
            <v>1</v>
          </cell>
        </row>
        <row r="94">
          <cell r="R94">
            <v>3</v>
          </cell>
          <cell r="S94">
            <v>1</v>
          </cell>
          <cell r="T94">
            <v>1</v>
          </cell>
          <cell r="U94">
            <v>1</v>
          </cell>
          <cell r="V94">
            <v>1</v>
          </cell>
          <cell r="W94">
            <v>1</v>
          </cell>
          <cell r="X94">
            <v>1</v>
          </cell>
          <cell r="Y94">
            <v>1</v>
          </cell>
          <cell r="Z94">
            <v>1</v>
          </cell>
        </row>
        <row r="95">
          <cell r="R95">
            <v>4</v>
          </cell>
          <cell r="S95">
            <v>1</v>
          </cell>
          <cell r="T95">
            <v>1</v>
          </cell>
          <cell r="U95">
            <v>1</v>
          </cell>
          <cell r="V95">
            <v>1</v>
          </cell>
          <cell r="W95">
            <v>1</v>
          </cell>
          <cell r="X95">
            <v>1</v>
          </cell>
          <cell r="Y95">
            <v>1</v>
          </cell>
          <cell r="Z95">
            <v>1</v>
          </cell>
        </row>
        <row r="96">
          <cell r="R96">
            <v>5</v>
          </cell>
          <cell r="S96">
            <v>1</v>
          </cell>
          <cell r="T96">
            <v>1</v>
          </cell>
          <cell r="U96">
            <v>1</v>
          </cell>
          <cell r="V96">
            <v>1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</row>
        <row r="97">
          <cell r="R97">
            <v>6</v>
          </cell>
          <cell r="S97">
            <v>1.5</v>
          </cell>
          <cell r="T97">
            <v>1.5</v>
          </cell>
          <cell r="U97">
            <v>1.3</v>
          </cell>
          <cell r="V97">
            <v>1.2</v>
          </cell>
          <cell r="W97">
            <v>2</v>
          </cell>
          <cell r="X97">
            <v>2</v>
          </cell>
          <cell r="Y97">
            <v>1.5</v>
          </cell>
          <cell r="Z97">
            <v>1.5</v>
          </cell>
        </row>
        <row r="98">
          <cell r="R98">
            <v>7</v>
          </cell>
          <cell r="S98">
            <v>1.5</v>
          </cell>
          <cell r="T98">
            <v>1.5</v>
          </cell>
          <cell r="U98">
            <v>1.3</v>
          </cell>
          <cell r="V98">
            <v>1.2</v>
          </cell>
          <cell r="W98">
            <v>2</v>
          </cell>
          <cell r="X98">
            <v>2</v>
          </cell>
          <cell r="Y98">
            <v>1.5</v>
          </cell>
          <cell r="Z98">
            <v>1.5</v>
          </cell>
        </row>
        <row r="99">
          <cell r="R99">
            <v>8</v>
          </cell>
          <cell r="S99">
            <v>1.5</v>
          </cell>
          <cell r="T99">
            <v>1.5</v>
          </cell>
          <cell r="U99">
            <v>1.3</v>
          </cell>
          <cell r="V99">
            <v>1.2</v>
          </cell>
          <cell r="W99">
            <v>2</v>
          </cell>
          <cell r="X99">
            <v>2</v>
          </cell>
          <cell r="Y99">
            <v>1.5</v>
          </cell>
          <cell r="Z99">
            <v>1.5</v>
          </cell>
        </row>
        <row r="100">
          <cell r="R100">
            <v>9</v>
          </cell>
          <cell r="S100">
            <v>1.5</v>
          </cell>
          <cell r="T100">
            <v>1.5</v>
          </cell>
          <cell r="U100">
            <v>1.3</v>
          </cell>
          <cell r="V100">
            <v>1.2</v>
          </cell>
          <cell r="W100">
            <v>2</v>
          </cell>
          <cell r="X100">
            <v>2</v>
          </cell>
          <cell r="Y100">
            <v>1.5</v>
          </cell>
          <cell r="Z100">
            <v>1.5</v>
          </cell>
        </row>
        <row r="101">
          <cell r="R101">
            <v>10</v>
          </cell>
          <cell r="S101">
            <v>1.5</v>
          </cell>
          <cell r="T101">
            <v>1.5</v>
          </cell>
          <cell r="U101">
            <v>1.3</v>
          </cell>
          <cell r="V101">
            <v>1.2</v>
          </cell>
          <cell r="W101">
            <v>2</v>
          </cell>
          <cell r="X101">
            <v>2</v>
          </cell>
          <cell r="Y101">
            <v>1.5</v>
          </cell>
          <cell r="Z101">
            <v>1.5</v>
          </cell>
        </row>
        <row r="102">
          <cell r="R102">
            <v>11</v>
          </cell>
          <cell r="S102">
            <v>3</v>
          </cell>
          <cell r="T102">
            <v>2.5</v>
          </cell>
          <cell r="U102">
            <v>3</v>
          </cell>
          <cell r="V102">
            <v>2</v>
          </cell>
          <cell r="W102">
            <v>4</v>
          </cell>
          <cell r="X102">
            <v>3</v>
          </cell>
          <cell r="Y102">
            <v>4</v>
          </cell>
          <cell r="Z102">
            <v>3</v>
          </cell>
        </row>
        <row r="103">
          <cell r="R103">
            <v>12</v>
          </cell>
          <cell r="S103">
            <v>3</v>
          </cell>
          <cell r="T103">
            <v>2.5</v>
          </cell>
          <cell r="U103">
            <v>3</v>
          </cell>
          <cell r="V103">
            <v>2</v>
          </cell>
          <cell r="W103">
            <v>4</v>
          </cell>
          <cell r="X103">
            <v>3</v>
          </cell>
          <cell r="Y103">
            <v>4</v>
          </cell>
          <cell r="Z103">
            <v>3</v>
          </cell>
        </row>
        <row r="104">
          <cell r="R104">
            <v>13</v>
          </cell>
          <cell r="S104">
            <v>3</v>
          </cell>
          <cell r="T104">
            <v>2.5</v>
          </cell>
          <cell r="U104">
            <v>3</v>
          </cell>
          <cell r="V104">
            <v>2</v>
          </cell>
          <cell r="W104">
            <v>4</v>
          </cell>
          <cell r="X104">
            <v>3</v>
          </cell>
          <cell r="Y104">
            <v>4</v>
          </cell>
          <cell r="Z104">
            <v>3</v>
          </cell>
        </row>
        <row r="105">
          <cell r="R105">
            <v>14</v>
          </cell>
          <cell r="S105">
            <v>3</v>
          </cell>
          <cell r="T105">
            <v>2.5</v>
          </cell>
          <cell r="U105">
            <v>3</v>
          </cell>
          <cell r="V105">
            <v>2</v>
          </cell>
          <cell r="W105">
            <v>4</v>
          </cell>
          <cell r="X105">
            <v>3</v>
          </cell>
          <cell r="Y105">
            <v>4</v>
          </cell>
          <cell r="Z105">
            <v>3</v>
          </cell>
        </row>
        <row r="106">
          <cell r="R106">
            <v>15</v>
          </cell>
          <cell r="S106">
            <v>3</v>
          </cell>
          <cell r="T106">
            <v>2.5</v>
          </cell>
          <cell r="U106">
            <v>3</v>
          </cell>
          <cell r="V106">
            <v>2</v>
          </cell>
          <cell r="W106">
            <v>4</v>
          </cell>
          <cell r="X106">
            <v>3</v>
          </cell>
          <cell r="Y106">
            <v>4</v>
          </cell>
          <cell r="Z106">
            <v>3</v>
          </cell>
        </row>
        <row r="107">
          <cell r="R107">
            <v>16</v>
          </cell>
          <cell r="S107">
            <v>8</v>
          </cell>
          <cell r="T107">
            <v>4</v>
          </cell>
          <cell r="U107">
            <v>6</v>
          </cell>
          <cell r="V107">
            <v>4</v>
          </cell>
          <cell r="W107">
            <v>9</v>
          </cell>
          <cell r="X107">
            <v>6</v>
          </cell>
          <cell r="Y107">
            <v>7</v>
          </cell>
          <cell r="Z107">
            <v>5</v>
          </cell>
        </row>
        <row r="108">
          <cell r="R108">
            <v>17</v>
          </cell>
          <cell r="S108">
            <v>8</v>
          </cell>
          <cell r="T108">
            <v>4</v>
          </cell>
          <cell r="U108">
            <v>6</v>
          </cell>
          <cell r="V108">
            <v>4</v>
          </cell>
          <cell r="W108">
            <v>9</v>
          </cell>
          <cell r="X108">
            <v>6</v>
          </cell>
          <cell r="Y108">
            <v>7</v>
          </cell>
          <cell r="Z108">
            <v>5</v>
          </cell>
        </row>
        <row r="109">
          <cell r="R109">
            <v>18</v>
          </cell>
          <cell r="S109">
            <v>8</v>
          </cell>
          <cell r="T109">
            <v>4</v>
          </cell>
          <cell r="U109">
            <v>6</v>
          </cell>
          <cell r="V109">
            <v>4</v>
          </cell>
          <cell r="W109">
            <v>9</v>
          </cell>
          <cell r="X109">
            <v>6</v>
          </cell>
          <cell r="Y109">
            <v>7</v>
          </cell>
          <cell r="Z109">
            <v>5</v>
          </cell>
        </row>
        <row r="110">
          <cell r="R110">
            <v>19</v>
          </cell>
          <cell r="S110">
            <v>8</v>
          </cell>
          <cell r="T110">
            <v>4</v>
          </cell>
          <cell r="U110">
            <v>6</v>
          </cell>
          <cell r="V110">
            <v>4</v>
          </cell>
          <cell r="W110">
            <v>9</v>
          </cell>
          <cell r="X110">
            <v>6</v>
          </cell>
          <cell r="Y110">
            <v>7</v>
          </cell>
          <cell r="Z110">
            <v>5</v>
          </cell>
        </row>
        <row r="111">
          <cell r="R111">
            <v>20</v>
          </cell>
          <cell r="S111">
            <v>8</v>
          </cell>
          <cell r="T111">
            <v>4</v>
          </cell>
          <cell r="U111">
            <v>6</v>
          </cell>
          <cell r="V111">
            <v>4</v>
          </cell>
          <cell r="W111">
            <v>9</v>
          </cell>
          <cell r="X111">
            <v>6</v>
          </cell>
          <cell r="Y111">
            <v>7</v>
          </cell>
          <cell r="Z111">
            <v>5</v>
          </cell>
        </row>
      </sheetData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随机id【KEY】</v>
          </cell>
          <cell r="B1" t="str">
            <v>所属关卡</v>
          </cell>
          <cell r="C1" t="str">
            <v>所属类型</v>
          </cell>
          <cell r="D1" t="str">
            <v>注释字段</v>
          </cell>
          <cell r="E1" t="str">
            <v>调用怪物形象id</v>
          </cell>
          <cell r="F1" t="str">
            <v>名称</v>
          </cell>
          <cell r="G1" t="str">
            <v>怪物形象图片</v>
          </cell>
          <cell r="H1" t="str">
            <v>描述</v>
          </cell>
          <cell r="I1" t="str">
            <v>进场方式</v>
          </cell>
          <cell r="J1" t="str">
            <v>怪物属性</v>
          </cell>
          <cell r="K1" t="str">
            <v>怪物类型 0小怪 1精英 2boss</v>
          </cell>
          <cell r="L1" t="str">
            <v>怪物特性id</v>
          </cell>
          <cell r="M1" t="str">
            <v>攻击类型 0碰撞 1自爆</v>
          </cell>
          <cell r="N1" t="str">
            <v>是否相互拥挤0否 1是</v>
          </cell>
          <cell r="O1" t="str">
            <v>技能类型（1 远程 ）</v>
          </cell>
        </row>
        <row r="2">
          <cell r="A2" t="str">
            <v>both</v>
          </cell>
          <cell r="B2" t="str">
            <v>both</v>
          </cell>
          <cell r="C2" t="str">
            <v>both</v>
          </cell>
        </row>
        <row r="2">
          <cell r="E2" t="str">
            <v>both</v>
          </cell>
        </row>
        <row r="2">
          <cell r="G2" t="str">
            <v>client</v>
          </cell>
        </row>
        <row r="2">
          <cell r="I2" t="str">
            <v>both</v>
          </cell>
          <cell r="J2" t="str">
            <v>both</v>
          </cell>
          <cell r="K2" t="str">
            <v>both</v>
          </cell>
          <cell r="L2" t="str">
            <v>both</v>
          </cell>
          <cell r="M2" t="str">
            <v>both</v>
          </cell>
          <cell r="N2" t="str">
            <v>client</v>
          </cell>
          <cell r="O2" t="str">
            <v>client</v>
          </cell>
        </row>
        <row r="3">
          <cell r="A3" t="str">
            <v>id</v>
          </cell>
          <cell r="B3" t="str">
            <v>stageId</v>
          </cell>
          <cell r="C3" t="str">
            <v>type</v>
          </cell>
          <cell r="D3" t="str">
            <v>string</v>
          </cell>
          <cell r="E3" t="str">
            <v>modelId</v>
          </cell>
        </row>
        <row r="3">
          <cell r="G3" t="str">
            <v>modelPicture</v>
          </cell>
        </row>
        <row r="3">
          <cell r="I3" t="str">
            <v>enterJackpotId</v>
          </cell>
          <cell r="J3" t="str">
            <v>monsterPro</v>
          </cell>
          <cell r="K3" t="str">
            <v>monsterType</v>
          </cell>
          <cell r="L3" t="str">
            <v>characterId</v>
          </cell>
          <cell r="M3" t="str">
            <v>atkType</v>
          </cell>
          <cell r="N3" t="str">
            <v>crowd</v>
          </cell>
          <cell r="O3" t="str">
            <v>skillType</v>
          </cell>
        </row>
        <row r="4">
          <cell r="A4" t="str">
            <v>int</v>
          </cell>
          <cell r="B4" t="str">
            <v>int</v>
          </cell>
          <cell r="C4" t="str">
            <v>int</v>
          </cell>
          <cell r="D4" t="str">
            <v>string</v>
          </cell>
          <cell r="E4" t="str">
            <v>int</v>
          </cell>
        </row>
        <row r="4">
          <cell r="G4" t="str">
            <v>string</v>
          </cell>
        </row>
        <row r="4">
          <cell r="I4" t="str">
            <v>int</v>
          </cell>
          <cell r="J4" t="str">
            <v>[Attribute]</v>
          </cell>
          <cell r="K4" t="str">
            <v>int</v>
          </cell>
          <cell r="L4" t="str">
            <v>[int]</v>
          </cell>
          <cell r="M4" t="str">
            <v>int</v>
          </cell>
          <cell r="N4" t="str">
            <v>int</v>
          </cell>
          <cell r="O4" t="str">
            <v>int</v>
          </cell>
        </row>
        <row r="5">
          <cell r="B5" t="str">
            <v>index</v>
          </cell>
        </row>
        <row r="6">
          <cell r="A6">
            <v>101</v>
          </cell>
          <cell r="B6">
            <v>1</v>
          </cell>
          <cell r="C6">
            <v>1</v>
          </cell>
          <cell r="D6" t="str">
            <v>关卡1怪物1</v>
          </cell>
          <cell r="E6">
            <v>101</v>
          </cell>
        </row>
        <row r="6">
          <cell r="J6" t="str">
            <v>[{cd,3000},{hp,60},{atk,6},{spd,8500}]</v>
          </cell>
          <cell r="K6">
            <v>0</v>
          </cell>
        </row>
        <row r="6">
          <cell r="M6">
            <v>0</v>
          </cell>
          <cell r="N6">
            <v>0</v>
          </cell>
          <cell r="O6" t="str">
            <v/>
          </cell>
        </row>
        <row r="7">
          <cell r="A7">
            <v>102</v>
          </cell>
          <cell r="B7">
            <v>1</v>
          </cell>
          <cell r="C7">
            <v>2</v>
          </cell>
          <cell r="D7" t="str">
            <v>关卡1怪物2</v>
          </cell>
          <cell r="E7">
            <v>100</v>
          </cell>
        </row>
        <row r="7">
          <cell r="J7" t="str">
            <v>[{cd,3000},{hp,50},{atk,4},{spd,8500}]</v>
          </cell>
          <cell r="K7">
            <v>0</v>
          </cell>
          <cell r="L7" t="str">
            <v>[60002]</v>
          </cell>
          <cell r="M7">
            <v>0</v>
          </cell>
          <cell r="N7">
            <v>0</v>
          </cell>
        </row>
        <row r="8">
          <cell r="A8">
            <v>103</v>
          </cell>
          <cell r="B8">
            <v>1</v>
          </cell>
          <cell r="C8">
            <v>3</v>
          </cell>
          <cell r="D8" t="str">
            <v>关卡1怪物3</v>
          </cell>
          <cell r="E8">
            <v>101</v>
          </cell>
        </row>
        <row r="8">
          <cell r="J8" t="str">
            <v>[{cd,3000},{hp,40},{atk,6},{spd,8500}]</v>
          </cell>
          <cell r="K8">
            <v>0</v>
          </cell>
        </row>
        <row r="8">
          <cell r="M8">
            <v>0</v>
          </cell>
          <cell r="N8">
            <v>0</v>
          </cell>
        </row>
        <row r="9">
          <cell r="A9">
            <v>121</v>
          </cell>
          <cell r="B9">
            <v>1</v>
          </cell>
          <cell r="C9">
            <v>4</v>
          </cell>
          <cell r="D9" t="str">
            <v>关卡1BOSS1</v>
          </cell>
          <cell r="E9">
            <v>501</v>
          </cell>
        </row>
        <row r="9">
          <cell r="J9" t="str">
            <v>[{cd,3000},{hp,1350},{atk,15},{spd,8500}]</v>
          </cell>
          <cell r="K9">
            <v>2</v>
          </cell>
        </row>
        <row r="9">
          <cell r="M9">
            <v>0</v>
          </cell>
          <cell r="N9">
            <v>0</v>
          </cell>
        </row>
        <row r="10">
          <cell r="A10">
            <v>131</v>
          </cell>
          <cell r="B10">
            <v>1</v>
          </cell>
          <cell r="C10">
            <v>5</v>
          </cell>
          <cell r="D10" t="str">
            <v>关卡1BOSS2</v>
          </cell>
          <cell r="E10">
            <v>501</v>
          </cell>
        </row>
        <row r="10">
          <cell r="J10" t="str">
            <v>[{cd,3000},{hp,2250},{atk,30},{spd,8500}]</v>
          </cell>
          <cell r="K10">
            <v>2</v>
          </cell>
        </row>
        <row r="10">
          <cell r="M10">
            <v>0</v>
          </cell>
          <cell r="N10">
            <v>0</v>
          </cell>
        </row>
        <row r="11">
          <cell r="A11">
            <v>201</v>
          </cell>
          <cell r="B11">
            <v>2</v>
          </cell>
          <cell r="C11">
            <v>1</v>
          </cell>
          <cell r="D11" t="str">
            <v>关卡2怪物1</v>
          </cell>
          <cell r="E11">
            <v>101</v>
          </cell>
        </row>
        <row r="11">
          <cell r="J11" t="str">
            <v>[{cd,3000},{hp,60},{atk,6},{spd,8500}]</v>
          </cell>
          <cell r="K11">
            <v>0</v>
          </cell>
        </row>
        <row r="11">
          <cell r="M11">
            <v>0</v>
          </cell>
          <cell r="N11">
            <v>0</v>
          </cell>
        </row>
        <row r="12">
          <cell r="A12">
            <v>202</v>
          </cell>
          <cell r="B12">
            <v>2</v>
          </cell>
          <cell r="C12">
            <v>2</v>
          </cell>
          <cell r="D12" t="str">
            <v>关卡2怪物2</v>
          </cell>
          <cell r="E12">
            <v>100</v>
          </cell>
        </row>
        <row r="12">
          <cell r="J12" t="str">
            <v>[{cd,3000},{hp,50},{atk,4},{spd,8500}]</v>
          </cell>
          <cell r="K12">
            <v>0</v>
          </cell>
          <cell r="L12" t="str">
            <v>[60002]</v>
          </cell>
          <cell r="M12">
            <v>0</v>
          </cell>
          <cell r="N12">
            <v>0</v>
          </cell>
        </row>
        <row r="13">
          <cell r="A13">
            <v>203</v>
          </cell>
          <cell r="B13">
            <v>2</v>
          </cell>
          <cell r="C13">
            <v>3</v>
          </cell>
          <cell r="D13" t="str">
            <v>关卡2怪物3</v>
          </cell>
          <cell r="E13">
            <v>102</v>
          </cell>
        </row>
        <row r="13">
          <cell r="J13" t="str">
            <v>[{cd,3000},{hp,40},{atk,3},{spd,8500}]</v>
          </cell>
          <cell r="K13">
            <v>0</v>
          </cell>
        </row>
        <row r="13">
          <cell r="M13">
            <v>0</v>
          </cell>
          <cell r="N13">
            <v>0</v>
          </cell>
          <cell r="O13">
            <v>1</v>
          </cell>
        </row>
        <row r="14">
          <cell r="A14">
            <v>221</v>
          </cell>
          <cell r="B14">
            <v>2</v>
          </cell>
          <cell r="C14">
            <v>4</v>
          </cell>
          <cell r="D14" t="str">
            <v>关卡2BOSS1</v>
          </cell>
          <cell r="E14">
            <v>501</v>
          </cell>
        </row>
        <row r="14">
          <cell r="J14" t="str">
            <v>[{cd,3000},{hp,1350},{atk,15},{spd,8500}]</v>
          </cell>
          <cell r="K14">
            <v>2</v>
          </cell>
        </row>
        <row r="14">
          <cell r="M14">
            <v>0</v>
          </cell>
          <cell r="N14">
            <v>0</v>
          </cell>
        </row>
        <row r="15">
          <cell r="A15">
            <v>231</v>
          </cell>
          <cell r="B15">
            <v>2</v>
          </cell>
          <cell r="C15">
            <v>5</v>
          </cell>
          <cell r="D15" t="str">
            <v>关卡2BOSS2</v>
          </cell>
          <cell r="E15">
            <v>501</v>
          </cell>
        </row>
        <row r="15">
          <cell r="J15" t="str">
            <v>[{cd,3000},{hp,2250},{atk,30},{spd,8500}]</v>
          </cell>
          <cell r="K15">
            <v>2</v>
          </cell>
        </row>
        <row r="15">
          <cell r="M15">
            <v>0</v>
          </cell>
          <cell r="N15">
            <v>0</v>
          </cell>
        </row>
        <row r="16">
          <cell r="A16">
            <v>301</v>
          </cell>
          <cell r="B16">
            <v>3</v>
          </cell>
          <cell r="C16">
            <v>1</v>
          </cell>
          <cell r="D16" t="str">
            <v>关卡3怪物1</v>
          </cell>
          <cell r="E16">
            <v>103</v>
          </cell>
        </row>
        <row r="16">
          <cell r="J16" t="str">
            <v>[{cd,3000},{hp,60},{atk,6},{spd,8500}]</v>
          </cell>
          <cell r="K16">
            <v>0</v>
          </cell>
          <cell r="L16" t="str">
            <v>[60001]</v>
          </cell>
          <cell r="M16">
            <v>0</v>
          </cell>
          <cell r="N16">
            <v>0</v>
          </cell>
        </row>
        <row r="17">
          <cell r="A17">
            <v>302</v>
          </cell>
          <cell r="B17">
            <v>3</v>
          </cell>
          <cell r="C17">
            <v>2</v>
          </cell>
          <cell r="D17" t="str">
            <v>关卡3怪物2</v>
          </cell>
          <cell r="E17">
            <v>104</v>
          </cell>
        </row>
        <row r="17">
          <cell r="J17" t="str">
            <v>[{cd,3000},{hp,50},{atk,9},{spd,8500}]</v>
          </cell>
          <cell r="K17">
            <v>0</v>
          </cell>
        </row>
        <row r="17">
          <cell r="M17">
            <v>0</v>
          </cell>
          <cell r="N17">
            <v>0</v>
          </cell>
        </row>
        <row r="18">
          <cell r="A18">
            <v>303</v>
          </cell>
          <cell r="B18">
            <v>3</v>
          </cell>
          <cell r="C18">
            <v>3</v>
          </cell>
          <cell r="D18" t="str">
            <v>关卡3怪物3</v>
          </cell>
          <cell r="E18">
            <v>104</v>
          </cell>
        </row>
        <row r="18">
          <cell r="J18" t="str">
            <v>[{cd,3000},{hp,40},{atk,9},{spd,8500}]</v>
          </cell>
          <cell r="K18">
            <v>0</v>
          </cell>
        </row>
        <row r="18">
          <cell r="M18">
            <v>0</v>
          </cell>
          <cell r="N18">
            <v>0</v>
          </cell>
        </row>
        <row r="19">
          <cell r="A19">
            <v>321</v>
          </cell>
          <cell r="B19">
            <v>3</v>
          </cell>
          <cell r="C19">
            <v>4</v>
          </cell>
          <cell r="D19" t="str">
            <v>关卡3BOSS1</v>
          </cell>
          <cell r="E19">
            <v>504</v>
          </cell>
        </row>
        <row r="19">
          <cell r="J19" t="str">
            <v>[{cd,3000},{hp,1350},{atk,22},{spd,8500}]</v>
          </cell>
          <cell r="K19">
            <v>2</v>
          </cell>
        </row>
        <row r="19">
          <cell r="M19">
            <v>0</v>
          </cell>
          <cell r="N19">
            <v>0</v>
          </cell>
        </row>
        <row r="20">
          <cell r="A20">
            <v>331</v>
          </cell>
          <cell r="B20">
            <v>3</v>
          </cell>
          <cell r="C20">
            <v>5</v>
          </cell>
          <cell r="D20" t="str">
            <v>关卡3BOSS2</v>
          </cell>
          <cell r="E20">
            <v>504</v>
          </cell>
        </row>
        <row r="20">
          <cell r="J20" t="str">
            <v>[{cd,3000},{hp,2250},{atk,45},{spd,8500}]</v>
          </cell>
          <cell r="K20">
            <v>2</v>
          </cell>
        </row>
        <row r="20">
          <cell r="M20">
            <v>0</v>
          </cell>
          <cell r="N20">
            <v>0</v>
          </cell>
        </row>
        <row r="21">
          <cell r="A21">
            <v>401</v>
          </cell>
          <cell r="B21">
            <v>4</v>
          </cell>
          <cell r="C21">
            <v>1</v>
          </cell>
          <cell r="D21" t="str">
            <v>关卡4怪物1</v>
          </cell>
          <cell r="E21">
            <v>103</v>
          </cell>
        </row>
        <row r="21">
          <cell r="J21" t="str">
            <v>[{cd,3000},{hp,80},{atk,6},{spd,8500}]</v>
          </cell>
          <cell r="K21">
            <v>0</v>
          </cell>
          <cell r="L21" t="str">
            <v>[60001]</v>
          </cell>
          <cell r="M21">
            <v>0</v>
          </cell>
          <cell r="N21">
            <v>0</v>
          </cell>
        </row>
        <row r="22">
          <cell r="A22">
            <v>402</v>
          </cell>
          <cell r="B22">
            <v>4</v>
          </cell>
          <cell r="C22">
            <v>2</v>
          </cell>
          <cell r="D22" t="str">
            <v>关卡4怪物2</v>
          </cell>
          <cell r="E22">
            <v>104</v>
          </cell>
        </row>
        <row r="22">
          <cell r="J22" t="str">
            <v>[{cd,3000},{hp,70},{atk,9},{spd,8500}]</v>
          </cell>
          <cell r="K22">
            <v>0</v>
          </cell>
        </row>
        <row r="22">
          <cell r="M22">
            <v>0</v>
          </cell>
          <cell r="N22">
            <v>0</v>
          </cell>
        </row>
        <row r="23">
          <cell r="A23">
            <v>403</v>
          </cell>
          <cell r="B23">
            <v>4</v>
          </cell>
          <cell r="C23">
            <v>3</v>
          </cell>
          <cell r="D23" t="str">
            <v>关卡4怪物3</v>
          </cell>
          <cell r="E23">
            <v>106</v>
          </cell>
        </row>
        <row r="23">
          <cell r="J23" t="str">
            <v>[{cd,3000},{hp,60},{atk,5},{spd,8500}]</v>
          </cell>
          <cell r="K23">
            <v>0</v>
          </cell>
          <cell r="L23" t="str">
            <v>[60002]</v>
          </cell>
          <cell r="M23">
            <v>0</v>
          </cell>
          <cell r="N23">
            <v>0</v>
          </cell>
          <cell r="O23">
            <v>1</v>
          </cell>
        </row>
        <row r="24">
          <cell r="A24">
            <v>421</v>
          </cell>
          <cell r="B24">
            <v>4</v>
          </cell>
          <cell r="C24">
            <v>4</v>
          </cell>
          <cell r="D24" t="str">
            <v>关卡4BOSS1</v>
          </cell>
          <cell r="E24">
            <v>503</v>
          </cell>
        </row>
        <row r="24">
          <cell r="J24" t="str">
            <v>[{cd,3000},{hp,1800},{atk,15},{spd,8500}]</v>
          </cell>
          <cell r="K24">
            <v>2</v>
          </cell>
          <cell r="L24" t="str">
            <v>[60001]</v>
          </cell>
          <cell r="M24">
            <v>0</v>
          </cell>
          <cell r="N24">
            <v>0</v>
          </cell>
        </row>
        <row r="25">
          <cell r="A25">
            <v>431</v>
          </cell>
          <cell r="B25">
            <v>4</v>
          </cell>
          <cell r="C25">
            <v>5</v>
          </cell>
          <cell r="D25" t="str">
            <v>关卡4BOSS2</v>
          </cell>
          <cell r="E25">
            <v>503</v>
          </cell>
        </row>
        <row r="25">
          <cell r="J25" t="str">
            <v>[{cd,3000},{hp,3000},{atk,30},{spd,8500}]</v>
          </cell>
          <cell r="K25">
            <v>2</v>
          </cell>
          <cell r="L25" t="str">
            <v>[60001]</v>
          </cell>
          <cell r="M25">
            <v>0</v>
          </cell>
          <cell r="N25">
            <v>0</v>
          </cell>
        </row>
        <row r="26">
          <cell r="A26">
            <v>501</v>
          </cell>
          <cell r="B26">
            <v>5</v>
          </cell>
          <cell r="C26">
            <v>1</v>
          </cell>
          <cell r="D26" t="str">
            <v>关卡5怪物1</v>
          </cell>
          <cell r="E26">
            <v>100</v>
          </cell>
        </row>
        <row r="26">
          <cell r="J26" t="str">
            <v>[{cd,3000},{hp,100},{atk,4},{spd,8500}]</v>
          </cell>
          <cell r="K26">
            <v>0</v>
          </cell>
          <cell r="L26" t="str">
            <v>[60002]</v>
          </cell>
          <cell r="M26">
            <v>0</v>
          </cell>
          <cell r="N26">
            <v>0</v>
          </cell>
        </row>
        <row r="27">
          <cell r="A27">
            <v>502</v>
          </cell>
          <cell r="B27">
            <v>5</v>
          </cell>
          <cell r="C27">
            <v>2</v>
          </cell>
          <cell r="D27" t="str">
            <v>关卡5怪物2</v>
          </cell>
          <cell r="E27">
            <v>102</v>
          </cell>
        </row>
        <row r="27">
          <cell r="J27" t="str">
            <v>[{cd,3000},{hp,90},{atk,3},{spd,8500}]</v>
          </cell>
          <cell r="K27">
            <v>0</v>
          </cell>
        </row>
        <row r="27">
          <cell r="M27">
            <v>0</v>
          </cell>
          <cell r="N27">
            <v>0</v>
          </cell>
          <cell r="O27">
            <v>1</v>
          </cell>
        </row>
        <row r="28">
          <cell r="A28">
            <v>503</v>
          </cell>
          <cell r="B28">
            <v>5</v>
          </cell>
          <cell r="C28">
            <v>3</v>
          </cell>
          <cell r="D28" t="str">
            <v>关卡5怪物3</v>
          </cell>
          <cell r="E28">
            <v>105</v>
          </cell>
        </row>
        <row r="28">
          <cell r="J28" t="str">
            <v>[{cd,3000},{hp,80},{atk,6},{spd,8500}]</v>
          </cell>
          <cell r="K28">
            <v>0</v>
          </cell>
          <cell r="L28" t="str">
            <v>[60003]</v>
          </cell>
          <cell r="M28">
            <v>0</v>
          </cell>
          <cell r="N28">
            <v>0</v>
          </cell>
        </row>
        <row r="29">
          <cell r="A29">
            <v>521</v>
          </cell>
          <cell r="B29">
            <v>5</v>
          </cell>
          <cell r="C29">
            <v>4</v>
          </cell>
          <cell r="D29" t="str">
            <v>关卡5BOSS1</v>
          </cell>
          <cell r="E29">
            <v>502</v>
          </cell>
        </row>
        <row r="29">
          <cell r="J29" t="str">
            <v>[{cd,3000},{hp,2250},{atk,10},{spd,8500}]</v>
          </cell>
          <cell r="K29">
            <v>2</v>
          </cell>
        </row>
        <row r="29">
          <cell r="M29">
            <v>0</v>
          </cell>
          <cell r="N29">
            <v>0</v>
          </cell>
          <cell r="O29">
            <v>1</v>
          </cell>
        </row>
        <row r="30">
          <cell r="A30">
            <v>531</v>
          </cell>
          <cell r="B30">
            <v>5</v>
          </cell>
          <cell r="C30">
            <v>5</v>
          </cell>
          <cell r="D30" t="str">
            <v>关卡5BOSS2</v>
          </cell>
          <cell r="E30">
            <v>500</v>
          </cell>
        </row>
        <row r="30">
          <cell r="J30" t="str">
            <v>[{cd,3000},{hp,3750},{atk,20},{spd,8500}]</v>
          </cell>
          <cell r="K30">
            <v>2</v>
          </cell>
          <cell r="L30" t="str">
            <v>[60002]</v>
          </cell>
          <cell r="M30">
            <v>0</v>
          </cell>
          <cell r="N30">
            <v>0</v>
          </cell>
        </row>
        <row r="31">
          <cell r="A31">
            <v>601</v>
          </cell>
          <cell r="B31">
            <v>6</v>
          </cell>
          <cell r="C31">
            <v>1</v>
          </cell>
          <cell r="D31" t="str">
            <v>关卡6怪物1</v>
          </cell>
          <cell r="E31">
            <v>100</v>
          </cell>
        </row>
        <row r="31">
          <cell r="J31" t="str">
            <v>[{cd,3000},{hp,120},{atk,4},{spd,8500}]</v>
          </cell>
          <cell r="K31">
            <v>0</v>
          </cell>
          <cell r="L31" t="str">
            <v>[60002]</v>
          </cell>
          <cell r="M31">
            <v>0</v>
          </cell>
          <cell r="N31">
            <v>0</v>
          </cell>
        </row>
        <row r="32">
          <cell r="A32">
            <v>602</v>
          </cell>
          <cell r="B32">
            <v>6</v>
          </cell>
          <cell r="C32">
            <v>2</v>
          </cell>
          <cell r="D32" t="str">
            <v>关卡6怪物2</v>
          </cell>
          <cell r="E32">
            <v>105</v>
          </cell>
        </row>
        <row r="32">
          <cell r="J32" t="str">
            <v>[{cd,3000},{hp,110},{atk,6},{spd,8500}]</v>
          </cell>
          <cell r="K32">
            <v>0</v>
          </cell>
          <cell r="L32" t="str">
            <v>[60003]</v>
          </cell>
          <cell r="M32">
            <v>0</v>
          </cell>
          <cell r="N32">
            <v>0</v>
          </cell>
        </row>
        <row r="33">
          <cell r="A33">
            <v>603</v>
          </cell>
          <cell r="B33">
            <v>6</v>
          </cell>
          <cell r="C33">
            <v>3</v>
          </cell>
          <cell r="D33" t="str">
            <v>关卡6怪物3</v>
          </cell>
          <cell r="E33">
            <v>102</v>
          </cell>
        </row>
        <row r="33">
          <cell r="J33" t="str">
            <v>[{cd,3000},{hp,100},{atk,3},{spd,8500}]</v>
          </cell>
          <cell r="K33">
            <v>0</v>
          </cell>
        </row>
        <row r="33">
          <cell r="M33">
            <v>0</v>
          </cell>
          <cell r="N33">
            <v>0</v>
          </cell>
          <cell r="O33">
            <v>1</v>
          </cell>
        </row>
        <row r="34">
          <cell r="A34">
            <v>621</v>
          </cell>
          <cell r="B34">
            <v>6</v>
          </cell>
          <cell r="C34">
            <v>4</v>
          </cell>
          <cell r="D34" t="str">
            <v>关卡6BOSS1</v>
          </cell>
          <cell r="E34">
            <v>502</v>
          </cell>
        </row>
        <row r="34">
          <cell r="J34" t="str">
            <v>[{cd,3000},{hp,2700},{atk,10},{spd,8500}]</v>
          </cell>
          <cell r="K34">
            <v>2</v>
          </cell>
        </row>
        <row r="34">
          <cell r="M34">
            <v>0</v>
          </cell>
          <cell r="N34">
            <v>0</v>
          </cell>
          <cell r="O34">
            <v>1</v>
          </cell>
        </row>
        <row r="35">
          <cell r="A35">
            <v>631</v>
          </cell>
          <cell r="B35">
            <v>6</v>
          </cell>
          <cell r="C35">
            <v>5</v>
          </cell>
          <cell r="D35" t="str">
            <v>关卡6BOSS2</v>
          </cell>
          <cell r="E35">
            <v>502</v>
          </cell>
        </row>
        <row r="35">
          <cell r="J35" t="str">
            <v>[{cd,3000},{hp,4500},{atk,21},{spd,8500}]</v>
          </cell>
          <cell r="K35">
            <v>2</v>
          </cell>
        </row>
        <row r="35">
          <cell r="M35">
            <v>0</v>
          </cell>
          <cell r="N35">
            <v>0</v>
          </cell>
          <cell r="O35">
            <v>1</v>
          </cell>
        </row>
        <row r="36">
          <cell r="A36">
            <v>701</v>
          </cell>
          <cell r="B36">
            <v>7</v>
          </cell>
          <cell r="C36">
            <v>1</v>
          </cell>
          <cell r="D36" t="str">
            <v>关卡7怪物1</v>
          </cell>
          <cell r="E36">
            <v>104</v>
          </cell>
        </row>
        <row r="36">
          <cell r="J36" t="str">
            <v>[{cd,3000},{hp,140},{atk,9},{spd,8500}]</v>
          </cell>
          <cell r="K36">
            <v>0</v>
          </cell>
        </row>
        <row r="36">
          <cell r="M36">
            <v>0</v>
          </cell>
          <cell r="N36">
            <v>0</v>
          </cell>
        </row>
        <row r="37">
          <cell r="A37">
            <v>702</v>
          </cell>
          <cell r="B37">
            <v>7</v>
          </cell>
          <cell r="C37">
            <v>2</v>
          </cell>
          <cell r="D37" t="str">
            <v>关卡7怪物2</v>
          </cell>
          <cell r="E37">
            <v>106</v>
          </cell>
        </row>
        <row r="37">
          <cell r="J37" t="str">
            <v>[{cd,3000},{hp,130},{atk,5},{spd,8500}]</v>
          </cell>
          <cell r="K37">
            <v>0</v>
          </cell>
          <cell r="L37" t="str">
            <v>[60002]</v>
          </cell>
          <cell r="M37">
            <v>0</v>
          </cell>
          <cell r="N37">
            <v>0</v>
          </cell>
          <cell r="O37">
            <v>1</v>
          </cell>
        </row>
        <row r="38">
          <cell r="A38">
            <v>703</v>
          </cell>
          <cell r="B38">
            <v>7</v>
          </cell>
          <cell r="C38">
            <v>3</v>
          </cell>
          <cell r="D38" t="str">
            <v>关卡7怪物3</v>
          </cell>
          <cell r="E38">
            <v>107</v>
          </cell>
        </row>
        <row r="38">
          <cell r="J38" t="str">
            <v>[{cd,3000},{hp,120},{atk,4},{spd,8500}]</v>
          </cell>
          <cell r="K38">
            <v>0</v>
          </cell>
          <cell r="L38" t="str">
            <v>[60004]</v>
          </cell>
          <cell r="M38">
            <v>0</v>
          </cell>
          <cell r="N38">
            <v>0</v>
          </cell>
          <cell r="O38">
            <v>1</v>
          </cell>
        </row>
        <row r="39">
          <cell r="A39">
            <v>721</v>
          </cell>
          <cell r="B39">
            <v>7</v>
          </cell>
          <cell r="C39">
            <v>4</v>
          </cell>
          <cell r="D39" t="str">
            <v>关卡7BOSS1</v>
          </cell>
          <cell r="E39">
            <v>503</v>
          </cell>
        </row>
        <row r="39">
          <cell r="J39" t="str">
            <v>[{cd,3000},{hp,3150},{atk,15},{spd,8500}]</v>
          </cell>
          <cell r="K39">
            <v>2</v>
          </cell>
          <cell r="L39" t="str">
            <v>[60001]</v>
          </cell>
          <cell r="M39">
            <v>0</v>
          </cell>
          <cell r="N39">
            <v>0</v>
          </cell>
        </row>
        <row r="40">
          <cell r="A40">
            <v>731</v>
          </cell>
          <cell r="B40">
            <v>7</v>
          </cell>
          <cell r="C40">
            <v>5</v>
          </cell>
          <cell r="D40" t="str">
            <v>关卡7BOSS2</v>
          </cell>
          <cell r="E40">
            <v>503</v>
          </cell>
        </row>
        <row r="40">
          <cell r="J40" t="str">
            <v>[{cd,3000},{hp,5250},{atk,30},{spd,8500}]</v>
          </cell>
          <cell r="K40">
            <v>2</v>
          </cell>
          <cell r="L40" t="str">
            <v>[60001]</v>
          </cell>
          <cell r="M40">
            <v>0</v>
          </cell>
          <cell r="N40">
            <v>0</v>
          </cell>
        </row>
        <row r="41">
          <cell r="A41">
            <v>801</v>
          </cell>
          <cell r="B41">
            <v>8</v>
          </cell>
          <cell r="C41">
            <v>1</v>
          </cell>
          <cell r="D41" t="str">
            <v>关卡8怪物1</v>
          </cell>
          <cell r="E41">
            <v>103</v>
          </cell>
        </row>
        <row r="41">
          <cell r="J41" t="str">
            <v>[{cd,3000},{hp,160},{atk,6},{spd,8500}]</v>
          </cell>
          <cell r="K41">
            <v>0</v>
          </cell>
          <cell r="L41" t="str">
            <v>[60001]</v>
          </cell>
          <cell r="M41">
            <v>0</v>
          </cell>
          <cell r="N41">
            <v>0</v>
          </cell>
        </row>
        <row r="42">
          <cell r="A42">
            <v>802</v>
          </cell>
          <cell r="B42">
            <v>8</v>
          </cell>
          <cell r="C42">
            <v>2</v>
          </cell>
          <cell r="D42" t="str">
            <v>关卡8怪物2</v>
          </cell>
          <cell r="E42">
            <v>107</v>
          </cell>
        </row>
        <row r="42">
          <cell r="J42" t="str">
            <v>[{cd,3000},{hp,150},{atk,4},{spd,8500}]</v>
          </cell>
          <cell r="K42">
            <v>0</v>
          </cell>
          <cell r="L42" t="str">
            <v>[60004]</v>
          </cell>
          <cell r="M42">
            <v>0</v>
          </cell>
          <cell r="N42">
            <v>0</v>
          </cell>
          <cell r="O42">
            <v>1</v>
          </cell>
        </row>
        <row r="43">
          <cell r="A43">
            <v>803</v>
          </cell>
          <cell r="B43">
            <v>8</v>
          </cell>
          <cell r="C43">
            <v>3</v>
          </cell>
          <cell r="D43" t="str">
            <v>关卡8怪物3</v>
          </cell>
          <cell r="E43">
            <v>106</v>
          </cell>
        </row>
        <row r="43">
          <cell r="J43" t="str">
            <v>[{cd,3000},{hp,140},{atk,5},{spd,8500}]</v>
          </cell>
          <cell r="K43">
            <v>0</v>
          </cell>
          <cell r="L43" t="str">
            <v>[60002]</v>
          </cell>
          <cell r="M43">
            <v>0</v>
          </cell>
          <cell r="N43">
            <v>0</v>
          </cell>
          <cell r="O43">
            <v>1</v>
          </cell>
        </row>
        <row r="44">
          <cell r="A44">
            <v>821</v>
          </cell>
          <cell r="B44">
            <v>8</v>
          </cell>
          <cell r="C44">
            <v>4</v>
          </cell>
          <cell r="D44" t="str">
            <v>关卡8BOSS1</v>
          </cell>
          <cell r="E44">
            <v>506</v>
          </cell>
        </row>
        <row r="44">
          <cell r="J44" t="str">
            <v>[{cd,3000},{hp,3600},{atk,13},{spd,8500}]</v>
          </cell>
          <cell r="K44">
            <v>2</v>
          </cell>
          <cell r="L44" t="str">
            <v>[60002]</v>
          </cell>
          <cell r="M44">
            <v>0</v>
          </cell>
          <cell r="N44">
            <v>0</v>
          </cell>
          <cell r="O44">
            <v>1</v>
          </cell>
        </row>
        <row r="45">
          <cell r="A45">
            <v>831</v>
          </cell>
          <cell r="B45">
            <v>8</v>
          </cell>
          <cell r="C45">
            <v>5</v>
          </cell>
          <cell r="D45" t="str">
            <v>关卡8BOSS2</v>
          </cell>
          <cell r="E45">
            <v>506</v>
          </cell>
        </row>
        <row r="45">
          <cell r="J45" t="str">
            <v>[{cd,3000},{hp,6000},{atk,26},{spd,8500}]</v>
          </cell>
          <cell r="K45">
            <v>2</v>
          </cell>
          <cell r="L45" t="str">
            <v>[60002]</v>
          </cell>
          <cell r="M45">
            <v>0</v>
          </cell>
          <cell r="N45">
            <v>0</v>
          </cell>
          <cell r="O45">
            <v>1</v>
          </cell>
        </row>
        <row r="46">
          <cell r="A46">
            <v>901</v>
          </cell>
          <cell r="B46">
            <v>9</v>
          </cell>
          <cell r="C46">
            <v>1</v>
          </cell>
          <cell r="D46" t="str">
            <v>关卡9怪物1</v>
          </cell>
          <cell r="E46">
            <v>108</v>
          </cell>
        </row>
        <row r="46">
          <cell r="J46" t="str">
            <v>[{cd,3000},{hp,180},{atk,10},{spd,8500}]</v>
          </cell>
          <cell r="K46">
            <v>0</v>
          </cell>
        </row>
        <row r="46">
          <cell r="M46">
            <v>0</v>
          </cell>
          <cell r="N46">
            <v>0</v>
          </cell>
        </row>
        <row r="47">
          <cell r="A47">
            <v>902</v>
          </cell>
          <cell r="B47">
            <v>9</v>
          </cell>
          <cell r="C47">
            <v>2</v>
          </cell>
          <cell r="D47" t="str">
            <v>关卡9怪物2</v>
          </cell>
          <cell r="E47">
            <v>109</v>
          </cell>
        </row>
        <row r="47">
          <cell r="J47" t="str">
            <v>[{cd,3000},{hp,170},{atk,4},{spd,8500}]</v>
          </cell>
          <cell r="K47">
            <v>0</v>
          </cell>
        </row>
        <row r="47">
          <cell r="M47">
            <v>0</v>
          </cell>
          <cell r="N47">
            <v>0</v>
          </cell>
          <cell r="O47">
            <v>1</v>
          </cell>
        </row>
        <row r="48">
          <cell r="A48">
            <v>903</v>
          </cell>
          <cell r="B48">
            <v>9</v>
          </cell>
          <cell r="C48">
            <v>3</v>
          </cell>
          <cell r="D48" t="str">
            <v>关卡9怪物3</v>
          </cell>
          <cell r="E48">
            <v>109</v>
          </cell>
        </row>
        <row r="48">
          <cell r="J48" t="str">
            <v>[{cd,3000},{hp,160},{atk,4},{spd,8500}]</v>
          </cell>
          <cell r="K48">
            <v>0</v>
          </cell>
        </row>
        <row r="48">
          <cell r="M48">
            <v>0</v>
          </cell>
          <cell r="N48">
            <v>0</v>
          </cell>
          <cell r="O48">
            <v>1</v>
          </cell>
        </row>
        <row r="49">
          <cell r="A49">
            <v>921</v>
          </cell>
          <cell r="B49">
            <v>9</v>
          </cell>
          <cell r="C49">
            <v>4</v>
          </cell>
          <cell r="D49" t="str">
            <v>关卡9BOSS1</v>
          </cell>
          <cell r="E49">
            <v>508</v>
          </cell>
        </row>
        <row r="49">
          <cell r="J49" t="str">
            <v>[{cd,3000},{hp,4050},{atk,25},{spd,8500}]</v>
          </cell>
          <cell r="K49">
            <v>2</v>
          </cell>
        </row>
        <row r="49">
          <cell r="M49">
            <v>0</v>
          </cell>
          <cell r="N49">
            <v>0</v>
          </cell>
        </row>
        <row r="50">
          <cell r="A50">
            <v>931</v>
          </cell>
          <cell r="B50">
            <v>9</v>
          </cell>
          <cell r="C50">
            <v>5</v>
          </cell>
          <cell r="D50" t="str">
            <v>关卡9BOSS2</v>
          </cell>
          <cell r="E50">
            <v>508</v>
          </cell>
        </row>
        <row r="50">
          <cell r="J50" t="str">
            <v>[{cd,3000},{hp,6750},{atk,50},{spd,8500}]</v>
          </cell>
          <cell r="K50">
            <v>2</v>
          </cell>
        </row>
        <row r="50">
          <cell r="M50">
            <v>0</v>
          </cell>
          <cell r="N50">
            <v>0</v>
          </cell>
        </row>
        <row r="51">
          <cell r="A51">
            <v>1001</v>
          </cell>
          <cell r="B51">
            <v>10</v>
          </cell>
          <cell r="C51">
            <v>1</v>
          </cell>
          <cell r="D51" t="str">
            <v>关卡10怪物1</v>
          </cell>
          <cell r="E51">
            <v>108</v>
          </cell>
        </row>
        <row r="51">
          <cell r="J51" t="str">
            <v>[{cd,3000},{hp,200},{atk,10},{spd,8500}]</v>
          </cell>
          <cell r="K51">
            <v>0</v>
          </cell>
        </row>
        <row r="51">
          <cell r="M51">
            <v>0</v>
          </cell>
          <cell r="N51">
            <v>0</v>
          </cell>
        </row>
        <row r="52">
          <cell r="A52">
            <v>1002</v>
          </cell>
          <cell r="B52">
            <v>10</v>
          </cell>
          <cell r="C52">
            <v>2</v>
          </cell>
          <cell r="D52" t="str">
            <v>关卡10怪物2</v>
          </cell>
          <cell r="E52">
            <v>109</v>
          </cell>
        </row>
        <row r="52">
          <cell r="J52" t="str">
            <v>[{cd,3000},{hp,190},{atk,4},{spd,8500}]</v>
          </cell>
          <cell r="K52">
            <v>0</v>
          </cell>
        </row>
        <row r="52">
          <cell r="M52">
            <v>0</v>
          </cell>
          <cell r="N52">
            <v>0</v>
          </cell>
          <cell r="O52">
            <v>1</v>
          </cell>
        </row>
        <row r="53">
          <cell r="A53">
            <v>1003</v>
          </cell>
          <cell r="B53">
            <v>10</v>
          </cell>
          <cell r="C53">
            <v>3</v>
          </cell>
          <cell r="D53" t="str">
            <v>关卡10怪物3</v>
          </cell>
          <cell r="E53">
            <v>110</v>
          </cell>
        </row>
        <row r="53">
          <cell r="J53" t="str">
            <v>[{cd,3000},{hp,180},{atk,10},{spd,8500}]</v>
          </cell>
          <cell r="K53">
            <v>0</v>
          </cell>
        </row>
        <row r="53">
          <cell r="M53">
            <v>0</v>
          </cell>
          <cell r="N53">
            <v>0</v>
          </cell>
        </row>
        <row r="54">
          <cell r="A54">
            <v>1021</v>
          </cell>
          <cell r="B54">
            <v>10</v>
          </cell>
          <cell r="C54">
            <v>4</v>
          </cell>
          <cell r="D54" t="str">
            <v>关卡10BOSS1</v>
          </cell>
          <cell r="E54">
            <v>509</v>
          </cell>
        </row>
        <row r="54">
          <cell r="J54" t="str">
            <v>[{cd,3000},{hp,8438},{atk,14},{spd,8500}]</v>
          </cell>
          <cell r="K54">
            <v>2</v>
          </cell>
        </row>
        <row r="54">
          <cell r="M54">
            <v>0</v>
          </cell>
          <cell r="N54">
            <v>0</v>
          </cell>
          <cell r="O54">
            <v>1</v>
          </cell>
        </row>
        <row r="55">
          <cell r="A55">
            <v>1031</v>
          </cell>
          <cell r="B55">
            <v>10</v>
          </cell>
          <cell r="C55">
            <v>5</v>
          </cell>
          <cell r="D55" t="str">
            <v>关卡10BOSS2</v>
          </cell>
          <cell r="E55">
            <v>509</v>
          </cell>
        </row>
        <row r="55">
          <cell r="J55" t="str">
            <v>[{cd,3000},{hp,11250},{atk,28},{spd,8500}]</v>
          </cell>
          <cell r="K55">
            <v>2</v>
          </cell>
        </row>
        <row r="55">
          <cell r="M55">
            <v>0</v>
          </cell>
          <cell r="N55">
            <v>0</v>
          </cell>
          <cell r="O55">
            <v>1</v>
          </cell>
        </row>
        <row r="56">
          <cell r="A56">
            <v>1101</v>
          </cell>
          <cell r="B56">
            <v>11</v>
          </cell>
          <cell r="C56">
            <v>1</v>
          </cell>
          <cell r="D56" t="str">
            <v>关卡11怪物1</v>
          </cell>
          <cell r="E56">
            <v>101</v>
          </cell>
        </row>
        <row r="56">
          <cell r="J56" t="str">
            <v>[{cd,3000},{hp,240},{atk,9},{spd,8500}]</v>
          </cell>
          <cell r="K56">
            <v>0</v>
          </cell>
        </row>
        <row r="56">
          <cell r="M56">
            <v>0</v>
          </cell>
          <cell r="N56">
            <v>0</v>
          </cell>
        </row>
        <row r="57">
          <cell r="A57">
            <v>1102</v>
          </cell>
          <cell r="B57">
            <v>11</v>
          </cell>
          <cell r="C57">
            <v>2</v>
          </cell>
          <cell r="D57" t="str">
            <v>关卡11怪物2</v>
          </cell>
          <cell r="E57">
            <v>100</v>
          </cell>
        </row>
        <row r="57">
          <cell r="J57" t="str">
            <v>[{cd,3000},{hp,230},{atk,6},{spd,8500}]</v>
          </cell>
          <cell r="K57">
            <v>0</v>
          </cell>
          <cell r="L57" t="str">
            <v>[60002]</v>
          </cell>
          <cell r="M57">
            <v>0</v>
          </cell>
          <cell r="N57">
            <v>0</v>
          </cell>
        </row>
        <row r="58">
          <cell r="A58">
            <v>1103</v>
          </cell>
          <cell r="B58">
            <v>11</v>
          </cell>
          <cell r="C58">
            <v>3</v>
          </cell>
          <cell r="D58" t="str">
            <v>关卡11怪物3</v>
          </cell>
          <cell r="E58">
            <v>102</v>
          </cell>
        </row>
        <row r="58">
          <cell r="J58" t="str">
            <v>[{cd,3000},{hp,220},{atk,5},{spd,8500}]</v>
          </cell>
          <cell r="K58">
            <v>0</v>
          </cell>
        </row>
        <row r="58">
          <cell r="M58">
            <v>0</v>
          </cell>
          <cell r="N58">
            <v>0</v>
          </cell>
          <cell r="O58">
            <v>1</v>
          </cell>
        </row>
        <row r="59">
          <cell r="A59">
            <v>1121</v>
          </cell>
          <cell r="B59">
            <v>11</v>
          </cell>
          <cell r="C59">
            <v>4</v>
          </cell>
          <cell r="D59" t="str">
            <v>关卡11BOSS1</v>
          </cell>
          <cell r="E59">
            <v>501</v>
          </cell>
        </row>
        <row r="59">
          <cell r="J59" t="str">
            <v>[{cd,3000},{hp,10125},{atk,45},{spd,8500}]</v>
          </cell>
          <cell r="K59">
            <v>2</v>
          </cell>
        </row>
        <row r="59">
          <cell r="M59">
            <v>0</v>
          </cell>
          <cell r="N59">
            <v>0</v>
          </cell>
        </row>
        <row r="60">
          <cell r="A60">
            <v>1131</v>
          </cell>
          <cell r="B60">
            <v>11</v>
          </cell>
          <cell r="C60">
            <v>5</v>
          </cell>
          <cell r="D60" t="str">
            <v>关卡11BOSS2</v>
          </cell>
          <cell r="E60">
            <v>501</v>
          </cell>
        </row>
        <row r="60">
          <cell r="J60" t="str">
            <v>[{cd,3000},{hp,13500},{atk,90},{spd,8500}]</v>
          </cell>
          <cell r="K60">
            <v>2</v>
          </cell>
        </row>
        <row r="60">
          <cell r="M60">
            <v>0</v>
          </cell>
          <cell r="N60">
            <v>0</v>
          </cell>
        </row>
        <row r="61">
          <cell r="A61">
            <v>1201</v>
          </cell>
          <cell r="B61">
            <v>12</v>
          </cell>
          <cell r="C61">
            <v>1</v>
          </cell>
          <cell r="D61" t="str">
            <v>关卡12怪物1</v>
          </cell>
          <cell r="E61">
            <v>101</v>
          </cell>
        </row>
        <row r="61">
          <cell r="J61" t="str">
            <v>[{cd,3000},{hp,280},{atk,9},{spd,8500}]</v>
          </cell>
          <cell r="K61">
            <v>0</v>
          </cell>
        </row>
        <row r="61">
          <cell r="M61">
            <v>0</v>
          </cell>
          <cell r="N61">
            <v>0</v>
          </cell>
        </row>
        <row r="62">
          <cell r="A62">
            <v>1202</v>
          </cell>
          <cell r="B62">
            <v>12</v>
          </cell>
          <cell r="C62">
            <v>2</v>
          </cell>
          <cell r="D62" t="str">
            <v>关卡12怪物2</v>
          </cell>
          <cell r="E62">
            <v>100</v>
          </cell>
        </row>
        <row r="62">
          <cell r="J62" t="str">
            <v>[{cd,3000},{hp,270},{atk,6},{spd,8500}]</v>
          </cell>
          <cell r="K62">
            <v>0</v>
          </cell>
          <cell r="L62" t="str">
            <v>[60002]</v>
          </cell>
          <cell r="M62">
            <v>0</v>
          </cell>
          <cell r="N62">
            <v>0</v>
          </cell>
        </row>
        <row r="63">
          <cell r="A63">
            <v>1203</v>
          </cell>
          <cell r="B63">
            <v>12</v>
          </cell>
          <cell r="C63">
            <v>3</v>
          </cell>
          <cell r="D63" t="str">
            <v>关卡12怪物3</v>
          </cell>
          <cell r="E63">
            <v>102</v>
          </cell>
        </row>
        <row r="63">
          <cell r="J63" t="str">
            <v>[{cd,3000},{hp,260},{atk,5},{spd,8500}]</v>
          </cell>
          <cell r="K63">
            <v>0</v>
          </cell>
        </row>
        <row r="63">
          <cell r="M63">
            <v>0</v>
          </cell>
          <cell r="N63">
            <v>0</v>
          </cell>
          <cell r="O63">
            <v>1</v>
          </cell>
        </row>
        <row r="64">
          <cell r="A64">
            <v>1221</v>
          </cell>
          <cell r="B64">
            <v>12</v>
          </cell>
          <cell r="C64">
            <v>4</v>
          </cell>
          <cell r="D64" t="str">
            <v>关卡12BOSS1</v>
          </cell>
          <cell r="E64">
            <v>502</v>
          </cell>
        </row>
        <row r="64">
          <cell r="J64" t="str">
            <v>[{cd,3000},{hp,11813},{atk,25},{spd,8500}]</v>
          </cell>
          <cell r="K64">
            <v>2</v>
          </cell>
        </row>
        <row r="64">
          <cell r="M64">
            <v>0</v>
          </cell>
          <cell r="N64">
            <v>0</v>
          </cell>
          <cell r="O64">
            <v>1</v>
          </cell>
        </row>
        <row r="65">
          <cell r="A65">
            <v>1231</v>
          </cell>
          <cell r="B65">
            <v>12</v>
          </cell>
          <cell r="C65">
            <v>5</v>
          </cell>
          <cell r="D65" t="str">
            <v>关卡12BOSS2</v>
          </cell>
          <cell r="E65">
            <v>502</v>
          </cell>
        </row>
        <row r="65">
          <cell r="J65" t="str">
            <v>[{cd,3000},{hp,15750},{atk,50},{spd,8500}]</v>
          </cell>
          <cell r="K65">
            <v>2</v>
          </cell>
        </row>
        <row r="65">
          <cell r="M65">
            <v>0</v>
          </cell>
          <cell r="N65">
            <v>0</v>
          </cell>
          <cell r="O65">
            <v>1</v>
          </cell>
        </row>
        <row r="66">
          <cell r="A66">
            <v>1301</v>
          </cell>
          <cell r="B66">
            <v>13</v>
          </cell>
          <cell r="C66">
            <v>1</v>
          </cell>
          <cell r="D66" t="str">
            <v>关卡13怪物1</v>
          </cell>
          <cell r="E66">
            <v>103</v>
          </cell>
        </row>
        <row r="66">
          <cell r="J66" t="str">
            <v>[{cd,3000},{hp,320},{atk,9},{spd,8500}]</v>
          </cell>
          <cell r="K66">
            <v>0</v>
          </cell>
          <cell r="L66" t="str">
            <v>[60001]</v>
          </cell>
          <cell r="M66">
            <v>0</v>
          </cell>
          <cell r="N66">
            <v>0</v>
          </cell>
        </row>
        <row r="67">
          <cell r="A67">
            <v>1302</v>
          </cell>
          <cell r="B67">
            <v>13</v>
          </cell>
          <cell r="C67">
            <v>2</v>
          </cell>
          <cell r="D67" t="str">
            <v>关卡13怪物2</v>
          </cell>
          <cell r="E67">
            <v>104</v>
          </cell>
        </row>
        <row r="67">
          <cell r="J67" t="str">
            <v>[{cd,3000},{hp,310},{atk,14},{spd,8500}]</v>
          </cell>
          <cell r="K67">
            <v>0</v>
          </cell>
        </row>
        <row r="67">
          <cell r="M67">
            <v>0</v>
          </cell>
          <cell r="N67">
            <v>0</v>
          </cell>
        </row>
        <row r="68">
          <cell r="A68">
            <v>1303</v>
          </cell>
          <cell r="B68">
            <v>13</v>
          </cell>
          <cell r="C68">
            <v>3</v>
          </cell>
          <cell r="D68" t="str">
            <v>关卡13怪物3</v>
          </cell>
          <cell r="E68">
            <v>100</v>
          </cell>
        </row>
        <row r="68">
          <cell r="J68" t="str">
            <v>[{cd,3000},{hp,300},{atk,6},{spd,8500}]</v>
          </cell>
          <cell r="K68">
            <v>0</v>
          </cell>
          <cell r="L68" t="str">
            <v>[60002]</v>
          </cell>
          <cell r="M68">
            <v>0</v>
          </cell>
          <cell r="N68">
            <v>0</v>
          </cell>
        </row>
        <row r="69">
          <cell r="A69">
            <v>1321</v>
          </cell>
          <cell r="B69">
            <v>13</v>
          </cell>
          <cell r="C69">
            <v>4</v>
          </cell>
          <cell r="D69" t="str">
            <v>关卡13BOSS1</v>
          </cell>
          <cell r="E69">
            <v>504</v>
          </cell>
        </row>
        <row r="69">
          <cell r="J69" t="str">
            <v>[{cd,3000},{hp,13500},{atk,70},{spd,8500}]</v>
          </cell>
          <cell r="K69">
            <v>2</v>
          </cell>
        </row>
        <row r="69">
          <cell r="M69">
            <v>0</v>
          </cell>
          <cell r="N69">
            <v>0</v>
          </cell>
          <cell r="O69" t="str">
            <v/>
          </cell>
        </row>
        <row r="70">
          <cell r="A70">
            <v>1331</v>
          </cell>
          <cell r="B70">
            <v>13</v>
          </cell>
          <cell r="C70">
            <v>5</v>
          </cell>
          <cell r="D70" t="str">
            <v>关卡13BOSS2</v>
          </cell>
          <cell r="E70">
            <v>504</v>
          </cell>
        </row>
        <row r="70">
          <cell r="J70" t="str">
            <v>[{cd,3000},{hp,18000},{atk,140},{spd,8500}]</v>
          </cell>
          <cell r="K70">
            <v>2</v>
          </cell>
        </row>
        <row r="70">
          <cell r="M70">
            <v>0</v>
          </cell>
          <cell r="N70">
            <v>0</v>
          </cell>
          <cell r="O70" t="str">
            <v/>
          </cell>
        </row>
        <row r="71">
          <cell r="A71">
            <v>1401</v>
          </cell>
          <cell r="B71">
            <v>14</v>
          </cell>
          <cell r="C71">
            <v>1</v>
          </cell>
          <cell r="D71" t="str">
            <v>关卡14怪物1</v>
          </cell>
          <cell r="E71">
            <v>103</v>
          </cell>
        </row>
        <row r="71">
          <cell r="J71" t="str">
            <v>[{cd,3000},{hp,360},{atk,9},{spd,8500}]</v>
          </cell>
          <cell r="K71">
            <v>0</v>
          </cell>
          <cell r="L71" t="str">
            <v>[60001]</v>
          </cell>
          <cell r="M71">
            <v>0</v>
          </cell>
          <cell r="N71">
            <v>0</v>
          </cell>
          <cell r="O71" t="str">
            <v/>
          </cell>
        </row>
        <row r="72">
          <cell r="A72">
            <v>1402</v>
          </cell>
          <cell r="B72">
            <v>14</v>
          </cell>
          <cell r="C72">
            <v>2</v>
          </cell>
          <cell r="D72" t="str">
            <v>关卡14怪物2</v>
          </cell>
          <cell r="E72">
            <v>104</v>
          </cell>
        </row>
        <row r="72">
          <cell r="J72" t="str">
            <v>[{cd,3000},{hp,432},{atk,14},{spd,8500}]</v>
          </cell>
          <cell r="K72">
            <v>0</v>
          </cell>
          <cell r="L72" t="str">
            <v/>
          </cell>
          <cell r="M72">
            <v>0</v>
          </cell>
          <cell r="N72">
            <v>0</v>
          </cell>
          <cell r="O72" t="str">
            <v/>
          </cell>
        </row>
        <row r="73">
          <cell r="A73">
            <v>1403</v>
          </cell>
          <cell r="B73">
            <v>14</v>
          </cell>
          <cell r="C73">
            <v>3</v>
          </cell>
          <cell r="D73" t="str">
            <v>关卡14怪物3</v>
          </cell>
          <cell r="E73">
            <v>106</v>
          </cell>
        </row>
        <row r="73">
          <cell r="J73" t="str">
            <v>[{cd,3000},{hp,540},{atk,8},{spd,8500}]</v>
          </cell>
          <cell r="K73">
            <v>0</v>
          </cell>
          <cell r="L73" t="str">
            <v>[60002]</v>
          </cell>
          <cell r="M73">
            <v>0</v>
          </cell>
          <cell r="N73">
            <v>0</v>
          </cell>
          <cell r="O73">
            <v>1</v>
          </cell>
        </row>
        <row r="74">
          <cell r="A74">
            <v>1421</v>
          </cell>
          <cell r="B74">
            <v>14</v>
          </cell>
          <cell r="C74">
            <v>4</v>
          </cell>
          <cell r="D74" t="str">
            <v>关卡14BOSS1</v>
          </cell>
          <cell r="E74">
            <v>503</v>
          </cell>
        </row>
        <row r="74">
          <cell r="J74" t="str">
            <v>[{cd,3000},{hp,15188},{atk,45},{spd,8500}]</v>
          </cell>
          <cell r="K74">
            <v>2</v>
          </cell>
          <cell r="L74" t="str">
            <v>[60001]</v>
          </cell>
          <cell r="M74">
            <v>0</v>
          </cell>
          <cell r="N74">
            <v>0</v>
          </cell>
          <cell r="O74" t="str">
            <v/>
          </cell>
        </row>
        <row r="75">
          <cell r="A75">
            <v>1431</v>
          </cell>
          <cell r="B75">
            <v>14</v>
          </cell>
          <cell r="C75">
            <v>5</v>
          </cell>
          <cell r="D75" t="str">
            <v>关卡14BOSS2</v>
          </cell>
          <cell r="E75">
            <v>503</v>
          </cell>
        </row>
        <row r="75">
          <cell r="J75" t="str">
            <v>[{cd,3000},{hp,20250},{atk,90},{spd,8500}]</v>
          </cell>
          <cell r="K75">
            <v>2</v>
          </cell>
          <cell r="L75" t="str">
            <v>[60001]</v>
          </cell>
          <cell r="M75">
            <v>0</v>
          </cell>
          <cell r="N75">
            <v>0</v>
          </cell>
          <cell r="O75" t="str">
            <v/>
          </cell>
        </row>
        <row r="76">
          <cell r="A76">
            <v>1501</v>
          </cell>
          <cell r="B76">
            <v>15</v>
          </cell>
          <cell r="C76">
            <v>1</v>
          </cell>
          <cell r="D76" t="str">
            <v>关卡15怪物1</v>
          </cell>
          <cell r="E76">
            <v>108</v>
          </cell>
        </row>
        <row r="76">
          <cell r="J76" t="str">
            <v>[{cd,3000},{hp,400},{atk,15},{spd,8500}]</v>
          </cell>
          <cell r="K76">
            <v>0</v>
          </cell>
          <cell r="L76" t="str">
            <v/>
          </cell>
          <cell r="M76">
            <v>0</v>
          </cell>
          <cell r="N76">
            <v>0</v>
          </cell>
          <cell r="O76" t="str">
            <v/>
          </cell>
        </row>
        <row r="77">
          <cell r="A77">
            <v>1502</v>
          </cell>
          <cell r="B77">
            <v>15</v>
          </cell>
          <cell r="C77">
            <v>2</v>
          </cell>
          <cell r="D77" t="str">
            <v>关卡15怪物2</v>
          </cell>
          <cell r="E77">
            <v>110</v>
          </cell>
        </row>
        <row r="77">
          <cell r="J77" t="str">
            <v>[{cd,3000},{hp,480},{atk,15},{spd,8500}]</v>
          </cell>
          <cell r="K77">
            <v>0</v>
          </cell>
          <cell r="L77" t="str">
            <v/>
          </cell>
          <cell r="M77">
            <v>0</v>
          </cell>
          <cell r="N77">
            <v>0</v>
          </cell>
          <cell r="O77" t="str">
            <v/>
          </cell>
        </row>
        <row r="78">
          <cell r="A78">
            <v>1503</v>
          </cell>
          <cell r="B78">
            <v>15</v>
          </cell>
          <cell r="C78">
            <v>3</v>
          </cell>
          <cell r="D78" t="str">
            <v>关卡15怪物3</v>
          </cell>
          <cell r="E78">
            <v>114</v>
          </cell>
        </row>
        <row r="78">
          <cell r="J78" t="str">
            <v>[{cd,3000},{hp,600},{atk,8},{spd,8500}]</v>
          </cell>
          <cell r="K78">
            <v>0</v>
          </cell>
          <cell r="L78" t="str">
            <v/>
          </cell>
          <cell r="M78">
            <v>0</v>
          </cell>
          <cell r="N78">
            <v>0</v>
          </cell>
          <cell r="O78" t="str">
            <v/>
          </cell>
        </row>
        <row r="79">
          <cell r="A79">
            <v>1521</v>
          </cell>
          <cell r="B79">
            <v>15</v>
          </cell>
          <cell r="C79">
            <v>4</v>
          </cell>
          <cell r="D79" t="str">
            <v>关卡15BOSS1</v>
          </cell>
          <cell r="E79">
            <v>508</v>
          </cell>
        </row>
        <row r="79">
          <cell r="J79" t="str">
            <v>[{cd,3000},{hp,16875},{atk,75},{spd,8500}]</v>
          </cell>
          <cell r="K79">
            <v>2</v>
          </cell>
          <cell r="L79" t="str">
            <v/>
          </cell>
          <cell r="M79">
            <v>0</v>
          </cell>
          <cell r="N79">
            <v>0</v>
          </cell>
          <cell r="O79" t="str">
            <v/>
          </cell>
        </row>
        <row r="80">
          <cell r="A80">
            <v>1531</v>
          </cell>
          <cell r="B80">
            <v>15</v>
          </cell>
          <cell r="C80">
            <v>5</v>
          </cell>
          <cell r="D80" t="str">
            <v>关卡15BOSS2</v>
          </cell>
          <cell r="E80">
            <v>508</v>
          </cell>
        </row>
        <row r="80">
          <cell r="J80" t="str">
            <v>[{cd,3000},{hp,22500},{atk,150},{spd,8500}]</v>
          </cell>
          <cell r="K80">
            <v>2</v>
          </cell>
          <cell r="L80" t="str">
            <v/>
          </cell>
          <cell r="M80">
            <v>0</v>
          </cell>
          <cell r="N80">
            <v>0</v>
          </cell>
          <cell r="O80" t="str">
            <v/>
          </cell>
        </row>
        <row r="81">
          <cell r="A81">
            <v>1601</v>
          </cell>
          <cell r="B81">
            <v>16</v>
          </cell>
          <cell r="C81">
            <v>1</v>
          </cell>
          <cell r="D81" t="str">
            <v>关卡16怪物1</v>
          </cell>
          <cell r="E81">
            <v>110</v>
          </cell>
        </row>
        <row r="81">
          <cell r="J81" t="str">
            <v>[{cd,3000},{hp,460},{atk,15},{spd,8500}]</v>
          </cell>
          <cell r="K81">
            <v>0</v>
          </cell>
          <cell r="L81" t="str">
            <v/>
          </cell>
          <cell r="M81">
            <v>0</v>
          </cell>
          <cell r="N81">
            <v>0</v>
          </cell>
          <cell r="O81" t="str">
            <v/>
          </cell>
        </row>
        <row r="82">
          <cell r="A82">
            <v>1602</v>
          </cell>
          <cell r="B82">
            <v>16</v>
          </cell>
          <cell r="C82">
            <v>2</v>
          </cell>
          <cell r="D82" t="str">
            <v>关卡16怪物2</v>
          </cell>
          <cell r="E82">
            <v>114</v>
          </cell>
        </row>
        <row r="82">
          <cell r="J82" t="str">
            <v>[{cd,3000},{hp,552},{atk,8},{spd,8500}]</v>
          </cell>
          <cell r="K82">
            <v>0</v>
          </cell>
          <cell r="L82" t="str">
            <v/>
          </cell>
          <cell r="M82">
            <v>0</v>
          </cell>
          <cell r="N82">
            <v>0</v>
          </cell>
          <cell r="O82" t="str">
            <v/>
          </cell>
        </row>
        <row r="83">
          <cell r="A83">
            <v>1603</v>
          </cell>
          <cell r="B83">
            <v>16</v>
          </cell>
          <cell r="C83">
            <v>3</v>
          </cell>
          <cell r="D83" t="str">
            <v>关卡16怪物3</v>
          </cell>
          <cell r="E83">
            <v>109</v>
          </cell>
        </row>
        <row r="83">
          <cell r="J83" t="str">
            <v>[{cd,3000},{hp,690},{atk,6},{spd,8500}]</v>
          </cell>
          <cell r="K83">
            <v>0</v>
          </cell>
          <cell r="L83" t="str">
            <v/>
          </cell>
          <cell r="M83">
            <v>0</v>
          </cell>
          <cell r="N83">
            <v>0</v>
          </cell>
          <cell r="O83">
            <v>1</v>
          </cell>
        </row>
        <row r="84">
          <cell r="A84">
            <v>1621</v>
          </cell>
          <cell r="B84">
            <v>16</v>
          </cell>
          <cell r="C84">
            <v>4</v>
          </cell>
          <cell r="D84" t="str">
            <v>关卡16BOSS1</v>
          </cell>
          <cell r="E84">
            <v>514</v>
          </cell>
        </row>
        <row r="84">
          <cell r="J84" t="str">
            <v>[{cd,3000},{hp,19406},{atk,40},{spd,8500}]</v>
          </cell>
          <cell r="K84">
            <v>2</v>
          </cell>
          <cell r="L84" t="str">
            <v/>
          </cell>
          <cell r="M84">
            <v>0</v>
          </cell>
          <cell r="N84">
            <v>0</v>
          </cell>
          <cell r="O84" t="str">
            <v/>
          </cell>
        </row>
        <row r="85">
          <cell r="A85">
            <v>1631</v>
          </cell>
          <cell r="B85">
            <v>16</v>
          </cell>
          <cell r="C85">
            <v>5</v>
          </cell>
          <cell r="D85" t="str">
            <v>关卡16BOSS2</v>
          </cell>
          <cell r="E85">
            <v>514</v>
          </cell>
        </row>
        <row r="85">
          <cell r="J85" t="str">
            <v>[{cd,3000},{hp,25875},{atk,80},{spd,8500}]</v>
          </cell>
          <cell r="K85">
            <v>2</v>
          </cell>
          <cell r="L85" t="str">
            <v/>
          </cell>
          <cell r="M85">
            <v>0</v>
          </cell>
          <cell r="N85">
            <v>0</v>
          </cell>
          <cell r="O85" t="str">
            <v/>
          </cell>
        </row>
        <row r="86">
          <cell r="A86">
            <v>1701</v>
          </cell>
          <cell r="B86">
            <v>17</v>
          </cell>
          <cell r="C86">
            <v>1</v>
          </cell>
          <cell r="D86" t="str">
            <v>关卡17怪物1</v>
          </cell>
          <cell r="E86">
            <v>100</v>
          </cell>
        </row>
        <row r="86">
          <cell r="J86" t="str">
            <v>[{cd,3000},{hp,520},{atk,6},{spd,8500}]</v>
          </cell>
          <cell r="K86">
            <v>0</v>
          </cell>
          <cell r="L86" t="str">
            <v>[60002]</v>
          </cell>
          <cell r="M86">
            <v>0</v>
          </cell>
          <cell r="N86">
            <v>0</v>
          </cell>
          <cell r="O86" t="str">
            <v/>
          </cell>
        </row>
        <row r="87">
          <cell r="A87">
            <v>1702</v>
          </cell>
          <cell r="B87">
            <v>17</v>
          </cell>
          <cell r="C87">
            <v>2</v>
          </cell>
          <cell r="D87" t="str">
            <v>关卡17怪物2</v>
          </cell>
          <cell r="E87">
            <v>102</v>
          </cell>
        </row>
        <row r="87">
          <cell r="J87" t="str">
            <v>[{cd,3000},{hp,624},{atk,5},{spd,8500}]</v>
          </cell>
          <cell r="K87">
            <v>0</v>
          </cell>
          <cell r="L87" t="str">
            <v/>
          </cell>
          <cell r="M87">
            <v>0</v>
          </cell>
          <cell r="N87">
            <v>0</v>
          </cell>
          <cell r="O87">
            <v>1</v>
          </cell>
        </row>
        <row r="88">
          <cell r="A88">
            <v>1703</v>
          </cell>
          <cell r="B88">
            <v>17</v>
          </cell>
          <cell r="C88">
            <v>3</v>
          </cell>
          <cell r="D88" t="str">
            <v>关卡17怪物3</v>
          </cell>
          <cell r="E88">
            <v>105</v>
          </cell>
        </row>
        <row r="88">
          <cell r="J88" t="str">
            <v>[{cd,3000},{hp,780},{atk,9},{spd,8500}]</v>
          </cell>
          <cell r="K88">
            <v>0</v>
          </cell>
          <cell r="L88" t="str">
            <v>[60003]</v>
          </cell>
          <cell r="M88">
            <v>0</v>
          </cell>
          <cell r="N88">
            <v>0</v>
          </cell>
          <cell r="O88" t="str">
            <v/>
          </cell>
        </row>
        <row r="89">
          <cell r="A89">
            <v>1721</v>
          </cell>
          <cell r="B89">
            <v>17</v>
          </cell>
          <cell r="C89">
            <v>4</v>
          </cell>
          <cell r="D89" t="str">
            <v>关卡17BOSS1</v>
          </cell>
          <cell r="E89">
            <v>502</v>
          </cell>
        </row>
        <row r="89">
          <cell r="J89" t="str">
            <v>[{cd,3000},{hp,21938},{atk,25},{spd,8500}]</v>
          </cell>
          <cell r="K89">
            <v>2</v>
          </cell>
          <cell r="L89" t="str">
            <v/>
          </cell>
          <cell r="M89">
            <v>0</v>
          </cell>
          <cell r="N89">
            <v>0</v>
          </cell>
          <cell r="O89">
            <v>1</v>
          </cell>
        </row>
        <row r="90">
          <cell r="A90">
            <v>1731</v>
          </cell>
          <cell r="B90">
            <v>17</v>
          </cell>
          <cell r="C90">
            <v>5</v>
          </cell>
          <cell r="D90" t="str">
            <v>关卡17BOSS2</v>
          </cell>
          <cell r="E90">
            <v>502</v>
          </cell>
        </row>
        <row r="90">
          <cell r="J90" t="str">
            <v>[{cd,3000},{hp,29250},{atk,50},{spd,8500}]</v>
          </cell>
          <cell r="K90">
            <v>2</v>
          </cell>
          <cell r="L90" t="str">
            <v/>
          </cell>
          <cell r="M90">
            <v>0</v>
          </cell>
          <cell r="N90">
            <v>0</v>
          </cell>
          <cell r="O90">
            <v>1</v>
          </cell>
        </row>
        <row r="91">
          <cell r="A91">
            <v>1801</v>
          </cell>
          <cell r="B91">
            <v>18</v>
          </cell>
          <cell r="C91">
            <v>1</v>
          </cell>
          <cell r="D91" t="str">
            <v>关卡18怪物1</v>
          </cell>
          <cell r="E91">
            <v>100</v>
          </cell>
        </row>
        <row r="91">
          <cell r="J91" t="str">
            <v>[{cd,3000},{hp,580},{atk,6},{spd,8500}]</v>
          </cell>
          <cell r="K91">
            <v>0</v>
          </cell>
          <cell r="L91" t="str">
            <v>[60002]</v>
          </cell>
          <cell r="M91">
            <v>0</v>
          </cell>
          <cell r="N91">
            <v>0</v>
          </cell>
          <cell r="O91" t="str">
            <v/>
          </cell>
        </row>
        <row r="92">
          <cell r="A92">
            <v>1802</v>
          </cell>
          <cell r="B92">
            <v>18</v>
          </cell>
          <cell r="C92">
            <v>2</v>
          </cell>
          <cell r="D92" t="str">
            <v>关卡18怪物2</v>
          </cell>
          <cell r="E92">
            <v>105</v>
          </cell>
        </row>
        <row r="92">
          <cell r="J92" t="str">
            <v>[{cd,3000},{hp,696},{atk,9},{spd,8500}]</v>
          </cell>
          <cell r="K92">
            <v>0</v>
          </cell>
          <cell r="L92" t="str">
            <v>[60003]</v>
          </cell>
          <cell r="M92">
            <v>0</v>
          </cell>
          <cell r="N92">
            <v>0</v>
          </cell>
          <cell r="O92" t="str">
            <v/>
          </cell>
        </row>
        <row r="93">
          <cell r="A93">
            <v>1803</v>
          </cell>
          <cell r="B93">
            <v>18</v>
          </cell>
          <cell r="C93">
            <v>3</v>
          </cell>
          <cell r="D93" t="str">
            <v>关卡18怪物3</v>
          </cell>
          <cell r="E93">
            <v>102</v>
          </cell>
        </row>
        <row r="93">
          <cell r="J93" t="str">
            <v>[{cd,3000},{hp,870},{atk,5},{spd,8500}]</v>
          </cell>
          <cell r="K93">
            <v>0</v>
          </cell>
          <cell r="L93" t="str">
            <v/>
          </cell>
          <cell r="M93">
            <v>0</v>
          </cell>
          <cell r="N93">
            <v>0</v>
          </cell>
          <cell r="O93">
            <v>1</v>
          </cell>
        </row>
        <row r="94">
          <cell r="A94">
            <v>1821</v>
          </cell>
          <cell r="B94">
            <v>18</v>
          </cell>
          <cell r="C94">
            <v>4</v>
          </cell>
          <cell r="D94" t="str">
            <v>关卡18BOSS1</v>
          </cell>
          <cell r="E94">
            <v>502</v>
          </cell>
        </row>
        <row r="94">
          <cell r="J94" t="str">
            <v>[{cd,3000},{hp,24469},{atk,25},{spd,8500}]</v>
          </cell>
          <cell r="K94">
            <v>2</v>
          </cell>
          <cell r="L94" t="str">
            <v/>
          </cell>
          <cell r="M94">
            <v>0</v>
          </cell>
          <cell r="N94">
            <v>0</v>
          </cell>
          <cell r="O94">
            <v>1</v>
          </cell>
        </row>
        <row r="95">
          <cell r="A95">
            <v>1831</v>
          </cell>
          <cell r="B95">
            <v>18</v>
          </cell>
          <cell r="C95">
            <v>5</v>
          </cell>
          <cell r="D95" t="str">
            <v>关卡18BOSS2</v>
          </cell>
          <cell r="E95">
            <v>502</v>
          </cell>
        </row>
        <row r="95">
          <cell r="J95" t="str">
            <v>[{cd,3000},{hp,32625},{atk,50},{spd,8500}]</v>
          </cell>
          <cell r="K95">
            <v>2</v>
          </cell>
          <cell r="L95" t="str">
            <v/>
          </cell>
          <cell r="M95">
            <v>0</v>
          </cell>
          <cell r="N95">
            <v>0</v>
          </cell>
          <cell r="O95">
            <v>1</v>
          </cell>
        </row>
        <row r="96">
          <cell r="A96">
            <v>1901</v>
          </cell>
          <cell r="B96">
            <v>19</v>
          </cell>
          <cell r="C96">
            <v>1</v>
          </cell>
          <cell r="D96" t="str">
            <v>关卡19怪物1</v>
          </cell>
          <cell r="E96">
            <v>104</v>
          </cell>
        </row>
        <row r="96">
          <cell r="J96" t="str">
            <v>[{cd,3000},{hp,640},{atk,14},{spd,8500}]</v>
          </cell>
          <cell r="K96">
            <v>0</v>
          </cell>
          <cell r="L96" t="str">
            <v/>
          </cell>
          <cell r="M96">
            <v>0</v>
          </cell>
          <cell r="N96">
            <v>0</v>
          </cell>
          <cell r="O96" t="str">
            <v/>
          </cell>
        </row>
        <row r="97">
          <cell r="A97">
            <v>1902</v>
          </cell>
          <cell r="B97">
            <v>19</v>
          </cell>
          <cell r="C97">
            <v>2</v>
          </cell>
          <cell r="D97" t="str">
            <v>关卡19怪物2</v>
          </cell>
          <cell r="E97">
            <v>106</v>
          </cell>
        </row>
        <row r="97">
          <cell r="J97" t="str">
            <v>[{cd,3000},{hp,768},{atk,8},{spd,8500}]</v>
          </cell>
          <cell r="K97">
            <v>0</v>
          </cell>
          <cell r="L97" t="str">
            <v>[60002]</v>
          </cell>
          <cell r="M97">
            <v>0</v>
          </cell>
          <cell r="N97">
            <v>0</v>
          </cell>
          <cell r="O97">
            <v>1</v>
          </cell>
        </row>
        <row r="98">
          <cell r="A98">
            <v>1903</v>
          </cell>
          <cell r="B98">
            <v>19</v>
          </cell>
          <cell r="C98">
            <v>3</v>
          </cell>
          <cell r="D98" t="str">
            <v>关卡19怪物3</v>
          </cell>
          <cell r="E98">
            <v>107</v>
          </cell>
        </row>
        <row r="98">
          <cell r="J98" t="str">
            <v>[{cd,3000},{hp,960},{atk,6},{spd,8500}]</v>
          </cell>
          <cell r="K98">
            <v>0</v>
          </cell>
          <cell r="L98" t="str">
            <v>[60004]</v>
          </cell>
          <cell r="M98">
            <v>0</v>
          </cell>
          <cell r="N98">
            <v>0</v>
          </cell>
          <cell r="O98">
            <v>1</v>
          </cell>
        </row>
        <row r="99">
          <cell r="A99">
            <v>1921</v>
          </cell>
          <cell r="B99">
            <v>19</v>
          </cell>
          <cell r="C99">
            <v>4</v>
          </cell>
          <cell r="D99" t="str">
            <v>关卡19BOSS1</v>
          </cell>
          <cell r="E99">
            <v>503</v>
          </cell>
        </row>
        <row r="99">
          <cell r="J99" t="str">
            <v>[{cd,3000},{hp,27000},{atk,45},{spd,8500}]</v>
          </cell>
          <cell r="K99">
            <v>2</v>
          </cell>
          <cell r="L99" t="str">
            <v>[60001]</v>
          </cell>
          <cell r="M99">
            <v>0</v>
          </cell>
          <cell r="N99">
            <v>0</v>
          </cell>
          <cell r="O99" t="str">
            <v/>
          </cell>
        </row>
        <row r="100">
          <cell r="A100">
            <v>1931</v>
          </cell>
          <cell r="B100">
            <v>19</v>
          </cell>
          <cell r="C100">
            <v>5</v>
          </cell>
          <cell r="D100" t="str">
            <v>关卡19BOSS2</v>
          </cell>
          <cell r="E100">
            <v>503</v>
          </cell>
        </row>
        <row r="100">
          <cell r="J100" t="str">
            <v>[{cd,3000},{hp,36000},{atk,90},{spd,8500}]</v>
          </cell>
          <cell r="K100">
            <v>2</v>
          </cell>
          <cell r="L100" t="str">
            <v>[60001]</v>
          </cell>
          <cell r="M100">
            <v>0</v>
          </cell>
          <cell r="N100">
            <v>0</v>
          </cell>
          <cell r="O100" t="str">
            <v/>
          </cell>
        </row>
        <row r="101">
          <cell r="A101">
            <v>2001</v>
          </cell>
          <cell r="B101">
            <v>20</v>
          </cell>
          <cell r="C101">
            <v>1</v>
          </cell>
          <cell r="D101" t="str">
            <v>关卡20怪物1</v>
          </cell>
          <cell r="E101">
            <v>103</v>
          </cell>
        </row>
        <row r="101">
          <cell r="J101" t="str">
            <v>[{cd,3000},{hp,700},{atk,9},{spd,8500}]</v>
          </cell>
          <cell r="K101">
            <v>0</v>
          </cell>
          <cell r="L101" t="str">
            <v>[60001]</v>
          </cell>
          <cell r="M101">
            <v>0</v>
          </cell>
          <cell r="N101">
            <v>0</v>
          </cell>
          <cell r="O101" t="str">
            <v/>
          </cell>
        </row>
        <row r="102">
          <cell r="A102">
            <v>2002</v>
          </cell>
          <cell r="B102">
            <v>20</v>
          </cell>
          <cell r="C102">
            <v>2</v>
          </cell>
          <cell r="D102" t="str">
            <v>关卡20怪物2</v>
          </cell>
          <cell r="E102">
            <v>107</v>
          </cell>
        </row>
        <row r="102">
          <cell r="J102" t="str">
            <v>[{cd,3000},{hp,840},{atk,6},{spd,8500}]</v>
          </cell>
          <cell r="K102">
            <v>0</v>
          </cell>
          <cell r="L102" t="str">
            <v>[60004]</v>
          </cell>
          <cell r="M102">
            <v>0</v>
          </cell>
          <cell r="N102">
            <v>0</v>
          </cell>
          <cell r="O102">
            <v>1</v>
          </cell>
        </row>
        <row r="103">
          <cell r="A103">
            <v>2003</v>
          </cell>
          <cell r="B103">
            <v>20</v>
          </cell>
          <cell r="C103">
            <v>3</v>
          </cell>
          <cell r="D103" t="str">
            <v>关卡20怪物3</v>
          </cell>
          <cell r="E103">
            <v>106</v>
          </cell>
        </row>
        <row r="103">
          <cell r="J103" t="str">
            <v>[{cd,3000},{hp,1050},{atk,8},{spd,8500}]</v>
          </cell>
          <cell r="K103">
            <v>0</v>
          </cell>
          <cell r="L103" t="str">
            <v>[60002]</v>
          </cell>
          <cell r="M103">
            <v>0</v>
          </cell>
          <cell r="N103">
            <v>0</v>
          </cell>
          <cell r="O103">
            <v>1</v>
          </cell>
        </row>
        <row r="104">
          <cell r="A104">
            <v>2021</v>
          </cell>
          <cell r="B104">
            <v>20</v>
          </cell>
          <cell r="C104">
            <v>4</v>
          </cell>
          <cell r="D104" t="str">
            <v>关卡20BOSS1</v>
          </cell>
          <cell r="E104">
            <v>506</v>
          </cell>
        </row>
        <row r="104">
          <cell r="J104" t="str">
            <v>[{cd,3000},{hp,42000},{atk,40},{spd,8500}]</v>
          </cell>
          <cell r="K104">
            <v>2</v>
          </cell>
          <cell r="L104" t="str">
            <v>[60002]</v>
          </cell>
          <cell r="M104">
            <v>0</v>
          </cell>
          <cell r="N104">
            <v>0</v>
          </cell>
          <cell r="O104">
            <v>1</v>
          </cell>
        </row>
        <row r="105">
          <cell r="A105">
            <v>2031</v>
          </cell>
          <cell r="B105">
            <v>20</v>
          </cell>
          <cell r="C105">
            <v>5</v>
          </cell>
          <cell r="D105" t="str">
            <v>关卡20BOSS2</v>
          </cell>
          <cell r="E105">
            <v>506</v>
          </cell>
        </row>
        <row r="105">
          <cell r="J105" t="str">
            <v>[{cd,3000},{hp,56000},{atk,80},{spd,8500}]</v>
          </cell>
          <cell r="K105">
            <v>2</v>
          </cell>
          <cell r="L105" t="str">
            <v>[60002]</v>
          </cell>
          <cell r="M105">
            <v>0</v>
          </cell>
          <cell r="N105">
            <v>0</v>
          </cell>
          <cell r="O105">
            <v>1</v>
          </cell>
        </row>
        <row r="106">
          <cell r="A106">
            <v>2101</v>
          </cell>
          <cell r="B106">
            <v>21</v>
          </cell>
          <cell r="C106">
            <v>1</v>
          </cell>
          <cell r="D106" t="str">
            <v>关卡21怪物1</v>
          </cell>
          <cell r="E106">
            <v>108</v>
          </cell>
        </row>
        <row r="106">
          <cell r="J106" t="str">
            <v>[{cd,3000},{hp,800},{atk,40},{spd,8500}]</v>
          </cell>
          <cell r="K106">
            <v>0</v>
          </cell>
          <cell r="L106" t="str">
            <v/>
          </cell>
          <cell r="M106">
            <v>0</v>
          </cell>
          <cell r="N106">
            <v>0</v>
          </cell>
          <cell r="O106" t="str">
            <v/>
          </cell>
        </row>
        <row r="107">
          <cell r="A107">
            <v>2102</v>
          </cell>
          <cell r="B107">
            <v>21</v>
          </cell>
          <cell r="C107">
            <v>2</v>
          </cell>
          <cell r="D107" t="str">
            <v>关卡21怪物2</v>
          </cell>
          <cell r="E107">
            <v>109</v>
          </cell>
        </row>
        <row r="107">
          <cell r="J107" t="str">
            <v>[{cd,3000},{hp,960},{atk,16},{spd,8500}]</v>
          </cell>
          <cell r="K107">
            <v>0</v>
          </cell>
          <cell r="L107" t="str">
            <v/>
          </cell>
          <cell r="M107">
            <v>0</v>
          </cell>
          <cell r="N107">
            <v>0</v>
          </cell>
          <cell r="O107">
            <v>1</v>
          </cell>
        </row>
        <row r="108">
          <cell r="A108">
            <v>2103</v>
          </cell>
          <cell r="B108">
            <v>21</v>
          </cell>
          <cell r="C108">
            <v>3</v>
          </cell>
          <cell r="D108" t="str">
            <v>关卡21怪物3</v>
          </cell>
          <cell r="E108">
            <v>109</v>
          </cell>
        </row>
        <row r="108">
          <cell r="J108" t="str">
            <v>[{cd,3000},{hp,1200},{atk,16},{spd,8500}]</v>
          </cell>
          <cell r="K108">
            <v>0</v>
          </cell>
          <cell r="L108" t="str">
            <v/>
          </cell>
          <cell r="M108">
            <v>0</v>
          </cell>
          <cell r="N108">
            <v>0</v>
          </cell>
          <cell r="O108">
            <v>1</v>
          </cell>
        </row>
        <row r="109">
          <cell r="A109">
            <v>2121</v>
          </cell>
          <cell r="B109">
            <v>21</v>
          </cell>
          <cell r="C109">
            <v>4</v>
          </cell>
          <cell r="D109" t="str">
            <v>关卡21BOSS1</v>
          </cell>
          <cell r="E109">
            <v>508</v>
          </cell>
        </row>
        <row r="109">
          <cell r="J109" t="str">
            <v>[{cd,3000},{hp,48000},{atk,100},{spd,8500}]</v>
          </cell>
          <cell r="K109">
            <v>2</v>
          </cell>
          <cell r="L109" t="str">
            <v/>
          </cell>
          <cell r="M109">
            <v>0</v>
          </cell>
          <cell r="N109">
            <v>0</v>
          </cell>
          <cell r="O109" t="str">
            <v/>
          </cell>
        </row>
        <row r="110">
          <cell r="A110">
            <v>2131</v>
          </cell>
          <cell r="B110">
            <v>21</v>
          </cell>
          <cell r="C110">
            <v>5</v>
          </cell>
          <cell r="D110" t="str">
            <v>关卡21BOSS2</v>
          </cell>
          <cell r="E110">
            <v>508</v>
          </cell>
        </row>
        <row r="110">
          <cell r="J110" t="str">
            <v>[{cd,3000},{hp,64000},{atk,200},{spd,8500}]</v>
          </cell>
          <cell r="K110">
            <v>2</v>
          </cell>
          <cell r="L110" t="str">
            <v/>
          </cell>
          <cell r="M110">
            <v>0</v>
          </cell>
          <cell r="N110">
            <v>0</v>
          </cell>
          <cell r="O110" t="str">
            <v/>
          </cell>
        </row>
        <row r="111">
          <cell r="A111">
            <v>2201</v>
          </cell>
          <cell r="B111">
            <v>22</v>
          </cell>
          <cell r="C111">
            <v>1</v>
          </cell>
          <cell r="D111" t="str">
            <v>关卡22怪物1</v>
          </cell>
          <cell r="E111">
            <v>108</v>
          </cell>
        </row>
        <row r="111">
          <cell r="J111" t="str">
            <v>[{cd,3000},{hp,900},{atk,40},{spd,8500}]</v>
          </cell>
          <cell r="K111">
            <v>0</v>
          </cell>
          <cell r="L111" t="str">
            <v/>
          </cell>
          <cell r="M111">
            <v>0</v>
          </cell>
          <cell r="N111">
            <v>0</v>
          </cell>
          <cell r="O111" t="str">
            <v/>
          </cell>
        </row>
        <row r="112">
          <cell r="A112">
            <v>2202</v>
          </cell>
          <cell r="B112">
            <v>22</v>
          </cell>
          <cell r="C112">
            <v>2</v>
          </cell>
          <cell r="D112" t="str">
            <v>关卡22怪物2</v>
          </cell>
          <cell r="E112">
            <v>109</v>
          </cell>
        </row>
        <row r="112">
          <cell r="J112" t="str">
            <v>[{cd,3000},{hp,1080},{atk,16},{spd,8500}]</v>
          </cell>
          <cell r="K112">
            <v>0</v>
          </cell>
          <cell r="L112" t="str">
            <v/>
          </cell>
          <cell r="M112">
            <v>0</v>
          </cell>
          <cell r="N112">
            <v>0</v>
          </cell>
          <cell r="O112">
            <v>1</v>
          </cell>
        </row>
        <row r="113">
          <cell r="A113">
            <v>2203</v>
          </cell>
          <cell r="B113">
            <v>22</v>
          </cell>
          <cell r="C113">
            <v>3</v>
          </cell>
          <cell r="D113" t="str">
            <v>关卡22怪物3</v>
          </cell>
          <cell r="E113">
            <v>110</v>
          </cell>
        </row>
        <row r="113">
          <cell r="J113" t="str">
            <v>[{cd,3000},{hp,1350},{atk,40},{spd,8500}]</v>
          </cell>
          <cell r="K113">
            <v>0</v>
          </cell>
          <cell r="L113" t="str">
            <v/>
          </cell>
          <cell r="M113">
            <v>0</v>
          </cell>
          <cell r="N113">
            <v>0</v>
          </cell>
          <cell r="O113" t="str">
            <v/>
          </cell>
        </row>
        <row r="114">
          <cell r="A114">
            <v>2221</v>
          </cell>
          <cell r="B114">
            <v>22</v>
          </cell>
          <cell r="C114">
            <v>4</v>
          </cell>
          <cell r="D114" t="str">
            <v>关卡22BOSS1</v>
          </cell>
          <cell r="E114">
            <v>509</v>
          </cell>
        </row>
        <row r="114">
          <cell r="J114" t="str">
            <v>[{cd,3000},{hp,54000},{atk,40},{spd,8500}]</v>
          </cell>
          <cell r="K114">
            <v>2</v>
          </cell>
          <cell r="L114" t="str">
            <v/>
          </cell>
          <cell r="M114">
            <v>0</v>
          </cell>
          <cell r="N114">
            <v>0</v>
          </cell>
          <cell r="O114">
            <v>1</v>
          </cell>
        </row>
        <row r="115">
          <cell r="A115">
            <v>2231</v>
          </cell>
          <cell r="B115">
            <v>22</v>
          </cell>
          <cell r="C115">
            <v>5</v>
          </cell>
          <cell r="D115" t="str">
            <v>关卡22BOSS2</v>
          </cell>
          <cell r="E115">
            <v>509</v>
          </cell>
        </row>
        <row r="115">
          <cell r="J115" t="str">
            <v>[{cd,3000},{hp,72000},{atk,80},{spd,8500}]</v>
          </cell>
          <cell r="K115">
            <v>2</v>
          </cell>
          <cell r="L115" t="str">
            <v/>
          </cell>
          <cell r="M115">
            <v>0</v>
          </cell>
          <cell r="N115">
            <v>0</v>
          </cell>
          <cell r="O115">
            <v>1</v>
          </cell>
        </row>
        <row r="116">
          <cell r="A116">
            <v>2301</v>
          </cell>
          <cell r="B116">
            <v>23</v>
          </cell>
          <cell r="C116">
            <v>1</v>
          </cell>
          <cell r="D116" t="str">
            <v>关卡23怪物1</v>
          </cell>
          <cell r="E116">
            <v>111</v>
          </cell>
        </row>
        <row r="116">
          <cell r="J116" t="str">
            <v>[{cd,3000},{hp,1000},{atk,24},{spd,8500}]</v>
          </cell>
          <cell r="K116">
            <v>0</v>
          </cell>
          <cell r="L116" t="str">
            <v/>
          </cell>
          <cell r="M116">
            <v>0</v>
          </cell>
          <cell r="N116">
            <v>0</v>
          </cell>
          <cell r="O116" t="str">
            <v/>
          </cell>
        </row>
        <row r="117">
          <cell r="A117">
            <v>2302</v>
          </cell>
          <cell r="B117">
            <v>23</v>
          </cell>
          <cell r="C117">
            <v>2</v>
          </cell>
          <cell r="D117" t="str">
            <v>关卡23怪物2</v>
          </cell>
          <cell r="E117">
            <v>112</v>
          </cell>
        </row>
        <row r="117">
          <cell r="J117" t="str">
            <v>[{cd,3000},{hp,1200},{atk,16},{spd,8500}]</v>
          </cell>
          <cell r="K117">
            <v>0</v>
          </cell>
          <cell r="L117" t="str">
            <v/>
          </cell>
          <cell r="M117">
            <v>0</v>
          </cell>
          <cell r="N117">
            <v>0</v>
          </cell>
          <cell r="O117">
            <v>1</v>
          </cell>
        </row>
        <row r="118">
          <cell r="A118">
            <v>2303</v>
          </cell>
          <cell r="B118">
            <v>23</v>
          </cell>
          <cell r="C118">
            <v>3</v>
          </cell>
          <cell r="D118" t="str">
            <v>关卡23怪物3</v>
          </cell>
          <cell r="E118">
            <v>113</v>
          </cell>
        </row>
        <row r="118">
          <cell r="J118" t="str">
            <v>[{cd,3000},{hp,1500},{atk,16},{spd,8500}]</v>
          </cell>
          <cell r="K118">
            <v>0</v>
          </cell>
          <cell r="L118" t="str">
            <v>[60005]</v>
          </cell>
          <cell r="M118">
            <v>0</v>
          </cell>
          <cell r="N118">
            <v>0</v>
          </cell>
          <cell r="O118">
            <v>1</v>
          </cell>
        </row>
        <row r="119">
          <cell r="A119">
            <v>2321</v>
          </cell>
          <cell r="B119">
            <v>23</v>
          </cell>
          <cell r="C119">
            <v>4</v>
          </cell>
          <cell r="D119" t="str">
            <v>关卡23BOSS1</v>
          </cell>
          <cell r="E119">
            <v>511</v>
          </cell>
        </row>
        <row r="119">
          <cell r="J119" t="str">
            <v>[{cd,3000},{hp,60000},{atk,60},{spd,8500}]</v>
          </cell>
          <cell r="K119">
            <v>2</v>
          </cell>
          <cell r="L119" t="str">
            <v/>
          </cell>
          <cell r="M119">
            <v>0</v>
          </cell>
          <cell r="N119">
            <v>0</v>
          </cell>
          <cell r="O119" t="str">
            <v/>
          </cell>
        </row>
        <row r="120">
          <cell r="A120">
            <v>2331</v>
          </cell>
          <cell r="B120">
            <v>23</v>
          </cell>
          <cell r="C120">
            <v>5</v>
          </cell>
          <cell r="D120" t="str">
            <v>关卡23BOSS2</v>
          </cell>
          <cell r="E120">
            <v>511</v>
          </cell>
        </row>
        <row r="120">
          <cell r="J120" t="str">
            <v>[{cd,3000},{hp,80000},{atk,120},{spd,8500}]</v>
          </cell>
          <cell r="K120">
            <v>2</v>
          </cell>
          <cell r="L120" t="str">
            <v/>
          </cell>
          <cell r="M120">
            <v>0</v>
          </cell>
          <cell r="N120">
            <v>0</v>
          </cell>
          <cell r="O120" t="str">
            <v/>
          </cell>
        </row>
        <row r="121">
          <cell r="A121">
            <v>2401</v>
          </cell>
          <cell r="B121">
            <v>24</v>
          </cell>
          <cell r="C121">
            <v>1</v>
          </cell>
          <cell r="D121" t="str">
            <v>关卡24怪物1</v>
          </cell>
          <cell r="E121">
            <v>111</v>
          </cell>
        </row>
        <row r="121">
          <cell r="J121" t="str">
            <v>[{cd,3000},{hp,1100},{atk,24},{spd,8500}]</v>
          </cell>
          <cell r="K121">
            <v>0</v>
          </cell>
          <cell r="L121" t="str">
            <v/>
          </cell>
          <cell r="M121">
            <v>0</v>
          </cell>
          <cell r="N121">
            <v>0</v>
          </cell>
          <cell r="O121" t="str">
            <v/>
          </cell>
        </row>
        <row r="122">
          <cell r="A122">
            <v>2402</v>
          </cell>
          <cell r="B122">
            <v>24</v>
          </cell>
          <cell r="C122">
            <v>2</v>
          </cell>
          <cell r="D122" t="str">
            <v>关卡24怪物2</v>
          </cell>
          <cell r="E122">
            <v>112</v>
          </cell>
        </row>
        <row r="122">
          <cell r="J122" t="str">
            <v>[{cd,3000},{hp,1320},{atk,16},{spd,8500}]</v>
          </cell>
          <cell r="K122">
            <v>0</v>
          </cell>
          <cell r="L122" t="str">
            <v/>
          </cell>
          <cell r="M122">
            <v>0</v>
          </cell>
          <cell r="N122">
            <v>0</v>
          </cell>
          <cell r="O122">
            <v>1</v>
          </cell>
        </row>
        <row r="123">
          <cell r="A123">
            <v>2403</v>
          </cell>
          <cell r="B123">
            <v>24</v>
          </cell>
          <cell r="C123">
            <v>3</v>
          </cell>
          <cell r="D123" t="str">
            <v>关卡24怪物3</v>
          </cell>
          <cell r="E123">
            <v>115</v>
          </cell>
        </row>
        <row r="123">
          <cell r="J123" t="str">
            <v>[{cd,3000},{hp,1650},{atk,40},{spd,8500}]</v>
          </cell>
          <cell r="K123">
            <v>0</v>
          </cell>
          <cell r="L123" t="str">
            <v/>
          </cell>
          <cell r="M123">
            <v>0</v>
          </cell>
          <cell r="N123">
            <v>0</v>
          </cell>
          <cell r="O123" t="str">
            <v/>
          </cell>
        </row>
        <row r="124">
          <cell r="A124">
            <v>2421</v>
          </cell>
          <cell r="B124">
            <v>24</v>
          </cell>
          <cell r="C124">
            <v>4</v>
          </cell>
          <cell r="D124" t="str">
            <v>关卡24BOSS1</v>
          </cell>
          <cell r="E124">
            <v>512</v>
          </cell>
        </row>
        <row r="124">
          <cell r="J124" t="str">
            <v>[{cd,3000},{hp,66000},{atk,40},{spd,8500}]</v>
          </cell>
          <cell r="K124">
            <v>2</v>
          </cell>
          <cell r="L124" t="str">
            <v/>
          </cell>
          <cell r="M124">
            <v>0</v>
          </cell>
          <cell r="N124">
            <v>0</v>
          </cell>
          <cell r="O124">
            <v>1</v>
          </cell>
        </row>
        <row r="125">
          <cell r="A125">
            <v>2431</v>
          </cell>
          <cell r="B125">
            <v>24</v>
          </cell>
          <cell r="C125">
            <v>5</v>
          </cell>
          <cell r="D125" t="str">
            <v>关卡24BOSS2</v>
          </cell>
          <cell r="E125">
            <v>512</v>
          </cell>
        </row>
        <row r="125">
          <cell r="J125" t="str">
            <v>[{cd,3000},{hp,88000},{atk,80},{spd,8500}]</v>
          </cell>
          <cell r="K125">
            <v>2</v>
          </cell>
          <cell r="L125" t="str">
            <v/>
          </cell>
          <cell r="M125">
            <v>0</v>
          </cell>
          <cell r="N125">
            <v>0</v>
          </cell>
          <cell r="O125">
            <v>1</v>
          </cell>
        </row>
        <row r="126">
          <cell r="A126">
            <v>2501</v>
          </cell>
          <cell r="B126">
            <v>25</v>
          </cell>
          <cell r="C126">
            <v>1</v>
          </cell>
          <cell r="D126" t="str">
            <v>关卡25怪物1</v>
          </cell>
          <cell r="E126">
            <v>101</v>
          </cell>
        </row>
        <row r="126">
          <cell r="J126" t="str">
            <v>[{cd,3000},{hp,1200},{atk,24},{spd,8500}]</v>
          </cell>
          <cell r="K126">
            <v>0</v>
          </cell>
          <cell r="L126" t="str">
            <v/>
          </cell>
          <cell r="M126">
            <v>0</v>
          </cell>
          <cell r="N126">
            <v>0</v>
          </cell>
          <cell r="O126" t="str">
            <v/>
          </cell>
        </row>
        <row r="127">
          <cell r="A127">
            <v>2502</v>
          </cell>
          <cell r="B127">
            <v>25</v>
          </cell>
          <cell r="C127">
            <v>2</v>
          </cell>
          <cell r="D127" t="str">
            <v>关卡25怪物2</v>
          </cell>
          <cell r="E127">
            <v>100</v>
          </cell>
        </row>
        <row r="127">
          <cell r="J127" t="str">
            <v>[{cd,3000},{hp,1440},{atk,16},{spd,8500}]</v>
          </cell>
          <cell r="K127">
            <v>0</v>
          </cell>
          <cell r="L127" t="str">
            <v>[60002]</v>
          </cell>
          <cell r="M127">
            <v>0</v>
          </cell>
          <cell r="N127">
            <v>0</v>
          </cell>
          <cell r="O127" t="str">
            <v/>
          </cell>
        </row>
        <row r="128">
          <cell r="A128">
            <v>2503</v>
          </cell>
          <cell r="B128">
            <v>25</v>
          </cell>
          <cell r="C128">
            <v>3</v>
          </cell>
          <cell r="D128" t="str">
            <v>关卡25怪物3</v>
          </cell>
          <cell r="E128">
            <v>102</v>
          </cell>
        </row>
        <row r="128">
          <cell r="J128" t="str">
            <v>[{cd,3000},{hp,1800},{atk,12},{spd,8500}]</v>
          </cell>
          <cell r="K128">
            <v>0</v>
          </cell>
          <cell r="L128" t="str">
            <v/>
          </cell>
          <cell r="M128">
            <v>0</v>
          </cell>
          <cell r="N128">
            <v>0</v>
          </cell>
          <cell r="O128">
            <v>1</v>
          </cell>
        </row>
        <row r="129">
          <cell r="A129">
            <v>2521</v>
          </cell>
          <cell r="B129">
            <v>25</v>
          </cell>
          <cell r="C129">
            <v>4</v>
          </cell>
          <cell r="D129" t="str">
            <v>关卡25BOSS1</v>
          </cell>
          <cell r="E129">
            <v>501</v>
          </cell>
        </row>
        <row r="129">
          <cell r="J129" t="str">
            <v>[{cd,3000},{hp,72000},{atk,60},{spd,8500}]</v>
          </cell>
          <cell r="K129">
            <v>2</v>
          </cell>
          <cell r="L129" t="str">
            <v/>
          </cell>
          <cell r="M129">
            <v>0</v>
          </cell>
          <cell r="N129">
            <v>0</v>
          </cell>
          <cell r="O129" t="str">
            <v/>
          </cell>
        </row>
        <row r="130">
          <cell r="A130">
            <v>2531</v>
          </cell>
          <cell r="B130">
            <v>25</v>
          </cell>
          <cell r="C130">
            <v>5</v>
          </cell>
          <cell r="D130" t="str">
            <v>关卡25BOSS2</v>
          </cell>
          <cell r="E130">
            <v>501</v>
          </cell>
        </row>
        <row r="130">
          <cell r="J130" t="str">
            <v>[{cd,3000},{hp,96000},{atk,120},{spd,8500}]</v>
          </cell>
          <cell r="K130">
            <v>2</v>
          </cell>
          <cell r="L130" t="str">
            <v/>
          </cell>
          <cell r="M130">
            <v>0</v>
          </cell>
          <cell r="N130">
            <v>0</v>
          </cell>
          <cell r="O130" t="str">
            <v/>
          </cell>
        </row>
        <row r="131">
          <cell r="A131">
            <v>2601</v>
          </cell>
          <cell r="B131">
            <v>26</v>
          </cell>
          <cell r="C131">
            <v>1</v>
          </cell>
          <cell r="D131" t="str">
            <v>关卡26怪物1</v>
          </cell>
          <cell r="E131">
            <v>101</v>
          </cell>
        </row>
        <row r="131">
          <cell r="J131" t="str">
            <v>[{cd,3000},{hp,1300},{atk,24},{spd,8500}]</v>
          </cell>
          <cell r="K131">
            <v>0</v>
          </cell>
          <cell r="L131" t="str">
            <v/>
          </cell>
          <cell r="M131">
            <v>0</v>
          </cell>
          <cell r="N131">
            <v>0</v>
          </cell>
          <cell r="O131" t="str">
            <v/>
          </cell>
        </row>
        <row r="132">
          <cell r="A132">
            <v>2602</v>
          </cell>
          <cell r="B132">
            <v>26</v>
          </cell>
          <cell r="C132">
            <v>2</v>
          </cell>
          <cell r="D132" t="str">
            <v>关卡26怪物2</v>
          </cell>
          <cell r="E132">
            <v>100</v>
          </cell>
        </row>
        <row r="132">
          <cell r="J132" t="str">
            <v>[{cd,3000},{hp,1560},{atk,16},{spd,8500}]</v>
          </cell>
          <cell r="K132">
            <v>0</v>
          </cell>
          <cell r="L132" t="str">
            <v>[60002]</v>
          </cell>
          <cell r="M132">
            <v>0</v>
          </cell>
          <cell r="N132">
            <v>0</v>
          </cell>
          <cell r="O132" t="str">
            <v/>
          </cell>
        </row>
        <row r="133">
          <cell r="A133">
            <v>2603</v>
          </cell>
          <cell r="B133">
            <v>26</v>
          </cell>
          <cell r="C133">
            <v>3</v>
          </cell>
          <cell r="D133" t="str">
            <v>关卡26怪物3</v>
          </cell>
          <cell r="E133">
            <v>102</v>
          </cell>
        </row>
        <row r="133">
          <cell r="J133" t="str">
            <v>[{cd,3000},{hp,1950},{atk,12},{spd,8500}]</v>
          </cell>
          <cell r="K133">
            <v>0</v>
          </cell>
          <cell r="L133" t="str">
            <v/>
          </cell>
          <cell r="M133">
            <v>0</v>
          </cell>
          <cell r="N133">
            <v>0</v>
          </cell>
          <cell r="O133">
            <v>1</v>
          </cell>
        </row>
        <row r="134">
          <cell r="A134">
            <v>2621</v>
          </cell>
          <cell r="B134">
            <v>26</v>
          </cell>
          <cell r="C134">
            <v>4</v>
          </cell>
          <cell r="D134" t="str">
            <v>关卡26BOSS1</v>
          </cell>
          <cell r="E134">
            <v>502</v>
          </cell>
        </row>
        <row r="134">
          <cell r="J134" t="str">
            <v>[{cd,3000},{hp,78000},{atk,30},{spd,8500}]</v>
          </cell>
          <cell r="K134">
            <v>2</v>
          </cell>
          <cell r="L134" t="str">
            <v/>
          </cell>
          <cell r="M134">
            <v>0</v>
          </cell>
          <cell r="N134">
            <v>0</v>
          </cell>
          <cell r="O134">
            <v>1</v>
          </cell>
        </row>
        <row r="135">
          <cell r="A135">
            <v>2631</v>
          </cell>
          <cell r="B135">
            <v>26</v>
          </cell>
          <cell r="C135">
            <v>5</v>
          </cell>
          <cell r="D135" t="str">
            <v>关卡26BOSS2</v>
          </cell>
          <cell r="E135">
            <v>502</v>
          </cell>
        </row>
        <row r="135">
          <cell r="J135" t="str">
            <v>[{cd,3000},{hp,104000},{atk,60},{spd,8500}]</v>
          </cell>
          <cell r="K135">
            <v>2</v>
          </cell>
          <cell r="L135" t="str">
            <v/>
          </cell>
          <cell r="M135">
            <v>0</v>
          </cell>
          <cell r="N135">
            <v>0</v>
          </cell>
          <cell r="O135">
            <v>1</v>
          </cell>
        </row>
        <row r="136">
          <cell r="A136">
            <v>2701</v>
          </cell>
          <cell r="B136">
            <v>27</v>
          </cell>
          <cell r="C136">
            <v>1</v>
          </cell>
          <cell r="D136" t="str">
            <v>关卡27怪物1</v>
          </cell>
          <cell r="E136">
            <v>103</v>
          </cell>
        </row>
        <row r="136">
          <cell r="J136" t="str">
            <v>[{cd,3000},{hp,1400},{atk,24},{spd,8500}]</v>
          </cell>
          <cell r="K136">
            <v>0</v>
          </cell>
          <cell r="L136" t="str">
            <v>[60001]</v>
          </cell>
          <cell r="M136">
            <v>0</v>
          </cell>
          <cell r="N136">
            <v>0</v>
          </cell>
          <cell r="O136" t="str">
            <v/>
          </cell>
        </row>
        <row r="137">
          <cell r="A137">
            <v>2702</v>
          </cell>
          <cell r="B137">
            <v>27</v>
          </cell>
          <cell r="C137">
            <v>2</v>
          </cell>
          <cell r="D137" t="str">
            <v>关卡27怪物2</v>
          </cell>
          <cell r="E137">
            <v>104</v>
          </cell>
        </row>
        <row r="137">
          <cell r="J137" t="str">
            <v>[{cd,3000},{hp,1680},{atk,36},{spd,8500}]</v>
          </cell>
          <cell r="K137">
            <v>0</v>
          </cell>
          <cell r="L137" t="str">
            <v/>
          </cell>
          <cell r="M137">
            <v>0</v>
          </cell>
          <cell r="N137">
            <v>0</v>
          </cell>
          <cell r="O137" t="str">
            <v/>
          </cell>
        </row>
        <row r="138">
          <cell r="A138">
            <v>2703</v>
          </cell>
          <cell r="B138">
            <v>27</v>
          </cell>
          <cell r="C138">
            <v>3</v>
          </cell>
          <cell r="D138" t="str">
            <v>关卡27怪物3</v>
          </cell>
          <cell r="E138">
            <v>104</v>
          </cell>
        </row>
        <row r="138">
          <cell r="J138" t="str">
            <v>[{cd,3000},{hp,2100},{atk,36},{spd,8500}]</v>
          </cell>
          <cell r="K138">
            <v>0</v>
          </cell>
          <cell r="L138" t="str">
            <v/>
          </cell>
          <cell r="M138">
            <v>0</v>
          </cell>
          <cell r="N138">
            <v>0</v>
          </cell>
          <cell r="O138" t="str">
            <v/>
          </cell>
        </row>
        <row r="139">
          <cell r="A139">
            <v>2721</v>
          </cell>
          <cell r="B139">
            <v>27</v>
          </cell>
          <cell r="C139">
            <v>4</v>
          </cell>
          <cell r="D139" t="str">
            <v>关卡27BOSS1</v>
          </cell>
          <cell r="E139">
            <v>504</v>
          </cell>
        </row>
        <row r="139">
          <cell r="J139" t="str">
            <v>[{cd,3000},{hp,84000},{atk,90},{spd,8500}]</v>
          </cell>
          <cell r="K139">
            <v>2</v>
          </cell>
          <cell r="L139" t="str">
            <v/>
          </cell>
          <cell r="M139">
            <v>0</v>
          </cell>
          <cell r="N139">
            <v>0</v>
          </cell>
          <cell r="O139" t="str">
            <v/>
          </cell>
        </row>
        <row r="140">
          <cell r="A140">
            <v>2731</v>
          </cell>
          <cell r="B140">
            <v>27</v>
          </cell>
          <cell r="C140">
            <v>5</v>
          </cell>
          <cell r="D140" t="str">
            <v>关卡27BOSS2</v>
          </cell>
          <cell r="E140">
            <v>504</v>
          </cell>
        </row>
        <row r="140">
          <cell r="J140" t="str">
            <v>[{cd,3000},{hp,112000},{atk,180},{spd,8500}]</v>
          </cell>
          <cell r="K140">
            <v>2</v>
          </cell>
          <cell r="L140" t="str">
            <v/>
          </cell>
          <cell r="M140">
            <v>0</v>
          </cell>
          <cell r="N140">
            <v>0</v>
          </cell>
          <cell r="O140" t="str">
            <v/>
          </cell>
        </row>
        <row r="141">
          <cell r="A141">
            <v>2801</v>
          </cell>
          <cell r="B141">
            <v>28</v>
          </cell>
          <cell r="C141">
            <v>1</v>
          </cell>
          <cell r="D141" t="str">
            <v>关卡28怪物1</v>
          </cell>
          <cell r="E141">
            <v>103</v>
          </cell>
        </row>
        <row r="141">
          <cell r="J141" t="str">
            <v>[{cd,3000},{hp,1500},{atk,24},{spd,8500}]</v>
          </cell>
          <cell r="K141">
            <v>0</v>
          </cell>
          <cell r="L141" t="str">
            <v>[60001]</v>
          </cell>
          <cell r="M141">
            <v>0</v>
          </cell>
          <cell r="N141">
            <v>0</v>
          </cell>
          <cell r="O141" t="str">
            <v/>
          </cell>
        </row>
        <row r="142">
          <cell r="A142">
            <v>2802</v>
          </cell>
          <cell r="B142">
            <v>28</v>
          </cell>
          <cell r="C142">
            <v>2</v>
          </cell>
          <cell r="D142" t="str">
            <v>关卡28怪物2</v>
          </cell>
          <cell r="E142">
            <v>104</v>
          </cell>
        </row>
        <row r="142">
          <cell r="J142" t="str">
            <v>[{cd,3000},{hp,1800},{atk,36},{spd,8500}]</v>
          </cell>
          <cell r="K142">
            <v>0</v>
          </cell>
          <cell r="L142" t="str">
            <v/>
          </cell>
          <cell r="M142">
            <v>0</v>
          </cell>
          <cell r="N142">
            <v>0</v>
          </cell>
          <cell r="O142" t="str">
            <v/>
          </cell>
        </row>
        <row r="143">
          <cell r="A143">
            <v>2803</v>
          </cell>
          <cell r="B143">
            <v>28</v>
          </cell>
          <cell r="C143">
            <v>3</v>
          </cell>
          <cell r="D143" t="str">
            <v>关卡28怪物3</v>
          </cell>
          <cell r="E143">
            <v>106</v>
          </cell>
        </row>
        <row r="143">
          <cell r="J143" t="str">
            <v>[{cd,3000},{hp,2250},{atk,20},{spd,8500}]</v>
          </cell>
          <cell r="K143">
            <v>0</v>
          </cell>
          <cell r="L143" t="str">
            <v>[60002]</v>
          </cell>
          <cell r="M143">
            <v>0</v>
          </cell>
          <cell r="N143">
            <v>0</v>
          </cell>
          <cell r="O143">
            <v>1</v>
          </cell>
        </row>
        <row r="144">
          <cell r="A144">
            <v>2821</v>
          </cell>
          <cell r="B144">
            <v>28</v>
          </cell>
          <cell r="C144">
            <v>4</v>
          </cell>
          <cell r="D144" t="str">
            <v>关卡28BOSS1</v>
          </cell>
          <cell r="E144">
            <v>503</v>
          </cell>
        </row>
        <row r="144">
          <cell r="J144" t="str">
            <v>[{cd,3000},{hp,90000},{atk,60},{spd,8500}]</v>
          </cell>
          <cell r="K144">
            <v>2</v>
          </cell>
          <cell r="L144" t="str">
            <v>[60001]</v>
          </cell>
          <cell r="M144">
            <v>0</v>
          </cell>
          <cell r="N144">
            <v>0</v>
          </cell>
          <cell r="O144" t="str">
            <v/>
          </cell>
        </row>
        <row r="145">
          <cell r="A145">
            <v>2831</v>
          </cell>
          <cell r="B145">
            <v>28</v>
          </cell>
          <cell r="C145">
            <v>5</v>
          </cell>
          <cell r="D145" t="str">
            <v>关卡28BOSS2</v>
          </cell>
          <cell r="E145">
            <v>503</v>
          </cell>
        </row>
        <row r="145">
          <cell r="J145" t="str">
            <v>[{cd,3000},{hp,120000},{atk,120},{spd,8500}]</v>
          </cell>
          <cell r="K145">
            <v>2</v>
          </cell>
          <cell r="L145" t="str">
            <v>[60001]</v>
          </cell>
          <cell r="M145">
            <v>0</v>
          </cell>
          <cell r="N145">
            <v>0</v>
          </cell>
          <cell r="O145" t="str">
            <v/>
          </cell>
        </row>
        <row r="146">
          <cell r="A146">
            <v>2901</v>
          </cell>
          <cell r="B146">
            <v>29</v>
          </cell>
          <cell r="C146">
            <v>1</v>
          </cell>
          <cell r="D146" t="str">
            <v>关卡29怪物1</v>
          </cell>
          <cell r="E146">
            <v>108</v>
          </cell>
        </row>
        <row r="146">
          <cell r="J146" t="str">
            <v>[{cd,3000},{hp,1600},{atk,40},{spd,8500}]</v>
          </cell>
          <cell r="K146">
            <v>0</v>
          </cell>
          <cell r="L146" t="str">
            <v/>
          </cell>
          <cell r="M146">
            <v>0</v>
          </cell>
          <cell r="N146">
            <v>0</v>
          </cell>
          <cell r="O146" t="str">
            <v/>
          </cell>
        </row>
        <row r="147">
          <cell r="A147">
            <v>2902</v>
          </cell>
          <cell r="B147">
            <v>29</v>
          </cell>
          <cell r="C147">
            <v>2</v>
          </cell>
          <cell r="D147" t="str">
            <v>关卡29怪物2</v>
          </cell>
          <cell r="E147">
            <v>110</v>
          </cell>
        </row>
        <row r="147">
          <cell r="J147" t="str">
            <v>[{cd,3000},{hp,1920},{atk,40},{spd,8500}]</v>
          </cell>
          <cell r="K147">
            <v>0</v>
          </cell>
          <cell r="L147" t="str">
            <v/>
          </cell>
          <cell r="M147">
            <v>0</v>
          </cell>
          <cell r="N147">
            <v>0</v>
          </cell>
          <cell r="O147" t="str">
            <v/>
          </cell>
        </row>
        <row r="148">
          <cell r="A148">
            <v>2903</v>
          </cell>
          <cell r="B148">
            <v>29</v>
          </cell>
          <cell r="C148">
            <v>3</v>
          </cell>
          <cell r="D148" t="str">
            <v>关卡29怪物3</v>
          </cell>
          <cell r="E148">
            <v>114</v>
          </cell>
        </row>
        <row r="148">
          <cell r="J148" t="str">
            <v>[{cd,3000},{hp,2400},{atk,20},{spd,8500}]</v>
          </cell>
          <cell r="K148">
            <v>0</v>
          </cell>
          <cell r="L148" t="str">
            <v/>
          </cell>
          <cell r="M148">
            <v>0</v>
          </cell>
          <cell r="N148">
            <v>0</v>
          </cell>
          <cell r="O148" t="str">
            <v/>
          </cell>
        </row>
        <row r="149">
          <cell r="A149">
            <v>2921</v>
          </cell>
          <cell r="B149">
            <v>29</v>
          </cell>
          <cell r="C149">
            <v>4</v>
          </cell>
          <cell r="D149" t="str">
            <v>关卡29BOSS1</v>
          </cell>
          <cell r="E149">
            <v>508</v>
          </cell>
        </row>
        <row r="149">
          <cell r="J149" t="str">
            <v>[{cd,3000},{hp,96000},{atk,100},{spd,8500}]</v>
          </cell>
          <cell r="K149">
            <v>2</v>
          </cell>
          <cell r="L149" t="str">
            <v/>
          </cell>
          <cell r="M149">
            <v>0</v>
          </cell>
          <cell r="N149">
            <v>0</v>
          </cell>
          <cell r="O149" t="str">
            <v/>
          </cell>
        </row>
        <row r="150">
          <cell r="A150">
            <v>2931</v>
          </cell>
          <cell r="B150">
            <v>29</v>
          </cell>
          <cell r="C150">
            <v>5</v>
          </cell>
          <cell r="D150" t="str">
            <v>关卡29BOSS2</v>
          </cell>
          <cell r="E150">
            <v>508</v>
          </cell>
        </row>
        <row r="150">
          <cell r="J150" t="str">
            <v>[{cd,3000},{hp,128000},{atk,200},{spd,8500}]</v>
          </cell>
          <cell r="K150">
            <v>2</v>
          </cell>
          <cell r="L150" t="str">
            <v/>
          </cell>
          <cell r="M150">
            <v>0</v>
          </cell>
          <cell r="N150">
            <v>0</v>
          </cell>
          <cell r="O150" t="str">
            <v/>
          </cell>
        </row>
        <row r="151">
          <cell r="A151">
            <v>3001</v>
          </cell>
          <cell r="B151">
            <v>30</v>
          </cell>
          <cell r="C151">
            <v>1</v>
          </cell>
          <cell r="D151" t="str">
            <v>关卡30怪物1</v>
          </cell>
          <cell r="E151">
            <v>110</v>
          </cell>
        </row>
        <row r="151">
          <cell r="J151" t="str">
            <v>[{cd,3000},{hp,1700},{atk,40},{spd,8500}]</v>
          </cell>
          <cell r="K151">
            <v>0</v>
          </cell>
          <cell r="L151" t="str">
            <v/>
          </cell>
          <cell r="M151">
            <v>0</v>
          </cell>
          <cell r="N151">
            <v>0</v>
          </cell>
          <cell r="O151" t="str">
            <v/>
          </cell>
        </row>
        <row r="152">
          <cell r="A152">
            <v>3002</v>
          </cell>
          <cell r="B152">
            <v>30</v>
          </cell>
          <cell r="C152">
            <v>2</v>
          </cell>
          <cell r="D152" t="str">
            <v>关卡30怪物2</v>
          </cell>
          <cell r="E152">
            <v>114</v>
          </cell>
        </row>
        <row r="152">
          <cell r="J152" t="str">
            <v>[{cd,3000},{hp,2040},{atk,20},{spd,8500}]</v>
          </cell>
          <cell r="K152">
            <v>0</v>
          </cell>
          <cell r="L152" t="str">
            <v/>
          </cell>
          <cell r="M152">
            <v>0</v>
          </cell>
          <cell r="N152">
            <v>0</v>
          </cell>
          <cell r="O152" t="str">
            <v/>
          </cell>
        </row>
        <row r="153">
          <cell r="A153">
            <v>3003</v>
          </cell>
          <cell r="B153">
            <v>30</v>
          </cell>
          <cell r="C153">
            <v>3</v>
          </cell>
          <cell r="D153" t="str">
            <v>关卡30怪物3</v>
          </cell>
          <cell r="E153">
            <v>109</v>
          </cell>
        </row>
        <row r="153">
          <cell r="J153" t="str">
            <v>[{cd,3000},{hp,2550},{atk,16},{spd,8500}]</v>
          </cell>
          <cell r="K153">
            <v>0</v>
          </cell>
          <cell r="L153" t="str">
            <v/>
          </cell>
          <cell r="M153">
            <v>0</v>
          </cell>
          <cell r="N153">
            <v>0</v>
          </cell>
          <cell r="O153">
            <v>1</v>
          </cell>
        </row>
        <row r="154">
          <cell r="A154">
            <v>3021</v>
          </cell>
          <cell r="B154">
            <v>30</v>
          </cell>
          <cell r="C154">
            <v>4</v>
          </cell>
          <cell r="D154" t="str">
            <v>关卡30BOSS1</v>
          </cell>
          <cell r="E154">
            <v>514</v>
          </cell>
        </row>
        <row r="154">
          <cell r="J154" t="str">
            <v>[{cd,3000},{hp,102000},{atk,50},{spd,8500}]</v>
          </cell>
          <cell r="K154">
            <v>2</v>
          </cell>
          <cell r="L154" t="str">
            <v/>
          </cell>
          <cell r="M154">
            <v>0</v>
          </cell>
          <cell r="N154">
            <v>0</v>
          </cell>
          <cell r="O154" t="str">
            <v/>
          </cell>
        </row>
        <row r="155">
          <cell r="A155">
            <v>3031</v>
          </cell>
          <cell r="B155">
            <v>30</v>
          </cell>
          <cell r="C155">
            <v>5</v>
          </cell>
          <cell r="D155" t="str">
            <v>关卡30BOSS2</v>
          </cell>
          <cell r="E155">
            <v>514</v>
          </cell>
        </row>
        <row r="155">
          <cell r="J155" t="str">
            <v>[{cd,3000},{hp,136000},{atk,100},{spd,8500}]</v>
          </cell>
          <cell r="K155">
            <v>2</v>
          </cell>
          <cell r="L155" t="str">
            <v/>
          </cell>
          <cell r="M155">
            <v>0</v>
          </cell>
          <cell r="N155">
            <v>0</v>
          </cell>
          <cell r="O155" t="str">
            <v/>
          </cell>
        </row>
        <row r="156">
          <cell r="A156">
            <v>3101</v>
          </cell>
          <cell r="B156">
            <v>31</v>
          </cell>
          <cell r="C156">
            <v>1</v>
          </cell>
          <cell r="D156" t="str">
            <v>关卡31怪物1</v>
          </cell>
          <cell r="E156">
            <v>111</v>
          </cell>
        </row>
        <row r="156">
          <cell r="J156" t="str">
            <v>[{cd,3000},{hp,1900},{atk,24},{spd,8500}]</v>
          </cell>
          <cell r="K156">
            <v>0</v>
          </cell>
          <cell r="L156" t="str">
            <v/>
          </cell>
          <cell r="M156">
            <v>0</v>
          </cell>
          <cell r="N156">
            <v>0</v>
          </cell>
          <cell r="O156" t="str">
            <v/>
          </cell>
        </row>
        <row r="157">
          <cell r="A157">
            <v>3102</v>
          </cell>
          <cell r="B157">
            <v>31</v>
          </cell>
          <cell r="C157">
            <v>2</v>
          </cell>
          <cell r="D157" t="str">
            <v>关卡31怪物2</v>
          </cell>
          <cell r="E157">
            <v>115</v>
          </cell>
        </row>
        <row r="157">
          <cell r="J157" t="str">
            <v>[{cd,3000},{hp,2280},{atk,40},{spd,8500}]</v>
          </cell>
          <cell r="K157">
            <v>0</v>
          </cell>
          <cell r="L157" t="str">
            <v/>
          </cell>
          <cell r="M157">
            <v>0</v>
          </cell>
          <cell r="N157">
            <v>0</v>
          </cell>
          <cell r="O157" t="str">
            <v/>
          </cell>
        </row>
        <row r="158">
          <cell r="A158">
            <v>3103</v>
          </cell>
          <cell r="B158">
            <v>31</v>
          </cell>
          <cell r="C158">
            <v>3</v>
          </cell>
          <cell r="D158" t="str">
            <v>关卡31怪物3</v>
          </cell>
          <cell r="E158">
            <v>113</v>
          </cell>
        </row>
        <row r="158">
          <cell r="J158" t="str">
            <v>[{cd,3000},{hp,2850},{atk,16},{spd,8500}]</v>
          </cell>
          <cell r="K158">
            <v>0</v>
          </cell>
          <cell r="L158" t="str">
            <v>[60005]</v>
          </cell>
          <cell r="M158">
            <v>0</v>
          </cell>
          <cell r="N158">
            <v>0</v>
          </cell>
          <cell r="O158">
            <v>1</v>
          </cell>
        </row>
        <row r="159">
          <cell r="A159">
            <v>3121</v>
          </cell>
          <cell r="B159">
            <v>31</v>
          </cell>
          <cell r="C159">
            <v>4</v>
          </cell>
          <cell r="D159" t="str">
            <v>关卡31BOSS1</v>
          </cell>
          <cell r="E159">
            <v>515</v>
          </cell>
        </row>
        <row r="159">
          <cell r="J159" t="str">
            <v>[{cd,3000},{hp,114000},{atk,100},{spd,8500}]</v>
          </cell>
          <cell r="K159">
            <v>2</v>
          </cell>
          <cell r="L159" t="str">
            <v/>
          </cell>
          <cell r="M159">
            <v>0</v>
          </cell>
          <cell r="N159">
            <v>0</v>
          </cell>
          <cell r="O159" t="str">
            <v/>
          </cell>
        </row>
        <row r="160">
          <cell r="A160">
            <v>3131</v>
          </cell>
          <cell r="B160">
            <v>31</v>
          </cell>
          <cell r="C160">
            <v>5</v>
          </cell>
          <cell r="D160" t="str">
            <v>关卡31BOSS2</v>
          </cell>
          <cell r="E160">
            <v>515</v>
          </cell>
        </row>
        <row r="160">
          <cell r="J160" t="str">
            <v>[{cd,3000},{hp,152000},{atk,200},{spd,8500}]</v>
          </cell>
          <cell r="K160">
            <v>2</v>
          </cell>
          <cell r="L160" t="str">
            <v/>
          </cell>
          <cell r="M160">
            <v>0</v>
          </cell>
          <cell r="N160">
            <v>0</v>
          </cell>
          <cell r="O160" t="str">
            <v/>
          </cell>
        </row>
        <row r="161">
          <cell r="A161">
            <v>3201</v>
          </cell>
          <cell r="B161">
            <v>32</v>
          </cell>
          <cell r="C161">
            <v>1</v>
          </cell>
          <cell r="D161" t="str">
            <v>关卡32怪物1</v>
          </cell>
          <cell r="E161">
            <v>115</v>
          </cell>
        </row>
        <row r="161">
          <cell r="J161" t="str">
            <v>[{cd,3000},{hp,2100},{atk,40},{spd,8500}]</v>
          </cell>
          <cell r="K161">
            <v>0</v>
          </cell>
          <cell r="L161" t="str">
            <v/>
          </cell>
          <cell r="M161">
            <v>0</v>
          </cell>
          <cell r="N161">
            <v>0</v>
          </cell>
          <cell r="O161" t="str">
            <v/>
          </cell>
        </row>
        <row r="162">
          <cell r="A162">
            <v>3202</v>
          </cell>
          <cell r="B162">
            <v>32</v>
          </cell>
          <cell r="C162">
            <v>2</v>
          </cell>
          <cell r="D162" t="str">
            <v>关卡32怪物2</v>
          </cell>
          <cell r="E162">
            <v>113</v>
          </cell>
        </row>
        <row r="162">
          <cell r="J162" t="str">
            <v>[{cd,3000},{hp,2520},{atk,16},{spd,8500}]</v>
          </cell>
          <cell r="K162">
            <v>0</v>
          </cell>
          <cell r="L162" t="str">
            <v>[60005]</v>
          </cell>
          <cell r="M162">
            <v>0</v>
          </cell>
          <cell r="N162">
            <v>0</v>
          </cell>
          <cell r="O162">
            <v>1</v>
          </cell>
        </row>
        <row r="163">
          <cell r="A163">
            <v>3203</v>
          </cell>
          <cell r="B163">
            <v>32</v>
          </cell>
          <cell r="C163">
            <v>3</v>
          </cell>
          <cell r="D163" t="str">
            <v>关卡32怪物3</v>
          </cell>
          <cell r="E163">
            <v>113</v>
          </cell>
        </row>
        <row r="163">
          <cell r="J163" t="str">
            <v>[{cd,3000},{hp,3150},{atk,16},{spd,8500}]</v>
          </cell>
          <cell r="K163">
            <v>0</v>
          </cell>
          <cell r="L163" t="str">
            <v>[60005]</v>
          </cell>
          <cell r="M163">
            <v>0</v>
          </cell>
          <cell r="N163">
            <v>0</v>
          </cell>
          <cell r="O163">
            <v>1</v>
          </cell>
        </row>
        <row r="164">
          <cell r="A164">
            <v>3221</v>
          </cell>
          <cell r="B164">
            <v>32</v>
          </cell>
          <cell r="C164">
            <v>4</v>
          </cell>
          <cell r="D164" t="str">
            <v>关卡32BOSS1</v>
          </cell>
          <cell r="E164">
            <v>515</v>
          </cell>
        </row>
        <row r="164">
          <cell r="J164" t="str">
            <v>[{cd,3000},{hp,126000},{atk,100},{spd,8500}]</v>
          </cell>
          <cell r="K164">
            <v>2</v>
          </cell>
          <cell r="L164" t="str">
            <v/>
          </cell>
          <cell r="M164">
            <v>0</v>
          </cell>
          <cell r="N164">
            <v>0</v>
          </cell>
          <cell r="O164" t="str">
            <v/>
          </cell>
        </row>
        <row r="165">
          <cell r="A165">
            <v>3231</v>
          </cell>
          <cell r="B165">
            <v>32</v>
          </cell>
          <cell r="C165">
            <v>5</v>
          </cell>
          <cell r="D165" t="str">
            <v>关卡32BOSS2</v>
          </cell>
          <cell r="E165">
            <v>515</v>
          </cell>
        </row>
        <row r="165">
          <cell r="J165" t="str">
            <v>[{cd,3000},{hp,168000},{atk,200},{spd,8500}]</v>
          </cell>
          <cell r="K165">
            <v>2</v>
          </cell>
          <cell r="L165" t="str">
            <v/>
          </cell>
          <cell r="M165">
            <v>0</v>
          </cell>
          <cell r="N165">
            <v>0</v>
          </cell>
          <cell r="O165" t="str">
            <v/>
          </cell>
        </row>
        <row r="166">
          <cell r="A166">
            <v>3301</v>
          </cell>
          <cell r="B166">
            <v>33</v>
          </cell>
          <cell r="C166">
            <v>1</v>
          </cell>
          <cell r="D166" t="str">
            <v>关卡33怪物1</v>
          </cell>
          <cell r="E166">
            <v>100</v>
          </cell>
        </row>
        <row r="166">
          <cell r="J166" t="str">
            <v>[{cd,3000},{hp,2300},{atk,16},{spd,8500}]</v>
          </cell>
          <cell r="K166">
            <v>0</v>
          </cell>
          <cell r="L166" t="str">
            <v>[60002]</v>
          </cell>
          <cell r="M166">
            <v>0</v>
          </cell>
          <cell r="N166">
            <v>0</v>
          </cell>
          <cell r="O166" t="str">
            <v/>
          </cell>
        </row>
        <row r="167">
          <cell r="A167">
            <v>3302</v>
          </cell>
          <cell r="B167">
            <v>33</v>
          </cell>
          <cell r="C167">
            <v>2</v>
          </cell>
          <cell r="D167" t="str">
            <v>关卡33怪物2</v>
          </cell>
          <cell r="E167">
            <v>102</v>
          </cell>
        </row>
        <row r="167">
          <cell r="J167" t="str">
            <v>[{cd,3000},{hp,2760},{atk,12},{spd,8500}]</v>
          </cell>
          <cell r="K167">
            <v>0</v>
          </cell>
          <cell r="L167" t="str">
            <v/>
          </cell>
          <cell r="M167">
            <v>0</v>
          </cell>
          <cell r="N167">
            <v>0</v>
          </cell>
          <cell r="O167">
            <v>1</v>
          </cell>
        </row>
        <row r="168">
          <cell r="A168">
            <v>3303</v>
          </cell>
          <cell r="B168">
            <v>33</v>
          </cell>
          <cell r="C168">
            <v>3</v>
          </cell>
          <cell r="D168" t="str">
            <v>关卡33怪物3</v>
          </cell>
          <cell r="E168">
            <v>105</v>
          </cell>
        </row>
        <row r="168">
          <cell r="J168" t="str">
            <v>[{cd,3000},{hp,3450},{atk,24},{spd,8500}]</v>
          </cell>
          <cell r="K168">
            <v>0</v>
          </cell>
          <cell r="L168" t="str">
            <v>[60003]</v>
          </cell>
          <cell r="M168">
            <v>0</v>
          </cell>
          <cell r="N168">
            <v>0</v>
          </cell>
          <cell r="O168" t="str">
            <v/>
          </cell>
        </row>
        <row r="169">
          <cell r="A169">
            <v>3321</v>
          </cell>
          <cell r="B169">
            <v>33</v>
          </cell>
          <cell r="C169">
            <v>4</v>
          </cell>
          <cell r="D169" t="str">
            <v>关卡33BOSS1</v>
          </cell>
          <cell r="E169">
            <v>502</v>
          </cell>
        </row>
        <row r="169">
          <cell r="J169" t="str">
            <v>[{cd,3000},{hp,138000},{atk,30},{spd,8500}]</v>
          </cell>
          <cell r="K169">
            <v>2</v>
          </cell>
          <cell r="L169" t="str">
            <v/>
          </cell>
          <cell r="M169">
            <v>0</v>
          </cell>
          <cell r="N169">
            <v>0</v>
          </cell>
          <cell r="O169">
            <v>1</v>
          </cell>
        </row>
        <row r="170">
          <cell r="A170">
            <v>3331</v>
          </cell>
          <cell r="B170">
            <v>33</v>
          </cell>
          <cell r="C170">
            <v>5</v>
          </cell>
          <cell r="D170" t="str">
            <v>关卡33BOSS2</v>
          </cell>
          <cell r="E170">
            <v>500</v>
          </cell>
        </row>
        <row r="170">
          <cell r="J170" t="str">
            <v>[{cd,3000},{hp,184000},{atk,80},{spd,8500}]</v>
          </cell>
          <cell r="K170">
            <v>2</v>
          </cell>
          <cell r="L170" t="str">
            <v>[60002]</v>
          </cell>
          <cell r="M170">
            <v>0</v>
          </cell>
          <cell r="N170">
            <v>0</v>
          </cell>
          <cell r="O170" t="str">
            <v/>
          </cell>
        </row>
        <row r="171">
          <cell r="A171">
            <v>3401</v>
          </cell>
          <cell r="B171">
            <v>34</v>
          </cell>
          <cell r="C171">
            <v>1</v>
          </cell>
          <cell r="D171" t="str">
            <v>关卡34怪物1</v>
          </cell>
          <cell r="E171">
            <v>100</v>
          </cell>
        </row>
        <row r="171">
          <cell r="J171" t="str">
            <v>[{cd,3000},{hp,2500},{atk,16},{spd,8500}]</v>
          </cell>
          <cell r="K171">
            <v>0</v>
          </cell>
          <cell r="L171" t="str">
            <v>[60002]</v>
          </cell>
          <cell r="M171">
            <v>0</v>
          </cell>
          <cell r="N171">
            <v>0</v>
          </cell>
          <cell r="O171" t="str">
            <v/>
          </cell>
        </row>
        <row r="172">
          <cell r="A172">
            <v>3402</v>
          </cell>
          <cell r="B172">
            <v>34</v>
          </cell>
          <cell r="C172">
            <v>2</v>
          </cell>
          <cell r="D172" t="str">
            <v>关卡34怪物2</v>
          </cell>
          <cell r="E172">
            <v>105</v>
          </cell>
        </row>
        <row r="172">
          <cell r="J172" t="str">
            <v>[{cd,3000},{hp,3000},{atk,24},{spd,8500}]</v>
          </cell>
          <cell r="K172">
            <v>0</v>
          </cell>
          <cell r="L172" t="str">
            <v>[60003]</v>
          </cell>
          <cell r="M172">
            <v>0</v>
          </cell>
          <cell r="N172">
            <v>0</v>
          </cell>
          <cell r="O172" t="str">
            <v/>
          </cell>
        </row>
        <row r="173">
          <cell r="A173">
            <v>3403</v>
          </cell>
          <cell r="B173">
            <v>34</v>
          </cell>
          <cell r="C173">
            <v>3</v>
          </cell>
          <cell r="D173" t="str">
            <v>关卡34怪物3</v>
          </cell>
          <cell r="E173">
            <v>102</v>
          </cell>
        </row>
        <row r="173">
          <cell r="J173" t="str">
            <v>[{cd,3000},{hp,3750},{atk,12},{spd,8500}]</v>
          </cell>
          <cell r="K173">
            <v>0</v>
          </cell>
          <cell r="L173" t="str">
            <v/>
          </cell>
          <cell r="M173">
            <v>0</v>
          </cell>
          <cell r="N173">
            <v>0</v>
          </cell>
          <cell r="O173">
            <v>1</v>
          </cell>
        </row>
        <row r="174">
          <cell r="A174">
            <v>3421</v>
          </cell>
          <cell r="B174">
            <v>34</v>
          </cell>
          <cell r="C174">
            <v>4</v>
          </cell>
          <cell r="D174" t="str">
            <v>关卡34BOSS1</v>
          </cell>
          <cell r="E174">
            <v>502</v>
          </cell>
        </row>
        <row r="174">
          <cell r="J174" t="str">
            <v>[{cd,3000},{hp,150000},{atk,30},{spd,8500}]</v>
          </cell>
          <cell r="K174">
            <v>2</v>
          </cell>
          <cell r="L174" t="str">
            <v/>
          </cell>
          <cell r="M174">
            <v>0</v>
          </cell>
          <cell r="N174">
            <v>0</v>
          </cell>
          <cell r="O174">
            <v>1</v>
          </cell>
        </row>
        <row r="175">
          <cell r="A175">
            <v>3431</v>
          </cell>
          <cell r="B175">
            <v>34</v>
          </cell>
          <cell r="C175">
            <v>5</v>
          </cell>
          <cell r="D175" t="str">
            <v>关卡34BOSS2</v>
          </cell>
          <cell r="E175">
            <v>502</v>
          </cell>
        </row>
        <row r="175">
          <cell r="J175" t="str">
            <v>[{cd,3000},{hp,200000},{atk,60},{spd,8500}]</v>
          </cell>
          <cell r="K175">
            <v>2</v>
          </cell>
          <cell r="L175" t="str">
            <v/>
          </cell>
          <cell r="M175">
            <v>0</v>
          </cell>
          <cell r="N175">
            <v>0</v>
          </cell>
          <cell r="O175">
            <v>1</v>
          </cell>
        </row>
        <row r="176">
          <cell r="A176">
            <v>3501</v>
          </cell>
          <cell r="B176">
            <v>35</v>
          </cell>
          <cell r="C176">
            <v>1</v>
          </cell>
          <cell r="D176" t="str">
            <v>关卡35怪物1</v>
          </cell>
          <cell r="E176">
            <v>104</v>
          </cell>
        </row>
        <row r="176">
          <cell r="J176" t="str">
            <v>[{cd,3000},{hp,2900},{atk,36},{spd,8500}]</v>
          </cell>
          <cell r="K176">
            <v>0</v>
          </cell>
          <cell r="L176" t="str">
            <v/>
          </cell>
          <cell r="M176">
            <v>0</v>
          </cell>
          <cell r="N176">
            <v>0</v>
          </cell>
          <cell r="O176" t="str">
            <v/>
          </cell>
        </row>
        <row r="177">
          <cell r="A177">
            <v>3502</v>
          </cell>
          <cell r="B177">
            <v>35</v>
          </cell>
          <cell r="C177">
            <v>2</v>
          </cell>
          <cell r="D177" t="str">
            <v>关卡35怪物2</v>
          </cell>
          <cell r="E177">
            <v>106</v>
          </cell>
        </row>
        <row r="177">
          <cell r="J177" t="str">
            <v>[{cd,3000},{hp,3480},{atk,20},{spd,8500}]</v>
          </cell>
          <cell r="K177">
            <v>0</v>
          </cell>
          <cell r="L177" t="str">
            <v>[60002]</v>
          </cell>
          <cell r="M177">
            <v>0</v>
          </cell>
          <cell r="N177">
            <v>0</v>
          </cell>
          <cell r="O177">
            <v>1</v>
          </cell>
        </row>
        <row r="178">
          <cell r="A178">
            <v>3503</v>
          </cell>
          <cell r="B178">
            <v>35</v>
          </cell>
          <cell r="C178">
            <v>3</v>
          </cell>
          <cell r="D178" t="str">
            <v>关卡35怪物3</v>
          </cell>
          <cell r="E178">
            <v>107</v>
          </cell>
        </row>
        <row r="178">
          <cell r="J178" t="str">
            <v>[{cd,3000},{hp,4350},{atk,16},{spd,8500}]</v>
          </cell>
          <cell r="K178">
            <v>0</v>
          </cell>
          <cell r="L178" t="str">
            <v>[60004]</v>
          </cell>
          <cell r="M178">
            <v>0</v>
          </cell>
          <cell r="N178">
            <v>0</v>
          </cell>
          <cell r="O178">
            <v>1</v>
          </cell>
        </row>
        <row r="179">
          <cell r="A179">
            <v>3521</v>
          </cell>
          <cell r="B179">
            <v>35</v>
          </cell>
          <cell r="C179">
            <v>4</v>
          </cell>
          <cell r="D179" t="str">
            <v>关卡35BOSS1</v>
          </cell>
          <cell r="E179">
            <v>503</v>
          </cell>
        </row>
        <row r="179">
          <cell r="J179" t="str">
            <v>[{cd,3000},{hp,174000},{atk,60},{spd,8500}]</v>
          </cell>
          <cell r="K179">
            <v>2</v>
          </cell>
          <cell r="L179" t="str">
            <v>[60001]</v>
          </cell>
          <cell r="M179">
            <v>0</v>
          </cell>
          <cell r="N179">
            <v>0</v>
          </cell>
          <cell r="O179" t="str">
            <v/>
          </cell>
        </row>
        <row r="180">
          <cell r="A180">
            <v>3531</v>
          </cell>
          <cell r="B180">
            <v>35</v>
          </cell>
          <cell r="C180">
            <v>5</v>
          </cell>
          <cell r="D180" t="str">
            <v>关卡35BOSS2</v>
          </cell>
          <cell r="E180">
            <v>503</v>
          </cell>
        </row>
        <row r="180">
          <cell r="J180" t="str">
            <v>[{cd,3000},{hp,232000},{atk,120},{spd,8500}]</v>
          </cell>
          <cell r="K180">
            <v>2</v>
          </cell>
          <cell r="L180" t="str">
            <v>[60001]</v>
          </cell>
          <cell r="M180">
            <v>0</v>
          </cell>
          <cell r="N180">
            <v>0</v>
          </cell>
          <cell r="O180" t="str">
            <v/>
          </cell>
        </row>
        <row r="181">
          <cell r="A181">
            <v>3601</v>
          </cell>
          <cell r="B181">
            <v>36</v>
          </cell>
          <cell r="C181">
            <v>1</v>
          </cell>
          <cell r="D181" t="str">
            <v>关卡36怪物1</v>
          </cell>
          <cell r="E181">
            <v>103</v>
          </cell>
        </row>
        <row r="181">
          <cell r="J181" t="str">
            <v>[{cd,3000},{hp,3300},{atk,24},{spd,8500}]</v>
          </cell>
          <cell r="K181">
            <v>0</v>
          </cell>
          <cell r="L181" t="str">
            <v>[60001]</v>
          </cell>
          <cell r="M181">
            <v>0</v>
          </cell>
          <cell r="N181">
            <v>0</v>
          </cell>
          <cell r="O181" t="str">
            <v/>
          </cell>
        </row>
        <row r="182">
          <cell r="A182">
            <v>3602</v>
          </cell>
          <cell r="B182">
            <v>36</v>
          </cell>
          <cell r="C182">
            <v>2</v>
          </cell>
          <cell r="D182" t="str">
            <v>关卡36怪物2</v>
          </cell>
          <cell r="E182">
            <v>107</v>
          </cell>
        </row>
        <row r="182">
          <cell r="J182" t="str">
            <v>[{cd,3000},{hp,3960},{atk,16},{spd,8500}]</v>
          </cell>
          <cell r="K182">
            <v>0</v>
          </cell>
          <cell r="L182" t="str">
            <v>[60004]</v>
          </cell>
          <cell r="M182">
            <v>0</v>
          </cell>
          <cell r="N182">
            <v>0</v>
          </cell>
          <cell r="O182">
            <v>1</v>
          </cell>
        </row>
        <row r="183">
          <cell r="A183">
            <v>3603</v>
          </cell>
          <cell r="B183">
            <v>36</v>
          </cell>
          <cell r="C183">
            <v>3</v>
          </cell>
          <cell r="D183" t="str">
            <v>关卡36怪物3</v>
          </cell>
          <cell r="E183">
            <v>106</v>
          </cell>
        </row>
        <row r="183">
          <cell r="J183" t="str">
            <v>[{cd,3000},{hp,4950},{atk,20},{spd,8500}]</v>
          </cell>
          <cell r="K183">
            <v>0</v>
          </cell>
          <cell r="L183" t="str">
            <v>[60002]</v>
          </cell>
          <cell r="M183">
            <v>0</v>
          </cell>
          <cell r="N183">
            <v>0</v>
          </cell>
          <cell r="O183">
            <v>1</v>
          </cell>
        </row>
        <row r="184">
          <cell r="A184">
            <v>3621</v>
          </cell>
          <cell r="B184">
            <v>36</v>
          </cell>
          <cell r="C184">
            <v>4</v>
          </cell>
          <cell r="D184" t="str">
            <v>关卡36BOSS1</v>
          </cell>
          <cell r="E184">
            <v>506</v>
          </cell>
        </row>
        <row r="184">
          <cell r="J184" t="str">
            <v>[{cd,3000},{hp,198000},{atk,50},{spd,8500}]</v>
          </cell>
          <cell r="K184">
            <v>2</v>
          </cell>
          <cell r="L184" t="str">
            <v>[60002]</v>
          </cell>
          <cell r="M184">
            <v>0</v>
          </cell>
          <cell r="N184">
            <v>0</v>
          </cell>
          <cell r="O184">
            <v>1</v>
          </cell>
        </row>
        <row r="185">
          <cell r="A185">
            <v>3631</v>
          </cell>
          <cell r="B185">
            <v>36</v>
          </cell>
          <cell r="C185">
            <v>5</v>
          </cell>
          <cell r="D185" t="str">
            <v>关卡36BOSS2</v>
          </cell>
          <cell r="E185">
            <v>506</v>
          </cell>
        </row>
        <row r="185">
          <cell r="J185" t="str">
            <v>[{cd,3000},{hp,264000},{atk,100},{spd,8500}]</v>
          </cell>
          <cell r="K185">
            <v>2</v>
          </cell>
          <cell r="L185" t="str">
            <v>[60002]</v>
          </cell>
          <cell r="M185">
            <v>0</v>
          </cell>
          <cell r="N185">
            <v>0</v>
          </cell>
          <cell r="O185">
            <v>1</v>
          </cell>
        </row>
        <row r="186">
          <cell r="A186">
            <v>3701</v>
          </cell>
          <cell r="B186">
            <v>37</v>
          </cell>
          <cell r="C186">
            <v>1</v>
          </cell>
          <cell r="D186" t="str">
            <v>关卡37怪物1</v>
          </cell>
          <cell r="E186">
            <v>108</v>
          </cell>
        </row>
        <row r="186">
          <cell r="J186" t="str">
            <v>[{cd,3000},{hp,3600},{atk,40},{spd,8500}]</v>
          </cell>
          <cell r="K186">
            <v>0</v>
          </cell>
          <cell r="L186" t="str">
            <v/>
          </cell>
          <cell r="M186">
            <v>0</v>
          </cell>
          <cell r="N186">
            <v>0</v>
          </cell>
          <cell r="O186" t="str">
            <v/>
          </cell>
        </row>
        <row r="187">
          <cell r="A187">
            <v>3702</v>
          </cell>
          <cell r="B187">
            <v>37</v>
          </cell>
          <cell r="C187">
            <v>2</v>
          </cell>
          <cell r="D187" t="str">
            <v>关卡37怪物2</v>
          </cell>
          <cell r="E187">
            <v>109</v>
          </cell>
        </row>
        <row r="187">
          <cell r="J187" t="str">
            <v>[{cd,3000},{hp,4320},{atk,16},{spd,8500}]</v>
          </cell>
          <cell r="K187">
            <v>0</v>
          </cell>
          <cell r="L187" t="str">
            <v/>
          </cell>
          <cell r="M187">
            <v>0</v>
          </cell>
          <cell r="N187">
            <v>0</v>
          </cell>
          <cell r="O187">
            <v>1</v>
          </cell>
        </row>
        <row r="188">
          <cell r="A188">
            <v>3703</v>
          </cell>
          <cell r="B188">
            <v>37</v>
          </cell>
          <cell r="C188">
            <v>3</v>
          </cell>
          <cell r="D188" t="str">
            <v>关卡37怪物3</v>
          </cell>
          <cell r="E188">
            <v>109</v>
          </cell>
        </row>
        <row r="188">
          <cell r="J188" t="str">
            <v>[{cd,3000},{hp,5400},{atk,16},{spd,8500}]</v>
          </cell>
          <cell r="K188">
            <v>0</v>
          </cell>
          <cell r="L188" t="str">
            <v/>
          </cell>
          <cell r="M188">
            <v>0</v>
          </cell>
          <cell r="N188">
            <v>0</v>
          </cell>
          <cell r="O188">
            <v>1</v>
          </cell>
        </row>
        <row r="189">
          <cell r="A189">
            <v>3721</v>
          </cell>
          <cell r="B189">
            <v>37</v>
          </cell>
          <cell r="C189">
            <v>4</v>
          </cell>
          <cell r="D189" t="str">
            <v>关卡37BOSS1</v>
          </cell>
          <cell r="E189">
            <v>508</v>
          </cell>
        </row>
        <row r="189">
          <cell r="J189" t="str">
            <v>[{cd,3000},{hp,216000},{atk,100},{spd,8500}]</v>
          </cell>
          <cell r="K189">
            <v>2</v>
          </cell>
          <cell r="L189" t="str">
            <v/>
          </cell>
          <cell r="M189">
            <v>0</v>
          </cell>
          <cell r="N189">
            <v>0</v>
          </cell>
          <cell r="O189" t="str">
            <v/>
          </cell>
        </row>
        <row r="190">
          <cell r="A190">
            <v>3731</v>
          </cell>
          <cell r="B190">
            <v>37</v>
          </cell>
          <cell r="C190">
            <v>5</v>
          </cell>
          <cell r="D190" t="str">
            <v>关卡37BOSS2</v>
          </cell>
          <cell r="E190">
            <v>508</v>
          </cell>
        </row>
        <row r="190">
          <cell r="J190" t="str">
            <v>[{cd,3000},{hp,288000},{atk,200},{spd,8500}]</v>
          </cell>
          <cell r="K190">
            <v>2</v>
          </cell>
          <cell r="L190" t="str">
            <v/>
          </cell>
          <cell r="M190">
            <v>0</v>
          </cell>
          <cell r="N190">
            <v>0</v>
          </cell>
          <cell r="O190" t="str">
            <v/>
          </cell>
        </row>
        <row r="191">
          <cell r="A191">
            <v>3801</v>
          </cell>
          <cell r="B191">
            <v>38</v>
          </cell>
          <cell r="C191">
            <v>1</v>
          </cell>
          <cell r="D191" t="str">
            <v>关卡38怪物1</v>
          </cell>
          <cell r="E191">
            <v>108</v>
          </cell>
        </row>
        <row r="191">
          <cell r="J191" t="str">
            <v>[{cd,3000},{hp,3900},{atk,40},{spd,8500}]</v>
          </cell>
          <cell r="K191">
            <v>0</v>
          </cell>
          <cell r="L191" t="str">
            <v/>
          </cell>
          <cell r="M191">
            <v>0</v>
          </cell>
          <cell r="N191">
            <v>0</v>
          </cell>
          <cell r="O191" t="str">
            <v/>
          </cell>
        </row>
        <row r="192">
          <cell r="A192">
            <v>3802</v>
          </cell>
          <cell r="B192">
            <v>38</v>
          </cell>
          <cell r="C192">
            <v>2</v>
          </cell>
          <cell r="D192" t="str">
            <v>关卡38怪物2</v>
          </cell>
          <cell r="E192">
            <v>109</v>
          </cell>
        </row>
        <row r="192">
          <cell r="J192" t="str">
            <v>[{cd,3000},{hp,4680},{atk,16},{spd,8500}]</v>
          </cell>
          <cell r="K192">
            <v>0</v>
          </cell>
          <cell r="L192" t="str">
            <v/>
          </cell>
          <cell r="M192">
            <v>0</v>
          </cell>
          <cell r="N192">
            <v>0</v>
          </cell>
          <cell r="O192">
            <v>1</v>
          </cell>
        </row>
        <row r="193">
          <cell r="A193">
            <v>3803</v>
          </cell>
          <cell r="B193">
            <v>38</v>
          </cell>
          <cell r="C193">
            <v>3</v>
          </cell>
          <cell r="D193" t="str">
            <v>关卡38怪物3</v>
          </cell>
          <cell r="E193">
            <v>110</v>
          </cell>
        </row>
        <row r="193">
          <cell r="J193" t="str">
            <v>[{cd,3000},{hp,5850},{atk,40},{spd,8500}]</v>
          </cell>
          <cell r="K193">
            <v>0</v>
          </cell>
          <cell r="L193" t="str">
            <v/>
          </cell>
          <cell r="M193">
            <v>0</v>
          </cell>
          <cell r="N193">
            <v>0</v>
          </cell>
          <cell r="O193" t="str">
            <v/>
          </cell>
        </row>
        <row r="194">
          <cell r="A194">
            <v>3821</v>
          </cell>
          <cell r="B194">
            <v>38</v>
          </cell>
          <cell r="C194">
            <v>4</v>
          </cell>
          <cell r="D194" t="str">
            <v>关卡38BOSS1</v>
          </cell>
          <cell r="E194">
            <v>509</v>
          </cell>
        </row>
        <row r="194">
          <cell r="J194" t="str">
            <v>[{cd,3000},{hp,234000},{atk,40},{spd,8500}]</v>
          </cell>
          <cell r="K194">
            <v>2</v>
          </cell>
          <cell r="L194" t="str">
            <v/>
          </cell>
          <cell r="M194">
            <v>0</v>
          </cell>
          <cell r="N194">
            <v>0</v>
          </cell>
          <cell r="O194">
            <v>1</v>
          </cell>
        </row>
        <row r="195">
          <cell r="A195">
            <v>3831</v>
          </cell>
          <cell r="B195">
            <v>38</v>
          </cell>
          <cell r="C195">
            <v>5</v>
          </cell>
          <cell r="D195" t="str">
            <v>关卡38BOSS2</v>
          </cell>
          <cell r="E195">
            <v>509</v>
          </cell>
        </row>
        <row r="195">
          <cell r="J195" t="str">
            <v>[{cd,3000},{hp,312000},{atk,80},{spd,8500}]</v>
          </cell>
          <cell r="K195">
            <v>2</v>
          </cell>
          <cell r="L195" t="str">
            <v/>
          </cell>
          <cell r="M195">
            <v>0</v>
          </cell>
          <cell r="N195">
            <v>0</v>
          </cell>
          <cell r="O195">
            <v>1</v>
          </cell>
        </row>
        <row r="196">
          <cell r="A196">
            <v>3901</v>
          </cell>
          <cell r="B196">
            <v>39</v>
          </cell>
          <cell r="C196">
            <v>1</v>
          </cell>
          <cell r="D196" t="str">
            <v>关卡39怪物1</v>
          </cell>
          <cell r="E196">
            <v>111</v>
          </cell>
        </row>
        <row r="196">
          <cell r="J196" t="str">
            <v>[{cd,3000},{hp,4200},{atk,24},{spd,8500}]</v>
          </cell>
          <cell r="K196">
            <v>0</v>
          </cell>
          <cell r="L196" t="str">
            <v/>
          </cell>
          <cell r="M196">
            <v>0</v>
          </cell>
          <cell r="N196">
            <v>0</v>
          </cell>
          <cell r="O196" t="str">
            <v/>
          </cell>
        </row>
        <row r="197">
          <cell r="A197">
            <v>3902</v>
          </cell>
          <cell r="B197">
            <v>39</v>
          </cell>
          <cell r="C197">
            <v>2</v>
          </cell>
          <cell r="D197" t="str">
            <v>关卡39怪物2</v>
          </cell>
          <cell r="E197">
            <v>112</v>
          </cell>
        </row>
        <row r="197">
          <cell r="J197" t="str">
            <v>[{cd,3000},{hp,5040},{atk,16},{spd,8500}]</v>
          </cell>
          <cell r="K197">
            <v>0</v>
          </cell>
          <cell r="L197" t="str">
            <v/>
          </cell>
          <cell r="M197">
            <v>0</v>
          </cell>
          <cell r="N197">
            <v>0</v>
          </cell>
          <cell r="O197">
            <v>1</v>
          </cell>
        </row>
        <row r="198">
          <cell r="A198">
            <v>3903</v>
          </cell>
          <cell r="B198">
            <v>39</v>
          </cell>
          <cell r="C198">
            <v>3</v>
          </cell>
          <cell r="D198" t="str">
            <v>关卡39怪物3</v>
          </cell>
          <cell r="E198">
            <v>113</v>
          </cell>
        </row>
        <row r="198">
          <cell r="J198" t="str">
            <v>[{cd,3000},{hp,6300},{atk,16},{spd,8500}]</v>
          </cell>
          <cell r="K198">
            <v>0</v>
          </cell>
          <cell r="L198" t="str">
            <v>[60005]</v>
          </cell>
          <cell r="M198">
            <v>0</v>
          </cell>
          <cell r="N198">
            <v>0</v>
          </cell>
          <cell r="O198">
            <v>1</v>
          </cell>
        </row>
        <row r="199">
          <cell r="A199">
            <v>3921</v>
          </cell>
          <cell r="B199">
            <v>39</v>
          </cell>
          <cell r="C199">
            <v>4</v>
          </cell>
          <cell r="D199" t="str">
            <v>关卡39BOSS1</v>
          </cell>
          <cell r="E199">
            <v>511</v>
          </cell>
        </row>
        <row r="199">
          <cell r="J199" t="str">
            <v>[{cd,3000},{hp,252000},{atk,60},{spd,8500}]</v>
          </cell>
          <cell r="K199">
            <v>2</v>
          </cell>
          <cell r="L199" t="str">
            <v/>
          </cell>
          <cell r="M199">
            <v>0</v>
          </cell>
          <cell r="N199">
            <v>0</v>
          </cell>
          <cell r="O199" t="str">
            <v/>
          </cell>
        </row>
        <row r="200">
          <cell r="A200">
            <v>3931</v>
          </cell>
          <cell r="B200">
            <v>39</v>
          </cell>
          <cell r="C200">
            <v>5</v>
          </cell>
          <cell r="D200" t="str">
            <v>关卡39BOSS2</v>
          </cell>
          <cell r="E200">
            <v>511</v>
          </cell>
        </row>
        <row r="200">
          <cell r="J200" t="str">
            <v>[{cd,3000},{hp,336000},{atk,120},{spd,8500}]</v>
          </cell>
          <cell r="K200">
            <v>2</v>
          </cell>
          <cell r="L200" t="str">
            <v/>
          </cell>
          <cell r="M200">
            <v>0</v>
          </cell>
          <cell r="N200">
            <v>0</v>
          </cell>
          <cell r="O200" t="str">
            <v/>
          </cell>
        </row>
        <row r="201">
          <cell r="A201">
            <v>4001</v>
          </cell>
          <cell r="B201">
            <v>40</v>
          </cell>
          <cell r="C201">
            <v>1</v>
          </cell>
          <cell r="D201" t="str">
            <v>关卡40怪物1</v>
          </cell>
          <cell r="E201">
            <v>111</v>
          </cell>
        </row>
        <row r="201">
          <cell r="J201" t="str">
            <v>[{cd,3000},{hp,4700},{atk,24},{spd,8500}]</v>
          </cell>
          <cell r="K201">
            <v>0</v>
          </cell>
          <cell r="L201" t="str">
            <v/>
          </cell>
          <cell r="M201">
            <v>0</v>
          </cell>
          <cell r="N201">
            <v>0</v>
          </cell>
          <cell r="O201" t="str">
            <v/>
          </cell>
        </row>
        <row r="202">
          <cell r="A202">
            <v>4002</v>
          </cell>
          <cell r="B202">
            <v>40</v>
          </cell>
          <cell r="C202">
            <v>2</v>
          </cell>
          <cell r="D202" t="str">
            <v>关卡40怪物2</v>
          </cell>
          <cell r="E202">
            <v>112</v>
          </cell>
        </row>
        <row r="202">
          <cell r="J202" t="str">
            <v>[{cd,3000},{hp,5640},{atk,16},{spd,8500}]</v>
          </cell>
          <cell r="K202">
            <v>0</v>
          </cell>
          <cell r="L202" t="str">
            <v/>
          </cell>
          <cell r="M202">
            <v>0</v>
          </cell>
          <cell r="N202">
            <v>0</v>
          </cell>
          <cell r="O202">
            <v>1</v>
          </cell>
        </row>
        <row r="203">
          <cell r="A203">
            <v>4003</v>
          </cell>
          <cell r="B203">
            <v>40</v>
          </cell>
          <cell r="C203">
            <v>3</v>
          </cell>
          <cell r="D203" t="str">
            <v>关卡40怪物3</v>
          </cell>
          <cell r="E203">
            <v>115</v>
          </cell>
        </row>
        <row r="203">
          <cell r="J203" t="str">
            <v>[{cd,3000},{hp,7050},{atk,40},{spd,8500}]</v>
          </cell>
          <cell r="K203">
            <v>0</v>
          </cell>
          <cell r="L203" t="str">
            <v/>
          </cell>
          <cell r="M203">
            <v>0</v>
          </cell>
          <cell r="N203">
            <v>0</v>
          </cell>
          <cell r="O203" t="str">
            <v/>
          </cell>
        </row>
        <row r="204">
          <cell r="A204">
            <v>4021</v>
          </cell>
          <cell r="B204">
            <v>40</v>
          </cell>
          <cell r="C204">
            <v>4</v>
          </cell>
          <cell r="D204" t="str">
            <v>关卡40BOSS1</v>
          </cell>
          <cell r="E204">
            <v>512</v>
          </cell>
        </row>
        <row r="204">
          <cell r="J204" t="str">
            <v>[{cd,3000},{hp,282000},{atk,40},{spd,8500}]</v>
          </cell>
          <cell r="K204">
            <v>2</v>
          </cell>
          <cell r="L204" t="str">
            <v/>
          </cell>
          <cell r="M204">
            <v>0</v>
          </cell>
          <cell r="N204">
            <v>0</v>
          </cell>
          <cell r="O204">
            <v>1</v>
          </cell>
        </row>
        <row r="205">
          <cell r="A205">
            <v>4031</v>
          </cell>
          <cell r="B205">
            <v>40</v>
          </cell>
          <cell r="C205">
            <v>5</v>
          </cell>
          <cell r="D205" t="str">
            <v>关卡40BOSS2</v>
          </cell>
          <cell r="E205">
            <v>512</v>
          </cell>
        </row>
        <row r="205">
          <cell r="J205" t="str">
            <v>[{cd,3000},{hp,376000},{atk,80},{spd,8500}]</v>
          </cell>
          <cell r="K205">
            <v>2</v>
          </cell>
          <cell r="L205" t="str">
            <v/>
          </cell>
          <cell r="M205">
            <v>0</v>
          </cell>
          <cell r="N205">
            <v>0</v>
          </cell>
          <cell r="O205">
            <v>1</v>
          </cell>
        </row>
        <row r="206">
          <cell r="A206">
            <v>4101</v>
          </cell>
          <cell r="B206">
            <v>41</v>
          </cell>
          <cell r="C206">
            <v>1</v>
          </cell>
          <cell r="D206" t="str">
            <v>关卡41怪物1</v>
          </cell>
          <cell r="E206">
            <v>101</v>
          </cell>
        </row>
        <row r="206">
          <cell r="J206" t="str">
            <v>[{cd,3000},{hp,5100},{atk,24},{spd,8500}]</v>
          </cell>
          <cell r="K206">
            <v>0</v>
          </cell>
          <cell r="L206" t="str">
            <v/>
          </cell>
          <cell r="M206">
            <v>0</v>
          </cell>
          <cell r="N206">
            <v>0</v>
          </cell>
          <cell r="O206" t="str">
            <v/>
          </cell>
        </row>
        <row r="207">
          <cell r="A207">
            <v>4102</v>
          </cell>
          <cell r="B207">
            <v>41</v>
          </cell>
          <cell r="C207">
            <v>2</v>
          </cell>
          <cell r="D207" t="str">
            <v>关卡41怪物2</v>
          </cell>
          <cell r="E207">
            <v>100</v>
          </cell>
        </row>
        <row r="207">
          <cell r="J207" t="str">
            <v>[{cd,3000},{hp,6120},{atk,16},{spd,8500}]</v>
          </cell>
          <cell r="K207">
            <v>0</v>
          </cell>
          <cell r="L207" t="str">
            <v>[60002]</v>
          </cell>
          <cell r="M207">
            <v>0</v>
          </cell>
          <cell r="N207">
            <v>0</v>
          </cell>
          <cell r="O207" t="str">
            <v/>
          </cell>
        </row>
        <row r="208">
          <cell r="A208">
            <v>4103</v>
          </cell>
          <cell r="B208">
            <v>41</v>
          </cell>
          <cell r="C208">
            <v>3</v>
          </cell>
          <cell r="D208" t="str">
            <v>关卡41怪物3</v>
          </cell>
          <cell r="E208">
            <v>102</v>
          </cell>
        </row>
        <row r="208">
          <cell r="J208" t="str">
            <v>[{cd,3000},{hp,7650},{atk,12},{spd,8500}]</v>
          </cell>
          <cell r="K208">
            <v>0</v>
          </cell>
          <cell r="L208" t="str">
            <v/>
          </cell>
          <cell r="M208">
            <v>0</v>
          </cell>
          <cell r="N208">
            <v>0</v>
          </cell>
          <cell r="O208">
            <v>1</v>
          </cell>
        </row>
        <row r="209">
          <cell r="A209">
            <v>4121</v>
          </cell>
          <cell r="B209">
            <v>41</v>
          </cell>
          <cell r="C209">
            <v>4</v>
          </cell>
          <cell r="D209" t="str">
            <v>关卡41BOSS1</v>
          </cell>
          <cell r="E209">
            <v>501</v>
          </cell>
        </row>
        <row r="209">
          <cell r="J209" t="str">
            <v>[{cd,3000},{hp,306000},{atk,60},{spd,8500}]</v>
          </cell>
          <cell r="K209">
            <v>2</v>
          </cell>
          <cell r="L209" t="str">
            <v/>
          </cell>
          <cell r="M209">
            <v>0</v>
          </cell>
          <cell r="N209">
            <v>0</v>
          </cell>
          <cell r="O209" t="str">
            <v/>
          </cell>
        </row>
        <row r="210">
          <cell r="A210">
            <v>4131</v>
          </cell>
          <cell r="B210">
            <v>41</v>
          </cell>
          <cell r="C210">
            <v>5</v>
          </cell>
          <cell r="D210" t="str">
            <v>关卡41BOSS2</v>
          </cell>
          <cell r="E210">
            <v>501</v>
          </cell>
        </row>
        <row r="210">
          <cell r="J210" t="str">
            <v>[{cd,3000},{hp,408000},{atk,120},{spd,8500}]</v>
          </cell>
          <cell r="K210">
            <v>2</v>
          </cell>
          <cell r="L210" t="str">
            <v/>
          </cell>
          <cell r="M210">
            <v>0</v>
          </cell>
          <cell r="N210">
            <v>0</v>
          </cell>
          <cell r="O210" t="str">
            <v/>
          </cell>
        </row>
        <row r="211">
          <cell r="A211">
            <v>4201</v>
          </cell>
          <cell r="B211">
            <v>42</v>
          </cell>
          <cell r="C211">
            <v>1</v>
          </cell>
          <cell r="D211" t="str">
            <v>关卡42怪物1</v>
          </cell>
          <cell r="E211">
            <v>101</v>
          </cell>
        </row>
        <row r="211">
          <cell r="J211" t="str">
            <v>[{cd,3000},{hp,5500},{atk,24},{spd,8500}]</v>
          </cell>
          <cell r="K211">
            <v>0</v>
          </cell>
          <cell r="L211" t="str">
            <v/>
          </cell>
          <cell r="M211">
            <v>0</v>
          </cell>
          <cell r="N211">
            <v>0</v>
          </cell>
          <cell r="O211" t="str">
            <v/>
          </cell>
        </row>
        <row r="212">
          <cell r="A212">
            <v>4202</v>
          </cell>
          <cell r="B212">
            <v>42</v>
          </cell>
          <cell r="C212">
            <v>2</v>
          </cell>
          <cell r="D212" t="str">
            <v>关卡42怪物2</v>
          </cell>
          <cell r="E212">
            <v>100</v>
          </cell>
        </row>
        <row r="212">
          <cell r="J212" t="str">
            <v>[{cd,3000},{hp,6600},{atk,16},{spd,8500}]</v>
          </cell>
          <cell r="K212">
            <v>0</v>
          </cell>
          <cell r="L212" t="str">
            <v>[60002]</v>
          </cell>
          <cell r="M212">
            <v>0</v>
          </cell>
          <cell r="N212">
            <v>0</v>
          </cell>
          <cell r="O212" t="str">
            <v/>
          </cell>
        </row>
        <row r="213">
          <cell r="A213">
            <v>4203</v>
          </cell>
          <cell r="B213">
            <v>42</v>
          </cell>
          <cell r="C213">
            <v>3</v>
          </cell>
          <cell r="D213" t="str">
            <v>关卡42怪物3</v>
          </cell>
          <cell r="E213">
            <v>102</v>
          </cell>
        </row>
        <row r="213">
          <cell r="J213" t="str">
            <v>[{cd,3000},{hp,8250},{atk,12},{spd,8500}]</v>
          </cell>
          <cell r="K213">
            <v>0</v>
          </cell>
          <cell r="L213" t="str">
            <v/>
          </cell>
          <cell r="M213">
            <v>0</v>
          </cell>
          <cell r="N213">
            <v>0</v>
          </cell>
          <cell r="O213">
            <v>1</v>
          </cell>
        </row>
        <row r="214">
          <cell r="A214">
            <v>4221</v>
          </cell>
          <cell r="B214">
            <v>42</v>
          </cell>
          <cell r="C214">
            <v>4</v>
          </cell>
          <cell r="D214" t="str">
            <v>关卡42BOSS1</v>
          </cell>
          <cell r="E214">
            <v>502</v>
          </cell>
        </row>
        <row r="214">
          <cell r="J214" t="str">
            <v>[{cd,3000},{hp,330000},{atk,30},{spd,8500}]</v>
          </cell>
          <cell r="K214">
            <v>2</v>
          </cell>
          <cell r="L214" t="str">
            <v/>
          </cell>
          <cell r="M214">
            <v>0</v>
          </cell>
          <cell r="N214">
            <v>0</v>
          </cell>
          <cell r="O214">
            <v>1</v>
          </cell>
        </row>
        <row r="215">
          <cell r="A215">
            <v>4231</v>
          </cell>
          <cell r="B215">
            <v>42</v>
          </cell>
          <cell r="C215">
            <v>5</v>
          </cell>
          <cell r="D215" t="str">
            <v>关卡42BOSS2</v>
          </cell>
          <cell r="E215">
            <v>502</v>
          </cell>
        </row>
        <row r="215">
          <cell r="J215" t="str">
            <v>[{cd,3000},{hp,440000},{atk,60},{spd,8500}]</v>
          </cell>
          <cell r="K215">
            <v>2</v>
          </cell>
          <cell r="L215" t="str">
            <v/>
          </cell>
          <cell r="M215">
            <v>0</v>
          </cell>
          <cell r="N215">
            <v>0</v>
          </cell>
          <cell r="O215">
            <v>1</v>
          </cell>
        </row>
        <row r="216">
          <cell r="A216">
            <v>4301</v>
          </cell>
          <cell r="B216">
            <v>43</v>
          </cell>
          <cell r="C216">
            <v>1</v>
          </cell>
          <cell r="D216" t="str">
            <v>关卡43怪物1</v>
          </cell>
          <cell r="E216">
            <v>103</v>
          </cell>
        </row>
        <row r="216">
          <cell r="J216" t="str">
            <v>[{cd,3000},{hp,5900},{atk,24},{spd,8500}]</v>
          </cell>
          <cell r="K216">
            <v>0</v>
          </cell>
          <cell r="L216" t="str">
            <v>[60001]</v>
          </cell>
          <cell r="M216">
            <v>0</v>
          </cell>
          <cell r="N216">
            <v>0</v>
          </cell>
          <cell r="O216" t="str">
            <v/>
          </cell>
        </row>
        <row r="217">
          <cell r="A217">
            <v>4302</v>
          </cell>
          <cell r="B217">
            <v>43</v>
          </cell>
          <cell r="C217">
            <v>2</v>
          </cell>
          <cell r="D217" t="str">
            <v>关卡43怪物2</v>
          </cell>
          <cell r="E217">
            <v>104</v>
          </cell>
        </row>
        <row r="217">
          <cell r="J217" t="str">
            <v>[{cd,3000},{hp,7080},{atk,36},{spd,8500}]</v>
          </cell>
          <cell r="K217">
            <v>0</v>
          </cell>
          <cell r="L217" t="str">
            <v/>
          </cell>
          <cell r="M217">
            <v>0</v>
          </cell>
          <cell r="N217">
            <v>0</v>
          </cell>
          <cell r="O217" t="str">
            <v/>
          </cell>
        </row>
        <row r="218">
          <cell r="A218">
            <v>4303</v>
          </cell>
          <cell r="B218">
            <v>43</v>
          </cell>
          <cell r="C218">
            <v>3</v>
          </cell>
          <cell r="D218" t="str">
            <v>关卡43怪物3</v>
          </cell>
          <cell r="E218">
            <v>104</v>
          </cell>
        </row>
        <row r="218">
          <cell r="J218" t="str">
            <v>[{cd,3000},{hp,8850},{atk,36},{spd,8500}]</v>
          </cell>
          <cell r="K218">
            <v>0</v>
          </cell>
          <cell r="L218" t="str">
            <v/>
          </cell>
          <cell r="M218">
            <v>0</v>
          </cell>
          <cell r="N218">
            <v>0</v>
          </cell>
          <cell r="O218" t="str">
            <v/>
          </cell>
        </row>
        <row r="219">
          <cell r="A219">
            <v>4321</v>
          </cell>
          <cell r="B219">
            <v>43</v>
          </cell>
          <cell r="C219">
            <v>4</v>
          </cell>
          <cell r="D219" t="str">
            <v>关卡43BOSS1</v>
          </cell>
          <cell r="E219">
            <v>504</v>
          </cell>
        </row>
        <row r="219">
          <cell r="J219" t="str">
            <v>[{cd,3000},{hp,354000},{atk,90},{spd,8500}]</v>
          </cell>
          <cell r="K219">
            <v>2</v>
          </cell>
          <cell r="L219" t="str">
            <v/>
          </cell>
          <cell r="M219">
            <v>0</v>
          </cell>
          <cell r="N219">
            <v>0</v>
          </cell>
          <cell r="O219" t="str">
            <v/>
          </cell>
        </row>
        <row r="220">
          <cell r="A220">
            <v>4331</v>
          </cell>
          <cell r="B220">
            <v>43</v>
          </cell>
          <cell r="C220">
            <v>5</v>
          </cell>
          <cell r="D220" t="str">
            <v>关卡43BOSS2</v>
          </cell>
          <cell r="E220">
            <v>504</v>
          </cell>
        </row>
        <row r="220">
          <cell r="J220" t="str">
            <v>[{cd,3000},{hp,472000},{atk,180},{spd,8500}]</v>
          </cell>
          <cell r="K220">
            <v>2</v>
          </cell>
          <cell r="L220" t="str">
            <v/>
          </cell>
          <cell r="M220">
            <v>0</v>
          </cell>
          <cell r="N220">
            <v>0</v>
          </cell>
          <cell r="O220" t="str">
            <v/>
          </cell>
        </row>
        <row r="221">
          <cell r="A221">
            <v>4401</v>
          </cell>
          <cell r="B221">
            <v>44</v>
          </cell>
          <cell r="C221">
            <v>1</v>
          </cell>
          <cell r="D221" t="str">
            <v>关卡44怪物1</v>
          </cell>
          <cell r="E221">
            <v>103</v>
          </cell>
        </row>
        <row r="221">
          <cell r="J221" t="str">
            <v>[{cd,3000},{hp,6300},{atk,24},{spd,8500}]</v>
          </cell>
          <cell r="K221">
            <v>0</v>
          </cell>
          <cell r="L221" t="str">
            <v>[60001]</v>
          </cell>
          <cell r="M221">
            <v>0</v>
          </cell>
          <cell r="N221">
            <v>0</v>
          </cell>
          <cell r="O221" t="str">
            <v/>
          </cell>
        </row>
        <row r="222">
          <cell r="A222">
            <v>4402</v>
          </cell>
          <cell r="B222">
            <v>44</v>
          </cell>
          <cell r="C222">
            <v>2</v>
          </cell>
          <cell r="D222" t="str">
            <v>关卡44怪物2</v>
          </cell>
          <cell r="E222">
            <v>104</v>
          </cell>
        </row>
        <row r="222">
          <cell r="J222" t="str">
            <v>[{cd,3000},{hp,7560},{atk,36},{spd,8500}]</v>
          </cell>
          <cell r="K222">
            <v>0</v>
          </cell>
          <cell r="L222" t="str">
            <v/>
          </cell>
          <cell r="M222">
            <v>0</v>
          </cell>
          <cell r="N222">
            <v>0</v>
          </cell>
          <cell r="O222" t="str">
            <v/>
          </cell>
        </row>
        <row r="223">
          <cell r="A223">
            <v>4403</v>
          </cell>
          <cell r="B223">
            <v>44</v>
          </cell>
          <cell r="C223">
            <v>3</v>
          </cell>
          <cell r="D223" t="str">
            <v>关卡44怪物3</v>
          </cell>
          <cell r="E223">
            <v>106</v>
          </cell>
        </row>
        <row r="223">
          <cell r="J223" t="str">
            <v>[{cd,3000},{hp,9450},{atk,20},{spd,8500}]</v>
          </cell>
          <cell r="K223">
            <v>0</v>
          </cell>
          <cell r="L223" t="str">
            <v>[60002]</v>
          </cell>
          <cell r="M223">
            <v>0</v>
          </cell>
          <cell r="N223">
            <v>0</v>
          </cell>
          <cell r="O223">
            <v>1</v>
          </cell>
        </row>
        <row r="224">
          <cell r="A224">
            <v>4421</v>
          </cell>
          <cell r="B224">
            <v>44</v>
          </cell>
          <cell r="C224">
            <v>4</v>
          </cell>
          <cell r="D224" t="str">
            <v>关卡44BOSS1</v>
          </cell>
          <cell r="E224">
            <v>503</v>
          </cell>
        </row>
        <row r="224">
          <cell r="J224" t="str">
            <v>[{cd,3000},{hp,378000},{atk,60},{spd,8500}]</v>
          </cell>
          <cell r="K224">
            <v>2</v>
          </cell>
          <cell r="L224" t="str">
            <v>[60001]</v>
          </cell>
          <cell r="M224">
            <v>0</v>
          </cell>
          <cell r="N224">
            <v>0</v>
          </cell>
          <cell r="O224" t="str">
            <v/>
          </cell>
        </row>
        <row r="225">
          <cell r="A225">
            <v>4431</v>
          </cell>
          <cell r="B225">
            <v>44</v>
          </cell>
          <cell r="C225">
            <v>5</v>
          </cell>
          <cell r="D225" t="str">
            <v>关卡44BOSS2</v>
          </cell>
          <cell r="E225">
            <v>503</v>
          </cell>
        </row>
        <row r="225">
          <cell r="J225" t="str">
            <v>[{cd,3000},{hp,504000},{atk,120},{spd,8500}]</v>
          </cell>
          <cell r="K225">
            <v>2</v>
          </cell>
          <cell r="L225" t="str">
            <v>[60001]</v>
          </cell>
          <cell r="M225">
            <v>0</v>
          </cell>
          <cell r="N225">
            <v>0</v>
          </cell>
          <cell r="O225" t="str">
            <v/>
          </cell>
        </row>
        <row r="226">
          <cell r="A226">
            <v>4501</v>
          </cell>
          <cell r="B226">
            <v>45</v>
          </cell>
          <cell r="C226">
            <v>1</v>
          </cell>
          <cell r="D226" t="str">
            <v>关卡45怪物1</v>
          </cell>
          <cell r="E226">
            <v>108</v>
          </cell>
        </row>
        <row r="226">
          <cell r="J226" t="str">
            <v>[{cd,3000},{hp,7100},{atk,40},{spd,8500}]</v>
          </cell>
          <cell r="K226">
            <v>0</v>
          </cell>
          <cell r="L226" t="str">
            <v/>
          </cell>
          <cell r="M226">
            <v>0</v>
          </cell>
          <cell r="N226">
            <v>0</v>
          </cell>
          <cell r="O226" t="str">
            <v/>
          </cell>
        </row>
        <row r="227">
          <cell r="A227">
            <v>4502</v>
          </cell>
          <cell r="B227">
            <v>45</v>
          </cell>
          <cell r="C227">
            <v>2</v>
          </cell>
          <cell r="D227" t="str">
            <v>关卡45怪物2</v>
          </cell>
          <cell r="E227">
            <v>110</v>
          </cell>
        </row>
        <row r="227">
          <cell r="J227" t="str">
            <v>[{cd,3000},{hp,8520},{atk,40},{spd,8500}]</v>
          </cell>
          <cell r="K227">
            <v>0</v>
          </cell>
          <cell r="L227" t="str">
            <v/>
          </cell>
          <cell r="M227">
            <v>0</v>
          </cell>
          <cell r="N227">
            <v>0</v>
          </cell>
          <cell r="O227" t="str">
            <v/>
          </cell>
        </row>
        <row r="228">
          <cell r="A228">
            <v>4503</v>
          </cell>
          <cell r="B228">
            <v>45</v>
          </cell>
          <cell r="C228">
            <v>3</v>
          </cell>
          <cell r="D228" t="str">
            <v>关卡45怪物3</v>
          </cell>
          <cell r="E228">
            <v>114</v>
          </cell>
        </row>
        <row r="228">
          <cell r="J228" t="str">
            <v>[{cd,3000},{hp,10650},{atk,20},{spd,8500}]</v>
          </cell>
          <cell r="K228">
            <v>0</v>
          </cell>
          <cell r="L228" t="str">
            <v/>
          </cell>
          <cell r="M228">
            <v>0</v>
          </cell>
          <cell r="N228">
            <v>0</v>
          </cell>
          <cell r="O228" t="str">
            <v/>
          </cell>
        </row>
        <row r="229">
          <cell r="A229">
            <v>4521</v>
          </cell>
          <cell r="B229">
            <v>45</v>
          </cell>
          <cell r="C229">
            <v>4</v>
          </cell>
          <cell r="D229" t="str">
            <v>关卡45BOSS1</v>
          </cell>
          <cell r="E229">
            <v>508</v>
          </cell>
        </row>
        <row r="229">
          <cell r="J229" t="str">
            <v>[{cd,3000},{hp,426000},{atk,100},{spd,8500}]</v>
          </cell>
          <cell r="K229">
            <v>2</v>
          </cell>
          <cell r="L229" t="str">
            <v/>
          </cell>
          <cell r="M229">
            <v>0</v>
          </cell>
          <cell r="N229">
            <v>0</v>
          </cell>
          <cell r="O229" t="str">
            <v/>
          </cell>
        </row>
        <row r="230">
          <cell r="A230">
            <v>4531</v>
          </cell>
          <cell r="B230">
            <v>45</v>
          </cell>
          <cell r="C230">
            <v>5</v>
          </cell>
          <cell r="D230" t="str">
            <v>关卡45BOSS2</v>
          </cell>
          <cell r="E230">
            <v>508</v>
          </cell>
        </row>
        <row r="230">
          <cell r="J230" t="str">
            <v>[{cd,3000},{hp,568000},{atk,200},{spd,8500}]</v>
          </cell>
          <cell r="K230">
            <v>2</v>
          </cell>
          <cell r="L230" t="str">
            <v/>
          </cell>
          <cell r="M230">
            <v>0</v>
          </cell>
          <cell r="N230">
            <v>0</v>
          </cell>
          <cell r="O230" t="str">
            <v/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基础配置"/>
      <sheetName val="Sheet1"/>
      <sheetName val="Sheet2"/>
      <sheetName val="Sheet3"/>
    </sheetNames>
    <sheetDataSet>
      <sheetData sheetId="0">
        <row r="30">
          <cell r="I30" t="str">
            <v>总系数</v>
          </cell>
        </row>
        <row r="31">
          <cell r="I31">
            <v>1</v>
          </cell>
          <cell r="J31">
            <v>0.333333333333333</v>
          </cell>
        </row>
        <row r="32">
          <cell r="I32">
            <v>1.5</v>
          </cell>
          <cell r="J32">
            <v>0.375</v>
          </cell>
        </row>
        <row r="33">
          <cell r="I33">
            <v>2</v>
          </cell>
          <cell r="J33">
            <v>0.4</v>
          </cell>
        </row>
        <row r="34">
          <cell r="I34">
            <v>2.5</v>
          </cell>
          <cell r="J34">
            <v>0.416666666666667</v>
          </cell>
        </row>
        <row r="35">
          <cell r="I35">
            <v>3</v>
          </cell>
          <cell r="J35">
            <v>0.428571428571429</v>
          </cell>
        </row>
        <row r="36">
          <cell r="I36">
            <v>3.5</v>
          </cell>
          <cell r="J36">
            <v>0.4375</v>
          </cell>
        </row>
        <row r="37">
          <cell r="I37">
            <v>4</v>
          </cell>
          <cell r="J37">
            <v>0.444444444444444</v>
          </cell>
        </row>
        <row r="38">
          <cell r="I38">
            <v>5</v>
          </cell>
          <cell r="J38">
            <v>0.45</v>
          </cell>
        </row>
        <row r="39">
          <cell r="I39">
            <v>7.5</v>
          </cell>
          <cell r="J39">
            <v>0.466666666666667</v>
          </cell>
        </row>
        <row r="40">
          <cell r="I40">
            <v>10</v>
          </cell>
          <cell r="J40">
            <v>0.475</v>
          </cell>
        </row>
        <row r="41">
          <cell r="I41">
            <v>13</v>
          </cell>
          <cell r="J41">
            <v>0.48</v>
          </cell>
        </row>
        <row r="42">
          <cell r="I42">
            <v>15.5</v>
          </cell>
          <cell r="J42">
            <v>0.483333333333333</v>
          </cell>
        </row>
        <row r="43">
          <cell r="I43">
            <v>18.5</v>
          </cell>
          <cell r="J43">
            <v>0.485714285714286</v>
          </cell>
        </row>
        <row r="44">
          <cell r="I44">
            <v>21</v>
          </cell>
          <cell r="J44">
            <v>0.4875</v>
          </cell>
        </row>
        <row r="45">
          <cell r="I45">
            <v>24</v>
          </cell>
          <cell r="J45">
            <v>0.488888888888889</v>
          </cell>
        </row>
        <row r="46">
          <cell r="I46">
            <v>27</v>
          </cell>
          <cell r="J46">
            <v>0.5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"/>
  <sheetViews>
    <sheetView tabSelected="1" zoomScale="115" zoomScaleNormal="115" workbookViewId="0">
      <pane xSplit="2" ySplit="5" topLeftCell="C38" activePane="bottomRight" state="frozen"/>
      <selection/>
      <selection pane="topRight"/>
      <selection pane="bottomLeft"/>
      <selection pane="bottomRight" activeCell="I54" sqref="I54"/>
    </sheetView>
  </sheetViews>
  <sheetFormatPr defaultColWidth="9" defaultRowHeight="23.1" customHeight="1"/>
  <cols>
    <col min="1" max="9" width="14" style="2" customWidth="1"/>
    <col min="10" max="10" width="55.5416666666667" style="2" customWidth="1"/>
    <col min="11" max="16384" width="9" style="14"/>
  </cols>
  <sheetData>
    <row r="1" s="12" customFormat="1" customHeight="1" spans="1:10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</row>
    <row r="2" s="13" customFormat="1" ht="15.95" customHeight="1" spans="1:10">
      <c r="A2" s="16" t="s">
        <v>10</v>
      </c>
      <c r="B2" s="16"/>
      <c r="C2" s="16" t="s">
        <v>10</v>
      </c>
      <c r="D2" s="16" t="s">
        <v>11</v>
      </c>
      <c r="E2" s="16" t="s">
        <v>11</v>
      </c>
      <c r="F2" s="16" t="s">
        <v>11</v>
      </c>
      <c r="G2" s="16" t="s">
        <v>11</v>
      </c>
      <c r="H2" s="16" t="s">
        <v>11</v>
      </c>
      <c r="I2" s="16" t="s">
        <v>11</v>
      </c>
      <c r="J2" s="16" t="s">
        <v>10</v>
      </c>
    </row>
    <row r="3" s="13" customFormat="1" ht="15.95" customHeight="1" spans="1:10">
      <c r="A3" s="16" t="s">
        <v>12</v>
      </c>
      <c r="B3" s="16" t="s">
        <v>13</v>
      </c>
      <c r="C3" s="16" t="s">
        <v>14</v>
      </c>
      <c r="D3" s="16" t="s">
        <v>15</v>
      </c>
      <c r="E3" s="16" t="s">
        <v>16</v>
      </c>
      <c r="F3" s="16" t="s">
        <v>17</v>
      </c>
      <c r="G3" s="16" t="s">
        <v>18</v>
      </c>
      <c r="H3" s="16" t="s">
        <v>19</v>
      </c>
      <c r="I3" s="16" t="s">
        <v>20</v>
      </c>
      <c r="J3" s="16" t="s">
        <v>21</v>
      </c>
    </row>
    <row r="4" s="13" customFormat="1" ht="15.95" customHeight="1" spans="1:10">
      <c r="A4" s="16" t="s">
        <v>22</v>
      </c>
      <c r="B4" s="16" t="s">
        <v>13</v>
      </c>
      <c r="C4" s="16" t="s">
        <v>22</v>
      </c>
      <c r="D4" s="16" t="s">
        <v>22</v>
      </c>
      <c r="E4" s="16" t="s">
        <v>22</v>
      </c>
      <c r="F4" s="16" t="s">
        <v>22</v>
      </c>
      <c r="G4" s="16" t="s">
        <v>22</v>
      </c>
      <c r="H4" s="16" t="s">
        <v>22</v>
      </c>
      <c r="I4" s="16" t="s">
        <v>22</v>
      </c>
      <c r="J4" s="16" t="s">
        <v>23</v>
      </c>
    </row>
    <row r="5" s="13" customFormat="1" ht="15.95" customHeight="1" spans="1:10">
      <c r="A5" s="16"/>
      <c r="B5" s="16"/>
      <c r="C5" s="16"/>
      <c r="D5" s="16" t="s">
        <v>24</v>
      </c>
      <c r="E5" s="16"/>
      <c r="F5" s="16"/>
      <c r="G5" s="16"/>
      <c r="H5" s="16"/>
      <c r="I5" s="16"/>
      <c r="J5" s="16"/>
    </row>
    <row r="6" s="14" customFormat="1" customHeight="1" spans="1:10">
      <c r="A6" s="17">
        <v>1</v>
      </c>
      <c r="B6" s="17" t="s">
        <v>25</v>
      </c>
      <c r="C6" s="17">
        <v>2</v>
      </c>
      <c r="D6" s="17">
        <v>1</v>
      </c>
      <c r="E6" s="17">
        <v>1</v>
      </c>
      <c r="F6" s="17">
        <v>3000</v>
      </c>
      <c r="G6" s="17"/>
      <c r="H6" s="17">
        <v>5000</v>
      </c>
      <c r="I6" s="17">
        <v>2000</v>
      </c>
      <c r="J6" s="17" t="s">
        <v>26</v>
      </c>
    </row>
    <row r="7" s="14" customFormat="1" customHeight="1" spans="1:10">
      <c r="A7" s="17">
        <v>2</v>
      </c>
      <c r="B7" s="17" t="s">
        <v>25</v>
      </c>
      <c r="C7" s="17">
        <v>3</v>
      </c>
      <c r="D7" s="17">
        <v>1</v>
      </c>
      <c r="E7" s="17">
        <v>3</v>
      </c>
      <c r="F7" s="17">
        <v>4000</v>
      </c>
      <c r="G7" s="17"/>
      <c r="H7" s="17">
        <v>5000</v>
      </c>
      <c r="I7" s="17">
        <v>2000</v>
      </c>
      <c r="J7" s="17" t="s">
        <v>26</v>
      </c>
    </row>
    <row r="8" s="14" customFormat="1" customHeight="1" spans="1:10">
      <c r="A8" s="18">
        <v>3</v>
      </c>
      <c r="B8" s="18" t="s">
        <v>25</v>
      </c>
      <c r="C8" s="18">
        <v>4</v>
      </c>
      <c r="D8" s="18">
        <v>2</v>
      </c>
      <c r="E8" s="18">
        <v>1</v>
      </c>
      <c r="F8" s="18">
        <v>6000</v>
      </c>
      <c r="G8" s="18"/>
      <c r="H8" s="18">
        <v>6000</v>
      </c>
      <c r="I8" s="18">
        <v>4000</v>
      </c>
      <c r="J8" s="18" t="s">
        <v>26</v>
      </c>
    </row>
    <row r="9" s="15" customFormat="1" customHeight="1" spans="1:10">
      <c r="A9" s="18">
        <v>4</v>
      </c>
      <c r="B9" s="18" t="s">
        <v>25</v>
      </c>
      <c r="C9" s="18">
        <v>5</v>
      </c>
      <c r="D9" s="18">
        <v>2</v>
      </c>
      <c r="E9" s="18">
        <v>5</v>
      </c>
      <c r="F9" s="18">
        <v>10000</v>
      </c>
      <c r="G9" s="18"/>
      <c r="H9" s="18">
        <v>6000</v>
      </c>
      <c r="I9" s="18">
        <v>4000</v>
      </c>
      <c r="J9" s="18" t="s">
        <v>26</v>
      </c>
    </row>
    <row r="10" s="14" customFormat="1" customHeight="1" spans="1:10">
      <c r="A10" s="17">
        <v>5</v>
      </c>
      <c r="B10" s="17" t="s">
        <v>25</v>
      </c>
      <c r="C10" s="17">
        <v>6</v>
      </c>
      <c r="D10" s="17">
        <v>3</v>
      </c>
      <c r="E10" s="17">
        <v>1</v>
      </c>
      <c r="F10" s="17">
        <v>14000</v>
      </c>
      <c r="G10" s="17"/>
      <c r="H10" s="17">
        <v>7000</v>
      </c>
      <c r="I10" s="17">
        <v>6000</v>
      </c>
      <c r="J10" s="17" t="s">
        <v>26</v>
      </c>
    </row>
    <row r="11" s="14" customFormat="1" customHeight="1" spans="1:10">
      <c r="A11" s="17">
        <v>6</v>
      </c>
      <c r="B11" s="17" t="s">
        <v>25</v>
      </c>
      <c r="C11" s="17">
        <v>7</v>
      </c>
      <c r="D11" s="17">
        <v>3</v>
      </c>
      <c r="E11" s="17">
        <v>7</v>
      </c>
      <c r="F11" s="17">
        <v>8000</v>
      </c>
      <c r="G11" s="17"/>
      <c r="H11" s="17">
        <v>7000</v>
      </c>
      <c r="I11" s="17">
        <v>6000</v>
      </c>
      <c r="J11" s="17" t="s">
        <v>26</v>
      </c>
    </row>
    <row r="12" s="14" customFormat="1" customHeight="1" spans="1:10">
      <c r="A12" s="18">
        <v>7</v>
      </c>
      <c r="B12" s="18" t="s">
        <v>25</v>
      </c>
      <c r="C12" s="18">
        <v>8</v>
      </c>
      <c r="D12" s="18">
        <v>4</v>
      </c>
      <c r="E12" s="18">
        <v>1</v>
      </c>
      <c r="F12" s="18">
        <v>10000</v>
      </c>
      <c r="G12" s="18"/>
      <c r="H12" s="18">
        <v>8000</v>
      </c>
      <c r="I12" s="18">
        <v>8000</v>
      </c>
      <c r="J12" s="18" t="s">
        <v>26</v>
      </c>
    </row>
    <row r="13" s="14" customFormat="1" customHeight="1" spans="1:10">
      <c r="A13" s="18">
        <v>8</v>
      </c>
      <c r="B13" s="18" t="s">
        <v>25</v>
      </c>
      <c r="C13" s="18">
        <v>9</v>
      </c>
      <c r="D13" s="18">
        <v>4</v>
      </c>
      <c r="E13" s="18">
        <v>2</v>
      </c>
      <c r="F13" s="18">
        <v>14000</v>
      </c>
      <c r="G13" s="18"/>
      <c r="H13" s="18">
        <v>8000</v>
      </c>
      <c r="I13" s="18">
        <v>8000</v>
      </c>
      <c r="J13" s="18" t="s">
        <v>26</v>
      </c>
    </row>
    <row r="14" s="14" customFormat="1" customHeight="1" spans="1:10">
      <c r="A14" s="18">
        <v>9</v>
      </c>
      <c r="B14" s="18" t="s">
        <v>25</v>
      </c>
      <c r="C14" s="18">
        <v>10</v>
      </c>
      <c r="D14" s="18">
        <v>4</v>
      </c>
      <c r="E14" s="18">
        <v>12</v>
      </c>
      <c r="F14" s="18">
        <v>1000</v>
      </c>
      <c r="G14" s="18"/>
      <c r="H14" s="18">
        <v>8000</v>
      </c>
      <c r="I14" s="18">
        <v>8000</v>
      </c>
      <c r="J14" s="18" t="s">
        <v>27</v>
      </c>
    </row>
    <row r="15" s="14" customFormat="1" customHeight="1" spans="1:10">
      <c r="A15" s="18">
        <v>10</v>
      </c>
      <c r="B15" s="18" t="s">
        <v>25</v>
      </c>
      <c r="C15" s="18">
        <v>11</v>
      </c>
      <c r="D15" s="18">
        <v>4</v>
      </c>
      <c r="E15" s="18">
        <v>16</v>
      </c>
      <c r="F15" s="18">
        <v>1000</v>
      </c>
      <c r="G15" s="18"/>
      <c r="H15" s="18">
        <v>8000</v>
      </c>
      <c r="I15" s="18">
        <v>8000</v>
      </c>
      <c r="J15" s="18" t="s">
        <v>27</v>
      </c>
    </row>
    <row r="16" s="14" customFormat="1" customHeight="1" spans="1:10">
      <c r="A16" s="17">
        <v>11</v>
      </c>
      <c r="B16" s="17" t="s">
        <v>25</v>
      </c>
      <c r="C16" s="17">
        <v>12</v>
      </c>
      <c r="D16" s="17">
        <v>5</v>
      </c>
      <c r="E16" s="17">
        <v>1</v>
      </c>
      <c r="F16" s="17">
        <v>18000</v>
      </c>
      <c r="G16" s="17"/>
      <c r="H16" s="17">
        <v>10000</v>
      </c>
      <c r="I16" s="17">
        <v>10000</v>
      </c>
      <c r="J16" s="17" t="s">
        <v>26</v>
      </c>
    </row>
    <row r="17" s="14" customFormat="1" customHeight="1" spans="1:10">
      <c r="A17" s="17">
        <v>12</v>
      </c>
      <c r="B17" s="17" t="s">
        <v>25</v>
      </c>
      <c r="C17" s="17">
        <v>13</v>
      </c>
      <c r="D17" s="17">
        <v>5</v>
      </c>
      <c r="E17" s="17">
        <v>9</v>
      </c>
      <c r="F17" s="17">
        <v>24000</v>
      </c>
      <c r="G17" s="17"/>
      <c r="H17" s="17">
        <v>10000</v>
      </c>
      <c r="I17" s="17">
        <v>10000</v>
      </c>
      <c r="J17" s="17" t="s">
        <v>26</v>
      </c>
    </row>
    <row r="18" s="14" customFormat="1" customHeight="1" spans="1:10">
      <c r="A18" s="17">
        <v>13</v>
      </c>
      <c r="B18" s="17" t="s">
        <v>25</v>
      </c>
      <c r="C18" s="17">
        <v>14</v>
      </c>
      <c r="D18" s="17">
        <v>5</v>
      </c>
      <c r="E18" s="17">
        <v>26</v>
      </c>
      <c r="F18" s="17">
        <v>2000</v>
      </c>
      <c r="G18" s="17"/>
      <c r="H18" s="17">
        <v>10000</v>
      </c>
      <c r="I18" s="17">
        <v>10000</v>
      </c>
      <c r="J18" s="17" t="s">
        <v>27</v>
      </c>
    </row>
    <row r="19" s="14" customFormat="1" customHeight="1" spans="1:10">
      <c r="A19" s="17">
        <v>14</v>
      </c>
      <c r="B19" s="17" t="s">
        <v>25</v>
      </c>
      <c r="C19" s="17">
        <v>15</v>
      </c>
      <c r="D19" s="17">
        <v>5</v>
      </c>
      <c r="E19" s="17">
        <v>26</v>
      </c>
      <c r="F19" s="17">
        <v>3000</v>
      </c>
      <c r="G19" s="17"/>
      <c r="H19" s="17">
        <v>10000</v>
      </c>
      <c r="I19" s="17">
        <v>10000</v>
      </c>
      <c r="J19" s="17" t="s">
        <v>27</v>
      </c>
    </row>
    <row r="20" customHeight="1" spans="1:10">
      <c r="A20" s="19">
        <v>15</v>
      </c>
      <c r="B20" s="19" t="s">
        <v>25</v>
      </c>
      <c r="C20" s="19">
        <v>16</v>
      </c>
      <c r="D20" s="19">
        <v>5</v>
      </c>
      <c r="E20" s="19">
        <v>29</v>
      </c>
      <c r="F20" s="19"/>
      <c r="G20" s="19">
        <v>1</v>
      </c>
      <c r="H20" s="19"/>
      <c r="I20" s="19"/>
      <c r="J20" s="19" t="s">
        <v>28</v>
      </c>
    </row>
    <row r="21" customHeight="1" spans="1:10">
      <c r="A21" s="20">
        <v>16</v>
      </c>
      <c r="B21" s="20" t="s">
        <v>25</v>
      </c>
      <c r="C21" s="20">
        <v>17</v>
      </c>
      <c r="D21" s="20">
        <v>5</v>
      </c>
      <c r="E21" s="20">
        <v>30</v>
      </c>
      <c r="F21" s="20">
        <v>1000</v>
      </c>
      <c r="G21" s="20"/>
      <c r="H21" s="20">
        <v>10000</v>
      </c>
      <c r="I21" s="20">
        <v>10000</v>
      </c>
      <c r="J21" s="20" t="s">
        <v>29</v>
      </c>
    </row>
    <row r="22" s="14" customFormat="1" customHeight="1" spans="1:10">
      <c r="A22" s="18">
        <v>17</v>
      </c>
      <c r="B22" s="18" t="s">
        <v>25</v>
      </c>
      <c r="C22" s="18">
        <v>18</v>
      </c>
      <c r="D22" s="18">
        <v>6</v>
      </c>
      <c r="E22" s="18">
        <v>1</v>
      </c>
      <c r="F22" s="18">
        <v>9000</v>
      </c>
      <c r="G22" s="18"/>
      <c r="H22" s="18">
        <v>12000</v>
      </c>
      <c r="I22" s="18">
        <v>12000</v>
      </c>
      <c r="J22" s="18" t="s">
        <v>26</v>
      </c>
    </row>
    <row r="23" s="14" customFormat="1" customHeight="1" spans="1:10">
      <c r="A23" s="18">
        <v>18</v>
      </c>
      <c r="B23" s="18" t="s">
        <v>25</v>
      </c>
      <c r="C23" s="18">
        <v>19</v>
      </c>
      <c r="D23" s="18">
        <v>6</v>
      </c>
      <c r="E23" s="18">
        <v>6</v>
      </c>
      <c r="F23" s="18">
        <v>13000</v>
      </c>
      <c r="G23" s="18"/>
      <c r="H23" s="18">
        <v>12000</v>
      </c>
      <c r="I23" s="18">
        <v>12000</v>
      </c>
      <c r="J23" s="18" t="s">
        <v>26</v>
      </c>
    </row>
    <row r="24" s="14" customFormat="1" customHeight="1" spans="1:10">
      <c r="A24" s="18">
        <v>19</v>
      </c>
      <c r="B24" s="18" t="s">
        <v>25</v>
      </c>
      <c r="C24" s="18">
        <v>20</v>
      </c>
      <c r="D24" s="18">
        <v>6</v>
      </c>
      <c r="E24" s="18">
        <v>15</v>
      </c>
      <c r="F24" s="18">
        <v>4000</v>
      </c>
      <c r="G24" s="18"/>
      <c r="H24" s="18">
        <v>12000</v>
      </c>
      <c r="I24" s="18">
        <v>12000</v>
      </c>
      <c r="J24" s="18" t="s">
        <v>27</v>
      </c>
    </row>
    <row r="25" s="14" customFormat="1" customHeight="1" spans="1:10">
      <c r="A25" s="18">
        <v>20</v>
      </c>
      <c r="B25" s="18" t="s">
        <v>25</v>
      </c>
      <c r="C25" s="18">
        <v>21</v>
      </c>
      <c r="D25" s="18">
        <v>6</v>
      </c>
      <c r="E25" s="18">
        <v>15</v>
      </c>
      <c r="F25" s="18">
        <v>5000</v>
      </c>
      <c r="G25" s="18"/>
      <c r="H25" s="18">
        <v>12000</v>
      </c>
      <c r="I25" s="18">
        <v>12000</v>
      </c>
      <c r="J25" s="18" t="s">
        <v>27</v>
      </c>
    </row>
    <row r="26" s="14" customFormat="1" customHeight="1" spans="1:10">
      <c r="A26" s="17">
        <v>21</v>
      </c>
      <c r="B26" s="17" t="s">
        <v>25</v>
      </c>
      <c r="C26" s="17">
        <v>22</v>
      </c>
      <c r="D26" s="17">
        <v>7</v>
      </c>
      <c r="E26" s="17">
        <v>1</v>
      </c>
      <c r="F26" s="17">
        <v>17000</v>
      </c>
      <c r="G26" s="17"/>
      <c r="H26" s="17">
        <v>15000</v>
      </c>
      <c r="I26" s="17">
        <v>14000</v>
      </c>
      <c r="J26" s="17" t="s">
        <v>26</v>
      </c>
    </row>
    <row r="27" s="14" customFormat="1" customHeight="1" spans="1:10">
      <c r="A27" s="17">
        <v>22</v>
      </c>
      <c r="B27" s="17" t="s">
        <v>25</v>
      </c>
      <c r="C27" s="17">
        <v>23</v>
      </c>
      <c r="D27" s="17">
        <v>7</v>
      </c>
      <c r="E27" s="17">
        <v>8</v>
      </c>
      <c r="F27" s="17">
        <v>23000</v>
      </c>
      <c r="G27" s="17"/>
      <c r="H27" s="17">
        <v>15000</v>
      </c>
      <c r="I27" s="17">
        <v>14000</v>
      </c>
      <c r="J27" s="17" t="s">
        <v>26</v>
      </c>
    </row>
    <row r="28" s="14" customFormat="1" customHeight="1" spans="1:10">
      <c r="A28" s="17">
        <v>23</v>
      </c>
      <c r="B28" s="17" t="s">
        <v>25</v>
      </c>
      <c r="C28" s="17">
        <v>24</v>
      </c>
      <c r="D28" s="17">
        <v>7</v>
      </c>
      <c r="E28" s="17">
        <v>18</v>
      </c>
      <c r="F28" s="17">
        <v>6000</v>
      </c>
      <c r="G28" s="17"/>
      <c r="H28" s="17">
        <v>15000</v>
      </c>
      <c r="I28" s="17">
        <v>14000</v>
      </c>
      <c r="J28" s="17" t="s">
        <v>27</v>
      </c>
    </row>
    <row r="29" s="14" customFormat="1" customHeight="1" spans="1:10">
      <c r="A29" s="17">
        <v>24</v>
      </c>
      <c r="B29" s="17" t="s">
        <v>25</v>
      </c>
      <c r="C29" s="17">
        <v>25</v>
      </c>
      <c r="D29" s="17">
        <v>7</v>
      </c>
      <c r="E29" s="17">
        <v>25</v>
      </c>
      <c r="F29" s="17">
        <v>6000</v>
      </c>
      <c r="G29" s="17"/>
      <c r="H29" s="17">
        <v>15000</v>
      </c>
      <c r="I29" s="17">
        <v>14000</v>
      </c>
      <c r="J29" s="17" t="s">
        <v>27</v>
      </c>
    </row>
    <row r="30" s="14" customFormat="1" customHeight="1" spans="1:10">
      <c r="A30" s="17">
        <v>25</v>
      </c>
      <c r="B30" s="17" t="s">
        <v>25</v>
      </c>
      <c r="C30" s="17">
        <v>26</v>
      </c>
      <c r="D30" s="17">
        <v>7</v>
      </c>
      <c r="E30" s="17">
        <v>32</v>
      </c>
      <c r="F30" s="17">
        <v>1000</v>
      </c>
      <c r="G30" s="17"/>
      <c r="H30" s="17">
        <v>15000</v>
      </c>
      <c r="I30" s="17">
        <v>14000</v>
      </c>
      <c r="J30" s="17" t="s">
        <v>30</v>
      </c>
    </row>
    <row r="31" s="14" customFormat="1" customHeight="1" spans="1:10">
      <c r="A31" s="18">
        <v>26</v>
      </c>
      <c r="B31" s="18" t="s">
        <v>25</v>
      </c>
      <c r="C31" s="18">
        <v>27</v>
      </c>
      <c r="D31" s="18">
        <v>8</v>
      </c>
      <c r="E31" s="18">
        <v>1</v>
      </c>
      <c r="F31" s="18">
        <v>28000</v>
      </c>
      <c r="G31" s="18"/>
      <c r="H31" s="18">
        <v>20000</v>
      </c>
      <c r="I31" s="18">
        <v>16000</v>
      </c>
      <c r="J31" s="18" t="s">
        <v>26</v>
      </c>
    </row>
    <row r="32" s="14" customFormat="1" customHeight="1" spans="1:10">
      <c r="A32" s="18">
        <v>27</v>
      </c>
      <c r="B32" s="18" t="s">
        <v>25</v>
      </c>
      <c r="C32" s="18">
        <v>28</v>
      </c>
      <c r="D32" s="18">
        <v>8</v>
      </c>
      <c r="E32" s="18">
        <v>10</v>
      </c>
      <c r="F32" s="18">
        <v>6000</v>
      </c>
      <c r="G32" s="18"/>
      <c r="H32" s="18">
        <v>20000</v>
      </c>
      <c r="I32" s="18">
        <v>16000</v>
      </c>
      <c r="J32" s="18" t="s">
        <v>26</v>
      </c>
    </row>
    <row r="33" s="14" customFormat="1" customHeight="1" spans="1:10">
      <c r="A33" s="18">
        <v>28</v>
      </c>
      <c r="B33" s="18" t="s">
        <v>25</v>
      </c>
      <c r="C33" s="18">
        <v>29</v>
      </c>
      <c r="D33" s="18">
        <v>8</v>
      </c>
      <c r="E33" s="18">
        <v>18</v>
      </c>
      <c r="F33" s="18">
        <v>7000</v>
      </c>
      <c r="G33" s="18"/>
      <c r="H33" s="18">
        <v>20000</v>
      </c>
      <c r="I33" s="18">
        <v>16000</v>
      </c>
      <c r="J33" s="18" t="s">
        <v>27</v>
      </c>
    </row>
    <row r="34" s="14" customFormat="1" customHeight="1" spans="1:10">
      <c r="A34" s="18">
        <v>29</v>
      </c>
      <c r="B34" s="18" t="s">
        <v>25</v>
      </c>
      <c r="C34" s="18">
        <v>30</v>
      </c>
      <c r="D34" s="18">
        <v>8</v>
      </c>
      <c r="E34" s="18">
        <v>20</v>
      </c>
      <c r="F34" s="18">
        <v>6000</v>
      </c>
      <c r="G34" s="18"/>
      <c r="H34" s="18">
        <v>20000</v>
      </c>
      <c r="I34" s="18">
        <v>16000</v>
      </c>
      <c r="J34" s="18" t="s">
        <v>27</v>
      </c>
    </row>
    <row r="35" s="14" customFormat="1" customHeight="1" spans="1:10">
      <c r="A35" s="18">
        <v>30</v>
      </c>
      <c r="B35" s="18" t="s">
        <v>25</v>
      </c>
      <c r="C35" s="18">
        <v>31</v>
      </c>
      <c r="D35" s="18">
        <v>8</v>
      </c>
      <c r="E35" s="18">
        <v>30</v>
      </c>
      <c r="F35" s="18">
        <v>4000</v>
      </c>
      <c r="G35" s="18"/>
      <c r="H35" s="18">
        <v>20000</v>
      </c>
      <c r="I35" s="18">
        <v>16000</v>
      </c>
      <c r="J35" s="18" t="s">
        <v>30</v>
      </c>
    </row>
    <row r="36" s="14" customFormat="1" customHeight="1" spans="1:10">
      <c r="A36" s="18">
        <v>31</v>
      </c>
      <c r="B36" s="18" t="s">
        <v>25</v>
      </c>
      <c r="C36" s="18">
        <v>32</v>
      </c>
      <c r="D36" s="18">
        <v>8</v>
      </c>
      <c r="E36" s="18">
        <v>37</v>
      </c>
      <c r="F36" s="18">
        <v>2000</v>
      </c>
      <c r="G36" s="18"/>
      <c r="H36" s="18">
        <v>20000</v>
      </c>
      <c r="I36" s="18">
        <v>16000</v>
      </c>
      <c r="J36" s="18" t="s">
        <v>30</v>
      </c>
    </row>
    <row r="37" s="14" customFormat="1" customHeight="1" spans="1:10">
      <c r="A37" s="17">
        <v>32</v>
      </c>
      <c r="B37" s="17" t="s">
        <v>25</v>
      </c>
      <c r="C37" s="17">
        <v>33</v>
      </c>
      <c r="D37" s="17">
        <v>9</v>
      </c>
      <c r="E37" s="17">
        <v>1</v>
      </c>
      <c r="F37" s="17">
        <v>9000</v>
      </c>
      <c r="G37" s="17"/>
      <c r="H37" s="17">
        <v>30000</v>
      </c>
      <c r="I37" s="17">
        <v>18000</v>
      </c>
      <c r="J37" s="17" t="s">
        <v>26</v>
      </c>
    </row>
    <row r="38" s="14" customFormat="1" customHeight="1" spans="1:10">
      <c r="A38" s="17">
        <v>33</v>
      </c>
      <c r="B38" s="17" t="s">
        <v>25</v>
      </c>
      <c r="C38" s="17">
        <v>34</v>
      </c>
      <c r="D38" s="17">
        <v>9</v>
      </c>
      <c r="E38" s="17">
        <v>6</v>
      </c>
      <c r="F38" s="17">
        <v>12000</v>
      </c>
      <c r="G38" s="17"/>
      <c r="H38" s="17">
        <v>30000</v>
      </c>
      <c r="I38" s="17">
        <v>18000</v>
      </c>
      <c r="J38" s="17" t="s">
        <v>26</v>
      </c>
    </row>
    <row r="39" s="14" customFormat="1" customHeight="1" spans="1:10">
      <c r="A39" s="17">
        <v>34</v>
      </c>
      <c r="B39" s="17" t="s">
        <v>25</v>
      </c>
      <c r="C39" s="17">
        <v>35</v>
      </c>
      <c r="D39" s="17">
        <v>9</v>
      </c>
      <c r="E39" s="17">
        <v>11</v>
      </c>
      <c r="F39" s="17">
        <v>8000</v>
      </c>
      <c r="G39" s="17"/>
      <c r="H39" s="17">
        <v>30000</v>
      </c>
      <c r="I39" s="17">
        <v>18000</v>
      </c>
      <c r="J39" s="17" t="s">
        <v>27</v>
      </c>
    </row>
    <row r="40" s="14" customFormat="1" customHeight="1" spans="1:10">
      <c r="A40" s="17">
        <v>35</v>
      </c>
      <c r="B40" s="17" t="s">
        <v>25</v>
      </c>
      <c r="C40" s="17">
        <v>36</v>
      </c>
      <c r="D40" s="17">
        <v>9</v>
      </c>
      <c r="E40" s="17">
        <v>14</v>
      </c>
      <c r="F40" s="17">
        <v>9000</v>
      </c>
      <c r="G40" s="17"/>
      <c r="H40" s="17">
        <v>30000</v>
      </c>
      <c r="I40" s="17">
        <v>18000</v>
      </c>
      <c r="J40" s="17" t="s">
        <v>27</v>
      </c>
    </row>
    <row r="41" s="14" customFormat="1" customHeight="1" spans="1:10">
      <c r="A41" s="17">
        <v>36</v>
      </c>
      <c r="B41" s="17" t="s">
        <v>25</v>
      </c>
      <c r="C41" s="17">
        <v>37</v>
      </c>
      <c r="D41" s="17">
        <v>9</v>
      </c>
      <c r="E41" s="17">
        <v>20</v>
      </c>
      <c r="F41" s="17">
        <v>5000</v>
      </c>
      <c r="G41" s="17"/>
      <c r="H41" s="17">
        <v>30000</v>
      </c>
      <c r="I41" s="17">
        <v>18000</v>
      </c>
      <c r="J41" s="17" t="s">
        <v>30</v>
      </c>
    </row>
    <row r="42" s="14" customFormat="1" customHeight="1" spans="1:10">
      <c r="A42" s="17">
        <v>37</v>
      </c>
      <c r="B42" s="17" t="s">
        <v>25</v>
      </c>
      <c r="C42" s="17">
        <v>38</v>
      </c>
      <c r="D42" s="17">
        <v>9</v>
      </c>
      <c r="E42" s="17">
        <v>24</v>
      </c>
      <c r="F42" s="17">
        <v>6000</v>
      </c>
      <c r="G42" s="17"/>
      <c r="H42" s="17">
        <v>30000</v>
      </c>
      <c r="I42" s="17">
        <v>18000</v>
      </c>
      <c r="J42" s="17" t="s">
        <v>30</v>
      </c>
    </row>
    <row r="43" s="14" customFormat="1" customHeight="1" spans="1:10">
      <c r="A43" s="18">
        <v>38</v>
      </c>
      <c r="B43" s="18" t="s">
        <v>25</v>
      </c>
      <c r="C43" s="18">
        <v>39</v>
      </c>
      <c r="D43" s="18">
        <v>10</v>
      </c>
      <c r="E43" s="18">
        <v>1</v>
      </c>
      <c r="F43" s="18">
        <v>15000</v>
      </c>
      <c r="G43" s="18"/>
      <c r="H43" s="18">
        <v>50000</v>
      </c>
      <c r="I43" s="18">
        <v>20000</v>
      </c>
      <c r="J43" s="18" t="s">
        <v>26</v>
      </c>
    </row>
    <row r="44" s="14" customFormat="1" customHeight="1" spans="1:10">
      <c r="A44" s="18">
        <v>39</v>
      </c>
      <c r="B44" s="18" t="s">
        <v>25</v>
      </c>
      <c r="C44" s="18">
        <v>40</v>
      </c>
      <c r="D44" s="18">
        <v>10</v>
      </c>
      <c r="E44" s="18">
        <v>6</v>
      </c>
      <c r="F44" s="18">
        <v>18000</v>
      </c>
      <c r="G44" s="18"/>
      <c r="H44" s="18">
        <v>50000</v>
      </c>
      <c r="I44" s="18">
        <v>20000</v>
      </c>
      <c r="J44" s="18" t="s">
        <v>26</v>
      </c>
    </row>
    <row r="45" s="14" customFormat="1" customHeight="1" spans="1:10">
      <c r="A45" s="18">
        <v>40</v>
      </c>
      <c r="B45" s="18" t="s">
        <v>25</v>
      </c>
      <c r="C45" s="18">
        <v>41</v>
      </c>
      <c r="D45" s="18">
        <v>10</v>
      </c>
      <c r="E45" s="18">
        <v>17</v>
      </c>
      <c r="F45" s="18">
        <v>10000</v>
      </c>
      <c r="G45" s="18"/>
      <c r="H45" s="18">
        <v>50000</v>
      </c>
      <c r="I45" s="18">
        <v>20000</v>
      </c>
      <c r="J45" s="18" t="s">
        <v>27</v>
      </c>
    </row>
    <row r="46" s="14" customFormat="1" customHeight="1" spans="1:10">
      <c r="A46" s="18">
        <v>41</v>
      </c>
      <c r="B46" s="18" t="s">
        <v>25</v>
      </c>
      <c r="C46" s="18">
        <v>42</v>
      </c>
      <c r="D46" s="18">
        <v>10</v>
      </c>
      <c r="E46" s="18">
        <v>20</v>
      </c>
      <c r="F46" s="18">
        <v>11000</v>
      </c>
      <c r="G46" s="18"/>
      <c r="H46" s="18">
        <v>50000</v>
      </c>
      <c r="I46" s="18">
        <v>20000</v>
      </c>
      <c r="J46" s="18" t="s">
        <v>27</v>
      </c>
    </row>
    <row r="47" s="14" customFormat="1" customHeight="1" spans="1:10">
      <c r="A47" s="18">
        <v>42</v>
      </c>
      <c r="B47" s="18" t="s">
        <v>25</v>
      </c>
      <c r="C47" s="18">
        <v>43</v>
      </c>
      <c r="D47" s="18">
        <v>10</v>
      </c>
      <c r="E47" s="18">
        <v>28</v>
      </c>
      <c r="F47" s="18">
        <v>7000</v>
      </c>
      <c r="G47" s="18"/>
      <c r="H47" s="18">
        <v>50000</v>
      </c>
      <c r="I47" s="18">
        <v>20000</v>
      </c>
      <c r="J47" s="18" t="s">
        <v>30</v>
      </c>
    </row>
    <row r="48" s="14" customFormat="1" customHeight="1" spans="1:10">
      <c r="A48" s="18">
        <v>43</v>
      </c>
      <c r="B48" s="18" t="s">
        <v>25</v>
      </c>
      <c r="C48" s="18">
        <v>44</v>
      </c>
      <c r="D48" s="18">
        <v>10</v>
      </c>
      <c r="E48" s="18">
        <v>32</v>
      </c>
      <c r="F48" s="18">
        <v>8000</v>
      </c>
      <c r="G48" s="18"/>
      <c r="H48" s="18">
        <v>50000</v>
      </c>
      <c r="I48" s="18">
        <v>20000</v>
      </c>
      <c r="J48" s="18" t="s">
        <v>30</v>
      </c>
    </row>
    <row r="49" customHeight="1" spans="1:10">
      <c r="A49" s="19">
        <v>44</v>
      </c>
      <c r="B49" s="19" t="s">
        <v>25</v>
      </c>
      <c r="C49" s="19">
        <v>45</v>
      </c>
      <c r="D49" s="19">
        <v>10</v>
      </c>
      <c r="E49" s="19">
        <v>40</v>
      </c>
      <c r="F49" s="19"/>
      <c r="G49" s="19">
        <v>1</v>
      </c>
      <c r="H49" s="19"/>
      <c r="I49" s="19"/>
      <c r="J49" s="19" t="s">
        <v>28</v>
      </c>
    </row>
    <row r="50" customHeight="1" spans="1:10">
      <c r="A50" s="20">
        <v>45</v>
      </c>
      <c r="B50" s="20" t="s">
        <v>25</v>
      </c>
      <c r="C50" s="20"/>
      <c r="D50" s="20">
        <v>10</v>
      </c>
      <c r="E50" s="20">
        <v>41</v>
      </c>
      <c r="F50" s="20">
        <v>1000</v>
      </c>
      <c r="G50" s="20"/>
      <c r="H50" s="20">
        <v>20000</v>
      </c>
      <c r="I50" s="20">
        <v>15000</v>
      </c>
      <c r="J50" s="20" t="s">
        <v>31</v>
      </c>
    </row>
  </sheetData>
  <autoFilter xmlns:etc="http://www.wps.cn/officeDocument/2017/etCustomData" ref="A5:J50" etc:filterBottomFollowUsedRange="0"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05"/>
  <sheetViews>
    <sheetView topLeftCell="A1373" workbookViewId="0">
      <selection activeCell="I1188" sqref="I1188:I1405"/>
    </sheetView>
  </sheetViews>
  <sheetFormatPr defaultColWidth="9" defaultRowHeight="13.5"/>
  <cols>
    <col min="9" max="9" width="24.125" customWidth="1"/>
  </cols>
  <sheetData>
    <row r="1" spans="1:14">
      <c r="A1">
        <f>IF(E1="","",B1)</f>
        <v>1</v>
      </c>
      <c r="B1">
        <v>1</v>
      </c>
      <c r="C1" t="s">
        <v>32</v>
      </c>
      <c r="D1" t="s">
        <v>33</v>
      </c>
      <c r="E1">
        <v>1</v>
      </c>
      <c r="F1">
        <v>1</v>
      </c>
      <c r="G1">
        <v>1401</v>
      </c>
      <c r="H1" t="s">
        <v>34</v>
      </c>
      <c r="I1" t="str">
        <f>_xlfn.TEXTJOIN(",",1,D1:H1)</f>
        <v>[{1000,1,1,1401,101}]</v>
      </c>
      <c r="J1">
        <v>2</v>
      </c>
      <c r="K1">
        <f>IF(A1="","",IF(J1=1,VLOOKUP(A1,[1]怪物!$R$80:$V$99,4,0),VLOOKUP(A1,[1]怪物!$R$80:$V$99,2,0))*10000)</f>
        <v>10000</v>
      </c>
      <c r="L1">
        <f>IF(A1="","",IF(K1=1,VLOOKUP(A1,[1]怪物!$R$80:$V$99,5,0),VLOOKUP(A1,[1]怪物!$R$80:$V$99,3,0))*10000)</f>
        <v>10000</v>
      </c>
      <c r="M1">
        <f>IF(F1="","",IF(F1=0,10000,K1))</f>
        <v>10000</v>
      </c>
      <c r="N1">
        <f>IF(F1="","",IF(F1=0,10000,L1))</f>
        <v>10000</v>
      </c>
    </row>
    <row r="2" spans="1:14">
      <c r="A2">
        <f t="shared" ref="A2:A65" si="0">IF(E2="","",B2)</f>
        <v>2</v>
      </c>
      <c r="B2">
        <v>2</v>
      </c>
      <c r="C2" t="s">
        <v>32</v>
      </c>
      <c r="D2" t="s">
        <v>33</v>
      </c>
      <c r="E2">
        <v>1</v>
      </c>
      <c r="F2">
        <v>1</v>
      </c>
      <c r="G2">
        <v>1401</v>
      </c>
      <c r="H2" t="s">
        <v>34</v>
      </c>
      <c r="I2" t="str">
        <f t="shared" ref="I2:I65" si="1">_xlfn.TEXTJOIN(",",1,D2:H2)</f>
        <v>[{1000,1,1,1401,101}]</v>
      </c>
      <c r="J2" t="s">
        <v>35</v>
      </c>
      <c r="K2">
        <f>IF(A2="","",IF(J2=1,VLOOKUP(A2,[1]怪物!$R$80:$V$99,4,0),VLOOKUP(A2,[1]怪物!$R$80:$V$99,2,0))*10000)</f>
        <v>10000</v>
      </c>
      <c r="L2">
        <f>IF(A2="","",IF(K2=1,VLOOKUP(A2,[1]怪物!$R$80:$V$99,5,0),VLOOKUP(A2,[1]怪物!$R$80:$V$99,3,0))*10000)</f>
        <v>10000</v>
      </c>
      <c r="M2">
        <f t="shared" ref="M2:M65" si="2">IF(F2="","",IF(F2=0,10000,K2))</f>
        <v>10000</v>
      </c>
      <c r="N2">
        <f t="shared" ref="N2:N65" si="3">IF(F2="","",IF(F2=0,10000,L2))</f>
        <v>10000</v>
      </c>
    </row>
    <row r="3" spans="1:14">
      <c r="A3">
        <f t="shared" si="0"/>
        <v>3</v>
      </c>
      <c r="B3">
        <v>3</v>
      </c>
      <c r="C3" t="s">
        <v>32</v>
      </c>
      <c r="D3" t="s">
        <v>33</v>
      </c>
      <c r="E3">
        <v>1</v>
      </c>
      <c r="F3">
        <v>1</v>
      </c>
      <c r="G3">
        <v>1401</v>
      </c>
      <c r="H3" t="s">
        <v>34</v>
      </c>
      <c r="I3" t="str">
        <f t="shared" si="1"/>
        <v>[{1000,1,1,1401,101}]</v>
      </c>
      <c r="J3" t="s">
        <v>35</v>
      </c>
      <c r="K3">
        <f>IF(A3="","",IF(J3=1,VLOOKUP(A3,[1]怪物!$R$80:$V$99,4,0),VLOOKUP(A3,[1]怪物!$R$80:$V$99,2,0))*10000)</f>
        <v>10000</v>
      </c>
      <c r="L3">
        <f>IF(A3="","",IF(K3=1,VLOOKUP(A3,[1]怪物!$R$80:$V$99,5,0),VLOOKUP(A3,[1]怪物!$R$80:$V$99,3,0))*10000)</f>
        <v>10000</v>
      </c>
      <c r="M3">
        <f t="shared" si="2"/>
        <v>10000</v>
      </c>
      <c r="N3">
        <f t="shared" si="3"/>
        <v>10000</v>
      </c>
    </row>
    <row r="4" spans="1:14">
      <c r="A4">
        <f t="shared" si="0"/>
        <v>4</v>
      </c>
      <c r="B4">
        <v>4</v>
      </c>
      <c r="C4" t="s">
        <v>32</v>
      </c>
      <c r="D4" t="s">
        <v>33</v>
      </c>
      <c r="E4">
        <v>1</v>
      </c>
      <c r="F4">
        <v>1</v>
      </c>
      <c r="G4">
        <v>1401</v>
      </c>
      <c r="H4" t="s">
        <v>34</v>
      </c>
      <c r="I4" t="str">
        <f t="shared" si="1"/>
        <v>[{1000,1,1,1401,101}]</v>
      </c>
      <c r="J4" t="s">
        <v>35</v>
      </c>
      <c r="K4">
        <f>IF(A4="","",IF(J4=1,VLOOKUP(A4,[1]怪物!$R$80:$V$99,4,0),VLOOKUP(A4,[1]怪物!$R$80:$V$99,2,0))*10000)</f>
        <v>10000</v>
      </c>
      <c r="L4">
        <f>IF(A4="","",IF(K4=1,VLOOKUP(A4,[1]怪物!$R$80:$V$99,5,0),VLOOKUP(A4,[1]怪物!$R$80:$V$99,3,0))*10000)</f>
        <v>10000</v>
      </c>
      <c r="M4">
        <f t="shared" si="2"/>
        <v>10000</v>
      </c>
      <c r="N4">
        <f t="shared" si="3"/>
        <v>10000</v>
      </c>
    </row>
    <row r="5" spans="1:14">
      <c r="A5">
        <f t="shared" si="0"/>
        <v>5</v>
      </c>
      <c r="B5">
        <v>5</v>
      </c>
      <c r="C5" t="s">
        <v>32</v>
      </c>
      <c r="D5" t="s">
        <v>33</v>
      </c>
      <c r="E5">
        <v>1</v>
      </c>
      <c r="F5">
        <v>1</v>
      </c>
      <c r="G5">
        <v>1401</v>
      </c>
      <c r="H5" t="s">
        <v>34</v>
      </c>
      <c r="I5" t="str">
        <f t="shared" si="1"/>
        <v>[{1000,1,1,1401,101}]</v>
      </c>
      <c r="J5" t="s">
        <v>35</v>
      </c>
      <c r="K5">
        <f>IF(A5="","",IF(J5=1,VLOOKUP(A5,[1]怪物!$R$80:$V$99,4,0),VLOOKUP(A5,[1]怪物!$R$80:$V$99,2,0))*10000)</f>
        <v>10000</v>
      </c>
      <c r="L5">
        <f>IF(A5="","",IF(K5=1,VLOOKUP(A5,[1]怪物!$R$80:$V$99,5,0),VLOOKUP(A5,[1]怪物!$R$80:$V$99,3,0))*10000)</f>
        <v>10000</v>
      </c>
      <c r="M5">
        <f t="shared" si="2"/>
        <v>10000</v>
      </c>
      <c r="N5">
        <f t="shared" si="3"/>
        <v>10000</v>
      </c>
    </row>
    <row r="6" spans="1:14">
      <c r="A6">
        <f t="shared" si="0"/>
        <v>6</v>
      </c>
      <c r="B6">
        <v>6</v>
      </c>
      <c r="C6" t="s">
        <v>32</v>
      </c>
      <c r="D6" t="s">
        <v>33</v>
      </c>
      <c r="E6">
        <v>1</v>
      </c>
      <c r="F6">
        <v>1</v>
      </c>
      <c r="G6">
        <v>1401</v>
      </c>
      <c r="H6" t="s">
        <v>34</v>
      </c>
      <c r="I6" t="str">
        <f t="shared" si="1"/>
        <v>[{1000,1,1,1401,101}]</v>
      </c>
      <c r="J6" t="s">
        <v>35</v>
      </c>
      <c r="K6">
        <f>IF(A6="","",IF(J6=1,VLOOKUP(A6,[1]怪物!$R$80:$V$99,4,0),VLOOKUP(A6,[1]怪物!$R$80:$V$99,2,0))*10000)</f>
        <v>15000</v>
      </c>
      <c r="L6">
        <f>IF(A6="","",IF(K6=1,VLOOKUP(A6,[1]怪物!$R$80:$V$99,5,0),VLOOKUP(A6,[1]怪物!$R$80:$V$99,3,0))*10000)</f>
        <v>15000</v>
      </c>
      <c r="M6">
        <f t="shared" si="2"/>
        <v>15000</v>
      </c>
      <c r="N6">
        <f t="shared" si="3"/>
        <v>15000</v>
      </c>
    </row>
    <row r="7" spans="1:14">
      <c r="A7">
        <f t="shared" si="0"/>
        <v>7</v>
      </c>
      <c r="B7">
        <v>7</v>
      </c>
      <c r="C7" t="s">
        <v>32</v>
      </c>
      <c r="D7" t="s">
        <v>33</v>
      </c>
      <c r="E7">
        <v>1</v>
      </c>
      <c r="F7">
        <v>1</v>
      </c>
      <c r="G7">
        <v>1401</v>
      </c>
      <c r="H7" t="s">
        <v>34</v>
      </c>
      <c r="I7" t="str">
        <f t="shared" si="1"/>
        <v>[{1000,1,1,1401,101}]</v>
      </c>
      <c r="J7" t="s">
        <v>35</v>
      </c>
      <c r="K7">
        <f>IF(A7="","",IF(J7=1,VLOOKUP(A7,[1]怪物!$R$80:$V$99,4,0),VLOOKUP(A7,[1]怪物!$R$80:$V$99,2,0))*10000)</f>
        <v>15000</v>
      </c>
      <c r="L7">
        <f>IF(A7="","",IF(K7=1,VLOOKUP(A7,[1]怪物!$R$80:$V$99,5,0),VLOOKUP(A7,[1]怪物!$R$80:$V$99,3,0))*10000)</f>
        <v>15000</v>
      </c>
      <c r="M7">
        <f t="shared" si="2"/>
        <v>15000</v>
      </c>
      <c r="N7">
        <f t="shared" si="3"/>
        <v>15000</v>
      </c>
    </row>
    <row r="8" spans="1:14">
      <c r="A8">
        <f t="shared" si="0"/>
        <v>7</v>
      </c>
      <c r="B8">
        <v>7</v>
      </c>
      <c r="C8" t="s">
        <v>32</v>
      </c>
      <c r="D8" t="s">
        <v>33</v>
      </c>
      <c r="E8">
        <v>1</v>
      </c>
      <c r="F8">
        <v>1</v>
      </c>
      <c r="G8">
        <v>1402</v>
      </c>
      <c r="H8" t="s">
        <v>34</v>
      </c>
      <c r="I8" t="str">
        <f t="shared" si="1"/>
        <v>[{1000,1,1,1402,101}]</v>
      </c>
      <c r="J8" t="s">
        <v>35</v>
      </c>
      <c r="K8">
        <f>IF(A8="","",IF(J8=1,VLOOKUP(A8,[1]怪物!$R$80:$V$99,4,0),VLOOKUP(A8,[1]怪物!$R$80:$V$99,2,0))*10000)</f>
        <v>15000</v>
      </c>
      <c r="L8">
        <f>IF(A8="","",IF(K8=1,VLOOKUP(A8,[1]怪物!$R$80:$V$99,5,0),VLOOKUP(A8,[1]怪物!$R$80:$V$99,3,0))*10000)</f>
        <v>15000</v>
      </c>
      <c r="M8">
        <f t="shared" si="2"/>
        <v>15000</v>
      </c>
      <c r="N8">
        <f t="shared" si="3"/>
        <v>15000</v>
      </c>
    </row>
    <row r="9" spans="1:14">
      <c r="A9">
        <f t="shared" si="0"/>
        <v>8</v>
      </c>
      <c r="B9">
        <v>8</v>
      </c>
      <c r="C9" t="s">
        <v>32</v>
      </c>
      <c r="D9" t="s">
        <v>33</v>
      </c>
      <c r="E9">
        <v>1</v>
      </c>
      <c r="F9">
        <v>1</v>
      </c>
      <c r="G9">
        <v>1401</v>
      </c>
      <c r="H9" t="s">
        <v>34</v>
      </c>
      <c r="I9" t="str">
        <f t="shared" si="1"/>
        <v>[{1000,1,1,1401,101}]</v>
      </c>
      <c r="J9" t="s">
        <v>35</v>
      </c>
      <c r="K9">
        <f>IF(A9="","",IF(J9=1,VLOOKUP(A9,[1]怪物!$R$80:$V$99,4,0),VLOOKUP(A9,[1]怪物!$R$80:$V$99,2,0))*10000)</f>
        <v>15000</v>
      </c>
      <c r="L9">
        <f>IF(A9="","",IF(K9=1,VLOOKUP(A9,[1]怪物!$R$80:$V$99,5,0),VLOOKUP(A9,[1]怪物!$R$80:$V$99,3,0))*10000)</f>
        <v>15000</v>
      </c>
      <c r="M9">
        <f t="shared" si="2"/>
        <v>15000</v>
      </c>
      <c r="N9">
        <f t="shared" si="3"/>
        <v>15000</v>
      </c>
    </row>
    <row r="10" spans="1:14">
      <c r="A10">
        <f t="shared" si="0"/>
        <v>8</v>
      </c>
      <c r="B10">
        <v>8</v>
      </c>
      <c r="C10" t="s">
        <v>32</v>
      </c>
      <c r="D10" t="s">
        <v>33</v>
      </c>
      <c r="E10">
        <v>1</v>
      </c>
      <c r="F10">
        <v>1</v>
      </c>
      <c r="G10">
        <v>1402</v>
      </c>
      <c r="H10" t="s">
        <v>34</v>
      </c>
      <c r="I10" t="str">
        <f t="shared" si="1"/>
        <v>[{1000,1,1,1402,101}]</v>
      </c>
      <c r="J10" t="s">
        <v>35</v>
      </c>
      <c r="K10">
        <f>IF(A10="","",IF(J10=1,VLOOKUP(A10,[1]怪物!$R$80:$V$99,4,0),VLOOKUP(A10,[1]怪物!$R$80:$V$99,2,0))*10000)</f>
        <v>15000</v>
      </c>
      <c r="L10">
        <f>IF(A10="","",IF(K10=1,VLOOKUP(A10,[1]怪物!$R$80:$V$99,5,0),VLOOKUP(A10,[1]怪物!$R$80:$V$99,3,0))*10000)</f>
        <v>15000</v>
      </c>
      <c r="M10">
        <f t="shared" si="2"/>
        <v>15000</v>
      </c>
      <c r="N10">
        <f t="shared" si="3"/>
        <v>15000</v>
      </c>
    </row>
    <row r="11" spans="1:14">
      <c r="A11">
        <f t="shared" si="0"/>
        <v>9</v>
      </c>
      <c r="B11">
        <v>9</v>
      </c>
      <c r="C11" t="s">
        <v>32</v>
      </c>
      <c r="D11" t="s">
        <v>33</v>
      </c>
      <c r="E11">
        <v>1</v>
      </c>
      <c r="F11">
        <v>1</v>
      </c>
      <c r="G11">
        <v>1401</v>
      </c>
      <c r="H11" t="s">
        <v>34</v>
      </c>
      <c r="I11" t="str">
        <f t="shared" si="1"/>
        <v>[{1000,1,1,1401,101}]</v>
      </c>
      <c r="J11" t="s">
        <v>35</v>
      </c>
      <c r="K11" t="e">
        <f>IF(A11="","",IF(J11=1,VLOOKUP(A11,[1]怪物!$R$80:$V$99,4,0),VLOOKUP(A11,[1]怪物!$R$80:$V$99,2,0))*10000)</f>
        <v>#N/A</v>
      </c>
      <c r="L11" t="e">
        <f>IF(A11="","",IF(K11=1,VLOOKUP(A11,[1]怪物!$R$80:$V$99,5,0),VLOOKUP(A11,[1]怪物!$R$80:$V$99,3,0))*10000)</f>
        <v>#N/A</v>
      </c>
      <c r="M11" t="e">
        <f t="shared" si="2"/>
        <v>#N/A</v>
      </c>
      <c r="N11" t="e">
        <f t="shared" si="3"/>
        <v>#N/A</v>
      </c>
    </row>
    <row r="12" spans="1:14">
      <c r="A12">
        <f t="shared" si="0"/>
        <v>9</v>
      </c>
      <c r="B12">
        <v>9</v>
      </c>
      <c r="C12" t="s">
        <v>32</v>
      </c>
      <c r="D12" t="s">
        <v>33</v>
      </c>
      <c r="E12">
        <v>1</v>
      </c>
      <c r="F12">
        <v>1</v>
      </c>
      <c r="G12">
        <v>1402</v>
      </c>
      <c r="H12" t="s">
        <v>34</v>
      </c>
      <c r="I12" t="str">
        <f t="shared" si="1"/>
        <v>[{1000,1,1,1402,101}]</v>
      </c>
      <c r="J12" t="s">
        <v>35</v>
      </c>
      <c r="K12" t="e">
        <f>IF(A12="","",IF(J12=1,VLOOKUP(A12,[1]怪物!$R$80:$V$99,4,0),VLOOKUP(A12,[1]怪物!$R$80:$V$99,2,0))*10000)</f>
        <v>#N/A</v>
      </c>
      <c r="L12" t="e">
        <f>IF(A12="","",IF(K12=1,VLOOKUP(A12,[1]怪物!$R$80:$V$99,5,0),VLOOKUP(A12,[1]怪物!$R$80:$V$99,3,0))*10000)</f>
        <v>#N/A</v>
      </c>
      <c r="M12" t="e">
        <f t="shared" si="2"/>
        <v>#N/A</v>
      </c>
      <c r="N12" t="e">
        <f t="shared" si="3"/>
        <v>#N/A</v>
      </c>
    </row>
    <row r="13" spans="1:14">
      <c r="A13">
        <f t="shared" si="0"/>
        <v>10</v>
      </c>
      <c r="B13">
        <v>10</v>
      </c>
      <c r="C13" t="s">
        <v>32</v>
      </c>
      <c r="D13" t="s">
        <v>33</v>
      </c>
      <c r="E13">
        <v>1</v>
      </c>
      <c r="F13">
        <v>1</v>
      </c>
      <c r="G13">
        <v>1401</v>
      </c>
      <c r="H13" t="s">
        <v>34</v>
      </c>
      <c r="I13" t="str">
        <f t="shared" si="1"/>
        <v>[{1000,1,1,1401,101}]</v>
      </c>
      <c r="J13" t="s">
        <v>35</v>
      </c>
      <c r="K13" t="e">
        <f>IF(A13="","",IF(J13=1,VLOOKUP(A13,[1]怪物!$R$80:$V$99,4,0),VLOOKUP(A13,[1]怪物!$R$80:$V$99,2,0))*10000)</f>
        <v>#N/A</v>
      </c>
      <c r="L13" t="e">
        <f>IF(A13="","",IF(K13=1,VLOOKUP(A13,[1]怪物!$R$80:$V$99,5,0),VLOOKUP(A13,[1]怪物!$R$80:$V$99,3,0))*10000)</f>
        <v>#N/A</v>
      </c>
      <c r="M13" t="e">
        <f t="shared" si="2"/>
        <v>#N/A</v>
      </c>
      <c r="N13" t="e">
        <f t="shared" si="3"/>
        <v>#N/A</v>
      </c>
    </row>
    <row r="14" spans="1:14">
      <c r="A14">
        <f t="shared" si="0"/>
        <v>10</v>
      </c>
      <c r="B14">
        <v>10</v>
      </c>
      <c r="C14" t="s">
        <v>32</v>
      </c>
      <c r="D14" t="s">
        <v>33</v>
      </c>
      <c r="E14">
        <v>1</v>
      </c>
      <c r="F14">
        <v>1</v>
      </c>
      <c r="G14">
        <v>1402</v>
      </c>
      <c r="H14" t="s">
        <v>34</v>
      </c>
      <c r="I14" t="str">
        <f t="shared" si="1"/>
        <v>[{1000,1,1,1402,101}]</v>
      </c>
      <c r="J14" t="s">
        <v>35</v>
      </c>
      <c r="K14" t="e">
        <f>IF(A14="","",IF(J14=1,VLOOKUP(A14,[1]怪物!$R$80:$V$99,4,0),VLOOKUP(A14,[1]怪物!$R$80:$V$99,2,0))*10000)</f>
        <v>#N/A</v>
      </c>
      <c r="L14" t="e">
        <f>IF(A14="","",IF(K14=1,VLOOKUP(A14,[1]怪物!$R$80:$V$99,5,0),VLOOKUP(A14,[1]怪物!$R$80:$V$99,3,0))*10000)</f>
        <v>#N/A</v>
      </c>
      <c r="M14" t="e">
        <f t="shared" si="2"/>
        <v>#N/A</v>
      </c>
      <c r="N14" t="e">
        <f t="shared" si="3"/>
        <v>#N/A</v>
      </c>
    </row>
    <row r="15" spans="1:14">
      <c r="A15" t="str">
        <f t="shared" si="0"/>
        <v/>
      </c>
      <c r="B15">
        <v>10</v>
      </c>
      <c r="C15" t="s">
        <v>32</v>
      </c>
      <c r="D15" t="s">
        <v>28</v>
      </c>
      <c r="I15" t="str">
        <f t="shared" si="1"/>
        <v>[]</v>
      </c>
      <c r="J15">
        <v>2</v>
      </c>
      <c r="K15" t="str">
        <f>IF(A15="","",IF(J15=1,VLOOKUP(A15,[1]怪物!$R$80:$V$99,4,0),VLOOKUP(A15,[1]怪物!$R$80:$V$99,2,0))*10000)</f>
        <v/>
      </c>
      <c r="L15" t="str">
        <f>IF(A15="","",IF(K15=1,VLOOKUP(A15,[1]怪物!$R$80:$V$99,5,0),VLOOKUP(A15,[1]怪物!$R$80:$V$99,3,0))*10000)</f>
        <v/>
      </c>
      <c r="M15" t="str">
        <f t="shared" si="2"/>
        <v/>
      </c>
      <c r="N15" t="str">
        <f t="shared" si="3"/>
        <v/>
      </c>
    </row>
    <row r="16" spans="1:14">
      <c r="A16">
        <f t="shared" si="0"/>
        <v>10</v>
      </c>
      <c r="B16">
        <v>10</v>
      </c>
      <c r="C16" t="s">
        <v>32</v>
      </c>
      <c r="D16" t="s">
        <v>33</v>
      </c>
      <c r="E16">
        <v>1</v>
      </c>
      <c r="F16">
        <v>0</v>
      </c>
      <c r="G16">
        <v>1421</v>
      </c>
      <c r="H16" t="s">
        <v>36</v>
      </c>
      <c r="I16" t="str">
        <f t="shared" si="1"/>
        <v>[{1000,1,0,1421,41}]</v>
      </c>
      <c r="J16" t="s">
        <v>35</v>
      </c>
      <c r="K16" t="e">
        <f>IF(A16="","",IF(J16=1,VLOOKUP(A16,[1]怪物!$R$80:$V$99,4,0),VLOOKUP(A16,[1]怪物!$R$80:$V$99,2,0))*10000)</f>
        <v>#N/A</v>
      </c>
      <c r="L16" t="e">
        <f>IF(A16="","",IF(K16=1,VLOOKUP(A16,[1]怪物!$R$80:$V$99,5,0),VLOOKUP(A16,[1]怪物!$R$80:$V$99,3,0))*10000)</f>
        <v>#N/A</v>
      </c>
      <c r="M16">
        <f t="shared" si="2"/>
        <v>10000</v>
      </c>
      <c r="N16">
        <f t="shared" si="3"/>
        <v>10000</v>
      </c>
    </row>
    <row r="17" spans="1:14">
      <c r="A17">
        <f t="shared" si="0"/>
        <v>11</v>
      </c>
      <c r="B17">
        <v>11</v>
      </c>
      <c r="C17" t="s">
        <v>32</v>
      </c>
      <c r="D17" t="s">
        <v>33</v>
      </c>
      <c r="E17">
        <v>1</v>
      </c>
      <c r="F17">
        <v>1</v>
      </c>
      <c r="G17">
        <v>1401</v>
      </c>
      <c r="H17" t="s">
        <v>34</v>
      </c>
      <c r="I17" t="str">
        <f t="shared" si="1"/>
        <v>[{1000,1,1,1401,101}]</v>
      </c>
      <c r="J17" t="s">
        <v>35</v>
      </c>
      <c r="K17" t="e">
        <f>IF(A17="","",IF(J17=1,VLOOKUP(A17,[1]怪物!$R$80:$V$99,4,0),VLOOKUP(A17,[1]怪物!$R$80:$V$99,2,0))*10000)</f>
        <v>#N/A</v>
      </c>
      <c r="L17" t="e">
        <f>IF(A17="","",IF(K17=1,VLOOKUP(A17,[1]怪物!$R$80:$V$99,5,0),VLOOKUP(A17,[1]怪物!$R$80:$V$99,3,0))*10000)</f>
        <v>#N/A</v>
      </c>
      <c r="M17" t="e">
        <f t="shared" si="2"/>
        <v>#N/A</v>
      </c>
      <c r="N17" t="e">
        <f t="shared" si="3"/>
        <v>#N/A</v>
      </c>
    </row>
    <row r="18" spans="1:14">
      <c r="A18">
        <f t="shared" si="0"/>
        <v>11</v>
      </c>
      <c r="B18">
        <v>11</v>
      </c>
      <c r="C18" t="s">
        <v>32</v>
      </c>
      <c r="D18" t="s">
        <v>33</v>
      </c>
      <c r="E18">
        <v>1</v>
      </c>
      <c r="F18">
        <v>1</v>
      </c>
      <c r="G18">
        <v>1402</v>
      </c>
      <c r="H18" t="s">
        <v>34</v>
      </c>
      <c r="I18" t="str">
        <f t="shared" si="1"/>
        <v>[{1000,1,1,1402,101}]</v>
      </c>
      <c r="J18" t="s">
        <v>35</v>
      </c>
      <c r="K18" t="e">
        <f>IF(A18="","",IF(J18=1,VLOOKUP(A18,[1]怪物!$R$80:$V$99,4,0),VLOOKUP(A18,[1]怪物!$R$80:$V$99,2,0))*10000)</f>
        <v>#N/A</v>
      </c>
      <c r="L18" t="e">
        <f>IF(A18="","",IF(K18=1,VLOOKUP(A18,[1]怪物!$R$80:$V$99,5,0),VLOOKUP(A18,[1]怪物!$R$80:$V$99,3,0))*10000)</f>
        <v>#N/A</v>
      </c>
      <c r="M18" t="e">
        <f t="shared" si="2"/>
        <v>#N/A</v>
      </c>
      <c r="N18" t="e">
        <f t="shared" si="3"/>
        <v>#N/A</v>
      </c>
    </row>
    <row r="19" spans="1:14">
      <c r="A19">
        <f t="shared" si="0"/>
        <v>12</v>
      </c>
      <c r="B19">
        <v>12</v>
      </c>
      <c r="C19" t="s">
        <v>32</v>
      </c>
      <c r="D19" t="s">
        <v>33</v>
      </c>
      <c r="E19">
        <v>1</v>
      </c>
      <c r="F19">
        <v>1</v>
      </c>
      <c r="G19">
        <v>1401</v>
      </c>
      <c r="H19" t="s">
        <v>34</v>
      </c>
      <c r="I19" t="str">
        <f t="shared" si="1"/>
        <v>[{1000,1,1,1401,101}]</v>
      </c>
      <c r="J19" t="s">
        <v>35</v>
      </c>
      <c r="K19" t="e">
        <f>IF(A19="","",IF(J19=1,VLOOKUP(A19,[1]怪物!$R$80:$V$99,4,0),VLOOKUP(A19,[1]怪物!$R$80:$V$99,2,0))*10000)</f>
        <v>#N/A</v>
      </c>
      <c r="L19" t="e">
        <f>IF(A19="","",IF(K19=1,VLOOKUP(A19,[1]怪物!$R$80:$V$99,5,0),VLOOKUP(A19,[1]怪物!$R$80:$V$99,3,0))*10000)</f>
        <v>#N/A</v>
      </c>
      <c r="M19" t="e">
        <f t="shared" si="2"/>
        <v>#N/A</v>
      </c>
      <c r="N19" t="e">
        <f t="shared" si="3"/>
        <v>#N/A</v>
      </c>
    </row>
    <row r="20" spans="1:14">
      <c r="A20">
        <f t="shared" si="0"/>
        <v>12</v>
      </c>
      <c r="B20">
        <v>12</v>
      </c>
      <c r="C20" t="s">
        <v>32</v>
      </c>
      <c r="D20" t="s">
        <v>33</v>
      </c>
      <c r="E20">
        <v>1</v>
      </c>
      <c r="F20">
        <v>1</v>
      </c>
      <c r="G20">
        <v>1402</v>
      </c>
      <c r="H20" t="s">
        <v>34</v>
      </c>
      <c r="I20" t="str">
        <f t="shared" si="1"/>
        <v>[{1000,1,1,1402,101}]</v>
      </c>
      <c r="J20" t="s">
        <v>35</v>
      </c>
      <c r="K20" t="e">
        <f>IF(A20="","",IF(J20=1,VLOOKUP(A20,[1]怪物!$R$80:$V$99,4,0),VLOOKUP(A20,[1]怪物!$R$80:$V$99,2,0))*10000)</f>
        <v>#N/A</v>
      </c>
      <c r="L20" t="e">
        <f>IF(A20="","",IF(K20=1,VLOOKUP(A20,[1]怪物!$R$80:$V$99,5,0),VLOOKUP(A20,[1]怪物!$R$80:$V$99,3,0))*10000)</f>
        <v>#N/A</v>
      </c>
      <c r="M20" t="e">
        <f t="shared" si="2"/>
        <v>#N/A</v>
      </c>
      <c r="N20" t="e">
        <f t="shared" si="3"/>
        <v>#N/A</v>
      </c>
    </row>
    <row r="21" spans="1:14">
      <c r="A21">
        <f t="shared" si="0"/>
        <v>13</v>
      </c>
      <c r="B21">
        <v>13</v>
      </c>
      <c r="C21" t="s">
        <v>32</v>
      </c>
      <c r="D21" t="s">
        <v>33</v>
      </c>
      <c r="E21">
        <v>1</v>
      </c>
      <c r="F21">
        <v>1</v>
      </c>
      <c r="G21">
        <v>1401</v>
      </c>
      <c r="H21" t="s">
        <v>34</v>
      </c>
      <c r="I21" t="str">
        <f t="shared" si="1"/>
        <v>[{1000,1,1,1401,101}]</v>
      </c>
      <c r="J21" t="s">
        <v>35</v>
      </c>
      <c r="K21" t="e">
        <f>IF(A21="","",IF(J21=1,VLOOKUP(A21,[1]怪物!$R$80:$V$99,4,0),VLOOKUP(A21,[1]怪物!$R$80:$V$99,2,0))*10000)</f>
        <v>#N/A</v>
      </c>
      <c r="L21" t="e">
        <f>IF(A21="","",IF(K21=1,VLOOKUP(A21,[1]怪物!$R$80:$V$99,5,0),VLOOKUP(A21,[1]怪物!$R$80:$V$99,3,0))*10000)</f>
        <v>#N/A</v>
      </c>
      <c r="M21" t="e">
        <f t="shared" si="2"/>
        <v>#N/A</v>
      </c>
      <c r="N21" t="e">
        <f t="shared" si="3"/>
        <v>#N/A</v>
      </c>
    </row>
    <row r="22" spans="1:14">
      <c r="A22">
        <f t="shared" si="0"/>
        <v>13</v>
      </c>
      <c r="B22">
        <v>13</v>
      </c>
      <c r="C22" t="s">
        <v>32</v>
      </c>
      <c r="D22" t="s">
        <v>33</v>
      </c>
      <c r="E22">
        <v>1</v>
      </c>
      <c r="F22">
        <v>1</v>
      </c>
      <c r="G22">
        <v>1402</v>
      </c>
      <c r="H22" t="s">
        <v>34</v>
      </c>
      <c r="I22" t="str">
        <f t="shared" si="1"/>
        <v>[{1000,1,1,1402,101}]</v>
      </c>
      <c r="J22" t="s">
        <v>35</v>
      </c>
      <c r="K22" t="e">
        <f>IF(A22="","",IF(J22=1,VLOOKUP(A22,[1]怪物!$R$80:$V$99,4,0),VLOOKUP(A22,[1]怪物!$R$80:$V$99,2,0))*10000)</f>
        <v>#N/A</v>
      </c>
      <c r="L22" t="e">
        <f>IF(A22="","",IF(K22=1,VLOOKUP(A22,[1]怪物!$R$80:$V$99,5,0),VLOOKUP(A22,[1]怪物!$R$80:$V$99,3,0))*10000)</f>
        <v>#N/A</v>
      </c>
      <c r="M22" t="e">
        <f t="shared" si="2"/>
        <v>#N/A</v>
      </c>
      <c r="N22" t="e">
        <f t="shared" si="3"/>
        <v>#N/A</v>
      </c>
    </row>
    <row r="23" spans="1:14">
      <c r="A23">
        <f t="shared" si="0"/>
        <v>14</v>
      </c>
      <c r="B23">
        <v>14</v>
      </c>
      <c r="C23" t="s">
        <v>32</v>
      </c>
      <c r="D23" t="s">
        <v>33</v>
      </c>
      <c r="E23">
        <v>1</v>
      </c>
      <c r="F23">
        <v>1</v>
      </c>
      <c r="G23">
        <v>1401</v>
      </c>
      <c r="H23" t="s">
        <v>34</v>
      </c>
      <c r="I23" t="str">
        <f t="shared" si="1"/>
        <v>[{1000,1,1,1401,101}]</v>
      </c>
      <c r="J23" t="s">
        <v>35</v>
      </c>
      <c r="K23" t="e">
        <f>IF(A23="","",IF(J23=1,VLOOKUP(A23,[1]怪物!$R$80:$V$99,4,0),VLOOKUP(A23,[1]怪物!$R$80:$V$99,2,0))*10000)</f>
        <v>#N/A</v>
      </c>
      <c r="L23" t="e">
        <f>IF(A23="","",IF(K23=1,VLOOKUP(A23,[1]怪物!$R$80:$V$99,5,0),VLOOKUP(A23,[1]怪物!$R$80:$V$99,3,0))*10000)</f>
        <v>#N/A</v>
      </c>
      <c r="M23" t="e">
        <f t="shared" si="2"/>
        <v>#N/A</v>
      </c>
      <c r="N23" t="e">
        <f t="shared" si="3"/>
        <v>#N/A</v>
      </c>
    </row>
    <row r="24" spans="1:14">
      <c r="A24">
        <f t="shared" si="0"/>
        <v>14</v>
      </c>
      <c r="B24">
        <v>14</v>
      </c>
      <c r="C24" t="s">
        <v>32</v>
      </c>
      <c r="D24" t="s">
        <v>33</v>
      </c>
      <c r="E24">
        <v>1</v>
      </c>
      <c r="F24">
        <v>1</v>
      </c>
      <c r="G24">
        <v>1402</v>
      </c>
      <c r="H24" t="s">
        <v>34</v>
      </c>
      <c r="I24" t="str">
        <f t="shared" si="1"/>
        <v>[{1000,1,1,1402,101}]</v>
      </c>
      <c r="J24" t="s">
        <v>35</v>
      </c>
      <c r="K24" t="e">
        <f>IF(A24="","",IF(J24=1,VLOOKUP(A24,[1]怪物!$R$80:$V$99,4,0),VLOOKUP(A24,[1]怪物!$R$80:$V$99,2,0))*10000)</f>
        <v>#N/A</v>
      </c>
      <c r="L24" t="e">
        <f>IF(A24="","",IF(K24=1,VLOOKUP(A24,[1]怪物!$R$80:$V$99,5,0),VLOOKUP(A24,[1]怪物!$R$80:$V$99,3,0))*10000)</f>
        <v>#N/A</v>
      </c>
      <c r="M24" t="e">
        <f t="shared" si="2"/>
        <v>#N/A</v>
      </c>
      <c r="N24" t="e">
        <f t="shared" si="3"/>
        <v>#N/A</v>
      </c>
    </row>
    <row r="25" spans="1:14">
      <c r="A25">
        <f t="shared" si="0"/>
        <v>14</v>
      </c>
      <c r="B25">
        <v>14</v>
      </c>
      <c r="C25" t="s">
        <v>32</v>
      </c>
      <c r="D25" t="s">
        <v>33</v>
      </c>
      <c r="E25">
        <v>1</v>
      </c>
      <c r="F25">
        <v>1</v>
      </c>
      <c r="G25">
        <v>1403</v>
      </c>
      <c r="H25" t="s">
        <v>37</v>
      </c>
      <c r="I25" t="str">
        <f t="shared" si="1"/>
        <v>[{1000,1,1,1403,401}]</v>
      </c>
      <c r="J25">
        <v>1</v>
      </c>
      <c r="K25" t="e">
        <f>IF(A25="","",IF(J25=1,VLOOKUP(A25,[1]怪物!$R$80:$V$99,4,0),VLOOKUP(A25,[1]怪物!$R$80:$V$99,2,0))*10000)</f>
        <v>#N/A</v>
      </c>
      <c r="L25" t="e">
        <f>IF(A25="","",IF(K25=1,VLOOKUP(A25,[1]怪物!$R$80:$V$99,5,0),VLOOKUP(A25,[1]怪物!$R$80:$V$99,3,0))*10000)</f>
        <v>#N/A</v>
      </c>
      <c r="M25" t="e">
        <f t="shared" si="2"/>
        <v>#N/A</v>
      </c>
      <c r="N25" t="e">
        <f t="shared" si="3"/>
        <v>#N/A</v>
      </c>
    </row>
    <row r="26" spans="1:14">
      <c r="A26">
        <f t="shared" si="0"/>
        <v>15</v>
      </c>
      <c r="B26">
        <v>15</v>
      </c>
      <c r="C26" t="s">
        <v>32</v>
      </c>
      <c r="D26" t="s">
        <v>33</v>
      </c>
      <c r="E26">
        <v>1</v>
      </c>
      <c r="F26">
        <v>1</v>
      </c>
      <c r="G26">
        <v>1401</v>
      </c>
      <c r="H26" t="s">
        <v>34</v>
      </c>
      <c r="I26" t="str">
        <f t="shared" si="1"/>
        <v>[{1000,1,1,1401,101}]</v>
      </c>
      <c r="J26" t="s">
        <v>35</v>
      </c>
      <c r="K26" t="e">
        <f>IF(A26="","",IF(J26=1,VLOOKUP(A26,[1]怪物!$R$80:$V$99,4,0),VLOOKUP(A26,[1]怪物!$R$80:$V$99,2,0))*10000)</f>
        <v>#N/A</v>
      </c>
      <c r="L26" t="e">
        <f>IF(A26="","",IF(K26=1,VLOOKUP(A26,[1]怪物!$R$80:$V$99,5,0),VLOOKUP(A26,[1]怪物!$R$80:$V$99,3,0))*10000)</f>
        <v>#N/A</v>
      </c>
      <c r="M26" t="e">
        <f t="shared" si="2"/>
        <v>#N/A</v>
      </c>
      <c r="N26" t="e">
        <f t="shared" si="3"/>
        <v>#N/A</v>
      </c>
    </row>
    <row r="27" spans="1:14">
      <c r="A27">
        <f t="shared" si="0"/>
        <v>15</v>
      </c>
      <c r="B27">
        <v>15</v>
      </c>
      <c r="C27" t="s">
        <v>32</v>
      </c>
      <c r="D27" t="s">
        <v>33</v>
      </c>
      <c r="E27">
        <v>1</v>
      </c>
      <c r="F27">
        <v>1</v>
      </c>
      <c r="G27">
        <v>1402</v>
      </c>
      <c r="H27" t="s">
        <v>34</v>
      </c>
      <c r="I27" t="str">
        <f t="shared" si="1"/>
        <v>[{1000,1,1,1402,101}]</v>
      </c>
      <c r="J27" t="s">
        <v>35</v>
      </c>
      <c r="K27" t="e">
        <f>IF(A27="","",IF(J27=1,VLOOKUP(A27,[1]怪物!$R$80:$V$99,4,0),VLOOKUP(A27,[1]怪物!$R$80:$V$99,2,0))*10000)</f>
        <v>#N/A</v>
      </c>
      <c r="L27" t="e">
        <f>IF(A27="","",IF(K27=1,VLOOKUP(A27,[1]怪物!$R$80:$V$99,5,0),VLOOKUP(A27,[1]怪物!$R$80:$V$99,3,0))*10000)</f>
        <v>#N/A</v>
      </c>
      <c r="M27" t="e">
        <f t="shared" si="2"/>
        <v>#N/A</v>
      </c>
      <c r="N27" t="e">
        <f t="shared" si="3"/>
        <v>#N/A</v>
      </c>
    </row>
    <row r="28" spans="1:14">
      <c r="A28">
        <f t="shared" si="0"/>
        <v>15</v>
      </c>
      <c r="B28">
        <v>15</v>
      </c>
      <c r="C28" t="s">
        <v>32</v>
      </c>
      <c r="D28" t="s">
        <v>33</v>
      </c>
      <c r="E28">
        <v>1</v>
      </c>
      <c r="F28">
        <v>1</v>
      </c>
      <c r="G28">
        <v>1403</v>
      </c>
      <c r="H28" t="s">
        <v>37</v>
      </c>
      <c r="I28" t="str">
        <f t="shared" si="1"/>
        <v>[{1000,1,1,1403,401}]</v>
      </c>
      <c r="J28">
        <v>1</v>
      </c>
      <c r="K28" t="e">
        <f>IF(A28="","",IF(J28=1,VLOOKUP(A28,[1]怪物!$R$80:$V$99,4,0),VLOOKUP(A28,[1]怪物!$R$80:$V$99,2,0))*10000)</f>
        <v>#N/A</v>
      </c>
      <c r="L28" t="e">
        <f>IF(A28="","",IF(K28=1,VLOOKUP(A28,[1]怪物!$R$80:$V$99,5,0),VLOOKUP(A28,[1]怪物!$R$80:$V$99,3,0))*10000)</f>
        <v>#N/A</v>
      </c>
      <c r="M28" t="e">
        <f t="shared" si="2"/>
        <v>#N/A</v>
      </c>
      <c r="N28" t="e">
        <f t="shared" si="3"/>
        <v>#N/A</v>
      </c>
    </row>
    <row r="29" spans="1:14">
      <c r="A29">
        <f t="shared" si="0"/>
        <v>16</v>
      </c>
      <c r="B29">
        <v>16</v>
      </c>
      <c r="C29" t="s">
        <v>32</v>
      </c>
      <c r="D29" t="s">
        <v>33</v>
      </c>
      <c r="E29">
        <v>1</v>
      </c>
      <c r="F29">
        <v>1</v>
      </c>
      <c r="G29">
        <v>1401</v>
      </c>
      <c r="H29" t="s">
        <v>34</v>
      </c>
      <c r="I29" t="str">
        <f t="shared" si="1"/>
        <v>[{1000,1,1,1401,101}]</v>
      </c>
      <c r="J29" t="s">
        <v>35</v>
      </c>
      <c r="K29" t="e">
        <f>IF(A29="","",IF(J29=1,VLOOKUP(A29,[1]怪物!$R$80:$V$99,4,0),VLOOKUP(A29,[1]怪物!$R$80:$V$99,2,0))*10000)</f>
        <v>#N/A</v>
      </c>
      <c r="L29" t="e">
        <f>IF(A29="","",IF(K29=1,VLOOKUP(A29,[1]怪物!$R$80:$V$99,5,0),VLOOKUP(A29,[1]怪物!$R$80:$V$99,3,0))*10000)</f>
        <v>#N/A</v>
      </c>
      <c r="M29" t="e">
        <f t="shared" si="2"/>
        <v>#N/A</v>
      </c>
      <c r="N29" t="e">
        <f t="shared" si="3"/>
        <v>#N/A</v>
      </c>
    </row>
    <row r="30" spans="1:14">
      <c r="A30">
        <f t="shared" si="0"/>
        <v>16</v>
      </c>
      <c r="B30">
        <v>16</v>
      </c>
      <c r="C30" t="s">
        <v>32</v>
      </c>
      <c r="D30" t="s">
        <v>33</v>
      </c>
      <c r="E30">
        <v>1</v>
      </c>
      <c r="F30">
        <v>1</v>
      </c>
      <c r="G30">
        <v>1402</v>
      </c>
      <c r="H30" t="s">
        <v>34</v>
      </c>
      <c r="I30" t="str">
        <f t="shared" si="1"/>
        <v>[{1000,1,1,1402,101}]</v>
      </c>
      <c r="J30" t="s">
        <v>35</v>
      </c>
      <c r="K30" t="e">
        <f>IF(A30="","",IF(J30=1,VLOOKUP(A30,[1]怪物!$R$80:$V$99,4,0),VLOOKUP(A30,[1]怪物!$R$80:$V$99,2,0))*10000)</f>
        <v>#N/A</v>
      </c>
      <c r="L30" t="e">
        <f>IF(A30="","",IF(K30=1,VLOOKUP(A30,[1]怪物!$R$80:$V$99,5,0),VLOOKUP(A30,[1]怪物!$R$80:$V$99,3,0))*10000)</f>
        <v>#N/A</v>
      </c>
      <c r="M30" t="e">
        <f t="shared" si="2"/>
        <v>#N/A</v>
      </c>
      <c r="N30" t="e">
        <f t="shared" si="3"/>
        <v>#N/A</v>
      </c>
    </row>
    <row r="31" spans="1:14">
      <c r="A31">
        <f t="shared" si="0"/>
        <v>16</v>
      </c>
      <c r="B31">
        <v>16</v>
      </c>
      <c r="C31" t="s">
        <v>32</v>
      </c>
      <c r="D31" t="s">
        <v>33</v>
      </c>
      <c r="E31">
        <v>1</v>
      </c>
      <c r="F31">
        <v>1</v>
      </c>
      <c r="G31">
        <v>1403</v>
      </c>
      <c r="H31" t="s">
        <v>37</v>
      </c>
      <c r="I31" t="str">
        <f t="shared" si="1"/>
        <v>[{1000,1,1,1403,401}]</v>
      </c>
      <c r="J31">
        <v>1</v>
      </c>
      <c r="K31" t="e">
        <f>IF(A31="","",IF(J31=1,VLOOKUP(A31,[1]怪物!$R$80:$V$99,4,0),VLOOKUP(A31,[1]怪物!$R$80:$V$99,2,0))*10000)</f>
        <v>#N/A</v>
      </c>
      <c r="L31" t="e">
        <f>IF(A31="","",IF(K31=1,VLOOKUP(A31,[1]怪物!$R$80:$V$99,5,0),VLOOKUP(A31,[1]怪物!$R$80:$V$99,3,0))*10000)</f>
        <v>#N/A</v>
      </c>
      <c r="M31" t="e">
        <f t="shared" si="2"/>
        <v>#N/A</v>
      </c>
      <c r="N31" t="e">
        <f t="shared" si="3"/>
        <v>#N/A</v>
      </c>
    </row>
    <row r="32" spans="1:14">
      <c r="A32">
        <f t="shared" si="0"/>
        <v>17</v>
      </c>
      <c r="B32">
        <v>17</v>
      </c>
      <c r="C32" t="s">
        <v>32</v>
      </c>
      <c r="D32" t="s">
        <v>33</v>
      </c>
      <c r="E32">
        <v>1</v>
      </c>
      <c r="F32">
        <v>1</v>
      </c>
      <c r="G32">
        <v>1401</v>
      </c>
      <c r="H32" t="s">
        <v>34</v>
      </c>
      <c r="I32" t="str">
        <f t="shared" si="1"/>
        <v>[{1000,1,1,1401,101}]</v>
      </c>
      <c r="J32" t="s">
        <v>35</v>
      </c>
      <c r="K32" t="e">
        <f>IF(A32="","",IF(J32=1,VLOOKUP(A32,[1]怪物!$R$80:$V$99,4,0),VLOOKUP(A32,[1]怪物!$R$80:$V$99,2,0))*10000)</f>
        <v>#N/A</v>
      </c>
      <c r="L32" t="e">
        <f>IF(A32="","",IF(K32=1,VLOOKUP(A32,[1]怪物!$R$80:$V$99,5,0),VLOOKUP(A32,[1]怪物!$R$80:$V$99,3,0))*10000)</f>
        <v>#N/A</v>
      </c>
      <c r="M32" t="e">
        <f t="shared" si="2"/>
        <v>#N/A</v>
      </c>
      <c r="N32" t="e">
        <f t="shared" si="3"/>
        <v>#N/A</v>
      </c>
    </row>
    <row r="33" spans="1:14">
      <c r="A33">
        <f t="shared" si="0"/>
        <v>17</v>
      </c>
      <c r="B33">
        <v>17</v>
      </c>
      <c r="C33" t="s">
        <v>32</v>
      </c>
      <c r="D33" t="s">
        <v>33</v>
      </c>
      <c r="E33">
        <v>1</v>
      </c>
      <c r="F33">
        <v>1</v>
      </c>
      <c r="G33">
        <v>1402</v>
      </c>
      <c r="H33" t="s">
        <v>34</v>
      </c>
      <c r="I33" t="str">
        <f t="shared" si="1"/>
        <v>[{1000,1,1,1402,101}]</v>
      </c>
      <c r="J33" t="s">
        <v>35</v>
      </c>
      <c r="K33" t="e">
        <f>IF(A33="","",IF(J33=1,VLOOKUP(A33,[1]怪物!$R$80:$V$99,4,0),VLOOKUP(A33,[1]怪物!$R$80:$V$99,2,0))*10000)</f>
        <v>#N/A</v>
      </c>
      <c r="L33" t="e">
        <f>IF(A33="","",IF(K33=1,VLOOKUP(A33,[1]怪物!$R$80:$V$99,5,0),VLOOKUP(A33,[1]怪物!$R$80:$V$99,3,0))*10000)</f>
        <v>#N/A</v>
      </c>
      <c r="M33" t="e">
        <f t="shared" si="2"/>
        <v>#N/A</v>
      </c>
      <c r="N33" t="e">
        <f t="shared" si="3"/>
        <v>#N/A</v>
      </c>
    </row>
    <row r="34" spans="1:14">
      <c r="A34">
        <f t="shared" si="0"/>
        <v>17</v>
      </c>
      <c r="B34">
        <v>17</v>
      </c>
      <c r="C34" t="s">
        <v>32</v>
      </c>
      <c r="D34" t="s">
        <v>33</v>
      </c>
      <c r="E34">
        <v>1</v>
      </c>
      <c r="F34">
        <v>1</v>
      </c>
      <c r="G34">
        <v>1403</v>
      </c>
      <c r="H34" t="s">
        <v>37</v>
      </c>
      <c r="I34" t="str">
        <f t="shared" si="1"/>
        <v>[{1000,1,1,1403,401}]</v>
      </c>
      <c r="J34">
        <v>1</v>
      </c>
      <c r="K34" t="e">
        <f>IF(A34="","",IF(J34=1,VLOOKUP(A34,[1]怪物!$R$80:$V$99,4,0),VLOOKUP(A34,[1]怪物!$R$80:$V$99,2,0))*10000)</f>
        <v>#N/A</v>
      </c>
      <c r="L34" t="e">
        <f>IF(A34="","",IF(K34=1,VLOOKUP(A34,[1]怪物!$R$80:$V$99,5,0),VLOOKUP(A34,[1]怪物!$R$80:$V$99,3,0))*10000)</f>
        <v>#N/A</v>
      </c>
      <c r="M34" t="e">
        <f t="shared" si="2"/>
        <v>#N/A</v>
      </c>
      <c r="N34" t="e">
        <f t="shared" si="3"/>
        <v>#N/A</v>
      </c>
    </row>
    <row r="35" spans="1:14">
      <c r="A35">
        <f t="shared" si="0"/>
        <v>18</v>
      </c>
      <c r="B35">
        <v>18</v>
      </c>
      <c r="C35" t="s">
        <v>32</v>
      </c>
      <c r="D35" t="s">
        <v>33</v>
      </c>
      <c r="E35">
        <v>1</v>
      </c>
      <c r="F35">
        <v>1</v>
      </c>
      <c r="G35">
        <v>1401</v>
      </c>
      <c r="H35" t="s">
        <v>34</v>
      </c>
      <c r="I35" t="str">
        <f t="shared" si="1"/>
        <v>[{1000,1,1,1401,101}]</v>
      </c>
      <c r="J35" t="s">
        <v>35</v>
      </c>
      <c r="K35" t="e">
        <f>IF(A35="","",IF(J35=1,VLOOKUP(A35,[1]怪物!$R$80:$V$99,4,0),VLOOKUP(A35,[1]怪物!$R$80:$V$99,2,0))*10000)</f>
        <v>#N/A</v>
      </c>
      <c r="L35" t="e">
        <f>IF(A35="","",IF(K35=1,VLOOKUP(A35,[1]怪物!$R$80:$V$99,5,0),VLOOKUP(A35,[1]怪物!$R$80:$V$99,3,0))*10000)</f>
        <v>#N/A</v>
      </c>
      <c r="M35" t="e">
        <f t="shared" si="2"/>
        <v>#N/A</v>
      </c>
      <c r="N35" t="e">
        <f t="shared" si="3"/>
        <v>#N/A</v>
      </c>
    </row>
    <row r="36" spans="1:14">
      <c r="A36">
        <f t="shared" si="0"/>
        <v>18</v>
      </c>
      <c r="B36">
        <v>18</v>
      </c>
      <c r="C36" t="s">
        <v>32</v>
      </c>
      <c r="D36" t="s">
        <v>33</v>
      </c>
      <c r="E36">
        <v>1</v>
      </c>
      <c r="F36">
        <v>1</v>
      </c>
      <c r="G36">
        <v>1402</v>
      </c>
      <c r="H36" t="s">
        <v>34</v>
      </c>
      <c r="I36" t="str">
        <f t="shared" si="1"/>
        <v>[{1000,1,1,1402,101}]</v>
      </c>
      <c r="J36" t="s">
        <v>35</v>
      </c>
      <c r="K36" t="e">
        <f>IF(A36="","",IF(J36=1,VLOOKUP(A36,[1]怪物!$R$80:$V$99,4,0),VLOOKUP(A36,[1]怪物!$R$80:$V$99,2,0))*10000)</f>
        <v>#N/A</v>
      </c>
      <c r="L36" t="e">
        <f>IF(A36="","",IF(K36=1,VLOOKUP(A36,[1]怪物!$R$80:$V$99,5,0),VLOOKUP(A36,[1]怪物!$R$80:$V$99,3,0))*10000)</f>
        <v>#N/A</v>
      </c>
      <c r="M36" t="e">
        <f t="shared" si="2"/>
        <v>#N/A</v>
      </c>
      <c r="N36" t="e">
        <f t="shared" si="3"/>
        <v>#N/A</v>
      </c>
    </row>
    <row r="37" spans="1:14">
      <c r="A37">
        <f t="shared" si="0"/>
        <v>18</v>
      </c>
      <c r="B37">
        <v>18</v>
      </c>
      <c r="C37" t="s">
        <v>32</v>
      </c>
      <c r="D37" t="s">
        <v>33</v>
      </c>
      <c r="E37">
        <v>1</v>
      </c>
      <c r="F37">
        <v>1</v>
      </c>
      <c r="G37">
        <v>1403</v>
      </c>
      <c r="H37" t="s">
        <v>37</v>
      </c>
      <c r="I37" t="str">
        <f t="shared" si="1"/>
        <v>[{1000,1,1,1403,401}]</v>
      </c>
      <c r="J37">
        <v>1</v>
      </c>
      <c r="K37" t="e">
        <f>IF(A37="","",IF(J37=1,VLOOKUP(A37,[1]怪物!$R$80:$V$99,4,0),VLOOKUP(A37,[1]怪物!$R$80:$V$99,2,0))*10000)</f>
        <v>#N/A</v>
      </c>
      <c r="L37" t="e">
        <f>IF(A37="","",IF(K37=1,VLOOKUP(A37,[1]怪物!$R$80:$V$99,5,0),VLOOKUP(A37,[1]怪物!$R$80:$V$99,3,0))*10000)</f>
        <v>#N/A</v>
      </c>
      <c r="M37" t="e">
        <f t="shared" si="2"/>
        <v>#N/A</v>
      </c>
      <c r="N37" t="e">
        <f t="shared" si="3"/>
        <v>#N/A</v>
      </c>
    </row>
    <row r="38" spans="1:14">
      <c r="A38">
        <f t="shared" si="0"/>
        <v>19</v>
      </c>
      <c r="B38">
        <v>19</v>
      </c>
      <c r="C38" t="s">
        <v>32</v>
      </c>
      <c r="D38" t="s">
        <v>33</v>
      </c>
      <c r="E38">
        <v>1</v>
      </c>
      <c r="F38">
        <v>1</v>
      </c>
      <c r="G38">
        <v>1401</v>
      </c>
      <c r="H38" t="s">
        <v>34</v>
      </c>
      <c r="I38" t="str">
        <f t="shared" si="1"/>
        <v>[{1000,1,1,1401,101}]</v>
      </c>
      <c r="J38" t="s">
        <v>35</v>
      </c>
      <c r="K38" t="e">
        <f>IF(A38="","",IF(J38=1,VLOOKUP(A38,[1]怪物!$R$80:$V$99,4,0),VLOOKUP(A38,[1]怪物!$R$80:$V$99,2,0))*10000)</f>
        <v>#N/A</v>
      </c>
      <c r="L38" t="e">
        <f>IF(A38="","",IF(K38=1,VLOOKUP(A38,[1]怪物!$R$80:$V$99,5,0),VLOOKUP(A38,[1]怪物!$R$80:$V$99,3,0))*10000)</f>
        <v>#N/A</v>
      </c>
      <c r="M38" t="e">
        <f t="shared" si="2"/>
        <v>#N/A</v>
      </c>
      <c r="N38" t="e">
        <f t="shared" si="3"/>
        <v>#N/A</v>
      </c>
    </row>
    <row r="39" spans="1:14">
      <c r="A39">
        <f t="shared" si="0"/>
        <v>19</v>
      </c>
      <c r="B39">
        <v>19</v>
      </c>
      <c r="C39" t="s">
        <v>32</v>
      </c>
      <c r="D39" t="s">
        <v>33</v>
      </c>
      <c r="E39">
        <v>1</v>
      </c>
      <c r="F39">
        <v>1</v>
      </c>
      <c r="G39">
        <v>1402</v>
      </c>
      <c r="H39" t="s">
        <v>34</v>
      </c>
      <c r="I39" t="str">
        <f t="shared" si="1"/>
        <v>[{1000,1,1,1402,101}]</v>
      </c>
      <c r="J39" t="s">
        <v>35</v>
      </c>
      <c r="K39" t="e">
        <f>IF(A39="","",IF(J39=1,VLOOKUP(A39,[1]怪物!$R$80:$V$99,4,0),VLOOKUP(A39,[1]怪物!$R$80:$V$99,2,0))*10000)</f>
        <v>#N/A</v>
      </c>
      <c r="L39" t="e">
        <f>IF(A39="","",IF(K39=1,VLOOKUP(A39,[1]怪物!$R$80:$V$99,5,0),VLOOKUP(A39,[1]怪物!$R$80:$V$99,3,0))*10000)</f>
        <v>#N/A</v>
      </c>
      <c r="M39" t="e">
        <f t="shared" si="2"/>
        <v>#N/A</v>
      </c>
      <c r="N39" t="e">
        <f t="shared" si="3"/>
        <v>#N/A</v>
      </c>
    </row>
    <row r="40" spans="1:14">
      <c r="A40">
        <f t="shared" si="0"/>
        <v>19</v>
      </c>
      <c r="B40">
        <v>19</v>
      </c>
      <c r="C40" t="s">
        <v>32</v>
      </c>
      <c r="D40" t="s">
        <v>33</v>
      </c>
      <c r="E40">
        <v>1</v>
      </c>
      <c r="F40">
        <v>1</v>
      </c>
      <c r="G40">
        <v>1403</v>
      </c>
      <c r="H40" t="s">
        <v>37</v>
      </c>
      <c r="I40" t="str">
        <f t="shared" si="1"/>
        <v>[{1000,1,1,1403,401}]</v>
      </c>
      <c r="J40">
        <v>1</v>
      </c>
      <c r="K40" t="e">
        <f>IF(A40="","",IF(J40=1,VLOOKUP(A40,[1]怪物!$R$80:$V$99,4,0),VLOOKUP(A40,[1]怪物!$R$80:$V$99,2,0))*10000)</f>
        <v>#N/A</v>
      </c>
      <c r="L40" t="e">
        <f>IF(A40="","",IF(K40=1,VLOOKUP(A40,[1]怪物!$R$80:$V$99,5,0),VLOOKUP(A40,[1]怪物!$R$80:$V$99,3,0))*10000)</f>
        <v>#N/A</v>
      </c>
      <c r="M40" t="e">
        <f t="shared" si="2"/>
        <v>#N/A</v>
      </c>
      <c r="N40" t="e">
        <f t="shared" si="3"/>
        <v>#N/A</v>
      </c>
    </row>
    <row r="41" spans="1:14">
      <c r="A41">
        <f t="shared" si="0"/>
        <v>20</v>
      </c>
      <c r="B41">
        <v>20</v>
      </c>
      <c r="C41" t="s">
        <v>32</v>
      </c>
      <c r="D41" t="s">
        <v>33</v>
      </c>
      <c r="E41">
        <v>1</v>
      </c>
      <c r="F41">
        <v>1</v>
      </c>
      <c r="G41">
        <v>1401</v>
      </c>
      <c r="H41" t="s">
        <v>34</v>
      </c>
      <c r="I41" t="str">
        <f t="shared" si="1"/>
        <v>[{1000,1,1,1401,101}]</v>
      </c>
      <c r="J41" t="s">
        <v>35</v>
      </c>
      <c r="K41" t="e">
        <f>IF(A41="","",IF(J41=1,VLOOKUP(A41,[1]怪物!$R$80:$V$99,4,0),VLOOKUP(A41,[1]怪物!$R$80:$V$99,2,0))*10000)</f>
        <v>#N/A</v>
      </c>
      <c r="L41" t="e">
        <f>IF(A41="","",IF(K41=1,VLOOKUP(A41,[1]怪物!$R$80:$V$99,5,0),VLOOKUP(A41,[1]怪物!$R$80:$V$99,3,0))*10000)</f>
        <v>#N/A</v>
      </c>
      <c r="M41" t="e">
        <f t="shared" si="2"/>
        <v>#N/A</v>
      </c>
      <c r="N41" t="e">
        <f t="shared" si="3"/>
        <v>#N/A</v>
      </c>
    </row>
    <row r="42" spans="1:14">
      <c r="A42">
        <f t="shared" si="0"/>
        <v>20</v>
      </c>
      <c r="B42">
        <v>20</v>
      </c>
      <c r="C42" t="s">
        <v>32</v>
      </c>
      <c r="D42" t="s">
        <v>33</v>
      </c>
      <c r="E42">
        <v>1</v>
      </c>
      <c r="F42">
        <v>1</v>
      </c>
      <c r="G42">
        <v>1402</v>
      </c>
      <c r="H42" t="s">
        <v>34</v>
      </c>
      <c r="I42" t="str">
        <f t="shared" si="1"/>
        <v>[{1000,1,1,1402,101}]</v>
      </c>
      <c r="J42" t="s">
        <v>35</v>
      </c>
      <c r="K42" t="e">
        <f>IF(A42="","",IF(J42=1,VLOOKUP(A42,[1]怪物!$R$80:$V$99,4,0),VLOOKUP(A42,[1]怪物!$R$80:$V$99,2,0))*10000)</f>
        <v>#N/A</v>
      </c>
      <c r="L42" t="e">
        <f>IF(A42="","",IF(K42=1,VLOOKUP(A42,[1]怪物!$R$80:$V$99,5,0),VLOOKUP(A42,[1]怪物!$R$80:$V$99,3,0))*10000)</f>
        <v>#N/A</v>
      </c>
      <c r="M42" t="e">
        <f t="shared" si="2"/>
        <v>#N/A</v>
      </c>
      <c r="N42" t="e">
        <f t="shared" si="3"/>
        <v>#N/A</v>
      </c>
    </row>
    <row r="43" spans="1:14">
      <c r="A43">
        <f t="shared" si="0"/>
        <v>20</v>
      </c>
      <c r="B43">
        <v>20</v>
      </c>
      <c r="C43" t="s">
        <v>32</v>
      </c>
      <c r="D43" t="s">
        <v>33</v>
      </c>
      <c r="E43">
        <v>1</v>
      </c>
      <c r="F43">
        <v>1</v>
      </c>
      <c r="G43">
        <v>1403</v>
      </c>
      <c r="H43" t="s">
        <v>37</v>
      </c>
      <c r="I43" t="str">
        <f t="shared" si="1"/>
        <v>[{1000,1,1,1403,401}]</v>
      </c>
      <c r="J43">
        <v>1</v>
      </c>
      <c r="K43" t="e">
        <f>IF(A43="","",IF(J43=1,VLOOKUP(A43,[1]怪物!$R$80:$V$99,4,0),VLOOKUP(A43,[1]怪物!$R$80:$V$99,2,0))*10000)</f>
        <v>#N/A</v>
      </c>
      <c r="L43" t="e">
        <f>IF(A43="","",IF(K43=1,VLOOKUP(A43,[1]怪物!$R$80:$V$99,5,0),VLOOKUP(A43,[1]怪物!$R$80:$V$99,3,0))*10000)</f>
        <v>#N/A</v>
      </c>
      <c r="M43" t="e">
        <f t="shared" si="2"/>
        <v>#N/A</v>
      </c>
      <c r="N43" t="e">
        <f t="shared" si="3"/>
        <v>#N/A</v>
      </c>
    </row>
    <row r="44" spans="1:14">
      <c r="A44" t="str">
        <f t="shared" si="0"/>
        <v/>
      </c>
      <c r="B44">
        <v>20</v>
      </c>
      <c r="C44" t="s">
        <v>32</v>
      </c>
      <c r="D44" t="s">
        <v>28</v>
      </c>
      <c r="I44" t="str">
        <f t="shared" si="1"/>
        <v>[]</v>
      </c>
      <c r="J44">
        <v>2</v>
      </c>
      <c r="K44" t="str">
        <f>IF(A44="","",IF(J44=1,VLOOKUP(A44,[1]怪物!$R$80:$V$99,4,0),VLOOKUP(A44,[1]怪物!$R$80:$V$99,2,0))*10000)</f>
        <v/>
      </c>
      <c r="L44" t="str">
        <f>IF(A44="","",IF(K44=1,VLOOKUP(A44,[1]怪物!$R$80:$V$99,5,0),VLOOKUP(A44,[1]怪物!$R$80:$V$99,3,0))*10000)</f>
        <v/>
      </c>
      <c r="M44" t="str">
        <f t="shared" si="2"/>
        <v/>
      </c>
      <c r="N44" t="str">
        <f t="shared" si="3"/>
        <v/>
      </c>
    </row>
    <row r="45" spans="1:14">
      <c r="A45">
        <f t="shared" si="0"/>
        <v>20</v>
      </c>
      <c r="B45">
        <v>20</v>
      </c>
      <c r="C45" t="s">
        <v>32</v>
      </c>
      <c r="D45" t="s">
        <v>33</v>
      </c>
      <c r="E45">
        <v>1</v>
      </c>
      <c r="F45">
        <v>0</v>
      </c>
      <c r="G45">
        <v>1431</v>
      </c>
      <c r="H45" t="s">
        <v>36</v>
      </c>
      <c r="I45" t="str">
        <f t="shared" si="1"/>
        <v>[{1000,1,0,1431,41}]</v>
      </c>
      <c r="J45" t="s">
        <v>35</v>
      </c>
      <c r="K45" t="e">
        <f>IF(A45="","",IF(J45=1,VLOOKUP(A45,[1]怪物!$R$80:$V$99,4,0),VLOOKUP(A45,[1]怪物!$R$80:$V$99,2,0))*10000)</f>
        <v>#N/A</v>
      </c>
      <c r="L45" t="e">
        <f>IF(A45="","",IF(K45=1,VLOOKUP(A45,[1]怪物!$R$80:$V$99,5,0),VLOOKUP(A45,[1]怪物!$R$80:$V$99,3,0))*10000)</f>
        <v>#N/A</v>
      </c>
      <c r="M45">
        <f t="shared" si="2"/>
        <v>10000</v>
      </c>
      <c r="N45">
        <f t="shared" si="3"/>
        <v>10000</v>
      </c>
    </row>
    <row r="46" spans="1:14">
      <c r="A46">
        <f t="shared" si="0"/>
        <v>1</v>
      </c>
      <c r="B46">
        <v>1</v>
      </c>
      <c r="C46" t="s">
        <v>38</v>
      </c>
      <c r="D46" t="s">
        <v>33</v>
      </c>
      <c r="E46">
        <v>1</v>
      </c>
      <c r="F46">
        <v>1</v>
      </c>
      <c r="G46">
        <v>1501</v>
      </c>
      <c r="H46" t="s">
        <v>34</v>
      </c>
      <c r="I46" t="str">
        <f t="shared" si="1"/>
        <v>[{1000,1,1,1501,101}]</v>
      </c>
      <c r="J46" t="s">
        <v>35</v>
      </c>
      <c r="K46">
        <f>IF(A46="","",IF(J46=1,VLOOKUP(A46,[1]怪物!$R$80:$V$99,4,0),VLOOKUP(A46,[1]怪物!$R$80:$V$99,2,0))*10000)</f>
        <v>10000</v>
      </c>
      <c r="L46">
        <f>IF(A46="","",IF(K46=1,VLOOKUP(A46,[1]怪物!$R$80:$V$99,5,0),VLOOKUP(A46,[1]怪物!$R$80:$V$99,3,0))*10000)</f>
        <v>10000</v>
      </c>
      <c r="M46">
        <f t="shared" si="2"/>
        <v>10000</v>
      </c>
      <c r="N46">
        <f t="shared" si="3"/>
        <v>10000</v>
      </c>
    </row>
    <row r="47" spans="1:14">
      <c r="A47">
        <f t="shared" si="0"/>
        <v>2</v>
      </c>
      <c r="B47">
        <v>2</v>
      </c>
      <c r="C47" t="s">
        <v>38</v>
      </c>
      <c r="D47" t="s">
        <v>33</v>
      </c>
      <c r="E47">
        <v>1</v>
      </c>
      <c r="F47">
        <v>1</v>
      </c>
      <c r="G47">
        <v>1501</v>
      </c>
      <c r="H47" t="s">
        <v>34</v>
      </c>
      <c r="I47" t="str">
        <f t="shared" si="1"/>
        <v>[{1000,1,1,1501,101}]</v>
      </c>
      <c r="J47" t="s">
        <v>35</v>
      </c>
      <c r="K47">
        <f>IF(A47="","",IF(J47=1,VLOOKUP(A47,[1]怪物!$R$80:$V$99,4,0),VLOOKUP(A47,[1]怪物!$R$80:$V$99,2,0))*10000)</f>
        <v>10000</v>
      </c>
      <c r="L47">
        <f>IF(A47="","",IF(K47=1,VLOOKUP(A47,[1]怪物!$R$80:$V$99,5,0),VLOOKUP(A47,[1]怪物!$R$80:$V$99,3,0))*10000)</f>
        <v>10000</v>
      </c>
      <c r="M47">
        <f t="shared" si="2"/>
        <v>10000</v>
      </c>
      <c r="N47">
        <f t="shared" si="3"/>
        <v>10000</v>
      </c>
    </row>
    <row r="48" spans="1:14">
      <c r="A48">
        <f t="shared" si="0"/>
        <v>3</v>
      </c>
      <c r="B48">
        <v>3</v>
      </c>
      <c r="C48" t="s">
        <v>38</v>
      </c>
      <c r="D48" t="s">
        <v>33</v>
      </c>
      <c r="E48">
        <v>1</v>
      </c>
      <c r="F48">
        <v>1</v>
      </c>
      <c r="G48">
        <v>1501</v>
      </c>
      <c r="H48" t="s">
        <v>34</v>
      </c>
      <c r="I48" t="str">
        <f t="shared" si="1"/>
        <v>[{1000,1,1,1501,101}]</v>
      </c>
      <c r="J48" t="s">
        <v>35</v>
      </c>
      <c r="K48">
        <f>IF(A48="","",IF(J48=1,VLOOKUP(A48,[1]怪物!$R$80:$V$99,4,0),VLOOKUP(A48,[1]怪物!$R$80:$V$99,2,0))*10000)</f>
        <v>10000</v>
      </c>
      <c r="L48">
        <f>IF(A48="","",IF(K48=1,VLOOKUP(A48,[1]怪物!$R$80:$V$99,5,0),VLOOKUP(A48,[1]怪物!$R$80:$V$99,3,0))*10000)</f>
        <v>10000</v>
      </c>
      <c r="M48">
        <f t="shared" si="2"/>
        <v>10000</v>
      </c>
      <c r="N48">
        <f t="shared" si="3"/>
        <v>10000</v>
      </c>
    </row>
    <row r="49" spans="1:14">
      <c r="A49">
        <f t="shared" si="0"/>
        <v>4</v>
      </c>
      <c r="B49">
        <v>4</v>
      </c>
      <c r="C49" t="s">
        <v>38</v>
      </c>
      <c r="D49" t="s">
        <v>33</v>
      </c>
      <c r="E49">
        <v>1</v>
      </c>
      <c r="F49">
        <v>1</v>
      </c>
      <c r="G49">
        <v>1501</v>
      </c>
      <c r="H49" t="s">
        <v>34</v>
      </c>
      <c r="I49" t="str">
        <f t="shared" si="1"/>
        <v>[{1000,1,1,1501,101}]</v>
      </c>
      <c r="J49" t="s">
        <v>35</v>
      </c>
      <c r="K49">
        <f>IF(A49="","",IF(J49=1,VLOOKUP(A49,[1]怪物!$R$80:$V$99,4,0),VLOOKUP(A49,[1]怪物!$R$80:$V$99,2,0))*10000)</f>
        <v>10000</v>
      </c>
      <c r="L49">
        <f>IF(A49="","",IF(K49=1,VLOOKUP(A49,[1]怪物!$R$80:$V$99,5,0),VLOOKUP(A49,[1]怪物!$R$80:$V$99,3,0))*10000)</f>
        <v>10000</v>
      </c>
      <c r="M49">
        <f t="shared" si="2"/>
        <v>10000</v>
      </c>
      <c r="N49">
        <f t="shared" si="3"/>
        <v>10000</v>
      </c>
    </row>
    <row r="50" spans="1:14">
      <c r="A50">
        <f t="shared" si="0"/>
        <v>5</v>
      </c>
      <c r="B50">
        <v>5</v>
      </c>
      <c r="C50" t="s">
        <v>38</v>
      </c>
      <c r="D50" t="s">
        <v>33</v>
      </c>
      <c r="E50">
        <v>1</v>
      </c>
      <c r="F50">
        <v>1</v>
      </c>
      <c r="G50">
        <v>1501</v>
      </c>
      <c r="H50" t="s">
        <v>34</v>
      </c>
      <c r="I50" t="str">
        <f t="shared" si="1"/>
        <v>[{1000,1,1,1501,101}]</v>
      </c>
      <c r="J50" t="s">
        <v>35</v>
      </c>
      <c r="K50">
        <f>IF(A50="","",IF(J50=1,VLOOKUP(A50,[1]怪物!$R$80:$V$99,4,0),VLOOKUP(A50,[1]怪物!$R$80:$V$99,2,0))*10000)</f>
        <v>10000</v>
      </c>
      <c r="L50">
        <f>IF(A50="","",IF(K50=1,VLOOKUP(A50,[1]怪物!$R$80:$V$99,5,0),VLOOKUP(A50,[1]怪物!$R$80:$V$99,3,0))*10000)</f>
        <v>10000</v>
      </c>
      <c r="M50">
        <f t="shared" si="2"/>
        <v>10000</v>
      </c>
      <c r="N50">
        <f t="shared" si="3"/>
        <v>10000</v>
      </c>
    </row>
    <row r="51" spans="1:14">
      <c r="A51">
        <f t="shared" si="0"/>
        <v>6</v>
      </c>
      <c r="B51">
        <v>6</v>
      </c>
      <c r="C51" t="s">
        <v>38</v>
      </c>
      <c r="D51" t="s">
        <v>33</v>
      </c>
      <c r="E51">
        <v>1</v>
      </c>
      <c r="F51">
        <v>1</v>
      </c>
      <c r="G51">
        <v>1501</v>
      </c>
      <c r="H51" t="s">
        <v>34</v>
      </c>
      <c r="I51" t="str">
        <f t="shared" si="1"/>
        <v>[{1000,1,1,1501,101}]</v>
      </c>
      <c r="J51" t="s">
        <v>35</v>
      </c>
      <c r="K51">
        <f>IF(A51="","",IF(J51=1,VLOOKUP(A51,[1]怪物!$R$80:$V$99,4,0),VLOOKUP(A51,[1]怪物!$R$80:$V$99,2,0))*10000)</f>
        <v>15000</v>
      </c>
      <c r="L51">
        <f>IF(A51="","",IF(K51=1,VLOOKUP(A51,[1]怪物!$R$80:$V$99,5,0),VLOOKUP(A51,[1]怪物!$R$80:$V$99,3,0))*10000)</f>
        <v>15000</v>
      </c>
      <c r="M51">
        <f t="shared" si="2"/>
        <v>15000</v>
      </c>
      <c r="N51">
        <f t="shared" si="3"/>
        <v>15000</v>
      </c>
    </row>
    <row r="52" spans="1:14">
      <c r="A52">
        <f t="shared" si="0"/>
        <v>7</v>
      </c>
      <c r="B52">
        <v>7</v>
      </c>
      <c r="C52" t="s">
        <v>38</v>
      </c>
      <c r="D52" t="s">
        <v>33</v>
      </c>
      <c r="E52">
        <v>1</v>
      </c>
      <c r="F52">
        <v>1</v>
      </c>
      <c r="G52">
        <v>1501</v>
      </c>
      <c r="H52" t="s">
        <v>34</v>
      </c>
      <c r="I52" t="str">
        <f t="shared" si="1"/>
        <v>[{1000,1,1,1501,101}]</v>
      </c>
      <c r="J52" t="s">
        <v>35</v>
      </c>
      <c r="K52">
        <f>IF(A52="","",IF(J52=1,VLOOKUP(A52,[1]怪物!$R$80:$V$99,4,0),VLOOKUP(A52,[1]怪物!$R$80:$V$99,2,0))*10000)</f>
        <v>15000</v>
      </c>
      <c r="L52">
        <f>IF(A52="","",IF(K52=1,VLOOKUP(A52,[1]怪物!$R$80:$V$99,5,0),VLOOKUP(A52,[1]怪物!$R$80:$V$99,3,0))*10000)</f>
        <v>15000</v>
      </c>
      <c r="M52">
        <f t="shared" si="2"/>
        <v>15000</v>
      </c>
      <c r="N52">
        <f t="shared" si="3"/>
        <v>15000</v>
      </c>
    </row>
    <row r="53" spans="1:14">
      <c r="A53">
        <f t="shared" si="0"/>
        <v>7</v>
      </c>
      <c r="B53">
        <v>7</v>
      </c>
      <c r="C53" t="s">
        <v>38</v>
      </c>
      <c r="D53" t="s">
        <v>33</v>
      </c>
      <c r="E53">
        <v>1</v>
      </c>
      <c r="F53">
        <v>1</v>
      </c>
      <c r="G53">
        <v>1502</v>
      </c>
      <c r="H53" t="s">
        <v>34</v>
      </c>
      <c r="I53" t="str">
        <f t="shared" si="1"/>
        <v>[{1000,1,1,1502,101}]</v>
      </c>
      <c r="J53" t="s">
        <v>35</v>
      </c>
      <c r="K53">
        <f>IF(A53="","",IF(J53=1,VLOOKUP(A53,[1]怪物!$R$80:$V$99,4,0),VLOOKUP(A53,[1]怪物!$R$80:$V$99,2,0))*10000)</f>
        <v>15000</v>
      </c>
      <c r="L53">
        <f>IF(A53="","",IF(K53=1,VLOOKUP(A53,[1]怪物!$R$80:$V$99,5,0),VLOOKUP(A53,[1]怪物!$R$80:$V$99,3,0))*10000)</f>
        <v>15000</v>
      </c>
      <c r="M53">
        <f t="shared" si="2"/>
        <v>15000</v>
      </c>
      <c r="N53">
        <f t="shared" si="3"/>
        <v>15000</v>
      </c>
    </row>
    <row r="54" spans="1:14">
      <c r="A54">
        <f t="shared" si="0"/>
        <v>8</v>
      </c>
      <c r="B54">
        <v>8</v>
      </c>
      <c r="C54" t="s">
        <v>38</v>
      </c>
      <c r="D54" t="s">
        <v>33</v>
      </c>
      <c r="E54">
        <v>1</v>
      </c>
      <c r="F54">
        <v>1</v>
      </c>
      <c r="G54">
        <v>1501</v>
      </c>
      <c r="H54" t="s">
        <v>34</v>
      </c>
      <c r="I54" t="str">
        <f t="shared" si="1"/>
        <v>[{1000,1,1,1501,101}]</v>
      </c>
      <c r="J54" t="s">
        <v>35</v>
      </c>
      <c r="K54">
        <f>IF(A54="","",IF(J54=1,VLOOKUP(A54,[1]怪物!$R$80:$V$99,4,0),VLOOKUP(A54,[1]怪物!$R$80:$V$99,2,0))*10000)</f>
        <v>15000</v>
      </c>
      <c r="L54">
        <f>IF(A54="","",IF(K54=1,VLOOKUP(A54,[1]怪物!$R$80:$V$99,5,0),VLOOKUP(A54,[1]怪物!$R$80:$V$99,3,0))*10000)</f>
        <v>15000</v>
      </c>
      <c r="M54">
        <f t="shared" si="2"/>
        <v>15000</v>
      </c>
      <c r="N54">
        <f t="shared" si="3"/>
        <v>15000</v>
      </c>
    </row>
    <row r="55" spans="1:14">
      <c r="A55">
        <f t="shared" si="0"/>
        <v>8</v>
      </c>
      <c r="B55">
        <v>8</v>
      </c>
      <c r="C55" t="s">
        <v>38</v>
      </c>
      <c r="D55" t="s">
        <v>33</v>
      </c>
      <c r="E55">
        <v>1</v>
      </c>
      <c r="F55">
        <v>1</v>
      </c>
      <c r="G55">
        <v>1502</v>
      </c>
      <c r="H55" t="s">
        <v>34</v>
      </c>
      <c r="I55" t="str">
        <f t="shared" si="1"/>
        <v>[{1000,1,1,1502,101}]</v>
      </c>
      <c r="J55" t="s">
        <v>35</v>
      </c>
      <c r="K55">
        <f>IF(A55="","",IF(J55=1,VLOOKUP(A55,[1]怪物!$R$80:$V$99,4,0),VLOOKUP(A55,[1]怪物!$R$80:$V$99,2,0))*10000)</f>
        <v>15000</v>
      </c>
      <c r="L55">
        <f>IF(A55="","",IF(K55=1,VLOOKUP(A55,[1]怪物!$R$80:$V$99,5,0),VLOOKUP(A55,[1]怪物!$R$80:$V$99,3,0))*10000)</f>
        <v>15000</v>
      </c>
      <c r="M55">
        <f t="shared" si="2"/>
        <v>15000</v>
      </c>
      <c r="N55">
        <f t="shared" si="3"/>
        <v>15000</v>
      </c>
    </row>
    <row r="56" spans="1:14">
      <c r="A56">
        <f t="shared" si="0"/>
        <v>9</v>
      </c>
      <c r="B56">
        <v>9</v>
      </c>
      <c r="C56" t="s">
        <v>38</v>
      </c>
      <c r="D56" t="s">
        <v>33</v>
      </c>
      <c r="E56">
        <v>1</v>
      </c>
      <c r="F56">
        <v>1</v>
      </c>
      <c r="G56">
        <v>1501</v>
      </c>
      <c r="H56" t="s">
        <v>34</v>
      </c>
      <c r="I56" t="str">
        <f t="shared" si="1"/>
        <v>[{1000,1,1,1501,101}]</v>
      </c>
      <c r="J56" t="s">
        <v>35</v>
      </c>
      <c r="K56" t="e">
        <f>IF(A56="","",IF(J56=1,VLOOKUP(A56,[1]怪物!$R$80:$V$99,4,0),VLOOKUP(A56,[1]怪物!$R$80:$V$99,2,0))*10000)</f>
        <v>#N/A</v>
      </c>
      <c r="L56" t="e">
        <f>IF(A56="","",IF(K56=1,VLOOKUP(A56,[1]怪物!$R$80:$V$99,5,0),VLOOKUP(A56,[1]怪物!$R$80:$V$99,3,0))*10000)</f>
        <v>#N/A</v>
      </c>
      <c r="M56" t="e">
        <f t="shared" si="2"/>
        <v>#N/A</v>
      </c>
      <c r="N56" t="e">
        <f t="shared" si="3"/>
        <v>#N/A</v>
      </c>
    </row>
    <row r="57" spans="1:14">
      <c r="A57">
        <f t="shared" si="0"/>
        <v>9</v>
      </c>
      <c r="B57">
        <v>9</v>
      </c>
      <c r="C57" t="s">
        <v>38</v>
      </c>
      <c r="D57" t="s">
        <v>33</v>
      </c>
      <c r="E57">
        <v>1</v>
      </c>
      <c r="F57">
        <v>1</v>
      </c>
      <c r="G57">
        <v>1502</v>
      </c>
      <c r="H57" t="s">
        <v>34</v>
      </c>
      <c r="I57" t="str">
        <f t="shared" si="1"/>
        <v>[{1000,1,1,1502,101}]</v>
      </c>
      <c r="J57" t="s">
        <v>35</v>
      </c>
      <c r="K57" t="e">
        <f>IF(A57="","",IF(J57=1,VLOOKUP(A57,[1]怪物!$R$80:$V$99,4,0),VLOOKUP(A57,[1]怪物!$R$80:$V$99,2,0))*10000)</f>
        <v>#N/A</v>
      </c>
      <c r="L57" t="e">
        <f>IF(A57="","",IF(K57=1,VLOOKUP(A57,[1]怪物!$R$80:$V$99,5,0),VLOOKUP(A57,[1]怪物!$R$80:$V$99,3,0))*10000)</f>
        <v>#N/A</v>
      </c>
      <c r="M57" t="e">
        <f t="shared" si="2"/>
        <v>#N/A</v>
      </c>
      <c r="N57" t="e">
        <f t="shared" si="3"/>
        <v>#N/A</v>
      </c>
    </row>
    <row r="58" spans="1:14">
      <c r="A58">
        <f t="shared" si="0"/>
        <v>10</v>
      </c>
      <c r="B58">
        <v>10</v>
      </c>
      <c r="C58" t="s">
        <v>38</v>
      </c>
      <c r="D58" t="s">
        <v>33</v>
      </c>
      <c r="E58">
        <v>1</v>
      </c>
      <c r="F58">
        <v>1</v>
      </c>
      <c r="G58">
        <v>1501</v>
      </c>
      <c r="H58" t="s">
        <v>34</v>
      </c>
      <c r="I58" t="str">
        <f t="shared" si="1"/>
        <v>[{1000,1,1,1501,101}]</v>
      </c>
      <c r="J58" t="s">
        <v>35</v>
      </c>
      <c r="K58" t="e">
        <f>IF(A58="","",IF(J58=1,VLOOKUP(A58,[1]怪物!$R$80:$V$99,4,0),VLOOKUP(A58,[1]怪物!$R$80:$V$99,2,0))*10000)</f>
        <v>#N/A</v>
      </c>
      <c r="L58" t="e">
        <f>IF(A58="","",IF(K58=1,VLOOKUP(A58,[1]怪物!$R$80:$V$99,5,0),VLOOKUP(A58,[1]怪物!$R$80:$V$99,3,0))*10000)</f>
        <v>#N/A</v>
      </c>
      <c r="M58" t="e">
        <f t="shared" si="2"/>
        <v>#N/A</v>
      </c>
      <c r="N58" t="e">
        <f t="shared" si="3"/>
        <v>#N/A</v>
      </c>
    </row>
    <row r="59" spans="1:14">
      <c r="A59">
        <f t="shared" si="0"/>
        <v>10</v>
      </c>
      <c r="B59">
        <v>10</v>
      </c>
      <c r="C59" t="s">
        <v>38</v>
      </c>
      <c r="D59" t="s">
        <v>33</v>
      </c>
      <c r="E59">
        <v>1</v>
      </c>
      <c r="F59">
        <v>1</v>
      </c>
      <c r="G59">
        <v>1502</v>
      </c>
      <c r="H59" t="s">
        <v>34</v>
      </c>
      <c r="I59" t="str">
        <f t="shared" si="1"/>
        <v>[{1000,1,1,1502,101}]</v>
      </c>
      <c r="J59" t="s">
        <v>35</v>
      </c>
      <c r="K59" t="e">
        <f>IF(A59="","",IF(J59=1,VLOOKUP(A59,[1]怪物!$R$80:$V$99,4,0),VLOOKUP(A59,[1]怪物!$R$80:$V$99,2,0))*10000)</f>
        <v>#N/A</v>
      </c>
      <c r="L59" t="e">
        <f>IF(A59="","",IF(K59=1,VLOOKUP(A59,[1]怪物!$R$80:$V$99,5,0),VLOOKUP(A59,[1]怪物!$R$80:$V$99,3,0))*10000)</f>
        <v>#N/A</v>
      </c>
      <c r="M59" t="e">
        <f t="shared" si="2"/>
        <v>#N/A</v>
      </c>
      <c r="N59" t="e">
        <f t="shared" si="3"/>
        <v>#N/A</v>
      </c>
    </row>
    <row r="60" spans="1:14">
      <c r="A60" t="str">
        <f t="shared" si="0"/>
        <v/>
      </c>
      <c r="B60">
        <v>10</v>
      </c>
      <c r="C60" t="s">
        <v>38</v>
      </c>
      <c r="D60" t="s">
        <v>28</v>
      </c>
      <c r="I60" t="str">
        <f t="shared" si="1"/>
        <v>[]</v>
      </c>
      <c r="J60">
        <v>2</v>
      </c>
      <c r="K60" t="str">
        <f>IF(A60="","",IF(J60=1,VLOOKUP(A60,[1]怪物!$R$80:$V$99,4,0),VLOOKUP(A60,[1]怪物!$R$80:$V$99,2,0))*10000)</f>
        <v/>
      </c>
      <c r="L60" t="str">
        <f>IF(A60="","",IF(K60=1,VLOOKUP(A60,[1]怪物!$R$80:$V$99,5,0),VLOOKUP(A60,[1]怪物!$R$80:$V$99,3,0))*10000)</f>
        <v/>
      </c>
      <c r="M60" t="str">
        <f t="shared" si="2"/>
        <v/>
      </c>
      <c r="N60" t="str">
        <f t="shared" si="3"/>
        <v/>
      </c>
    </row>
    <row r="61" spans="1:14">
      <c r="A61">
        <f t="shared" si="0"/>
        <v>10</v>
      </c>
      <c r="B61">
        <v>10</v>
      </c>
      <c r="C61" t="s">
        <v>38</v>
      </c>
      <c r="D61" t="s">
        <v>33</v>
      </c>
      <c r="E61">
        <v>1</v>
      </c>
      <c r="F61">
        <v>0</v>
      </c>
      <c r="G61">
        <v>1521</v>
      </c>
      <c r="H61" t="s">
        <v>36</v>
      </c>
      <c r="I61" t="str">
        <f t="shared" si="1"/>
        <v>[{1000,1,0,1521,41}]</v>
      </c>
      <c r="J61" t="s">
        <v>35</v>
      </c>
      <c r="K61" t="e">
        <f>IF(A61="","",IF(J61=1,VLOOKUP(A61,[1]怪物!$R$80:$V$99,4,0),VLOOKUP(A61,[1]怪物!$R$80:$V$99,2,0))*10000)</f>
        <v>#N/A</v>
      </c>
      <c r="L61" t="e">
        <f>IF(A61="","",IF(K61=1,VLOOKUP(A61,[1]怪物!$R$80:$V$99,5,0),VLOOKUP(A61,[1]怪物!$R$80:$V$99,3,0))*10000)</f>
        <v>#N/A</v>
      </c>
      <c r="M61">
        <f t="shared" si="2"/>
        <v>10000</v>
      </c>
      <c r="N61">
        <f t="shared" si="3"/>
        <v>10000</v>
      </c>
    </row>
    <row r="62" spans="1:14">
      <c r="A62">
        <f t="shared" si="0"/>
        <v>11</v>
      </c>
      <c r="B62">
        <v>11</v>
      </c>
      <c r="C62" t="s">
        <v>38</v>
      </c>
      <c r="D62" t="s">
        <v>33</v>
      </c>
      <c r="E62">
        <v>1</v>
      </c>
      <c r="F62">
        <v>1</v>
      </c>
      <c r="G62">
        <v>1501</v>
      </c>
      <c r="H62" t="s">
        <v>34</v>
      </c>
      <c r="I62" t="str">
        <f t="shared" si="1"/>
        <v>[{1000,1,1,1501,101}]</v>
      </c>
      <c r="J62" t="s">
        <v>35</v>
      </c>
      <c r="K62" t="e">
        <f>IF(A62="","",IF(J62=1,VLOOKUP(A62,[1]怪物!$R$80:$V$99,4,0),VLOOKUP(A62,[1]怪物!$R$80:$V$99,2,0))*10000)</f>
        <v>#N/A</v>
      </c>
      <c r="L62" t="e">
        <f>IF(A62="","",IF(K62=1,VLOOKUP(A62,[1]怪物!$R$80:$V$99,5,0),VLOOKUP(A62,[1]怪物!$R$80:$V$99,3,0))*10000)</f>
        <v>#N/A</v>
      </c>
      <c r="M62" t="e">
        <f t="shared" si="2"/>
        <v>#N/A</v>
      </c>
      <c r="N62" t="e">
        <f t="shared" si="3"/>
        <v>#N/A</v>
      </c>
    </row>
    <row r="63" spans="1:14">
      <c r="A63">
        <f t="shared" si="0"/>
        <v>11</v>
      </c>
      <c r="B63">
        <v>11</v>
      </c>
      <c r="C63" t="s">
        <v>38</v>
      </c>
      <c r="D63" t="s">
        <v>33</v>
      </c>
      <c r="E63">
        <v>1</v>
      </c>
      <c r="F63">
        <v>1</v>
      </c>
      <c r="G63">
        <v>1502</v>
      </c>
      <c r="H63" t="s">
        <v>34</v>
      </c>
      <c r="I63" t="str">
        <f t="shared" si="1"/>
        <v>[{1000,1,1,1502,101}]</v>
      </c>
      <c r="J63" t="s">
        <v>35</v>
      </c>
      <c r="K63" t="e">
        <f>IF(A63="","",IF(J63=1,VLOOKUP(A63,[1]怪物!$R$80:$V$99,4,0),VLOOKUP(A63,[1]怪物!$R$80:$V$99,2,0))*10000)</f>
        <v>#N/A</v>
      </c>
      <c r="L63" t="e">
        <f>IF(A63="","",IF(K63=1,VLOOKUP(A63,[1]怪物!$R$80:$V$99,5,0),VLOOKUP(A63,[1]怪物!$R$80:$V$99,3,0))*10000)</f>
        <v>#N/A</v>
      </c>
      <c r="M63" t="e">
        <f t="shared" si="2"/>
        <v>#N/A</v>
      </c>
      <c r="N63" t="e">
        <f t="shared" si="3"/>
        <v>#N/A</v>
      </c>
    </row>
    <row r="64" spans="1:14">
      <c r="A64">
        <f t="shared" si="0"/>
        <v>12</v>
      </c>
      <c r="B64">
        <v>12</v>
      </c>
      <c r="C64" t="s">
        <v>38</v>
      </c>
      <c r="D64" t="s">
        <v>33</v>
      </c>
      <c r="E64">
        <v>1</v>
      </c>
      <c r="F64">
        <v>1</v>
      </c>
      <c r="G64">
        <v>1501</v>
      </c>
      <c r="H64" t="s">
        <v>34</v>
      </c>
      <c r="I64" t="str">
        <f t="shared" si="1"/>
        <v>[{1000,1,1,1501,101}]</v>
      </c>
      <c r="J64" t="s">
        <v>35</v>
      </c>
      <c r="K64" t="e">
        <f>IF(A64="","",IF(J64=1,VLOOKUP(A64,[1]怪物!$R$80:$V$99,4,0),VLOOKUP(A64,[1]怪物!$R$80:$V$99,2,0))*10000)</f>
        <v>#N/A</v>
      </c>
      <c r="L64" t="e">
        <f>IF(A64="","",IF(K64=1,VLOOKUP(A64,[1]怪物!$R$80:$V$99,5,0),VLOOKUP(A64,[1]怪物!$R$80:$V$99,3,0))*10000)</f>
        <v>#N/A</v>
      </c>
      <c r="M64" t="e">
        <f t="shared" si="2"/>
        <v>#N/A</v>
      </c>
      <c r="N64" t="e">
        <f t="shared" si="3"/>
        <v>#N/A</v>
      </c>
    </row>
    <row r="65" spans="1:14">
      <c r="A65">
        <f t="shared" si="0"/>
        <v>12</v>
      </c>
      <c r="B65">
        <v>12</v>
      </c>
      <c r="C65" t="s">
        <v>38</v>
      </c>
      <c r="D65" t="s">
        <v>33</v>
      </c>
      <c r="E65">
        <v>1</v>
      </c>
      <c r="F65">
        <v>1</v>
      </c>
      <c r="G65">
        <v>1502</v>
      </c>
      <c r="H65" t="s">
        <v>34</v>
      </c>
      <c r="I65" t="str">
        <f t="shared" si="1"/>
        <v>[{1000,1,1,1502,101}]</v>
      </c>
      <c r="J65" t="s">
        <v>35</v>
      </c>
      <c r="K65" t="e">
        <f>IF(A65="","",IF(J65=1,VLOOKUP(A65,[1]怪物!$R$80:$V$99,4,0),VLOOKUP(A65,[1]怪物!$R$80:$V$99,2,0))*10000)</f>
        <v>#N/A</v>
      </c>
      <c r="L65" t="e">
        <f>IF(A65="","",IF(K65=1,VLOOKUP(A65,[1]怪物!$R$80:$V$99,5,0),VLOOKUP(A65,[1]怪物!$R$80:$V$99,3,0))*10000)</f>
        <v>#N/A</v>
      </c>
      <c r="M65" t="e">
        <f t="shared" si="2"/>
        <v>#N/A</v>
      </c>
      <c r="N65" t="e">
        <f t="shared" si="3"/>
        <v>#N/A</v>
      </c>
    </row>
    <row r="66" spans="1:14">
      <c r="A66">
        <f t="shared" ref="A66:A129" si="4">IF(E66="","",B66)</f>
        <v>13</v>
      </c>
      <c r="B66">
        <v>13</v>
      </c>
      <c r="C66" t="s">
        <v>38</v>
      </c>
      <c r="D66" t="s">
        <v>33</v>
      </c>
      <c r="E66">
        <v>1</v>
      </c>
      <c r="F66">
        <v>1</v>
      </c>
      <c r="G66">
        <v>1501</v>
      </c>
      <c r="H66" t="s">
        <v>34</v>
      </c>
      <c r="I66" t="str">
        <f t="shared" ref="I66:I129" si="5">_xlfn.TEXTJOIN(",",1,D66:H66)</f>
        <v>[{1000,1,1,1501,101}]</v>
      </c>
      <c r="J66" t="s">
        <v>35</v>
      </c>
      <c r="K66" t="e">
        <f>IF(A66="","",IF(J66=1,VLOOKUP(A66,[1]怪物!$R$80:$V$99,4,0),VLOOKUP(A66,[1]怪物!$R$80:$V$99,2,0))*10000)</f>
        <v>#N/A</v>
      </c>
      <c r="L66" t="e">
        <f>IF(A66="","",IF(K66=1,VLOOKUP(A66,[1]怪物!$R$80:$V$99,5,0),VLOOKUP(A66,[1]怪物!$R$80:$V$99,3,0))*10000)</f>
        <v>#N/A</v>
      </c>
      <c r="M66" t="e">
        <f t="shared" ref="M66:M129" si="6">IF(F66="","",IF(F66=0,10000,K66))</f>
        <v>#N/A</v>
      </c>
      <c r="N66" t="e">
        <f t="shared" ref="N66:N129" si="7">IF(F66="","",IF(F66=0,10000,L66))</f>
        <v>#N/A</v>
      </c>
    </row>
    <row r="67" spans="1:14">
      <c r="A67">
        <f t="shared" si="4"/>
        <v>13</v>
      </c>
      <c r="B67">
        <v>13</v>
      </c>
      <c r="C67" t="s">
        <v>38</v>
      </c>
      <c r="D67" t="s">
        <v>33</v>
      </c>
      <c r="E67">
        <v>1</v>
      </c>
      <c r="F67">
        <v>1</v>
      </c>
      <c r="G67">
        <v>1502</v>
      </c>
      <c r="H67" t="s">
        <v>34</v>
      </c>
      <c r="I67" t="str">
        <f t="shared" si="5"/>
        <v>[{1000,1,1,1502,101}]</v>
      </c>
      <c r="J67" t="s">
        <v>35</v>
      </c>
      <c r="K67" t="e">
        <f>IF(A67="","",IF(J67=1,VLOOKUP(A67,[1]怪物!$R$80:$V$99,4,0),VLOOKUP(A67,[1]怪物!$R$80:$V$99,2,0))*10000)</f>
        <v>#N/A</v>
      </c>
      <c r="L67" t="e">
        <f>IF(A67="","",IF(K67=1,VLOOKUP(A67,[1]怪物!$R$80:$V$99,5,0),VLOOKUP(A67,[1]怪物!$R$80:$V$99,3,0))*10000)</f>
        <v>#N/A</v>
      </c>
      <c r="M67" t="e">
        <f t="shared" si="6"/>
        <v>#N/A</v>
      </c>
      <c r="N67" t="e">
        <f t="shared" si="7"/>
        <v>#N/A</v>
      </c>
    </row>
    <row r="68" spans="1:14">
      <c r="A68">
        <f t="shared" si="4"/>
        <v>14</v>
      </c>
      <c r="B68">
        <v>14</v>
      </c>
      <c r="C68" t="s">
        <v>38</v>
      </c>
      <c r="D68" t="s">
        <v>33</v>
      </c>
      <c r="E68">
        <v>1</v>
      </c>
      <c r="F68">
        <v>1</v>
      </c>
      <c r="G68">
        <v>1501</v>
      </c>
      <c r="H68" t="s">
        <v>34</v>
      </c>
      <c r="I68" t="str">
        <f t="shared" si="5"/>
        <v>[{1000,1,1,1501,101}]</v>
      </c>
      <c r="J68" t="s">
        <v>35</v>
      </c>
      <c r="K68" t="e">
        <f>IF(A68="","",IF(J68=1,VLOOKUP(A68,[1]怪物!$R$80:$V$99,4,0),VLOOKUP(A68,[1]怪物!$R$80:$V$99,2,0))*10000)</f>
        <v>#N/A</v>
      </c>
      <c r="L68" t="e">
        <f>IF(A68="","",IF(K68=1,VLOOKUP(A68,[1]怪物!$R$80:$V$99,5,0),VLOOKUP(A68,[1]怪物!$R$80:$V$99,3,0))*10000)</f>
        <v>#N/A</v>
      </c>
      <c r="M68" t="e">
        <f t="shared" si="6"/>
        <v>#N/A</v>
      </c>
      <c r="N68" t="e">
        <f t="shared" si="7"/>
        <v>#N/A</v>
      </c>
    </row>
    <row r="69" spans="1:14">
      <c r="A69">
        <f t="shared" si="4"/>
        <v>14</v>
      </c>
      <c r="B69">
        <v>14</v>
      </c>
      <c r="C69" t="s">
        <v>38</v>
      </c>
      <c r="D69" t="s">
        <v>33</v>
      </c>
      <c r="E69">
        <v>1</v>
      </c>
      <c r="F69">
        <v>1</v>
      </c>
      <c r="G69">
        <v>1502</v>
      </c>
      <c r="H69" t="s">
        <v>34</v>
      </c>
      <c r="I69" t="str">
        <f t="shared" si="5"/>
        <v>[{1000,1,1,1502,101}]</v>
      </c>
      <c r="J69" t="s">
        <v>35</v>
      </c>
      <c r="K69" t="e">
        <f>IF(A69="","",IF(J69=1,VLOOKUP(A69,[1]怪物!$R$80:$V$99,4,0),VLOOKUP(A69,[1]怪物!$R$80:$V$99,2,0))*10000)</f>
        <v>#N/A</v>
      </c>
      <c r="L69" t="e">
        <f>IF(A69="","",IF(K69=1,VLOOKUP(A69,[1]怪物!$R$80:$V$99,5,0),VLOOKUP(A69,[1]怪物!$R$80:$V$99,3,0))*10000)</f>
        <v>#N/A</v>
      </c>
      <c r="M69" t="e">
        <f t="shared" si="6"/>
        <v>#N/A</v>
      </c>
      <c r="N69" t="e">
        <f t="shared" si="7"/>
        <v>#N/A</v>
      </c>
    </row>
    <row r="70" spans="1:14">
      <c r="A70">
        <f t="shared" si="4"/>
        <v>14</v>
      </c>
      <c r="B70">
        <v>14</v>
      </c>
      <c r="C70" t="s">
        <v>38</v>
      </c>
      <c r="D70" t="s">
        <v>33</v>
      </c>
      <c r="E70">
        <v>1</v>
      </c>
      <c r="F70">
        <v>1</v>
      </c>
      <c r="G70">
        <v>1503</v>
      </c>
      <c r="H70" t="s">
        <v>34</v>
      </c>
      <c r="I70" t="str">
        <f t="shared" si="5"/>
        <v>[{1000,1,1,1503,101}]</v>
      </c>
      <c r="J70" t="s">
        <v>35</v>
      </c>
      <c r="K70" t="e">
        <f>IF(A70="","",IF(J70=1,VLOOKUP(A70,[1]怪物!$R$80:$V$99,4,0),VLOOKUP(A70,[1]怪物!$R$80:$V$99,2,0))*10000)</f>
        <v>#N/A</v>
      </c>
      <c r="L70" t="e">
        <f>IF(A70="","",IF(K70=1,VLOOKUP(A70,[1]怪物!$R$80:$V$99,5,0),VLOOKUP(A70,[1]怪物!$R$80:$V$99,3,0))*10000)</f>
        <v>#N/A</v>
      </c>
      <c r="M70" t="e">
        <f t="shared" si="6"/>
        <v>#N/A</v>
      </c>
      <c r="N70" t="e">
        <f t="shared" si="7"/>
        <v>#N/A</v>
      </c>
    </row>
    <row r="71" spans="1:14">
      <c r="A71">
        <f t="shared" si="4"/>
        <v>15</v>
      </c>
      <c r="B71">
        <v>15</v>
      </c>
      <c r="C71" t="s">
        <v>38</v>
      </c>
      <c r="D71" t="s">
        <v>33</v>
      </c>
      <c r="E71">
        <v>1</v>
      </c>
      <c r="F71">
        <v>1</v>
      </c>
      <c r="G71">
        <v>1501</v>
      </c>
      <c r="H71" t="s">
        <v>34</v>
      </c>
      <c r="I71" t="str">
        <f t="shared" si="5"/>
        <v>[{1000,1,1,1501,101}]</v>
      </c>
      <c r="J71" t="s">
        <v>35</v>
      </c>
      <c r="K71" t="e">
        <f>IF(A71="","",IF(J71=1,VLOOKUP(A71,[1]怪物!$R$80:$V$99,4,0),VLOOKUP(A71,[1]怪物!$R$80:$V$99,2,0))*10000)</f>
        <v>#N/A</v>
      </c>
      <c r="L71" t="e">
        <f>IF(A71="","",IF(K71=1,VLOOKUP(A71,[1]怪物!$R$80:$V$99,5,0),VLOOKUP(A71,[1]怪物!$R$80:$V$99,3,0))*10000)</f>
        <v>#N/A</v>
      </c>
      <c r="M71" t="e">
        <f t="shared" si="6"/>
        <v>#N/A</v>
      </c>
      <c r="N71" t="e">
        <f t="shared" si="7"/>
        <v>#N/A</v>
      </c>
    </row>
    <row r="72" spans="1:14">
      <c r="A72">
        <f t="shared" si="4"/>
        <v>15</v>
      </c>
      <c r="B72">
        <v>15</v>
      </c>
      <c r="C72" t="s">
        <v>38</v>
      </c>
      <c r="D72" t="s">
        <v>33</v>
      </c>
      <c r="E72">
        <v>1</v>
      </c>
      <c r="F72">
        <v>1</v>
      </c>
      <c r="G72">
        <v>1502</v>
      </c>
      <c r="H72" t="s">
        <v>34</v>
      </c>
      <c r="I72" t="str">
        <f t="shared" si="5"/>
        <v>[{1000,1,1,1502,101}]</v>
      </c>
      <c r="J72" t="s">
        <v>35</v>
      </c>
      <c r="K72" t="e">
        <f>IF(A72="","",IF(J72=1,VLOOKUP(A72,[1]怪物!$R$80:$V$99,4,0),VLOOKUP(A72,[1]怪物!$R$80:$V$99,2,0))*10000)</f>
        <v>#N/A</v>
      </c>
      <c r="L72" t="e">
        <f>IF(A72="","",IF(K72=1,VLOOKUP(A72,[1]怪物!$R$80:$V$99,5,0),VLOOKUP(A72,[1]怪物!$R$80:$V$99,3,0))*10000)</f>
        <v>#N/A</v>
      </c>
      <c r="M72" t="e">
        <f t="shared" si="6"/>
        <v>#N/A</v>
      </c>
      <c r="N72" t="e">
        <f t="shared" si="7"/>
        <v>#N/A</v>
      </c>
    </row>
    <row r="73" spans="1:14">
      <c r="A73">
        <f t="shared" si="4"/>
        <v>15</v>
      </c>
      <c r="B73">
        <v>15</v>
      </c>
      <c r="C73" t="s">
        <v>38</v>
      </c>
      <c r="D73" t="s">
        <v>33</v>
      </c>
      <c r="E73">
        <v>1</v>
      </c>
      <c r="F73">
        <v>1</v>
      </c>
      <c r="G73">
        <v>1503</v>
      </c>
      <c r="H73" t="s">
        <v>34</v>
      </c>
      <c r="I73" t="str">
        <f t="shared" si="5"/>
        <v>[{1000,1,1,1503,101}]</v>
      </c>
      <c r="J73" t="s">
        <v>35</v>
      </c>
      <c r="K73" t="e">
        <f>IF(A73="","",IF(J73=1,VLOOKUP(A73,[1]怪物!$R$80:$V$99,4,0),VLOOKUP(A73,[1]怪物!$R$80:$V$99,2,0))*10000)</f>
        <v>#N/A</v>
      </c>
      <c r="L73" t="e">
        <f>IF(A73="","",IF(K73=1,VLOOKUP(A73,[1]怪物!$R$80:$V$99,5,0),VLOOKUP(A73,[1]怪物!$R$80:$V$99,3,0))*10000)</f>
        <v>#N/A</v>
      </c>
      <c r="M73" t="e">
        <f t="shared" si="6"/>
        <v>#N/A</v>
      </c>
      <c r="N73" t="e">
        <f t="shared" si="7"/>
        <v>#N/A</v>
      </c>
    </row>
    <row r="74" spans="1:14">
      <c r="A74">
        <f t="shared" si="4"/>
        <v>16</v>
      </c>
      <c r="B74">
        <v>16</v>
      </c>
      <c r="C74" t="s">
        <v>38</v>
      </c>
      <c r="D74" t="s">
        <v>33</v>
      </c>
      <c r="E74">
        <v>1</v>
      </c>
      <c r="F74">
        <v>1</v>
      </c>
      <c r="G74">
        <v>1501</v>
      </c>
      <c r="H74" t="s">
        <v>34</v>
      </c>
      <c r="I74" t="str">
        <f t="shared" si="5"/>
        <v>[{1000,1,1,1501,101}]</v>
      </c>
      <c r="J74" t="s">
        <v>35</v>
      </c>
      <c r="K74" t="e">
        <f>IF(A74="","",IF(J74=1,VLOOKUP(A74,[1]怪物!$R$80:$V$99,4,0),VLOOKUP(A74,[1]怪物!$R$80:$V$99,2,0))*10000)</f>
        <v>#N/A</v>
      </c>
      <c r="L74" t="e">
        <f>IF(A74="","",IF(K74=1,VLOOKUP(A74,[1]怪物!$R$80:$V$99,5,0),VLOOKUP(A74,[1]怪物!$R$80:$V$99,3,0))*10000)</f>
        <v>#N/A</v>
      </c>
      <c r="M74" t="e">
        <f t="shared" si="6"/>
        <v>#N/A</v>
      </c>
      <c r="N74" t="e">
        <f t="shared" si="7"/>
        <v>#N/A</v>
      </c>
    </row>
    <row r="75" spans="1:14">
      <c r="A75">
        <f t="shared" si="4"/>
        <v>16</v>
      </c>
      <c r="B75">
        <v>16</v>
      </c>
      <c r="C75" t="s">
        <v>38</v>
      </c>
      <c r="D75" t="s">
        <v>33</v>
      </c>
      <c r="E75">
        <v>1</v>
      </c>
      <c r="F75">
        <v>1</v>
      </c>
      <c r="G75">
        <v>1502</v>
      </c>
      <c r="H75" t="s">
        <v>34</v>
      </c>
      <c r="I75" t="str">
        <f t="shared" si="5"/>
        <v>[{1000,1,1,1502,101}]</v>
      </c>
      <c r="J75" t="s">
        <v>35</v>
      </c>
      <c r="K75" t="e">
        <f>IF(A75="","",IF(J75=1,VLOOKUP(A75,[1]怪物!$R$80:$V$99,4,0),VLOOKUP(A75,[1]怪物!$R$80:$V$99,2,0))*10000)</f>
        <v>#N/A</v>
      </c>
      <c r="L75" t="e">
        <f>IF(A75="","",IF(K75=1,VLOOKUP(A75,[1]怪物!$R$80:$V$99,5,0),VLOOKUP(A75,[1]怪物!$R$80:$V$99,3,0))*10000)</f>
        <v>#N/A</v>
      </c>
      <c r="M75" t="e">
        <f t="shared" si="6"/>
        <v>#N/A</v>
      </c>
      <c r="N75" t="e">
        <f t="shared" si="7"/>
        <v>#N/A</v>
      </c>
    </row>
    <row r="76" spans="1:14">
      <c r="A76">
        <f t="shared" si="4"/>
        <v>16</v>
      </c>
      <c r="B76">
        <v>16</v>
      </c>
      <c r="C76" t="s">
        <v>38</v>
      </c>
      <c r="D76" t="s">
        <v>33</v>
      </c>
      <c r="E76">
        <v>1</v>
      </c>
      <c r="F76">
        <v>1</v>
      </c>
      <c r="G76">
        <v>1503</v>
      </c>
      <c r="H76" t="s">
        <v>34</v>
      </c>
      <c r="I76" t="str">
        <f t="shared" si="5"/>
        <v>[{1000,1,1,1503,101}]</v>
      </c>
      <c r="J76" t="s">
        <v>35</v>
      </c>
      <c r="K76" t="e">
        <f>IF(A76="","",IF(J76=1,VLOOKUP(A76,[1]怪物!$R$80:$V$99,4,0),VLOOKUP(A76,[1]怪物!$R$80:$V$99,2,0))*10000)</f>
        <v>#N/A</v>
      </c>
      <c r="L76" t="e">
        <f>IF(A76="","",IF(K76=1,VLOOKUP(A76,[1]怪物!$R$80:$V$99,5,0),VLOOKUP(A76,[1]怪物!$R$80:$V$99,3,0))*10000)</f>
        <v>#N/A</v>
      </c>
      <c r="M76" t="e">
        <f t="shared" si="6"/>
        <v>#N/A</v>
      </c>
      <c r="N76" t="e">
        <f t="shared" si="7"/>
        <v>#N/A</v>
      </c>
    </row>
    <row r="77" spans="1:14">
      <c r="A77">
        <f t="shared" si="4"/>
        <v>17</v>
      </c>
      <c r="B77">
        <v>17</v>
      </c>
      <c r="C77" t="s">
        <v>38</v>
      </c>
      <c r="D77" t="s">
        <v>33</v>
      </c>
      <c r="E77">
        <v>1</v>
      </c>
      <c r="F77">
        <v>1</v>
      </c>
      <c r="G77">
        <v>1501</v>
      </c>
      <c r="H77" t="s">
        <v>34</v>
      </c>
      <c r="I77" t="str">
        <f t="shared" si="5"/>
        <v>[{1000,1,1,1501,101}]</v>
      </c>
      <c r="J77" t="s">
        <v>35</v>
      </c>
      <c r="K77" t="e">
        <f>IF(A77="","",IF(J77=1,VLOOKUP(A77,[1]怪物!$R$80:$V$99,4,0),VLOOKUP(A77,[1]怪物!$R$80:$V$99,2,0))*10000)</f>
        <v>#N/A</v>
      </c>
      <c r="L77" t="e">
        <f>IF(A77="","",IF(K77=1,VLOOKUP(A77,[1]怪物!$R$80:$V$99,5,0),VLOOKUP(A77,[1]怪物!$R$80:$V$99,3,0))*10000)</f>
        <v>#N/A</v>
      </c>
      <c r="M77" t="e">
        <f t="shared" si="6"/>
        <v>#N/A</v>
      </c>
      <c r="N77" t="e">
        <f t="shared" si="7"/>
        <v>#N/A</v>
      </c>
    </row>
    <row r="78" spans="1:14">
      <c r="A78">
        <f t="shared" si="4"/>
        <v>17</v>
      </c>
      <c r="B78">
        <v>17</v>
      </c>
      <c r="C78" t="s">
        <v>38</v>
      </c>
      <c r="D78" t="s">
        <v>33</v>
      </c>
      <c r="E78">
        <v>1</v>
      </c>
      <c r="F78">
        <v>1</v>
      </c>
      <c r="G78">
        <v>1502</v>
      </c>
      <c r="H78" t="s">
        <v>34</v>
      </c>
      <c r="I78" t="str">
        <f t="shared" si="5"/>
        <v>[{1000,1,1,1502,101}]</v>
      </c>
      <c r="J78" t="s">
        <v>35</v>
      </c>
      <c r="K78" t="e">
        <f>IF(A78="","",IF(J78=1,VLOOKUP(A78,[1]怪物!$R$80:$V$99,4,0),VLOOKUP(A78,[1]怪物!$R$80:$V$99,2,0))*10000)</f>
        <v>#N/A</v>
      </c>
      <c r="L78" t="e">
        <f>IF(A78="","",IF(K78=1,VLOOKUP(A78,[1]怪物!$R$80:$V$99,5,0),VLOOKUP(A78,[1]怪物!$R$80:$V$99,3,0))*10000)</f>
        <v>#N/A</v>
      </c>
      <c r="M78" t="e">
        <f t="shared" si="6"/>
        <v>#N/A</v>
      </c>
      <c r="N78" t="e">
        <f t="shared" si="7"/>
        <v>#N/A</v>
      </c>
    </row>
    <row r="79" spans="1:14">
      <c r="A79">
        <f t="shared" si="4"/>
        <v>17</v>
      </c>
      <c r="B79">
        <v>17</v>
      </c>
      <c r="C79" t="s">
        <v>38</v>
      </c>
      <c r="D79" t="s">
        <v>33</v>
      </c>
      <c r="E79">
        <v>1</v>
      </c>
      <c r="F79">
        <v>1</v>
      </c>
      <c r="G79">
        <v>1503</v>
      </c>
      <c r="H79" t="s">
        <v>34</v>
      </c>
      <c r="I79" t="str">
        <f t="shared" si="5"/>
        <v>[{1000,1,1,1503,101}]</v>
      </c>
      <c r="J79" t="s">
        <v>35</v>
      </c>
      <c r="K79" t="e">
        <f>IF(A79="","",IF(J79=1,VLOOKUP(A79,[1]怪物!$R$80:$V$99,4,0),VLOOKUP(A79,[1]怪物!$R$80:$V$99,2,0))*10000)</f>
        <v>#N/A</v>
      </c>
      <c r="L79" t="e">
        <f>IF(A79="","",IF(K79=1,VLOOKUP(A79,[1]怪物!$R$80:$V$99,5,0),VLOOKUP(A79,[1]怪物!$R$80:$V$99,3,0))*10000)</f>
        <v>#N/A</v>
      </c>
      <c r="M79" t="e">
        <f t="shared" si="6"/>
        <v>#N/A</v>
      </c>
      <c r="N79" t="e">
        <f t="shared" si="7"/>
        <v>#N/A</v>
      </c>
    </row>
    <row r="80" spans="1:14">
      <c r="A80">
        <f t="shared" si="4"/>
        <v>18</v>
      </c>
      <c r="B80">
        <v>18</v>
      </c>
      <c r="C80" t="s">
        <v>38</v>
      </c>
      <c r="D80" t="s">
        <v>33</v>
      </c>
      <c r="E80">
        <v>1</v>
      </c>
      <c r="F80">
        <v>1</v>
      </c>
      <c r="G80">
        <v>1501</v>
      </c>
      <c r="H80" t="s">
        <v>34</v>
      </c>
      <c r="I80" t="str">
        <f t="shared" si="5"/>
        <v>[{1000,1,1,1501,101}]</v>
      </c>
      <c r="J80" t="s">
        <v>35</v>
      </c>
      <c r="K80" t="e">
        <f>IF(A80="","",IF(J80=1,VLOOKUP(A80,[1]怪物!$R$80:$V$99,4,0),VLOOKUP(A80,[1]怪物!$R$80:$V$99,2,0))*10000)</f>
        <v>#N/A</v>
      </c>
      <c r="L80" t="e">
        <f>IF(A80="","",IF(K80=1,VLOOKUP(A80,[1]怪物!$R$80:$V$99,5,0),VLOOKUP(A80,[1]怪物!$R$80:$V$99,3,0))*10000)</f>
        <v>#N/A</v>
      </c>
      <c r="M80" t="e">
        <f t="shared" si="6"/>
        <v>#N/A</v>
      </c>
      <c r="N80" t="e">
        <f t="shared" si="7"/>
        <v>#N/A</v>
      </c>
    </row>
    <row r="81" spans="1:14">
      <c r="A81">
        <f t="shared" si="4"/>
        <v>18</v>
      </c>
      <c r="B81">
        <v>18</v>
      </c>
      <c r="C81" t="s">
        <v>38</v>
      </c>
      <c r="D81" t="s">
        <v>33</v>
      </c>
      <c r="E81">
        <v>1</v>
      </c>
      <c r="F81">
        <v>1</v>
      </c>
      <c r="G81">
        <v>1502</v>
      </c>
      <c r="H81" t="s">
        <v>34</v>
      </c>
      <c r="I81" t="str">
        <f t="shared" si="5"/>
        <v>[{1000,1,1,1502,101}]</v>
      </c>
      <c r="J81" t="s">
        <v>35</v>
      </c>
      <c r="K81" t="e">
        <f>IF(A81="","",IF(J81=1,VLOOKUP(A81,[1]怪物!$R$80:$V$99,4,0),VLOOKUP(A81,[1]怪物!$R$80:$V$99,2,0))*10000)</f>
        <v>#N/A</v>
      </c>
      <c r="L81" t="e">
        <f>IF(A81="","",IF(K81=1,VLOOKUP(A81,[1]怪物!$R$80:$V$99,5,0),VLOOKUP(A81,[1]怪物!$R$80:$V$99,3,0))*10000)</f>
        <v>#N/A</v>
      </c>
      <c r="M81" t="e">
        <f t="shared" si="6"/>
        <v>#N/A</v>
      </c>
      <c r="N81" t="e">
        <f t="shared" si="7"/>
        <v>#N/A</v>
      </c>
    </row>
    <row r="82" spans="1:14">
      <c r="A82">
        <f t="shared" si="4"/>
        <v>18</v>
      </c>
      <c r="B82">
        <v>18</v>
      </c>
      <c r="C82" t="s">
        <v>38</v>
      </c>
      <c r="D82" t="s">
        <v>33</v>
      </c>
      <c r="E82">
        <v>1</v>
      </c>
      <c r="F82">
        <v>1</v>
      </c>
      <c r="G82">
        <v>1503</v>
      </c>
      <c r="H82" t="s">
        <v>34</v>
      </c>
      <c r="I82" t="str">
        <f t="shared" si="5"/>
        <v>[{1000,1,1,1503,101}]</v>
      </c>
      <c r="J82" t="s">
        <v>35</v>
      </c>
      <c r="K82" t="e">
        <f>IF(A82="","",IF(J82=1,VLOOKUP(A82,[1]怪物!$R$80:$V$99,4,0),VLOOKUP(A82,[1]怪物!$R$80:$V$99,2,0))*10000)</f>
        <v>#N/A</v>
      </c>
      <c r="L82" t="e">
        <f>IF(A82="","",IF(K82=1,VLOOKUP(A82,[1]怪物!$R$80:$V$99,5,0),VLOOKUP(A82,[1]怪物!$R$80:$V$99,3,0))*10000)</f>
        <v>#N/A</v>
      </c>
      <c r="M82" t="e">
        <f t="shared" si="6"/>
        <v>#N/A</v>
      </c>
      <c r="N82" t="e">
        <f t="shared" si="7"/>
        <v>#N/A</v>
      </c>
    </row>
    <row r="83" spans="1:14">
      <c r="A83">
        <f t="shared" si="4"/>
        <v>19</v>
      </c>
      <c r="B83">
        <v>19</v>
      </c>
      <c r="C83" t="s">
        <v>38</v>
      </c>
      <c r="D83" t="s">
        <v>33</v>
      </c>
      <c r="E83">
        <v>1</v>
      </c>
      <c r="F83">
        <v>1</v>
      </c>
      <c r="G83">
        <v>1501</v>
      </c>
      <c r="H83" t="s">
        <v>34</v>
      </c>
      <c r="I83" t="str">
        <f t="shared" si="5"/>
        <v>[{1000,1,1,1501,101}]</v>
      </c>
      <c r="J83" t="s">
        <v>35</v>
      </c>
      <c r="K83" t="e">
        <f>IF(A83="","",IF(J83=1,VLOOKUP(A83,[1]怪物!$R$80:$V$99,4,0),VLOOKUP(A83,[1]怪物!$R$80:$V$99,2,0))*10000)</f>
        <v>#N/A</v>
      </c>
      <c r="L83" t="e">
        <f>IF(A83="","",IF(K83=1,VLOOKUP(A83,[1]怪物!$R$80:$V$99,5,0),VLOOKUP(A83,[1]怪物!$R$80:$V$99,3,0))*10000)</f>
        <v>#N/A</v>
      </c>
      <c r="M83" t="e">
        <f t="shared" si="6"/>
        <v>#N/A</v>
      </c>
      <c r="N83" t="e">
        <f t="shared" si="7"/>
        <v>#N/A</v>
      </c>
    </row>
    <row r="84" spans="1:14">
      <c r="A84">
        <f t="shared" si="4"/>
        <v>19</v>
      </c>
      <c r="B84">
        <v>19</v>
      </c>
      <c r="C84" t="s">
        <v>38</v>
      </c>
      <c r="D84" t="s">
        <v>33</v>
      </c>
      <c r="E84">
        <v>1</v>
      </c>
      <c r="F84">
        <v>1</v>
      </c>
      <c r="G84">
        <v>1502</v>
      </c>
      <c r="H84" t="s">
        <v>34</v>
      </c>
      <c r="I84" t="str">
        <f t="shared" si="5"/>
        <v>[{1000,1,1,1502,101}]</v>
      </c>
      <c r="J84" t="s">
        <v>35</v>
      </c>
      <c r="K84" t="e">
        <f>IF(A84="","",IF(J84=1,VLOOKUP(A84,[1]怪物!$R$80:$V$99,4,0),VLOOKUP(A84,[1]怪物!$R$80:$V$99,2,0))*10000)</f>
        <v>#N/A</v>
      </c>
      <c r="L84" t="e">
        <f>IF(A84="","",IF(K84=1,VLOOKUP(A84,[1]怪物!$R$80:$V$99,5,0),VLOOKUP(A84,[1]怪物!$R$80:$V$99,3,0))*10000)</f>
        <v>#N/A</v>
      </c>
      <c r="M84" t="e">
        <f t="shared" si="6"/>
        <v>#N/A</v>
      </c>
      <c r="N84" t="e">
        <f t="shared" si="7"/>
        <v>#N/A</v>
      </c>
    </row>
    <row r="85" spans="1:14">
      <c r="A85">
        <f t="shared" si="4"/>
        <v>19</v>
      </c>
      <c r="B85">
        <v>19</v>
      </c>
      <c r="C85" t="s">
        <v>38</v>
      </c>
      <c r="D85" t="s">
        <v>33</v>
      </c>
      <c r="E85">
        <v>1</v>
      </c>
      <c r="F85">
        <v>1</v>
      </c>
      <c r="G85">
        <v>1503</v>
      </c>
      <c r="H85" t="s">
        <v>34</v>
      </c>
      <c r="I85" t="str">
        <f t="shared" si="5"/>
        <v>[{1000,1,1,1503,101}]</v>
      </c>
      <c r="J85" t="s">
        <v>35</v>
      </c>
      <c r="K85" t="e">
        <f>IF(A85="","",IF(J85=1,VLOOKUP(A85,[1]怪物!$R$80:$V$99,4,0),VLOOKUP(A85,[1]怪物!$R$80:$V$99,2,0))*10000)</f>
        <v>#N/A</v>
      </c>
      <c r="L85" t="e">
        <f>IF(A85="","",IF(K85=1,VLOOKUP(A85,[1]怪物!$R$80:$V$99,5,0),VLOOKUP(A85,[1]怪物!$R$80:$V$99,3,0))*10000)</f>
        <v>#N/A</v>
      </c>
      <c r="M85" t="e">
        <f t="shared" si="6"/>
        <v>#N/A</v>
      </c>
      <c r="N85" t="e">
        <f t="shared" si="7"/>
        <v>#N/A</v>
      </c>
    </row>
    <row r="86" spans="1:14">
      <c r="A86">
        <f t="shared" si="4"/>
        <v>20</v>
      </c>
      <c r="B86">
        <v>20</v>
      </c>
      <c r="C86" t="s">
        <v>38</v>
      </c>
      <c r="D86" t="s">
        <v>33</v>
      </c>
      <c r="E86">
        <v>1</v>
      </c>
      <c r="F86">
        <v>1</v>
      </c>
      <c r="G86">
        <v>1501</v>
      </c>
      <c r="H86" t="s">
        <v>34</v>
      </c>
      <c r="I86" t="str">
        <f t="shared" si="5"/>
        <v>[{1000,1,1,1501,101}]</v>
      </c>
      <c r="J86" t="s">
        <v>35</v>
      </c>
      <c r="K86" t="e">
        <f>IF(A86="","",IF(J86=1,VLOOKUP(A86,[1]怪物!$R$80:$V$99,4,0),VLOOKUP(A86,[1]怪物!$R$80:$V$99,2,0))*10000)</f>
        <v>#N/A</v>
      </c>
      <c r="L86" t="e">
        <f>IF(A86="","",IF(K86=1,VLOOKUP(A86,[1]怪物!$R$80:$V$99,5,0),VLOOKUP(A86,[1]怪物!$R$80:$V$99,3,0))*10000)</f>
        <v>#N/A</v>
      </c>
      <c r="M86" t="e">
        <f t="shared" si="6"/>
        <v>#N/A</v>
      </c>
      <c r="N86" t="e">
        <f t="shared" si="7"/>
        <v>#N/A</v>
      </c>
    </row>
    <row r="87" spans="1:14">
      <c r="A87">
        <f t="shared" si="4"/>
        <v>20</v>
      </c>
      <c r="B87">
        <v>20</v>
      </c>
      <c r="C87" t="s">
        <v>38</v>
      </c>
      <c r="D87" t="s">
        <v>33</v>
      </c>
      <c r="E87">
        <v>1</v>
      </c>
      <c r="F87">
        <v>1</v>
      </c>
      <c r="G87">
        <v>1502</v>
      </c>
      <c r="H87" t="s">
        <v>34</v>
      </c>
      <c r="I87" t="str">
        <f t="shared" si="5"/>
        <v>[{1000,1,1,1502,101}]</v>
      </c>
      <c r="J87" t="s">
        <v>35</v>
      </c>
      <c r="K87" t="e">
        <f>IF(A87="","",IF(J87=1,VLOOKUP(A87,[1]怪物!$R$80:$V$99,4,0),VLOOKUP(A87,[1]怪物!$R$80:$V$99,2,0))*10000)</f>
        <v>#N/A</v>
      </c>
      <c r="L87" t="e">
        <f>IF(A87="","",IF(K87=1,VLOOKUP(A87,[1]怪物!$R$80:$V$99,5,0),VLOOKUP(A87,[1]怪物!$R$80:$V$99,3,0))*10000)</f>
        <v>#N/A</v>
      </c>
      <c r="M87" t="e">
        <f t="shared" si="6"/>
        <v>#N/A</v>
      </c>
      <c r="N87" t="e">
        <f t="shared" si="7"/>
        <v>#N/A</v>
      </c>
    </row>
    <row r="88" spans="1:14">
      <c r="A88">
        <f t="shared" si="4"/>
        <v>20</v>
      </c>
      <c r="B88">
        <v>20</v>
      </c>
      <c r="C88" t="s">
        <v>38</v>
      </c>
      <c r="D88" t="s">
        <v>33</v>
      </c>
      <c r="E88">
        <v>1</v>
      </c>
      <c r="F88">
        <v>1</v>
      </c>
      <c r="G88">
        <v>1503</v>
      </c>
      <c r="H88" t="s">
        <v>34</v>
      </c>
      <c r="I88" t="str">
        <f t="shared" si="5"/>
        <v>[{1000,1,1,1503,101}]</v>
      </c>
      <c r="J88" t="s">
        <v>35</v>
      </c>
      <c r="K88" t="e">
        <f>IF(A88="","",IF(J88=1,VLOOKUP(A88,[1]怪物!$R$80:$V$99,4,0),VLOOKUP(A88,[1]怪物!$R$80:$V$99,2,0))*10000)</f>
        <v>#N/A</v>
      </c>
      <c r="L88" t="e">
        <f>IF(A88="","",IF(K88=1,VLOOKUP(A88,[1]怪物!$R$80:$V$99,5,0),VLOOKUP(A88,[1]怪物!$R$80:$V$99,3,0))*10000)</f>
        <v>#N/A</v>
      </c>
      <c r="M88" t="e">
        <f t="shared" si="6"/>
        <v>#N/A</v>
      </c>
      <c r="N88" t="e">
        <f t="shared" si="7"/>
        <v>#N/A</v>
      </c>
    </row>
    <row r="89" spans="1:14">
      <c r="A89" t="str">
        <f t="shared" si="4"/>
        <v/>
      </c>
      <c r="B89">
        <v>20</v>
      </c>
      <c r="C89" t="s">
        <v>38</v>
      </c>
      <c r="D89" t="s">
        <v>28</v>
      </c>
      <c r="I89" t="str">
        <f t="shared" si="5"/>
        <v>[]</v>
      </c>
      <c r="J89">
        <v>2</v>
      </c>
      <c r="K89" t="str">
        <f>IF(A89="","",IF(J89=1,VLOOKUP(A89,[1]怪物!$R$80:$V$99,4,0),VLOOKUP(A89,[1]怪物!$R$80:$V$99,2,0))*10000)</f>
        <v/>
      </c>
      <c r="L89" t="str">
        <f>IF(A89="","",IF(K89=1,VLOOKUP(A89,[1]怪物!$R$80:$V$99,5,0),VLOOKUP(A89,[1]怪物!$R$80:$V$99,3,0))*10000)</f>
        <v/>
      </c>
      <c r="M89" t="str">
        <f t="shared" si="6"/>
        <v/>
      </c>
      <c r="N89" t="str">
        <f t="shared" si="7"/>
        <v/>
      </c>
    </row>
    <row r="90" spans="1:14">
      <c r="A90">
        <f t="shared" si="4"/>
        <v>20</v>
      </c>
      <c r="B90">
        <v>20</v>
      </c>
      <c r="C90" t="s">
        <v>38</v>
      </c>
      <c r="D90" t="s">
        <v>33</v>
      </c>
      <c r="E90">
        <v>1</v>
      </c>
      <c r="F90">
        <v>0</v>
      </c>
      <c r="G90">
        <v>1531</v>
      </c>
      <c r="H90" t="s">
        <v>36</v>
      </c>
      <c r="I90" t="str">
        <f t="shared" si="5"/>
        <v>[{1000,1,0,1531,41}]</v>
      </c>
      <c r="J90" t="s">
        <v>35</v>
      </c>
      <c r="K90" t="e">
        <f>IF(A90="","",IF(J90=1,VLOOKUP(A90,[1]怪物!$R$80:$V$99,4,0),VLOOKUP(A90,[1]怪物!$R$80:$V$99,2,0))*10000)</f>
        <v>#N/A</v>
      </c>
      <c r="L90" t="e">
        <f>IF(A90="","",IF(K90=1,VLOOKUP(A90,[1]怪物!$R$80:$V$99,5,0),VLOOKUP(A90,[1]怪物!$R$80:$V$99,3,0))*10000)</f>
        <v>#N/A</v>
      </c>
      <c r="M90">
        <f t="shared" si="6"/>
        <v>10000</v>
      </c>
      <c r="N90">
        <f t="shared" si="7"/>
        <v>10000</v>
      </c>
    </row>
    <row r="91" spans="1:14">
      <c r="A91">
        <f t="shared" si="4"/>
        <v>1</v>
      </c>
      <c r="B91">
        <v>1</v>
      </c>
      <c r="C91" t="s">
        <v>39</v>
      </c>
      <c r="D91" t="s">
        <v>33</v>
      </c>
      <c r="E91">
        <v>1</v>
      </c>
      <c r="F91">
        <v>1</v>
      </c>
      <c r="G91">
        <v>1601</v>
      </c>
      <c r="H91" t="s">
        <v>34</v>
      </c>
      <c r="I91" t="str">
        <f t="shared" si="5"/>
        <v>[{1000,1,1,1601,101}]</v>
      </c>
      <c r="J91" t="s">
        <v>35</v>
      </c>
      <c r="K91">
        <f>IF(A91="","",IF(J91=1,VLOOKUP(A91,[1]怪物!$R$80:$V$99,4,0),VLOOKUP(A91,[1]怪物!$R$80:$V$99,2,0))*10000)</f>
        <v>10000</v>
      </c>
      <c r="L91">
        <f>IF(A91="","",IF(K91=1,VLOOKUP(A91,[1]怪物!$R$80:$V$99,5,0),VLOOKUP(A91,[1]怪物!$R$80:$V$99,3,0))*10000)</f>
        <v>10000</v>
      </c>
      <c r="M91">
        <f t="shared" si="6"/>
        <v>10000</v>
      </c>
      <c r="N91">
        <f t="shared" si="7"/>
        <v>10000</v>
      </c>
    </row>
    <row r="92" spans="1:14">
      <c r="A92">
        <f t="shared" si="4"/>
        <v>2</v>
      </c>
      <c r="B92">
        <v>2</v>
      </c>
      <c r="C92" t="s">
        <v>39</v>
      </c>
      <c r="D92" t="s">
        <v>33</v>
      </c>
      <c r="E92">
        <v>1</v>
      </c>
      <c r="F92">
        <v>1</v>
      </c>
      <c r="G92">
        <v>1601</v>
      </c>
      <c r="H92" t="s">
        <v>34</v>
      </c>
      <c r="I92" t="str">
        <f t="shared" si="5"/>
        <v>[{1000,1,1,1601,101}]</v>
      </c>
      <c r="J92" t="s">
        <v>35</v>
      </c>
      <c r="K92">
        <f>IF(A92="","",IF(J92=1,VLOOKUP(A92,[1]怪物!$R$80:$V$99,4,0),VLOOKUP(A92,[1]怪物!$R$80:$V$99,2,0))*10000)</f>
        <v>10000</v>
      </c>
      <c r="L92">
        <f>IF(A92="","",IF(K92=1,VLOOKUP(A92,[1]怪物!$R$80:$V$99,5,0),VLOOKUP(A92,[1]怪物!$R$80:$V$99,3,0))*10000)</f>
        <v>10000</v>
      </c>
      <c r="M92">
        <f t="shared" si="6"/>
        <v>10000</v>
      </c>
      <c r="N92">
        <f t="shared" si="7"/>
        <v>10000</v>
      </c>
    </row>
    <row r="93" spans="1:14">
      <c r="A93">
        <f t="shared" si="4"/>
        <v>3</v>
      </c>
      <c r="B93">
        <v>3</v>
      </c>
      <c r="C93" t="s">
        <v>39</v>
      </c>
      <c r="D93" t="s">
        <v>33</v>
      </c>
      <c r="E93">
        <v>1</v>
      </c>
      <c r="F93">
        <v>1</v>
      </c>
      <c r="G93">
        <v>1601</v>
      </c>
      <c r="H93" t="s">
        <v>34</v>
      </c>
      <c r="I93" t="str">
        <f t="shared" si="5"/>
        <v>[{1000,1,1,1601,101}]</v>
      </c>
      <c r="J93" t="s">
        <v>35</v>
      </c>
      <c r="K93">
        <f>IF(A93="","",IF(J93=1,VLOOKUP(A93,[1]怪物!$R$80:$V$99,4,0),VLOOKUP(A93,[1]怪物!$R$80:$V$99,2,0))*10000)</f>
        <v>10000</v>
      </c>
      <c r="L93">
        <f>IF(A93="","",IF(K93=1,VLOOKUP(A93,[1]怪物!$R$80:$V$99,5,0),VLOOKUP(A93,[1]怪物!$R$80:$V$99,3,0))*10000)</f>
        <v>10000</v>
      </c>
      <c r="M93">
        <f t="shared" si="6"/>
        <v>10000</v>
      </c>
      <c r="N93">
        <f t="shared" si="7"/>
        <v>10000</v>
      </c>
    </row>
    <row r="94" spans="1:14">
      <c r="A94">
        <f t="shared" si="4"/>
        <v>4</v>
      </c>
      <c r="B94">
        <v>4</v>
      </c>
      <c r="C94" t="s">
        <v>39</v>
      </c>
      <c r="D94" t="s">
        <v>33</v>
      </c>
      <c r="E94">
        <v>1</v>
      </c>
      <c r="F94">
        <v>1</v>
      </c>
      <c r="G94">
        <v>1601</v>
      </c>
      <c r="H94" t="s">
        <v>34</v>
      </c>
      <c r="I94" t="str">
        <f t="shared" si="5"/>
        <v>[{1000,1,1,1601,101}]</v>
      </c>
      <c r="J94" t="s">
        <v>35</v>
      </c>
      <c r="K94">
        <f>IF(A94="","",IF(J94=1,VLOOKUP(A94,[1]怪物!$R$80:$V$99,4,0),VLOOKUP(A94,[1]怪物!$R$80:$V$99,2,0))*10000)</f>
        <v>10000</v>
      </c>
      <c r="L94">
        <f>IF(A94="","",IF(K94=1,VLOOKUP(A94,[1]怪物!$R$80:$V$99,5,0),VLOOKUP(A94,[1]怪物!$R$80:$V$99,3,0))*10000)</f>
        <v>10000</v>
      </c>
      <c r="M94">
        <f t="shared" si="6"/>
        <v>10000</v>
      </c>
      <c r="N94">
        <f t="shared" si="7"/>
        <v>10000</v>
      </c>
    </row>
    <row r="95" spans="1:14">
      <c r="A95">
        <f t="shared" si="4"/>
        <v>5</v>
      </c>
      <c r="B95">
        <v>5</v>
      </c>
      <c r="C95" t="s">
        <v>39</v>
      </c>
      <c r="D95" t="s">
        <v>33</v>
      </c>
      <c r="E95">
        <v>1</v>
      </c>
      <c r="F95">
        <v>1</v>
      </c>
      <c r="G95">
        <v>1601</v>
      </c>
      <c r="H95" t="s">
        <v>34</v>
      </c>
      <c r="I95" t="str">
        <f t="shared" si="5"/>
        <v>[{1000,1,1,1601,101}]</v>
      </c>
      <c r="J95" t="s">
        <v>35</v>
      </c>
      <c r="K95">
        <f>IF(A95="","",IF(J95=1,VLOOKUP(A95,[1]怪物!$R$80:$V$99,4,0),VLOOKUP(A95,[1]怪物!$R$80:$V$99,2,0))*10000)</f>
        <v>10000</v>
      </c>
      <c r="L95">
        <f>IF(A95="","",IF(K95=1,VLOOKUP(A95,[1]怪物!$R$80:$V$99,5,0),VLOOKUP(A95,[1]怪物!$R$80:$V$99,3,0))*10000)</f>
        <v>10000</v>
      </c>
      <c r="M95">
        <f t="shared" si="6"/>
        <v>10000</v>
      </c>
      <c r="N95">
        <f t="shared" si="7"/>
        <v>10000</v>
      </c>
    </row>
    <row r="96" spans="1:14">
      <c r="A96">
        <f t="shared" si="4"/>
        <v>6</v>
      </c>
      <c r="B96">
        <v>6</v>
      </c>
      <c r="C96" t="s">
        <v>39</v>
      </c>
      <c r="D96" t="s">
        <v>33</v>
      </c>
      <c r="E96">
        <v>1</v>
      </c>
      <c r="F96">
        <v>1</v>
      </c>
      <c r="G96">
        <v>1601</v>
      </c>
      <c r="H96" t="s">
        <v>34</v>
      </c>
      <c r="I96" t="str">
        <f t="shared" si="5"/>
        <v>[{1000,1,1,1601,101}]</v>
      </c>
      <c r="J96" t="s">
        <v>35</v>
      </c>
      <c r="K96">
        <f>IF(A96="","",IF(J96=1,VLOOKUP(A96,[1]怪物!$R$80:$V$99,4,0),VLOOKUP(A96,[1]怪物!$R$80:$V$99,2,0))*10000)</f>
        <v>15000</v>
      </c>
      <c r="L96">
        <f>IF(A96="","",IF(K96=1,VLOOKUP(A96,[1]怪物!$R$80:$V$99,5,0),VLOOKUP(A96,[1]怪物!$R$80:$V$99,3,0))*10000)</f>
        <v>15000</v>
      </c>
      <c r="M96">
        <f t="shared" si="6"/>
        <v>15000</v>
      </c>
      <c r="N96">
        <f t="shared" si="7"/>
        <v>15000</v>
      </c>
    </row>
    <row r="97" spans="1:14">
      <c r="A97">
        <f t="shared" si="4"/>
        <v>7</v>
      </c>
      <c r="B97">
        <v>7</v>
      </c>
      <c r="C97" t="s">
        <v>39</v>
      </c>
      <c r="D97" t="s">
        <v>33</v>
      </c>
      <c r="E97">
        <v>1</v>
      </c>
      <c r="F97">
        <v>1</v>
      </c>
      <c r="G97">
        <v>1601</v>
      </c>
      <c r="H97" t="s">
        <v>34</v>
      </c>
      <c r="I97" t="str">
        <f t="shared" si="5"/>
        <v>[{1000,1,1,1601,101}]</v>
      </c>
      <c r="J97" t="s">
        <v>35</v>
      </c>
      <c r="K97">
        <f>IF(A97="","",IF(J97=1,VLOOKUP(A97,[1]怪物!$R$80:$V$99,4,0),VLOOKUP(A97,[1]怪物!$R$80:$V$99,2,0))*10000)</f>
        <v>15000</v>
      </c>
      <c r="L97">
        <f>IF(A97="","",IF(K97=1,VLOOKUP(A97,[1]怪物!$R$80:$V$99,5,0),VLOOKUP(A97,[1]怪物!$R$80:$V$99,3,0))*10000)</f>
        <v>15000</v>
      </c>
      <c r="M97">
        <f t="shared" si="6"/>
        <v>15000</v>
      </c>
      <c r="N97">
        <f t="shared" si="7"/>
        <v>15000</v>
      </c>
    </row>
    <row r="98" spans="1:14">
      <c r="A98">
        <f t="shared" si="4"/>
        <v>7</v>
      </c>
      <c r="B98">
        <v>7</v>
      </c>
      <c r="C98" t="s">
        <v>39</v>
      </c>
      <c r="D98" t="s">
        <v>33</v>
      </c>
      <c r="E98">
        <v>1</v>
      </c>
      <c r="F98">
        <v>1</v>
      </c>
      <c r="G98">
        <v>1602</v>
      </c>
      <c r="H98" t="s">
        <v>34</v>
      </c>
      <c r="I98" t="str">
        <f t="shared" si="5"/>
        <v>[{1000,1,1,1602,101}]</v>
      </c>
      <c r="J98" t="s">
        <v>35</v>
      </c>
      <c r="K98">
        <f>IF(A98="","",IF(J98=1,VLOOKUP(A98,[1]怪物!$R$80:$V$99,4,0),VLOOKUP(A98,[1]怪物!$R$80:$V$99,2,0))*10000)</f>
        <v>15000</v>
      </c>
      <c r="L98">
        <f>IF(A98="","",IF(K98=1,VLOOKUP(A98,[1]怪物!$R$80:$V$99,5,0),VLOOKUP(A98,[1]怪物!$R$80:$V$99,3,0))*10000)</f>
        <v>15000</v>
      </c>
      <c r="M98">
        <f t="shared" si="6"/>
        <v>15000</v>
      </c>
      <c r="N98">
        <f t="shared" si="7"/>
        <v>15000</v>
      </c>
    </row>
    <row r="99" spans="1:14">
      <c r="A99">
        <f t="shared" si="4"/>
        <v>8</v>
      </c>
      <c r="B99">
        <v>8</v>
      </c>
      <c r="C99" t="s">
        <v>39</v>
      </c>
      <c r="D99" t="s">
        <v>33</v>
      </c>
      <c r="E99">
        <v>1</v>
      </c>
      <c r="F99">
        <v>1</v>
      </c>
      <c r="G99">
        <v>1601</v>
      </c>
      <c r="H99" t="s">
        <v>34</v>
      </c>
      <c r="I99" t="str">
        <f t="shared" si="5"/>
        <v>[{1000,1,1,1601,101}]</v>
      </c>
      <c r="J99" t="s">
        <v>35</v>
      </c>
      <c r="K99">
        <f>IF(A99="","",IF(J99=1,VLOOKUP(A99,[1]怪物!$R$80:$V$99,4,0),VLOOKUP(A99,[1]怪物!$R$80:$V$99,2,0))*10000)</f>
        <v>15000</v>
      </c>
      <c r="L99">
        <f>IF(A99="","",IF(K99=1,VLOOKUP(A99,[1]怪物!$R$80:$V$99,5,0),VLOOKUP(A99,[1]怪物!$R$80:$V$99,3,0))*10000)</f>
        <v>15000</v>
      </c>
      <c r="M99">
        <f t="shared" si="6"/>
        <v>15000</v>
      </c>
      <c r="N99">
        <f t="shared" si="7"/>
        <v>15000</v>
      </c>
    </row>
    <row r="100" spans="1:14">
      <c r="A100">
        <f t="shared" si="4"/>
        <v>8</v>
      </c>
      <c r="B100">
        <v>8</v>
      </c>
      <c r="C100" t="s">
        <v>39</v>
      </c>
      <c r="D100" t="s">
        <v>33</v>
      </c>
      <c r="E100">
        <v>1</v>
      </c>
      <c r="F100">
        <v>1</v>
      </c>
      <c r="G100">
        <v>1602</v>
      </c>
      <c r="H100" t="s">
        <v>34</v>
      </c>
      <c r="I100" t="str">
        <f t="shared" si="5"/>
        <v>[{1000,1,1,1602,101}]</v>
      </c>
      <c r="J100" t="s">
        <v>35</v>
      </c>
      <c r="K100">
        <f>IF(A100="","",IF(J100=1,VLOOKUP(A100,[1]怪物!$R$80:$V$99,4,0),VLOOKUP(A100,[1]怪物!$R$80:$V$99,2,0))*10000)</f>
        <v>15000</v>
      </c>
      <c r="L100">
        <f>IF(A100="","",IF(K100=1,VLOOKUP(A100,[1]怪物!$R$80:$V$99,5,0),VLOOKUP(A100,[1]怪物!$R$80:$V$99,3,0))*10000)</f>
        <v>15000</v>
      </c>
      <c r="M100">
        <f t="shared" si="6"/>
        <v>15000</v>
      </c>
      <c r="N100">
        <f t="shared" si="7"/>
        <v>15000</v>
      </c>
    </row>
    <row r="101" spans="1:14">
      <c r="A101">
        <f t="shared" si="4"/>
        <v>9</v>
      </c>
      <c r="B101">
        <v>9</v>
      </c>
      <c r="C101" t="s">
        <v>39</v>
      </c>
      <c r="D101" t="s">
        <v>33</v>
      </c>
      <c r="E101">
        <v>1</v>
      </c>
      <c r="F101">
        <v>1</v>
      </c>
      <c r="G101">
        <v>1601</v>
      </c>
      <c r="H101" t="s">
        <v>34</v>
      </c>
      <c r="I101" t="str">
        <f t="shared" si="5"/>
        <v>[{1000,1,1,1601,101}]</v>
      </c>
      <c r="J101" t="s">
        <v>35</v>
      </c>
      <c r="K101" t="e">
        <f>IF(A101="","",IF(J101=1,VLOOKUP(A101,[1]怪物!$R$80:$V$99,4,0),VLOOKUP(A101,[1]怪物!$R$80:$V$99,2,0))*10000)</f>
        <v>#N/A</v>
      </c>
      <c r="L101" t="e">
        <f>IF(A101="","",IF(K101=1,VLOOKUP(A101,[1]怪物!$R$80:$V$99,5,0),VLOOKUP(A101,[1]怪物!$R$80:$V$99,3,0))*10000)</f>
        <v>#N/A</v>
      </c>
      <c r="M101" t="e">
        <f t="shared" si="6"/>
        <v>#N/A</v>
      </c>
      <c r="N101" t="e">
        <f t="shared" si="7"/>
        <v>#N/A</v>
      </c>
    </row>
    <row r="102" spans="1:14">
      <c r="A102">
        <f t="shared" si="4"/>
        <v>9</v>
      </c>
      <c r="B102">
        <v>9</v>
      </c>
      <c r="C102" t="s">
        <v>39</v>
      </c>
      <c r="D102" t="s">
        <v>33</v>
      </c>
      <c r="E102">
        <v>1</v>
      </c>
      <c r="F102">
        <v>1</v>
      </c>
      <c r="G102">
        <v>1602</v>
      </c>
      <c r="H102" t="s">
        <v>34</v>
      </c>
      <c r="I102" t="str">
        <f t="shared" si="5"/>
        <v>[{1000,1,1,1602,101}]</v>
      </c>
      <c r="J102" t="s">
        <v>35</v>
      </c>
      <c r="K102" t="e">
        <f>IF(A102="","",IF(J102=1,VLOOKUP(A102,[1]怪物!$R$80:$V$99,4,0),VLOOKUP(A102,[1]怪物!$R$80:$V$99,2,0))*10000)</f>
        <v>#N/A</v>
      </c>
      <c r="L102" t="e">
        <f>IF(A102="","",IF(K102=1,VLOOKUP(A102,[1]怪物!$R$80:$V$99,5,0),VLOOKUP(A102,[1]怪物!$R$80:$V$99,3,0))*10000)</f>
        <v>#N/A</v>
      </c>
      <c r="M102" t="e">
        <f t="shared" si="6"/>
        <v>#N/A</v>
      </c>
      <c r="N102" t="e">
        <f t="shared" si="7"/>
        <v>#N/A</v>
      </c>
    </row>
    <row r="103" spans="1:14">
      <c r="A103">
        <f t="shared" si="4"/>
        <v>10</v>
      </c>
      <c r="B103">
        <v>10</v>
      </c>
      <c r="C103" t="s">
        <v>39</v>
      </c>
      <c r="D103" t="s">
        <v>33</v>
      </c>
      <c r="E103">
        <v>1</v>
      </c>
      <c r="F103">
        <v>1</v>
      </c>
      <c r="G103">
        <v>1601</v>
      </c>
      <c r="H103" t="s">
        <v>34</v>
      </c>
      <c r="I103" t="str">
        <f t="shared" si="5"/>
        <v>[{1000,1,1,1601,101}]</v>
      </c>
      <c r="J103" t="s">
        <v>35</v>
      </c>
      <c r="K103" t="e">
        <f>IF(A103="","",IF(J103=1,VLOOKUP(A103,[1]怪物!$R$80:$V$99,4,0),VLOOKUP(A103,[1]怪物!$R$80:$V$99,2,0))*10000)</f>
        <v>#N/A</v>
      </c>
      <c r="L103" t="e">
        <f>IF(A103="","",IF(K103=1,VLOOKUP(A103,[1]怪物!$R$80:$V$99,5,0),VLOOKUP(A103,[1]怪物!$R$80:$V$99,3,0))*10000)</f>
        <v>#N/A</v>
      </c>
      <c r="M103" t="e">
        <f t="shared" si="6"/>
        <v>#N/A</v>
      </c>
      <c r="N103" t="e">
        <f t="shared" si="7"/>
        <v>#N/A</v>
      </c>
    </row>
    <row r="104" spans="1:14">
      <c r="A104">
        <f t="shared" si="4"/>
        <v>10</v>
      </c>
      <c r="B104">
        <v>10</v>
      </c>
      <c r="C104" t="s">
        <v>39</v>
      </c>
      <c r="D104" t="s">
        <v>33</v>
      </c>
      <c r="E104">
        <v>1</v>
      </c>
      <c r="F104">
        <v>1</v>
      </c>
      <c r="G104">
        <v>1602</v>
      </c>
      <c r="H104" t="s">
        <v>34</v>
      </c>
      <c r="I104" t="str">
        <f t="shared" si="5"/>
        <v>[{1000,1,1,1602,101}]</v>
      </c>
      <c r="J104" t="s">
        <v>35</v>
      </c>
      <c r="K104" t="e">
        <f>IF(A104="","",IF(J104=1,VLOOKUP(A104,[1]怪物!$R$80:$V$99,4,0),VLOOKUP(A104,[1]怪物!$R$80:$V$99,2,0))*10000)</f>
        <v>#N/A</v>
      </c>
      <c r="L104" t="e">
        <f>IF(A104="","",IF(K104=1,VLOOKUP(A104,[1]怪物!$R$80:$V$99,5,0),VLOOKUP(A104,[1]怪物!$R$80:$V$99,3,0))*10000)</f>
        <v>#N/A</v>
      </c>
      <c r="M104" t="e">
        <f t="shared" si="6"/>
        <v>#N/A</v>
      </c>
      <c r="N104" t="e">
        <f t="shared" si="7"/>
        <v>#N/A</v>
      </c>
    </row>
    <row r="105" spans="1:14">
      <c r="A105" t="str">
        <f t="shared" si="4"/>
        <v/>
      </c>
      <c r="B105">
        <v>10</v>
      </c>
      <c r="C105" t="s">
        <v>39</v>
      </c>
      <c r="D105" t="s">
        <v>28</v>
      </c>
      <c r="I105" t="str">
        <f t="shared" si="5"/>
        <v>[]</v>
      </c>
      <c r="J105">
        <v>2</v>
      </c>
      <c r="K105" t="str">
        <f>IF(A105="","",IF(J105=1,VLOOKUP(A105,[1]怪物!$R$80:$V$99,4,0),VLOOKUP(A105,[1]怪物!$R$80:$V$99,2,0))*10000)</f>
        <v/>
      </c>
      <c r="L105" t="str">
        <f>IF(A105="","",IF(K105=1,VLOOKUP(A105,[1]怪物!$R$80:$V$99,5,0),VLOOKUP(A105,[1]怪物!$R$80:$V$99,3,0))*10000)</f>
        <v/>
      </c>
      <c r="M105" t="str">
        <f t="shared" si="6"/>
        <v/>
      </c>
      <c r="N105" t="str">
        <f t="shared" si="7"/>
        <v/>
      </c>
    </row>
    <row r="106" spans="1:14">
      <c r="A106">
        <f t="shared" si="4"/>
        <v>10</v>
      </c>
      <c r="B106">
        <v>10</v>
      </c>
      <c r="C106" t="s">
        <v>39</v>
      </c>
      <c r="D106" t="s">
        <v>33</v>
      </c>
      <c r="E106">
        <v>1</v>
      </c>
      <c r="F106">
        <v>0</v>
      </c>
      <c r="G106">
        <v>1621</v>
      </c>
      <c r="H106" t="s">
        <v>36</v>
      </c>
      <c r="I106" t="str">
        <f t="shared" si="5"/>
        <v>[{1000,1,0,1621,41}]</v>
      </c>
      <c r="J106" t="s">
        <v>35</v>
      </c>
      <c r="K106" t="e">
        <f>IF(A106="","",IF(J106=1,VLOOKUP(A106,[1]怪物!$R$80:$V$99,4,0),VLOOKUP(A106,[1]怪物!$R$80:$V$99,2,0))*10000)</f>
        <v>#N/A</v>
      </c>
      <c r="L106" t="e">
        <f>IF(A106="","",IF(K106=1,VLOOKUP(A106,[1]怪物!$R$80:$V$99,5,0),VLOOKUP(A106,[1]怪物!$R$80:$V$99,3,0))*10000)</f>
        <v>#N/A</v>
      </c>
      <c r="M106">
        <f t="shared" si="6"/>
        <v>10000</v>
      </c>
      <c r="N106">
        <f t="shared" si="7"/>
        <v>10000</v>
      </c>
    </row>
    <row r="107" spans="1:14">
      <c r="A107">
        <f t="shared" si="4"/>
        <v>11</v>
      </c>
      <c r="B107">
        <v>11</v>
      </c>
      <c r="C107" t="s">
        <v>39</v>
      </c>
      <c r="D107" t="s">
        <v>33</v>
      </c>
      <c r="E107">
        <v>1</v>
      </c>
      <c r="F107">
        <v>1</v>
      </c>
      <c r="G107">
        <v>1601</v>
      </c>
      <c r="H107" t="s">
        <v>34</v>
      </c>
      <c r="I107" t="str">
        <f t="shared" si="5"/>
        <v>[{1000,1,1,1601,101}]</v>
      </c>
      <c r="J107" t="s">
        <v>35</v>
      </c>
      <c r="K107" t="e">
        <f>IF(A107="","",IF(J107=1,VLOOKUP(A107,[1]怪物!$R$80:$V$99,4,0),VLOOKUP(A107,[1]怪物!$R$80:$V$99,2,0))*10000)</f>
        <v>#N/A</v>
      </c>
      <c r="L107" t="e">
        <f>IF(A107="","",IF(K107=1,VLOOKUP(A107,[1]怪物!$R$80:$V$99,5,0),VLOOKUP(A107,[1]怪物!$R$80:$V$99,3,0))*10000)</f>
        <v>#N/A</v>
      </c>
      <c r="M107" t="e">
        <f t="shared" si="6"/>
        <v>#N/A</v>
      </c>
      <c r="N107" t="e">
        <f t="shared" si="7"/>
        <v>#N/A</v>
      </c>
    </row>
    <row r="108" spans="1:14">
      <c r="A108">
        <f t="shared" si="4"/>
        <v>11</v>
      </c>
      <c r="B108">
        <v>11</v>
      </c>
      <c r="C108" t="s">
        <v>39</v>
      </c>
      <c r="D108" t="s">
        <v>33</v>
      </c>
      <c r="E108">
        <v>1</v>
      </c>
      <c r="F108">
        <v>1</v>
      </c>
      <c r="G108">
        <v>1602</v>
      </c>
      <c r="H108" t="s">
        <v>34</v>
      </c>
      <c r="I108" t="str">
        <f t="shared" si="5"/>
        <v>[{1000,1,1,1602,101}]</v>
      </c>
      <c r="J108" t="s">
        <v>35</v>
      </c>
      <c r="K108" t="e">
        <f>IF(A108="","",IF(J108=1,VLOOKUP(A108,[1]怪物!$R$80:$V$99,4,0),VLOOKUP(A108,[1]怪物!$R$80:$V$99,2,0))*10000)</f>
        <v>#N/A</v>
      </c>
      <c r="L108" t="e">
        <f>IF(A108="","",IF(K108=1,VLOOKUP(A108,[1]怪物!$R$80:$V$99,5,0),VLOOKUP(A108,[1]怪物!$R$80:$V$99,3,0))*10000)</f>
        <v>#N/A</v>
      </c>
      <c r="M108" t="e">
        <f t="shared" si="6"/>
        <v>#N/A</v>
      </c>
      <c r="N108" t="e">
        <f t="shared" si="7"/>
        <v>#N/A</v>
      </c>
    </row>
    <row r="109" spans="1:14">
      <c r="A109">
        <f t="shared" si="4"/>
        <v>12</v>
      </c>
      <c r="B109">
        <v>12</v>
      </c>
      <c r="C109" t="s">
        <v>39</v>
      </c>
      <c r="D109" t="s">
        <v>33</v>
      </c>
      <c r="E109">
        <v>1</v>
      </c>
      <c r="F109">
        <v>1</v>
      </c>
      <c r="G109">
        <v>1601</v>
      </c>
      <c r="H109" t="s">
        <v>34</v>
      </c>
      <c r="I109" t="str">
        <f t="shared" si="5"/>
        <v>[{1000,1,1,1601,101}]</v>
      </c>
      <c r="J109" t="s">
        <v>35</v>
      </c>
      <c r="K109" t="e">
        <f>IF(A109="","",IF(J109=1,VLOOKUP(A109,[1]怪物!$R$80:$V$99,4,0),VLOOKUP(A109,[1]怪物!$R$80:$V$99,2,0))*10000)</f>
        <v>#N/A</v>
      </c>
      <c r="L109" t="e">
        <f>IF(A109="","",IF(K109=1,VLOOKUP(A109,[1]怪物!$R$80:$V$99,5,0),VLOOKUP(A109,[1]怪物!$R$80:$V$99,3,0))*10000)</f>
        <v>#N/A</v>
      </c>
      <c r="M109" t="e">
        <f t="shared" si="6"/>
        <v>#N/A</v>
      </c>
      <c r="N109" t="e">
        <f t="shared" si="7"/>
        <v>#N/A</v>
      </c>
    </row>
    <row r="110" spans="1:14">
      <c r="A110">
        <f t="shared" si="4"/>
        <v>12</v>
      </c>
      <c r="B110">
        <v>12</v>
      </c>
      <c r="C110" t="s">
        <v>39</v>
      </c>
      <c r="D110" t="s">
        <v>33</v>
      </c>
      <c r="E110">
        <v>1</v>
      </c>
      <c r="F110">
        <v>1</v>
      </c>
      <c r="G110">
        <v>1602</v>
      </c>
      <c r="H110" t="s">
        <v>34</v>
      </c>
      <c r="I110" t="str">
        <f t="shared" si="5"/>
        <v>[{1000,1,1,1602,101}]</v>
      </c>
      <c r="J110" t="s">
        <v>35</v>
      </c>
      <c r="K110" t="e">
        <f>IF(A110="","",IF(J110=1,VLOOKUP(A110,[1]怪物!$R$80:$V$99,4,0),VLOOKUP(A110,[1]怪物!$R$80:$V$99,2,0))*10000)</f>
        <v>#N/A</v>
      </c>
      <c r="L110" t="e">
        <f>IF(A110="","",IF(K110=1,VLOOKUP(A110,[1]怪物!$R$80:$V$99,5,0),VLOOKUP(A110,[1]怪物!$R$80:$V$99,3,0))*10000)</f>
        <v>#N/A</v>
      </c>
      <c r="M110" t="e">
        <f t="shared" si="6"/>
        <v>#N/A</v>
      </c>
      <c r="N110" t="e">
        <f t="shared" si="7"/>
        <v>#N/A</v>
      </c>
    </row>
    <row r="111" spans="1:14">
      <c r="A111">
        <f t="shared" si="4"/>
        <v>13</v>
      </c>
      <c r="B111">
        <v>13</v>
      </c>
      <c r="C111" t="s">
        <v>39</v>
      </c>
      <c r="D111" t="s">
        <v>33</v>
      </c>
      <c r="E111">
        <v>1</v>
      </c>
      <c r="F111">
        <v>1</v>
      </c>
      <c r="G111">
        <v>1601</v>
      </c>
      <c r="H111" t="s">
        <v>34</v>
      </c>
      <c r="I111" t="str">
        <f t="shared" si="5"/>
        <v>[{1000,1,1,1601,101}]</v>
      </c>
      <c r="J111" t="s">
        <v>35</v>
      </c>
      <c r="K111" t="e">
        <f>IF(A111="","",IF(J111=1,VLOOKUP(A111,[1]怪物!$R$80:$V$99,4,0),VLOOKUP(A111,[1]怪物!$R$80:$V$99,2,0))*10000)</f>
        <v>#N/A</v>
      </c>
      <c r="L111" t="e">
        <f>IF(A111="","",IF(K111=1,VLOOKUP(A111,[1]怪物!$R$80:$V$99,5,0),VLOOKUP(A111,[1]怪物!$R$80:$V$99,3,0))*10000)</f>
        <v>#N/A</v>
      </c>
      <c r="M111" t="e">
        <f t="shared" si="6"/>
        <v>#N/A</v>
      </c>
      <c r="N111" t="e">
        <f t="shared" si="7"/>
        <v>#N/A</v>
      </c>
    </row>
    <row r="112" spans="1:14">
      <c r="A112">
        <f t="shared" si="4"/>
        <v>13</v>
      </c>
      <c r="B112">
        <v>13</v>
      </c>
      <c r="C112" t="s">
        <v>39</v>
      </c>
      <c r="D112" t="s">
        <v>33</v>
      </c>
      <c r="E112">
        <v>1</v>
      </c>
      <c r="F112">
        <v>1</v>
      </c>
      <c r="G112">
        <v>1602</v>
      </c>
      <c r="H112" t="s">
        <v>34</v>
      </c>
      <c r="I112" t="str">
        <f t="shared" si="5"/>
        <v>[{1000,1,1,1602,101}]</v>
      </c>
      <c r="J112" t="s">
        <v>35</v>
      </c>
      <c r="K112" t="e">
        <f>IF(A112="","",IF(J112=1,VLOOKUP(A112,[1]怪物!$R$80:$V$99,4,0),VLOOKUP(A112,[1]怪物!$R$80:$V$99,2,0))*10000)</f>
        <v>#N/A</v>
      </c>
      <c r="L112" t="e">
        <f>IF(A112="","",IF(K112=1,VLOOKUP(A112,[1]怪物!$R$80:$V$99,5,0),VLOOKUP(A112,[1]怪物!$R$80:$V$99,3,0))*10000)</f>
        <v>#N/A</v>
      </c>
      <c r="M112" t="e">
        <f t="shared" si="6"/>
        <v>#N/A</v>
      </c>
      <c r="N112" t="e">
        <f t="shared" si="7"/>
        <v>#N/A</v>
      </c>
    </row>
    <row r="113" spans="1:14">
      <c r="A113">
        <f t="shared" si="4"/>
        <v>14</v>
      </c>
      <c r="B113">
        <v>14</v>
      </c>
      <c r="C113" t="s">
        <v>39</v>
      </c>
      <c r="D113" t="s">
        <v>33</v>
      </c>
      <c r="E113">
        <v>1</v>
      </c>
      <c r="F113">
        <v>1</v>
      </c>
      <c r="G113">
        <v>1601</v>
      </c>
      <c r="H113" t="s">
        <v>34</v>
      </c>
      <c r="I113" t="str">
        <f t="shared" si="5"/>
        <v>[{1000,1,1,1601,101}]</v>
      </c>
      <c r="J113" t="s">
        <v>35</v>
      </c>
      <c r="K113" t="e">
        <f>IF(A113="","",IF(J113=1,VLOOKUP(A113,[1]怪物!$R$80:$V$99,4,0),VLOOKUP(A113,[1]怪物!$R$80:$V$99,2,0))*10000)</f>
        <v>#N/A</v>
      </c>
      <c r="L113" t="e">
        <f>IF(A113="","",IF(K113=1,VLOOKUP(A113,[1]怪物!$R$80:$V$99,5,0),VLOOKUP(A113,[1]怪物!$R$80:$V$99,3,0))*10000)</f>
        <v>#N/A</v>
      </c>
      <c r="M113" t="e">
        <f t="shared" si="6"/>
        <v>#N/A</v>
      </c>
      <c r="N113" t="e">
        <f t="shared" si="7"/>
        <v>#N/A</v>
      </c>
    </row>
    <row r="114" spans="1:14">
      <c r="A114">
        <f t="shared" si="4"/>
        <v>14</v>
      </c>
      <c r="B114">
        <v>14</v>
      </c>
      <c r="C114" t="s">
        <v>39</v>
      </c>
      <c r="D114" t="s">
        <v>33</v>
      </c>
      <c r="E114">
        <v>1</v>
      </c>
      <c r="F114">
        <v>1</v>
      </c>
      <c r="G114">
        <v>1602</v>
      </c>
      <c r="H114" t="s">
        <v>34</v>
      </c>
      <c r="I114" t="str">
        <f t="shared" si="5"/>
        <v>[{1000,1,1,1602,101}]</v>
      </c>
      <c r="J114" t="s">
        <v>35</v>
      </c>
      <c r="K114" t="e">
        <f>IF(A114="","",IF(J114=1,VLOOKUP(A114,[1]怪物!$R$80:$V$99,4,0),VLOOKUP(A114,[1]怪物!$R$80:$V$99,2,0))*10000)</f>
        <v>#N/A</v>
      </c>
      <c r="L114" t="e">
        <f>IF(A114="","",IF(K114=1,VLOOKUP(A114,[1]怪物!$R$80:$V$99,5,0),VLOOKUP(A114,[1]怪物!$R$80:$V$99,3,0))*10000)</f>
        <v>#N/A</v>
      </c>
      <c r="M114" t="e">
        <f t="shared" si="6"/>
        <v>#N/A</v>
      </c>
      <c r="N114" t="e">
        <f t="shared" si="7"/>
        <v>#N/A</v>
      </c>
    </row>
    <row r="115" spans="1:14">
      <c r="A115">
        <f t="shared" si="4"/>
        <v>14</v>
      </c>
      <c r="B115">
        <v>14</v>
      </c>
      <c r="C115" t="s">
        <v>39</v>
      </c>
      <c r="D115" t="s">
        <v>33</v>
      </c>
      <c r="E115">
        <v>1</v>
      </c>
      <c r="F115">
        <v>1</v>
      </c>
      <c r="G115">
        <v>1603</v>
      </c>
      <c r="H115" t="s">
        <v>37</v>
      </c>
      <c r="I115" t="str">
        <f t="shared" si="5"/>
        <v>[{1000,1,1,1603,401}]</v>
      </c>
      <c r="J115">
        <v>1</v>
      </c>
      <c r="K115" t="e">
        <f>IF(A115="","",IF(J115=1,VLOOKUP(A115,[1]怪物!$R$80:$V$99,4,0),VLOOKUP(A115,[1]怪物!$R$80:$V$99,2,0))*10000)</f>
        <v>#N/A</v>
      </c>
      <c r="L115" t="e">
        <f>IF(A115="","",IF(K115=1,VLOOKUP(A115,[1]怪物!$R$80:$V$99,5,0),VLOOKUP(A115,[1]怪物!$R$80:$V$99,3,0))*10000)</f>
        <v>#N/A</v>
      </c>
      <c r="M115" t="e">
        <f t="shared" si="6"/>
        <v>#N/A</v>
      </c>
      <c r="N115" t="e">
        <f t="shared" si="7"/>
        <v>#N/A</v>
      </c>
    </row>
    <row r="116" spans="1:14">
      <c r="A116">
        <f t="shared" si="4"/>
        <v>15</v>
      </c>
      <c r="B116">
        <v>15</v>
      </c>
      <c r="C116" t="s">
        <v>39</v>
      </c>
      <c r="D116" t="s">
        <v>33</v>
      </c>
      <c r="E116">
        <v>1</v>
      </c>
      <c r="F116">
        <v>1</v>
      </c>
      <c r="G116">
        <v>1601</v>
      </c>
      <c r="H116" t="s">
        <v>34</v>
      </c>
      <c r="I116" t="str">
        <f t="shared" si="5"/>
        <v>[{1000,1,1,1601,101}]</v>
      </c>
      <c r="J116" t="s">
        <v>35</v>
      </c>
      <c r="K116" t="e">
        <f>IF(A116="","",IF(J116=1,VLOOKUP(A116,[1]怪物!$R$80:$V$99,4,0),VLOOKUP(A116,[1]怪物!$R$80:$V$99,2,0))*10000)</f>
        <v>#N/A</v>
      </c>
      <c r="L116" t="e">
        <f>IF(A116="","",IF(K116=1,VLOOKUP(A116,[1]怪物!$R$80:$V$99,5,0),VLOOKUP(A116,[1]怪物!$R$80:$V$99,3,0))*10000)</f>
        <v>#N/A</v>
      </c>
      <c r="M116" t="e">
        <f t="shared" si="6"/>
        <v>#N/A</v>
      </c>
      <c r="N116" t="e">
        <f t="shared" si="7"/>
        <v>#N/A</v>
      </c>
    </row>
    <row r="117" spans="1:14">
      <c r="A117">
        <f t="shared" si="4"/>
        <v>15</v>
      </c>
      <c r="B117">
        <v>15</v>
      </c>
      <c r="C117" t="s">
        <v>39</v>
      </c>
      <c r="D117" t="s">
        <v>33</v>
      </c>
      <c r="E117">
        <v>1</v>
      </c>
      <c r="F117">
        <v>1</v>
      </c>
      <c r="G117">
        <v>1602</v>
      </c>
      <c r="H117" t="s">
        <v>34</v>
      </c>
      <c r="I117" t="str">
        <f t="shared" si="5"/>
        <v>[{1000,1,1,1602,101}]</v>
      </c>
      <c r="J117" t="s">
        <v>35</v>
      </c>
      <c r="K117" t="e">
        <f>IF(A117="","",IF(J117=1,VLOOKUP(A117,[1]怪物!$R$80:$V$99,4,0),VLOOKUP(A117,[1]怪物!$R$80:$V$99,2,0))*10000)</f>
        <v>#N/A</v>
      </c>
      <c r="L117" t="e">
        <f>IF(A117="","",IF(K117=1,VLOOKUP(A117,[1]怪物!$R$80:$V$99,5,0),VLOOKUP(A117,[1]怪物!$R$80:$V$99,3,0))*10000)</f>
        <v>#N/A</v>
      </c>
      <c r="M117" t="e">
        <f t="shared" si="6"/>
        <v>#N/A</v>
      </c>
      <c r="N117" t="e">
        <f t="shared" si="7"/>
        <v>#N/A</v>
      </c>
    </row>
    <row r="118" spans="1:14">
      <c r="A118">
        <f t="shared" si="4"/>
        <v>15</v>
      </c>
      <c r="B118">
        <v>15</v>
      </c>
      <c r="C118" t="s">
        <v>39</v>
      </c>
      <c r="D118" t="s">
        <v>33</v>
      </c>
      <c r="E118">
        <v>1</v>
      </c>
      <c r="F118">
        <v>1</v>
      </c>
      <c r="G118">
        <v>1603</v>
      </c>
      <c r="H118" t="s">
        <v>37</v>
      </c>
      <c r="I118" t="str">
        <f t="shared" si="5"/>
        <v>[{1000,1,1,1603,401}]</v>
      </c>
      <c r="J118">
        <v>1</v>
      </c>
      <c r="K118" t="e">
        <f>IF(A118="","",IF(J118=1,VLOOKUP(A118,[1]怪物!$R$80:$V$99,4,0),VLOOKUP(A118,[1]怪物!$R$80:$V$99,2,0))*10000)</f>
        <v>#N/A</v>
      </c>
      <c r="L118" t="e">
        <f>IF(A118="","",IF(K118=1,VLOOKUP(A118,[1]怪物!$R$80:$V$99,5,0),VLOOKUP(A118,[1]怪物!$R$80:$V$99,3,0))*10000)</f>
        <v>#N/A</v>
      </c>
      <c r="M118" t="e">
        <f t="shared" si="6"/>
        <v>#N/A</v>
      </c>
      <c r="N118" t="e">
        <f t="shared" si="7"/>
        <v>#N/A</v>
      </c>
    </row>
    <row r="119" spans="1:14">
      <c r="A119">
        <f t="shared" si="4"/>
        <v>16</v>
      </c>
      <c r="B119">
        <v>16</v>
      </c>
      <c r="C119" t="s">
        <v>39</v>
      </c>
      <c r="D119" t="s">
        <v>33</v>
      </c>
      <c r="E119">
        <v>1</v>
      </c>
      <c r="F119">
        <v>1</v>
      </c>
      <c r="G119">
        <v>1601</v>
      </c>
      <c r="H119" t="s">
        <v>34</v>
      </c>
      <c r="I119" t="str">
        <f t="shared" si="5"/>
        <v>[{1000,1,1,1601,101}]</v>
      </c>
      <c r="J119" t="s">
        <v>35</v>
      </c>
      <c r="K119" t="e">
        <f>IF(A119="","",IF(J119=1,VLOOKUP(A119,[1]怪物!$R$80:$V$99,4,0),VLOOKUP(A119,[1]怪物!$R$80:$V$99,2,0))*10000)</f>
        <v>#N/A</v>
      </c>
      <c r="L119" t="e">
        <f>IF(A119="","",IF(K119=1,VLOOKUP(A119,[1]怪物!$R$80:$V$99,5,0),VLOOKUP(A119,[1]怪物!$R$80:$V$99,3,0))*10000)</f>
        <v>#N/A</v>
      </c>
      <c r="M119" t="e">
        <f t="shared" si="6"/>
        <v>#N/A</v>
      </c>
      <c r="N119" t="e">
        <f t="shared" si="7"/>
        <v>#N/A</v>
      </c>
    </row>
    <row r="120" spans="1:14">
      <c r="A120">
        <f t="shared" si="4"/>
        <v>16</v>
      </c>
      <c r="B120">
        <v>16</v>
      </c>
      <c r="C120" t="s">
        <v>39</v>
      </c>
      <c r="D120" t="s">
        <v>33</v>
      </c>
      <c r="E120">
        <v>1</v>
      </c>
      <c r="F120">
        <v>1</v>
      </c>
      <c r="G120">
        <v>1602</v>
      </c>
      <c r="H120" t="s">
        <v>34</v>
      </c>
      <c r="I120" t="str">
        <f t="shared" si="5"/>
        <v>[{1000,1,1,1602,101}]</v>
      </c>
      <c r="J120" t="s">
        <v>35</v>
      </c>
      <c r="K120" t="e">
        <f>IF(A120="","",IF(J120=1,VLOOKUP(A120,[1]怪物!$R$80:$V$99,4,0),VLOOKUP(A120,[1]怪物!$R$80:$V$99,2,0))*10000)</f>
        <v>#N/A</v>
      </c>
      <c r="L120" t="e">
        <f>IF(A120="","",IF(K120=1,VLOOKUP(A120,[1]怪物!$R$80:$V$99,5,0),VLOOKUP(A120,[1]怪物!$R$80:$V$99,3,0))*10000)</f>
        <v>#N/A</v>
      </c>
      <c r="M120" t="e">
        <f t="shared" si="6"/>
        <v>#N/A</v>
      </c>
      <c r="N120" t="e">
        <f t="shared" si="7"/>
        <v>#N/A</v>
      </c>
    </row>
    <row r="121" spans="1:14">
      <c r="A121">
        <f t="shared" si="4"/>
        <v>16</v>
      </c>
      <c r="B121">
        <v>16</v>
      </c>
      <c r="C121" t="s">
        <v>39</v>
      </c>
      <c r="D121" t="s">
        <v>33</v>
      </c>
      <c r="E121">
        <v>1</v>
      </c>
      <c r="F121">
        <v>1</v>
      </c>
      <c r="G121">
        <v>1603</v>
      </c>
      <c r="H121" t="s">
        <v>37</v>
      </c>
      <c r="I121" t="str">
        <f t="shared" si="5"/>
        <v>[{1000,1,1,1603,401}]</v>
      </c>
      <c r="J121">
        <v>1</v>
      </c>
      <c r="K121" t="e">
        <f>IF(A121="","",IF(J121=1,VLOOKUP(A121,[1]怪物!$R$80:$V$99,4,0),VLOOKUP(A121,[1]怪物!$R$80:$V$99,2,0))*10000)</f>
        <v>#N/A</v>
      </c>
      <c r="L121" t="e">
        <f>IF(A121="","",IF(K121=1,VLOOKUP(A121,[1]怪物!$R$80:$V$99,5,0),VLOOKUP(A121,[1]怪物!$R$80:$V$99,3,0))*10000)</f>
        <v>#N/A</v>
      </c>
      <c r="M121" t="e">
        <f t="shared" si="6"/>
        <v>#N/A</v>
      </c>
      <c r="N121" t="e">
        <f t="shared" si="7"/>
        <v>#N/A</v>
      </c>
    </row>
    <row r="122" spans="1:14">
      <c r="A122">
        <f t="shared" si="4"/>
        <v>17</v>
      </c>
      <c r="B122">
        <v>17</v>
      </c>
      <c r="C122" t="s">
        <v>39</v>
      </c>
      <c r="D122" t="s">
        <v>33</v>
      </c>
      <c r="E122">
        <v>1</v>
      </c>
      <c r="F122">
        <v>1</v>
      </c>
      <c r="G122">
        <v>1601</v>
      </c>
      <c r="H122" t="s">
        <v>34</v>
      </c>
      <c r="I122" t="str">
        <f t="shared" si="5"/>
        <v>[{1000,1,1,1601,101}]</v>
      </c>
      <c r="J122" t="s">
        <v>35</v>
      </c>
      <c r="K122" t="e">
        <f>IF(A122="","",IF(J122=1,VLOOKUP(A122,[1]怪物!$R$80:$V$99,4,0),VLOOKUP(A122,[1]怪物!$R$80:$V$99,2,0))*10000)</f>
        <v>#N/A</v>
      </c>
      <c r="L122" t="e">
        <f>IF(A122="","",IF(K122=1,VLOOKUP(A122,[1]怪物!$R$80:$V$99,5,0),VLOOKUP(A122,[1]怪物!$R$80:$V$99,3,0))*10000)</f>
        <v>#N/A</v>
      </c>
      <c r="M122" t="e">
        <f t="shared" si="6"/>
        <v>#N/A</v>
      </c>
      <c r="N122" t="e">
        <f t="shared" si="7"/>
        <v>#N/A</v>
      </c>
    </row>
    <row r="123" spans="1:14">
      <c r="A123">
        <f t="shared" si="4"/>
        <v>17</v>
      </c>
      <c r="B123">
        <v>17</v>
      </c>
      <c r="C123" t="s">
        <v>39</v>
      </c>
      <c r="D123" t="s">
        <v>33</v>
      </c>
      <c r="E123">
        <v>1</v>
      </c>
      <c r="F123">
        <v>1</v>
      </c>
      <c r="G123">
        <v>1602</v>
      </c>
      <c r="H123" t="s">
        <v>34</v>
      </c>
      <c r="I123" t="str">
        <f t="shared" si="5"/>
        <v>[{1000,1,1,1602,101}]</v>
      </c>
      <c r="J123" t="s">
        <v>35</v>
      </c>
      <c r="K123" t="e">
        <f>IF(A123="","",IF(J123=1,VLOOKUP(A123,[1]怪物!$R$80:$V$99,4,0),VLOOKUP(A123,[1]怪物!$R$80:$V$99,2,0))*10000)</f>
        <v>#N/A</v>
      </c>
      <c r="L123" t="e">
        <f>IF(A123="","",IF(K123=1,VLOOKUP(A123,[1]怪物!$R$80:$V$99,5,0),VLOOKUP(A123,[1]怪物!$R$80:$V$99,3,0))*10000)</f>
        <v>#N/A</v>
      </c>
      <c r="M123" t="e">
        <f t="shared" si="6"/>
        <v>#N/A</v>
      </c>
      <c r="N123" t="e">
        <f t="shared" si="7"/>
        <v>#N/A</v>
      </c>
    </row>
    <row r="124" spans="1:14">
      <c r="A124">
        <f t="shared" si="4"/>
        <v>17</v>
      </c>
      <c r="B124">
        <v>17</v>
      </c>
      <c r="C124" t="s">
        <v>39</v>
      </c>
      <c r="D124" t="s">
        <v>33</v>
      </c>
      <c r="E124">
        <v>1</v>
      </c>
      <c r="F124">
        <v>1</v>
      </c>
      <c r="G124">
        <v>1603</v>
      </c>
      <c r="H124" t="s">
        <v>37</v>
      </c>
      <c r="I124" t="str">
        <f t="shared" si="5"/>
        <v>[{1000,1,1,1603,401}]</v>
      </c>
      <c r="J124">
        <v>1</v>
      </c>
      <c r="K124" t="e">
        <f>IF(A124="","",IF(J124=1,VLOOKUP(A124,[1]怪物!$R$80:$V$99,4,0),VLOOKUP(A124,[1]怪物!$R$80:$V$99,2,0))*10000)</f>
        <v>#N/A</v>
      </c>
      <c r="L124" t="e">
        <f>IF(A124="","",IF(K124=1,VLOOKUP(A124,[1]怪物!$R$80:$V$99,5,0),VLOOKUP(A124,[1]怪物!$R$80:$V$99,3,0))*10000)</f>
        <v>#N/A</v>
      </c>
      <c r="M124" t="e">
        <f t="shared" si="6"/>
        <v>#N/A</v>
      </c>
      <c r="N124" t="e">
        <f t="shared" si="7"/>
        <v>#N/A</v>
      </c>
    </row>
    <row r="125" spans="1:14">
      <c r="A125">
        <f t="shared" si="4"/>
        <v>18</v>
      </c>
      <c r="B125">
        <v>18</v>
      </c>
      <c r="C125" t="s">
        <v>39</v>
      </c>
      <c r="D125" t="s">
        <v>33</v>
      </c>
      <c r="E125">
        <v>1</v>
      </c>
      <c r="F125">
        <v>1</v>
      </c>
      <c r="G125">
        <v>1601</v>
      </c>
      <c r="H125" t="s">
        <v>34</v>
      </c>
      <c r="I125" t="str">
        <f t="shared" si="5"/>
        <v>[{1000,1,1,1601,101}]</v>
      </c>
      <c r="J125" t="s">
        <v>35</v>
      </c>
      <c r="K125" t="e">
        <f>IF(A125="","",IF(J125=1,VLOOKUP(A125,[1]怪物!$R$80:$V$99,4,0),VLOOKUP(A125,[1]怪物!$R$80:$V$99,2,0))*10000)</f>
        <v>#N/A</v>
      </c>
      <c r="L125" t="e">
        <f>IF(A125="","",IF(K125=1,VLOOKUP(A125,[1]怪物!$R$80:$V$99,5,0),VLOOKUP(A125,[1]怪物!$R$80:$V$99,3,0))*10000)</f>
        <v>#N/A</v>
      </c>
      <c r="M125" t="e">
        <f t="shared" si="6"/>
        <v>#N/A</v>
      </c>
      <c r="N125" t="e">
        <f t="shared" si="7"/>
        <v>#N/A</v>
      </c>
    </row>
    <row r="126" spans="1:14">
      <c r="A126">
        <f t="shared" si="4"/>
        <v>18</v>
      </c>
      <c r="B126">
        <v>18</v>
      </c>
      <c r="C126" t="s">
        <v>39</v>
      </c>
      <c r="D126" t="s">
        <v>33</v>
      </c>
      <c r="E126">
        <v>1</v>
      </c>
      <c r="F126">
        <v>1</v>
      </c>
      <c r="G126">
        <v>1602</v>
      </c>
      <c r="H126" t="s">
        <v>34</v>
      </c>
      <c r="I126" t="str">
        <f t="shared" si="5"/>
        <v>[{1000,1,1,1602,101}]</v>
      </c>
      <c r="J126" t="s">
        <v>35</v>
      </c>
      <c r="K126" t="e">
        <f>IF(A126="","",IF(J126=1,VLOOKUP(A126,[1]怪物!$R$80:$V$99,4,0),VLOOKUP(A126,[1]怪物!$R$80:$V$99,2,0))*10000)</f>
        <v>#N/A</v>
      </c>
      <c r="L126" t="e">
        <f>IF(A126="","",IF(K126=1,VLOOKUP(A126,[1]怪物!$R$80:$V$99,5,0),VLOOKUP(A126,[1]怪物!$R$80:$V$99,3,0))*10000)</f>
        <v>#N/A</v>
      </c>
      <c r="M126" t="e">
        <f t="shared" si="6"/>
        <v>#N/A</v>
      </c>
      <c r="N126" t="e">
        <f t="shared" si="7"/>
        <v>#N/A</v>
      </c>
    </row>
    <row r="127" spans="1:14">
      <c r="A127">
        <f t="shared" si="4"/>
        <v>18</v>
      </c>
      <c r="B127">
        <v>18</v>
      </c>
      <c r="C127" t="s">
        <v>39</v>
      </c>
      <c r="D127" t="s">
        <v>33</v>
      </c>
      <c r="E127">
        <v>1</v>
      </c>
      <c r="F127">
        <v>1</v>
      </c>
      <c r="G127">
        <v>1603</v>
      </c>
      <c r="H127" t="s">
        <v>37</v>
      </c>
      <c r="I127" t="str">
        <f t="shared" si="5"/>
        <v>[{1000,1,1,1603,401}]</v>
      </c>
      <c r="J127">
        <v>1</v>
      </c>
      <c r="K127" t="e">
        <f>IF(A127="","",IF(J127=1,VLOOKUP(A127,[1]怪物!$R$80:$V$99,4,0),VLOOKUP(A127,[1]怪物!$R$80:$V$99,2,0))*10000)</f>
        <v>#N/A</v>
      </c>
      <c r="L127" t="e">
        <f>IF(A127="","",IF(K127=1,VLOOKUP(A127,[1]怪物!$R$80:$V$99,5,0),VLOOKUP(A127,[1]怪物!$R$80:$V$99,3,0))*10000)</f>
        <v>#N/A</v>
      </c>
      <c r="M127" t="e">
        <f t="shared" si="6"/>
        <v>#N/A</v>
      </c>
      <c r="N127" t="e">
        <f t="shared" si="7"/>
        <v>#N/A</v>
      </c>
    </row>
    <row r="128" spans="1:14">
      <c r="A128">
        <f t="shared" si="4"/>
        <v>19</v>
      </c>
      <c r="B128">
        <v>19</v>
      </c>
      <c r="C128" t="s">
        <v>39</v>
      </c>
      <c r="D128" t="s">
        <v>33</v>
      </c>
      <c r="E128">
        <v>1</v>
      </c>
      <c r="F128">
        <v>1</v>
      </c>
      <c r="G128">
        <v>1601</v>
      </c>
      <c r="H128" t="s">
        <v>34</v>
      </c>
      <c r="I128" t="str">
        <f t="shared" si="5"/>
        <v>[{1000,1,1,1601,101}]</v>
      </c>
      <c r="J128" t="s">
        <v>35</v>
      </c>
      <c r="K128" t="e">
        <f>IF(A128="","",IF(J128=1,VLOOKUP(A128,[1]怪物!$R$80:$V$99,4,0),VLOOKUP(A128,[1]怪物!$R$80:$V$99,2,0))*10000)</f>
        <v>#N/A</v>
      </c>
      <c r="L128" t="e">
        <f>IF(A128="","",IF(K128=1,VLOOKUP(A128,[1]怪物!$R$80:$V$99,5,0),VLOOKUP(A128,[1]怪物!$R$80:$V$99,3,0))*10000)</f>
        <v>#N/A</v>
      </c>
      <c r="M128" t="e">
        <f t="shared" si="6"/>
        <v>#N/A</v>
      </c>
      <c r="N128" t="e">
        <f t="shared" si="7"/>
        <v>#N/A</v>
      </c>
    </row>
    <row r="129" spans="1:14">
      <c r="A129">
        <f t="shared" si="4"/>
        <v>19</v>
      </c>
      <c r="B129">
        <v>19</v>
      </c>
      <c r="C129" t="s">
        <v>39</v>
      </c>
      <c r="D129" t="s">
        <v>33</v>
      </c>
      <c r="E129">
        <v>1</v>
      </c>
      <c r="F129">
        <v>1</v>
      </c>
      <c r="G129">
        <v>1602</v>
      </c>
      <c r="H129" t="s">
        <v>34</v>
      </c>
      <c r="I129" t="str">
        <f t="shared" si="5"/>
        <v>[{1000,1,1,1602,101}]</v>
      </c>
      <c r="J129" t="s">
        <v>35</v>
      </c>
      <c r="K129" t="e">
        <f>IF(A129="","",IF(J129=1,VLOOKUP(A129,[1]怪物!$R$80:$V$99,4,0),VLOOKUP(A129,[1]怪物!$R$80:$V$99,2,0))*10000)</f>
        <v>#N/A</v>
      </c>
      <c r="L129" t="e">
        <f>IF(A129="","",IF(K129=1,VLOOKUP(A129,[1]怪物!$R$80:$V$99,5,0),VLOOKUP(A129,[1]怪物!$R$80:$V$99,3,0))*10000)</f>
        <v>#N/A</v>
      </c>
      <c r="M129" t="e">
        <f t="shared" si="6"/>
        <v>#N/A</v>
      </c>
      <c r="N129" t="e">
        <f t="shared" si="7"/>
        <v>#N/A</v>
      </c>
    </row>
    <row r="130" spans="1:14">
      <c r="A130">
        <f t="shared" ref="A130:A193" si="8">IF(E130="","",B130)</f>
        <v>19</v>
      </c>
      <c r="B130">
        <v>19</v>
      </c>
      <c r="C130" t="s">
        <v>39</v>
      </c>
      <c r="D130" t="s">
        <v>33</v>
      </c>
      <c r="E130">
        <v>1</v>
      </c>
      <c r="F130">
        <v>1</v>
      </c>
      <c r="G130">
        <v>1603</v>
      </c>
      <c r="H130" t="s">
        <v>37</v>
      </c>
      <c r="I130" t="str">
        <f t="shared" ref="I130:I193" si="9">_xlfn.TEXTJOIN(",",1,D130:H130)</f>
        <v>[{1000,1,1,1603,401}]</v>
      </c>
      <c r="J130">
        <v>1</v>
      </c>
      <c r="K130" t="e">
        <f>IF(A130="","",IF(J130=1,VLOOKUP(A130,[1]怪物!$R$80:$V$99,4,0),VLOOKUP(A130,[1]怪物!$R$80:$V$99,2,0))*10000)</f>
        <v>#N/A</v>
      </c>
      <c r="L130" t="e">
        <f>IF(A130="","",IF(K130=1,VLOOKUP(A130,[1]怪物!$R$80:$V$99,5,0),VLOOKUP(A130,[1]怪物!$R$80:$V$99,3,0))*10000)</f>
        <v>#N/A</v>
      </c>
      <c r="M130" t="e">
        <f t="shared" ref="M130:M193" si="10">IF(F130="","",IF(F130=0,10000,K130))</f>
        <v>#N/A</v>
      </c>
      <c r="N130" t="e">
        <f t="shared" ref="N130:N193" si="11">IF(F130="","",IF(F130=0,10000,L130))</f>
        <v>#N/A</v>
      </c>
    </row>
    <row r="131" spans="1:14">
      <c r="A131">
        <f t="shared" si="8"/>
        <v>20</v>
      </c>
      <c r="B131">
        <v>20</v>
      </c>
      <c r="C131" t="s">
        <v>39</v>
      </c>
      <c r="D131" t="s">
        <v>33</v>
      </c>
      <c r="E131">
        <v>1</v>
      </c>
      <c r="F131">
        <v>1</v>
      </c>
      <c r="G131">
        <v>1601</v>
      </c>
      <c r="H131" t="s">
        <v>34</v>
      </c>
      <c r="I131" t="str">
        <f t="shared" si="9"/>
        <v>[{1000,1,1,1601,101}]</v>
      </c>
      <c r="J131" t="s">
        <v>35</v>
      </c>
      <c r="K131" t="e">
        <f>IF(A131="","",IF(J131=1,VLOOKUP(A131,[1]怪物!$R$80:$V$99,4,0),VLOOKUP(A131,[1]怪物!$R$80:$V$99,2,0))*10000)</f>
        <v>#N/A</v>
      </c>
      <c r="L131" t="e">
        <f>IF(A131="","",IF(K131=1,VLOOKUP(A131,[1]怪物!$R$80:$V$99,5,0),VLOOKUP(A131,[1]怪物!$R$80:$V$99,3,0))*10000)</f>
        <v>#N/A</v>
      </c>
      <c r="M131" t="e">
        <f t="shared" si="10"/>
        <v>#N/A</v>
      </c>
      <c r="N131" t="e">
        <f t="shared" si="11"/>
        <v>#N/A</v>
      </c>
    </row>
    <row r="132" spans="1:14">
      <c r="A132">
        <f t="shared" si="8"/>
        <v>20</v>
      </c>
      <c r="B132">
        <v>20</v>
      </c>
      <c r="C132" t="s">
        <v>39</v>
      </c>
      <c r="D132" t="s">
        <v>33</v>
      </c>
      <c r="E132">
        <v>1</v>
      </c>
      <c r="F132">
        <v>1</v>
      </c>
      <c r="G132">
        <v>1602</v>
      </c>
      <c r="H132" t="s">
        <v>34</v>
      </c>
      <c r="I132" t="str">
        <f t="shared" si="9"/>
        <v>[{1000,1,1,1602,101}]</v>
      </c>
      <c r="J132" t="s">
        <v>35</v>
      </c>
      <c r="K132" t="e">
        <f>IF(A132="","",IF(J132=1,VLOOKUP(A132,[1]怪物!$R$80:$V$99,4,0),VLOOKUP(A132,[1]怪物!$R$80:$V$99,2,0))*10000)</f>
        <v>#N/A</v>
      </c>
      <c r="L132" t="e">
        <f>IF(A132="","",IF(K132=1,VLOOKUP(A132,[1]怪物!$R$80:$V$99,5,0),VLOOKUP(A132,[1]怪物!$R$80:$V$99,3,0))*10000)</f>
        <v>#N/A</v>
      </c>
      <c r="M132" t="e">
        <f t="shared" si="10"/>
        <v>#N/A</v>
      </c>
      <c r="N132" t="e">
        <f t="shared" si="11"/>
        <v>#N/A</v>
      </c>
    </row>
    <row r="133" spans="1:14">
      <c r="A133">
        <f t="shared" si="8"/>
        <v>20</v>
      </c>
      <c r="B133">
        <v>20</v>
      </c>
      <c r="C133" t="s">
        <v>39</v>
      </c>
      <c r="D133" t="s">
        <v>33</v>
      </c>
      <c r="E133">
        <v>1</v>
      </c>
      <c r="F133">
        <v>1</v>
      </c>
      <c r="G133">
        <v>1603</v>
      </c>
      <c r="H133" t="s">
        <v>37</v>
      </c>
      <c r="I133" t="str">
        <f t="shared" si="9"/>
        <v>[{1000,1,1,1603,401}]</v>
      </c>
      <c r="J133">
        <v>1</v>
      </c>
      <c r="K133" t="e">
        <f>IF(A133="","",IF(J133=1,VLOOKUP(A133,[1]怪物!$R$80:$V$99,4,0),VLOOKUP(A133,[1]怪物!$R$80:$V$99,2,0))*10000)</f>
        <v>#N/A</v>
      </c>
      <c r="L133" t="e">
        <f>IF(A133="","",IF(K133=1,VLOOKUP(A133,[1]怪物!$R$80:$V$99,5,0),VLOOKUP(A133,[1]怪物!$R$80:$V$99,3,0))*10000)</f>
        <v>#N/A</v>
      </c>
      <c r="M133" t="e">
        <f t="shared" si="10"/>
        <v>#N/A</v>
      </c>
      <c r="N133" t="e">
        <f t="shared" si="11"/>
        <v>#N/A</v>
      </c>
    </row>
    <row r="134" spans="1:14">
      <c r="A134" t="str">
        <f t="shared" si="8"/>
        <v/>
      </c>
      <c r="B134">
        <v>20</v>
      </c>
      <c r="C134" t="s">
        <v>39</v>
      </c>
      <c r="D134" t="s">
        <v>28</v>
      </c>
      <c r="I134" t="str">
        <f t="shared" si="9"/>
        <v>[]</v>
      </c>
      <c r="J134">
        <v>2</v>
      </c>
      <c r="K134" t="str">
        <f>IF(A134="","",IF(J134=1,VLOOKUP(A134,[1]怪物!$R$80:$V$99,4,0),VLOOKUP(A134,[1]怪物!$R$80:$V$99,2,0))*10000)</f>
        <v/>
      </c>
      <c r="L134" t="str">
        <f>IF(A134="","",IF(K134=1,VLOOKUP(A134,[1]怪物!$R$80:$V$99,5,0),VLOOKUP(A134,[1]怪物!$R$80:$V$99,3,0))*10000)</f>
        <v/>
      </c>
      <c r="M134" t="str">
        <f t="shared" si="10"/>
        <v/>
      </c>
      <c r="N134" t="str">
        <f t="shared" si="11"/>
        <v/>
      </c>
    </row>
    <row r="135" spans="1:14">
      <c r="A135">
        <f t="shared" si="8"/>
        <v>20</v>
      </c>
      <c r="B135">
        <v>20</v>
      </c>
      <c r="C135" t="s">
        <v>39</v>
      </c>
      <c r="D135" t="s">
        <v>33</v>
      </c>
      <c r="E135">
        <v>1</v>
      </c>
      <c r="F135">
        <v>0</v>
      </c>
      <c r="G135">
        <v>1631</v>
      </c>
      <c r="H135" t="s">
        <v>36</v>
      </c>
      <c r="I135" t="str">
        <f t="shared" si="9"/>
        <v>[{1000,1,0,1631,41}]</v>
      </c>
      <c r="J135" t="s">
        <v>35</v>
      </c>
      <c r="K135" t="e">
        <f>IF(A135="","",IF(J135=1,VLOOKUP(A135,[1]怪物!$R$80:$V$99,4,0),VLOOKUP(A135,[1]怪物!$R$80:$V$99,2,0))*10000)</f>
        <v>#N/A</v>
      </c>
      <c r="L135" t="e">
        <f>IF(A135="","",IF(K135=1,VLOOKUP(A135,[1]怪物!$R$80:$V$99,5,0),VLOOKUP(A135,[1]怪物!$R$80:$V$99,3,0))*10000)</f>
        <v>#N/A</v>
      </c>
      <c r="M135">
        <f t="shared" si="10"/>
        <v>10000</v>
      </c>
      <c r="N135">
        <f t="shared" si="11"/>
        <v>10000</v>
      </c>
    </row>
    <row r="136" spans="1:14">
      <c r="A136">
        <f t="shared" si="8"/>
        <v>1</v>
      </c>
      <c r="B136">
        <v>1</v>
      </c>
      <c r="C136" t="s">
        <v>40</v>
      </c>
      <c r="D136" t="s">
        <v>33</v>
      </c>
      <c r="E136">
        <v>1</v>
      </c>
      <c r="F136">
        <v>1</v>
      </c>
      <c r="G136">
        <v>1701</v>
      </c>
      <c r="H136" t="s">
        <v>34</v>
      </c>
      <c r="I136" t="str">
        <f t="shared" si="9"/>
        <v>[{1000,1,1,1701,101}]</v>
      </c>
      <c r="J136" t="s">
        <v>35</v>
      </c>
      <c r="K136">
        <f>IF(A136="","",IF(J136=1,VLOOKUP(A136,[1]怪物!$R$80:$V$99,4,0),VLOOKUP(A136,[1]怪物!$R$80:$V$99,2,0))*10000)</f>
        <v>10000</v>
      </c>
      <c r="L136">
        <f>IF(A136="","",IF(K136=1,VLOOKUP(A136,[1]怪物!$R$80:$V$99,5,0),VLOOKUP(A136,[1]怪物!$R$80:$V$99,3,0))*10000)</f>
        <v>10000</v>
      </c>
      <c r="M136">
        <f t="shared" si="10"/>
        <v>10000</v>
      </c>
      <c r="N136">
        <f t="shared" si="11"/>
        <v>10000</v>
      </c>
    </row>
    <row r="137" spans="1:14">
      <c r="A137">
        <f t="shared" si="8"/>
        <v>2</v>
      </c>
      <c r="B137">
        <v>2</v>
      </c>
      <c r="C137" t="s">
        <v>40</v>
      </c>
      <c r="D137" t="s">
        <v>33</v>
      </c>
      <c r="E137">
        <v>1</v>
      </c>
      <c r="F137">
        <v>1</v>
      </c>
      <c r="G137">
        <v>1701</v>
      </c>
      <c r="H137" t="s">
        <v>34</v>
      </c>
      <c r="I137" t="str">
        <f t="shared" si="9"/>
        <v>[{1000,1,1,1701,101}]</v>
      </c>
      <c r="J137" t="s">
        <v>35</v>
      </c>
      <c r="K137">
        <f>IF(A137="","",IF(J137=1,VLOOKUP(A137,[1]怪物!$R$80:$V$99,4,0),VLOOKUP(A137,[1]怪物!$R$80:$V$99,2,0))*10000)</f>
        <v>10000</v>
      </c>
      <c r="L137">
        <f>IF(A137="","",IF(K137=1,VLOOKUP(A137,[1]怪物!$R$80:$V$99,5,0),VLOOKUP(A137,[1]怪物!$R$80:$V$99,3,0))*10000)</f>
        <v>10000</v>
      </c>
      <c r="M137">
        <f t="shared" si="10"/>
        <v>10000</v>
      </c>
      <c r="N137">
        <f t="shared" si="11"/>
        <v>10000</v>
      </c>
    </row>
    <row r="138" spans="1:14">
      <c r="A138">
        <f t="shared" si="8"/>
        <v>3</v>
      </c>
      <c r="B138">
        <v>3</v>
      </c>
      <c r="C138" t="s">
        <v>40</v>
      </c>
      <c r="D138" t="s">
        <v>33</v>
      </c>
      <c r="E138">
        <v>1</v>
      </c>
      <c r="F138">
        <v>1</v>
      </c>
      <c r="G138">
        <v>1701</v>
      </c>
      <c r="H138" t="s">
        <v>34</v>
      </c>
      <c r="I138" t="str">
        <f t="shared" si="9"/>
        <v>[{1000,1,1,1701,101}]</v>
      </c>
      <c r="J138" t="s">
        <v>35</v>
      </c>
      <c r="K138">
        <f>IF(A138="","",IF(J138=1,VLOOKUP(A138,[1]怪物!$R$80:$V$99,4,0),VLOOKUP(A138,[1]怪物!$R$80:$V$99,2,0))*10000)</f>
        <v>10000</v>
      </c>
      <c r="L138">
        <f>IF(A138="","",IF(K138=1,VLOOKUP(A138,[1]怪物!$R$80:$V$99,5,0),VLOOKUP(A138,[1]怪物!$R$80:$V$99,3,0))*10000)</f>
        <v>10000</v>
      </c>
      <c r="M138">
        <f t="shared" si="10"/>
        <v>10000</v>
      </c>
      <c r="N138">
        <f t="shared" si="11"/>
        <v>10000</v>
      </c>
    </row>
    <row r="139" spans="1:14">
      <c r="A139">
        <f t="shared" si="8"/>
        <v>4</v>
      </c>
      <c r="B139">
        <v>4</v>
      </c>
      <c r="C139" t="s">
        <v>40</v>
      </c>
      <c r="D139" t="s">
        <v>33</v>
      </c>
      <c r="E139">
        <v>1</v>
      </c>
      <c r="F139">
        <v>1</v>
      </c>
      <c r="G139">
        <v>1701</v>
      </c>
      <c r="H139" t="s">
        <v>34</v>
      </c>
      <c r="I139" t="str">
        <f t="shared" si="9"/>
        <v>[{1000,1,1,1701,101}]</v>
      </c>
      <c r="J139" t="s">
        <v>35</v>
      </c>
      <c r="K139">
        <f>IF(A139="","",IF(J139=1,VLOOKUP(A139,[1]怪物!$R$80:$V$99,4,0),VLOOKUP(A139,[1]怪物!$R$80:$V$99,2,0))*10000)</f>
        <v>10000</v>
      </c>
      <c r="L139">
        <f>IF(A139="","",IF(K139=1,VLOOKUP(A139,[1]怪物!$R$80:$V$99,5,0),VLOOKUP(A139,[1]怪物!$R$80:$V$99,3,0))*10000)</f>
        <v>10000</v>
      </c>
      <c r="M139">
        <f t="shared" si="10"/>
        <v>10000</v>
      </c>
      <c r="N139">
        <f t="shared" si="11"/>
        <v>10000</v>
      </c>
    </row>
    <row r="140" spans="1:14">
      <c r="A140">
        <f t="shared" si="8"/>
        <v>5</v>
      </c>
      <c r="B140">
        <v>5</v>
      </c>
      <c r="C140" t="s">
        <v>40</v>
      </c>
      <c r="D140" t="s">
        <v>33</v>
      </c>
      <c r="E140">
        <v>1</v>
      </c>
      <c r="F140">
        <v>1</v>
      </c>
      <c r="G140">
        <v>1701</v>
      </c>
      <c r="H140" t="s">
        <v>34</v>
      </c>
      <c r="I140" t="str">
        <f t="shared" si="9"/>
        <v>[{1000,1,1,1701,101}]</v>
      </c>
      <c r="J140" t="s">
        <v>35</v>
      </c>
      <c r="K140">
        <f>IF(A140="","",IF(J140=1,VLOOKUP(A140,[1]怪物!$R$80:$V$99,4,0),VLOOKUP(A140,[1]怪物!$R$80:$V$99,2,0))*10000)</f>
        <v>10000</v>
      </c>
      <c r="L140">
        <f>IF(A140="","",IF(K140=1,VLOOKUP(A140,[1]怪物!$R$80:$V$99,5,0),VLOOKUP(A140,[1]怪物!$R$80:$V$99,3,0))*10000)</f>
        <v>10000</v>
      </c>
      <c r="M140">
        <f t="shared" si="10"/>
        <v>10000</v>
      </c>
      <c r="N140">
        <f t="shared" si="11"/>
        <v>10000</v>
      </c>
    </row>
    <row r="141" spans="1:14">
      <c r="A141">
        <f t="shared" si="8"/>
        <v>6</v>
      </c>
      <c r="B141">
        <v>6</v>
      </c>
      <c r="C141" t="s">
        <v>40</v>
      </c>
      <c r="D141" t="s">
        <v>33</v>
      </c>
      <c r="E141">
        <v>1</v>
      </c>
      <c r="F141">
        <v>1</v>
      </c>
      <c r="G141">
        <v>1701</v>
      </c>
      <c r="H141" t="s">
        <v>34</v>
      </c>
      <c r="I141" t="str">
        <f t="shared" si="9"/>
        <v>[{1000,1,1,1701,101}]</v>
      </c>
      <c r="J141" t="s">
        <v>35</v>
      </c>
      <c r="K141">
        <f>IF(A141="","",IF(J141=1,VLOOKUP(A141,[1]怪物!$R$80:$V$99,4,0),VLOOKUP(A141,[1]怪物!$R$80:$V$99,2,0))*10000)</f>
        <v>15000</v>
      </c>
      <c r="L141">
        <f>IF(A141="","",IF(K141=1,VLOOKUP(A141,[1]怪物!$R$80:$V$99,5,0),VLOOKUP(A141,[1]怪物!$R$80:$V$99,3,0))*10000)</f>
        <v>15000</v>
      </c>
      <c r="M141">
        <f t="shared" si="10"/>
        <v>15000</v>
      </c>
      <c r="N141">
        <f t="shared" si="11"/>
        <v>15000</v>
      </c>
    </row>
    <row r="142" spans="1:14">
      <c r="A142">
        <f t="shared" si="8"/>
        <v>7</v>
      </c>
      <c r="B142">
        <v>7</v>
      </c>
      <c r="C142" t="s">
        <v>40</v>
      </c>
      <c r="D142" t="s">
        <v>33</v>
      </c>
      <c r="E142">
        <v>1</v>
      </c>
      <c r="F142">
        <v>1</v>
      </c>
      <c r="G142">
        <v>1701</v>
      </c>
      <c r="H142" t="s">
        <v>34</v>
      </c>
      <c r="I142" t="str">
        <f t="shared" si="9"/>
        <v>[{1000,1,1,1701,101}]</v>
      </c>
      <c r="J142" t="s">
        <v>35</v>
      </c>
      <c r="K142">
        <f>IF(A142="","",IF(J142=1,VLOOKUP(A142,[1]怪物!$R$80:$V$99,4,0),VLOOKUP(A142,[1]怪物!$R$80:$V$99,2,0))*10000)</f>
        <v>15000</v>
      </c>
      <c r="L142">
        <f>IF(A142="","",IF(K142=1,VLOOKUP(A142,[1]怪物!$R$80:$V$99,5,0),VLOOKUP(A142,[1]怪物!$R$80:$V$99,3,0))*10000)</f>
        <v>15000</v>
      </c>
      <c r="M142">
        <f t="shared" si="10"/>
        <v>15000</v>
      </c>
      <c r="N142">
        <f t="shared" si="11"/>
        <v>15000</v>
      </c>
    </row>
    <row r="143" spans="1:14">
      <c r="A143">
        <f t="shared" si="8"/>
        <v>7</v>
      </c>
      <c r="B143">
        <v>7</v>
      </c>
      <c r="C143" t="s">
        <v>40</v>
      </c>
      <c r="D143" t="s">
        <v>33</v>
      </c>
      <c r="E143">
        <v>1</v>
      </c>
      <c r="F143">
        <v>1</v>
      </c>
      <c r="G143">
        <v>1702</v>
      </c>
      <c r="H143" t="s">
        <v>37</v>
      </c>
      <c r="I143" t="str">
        <f t="shared" si="9"/>
        <v>[{1000,1,1,1702,401}]</v>
      </c>
      <c r="J143">
        <v>1</v>
      </c>
      <c r="K143">
        <f>IF(A143="","",IF(J143=1,VLOOKUP(A143,[1]怪物!$R$80:$V$99,4,0),VLOOKUP(A143,[1]怪物!$R$80:$V$99,2,0))*10000)</f>
        <v>13000</v>
      </c>
      <c r="L143">
        <f>IF(A143="","",IF(K143=1,VLOOKUP(A143,[1]怪物!$R$80:$V$99,5,0),VLOOKUP(A143,[1]怪物!$R$80:$V$99,3,0))*10000)</f>
        <v>15000</v>
      </c>
      <c r="M143">
        <f t="shared" si="10"/>
        <v>13000</v>
      </c>
      <c r="N143">
        <f t="shared" si="11"/>
        <v>15000</v>
      </c>
    </row>
    <row r="144" spans="1:14">
      <c r="A144">
        <f t="shared" si="8"/>
        <v>8</v>
      </c>
      <c r="B144">
        <v>8</v>
      </c>
      <c r="C144" t="s">
        <v>40</v>
      </c>
      <c r="D144" t="s">
        <v>33</v>
      </c>
      <c r="E144">
        <v>1</v>
      </c>
      <c r="F144">
        <v>1</v>
      </c>
      <c r="G144">
        <v>1701</v>
      </c>
      <c r="H144" t="s">
        <v>34</v>
      </c>
      <c r="I144" t="str">
        <f t="shared" si="9"/>
        <v>[{1000,1,1,1701,101}]</v>
      </c>
      <c r="J144" t="s">
        <v>35</v>
      </c>
      <c r="K144">
        <f>IF(A144="","",IF(J144=1,VLOOKUP(A144,[1]怪物!$R$80:$V$99,4,0),VLOOKUP(A144,[1]怪物!$R$80:$V$99,2,0))*10000)</f>
        <v>15000</v>
      </c>
      <c r="L144">
        <f>IF(A144="","",IF(K144=1,VLOOKUP(A144,[1]怪物!$R$80:$V$99,5,0),VLOOKUP(A144,[1]怪物!$R$80:$V$99,3,0))*10000)</f>
        <v>15000</v>
      </c>
      <c r="M144">
        <f t="shared" si="10"/>
        <v>15000</v>
      </c>
      <c r="N144">
        <f t="shared" si="11"/>
        <v>15000</v>
      </c>
    </row>
    <row r="145" spans="1:14">
      <c r="A145">
        <f t="shared" si="8"/>
        <v>8</v>
      </c>
      <c r="B145">
        <v>8</v>
      </c>
      <c r="C145" t="s">
        <v>40</v>
      </c>
      <c r="D145" t="s">
        <v>33</v>
      </c>
      <c r="E145">
        <v>1</v>
      </c>
      <c r="F145">
        <v>1</v>
      </c>
      <c r="G145">
        <v>1702</v>
      </c>
      <c r="H145" t="s">
        <v>37</v>
      </c>
      <c r="I145" t="str">
        <f t="shared" si="9"/>
        <v>[{1000,1,1,1702,401}]</v>
      </c>
      <c r="J145">
        <v>1</v>
      </c>
      <c r="K145">
        <f>IF(A145="","",IF(J145=1,VLOOKUP(A145,[1]怪物!$R$80:$V$99,4,0),VLOOKUP(A145,[1]怪物!$R$80:$V$99,2,0))*10000)</f>
        <v>13000</v>
      </c>
      <c r="L145">
        <f>IF(A145="","",IF(K145=1,VLOOKUP(A145,[1]怪物!$R$80:$V$99,5,0),VLOOKUP(A145,[1]怪物!$R$80:$V$99,3,0))*10000)</f>
        <v>15000</v>
      </c>
      <c r="M145">
        <f t="shared" si="10"/>
        <v>13000</v>
      </c>
      <c r="N145">
        <f t="shared" si="11"/>
        <v>15000</v>
      </c>
    </row>
    <row r="146" spans="1:14">
      <c r="A146">
        <f t="shared" si="8"/>
        <v>9</v>
      </c>
      <c r="B146">
        <v>9</v>
      </c>
      <c r="C146" t="s">
        <v>40</v>
      </c>
      <c r="D146" t="s">
        <v>33</v>
      </c>
      <c r="E146">
        <v>1</v>
      </c>
      <c r="F146">
        <v>1</v>
      </c>
      <c r="G146">
        <v>1701</v>
      </c>
      <c r="H146" t="s">
        <v>34</v>
      </c>
      <c r="I146" t="str">
        <f t="shared" si="9"/>
        <v>[{1000,1,1,1701,101}]</v>
      </c>
      <c r="J146" t="s">
        <v>35</v>
      </c>
      <c r="K146" t="e">
        <f>IF(A146="","",IF(J146=1,VLOOKUP(A146,[1]怪物!$R$80:$V$99,4,0),VLOOKUP(A146,[1]怪物!$R$80:$V$99,2,0))*10000)</f>
        <v>#N/A</v>
      </c>
      <c r="L146" t="e">
        <f>IF(A146="","",IF(K146=1,VLOOKUP(A146,[1]怪物!$R$80:$V$99,5,0),VLOOKUP(A146,[1]怪物!$R$80:$V$99,3,0))*10000)</f>
        <v>#N/A</v>
      </c>
      <c r="M146" t="e">
        <f t="shared" si="10"/>
        <v>#N/A</v>
      </c>
      <c r="N146" t="e">
        <f t="shared" si="11"/>
        <v>#N/A</v>
      </c>
    </row>
    <row r="147" spans="1:14">
      <c r="A147">
        <f t="shared" si="8"/>
        <v>9</v>
      </c>
      <c r="B147">
        <v>9</v>
      </c>
      <c r="C147" t="s">
        <v>40</v>
      </c>
      <c r="D147" t="s">
        <v>33</v>
      </c>
      <c r="E147">
        <v>1</v>
      </c>
      <c r="F147">
        <v>1</v>
      </c>
      <c r="G147">
        <v>1702</v>
      </c>
      <c r="H147" t="s">
        <v>37</v>
      </c>
      <c r="I147" t="str">
        <f t="shared" si="9"/>
        <v>[{1000,1,1,1702,401}]</v>
      </c>
      <c r="J147">
        <v>1</v>
      </c>
      <c r="K147" t="e">
        <f>IF(A147="","",IF(J147=1,VLOOKUP(A147,[1]怪物!$R$80:$V$99,4,0),VLOOKUP(A147,[1]怪物!$R$80:$V$99,2,0))*10000)</f>
        <v>#N/A</v>
      </c>
      <c r="L147" t="e">
        <f>IF(A147="","",IF(K147=1,VLOOKUP(A147,[1]怪物!$R$80:$V$99,5,0),VLOOKUP(A147,[1]怪物!$R$80:$V$99,3,0))*10000)</f>
        <v>#N/A</v>
      </c>
      <c r="M147" t="e">
        <f t="shared" si="10"/>
        <v>#N/A</v>
      </c>
      <c r="N147" t="e">
        <f t="shared" si="11"/>
        <v>#N/A</v>
      </c>
    </row>
    <row r="148" spans="1:14">
      <c r="A148">
        <f t="shared" si="8"/>
        <v>10</v>
      </c>
      <c r="B148">
        <v>10</v>
      </c>
      <c r="C148" t="s">
        <v>40</v>
      </c>
      <c r="D148" t="s">
        <v>33</v>
      </c>
      <c r="E148">
        <v>1</v>
      </c>
      <c r="F148">
        <v>1</v>
      </c>
      <c r="G148">
        <v>1701</v>
      </c>
      <c r="H148" t="s">
        <v>34</v>
      </c>
      <c r="I148" t="str">
        <f t="shared" si="9"/>
        <v>[{1000,1,1,1701,101}]</v>
      </c>
      <c r="J148" t="s">
        <v>35</v>
      </c>
      <c r="K148" t="e">
        <f>IF(A148="","",IF(J148=1,VLOOKUP(A148,[1]怪物!$R$80:$V$99,4,0),VLOOKUP(A148,[1]怪物!$R$80:$V$99,2,0))*10000)</f>
        <v>#N/A</v>
      </c>
      <c r="L148" t="e">
        <f>IF(A148="","",IF(K148=1,VLOOKUP(A148,[1]怪物!$R$80:$V$99,5,0),VLOOKUP(A148,[1]怪物!$R$80:$V$99,3,0))*10000)</f>
        <v>#N/A</v>
      </c>
      <c r="M148" t="e">
        <f t="shared" si="10"/>
        <v>#N/A</v>
      </c>
      <c r="N148" t="e">
        <f t="shared" si="11"/>
        <v>#N/A</v>
      </c>
    </row>
    <row r="149" spans="1:14">
      <c r="A149">
        <f t="shared" si="8"/>
        <v>10</v>
      </c>
      <c r="B149">
        <v>10</v>
      </c>
      <c r="C149" t="s">
        <v>40</v>
      </c>
      <c r="D149" t="s">
        <v>33</v>
      </c>
      <c r="E149">
        <v>1</v>
      </c>
      <c r="F149">
        <v>1</v>
      </c>
      <c r="G149">
        <v>1702</v>
      </c>
      <c r="H149" t="s">
        <v>37</v>
      </c>
      <c r="I149" t="str">
        <f t="shared" si="9"/>
        <v>[{1000,1,1,1702,401}]</v>
      </c>
      <c r="J149">
        <v>1</v>
      </c>
      <c r="K149" t="e">
        <f>IF(A149="","",IF(J149=1,VLOOKUP(A149,[1]怪物!$R$80:$V$99,4,0),VLOOKUP(A149,[1]怪物!$R$80:$V$99,2,0))*10000)</f>
        <v>#N/A</v>
      </c>
      <c r="L149" t="e">
        <f>IF(A149="","",IF(K149=1,VLOOKUP(A149,[1]怪物!$R$80:$V$99,5,0),VLOOKUP(A149,[1]怪物!$R$80:$V$99,3,0))*10000)</f>
        <v>#N/A</v>
      </c>
      <c r="M149" t="e">
        <f t="shared" si="10"/>
        <v>#N/A</v>
      </c>
      <c r="N149" t="e">
        <f t="shared" si="11"/>
        <v>#N/A</v>
      </c>
    </row>
    <row r="150" spans="1:14">
      <c r="A150" t="str">
        <f t="shared" si="8"/>
        <v/>
      </c>
      <c r="B150">
        <v>10</v>
      </c>
      <c r="C150" t="s">
        <v>40</v>
      </c>
      <c r="D150" t="s">
        <v>28</v>
      </c>
      <c r="I150" t="str">
        <f t="shared" si="9"/>
        <v>[]</v>
      </c>
      <c r="J150">
        <v>2</v>
      </c>
      <c r="K150" t="str">
        <f>IF(A150="","",IF(J150=1,VLOOKUP(A150,[1]怪物!$R$80:$V$99,4,0),VLOOKUP(A150,[1]怪物!$R$80:$V$99,2,0))*10000)</f>
        <v/>
      </c>
      <c r="L150" t="str">
        <f>IF(A150="","",IF(K150=1,VLOOKUP(A150,[1]怪物!$R$80:$V$99,5,0),VLOOKUP(A150,[1]怪物!$R$80:$V$99,3,0))*10000)</f>
        <v/>
      </c>
      <c r="M150" t="str">
        <f t="shared" si="10"/>
        <v/>
      </c>
      <c r="N150" t="str">
        <f t="shared" si="11"/>
        <v/>
      </c>
    </row>
    <row r="151" spans="1:14">
      <c r="A151">
        <f t="shared" si="8"/>
        <v>10</v>
      </c>
      <c r="B151">
        <v>10</v>
      </c>
      <c r="C151" t="s">
        <v>40</v>
      </c>
      <c r="D151" t="s">
        <v>33</v>
      </c>
      <c r="E151">
        <v>1</v>
      </c>
      <c r="F151">
        <v>0</v>
      </c>
      <c r="G151">
        <v>1721</v>
      </c>
      <c r="H151" t="s">
        <v>37</v>
      </c>
      <c r="I151" t="str">
        <f t="shared" si="9"/>
        <v>[{1000,1,0,1721,401}]</v>
      </c>
      <c r="J151">
        <v>1</v>
      </c>
      <c r="K151" t="e">
        <f>IF(A151="","",IF(J151=1,VLOOKUP(A151,[1]怪物!$R$80:$V$99,4,0),VLOOKUP(A151,[1]怪物!$R$80:$V$99,2,0))*10000)</f>
        <v>#N/A</v>
      </c>
      <c r="L151" t="e">
        <f>IF(A151="","",IF(K151=1,VLOOKUP(A151,[1]怪物!$R$80:$V$99,5,0),VLOOKUP(A151,[1]怪物!$R$80:$V$99,3,0))*10000)</f>
        <v>#N/A</v>
      </c>
      <c r="M151">
        <f t="shared" si="10"/>
        <v>10000</v>
      </c>
      <c r="N151">
        <f t="shared" si="11"/>
        <v>10000</v>
      </c>
    </row>
    <row r="152" spans="1:14">
      <c r="A152">
        <f t="shared" si="8"/>
        <v>11</v>
      </c>
      <c r="B152">
        <v>11</v>
      </c>
      <c r="C152" t="s">
        <v>40</v>
      </c>
      <c r="D152" t="s">
        <v>33</v>
      </c>
      <c r="E152">
        <v>1</v>
      </c>
      <c r="F152">
        <v>1</v>
      </c>
      <c r="G152">
        <v>1701</v>
      </c>
      <c r="H152" t="s">
        <v>34</v>
      </c>
      <c r="I152" t="str">
        <f t="shared" si="9"/>
        <v>[{1000,1,1,1701,101}]</v>
      </c>
      <c r="J152" t="s">
        <v>35</v>
      </c>
      <c r="K152" t="e">
        <f>IF(A152="","",IF(J152=1,VLOOKUP(A152,[1]怪物!$R$80:$V$99,4,0),VLOOKUP(A152,[1]怪物!$R$80:$V$99,2,0))*10000)</f>
        <v>#N/A</v>
      </c>
      <c r="L152" t="e">
        <f>IF(A152="","",IF(K152=1,VLOOKUP(A152,[1]怪物!$R$80:$V$99,5,0),VLOOKUP(A152,[1]怪物!$R$80:$V$99,3,0))*10000)</f>
        <v>#N/A</v>
      </c>
      <c r="M152" t="e">
        <f t="shared" si="10"/>
        <v>#N/A</v>
      </c>
      <c r="N152" t="e">
        <f t="shared" si="11"/>
        <v>#N/A</v>
      </c>
    </row>
    <row r="153" spans="1:14">
      <c r="A153">
        <f t="shared" si="8"/>
        <v>11</v>
      </c>
      <c r="B153">
        <v>11</v>
      </c>
      <c r="C153" t="s">
        <v>40</v>
      </c>
      <c r="D153" t="s">
        <v>33</v>
      </c>
      <c r="E153">
        <v>1</v>
      </c>
      <c r="F153">
        <v>1</v>
      </c>
      <c r="G153">
        <v>1702</v>
      </c>
      <c r="H153" t="s">
        <v>37</v>
      </c>
      <c r="I153" t="str">
        <f t="shared" si="9"/>
        <v>[{1000,1,1,1702,401}]</v>
      </c>
      <c r="J153">
        <v>1</v>
      </c>
      <c r="K153" t="e">
        <f>IF(A153="","",IF(J153=1,VLOOKUP(A153,[1]怪物!$R$80:$V$99,4,0),VLOOKUP(A153,[1]怪物!$R$80:$V$99,2,0))*10000)</f>
        <v>#N/A</v>
      </c>
      <c r="L153" t="e">
        <f>IF(A153="","",IF(K153=1,VLOOKUP(A153,[1]怪物!$R$80:$V$99,5,0),VLOOKUP(A153,[1]怪物!$R$80:$V$99,3,0))*10000)</f>
        <v>#N/A</v>
      </c>
      <c r="M153" t="e">
        <f t="shared" si="10"/>
        <v>#N/A</v>
      </c>
      <c r="N153" t="e">
        <f t="shared" si="11"/>
        <v>#N/A</v>
      </c>
    </row>
    <row r="154" spans="1:14">
      <c r="A154">
        <f t="shared" si="8"/>
        <v>12</v>
      </c>
      <c r="B154">
        <v>12</v>
      </c>
      <c r="C154" t="s">
        <v>40</v>
      </c>
      <c r="D154" t="s">
        <v>33</v>
      </c>
      <c r="E154">
        <v>1</v>
      </c>
      <c r="F154">
        <v>1</v>
      </c>
      <c r="G154">
        <v>1701</v>
      </c>
      <c r="H154" t="s">
        <v>34</v>
      </c>
      <c r="I154" t="str">
        <f t="shared" si="9"/>
        <v>[{1000,1,1,1701,101}]</v>
      </c>
      <c r="J154" t="s">
        <v>35</v>
      </c>
      <c r="K154" t="e">
        <f>IF(A154="","",IF(J154=1,VLOOKUP(A154,[1]怪物!$R$80:$V$99,4,0),VLOOKUP(A154,[1]怪物!$R$80:$V$99,2,0))*10000)</f>
        <v>#N/A</v>
      </c>
      <c r="L154" t="e">
        <f>IF(A154="","",IF(K154=1,VLOOKUP(A154,[1]怪物!$R$80:$V$99,5,0),VLOOKUP(A154,[1]怪物!$R$80:$V$99,3,0))*10000)</f>
        <v>#N/A</v>
      </c>
      <c r="M154" t="e">
        <f t="shared" si="10"/>
        <v>#N/A</v>
      </c>
      <c r="N154" t="e">
        <f t="shared" si="11"/>
        <v>#N/A</v>
      </c>
    </row>
    <row r="155" spans="1:14">
      <c r="A155">
        <f t="shared" si="8"/>
        <v>12</v>
      </c>
      <c r="B155">
        <v>12</v>
      </c>
      <c r="C155" t="s">
        <v>40</v>
      </c>
      <c r="D155" t="s">
        <v>33</v>
      </c>
      <c r="E155">
        <v>1</v>
      </c>
      <c r="F155">
        <v>1</v>
      </c>
      <c r="G155">
        <v>1702</v>
      </c>
      <c r="H155" t="s">
        <v>37</v>
      </c>
      <c r="I155" t="str">
        <f t="shared" si="9"/>
        <v>[{1000,1,1,1702,401}]</v>
      </c>
      <c r="J155">
        <v>1</v>
      </c>
      <c r="K155" t="e">
        <f>IF(A155="","",IF(J155=1,VLOOKUP(A155,[1]怪物!$R$80:$V$99,4,0),VLOOKUP(A155,[1]怪物!$R$80:$V$99,2,0))*10000)</f>
        <v>#N/A</v>
      </c>
      <c r="L155" t="e">
        <f>IF(A155="","",IF(K155=1,VLOOKUP(A155,[1]怪物!$R$80:$V$99,5,0),VLOOKUP(A155,[1]怪物!$R$80:$V$99,3,0))*10000)</f>
        <v>#N/A</v>
      </c>
      <c r="M155" t="e">
        <f t="shared" si="10"/>
        <v>#N/A</v>
      </c>
      <c r="N155" t="e">
        <f t="shared" si="11"/>
        <v>#N/A</v>
      </c>
    </row>
    <row r="156" spans="1:14">
      <c r="A156">
        <f t="shared" si="8"/>
        <v>13</v>
      </c>
      <c r="B156">
        <v>13</v>
      </c>
      <c r="C156" t="s">
        <v>40</v>
      </c>
      <c r="D156" t="s">
        <v>33</v>
      </c>
      <c r="E156">
        <v>1</v>
      </c>
      <c r="F156">
        <v>1</v>
      </c>
      <c r="G156">
        <v>1701</v>
      </c>
      <c r="H156" t="s">
        <v>34</v>
      </c>
      <c r="I156" t="str">
        <f t="shared" si="9"/>
        <v>[{1000,1,1,1701,101}]</v>
      </c>
      <c r="J156" t="s">
        <v>35</v>
      </c>
      <c r="K156" t="e">
        <f>IF(A156="","",IF(J156=1,VLOOKUP(A156,[1]怪物!$R$80:$V$99,4,0),VLOOKUP(A156,[1]怪物!$R$80:$V$99,2,0))*10000)</f>
        <v>#N/A</v>
      </c>
      <c r="L156" t="e">
        <f>IF(A156="","",IF(K156=1,VLOOKUP(A156,[1]怪物!$R$80:$V$99,5,0),VLOOKUP(A156,[1]怪物!$R$80:$V$99,3,0))*10000)</f>
        <v>#N/A</v>
      </c>
      <c r="M156" t="e">
        <f t="shared" si="10"/>
        <v>#N/A</v>
      </c>
      <c r="N156" t="e">
        <f t="shared" si="11"/>
        <v>#N/A</v>
      </c>
    </row>
    <row r="157" spans="1:14">
      <c r="A157">
        <f t="shared" si="8"/>
        <v>13</v>
      </c>
      <c r="B157">
        <v>13</v>
      </c>
      <c r="C157" t="s">
        <v>40</v>
      </c>
      <c r="D157" t="s">
        <v>33</v>
      </c>
      <c r="E157">
        <v>1</v>
      </c>
      <c r="F157">
        <v>1</v>
      </c>
      <c r="G157">
        <v>1702</v>
      </c>
      <c r="H157" t="s">
        <v>37</v>
      </c>
      <c r="I157" t="str">
        <f t="shared" si="9"/>
        <v>[{1000,1,1,1702,401}]</v>
      </c>
      <c r="J157">
        <v>1</v>
      </c>
      <c r="K157" t="e">
        <f>IF(A157="","",IF(J157=1,VLOOKUP(A157,[1]怪物!$R$80:$V$99,4,0),VLOOKUP(A157,[1]怪物!$R$80:$V$99,2,0))*10000)</f>
        <v>#N/A</v>
      </c>
      <c r="L157" t="e">
        <f>IF(A157="","",IF(K157=1,VLOOKUP(A157,[1]怪物!$R$80:$V$99,5,0),VLOOKUP(A157,[1]怪物!$R$80:$V$99,3,0))*10000)</f>
        <v>#N/A</v>
      </c>
      <c r="M157" t="e">
        <f t="shared" si="10"/>
        <v>#N/A</v>
      </c>
      <c r="N157" t="e">
        <f t="shared" si="11"/>
        <v>#N/A</v>
      </c>
    </row>
    <row r="158" spans="1:14">
      <c r="A158">
        <f t="shared" si="8"/>
        <v>14</v>
      </c>
      <c r="B158">
        <v>14</v>
      </c>
      <c r="C158" t="s">
        <v>40</v>
      </c>
      <c r="D158" t="s">
        <v>33</v>
      </c>
      <c r="E158">
        <v>1</v>
      </c>
      <c r="F158">
        <v>1</v>
      </c>
      <c r="G158">
        <v>1701</v>
      </c>
      <c r="H158" t="s">
        <v>34</v>
      </c>
      <c r="I158" t="str">
        <f t="shared" si="9"/>
        <v>[{1000,1,1,1701,101}]</v>
      </c>
      <c r="J158" t="s">
        <v>35</v>
      </c>
      <c r="K158" t="e">
        <f>IF(A158="","",IF(J158=1,VLOOKUP(A158,[1]怪物!$R$80:$V$99,4,0),VLOOKUP(A158,[1]怪物!$R$80:$V$99,2,0))*10000)</f>
        <v>#N/A</v>
      </c>
      <c r="L158" t="e">
        <f>IF(A158="","",IF(K158=1,VLOOKUP(A158,[1]怪物!$R$80:$V$99,5,0),VLOOKUP(A158,[1]怪物!$R$80:$V$99,3,0))*10000)</f>
        <v>#N/A</v>
      </c>
      <c r="M158" t="e">
        <f t="shared" si="10"/>
        <v>#N/A</v>
      </c>
      <c r="N158" t="e">
        <f t="shared" si="11"/>
        <v>#N/A</v>
      </c>
    </row>
    <row r="159" spans="1:14">
      <c r="A159">
        <f t="shared" si="8"/>
        <v>14</v>
      </c>
      <c r="B159">
        <v>14</v>
      </c>
      <c r="C159" t="s">
        <v>40</v>
      </c>
      <c r="D159" t="s">
        <v>33</v>
      </c>
      <c r="E159">
        <v>1</v>
      </c>
      <c r="F159">
        <v>1</v>
      </c>
      <c r="G159">
        <v>1702</v>
      </c>
      <c r="H159" t="s">
        <v>37</v>
      </c>
      <c r="I159" t="str">
        <f t="shared" si="9"/>
        <v>[{1000,1,1,1702,401}]</v>
      </c>
      <c r="J159">
        <v>1</v>
      </c>
      <c r="K159" t="e">
        <f>IF(A159="","",IF(J159=1,VLOOKUP(A159,[1]怪物!$R$80:$V$99,4,0),VLOOKUP(A159,[1]怪物!$R$80:$V$99,2,0))*10000)</f>
        <v>#N/A</v>
      </c>
      <c r="L159" t="e">
        <f>IF(A159="","",IF(K159=1,VLOOKUP(A159,[1]怪物!$R$80:$V$99,5,0),VLOOKUP(A159,[1]怪物!$R$80:$V$99,3,0))*10000)</f>
        <v>#N/A</v>
      </c>
      <c r="M159" t="e">
        <f t="shared" si="10"/>
        <v>#N/A</v>
      </c>
      <c r="N159" t="e">
        <f t="shared" si="11"/>
        <v>#N/A</v>
      </c>
    </row>
    <row r="160" spans="1:14">
      <c r="A160">
        <f t="shared" si="8"/>
        <v>14</v>
      </c>
      <c r="B160">
        <v>14</v>
      </c>
      <c r="C160" t="s">
        <v>40</v>
      </c>
      <c r="D160" t="s">
        <v>33</v>
      </c>
      <c r="E160">
        <v>1</v>
      </c>
      <c r="F160">
        <v>1</v>
      </c>
      <c r="G160">
        <v>1703</v>
      </c>
      <c r="H160" t="s">
        <v>34</v>
      </c>
      <c r="I160" t="str">
        <f t="shared" si="9"/>
        <v>[{1000,1,1,1703,101}]</v>
      </c>
      <c r="J160" t="s">
        <v>35</v>
      </c>
      <c r="K160" t="e">
        <f>IF(A160="","",IF(J160=1,VLOOKUP(A160,[1]怪物!$R$80:$V$99,4,0),VLOOKUP(A160,[1]怪物!$R$80:$V$99,2,0))*10000)</f>
        <v>#N/A</v>
      </c>
      <c r="L160" t="e">
        <f>IF(A160="","",IF(K160=1,VLOOKUP(A160,[1]怪物!$R$80:$V$99,5,0),VLOOKUP(A160,[1]怪物!$R$80:$V$99,3,0))*10000)</f>
        <v>#N/A</v>
      </c>
      <c r="M160" t="e">
        <f t="shared" si="10"/>
        <v>#N/A</v>
      </c>
      <c r="N160" t="e">
        <f t="shared" si="11"/>
        <v>#N/A</v>
      </c>
    </row>
    <row r="161" spans="1:14">
      <c r="A161">
        <f t="shared" si="8"/>
        <v>15</v>
      </c>
      <c r="B161">
        <v>15</v>
      </c>
      <c r="C161" t="s">
        <v>40</v>
      </c>
      <c r="D161" t="s">
        <v>33</v>
      </c>
      <c r="E161">
        <v>1</v>
      </c>
      <c r="F161">
        <v>1</v>
      </c>
      <c r="G161">
        <v>1701</v>
      </c>
      <c r="H161" t="s">
        <v>34</v>
      </c>
      <c r="I161" t="str">
        <f t="shared" si="9"/>
        <v>[{1000,1,1,1701,101}]</v>
      </c>
      <c r="J161" t="s">
        <v>35</v>
      </c>
      <c r="K161" t="e">
        <f>IF(A161="","",IF(J161=1,VLOOKUP(A161,[1]怪物!$R$80:$V$99,4,0),VLOOKUP(A161,[1]怪物!$R$80:$V$99,2,0))*10000)</f>
        <v>#N/A</v>
      </c>
      <c r="L161" t="e">
        <f>IF(A161="","",IF(K161=1,VLOOKUP(A161,[1]怪物!$R$80:$V$99,5,0),VLOOKUP(A161,[1]怪物!$R$80:$V$99,3,0))*10000)</f>
        <v>#N/A</v>
      </c>
      <c r="M161" t="e">
        <f t="shared" si="10"/>
        <v>#N/A</v>
      </c>
      <c r="N161" t="e">
        <f t="shared" si="11"/>
        <v>#N/A</v>
      </c>
    </row>
    <row r="162" spans="1:14">
      <c r="A162">
        <f t="shared" si="8"/>
        <v>15</v>
      </c>
      <c r="B162">
        <v>15</v>
      </c>
      <c r="C162" t="s">
        <v>40</v>
      </c>
      <c r="D162" t="s">
        <v>33</v>
      </c>
      <c r="E162">
        <v>1</v>
      </c>
      <c r="F162">
        <v>1</v>
      </c>
      <c r="G162">
        <v>1702</v>
      </c>
      <c r="H162" t="s">
        <v>37</v>
      </c>
      <c r="I162" t="str">
        <f t="shared" si="9"/>
        <v>[{1000,1,1,1702,401}]</v>
      </c>
      <c r="J162">
        <v>1</v>
      </c>
      <c r="K162" t="e">
        <f>IF(A162="","",IF(J162=1,VLOOKUP(A162,[1]怪物!$R$80:$V$99,4,0),VLOOKUP(A162,[1]怪物!$R$80:$V$99,2,0))*10000)</f>
        <v>#N/A</v>
      </c>
      <c r="L162" t="e">
        <f>IF(A162="","",IF(K162=1,VLOOKUP(A162,[1]怪物!$R$80:$V$99,5,0),VLOOKUP(A162,[1]怪物!$R$80:$V$99,3,0))*10000)</f>
        <v>#N/A</v>
      </c>
      <c r="M162" t="e">
        <f t="shared" si="10"/>
        <v>#N/A</v>
      </c>
      <c r="N162" t="e">
        <f t="shared" si="11"/>
        <v>#N/A</v>
      </c>
    </row>
    <row r="163" spans="1:14">
      <c r="A163">
        <f t="shared" si="8"/>
        <v>15</v>
      </c>
      <c r="B163">
        <v>15</v>
      </c>
      <c r="C163" t="s">
        <v>40</v>
      </c>
      <c r="D163" t="s">
        <v>33</v>
      </c>
      <c r="E163">
        <v>1</v>
      </c>
      <c r="F163">
        <v>1</v>
      </c>
      <c r="G163">
        <v>1703</v>
      </c>
      <c r="H163" t="s">
        <v>34</v>
      </c>
      <c r="I163" t="str">
        <f t="shared" si="9"/>
        <v>[{1000,1,1,1703,101}]</v>
      </c>
      <c r="J163" t="s">
        <v>35</v>
      </c>
      <c r="K163" t="e">
        <f>IF(A163="","",IF(J163=1,VLOOKUP(A163,[1]怪物!$R$80:$V$99,4,0),VLOOKUP(A163,[1]怪物!$R$80:$V$99,2,0))*10000)</f>
        <v>#N/A</v>
      </c>
      <c r="L163" t="e">
        <f>IF(A163="","",IF(K163=1,VLOOKUP(A163,[1]怪物!$R$80:$V$99,5,0),VLOOKUP(A163,[1]怪物!$R$80:$V$99,3,0))*10000)</f>
        <v>#N/A</v>
      </c>
      <c r="M163" t="e">
        <f t="shared" si="10"/>
        <v>#N/A</v>
      </c>
      <c r="N163" t="e">
        <f t="shared" si="11"/>
        <v>#N/A</v>
      </c>
    </row>
    <row r="164" spans="1:14">
      <c r="A164">
        <f t="shared" si="8"/>
        <v>16</v>
      </c>
      <c r="B164">
        <v>16</v>
      </c>
      <c r="C164" t="s">
        <v>40</v>
      </c>
      <c r="D164" t="s">
        <v>33</v>
      </c>
      <c r="E164">
        <v>1</v>
      </c>
      <c r="F164">
        <v>1</v>
      </c>
      <c r="G164">
        <v>1701</v>
      </c>
      <c r="H164" t="s">
        <v>34</v>
      </c>
      <c r="I164" t="str">
        <f t="shared" si="9"/>
        <v>[{1000,1,1,1701,101}]</v>
      </c>
      <c r="J164" t="s">
        <v>35</v>
      </c>
      <c r="K164" t="e">
        <f>IF(A164="","",IF(J164=1,VLOOKUP(A164,[1]怪物!$R$80:$V$99,4,0),VLOOKUP(A164,[1]怪物!$R$80:$V$99,2,0))*10000)</f>
        <v>#N/A</v>
      </c>
      <c r="L164" t="e">
        <f>IF(A164="","",IF(K164=1,VLOOKUP(A164,[1]怪物!$R$80:$V$99,5,0),VLOOKUP(A164,[1]怪物!$R$80:$V$99,3,0))*10000)</f>
        <v>#N/A</v>
      </c>
      <c r="M164" t="e">
        <f t="shared" si="10"/>
        <v>#N/A</v>
      </c>
      <c r="N164" t="e">
        <f t="shared" si="11"/>
        <v>#N/A</v>
      </c>
    </row>
    <row r="165" spans="1:14">
      <c r="A165">
        <f t="shared" si="8"/>
        <v>16</v>
      </c>
      <c r="B165">
        <v>16</v>
      </c>
      <c r="C165" t="s">
        <v>40</v>
      </c>
      <c r="D165" t="s">
        <v>33</v>
      </c>
      <c r="E165">
        <v>1</v>
      </c>
      <c r="F165">
        <v>1</v>
      </c>
      <c r="G165">
        <v>1702</v>
      </c>
      <c r="H165" t="s">
        <v>37</v>
      </c>
      <c r="I165" t="str">
        <f t="shared" si="9"/>
        <v>[{1000,1,1,1702,401}]</v>
      </c>
      <c r="J165">
        <v>1</v>
      </c>
      <c r="K165" t="e">
        <f>IF(A165="","",IF(J165=1,VLOOKUP(A165,[1]怪物!$R$80:$V$99,4,0),VLOOKUP(A165,[1]怪物!$R$80:$V$99,2,0))*10000)</f>
        <v>#N/A</v>
      </c>
      <c r="L165" t="e">
        <f>IF(A165="","",IF(K165=1,VLOOKUP(A165,[1]怪物!$R$80:$V$99,5,0),VLOOKUP(A165,[1]怪物!$R$80:$V$99,3,0))*10000)</f>
        <v>#N/A</v>
      </c>
      <c r="M165" t="e">
        <f t="shared" si="10"/>
        <v>#N/A</v>
      </c>
      <c r="N165" t="e">
        <f t="shared" si="11"/>
        <v>#N/A</v>
      </c>
    </row>
    <row r="166" spans="1:14">
      <c r="A166">
        <f t="shared" si="8"/>
        <v>16</v>
      </c>
      <c r="B166">
        <v>16</v>
      </c>
      <c r="C166" t="s">
        <v>40</v>
      </c>
      <c r="D166" t="s">
        <v>33</v>
      </c>
      <c r="E166">
        <v>1</v>
      </c>
      <c r="F166">
        <v>1</v>
      </c>
      <c r="G166">
        <v>1703</v>
      </c>
      <c r="H166" t="s">
        <v>34</v>
      </c>
      <c r="I166" t="str">
        <f t="shared" si="9"/>
        <v>[{1000,1,1,1703,101}]</v>
      </c>
      <c r="J166" t="s">
        <v>35</v>
      </c>
      <c r="K166" t="e">
        <f>IF(A166="","",IF(J166=1,VLOOKUP(A166,[1]怪物!$R$80:$V$99,4,0),VLOOKUP(A166,[1]怪物!$R$80:$V$99,2,0))*10000)</f>
        <v>#N/A</v>
      </c>
      <c r="L166" t="e">
        <f>IF(A166="","",IF(K166=1,VLOOKUP(A166,[1]怪物!$R$80:$V$99,5,0),VLOOKUP(A166,[1]怪物!$R$80:$V$99,3,0))*10000)</f>
        <v>#N/A</v>
      </c>
      <c r="M166" t="e">
        <f t="shared" si="10"/>
        <v>#N/A</v>
      </c>
      <c r="N166" t="e">
        <f t="shared" si="11"/>
        <v>#N/A</v>
      </c>
    </row>
    <row r="167" spans="1:14">
      <c r="A167">
        <f t="shared" si="8"/>
        <v>17</v>
      </c>
      <c r="B167">
        <v>17</v>
      </c>
      <c r="C167" t="s">
        <v>40</v>
      </c>
      <c r="D167" t="s">
        <v>33</v>
      </c>
      <c r="E167">
        <v>1</v>
      </c>
      <c r="F167">
        <v>1</v>
      </c>
      <c r="G167">
        <v>1701</v>
      </c>
      <c r="H167" t="s">
        <v>34</v>
      </c>
      <c r="I167" t="str">
        <f t="shared" si="9"/>
        <v>[{1000,1,1,1701,101}]</v>
      </c>
      <c r="J167" t="s">
        <v>35</v>
      </c>
      <c r="K167" t="e">
        <f>IF(A167="","",IF(J167=1,VLOOKUP(A167,[1]怪物!$R$80:$V$99,4,0),VLOOKUP(A167,[1]怪物!$R$80:$V$99,2,0))*10000)</f>
        <v>#N/A</v>
      </c>
      <c r="L167" t="e">
        <f>IF(A167="","",IF(K167=1,VLOOKUP(A167,[1]怪物!$R$80:$V$99,5,0),VLOOKUP(A167,[1]怪物!$R$80:$V$99,3,0))*10000)</f>
        <v>#N/A</v>
      </c>
      <c r="M167" t="e">
        <f t="shared" si="10"/>
        <v>#N/A</v>
      </c>
      <c r="N167" t="e">
        <f t="shared" si="11"/>
        <v>#N/A</v>
      </c>
    </row>
    <row r="168" spans="1:14">
      <c r="A168">
        <f t="shared" si="8"/>
        <v>17</v>
      </c>
      <c r="B168">
        <v>17</v>
      </c>
      <c r="C168" t="s">
        <v>40</v>
      </c>
      <c r="D168" t="s">
        <v>33</v>
      </c>
      <c r="E168">
        <v>1</v>
      </c>
      <c r="F168">
        <v>1</v>
      </c>
      <c r="G168">
        <v>1702</v>
      </c>
      <c r="H168" t="s">
        <v>37</v>
      </c>
      <c r="I168" t="str">
        <f t="shared" si="9"/>
        <v>[{1000,1,1,1702,401}]</v>
      </c>
      <c r="J168">
        <v>1</v>
      </c>
      <c r="K168" t="e">
        <f>IF(A168="","",IF(J168=1,VLOOKUP(A168,[1]怪物!$R$80:$V$99,4,0),VLOOKUP(A168,[1]怪物!$R$80:$V$99,2,0))*10000)</f>
        <v>#N/A</v>
      </c>
      <c r="L168" t="e">
        <f>IF(A168="","",IF(K168=1,VLOOKUP(A168,[1]怪物!$R$80:$V$99,5,0),VLOOKUP(A168,[1]怪物!$R$80:$V$99,3,0))*10000)</f>
        <v>#N/A</v>
      </c>
      <c r="M168" t="e">
        <f t="shared" si="10"/>
        <v>#N/A</v>
      </c>
      <c r="N168" t="e">
        <f t="shared" si="11"/>
        <v>#N/A</v>
      </c>
    </row>
    <row r="169" spans="1:14">
      <c r="A169">
        <f t="shared" si="8"/>
        <v>17</v>
      </c>
      <c r="B169">
        <v>17</v>
      </c>
      <c r="C169" t="s">
        <v>40</v>
      </c>
      <c r="D169" t="s">
        <v>33</v>
      </c>
      <c r="E169">
        <v>1</v>
      </c>
      <c r="F169">
        <v>1</v>
      </c>
      <c r="G169">
        <v>1703</v>
      </c>
      <c r="H169" t="s">
        <v>34</v>
      </c>
      <c r="I169" t="str">
        <f t="shared" si="9"/>
        <v>[{1000,1,1,1703,101}]</v>
      </c>
      <c r="J169" t="s">
        <v>35</v>
      </c>
      <c r="K169" t="e">
        <f>IF(A169="","",IF(J169=1,VLOOKUP(A169,[1]怪物!$R$80:$V$99,4,0),VLOOKUP(A169,[1]怪物!$R$80:$V$99,2,0))*10000)</f>
        <v>#N/A</v>
      </c>
      <c r="L169" t="e">
        <f>IF(A169="","",IF(K169=1,VLOOKUP(A169,[1]怪物!$R$80:$V$99,5,0),VLOOKUP(A169,[1]怪物!$R$80:$V$99,3,0))*10000)</f>
        <v>#N/A</v>
      </c>
      <c r="M169" t="e">
        <f t="shared" si="10"/>
        <v>#N/A</v>
      </c>
      <c r="N169" t="e">
        <f t="shared" si="11"/>
        <v>#N/A</v>
      </c>
    </row>
    <row r="170" spans="1:14">
      <c r="A170">
        <f t="shared" si="8"/>
        <v>18</v>
      </c>
      <c r="B170">
        <v>18</v>
      </c>
      <c r="C170" t="s">
        <v>40</v>
      </c>
      <c r="D170" t="s">
        <v>33</v>
      </c>
      <c r="E170">
        <v>1</v>
      </c>
      <c r="F170">
        <v>1</v>
      </c>
      <c r="G170">
        <v>1701</v>
      </c>
      <c r="H170" t="s">
        <v>34</v>
      </c>
      <c r="I170" t="str">
        <f t="shared" si="9"/>
        <v>[{1000,1,1,1701,101}]</v>
      </c>
      <c r="J170" t="s">
        <v>35</v>
      </c>
      <c r="K170" t="e">
        <f>IF(A170="","",IF(J170=1,VLOOKUP(A170,[1]怪物!$R$80:$V$99,4,0),VLOOKUP(A170,[1]怪物!$R$80:$V$99,2,0))*10000)</f>
        <v>#N/A</v>
      </c>
      <c r="L170" t="e">
        <f>IF(A170="","",IF(K170=1,VLOOKUP(A170,[1]怪物!$R$80:$V$99,5,0),VLOOKUP(A170,[1]怪物!$R$80:$V$99,3,0))*10000)</f>
        <v>#N/A</v>
      </c>
      <c r="M170" t="e">
        <f t="shared" si="10"/>
        <v>#N/A</v>
      </c>
      <c r="N170" t="e">
        <f t="shared" si="11"/>
        <v>#N/A</v>
      </c>
    </row>
    <row r="171" spans="1:14">
      <c r="A171">
        <f t="shared" si="8"/>
        <v>18</v>
      </c>
      <c r="B171">
        <v>18</v>
      </c>
      <c r="C171" t="s">
        <v>40</v>
      </c>
      <c r="D171" t="s">
        <v>33</v>
      </c>
      <c r="E171">
        <v>1</v>
      </c>
      <c r="F171">
        <v>1</v>
      </c>
      <c r="G171">
        <v>1702</v>
      </c>
      <c r="H171" t="s">
        <v>37</v>
      </c>
      <c r="I171" t="str">
        <f t="shared" si="9"/>
        <v>[{1000,1,1,1702,401}]</v>
      </c>
      <c r="J171">
        <v>1</v>
      </c>
      <c r="K171" t="e">
        <f>IF(A171="","",IF(J171=1,VLOOKUP(A171,[1]怪物!$R$80:$V$99,4,0),VLOOKUP(A171,[1]怪物!$R$80:$V$99,2,0))*10000)</f>
        <v>#N/A</v>
      </c>
      <c r="L171" t="e">
        <f>IF(A171="","",IF(K171=1,VLOOKUP(A171,[1]怪物!$R$80:$V$99,5,0),VLOOKUP(A171,[1]怪物!$R$80:$V$99,3,0))*10000)</f>
        <v>#N/A</v>
      </c>
      <c r="M171" t="e">
        <f t="shared" si="10"/>
        <v>#N/A</v>
      </c>
      <c r="N171" t="e">
        <f t="shared" si="11"/>
        <v>#N/A</v>
      </c>
    </row>
    <row r="172" spans="1:14">
      <c r="A172">
        <f t="shared" si="8"/>
        <v>18</v>
      </c>
      <c r="B172">
        <v>18</v>
      </c>
      <c r="C172" t="s">
        <v>40</v>
      </c>
      <c r="D172" t="s">
        <v>33</v>
      </c>
      <c r="E172">
        <v>1</v>
      </c>
      <c r="F172">
        <v>1</v>
      </c>
      <c r="G172">
        <v>1703</v>
      </c>
      <c r="H172" t="s">
        <v>34</v>
      </c>
      <c r="I172" t="str">
        <f t="shared" si="9"/>
        <v>[{1000,1,1,1703,101}]</v>
      </c>
      <c r="J172" t="s">
        <v>35</v>
      </c>
      <c r="K172" t="e">
        <f>IF(A172="","",IF(J172=1,VLOOKUP(A172,[1]怪物!$R$80:$V$99,4,0),VLOOKUP(A172,[1]怪物!$R$80:$V$99,2,0))*10000)</f>
        <v>#N/A</v>
      </c>
      <c r="L172" t="e">
        <f>IF(A172="","",IF(K172=1,VLOOKUP(A172,[1]怪物!$R$80:$V$99,5,0),VLOOKUP(A172,[1]怪物!$R$80:$V$99,3,0))*10000)</f>
        <v>#N/A</v>
      </c>
      <c r="M172" t="e">
        <f t="shared" si="10"/>
        <v>#N/A</v>
      </c>
      <c r="N172" t="e">
        <f t="shared" si="11"/>
        <v>#N/A</v>
      </c>
    </row>
    <row r="173" spans="1:14">
      <c r="A173">
        <f t="shared" si="8"/>
        <v>19</v>
      </c>
      <c r="B173">
        <v>19</v>
      </c>
      <c r="C173" t="s">
        <v>40</v>
      </c>
      <c r="D173" t="s">
        <v>33</v>
      </c>
      <c r="E173">
        <v>1</v>
      </c>
      <c r="F173">
        <v>1</v>
      </c>
      <c r="G173">
        <v>1701</v>
      </c>
      <c r="H173" t="s">
        <v>34</v>
      </c>
      <c r="I173" t="str">
        <f t="shared" si="9"/>
        <v>[{1000,1,1,1701,101}]</v>
      </c>
      <c r="J173" t="s">
        <v>35</v>
      </c>
      <c r="K173" t="e">
        <f>IF(A173="","",IF(J173=1,VLOOKUP(A173,[1]怪物!$R$80:$V$99,4,0),VLOOKUP(A173,[1]怪物!$R$80:$V$99,2,0))*10000)</f>
        <v>#N/A</v>
      </c>
      <c r="L173" t="e">
        <f>IF(A173="","",IF(K173=1,VLOOKUP(A173,[1]怪物!$R$80:$V$99,5,0),VLOOKUP(A173,[1]怪物!$R$80:$V$99,3,0))*10000)</f>
        <v>#N/A</v>
      </c>
      <c r="M173" t="e">
        <f t="shared" si="10"/>
        <v>#N/A</v>
      </c>
      <c r="N173" t="e">
        <f t="shared" si="11"/>
        <v>#N/A</v>
      </c>
    </row>
    <row r="174" spans="1:14">
      <c r="A174">
        <f t="shared" si="8"/>
        <v>19</v>
      </c>
      <c r="B174">
        <v>19</v>
      </c>
      <c r="C174" t="s">
        <v>40</v>
      </c>
      <c r="D174" t="s">
        <v>33</v>
      </c>
      <c r="E174">
        <v>1</v>
      </c>
      <c r="F174">
        <v>1</v>
      </c>
      <c r="G174">
        <v>1702</v>
      </c>
      <c r="H174" t="s">
        <v>37</v>
      </c>
      <c r="I174" t="str">
        <f t="shared" si="9"/>
        <v>[{1000,1,1,1702,401}]</v>
      </c>
      <c r="J174">
        <v>1</v>
      </c>
      <c r="K174" t="e">
        <f>IF(A174="","",IF(J174=1,VLOOKUP(A174,[1]怪物!$R$80:$V$99,4,0),VLOOKUP(A174,[1]怪物!$R$80:$V$99,2,0))*10000)</f>
        <v>#N/A</v>
      </c>
      <c r="L174" t="e">
        <f>IF(A174="","",IF(K174=1,VLOOKUP(A174,[1]怪物!$R$80:$V$99,5,0),VLOOKUP(A174,[1]怪物!$R$80:$V$99,3,0))*10000)</f>
        <v>#N/A</v>
      </c>
      <c r="M174" t="e">
        <f t="shared" si="10"/>
        <v>#N/A</v>
      </c>
      <c r="N174" t="e">
        <f t="shared" si="11"/>
        <v>#N/A</v>
      </c>
    </row>
    <row r="175" spans="1:14">
      <c r="A175">
        <f t="shared" si="8"/>
        <v>19</v>
      </c>
      <c r="B175">
        <v>19</v>
      </c>
      <c r="C175" t="s">
        <v>40</v>
      </c>
      <c r="D175" t="s">
        <v>33</v>
      </c>
      <c r="E175">
        <v>1</v>
      </c>
      <c r="F175">
        <v>1</v>
      </c>
      <c r="G175">
        <v>1703</v>
      </c>
      <c r="H175" t="s">
        <v>34</v>
      </c>
      <c r="I175" t="str">
        <f t="shared" si="9"/>
        <v>[{1000,1,1,1703,101}]</v>
      </c>
      <c r="J175" t="s">
        <v>35</v>
      </c>
      <c r="K175" t="e">
        <f>IF(A175="","",IF(J175=1,VLOOKUP(A175,[1]怪物!$R$80:$V$99,4,0),VLOOKUP(A175,[1]怪物!$R$80:$V$99,2,0))*10000)</f>
        <v>#N/A</v>
      </c>
      <c r="L175" t="e">
        <f>IF(A175="","",IF(K175=1,VLOOKUP(A175,[1]怪物!$R$80:$V$99,5,0),VLOOKUP(A175,[1]怪物!$R$80:$V$99,3,0))*10000)</f>
        <v>#N/A</v>
      </c>
      <c r="M175" t="e">
        <f t="shared" si="10"/>
        <v>#N/A</v>
      </c>
      <c r="N175" t="e">
        <f t="shared" si="11"/>
        <v>#N/A</v>
      </c>
    </row>
    <row r="176" spans="1:14">
      <c r="A176">
        <f t="shared" si="8"/>
        <v>20</v>
      </c>
      <c r="B176">
        <v>20</v>
      </c>
      <c r="C176" t="s">
        <v>40</v>
      </c>
      <c r="D176" t="s">
        <v>33</v>
      </c>
      <c r="E176">
        <v>1</v>
      </c>
      <c r="F176">
        <v>1</v>
      </c>
      <c r="G176">
        <v>1701</v>
      </c>
      <c r="H176" t="s">
        <v>34</v>
      </c>
      <c r="I176" t="str">
        <f t="shared" si="9"/>
        <v>[{1000,1,1,1701,101}]</v>
      </c>
      <c r="J176" t="s">
        <v>35</v>
      </c>
      <c r="K176" t="e">
        <f>IF(A176="","",IF(J176=1,VLOOKUP(A176,[1]怪物!$R$80:$V$99,4,0),VLOOKUP(A176,[1]怪物!$R$80:$V$99,2,0))*10000)</f>
        <v>#N/A</v>
      </c>
      <c r="L176" t="e">
        <f>IF(A176="","",IF(K176=1,VLOOKUP(A176,[1]怪物!$R$80:$V$99,5,0),VLOOKUP(A176,[1]怪物!$R$80:$V$99,3,0))*10000)</f>
        <v>#N/A</v>
      </c>
      <c r="M176" t="e">
        <f t="shared" si="10"/>
        <v>#N/A</v>
      </c>
      <c r="N176" t="e">
        <f t="shared" si="11"/>
        <v>#N/A</v>
      </c>
    </row>
    <row r="177" spans="1:14">
      <c r="A177">
        <f t="shared" si="8"/>
        <v>20</v>
      </c>
      <c r="B177">
        <v>20</v>
      </c>
      <c r="C177" t="s">
        <v>40</v>
      </c>
      <c r="D177" t="s">
        <v>33</v>
      </c>
      <c r="E177">
        <v>1</v>
      </c>
      <c r="F177">
        <v>1</v>
      </c>
      <c r="G177">
        <v>1702</v>
      </c>
      <c r="H177" t="s">
        <v>37</v>
      </c>
      <c r="I177" t="str">
        <f t="shared" si="9"/>
        <v>[{1000,1,1,1702,401}]</v>
      </c>
      <c r="J177">
        <v>1</v>
      </c>
      <c r="K177" t="e">
        <f>IF(A177="","",IF(J177=1,VLOOKUP(A177,[1]怪物!$R$80:$V$99,4,0),VLOOKUP(A177,[1]怪物!$R$80:$V$99,2,0))*10000)</f>
        <v>#N/A</v>
      </c>
      <c r="L177" t="e">
        <f>IF(A177="","",IF(K177=1,VLOOKUP(A177,[1]怪物!$R$80:$V$99,5,0),VLOOKUP(A177,[1]怪物!$R$80:$V$99,3,0))*10000)</f>
        <v>#N/A</v>
      </c>
      <c r="M177" t="e">
        <f t="shared" si="10"/>
        <v>#N/A</v>
      </c>
      <c r="N177" t="e">
        <f t="shared" si="11"/>
        <v>#N/A</v>
      </c>
    </row>
    <row r="178" spans="1:14">
      <c r="A178">
        <f t="shared" si="8"/>
        <v>20</v>
      </c>
      <c r="B178">
        <v>20</v>
      </c>
      <c r="C178" t="s">
        <v>40</v>
      </c>
      <c r="D178" t="s">
        <v>33</v>
      </c>
      <c r="E178">
        <v>1</v>
      </c>
      <c r="F178">
        <v>1</v>
      </c>
      <c r="G178">
        <v>1703</v>
      </c>
      <c r="H178" t="s">
        <v>34</v>
      </c>
      <c r="I178" t="str">
        <f t="shared" si="9"/>
        <v>[{1000,1,1,1703,101}]</v>
      </c>
      <c r="J178" t="s">
        <v>35</v>
      </c>
      <c r="K178" t="e">
        <f>IF(A178="","",IF(J178=1,VLOOKUP(A178,[1]怪物!$R$80:$V$99,4,0),VLOOKUP(A178,[1]怪物!$R$80:$V$99,2,0))*10000)</f>
        <v>#N/A</v>
      </c>
      <c r="L178" t="e">
        <f>IF(A178="","",IF(K178=1,VLOOKUP(A178,[1]怪物!$R$80:$V$99,5,0),VLOOKUP(A178,[1]怪物!$R$80:$V$99,3,0))*10000)</f>
        <v>#N/A</v>
      </c>
      <c r="M178" t="e">
        <f t="shared" si="10"/>
        <v>#N/A</v>
      </c>
      <c r="N178" t="e">
        <f t="shared" si="11"/>
        <v>#N/A</v>
      </c>
    </row>
    <row r="179" spans="1:14">
      <c r="A179" t="str">
        <f t="shared" si="8"/>
        <v/>
      </c>
      <c r="B179">
        <v>20</v>
      </c>
      <c r="C179" t="s">
        <v>40</v>
      </c>
      <c r="D179" t="s">
        <v>28</v>
      </c>
      <c r="I179" t="str">
        <f t="shared" si="9"/>
        <v>[]</v>
      </c>
      <c r="J179">
        <v>2</v>
      </c>
      <c r="K179" t="str">
        <f>IF(A179="","",IF(J179=1,VLOOKUP(A179,[1]怪物!$R$80:$V$99,4,0),VLOOKUP(A179,[1]怪物!$R$80:$V$99,2,0))*10000)</f>
        <v/>
      </c>
      <c r="L179" t="str">
        <f>IF(A179="","",IF(K179=1,VLOOKUP(A179,[1]怪物!$R$80:$V$99,5,0),VLOOKUP(A179,[1]怪物!$R$80:$V$99,3,0))*10000)</f>
        <v/>
      </c>
      <c r="M179" t="str">
        <f t="shared" si="10"/>
        <v/>
      </c>
      <c r="N179" t="str">
        <f t="shared" si="11"/>
        <v/>
      </c>
    </row>
    <row r="180" spans="1:14">
      <c r="A180">
        <f t="shared" si="8"/>
        <v>20</v>
      </c>
      <c r="B180">
        <v>20</v>
      </c>
      <c r="C180" t="s">
        <v>40</v>
      </c>
      <c r="D180" t="s">
        <v>33</v>
      </c>
      <c r="E180">
        <v>1</v>
      </c>
      <c r="F180">
        <v>0</v>
      </c>
      <c r="G180">
        <v>1731</v>
      </c>
      <c r="H180" t="s">
        <v>36</v>
      </c>
      <c r="I180" t="str">
        <f t="shared" si="9"/>
        <v>[{1000,1,0,1731,41}]</v>
      </c>
      <c r="J180">
        <v>1</v>
      </c>
      <c r="K180" t="e">
        <f>IF(A180="","",IF(J180=1,VLOOKUP(A180,[1]怪物!$R$80:$V$99,4,0),VLOOKUP(A180,[1]怪物!$R$80:$V$99,2,0))*10000)</f>
        <v>#N/A</v>
      </c>
      <c r="L180" t="e">
        <f>IF(A180="","",IF(K180=1,VLOOKUP(A180,[1]怪物!$R$80:$V$99,5,0),VLOOKUP(A180,[1]怪物!$R$80:$V$99,3,0))*10000)</f>
        <v>#N/A</v>
      </c>
      <c r="M180">
        <f t="shared" si="10"/>
        <v>10000</v>
      </c>
      <c r="N180">
        <f t="shared" si="11"/>
        <v>10000</v>
      </c>
    </row>
    <row r="181" spans="1:14">
      <c r="A181">
        <f t="shared" si="8"/>
        <v>1</v>
      </c>
      <c r="B181">
        <v>1</v>
      </c>
      <c r="C181" t="s">
        <v>41</v>
      </c>
      <c r="D181" t="s">
        <v>33</v>
      </c>
      <c r="E181">
        <v>1</v>
      </c>
      <c r="F181">
        <v>1</v>
      </c>
      <c r="G181">
        <v>1801</v>
      </c>
      <c r="H181" t="s">
        <v>34</v>
      </c>
      <c r="I181" t="str">
        <f t="shared" si="9"/>
        <v>[{1000,1,1,1801,101}]</v>
      </c>
      <c r="J181" t="s">
        <v>35</v>
      </c>
      <c r="K181">
        <f>IF(A181="","",IF(J181=1,VLOOKUP(A181,[1]怪物!$R$80:$V$99,4,0),VLOOKUP(A181,[1]怪物!$R$80:$V$99,2,0))*10000)</f>
        <v>10000</v>
      </c>
      <c r="L181">
        <f>IF(A181="","",IF(K181=1,VLOOKUP(A181,[1]怪物!$R$80:$V$99,5,0),VLOOKUP(A181,[1]怪物!$R$80:$V$99,3,0))*10000)</f>
        <v>10000</v>
      </c>
      <c r="M181">
        <f t="shared" si="10"/>
        <v>10000</v>
      </c>
      <c r="N181">
        <f t="shared" si="11"/>
        <v>10000</v>
      </c>
    </row>
    <row r="182" spans="1:14">
      <c r="A182">
        <f t="shared" si="8"/>
        <v>2</v>
      </c>
      <c r="B182">
        <v>2</v>
      </c>
      <c r="C182" t="s">
        <v>41</v>
      </c>
      <c r="D182" t="s">
        <v>33</v>
      </c>
      <c r="E182">
        <v>1</v>
      </c>
      <c r="F182">
        <v>1</v>
      </c>
      <c r="G182">
        <v>1801</v>
      </c>
      <c r="H182" t="s">
        <v>34</v>
      </c>
      <c r="I182" t="str">
        <f t="shared" si="9"/>
        <v>[{1000,1,1,1801,101}]</v>
      </c>
      <c r="J182" t="s">
        <v>35</v>
      </c>
      <c r="K182">
        <f>IF(A182="","",IF(J182=1,VLOOKUP(A182,[1]怪物!$R$80:$V$99,4,0),VLOOKUP(A182,[1]怪物!$R$80:$V$99,2,0))*10000)</f>
        <v>10000</v>
      </c>
      <c r="L182">
        <f>IF(A182="","",IF(K182=1,VLOOKUP(A182,[1]怪物!$R$80:$V$99,5,0),VLOOKUP(A182,[1]怪物!$R$80:$V$99,3,0))*10000)</f>
        <v>10000</v>
      </c>
      <c r="M182">
        <f t="shared" si="10"/>
        <v>10000</v>
      </c>
      <c r="N182">
        <f t="shared" si="11"/>
        <v>10000</v>
      </c>
    </row>
    <row r="183" spans="1:14">
      <c r="A183">
        <f t="shared" si="8"/>
        <v>3</v>
      </c>
      <c r="B183">
        <v>3</v>
      </c>
      <c r="C183" t="s">
        <v>41</v>
      </c>
      <c r="D183" t="s">
        <v>33</v>
      </c>
      <c r="E183">
        <v>1</v>
      </c>
      <c r="F183">
        <v>1</v>
      </c>
      <c r="G183">
        <v>1801</v>
      </c>
      <c r="H183" t="s">
        <v>34</v>
      </c>
      <c r="I183" t="str">
        <f t="shared" si="9"/>
        <v>[{1000,1,1,1801,101}]</v>
      </c>
      <c r="J183" t="s">
        <v>35</v>
      </c>
      <c r="K183">
        <f>IF(A183="","",IF(J183=1,VLOOKUP(A183,[1]怪物!$R$80:$V$99,4,0),VLOOKUP(A183,[1]怪物!$R$80:$V$99,2,0))*10000)</f>
        <v>10000</v>
      </c>
      <c r="L183">
        <f>IF(A183="","",IF(K183=1,VLOOKUP(A183,[1]怪物!$R$80:$V$99,5,0),VLOOKUP(A183,[1]怪物!$R$80:$V$99,3,0))*10000)</f>
        <v>10000</v>
      </c>
      <c r="M183">
        <f t="shared" si="10"/>
        <v>10000</v>
      </c>
      <c r="N183">
        <f t="shared" si="11"/>
        <v>10000</v>
      </c>
    </row>
    <row r="184" spans="1:14">
      <c r="A184">
        <f t="shared" si="8"/>
        <v>4</v>
      </c>
      <c r="B184">
        <v>4</v>
      </c>
      <c r="C184" t="s">
        <v>41</v>
      </c>
      <c r="D184" t="s">
        <v>33</v>
      </c>
      <c r="E184">
        <v>1</v>
      </c>
      <c r="F184">
        <v>1</v>
      </c>
      <c r="G184">
        <v>1801</v>
      </c>
      <c r="H184" t="s">
        <v>34</v>
      </c>
      <c r="I184" t="str">
        <f t="shared" si="9"/>
        <v>[{1000,1,1,1801,101}]</v>
      </c>
      <c r="J184" t="s">
        <v>35</v>
      </c>
      <c r="K184">
        <f>IF(A184="","",IF(J184=1,VLOOKUP(A184,[1]怪物!$R$80:$V$99,4,0),VLOOKUP(A184,[1]怪物!$R$80:$V$99,2,0))*10000)</f>
        <v>10000</v>
      </c>
      <c r="L184">
        <f>IF(A184="","",IF(K184=1,VLOOKUP(A184,[1]怪物!$R$80:$V$99,5,0),VLOOKUP(A184,[1]怪物!$R$80:$V$99,3,0))*10000)</f>
        <v>10000</v>
      </c>
      <c r="M184">
        <f t="shared" si="10"/>
        <v>10000</v>
      </c>
      <c r="N184">
        <f t="shared" si="11"/>
        <v>10000</v>
      </c>
    </row>
    <row r="185" spans="1:14">
      <c r="A185">
        <f t="shared" si="8"/>
        <v>5</v>
      </c>
      <c r="B185">
        <v>5</v>
      </c>
      <c r="C185" t="s">
        <v>41</v>
      </c>
      <c r="D185" t="s">
        <v>33</v>
      </c>
      <c r="E185">
        <v>1</v>
      </c>
      <c r="F185">
        <v>1</v>
      </c>
      <c r="G185">
        <v>1801</v>
      </c>
      <c r="H185" t="s">
        <v>34</v>
      </c>
      <c r="I185" t="str">
        <f t="shared" si="9"/>
        <v>[{1000,1,1,1801,101}]</v>
      </c>
      <c r="J185" t="s">
        <v>35</v>
      </c>
      <c r="K185">
        <f>IF(A185="","",IF(J185=1,VLOOKUP(A185,[1]怪物!$R$80:$V$99,4,0),VLOOKUP(A185,[1]怪物!$R$80:$V$99,2,0))*10000)</f>
        <v>10000</v>
      </c>
      <c r="L185">
        <f>IF(A185="","",IF(K185=1,VLOOKUP(A185,[1]怪物!$R$80:$V$99,5,0),VLOOKUP(A185,[1]怪物!$R$80:$V$99,3,0))*10000)</f>
        <v>10000</v>
      </c>
      <c r="M185">
        <f t="shared" si="10"/>
        <v>10000</v>
      </c>
      <c r="N185">
        <f t="shared" si="11"/>
        <v>10000</v>
      </c>
    </row>
    <row r="186" spans="1:14">
      <c r="A186">
        <f t="shared" si="8"/>
        <v>6</v>
      </c>
      <c r="B186">
        <v>6</v>
      </c>
      <c r="C186" t="s">
        <v>41</v>
      </c>
      <c r="D186" t="s">
        <v>33</v>
      </c>
      <c r="E186">
        <v>1</v>
      </c>
      <c r="F186">
        <v>1</v>
      </c>
      <c r="G186">
        <v>1801</v>
      </c>
      <c r="H186" t="s">
        <v>34</v>
      </c>
      <c r="I186" t="str">
        <f t="shared" si="9"/>
        <v>[{1000,1,1,1801,101}]</v>
      </c>
      <c r="J186" t="s">
        <v>35</v>
      </c>
      <c r="K186">
        <f>IF(A186="","",IF(J186=1,VLOOKUP(A186,[1]怪物!$R$80:$V$99,4,0),VLOOKUP(A186,[1]怪物!$R$80:$V$99,2,0))*10000)</f>
        <v>15000</v>
      </c>
      <c r="L186">
        <f>IF(A186="","",IF(K186=1,VLOOKUP(A186,[1]怪物!$R$80:$V$99,5,0),VLOOKUP(A186,[1]怪物!$R$80:$V$99,3,0))*10000)</f>
        <v>15000</v>
      </c>
      <c r="M186">
        <f t="shared" si="10"/>
        <v>15000</v>
      </c>
      <c r="N186">
        <f t="shared" si="11"/>
        <v>15000</v>
      </c>
    </row>
    <row r="187" spans="1:14">
      <c r="A187">
        <f t="shared" si="8"/>
        <v>7</v>
      </c>
      <c r="B187">
        <v>7</v>
      </c>
      <c r="C187" t="s">
        <v>41</v>
      </c>
      <c r="D187" t="s">
        <v>33</v>
      </c>
      <c r="E187">
        <v>1</v>
      </c>
      <c r="F187">
        <v>1</v>
      </c>
      <c r="G187">
        <v>1801</v>
      </c>
      <c r="H187" t="s">
        <v>34</v>
      </c>
      <c r="I187" t="str">
        <f t="shared" si="9"/>
        <v>[{1000,1,1,1801,101}]</v>
      </c>
      <c r="J187" t="s">
        <v>35</v>
      </c>
      <c r="K187">
        <f>IF(A187="","",IF(J187=1,VLOOKUP(A187,[1]怪物!$R$80:$V$99,4,0),VLOOKUP(A187,[1]怪物!$R$80:$V$99,2,0))*10000)</f>
        <v>15000</v>
      </c>
      <c r="L187">
        <f>IF(A187="","",IF(K187=1,VLOOKUP(A187,[1]怪物!$R$80:$V$99,5,0),VLOOKUP(A187,[1]怪物!$R$80:$V$99,3,0))*10000)</f>
        <v>15000</v>
      </c>
      <c r="M187">
        <f t="shared" si="10"/>
        <v>15000</v>
      </c>
      <c r="N187">
        <f t="shared" si="11"/>
        <v>15000</v>
      </c>
    </row>
    <row r="188" spans="1:14">
      <c r="A188">
        <f t="shared" si="8"/>
        <v>7</v>
      </c>
      <c r="B188">
        <v>7</v>
      </c>
      <c r="C188" t="s">
        <v>41</v>
      </c>
      <c r="D188" t="s">
        <v>33</v>
      </c>
      <c r="E188">
        <v>1</v>
      </c>
      <c r="F188">
        <v>1</v>
      </c>
      <c r="G188">
        <v>1802</v>
      </c>
      <c r="H188" t="s">
        <v>34</v>
      </c>
      <c r="I188" t="str">
        <f t="shared" si="9"/>
        <v>[{1000,1,1,1802,101}]</v>
      </c>
      <c r="J188" t="s">
        <v>35</v>
      </c>
      <c r="K188">
        <f>IF(A188="","",IF(J188=1,VLOOKUP(A188,[1]怪物!$R$80:$V$99,4,0),VLOOKUP(A188,[1]怪物!$R$80:$V$99,2,0))*10000)</f>
        <v>15000</v>
      </c>
      <c r="L188">
        <f>IF(A188="","",IF(K188=1,VLOOKUP(A188,[1]怪物!$R$80:$V$99,5,0),VLOOKUP(A188,[1]怪物!$R$80:$V$99,3,0))*10000)</f>
        <v>15000</v>
      </c>
      <c r="M188">
        <f t="shared" si="10"/>
        <v>15000</v>
      </c>
      <c r="N188">
        <f t="shared" si="11"/>
        <v>15000</v>
      </c>
    </row>
    <row r="189" spans="1:14">
      <c r="A189">
        <f t="shared" si="8"/>
        <v>8</v>
      </c>
      <c r="B189">
        <v>8</v>
      </c>
      <c r="C189" t="s">
        <v>41</v>
      </c>
      <c r="D189" t="s">
        <v>33</v>
      </c>
      <c r="E189">
        <v>1</v>
      </c>
      <c r="F189">
        <v>1</v>
      </c>
      <c r="G189">
        <v>1801</v>
      </c>
      <c r="H189" t="s">
        <v>34</v>
      </c>
      <c r="I189" t="str">
        <f t="shared" si="9"/>
        <v>[{1000,1,1,1801,101}]</v>
      </c>
      <c r="J189" t="s">
        <v>35</v>
      </c>
      <c r="K189">
        <f>IF(A189="","",IF(J189=1,VLOOKUP(A189,[1]怪物!$R$80:$V$99,4,0),VLOOKUP(A189,[1]怪物!$R$80:$V$99,2,0))*10000)</f>
        <v>15000</v>
      </c>
      <c r="L189">
        <f>IF(A189="","",IF(K189=1,VLOOKUP(A189,[1]怪物!$R$80:$V$99,5,0),VLOOKUP(A189,[1]怪物!$R$80:$V$99,3,0))*10000)</f>
        <v>15000</v>
      </c>
      <c r="M189">
        <f t="shared" si="10"/>
        <v>15000</v>
      </c>
      <c r="N189">
        <f t="shared" si="11"/>
        <v>15000</v>
      </c>
    </row>
    <row r="190" spans="1:14">
      <c r="A190">
        <f t="shared" si="8"/>
        <v>8</v>
      </c>
      <c r="B190">
        <v>8</v>
      </c>
      <c r="C190" t="s">
        <v>41</v>
      </c>
      <c r="D190" t="s">
        <v>33</v>
      </c>
      <c r="E190">
        <v>1</v>
      </c>
      <c r="F190">
        <v>1</v>
      </c>
      <c r="G190">
        <v>1802</v>
      </c>
      <c r="H190" t="s">
        <v>34</v>
      </c>
      <c r="I190" t="str">
        <f t="shared" si="9"/>
        <v>[{1000,1,1,1802,101}]</v>
      </c>
      <c r="J190" t="s">
        <v>35</v>
      </c>
      <c r="K190">
        <f>IF(A190="","",IF(J190=1,VLOOKUP(A190,[1]怪物!$R$80:$V$99,4,0),VLOOKUP(A190,[1]怪物!$R$80:$V$99,2,0))*10000)</f>
        <v>15000</v>
      </c>
      <c r="L190">
        <f>IF(A190="","",IF(K190=1,VLOOKUP(A190,[1]怪物!$R$80:$V$99,5,0),VLOOKUP(A190,[1]怪物!$R$80:$V$99,3,0))*10000)</f>
        <v>15000</v>
      </c>
      <c r="M190">
        <f t="shared" si="10"/>
        <v>15000</v>
      </c>
      <c r="N190">
        <f t="shared" si="11"/>
        <v>15000</v>
      </c>
    </row>
    <row r="191" spans="1:14">
      <c r="A191">
        <f t="shared" si="8"/>
        <v>9</v>
      </c>
      <c r="B191">
        <v>9</v>
      </c>
      <c r="C191" t="s">
        <v>41</v>
      </c>
      <c r="D191" t="s">
        <v>33</v>
      </c>
      <c r="E191">
        <v>1</v>
      </c>
      <c r="F191">
        <v>1</v>
      </c>
      <c r="G191">
        <v>1801</v>
      </c>
      <c r="H191" t="s">
        <v>34</v>
      </c>
      <c r="I191" t="str">
        <f t="shared" si="9"/>
        <v>[{1000,1,1,1801,101}]</v>
      </c>
      <c r="J191" t="s">
        <v>35</v>
      </c>
      <c r="K191" t="e">
        <f>IF(A191="","",IF(J191=1,VLOOKUP(A191,[1]怪物!$R$80:$V$99,4,0),VLOOKUP(A191,[1]怪物!$R$80:$V$99,2,0))*10000)</f>
        <v>#N/A</v>
      </c>
      <c r="L191" t="e">
        <f>IF(A191="","",IF(K191=1,VLOOKUP(A191,[1]怪物!$R$80:$V$99,5,0),VLOOKUP(A191,[1]怪物!$R$80:$V$99,3,0))*10000)</f>
        <v>#N/A</v>
      </c>
      <c r="M191" t="e">
        <f t="shared" si="10"/>
        <v>#N/A</v>
      </c>
      <c r="N191" t="e">
        <f t="shared" si="11"/>
        <v>#N/A</v>
      </c>
    </row>
    <row r="192" spans="1:14">
      <c r="A192">
        <f t="shared" si="8"/>
        <v>9</v>
      </c>
      <c r="B192">
        <v>9</v>
      </c>
      <c r="C192" t="s">
        <v>41</v>
      </c>
      <c r="D192" t="s">
        <v>33</v>
      </c>
      <c r="E192">
        <v>1</v>
      </c>
      <c r="F192">
        <v>1</v>
      </c>
      <c r="G192">
        <v>1802</v>
      </c>
      <c r="H192" t="s">
        <v>34</v>
      </c>
      <c r="I192" t="str">
        <f t="shared" si="9"/>
        <v>[{1000,1,1,1802,101}]</v>
      </c>
      <c r="J192" t="s">
        <v>35</v>
      </c>
      <c r="K192" t="e">
        <f>IF(A192="","",IF(J192=1,VLOOKUP(A192,[1]怪物!$R$80:$V$99,4,0),VLOOKUP(A192,[1]怪物!$R$80:$V$99,2,0))*10000)</f>
        <v>#N/A</v>
      </c>
      <c r="L192" t="e">
        <f>IF(A192="","",IF(K192=1,VLOOKUP(A192,[1]怪物!$R$80:$V$99,5,0),VLOOKUP(A192,[1]怪物!$R$80:$V$99,3,0))*10000)</f>
        <v>#N/A</v>
      </c>
      <c r="M192" t="e">
        <f t="shared" si="10"/>
        <v>#N/A</v>
      </c>
      <c r="N192" t="e">
        <f t="shared" si="11"/>
        <v>#N/A</v>
      </c>
    </row>
    <row r="193" spans="1:14">
      <c r="A193">
        <f t="shared" si="8"/>
        <v>10</v>
      </c>
      <c r="B193">
        <v>10</v>
      </c>
      <c r="C193" t="s">
        <v>41</v>
      </c>
      <c r="D193" t="s">
        <v>33</v>
      </c>
      <c r="E193">
        <v>1</v>
      </c>
      <c r="F193">
        <v>1</v>
      </c>
      <c r="G193">
        <v>1801</v>
      </c>
      <c r="H193" t="s">
        <v>34</v>
      </c>
      <c r="I193" t="str">
        <f t="shared" si="9"/>
        <v>[{1000,1,1,1801,101}]</v>
      </c>
      <c r="J193" t="s">
        <v>35</v>
      </c>
      <c r="K193" t="e">
        <f>IF(A193="","",IF(J193=1,VLOOKUP(A193,[1]怪物!$R$80:$V$99,4,0),VLOOKUP(A193,[1]怪物!$R$80:$V$99,2,0))*10000)</f>
        <v>#N/A</v>
      </c>
      <c r="L193" t="e">
        <f>IF(A193="","",IF(K193=1,VLOOKUP(A193,[1]怪物!$R$80:$V$99,5,0),VLOOKUP(A193,[1]怪物!$R$80:$V$99,3,0))*10000)</f>
        <v>#N/A</v>
      </c>
      <c r="M193" t="e">
        <f t="shared" si="10"/>
        <v>#N/A</v>
      </c>
      <c r="N193" t="e">
        <f t="shared" si="11"/>
        <v>#N/A</v>
      </c>
    </row>
    <row r="194" spans="1:14">
      <c r="A194">
        <f t="shared" ref="A194:A257" si="12">IF(E194="","",B194)</f>
        <v>10</v>
      </c>
      <c r="B194">
        <v>10</v>
      </c>
      <c r="C194" t="s">
        <v>41</v>
      </c>
      <c r="D194" t="s">
        <v>33</v>
      </c>
      <c r="E194">
        <v>1</v>
      </c>
      <c r="F194">
        <v>1</v>
      </c>
      <c r="G194">
        <v>1802</v>
      </c>
      <c r="H194" t="s">
        <v>34</v>
      </c>
      <c r="I194" t="str">
        <f t="shared" ref="I194:I257" si="13">_xlfn.TEXTJOIN(",",1,D194:H194)</f>
        <v>[{1000,1,1,1802,101}]</v>
      </c>
      <c r="J194" t="s">
        <v>35</v>
      </c>
      <c r="K194" t="e">
        <f>IF(A194="","",IF(J194=1,VLOOKUP(A194,[1]怪物!$R$80:$V$99,4,0),VLOOKUP(A194,[1]怪物!$R$80:$V$99,2,0))*10000)</f>
        <v>#N/A</v>
      </c>
      <c r="L194" t="e">
        <f>IF(A194="","",IF(K194=1,VLOOKUP(A194,[1]怪物!$R$80:$V$99,5,0),VLOOKUP(A194,[1]怪物!$R$80:$V$99,3,0))*10000)</f>
        <v>#N/A</v>
      </c>
      <c r="M194" t="e">
        <f t="shared" ref="M194:M257" si="14">IF(F194="","",IF(F194=0,10000,K194))</f>
        <v>#N/A</v>
      </c>
      <c r="N194" t="e">
        <f t="shared" ref="N194:N257" si="15">IF(F194="","",IF(F194=0,10000,L194))</f>
        <v>#N/A</v>
      </c>
    </row>
    <row r="195" spans="1:14">
      <c r="A195" t="str">
        <f t="shared" si="12"/>
        <v/>
      </c>
      <c r="B195">
        <v>10</v>
      </c>
      <c r="C195" t="s">
        <v>41</v>
      </c>
      <c r="D195" t="s">
        <v>28</v>
      </c>
      <c r="I195" t="str">
        <f t="shared" si="13"/>
        <v>[]</v>
      </c>
      <c r="J195">
        <v>2</v>
      </c>
      <c r="K195" t="str">
        <f>IF(A195="","",IF(J195=1,VLOOKUP(A195,[1]怪物!$R$80:$V$99,4,0),VLOOKUP(A195,[1]怪物!$R$80:$V$99,2,0))*10000)</f>
        <v/>
      </c>
      <c r="L195" t="str">
        <f>IF(A195="","",IF(K195=1,VLOOKUP(A195,[1]怪物!$R$80:$V$99,5,0),VLOOKUP(A195,[1]怪物!$R$80:$V$99,3,0))*10000)</f>
        <v/>
      </c>
      <c r="M195" t="str">
        <f t="shared" si="14"/>
        <v/>
      </c>
      <c r="N195" t="str">
        <f t="shared" si="15"/>
        <v/>
      </c>
    </row>
    <row r="196" spans="1:14">
      <c r="A196">
        <f t="shared" si="12"/>
        <v>10</v>
      </c>
      <c r="B196">
        <v>10</v>
      </c>
      <c r="C196" t="s">
        <v>41</v>
      </c>
      <c r="D196" t="s">
        <v>33</v>
      </c>
      <c r="E196">
        <v>1</v>
      </c>
      <c r="F196">
        <v>0</v>
      </c>
      <c r="G196">
        <v>1821</v>
      </c>
      <c r="H196" t="s">
        <v>37</v>
      </c>
      <c r="I196" t="str">
        <f t="shared" si="13"/>
        <v>[{1000,1,0,1821,401}]</v>
      </c>
      <c r="J196">
        <v>1</v>
      </c>
      <c r="K196" t="e">
        <f>IF(A196="","",IF(J196=1,VLOOKUP(A196,[1]怪物!$R$80:$V$99,4,0),VLOOKUP(A196,[1]怪物!$R$80:$V$99,2,0))*10000)</f>
        <v>#N/A</v>
      </c>
      <c r="L196" t="e">
        <f>IF(A196="","",IF(K196=1,VLOOKUP(A196,[1]怪物!$R$80:$V$99,5,0),VLOOKUP(A196,[1]怪物!$R$80:$V$99,3,0))*10000)</f>
        <v>#N/A</v>
      </c>
      <c r="M196">
        <f t="shared" si="14"/>
        <v>10000</v>
      </c>
      <c r="N196">
        <f t="shared" si="15"/>
        <v>10000</v>
      </c>
    </row>
    <row r="197" spans="1:14">
      <c r="A197">
        <f t="shared" si="12"/>
        <v>11</v>
      </c>
      <c r="B197">
        <v>11</v>
      </c>
      <c r="C197" t="s">
        <v>41</v>
      </c>
      <c r="D197" t="s">
        <v>33</v>
      </c>
      <c r="E197">
        <v>1</v>
      </c>
      <c r="F197">
        <v>1</v>
      </c>
      <c r="G197">
        <v>1801</v>
      </c>
      <c r="H197" t="s">
        <v>34</v>
      </c>
      <c r="I197" t="str">
        <f t="shared" si="13"/>
        <v>[{1000,1,1,1801,101}]</v>
      </c>
      <c r="J197" t="s">
        <v>35</v>
      </c>
      <c r="K197" t="e">
        <f>IF(A197="","",IF(J197=1,VLOOKUP(A197,[1]怪物!$R$80:$V$99,4,0),VLOOKUP(A197,[1]怪物!$R$80:$V$99,2,0))*10000)</f>
        <v>#N/A</v>
      </c>
      <c r="L197" t="e">
        <f>IF(A197="","",IF(K197=1,VLOOKUP(A197,[1]怪物!$R$80:$V$99,5,0),VLOOKUP(A197,[1]怪物!$R$80:$V$99,3,0))*10000)</f>
        <v>#N/A</v>
      </c>
      <c r="M197" t="e">
        <f t="shared" si="14"/>
        <v>#N/A</v>
      </c>
      <c r="N197" t="e">
        <f t="shared" si="15"/>
        <v>#N/A</v>
      </c>
    </row>
    <row r="198" spans="1:14">
      <c r="A198">
        <f t="shared" si="12"/>
        <v>11</v>
      </c>
      <c r="B198">
        <v>11</v>
      </c>
      <c r="C198" t="s">
        <v>41</v>
      </c>
      <c r="D198" t="s">
        <v>33</v>
      </c>
      <c r="E198">
        <v>1</v>
      </c>
      <c r="F198">
        <v>1</v>
      </c>
      <c r="G198">
        <v>1802</v>
      </c>
      <c r="H198" t="s">
        <v>34</v>
      </c>
      <c r="I198" t="str">
        <f t="shared" si="13"/>
        <v>[{1000,1,1,1802,101}]</v>
      </c>
      <c r="J198" t="s">
        <v>35</v>
      </c>
      <c r="K198" t="e">
        <f>IF(A198="","",IF(J198=1,VLOOKUP(A198,[1]怪物!$R$80:$V$99,4,0),VLOOKUP(A198,[1]怪物!$R$80:$V$99,2,0))*10000)</f>
        <v>#N/A</v>
      </c>
      <c r="L198" t="e">
        <f>IF(A198="","",IF(K198=1,VLOOKUP(A198,[1]怪物!$R$80:$V$99,5,0),VLOOKUP(A198,[1]怪物!$R$80:$V$99,3,0))*10000)</f>
        <v>#N/A</v>
      </c>
      <c r="M198" t="e">
        <f t="shared" si="14"/>
        <v>#N/A</v>
      </c>
      <c r="N198" t="e">
        <f t="shared" si="15"/>
        <v>#N/A</v>
      </c>
    </row>
    <row r="199" spans="1:14">
      <c r="A199">
        <f t="shared" si="12"/>
        <v>12</v>
      </c>
      <c r="B199">
        <v>12</v>
      </c>
      <c r="C199" t="s">
        <v>41</v>
      </c>
      <c r="D199" t="s">
        <v>33</v>
      </c>
      <c r="E199">
        <v>1</v>
      </c>
      <c r="F199">
        <v>1</v>
      </c>
      <c r="G199">
        <v>1801</v>
      </c>
      <c r="H199" t="s">
        <v>34</v>
      </c>
      <c r="I199" t="str">
        <f t="shared" si="13"/>
        <v>[{1000,1,1,1801,101}]</v>
      </c>
      <c r="J199" t="s">
        <v>35</v>
      </c>
      <c r="K199" t="e">
        <f>IF(A199="","",IF(J199=1,VLOOKUP(A199,[1]怪物!$R$80:$V$99,4,0),VLOOKUP(A199,[1]怪物!$R$80:$V$99,2,0))*10000)</f>
        <v>#N/A</v>
      </c>
      <c r="L199" t="e">
        <f>IF(A199="","",IF(K199=1,VLOOKUP(A199,[1]怪物!$R$80:$V$99,5,0),VLOOKUP(A199,[1]怪物!$R$80:$V$99,3,0))*10000)</f>
        <v>#N/A</v>
      </c>
      <c r="M199" t="e">
        <f t="shared" si="14"/>
        <v>#N/A</v>
      </c>
      <c r="N199" t="e">
        <f t="shared" si="15"/>
        <v>#N/A</v>
      </c>
    </row>
    <row r="200" spans="1:14">
      <c r="A200">
        <f t="shared" si="12"/>
        <v>12</v>
      </c>
      <c r="B200">
        <v>12</v>
      </c>
      <c r="C200" t="s">
        <v>41</v>
      </c>
      <c r="D200" t="s">
        <v>33</v>
      </c>
      <c r="E200">
        <v>1</v>
      </c>
      <c r="F200">
        <v>1</v>
      </c>
      <c r="G200">
        <v>1802</v>
      </c>
      <c r="H200" t="s">
        <v>34</v>
      </c>
      <c r="I200" t="str">
        <f t="shared" si="13"/>
        <v>[{1000,1,1,1802,101}]</v>
      </c>
      <c r="J200" t="s">
        <v>35</v>
      </c>
      <c r="K200" t="e">
        <f>IF(A200="","",IF(J200=1,VLOOKUP(A200,[1]怪物!$R$80:$V$99,4,0),VLOOKUP(A200,[1]怪物!$R$80:$V$99,2,0))*10000)</f>
        <v>#N/A</v>
      </c>
      <c r="L200" t="e">
        <f>IF(A200="","",IF(K200=1,VLOOKUP(A200,[1]怪物!$R$80:$V$99,5,0),VLOOKUP(A200,[1]怪物!$R$80:$V$99,3,0))*10000)</f>
        <v>#N/A</v>
      </c>
      <c r="M200" t="e">
        <f t="shared" si="14"/>
        <v>#N/A</v>
      </c>
      <c r="N200" t="e">
        <f t="shared" si="15"/>
        <v>#N/A</v>
      </c>
    </row>
    <row r="201" spans="1:14">
      <c r="A201">
        <f t="shared" si="12"/>
        <v>13</v>
      </c>
      <c r="B201">
        <v>13</v>
      </c>
      <c r="C201" t="s">
        <v>41</v>
      </c>
      <c r="D201" t="s">
        <v>33</v>
      </c>
      <c r="E201">
        <v>1</v>
      </c>
      <c r="F201">
        <v>1</v>
      </c>
      <c r="G201">
        <v>1801</v>
      </c>
      <c r="H201" t="s">
        <v>34</v>
      </c>
      <c r="I201" t="str">
        <f t="shared" si="13"/>
        <v>[{1000,1,1,1801,101}]</v>
      </c>
      <c r="J201" t="s">
        <v>35</v>
      </c>
      <c r="K201" t="e">
        <f>IF(A201="","",IF(J201=1,VLOOKUP(A201,[1]怪物!$R$80:$V$99,4,0),VLOOKUP(A201,[1]怪物!$R$80:$V$99,2,0))*10000)</f>
        <v>#N/A</v>
      </c>
      <c r="L201" t="e">
        <f>IF(A201="","",IF(K201=1,VLOOKUP(A201,[1]怪物!$R$80:$V$99,5,0),VLOOKUP(A201,[1]怪物!$R$80:$V$99,3,0))*10000)</f>
        <v>#N/A</v>
      </c>
      <c r="M201" t="e">
        <f t="shared" si="14"/>
        <v>#N/A</v>
      </c>
      <c r="N201" t="e">
        <f t="shared" si="15"/>
        <v>#N/A</v>
      </c>
    </row>
    <row r="202" spans="1:14">
      <c r="A202">
        <f t="shared" si="12"/>
        <v>13</v>
      </c>
      <c r="B202">
        <v>13</v>
      </c>
      <c r="C202" t="s">
        <v>41</v>
      </c>
      <c r="D202" t="s">
        <v>33</v>
      </c>
      <c r="E202">
        <v>1</v>
      </c>
      <c r="F202">
        <v>1</v>
      </c>
      <c r="G202">
        <v>1802</v>
      </c>
      <c r="H202" t="s">
        <v>34</v>
      </c>
      <c r="I202" t="str">
        <f t="shared" si="13"/>
        <v>[{1000,1,1,1802,101}]</v>
      </c>
      <c r="J202" t="s">
        <v>35</v>
      </c>
      <c r="K202" t="e">
        <f>IF(A202="","",IF(J202=1,VLOOKUP(A202,[1]怪物!$R$80:$V$99,4,0),VLOOKUP(A202,[1]怪物!$R$80:$V$99,2,0))*10000)</f>
        <v>#N/A</v>
      </c>
      <c r="L202" t="e">
        <f>IF(A202="","",IF(K202=1,VLOOKUP(A202,[1]怪物!$R$80:$V$99,5,0),VLOOKUP(A202,[1]怪物!$R$80:$V$99,3,0))*10000)</f>
        <v>#N/A</v>
      </c>
      <c r="M202" t="e">
        <f t="shared" si="14"/>
        <v>#N/A</v>
      </c>
      <c r="N202" t="e">
        <f t="shared" si="15"/>
        <v>#N/A</v>
      </c>
    </row>
    <row r="203" spans="1:14">
      <c r="A203">
        <f t="shared" si="12"/>
        <v>14</v>
      </c>
      <c r="B203">
        <v>14</v>
      </c>
      <c r="C203" t="s">
        <v>41</v>
      </c>
      <c r="D203" t="s">
        <v>33</v>
      </c>
      <c r="E203">
        <v>1</v>
      </c>
      <c r="F203">
        <v>1</v>
      </c>
      <c r="G203">
        <v>1801</v>
      </c>
      <c r="H203" t="s">
        <v>34</v>
      </c>
      <c r="I203" t="str">
        <f t="shared" si="13"/>
        <v>[{1000,1,1,1801,101}]</v>
      </c>
      <c r="J203" t="s">
        <v>35</v>
      </c>
      <c r="K203" t="e">
        <f>IF(A203="","",IF(J203=1,VLOOKUP(A203,[1]怪物!$R$80:$V$99,4,0),VLOOKUP(A203,[1]怪物!$R$80:$V$99,2,0))*10000)</f>
        <v>#N/A</v>
      </c>
      <c r="L203" t="e">
        <f>IF(A203="","",IF(K203=1,VLOOKUP(A203,[1]怪物!$R$80:$V$99,5,0),VLOOKUP(A203,[1]怪物!$R$80:$V$99,3,0))*10000)</f>
        <v>#N/A</v>
      </c>
      <c r="M203" t="e">
        <f t="shared" si="14"/>
        <v>#N/A</v>
      </c>
      <c r="N203" t="e">
        <f t="shared" si="15"/>
        <v>#N/A</v>
      </c>
    </row>
    <row r="204" spans="1:14">
      <c r="A204">
        <f t="shared" si="12"/>
        <v>14</v>
      </c>
      <c r="B204">
        <v>14</v>
      </c>
      <c r="C204" t="s">
        <v>41</v>
      </c>
      <c r="D204" t="s">
        <v>33</v>
      </c>
      <c r="E204">
        <v>1</v>
      </c>
      <c r="F204">
        <v>1</v>
      </c>
      <c r="G204">
        <v>1802</v>
      </c>
      <c r="H204" t="s">
        <v>34</v>
      </c>
      <c r="I204" t="str">
        <f t="shared" si="13"/>
        <v>[{1000,1,1,1802,101}]</v>
      </c>
      <c r="J204" t="s">
        <v>35</v>
      </c>
      <c r="K204" t="e">
        <f>IF(A204="","",IF(J204=1,VLOOKUP(A204,[1]怪物!$R$80:$V$99,4,0),VLOOKUP(A204,[1]怪物!$R$80:$V$99,2,0))*10000)</f>
        <v>#N/A</v>
      </c>
      <c r="L204" t="e">
        <f>IF(A204="","",IF(K204=1,VLOOKUP(A204,[1]怪物!$R$80:$V$99,5,0),VLOOKUP(A204,[1]怪物!$R$80:$V$99,3,0))*10000)</f>
        <v>#N/A</v>
      </c>
      <c r="M204" t="e">
        <f t="shared" si="14"/>
        <v>#N/A</v>
      </c>
      <c r="N204" t="e">
        <f t="shared" si="15"/>
        <v>#N/A</v>
      </c>
    </row>
    <row r="205" spans="1:14">
      <c r="A205">
        <f t="shared" si="12"/>
        <v>14</v>
      </c>
      <c r="B205">
        <v>14</v>
      </c>
      <c r="C205" t="s">
        <v>41</v>
      </c>
      <c r="D205" t="s">
        <v>33</v>
      </c>
      <c r="E205">
        <v>1</v>
      </c>
      <c r="F205">
        <v>1</v>
      </c>
      <c r="G205">
        <v>1803</v>
      </c>
      <c r="H205" t="s">
        <v>37</v>
      </c>
      <c r="I205" t="str">
        <f t="shared" si="13"/>
        <v>[{1000,1,1,1803,401}]</v>
      </c>
      <c r="J205">
        <v>1</v>
      </c>
      <c r="K205" t="e">
        <f>IF(A205="","",IF(J205=1,VLOOKUP(A205,[1]怪物!$R$80:$V$99,4,0),VLOOKUP(A205,[1]怪物!$R$80:$V$99,2,0))*10000)</f>
        <v>#N/A</v>
      </c>
      <c r="L205" t="e">
        <f>IF(A205="","",IF(K205=1,VLOOKUP(A205,[1]怪物!$R$80:$V$99,5,0),VLOOKUP(A205,[1]怪物!$R$80:$V$99,3,0))*10000)</f>
        <v>#N/A</v>
      </c>
      <c r="M205" t="e">
        <f t="shared" si="14"/>
        <v>#N/A</v>
      </c>
      <c r="N205" t="e">
        <f t="shared" si="15"/>
        <v>#N/A</v>
      </c>
    </row>
    <row r="206" spans="1:14">
      <c r="A206">
        <f t="shared" si="12"/>
        <v>15</v>
      </c>
      <c r="B206">
        <v>15</v>
      </c>
      <c r="C206" t="s">
        <v>41</v>
      </c>
      <c r="D206" t="s">
        <v>33</v>
      </c>
      <c r="E206">
        <v>1</v>
      </c>
      <c r="F206">
        <v>1</v>
      </c>
      <c r="G206">
        <v>1801</v>
      </c>
      <c r="H206" t="s">
        <v>34</v>
      </c>
      <c r="I206" t="str">
        <f t="shared" si="13"/>
        <v>[{1000,1,1,1801,101}]</v>
      </c>
      <c r="J206" t="s">
        <v>35</v>
      </c>
      <c r="K206" t="e">
        <f>IF(A206="","",IF(J206=1,VLOOKUP(A206,[1]怪物!$R$80:$V$99,4,0),VLOOKUP(A206,[1]怪物!$R$80:$V$99,2,0))*10000)</f>
        <v>#N/A</v>
      </c>
      <c r="L206" t="e">
        <f>IF(A206="","",IF(K206=1,VLOOKUP(A206,[1]怪物!$R$80:$V$99,5,0),VLOOKUP(A206,[1]怪物!$R$80:$V$99,3,0))*10000)</f>
        <v>#N/A</v>
      </c>
      <c r="M206" t="e">
        <f t="shared" si="14"/>
        <v>#N/A</v>
      </c>
      <c r="N206" t="e">
        <f t="shared" si="15"/>
        <v>#N/A</v>
      </c>
    </row>
    <row r="207" spans="1:14">
      <c r="A207">
        <f t="shared" si="12"/>
        <v>15</v>
      </c>
      <c r="B207">
        <v>15</v>
      </c>
      <c r="C207" t="s">
        <v>41</v>
      </c>
      <c r="D207" t="s">
        <v>33</v>
      </c>
      <c r="E207">
        <v>1</v>
      </c>
      <c r="F207">
        <v>1</v>
      </c>
      <c r="G207">
        <v>1802</v>
      </c>
      <c r="H207" t="s">
        <v>34</v>
      </c>
      <c r="I207" t="str">
        <f t="shared" si="13"/>
        <v>[{1000,1,1,1802,101}]</v>
      </c>
      <c r="J207" t="s">
        <v>35</v>
      </c>
      <c r="K207" t="e">
        <f>IF(A207="","",IF(J207=1,VLOOKUP(A207,[1]怪物!$R$80:$V$99,4,0),VLOOKUP(A207,[1]怪物!$R$80:$V$99,2,0))*10000)</f>
        <v>#N/A</v>
      </c>
      <c r="L207" t="e">
        <f>IF(A207="","",IF(K207=1,VLOOKUP(A207,[1]怪物!$R$80:$V$99,5,0),VLOOKUP(A207,[1]怪物!$R$80:$V$99,3,0))*10000)</f>
        <v>#N/A</v>
      </c>
      <c r="M207" t="e">
        <f t="shared" si="14"/>
        <v>#N/A</v>
      </c>
      <c r="N207" t="e">
        <f t="shared" si="15"/>
        <v>#N/A</v>
      </c>
    </row>
    <row r="208" spans="1:14">
      <c r="A208">
        <f t="shared" si="12"/>
        <v>15</v>
      </c>
      <c r="B208">
        <v>15</v>
      </c>
      <c r="C208" t="s">
        <v>41</v>
      </c>
      <c r="D208" t="s">
        <v>33</v>
      </c>
      <c r="E208">
        <v>1</v>
      </c>
      <c r="F208">
        <v>1</v>
      </c>
      <c r="G208">
        <v>1803</v>
      </c>
      <c r="H208" t="s">
        <v>37</v>
      </c>
      <c r="I208" t="str">
        <f t="shared" si="13"/>
        <v>[{1000,1,1,1803,401}]</v>
      </c>
      <c r="J208">
        <v>1</v>
      </c>
      <c r="K208" t="e">
        <f>IF(A208="","",IF(J208=1,VLOOKUP(A208,[1]怪物!$R$80:$V$99,4,0),VLOOKUP(A208,[1]怪物!$R$80:$V$99,2,0))*10000)</f>
        <v>#N/A</v>
      </c>
      <c r="L208" t="e">
        <f>IF(A208="","",IF(K208=1,VLOOKUP(A208,[1]怪物!$R$80:$V$99,5,0),VLOOKUP(A208,[1]怪物!$R$80:$V$99,3,0))*10000)</f>
        <v>#N/A</v>
      </c>
      <c r="M208" t="e">
        <f t="shared" si="14"/>
        <v>#N/A</v>
      </c>
      <c r="N208" t="e">
        <f t="shared" si="15"/>
        <v>#N/A</v>
      </c>
    </row>
    <row r="209" spans="1:14">
      <c r="A209">
        <f t="shared" si="12"/>
        <v>16</v>
      </c>
      <c r="B209">
        <v>16</v>
      </c>
      <c r="C209" t="s">
        <v>41</v>
      </c>
      <c r="D209" t="s">
        <v>33</v>
      </c>
      <c r="E209">
        <v>1</v>
      </c>
      <c r="F209">
        <v>1</v>
      </c>
      <c r="G209">
        <v>1801</v>
      </c>
      <c r="H209" t="s">
        <v>34</v>
      </c>
      <c r="I209" t="str">
        <f t="shared" si="13"/>
        <v>[{1000,1,1,1801,101}]</v>
      </c>
      <c r="J209" t="s">
        <v>35</v>
      </c>
      <c r="K209" t="e">
        <f>IF(A209="","",IF(J209=1,VLOOKUP(A209,[1]怪物!$R$80:$V$99,4,0),VLOOKUP(A209,[1]怪物!$R$80:$V$99,2,0))*10000)</f>
        <v>#N/A</v>
      </c>
      <c r="L209" t="e">
        <f>IF(A209="","",IF(K209=1,VLOOKUP(A209,[1]怪物!$R$80:$V$99,5,0),VLOOKUP(A209,[1]怪物!$R$80:$V$99,3,0))*10000)</f>
        <v>#N/A</v>
      </c>
      <c r="M209" t="e">
        <f t="shared" si="14"/>
        <v>#N/A</v>
      </c>
      <c r="N209" t="e">
        <f t="shared" si="15"/>
        <v>#N/A</v>
      </c>
    </row>
    <row r="210" spans="1:14">
      <c r="A210">
        <f t="shared" si="12"/>
        <v>16</v>
      </c>
      <c r="B210">
        <v>16</v>
      </c>
      <c r="C210" t="s">
        <v>41</v>
      </c>
      <c r="D210" t="s">
        <v>33</v>
      </c>
      <c r="E210">
        <v>1</v>
      </c>
      <c r="F210">
        <v>1</v>
      </c>
      <c r="G210">
        <v>1802</v>
      </c>
      <c r="H210" t="s">
        <v>34</v>
      </c>
      <c r="I210" t="str">
        <f t="shared" si="13"/>
        <v>[{1000,1,1,1802,101}]</v>
      </c>
      <c r="J210" t="s">
        <v>35</v>
      </c>
      <c r="K210" t="e">
        <f>IF(A210="","",IF(J210=1,VLOOKUP(A210,[1]怪物!$R$80:$V$99,4,0),VLOOKUP(A210,[1]怪物!$R$80:$V$99,2,0))*10000)</f>
        <v>#N/A</v>
      </c>
      <c r="L210" t="e">
        <f>IF(A210="","",IF(K210=1,VLOOKUP(A210,[1]怪物!$R$80:$V$99,5,0),VLOOKUP(A210,[1]怪物!$R$80:$V$99,3,0))*10000)</f>
        <v>#N/A</v>
      </c>
      <c r="M210" t="e">
        <f t="shared" si="14"/>
        <v>#N/A</v>
      </c>
      <c r="N210" t="e">
        <f t="shared" si="15"/>
        <v>#N/A</v>
      </c>
    </row>
    <row r="211" spans="1:14">
      <c r="A211">
        <f t="shared" si="12"/>
        <v>16</v>
      </c>
      <c r="B211">
        <v>16</v>
      </c>
      <c r="C211" t="s">
        <v>41</v>
      </c>
      <c r="D211" t="s">
        <v>33</v>
      </c>
      <c r="E211">
        <v>1</v>
      </c>
      <c r="F211">
        <v>1</v>
      </c>
      <c r="G211">
        <v>1803</v>
      </c>
      <c r="H211" t="s">
        <v>37</v>
      </c>
      <c r="I211" t="str">
        <f t="shared" si="13"/>
        <v>[{1000,1,1,1803,401}]</v>
      </c>
      <c r="J211">
        <v>1</v>
      </c>
      <c r="K211" t="e">
        <f>IF(A211="","",IF(J211=1,VLOOKUP(A211,[1]怪物!$R$80:$V$99,4,0),VLOOKUP(A211,[1]怪物!$R$80:$V$99,2,0))*10000)</f>
        <v>#N/A</v>
      </c>
      <c r="L211" t="e">
        <f>IF(A211="","",IF(K211=1,VLOOKUP(A211,[1]怪物!$R$80:$V$99,5,0),VLOOKUP(A211,[1]怪物!$R$80:$V$99,3,0))*10000)</f>
        <v>#N/A</v>
      </c>
      <c r="M211" t="e">
        <f t="shared" si="14"/>
        <v>#N/A</v>
      </c>
      <c r="N211" t="e">
        <f t="shared" si="15"/>
        <v>#N/A</v>
      </c>
    </row>
    <row r="212" spans="1:14">
      <c r="A212">
        <f t="shared" si="12"/>
        <v>17</v>
      </c>
      <c r="B212">
        <v>17</v>
      </c>
      <c r="C212" t="s">
        <v>41</v>
      </c>
      <c r="D212" t="s">
        <v>33</v>
      </c>
      <c r="E212">
        <v>1</v>
      </c>
      <c r="F212">
        <v>1</v>
      </c>
      <c r="G212">
        <v>1801</v>
      </c>
      <c r="H212" t="s">
        <v>34</v>
      </c>
      <c r="I212" t="str">
        <f t="shared" si="13"/>
        <v>[{1000,1,1,1801,101}]</v>
      </c>
      <c r="J212" t="s">
        <v>35</v>
      </c>
      <c r="K212" t="e">
        <f>IF(A212="","",IF(J212=1,VLOOKUP(A212,[1]怪物!$R$80:$V$99,4,0),VLOOKUP(A212,[1]怪物!$R$80:$V$99,2,0))*10000)</f>
        <v>#N/A</v>
      </c>
      <c r="L212" t="e">
        <f>IF(A212="","",IF(K212=1,VLOOKUP(A212,[1]怪物!$R$80:$V$99,5,0),VLOOKUP(A212,[1]怪物!$R$80:$V$99,3,0))*10000)</f>
        <v>#N/A</v>
      </c>
      <c r="M212" t="e">
        <f t="shared" si="14"/>
        <v>#N/A</v>
      </c>
      <c r="N212" t="e">
        <f t="shared" si="15"/>
        <v>#N/A</v>
      </c>
    </row>
    <row r="213" spans="1:14">
      <c r="A213">
        <f t="shared" si="12"/>
        <v>17</v>
      </c>
      <c r="B213">
        <v>17</v>
      </c>
      <c r="C213" t="s">
        <v>41</v>
      </c>
      <c r="D213" t="s">
        <v>33</v>
      </c>
      <c r="E213">
        <v>1</v>
      </c>
      <c r="F213">
        <v>1</v>
      </c>
      <c r="G213">
        <v>1802</v>
      </c>
      <c r="H213" t="s">
        <v>34</v>
      </c>
      <c r="I213" t="str">
        <f t="shared" si="13"/>
        <v>[{1000,1,1,1802,101}]</v>
      </c>
      <c r="J213" t="s">
        <v>35</v>
      </c>
      <c r="K213" t="e">
        <f>IF(A213="","",IF(J213=1,VLOOKUP(A213,[1]怪物!$R$80:$V$99,4,0),VLOOKUP(A213,[1]怪物!$R$80:$V$99,2,0))*10000)</f>
        <v>#N/A</v>
      </c>
      <c r="L213" t="e">
        <f>IF(A213="","",IF(K213=1,VLOOKUP(A213,[1]怪物!$R$80:$V$99,5,0),VLOOKUP(A213,[1]怪物!$R$80:$V$99,3,0))*10000)</f>
        <v>#N/A</v>
      </c>
      <c r="M213" t="e">
        <f t="shared" si="14"/>
        <v>#N/A</v>
      </c>
      <c r="N213" t="e">
        <f t="shared" si="15"/>
        <v>#N/A</v>
      </c>
    </row>
    <row r="214" spans="1:14">
      <c r="A214">
        <f t="shared" si="12"/>
        <v>17</v>
      </c>
      <c r="B214">
        <v>17</v>
      </c>
      <c r="C214" t="s">
        <v>41</v>
      </c>
      <c r="D214" t="s">
        <v>33</v>
      </c>
      <c r="E214">
        <v>1</v>
      </c>
      <c r="F214">
        <v>1</v>
      </c>
      <c r="G214">
        <v>1803</v>
      </c>
      <c r="H214" t="s">
        <v>37</v>
      </c>
      <c r="I214" t="str">
        <f t="shared" si="13"/>
        <v>[{1000,1,1,1803,401}]</v>
      </c>
      <c r="J214">
        <v>1</v>
      </c>
      <c r="K214" t="e">
        <f>IF(A214="","",IF(J214=1,VLOOKUP(A214,[1]怪物!$R$80:$V$99,4,0),VLOOKUP(A214,[1]怪物!$R$80:$V$99,2,0))*10000)</f>
        <v>#N/A</v>
      </c>
      <c r="L214" t="e">
        <f>IF(A214="","",IF(K214=1,VLOOKUP(A214,[1]怪物!$R$80:$V$99,5,0),VLOOKUP(A214,[1]怪物!$R$80:$V$99,3,0))*10000)</f>
        <v>#N/A</v>
      </c>
      <c r="M214" t="e">
        <f t="shared" si="14"/>
        <v>#N/A</v>
      </c>
      <c r="N214" t="e">
        <f t="shared" si="15"/>
        <v>#N/A</v>
      </c>
    </row>
    <row r="215" spans="1:14">
      <c r="A215">
        <f t="shared" si="12"/>
        <v>18</v>
      </c>
      <c r="B215">
        <v>18</v>
      </c>
      <c r="C215" t="s">
        <v>41</v>
      </c>
      <c r="D215" t="s">
        <v>33</v>
      </c>
      <c r="E215">
        <v>1</v>
      </c>
      <c r="F215">
        <v>1</v>
      </c>
      <c r="G215">
        <v>1801</v>
      </c>
      <c r="H215" t="s">
        <v>34</v>
      </c>
      <c r="I215" t="str">
        <f t="shared" si="13"/>
        <v>[{1000,1,1,1801,101}]</v>
      </c>
      <c r="J215" t="s">
        <v>35</v>
      </c>
      <c r="K215" t="e">
        <f>IF(A215="","",IF(J215=1,VLOOKUP(A215,[1]怪物!$R$80:$V$99,4,0),VLOOKUP(A215,[1]怪物!$R$80:$V$99,2,0))*10000)</f>
        <v>#N/A</v>
      </c>
      <c r="L215" t="e">
        <f>IF(A215="","",IF(K215=1,VLOOKUP(A215,[1]怪物!$R$80:$V$99,5,0),VLOOKUP(A215,[1]怪物!$R$80:$V$99,3,0))*10000)</f>
        <v>#N/A</v>
      </c>
      <c r="M215" t="e">
        <f t="shared" si="14"/>
        <v>#N/A</v>
      </c>
      <c r="N215" t="e">
        <f t="shared" si="15"/>
        <v>#N/A</v>
      </c>
    </row>
    <row r="216" spans="1:14">
      <c r="A216">
        <f t="shared" si="12"/>
        <v>18</v>
      </c>
      <c r="B216">
        <v>18</v>
      </c>
      <c r="C216" t="s">
        <v>41</v>
      </c>
      <c r="D216" t="s">
        <v>33</v>
      </c>
      <c r="E216">
        <v>1</v>
      </c>
      <c r="F216">
        <v>1</v>
      </c>
      <c r="G216">
        <v>1802</v>
      </c>
      <c r="H216" t="s">
        <v>34</v>
      </c>
      <c r="I216" t="str">
        <f t="shared" si="13"/>
        <v>[{1000,1,1,1802,101}]</v>
      </c>
      <c r="J216" t="s">
        <v>35</v>
      </c>
      <c r="K216" t="e">
        <f>IF(A216="","",IF(J216=1,VLOOKUP(A216,[1]怪物!$R$80:$V$99,4,0),VLOOKUP(A216,[1]怪物!$R$80:$V$99,2,0))*10000)</f>
        <v>#N/A</v>
      </c>
      <c r="L216" t="e">
        <f>IF(A216="","",IF(K216=1,VLOOKUP(A216,[1]怪物!$R$80:$V$99,5,0),VLOOKUP(A216,[1]怪物!$R$80:$V$99,3,0))*10000)</f>
        <v>#N/A</v>
      </c>
      <c r="M216" t="e">
        <f t="shared" si="14"/>
        <v>#N/A</v>
      </c>
      <c r="N216" t="e">
        <f t="shared" si="15"/>
        <v>#N/A</v>
      </c>
    </row>
    <row r="217" spans="1:14">
      <c r="A217">
        <f t="shared" si="12"/>
        <v>18</v>
      </c>
      <c r="B217">
        <v>18</v>
      </c>
      <c r="C217" t="s">
        <v>41</v>
      </c>
      <c r="D217" t="s">
        <v>33</v>
      </c>
      <c r="E217">
        <v>1</v>
      </c>
      <c r="F217">
        <v>1</v>
      </c>
      <c r="G217">
        <v>1803</v>
      </c>
      <c r="H217" t="s">
        <v>37</v>
      </c>
      <c r="I217" t="str">
        <f t="shared" si="13"/>
        <v>[{1000,1,1,1803,401}]</v>
      </c>
      <c r="J217">
        <v>1</v>
      </c>
      <c r="K217" t="e">
        <f>IF(A217="","",IF(J217=1,VLOOKUP(A217,[1]怪物!$R$80:$V$99,4,0),VLOOKUP(A217,[1]怪物!$R$80:$V$99,2,0))*10000)</f>
        <v>#N/A</v>
      </c>
      <c r="L217" t="e">
        <f>IF(A217="","",IF(K217=1,VLOOKUP(A217,[1]怪物!$R$80:$V$99,5,0),VLOOKUP(A217,[1]怪物!$R$80:$V$99,3,0))*10000)</f>
        <v>#N/A</v>
      </c>
      <c r="M217" t="e">
        <f t="shared" si="14"/>
        <v>#N/A</v>
      </c>
      <c r="N217" t="e">
        <f t="shared" si="15"/>
        <v>#N/A</v>
      </c>
    </row>
    <row r="218" spans="1:14">
      <c r="A218">
        <f t="shared" si="12"/>
        <v>19</v>
      </c>
      <c r="B218">
        <v>19</v>
      </c>
      <c r="C218" t="s">
        <v>41</v>
      </c>
      <c r="D218" t="s">
        <v>33</v>
      </c>
      <c r="E218">
        <v>1</v>
      </c>
      <c r="F218">
        <v>1</v>
      </c>
      <c r="G218">
        <v>1801</v>
      </c>
      <c r="H218" t="s">
        <v>34</v>
      </c>
      <c r="I218" t="str">
        <f t="shared" si="13"/>
        <v>[{1000,1,1,1801,101}]</v>
      </c>
      <c r="J218" t="s">
        <v>35</v>
      </c>
      <c r="K218" t="e">
        <f>IF(A218="","",IF(J218=1,VLOOKUP(A218,[1]怪物!$R$80:$V$99,4,0),VLOOKUP(A218,[1]怪物!$R$80:$V$99,2,0))*10000)</f>
        <v>#N/A</v>
      </c>
      <c r="L218" t="e">
        <f>IF(A218="","",IF(K218=1,VLOOKUP(A218,[1]怪物!$R$80:$V$99,5,0),VLOOKUP(A218,[1]怪物!$R$80:$V$99,3,0))*10000)</f>
        <v>#N/A</v>
      </c>
      <c r="M218" t="e">
        <f t="shared" si="14"/>
        <v>#N/A</v>
      </c>
      <c r="N218" t="e">
        <f t="shared" si="15"/>
        <v>#N/A</v>
      </c>
    </row>
    <row r="219" spans="1:14">
      <c r="A219">
        <f t="shared" si="12"/>
        <v>19</v>
      </c>
      <c r="B219">
        <v>19</v>
      </c>
      <c r="C219" t="s">
        <v>41</v>
      </c>
      <c r="D219" t="s">
        <v>33</v>
      </c>
      <c r="E219">
        <v>1</v>
      </c>
      <c r="F219">
        <v>1</v>
      </c>
      <c r="G219">
        <v>1802</v>
      </c>
      <c r="H219" t="s">
        <v>34</v>
      </c>
      <c r="I219" t="str">
        <f t="shared" si="13"/>
        <v>[{1000,1,1,1802,101}]</v>
      </c>
      <c r="J219" t="s">
        <v>35</v>
      </c>
      <c r="K219" t="e">
        <f>IF(A219="","",IF(J219=1,VLOOKUP(A219,[1]怪物!$R$80:$V$99,4,0),VLOOKUP(A219,[1]怪物!$R$80:$V$99,2,0))*10000)</f>
        <v>#N/A</v>
      </c>
      <c r="L219" t="e">
        <f>IF(A219="","",IF(K219=1,VLOOKUP(A219,[1]怪物!$R$80:$V$99,5,0),VLOOKUP(A219,[1]怪物!$R$80:$V$99,3,0))*10000)</f>
        <v>#N/A</v>
      </c>
      <c r="M219" t="e">
        <f t="shared" si="14"/>
        <v>#N/A</v>
      </c>
      <c r="N219" t="e">
        <f t="shared" si="15"/>
        <v>#N/A</v>
      </c>
    </row>
    <row r="220" spans="1:14">
      <c r="A220">
        <f t="shared" si="12"/>
        <v>19</v>
      </c>
      <c r="B220">
        <v>19</v>
      </c>
      <c r="C220" t="s">
        <v>41</v>
      </c>
      <c r="D220" t="s">
        <v>33</v>
      </c>
      <c r="E220">
        <v>1</v>
      </c>
      <c r="F220">
        <v>1</v>
      </c>
      <c r="G220">
        <v>1803</v>
      </c>
      <c r="H220" t="s">
        <v>37</v>
      </c>
      <c r="I220" t="str">
        <f t="shared" si="13"/>
        <v>[{1000,1,1,1803,401}]</v>
      </c>
      <c r="J220">
        <v>1</v>
      </c>
      <c r="K220" t="e">
        <f>IF(A220="","",IF(J220=1,VLOOKUP(A220,[1]怪物!$R$80:$V$99,4,0),VLOOKUP(A220,[1]怪物!$R$80:$V$99,2,0))*10000)</f>
        <v>#N/A</v>
      </c>
      <c r="L220" t="e">
        <f>IF(A220="","",IF(K220=1,VLOOKUP(A220,[1]怪物!$R$80:$V$99,5,0),VLOOKUP(A220,[1]怪物!$R$80:$V$99,3,0))*10000)</f>
        <v>#N/A</v>
      </c>
      <c r="M220" t="e">
        <f t="shared" si="14"/>
        <v>#N/A</v>
      </c>
      <c r="N220" t="e">
        <f t="shared" si="15"/>
        <v>#N/A</v>
      </c>
    </row>
    <row r="221" spans="1:14">
      <c r="A221">
        <f t="shared" si="12"/>
        <v>20</v>
      </c>
      <c r="B221">
        <v>20</v>
      </c>
      <c r="C221" t="s">
        <v>41</v>
      </c>
      <c r="D221" t="s">
        <v>33</v>
      </c>
      <c r="E221">
        <v>1</v>
      </c>
      <c r="F221">
        <v>1</v>
      </c>
      <c r="G221">
        <v>1801</v>
      </c>
      <c r="H221" t="s">
        <v>34</v>
      </c>
      <c r="I221" t="str">
        <f t="shared" si="13"/>
        <v>[{1000,1,1,1801,101}]</v>
      </c>
      <c r="J221" t="s">
        <v>35</v>
      </c>
      <c r="K221" t="e">
        <f>IF(A221="","",IF(J221=1,VLOOKUP(A221,[1]怪物!$R$80:$V$99,4,0),VLOOKUP(A221,[1]怪物!$R$80:$V$99,2,0))*10000)</f>
        <v>#N/A</v>
      </c>
      <c r="L221" t="e">
        <f>IF(A221="","",IF(K221=1,VLOOKUP(A221,[1]怪物!$R$80:$V$99,5,0),VLOOKUP(A221,[1]怪物!$R$80:$V$99,3,0))*10000)</f>
        <v>#N/A</v>
      </c>
      <c r="M221" t="e">
        <f t="shared" si="14"/>
        <v>#N/A</v>
      </c>
      <c r="N221" t="e">
        <f t="shared" si="15"/>
        <v>#N/A</v>
      </c>
    </row>
    <row r="222" spans="1:14">
      <c r="A222">
        <f t="shared" si="12"/>
        <v>20</v>
      </c>
      <c r="B222">
        <v>20</v>
      </c>
      <c r="C222" t="s">
        <v>41</v>
      </c>
      <c r="D222" t="s">
        <v>33</v>
      </c>
      <c r="E222">
        <v>1</v>
      </c>
      <c r="F222">
        <v>1</v>
      </c>
      <c r="G222">
        <v>1802</v>
      </c>
      <c r="H222" t="s">
        <v>34</v>
      </c>
      <c r="I222" t="str">
        <f t="shared" si="13"/>
        <v>[{1000,1,1,1802,101}]</v>
      </c>
      <c r="J222" t="s">
        <v>35</v>
      </c>
      <c r="K222" t="e">
        <f>IF(A222="","",IF(J222=1,VLOOKUP(A222,[1]怪物!$R$80:$V$99,4,0),VLOOKUP(A222,[1]怪物!$R$80:$V$99,2,0))*10000)</f>
        <v>#N/A</v>
      </c>
      <c r="L222" t="e">
        <f>IF(A222="","",IF(K222=1,VLOOKUP(A222,[1]怪物!$R$80:$V$99,5,0),VLOOKUP(A222,[1]怪物!$R$80:$V$99,3,0))*10000)</f>
        <v>#N/A</v>
      </c>
      <c r="M222" t="e">
        <f t="shared" si="14"/>
        <v>#N/A</v>
      </c>
      <c r="N222" t="e">
        <f t="shared" si="15"/>
        <v>#N/A</v>
      </c>
    </row>
    <row r="223" spans="1:14">
      <c r="A223">
        <f t="shared" si="12"/>
        <v>20</v>
      </c>
      <c r="B223">
        <v>20</v>
      </c>
      <c r="C223" t="s">
        <v>41</v>
      </c>
      <c r="D223" t="s">
        <v>33</v>
      </c>
      <c r="E223">
        <v>1</v>
      </c>
      <c r="F223">
        <v>1</v>
      </c>
      <c r="G223">
        <v>1803</v>
      </c>
      <c r="H223" t="s">
        <v>37</v>
      </c>
      <c r="I223" t="str">
        <f t="shared" si="13"/>
        <v>[{1000,1,1,1803,401}]</v>
      </c>
      <c r="J223">
        <v>1</v>
      </c>
      <c r="K223" t="e">
        <f>IF(A223="","",IF(J223=1,VLOOKUP(A223,[1]怪物!$R$80:$V$99,4,0),VLOOKUP(A223,[1]怪物!$R$80:$V$99,2,0))*10000)</f>
        <v>#N/A</v>
      </c>
      <c r="L223" t="e">
        <f>IF(A223="","",IF(K223=1,VLOOKUP(A223,[1]怪物!$R$80:$V$99,5,0),VLOOKUP(A223,[1]怪物!$R$80:$V$99,3,0))*10000)</f>
        <v>#N/A</v>
      </c>
      <c r="M223" t="e">
        <f t="shared" si="14"/>
        <v>#N/A</v>
      </c>
      <c r="N223" t="e">
        <f t="shared" si="15"/>
        <v>#N/A</v>
      </c>
    </row>
    <row r="224" spans="1:14">
      <c r="A224" t="str">
        <f t="shared" si="12"/>
        <v/>
      </c>
      <c r="B224">
        <v>20</v>
      </c>
      <c r="C224" t="s">
        <v>41</v>
      </c>
      <c r="D224" t="s">
        <v>28</v>
      </c>
      <c r="I224" t="str">
        <f t="shared" si="13"/>
        <v>[]</v>
      </c>
      <c r="J224">
        <v>2</v>
      </c>
      <c r="K224" t="str">
        <f>IF(A224="","",IF(J224=1,VLOOKUP(A224,[1]怪物!$R$80:$V$99,4,0),VLOOKUP(A224,[1]怪物!$R$80:$V$99,2,0))*10000)</f>
        <v/>
      </c>
      <c r="L224" t="str">
        <f>IF(A224="","",IF(K224=1,VLOOKUP(A224,[1]怪物!$R$80:$V$99,5,0),VLOOKUP(A224,[1]怪物!$R$80:$V$99,3,0))*10000)</f>
        <v/>
      </c>
      <c r="M224" t="str">
        <f t="shared" si="14"/>
        <v/>
      </c>
      <c r="N224" t="str">
        <f t="shared" si="15"/>
        <v/>
      </c>
    </row>
    <row r="225" spans="1:14">
      <c r="A225">
        <f t="shared" si="12"/>
        <v>20</v>
      </c>
      <c r="B225">
        <v>20</v>
      </c>
      <c r="C225" t="s">
        <v>41</v>
      </c>
      <c r="D225" t="s">
        <v>33</v>
      </c>
      <c r="E225">
        <v>1</v>
      </c>
      <c r="F225">
        <v>0</v>
      </c>
      <c r="G225">
        <v>1831</v>
      </c>
      <c r="H225" t="s">
        <v>37</v>
      </c>
      <c r="I225" t="str">
        <f t="shared" si="13"/>
        <v>[{1000,1,0,1831,401}]</v>
      </c>
      <c r="J225">
        <v>1</v>
      </c>
      <c r="K225" t="e">
        <f>IF(A225="","",IF(J225=1,VLOOKUP(A225,[1]怪物!$R$80:$V$99,4,0),VLOOKUP(A225,[1]怪物!$R$80:$V$99,2,0))*10000)</f>
        <v>#N/A</v>
      </c>
      <c r="L225" t="e">
        <f>IF(A225="","",IF(K225=1,VLOOKUP(A225,[1]怪物!$R$80:$V$99,5,0),VLOOKUP(A225,[1]怪物!$R$80:$V$99,3,0))*10000)</f>
        <v>#N/A</v>
      </c>
      <c r="M225">
        <f t="shared" si="14"/>
        <v>10000</v>
      </c>
      <c r="N225">
        <f t="shared" si="15"/>
        <v>10000</v>
      </c>
    </row>
    <row r="226" spans="1:14">
      <c r="A226">
        <f t="shared" si="12"/>
        <v>1</v>
      </c>
      <c r="B226">
        <v>1</v>
      </c>
      <c r="C226" t="s">
        <v>42</v>
      </c>
      <c r="D226" t="s">
        <v>33</v>
      </c>
      <c r="E226">
        <v>1</v>
      </c>
      <c r="F226">
        <v>1</v>
      </c>
      <c r="G226">
        <v>1901</v>
      </c>
      <c r="H226" t="s">
        <v>34</v>
      </c>
      <c r="I226" t="str">
        <f t="shared" si="13"/>
        <v>[{1000,1,1,1901,101}]</v>
      </c>
      <c r="J226" t="s">
        <v>35</v>
      </c>
      <c r="K226">
        <f>IF(A226="","",IF(J226=1,VLOOKUP(A226,[1]怪物!$R$80:$V$99,4,0),VLOOKUP(A226,[1]怪物!$R$80:$V$99,2,0))*10000)</f>
        <v>10000</v>
      </c>
      <c r="L226">
        <f>IF(A226="","",IF(K226=1,VLOOKUP(A226,[1]怪物!$R$80:$V$99,5,0),VLOOKUP(A226,[1]怪物!$R$80:$V$99,3,0))*10000)</f>
        <v>10000</v>
      </c>
      <c r="M226">
        <f t="shared" si="14"/>
        <v>10000</v>
      </c>
      <c r="N226">
        <f t="shared" si="15"/>
        <v>10000</v>
      </c>
    </row>
    <row r="227" spans="1:14">
      <c r="A227">
        <f t="shared" si="12"/>
        <v>2</v>
      </c>
      <c r="B227">
        <v>2</v>
      </c>
      <c r="C227" t="s">
        <v>42</v>
      </c>
      <c r="D227" t="s">
        <v>33</v>
      </c>
      <c r="E227">
        <v>1</v>
      </c>
      <c r="F227">
        <v>1</v>
      </c>
      <c r="G227">
        <v>1901</v>
      </c>
      <c r="H227" t="s">
        <v>34</v>
      </c>
      <c r="I227" t="str">
        <f t="shared" si="13"/>
        <v>[{1000,1,1,1901,101}]</v>
      </c>
      <c r="J227" t="s">
        <v>35</v>
      </c>
      <c r="K227">
        <f>IF(A227="","",IF(J227=1,VLOOKUP(A227,[1]怪物!$R$80:$V$99,4,0),VLOOKUP(A227,[1]怪物!$R$80:$V$99,2,0))*10000)</f>
        <v>10000</v>
      </c>
      <c r="L227">
        <f>IF(A227="","",IF(K227=1,VLOOKUP(A227,[1]怪物!$R$80:$V$99,5,0),VLOOKUP(A227,[1]怪物!$R$80:$V$99,3,0))*10000)</f>
        <v>10000</v>
      </c>
      <c r="M227">
        <f t="shared" si="14"/>
        <v>10000</v>
      </c>
      <c r="N227">
        <f t="shared" si="15"/>
        <v>10000</v>
      </c>
    </row>
    <row r="228" spans="1:14">
      <c r="A228">
        <f t="shared" si="12"/>
        <v>3</v>
      </c>
      <c r="B228">
        <v>3</v>
      </c>
      <c r="C228" t="s">
        <v>42</v>
      </c>
      <c r="D228" t="s">
        <v>33</v>
      </c>
      <c r="E228">
        <v>1</v>
      </c>
      <c r="F228">
        <v>1</v>
      </c>
      <c r="G228">
        <v>1901</v>
      </c>
      <c r="H228" t="s">
        <v>34</v>
      </c>
      <c r="I228" t="str">
        <f t="shared" si="13"/>
        <v>[{1000,1,1,1901,101}]</v>
      </c>
      <c r="J228" t="s">
        <v>35</v>
      </c>
      <c r="K228">
        <f>IF(A228="","",IF(J228=1,VLOOKUP(A228,[1]怪物!$R$80:$V$99,4,0),VLOOKUP(A228,[1]怪物!$R$80:$V$99,2,0))*10000)</f>
        <v>10000</v>
      </c>
      <c r="L228">
        <f>IF(A228="","",IF(K228=1,VLOOKUP(A228,[1]怪物!$R$80:$V$99,5,0),VLOOKUP(A228,[1]怪物!$R$80:$V$99,3,0))*10000)</f>
        <v>10000</v>
      </c>
      <c r="M228">
        <f t="shared" si="14"/>
        <v>10000</v>
      </c>
      <c r="N228">
        <f t="shared" si="15"/>
        <v>10000</v>
      </c>
    </row>
    <row r="229" spans="1:14">
      <c r="A229">
        <f t="shared" si="12"/>
        <v>4</v>
      </c>
      <c r="B229">
        <v>4</v>
      </c>
      <c r="C229" t="s">
        <v>42</v>
      </c>
      <c r="D229" t="s">
        <v>33</v>
      </c>
      <c r="E229">
        <v>1</v>
      </c>
      <c r="F229">
        <v>1</v>
      </c>
      <c r="G229">
        <v>1901</v>
      </c>
      <c r="H229" t="s">
        <v>34</v>
      </c>
      <c r="I229" t="str">
        <f t="shared" si="13"/>
        <v>[{1000,1,1,1901,101}]</v>
      </c>
      <c r="J229" t="s">
        <v>35</v>
      </c>
      <c r="K229">
        <f>IF(A229="","",IF(J229=1,VLOOKUP(A229,[1]怪物!$R$80:$V$99,4,0),VLOOKUP(A229,[1]怪物!$R$80:$V$99,2,0))*10000)</f>
        <v>10000</v>
      </c>
      <c r="L229">
        <f>IF(A229="","",IF(K229=1,VLOOKUP(A229,[1]怪物!$R$80:$V$99,5,0),VLOOKUP(A229,[1]怪物!$R$80:$V$99,3,0))*10000)</f>
        <v>10000</v>
      </c>
      <c r="M229">
        <f t="shared" si="14"/>
        <v>10000</v>
      </c>
      <c r="N229">
        <f t="shared" si="15"/>
        <v>10000</v>
      </c>
    </row>
    <row r="230" spans="1:14">
      <c r="A230">
        <f t="shared" si="12"/>
        <v>5</v>
      </c>
      <c r="B230">
        <v>5</v>
      </c>
      <c r="C230" t="s">
        <v>42</v>
      </c>
      <c r="D230" t="s">
        <v>33</v>
      </c>
      <c r="E230">
        <v>1</v>
      </c>
      <c r="F230">
        <v>1</v>
      </c>
      <c r="G230">
        <v>1901</v>
      </c>
      <c r="H230" t="s">
        <v>34</v>
      </c>
      <c r="I230" t="str">
        <f t="shared" si="13"/>
        <v>[{1000,1,1,1901,101}]</v>
      </c>
      <c r="J230" t="s">
        <v>35</v>
      </c>
      <c r="K230">
        <f>IF(A230="","",IF(J230=1,VLOOKUP(A230,[1]怪物!$R$80:$V$99,4,0),VLOOKUP(A230,[1]怪物!$R$80:$V$99,2,0))*10000)</f>
        <v>10000</v>
      </c>
      <c r="L230">
        <f>IF(A230="","",IF(K230=1,VLOOKUP(A230,[1]怪物!$R$80:$V$99,5,0),VLOOKUP(A230,[1]怪物!$R$80:$V$99,3,0))*10000)</f>
        <v>10000</v>
      </c>
      <c r="M230">
        <f t="shared" si="14"/>
        <v>10000</v>
      </c>
      <c r="N230">
        <f t="shared" si="15"/>
        <v>10000</v>
      </c>
    </row>
    <row r="231" spans="1:14">
      <c r="A231">
        <f t="shared" si="12"/>
        <v>6</v>
      </c>
      <c r="B231">
        <v>6</v>
      </c>
      <c r="C231" t="s">
        <v>42</v>
      </c>
      <c r="D231" t="s">
        <v>33</v>
      </c>
      <c r="E231">
        <v>1</v>
      </c>
      <c r="F231">
        <v>1</v>
      </c>
      <c r="G231">
        <v>1901</v>
      </c>
      <c r="H231" t="s">
        <v>34</v>
      </c>
      <c r="I231" t="str">
        <f t="shared" si="13"/>
        <v>[{1000,1,1,1901,101}]</v>
      </c>
      <c r="J231" t="s">
        <v>35</v>
      </c>
      <c r="K231">
        <f>IF(A231="","",IF(J231=1,VLOOKUP(A231,[1]怪物!$R$80:$V$99,4,0),VLOOKUP(A231,[1]怪物!$R$80:$V$99,2,0))*10000)</f>
        <v>15000</v>
      </c>
      <c r="L231">
        <f>IF(A231="","",IF(K231=1,VLOOKUP(A231,[1]怪物!$R$80:$V$99,5,0),VLOOKUP(A231,[1]怪物!$R$80:$V$99,3,0))*10000)</f>
        <v>15000</v>
      </c>
      <c r="M231">
        <f t="shared" si="14"/>
        <v>15000</v>
      </c>
      <c r="N231">
        <f t="shared" si="15"/>
        <v>15000</v>
      </c>
    </row>
    <row r="232" spans="1:14">
      <c r="A232">
        <f t="shared" si="12"/>
        <v>7</v>
      </c>
      <c r="B232">
        <v>7</v>
      </c>
      <c r="C232" t="s">
        <v>42</v>
      </c>
      <c r="D232" t="s">
        <v>33</v>
      </c>
      <c r="E232">
        <v>1</v>
      </c>
      <c r="F232">
        <v>1</v>
      </c>
      <c r="G232">
        <v>1901</v>
      </c>
      <c r="H232" t="s">
        <v>34</v>
      </c>
      <c r="I232" t="str">
        <f t="shared" si="13"/>
        <v>[{1000,1,1,1901,101}]</v>
      </c>
      <c r="J232" t="s">
        <v>35</v>
      </c>
      <c r="K232">
        <f>IF(A232="","",IF(J232=1,VLOOKUP(A232,[1]怪物!$R$80:$V$99,4,0),VLOOKUP(A232,[1]怪物!$R$80:$V$99,2,0))*10000)</f>
        <v>15000</v>
      </c>
      <c r="L232">
        <f>IF(A232="","",IF(K232=1,VLOOKUP(A232,[1]怪物!$R$80:$V$99,5,0),VLOOKUP(A232,[1]怪物!$R$80:$V$99,3,0))*10000)</f>
        <v>15000</v>
      </c>
      <c r="M232">
        <f t="shared" si="14"/>
        <v>15000</v>
      </c>
      <c r="N232">
        <f t="shared" si="15"/>
        <v>15000</v>
      </c>
    </row>
    <row r="233" spans="1:14">
      <c r="A233">
        <f t="shared" si="12"/>
        <v>7</v>
      </c>
      <c r="B233">
        <v>7</v>
      </c>
      <c r="C233" t="s">
        <v>42</v>
      </c>
      <c r="D233" t="s">
        <v>33</v>
      </c>
      <c r="E233">
        <v>1</v>
      </c>
      <c r="F233">
        <v>1</v>
      </c>
      <c r="G233">
        <v>1902</v>
      </c>
      <c r="H233" t="s">
        <v>37</v>
      </c>
      <c r="I233" t="str">
        <f t="shared" si="13"/>
        <v>[{1000,1,1,1902,401}]</v>
      </c>
      <c r="J233">
        <v>1</v>
      </c>
      <c r="K233">
        <f>IF(A233="","",IF(J233=1,VLOOKUP(A233,[1]怪物!$R$80:$V$99,4,0),VLOOKUP(A233,[1]怪物!$R$80:$V$99,2,0))*10000)</f>
        <v>13000</v>
      </c>
      <c r="L233">
        <f>IF(A233="","",IF(K233=1,VLOOKUP(A233,[1]怪物!$R$80:$V$99,5,0),VLOOKUP(A233,[1]怪物!$R$80:$V$99,3,0))*10000)</f>
        <v>15000</v>
      </c>
      <c r="M233">
        <f t="shared" si="14"/>
        <v>13000</v>
      </c>
      <c r="N233">
        <f t="shared" si="15"/>
        <v>15000</v>
      </c>
    </row>
    <row r="234" spans="1:14">
      <c r="A234">
        <f t="shared" si="12"/>
        <v>8</v>
      </c>
      <c r="B234">
        <v>8</v>
      </c>
      <c r="C234" t="s">
        <v>42</v>
      </c>
      <c r="D234" t="s">
        <v>33</v>
      </c>
      <c r="E234">
        <v>1</v>
      </c>
      <c r="F234">
        <v>1</v>
      </c>
      <c r="G234">
        <v>1901</v>
      </c>
      <c r="H234" t="s">
        <v>34</v>
      </c>
      <c r="I234" t="str">
        <f t="shared" si="13"/>
        <v>[{1000,1,1,1901,101}]</v>
      </c>
      <c r="J234" t="s">
        <v>35</v>
      </c>
      <c r="K234">
        <f>IF(A234="","",IF(J234=1,VLOOKUP(A234,[1]怪物!$R$80:$V$99,4,0),VLOOKUP(A234,[1]怪物!$R$80:$V$99,2,0))*10000)</f>
        <v>15000</v>
      </c>
      <c r="L234">
        <f>IF(A234="","",IF(K234=1,VLOOKUP(A234,[1]怪物!$R$80:$V$99,5,0),VLOOKUP(A234,[1]怪物!$R$80:$V$99,3,0))*10000)</f>
        <v>15000</v>
      </c>
      <c r="M234">
        <f t="shared" si="14"/>
        <v>15000</v>
      </c>
      <c r="N234">
        <f t="shared" si="15"/>
        <v>15000</v>
      </c>
    </row>
    <row r="235" spans="1:14">
      <c r="A235">
        <f t="shared" si="12"/>
        <v>8</v>
      </c>
      <c r="B235">
        <v>8</v>
      </c>
      <c r="C235" t="s">
        <v>42</v>
      </c>
      <c r="D235" t="s">
        <v>33</v>
      </c>
      <c r="E235">
        <v>1</v>
      </c>
      <c r="F235">
        <v>1</v>
      </c>
      <c r="G235">
        <v>1902</v>
      </c>
      <c r="H235" t="s">
        <v>37</v>
      </c>
      <c r="I235" t="str">
        <f t="shared" si="13"/>
        <v>[{1000,1,1,1902,401}]</v>
      </c>
      <c r="J235">
        <v>1</v>
      </c>
      <c r="K235">
        <f>IF(A235="","",IF(J235=1,VLOOKUP(A235,[1]怪物!$R$80:$V$99,4,0),VLOOKUP(A235,[1]怪物!$R$80:$V$99,2,0))*10000)</f>
        <v>13000</v>
      </c>
      <c r="L235">
        <f>IF(A235="","",IF(K235=1,VLOOKUP(A235,[1]怪物!$R$80:$V$99,5,0),VLOOKUP(A235,[1]怪物!$R$80:$V$99,3,0))*10000)</f>
        <v>15000</v>
      </c>
      <c r="M235">
        <f t="shared" si="14"/>
        <v>13000</v>
      </c>
      <c r="N235">
        <f t="shared" si="15"/>
        <v>15000</v>
      </c>
    </row>
    <row r="236" spans="1:14">
      <c r="A236">
        <f t="shared" si="12"/>
        <v>9</v>
      </c>
      <c r="B236">
        <v>9</v>
      </c>
      <c r="C236" t="s">
        <v>42</v>
      </c>
      <c r="D236" t="s">
        <v>33</v>
      </c>
      <c r="E236">
        <v>1</v>
      </c>
      <c r="F236">
        <v>1</v>
      </c>
      <c r="G236">
        <v>1901</v>
      </c>
      <c r="H236" t="s">
        <v>34</v>
      </c>
      <c r="I236" t="str">
        <f t="shared" si="13"/>
        <v>[{1000,1,1,1901,101}]</v>
      </c>
      <c r="J236" t="s">
        <v>35</v>
      </c>
      <c r="K236" t="e">
        <f>IF(A236="","",IF(J236=1,VLOOKUP(A236,[1]怪物!$R$80:$V$99,4,0),VLOOKUP(A236,[1]怪物!$R$80:$V$99,2,0))*10000)</f>
        <v>#N/A</v>
      </c>
      <c r="L236" t="e">
        <f>IF(A236="","",IF(K236=1,VLOOKUP(A236,[1]怪物!$R$80:$V$99,5,0),VLOOKUP(A236,[1]怪物!$R$80:$V$99,3,0))*10000)</f>
        <v>#N/A</v>
      </c>
      <c r="M236" t="e">
        <f t="shared" si="14"/>
        <v>#N/A</v>
      </c>
      <c r="N236" t="e">
        <f t="shared" si="15"/>
        <v>#N/A</v>
      </c>
    </row>
    <row r="237" spans="1:14">
      <c r="A237">
        <f t="shared" si="12"/>
        <v>9</v>
      </c>
      <c r="B237">
        <v>9</v>
      </c>
      <c r="C237" t="s">
        <v>42</v>
      </c>
      <c r="D237" t="s">
        <v>33</v>
      </c>
      <c r="E237">
        <v>1</v>
      </c>
      <c r="F237">
        <v>1</v>
      </c>
      <c r="G237">
        <v>1902</v>
      </c>
      <c r="H237" t="s">
        <v>37</v>
      </c>
      <c r="I237" t="str">
        <f t="shared" si="13"/>
        <v>[{1000,1,1,1902,401}]</v>
      </c>
      <c r="J237">
        <v>1</v>
      </c>
      <c r="K237" t="e">
        <f>IF(A237="","",IF(J237=1,VLOOKUP(A237,[1]怪物!$R$80:$V$99,4,0),VLOOKUP(A237,[1]怪物!$R$80:$V$99,2,0))*10000)</f>
        <v>#N/A</v>
      </c>
      <c r="L237" t="e">
        <f>IF(A237="","",IF(K237=1,VLOOKUP(A237,[1]怪物!$R$80:$V$99,5,0),VLOOKUP(A237,[1]怪物!$R$80:$V$99,3,0))*10000)</f>
        <v>#N/A</v>
      </c>
      <c r="M237" t="e">
        <f t="shared" si="14"/>
        <v>#N/A</v>
      </c>
      <c r="N237" t="e">
        <f t="shared" si="15"/>
        <v>#N/A</v>
      </c>
    </row>
    <row r="238" spans="1:14">
      <c r="A238">
        <f t="shared" si="12"/>
        <v>10</v>
      </c>
      <c r="B238">
        <v>10</v>
      </c>
      <c r="C238" t="s">
        <v>42</v>
      </c>
      <c r="D238" t="s">
        <v>33</v>
      </c>
      <c r="E238">
        <v>1</v>
      </c>
      <c r="F238">
        <v>1</v>
      </c>
      <c r="G238">
        <v>1901</v>
      </c>
      <c r="H238" t="s">
        <v>34</v>
      </c>
      <c r="I238" t="str">
        <f t="shared" si="13"/>
        <v>[{1000,1,1,1901,101}]</v>
      </c>
      <c r="J238" t="s">
        <v>35</v>
      </c>
      <c r="K238" t="e">
        <f>IF(A238="","",IF(J238=1,VLOOKUP(A238,[1]怪物!$R$80:$V$99,4,0),VLOOKUP(A238,[1]怪物!$R$80:$V$99,2,0))*10000)</f>
        <v>#N/A</v>
      </c>
      <c r="L238" t="e">
        <f>IF(A238="","",IF(K238=1,VLOOKUP(A238,[1]怪物!$R$80:$V$99,5,0),VLOOKUP(A238,[1]怪物!$R$80:$V$99,3,0))*10000)</f>
        <v>#N/A</v>
      </c>
      <c r="M238" t="e">
        <f t="shared" si="14"/>
        <v>#N/A</v>
      </c>
      <c r="N238" t="e">
        <f t="shared" si="15"/>
        <v>#N/A</v>
      </c>
    </row>
    <row r="239" spans="1:14">
      <c r="A239">
        <f t="shared" si="12"/>
        <v>10</v>
      </c>
      <c r="B239">
        <v>10</v>
      </c>
      <c r="C239" t="s">
        <v>42</v>
      </c>
      <c r="D239" t="s">
        <v>33</v>
      </c>
      <c r="E239">
        <v>1</v>
      </c>
      <c r="F239">
        <v>1</v>
      </c>
      <c r="G239">
        <v>1902</v>
      </c>
      <c r="H239" t="s">
        <v>37</v>
      </c>
      <c r="I239" t="str">
        <f t="shared" si="13"/>
        <v>[{1000,1,1,1902,401}]</v>
      </c>
      <c r="J239">
        <v>1</v>
      </c>
      <c r="K239" t="e">
        <f>IF(A239="","",IF(J239=1,VLOOKUP(A239,[1]怪物!$R$80:$V$99,4,0),VLOOKUP(A239,[1]怪物!$R$80:$V$99,2,0))*10000)</f>
        <v>#N/A</v>
      </c>
      <c r="L239" t="e">
        <f>IF(A239="","",IF(K239=1,VLOOKUP(A239,[1]怪物!$R$80:$V$99,5,0),VLOOKUP(A239,[1]怪物!$R$80:$V$99,3,0))*10000)</f>
        <v>#N/A</v>
      </c>
      <c r="M239" t="e">
        <f t="shared" si="14"/>
        <v>#N/A</v>
      </c>
      <c r="N239" t="e">
        <f t="shared" si="15"/>
        <v>#N/A</v>
      </c>
    </row>
    <row r="240" spans="1:14">
      <c r="A240" t="str">
        <f t="shared" si="12"/>
        <v/>
      </c>
      <c r="B240">
        <v>10</v>
      </c>
      <c r="C240" t="s">
        <v>42</v>
      </c>
      <c r="D240" t="s">
        <v>28</v>
      </c>
      <c r="I240" t="str">
        <f t="shared" si="13"/>
        <v>[]</v>
      </c>
      <c r="J240">
        <v>2</v>
      </c>
      <c r="K240" t="str">
        <f>IF(A240="","",IF(J240=1,VLOOKUP(A240,[1]怪物!$R$80:$V$99,4,0),VLOOKUP(A240,[1]怪物!$R$80:$V$99,2,0))*10000)</f>
        <v/>
      </c>
      <c r="L240" t="str">
        <f>IF(A240="","",IF(K240=1,VLOOKUP(A240,[1]怪物!$R$80:$V$99,5,0),VLOOKUP(A240,[1]怪物!$R$80:$V$99,3,0))*10000)</f>
        <v/>
      </c>
      <c r="M240" t="str">
        <f t="shared" si="14"/>
        <v/>
      </c>
      <c r="N240" t="str">
        <f t="shared" si="15"/>
        <v/>
      </c>
    </row>
    <row r="241" spans="1:14">
      <c r="A241">
        <f t="shared" si="12"/>
        <v>10</v>
      </c>
      <c r="B241">
        <v>10</v>
      </c>
      <c r="C241" t="s">
        <v>42</v>
      </c>
      <c r="D241" t="s">
        <v>33</v>
      </c>
      <c r="E241">
        <v>1</v>
      </c>
      <c r="F241">
        <v>0</v>
      </c>
      <c r="G241">
        <v>1921</v>
      </c>
      <c r="H241" t="s">
        <v>36</v>
      </c>
      <c r="I241" t="str">
        <f t="shared" si="13"/>
        <v>[{1000,1,0,1921,41}]</v>
      </c>
      <c r="J241" t="s">
        <v>35</v>
      </c>
      <c r="K241" t="e">
        <f>IF(A241="","",IF(J241=1,VLOOKUP(A241,[1]怪物!$R$80:$V$99,4,0),VLOOKUP(A241,[1]怪物!$R$80:$V$99,2,0))*10000)</f>
        <v>#N/A</v>
      </c>
      <c r="L241" t="e">
        <f>IF(A241="","",IF(K241=1,VLOOKUP(A241,[1]怪物!$R$80:$V$99,5,0),VLOOKUP(A241,[1]怪物!$R$80:$V$99,3,0))*10000)</f>
        <v>#N/A</v>
      </c>
      <c r="M241">
        <f t="shared" si="14"/>
        <v>10000</v>
      </c>
      <c r="N241">
        <f t="shared" si="15"/>
        <v>10000</v>
      </c>
    </row>
    <row r="242" spans="1:14">
      <c r="A242">
        <f t="shared" si="12"/>
        <v>11</v>
      </c>
      <c r="B242">
        <v>11</v>
      </c>
      <c r="C242" t="s">
        <v>42</v>
      </c>
      <c r="D242" t="s">
        <v>33</v>
      </c>
      <c r="E242">
        <v>1</v>
      </c>
      <c r="F242">
        <v>1</v>
      </c>
      <c r="G242">
        <v>1901</v>
      </c>
      <c r="H242" t="s">
        <v>34</v>
      </c>
      <c r="I242" t="str">
        <f t="shared" si="13"/>
        <v>[{1000,1,1,1901,101}]</v>
      </c>
      <c r="J242" t="s">
        <v>35</v>
      </c>
      <c r="K242" t="e">
        <f>IF(A242="","",IF(J242=1,VLOOKUP(A242,[1]怪物!$R$80:$V$99,4,0),VLOOKUP(A242,[1]怪物!$R$80:$V$99,2,0))*10000)</f>
        <v>#N/A</v>
      </c>
      <c r="L242" t="e">
        <f>IF(A242="","",IF(K242=1,VLOOKUP(A242,[1]怪物!$R$80:$V$99,5,0),VLOOKUP(A242,[1]怪物!$R$80:$V$99,3,0))*10000)</f>
        <v>#N/A</v>
      </c>
      <c r="M242" t="e">
        <f t="shared" si="14"/>
        <v>#N/A</v>
      </c>
      <c r="N242" t="e">
        <f t="shared" si="15"/>
        <v>#N/A</v>
      </c>
    </row>
    <row r="243" spans="1:14">
      <c r="A243">
        <f t="shared" si="12"/>
        <v>11</v>
      </c>
      <c r="B243">
        <v>11</v>
      </c>
      <c r="C243" t="s">
        <v>42</v>
      </c>
      <c r="D243" t="s">
        <v>33</v>
      </c>
      <c r="E243">
        <v>1</v>
      </c>
      <c r="F243">
        <v>1</v>
      </c>
      <c r="G243">
        <v>1902</v>
      </c>
      <c r="H243" t="s">
        <v>37</v>
      </c>
      <c r="I243" t="str">
        <f t="shared" si="13"/>
        <v>[{1000,1,1,1902,401}]</v>
      </c>
      <c r="J243">
        <v>1</v>
      </c>
      <c r="K243" t="e">
        <f>IF(A243="","",IF(J243=1,VLOOKUP(A243,[1]怪物!$R$80:$V$99,4,0),VLOOKUP(A243,[1]怪物!$R$80:$V$99,2,0))*10000)</f>
        <v>#N/A</v>
      </c>
      <c r="L243" t="e">
        <f>IF(A243="","",IF(K243=1,VLOOKUP(A243,[1]怪物!$R$80:$V$99,5,0),VLOOKUP(A243,[1]怪物!$R$80:$V$99,3,0))*10000)</f>
        <v>#N/A</v>
      </c>
      <c r="M243" t="e">
        <f t="shared" si="14"/>
        <v>#N/A</v>
      </c>
      <c r="N243" t="e">
        <f t="shared" si="15"/>
        <v>#N/A</v>
      </c>
    </row>
    <row r="244" spans="1:14">
      <c r="A244">
        <f t="shared" si="12"/>
        <v>12</v>
      </c>
      <c r="B244">
        <v>12</v>
      </c>
      <c r="C244" t="s">
        <v>42</v>
      </c>
      <c r="D244" t="s">
        <v>33</v>
      </c>
      <c r="E244">
        <v>1</v>
      </c>
      <c r="F244">
        <v>1</v>
      </c>
      <c r="G244">
        <v>1901</v>
      </c>
      <c r="H244" t="s">
        <v>34</v>
      </c>
      <c r="I244" t="str">
        <f t="shared" si="13"/>
        <v>[{1000,1,1,1901,101}]</v>
      </c>
      <c r="J244" t="s">
        <v>35</v>
      </c>
      <c r="K244" t="e">
        <f>IF(A244="","",IF(J244=1,VLOOKUP(A244,[1]怪物!$R$80:$V$99,4,0),VLOOKUP(A244,[1]怪物!$R$80:$V$99,2,0))*10000)</f>
        <v>#N/A</v>
      </c>
      <c r="L244" t="e">
        <f>IF(A244="","",IF(K244=1,VLOOKUP(A244,[1]怪物!$R$80:$V$99,5,0),VLOOKUP(A244,[1]怪物!$R$80:$V$99,3,0))*10000)</f>
        <v>#N/A</v>
      </c>
      <c r="M244" t="e">
        <f t="shared" si="14"/>
        <v>#N/A</v>
      </c>
      <c r="N244" t="e">
        <f t="shared" si="15"/>
        <v>#N/A</v>
      </c>
    </row>
    <row r="245" spans="1:14">
      <c r="A245">
        <f t="shared" si="12"/>
        <v>12</v>
      </c>
      <c r="B245">
        <v>12</v>
      </c>
      <c r="C245" t="s">
        <v>42</v>
      </c>
      <c r="D245" t="s">
        <v>33</v>
      </c>
      <c r="E245">
        <v>1</v>
      </c>
      <c r="F245">
        <v>1</v>
      </c>
      <c r="G245">
        <v>1902</v>
      </c>
      <c r="H245" t="s">
        <v>37</v>
      </c>
      <c r="I245" t="str">
        <f t="shared" si="13"/>
        <v>[{1000,1,1,1902,401}]</v>
      </c>
      <c r="J245">
        <v>1</v>
      </c>
      <c r="K245" t="e">
        <f>IF(A245="","",IF(J245=1,VLOOKUP(A245,[1]怪物!$R$80:$V$99,4,0),VLOOKUP(A245,[1]怪物!$R$80:$V$99,2,0))*10000)</f>
        <v>#N/A</v>
      </c>
      <c r="L245" t="e">
        <f>IF(A245="","",IF(K245=1,VLOOKUP(A245,[1]怪物!$R$80:$V$99,5,0),VLOOKUP(A245,[1]怪物!$R$80:$V$99,3,0))*10000)</f>
        <v>#N/A</v>
      </c>
      <c r="M245" t="e">
        <f t="shared" si="14"/>
        <v>#N/A</v>
      </c>
      <c r="N245" t="e">
        <f t="shared" si="15"/>
        <v>#N/A</v>
      </c>
    </row>
    <row r="246" spans="1:14">
      <c r="A246">
        <f t="shared" si="12"/>
        <v>13</v>
      </c>
      <c r="B246">
        <v>13</v>
      </c>
      <c r="C246" t="s">
        <v>42</v>
      </c>
      <c r="D246" t="s">
        <v>33</v>
      </c>
      <c r="E246">
        <v>1</v>
      </c>
      <c r="F246">
        <v>1</v>
      </c>
      <c r="G246">
        <v>1901</v>
      </c>
      <c r="H246" t="s">
        <v>34</v>
      </c>
      <c r="I246" t="str">
        <f t="shared" si="13"/>
        <v>[{1000,1,1,1901,101}]</v>
      </c>
      <c r="J246" t="s">
        <v>35</v>
      </c>
      <c r="K246" t="e">
        <f>IF(A246="","",IF(J246=1,VLOOKUP(A246,[1]怪物!$R$80:$V$99,4,0),VLOOKUP(A246,[1]怪物!$R$80:$V$99,2,0))*10000)</f>
        <v>#N/A</v>
      </c>
      <c r="L246" t="e">
        <f>IF(A246="","",IF(K246=1,VLOOKUP(A246,[1]怪物!$R$80:$V$99,5,0),VLOOKUP(A246,[1]怪物!$R$80:$V$99,3,0))*10000)</f>
        <v>#N/A</v>
      </c>
      <c r="M246" t="e">
        <f t="shared" si="14"/>
        <v>#N/A</v>
      </c>
      <c r="N246" t="e">
        <f t="shared" si="15"/>
        <v>#N/A</v>
      </c>
    </row>
    <row r="247" spans="1:14">
      <c r="A247">
        <f t="shared" si="12"/>
        <v>13</v>
      </c>
      <c r="B247">
        <v>13</v>
      </c>
      <c r="C247" t="s">
        <v>42</v>
      </c>
      <c r="D247" t="s">
        <v>33</v>
      </c>
      <c r="E247">
        <v>1</v>
      </c>
      <c r="F247">
        <v>1</v>
      </c>
      <c r="G247">
        <v>1902</v>
      </c>
      <c r="H247" t="s">
        <v>37</v>
      </c>
      <c r="I247" t="str">
        <f t="shared" si="13"/>
        <v>[{1000,1,1,1902,401}]</v>
      </c>
      <c r="J247">
        <v>1</v>
      </c>
      <c r="K247" t="e">
        <f>IF(A247="","",IF(J247=1,VLOOKUP(A247,[1]怪物!$R$80:$V$99,4,0),VLOOKUP(A247,[1]怪物!$R$80:$V$99,2,0))*10000)</f>
        <v>#N/A</v>
      </c>
      <c r="L247" t="e">
        <f>IF(A247="","",IF(K247=1,VLOOKUP(A247,[1]怪物!$R$80:$V$99,5,0),VLOOKUP(A247,[1]怪物!$R$80:$V$99,3,0))*10000)</f>
        <v>#N/A</v>
      </c>
      <c r="M247" t="e">
        <f t="shared" si="14"/>
        <v>#N/A</v>
      </c>
      <c r="N247" t="e">
        <f t="shared" si="15"/>
        <v>#N/A</v>
      </c>
    </row>
    <row r="248" spans="1:14">
      <c r="A248">
        <f t="shared" si="12"/>
        <v>14</v>
      </c>
      <c r="B248">
        <v>14</v>
      </c>
      <c r="C248" t="s">
        <v>42</v>
      </c>
      <c r="D248" t="s">
        <v>33</v>
      </c>
      <c r="E248">
        <v>1</v>
      </c>
      <c r="F248">
        <v>1</v>
      </c>
      <c r="G248">
        <v>1901</v>
      </c>
      <c r="H248" t="s">
        <v>34</v>
      </c>
      <c r="I248" t="str">
        <f t="shared" si="13"/>
        <v>[{1000,1,1,1901,101}]</v>
      </c>
      <c r="J248" t="s">
        <v>35</v>
      </c>
      <c r="K248" t="e">
        <f>IF(A248="","",IF(J248=1,VLOOKUP(A248,[1]怪物!$R$80:$V$99,4,0),VLOOKUP(A248,[1]怪物!$R$80:$V$99,2,0))*10000)</f>
        <v>#N/A</v>
      </c>
      <c r="L248" t="e">
        <f>IF(A248="","",IF(K248=1,VLOOKUP(A248,[1]怪物!$R$80:$V$99,5,0),VLOOKUP(A248,[1]怪物!$R$80:$V$99,3,0))*10000)</f>
        <v>#N/A</v>
      </c>
      <c r="M248" t="e">
        <f t="shared" si="14"/>
        <v>#N/A</v>
      </c>
      <c r="N248" t="e">
        <f t="shared" si="15"/>
        <v>#N/A</v>
      </c>
    </row>
    <row r="249" spans="1:14">
      <c r="A249">
        <f t="shared" si="12"/>
        <v>14</v>
      </c>
      <c r="B249">
        <v>14</v>
      </c>
      <c r="C249" t="s">
        <v>42</v>
      </c>
      <c r="D249" t="s">
        <v>33</v>
      </c>
      <c r="E249">
        <v>1</v>
      </c>
      <c r="F249">
        <v>1</v>
      </c>
      <c r="G249">
        <v>1902</v>
      </c>
      <c r="H249" t="s">
        <v>37</v>
      </c>
      <c r="I249" t="str">
        <f t="shared" si="13"/>
        <v>[{1000,1,1,1902,401}]</v>
      </c>
      <c r="J249">
        <v>1</v>
      </c>
      <c r="K249" t="e">
        <f>IF(A249="","",IF(J249=1,VLOOKUP(A249,[1]怪物!$R$80:$V$99,4,0),VLOOKUP(A249,[1]怪物!$R$80:$V$99,2,0))*10000)</f>
        <v>#N/A</v>
      </c>
      <c r="L249" t="e">
        <f>IF(A249="","",IF(K249=1,VLOOKUP(A249,[1]怪物!$R$80:$V$99,5,0),VLOOKUP(A249,[1]怪物!$R$80:$V$99,3,0))*10000)</f>
        <v>#N/A</v>
      </c>
      <c r="M249" t="e">
        <f t="shared" si="14"/>
        <v>#N/A</v>
      </c>
      <c r="N249" t="e">
        <f t="shared" si="15"/>
        <v>#N/A</v>
      </c>
    </row>
    <row r="250" spans="1:14">
      <c r="A250">
        <f t="shared" si="12"/>
        <v>14</v>
      </c>
      <c r="B250">
        <v>14</v>
      </c>
      <c r="C250" t="s">
        <v>42</v>
      </c>
      <c r="D250" t="s">
        <v>33</v>
      </c>
      <c r="E250">
        <v>1</v>
      </c>
      <c r="F250">
        <v>1</v>
      </c>
      <c r="G250">
        <v>1903</v>
      </c>
      <c r="H250" t="s">
        <v>37</v>
      </c>
      <c r="I250" t="str">
        <f t="shared" si="13"/>
        <v>[{1000,1,1,1903,401}]</v>
      </c>
      <c r="J250">
        <v>1</v>
      </c>
      <c r="K250" t="e">
        <f>IF(A250="","",IF(J250=1,VLOOKUP(A250,[1]怪物!$R$80:$V$99,4,0),VLOOKUP(A250,[1]怪物!$R$80:$V$99,2,0))*10000)</f>
        <v>#N/A</v>
      </c>
      <c r="L250" t="e">
        <f>IF(A250="","",IF(K250=1,VLOOKUP(A250,[1]怪物!$R$80:$V$99,5,0),VLOOKUP(A250,[1]怪物!$R$80:$V$99,3,0))*10000)</f>
        <v>#N/A</v>
      </c>
      <c r="M250" t="e">
        <f t="shared" si="14"/>
        <v>#N/A</v>
      </c>
      <c r="N250" t="e">
        <f t="shared" si="15"/>
        <v>#N/A</v>
      </c>
    </row>
    <row r="251" spans="1:14">
      <c r="A251">
        <f t="shared" si="12"/>
        <v>15</v>
      </c>
      <c r="B251">
        <v>15</v>
      </c>
      <c r="C251" t="s">
        <v>42</v>
      </c>
      <c r="D251" t="s">
        <v>33</v>
      </c>
      <c r="E251">
        <v>1</v>
      </c>
      <c r="F251">
        <v>1</v>
      </c>
      <c r="G251">
        <v>1901</v>
      </c>
      <c r="H251" t="s">
        <v>34</v>
      </c>
      <c r="I251" t="str">
        <f t="shared" si="13"/>
        <v>[{1000,1,1,1901,101}]</v>
      </c>
      <c r="J251" t="s">
        <v>35</v>
      </c>
      <c r="K251" t="e">
        <f>IF(A251="","",IF(J251=1,VLOOKUP(A251,[1]怪物!$R$80:$V$99,4,0),VLOOKUP(A251,[1]怪物!$R$80:$V$99,2,0))*10000)</f>
        <v>#N/A</v>
      </c>
      <c r="L251" t="e">
        <f>IF(A251="","",IF(K251=1,VLOOKUP(A251,[1]怪物!$R$80:$V$99,5,0),VLOOKUP(A251,[1]怪物!$R$80:$V$99,3,0))*10000)</f>
        <v>#N/A</v>
      </c>
      <c r="M251" t="e">
        <f t="shared" si="14"/>
        <v>#N/A</v>
      </c>
      <c r="N251" t="e">
        <f t="shared" si="15"/>
        <v>#N/A</v>
      </c>
    </row>
    <row r="252" spans="1:14">
      <c r="A252">
        <f t="shared" si="12"/>
        <v>15</v>
      </c>
      <c r="B252">
        <v>15</v>
      </c>
      <c r="C252" t="s">
        <v>42</v>
      </c>
      <c r="D252" t="s">
        <v>33</v>
      </c>
      <c r="E252">
        <v>1</v>
      </c>
      <c r="F252">
        <v>1</v>
      </c>
      <c r="G252">
        <v>1902</v>
      </c>
      <c r="H252" t="s">
        <v>37</v>
      </c>
      <c r="I252" t="str">
        <f t="shared" si="13"/>
        <v>[{1000,1,1,1902,401}]</v>
      </c>
      <c r="J252">
        <v>1</v>
      </c>
      <c r="K252" t="e">
        <f>IF(A252="","",IF(J252=1,VLOOKUP(A252,[1]怪物!$R$80:$V$99,4,0),VLOOKUP(A252,[1]怪物!$R$80:$V$99,2,0))*10000)</f>
        <v>#N/A</v>
      </c>
      <c r="L252" t="e">
        <f>IF(A252="","",IF(K252=1,VLOOKUP(A252,[1]怪物!$R$80:$V$99,5,0),VLOOKUP(A252,[1]怪物!$R$80:$V$99,3,0))*10000)</f>
        <v>#N/A</v>
      </c>
      <c r="M252" t="e">
        <f t="shared" si="14"/>
        <v>#N/A</v>
      </c>
      <c r="N252" t="e">
        <f t="shared" si="15"/>
        <v>#N/A</v>
      </c>
    </row>
    <row r="253" spans="1:14">
      <c r="A253">
        <f t="shared" si="12"/>
        <v>15</v>
      </c>
      <c r="B253">
        <v>15</v>
      </c>
      <c r="C253" t="s">
        <v>42</v>
      </c>
      <c r="D253" t="s">
        <v>33</v>
      </c>
      <c r="E253">
        <v>1</v>
      </c>
      <c r="F253">
        <v>1</v>
      </c>
      <c r="G253">
        <v>1903</v>
      </c>
      <c r="H253" t="s">
        <v>37</v>
      </c>
      <c r="I253" t="str">
        <f t="shared" si="13"/>
        <v>[{1000,1,1,1903,401}]</v>
      </c>
      <c r="J253">
        <v>1</v>
      </c>
      <c r="K253" t="e">
        <f>IF(A253="","",IF(J253=1,VLOOKUP(A253,[1]怪物!$R$80:$V$99,4,0),VLOOKUP(A253,[1]怪物!$R$80:$V$99,2,0))*10000)</f>
        <v>#N/A</v>
      </c>
      <c r="L253" t="e">
        <f>IF(A253="","",IF(K253=1,VLOOKUP(A253,[1]怪物!$R$80:$V$99,5,0),VLOOKUP(A253,[1]怪物!$R$80:$V$99,3,0))*10000)</f>
        <v>#N/A</v>
      </c>
      <c r="M253" t="e">
        <f t="shared" si="14"/>
        <v>#N/A</v>
      </c>
      <c r="N253" t="e">
        <f t="shared" si="15"/>
        <v>#N/A</v>
      </c>
    </row>
    <row r="254" spans="1:14">
      <c r="A254">
        <f t="shared" si="12"/>
        <v>16</v>
      </c>
      <c r="B254">
        <v>16</v>
      </c>
      <c r="C254" t="s">
        <v>42</v>
      </c>
      <c r="D254" t="s">
        <v>33</v>
      </c>
      <c r="E254">
        <v>1</v>
      </c>
      <c r="F254">
        <v>1</v>
      </c>
      <c r="G254">
        <v>1901</v>
      </c>
      <c r="H254" t="s">
        <v>34</v>
      </c>
      <c r="I254" t="str">
        <f t="shared" si="13"/>
        <v>[{1000,1,1,1901,101}]</v>
      </c>
      <c r="J254" t="s">
        <v>35</v>
      </c>
      <c r="K254" t="e">
        <f>IF(A254="","",IF(J254=1,VLOOKUP(A254,[1]怪物!$R$80:$V$99,4,0),VLOOKUP(A254,[1]怪物!$R$80:$V$99,2,0))*10000)</f>
        <v>#N/A</v>
      </c>
      <c r="L254" t="e">
        <f>IF(A254="","",IF(K254=1,VLOOKUP(A254,[1]怪物!$R$80:$V$99,5,0),VLOOKUP(A254,[1]怪物!$R$80:$V$99,3,0))*10000)</f>
        <v>#N/A</v>
      </c>
      <c r="M254" t="e">
        <f t="shared" si="14"/>
        <v>#N/A</v>
      </c>
      <c r="N254" t="e">
        <f t="shared" si="15"/>
        <v>#N/A</v>
      </c>
    </row>
    <row r="255" spans="1:14">
      <c r="A255">
        <f t="shared" si="12"/>
        <v>16</v>
      </c>
      <c r="B255">
        <v>16</v>
      </c>
      <c r="C255" t="s">
        <v>42</v>
      </c>
      <c r="D255" t="s">
        <v>33</v>
      </c>
      <c r="E255">
        <v>1</v>
      </c>
      <c r="F255">
        <v>1</v>
      </c>
      <c r="G255">
        <v>1902</v>
      </c>
      <c r="H255" t="s">
        <v>37</v>
      </c>
      <c r="I255" t="str">
        <f t="shared" si="13"/>
        <v>[{1000,1,1,1902,401}]</v>
      </c>
      <c r="J255">
        <v>1</v>
      </c>
      <c r="K255" t="e">
        <f>IF(A255="","",IF(J255=1,VLOOKUP(A255,[1]怪物!$R$80:$V$99,4,0),VLOOKUP(A255,[1]怪物!$R$80:$V$99,2,0))*10000)</f>
        <v>#N/A</v>
      </c>
      <c r="L255" t="e">
        <f>IF(A255="","",IF(K255=1,VLOOKUP(A255,[1]怪物!$R$80:$V$99,5,0),VLOOKUP(A255,[1]怪物!$R$80:$V$99,3,0))*10000)</f>
        <v>#N/A</v>
      </c>
      <c r="M255" t="e">
        <f t="shared" si="14"/>
        <v>#N/A</v>
      </c>
      <c r="N255" t="e">
        <f t="shared" si="15"/>
        <v>#N/A</v>
      </c>
    </row>
    <row r="256" spans="1:14">
      <c r="A256">
        <f t="shared" si="12"/>
        <v>16</v>
      </c>
      <c r="B256">
        <v>16</v>
      </c>
      <c r="C256" t="s">
        <v>42</v>
      </c>
      <c r="D256" t="s">
        <v>33</v>
      </c>
      <c r="E256">
        <v>1</v>
      </c>
      <c r="F256">
        <v>1</v>
      </c>
      <c r="G256">
        <v>1903</v>
      </c>
      <c r="H256" t="s">
        <v>37</v>
      </c>
      <c r="I256" t="str">
        <f t="shared" si="13"/>
        <v>[{1000,1,1,1903,401}]</v>
      </c>
      <c r="J256">
        <v>1</v>
      </c>
      <c r="K256" t="e">
        <f>IF(A256="","",IF(J256=1,VLOOKUP(A256,[1]怪物!$R$80:$V$99,4,0),VLOOKUP(A256,[1]怪物!$R$80:$V$99,2,0))*10000)</f>
        <v>#N/A</v>
      </c>
      <c r="L256" t="e">
        <f>IF(A256="","",IF(K256=1,VLOOKUP(A256,[1]怪物!$R$80:$V$99,5,0),VLOOKUP(A256,[1]怪物!$R$80:$V$99,3,0))*10000)</f>
        <v>#N/A</v>
      </c>
      <c r="M256" t="e">
        <f t="shared" si="14"/>
        <v>#N/A</v>
      </c>
      <c r="N256" t="e">
        <f t="shared" si="15"/>
        <v>#N/A</v>
      </c>
    </row>
    <row r="257" spans="1:14">
      <c r="A257">
        <f t="shared" si="12"/>
        <v>17</v>
      </c>
      <c r="B257">
        <v>17</v>
      </c>
      <c r="C257" t="s">
        <v>42</v>
      </c>
      <c r="D257" t="s">
        <v>33</v>
      </c>
      <c r="E257">
        <v>1</v>
      </c>
      <c r="F257">
        <v>1</v>
      </c>
      <c r="G257">
        <v>1901</v>
      </c>
      <c r="H257" t="s">
        <v>34</v>
      </c>
      <c r="I257" t="str">
        <f t="shared" si="13"/>
        <v>[{1000,1,1,1901,101}]</v>
      </c>
      <c r="J257" t="s">
        <v>35</v>
      </c>
      <c r="K257" t="e">
        <f>IF(A257="","",IF(J257=1,VLOOKUP(A257,[1]怪物!$R$80:$V$99,4,0),VLOOKUP(A257,[1]怪物!$R$80:$V$99,2,0))*10000)</f>
        <v>#N/A</v>
      </c>
      <c r="L257" t="e">
        <f>IF(A257="","",IF(K257=1,VLOOKUP(A257,[1]怪物!$R$80:$V$99,5,0),VLOOKUP(A257,[1]怪物!$R$80:$V$99,3,0))*10000)</f>
        <v>#N/A</v>
      </c>
      <c r="M257" t="e">
        <f t="shared" si="14"/>
        <v>#N/A</v>
      </c>
      <c r="N257" t="e">
        <f t="shared" si="15"/>
        <v>#N/A</v>
      </c>
    </row>
    <row r="258" spans="1:14">
      <c r="A258">
        <f t="shared" ref="A258:A321" si="16">IF(E258="","",B258)</f>
        <v>17</v>
      </c>
      <c r="B258">
        <v>17</v>
      </c>
      <c r="C258" t="s">
        <v>42</v>
      </c>
      <c r="D258" t="s">
        <v>33</v>
      </c>
      <c r="E258">
        <v>1</v>
      </c>
      <c r="F258">
        <v>1</v>
      </c>
      <c r="G258">
        <v>1902</v>
      </c>
      <c r="H258" t="s">
        <v>37</v>
      </c>
      <c r="I258" t="str">
        <f t="shared" ref="I258:I321" si="17">_xlfn.TEXTJOIN(",",1,D258:H258)</f>
        <v>[{1000,1,1,1902,401}]</v>
      </c>
      <c r="J258">
        <v>1</v>
      </c>
      <c r="K258" t="e">
        <f>IF(A258="","",IF(J258=1,VLOOKUP(A258,[1]怪物!$R$80:$V$99,4,0),VLOOKUP(A258,[1]怪物!$R$80:$V$99,2,0))*10000)</f>
        <v>#N/A</v>
      </c>
      <c r="L258" t="e">
        <f>IF(A258="","",IF(K258=1,VLOOKUP(A258,[1]怪物!$R$80:$V$99,5,0),VLOOKUP(A258,[1]怪物!$R$80:$V$99,3,0))*10000)</f>
        <v>#N/A</v>
      </c>
      <c r="M258" t="e">
        <f t="shared" ref="M258:M321" si="18">IF(F258="","",IF(F258=0,10000,K258))</f>
        <v>#N/A</v>
      </c>
      <c r="N258" t="e">
        <f t="shared" ref="N258:N321" si="19">IF(F258="","",IF(F258=0,10000,L258))</f>
        <v>#N/A</v>
      </c>
    </row>
    <row r="259" spans="1:14">
      <c r="A259">
        <f t="shared" si="16"/>
        <v>17</v>
      </c>
      <c r="B259">
        <v>17</v>
      </c>
      <c r="C259" t="s">
        <v>42</v>
      </c>
      <c r="D259" t="s">
        <v>33</v>
      </c>
      <c r="E259">
        <v>1</v>
      </c>
      <c r="F259">
        <v>1</v>
      </c>
      <c r="G259">
        <v>1903</v>
      </c>
      <c r="H259" t="s">
        <v>37</v>
      </c>
      <c r="I259" t="str">
        <f t="shared" si="17"/>
        <v>[{1000,1,1,1903,401}]</v>
      </c>
      <c r="J259">
        <v>1</v>
      </c>
      <c r="K259" t="e">
        <f>IF(A259="","",IF(J259=1,VLOOKUP(A259,[1]怪物!$R$80:$V$99,4,0),VLOOKUP(A259,[1]怪物!$R$80:$V$99,2,0))*10000)</f>
        <v>#N/A</v>
      </c>
      <c r="L259" t="e">
        <f>IF(A259="","",IF(K259=1,VLOOKUP(A259,[1]怪物!$R$80:$V$99,5,0),VLOOKUP(A259,[1]怪物!$R$80:$V$99,3,0))*10000)</f>
        <v>#N/A</v>
      </c>
      <c r="M259" t="e">
        <f t="shared" si="18"/>
        <v>#N/A</v>
      </c>
      <c r="N259" t="e">
        <f t="shared" si="19"/>
        <v>#N/A</v>
      </c>
    </row>
    <row r="260" spans="1:14">
      <c r="A260">
        <f t="shared" si="16"/>
        <v>18</v>
      </c>
      <c r="B260">
        <v>18</v>
      </c>
      <c r="C260" t="s">
        <v>42</v>
      </c>
      <c r="D260" t="s">
        <v>33</v>
      </c>
      <c r="E260">
        <v>1</v>
      </c>
      <c r="F260">
        <v>1</v>
      </c>
      <c r="G260">
        <v>1901</v>
      </c>
      <c r="H260" t="s">
        <v>34</v>
      </c>
      <c r="I260" t="str">
        <f t="shared" si="17"/>
        <v>[{1000,1,1,1901,101}]</v>
      </c>
      <c r="J260" t="s">
        <v>35</v>
      </c>
      <c r="K260" t="e">
        <f>IF(A260="","",IF(J260=1,VLOOKUP(A260,[1]怪物!$R$80:$V$99,4,0),VLOOKUP(A260,[1]怪物!$R$80:$V$99,2,0))*10000)</f>
        <v>#N/A</v>
      </c>
      <c r="L260" t="e">
        <f>IF(A260="","",IF(K260=1,VLOOKUP(A260,[1]怪物!$R$80:$V$99,5,0),VLOOKUP(A260,[1]怪物!$R$80:$V$99,3,0))*10000)</f>
        <v>#N/A</v>
      </c>
      <c r="M260" t="e">
        <f t="shared" si="18"/>
        <v>#N/A</v>
      </c>
      <c r="N260" t="e">
        <f t="shared" si="19"/>
        <v>#N/A</v>
      </c>
    </row>
    <row r="261" spans="1:14">
      <c r="A261">
        <f t="shared" si="16"/>
        <v>18</v>
      </c>
      <c r="B261">
        <v>18</v>
      </c>
      <c r="C261" t="s">
        <v>42</v>
      </c>
      <c r="D261" t="s">
        <v>33</v>
      </c>
      <c r="E261">
        <v>1</v>
      </c>
      <c r="F261">
        <v>1</v>
      </c>
      <c r="G261">
        <v>1902</v>
      </c>
      <c r="H261" t="s">
        <v>37</v>
      </c>
      <c r="I261" t="str">
        <f t="shared" si="17"/>
        <v>[{1000,1,1,1902,401}]</v>
      </c>
      <c r="J261">
        <v>1</v>
      </c>
      <c r="K261" t="e">
        <f>IF(A261="","",IF(J261=1,VLOOKUP(A261,[1]怪物!$R$80:$V$99,4,0),VLOOKUP(A261,[1]怪物!$R$80:$V$99,2,0))*10000)</f>
        <v>#N/A</v>
      </c>
      <c r="L261" t="e">
        <f>IF(A261="","",IF(K261=1,VLOOKUP(A261,[1]怪物!$R$80:$V$99,5,0),VLOOKUP(A261,[1]怪物!$R$80:$V$99,3,0))*10000)</f>
        <v>#N/A</v>
      </c>
      <c r="M261" t="e">
        <f t="shared" si="18"/>
        <v>#N/A</v>
      </c>
      <c r="N261" t="e">
        <f t="shared" si="19"/>
        <v>#N/A</v>
      </c>
    </row>
    <row r="262" spans="1:14">
      <c r="A262">
        <f t="shared" si="16"/>
        <v>18</v>
      </c>
      <c r="B262">
        <v>18</v>
      </c>
      <c r="C262" t="s">
        <v>42</v>
      </c>
      <c r="D262" t="s">
        <v>33</v>
      </c>
      <c r="E262">
        <v>1</v>
      </c>
      <c r="F262">
        <v>1</v>
      </c>
      <c r="G262">
        <v>1903</v>
      </c>
      <c r="H262" t="s">
        <v>37</v>
      </c>
      <c r="I262" t="str">
        <f t="shared" si="17"/>
        <v>[{1000,1,1,1903,401}]</v>
      </c>
      <c r="J262">
        <v>1</v>
      </c>
      <c r="K262" t="e">
        <f>IF(A262="","",IF(J262=1,VLOOKUP(A262,[1]怪物!$R$80:$V$99,4,0),VLOOKUP(A262,[1]怪物!$R$80:$V$99,2,0))*10000)</f>
        <v>#N/A</v>
      </c>
      <c r="L262" t="e">
        <f>IF(A262="","",IF(K262=1,VLOOKUP(A262,[1]怪物!$R$80:$V$99,5,0),VLOOKUP(A262,[1]怪物!$R$80:$V$99,3,0))*10000)</f>
        <v>#N/A</v>
      </c>
      <c r="M262" t="e">
        <f t="shared" si="18"/>
        <v>#N/A</v>
      </c>
      <c r="N262" t="e">
        <f t="shared" si="19"/>
        <v>#N/A</v>
      </c>
    </row>
    <row r="263" spans="1:14">
      <c r="A263">
        <f t="shared" si="16"/>
        <v>19</v>
      </c>
      <c r="B263">
        <v>19</v>
      </c>
      <c r="C263" t="s">
        <v>42</v>
      </c>
      <c r="D263" t="s">
        <v>33</v>
      </c>
      <c r="E263">
        <v>1</v>
      </c>
      <c r="F263">
        <v>1</v>
      </c>
      <c r="G263">
        <v>1901</v>
      </c>
      <c r="H263" t="s">
        <v>34</v>
      </c>
      <c r="I263" t="str">
        <f t="shared" si="17"/>
        <v>[{1000,1,1,1901,101}]</v>
      </c>
      <c r="J263" t="s">
        <v>35</v>
      </c>
      <c r="K263" t="e">
        <f>IF(A263="","",IF(J263=1,VLOOKUP(A263,[1]怪物!$R$80:$V$99,4,0),VLOOKUP(A263,[1]怪物!$R$80:$V$99,2,0))*10000)</f>
        <v>#N/A</v>
      </c>
      <c r="L263" t="e">
        <f>IF(A263="","",IF(K263=1,VLOOKUP(A263,[1]怪物!$R$80:$V$99,5,0),VLOOKUP(A263,[1]怪物!$R$80:$V$99,3,0))*10000)</f>
        <v>#N/A</v>
      </c>
      <c r="M263" t="e">
        <f t="shared" si="18"/>
        <v>#N/A</v>
      </c>
      <c r="N263" t="e">
        <f t="shared" si="19"/>
        <v>#N/A</v>
      </c>
    </row>
    <row r="264" spans="1:14">
      <c r="A264">
        <f t="shared" si="16"/>
        <v>19</v>
      </c>
      <c r="B264">
        <v>19</v>
      </c>
      <c r="C264" t="s">
        <v>42</v>
      </c>
      <c r="D264" t="s">
        <v>33</v>
      </c>
      <c r="E264">
        <v>1</v>
      </c>
      <c r="F264">
        <v>1</v>
      </c>
      <c r="G264">
        <v>1902</v>
      </c>
      <c r="H264" t="s">
        <v>37</v>
      </c>
      <c r="I264" t="str">
        <f t="shared" si="17"/>
        <v>[{1000,1,1,1902,401}]</v>
      </c>
      <c r="J264">
        <v>1</v>
      </c>
      <c r="K264" t="e">
        <f>IF(A264="","",IF(J264=1,VLOOKUP(A264,[1]怪物!$R$80:$V$99,4,0),VLOOKUP(A264,[1]怪物!$R$80:$V$99,2,0))*10000)</f>
        <v>#N/A</v>
      </c>
      <c r="L264" t="e">
        <f>IF(A264="","",IF(K264=1,VLOOKUP(A264,[1]怪物!$R$80:$V$99,5,0),VLOOKUP(A264,[1]怪物!$R$80:$V$99,3,0))*10000)</f>
        <v>#N/A</v>
      </c>
      <c r="M264" t="e">
        <f t="shared" si="18"/>
        <v>#N/A</v>
      </c>
      <c r="N264" t="e">
        <f t="shared" si="19"/>
        <v>#N/A</v>
      </c>
    </row>
    <row r="265" spans="1:14">
      <c r="A265">
        <f t="shared" si="16"/>
        <v>19</v>
      </c>
      <c r="B265">
        <v>19</v>
      </c>
      <c r="C265" t="s">
        <v>42</v>
      </c>
      <c r="D265" t="s">
        <v>33</v>
      </c>
      <c r="E265">
        <v>1</v>
      </c>
      <c r="F265">
        <v>1</v>
      </c>
      <c r="G265">
        <v>1903</v>
      </c>
      <c r="H265" t="s">
        <v>37</v>
      </c>
      <c r="I265" t="str">
        <f t="shared" si="17"/>
        <v>[{1000,1,1,1903,401}]</v>
      </c>
      <c r="J265">
        <v>1</v>
      </c>
      <c r="K265" t="e">
        <f>IF(A265="","",IF(J265=1,VLOOKUP(A265,[1]怪物!$R$80:$V$99,4,0),VLOOKUP(A265,[1]怪物!$R$80:$V$99,2,0))*10000)</f>
        <v>#N/A</v>
      </c>
      <c r="L265" t="e">
        <f>IF(A265="","",IF(K265=1,VLOOKUP(A265,[1]怪物!$R$80:$V$99,5,0),VLOOKUP(A265,[1]怪物!$R$80:$V$99,3,0))*10000)</f>
        <v>#N/A</v>
      </c>
      <c r="M265" t="e">
        <f t="shared" si="18"/>
        <v>#N/A</v>
      </c>
      <c r="N265" t="e">
        <f t="shared" si="19"/>
        <v>#N/A</v>
      </c>
    </row>
    <row r="266" spans="1:14">
      <c r="A266">
        <f t="shared" si="16"/>
        <v>20</v>
      </c>
      <c r="B266">
        <v>20</v>
      </c>
      <c r="C266" t="s">
        <v>42</v>
      </c>
      <c r="D266" t="s">
        <v>33</v>
      </c>
      <c r="E266">
        <v>1</v>
      </c>
      <c r="F266">
        <v>1</v>
      </c>
      <c r="G266">
        <v>1901</v>
      </c>
      <c r="H266" t="s">
        <v>34</v>
      </c>
      <c r="I266" t="str">
        <f t="shared" si="17"/>
        <v>[{1000,1,1,1901,101}]</v>
      </c>
      <c r="J266" t="s">
        <v>35</v>
      </c>
      <c r="K266" t="e">
        <f>IF(A266="","",IF(J266=1,VLOOKUP(A266,[1]怪物!$R$80:$V$99,4,0),VLOOKUP(A266,[1]怪物!$R$80:$V$99,2,0))*10000)</f>
        <v>#N/A</v>
      </c>
      <c r="L266" t="e">
        <f>IF(A266="","",IF(K266=1,VLOOKUP(A266,[1]怪物!$R$80:$V$99,5,0),VLOOKUP(A266,[1]怪物!$R$80:$V$99,3,0))*10000)</f>
        <v>#N/A</v>
      </c>
      <c r="M266" t="e">
        <f t="shared" si="18"/>
        <v>#N/A</v>
      </c>
      <c r="N266" t="e">
        <f t="shared" si="19"/>
        <v>#N/A</v>
      </c>
    </row>
    <row r="267" spans="1:14">
      <c r="A267">
        <f t="shared" si="16"/>
        <v>20</v>
      </c>
      <c r="B267">
        <v>20</v>
      </c>
      <c r="C267" t="s">
        <v>42</v>
      </c>
      <c r="D267" t="s">
        <v>33</v>
      </c>
      <c r="E267">
        <v>1</v>
      </c>
      <c r="F267">
        <v>1</v>
      </c>
      <c r="G267">
        <v>1902</v>
      </c>
      <c r="H267" t="s">
        <v>37</v>
      </c>
      <c r="I267" t="str">
        <f t="shared" si="17"/>
        <v>[{1000,1,1,1902,401}]</v>
      </c>
      <c r="J267">
        <v>1</v>
      </c>
      <c r="K267" t="e">
        <f>IF(A267="","",IF(J267=1,VLOOKUP(A267,[1]怪物!$R$80:$V$99,4,0),VLOOKUP(A267,[1]怪物!$R$80:$V$99,2,0))*10000)</f>
        <v>#N/A</v>
      </c>
      <c r="L267" t="e">
        <f>IF(A267="","",IF(K267=1,VLOOKUP(A267,[1]怪物!$R$80:$V$99,5,0),VLOOKUP(A267,[1]怪物!$R$80:$V$99,3,0))*10000)</f>
        <v>#N/A</v>
      </c>
      <c r="M267" t="e">
        <f t="shared" si="18"/>
        <v>#N/A</v>
      </c>
      <c r="N267" t="e">
        <f t="shared" si="19"/>
        <v>#N/A</v>
      </c>
    </row>
    <row r="268" spans="1:14">
      <c r="A268">
        <f t="shared" si="16"/>
        <v>20</v>
      </c>
      <c r="B268">
        <v>20</v>
      </c>
      <c r="C268" t="s">
        <v>42</v>
      </c>
      <c r="D268" t="s">
        <v>33</v>
      </c>
      <c r="E268">
        <v>1</v>
      </c>
      <c r="F268">
        <v>1</v>
      </c>
      <c r="G268">
        <v>1903</v>
      </c>
      <c r="H268" t="s">
        <v>37</v>
      </c>
      <c r="I268" t="str">
        <f t="shared" si="17"/>
        <v>[{1000,1,1,1903,401}]</v>
      </c>
      <c r="J268">
        <v>1</v>
      </c>
      <c r="K268" t="e">
        <f>IF(A268="","",IF(J268=1,VLOOKUP(A268,[1]怪物!$R$80:$V$99,4,0),VLOOKUP(A268,[1]怪物!$R$80:$V$99,2,0))*10000)</f>
        <v>#N/A</v>
      </c>
      <c r="L268" t="e">
        <f>IF(A268="","",IF(K268=1,VLOOKUP(A268,[1]怪物!$R$80:$V$99,5,0),VLOOKUP(A268,[1]怪物!$R$80:$V$99,3,0))*10000)</f>
        <v>#N/A</v>
      </c>
      <c r="M268" t="e">
        <f t="shared" si="18"/>
        <v>#N/A</v>
      </c>
      <c r="N268" t="e">
        <f t="shared" si="19"/>
        <v>#N/A</v>
      </c>
    </row>
    <row r="269" spans="1:14">
      <c r="A269" t="str">
        <f t="shared" si="16"/>
        <v/>
      </c>
      <c r="B269">
        <v>20</v>
      </c>
      <c r="C269" t="s">
        <v>42</v>
      </c>
      <c r="D269" t="s">
        <v>28</v>
      </c>
      <c r="I269" t="str">
        <f t="shared" si="17"/>
        <v>[]</v>
      </c>
      <c r="J269">
        <v>2</v>
      </c>
      <c r="K269" t="str">
        <f>IF(A269="","",IF(J269=1,VLOOKUP(A269,[1]怪物!$R$80:$V$99,4,0),VLOOKUP(A269,[1]怪物!$R$80:$V$99,2,0))*10000)</f>
        <v/>
      </c>
      <c r="L269" t="str">
        <f>IF(A269="","",IF(K269=1,VLOOKUP(A269,[1]怪物!$R$80:$V$99,5,0),VLOOKUP(A269,[1]怪物!$R$80:$V$99,3,0))*10000)</f>
        <v/>
      </c>
      <c r="M269" t="str">
        <f t="shared" si="18"/>
        <v/>
      </c>
      <c r="N269" t="str">
        <f t="shared" si="19"/>
        <v/>
      </c>
    </row>
    <row r="270" spans="1:14">
      <c r="A270">
        <f t="shared" si="16"/>
        <v>20</v>
      </c>
      <c r="B270">
        <v>20</v>
      </c>
      <c r="C270" t="s">
        <v>42</v>
      </c>
      <c r="D270" t="s">
        <v>33</v>
      </c>
      <c r="E270">
        <v>1</v>
      </c>
      <c r="F270">
        <v>0</v>
      </c>
      <c r="G270">
        <v>1931</v>
      </c>
      <c r="H270" t="s">
        <v>36</v>
      </c>
      <c r="I270" t="str">
        <f t="shared" si="17"/>
        <v>[{1000,1,0,1931,41}]</v>
      </c>
      <c r="J270" t="s">
        <v>35</v>
      </c>
      <c r="K270" t="e">
        <f>IF(A270="","",IF(J270=1,VLOOKUP(A270,[1]怪物!$R$80:$V$99,4,0),VLOOKUP(A270,[1]怪物!$R$80:$V$99,2,0))*10000)</f>
        <v>#N/A</v>
      </c>
      <c r="L270" t="e">
        <f>IF(A270="","",IF(K270=1,VLOOKUP(A270,[1]怪物!$R$80:$V$99,5,0),VLOOKUP(A270,[1]怪物!$R$80:$V$99,3,0))*10000)</f>
        <v>#N/A</v>
      </c>
      <c r="M270">
        <f t="shared" si="18"/>
        <v>10000</v>
      </c>
      <c r="N270">
        <f t="shared" si="19"/>
        <v>10000</v>
      </c>
    </row>
    <row r="271" spans="1:14">
      <c r="A271">
        <f t="shared" si="16"/>
        <v>1</v>
      </c>
      <c r="B271">
        <v>1</v>
      </c>
      <c r="C271" t="s">
        <v>43</v>
      </c>
      <c r="D271" t="s">
        <v>33</v>
      </c>
      <c r="E271">
        <v>1</v>
      </c>
      <c r="F271">
        <v>1</v>
      </c>
      <c r="G271">
        <v>2001</v>
      </c>
      <c r="H271" t="s">
        <v>34</v>
      </c>
      <c r="I271" t="str">
        <f t="shared" si="17"/>
        <v>[{1000,1,1,2001,101}]</v>
      </c>
      <c r="J271" t="s">
        <v>35</v>
      </c>
      <c r="K271">
        <f>IF(A271="","",IF(J271=1,VLOOKUP(A271,[1]怪物!$R$80:$V$99,4,0),VLOOKUP(A271,[1]怪物!$R$80:$V$99,2,0))*10000)</f>
        <v>10000</v>
      </c>
      <c r="L271">
        <f>IF(A271="","",IF(K271=1,VLOOKUP(A271,[1]怪物!$R$80:$V$99,5,0),VLOOKUP(A271,[1]怪物!$R$80:$V$99,3,0))*10000)</f>
        <v>10000</v>
      </c>
      <c r="M271">
        <f t="shared" si="18"/>
        <v>10000</v>
      </c>
      <c r="N271">
        <f t="shared" si="19"/>
        <v>10000</v>
      </c>
    </row>
    <row r="272" spans="1:14">
      <c r="A272">
        <f t="shared" si="16"/>
        <v>2</v>
      </c>
      <c r="B272">
        <v>2</v>
      </c>
      <c r="C272" t="s">
        <v>43</v>
      </c>
      <c r="D272" t="s">
        <v>33</v>
      </c>
      <c r="E272">
        <v>1</v>
      </c>
      <c r="F272">
        <v>1</v>
      </c>
      <c r="G272">
        <v>2001</v>
      </c>
      <c r="H272" t="s">
        <v>34</v>
      </c>
      <c r="I272" t="str">
        <f t="shared" si="17"/>
        <v>[{1000,1,1,2001,101}]</v>
      </c>
      <c r="J272" t="s">
        <v>35</v>
      </c>
      <c r="K272">
        <f>IF(A272="","",IF(J272=1,VLOOKUP(A272,[1]怪物!$R$80:$V$99,4,0),VLOOKUP(A272,[1]怪物!$R$80:$V$99,2,0))*10000)</f>
        <v>10000</v>
      </c>
      <c r="L272">
        <f>IF(A272="","",IF(K272=1,VLOOKUP(A272,[1]怪物!$R$80:$V$99,5,0),VLOOKUP(A272,[1]怪物!$R$80:$V$99,3,0))*10000)</f>
        <v>10000</v>
      </c>
      <c r="M272">
        <f t="shared" si="18"/>
        <v>10000</v>
      </c>
      <c r="N272">
        <f t="shared" si="19"/>
        <v>10000</v>
      </c>
    </row>
    <row r="273" spans="1:14">
      <c r="A273">
        <f t="shared" si="16"/>
        <v>3</v>
      </c>
      <c r="B273">
        <v>3</v>
      </c>
      <c r="C273" t="s">
        <v>43</v>
      </c>
      <c r="D273" t="s">
        <v>33</v>
      </c>
      <c r="E273">
        <v>1</v>
      </c>
      <c r="F273">
        <v>1</v>
      </c>
      <c r="G273">
        <v>2001</v>
      </c>
      <c r="H273" t="s">
        <v>34</v>
      </c>
      <c r="I273" t="str">
        <f t="shared" si="17"/>
        <v>[{1000,1,1,2001,101}]</v>
      </c>
      <c r="J273" t="s">
        <v>35</v>
      </c>
      <c r="K273">
        <f>IF(A273="","",IF(J273=1,VLOOKUP(A273,[1]怪物!$R$80:$V$99,4,0),VLOOKUP(A273,[1]怪物!$R$80:$V$99,2,0))*10000)</f>
        <v>10000</v>
      </c>
      <c r="L273">
        <f>IF(A273="","",IF(K273=1,VLOOKUP(A273,[1]怪物!$R$80:$V$99,5,0),VLOOKUP(A273,[1]怪物!$R$80:$V$99,3,0))*10000)</f>
        <v>10000</v>
      </c>
      <c r="M273">
        <f t="shared" si="18"/>
        <v>10000</v>
      </c>
      <c r="N273">
        <f t="shared" si="19"/>
        <v>10000</v>
      </c>
    </row>
    <row r="274" spans="1:14">
      <c r="A274">
        <f t="shared" si="16"/>
        <v>4</v>
      </c>
      <c r="B274">
        <v>4</v>
      </c>
      <c r="C274" t="s">
        <v>43</v>
      </c>
      <c r="D274" t="s">
        <v>33</v>
      </c>
      <c r="E274">
        <v>1</v>
      </c>
      <c r="F274">
        <v>1</v>
      </c>
      <c r="G274">
        <v>2001</v>
      </c>
      <c r="H274" t="s">
        <v>34</v>
      </c>
      <c r="I274" t="str">
        <f t="shared" si="17"/>
        <v>[{1000,1,1,2001,101}]</v>
      </c>
      <c r="J274" t="s">
        <v>35</v>
      </c>
      <c r="K274">
        <f>IF(A274="","",IF(J274=1,VLOOKUP(A274,[1]怪物!$R$80:$V$99,4,0),VLOOKUP(A274,[1]怪物!$R$80:$V$99,2,0))*10000)</f>
        <v>10000</v>
      </c>
      <c r="L274">
        <f>IF(A274="","",IF(K274=1,VLOOKUP(A274,[1]怪物!$R$80:$V$99,5,0),VLOOKUP(A274,[1]怪物!$R$80:$V$99,3,0))*10000)</f>
        <v>10000</v>
      </c>
      <c r="M274">
        <f t="shared" si="18"/>
        <v>10000</v>
      </c>
      <c r="N274">
        <f t="shared" si="19"/>
        <v>10000</v>
      </c>
    </row>
    <row r="275" spans="1:14">
      <c r="A275">
        <f t="shared" si="16"/>
        <v>5</v>
      </c>
      <c r="B275">
        <v>5</v>
      </c>
      <c r="C275" t="s">
        <v>43</v>
      </c>
      <c r="D275" t="s">
        <v>33</v>
      </c>
      <c r="E275">
        <v>1</v>
      </c>
      <c r="F275">
        <v>1</v>
      </c>
      <c r="G275">
        <v>2001</v>
      </c>
      <c r="H275" t="s">
        <v>34</v>
      </c>
      <c r="I275" t="str">
        <f t="shared" si="17"/>
        <v>[{1000,1,1,2001,101}]</v>
      </c>
      <c r="J275" t="s">
        <v>35</v>
      </c>
      <c r="K275">
        <f>IF(A275="","",IF(J275=1,VLOOKUP(A275,[1]怪物!$R$80:$V$99,4,0),VLOOKUP(A275,[1]怪物!$R$80:$V$99,2,0))*10000)</f>
        <v>10000</v>
      </c>
      <c r="L275">
        <f>IF(A275="","",IF(K275=1,VLOOKUP(A275,[1]怪物!$R$80:$V$99,5,0),VLOOKUP(A275,[1]怪物!$R$80:$V$99,3,0))*10000)</f>
        <v>10000</v>
      </c>
      <c r="M275">
        <f t="shared" si="18"/>
        <v>10000</v>
      </c>
      <c r="N275">
        <f t="shared" si="19"/>
        <v>10000</v>
      </c>
    </row>
    <row r="276" spans="1:14">
      <c r="A276">
        <f t="shared" si="16"/>
        <v>6</v>
      </c>
      <c r="B276">
        <v>6</v>
      </c>
      <c r="C276" t="s">
        <v>43</v>
      </c>
      <c r="D276" t="s">
        <v>33</v>
      </c>
      <c r="E276">
        <v>1</v>
      </c>
      <c r="F276">
        <v>1</v>
      </c>
      <c r="G276">
        <v>2001</v>
      </c>
      <c r="H276" t="s">
        <v>34</v>
      </c>
      <c r="I276" t="str">
        <f t="shared" si="17"/>
        <v>[{1000,1,1,2001,101}]</v>
      </c>
      <c r="J276" t="s">
        <v>35</v>
      </c>
      <c r="K276">
        <f>IF(A276="","",IF(J276=1,VLOOKUP(A276,[1]怪物!$R$80:$V$99,4,0),VLOOKUP(A276,[1]怪物!$R$80:$V$99,2,0))*10000)</f>
        <v>15000</v>
      </c>
      <c r="L276">
        <f>IF(A276="","",IF(K276=1,VLOOKUP(A276,[1]怪物!$R$80:$V$99,5,0),VLOOKUP(A276,[1]怪物!$R$80:$V$99,3,0))*10000)</f>
        <v>15000</v>
      </c>
      <c r="M276">
        <f t="shared" si="18"/>
        <v>15000</v>
      </c>
      <c r="N276">
        <f t="shared" si="19"/>
        <v>15000</v>
      </c>
    </row>
    <row r="277" spans="1:14">
      <c r="A277">
        <f t="shared" si="16"/>
        <v>7</v>
      </c>
      <c r="B277">
        <v>7</v>
      </c>
      <c r="C277" t="s">
        <v>43</v>
      </c>
      <c r="D277" t="s">
        <v>33</v>
      </c>
      <c r="E277">
        <v>1</v>
      </c>
      <c r="F277">
        <v>1</v>
      </c>
      <c r="G277">
        <v>2001</v>
      </c>
      <c r="H277" t="s">
        <v>34</v>
      </c>
      <c r="I277" t="str">
        <f t="shared" si="17"/>
        <v>[{1000,1,1,2001,101}]</v>
      </c>
      <c r="J277" t="s">
        <v>35</v>
      </c>
      <c r="K277">
        <f>IF(A277="","",IF(J277=1,VLOOKUP(A277,[1]怪物!$R$80:$V$99,4,0),VLOOKUP(A277,[1]怪物!$R$80:$V$99,2,0))*10000)</f>
        <v>15000</v>
      </c>
      <c r="L277">
        <f>IF(A277="","",IF(K277=1,VLOOKUP(A277,[1]怪物!$R$80:$V$99,5,0),VLOOKUP(A277,[1]怪物!$R$80:$V$99,3,0))*10000)</f>
        <v>15000</v>
      </c>
      <c r="M277">
        <f t="shared" si="18"/>
        <v>15000</v>
      </c>
      <c r="N277">
        <f t="shared" si="19"/>
        <v>15000</v>
      </c>
    </row>
    <row r="278" spans="1:14">
      <c r="A278">
        <f t="shared" si="16"/>
        <v>7</v>
      </c>
      <c r="B278">
        <v>7</v>
      </c>
      <c r="C278" t="s">
        <v>43</v>
      </c>
      <c r="D278" t="s">
        <v>33</v>
      </c>
      <c r="E278">
        <v>1</v>
      </c>
      <c r="F278">
        <v>1</v>
      </c>
      <c r="G278">
        <v>2002</v>
      </c>
      <c r="H278" t="s">
        <v>37</v>
      </c>
      <c r="I278" t="str">
        <f t="shared" si="17"/>
        <v>[{1000,1,1,2002,401}]</v>
      </c>
      <c r="J278">
        <v>1</v>
      </c>
      <c r="K278">
        <f>IF(A278="","",IF(J278=1,VLOOKUP(A278,[1]怪物!$R$80:$V$99,4,0),VLOOKUP(A278,[1]怪物!$R$80:$V$99,2,0))*10000)</f>
        <v>13000</v>
      </c>
      <c r="L278">
        <f>IF(A278="","",IF(K278=1,VLOOKUP(A278,[1]怪物!$R$80:$V$99,5,0),VLOOKUP(A278,[1]怪物!$R$80:$V$99,3,0))*10000)</f>
        <v>15000</v>
      </c>
      <c r="M278">
        <f t="shared" si="18"/>
        <v>13000</v>
      </c>
      <c r="N278">
        <f t="shared" si="19"/>
        <v>15000</v>
      </c>
    </row>
    <row r="279" spans="1:14">
      <c r="A279">
        <f t="shared" si="16"/>
        <v>8</v>
      </c>
      <c r="B279">
        <v>8</v>
      </c>
      <c r="C279" t="s">
        <v>43</v>
      </c>
      <c r="D279" t="s">
        <v>33</v>
      </c>
      <c r="E279">
        <v>1</v>
      </c>
      <c r="F279">
        <v>1</v>
      </c>
      <c r="G279">
        <v>2001</v>
      </c>
      <c r="H279" t="s">
        <v>34</v>
      </c>
      <c r="I279" t="str">
        <f t="shared" si="17"/>
        <v>[{1000,1,1,2001,101}]</v>
      </c>
      <c r="J279" t="s">
        <v>35</v>
      </c>
      <c r="K279">
        <f>IF(A279="","",IF(J279=1,VLOOKUP(A279,[1]怪物!$R$80:$V$99,4,0),VLOOKUP(A279,[1]怪物!$R$80:$V$99,2,0))*10000)</f>
        <v>15000</v>
      </c>
      <c r="L279">
        <f>IF(A279="","",IF(K279=1,VLOOKUP(A279,[1]怪物!$R$80:$V$99,5,0),VLOOKUP(A279,[1]怪物!$R$80:$V$99,3,0))*10000)</f>
        <v>15000</v>
      </c>
      <c r="M279">
        <f t="shared" si="18"/>
        <v>15000</v>
      </c>
      <c r="N279">
        <f t="shared" si="19"/>
        <v>15000</v>
      </c>
    </row>
    <row r="280" spans="1:14">
      <c r="A280">
        <f t="shared" si="16"/>
        <v>8</v>
      </c>
      <c r="B280">
        <v>8</v>
      </c>
      <c r="C280" t="s">
        <v>43</v>
      </c>
      <c r="D280" t="s">
        <v>33</v>
      </c>
      <c r="E280">
        <v>1</v>
      </c>
      <c r="F280">
        <v>1</v>
      </c>
      <c r="G280">
        <v>2002</v>
      </c>
      <c r="H280" t="s">
        <v>37</v>
      </c>
      <c r="I280" t="str">
        <f t="shared" si="17"/>
        <v>[{1000,1,1,2002,401}]</v>
      </c>
      <c r="J280">
        <v>1</v>
      </c>
      <c r="K280">
        <f>IF(A280="","",IF(J280=1,VLOOKUP(A280,[1]怪物!$R$80:$V$99,4,0),VLOOKUP(A280,[1]怪物!$R$80:$V$99,2,0))*10000)</f>
        <v>13000</v>
      </c>
      <c r="L280">
        <f>IF(A280="","",IF(K280=1,VLOOKUP(A280,[1]怪物!$R$80:$V$99,5,0),VLOOKUP(A280,[1]怪物!$R$80:$V$99,3,0))*10000)</f>
        <v>15000</v>
      </c>
      <c r="M280">
        <f t="shared" si="18"/>
        <v>13000</v>
      </c>
      <c r="N280">
        <f t="shared" si="19"/>
        <v>15000</v>
      </c>
    </row>
    <row r="281" spans="1:14">
      <c r="A281">
        <f t="shared" si="16"/>
        <v>9</v>
      </c>
      <c r="B281">
        <v>9</v>
      </c>
      <c r="C281" t="s">
        <v>43</v>
      </c>
      <c r="D281" t="s">
        <v>33</v>
      </c>
      <c r="E281">
        <v>1</v>
      </c>
      <c r="F281">
        <v>1</v>
      </c>
      <c r="G281">
        <v>2001</v>
      </c>
      <c r="H281" t="s">
        <v>34</v>
      </c>
      <c r="I281" t="str">
        <f t="shared" si="17"/>
        <v>[{1000,1,1,2001,101}]</v>
      </c>
      <c r="J281" t="s">
        <v>35</v>
      </c>
      <c r="K281" t="e">
        <f>IF(A281="","",IF(J281=1,VLOOKUP(A281,[1]怪物!$R$80:$V$99,4,0),VLOOKUP(A281,[1]怪物!$R$80:$V$99,2,0))*10000)</f>
        <v>#N/A</v>
      </c>
      <c r="L281" t="e">
        <f>IF(A281="","",IF(K281=1,VLOOKUP(A281,[1]怪物!$R$80:$V$99,5,0),VLOOKUP(A281,[1]怪物!$R$80:$V$99,3,0))*10000)</f>
        <v>#N/A</v>
      </c>
      <c r="M281" t="e">
        <f t="shared" si="18"/>
        <v>#N/A</v>
      </c>
      <c r="N281" t="e">
        <f t="shared" si="19"/>
        <v>#N/A</v>
      </c>
    </row>
    <row r="282" spans="1:14">
      <c r="A282">
        <f t="shared" si="16"/>
        <v>9</v>
      </c>
      <c r="B282">
        <v>9</v>
      </c>
      <c r="C282" t="s">
        <v>43</v>
      </c>
      <c r="D282" t="s">
        <v>33</v>
      </c>
      <c r="E282">
        <v>1</v>
      </c>
      <c r="F282">
        <v>1</v>
      </c>
      <c r="G282">
        <v>2002</v>
      </c>
      <c r="H282" t="s">
        <v>37</v>
      </c>
      <c r="I282" t="str">
        <f t="shared" si="17"/>
        <v>[{1000,1,1,2002,401}]</v>
      </c>
      <c r="J282">
        <v>1</v>
      </c>
      <c r="K282" t="e">
        <f>IF(A282="","",IF(J282=1,VLOOKUP(A282,[1]怪物!$R$80:$V$99,4,0),VLOOKUP(A282,[1]怪物!$R$80:$V$99,2,0))*10000)</f>
        <v>#N/A</v>
      </c>
      <c r="L282" t="e">
        <f>IF(A282="","",IF(K282=1,VLOOKUP(A282,[1]怪物!$R$80:$V$99,5,0),VLOOKUP(A282,[1]怪物!$R$80:$V$99,3,0))*10000)</f>
        <v>#N/A</v>
      </c>
      <c r="M282" t="e">
        <f t="shared" si="18"/>
        <v>#N/A</v>
      </c>
      <c r="N282" t="e">
        <f t="shared" si="19"/>
        <v>#N/A</v>
      </c>
    </row>
    <row r="283" spans="1:14">
      <c r="A283">
        <f t="shared" si="16"/>
        <v>10</v>
      </c>
      <c r="B283">
        <v>10</v>
      </c>
      <c r="C283" t="s">
        <v>43</v>
      </c>
      <c r="D283" t="s">
        <v>33</v>
      </c>
      <c r="E283">
        <v>1</v>
      </c>
      <c r="F283">
        <v>1</v>
      </c>
      <c r="G283">
        <v>2001</v>
      </c>
      <c r="H283" t="s">
        <v>34</v>
      </c>
      <c r="I283" t="str">
        <f t="shared" si="17"/>
        <v>[{1000,1,1,2001,101}]</v>
      </c>
      <c r="J283" t="s">
        <v>35</v>
      </c>
      <c r="K283" t="e">
        <f>IF(A283="","",IF(J283=1,VLOOKUP(A283,[1]怪物!$R$80:$V$99,4,0),VLOOKUP(A283,[1]怪物!$R$80:$V$99,2,0))*10000)</f>
        <v>#N/A</v>
      </c>
      <c r="L283" t="e">
        <f>IF(A283="","",IF(K283=1,VLOOKUP(A283,[1]怪物!$R$80:$V$99,5,0),VLOOKUP(A283,[1]怪物!$R$80:$V$99,3,0))*10000)</f>
        <v>#N/A</v>
      </c>
      <c r="M283" t="e">
        <f t="shared" si="18"/>
        <v>#N/A</v>
      </c>
      <c r="N283" t="e">
        <f t="shared" si="19"/>
        <v>#N/A</v>
      </c>
    </row>
    <row r="284" spans="1:14">
      <c r="A284">
        <f t="shared" si="16"/>
        <v>10</v>
      </c>
      <c r="B284">
        <v>10</v>
      </c>
      <c r="C284" t="s">
        <v>43</v>
      </c>
      <c r="D284" t="s">
        <v>33</v>
      </c>
      <c r="E284">
        <v>1</v>
      </c>
      <c r="F284">
        <v>1</v>
      </c>
      <c r="G284">
        <v>2002</v>
      </c>
      <c r="H284" t="s">
        <v>37</v>
      </c>
      <c r="I284" t="str">
        <f t="shared" si="17"/>
        <v>[{1000,1,1,2002,401}]</v>
      </c>
      <c r="J284">
        <v>1</v>
      </c>
      <c r="K284" t="e">
        <f>IF(A284="","",IF(J284=1,VLOOKUP(A284,[1]怪物!$R$80:$V$99,4,0),VLOOKUP(A284,[1]怪物!$R$80:$V$99,2,0))*10000)</f>
        <v>#N/A</v>
      </c>
      <c r="L284" t="e">
        <f>IF(A284="","",IF(K284=1,VLOOKUP(A284,[1]怪物!$R$80:$V$99,5,0),VLOOKUP(A284,[1]怪物!$R$80:$V$99,3,0))*10000)</f>
        <v>#N/A</v>
      </c>
      <c r="M284" t="e">
        <f t="shared" si="18"/>
        <v>#N/A</v>
      </c>
      <c r="N284" t="e">
        <f t="shared" si="19"/>
        <v>#N/A</v>
      </c>
    </row>
    <row r="285" spans="1:14">
      <c r="A285" t="str">
        <f t="shared" si="16"/>
        <v/>
      </c>
      <c r="B285">
        <v>10</v>
      </c>
      <c r="C285" t="s">
        <v>43</v>
      </c>
      <c r="D285" t="s">
        <v>28</v>
      </c>
      <c r="I285" t="str">
        <f t="shared" si="17"/>
        <v>[]</v>
      </c>
      <c r="J285">
        <v>2</v>
      </c>
      <c r="K285" t="str">
        <f>IF(A285="","",IF(J285=1,VLOOKUP(A285,[1]怪物!$R$80:$V$99,4,0),VLOOKUP(A285,[1]怪物!$R$80:$V$99,2,0))*10000)</f>
        <v/>
      </c>
      <c r="L285" t="str">
        <f>IF(A285="","",IF(K285=1,VLOOKUP(A285,[1]怪物!$R$80:$V$99,5,0),VLOOKUP(A285,[1]怪物!$R$80:$V$99,3,0))*10000)</f>
        <v/>
      </c>
      <c r="M285" t="str">
        <f t="shared" si="18"/>
        <v/>
      </c>
      <c r="N285" t="str">
        <f t="shared" si="19"/>
        <v/>
      </c>
    </row>
    <row r="286" spans="1:14">
      <c r="A286">
        <f t="shared" si="16"/>
        <v>10</v>
      </c>
      <c r="B286">
        <v>10</v>
      </c>
      <c r="C286" t="s">
        <v>43</v>
      </c>
      <c r="D286" t="s">
        <v>33</v>
      </c>
      <c r="E286">
        <v>1</v>
      </c>
      <c r="F286">
        <v>0</v>
      </c>
      <c r="G286">
        <v>2021</v>
      </c>
      <c r="H286" t="s">
        <v>37</v>
      </c>
      <c r="I286" t="str">
        <f t="shared" si="17"/>
        <v>[{1000,1,0,2021,401}]</v>
      </c>
      <c r="J286">
        <v>1</v>
      </c>
      <c r="K286" t="e">
        <f>IF(A286="","",IF(J286=1,VLOOKUP(A286,[1]怪物!$R$80:$V$99,4,0),VLOOKUP(A286,[1]怪物!$R$80:$V$99,2,0))*10000)</f>
        <v>#N/A</v>
      </c>
      <c r="L286" t="e">
        <f>IF(A286="","",IF(K286=1,VLOOKUP(A286,[1]怪物!$R$80:$V$99,5,0),VLOOKUP(A286,[1]怪物!$R$80:$V$99,3,0))*10000)</f>
        <v>#N/A</v>
      </c>
      <c r="M286">
        <f t="shared" si="18"/>
        <v>10000</v>
      </c>
      <c r="N286">
        <f t="shared" si="19"/>
        <v>10000</v>
      </c>
    </row>
    <row r="287" spans="1:14">
      <c r="A287">
        <f t="shared" si="16"/>
        <v>11</v>
      </c>
      <c r="B287">
        <v>11</v>
      </c>
      <c r="C287" t="s">
        <v>43</v>
      </c>
      <c r="D287" t="s">
        <v>33</v>
      </c>
      <c r="E287">
        <v>1</v>
      </c>
      <c r="F287">
        <v>1</v>
      </c>
      <c r="G287">
        <v>2001</v>
      </c>
      <c r="H287" t="s">
        <v>34</v>
      </c>
      <c r="I287" t="str">
        <f t="shared" si="17"/>
        <v>[{1000,1,1,2001,101}]</v>
      </c>
      <c r="J287" t="s">
        <v>35</v>
      </c>
      <c r="K287" t="e">
        <f>IF(A287="","",IF(J287=1,VLOOKUP(A287,[1]怪物!$R$80:$V$99,4,0),VLOOKUP(A287,[1]怪物!$R$80:$V$99,2,0))*10000)</f>
        <v>#N/A</v>
      </c>
      <c r="L287" t="e">
        <f>IF(A287="","",IF(K287=1,VLOOKUP(A287,[1]怪物!$R$80:$V$99,5,0),VLOOKUP(A287,[1]怪物!$R$80:$V$99,3,0))*10000)</f>
        <v>#N/A</v>
      </c>
      <c r="M287" t="e">
        <f t="shared" si="18"/>
        <v>#N/A</v>
      </c>
      <c r="N287" t="e">
        <f t="shared" si="19"/>
        <v>#N/A</v>
      </c>
    </row>
    <row r="288" spans="1:14">
      <c r="A288">
        <f t="shared" si="16"/>
        <v>11</v>
      </c>
      <c r="B288">
        <v>11</v>
      </c>
      <c r="C288" t="s">
        <v>43</v>
      </c>
      <c r="D288" t="s">
        <v>33</v>
      </c>
      <c r="E288">
        <v>1</v>
      </c>
      <c r="F288">
        <v>1</v>
      </c>
      <c r="G288">
        <v>2002</v>
      </c>
      <c r="H288" t="s">
        <v>37</v>
      </c>
      <c r="I288" t="str">
        <f t="shared" si="17"/>
        <v>[{1000,1,1,2002,401}]</v>
      </c>
      <c r="J288">
        <v>1</v>
      </c>
      <c r="K288" t="e">
        <f>IF(A288="","",IF(J288=1,VLOOKUP(A288,[1]怪物!$R$80:$V$99,4,0),VLOOKUP(A288,[1]怪物!$R$80:$V$99,2,0))*10000)</f>
        <v>#N/A</v>
      </c>
      <c r="L288" t="e">
        <f>IF(A288="","",IF(K288=1,VLOOKUP(A288,[1]怪物!$R$80:$V$99,5,0),VLOOKUP(A288,[1]怪物!$R$80:$V$99,3,0))*10000)</f>
        <v>#N/A</v>
      </c>
      <c r="M288" t="e">
        <f t="shared" si="18"/>
        <v>#N/A</v>
      </c>
      <c r="N288" t="e">
        <f t="shared" si="19"/>
        <v>#N/A</v>
      </c>
    </row>
    <row r="289" spans="1:14">
      <c r="A289">
        <f t="shared" si="16"/>
        <v>12</v>
      </c>
      <c r="B289">
        <v>12</v>
      </c>
      <c r="C289" t="s">
        <v>43</v>
      </c>
      <c r="D289" t="s">
        <v>33</v>
      </c>
      <c r="E289">
        <v>1</v>
      </c>
      <c r="F289">
        <v>1</v>
      </c>
      <c r="G289">
        <v>2001</v>
      </c>
      <c r="H289" t="s">
        <v>34</v>
      </c>
      <c r="I289" t="str">
        <f t="shared" si="17"/>
        <v>[{1000,1,1,2001,101}]</v>
      </c>
      <c r="J289" t="s">
        <v>35</v>
      </c>
      <c r="K289" t="e">
        <f>IF(A289="","",IF(J289=1,VLOOKUP(A289,[1]怪物!$R$80:$V$99,4,0),VLOOKUP(A289,[1]怪物!$R$80:$V$99,2,0))*10000)</f>
        <v>#N/A</v>
      </c>
      <c r="L289" t="e">
        <f>IF(A289="","",IF(K289=1,VLOOKUP(A289,[1]怪物!$R$80:$V$99,5,0),VLOOKUP(A289,[1]怪物!$R$80:$V$99,3,0))*10000)</f>
        <v>#N/A</v>
      </c>
      <c r="M289" t="e">
        <f t="shared" si="18"/>
        <v>#N/A</v>
      </c>
      <c r="N289" t="e">
        <f t="shared" si="19"/>
        <v>#N/A</v>
      </c>
    </row>
    <row r="290" spans="1:14">
      <c r="A290">
        <f t="shared" si="16"/>
        <v>12</v>
      </c>
      <c r="B290">
        <v>12</v>
      </c>
      <c r="C290" t="s">
        <v>43</v>
      </c>
      <c r="D290" t="s">
        <v>33</v>
      </c>
      <c r="E290">
        <v>1</v>
      </c>
      <c r="F290">
        <v>1</v>
      </c>
      <c r="G290">
        <v>2002</v>
      </c>
      <c r="H290" t="s">
        <v>37</v>
      </c>
      <c r="I290" t="str">
        <f t="shared" si="17"/>
        <v>[{1000,1,1,2002,401}]</v>
      </c>
      <c r="J290">
        <v>1</v>
      </c>
      <c r="K290" t="e">
        <f>IF(A290="","",IF(J290=1,VLOOKUP(A290,[1]怪物!$R$80:$V$99,4,0),VLOOKUP(A290,[1]怪物!$R$80:$V$99,2,0))*10000)</f>
        <v>#N/A</v>
      </c>
      <c r="L290" t="e">
        <f>IF(A290="","",IF(K290=1,VLOOKUP(A290,[1]怪物!$R$80:$V$99,5,0),VLOOKUP(A290,[1]怪物!$R$80:$V$99,3,0))*10000)</f>
        <v>#N/A</v>
      </c>
      <c r="M290" t="e">
        <f t="shared" si="18"/>
        <v>#N/A</v>
      </c>
      <c r="N290" t="e">
        <f t="shared" si="19"/>
        <v>#N/A</v>
      </c>
    </row>
    <row r="291" spans="1:14">
      <c r="A291">
        <f t="shared" si="16"/>
        <v>13</v>
      </c>
      <c r="B291">
        <v>13</v>
      </c>
      <c r="C291" t="s">
        <v>43</v>
      </c>
      <c r="D291" t="s">
        <v>33</v>
      </c>
      <c r="E291">
        <v>1</v>
      </c>
      <c r="F291">
        <v>1</v>
      </c>
      <c r="G291">
        <v>2001</v>
      </c>
      <c r="H291" t="s">
        <v>34</v>
      </c>
      <c r="I291" t="str">
        <f t="shared" si="17"/>
        <v>[{1000,1,1,2001,101}]</v>
      </c>
      <c r="J291" t="s">
        <v>35</v>
      </c>
      <c r="K291" t="e">
        <f>IF(A291="","",IF(J291=1,VLOOKUP(A291,[1]怪物!$R$80:$V$99,4,0),VLOOKUP(A291,[1]怪物!$R$80:$V$99,2,0))*10000)</f>
        <v>#N/A</v>
      </c>
      <c r="L291" t="e">
        <f>IF(A291="","",IF(K291=1,VLOOKUP(A291,[1]怪物!$R$80:$V$99,5,0),VLOOKUP(A291,[1]怪物!$R$80:$V$99,3,0))*10000)</f>
        <v>#N/A</v>
      </c>
      <c r="M291" t="e">
        <f t="shared" si="18"/>
        <v>#N/A</v>
      </c>
      <c r="N291" t="e">
        <f t="shared" si="19"/>
        <v>#N/A</v>
      </c>
    </row>
    <row r="292" spans="1:14">
      <c r="A292">
        <f t="shared" si="16"/>
        <v>13</v>
      </c>
      <c r="B292">
        <v>13</v>
      </c>
      <c r="C292" t="s">
        <v>43</v>
      </c>
      <c r="D292" t="s">
        <v>33</v>
      </c>
      <c r="E292">
        <v>1</v>
      </c>
      <c r="F292">
        <v>1</v>
      </c>
      <c r="G292">
        <v>2002</v>
      </c>
      <c r="H292" t="s">
        <v>37</v>
      </c>
      <c r="I292" t="str">
        <f t="shared" si="17"/>
        <v>[{1000,1,1,2002,401}]</v>
      </c>
      <c r="J292">
        <v>1</v>
      </c>
      <c r="K292" t="e">
        <f>IF(A292="","",IF(J292=1,VLOOKUP(A292,[1]怪物!$R$80:$V$99,4,0),VLOOKUP(A292,[1]怪物!$R$80:$V$99,2,0))*10000)</f>
        <v>#N/A</v>
      </c>
      <c r="L292" t="e">
        <f>IF(A292="","",IF(K292=1,VLOOKUP(A292,[1]怪物!$R$80:$V$99,5,0),VLOOKUP(A292,[1]怪物!$R$80:$V$99,3,0))*10000)</f>
        <v>#N/A</v>
      </c>
      <c r="M292" t="e">
        <f t="shared" si="18"/>
        <v>#N/A</v>
      </c>
      <c r="N292" t="e">
        <f t="shared" si="19"/>
        <v>#N/A</v>
      </c>
    </row>
    <row r="293" spans="1:14">
      <c r="A293">
        <f t="shared" si="16"/>
        <v>14</v>
      </c>
      <c r="B293">
        <v>14</v>
      </c>
      <c r="C293" t="s">
        <v>43</v>
      </c>
      <c r="D293" t="s">
        <v>33</v>
      </c>
      <c r="E293">
        <v>1</v>
      </c>
      <c r="F293">
        <v>1</v>
      </c>
      <c r="G293">
        <v>2001</v>
      </c>
      <c r="H293" t="s">
        <v>34</v>
      </c>
      <c r="I293" t="str">
        <f t="shared" si="17"/>
        <v>[{1000,1,1,2001,101}]</v>
      </c>
      <c r="J293" t="s">
        <v>35</v>
      </c>
      <c r="K293" t="e">
        <f>IF(A293="","",IF(J293=1,VLOOKUP(A293,[1]怪物!$R$80:$V$99,4,0),VLOOKUP(A293,[1]怪物!$R$80:$V$99,2,0))*10000)</f>
        <v>#N/A</v>
      </c>
      <c r="L293" t="e">
        <f>IF(A293="","",IF(K293=1,VLOOKUP(A293,[1]怪物!$R$80:$V$99,5,0),VLOOKUP(A293,[1]怪物!$R$80:$V$99,3,0))*10000)</f>
        <v>#N/A</v>
      </c>
      <c r="M293" t="e">
        <f t="shared" si="18"/>
        <v>#N/A</v>
      </c>
      <c r="N293" t="e">
        <f t="shared" si="19"/>
        <v>#N/A</v>
      </c>
    </row>
    <row r="294" spans="1:14">
      <c r="A294">
        <f t="shared" si="16"/>
        <v>14</v>
      </c>
      <c r="B294">
        <v>14</v>
      </c>
      <c r="C294" t="s">
        <v>43</v>
      </c>
      <c r="D294" t="s">
        <v>33</v>
      </c>
      <c r="E294">
        <v>1</v>
      </c>
      <c r="F294">
        <v>1</v>
      </c>
      <c r="G294">
        <v>2002</v>
      </c>
      <c r="H294" t="s">
        <v>37</v>
      </c>
      <c r="I294" t="str">
        <f t="shared" si="17"/>
        <v>[{1000,1,1,2002,401}]</v>
      </c>
      <c r="J294">
        <v>1</v>
      </c>
      <c r="K294" t="e">
        <f>IF(A294="","",IF(J294=1,VLOOKUP(A294,[1]怪物!$R$80:$V$99,4,0),VLOOKUP(A294,[1]怪物!$R$80:$V$99,2,0))*10000)</f>
        <v>#N/A</v>
      </c>
      <c r="L294" t="e">
        <f>IF(A294="","",IF(K294=1,VLOOKUP(A294,[1]怪物!$R$80:$V$99,5,0),VLOOKUP(A294,[1]怪物!$R$80:$V$99,3,0))*10000)</f>
        <v>#N/A</v>
      </c>
      <c r="M294" t="e">
        <f t="shared" si="18"/>
        <v>#N/A</v>
      </c>
      <c r="N294" t="e">
        <f t="shared" si="19"/>
        <v>#N/A</v>
      </c>
    </row>
    <row r="295" spans="1:14">
      <c r="A295">
        <f t="shared" si="16"/>
        <v>14</v>
      </c>
      <c r="B295">
        <v>14</v>
      </c>
      <c r="C295" t="s">
        <v>43</v>
      </c>
      <c r="D295" t="s">
        <v>33</v>
      </c>
      <c r="E295">
        <v>1</v>
      </c>
      <c r="F295">
        <v>1</v>
      </c>
      <c r="G295">
        <v>2003</v>
      </c>
      <c r="H295" t="s">
        <v>34</v>
      </c>
      <c r="I295" t="str">
        <f t="shared" si="17"/>
        <v>[{1000,1,1,2003,101}]</v>
      </c>
      <c r="J295">
        <v>1</v>
      </c>
      <c r="K295" t="e">
        <f>IF(A295="","",IF(J295=1,VLOOKUP(A295,[1]怪物!$R$80:$V$99,4,0),VLOOKUP(A295,[1]怪物!$R$80:$V$99,2,0))*10000)</f>
        <v>#N/A</v>
      </c>
      <c r="L295" t="e">
        <f>IF(A295="","",IF(K295=1,VLOOKUP(A295,[1]怪物!$R$80:$V$99,5,0),VLOOKUP(A295,[1]怪物!$R$80:$V$99,3,0))*10000)</f>
        <v>#N/A</v>
      </c>
      <c r="M295" t="e">
        <f t="shared" si="18"/>
        <v>#N/A</v>
      </c>
      <c r="N295" t="e">
        <f t="shared" si="19"/>
        <v>#N/A</v>
      </c>
    </row>
    <row r="296" spans="1:14">
      <c r="A296">
        <f t="shared" si="16"/>
        <v>15</v>
      </c>
      <c r="B296">
        <v>15</v>
      </c>
      <c r="C296" t="s">
        <v>43</v>
      </c>
      <c r="D296" t="s">
        <v>33</v>
      </c>
      <c r="E296">
        <v>1</v>
      </c>
      <c r="F296">
        <v>1</v>
      </c>
      <c r="G296">
        <v>2001</v>
      </c>
      <c r="H296" t="s">
        <v>34</v>
      </c>
      <c r="I296" t="str">
        <f t="shared" si="17"/>
        <v>[{1000,1,1,2001,101}]</v>
      </c>
      <c r="J296" t="s">
        <v>35</v>
      </c>
      <c r="K296" t="e">
        <f>IF(A296="","",IF(J296=1,VLOOKUP(A296,[1]怪物!$R$80:$V$99,4,0),VLOOKUP(A296,[1]怪物!$R$80:$V$99,2,0))*10000)</f>
        <v>#N/A</v>
      </c>
      <c r="L296" t="e">
        <f>IF(A296="","",IF(K296=1,VLOOKUP(A296,[1]怪物!$R$80:$V$99,5,0),VLOOKUP(A296,[1]怪物!$R$80:$V$99,3,0))*10000)</f>
        <v>#N/A</v>
      </c>
      <c r="M296" t="e">
        <f t="shared" si="18"/>
        <v>#N/A</v>
      </c>
      <c r="N296" t="e">
        <f t="shared" si="19"/>
        <v>#N/A</v>
      </c>
    </row>
    <row r="297" spans="1:14">
      <c r="A297">
        <f t="shared" si="16"/>
        <v>15</v>
      </c>
      <c r="B297">
        <v>15</v>
      </c>
      <c r="C297" t="s">
        <v>43</v>
      </c>
      <c r="D297" t="s">
        <v>33</v>
      </c>
      <c r="E297">
        <v>1</v>
      </c>
      <c r="F297">
        <v>1</v>
      </c>
      <c r="G297">
        <v>2002</v>
      </c>
      <c r="H297" t="s">
        <v>37</v>
      </c>
      <c r="I297" t="str">
        <f t="shared" si="17"/>
        <v>[{1000,1,1,2002,401}]</v>
      </c>
      <c r="J297">
        <v>1</v>
      </c>
      <c r="K297" t="e">
        <f>IF(A297="","",IF(J297=1,VLOOKUP(A297,[1]怪物!$R$80:$V$99,4,0),VLOOKUP(A297,[1]怪物!$R$80:$V$99,2,0))*10000)</f>
        <v>#N/A</v>
      </c>
      <c r="L297" t="e">
        <f>IF(A297="","",IF(K297=1,VLOOKUP(A297,[1]怪物!$R$80:$V$99,5,0),VLOOKUP(A297,[1]怪物!$R$80:$V$99,3,0))*10000)</f>
        <v>#N/A</v>
      </c>
      <c r="M297" t="e">
        <f t="shared" si="18"/>
        <v>#N/A</v>
      </c>
      <c r="N297" t="e">
        <f t="shared" si="19"/>
        <v>#N/A</v>
      </c>
    </row>
    <row r="298" spans="1:14">
      <c r="A298">
        <f t="shared" si="16"/>
        <v>15</v>
      </c>
      <c r="B298">
        <v>15</v>
      </c>
      <c r="C298" t="s">
        <v>43</v>
      </c>
      <c r="D298" t="s">
        <v>33</v>
      </c>
      <c r="E298">
        <v>1</v>
      </c>
      <c r="F298">
        <v>1</v>
      </c>
      <c r="G298">
        <v>2003</v>
      </c>
      <c r="H298" t="s">
        <v>34</v>
      </c>
      <c r="I298" t="str">
        <f t="shared" si="17"/>
        <v>[{1000,1,1,2003,101}]</v>
      </c>
      <c r="J298">
        <v>1</v>
      </c>
      <c r="K298" t="e">
        <f>IF(A298="","",IF(J298=1,VLOOKUP(A298,[1]怪物!$R$80:$V$99,4,0),VLOOKUP(A298,[1]怪物!$R$80:$V$99,2,0))*10000)</f>
        <v>#N/A</v>
      </c>
      <c r="L298" t="e">
        <f>IF(A298="","",IF(K298=1,VLOOKUP(A298,[1]怪物!$R$80:$V$99,5,0),VLOOKUP(A298,[1]怪物!$R$80:$V$99,3,0))*10000)</f>
        <v>#N/A</v>
      </c>
      <c r="M298" t="e">
        <f t="shared" si="18"/>
        <v>#N/A</v>
      </c>
      <c r="N298" t="e">
        <f t="shared" si="19"/>
        <v>#N/A</v>
      </c>
    </row>
    <row r="299" spans="1:14">
      <c r="A299">
        <f t="shared" si="16"/>
        <v>16</v>
      </c>
      <c r="B299">
        <v>16</v>
      </c>
      <c r="C299" t="s">
        <v>43</v>
      </c>
      <c r="D299" t="s">
        <v>33</v>
      </c>
      <c r="E299">
        <v>1</v>
      </c>
      <c r="F299">
        <v>1</v>
      </c>
      <c r="G299">
        <v>2001</v>
      </c>
      <c r="H299" t="s">
        <v>34</v>
      </c>
      <c r="I299" t="str">
        <f t="shared" si="17"/>
        <v>[{1000,1,1,2001,101}]</v>
      </c>
      <c r="J299" t="s">
        <v>35</v>
      </c>
      <c r="K299" t="e">
        <f>IF(A299="","",IF(J299=1,VLOOKUP(A299,[1]怪物!$R$80:$V$99,4,0),VLOOKUP(A299,[1]怪物!$R$80:$V$99,2,0))*10000)</f>
        <v>#N/A</v>
      </c>
      <c r="L299" t="e">
        <f>IF(A299="","",IF(K299=1,VLOOKUP(A299,[1]怪物!$R$80:$V$99,5,0),VLOOKUP(A299,[1]怪物!$R$80:$V$99,3,0))*10000)</f>
        <v>#N/A</v>
      </c>
      <c r="M299" t="e">
        <f t="shared" si="18"/>
        <v>#N/A</v>
      </c>
      <c r="N299" t="e">
        <f t="shared" si="19"/>
        <v>#N/A</v>
      </c>
    </row>
    <row r="300" spans="1:14">
      <c r="A300">
        <f t="shared" si="16"/>
        <v>16</v>
      </c>
      <c r="B300">
        <v>16</v>
      </c>
      <c r="C300" t="s">
        <v>43</v>
      </c>
      <c r="D300" t="s">
        <v>33</v>
      </c>
      <c r="E300">
        <v>1</v>
      </c>
      <c r="F300">
        <v>1</v>
      </c>
      <c r="G300">
        <v>2002</v>
      </c>
      <c r="H300" t="s">
        <v>37</v>
      </c>
      <c r="I300" t="str">
        <f t="shared" si="17"/>
        <v>[{1000,1,1,2002,401}]</v>
      </c>
      <c r="J300">
        <v>1</v>
      </c>
      <c r="K300" t="e">
        <f>IF(A300="","",IF(J300=1,VLOOKUP(A300,[1]怪物!$R$80:$V$99,4,0),VLOOKUP(A300,[1]怪物!$R$80:$V$99,2,0))*10000)</f>
        <v>#N/A</v>
      </c>
      <c r="L300" t="e">
        <f>IF(A300="","",IF(K300=1,VLOOKUP(A300,[1]怪物!$R$80:$V$99,5,0),VLOOKUP(A300,[1]怪物!$R$80:$V$99,3,0))*10000)</f>
        <v>#N/A</v>
      </c>
      <c r="M300" t="e">
        <f t="shared" si="18"/>
        <v>#N/A</v>
      </c>
      <c r="N300" t="e">
        <f t="shared" si="19"/>
        <v>#N/A</v>
      </c>
    </row>
    <row r="301" spans="1:14">
      <c r="A301">
        <f t="shared" si="16"/>
        <v>16</v>
      </c>
      <c r="B301">
        <v>16</v>
      </c>
      <c r="C301" t="s">
        <v>43</v>
      </c>
      <c r="D301" t="s">
        <v>33</v>
      </c>
      <c r="E301">
        <v>1</v>
      </c>
      <c r="F301">
        <v>1</v>
      </c>
      <c r="G301">
        <v>2003</v>
      </c>
      <c r="H301" t="s">
        <v>34</v>
      </c>
      <c r="I301" t="str">
        <f t="shared" si="17"/>
        <v>[{1000,1,1,2003,101}]</v>
      </c>
      <c r="J301">
        <v>1</v>
      </c>
      <c r="K301" t="e">
        <f>IF(A301="","",IF(J301=1,VLOOKUP(A301,[1]怪物!$R$80:$V$99,4,0),VLOOKUP(A301,[1]怪物!$R$80:$V$99,2,0))*10000)</f>
        <v>#N/A</v>
      </c>
      <c r="L301" t="e">
        <f>IF(A301="","",IF(K301=1,VLOOKUP(A301,[1]怪物!$R$80:$V$99,5,0),VLOOKUP(A301,[1]怪物!$R$80:$V$99,3,0))*10000)</f>
        <v>#N/A</v>
      </c>
      <c r="M301" t="e">
        <f t="shared" si="18"/>
        <v>#N/A</v>
      </c>
      <c r="N301" t="e">
        <f t="shared" si="19"/>
        <v>#N/A</v>
      </c>
    </row>
    <row r="302" spans="1:14">
      <c r="A302">
        <f t="shared" si="16"/>
        <v>17</v>
      </c>
      <c r="B302">
        <v>17</v>
      </c>
      <c r="C302" t="s">
        <v>43</v>
      </c>
      <c r="D302" t="s">
        <v>33</v>
      </c>
      <c r="E302">
        <v>1</v>
      </c>
      <c r="F302">
        <v>1</v>
      </c>
      <c r="G302">
        <v>2001</v>
      </c>
      <c r="H302" t="s">
        <v>34</v>
      </c>
      <c r="I302" t="str">
        <f t="shared" si="17"/>
        <v>[{1000,1,1,2001,101}]</v>
      </c>
      <c r="J302" t="s">
        <v>35</v>
      </c>
      <c r="K302" t="e">
        <f>IF(A302="","",IF(J302=1,VLOOKUP(A302,[1]怪物!$R$80:$V$99,4,0),VLOOKUP(A302,[1]怪物!$R$80:$V$99,2,0))*10000)</f>
        <v>#N/A</v>
      </c>
      <c r="L302" t="e">
        <f>IF(A302="","",IF(K302=1,VLOOKUP(A302,[1]怪物!$R$80:$V$99,5,0),VLOOKUP(A302,[1]怪物!$R$80:$V$99,3,0))*10000)</f>
        <v>#N/A</v>
      </c>
      <c r="M302" t="e">
        <f t="shared" si="18"/>
        <v>#N/A</v>
      </c>
      <c r="N302" t="e">
        <f t="shared" si="19"/>
        <v>#N/A</v>
      </c>
    </row>
    <row r="303" spans="1:14">
      <c r="A303">
        <f t="shared" si="16"/>
        <v>17</v>
      </c>
      <c r="B303">
        <v>17</v>
      </c>
      <c r="C303" t="s">
        <v>43</v>
      </c>
      <c r="D303" t="s">
        <v>33</v>
      </c>
      <c r="E303">
        <v>1</v>
      </c>
      <c r="F303">
        <v>1</v>
      </c>
      <c r="G303">
        <v>2002</v>
      </c>
      <c r="H303" t="s">
        <v>37</v>
      </c>
      <c r="I303" t="str">
        <f t="shared" si="17"/>
        <v>[{1000,1,1,2002,401}]</v>
      </c>
      <c r="J303">
        <v>1</v>
      </c>
      <c r="K303" t="e">
        <f>IF(A303="","",IF(J303=1,VLOOKUP(A303,[1]怪物!$R$80:$V$99,4,0),VLOOKUP(A303,[1]怪物!$R$80:$V$99,2,0))*10000)</f>
        <v>#N/A</v>
      </c>
      <c r="L303" t="e">
        <f>IF(A303="","",IF(K303=1,VLOOKUP(A303,[1]怪物!$R$80:$V$99,5,0),VLOOKUP(A303,[1]怪物!$R$80:$V$99,3,0))*10000)</f>
        <v>#N/A</v>
      </c>
      <c r="M303" t="e">
        <f t="shared" si="18"/>
        <v>#N/A</v>
      </c>
      <c r="N303" t="e">
        <f t="shared" si="19"/>
        <v>#N/A</v>
      </c>
    </row>
    <row r="304" spans="1:14">
      <c r="A304">
        <f t="shared" si="16"/>
        <v>17</v>
      </c>
      <c r="B304">
        <v>17</v>
      </c>
      <c r="C304" t="s">
        <v>43</v>
      </c>
      <c r="D304" t="s">
        <v>33</v>
      </c>
      <c r="E304">
        <v>1</v>
      </c>
      <c r="F304">
        <v>1</v>
      </c>
      <c r="G304">
        <v>2003</v>
      </c>
      <c r="H304" t="s">
        <v>34</v>
      </c>
      <c r="I304" t="str">
        <f t="shared" si="17"/>
        <v>[{1000,1,1,2003,101}]</v>
      </c>
      <c r="J304">
        <v>1</v>
      </c>
      <c r="K304" t="e">
        <f>IF(A304="","",IF(J304=1,VLOOKUP(A304,[1]怪物!$R$80:$V$99,4,0),VLOOKUP(A304,[1]怪物!$R$80:$V$99,2,0))*10000)</f>
        <v>#N/A</v>
      </c>
      <c r="L304" t="e">
        <f>IF(A304="","",IF(K304=1,VLOOKUP(A304,[1]怪物!$R$80:$V$99,5,0),VLOOKUP(A304,[1]怪物!$R$80:$V$99,3,0))*10000)</f>
        <v>#N/A</v>
      </c>
      <c r="M304" t="e">
        <f t="shared" si="18"/>
        <v>#N/A</v>
      </c>
      <c r="N304" t="e">
        <f t="shared" si="19"/>
        <v>#N/A</v>
      </c>
    </row>
    <row r="305" spans="1:14">
      <c r="A305">
        <f t="shared" si="16"/>
        <v>18</v>
      </c>
      <c r="B305">
        <v>18</v>
      </c>
      <c r="C305" t="s">
        <v>43</v>
      </c>
      <c r="D305" t="s">
        <v>33</v>
      </c>
      <c r="E305">
        <v>1</v>
      </c>
      <c r="F305">
        <v>1</v>
      </c>
      <c r="G305">
        <v>2001</v>
      </c>
      <c r="H305" t="s">
        <v>34</v>
      </c>
      <c r="I305" t="str">
        <f t="shared" si="17"/>
        <v>[{1000,1,1,2001,101}]</v>
      </c>
      <c r="J305" t="s">
        <v>35</v>
      </c>
      <c r="K305" t="e">
        <f>IF(A305="","",IF(J305=1,VLOOKUP(A305,[1]怪物!$R$80:$V$99,4,0),VLOOKUP(A305,[1]怪物!$R$80:$V$99,2,0))*10000)</f>
        <v>#N/A</v>
      </c>
      <c r="L305" t="e">
        <f>IF(A305="","",IF(K305=1,VLOOKUP(A305,[1]怪物!$R$80:$V$99,5,0),VLOOKUP(A305,[1]怪物!$R$80:$V$99,3,0))*10000)</f>
        <v>#N/A</v>
      </c>
      <c r="M305" t="e">
        <f t="shared" si="18"/>
        <v>#N/A</v>
      </c>
      <c r="N305" t="e">
        <f t="shared" si="19"/>
        <v>#N/A</v>
      </c>
    </row>
    <row r="306" spans="1:14">
      <c r="A306">
        <f t="shared" si="16"/>
        <v>18</v>
      </c>
      <c r="B306">
        <v>18</v>
      </c>
      <c r="C306" t="s">
        <v>43</v>
      </c>
      <c r="D306" t="s">
        <v>33</v>
      </c>
      <c r="E306">
        <v>1</v>
      </c>
      <c r="F306">
        <v>1</v>
      </c>
      <c r="G306">
        <v>2002</v>
      </c>
      <c r="H306" t="s">
        <v>37</v>
      </c>
      <c r="I306" t="str">
        <f t="shared" si="17"/>
        <v>[{1000,1,1,2002,401}]</v>
      </c>
      <c r="J306">
        <v>1</v>
      </c>
      <c r="K306" t="e">
        <f>IF(A306="","",IF(J306=1,VLOOKUP(A306,[1]怪物!$R$80:$V$99,4,0),VLOOKUP(A306,[1]怪物!$R$80:$V$99,2,0))*10000)</f>
        <v>#N/A</v>
      </c>
      <c r="L306" t="e">
        <f>IF(A306="","",IF(K306=1,VLOOKUP(A306,[1]怪物!$R$80:$V$99,5,0),VLOOKUP(A306,[1]怪物!$R$80:$V$99,3,0))*10000)</f>
        <v>#N/A</v>
      </c>
      <c r="M306" t="e">
        <f t="shared" si="18"/>
        <v>#N/A</v>
      </c>
      <c r="N306" t="e">
        <f t="shared" si="19"/>
        <v>#N/A</v>
      </c>
    </row>
    <row r="307" spans="1:14">
      <c r="A307">
        <f t="shared" si="16"/>
        <v>18</v>
      </c>
      <c r="B307">
        <v>18</v>
      </c>
      <c r="C307" t="s">
        <v>43</v>
      </c>
      <c r="D307" t="s">
        <v>33</v>
      </c>
      <c r="E307">
        <v>1</v>
      </c>
      <c r="F307">
        <v>1</v>
      </c>
      <c r="G307">
        <v>2003</v>
      </c>
      <c r="H307" t="s">
        <v>34</v>
      </c>
      <c r="I307" t="str">
        <f t="shared" si="17"/>
        <v>[{1000,1,1,2003,101}]</v>
      </c>
      <c r="J307">
        <v>1</v>
      </c>
      <c r="K307" t="e">
        <f>IF(A307="","",IF(J307=1,VLOOKUP(A307,[1]怪物!$R$80:$V$99,4,0),VLOOKUP(A307,[1]怪物!$R$80:$V$99,2,0))*10000)</f>
        <v>#N/A</v>
      </c>
      <c r="L307" t="e">
        <f>IF(A307="","",IF(K307=1,VLOOKUP(A307,[1]怪物!$R$80:$V$99,5,0),VLOOKUP(A307,[1]怪物!$R$80:$V$99,3,0))*10000)</f>
        <v>#N/A</v>
      </c>
      <c r="M307" t="e">
        <f t="shared" si="18"/>
        <v>#N/A</v>
      </c>
      <c r="N307" t="e">
        <f t="shared" si="19"/>
        <v>#N/A</v>
      </c>
    </row>
    <row r="308" spans="1:14">
      <c r="A308">
        <f t="shared" si="16"/>
        <v>19</v>
      </c>
      <c r="B308">
        <v>19</v>
      </c>
      <c r="C308" t="s">
        <v>43</v>
      </c>
      <c r="D308" t="s">
        <v>33</v>
      </c>
      <c r="E308">
        <v>1</v>
      </c>
      <c r="F308">
        <v>1</v>
      </c>
      <c r="G308">
        <v>2001</v>
      </c>
      <c r="H308" t="s">
        <v>34</v>
      </c>
      <c r="I308" t="str">
        <f t="shared" si="17"/>
        <v>[{1000,1,1,2001,101}]</v>
      </c>
      <c r="J308" t="s">
        <v>35</v>
      </c>
      <c r="K308" t="e">
        <f>IF(A308="","",IF(J308=1,VLOOKUP(A308,[1]怪物!$R$80:$V$99,4,0),VLOOKUP(A308,[1]怪物!$R$80:$V$99,2,0))*10000)</f>
        <v>#N/A</v>
      </c>
      <c r="L308" t="e">
        <f>IF(A308="","",IF(K308=1,VLOOKUP(A308,[1]怪物!$R$80:$V$99,5,0),VLOOKUP(A308,[1]怪物!$R$80:$V$99,3,0))*10000)</f>
        <v>#N/A</v>
      </c>
      <c r="M308" t="e">
        <f t="shared" si="18"/>
        <v>#N/A</v>
      </c>
      <c r="N308" t="e">
        <f t="shared" si="19"/>
        <v>#N/A</v>
      </c>
    </row>
    <row r="309" spans="1:14">
      <c r="A309">
        <f t="shared" si="16"/>
        <v>19</v>
      </c>
      <c r="B309">
        <v>19</v>
      </c>
      <c r="C309" t="s">
        <v>43</v>
      </c>
      <c r="D309" t="s">
        <v>33</v>
      </c>
      <c r="E309">
        <v>1</v>
      </c>
      <c r="F309">
        <v>1</v>
      </c>
      <c r="G309">
        <v>2002</v>
      </c>
      <c r="H309" t="s">
        <v>37</v>
      </c>
      <c r="I309" t="str">
        <f t="shared" si="17"/>
        <v>[{1000,1,1,2002,401}]</v>
      </c>
      <c r="J309">
        <v>1</v>
      </c>
      <c r="K309" t="e">
        <f>IF(A309="","",IF(J309=1,VLOOKUP(A309,[1]怪物!$R$80:$V$99,4,0),VLOOKUP(A309,[1]怪物!$R$80:$V$99,2,0))*10000)</f>
        <v>#N/A</v>
      </c>
      <c r="L309" t="e">
        <f>IF(A309="","",IF(K309=1,VLOOKUP(A309,[1]怪物!$R$80:$V$99,5,0),VLOOKUP(A309,[1]怪物!$R$80:$V$99,3,0))*10000)</f>
        <v>#N/A</v>
      </c>
      <c r="M309" t="e">
        <f t="shared" si="18"/>
        <v>#N/A</v>
      </c>
      <c r="N309" t="e">
        <f t="shared" si="19"/>
        <v>#N/A</v>
      </c>
    </row>
    <row r="310" spans="1:14">
      <c r="A310">
        <f t="shared" si="16"/>
        <v>19</v>
      </c>
      <c r="B310">
        <v>19</v>
      </c>
      <c r="C310" t="s">
        <v>43</v>
      </c>
      <c r="D310" t="s">
        <v>33</v>
      </c>
      <c r="E310">
        <v>1</v>
      </c>
      <c r="F310">
        <v>1</v>
      </c>
      <c r="G310">
        <v>2003</v>
      </c>
      <c r="H310" t="s">
        <v>34</v>
      </c>
      <c r="I310" t="str">
        <f t="shared" si="17"/>
        <v>[{1000,1,1,2003,101}]</v>
      </c>
      <c r="J310">
        <v>1</v>
      </c>
      <c r="K310" t="e">
        <f>IF(A310="","",IF(J310=1,VLOOKUP(A310,[1]怪物!$R$80:$V$99,4,0),VLOOKUP(A310,[1]怪物!$R$80:$V$99,2,0))*10000)</f>
        <v>#N/A</v>
      </c>
      <c r="L310" t="e">
        <f>IF(A310="","",IF(K310=1,VLOOKUP(A310,[1]怪物!$R$80:$V$99,5,0),VLOOKUP(A310,[1]怪物!$R$80:$V$99,3,0))*10000)</f>
        <v>#N/A</v>
      </c>
      <c r="M310" t="e">
        <f t="shared" si="18"/>
        <v>#N/A</v>
      </c>
      <c r="N310" t="e">
        <f t="shared" si="19"/>
        <v>#N/A</v>
      </c>
    </row>
    <row r="311" spans="1:14">
      <c r="A311">
        <f t="shared" si="16"/>
        <v>20</v>
      </c>
      <c r="B311">
        <v>20</v>
      </c>
      <c r="C311" t="s">
        <v>43</v>
      </c>
      <c r="D311" t="s">
        <v>33</v>
      </c>
      <c r="E311">
        <v>1</v>
      </c>
      <c r="F311">
        <v>1</v>
      </c>
      <c r="G311">
        <v>2001</v>
      </c>
      <c r="H311" t="s">
        <v>34</v>
      </c>
      <c r="I311" t="str">
        <f t="shared" si="17"/>
        <v>[{1000,1,1,2001,101}]</v>
      </c>
      <c r="J311" t="s">
        <v>35</v>
      </c>
      <c r="K311" t="e">
        <f>IF(A311="","",IF(J311=1,VLOOKUP(A311,[1]怪物!$R$80:$V$99,4,0),VLOOKUP(A311,[1]怪物!$R$80:$V$99,2,0))*10000)</f>
        <v>#N/A</v>
      </c>
      <c r="L311" t="e">
        <f>IF(A311="","",IF(K311=1,VLOOKUP(A311,[1]怪物!$R$80:$V$99,5,0),VLOOKUP(A311,[1]怪物!$R$80:$V$99,3,0))*10000)</f>
        <v>#N/A</v>
      </c>
      <c r="M311" t="e">
        <f t="shared" si="18"/>
        <v>#N/A</v>
      </c>
      <c r="N311" t="e">
        <f t="shared" si="19"/>
        <v>#N/A</v>
      </c>
    </row>
    <row r="312" spans="1:14">
      <c r="A312">
        <f t="shared" si="16"/>
        <v>20</v>
      </c>
      <c r="B312">
        <v>20</v>
      </c>
      <c r="C312" t="s">
        <v>43</v>
      </c>
      <c r="D312" t="s">
        <v>33</v>
      </c>
      <c r="E312">
        <v>1</v>
      </c>
      <c r="F312">
        <v>1</v>
      </c>
      <c r="G312">
        <v>2002</v>
      </c>
      <c r="H312" t="s">
        <v>37</v>
      </c>
      <c r="I312" t="str">
        <f t="shared" si="17"/>
        <v>[{1000,1,1,2002,401}]</v>
      </c>
      <c r="J312">
        <v>1</v>
      </c>
      <c r="K312" t="e">
        <f>IF(A312="","",IF(J312=1,VLOOKUP(A312,[1]怪物!$R$80:$V$99,4,0),VLOOKUP(A312,[1]怪物!$R$80:$V$99,2,0))*10000)</f>
        <v>#N/A</v>
      </c>
      <c r="L312" t="e">
        <f>IF(A312="","",IF(K312=1,VLOOKUP(A312,[1]怪物!$R$80:$V$99,5,0),VLOOKUP(A312,[1]怪物!$R$80:$V$99,3,0))*10000)</f>
        <v>#N/A</v>
      </c>
      <c r="M312" t="e">
        <f t="shared" si="18"/>
        <v>#N/A</v>
      </c>
      <c r="N312" t="e">
        <f t="shared" si="19"/>
        <v>#N/A</v>
      </c>
    </row>
    <row r="313" spans="1:14">
      <c r="A313">
        <f t="shared" si="16"/>
        <v>20</v>
      </c>
      <c r="B313">
        <v>20</v>
      </c>
      <c r="C313" t="s">
        <v>43</v>
      </c>
      <c r="D313" t="s">
        <v>33</v>
      </c>
      <c r="E313">
        <v>1</v>
      </c>
      <c r="F313">
        <v>1</v>
      </c>
      <c r="G313">
        <v>2003</v>
      </c>
      <c r="H313" t="s">
        <v>34</v>
      </c>
      <c r="I313" t="str">
        <f t="shared" si="17"/>
        <v>[{1000,1,1,2003,101}]</v>
      </c>
      <c r="J313">
        <v>1</v>
      </c>
      <c r="K313" t="e">
        <f>IF(A313="","",IF(J313=1,VLOOKUP(A313,[1]怪物!$R$80:$V$99,4,0),VLOOKUP(A313,[1]怪物!$R$80:$V$99,2,0))*10000)</f>
        <v>#N/A</v>
      </c>
      <c r="L313" t="e">
        <f>IF(A313="","",IF(K313=1,VLOOKUP(A313,[1]怪物!$R$80:$V$99,5,0),VLOOKUP(A313,[1]怪物!$R$80:$V$99,3,0))*10000)</f>
        <v>#N/A</v>
      </c>
      <c r="M313" t="e">
        <f t="shared" si="18"/>
        <v>#N/A</v>
      </c>
      <c r="N313" t="e">
        <f t="shared" si="19"/>
        <v>#N/A</v>
      </c>
    </row>
    <row r="314" spans="1:14">
      <c r="A314" t="str">
        <f t="shared" si="16"/>
        <v/>
      </c>
      <c r="B314">
        <v>20</v>
      </c>
      <c r="C314" t="s">
        <v>43</v>
      </c>
      <c r="D314" t="s">
        <v>28</v>
      </c>
      <c r="I314" t="str">
        <f t="shared" si="17"/>
        <v>[]</v>
      </c>
      <c r="J314">
        <v>2</v>
      </c>
      <c r="K314" t="str">
        <f>IF(A314="","",IF(J314=1,VLOOKUP(A314,[1]怪物!$R$80:$V$99,4,0),VLOOKUP(A314,[1]怪物!$R$80:$V$99,2,0))*10000)</f>
        <v/>
      </c>
      <c r="L314" t="str">
        <f>IF(A314="","",IF(K314=1,VLOOKUP(A314,[1]怪物!$R$80:$V$99,5,0),VLOOKUP(A314,[1]怪物!$R$80:$V$99,3,0))*10000)</f>
        <v/>
      </c>
      <c r="M314" t="str">
        <f t="shared" si="18"/>
        <v/>
      </c>
      <c r="N314" t="str">
        <f t="shared" si="19"/>
        <v/>
      </c>
    </row>
    <row r="315" spans="1:14">
      <c r="A315">
        <f t="shared" si="16"/>
        <v>20</v>
      </c>
      <c r="B315">
        <v>20</v>
      </c>
      <c r="C315" t="s">
        <v>43</v>
      </c>
      <c r="D315" t="s">
        <v>33</v>
      </c>
      <c r="E315">
        <v>1</v>
      </c>
      <c r="F315">
        <v>0</v>
      </c>
      <c r="G315">
        <v>2031</v>
      </c>
      <c r="H315" t="s">
        <v>37</v>
      </c>
      <c r="I315" t="str">
        <f t="shared" si="17"/>
        <v>[{1000,1,0,2031,401}]</v>
      </c>
      <c r="J315">
        <v>1</v>
      </c>
      <c r="K315" t="e">
        <f>IF(A315="","",IF(J315=1,VLOOKUP(A315,[1]怪物!$R$80:$V$99,4,0),VLOOKUP(A315,[1]怪物!$R$80:$V$99,2,0))*10000)</f>
        <v>#N/A</v>
      </c>
      <c r="L315" t="e">
        <f>IF(A315="","",IF(K315=1,VLOOKUP(A315,[1]怪物!$R$80:$V$99,5,0),VLOOKUP(A315,[1]怪物!$R$80:$V$99,3,0))*10000)</f>
        <v>#N/A</v>
      </c>
      <c r="M315">
        <f t="shared" si="18"/>
        <v>10000</v>
      </c>
      <c r="N315">
        <f t="shared" si="19"/>
        <v>10000</v>
      </c>
    </row>
    <row r="316" spans="1:14">
      <c r="A316">
        <f t="shared" si="16"/>
        <v>1</v>
      </c>
      <c r="B316">
        <v>1</v>
      </c>
      <c r="C316" t="s">
        <v>44</v>
      </c>
      <c r="D316" t="s">
        <v>33</v>
      </c>
      <c r="E316">
        <v>1</v>
      </c>
      <c r="F316">
        <v>1</v>
      </c>
      <c r="G316">
        <v>2101</v>
      </c>
      <c r="H316" t="s">
        <v>34</v>
      </c>
      <c r="I316" t="str">
        <f t="shared" si="17"/>
        <v>[{1000,1,1,2101,101}]</v>
      </c>
      <c r="J316" t="s">
        <v>35</v>
      </c>
      <c r="K316">
        <f>IF(A316="","",IF(J316=1,VLOOKUP(A316,[1]怪物!$R$80:$V$99,4,0),VLOOKUP(A316,[1]怪物!$R$80:$V$99,2,0))*10000)</f>
        <v>10000</v>
      </c>
      <c r="L316">
        <f>IF(A316="","",IF(K316=1,VLOOKUP(A316,[1]怪物!$R$80:$V$99,5,0),VLOOKUP(A316,[1]怪物!$R$80:$V$99,3,0))*10000)</f>
        <v>10000</v>
      </c>
      <c r="M316">
        <f t="shared" si="18"/>
        <v>10000</v>
      </c>
      <c r="N316">
        <f t="shared" si="19"/>
        <v>10000</v>
      </c>
    </row>
    <row r="317" spans="1:14">
      <c r="A317">
        <f t="shared" si="16"/>
        <v>2</v>
      </c>
      <c r="B317">
        <v>2</v>
      </c>
      <c r="C317" t="s">
        <v>44</v>
      </c>
      <c r="D317" t="s">
        <v>33</v>
      </c>
      <c r="E317">
        <v>1</v>
      </c>
      <c r="F317">
        <v>1</v>
      </c>
      <c r="G317">
        <v>2101</v>
      </c>
      <c r="H317" t="s">
        <v>34</v>
      </c>
      <c r="I317" t="str">
        <f t="shared" si="17"/>
        <v>[{1000,1,1,2101,101}]</v>
      </c>
      <c r="J317" t="s">
        <v>35</v>
      </c>
      <c r="K317">
        <f>IF(A317="","",IF(J317=1,VLOOKUP(A317,[1]怪物!$R$80:$V$99,4,0),VLOOKUP(A317,[1]怪物!$R$80:$V$99,2,0))*10000)</f>
        <v>10000</v>
      </c>
      <c r="L317">
        <f>IF(A317="","",IF(K317=1,VLOOKUP(A317,[1]怪物!$R$80:$V$99,5,0),VLOOKUP(A317,[1]怪物!$R$80:$V$99,3,0))*10000)</f>
        <v>10000</v>
      </c>
      <c r="M317">
        <f t="shared" si="18"/>
        <v>10000</v>
      </c>
      <c r="N317">
        <f t="shared" si="19"/>
        <v>10000</v>
      </c>
    </row>
    <row r="318" spans="1:14">
      <c r="A318">
        <f t="shared" si="16"/>
        <v>3</v>
      </c>
      <c r="B318">
        <v>3</v>
      </c>
      <c r="C318" t="s">
        <v>44</v>
      </c>
      <c r="D318" t="s">
        <v>33</v>
      </c>
      <c r="E318">
        <v>1</v>
      </c>
      <c r="F318">
        <v>1</v>
      </c>
      <c r="G318">
        <v>2101</v>
      </c>
      <c r="H318" t="s">
        <v>34</v>
      </c>
      <c r="I318" t="str">
        <f t="shared" si="17"/>
        <v>[{1000,1,1,2101,101}]</v>
      </c>
      <c r="J318" t="s">
        <v>35</v>
      </c>
      <c r="K318">
        <f>IF(A318="","",IF(J318=1,VLOOKUP(A318,[1]怪物!$R$80:$V$99,4,0),VLOOKUP(A318,[1]怪物!$R$80:$V$99,2,0))*10000)</f>
        <v>10000</v>
      </c>
      <c r="L318">
        <f>IF(A318="","",IF(K318=1,VLOOKUP(A318,[1]怪物!$R$80:$V$99,5,0),VLOOKUP(A318,[1]怪物!$R$80:$V$99,3,0))*10000)</f>
        <v>10000</v>
      </c>
      <c r="M318">
        <f t="shared" si="18"/>
        <v>10000</v>
      </c>
      <c r="N318">
        <f t="shared" si="19"/>
        <v>10000</v>
      </c>
    </row>
    <row r="319" spans="1:14">
      <c r="A319">
        <f t="shared" si="16"/>
        <v>4</v>
      </c>
      <c r="B319">
        <v>4</v>
      </c>
      <c r="C319" t="s">
        <v>44</v>
      </c>
      <c r="D319" t="s">
        <v>33</v>
      </c>
      <c r="E319">
        <v>1</v>
      </c>
      <c r="F319">
        <v>1</v>
      </c>
      <c r="G319">
        <v>2101</v>
      </c>
      <c r="H319" t="s">
        <v>34</v>
      </c>
      <c r="I319" t="str">
        <f t="shared" si="17"/>
        <v>[{1000,1,1,2101,101}]</v>
      </c>
      <c r="J319" t="s">
        <v>35</v>
      </c>
      <c r="K319">
        <f>IF(A319="","",IF(J319=1,VLOOKUP(A319,[1]怪物!$R$80:$V$99,4,0),VLOOKUP(A319,[1]怪物!$R$80:$V$99,2,0))*10000)</f>
        <v>10000</v>
      </c>
      <c r="L319">
        <f>IF(A319="","",IF(K319=1,VLOOKUP(A319,[1]怪物!$R$80:$V$99,5,0),VLOOKUP(A319,[1]怪物!$R$80:$V$99,3,0))*10000)</f>
        <v>10000</v>
      </c>
      <c r="M319">
        <f t="shared" si="18"/>
        <v>10000</v>
      </c>
      <c r="N319">
        <f t="shared" si="19"/>
        <v>10000</v>
      </c>
    </row>
    <row r="320" spans="1:14">
      <c r="A320">
        <f t="shared" si="16"/>
        <v>5</v>
      </c>
      <c r="B320">
        <v>5</v>
      </c>
      <c r="C320" t="s">
        <v>44</v>
      </c>
      <c r="D320" t="s">
        <v>33</v>
      </c>
      <c r="E320">
        <v>1</v>
      </c>
      <c r="F320">
        <v>1</v>
      </c>
      <c r="G320">
        <v>2101</v>
      </c>
      <c r="H320" t="s">
        <v>34</v>
      </c>
      <c r="I320" t="str">
        <f t="shared" si="17"/>
        <v>[{1000,1,1,2101,101}]</v>
      </c>
      <c r="J320" t="s">
        <v>35</v>
      </c>
      <c r="K320">
        <f>IF(A320="","",IF(J320=1,VLOOKUP(A320,[1]怪物!$R$80:$V$99,4,0),VLOOKUP(A320,[1]怪物!$R$80:$V$99,2,0))*10000)</f>
        <v>10000</v>
      </c>
      <c r="L320">
        <f>IF(A320="","",IF(K320=1,VLOOKUP(A320,[1]怪物!$R$80:$V$99,5,0),VLOOKUP(A320,[1]怪物!$R$80:$V$99,3,0))*10000)</f>
        <v>10000</v>
      </c>
      <c r="M320">
        <f t="shared" si="18"/>
        <v>10000</v>
      </c>
      <c r="N320">
        <f t="shared" si="19"/>
        <v>10000</v>
      </c>
    </row>
    <row r="321" spans="1:14">
      <c r="A321">
        <f t="shared" si="16"/>
        <v>6</v>
      </c>
      <c r="B321">
        <v>6</v>
      </c>
      <c r="C321" t="s">
        <v>44</v>
      </c>
      <c r="D321" t="s">
        <v>33</v>
      </c>
      <c r="E321">
        <v>1</v>
      </c>
      <c r="F321">
        <v>1</v>
      </c>
      <c r="G321">
        <v>2101</v>
      </c>
      <c r="H321" t="s">
        <v>34</v>
      </c>
      <c r="I321" t="str">
        <f t="shared" si="17"/>
        <v>[{1000,1,1,2101,101}]</v>
      </c>
      <c r="J321" t="s">
        <v>35</v>
      </c>
      <c r="K321">
        <f>IF(A321="","",IF(J321=1,VLOOKUP(A321,[1]怪物!$R$80:$V$99,4,0),VLOOKUP(A321,[1]怪物!$R$80:$V$99,2,0))*10000)</f>
        <v>15000</v>
      </c>
      <c r="L321">
        <f>IF(A321="","",IF(K321=1,VLOOKUP(A321,[1]怪物!$R$80:$V$99,5,0),VLOOKUP(A321,[1]怪物!$R$80:$V$99,3,0))*10000)</f>
        <v>15000</v>
      </c>
      <c r="M321">
        <f t="shared" si="18"/>
        <v>15000</v>
      </c>
      <c r="N321">
        <f t="shared" si="19"/>
        <v>15000</v>
      </c>
    </row>
    <row r="322" spans="1:14">
      <c r="A322">
        <f t="shared" ref="A322:A385" si="20">IF(E322="","",B322)</f>
        <v>7</v>
      </c>
      <c r="B322">
        <v>7</v>
      </c>
      <c r="C322" t="s">
        <v>44</v>
      </c>
      <c r="D322" t="s">
        <v>33</v>
      </c>
      <c r="E322">
        <v>1</v>
      </c>
      <c r="F322">
        <v>1</v>
      </c>
      <c r="G322">
        <v>2101</v>
      </c>
      <c r="H322" t="s">
        <v>34</v>
      </c>
      <c r="I322" t="str">
        <f t="shared" ref="I322:I385" si="21">_xlfn.TEXTJOIN(",",1,D322:H322)</f>
        <v>[{1000,1,1,2101,101}]</v>
      </c>
      <c r="J322" t="s">
        <v>35</v>
      </c>
      <c r="K322">
        <f>IF(A322="","",IF(J322=1,VLOOKUP(A322,[1]怪物!$R$80:$V$99,4,0),VLOOKUP(A322,[1]怪物!$R$80:$V$99,2,0))*10000)</f>
        <v>15000</v>
      </c>
      <c r="L322">
        <f>IF(A322="","",IF(K322=1,VLOOKUP(A322,[1]怪物!$R$80:$V$99,5,0),VLOOKUP(A322,[1]怪物!$R$80:$V$99,3,0))*10000)</f>
        <v>15000</v>
      </c>
      <c r="M322">
        <f t="shared" ref="M322:M385" si="22">IF(F322="","",IF(F322=0,10000,K322))</f>
        <v>15000</v>
      </c>
      <c r="N322">
        <f t="shared" ref="N322:N385" si="23">IF(F322="","",IF(F322=0,10000,L322))</f>
        <v>15000</v>
      </c>
    </row>
    <row r="323" spans="1:14">
      <c r="A323">
        <f t="shared" si="20"/>
        <v>7</v>
      </c>
      <c r="B323">
        <v>7</v>
      </c>
      <c r="C323" t="s">
        <v>44</v>
      </c>
      <c r="D323" t="s">
        <v>33</v>
      </c>
      <c r="E323">
        <v>1</v>
      </c>
      <c r="F323">
        <v>1</v>
      </c>
      <c r="G323">
        <v>2102</v>
      </c>
      <c r="H323" t="s">
        <v>37</v>
      </c>
      <c r="I323" t="str">
        <f t="shared" si="21"/>
        <v>[{1000,1,1,2102,401}]</v>
      </c>
      <c r="J323">
        <v>1</v>
      </c>
      <c r="K323">
        <f>IF(A323="","",IF(J323=1,VLOOKUP(A323,[1]怪物!$R$80:$V$99,4,0),VLOOKUP(A323,[1]怪物!$R$80:$V$99,2,0))*10000)</f>
        <v>13000</v>
      </c>
      <c r="L323">
        <f>IF(A323="","",IF(K323=1,VLOOKUP(A323,[1]怪物!$R$80:$V$99,5,0),VLOOKUP(A323,[1]怪物!$R$80:$V$99,3,0))*10000)</f>
        <v>15000</v>
      </c>
      <c r="M323">
        <f t="shared" si="22"/>
        <v>13000</v>
      </c>
      <c r="N323">
        <f t="shared" si="23"/>
        <v>15000</v>
      </c>
    </row>
    <row r="324" spans="1:14">
      <c r="A324">
        <f t="shared" si="20"/>
        <v>8</v>
      </c>
      <c r="B324">
        <v>8</v>
      </c>
      <c r="C324" t="s">
        <v>44</v>
      </c>
      <c r="D324" t="s">
        <v>33</v>
      </c>
      <c r="E324">
        <v>1</v>
      </c>
      <c r="F324">
        <v>1</v>
      </c>
      <c r="G324">
        <v>2101</v>
      </c>
      <c r="H324" t="s">
        <v>34</v>
      </c>
      <c r="I324" t="str">
        <f t="shared" si="21"/>
        <v>[{1000,1,1,2101,101}]</v>
      </c>
      <c r="J324" t="s">
        <v>35</v>
      </c>
      <c r="K324">
        <f>IF(A324="","",IF(J324=1,VLOOKUP(A324,[1]怪物!$R$80:$V$99,4,0),VLOOKUP(A324,[1]怪物!$R$80:$V$99,2,0))*10000)</f>
        <v>15000</v>
      </c>
      <c r="L324">
        <f>IF(A324="","",IF(K324=1,VLOOKUP(A324,[1]怪物!$R$80:$V$99,5,0),VLOOKUP(A324,[1]怪物!$R$80:$V$99,3,0))*10000)</f>
        <v>15000</v>
      </c>
      <c r="M324">
        <f t="shared" si="22"/>
        <v>15000</v>
      </c>
      <c r="N324">
        <f t="shared" si="23"/>
        <v>15000</v>
      </c>
    </row>
    <row r="325" spans="1:14">
      <c r="A325">
        <f t="shared" si="20"/>
        <v>8</v>
      </c>
      <c r="B325">
        <v>8</v>
      </c>
      <c r="C325" t="s">
        <v>44</v>
      </c>
      <c r="D325" t="s">
        <v>33</v>
      </c>
      <c r="E325">
        <v>1</v>
      </c>
      <c r="F325">
        <v>1</v>
      </c>
      <c r="G325">
        <v>2102</v>
      </c>
      <c r="H325" t="s">
        <v>37</v>
      </c>
      <c r="I325" t="str">
        <f t="shared" si="21"/>
        <v>[{1000,1,1,2102,401}]</v>
      </c>
      <c r="J325">
        <v>1</v>
      </c>
      <c r="K325">
        <f>IF(A325="","",IF(J325=1,VLOOKUP(A325,[1]怪物!$R$80:$V$99,4,0),VLOOKUP(A325,[1]怪物!$R$80:$V$99,2,0))*10000)</f>
        <v>13000</v>
      </c>
      <c r="L325">
        <f>IF(A325="","",IF(K325=1,VLOOKUP(A325,[1]怪物!$R$80:$V$99,5,0),VLOOKUP(A325,[1]怪物!$R$80:$V$99,3,0))*10000)</f>
        <v>15000</v>
      </c>
      <c r="M325">
        <f t="shared" si="22"/>
        <v>13000</v>
      </c>
      <c r="N325">
        <f t="shared" si="23"/>
        <v>15000</v>
      </c>
    </row>
    <row r="326" spans="1:14">
      <c r="A326">
        <f t="shared" si="20"/>
        <v>9</v>
      </c>
      <c r="B326">
        <v>9</v>
      </c>
      <c r="C326" t="s">
        <v>44</v>
      </c>
      <c r="D326" t="s">
        <v>33</v>
      </c>
      <c r="E326">
        <v>1</v>
      </c>
      <c r="F326">
        <v>1</v>
      </c>
      <c r="G326">
        <v>2101</v>
      </c>
      <c r="H326" t="s">
        <v>34</v>
      </c>
      <c r="I326" t="str">
        <f t="shared" si="21"/>
        <v>[{1000,1,1,2101,101}]</v>
      </c>
      <c r="J326" t="s">
        <v>35</v>
      </c>
      <c r="K326" t="e">
        <f>IF(A326="","",IF(J326=1,VLOOKUP(A326,[1]怪物!$R$80:$V$99,4,0),VLOOKUP(A326,[1]怪物!$R$80:$V$99,2,0))*10000)</f>
        <v>#N/A</v>
      </c>
      <c r="L326" t="e">
        <f>IF(A326="","",IF(K326=1,VLOOKUP(A326,[1]怪物!$R$80:$V$99,5,0),VLOOKUP(A326,[1]怪物!$R$80:$V$99,3,0))*10000)</f>
        <v>#N/A</v>
      </c>
      <c r="M326" t="e">
        <f t="shared" si="22"/>
        <v>#N/A</v>
      </c>
      <c r="N326" t="e">
        <f t="shared" si="23"/>
        <v>#N/A</v>
      </c>
    </row>
    <row r="327" spans="1:14">
      <c r="A327">
        <f t="shared" si="20"/>
        <v>9</v>
      </c>
      <c r="B327">
        <v>9</v>
      </c>
      <c r="C327" t="s">
        <v>44</v>
      </c>
      <c r="D327" t="s">
        <v>33</v>
      </c>
      <c r="E327">
        <v>1</v>
      </c>
      <c r="F327">
        <v>1</v>
      </c>
      <c r="G327">
        <v>2102</v>
      </c>
      <c r="H327" t="s">
        <v>37</v>
      </c>
      <c r="I327" t="str">
        <f t="shared" si="21"/>
        <v>[{1000,1,1,2102,401}]</v>
      </c>
      <c r="J327">
        <v>1</v>
      </c>
      <c r="K327" t="e">
        <f>IF(A327="","",IF(J327=1,VLOOKUP(A327,[1]怪物!$R$80:$V$99,4,0),VLOOKUP(A327,[1]怪物!$R$80:$V$99,2,0))*10000)</f>
        <v>#N/A</v>
      </c>
      <c r="L327" t="e">
        <f>IF(A327="","",IF(K327=1,VLOOKUP(A327,[1]怪物!$R$80:$V$99,5,0),VLOOKUP(A327,[1]怪物!$R$80:$V$99,3,0))*10000)</f>
        <v>#N/A</v>
      </c>
      <c r="M327" t="e">
        <f t="shared" si="22"/>
        <v>#N/A</v>
      </c>
      <c r="N327" t="e">
        <f t="shared" si="23"/>
        <v>#N/A</v>
      </c>
    </row>
    <row r="328" spans="1:14">
      <c r="A328">
        <f t="shared" si="20"/>
        <v>10</v>
      </c>
      <c r="B328">
        <v>10</v>
      </c>
      <c r="C328" t="s">
        <v>44</v>
      </c>
      <c r="D328" t="s">
        <v>33</v>
      </c>
      <c r="E328">
        <v>1</v>
      </c>
      <c r="F328">
        <v>1</v>
      </c>
      <c r="G328">
        <v>2101</v>
      </c>
      <c r="H328" t="s">
        <v>34</v>
      </c>
      <c r="I328" t="str">
        <f t="shared" si="21"/>
        <v>[{1000,1,1,2101,101}]</v>
      </c>
      <c r="J328" t="s">
        <v>35</v>
      </c>
      <c r="K328" t="e">
        <f>IF(A328="","",IF(J328=1,VLOOKUP(A328,[1]怪物!$R$80:$V$99,4,0),VLOOKUP(A328,[1]怪物!$R$80:$V$99,2,0))*10000)</f>
        <v>#N/A</v>
      </c>
      <c r="L328" t="e">
        <f>IF(A328="","",IF(K328=1,VLOOKUP(A328,[1]怪物!$R$80:$V$99,5,0),VLOOKUP(A328,[1]怪物!$R$80:$V$99,3,0))*10000)</f>
        <v>#N/A</v>
      </c>
      <c r="M328" t="e">
        <f t="shared" si="22"/>
        <v>#N/A</v>
      </c>
      <c r="N328" t="e">
        <f t="shared" si="23"/>
        <v>#N/A</v>
      </c>
    </row>
    <row r="329" spans="1:14">
      <c r="A329">
        <f t="shared" si="20"/>
        <v>10</v>
      </c>
      <c r="B329">
        <v>10</v>
      </c>
      <c r="C329" t="s">
        <v>44</v>
      </c>
      <c r="D329" t="s">
        <v>33</v>
      </c>
      <c r="E329">
        <v>1</v>
      </c>
      <c r="F329">
        <v>1</v>
      </c>
      <c r="G329">
        <v>2102</v>
      </c>
      <c r="H329" t="s">
        <v>37</v>
      </c>
      <c r="I329" t="str">
        <f t="shared" si="21"/>
        <v>[{1000,1,1,2102,401}]</v>
      </c>
      <c r="J329">
        <v>1</v>
      </c>
      <c r="K329" t="e">
        <f>IF(A329="","",IF(J329=1,VLOOKUP(A329,[1]怪物!$R$80:$V$99,4,0),VLOOKUP(A329,[1]怪物!$R$80:$V$99,2,0))*10000)</f>
        <v>#N/A</v>
      </c>
      <c r="L329" t="e">
        <f>IF(A329="","",IF(K329=1,VLOOKUP(A329,[1]怪物!$R$80:$V$99,5,0),VLOOKUP(A329,[1]怪物!$R$80:$V$99,3,0))*10000)</f>
        <v>#N/A</v>
      </c>
      <c r="M329" t="e">
        <f t="shared" si="22"/>
        <v>#N/A</v>
      </c>
      <c r="N329" t="e">
        <f t="shared" si="23"/>
        <v>#N/A</v>
      </c>
    </row>
    <row r="330" spans="1:14">
      <c r="A330" t="str">
        <f t="shared" si="20"/>
        <v/>
      </c>
      <c r="B330">
        <v>10</v>
      </c>
      <c r="C330" t="s">
        <v>44</v>
      </c>
      <c r="D330" t="s">
        <v>28</v>
      </c>
      <c r="I330" t="str">
        <f t="shared" si="21"/>
        <v>[]</v>
      </c>
      <c r="J330">
        <v>2</v>
      </c>
      <c r="K330" t="str">
        <f>IF(A330="","",IF(J330=1,VLOOKUP(A330,[1]怪物!$R$80:$V$99,4,0),VLOOKUP(A330,[1]怪物!$R$80:$V$99,2,0))*10000)</f>
        <v/>
      </c>
      <c r="L330" t="str">
        <f>IF(A330="","",IF(K330=1,VLOOKUP(A330,[1]怪物!$R$80:$V$99,5,0),VLOOKUP(A330,[1]怪物!$R$80:$V$99,3,0))*10000)</f>
        <v/>
      </c>
      <c r="M330" t="str">
        <f t="shared" si="22"/>
        <v/>
      </c>
      <c r="N330" t="str">
        <f t="shared" si="23"/>
        <v/>
      </c>
    </row>
    <row r="331" spans="1:14">
      <c r="A331">
        <f t="shared" si="20"/>
        <v>10</v>
      </c>
      <c r="B331">
        <v>10</v>
      </c>
      <c r="C331" t="s">
        <v>44</v>
      </c>
      <c r="D331" t="s">
        <v>33</v>
      </c>
      <c r="E331">
        <v>1</v>
      </c>
      <c r="F331">
        <v>0</v>
      </c>
      <c r="G331">
        <v>2121</v>
      </c>
      <c r="H331" t="s">
        <v>45</v>
      </c>
      <c r="I331" t="str">
        <f t="shared" si="21"/>
        <v>[{1000,1,0,2121,42}]</v>
      </c>
      <c r="J331" t="s">
        <v>35</v>
      </c>
      <c r="K331" t="e">
        <f>IF(A331="","",IF(J331=1,VLOOKUP(A331,[1]怪物!$R$80:$V$99,4,0),VLOOKUP(A331,[1]怪物!$R$80:$V$99,2,0))*10000)</f>
        <v>#N/A</v>
      </c>
      <c r="L331" t="e">
        <f>IF(A331="","",IF(K331=1,VLOOKUP(A331,[1]怪物!$R$80:$V$99,5,0),VLOOKUP(A331,[1]怪物!$R$80:$V$99,3,0))*10000)</f>
        <v>#N/A</v>
      </c>
      <c r="M331">
        <f t="shared" si="22"/>
        <v>10000</v>
      </c>
      <c r="N331">
        <f t="shared" si="23"/>
        <v>10000</v>
      </c>
    </row>
    <row r="332" spans="1:14">
      <c r="A332">
        <f t="shared" si="20"/>
        <v>11</v>
      </c>
      <c r="B332">
        <v>11</v>
      </c>
      <c r="C332" t="s">
        <v>44</v>
      </c>
      <c r="D332" t="s">
        <v>33</v>
      </c>
      <c r="E332">
        <v>1</v>
      </c>
      <c r="F332">
        <v>1</v>
      </c>
      <c r="G332">
        <v>2101</v>
      </c>
      <c r="H332" t="s">
        <v>34</v>
      </c>
      <c r="I332" t="str">
        <f t="shared" si="21"/>
        <v>[{1000,1,1,2101,101}]</v>
      </c>
      <c r="J332" t="s">
        <v>35</v>
      </c>
      <c r="K332" t="e">
        <f>IF(A332="","",IF(J332=1,VLOOKUP(A332,[1]怪物!$R$80:$V$99,4,0),VLOOKUP(A332,[1]怪物!$R$80:$V$99,2,0))*10000)</f>
        <v>#N/A</v>
      </c>
      <c r="L332" t="e">
        <f>IF(A332="","",IF(K332=1,VLOOKUP(A332,[1]怪物!$R$80:$V$99,5,0),VLOOKUP(A332,[1]怪物!$R$80:$V$99,3,0))*10000)</f>
        <v>#N/A</v>
      </c>
      <c r="M332" t="e">
        <f t="shared" si="22"/>
        <v>#N/A</v>
      </c>
      <c r="N332" t="e">
        <f t="shared" si="23"/>
        <v>#N/A</v>
      </c>
    </row>
    <row r="333" spans="1:14">
      <c r="A333">
        <f t="shared" si="20"/>
        <v>11</v>
      </c>
      <c r="B333">
        <v>11</v>
      </c>
      <c r="C333" t="s">
        <v>44</v>
      </c>
      <c r="D333" t="s">
        <v>33</v>
      </c>
      <c r="E333">
        <v>1</v>
      </c>
      <c r="F333">
        <v>1</v>
      </c>
      <c r="G333">
        <v>2102</v>
      </c>
      <c r="H333" t="s">
        <v>37</v>
      </c>
      <c r="I333" t="str">
        <f t="shared" si="21"/>
        <v>[{1000,1,1,2102,401}]</v>
      </c>
      <c r="J333">
        <v>1</v>
      </c>
      <c r="K333" t="e">
        <f>IF(A333="","",IF(J333=1,VLOOKUP(A333,[1]怪物!$R$80:$V$99,4,0),VLOOKUP(A333,[1]怪物!$R$80:$V$99,2,0))*10000)</f>
        <v>#N/A</v>
      </c>
      <c r="L333" t="e">
        <f>IF(A333="","",IF(K333=1,VLOOKUP(A333,[1]怪物!$R$80:$V$99,5,0),VLOOKUP(A333,[1]怪物!$R$80:$V$99,3,0))*10000)</f>
        <v>#N/A</v>
      </c>
      <c r="M333" t="e">
        <f t="shared" si="22"/>
        <v>#N/A</v>
      </c>
      <c r="N333" t="e">
        <f t="shared" si="23"/>
        <v>#N/A</v>
      </c>
    </row>
    <row r="334" spans="1:14">
      <c r="A334">
        <f t="shared" si="20"/>
        <v>12</v>
      </c>
      <c r="B334">
        <v>12</v>
      </c>
      <c r="C334" t="s">
        <v>44</v>
      </c>
      <c r="D334" t="s">
        <v>33</v>
      </c>
      <c r="E334">
        <v>1</v>
      </c>
      <c r="F334">
        <v>1</v>
      </c>
      <c r="G334">
        <v>2101</v>
      </c>
      <c r="H334" t="s">
        <v>34</v>
      </c>
      <c r="I334" t="str">
        <f t="shared" si="21"/>
        <v>[{1000,1,1,2101,101}]</v>
      </c>
      <c r="J334" t="s">
        <v>35</v>
      </c>
      <c r="K334" t="e">
        <f>IF(A334="","",IF(J334=1,VLOOKUP(A334,[1]怪物!$R$80:$V$99,4,0),VLOOKUP(A334,[1]怪物!$R$80:$V$99,2,0))*10000)</f>
        <v>#N/A</v>
      </c>
      <c r="L334" t="e">
        <f>IF(A334="","",IF(K334=1,VLOOKUP(A334,[1]怪物!$R$80:$V$99,5,0),VLOOKUP(A334,[1]怪物!$R$80:$V$99,3,0))*10000)</f>
        <v>#N/A</v>
      </c>
      <c r="M334" t="e">
        <f t="shared" si="22"/>
        <v>#N/A</v>
      </c>
      <c r="N334" t="e">
        <f t="shared" si="23"/>
        <v>#N/A</v>
      </c>
    </row>
    <row r="335" spans="1:14">
      <c r="A335">
        <f t="shared" si="20"/>
        <v>12</v>
      </c>
      <c r="B335">
        <v>12</v>
      </c>
      <c r="C335" t="s">
        <v>44</v>
      </c>
      <c r="D335" t="s">
        <v>33</v>
      </c>
      <c r="E335">
        <v>1</v>
      </c>
      <c r="F335">
        <v>1</v>
      </c>
      <c r="G335">
        <v>2102</v>
      </c>
      <c r="H335" t="s">
        <v>37</v>
      </c>
      <c r="I335" t="str">
        <f t="shared" si="21"/>
        <v>[{1000,1,1,2102,401}]</v>
      </c>
      <c r="J335">
        <v>1</v>
      </c>
      <c r="K335" t="e">
        <f>IF(A335="","",IF(J335=1,VLOOKUP(A335,[1]怪物!$R$80:$V$99,4,0),VLOOKUP(A335,[1]怪物!$R$80:$V$99,2,0))*10000)</f>
        <v>#N/A</v>
      </c>
      <c r="L335" t="e">
        <f>IF(A335="","",IF(K335=1,VLOOKUP(A335,[1]怪物!$R$80:$V$99,5,0),VLOOKUP(A335,[1]怪物!$R$80:$V$99,3,0))*10000)</f>
        <v>#N/A</v>
      </c>
      <c r="M335" t="e">
        <f t="shared" si="22"/>
        <v>#N/A</v>
      </c>
      <c r="N335" t="e">
        <f t="shared" si="23"/>
        <v>#N/A</v>
      </c>
    </row>
    <row r="336" spans="1:14">
      <c r="A336">
        <f t="shared" si="20"/>
        <v>13</v>
      </c>
      <c r="B336">
        <v>13</v>
      </c>
      <c r="C336" t="s">
        <v>44</v>
      </c>
      <c r="D336" t="s">
        <v>33</v>
      </c>
      <c r="E336">
        <v>1</v>
      </c>
      <c r="F336">
        <v>1</v>
      </c>
      <c r="G336">
        <v>2101</v>
      </c>
      <c r="H336" t="s">
        <v>34</v>
      </c>
      <c r="I336" t="str">
        <f t="shared" si="21"/>
        <v>[{1000,1,1,2101,101}]</v>
      </c>
      <c r="J336" t="s">
        <v>35</v>
      </c>
      <c r="K336" t="e">
        <f>IF(A336="","",IF(J336=1,VLOOKUP(A336,[1]怪物!$R$80:$V$99,4,0),VLOOKUP(A336,[1]怪物!$R$80:$V$99,2,0))*10000)</f>
        <v>#N/A</v>
      </c>
      <c r="L336" t="e">
        <f>IF(A336="","",IF(K336=1,VLOOKUP(A336,[1]怪物!$R$80:$V$99,5,0),VLOOKUP(A336,[1]怪物!$R$80:$V$99,3,0))*10000)</f>
        <v>#N/A</v>
      </c>
      <c r="M336" t="e">
        <f t="shared" si="22"/>
        <v>#N/A</v>
      </c>
      <c r="N336" t="e">
        <f t="shared" si="23"/>
        <v>#N/A</v>
      </c>
    </row>
    <row r="337" spans="1:14">
      <c r="A337">
        <f t="shared" si="20"/>
        <v>13</v>
      </c>
      <c r="B337">
        <v>13</v>
      </c>
      <c r="C337" t="s">
        <v>44</v>
      </c>
      <c r="D337" t="s">
        <v>33</v>
      </c>
      <c r="E337">
        <v>1</v>
      </c>
      <c r="F337">
        <v>1</v>
      </c>
      <c r="G337">
        <v>2102</v>
      </c>
      <c r="H337" t="s">
        <v>37</v>
      </c>
      <c r="I337" t="str">
        <f t="shared" si="21"/>
        <v>[{1000,1,1,2102,401}]</v>
      </c>
      <c r="J337">
        <v>1</v>
      </c>
      <c r="K337" t="e">
        <f>IF(A337="","",IF(J337=1,VLOOKUP(A337,[1]怪物!$R$80:$V$99,4,0),VLOOKUP(A337,[1]怪物!$R$80:$V$99,2,0))*10000)</f>
        <v>#N/A</v>
      </c>
      <c r="L337" t="e">
        <f>IF(A337="","",IF(K337=1,VLOOKUP(A337,[1]怪物!$R$80:$V$99,5,0),VLOOKUP(A337,[1]怪物!$R$80:$V$99,3,0))*10000)</f>
        <v>#N/A</v>
      </c>
      <c r="M337" t="e">
        <f t="shared" si="22"/>
        <v>#N/A</v>
      </c>
      <c r="N337" t="e">
        <f t="shared" si="23"/>
        <v>#N/A</v>
      </c>
    </row>
    <row r="338" spans="1:14">
      <c r="A338">
        <f t="shared" si="20"/>
        <v>14</v>
      </c>
      <c r="B338">
        <v>14</v>
      </c>
      <c r="C338" t="s">
        <v>44</v>
      </c>
      <c r="D338" t="s">
        <v>33</v>
      </c>
      <c r="E338">
        <v>1</v>
      </c>
      <c r="F338">
        <v>1</v>
      </c>
      <c r="G338">
        <v>2101</v>
      </c>
      <c r="H338" t="s">
        <v>34</v>
      </c>
      <c r="I338" t="str">
        <f t="shared" si="21"/>
        <v>[{1000,1,1,2101,101}]</v>
      </c>
      <c r="J338" t="s">
        <v>35</v>
      </c>
      <c r="K338" t="e">
        <f>IF(A338="","",IF(J338=1,VLOOKUP(A338,[1]怪物!$R$80:$V$99,4,0),VLOOKUP(A338,[1]怪物!$R$80:$V$99,2,0))*10000)</f>
        <v>#N/A</v>
      </c>
      <c r="L338" t="e">
        <f>IF(A338="","",IF(K338=1,VLOOKUP(A338,[1]怪物!$R$80:$V$99,5,0),VLOOKUP(A338,[1]怪物!$R$80:$V$99,3,0))*10000)</f>
        <v>#N/A</v>
      </c>
      <c r="M338" t="e">
        <f t="shared" si="22"/>
        <v>#N/A</v>
      </c>
      <c r="N338" t="e">
        <f t="shared" si="23"/>
        <v>#N/A</v>
      </c>
    </row>
    <row r="339" spans="1:14">
      <c r="A339">
        <f t="shared" si="20"/>
        <v>14</v>
      </c>
      <c r="B339">
        <v>14</v>
      </c>
      <c r="C339" t="s">
        <v>44</v>
      </c>
      <c r="D339" t="s">
        <v>33</v>
      </c>
      <c r="E339">
        <v>1</v>
      </c>
      <c r="F339">
        <v>1</v>
      </c>
      <c r="G339">
        <v>2102</v>
      </c>
      <c r="H339" t="s">
        <v>37</v>
      </c>
      <c r="I339" t="str">
        <f t="shared" si="21"/>
        <v>[{1000,1,1,2102,401}]</v>
      </c>
      <c r="J339">
        <v>1</v>
      </c>
      <c r="K339" t="e">
        <f>IF(A339="","",IF(J339=1,VLOOKUP(A339,[1]怪物!$R$80:$V$99,4,0),VLOOKUP(A339,[1]怪物!$R$80:$V$99,2,0))*10000)</f>
        <v>#N/A</v>
      </c>
      <c r="L339" t="e">
        <f>IF(A339="","",IF(K339=1,VLOOKUP(A339,[1]怪物!$R$80:$V$99,5,0),VLOOKUP(A339,[1]怪物!$R$80:$V$99,3,0))*10000)</f>
        <v>#N/A</v>
      </c>
      <c r="M339" t="e">
        <f t="shared" si="22"/>
        <v>#N/A</v>
      </c>
      <c r="N339" t="e">
        <f t="shared" si="23"/>
        <v>#N/A</v>
      </c>
    </row>
    <row r="340" spans="1:14">
      <c r="A340">
        <f t="shared" si="20"/>
        <v>15</v>
      </c>
      <c r="B340">
        <v>15</v>
      </c>
      <c r="C340" t="s">
        <v>44</v>
      </c>
      <c r="D340" t="s">
        <v>33</v>
      </c>
      <c r="E340">
        <v>1</v>
      </c>
      <c r="F340">
        <v>1</v>
      </c>
      <c r="G340">
        <v>2101</v>
      </c>
      <c r="H340" t="s">
        <v>34</v>
      </c>
      <c r="I340" t="str">
        <f t="shared" si="21"/>
        <v>[{1000,1,1,2101,101}]</v>
      </c>
      <c r="J340" t="s">
        <v>35</v>
      </c>
      <c r="K340" t="e">
        <f>IF(A340="","",IF(J340=1,VLOOKUP(A340,[1]怪物!$R$80:$V$99,4,0),VLOOKUP(A340,[1]怪物!$R$80:$V$99,2,0))*10000)</f>
        <v>#N/A</v>
      </c>
      <c r="L340" t="e">
        <f>IF(A340="","",IF(K340=1,VLOOKUP(A340,[1]怪物!$R$80:$V$99,5,0),VLOOKUP(A340,[1]怪物!$R$80:$V$99,3,0))*10000)</f>
        <v>#N/A</v>
      </c>
      <c r="M340" t="e">
        <f t="shared" si="22"/>
        <v>#N/A</v>
      </c>
      <c r="N340" t="e">
        <f t="shared" si="23"/>
        <v>#N/A</v>
      </c>
    </row>
    <row r="341" spans="1:14">
      <c r="A341">
        <f t="shared" si="20"/>
        <v>15</v>
      </c>
      <c r="B341">
        <v>15</v>
      </c>
      <c r="C341" t="s">
        <v>44</v>
      </c>
      <c r="D341" t="s">
        <v>33</v>
      </c>
      <c r="E341">
        <v>1</v>
      </c>
      <c r="F341">
        <v>1</v>
      </c>
      <c r="G341">
        <v>2102</v>
      </c>
      <c r="H341" t="s">
        <v>37</v>
      </c>
      <c r="I341" t="str">
        <f t="shared" si="21"/>
        <v>[{1000,1,1,2102,401}]</v>
      </c>
      <c r="J341">
        <v>1</v>
      </c>
      <c r="K341" t="e">
        <f>IF(A341="","",IF(J341=1,VLOOKUP(A341,[1]怪物!$R$80:$V$99,4,0),VLOOKUP(A341,[1]怪物!$R$80:$V$99,2,0))*10000)</f>
        <v>#N/A</v>
      </c>
      <c r="L341" t="e">
        <f>IF(A341="","",IF(K341=1,VLOOKUP(A341,[1]怪物!$R$80:$V$99,5,0),VLOOKUP(A341,[1]怪物!$R$80:$V$99,3,0))*10000)</f>
        <v>#N/A</v>
      </c>
      <c r="M341" t="e">
        <f t="shared" si="22"/>
        <v>#N/A</v>
      </c>
      <c r="N341" t="e">
        <f t="shared" si="23"/>
        <v>#N/A</v>
      </c>
    </row>
    <row r="342" spans="1:14">
      <c r="A342">
        <f t="shared" si="20"/>
        <v>16</v>
      </c>
      <c r="B342">
        <v>16</v>
      </c>
      <c r="C342" t="s">
        <v>44</v>
      </c>
      <c r="D342" t="s">
        <v>33</v>
      </c>
      <c r="E342">
        <v>1</v>
      </c>
      <c r="F342">
        <v>1</v>
      </c>
      <c r="G342">
        <v>2101</v>
      </c>
      <c r="H342" t="s">
        <v>34</v>
      </c>
      <c r="I342" t="str">
        <f t="shared" si="21"/>
        <v>[{1000,1,1,2101,101}]</v>
      </c>
      <c r="J342" t="s">
        <v>35</v>
      </c>
      <c r="K342" t="e">
        <f>IF(A342="","",IF(J342=1,VLOOKUP(A342,[1]怪物!$R$80:$V$99,4,0),VLOOKUP(A342,[1]怪物!$R$80:$V$99,2,0))*10000)</f>
        <v>#N/A</v>
      </c>
      <c r="L342" t="e">
        <f>IF(A342="","",IF(K342=1,VLOOKUP(A342,[1]怪物!$R$80:$V$99,5,0),VLOOKUP(A342,[1]怪物!$R$80:$V$99,3,0))*10000)</f>
        <v>#N/A</v>
      </c>
      <c r="M342" t="e">
        <f t="shared" si="22"/>
        <v>#N/A</v>
      </c>
      <c r="N342" t="e">
        <f t="shared" si="23"/>
        <v>#N/A</v>
      </c>
    </row>
    <row r="343" spans="1:14">
      <c r="A343">
        <f t="shared" si="20"/>
        <v>16</v>
      </c>
      <c r="B343">
        <v>16</v>
      </c>
      <c r="C343" t="s">
        <v>44</v>
      </c>
      <c r="D343" t="s">
        <v>33</v>
      </c>
      <c r="E343">
        <v>1</v>
      </c>
      <c r="F343">
        <v>1</v>
      </c>
      <c r="G343">
        <v>2102</v>
      </c>
      <c r="H343" t="s">
        <v>37</v>
      </c>
      <c r="I343" t="str">
        <f t="shared" si="21"/>
        <v>[{1000,1,1,2102,401}]</v>
      </c>
      <c r="J343">
        <v>1</v>
      </c>
      <c r="K343" t="e">
        <f>IF(A343="","",IF(J343=1,VLOOKUP(A343,[1]怪物!$R$80:$V$99,4,0),VLOOKUP(A343,[1]怪物!$R$80:$V$99,2,0))*10000)</f>
        <v>#N/A</v>
      </c>
      <c r="L343" t="e">
        <f>IF(A343="","",IF(K343=1,VLOOKUP(A343,[1]怪物!$R$80:$V$99,5,0),VLOOKUP(A343,[1]怪物!$R$80:$V$99,3,0))*10000)</f>
        <v>#N/A</v>
      </c>
      <c r="M343" t="e">
        <f t="shared" si="22"/>
        <v>#N/A</v>
      </c>
      <c r="N343" t="e">
        <f t="shared" si="23"/>
        <v>#N/A</v>
      </c>
    </row>
    <row r="344" spans="1:14">
      <c r="A344">
        <f t="shared" si="20"/>
        <v>17</v>
      </c>
      <c r="B344">
        <v>17</v>
      </c>
      <c r="C344" t="s">
        <v>44</v>
      </c>
      <c r="D344" t="s">
        <v>33</v>
      </c>
      <c r="E344">
        <v>1</v>
      </c>
      <c r="F344">
        <v>1</v>
      </c>
      <c r="G344">
        <v>2101</v>
      </c>
      <c r="H344" t="s">
        <v>34</v>
      </c>
      <c r="I344" t="str">
        <f t="shared" si="21"/>
        <v>[{1000,1,1,2101,101}]</v>
      </c>
      <c r="J344" t="s">
        <v>35</v>
      </c>
      <c r="K344" t="e">
        <f>IF(A344="","",IF(J344=1,VLOOKUP(A344,[1]怪物!$R$80:$V$99,4,0),VLOOKUP(A344,[1]怪物!$R$80:$V$99,2,0))*10000)</f>
        <v>#N/A</v>
      </c>
      <c r="L344" t="e">
        <f>IF(A344="","",IF(K344=1,VLOOKUP(A344,[1]怪物!$R$80:$V$99,5,0),VLOOKUP(A344,[1]怪物!$R$80:$V$99,3,0))*10000)</f>
        <v>#N/A</v>
      </c>
      <c r="M344" t="e">
        <f t="shared" si="22"/>
        <v>#N/A</v>
      </c>
      <c r="N344" t="e">
        <f t="shared" si="23"/>
        <v>#N/A</v>
      </c>
    </row>
    <row r="345" spans="1:14">
      <c r="A345">
        <f t="shared" si="20"/>
        <v>17</v>
      </c>
      <c r="B345">
        <v>17</v>
      </c>
      <c r="C345" t="s">
        <v>44</v>
      </c>
      <c r="D345" t="s">
        <v>33</v>
      </c>
      <c r="E345">
        <v>1</v>
      </c>
      <c r="F345">
        <v>1</v>
      </c>
      <c r="G345">
        <v>2102</v>
      </c>
      <c r="H345" t="s">
        <v>37</v>
      </c>
      <c r="I345" t="str">
        <f t="shared" si="21"/>
        <v>[{1000,1,1,2102,401}]</v>
      </c>
      <c r="J345">
        <v>1</v>
      </c>
      <c r="K345" t="e">
        <f>IF(A345="","",IF(J345=1,VLOOKUP(A345,[1]怪物!$R$80:$V$99,4,0),VLOOKUP(A345,[1]怪物!$R$80:$V$99,2,0))*10000)</f>
        <v>#N/A</v>
      </c>
      <c r="L345" t="e">
        <f>IF(A345="","",IF(K345=1,VLOOKUP(A345,[1]怪物!$R$80:$V$99,5,0),VLOOKUP(A345,[1]怪物!$R$80:$V$99,3,0))*10000)</f>
        <v>#N/A</v>
      </c>
      <c r="M345" t="e">
        <f t="shared" si="22"/>
        <v>#N/A</v>
      </c>
      <c r="N345" t="e">
        <f t="shared" si="23"/>
        <v>#N/A</v>
      </c>
    </row>
    <row r="346" spans="1:14">
      <c r="A346">
        <f t="shared" si="20"/>
        <v>18</v>
      </c>
      <c r="B346">
        <v>18</v>
      </c>
      <c r="C346" t="s">
        <v>44</v>
      </c>
      <c r="D346" t="s">
        <v>33</v>
      </c>
      <c r="E346">
        <v>1</v>
      </c>
      <c r="F346">
        <v>1</v>
      </c>
      <c r="G346">
        <v>2101</v>
      </c>
      <c r="H346" t="s">
        <v>34</v>
      </c>
      <c r="I346" t="str">
        <f t="shared" si="21"/>
        <v>[{1000,1,1,2101,101}]</v>
      </c>
      <c r="J346" t="s">
        <v>35</v>
      </c>
      <c r="K346" t="e">
        <f>IF(A346="","",IF(J346=1,VLOOKUP(A346,[1]怪物!$R$80:$V$99,4,0),VLOOKUP(A346,[1]怪物!$R$80:$V$99,2,0))*10000)</f>
        <v>#N/A</v>
      </c>
      <c r="L346" t="e">
        <f>IF(A346="","",IF(K346=1,VLOOKUP(A346,[1]怪物!$R$80:$V$99,5,0),VLOOKUP(A346,[1]怪物!$R$80:$V$99,3,0))*10000)</f>
        <v>#N/A</v>
      </c>
      <c r="M346" t="e">
        <f t="shared" si="22"/>
        <v>#N/A</v>
      </c>
      <c r="N346" t="e">
        <f t="shared" si="23"/>
        <v>#N/A</v>
      </c>
    </row>
    <row r="347" spans="1:14">
      <c r="A347">
        <f t="shared" si="20"/>
        <v>18</v>
      </c>
      <c r="B347">
        <v>18</v>
      </c>
      <c r="C347" t="s">
        <v>44</v>
      </c>
      <c r="D347" t="s">
        <v>33</v>
      </c>
      <c r="E347">
        <v>1</v>
      </c>
      <c r="F347">
        <v>1</v>
      </c>
      <c r="G347">
        <v>2102</v>
      </c>
      <c r="H347" t="s">
        <v>37</v>
      </c>
      <c r="I347" t="str">
        <f t="shared" si="21"/>
        <v>[{1000,1,1,2102,401}]</v>
      </c>
      <c r="J347">
        <v>1</v>
      </c>
      <c r="K347" t="e">
        <f>IF(A347="","",IF(J347=1,VLOOKUP(A347,[1]怪物!$R$80:$V$99,4,0),VLOOKUP(A347,[1]怪物!$R$80:$V$99,2,0))*10000)</f>
        <v>#N/A</v>
      </c>
      <c r="L347" t="e">
        <f>IF(A347="","",IF(K347=1,VLOOKUP(A347,[1]怪物!$R$80:$V$99,5,0),VLOOKUP(A347,[1]怪物!$R$80:$V$99,3,0))*10000)</f>
        <v>#N/A</v>
      </c>
      <c r="M347" t="e">
        <f t="shared" si="22"/>
        <v>#N/A</v>
      </c>
      <c r="N347" t="e">
        <f t="shared" si="23"/>
        <v>#N/A</v>
      </c>
    </row>
    <row r="348" spans="1:14">
      <c r="A348">
        <f t="shared" si="20"/>
        <v>19</v>
      </c>
      <c r="B348">
        <v>19</v>
      </c>
      <c r="C348" t="s">
        <v>44</v>
      </c>
      <c r="D348" t="s">
        <v>33</v>
      </c>
      <c r="E348">
        <v>1</v>
      </c>
      <c r="F348">
        <v>1</v>
      </c>
      <c r="G348">
        <v>2101</v>
      </c>
      <c r="H348" t="s">
        <v>34</v>
      </c>
      <c r="I348" t="str">
        <f t="shared" si="21"/>
        <v>[{1000,1,1,2101,101}]</v>
      </c>
      <c r="J348" t="s">
        <v>35</v>
      </c>
      <c r="K348" t="e">
        <f>IF(A348="","",IF(J348=1,VLOOKUP(A348,[1]怪物!$R$80:$V$99,4,0),VLOOKUP(A348,[1]怪物!$R$80:$V$99,2,0))*10000)</f>
        <v>#N/A</v>
      </c>
      <c r="L348" t="e">
        <f>IF(A348="","",IF(K348=1,VLOOKUP(A348,[1]怪物!$R$80:$V$99,5,0),VLOOKUP(A348,[1]怪物!$R$80:$V$99,3,0))*10000)</f>
        <v>#N/A</v>
      </c>
      <c r="M348" t="e">
        <f t="shared" si="22"/>
        <v>#N/A</v>
      </c>
      <c r="N348" t="e">
        <f t="shared" si="23"/>
        <v>#N/A</v>
      </c>
    </row>
    <row r="349" spans="1:14">
      <c r="A349">
        <f t="shared" si="20"/>
        <v>19</v>
      </c>
      <c r="B349">
        <v>19</v>
      </c>
      <c r="C349" t="s">
        <v>44</v>
      </c>
      <c r="D349" t="s">
        <v>33</v>
      </c>
      <c r="E349">
        <v>1</v>
      </c>
      <c r="F349">
        <v>1</v>
      </c>
      <c r="G349">
        <v>2102</v>
      </c>
      <c r="H349" t="s">
        <v>37</v>
      </c>
      <c r="I349" t="str">
        <f t="shared" si="21"/>
        <v>[{1000,1,1,2102,401}]</v>
      </c>
      <c r="J349">
        <v>1</v>
      </c>
      <c r="K349" t="e">
        <f>IF(A349="","",IF(J349=1,VLOOKUP(A349,[1]怪物!$R$80:$V$99,4,0),VLOOKUP(A349,[1]怪物!$R$80:$V$99,2,0))*10000)</f>
        <v>#N/A</v>
      </c>
      <c r="L349" t="e">
        <f>IF(A349="","",IF(K349=1,VLOOKUP(A349,[1]怪物!$R$80:$V$99,5,0),VLOOKUP(A349,[1]怪物!$R$80:$V$99,3,0))*10000)</f>
        <v>#N/A</v>
      </c>
      <c r="M349" t="e">
        <f t="shared" si="22"/>
        <v>#N/A</v>
      </c>
      <c r="N349" t="e">
        <f t="shared" si="23"/>
        <v>#N/A</v>
      </c>
    </row>
    <row r="350" spans="1:14">
      <c r="A350">
        <f t="shared" si="20"/>
        <v>20</v>
      </c>
      <c r="B350">
        <v>20</v>
      </c>
      <c r="C350" t="s">
        <v>44</v>
      </c>
      <c r="D350" t="s">
        <v>33</v>
      </c>
      <c r="E350">
        <v>1</v>
      </c>
      <c r="F350">
        <v>1</v>
      </c>
      <c r="G350">
        <v>2101</v>
      </c>
      <c r="H350" t="s">
        <v>34</v>
      </c>
      <c r="I350" t="str">
        <f t="shared" si="21"/>
        <v>[{1000,1,1,2101,101}]</v>
      </c>
      <c r="J350" t="s">
        <v>35</v>
      </c>
      <c r="K350" t="e">
        <f>IF(A350="","",IF(J350=1,VLOOKUP(A350,[1]怪物!$R$80:$V$99,4,0),VLOOKUP(A350,[1]怪物!$R$80:$V$99,2,0))*10000)</f>
        <v>#N/A</v>
      </c>
      <c r="L350" t="e">
        <f>IF(A350="","",IF(K350=1,VLOOKUP(A350,[1]怪物!$R$80:$V$99,5,0),VLOOKUP(A350,[1]怪物!$R$80:$V$99,3,0))*10000)</f>
        <v>#N/A</v>
      </c>
      <c r="M350" t="e">
        <f t="shared" si="22"/>
        <v>#N/A</v>
      </c>
      <c r="N350" t="e">
        <f t="shared" si="23"/>
        <v>#N/A</v>
      </c>
    </row>
    <row r="351" spans="1:14">
      <c r="A351">
        <f t="shared" si="20"/>
        <v>20</v>
      </c>
      <c r="B351">
        <v>20</v>
      </c>
      <c r="C351" t="s">
        <v>44</v>
      </c>
      <c r="D351" t="s">
        <v>33</v>
      </c>
      <c r="E351">
        <v>1</v>
      </c>
      <c r="F351">
        <v>1</v>
      </c>
      <c r="G351">
        <v>2102</v>
      </c>
      <c r="H351" t="s">
        <v>37</v>
      </c>
      <c r="I351" t="str">
        <f t="shared" si="21"/>
        <v>[{1000,1,1,2102,401}]</v>
      </c>
      <c r="J351">
        <v>1</v>
      </c>
      <c r="K351" t="e">
        <f>IF(A351="","",IF(J351=1,VLOOKUP(A351,[1]怪物!$R$80:$V$99,4,0),VLOOKUP(A351,[1]怪物!$R$80:$V$99,2,0))*10000)</f>
        <v>#N/A</v>
      </c>
      <c r="L351" t="e">
        <f>IF(A351="","",IF(K351=1,VLOOKUP(A351,[1]怪物!$R$80:$V$99,5,0),VLOOKUP(A351,[1]怪物!$R$80:$V$99,3,0))*10000)</f>
        <v>#N/A</v>
      </c>
      <c r="M351" t="e">
        <f t="shared" si="22"/>
        <v>#N/A</v>
      </c>
      <c r="N351" t="e">
        <f t="shared" si="23"/>
        <v>#N/A</v>
      </c>
    </row>
    <row r="352" spans="1:14">
      <c r="A352" t="str">
        <f t="shared" si="20"/>
        <v/>
      </c>
      <c r="B352">
        <v>20</v>
      </c>
      <c r="C352" t="s">
        <v>44</v>
      </c>
      <c r="D352" t="s">
        <v>28</v>
      </c>
      <c r="I352" t="str">
        <f t="shared" si="21"/>
        <v>[]</v>
      </c>
      <c r="J352">
        <v>2</v>
      </c>
      <c r="K352" t="str">
        <f>IF(A352="","",IF(J352=1,VLOOKUP(A352,[1]怪物!$R$80:$V$99,4,0),VLOOKUP(A352,[1]怪物!$R$80:$V$99,2,0))*10000)</f>
        <v/>
      </c>
      <c r="L352" t="str">
        <f>IF(A352="","",IF(K352=1,VLOOKUP(A352,[1]怪物!$R$80:$V$99,5,0),VLOOKUP(A352,[1]怪物!$R$80:$V$99,3,0))*10000)</f>
        <v/>
      </c>
      <c r="M352" t="str">
        <f t="shared" si="22"/>
        <v/>
      </c>
      <c r="N352" t="str">
        <f t="shared" si="23"/>
        <v/>
      </c>
    </row>
    <row r="353" spans="1:14">
      <c r="A353">
        <f t="shared" si="20"/>
        <v>20</v>
      </c>
      <c r="B353">
        <v>20</v>
      </c>
      <c r="C353" t="s">
        <v>44</v>
      </c>
      <c r="D353" t="s">
        <v>33</v>
      </c>
      <c r="E353">
        <v>1</v>
      </c>
      <c r="F353">
        <v>0</v>
      </c>
      <c r="G353">
        <v>2131</v>
      </c>
      <c r="H353" t="s">
        <v>45</v>
      </c>
      <c r="I353" t="str">
        <f t="shared" si="21"/>
        <v>[{1000,1,0,2131,42}]</v>
      </c>
      <c r="J353" t="s">
        <v>35</v>
      </c>
      <c r="K353" t="e">
        <f>IF(A353="","",IF(J353=1,VLOOKUP(A353,[1]怪物!$R$80:$V$99,4,0),VLOOKUP(A353,[1]怪物!$R$80:$V$99,2,0))*10000)</f>
        <v>#N/A</v>
      </c>
      <c r="L353" t="e">
        <f>IF(A353="","",IF(K353=1,VLOOKUP(A353,[1]怪物!$R$80:$V$99,5,0),VLOOKUP(A353,[1]怪物!$R$80:$V$99,3,0))*10000)</f>
        <v>#N/A</v>
      </c>
      <c r="M353">
        <f t="shared" si="22"/>
        <v>10000</v>
      </c>
      <c r="N353">
        <f t="shared" si="23"/>
        <v>10000</v>
      </c>
    </row>
    <row r="354" spans="1:14">
      <c r="A354">
        <f t="shared" si="20"/>
        <v>1</v>
      </c>
      <c r="B354">
        <v>1</v>
      </c>
      <c r="C354" t="s">
        <v>46</v>
      </c>
      <c r="D354" t="s">
        <v>33</v>
      </c>
      <c r="E354">
        <v>1</v>
      </c>
      <c r="F354">
        <v>1</v>
      </c>
      <c r="G354">
        <v>2201</v>
      </c>
      <c r="H354" t="s">
        <v>34</v>
      </c>
      <c r="I354" t="str">
        <f t="shared" si="21"/>
        <v>[{1000,1,1,2201,101}]</v>
      </c>
      <c r="J354" t="s">
        <v>35</v>
      </c>
      <c r="K354">
        <f>IF(A354="","",IF(J354=1,VLOOKUP(A354,[1]怪物!$R$80:$V$99,4,0),VLOOKUP(A354,[1]怪物!$R$80:$V$99,2,0))*10000)</f>
        <v>10000</v>
      </c>
      <c r="L354">
        <f>IF(A354="","",IF(K354=1,VLOOKUP(A354,[1]怪物!$R$80:$V$99,5,0),VLOOKUP(A354,[1]怪物!$R$80:$V$99,3,0))*10000)</f>
        <v>10000</v>
      </c>
      <c r="M354">
        <f t="shared" si="22"/>
        <v>10000</v>
      </c>
      <c r="N354">
        <f t="shared" si="23"/>
        <v>10000</v>
      </c>
    </row>
    <row r="355" spans="1:14">
      <c r="A355">
        <f t="shared" si="20"/>
        <v>2</v>
      </c>
      <c r="B355">
        <v>2</v>
      </c>
      <c r="C355" t="s">
        <v>46</v>
      </c>
      <c r="D355" t="s">
        <v>33</v>
      </c>
      <c r="E355">
        <v>1</v>
      </c>
      <c r="F355">
        <v>1</v>
      </c>
      <c r="G355">
        <v>2201</v>
      </c>
      <c r="H355" t="s">
        <v>34</v>
      </c>
      <c r="I355" t="str">
        <f t="shared" si="21"/>
        <v>[{1000,1,1,2201,101}]</v>
      </c>
      <c r="J355" t="s">
        <v>35</v>
      </c>
      <c r="K355">
        <f>IF(A355="","",IF(J355=1,VLOOKUP(A355,[1]怪物!$R$80:$V$99,4,0),VLOOKUP(A355,[1]怪物!$R$80:$V$99,2,0))*10000)</f>
        <v>10000</v>
      </c>
      <c r="L355">
        <f>IF(A355="","",IF(K355=1,VLOOKUP(A355,[1]怪物!$R$80:$V$99,5,0),VLOOKUP(A355,[1]怪物!$R$80:$V$99,3,0))*10000)</f>
        <v>10000</v>
      </c>
      <c r="M355">
        <f t="shared" si="22"/>
        <v>10000</v>
      </c>
      <c r="N355">
        <f t="shared" si="23"/>
        <v>10000</v>
      </c>
    </row>
    <row r="356" spans="1:14">
      <c r="A356">
        <f t="shared" si="20"/>
        <v>3</v>
      </c>
      <c r="B356">
        <v>3</v>
      </c>
      <c r="C356" t="s">
        <v>46</v>
      </c>
      <c r="D356" t="s">
        <v>33</v>
      </c>
      <c r="E356">
        <v>1</v>
      </c>
      <c r="F356">
        <v>1</v>
      </c>
      <c r="G356">
        <v>2201</v>
      </c>
      <c r="H356" t="s">
        <v>34</v>
      </c>
      <c r="I356" t="str">
        <f t="shared" si="21"/>
        <v>[{1000,1,1,2201,101}]</v>
      </c>
      <c r="J356" t="s">
        <v>35</v>
      </c>
      <c r="K356">
        <f>IF(A356="","",IF(J356=1,VLOOKUP(A356,[1]怪物!$R$80:$V$99,4,0),VLOOKUP(A356,[1]怪物!$R$80:$V$99,2,0))*10000)</f>
        <v>10000</v>
      </c>
      <c r="L356">
        <f>IF(A356="","",IF(K356=1,VLOOKUP(A356,[1]怪物!$R$80:$V$99,5,0),VLOOKUP(A356,[1]怪物!$R$80:$V$99,3,0))*10000)</f>
        <v>10000</v>
      </c>
      <c r="M356">
        <f t="shared" si="22"/>
        <v>10000</v>
      </c>
      <c r="N356">
        <f t="shared" si="23"/>
        <v>10000</v>
      </c>
    </row>
    <row r="357" spans="1:14">
      <c r="A357">
        <f t="shared" si="20"/>
        <v>4</v>
      </c>
      <c r="B357">
        <v>4</v>
      </c>
      <c r="C357" t="s">
        <v>46</v>
      </c>
      <c r="D357" t="s">
        <v>33</v>
      </c>
      <c r="E357">
        <v>1</v>
      </c>
      <c r="F357">
        <v>1</v>
      </c>
      <c r="G357">
        <v>2201</v>
      </c>
      <c r="H357" t="s">
        <v>34</v>
      </c>
      <c r="I357" t="str">
        <f t="shared" si="21"/>
        <v>[{1000,1,1,2201,101}]</v>
      </c>
      <c r="J357" t="s">
        <v>35</v>
      </c>
      <c r="K357">
        <f>IF(A357="","",IF(J357=1,VLOOKUP(A357,[1]怪物!$R$80:$V$99,4,0),VLOOKUP(A357,[1]怪物!$R$80:$V$99,2,0))*10000)</f>
        <v>10000</v>
      </c>
      <c r="L357">
        <f>IF(A357="","",IF(K357=1,VLOOKUP(A357,[1]怪物!$R$80:$V$99,5,0),VLOOKUP(A357,[1]怪物!$R$80:$V$99,3,0))*10000)</f>
        <v>10000</v>
      </c>
      <c r="M357">
        <f t="shared" si="22"/>
        <v>10000</v>
      </c>
      <c r="N357">
        <f t="shared" si="23"/>
        <v>10000</v>
      </c>
    </row>
    <row r="358" spans="1:14">
      <c r="A358">
        <f t="shared" si="20"/>
        <v>5</v>
      </c>
      <c r="B358">
        <v>5</v>
      </c>
      <c r="C358" t="s">
        <v>46</v>
      </c>
      <c r="D358" t="s">
        <v>33</v>
      </c>
      <c r="E358">
        <v>1</v>
      </c>
      <c r="F358">
        <v>1</v>
      </c>
      <c r="G358">
        <v>2201</v>
      </c>
      <c r="H358" t="s">
        <v>34</v>
      </c>
      <c r="I358" t="str">
        <f t="shared" si="21"/>
        <v>[{1000,1,1,2201,101}]</v>
      </c>
      <c r="J358" t="s">
        <v>35</v>
      </c>
      <c r="K358">
        <f>IF(A358="","",IF(J358=1,VLOOKUP(A358,[1]怪物!$R$80:$V$99,4,0),VLOOKUP(A358,[1]怪物!$R$80:$V$99,2,0))*10000)</f>
        <v>10000</v>
      </c>
      <c r="L358">
        <f>IF(A358="","",IF(K358=1,VLOOKUP(A358,[1]怪物!$R$80:$V$99,5,0),VLOOKUP(A358,[1]怪物!$R$80:$V$99,3,0))*10000)</f>
        <v>10000</v>
      </c>
      <c r="M358">
        <f t="shared" si="22"/>
        <v>10000</v>
      </c>
      <c r="N358">
        <f t="shared" si="23"/>
        <v>10000</v>
      </c>
    </row>
    <row r="359" spans="1:14">
      <c r="A359">
        <f t="shared" si="20"/>
        <v>6</v>
      </c>
      <c r="B359">
        <v>6</v>
      </c>
      <c r="C359" t="s">
        <v>46</v>
      </c>
      <c r="D359" t="s">
        <v>33</v>
      </c>
      <c r="E359">
        <v>1</v>
      </c>
      <c r="F359">
        <v>1</v>
      </c>
      <c r="G359">
        <v>2201</v>
      </c>
      <c r="H359" t="s">
        <v>34</v>
      </c>
      <c r="I359" t="str">
        <f t="shared" si="21"/>
        <v>[{1000,1,1,2201,101}]</v>
      </c>
      <c r="J359" t="s">
        <v>35</v>
      </c>
      <c r="K359">
        <f>IF(A359="","",IF(J359=1,VLOOKUP(A359,[1]怪物!$R$80:$V$99,4,0),VLOOKUP(A359,[1]怪物!$R$80:$V$99,2,0))*10000)</f>
        <v>15000</v>
      </c>
      <c r="L359">
        <f>IF(A359="","",IF(K359=1,VLOOKUP(A359,[1]怪物!$R$80:$V$99,5,0),VLOOKUP(A359,[1]怪物!$R$80:$V$99,3,0))*10000)</f>
        <v>15000</v>
      </c>
      <c r="M359">
        <f t="shared" si="22"/>
        <v>15000</v>
      </c>
      <c r="N359">
        <f t="shared" si="23"/>
        <v>15000</v>
      </c>
    </row>
    <row r="360" spans="1:14">
      <c r="A360">
        <f t="shared" si="20"/>
        <v>7</v>
      </c>
      <c r="B360">
        <v>7</v>
      </c>
      <c r="C360" t="s">
        <v>46</v>
      </c>
      <c r="D360" t="s">
        <v>33</v>
      </c>
      <c r="E360">
        <v>1</v>
      </c>
      <c r="F360">
        <v>1</v>
      </c>
      <c r="G360">
        <v>2201</v>
      </c>
      <c r="H360" t="s">
        <v>34</v>
      </c>
      <c r="I360" t="str">
        <f t="shared" si="21"/>
        <v>[{1000,1,1,2201,101}]</v>
      </c>
      <c r="J360" t="s">
        <v>35</v>
      </c>
      <c r="K360">
        <f>IF(A360="","",IF(J360=1,VLOOKUP(A360,[1]怪物!$R$80:$V$99,4,0),VLOOKUP(A360,[1]怪物!$R$80:$V$99,2,0))*10000)</f>
        <v>15000</v>
      </c>
      <c r="L360">
        <f>IF(A360="","",IF(K360=1,VLOOKUP(A360,[1]怪物!$R$80:$V$99,5,0),VLOOKUP(A360,[1]怪物!$R$80:$V$99,3,0))*10000)</f>
        <v>15000</v>
      </c>
      <c r="M360">
        <f t="shared" si="22"/>
        <v>15000</v>
      </c>
      <c r="N360">
        <f t="shared" si="23"/>
        <v>15000</v>
      </c>
    </row>
    <row r="361" spans="1:14">
      <c r="A361">
        <f t="shared" si="20"/>
        <v>7</v>
      </c>
      <c r="B361">
        <v>7</v>
      </c>
      <c r="C361" t="s">
        <v>46</v>
      </c>
      <c r="D361" t="s">
        <v>33</v>
      </c>
      <c r="E361">
        <v>1</v>
      </c>
      <c r="F361">
        <v>1</v>
      </c>
      <c r="G361">
        <v>2202</v>
      </c>
      <c r="H361" t="s">
        <v>37</v>
      </c>
      <c r="I361" t="str">
        <f t="shared" si="21"/>
        <v>[{1000,1,1,2202,401}]</v>
      </c>
      <c r="J361">
        <v>1</v>
      </c>
      <c r="K361">
        <f>IF(A361="","",IF(J361=1,VLOOKUP(A361,[1]怪物!$R$80:$V$99,4,0),VLOOKUP(A361,[1]怪物!$R$80:$V$99,2,0))*10000)</f>
        <v>13000</v>
      </c>
      <c r="L361">
        <f>IF(A361="","",IF(K361=1,VLOOKUP(A361,[1]怪物!$R$80:$V$99,5,0),VLOOKUP(A361,[1]怪物!$R$80:$V$99,3,0))*10000)</f>
        <v>15000</v>
      </c>
      <c r="M361">
        <f t="shared" si="22"/>
        <v>13000</v>
      </c>
      <c r="N361">
        <f t="shared" si="23"/>
        <v>15000</v>
      </c>
    </row>
    <row r="362" spans="1:14">
      <c r="A362">
        <f t="shared" si="20"/>
        <v>8</v>
      </c>
      <c r="B362">
        <v>8</v>
      </c>
      <c r="C362" t="s">
        <v>46</v>
      </c>
      <c r="D362" t="s">
        <v>33</v>
      </c>
      <c r="E362">
        <v>1</v>
      </c>
      <c r="F362">
        <v>1</v>
      </c>
      <c r="G362">
        <v>2201</v>
      </c>
      <c r="H362" t="s">
        <v>34</v>
      </c>
      <c r="I362" t="str">
        <f t="shared" si="21"/>
        <v>[{1000,1,1,2201,101}]</v>
      </c>
      <c r="J362" t="s">
        <v>35</v>
      </c>
      <c r="K362">
        <f>IF(A362="","",IF(J362=1,VLOOKUP(A362,[1]怪物!$R$80:$V$99,4,0),VLOOKUP(A362,[1]怪物!$R$80:$V$99,2,0))*10000)</f>
        <v>15000</v>
      </c>
      <c r="L362">
        <f>IF(A362="","",IF(K362=1,VLOOKUP(A362,[1]怪物!$R$80:$V$99,5,0),VLOOKUP(A362,[1]怪物!$R$80:$V$99,3,0))*10000)</f>
        <v>15000</v>
      </c>
      <c r="M362">
        <f t="shared" si="22"/>
        <v>15000</v>
      </c>
      <c r="N362">
        <f t="shared" si="23"/>
        <v>15000</v>
      </c>
    </row>
    <row r="363" spans="1:14">
      <c r="A363">
        <f t="shared" si="20"/>
        <v>8</v>
      </c>
      <c r="B363">
        <v>8</v>
      </c>
      <c r="C363" t="s">
        <v>46</v>
      </c>
      <c r="D363" t="s">
        <v>33</v>
      </c>
      <c r="E363">
        <v>1</v>
      </c>
      <c r="F363">
        <v>1</v>
      </c>
      <c r="G363">
        <v>2202</v>
      </c>
      <c r="H363" t="s">
        <v>37</v>
      </c>
      <c r="I363" t="str">
        <f t="shared" si="21"/>
        <v>[{1000,1,1,2202,401}]</v>
      </c>
      <c r="J363">
        <v>1</v>
      </c>
      <c r="K363">
        <f>IF(A363="","",IF(J363=1,VLOOKUP(A363,[1]怪物!$R$80:$V$99,4,0),VLOOKUP(A363,[1]怪物!$R$80:$V$99,2,0))*10000)</f>
        <v>13000</v>
      </c>
      <c r="L363">
        <f>IF(A363="","",IF(K363=1,VLOOKUP(A363,[1]怪物!$R$80:$V$99,5,0),VLOOKUP(A363,[1]怪物!$R$80:$V$99,3,0))*10000)</f>
        <v>15000</v>
      </c>
      <c r="M363">
        <f t="shared" si="22"/>
        <v>13000</v>
      </c>
      <c r="N363">
        <f t="shared" si="23"/>
        <v>15000</v>
      </c>
    </row>
    <row r="364" spans="1:14">
      <c r="A364">
        <f t="shared" si="20"/>
        <v>9</v>
      </c>
      <c r="B364">
        <v>9</v>
      </c>
      <c r="C364" t="s">
        <v>46</v>
      </c>
      <c r="D364" t="s">
        <v>33</v>
      </c>
      <c r="E364">
        <v>1</v>
      </c>
      <c r="F364">
        <v>1</v>
      </c>
      <c r="G364">
        <v>2201</v>
      </c>
      <c r="H364" t="s">
        <v>34</v>
      </c>
      <c r="I364" t="str">
        <f t="shared" si="21"/>
        <v>[{1000,1,1,2201,101}]</v>
      </c>
      <c r="J364" t="s">
        <v>35</v>
      </c>
      <c r="K364" t="e">
        <f>IF(A364="","",IF(J364=1,VLOOKUP(A364,[1]怪物!$R$80:$V$99,4,0),VLOOKUP(A364,[1]怪物!$R$80:$V$99,2,0))*10000)</f>
        <v>#N/A</v>
      </c>
      <c r="L364" t="e">
        <f>IF(A364="","",IF(K364=1,VLOOKUP(A364,[1]怪物!$R$80:$V$99,5,0),VLOOKUP(A364,[1]怪物!$R$80:$V$99,3,0))*10000)</f>
        <v>#N/A</v>
      </c>
      <c r="M364" t="e">
        <f t="shared" si="22"/>
        <v>#N/A</v>
      </c>
      <c r="N364" t="e">
        <f t="shared" si="23"/>
        <v>#N/A</v>
      </c>
    </row>
    <row r="365" spans="1:14">
      <c r="A365">
        <f t="shared" si="20"/>
        <v>9</v>
      </c>
      <c r="B365">
        <v>9</v>
      </c>
      <c r="C365" t="s">
        <v>46</v>
      </c>
      <c r="D365" t="s">
        <v>33</v>
      </c>
      <c r="E365">
        <v>1</v>
      </c>
      <c r="F365">
        <v>1</v>
      </c>
      <c r="G365">
        <v>2202</v>
      </c>
      <c r="H365" t="s">
        <v>37</v>
      </c>
      <c r="I365" t="str">
        <f t="shared" si="21"/>
        <v>[{1000,1,1,2202,401}]</v>
      </c>
      <c r="J365">
        <v>1</v>
      </c>
      <c r="K365" t="e">
        <f>IF(A365="","",IF(J365=1,VLOOKUP(A365,[1]怪物!$R$80:$V$99,4,0),VLOOKUP(A365,[1]怪物!$R$80:$V$99,2,0))*10000)</f>
        <v>#N/A</v>
      </c>
      <c r="L365" t="e">
        <f>IF(A365="","",IF(K365=1,VLOOKUP(A365,[1]怪物!$R$80:$V$99,5,0),VLOOKUP(A365,[1]怪物!$R$80:$V$99,3,0))*10000)</f>
        <v>#N/A</v>
      </c>
      <c r="M365" t="e">
        <f t="shared" si="22"/>
        <v>#N/A</v>
      </c>
      <c r="N365" t="e">
        <f t="shared" si="23"/>
        <v>#N/A</v>
      </c>
    </row>
    <row r="366" spans="1:14">
      <c r="A366">
        <f t="shared" si="20"/>
        <v>10</v>
      </c>
      <c r="B366">
        <v>10</v>
      </c>
      <c r="C366" t="s">
        <v>46</v>
      </c>
      <c r="D366" t="s">
        <v>33</v>
      </c>
      <c r="E366">
        <v>1</v>
      </c>
      <c r="F366">
        <v>1</v>
      </c>
      <c r="G366">
        <v>2201</v>
      </c>
      <c r="H366" t="s">
        <v>34</v>
      </c>
      <c r="I366" t="str">
        <f t="shared" si="21"/>
        <v>[{1000,1,1,2201,101}]</v>
      </c>
      <c r="J366" t="s">
        <v>35</v>
      </c>
      <c r="K366" t="e">
        <f>IF(A366="","",IF(J366=1,VLOOKUP(A366,[1]怪物!$R$80:$V$99,4,0),VLOOKUP(A366,[1]怪物!$R$80:$V$99,2,0))*10000)</f>
        <v>#N/A</v>
      </c>
      <c r="L366" t="e">
        <f>IF(A366="","",IF(K366=1,VLOOKUP(A366,[1]怪物!$R$80:$V$99,5,0),VLOOKUP(A366,[1]怪物!$R$80:$V$99,3,0))*10000)</f>
        <v>#N/A</v>
      </c>
      <c r="M366" t="e">
        <f t="shared" si="22"/>
        <v>#N/A</v>
      </c>
      <c r="N366" t="e">
        <f t="shared" si="23"/>
        <v>#N/A</v>
      </c>
    </row>
    <row r="367" spans="1:14">
      <c r="A367">
        <f t="shared" si="20"/>
        <v>10</v>
      </c>
      <c r="B367">
        <v>10</v>
      </c>
      <c r="C367" t="s">
        <v>46</v>
      </c>
      <c r="D367" t="s">
        <v>33</v>
      </c>
      <c r="E367">
        <v>1</v>
      </c>
      <c r="F367">
        <v>1</v>
      </c>
      <c r="G367">
        <v>2202</v>
      </c>
      <c r="H367" t="s">
        <v>37</v>
      </c>
      <c r="I367" t="str">
        <f t="shared" si="21"/>
        <v>[{1000,1,1,2202,401}]</v>
      </c>
      <c r="J367">
        <v>1</v>
      </c>
      <c r="K367" t="e">
        <f>IF(A367="","",IF(J367=1,VLOOKUP(A367,[1]怪物!$R$80:$V$99,4,0),VLOOKUP(A367,[1]怪物!$R$80:$V$99,2,0))*10000)</f>
        <v>#N/A</v>
      </c>
      <c r="L367" t="e">
        <f>IF(A367="","",IF(K367=1,VLOOKUP(A367,[1]怪物!$R$80:$V$99,5,0),VLOOKUP(A367,[1]怪物!$R$80:$V$99,3,0))*10000)</f>
        <v>#N/A</v>
      </c>
      <c r="M367" t="e">
        <f t="shared" si="22"/>
        <v>#N/A</v>
      </c>
      <c r="N367" t="e">
        <f t="shared" si="23"/>
        <v>#N/A</v>
      </c>
    </row>
    <row r="368" spans="1:14">
      <c r="A368" t="str">
        <f t="shared" si="20"/>
        <v/>
      </c>
      <c r="B368">
        <v>10</v>
      </c>
      <c r="C368" t="s">
        <v>46</v>
      </c>
      <c r="D368" t="s">
        <v>28</v>
      </c>
      <c r="I368" t="str">
        <f t="shared" si="21"/>
        <v>[]</v>
      </c>
      <c r="J368">
        <v>2</v>
      </c>
      <c r="K368" t="str">
        <f>IF(A368="","",IF(J368=1,VLOOKUP(A368,[1]怪物!$R$80:$V$99,4,0),VLOOKUP(A368,[1]怪物!$R$80:$V$99,2,0))*10000)</f>
        <v/>
      </c>
      <c r="L368" t="str">
        <f>IF(A368="","",IF(K368=1,VLOOKUP(A368,[1]怪物!$R$80:$V$99,5,0),VLOOKUP(A368,[1]怪物!$R$80:$V$99,3,0))*10000)</f>
        <v/>
      </c>
      <c r="M368" t="str">
        <f t="shared" si="22"/>
        <v/>
      </c>
      <c r="N368" t="str">
        <f t="shared" si="23"/>
        <v/>
      </c>
    </row>
    <row r="369" spans="1:14">
      <c r="A369">
        <f t="shared" si="20"/>
        <v>10</v>
      </c>
      <c r="B369">
        <v>10</v>
      </c>
      <c r="C369" t="s">
        <v>46</v>
      </c>
      <c r="D369" t="s">
        <v>33</v>
      </c>
      <c r="E369">
        <v>1</v>
      </c>
      <c r="F369">
        <v>0</v>
      </c>
      <c r="G369">
        <v>2221</v>
      </c>
      <c r="H369" t="s">
        <v>37</v>
      </c>
      <c r="I369" t="str">
        <f t="shared" si="21"/>
        <v>[{1000,1,0,2221,401}]</v>
      </c>
      <c r="J369">
        <v>1</v>
      </c>
      <c r="K369" t="e">
        <f>IF(A369="","",IF(J369=1,VLOOKUP(A369,[1]怪物!$R$80:$V$99,4,0),VLOOKUP(A369,[1]怪物!$R$80:$V$99,2,0))*10000)</f>
        <v>#N/A</v>
      </c>
      <c r="L369" t="e">
        <f>IF(A369="","",IF(K369=1,VLOOKUP(A369,[1]怪物!$R$80:$V$99,5,0),VLOOKUP(A369,[1]怪物!$R$80:$V$99,3,0))*10000)</f>
        <v>#N/A</v>
      </c>
      <c r="M369">
        <f t="shared" si="22"/>
        <v>10000</v>
      </c>
      <c r="N369">
        <f t="shared" si="23"/>
        <v>10000</v>
      </c>
    </row>
    <row r="370" spans="1:14">
      <c r="A370">
        <f t="shared" si="20"/>
        <v>11</v>
      </c>
      <c r="B370">
        <v>11</v>
      </c>
      <c r="C370" t="s">
        <v>46</v>
      </c>
      <c r="D370" t="s">
        <v>33</v>
      </c>
      <c r="E370">
        <v>1</v>
      </c>
      <c r="F370">
        <v>1</v>
      </c>
      <c r="G370">
        <v>2201</v>
      </c>
      <c r="H370" t="s">
        <v>34</v>
      </c>
      <c r="I370" t="str">
        <f t="shared" si="21"/>
        <v>[{1000,1,1,2201,101}]</v>
      </c>
      <c r="J370" t="s">
        <v>35</v>
      </c>
      <c r="K370" t="e">
        <f>IF(A370="","",IF(J370=1,VLOOKUP(A370,[1]怪物!$R$80:$V$99,4,0),VLOOKUP(A370,[1]怪物!$R$80:$V$99,2,0))*10000)</f>
        <v>#N/A</v>
      </c>
      <c r="L370" t="e">
        <f>IF(A370="","",IF(K370=1,VLOOKUP(A370,[1]怪物!$R$80:$V$99,5,0),VLOOKUP(A370,[1]怪物!$R$80:$V$99,3,0))*10000)</f>
        <v>#N/A</v>
      </c>
      <c r="M370" t="e">
        <f t="shared" si="22"/>
        <v>#N/A</v>
      </c>
      <c r="N370" t="e">
        <f t="shared" si="23"/>
        <v>#N/A</v>
      </c>
    </row>
    <row r="371" spans="1:14">
      <c r="A371">
        <f t="shared" si="20"/>
        <v>11</v>
      </c>
      <c r="B371">
        <v>11</v>
      </c>
      <c r="C371" t="s">
        <v>46</v>
      </c>
      <c r="D371" t="s">
        <v>33</v>
      </c>
      <c r="E371">
        <v>1</v>
      </c>
      <c r="F371">
        <v>1</v>
      </c>
      <c r="G371">
        <v>2202</v>
      </c>
      <c r="H371" t="s">
        <v>37</v>
      </c>
      <c r="I371" t="str">
        <f t="shared" si="21"/>
        <v>[{1000,1,1,2202,401}]</v>
      </c>
      <c r="J371">
        <v>1</v>
      </c>
      <c r="K371" t="e">
        <f>IF(A371="","",IF(J371=1,VLOOKUP(A371,[1]怪物!$R$80:$V$99,4,0),VLOOKUP(A371,[1]怪物!$R$80:$V$99,2,0))*10000)</f>
        <v>#N/A</v>
      </c>
      <c r="L371" t="e">
        <f>IF(A371="","",IF(K371=1,VLOOKUP(A371,[1]怪物!$R$80:$V$99,5,0),VLOOKUP(A371,[1]怪物!$R$80:$V$99,3,0))*10000)</f>
        <v>#N/A</v>
      </c>
      <c r="M371" t="e">
        <f t="shared" si="22"/>
        <v>#N/A</v>
      </c>
      <c r="N371" t="e">
        <f t="shared" si="23"/>
        <v>#N/A</v>
      </c>
    </row>
    <row r="372" spans="1:14">
      <c r="A372">
        <f t="shared" si="20"/>
        <v>12</v>
      </c>
      <c r="B372">
        <v>12</v>
      </c>
      <c r="C372" t="s">
        <v>46</v>
      </c>
      <c r="D372" t="s">
        <v>33</v>
      </c>
      <c r="E372">
        <v>1</v>
      </c>
      <c r="F372">
        <v>1</v>
      </c>
      <c r="G372">
        <v>2201</v>
      </c>
      <c r="H372" t="s">
        <v>34</v>
      </c>
      <c r="I372" t="str">
        <f t="shared" si="21"/>
        <v>[{1000,1,1,2201,101}]</v>
      </c>
      <c r="J372" t="s">
        <v>35</v>
      </c>
      <c r="K372" t="e">
        <f>IF(A372="","",IF(J372=1,VLOOKUP(A372,[1]怪物!$R$80:$V$99,4,0),VLOOKUP(A372,[1]怪物!$R$80:$V$99,2,0))*10000)</f>
        <v>#N/A</v>
      </c>
      <c r="L372" t="e">
        <f>IF(A372="","",IF(K372=1,VLOOKUP(A372,[1]怪物!$R$80:$V$99,5,0),VLOOKUP(A372,[1]怪物!$R$80:$V$99,3,0))*10000)</f>
        <v>#N/A</v>
      </c>
      <c r="M372" t="e">
        <f t="shared" si="22"/>
        <v>#N/A</v>
      </c>
      <c r="N372" t="e">
        <f t="shared" si="23"/>
        <v>#N/A</v>
      </c>
    </row>
    <row r="373" spans="1:14">
      <c r="A373">
        <f t="shared" si="20"/>
        <v>12</v>
      </c>
      <c r="B373">
        <v>12</v>
      </c>
      <c r="C373" t="s">
        <v>46</v>
      </c>
      <c r="D373" t="s">
        <v>33</v>
      </c>
      <c r="E373">
        <v>1</v>
      </c>
      <c r="F373">
        <v>1</v>
      </c>
      <c r="G373">
        <v>2202</v>
      </c>
      <c r="H373" t="s">
        <v>37</v>
      </c>
      <c r="I373" t="str">
        <f t="shared" si="21"/>
        <v>[{1000,1,1,2202,401}]</v>
      </c>
      <c r="J373">
        <v>1</v>
      </c>
      <c r="K373" t="e">
        <f>IF(A373="","",IF(J373=1,VLOOKUP(A373,[1]怪物!$R$80:$V$99,4,0),VLOOKUP(A373,[1]怪物!$R$80:$V$99,2,0))*10000)</f>
        <v>#N/A</v>
      </c>
      <c r="L373" t="e">
        <f>IF(A373="","",IF(K373=1,VLOOKUP(A373,[1]怪物!$R$80:$V$99,5,0),VLOOKUP(A373,[1]怪物!$R$80:$V$99,3,0))*10000)</f>
        <v>#N/A</v>
      </c>
      <c r="M373" t="e">
        <f t="shared" si="22"/>
        <v>#N/A</v>
      </c>
      <c r="N373" t="e">
        <f t="shared" si="23"/>
        <v>#N/A</v>
      </c>
    </row>
    <row r="374" spans="1:14">
      <c r="A374">
        <f t="shared" si="20"/>
        <v>13</v>
      </c>
      <c r="B374">
        <v>13</v>
      </c>
      <c r="C374" t="s">
        <v>46</v>
      </c>
      <c r="D374" t="s">
        <v>33</v>
      </c>
      <c r="E374">
        <v>1</v>
      </c>
      <c r="F374">
        <v>1</v>
      </c>
      <c r="G374">
        <v>2201</v>
      </c>
      <c r="H374" t="s">
        <v>34</v>
      </c>
      <c r="I374" t="str">
        <f t="shared" si="21"/>
        <v>[{1000,1,1,2201,101}]</v>
      </c>
      <c r="J374" t="s">
        <v>35</v>
      </c>
      <c r="K374" t="e">
        <f>IF(A374="","",IF(J374=1,VLOOKUP(A374,[1]怪物!$R$80:$V$99,4,0),VLOOKUP(A374,[1]怪物!$R$80:$V$99,2,0))*10000)</f>
        <v>#N/A</v>
      </c>
      <c r="L374" t="e">
        <f>IF(A374="","",IF(K374=1,VLOOKUP(A374,[1]怪物!$R$80:$V$99,5,0),VLOOKUP(A374,[1]怪物!$R$80:$V$99,3,0))*10000)</f>
        <v>#N/A</v>
      </c>
      <c r="M374" t="e">
        <f t="shared" si="22"/>
        <v>#N/A</v>
      </c>
      <c r="N374" t="e">
        <f t="shared" si="23"/>
        <v>#N/A</v>
      </c>
    </row>
    <row r="375" spans="1:14">
      <c r="A375">
        <f t="shared" si="20"/>
        <v>13</v>
      </c>
      <c r="B375">
        <v>13</v>
      </c>
      <c r="C375" t="s">
        <v>46</v>
      </c>
      <c r="D375" t="s">
        <v>33</v>
      </c>
      <c r="E375">
        <v>1</v>
      </c>
      <c r="F375">
        <v>1</v>
      </c>
      <c r="G375">
        <v>2202</v>
      </c>
      <c r="H375" t="s">
        <v>37</v>
      </c>
      <c r="I375" t="str">
        <f t="shared" si="21"/>
        <v>[{1000,1,1,2202,401}]</v>
      </c>
      <c r="J375">
        <v>1</v>
      </c>
      <c r="K375" t="e">
        <f>IF(A375="","",IF(J375=1,VLOOKUP(A375,[1]怪物!$R$80:$V$99,4,0),VLOOKUP(A375,[1]怪物!$R$80:$V$99,2,0))*10000)</f>
        <v>#N/A</v>
      </c>
      <c r="L375" t="e">
        <f>IF(A375="","",IF(K375=1,VLOOKUP(A375,[1]怪物!$R$80:$V$99,5,0),VLOOKUP(A375,[1]怪物!$R$80:$V$99,3,0))*10000)</f>
        <v>#N/A</v>
      </c>
      <c r="M375" t="e">
        <f t="shared" si="22"/>
        <v>#N/A</v>
      </c>
      <c r="N375" t="e">
        <f t="shared" si="23"/>
        <v>#N/A</v>
      </c>
    </row>
    <row r="376" spans="1:14">
      <c r="A376">
        <f t="shared" si="20"/>
        <v>14</v>
      </c>
      <c r="B376">
        <v>14</v>
      </c>
      <c r="C376" t="s">
        <v>46</v>
      </c>
      <c r="D376" t="s">
        <v>33</v>
      </c>
      <c r="E376">
        <v>1</v>
      </c>
      <c r="F376">
        <v>1</v>
      </c>
      <c r="G376">
        <v>2201</v>
      </c>
      <c r="H376" t="s">
        <v>34</v>
      </c>
      <c r="I376" t="str">
        <f t="shared" si="21"/>
        <v>[{1000,1,1,2201,101}]</v>
      </c>
      <c r="J376" t="s">
        <v>35</v>
      </c>
      <c r="K376" t="e">
        <f>IF(A376="","",IF(J376=1,VLOOKUP(A376,[1]怪物!$R$80:$V$99,4,0),VLOOKUP(A376,[1]怪物!$R$80:$V$99,2,0))*10000)</f>
        <v>#N/A</v>
      </c>
      <c r="L376" t="e">
        <f>IF(A376="","",IF(K376=1,VLOOKUP(A376,[1]怪物!$R$80:$V$99,5,0),VLOOKUP(A376,[1]怪物!$R$80:$V$99,3,0))*10000)</f>
        <v>#N/A</v>
      </c>
      <c r="M376" t="e">
        <f t="shared" si="22"/>
        <v>#N/A</v>
      </c>
      <c r="N376" t="e">
        <f t="shared" si="23"/>
        <v>#N/A</v>
      </c>
    </row>
    <row r="377" spans="1:14">
      <c r="A377">
        <f t="shared" si="20"/>
        <v>14</v>
      </c>
      <c r="B377">
        <v>14</v>
      </c>
      <c r="C377" t="s">
        <v>46</v>
      </c>
      <c r="D377" t="s">
        <v>33</v>
      </c>
      <c r="E377">
        <v>1</v>
      </c>
      <c r="F377">
        <v>1</v>
      </c>
      <c r="G377">
        <v>2202</v>
      </c>
      <c r="H377" t="s">
        <v>37</v>
      </c>
      <c r="I377" t="str">
        <f t="shared" si="21"/>
        <v>[{1000,1,1,2202,401}]</v>
      </c>
      <c r="J377">
        <v>1</v>
      </c>
      <c r="K377" t="e">
        <f>IF(A377="","",IF(J377=1,VLOOKUP(A377,[1]怪物!$R$80:$V$99,4,0),VLOOKUP(A377,[1]怪物!$R$80:$V$99,2,0))*10000)</f>
        <v>#N/A</v>
      </c>
      <c r="L377" t="e">
        <f>IF(A377="","",IF(K377=1,VLOOKUP(A377,[1]怪物!$R$80:$V$99,5,0),VLOOKUP(A377,[1]怪物!$R$80:$V$99,3,0))*10000)</f>
        <v>#N/A</v>
      </c>
      <c r="M377" t="e">
        <f t="shared" si="22"/>
        <v>#N/A</v>
      </c>
      <c r="N377" t="e">
        <f t="shared" si="23"/>
        <v>#N/A</v>
      </c>
    </row>
    <row r="378" spans="1:14">
      <c r="A378">
        <f t="shared" si="20"/>
        <v>14</v>
      </c>
      <c r="B378">
        <v>14</v>
      </c>
      <c r="C378" t="s">
        <v>46</v>
      </c>
      <c r="D378" t="s">
        <v>33</v>
      </c>
      <c r="E378">
        <v>1</v>
      </c>
      <c r="F378">
        <v>1</v>
      </c>
      <c r="G378">
        <v>2203</v>
      </c>
      <c r="H378" t="s">
        <v>34</v>
      </c>
      <c r="I378" t="str">
        <f t="shared" si="21"/>
        <v>[{1000,1,1,2203,101}]</v>
      </c>
      <c r="J378" t="s">
        <v>35</v>
      </c>
      <c r="K378" t="e">
        <f>IF(A378="","",IF(J378=1,VLOOKUP(A378,[1]怪物!$R$80:$V$99,4,0),VLOOKUP(A378,[1]怪物!$R$80:$V$99,2,0))*10000)</f>
        <v>#N/A</v>
      </c>
      <c r="L378" t="e">
        <f>IF(A378="","",IF(K378=1,VLOOKUP(A378,[1]怪物!$R$80:$V$99,5,0),VLOOKUP(A378,[1]怪物!$R$80:$V$99,3,0))*10000)</f>
        <v>#N/A</v>
      </c>
      <c r="M378" t="e">
        <f t="shared" si="22"/>
        <v>#N/A</v>
      </c>
      <c r="N378" t="e">
        <f t="shared" si="23"/>
        <v>#N/A</v>
      </c>
    </row>
    <row r="379" spans="1:14">
      <c r="A379">
        <f t="shared" si="20"/>
        <v>15</v>
      </c>
      <c r="B379">
        <v>15</v>
      </c>
      <c r="C379" t="s">
        <v>46</v>
      </c>
      <c r="D379" t="s">
        <v>33</v>
      </c>
      <c r="E379">
        <v>1</v>
      </c>
      <c r="F379">
        <v>1</v>
      </c>
      <c r="G379">
        <v>2201</v>
      </c>
      <c r="H379" t="s">
        <v>34</v>
      </c>
      <c r="I379" t="str">
        <f t="shared" si="21"/>
        <v>[{1000,1,1,2201,101}]</v>
      </c>
      <c r="J379" t="s">
        <v>35</v>
      </c>
      <c r="K379" t="e">
        <f>IF(A379="","",IF(J379=1,VLOOKUP(A379,[1]怪物!$R$80:$V$99,4,0),VLOOKUP(A379,[1]怪物!$R$80:$V$99,2,0))*10000)</f>
        <v>#N/A</v>
      </c>
      <c r="L379" t="e">
        <f>IF(A379="","",IF(K379=1,VLOOKUP(A379,[1]怪物!$R$80:$V$99,5,0),VLOOKUP(A379,[1]怪物!$R$80:$V$99,3,0))*10000)</f>
        <v>#N/A</v>
      </c>
      <c r="M379" t="e">
        <f t="shared" si="22"/>
        <v>#N/A</v>
      </c>
      <c r="N379" t="e">
        <f t="shared" si="23"/>
        <v>#N/A</v>
      </c>
    </row>
    <row r="380" spans="1:14">
      <c r="A380">
        <f t="shared" si="20"/>
        <v>15</v>
      </c>
      <c r="B380">
        <v>15</v>
      </c>
      <c r="C380" t="s">
        <v>46</v>
      </c>
      <c r="D380" t="s">
        <v>33</v>
      </c>
      <c r="E380">
        <v>1</v>
      </c>
      <c r="F380">
        <v>1</v>
      </c>
      <c r="G380">
        <v>2202</v>
      </c>
      <c r="H380" t="s">
        <v>37</v>
      </c>
      <c r="I380" t="str">
        <f t="shared" si="21"/>
        <v>[{1000,1,1,2202,401}]</v>
      </c>
      <c r="J380">
        <v>1</v>
      </c>
      <c r="K380" t="e">
        <f>IF(A380="","",IF(J380=1,VLOOKUP(A380,[1]怪物!$R$80:$V$99,4,0),VLOOKUP(A380,[1]怪物!$R$80:$V$99,2,0))*10000)</f>
        <v>#N/A</v>
      </c>
      <c r="L380" t="e">
        <f>IF(A380="","",IF(K380=1,VLOOKUP(A380,[1]怪物!$R$80:$V$99,5,0),VLOOKUP(A380,[1]怪物!$R$80:$V$99,3,0))*10000)</f>
        <v>#N/A</v>
      </c>
      <c r="M380" t="e">
        <f t="shared" si="22"/>
        <v>#N/A</v>
      </c>
      <c r="N380" t="e">
        <f t="shared" si="23"/>
        <v>#N/A</v>
      </c>
    </row>
    <row r="381" spans="1:14">
      <c r="A381">
        <f t="shared" si="20"/>
        <v>15</v>
      </c>
      <c r="B381">
        <v>15</v>
      </c>
      <c r="C381" t="s">
        <v>46</v>
      </c>
      <c r="D381" t="s">
        <v>33</v>
      </c>
      <c r="E381">
        <v>1</v>
      </c>
      <c r="F381">
        <v>1</v>
      </c>
      <c r="G381">
        <v>2203</v>
      </c>
      <c r="H381" t="s">
        <v>34</v>
      </c>
      <c r="I381" t="str">
        <f t="shared" si="21"/>
        <v>[{1000,1,1,2203,101}]</v>
      </c>
      <c r="J381" t="s">
        <v>35</v>
      </c>
      <c r="K381" t="e">
        <f>IF(A381="","",IF(J381=1,VLOOKUP(A381,[1]怪物!$R$80:$V$99,4,0),VLOOKUP(A381,[1]怪物!$R$80:$V$99,2,0))*10000)</f>
        <v>#N/A</v>
      </c>
      <c r="L381" t="e">
        <f>IF(A381="","",IF(K381=1,VLOOKUP(A381,[1]怪物!$R$80:$V$99,5,0),VLOOKUP(A381,[1]怪物!$R$80:$V$99,3,0))*10000)</f>
        <v>#N/A</v>
      </c>
      <c r="M381" t="e">
        <f t="shared" si="22"/>
        <v>#N/A</v>
      </c>
      <c r="N381" t="e">
        <f t="shared" si="23"/>
        <v>#N/A</v>
      </c>
    </row>
    <row r="382" spans="1:14">
      <c r="A382">
        <f t="shared" si="20"/>
        <v>16</v>
      </c>
      <c r="B382">
        <v>16</v>
      </c>
      <c r="C382" t="s">
        <v>46</v>
      </c>
      <c r="D382" t="s">
        <v>33</v>
      </c>
      <c r="E382">
        <v>1</v>
      </c>
      <c r="F382">
        <v>1</v>
      </c>
      <c r="G382">
        <v>2201</v>
      </c>
      <c r="H382" t="s">
        <v>34</v>
      </c>
      <c r="I382" t="str">
        <f t="shared" si="21"/>
        <v>[{1000,1,1,2201,101}]</v>
      </c>
      <c r="J382" t="s">
        <v>35</v>
      </c>
      <c r="K382" t="e">
        <f>IF(A382="","",IF(J382=1,VLOOKUP(A382,[1]怪物!$R$80:$V$99,4,0),VLOOKUP(A382,[1]怪物!$R$80:$V$99,2,0))*10000)</f>
        <v>#N/A</v>
      </c>
      <c r="L382" t="e">
        <f>IF(A382="","",IF(K382=1,VLOOKUP(A382,[1]怪物!$R$80:$V$99,5,0),VLOOKUP(A382,[1]怪物!$R$80:$V$99,3,0))*10000)</f>
        <v>#N/A</v>
      </c>
      <c r="M382" t="e">
        <f t="shared" si="22"/>
        <v>#N/A</v>
      </c>
      <c r="N382" t="e">
        <f t="shared" si="23"/>
        <v>#N/A</v>
      </c>
    </row>
    <row r="383" spans="1:14">
      <c r="A383">
        <f t="shared" si="20"/>
        <v>16</v>
      </c>
      <c r="B383">
        <v>16</v>
      </c>
      <c r="C383" t="s">
        <v>46</v>
      </c>
      <c r="D383" t="s">
        <v>33</v>
      </c>
      <c r="E383">
        <v>1</v>
      </c>
      <c r="F383">
        <v>1</v>
      </c>
      <c r="G383">
        <v>2202</v>
      </c>
      <c r="H383" t="s">
        <v>37</v>
      </c>
      <c r="I383" t="str">
        <f t="shared" si="21"/>
        <v>[{1000,1,1,2202,401}]</v>
      </c>
      <c r="J383">
        <v>1</v>
      </c>
      <c r="K383" t="e">
        <f>IF(A383="","",IF(J383=1,VLOOKUP(A383,[1]怪物!$R$80:$V$99,4,0),VLOOKUP(A383,[1]怪物!$R$80:$V$99,2,0))*10000)</f>
        <v>#N/A</v>
      </c>
      <c r="L383" t="e">
        <f>IF(A383="","",IF(K383=1,VLOOKUP(A383,[1]怪物!$R$80:$V$99,5,0),VLOOKUP(A383,[1]怪物!$R$80:$V$99,3,0))*10000)</f>
        <v>#N/A</v>
      </c>
      <c r="M383" t="e">
        <f t="shared" si="22"/>
        <v>#N/A</v>
      </c>
      <c r="N383" t="e">
        <f t="shared" si="23"/>
        <v>#N/A</v>
      </c>
    </row>
    <row r="384" spans="1:14">
      <c r="A384">
        <f t="shared" si="20"/>
        <v>16</v>
      </c>
      <c r="B384">
        <v>16</v>
      </c>
      <c r="C384" t="s">
        <v>46</v>
      </c>
      <c r="D384" t="s">
        <v>33</v>
      </c>
      <c r="E384">
        <v>1</v>
      </c>
      <c r="F384">
        <v>1</v>
      </c>
      <c r="G384">
        <v>2203</v>
      </c>
      <c r="H384" t="s">
        <v>34</v>
      </c>
      <c r="I384" t="str">
        <f t="shared" si="21"/>
        <v>[{1000,1,1,2203,101}]</v>
      </c>
      <c r="J384" t="s">
        <v>35</v>
      </c>
      <c r="K384" t="e">
        <f>IF(A384="","",IF(J384=1,VLOOKUP(A384,[1]怪物!$R$80:$V$99,4,0),VLOOKUP(A384,[1]怪物!$R$80:$V$99,2,0))*10000)</f>
        <v>#N/A</v>
      </c>
      <c r="L384" t="e">
        <f>IF(A384="","",IF(K384=1,VLOOKUP(A384,[1]怪物!$R$80:$V$99,5,0),VLOOKUP(A384,[1]怪物!$R$80:$V$99,3,0))*10000)</f>
        <v>#N/A</v>
      </c>
      <c r="M384" t="e">
        <f t="shared" si="22"/>
        <v>#N/A</v>
      </c>
      <c r="N384" t="e">
        <f t="shared" si="23"/>
        <v>#N/A</v>
      </c>
    </row>
    <row r="385" spans="1:14">
      <c r="A385">
        <f t="shared" si="20"/>
        <v>17</v>
      </c>
      <c r="B385">
        <v>17</v>
      </c>
      <c r="C385" t="s">
        <v>46</v>
      </c>
      <c r="D385" t="s">
        <v>33</v>
      </c>
      <c r="E385">
        <v>1</v>
      </c>
      <c r="F385">
        <v>1</v>
      </c>
      <c r="G385">
        <v>2201</v>
      </c>
      <c r="H385" t="s">
        <v>34</v>
      </c>
      <c r="I385" t="str">
        <f t="shared" si="21"/>
        <v>[{1000,1,1,2201,101}]</v>
      </c>
      <c r="J385" t="s">
        <v>35</v>
      </c>
      <c r="K385" t="e">
        <f>IF(A385="","",IF(J385=1,VLOOKUP(A385,[1]怪物!$R$80:$V$99,4,0),VLOOKUP(A385,[1]怪物!$R$80:$V$99,2,0))*10000)</f>
        <v>#N/A</v>
      </c>
      <c r="L385" t="e">
        <f>IF(A385="","",IF(K385=1,VLOOKUP(A385,[1]怪物!$R$80:$V$99,5,0),VLOOKUP(A385,[1]怪物!$R$80:$V$99,3,0))*10000)</f>
        <v>#N/A</v>
      </c>
      <c r="M385" t="e">
        <f t="shared" si="22"/>
        <v>#N/A</v>
      </c>
      <c r="N385" t="e">
        <f t="shared" si="23"/>
        <v>#N/A</v>
      </c>
    </row>
    <row r="386" spans="1:14">
      <c r="A386">
        <f t="shared" ref="A386:A449" si="24">IF(E386="","",B386)</f>
        <v>17</v>
      </c>
      <c r="B386">
        <v>17</v>
      </c>
      <c r="C386" t="s">
        <v>46</v>
      </c>
      <c r="D386" t="s">
        <v>33</v>
      </c>
      <c r="E386">
        <v>1</v>
      </c>
      <c r="F386">
        <v>1</v>
      </c>
      <c r="G386">
        <v>2202</v>
      </c>
      <c r="H386" t="s">
        <v>37</v>
      </c>
      <c r="I386" t="str">
        <f t="shared" ref="I386:I449" si="25">_xlfn.TEXTJOIN(",",1,D386:H386)</f>
        <v>[{1000,1,1,2202,401}]</v>
      </c>
      <c r="J386">
        <v>1</v>
      </c>
      <c r="K386" t="e">
        <f>IF(A386="","",IF(J386=1,VLOOKUP(A386,[1]怪物!$R$80:$V$99,4,0),VLOOKUP(A386,[1]怪物!$R$80:$V$99,2,0))*10000)</f>
        <v>#N/A</v>
      </c>
      <c r="L386" t="e">
        <f>IF(A386="","",IF(K386=1,VLOOKUP(A386,[1]怪物!$R$80:$V$99,5,0),VLOOKUP(A386,[1]怪物!$R$80:$V$99,3,0))*10000)</f>
        <v>#N/A</v>
      </c>
      <c r="M386" t="e">
        <f t="shared" ref="M386:M449" si="26">IF(F386="","",IF(F386=0,10000,K386))</f>
        <v>#N/A</v>
      </c>
      <c r="N386" t="e">
        <f t="shared" ref="N386:N449" si="27">IF(F386="","",IF(F386=0,10000,L386))</f>
        <v>#N/A</v>
      </c>
    </row>
    <row r="387" spans="1:14">
      <c r="A387">
        <f t="shared" si="24"/>
        <v>17</v>
      </c>
      <c r="B387">
        <v>17</v>
      </c>
      <c r="C387" t="s">
        <v>46</v>
      </c>
      <c r="D387" t="s">
        <v>33</v>
      </c>
      <c r="E387">
        <v>1</v>
      </c>
      <c r="F387">
        <v>1</v>
      </c>
      <c r="G387">
        <v>2203</v>
      </c>
      <c r="H387" t="s">
        <v>34</v>
      </c>
      <c r="I387" t="str">
        <f t="shared" si="25"/>
        <v>[{1000,1,1,2203,101}]</v>
      </c>
      <c r="J387" t="s">
        <v>35</v>
      </c>
      <c r="K387" t="e">
        <f>IF(A387="","",IF(J387=1,VLOOKUP(A387,[1]怪物!$R$80:$V$99,4,0),VLOOKUP(A387,[1]怪物!$R$80:$V$99,2,0))*10000)</f>
        <v>#N/A</v>
      </c>
      <c r="L387" t="e">
        <f>IF(A387="","",IF(K387=1,VLOOKUP(A387,[1]怪物!$R$80:$V$99,5,0),VLOOKUP(A387,[1]怪物!$R$80:$V$99,3,0))*10000)</f>
        <v>#N/A</v>
      </c>
      <c r="M387" t="e">
        <f t="shared" si="26"/>
        <v>#N/A</v>
      </c>
      <c r="N387" t="e">
        <f t="shared" si="27"/>
        <v>#N/A</v>
      </c>
    </row>
    <row r="388" spans="1:14">
      <c r="A388">
        <f t="shared" si="24"/>
        <v>18</v>
      </c>
      <c r="B388">
        <v>18</v>
      </c>
      <c r="C388" t="s">
        <v>46</v>
      </c>
      <c r="D388" t="s">
        <v>33</v>
      </c>
      <c r="E388">
        <v>1</v>
      </c>
      <c r="F388">
        <v>1</v>
      </c>
      <c r="G388">
        <v>2201</v>
      </c>
      <c r="H388" t="s">
        <v>34</v>
      </c>
      <c r="I388" t="str">
        <f t="shared" si="25"/>
        <v>[{1000,1,1,2201,101}]</v>
      </c>
      <c r="J388" t="s">
        <v>35</v>
      </c>
      <c r="K388" t="e">
        <f>IF(A388="","",IF(J388=1,VLOOKUP(A388,[1]怪物!$R$80:$V$99,4,0),VLOOKUP(A388,[1]怪物!$R$80:$V$99,2,0))*10000)</f>
        <v>#N/A</v>
      </c>
      <c r="L388" t="e">
        <f>IF(A388="","",IF(K388=1,VLOOKUP(A388,[1]怪物!$R$80:$V$99,5,0),VLOOKUP(A388,[1]怪物!$R$80:$V$99,3,0))*10000)</f>
        <v>#N/A</v>
      </c>
      <c r="M388" t="e">
        <f t="shared" si="26"/>
        <v>#N/A</v>
      </c>
      <c r="N388" t="e">
        <f t="shared" si="27"/>
        <v>#N/A</v>
      </c>
    </row>
    <row r="389" spans="1:14">
      <c r="A389">
        <f t="shared" si="24"/>
        <v>18</v>
      </c>
      <c r="B389">
        <v>18</v>
      </c>
      <c r="C389" t="s">
        <v>46</v>
      </c>
      <c r="D389" t="s">
        <v>33</v>
      </c>
      <c r="E389">
        <v>1</v>
      </c>
      <c r="F389">
        <v>1</v>
      </c>
      <c r="G389">
        <v>2202</v>
      </c>
      <c r="H389" t="s">
        <v>37</v>
      </c>
      <c r="I389" t="str">
        <f t="shared" si="25"/>
        <v>[{1000,1,1,2202,401}]</v>
      </c>
      <c r="J389">
        <v>1</v>
      </c>
      <c r="K389" t="e">
        <f>IF(A389="","",IF(J389=1,VLOOKUP(A389,[1]怪物!$R$80:$V$99,4,0),VLOOKUP(A389,[1]怪物!$R$80:$V$99,2,0))*10000)</f>
        <v>#N/A</v>
      </c>
      <c r="L389" t="e">
        <f>IF(A389="","",IF(K389=1,VLOOKUP(A389,[1]怪物!$R$80:$V$99,5,0),VLOOKUP(A389,[1]怪物!$R$80:$V$99,3,0))*10000)</f>
        <v>#N/A</v>
      </c>
      <c r="M389" t="e">
        <f t="shared" si="26"/>
        <v>#N/A</v>
      </c>
      <c r="N389" t="e">
        <f t="shared" si="27"/>
        <v>#N/A</v>
      </c>
    </row>
    <row r="390" spans="1:14">
      <c r="A390">
        <f t="shared" si="24"/>
        <v>18</v>
      </c>
      <c r="B390">
        <v>18</v>
      </c>
      <c r="C390" t="s">
        <v>46</v>
      </c>
      <c r="D390" t="s">
        <v>33</v>
      </c>
      <c r="E390">
        <v>1</v>
      </c>
      <c r="F390">
        <v>1</v>
      </c>
      <c r="G390">
        <v>2203</v>
      </c>
      <c r="H390" t="s">
        <v>34</v>
      </c>
      <c r="I390" t="str">
        <f t="shared" si="25"/>
        <v>[{1000,1,1,2203,101}]</v>
      </c>
      <c r="J390" t="s">
        <v>35</v>
      </c>
      <c r="K390" t="e">
        <f>IF(A390="","",IF(J390=1,VLOOKUP(A390,[1]怪物!$R$80:$V$99,4,0),VLOOKUP(A390,[1]怪物!$R$80:$V$99,2,0))*10000)</f>
        <v>#N/A</v>
      </c>
      <c r="L390" t="e">
        <f>IF(A390="","",IF(K390=1,VLOOKUP(A390,[1]怪物!$R$80:$V$99,5,0),VLOOKUP(A390,[1]怪物!$R$80:$V$99,3,0))*10000)</f>
        <v>#N/A</v>
      </c>
      <c r="M390" t="e">
        <f t="shared" si="26"/>
        <v>#N/A</v>
      </c>
      <c r="N390" t="e">
        <f t="shared" si="27"/>
        <v>#N/A</v>
      </c>
    </row>
    <row r="391" spans="1:14">
      <c r="A391">
        <f t="shared" si="24"/>
        <v>19</v>
      </c>
      <c r="B391">
        <v>19</v>
      </c>
      <c r="C391" t="s">
        <v>46</v>
      </c>
      <c r="D391" t="s">
        <v>33</v>
      </c>
      <c r="E391">
        <v>1</v>
      </c>
      <c r="F391">
        <v>1</v>
      </c>
      <c r="G391">
        <v>2201</v>
      </c>
      <c r="H391" t="s">
        <v>34</v>
      </c>
      <c r="I391" t="str">
        <f t="shared" si="25"/>
        <v>[{1000,1,1,2201,101}]</v>
      </c>
      <c r="J391" t="s">
        <v>35</v>
      </c>
      <c r="K391" t="e">
        <f>IF(A391="","",IF(J391=1,VLOOKUP(A391,[1]怪物!$R$80:$V$99,4,0),VLOOKUP(A391,[1]怪物!$R$80:$V$99,2,0))*10000)</f>
        <v>#N/A</v>
      </c>
      <c r="L391" t="e">
        <f>IF(A391="","",IF(K391=1,VLOOKUP(A391,[1]怪物!$R$80:$V$99,5,0),VLOOKUP(A391,[1]怪物!$R$80:$V$99,3,0))*10000)</f>
        <v>#N/A</v>
      </c>
      <c r="M391" t="e">
        <f t="shared" si="26"/>
        <v>#N/A</v>
      </c>
      <c r="N391" t="e">
        <f t="shared" si="27"/>
        <v>#N/A</v>
      </c>
    </row>
    <row r="392" spans="1:14">
      <c r="A392">
        <f t="shared" si="24"/>
        <v>19</v>
      </c>
      <c r="B392">
        <v>19</v>
      </c>
      <c r="C392" t="s">
        <v>46</v>
      </c>
      <c r="D392" t="s">
        <v>33</v>
      </c>
      <c r="E392">
        <v>1</v>
      </c>
      <c r="F392">
        <v>1</v>
      </c>
      <c r="G392">
        <v>2202</v>
      </c>
      <c r="H392" t="s">
        <v>37</v>
      </c>
      <c r="I392" t="str">
        <f t="shared" si="25"/>
        <v>[{1000,1,1,2202,401}]</v>
      </c>
      <c r="J392">
        <v>1</v>
      </c>
      <c r="K392" t="e">
        <f>IF(A392="","",IF(J392=1,VLOOKUP(A392,[1]怪物!$R$80:$V$99,4,0),VLOOKUP(A392,[1]怪物!$R$80:$V$99,2,0))*10000)</f>
        <v>#N/A</v>
      </c>
      <c r="L392" t="e">
        <f>IF(A392="","",IF(K392=1,VLOOKUP(A392,[1]怪物!$R$80:$V$99,5,0),VLOOKUP(A392,[1]怪物!$R$80:$V$99,3,0))*10000)</f>
        <v>#N/A</v>
      </c>
      <c r="M392" t="e">
        <f t="shared" si="26"/>
        <v>#N/A</v>
      </c>
      <c r="N392" t="e">
        <f t="shared" si="27"/>
        <v>#N/A</v>
      </c>
    </row>
    <row r="393" spans="1:14">
      <c r="A393">
        <f t="shared" si="24"/>
        <v>19</v>
      </c>
      <c r="B393">
        <v>19</v>
      </c>
      <c r="C393" t="s">
        <v>46</v>
      </c>
      <c r="D393" t="s">
        <v>33</v>
      </c>
      <c r="E393">
        <v>1</v>
      </c>
      <c r="F393">
        <v>1</v>
      </c>
      <c r="G393">
        <v>2203</v>
      </c>
      <c r="H393" t="s">
        <v>34</v>
      </c>
      <c r="I393" t="str">
        <f t="shared" si="25"/>
        <v>[{1000,1,1,2203,101}]</v>
      </c>
      <c r="J393" t="s">
        <v>35</v>
      </c>
      <c r="K393" t="e">
        <f>IF(A393="","",IF(J393=1,VLOOKUP(A393,[1]怪物!$R$80:$V$99,4,0),VLOOKUP(A393,[1]怪物!$R$80:$V$99,2,0))*10000)</f>
        <v>#N/A</v>
      </c>
      <c r="L393" t="e">
        <f>IF(A393="","",IF(K393=1,VLOOKUP(A393,[1]怪物!$R$80:$V$99,5,0),VLOOKUP(A393,[1]怪物!$R$80:$V$99,3,0))*10000)</f>
        <v>#N/A</v>
      </c>
      <c r="M393" t="e">
        <f t="shared" si="26"/>
        <v>#N/A</v>
      </c>
      <c r="N393" t="e">
        <f t="shared" si="27"/>
        <v>#N/A</v>
      </c>
    </row>
    <row r="394" spans="1:14">
      <c r="A394">
        <f t="shared" si="24"/>
        <v>20</v>
      </c>
      <c r="B394">
        <v>20</v>
      </c>
      <c r="C394" t="s">
        <v>46</v>
      </c>
      <c r="D394" t="s">
        <v>33</v>
      </c>
      <c r="E394">
        <v>1</v>
      </c>
      <c r="F394">
        <v>1</v>
      </c>
      <c r="G394">
        <v>2201</v>
      </c>
      <c r="H394" t="s">
        <v>34</v>
      </c>
      <c r="I394" t="str">
        <f t="shared" si="25"/>
        <v>[{1000,1,1,2201,101}]</v>
      </c>
      <c r="J394" t="s">
        <v>35</v>
      </c>
      <c r="K394" t="e">
        <f>IF(A394="","",IF(J394=1,VLOOKUP(A394,[1]怪物!$R$80:$V$99,4,0),VLOOKUP(A394,[1]怪物!$R$80:$V$99,2,0))*10000)</f>
        <v>#N/A</v>
      </c>
      <c r="L394" t="e">
        <f>IF(A394="","",IF(K394=1,VLOOKUP(A394,[1]怪物!$R$80:$V$99,5,0),VLOOKUP(A394,[1]怪物!$R$80:$V$99,3,0))*10000)</f>
        <v>#N/A</v>
      </c>
      <c r="M394" t="e">
        <f t="shared" si="26"/>
        <v>#N/A</v>
      </c>
      <c r="N394" t="e">
        <f t="shared" si="27"/>
        <v>#N/A</v>
      </c>
    </row>
    <row r="395" spans="1:14">
      <c r="A395">
        <f t="shared" si="24"/>
        <v>20</v>
      </c>
      <c r="B395">
        <v>20</v>
      </c>
      <c r="C395" t="s">
        <v>46</v>
      </c>
      <c r="D395" t="s">
        <v>33</v>
      </c>
      <c r="E395">
        <v>1</v>
      </c>
      <c r="F395">
        <v>1</v>
      </c>
      <c r="G395">
        <v>2202</v>
      </c>
      <c r="H395" t="s">
        <v>37</v>
      </c>
      <c r="I395" t="str">
        <f t="shared" si="25"/>
        <v>[{1000,1,1,2202,401}]</v>
      </c>
      <c r="J395">
        <v>1</v>
      </c>
      <c r="K395" t="e">
        <f>IF(A395="","",IF(J395=1,VLOOKUP(A395,[1]怪物!$R$80:$V$99,4,0),VLOOKUP(A395,[1]怪物!$R$80:$V$99,2,0))*10000)</f>
        <v>#N/A</v>
      </c>
      <c r="L395" t="e">
        <f>IF(A395="","",IF(K395=1,VLOOKUP(A395,[1]怪物!$R$80:$V$99,5,0),VLOOKUP(A395,[1]怪物!$R$80:$V$99,3,0))*10000)</f>
        <v>#N/A</v>
      </c>
      <c r="M395" t="e">
        <f t="shared" si="26"/>
        <v>#N/A</v>
      </c>
      <c r="N395" t="e">
        <f t="shared" si="27"/>
        <v>#N/A</v>
      </c>
    </row>
    <row r="396" spans="1:14">
      <c r="A396">
        <f t="shared" si="24"/>
        <v>20</v>
      </c>
      <c r="B396">
        <v>20</v>
      </c>
      <c r="C396" t="s">
        <v>46</v>
      </c>
      <c r="D396" t="s">
        <v>33</v>
      </c>
      <c r="E396">
        <v>1</v>
      </c>
      <c r="F396">
        <v>1</v>
      </c>
      <c r="G396">
        <v>2203</v>
      </c>
      <c r="H396" t="s">
        <v>34</v>
      </c>
      <c r="I396" t="str">
        <f t="shared" si="25"/>
        <v>[{1000,1,1,2203,101}]</v>
      </c>
      <c r="J396" t="s">
        <v>35</v>
      </c>
      <c r="K396" t="e">
        <f>IF(A396="","",IF(J396=1,VLOOKUP(A396,[1]怪物!$R$80:$V$99,4,0),VLOOKUP(A396,[1]怪物!$R$80:$V$99,2,0))*10000)</f>
        <v>#N/A</v>
      </c>
      <c r="L396" t="e">
        <f>IF(A396="","",IF(K396=1,VLOOKUP(A396,[1]怪物!$R$80:$V$99,5,0),VLOOKUP(A396,[1]怪物!$R$80:$V$99,3,0))*10000)</f>
        <v>#N/A</v>
      </c>
      <c r="M396" t="e">
        <f t="shared" si="26"/>
        <v>#N/A</v>
      </c>
      <c r="N396" t="e">
        <f t="shared" si="27"/>
        <v>#N/A</v>
      </c>
    </row>
    <row r="397" spans="1:14">
      <c r="A397" t="str">
        <f t="shared" si="24"/>
        <v/>
      </c>
      <c r="B397">
        <v>20</v>
      </c>
      <c r="C397" t="s">
        <v>46</v>
      </c>
      <c r="D397" t="s">
        <v>28</v>
      </c>
      <c r="I397" t="str">
        <f t="shared" si="25"/>
        <v>[]</v>
      </c>
      <c r="J397">
        <v>2</v>
      </c>
      <c r="K397" t="str">
        <f>IF(A397="","",IF(J397=1,VLOOKUP(A397,[1]怪物!$R$80:$V$99,4,0),VLOOKUP(A397,[1]怪物!$R$80:$V$99,2,0))*10000)</f>
        <v/>
      </c>
      <c r="L397" t="str">
        <f>IF(A397="","",IF(K397=1,VLOOKUP(A397,[1]怪物!$R$80:$V$99,5,0),VLOOKUP(A397,[1]怪物!$R$80:$V$99,3,0))*10000)</f>
        <v/>
      </c>
      <c r="M397" t="str">
        <f t="shared" si="26"/>
        <v/>
      </c>
      <c r="N397" t="str">
        <f t="shared" si="27"/>
        <v/>
      </c>
    </row>
    <row r="398" spans="1:14">
      <c r="A398">
        <f t="shared" si="24"/>
        <v>20</v>
      </c>
      <c r="B398">
        <v>20</v>
      </c>
      <c r="C398" t="s">
        <v>46</v>
      </c>
      <c r="D398" t="s">
        <v>33</v>
      </c>
      <c r="E398">
        <v>1</v>
      </c>
      <c r="F398">
        <v>0</v>
      </c>
      <c r="G398">
        <v>2231</v>
      </c>
      <c r="H398" t="s">
        <v>37</v>
      </c>
      <c r="I398" t="str">
        <f t="shared" si="25"/>
        <v>[{1000,1,0,2231,401}]</v>
      </c>
      <c r="J398">
        <v>1</v>
      </c>
      <c r="K398" t="e">
        <f>IF(A398="","",IF(J398=1,VLOOKUP(A398,[1]怪物!$R$80:$V$99,4,0),VLOOKUP(A398,[1]怪物!$R$80:$V$99,2,0))*10000)</f>
        <v>#N/A</v>
      </c>
      <c r="L398" t="e">
        <f>IF(A398="","",IF(K398=1,VLOOKUP(A398,[1]怪物!$R$80:$V$99,5,0),VLOOKUP(A398,[1]怪物!$R$80:$V$99,3,0))*10000)</f>
        <v>#N/A</v>
      </c>
      <c r="M398">
        <f t="shared" si="26"/>
        <v>10000</v>
      </c>
      <c r="N398">
        <f t="shared" si="27"/>
        <v>10000</v>
      </c>
    </row>
    <row r="399" spans="1:14">
      <c r="A399">
        <f t="shared" si="24"/>
        <v>1</v>
      </c>
      <c r="B399">
        <v>1</v>
      </c>
      <c r="C399" s="11" t="s">
        <v>47</v>
      </c>
      <c r="D399" t="s">
        <v>33</v>
      </c>
      <c r="E399">
        <v>1</v>
      </c>
      <c r="F399">
        <v>1</v>
      </c>
      <c r="G399">
        <v>2301</v>
      </c>
      <c r="H399" t="s">
        <v>34</v>
      </c>
      <c r="I399" t="str">
        <f t="shared" si="25"/>
        <v>[{1000,1,1,2301,101}]</v>
      </c>
      <c r="J399" t="s">
        <v>35</v>
      </c>
      <c r="K399">
        <f>IF(A399="","",IF(J399=1,VLOOKUP(A399,[1]怪物!$R$80:$V$99,4,0),VLOOKUP(A399,[1]怪物!$R$80:$V$99,2,0))*10000)</f>
        <v>10000</v>
      </c>
      <c r="L399">
        <f>IF(A399="","",IF(K399=1,VLOOKUP(A399,[1]怪物!$R$80:$V$99,5,0),VLOOKUP(A399,[1]怪物!$R$80:$V$99,3,0))*10000)</f>
        <v>10000</v>
      </c>
      <c r="M399">
        <f t="shared" si="26"/>
        <v>10000</v>
      </c>
      <c r="N399">
        <f t="shared" si="27"/>
        <v>10000</v>
      </c>
    </row>
    <row r="400" spans="1:14">
      <c r="A400">
        <f t="shared" si="24"/>
        <v>2</v>
      </c>
      <c r="B400">
        <v>2</v>
      </c>
      <c r="C400" t="s">
        <v>47</v>
      </c>
      <c r="D400" t="s">
        <v>33</v>
      </c>
      <c r="E400">
        <v>1</v>
      </c>
      <c r="F400">
        <v>1</v>
      </c>
      <c r="G400">
        <v>2301</v>
      </c>
      <c r="H400" t="s">
        <v>34</v>
      </c>
      <c r="I400" t="str">
        <f t="shared" si="25"/>
        <v>[{1000,1,1,2301,101}]</v>
      </c>
      <c r="J400" t="s">
        <v>35</v>
      </c>
      <c r="K400">
        <f>IF(A400="","",IF(J400=1,VLOOKUP(A400,[1]怪物!$R$80:$V$99,4,0),VLOOKUP(A400,[1]怪物!$R$80:$V$99,2,0))*10000)</f>
        <v>10000</v>
      </c>
      <c r="L400">
        <f>IF(A400="","",IF(K400=1,VLOOKUP(A400,[1]怪物!$R$80:$V$99,5,0),VLOOKUP(A400,[1]怪物!$R$80:$V$99,3,0))*10000)</f>
        <v>10000</v>
      </c>
      <c r="M400">
        <f t="shared" si="26"/>
        <v>10000</v>
      </c>
      <c r="N400">
        <f t="shared" si="27"/>
        <v>10000</v>
      </c>
    </row>
    <row r="401" spans="1:14">
      <c r="A401">
        <f t="shared" si="24"/>
        <v>3</v>
      </c>
      <c r="B401">
        <v>3</v>
      </c>
      <c r="C401" t="s">
        <v>47</v>
      </c>
      <c r="D401" t="s">
        <v>33</v>
      </c>
      <c r="E401">
        <v>1</v>
      </c>
      <c r="F401">
        <v>1</v>
      </c>
      <c r="G401">
        <v>2301</v>
      </c>
      <c r="H401" t="s">
        <v>34</v>
      </c>
      <c r="I401" t="str">
        <f t="shared" si="25"/>
        <v>[{1000,1,1,2301,101}]</v>
      </c>
      <c r="J401" t="s">
        <v>35</v>
      </c>
      <c r="K401">
        <f>IF(A401="","",IF(J401=1,VLOOKUP(A401,[1]怪物!$R$80:$V$99,4,0),VLOOKUP(A401,[1]怪物!$R$80:$V$99,2,0))*10000)</f>
        <v>10000</v>
      </c>
      <c r="L401">
        <f>IF(A401="","",IF(K401=1,VLOOKUP(A401,[1]怪物!$R$80:$V$99,5,0),VLOOKUP(A401,[1]怪物!$R$80:$V$99,3,0))*10000)</f>
        <v>10000</v>
      </c>
      <c r="M401">
        <f t="shared" si="26"/>
        <v>10000</v>
      </c>
      <c r="N401">
        <f t="shared" si="27"/>
        <v>10000</v>
      </c>
    </row>
    <row r="402" spans="1:14">
      <c r="A402">
        <f t="shared" si="24"/>
        <v>4</v>
      </c>
      <c r="B402">
        <v>4</v>
      </c>
      <c r="C402" t="s">
        <v>47</v>
      </c>
      <c r="D402" t="s">
        <v>33</v>
      </c>
      <c r="E402">
        <v>1</v>
      </c>
      <c r="F402">
        <v>1</v>
      </c>
      <c r="G402">
        <v>2301</v>
      </c>
      <c r="H402" t="s">
        <v>34</v>
      </c>
      <c r="I402" t="str">
        <f t="shared" si="25"/>
        <v>[{1000,1,1,2301,101}]</v>
      </c>
      <c r="J402" t="s">
        <v>35</v>
      </c>
      <c r="K402">
        <f>IF(A402="","",IF(J402=1,VLOOKUP(A402,[1]怪物!$R$80:$V$99,4,0),VLOOKUP(A402,[1]怪物!$R$80:$V$99,2,0))*10000)</f>
        <v>10000</v>
      </c>
      <c r="L402">
        <f>IF(A402="","",IF(K402=1,VLOOKUP(A402,[1]怪物!$R$80:$V$99,5,0),VLOOKUP(A402,[1]怪物!$R$80:$V$99,3,0))*10000)</f>
        <v>10000</v>
      </c>
      <c r="M402">
        <f t="shared" si="26"/>
        <v>10000</v>
      </c>
      <c r="N402">
        <f t="shared" si="27"/>
        <v>10000</v>
      </c>
    </row>
    <row r="403" spans="1:14">
      <c r="A403">
        <f t="shared" si="24"/>
        <v>5</v>
      </c>
      <c r="B403">
        <v>5</v>
      </c>
      <c r="C403" t="s">
        <v>47</v>
      </c>
      <c r="D403" t="s">
        <v>33</v>
      </c>
      <c r="E403">
        <v>1</v>
      </c>
      <c r="F403">
        <v>1</v>
      </c>
      <c r="G403">
        <v>2301</v>
      </c>
      <c r="H403" t="s">
        <v>34</v>
      </c>
      <c r="I403" t="str">
        <f t="shared" si="25"/>
        <v>[{1000,1,1,2301,101}]</v>
      </c>
      <c r="J403" t="s">
        <v>35</v>
      </c>
      <c r="K403">
        <f>IF(A403="","",IF(J403=1,VLOOKUP(A403,[1]怪物!$R$80:$V$99,4,0),VLOOKUP(A403,[1]怪物!$R$80:$V$99,2,0))*10000)</f>
        <v>10000</v>
      </c>
      <c r="L403">
        <f>IF(A403="","",IF(K403=1,VLOOKUP(A403,[1]怪物!$R$80:$V$99,5,0),VLOOKUP(A403,[1]怪物!$R$80:$V$99,3,0))*10000)</f>
        <v>10000</v>
      </c>
      <c r="M403">
        <f t="shared" si="26"/>
        <v>10000</v>
      </c>
      <c r="N403">
        <f t="shared" si="27"/>
        <v>10000</v>
      </c>
    </row>
    <row r="404" spans="1:14">
      <c r="A404">
        <f t="shared" si="24"/>
        <v>6</v>
      </c>
      <c r="B404">
        <v>6</v>
      </c>
      <c r="C404" t="s">
        <v>47</v>
      </c>
      <c r="D404" t="s">
        <v>33</v>
      </c>
      <c r="E404">
        <v>1</v>
      </c>
      <c r="F404">
        <v>1</v>
      </c>
      <c r="G404">
        <v>2301</v>
      </c>
      <c r="H404" t="s">
        <v>34</v>
      </c>
      <c r="I404" t="str">
        <f t="shared" si="25"/>
        <v>[{1000,1,1,2301,101}]</v>
      </c>
      <c r="J404" t="s">
        <v>35</v>
      </c>
      <c r="K404">
        <f>IF(A404="","",IF(J404=1,VLOOKUP(A404,[1]怪物!$R$80:$V$99,4,0),VLOOKUP(A404,[1]怪物!$R$80:$V$99,2,0))*10000)</f>
        <v>15000</v>
      </c>
      <c r="L404">
        <f>IF(A404="","",IF(K404=1,VLOOKUP(A404,[1]怪物!$R$80:$V$99,5,0),VLOOKUP(A404,[1]怪物!$R$80:$V$99,3,0))*10000)</f>
        <v>15000</v>
      </c>
      <c r="M404">
        <f t="shared" si="26"/>
        <v>15000</v>
      </c>
      <c r="N404">
        <f t="shared" si="27"/>
        <v>15000</v>
      </c>
    </row>
    <row r="405" spans="1:14">
      <c r="A405">
        <f t="shared" si="24"/>
        <v>7</v>
      </c>
      <c r="B405">
        <v>7</v>
      </c>
      <c r="C405" t="s">
        <v>47</v>
      </c>
      <c r="D405" t="s">
        <v>33</v>
      </c>
      <c r="E405">
        <v>1</v>
      </c>
      <c r="F405">
        <v>1</v>
      </c>
      <c r="G405">
        <v>2301</v>
      </c>
      <c r="H405" t="s">
        <v>34</v>
      </c>
      <c r="I405" t="str">
        <f t="shared" si="25"/>
        <v>[{1000,1,1,2301,101}]</v>
      </c>
      <c r="J405" t="s">
        <v>35</v>
      </c>
      <c r="K405">
        <f>IF(A405="","",IF(J405=1,VLOOKUP(A405,[1]怪物!$R$80:$V$99,4,0),VLOOKUP(A405,[1]怪物!$R$80:$V$99,2,0))*10000)</f>
        <v>15000</v>
      </c>
      <c r="L405">
        <f>IF(A405="","",IF(K405=1,VLOOKUP(A405,[1]怪物!$R$80:$V$99,5,0),VLOOKUP(A405,[1]怪物!$R$80:$V$99,3,0))*10000)</f>
        <v>15000</v>
      </c>
      <c r="M405">
        <f t="shared" si="26"/>
        <v>15000</v>
      </c>
      <c r="N405">
        <f t="shared" si="27"/>
        <v>15000</v>
      </c>
    </row>
    <row r="406" spans="1:14">
      <c r="A406">
        <f t="shared" si="24"/>
        <v>7</v>
      </c>
      <c r="B406">
        <v>7</v>
      </c>
      <c r="C406" t="s">
        <v>47</v>
      </c>
      <c r="D406" t="s">
        <v>33</v>
      </c>
      <c r="E406">
        <v>1</v>
      </c>
      <c r="F406">
        <v>1</v>
      </c>
      <c r="G406">
        <v>2302</v>
      </c>
      <c r="H406" t="s">
        <v>37</v>
      </c>
      <c r="I406" t="str">
        <f t="shared" si="25"/>
        <v>[{1000,1,1,2302,401}]</v>
      </c>
      <c r="J406">
        <v>1</v>
      </c>
      <c r="K406">
        <f>IF(A406="","",IF(J406=1,VLOOKUP(A406,[1]怪物!$R$80:$V$99,4,0),VLOOKUP(A406,[1]怪物!$R$80:$V$99,2,0))*10000)</f>
        <v>13000</v>
      </c>
      <c r="L406">
        <f>IF(A406="","",IF(K406=1,VLOOKUP(A406,[1]怪物!$R$80:$V$99,5,0),VLOOKUP(A406,[1]怪物!$R$80:$V$99,3,0))*10000)</f>
        <v>15000</v>
      </c>
      <c r="M406">
        <f t="shared" si="26"/>
        <v>13000</v>
      </c>
      <c r="N406">
        <f t="shared" si="27"/>
        <v>15000</v>
      </c>
    </row>
    <row r="407" spans="1:14">
      <c r="A407">
        <f t="shared" si="24"/>
        <v>8</v>
      </c>
      <c r="B407">
        <v>8</v>
      </c>
      <c r="C407" t="s">
        <v>47</v>
      </c>
      <c r="D407" t="s">
        <v>33</v>
      </c>
      <c r="E407">
        <v>1</v>
      </c>
      <c r="F407">
        <v>1</v>
      </c>
      <c r="G407">
        <v>2301</v>
      </c>
      <c r="H407" t="s">
        <v>34</v>
      </c>
      <c r="I407" t="str">
        <f t="shared" si="25"/>
        <v>[{1000,1,1,2301,101}]</v>
      </c>
      <c r="J407" t="s">
        <v>35</v>
      </c>
      <c r="K407">
        <f>IF(A407="","",IF(J407=1,VLOOKUP(A407,[1]怪物!$R$80:$V$99,4,0),VLOOKUP(A407,[1]怪物!$R$80:$V$99,2,0))*10000)</f>
        <v>15000</v>
      </c>
      <c r="L407">
        <f>IF(A407="","",IF(K407=1,VLOOKUP(A407,[1]怪物!$R$80:$V$99,5,0),VLOOKUP(A407,[1]怪物!$R$80:$V$99,3,0))*10000)</f>
        <v>15000</v>
      </c>
      <c r="M407">
        <f t="shared" si="26"/>
        <v>15000</v>
      </c>
      <c r="N407">
        <f t="shared" si="27"/>
        <v>15000</v>
      </c>
    </row>
    <row r="408" spans="1:14">
      <c r="A408">
        <f t="shared" si="24"/>
        <v>8</v>
      </c>
      <c r="B408">
        <v>8</v>
      </c>
      <c r="C408" t="s">
        <v>47</v>
      </c>
      <c r="D408" t="s">
        <v>33</v>
      </c>
      <c r="E408">
        <v>1</v>
      </c>
      <c r="F408">
        <v>1</v>
      </c>
      <c r="G408">
        <v>2302</v>
      </c>
      <c r="H408" t="s">
        <v>37</v>
      </c>
      <c r="I408" t="str">
        <f t="shared" si="25"/>
        <v>[{1000,1,1,2302,401}]</v>
      </c>
      <c r="J408">
        <v>1</v>
      </c>
      <c r="K408">
        <f>IF(A408="","",IF(J408=1,VLOOKUP(A408,[1]怪物!$R$80:$V$99,4,0),VLOOKUP(A408,[1]怪物!$R$80:$V$99,2,0))*10000)</f>
        <v>13000</v>
      </c>
      <c r="L408">
        <f>IF(A408="","",IF(K408=1,VLOOKUP(A408,[1]怪物!$R$80:$V$99,5,0),VLOOKUP(A408,[1]怪物!$R$80:$V$99,3,0))*10000)</f>
        <v>15000</v>
      </c>
      <c r="M408">
        <f t="shared" si="26"/>
        <v>13000</v>
      </c>
      <c r="N408">
        <f t="shared" si="27"/>
        <v>15000</v>
      </c>
    </row>
    <row r="409" spans="1:14">
      <c r="A409">
        <f t="shared" si="24"/>
        <v>9</v>
      </c>
      <c r="B409">
        <v>9</v>
      </c>
      <c r="C409" t="s">
        <v>47</v>
      </c>
      <c r="D409" t="s">
        <v>33</v>
      </c>
      <c r="E409">
        <v>1</v>
      </c>
      <c r="F409">
        <v>1</v>
      </c>
      <c r="G409">
        <v>2301</v>
      </c>
      <c r="H409" t="s">
        <v>34</v>
      </c>
      <c r="I409" t="str">
        <f t="shared" si="25"/>
        <v>[{1000,1,1,2301,101}]</v>
      </c>
      <c r="J409" t="s">
        <v>35</v>
      </c>
      <c r="K409" t="e">
        <f>IF(A409="","",IF(J409=1,VLOOKUP(A409,[1]怪物!$R$80:$V$99,4,0),VLOOKUP(A409,[1]怪物!$R$80:$V$99,2,0))*10000)</f>
        <v>#N/A</v>
      </c>
      <c r="L409" t="e">
        <f>IF(A409="","",IF(K409=1,VLOOKUP(A409,[1]怪物!$R$80:$V$99,5,0),VLOOKUP(A409,[1]怪物!$R$80:$V$99,3,0))*10000)</f>
        <v>#N/A</v>
      </c>
      <c r="M409" t="e">
        <f t="shared" si="26"/>
        <v>#N/A</v>
      </c>
      <c r="N409" t="e">
        <f t="shared" si="27"/>
        <v>#N/A</v>
      </c>
    </row>
    <row r="410" spans="1:14">
      <c r="A410">
        <f t="shared" si="24"/>
        <v>9</v>
      </c>
      <c r="B410">
        <v>9</v>
      </c>
      <c r="C410" t="s">
        <v>47</v>
      </c>
      <c r="D410" t="s">
        <v>33</v>
      </c>
      <c r="E410">
        <v>1</v>
      </c>
      <c r="F410">
        <v>1</v>
      </c>
      <c r="G410">
        <v>2302</v>
      </c>
      <c r="H410" t="s">
        <v>37</v>
      </c>
      <c r="I410" t="str">
        <f t="shared" si="25"/>
        <v>[{1000,1,1,2302,401}]</v>
      </c>
      <c r="J410">
        <v>1</v>
      </c>
      <c r="K410" t="e">
        <f>IF(A410="","",IF(J410=1,VLOOKUP(A410,[1]怪物!$R$80:$V$99,4,0),VLOOKUP(A410,[1]怪物!$R$80:$V$99,2,0))*10000)</f>
        <v>#N/A</v>
      </c>
      <c r="L410" t="e">
        <f>IF(A410="","",IF(K410=1,VLOOKUP(A410,[1]怪物!$R$80:$V$99,5,0),VLOOKUP(A410,[1]怪物!$R$80:$V$99,3,0))*10000)</f>
        <v>#N/A</v>
      </c>
      <c r="M410" t="e">
        <f t="shared" si="26"/>
        <v>#N/A</v>
      </c>
      <c r="N410" t="e">
        <f t="shared" si="27"/>
        <v>#N/A</v>
      </c>
    </row>
    <row r="411" spans="1:14">
      <c r="A411">
        <f t="shared" si="24"/>
        <v>10</v>
      </c>
      <c r="B411">
        <v>10</v>
      </c>
      <c r="C411" t="s">
        <v>47</v>
      </c>
      <c r="D411" t="s">
        <v>33</v>
      </c>
      <c r="E411">
        <v>1</v>
      </c>
      <c r="F411">
        <v>1</v>
      </c>
      <c r="G411">
        <v>2301</v>
      </c>
      <c r="H411" t="s">
        <v>34</v>
      </c>
      <c r="I411" t="str">
        <f t="shared" si="25"/>
        <v>[{1000,1,1,2301,101}]</v>
      </c>
      <c r="J411" t="s">
        <v>35</v>
      </c>
      <c r="K411" t="e">
        <f>IF(A411="","",IF(J411=1,VLOOKUP(A411,[1]怪物!$R$80:$V$99,4,0),VLOOKUP(A411,[1]怪物!$R$80:$V$99,2,0))*10000)</f>
        <v>#N/A</v>
      </c>
      <c r="L411" t="e">
        <f>IF(A411="","",IF(K411=1,VLOOKUP(A411,[1]怪物!$R$80:$V$99,5,0),VLOOKUP(A411,[1]怪物!$R$80:$V$99,3,0))*10000)</f>
        <v>#N/A</v>
      </c>
      <c r="M411" t="e">
        <f t="shared" si="26"/>
        <v>#N/A</v>
      </c>
      <c r="N411" t="e">
        <f t="shared" si="27"/>
        <v>#N/A</v>
      </c>
    </row>
    <row r="412" spans="1:14">
      <c r="A412">
        <f t="shared" si="24"/>
        <v>10</v>
      </c>
      <c r="B412">
        <v>10</v>
      </c>
      <c r="C412" t="s">
        <v>47</v>
      </c>
      <c r="D412" t="s">
        <v>33</v>
      </c>
      <c r="E412">
        <v>1</v>
      </c>
      <c r="F412">
        <v>1</v>
      </c>
      <c r="G412">
        <v>2302</v>
      </c>
      <c r="H412" t="s">
        <v>37</v>
      </c>
      <c r="I412" t="str">
        <f t="shared" si="25"/>
        <v>[{1000,1,1,2302,401}]</v>
      </c>
      <c r="J412">
        <v>1</v>
      </c>
      <c r="K412" t="e">
        <f>IF(A412="","",IF(J412=1,VLOOKUP(A412,[1]怪物!$R$80:$V$99,4,0),VLOOKUP(A412,[1]怪物!$R$80:$V$99,2,0))*10000)</f>
        <v>#N/A</v>
      </c>
      <c r="L412" t="e">
        <f>IF(A412="","",IF(K412=1,VLOOKUP(A412,[1]怪物!$R$80:$V$99,5,0),VLOOKUP(A412,[1]怪物!$R$80:$V$99,3,0))*10000)</f>
        <v>#N/A</v>
      </c>
      <c r="M412" t="e">
        <f t="shared" si="26"/>
        <v>#N/A</v>
      </c>
      <c r="N412" t="e">
        <f t="shared" si="27"/>
        <v>#N/A</v>
      </c>
    </row>
    <row r="413" spans="1:14">
      <c r="A413" t="str">
        <f t="shared" si="24"/>
        <v/>
      </c>
      <c r="B413">
        <v>10</v>
      </c>
      <c r="C413" t="s">
        <v>47</v>
      </c>
      <c r="D413" t="s">
        <v>28</v>
      </c>
      <c r="I413" t="str">
        <f t="shared" si="25"/>
        <v>[]</v>
      </c>
      <c r="J413">
        <v>2</v>
      </c>
      <c r="K413" t="str">
        <f>IF(A413="","",IF(J413=1,VLOOKUP(A413,[1]怪物!$R$80:$V$99,4,0),VLOOKUP(A413,[1]怪物!$R$80:$V$99,2,0))*10000)</f>
        <v/>
      </c>
      <c r="L413" t="str">
        <f>IF(A413="","",IF(K413=1,VLOOKUP(A413,[1]怪物!$R$80:$V$99,5,0),VLOOKUP(A413,[1]怪物!$R$80:$V$99,3,0))*10000)</f>
        <v/>
      </c>
      <c r="M413" t="str">
        <f t="shared" si="26"/>
        <v/>
      </c>
      <c r="N413" t="str">
        <f t="shared" si="27"/>
        <v/>
      </c>
    </row>
    <row r="414" spans="1:14">
      <c r="A414">
        <f t="shared" si="24"/>
        <v>10</v>
      </c>
      <c r="B414">
        <v>10</v>
      </c>
      <c r="C414" t="s">
        <v>47</v>
      </c>
      <c r="D414" t="s">
        <v>33</v>
      </c>
      <c r="E414">
        <v>1</v>
      </c>
      <c r="F414">
        <v>0</v>
      </c>
      <c r="G414">
        <v>2321</v>
      </c>
      <c r="H414" s="11" t="s">
        <v>36</v>
      </c>
      <c r="I414" t="str">
        <f t="shared" si="25"/>
        <v>[{1000,1,0,2321,41}]</v>
      </c>
      <c r="J414" t="s">
        <v>35</v>
      </c>
      <c r="K414" t="e">
        <f>IF(A414="","",IF(J414=1,VLOOKUP(A414,[1]怪物!$R$80:$V$99,4,0),VLOOKUP(A414,[1]怪物!$R$80:$V$99,2,0))*10000)</f>
        <v>#N/A</v>
      </c>
      <c r="L414" t="e">
        <f>IF(A414="","",IF(K414=1,VLOOKUP(A414,[1]怪物!$R$80:$V$99,5,0),VLOOKUP(A414,[1]怪物!$R$80:$V$99,3,0))*10000)</f>
        <v>#N/A</v>
      </c>
      <c r="M414">
        <f t="shared" si="26"/>
        <v>10000</v>
      </c>
      <c r="N414">
        <f t="shared" si="27"/>
        <v>10000</v>
      </c>
    </row>
    <row r="415" spans="1:14">
      <c r="A415">
        <f t="shared" si="24"/>
        <v>11</v>
      </c>
      <c r="B415">
        <v>11</v>
      </c>
      <c r="C415" t="s">
        <v>47</v>
      </c>
      <c r="D415" t="s">
        <v>33</v>
      </c>
      <c r="E415">
        <v>1</v>
      </c>
      <c r="F415">
        <v>1</v>
      </c>
      <c r="G415">
        <v>2301</v>
      </c>
      <c r="H415" t="s">
        <v>34</v>
      </c>
      <c r="I415" t="str">
        <f t="shared" si="25"/>
        <v>[{1000,1,1,2301,101}]</v>
      </c>
      <c r="J415" t="s">
        <v>35</v>
      </c>
      <c r="K415" t="e">
        <f>IF(A415="","",IF(J415=1,VLOOKUP(A415,[1]怪物!$R$80:$V$99,4,0),VLOOKUP(A415,[1]怪物!$R$80:$V$99,2,0))*10000)</f>
        <v>#N/A</v>
      </c>
      <c r="L415" t="e">
        <f>IF(A415="","",IF(K415=1,VLOOKUP(A415,[1]怪物!$R$80:$V$99,5,0),VLOOKUP(A415,[1]怪物!$R$80:$V$99,3,0))*10000)</f>
        <v>#N/A</v>
      </c>
      <c r="M415" t="e">
        <f t="shared" si="26"/>
        <v>#N/A</v>
      </c>
      <c r="N415" t="e">
        <f t="shared" si="27"/>
        <v>#N/A</v>
      </c>
    </row>
    <row r="416" spans="1:14">
      <c r="A416">
        <f t="shared" si="24"/>
        <v>11</v>
      </c>
      <c r="B416">
        <v>11</v>
      </c>
      <c r="C416" t="s">
        <v>47</v>
      </c>
      <c r="D416" t="s">
        <v>33</v>
      </c>
      <c r="E416">
        <v>1</v>
      </c>
      <c r="F416">
        <v>1</v>
      </c>
      <c r="G416">
        <v>2302</v>
      </c>
      <c r="H416" t="s">
        <v>37</v>
      </c>
      <c r="I416" t="str">
        <f t="shared" si="25"/>
        <v>[{1000,1,1,2302,401}]</v>
      </c>
      <c r="J416">
        <v>1</v>
      </c>
      <c r="K416" t="e">
        <f>IF(A416="","",IF(J416=1,VLOOKUP(A416,[1]怪物!$R$80:$V$99,4,0),VLOOKUP(A416,[1]怪物!$R$80:$V$99,2,0))*10000)</f>
        <v>#N/A</v>
      </c>
      <c r="L416" t="e">
        <f>IF(A416="","",IF(K416=1,VLOOKUP(A416,[1]怪物!$R$80:$V$99,5,0),VLOOKUP(A416,[1]怪物!$R$80:$V$99,3,0))*10000)</f>
        <v>#N/A</v>
      </c>
      <c r="M416" t="e">
        <f t="shared" si="26"/>
        <v>#N/A</v>
      </c>
      <c r="N416" t="e">
        <f t="shared" si="27"/>
        <v>#N/A</v>
      </c>
    </row>
    <row r="417" spans="1:14">
      <c r="A417">
        <f t="shared" si="24"/>
        <v>12</v>
      </c>
      <c r="B417">
        <v>12</v>
      </c>
      <c r="C417" t="s">
        <v>47</v>
      </c>
      <c r="D417" t="s">
        <v>33</v>
      </c>
      <c r="E417">
        <v>1</v>
      </c>
      <c r="F417">
        <v>1</v>
      </c>
      <c r="G417">
        <v>2301</v>
      </c>
      <c r="H417" t="s">
        <v>34</v>
      </c>
      <c r="I417" t="str">
        <f t="shared" si="25"/>
        <v>[{1000,1,1,2301,101}]</v>
      </c>
      <c r="J417" t="s">
        <v>35</v>
      </c>
      <c r="K417" t="e">
        <f>IF(A417="","",IF(J417=1,VLOOKUP(A417,[1]怪物!$R$80:$V$99,4,0),VLOOKUP(A417,[1]怪物!$R$80:$V$99,2,0))*10000)</f>
        <v>#N/A</v>
      </c>
      <c r="L417" t="e">
        <f>IF(A417="","",IF(K417=1,VLOOKUP(A417,[1]怪物!$R$80:$V$99,5,0),VLOOKUP(A417,[1]怪物!$R$80:$V$99,3,0))*10000)</f>
        <v>#N/A</v>
      </c>
      <c r="M417" t="e">
        <f t="shared" si="26"/>
        <v>#N/A</v>
      </c>
      <c r="N417" t="e">
        <f t="shared" si="27"/>
        <v>#N/A</v>
      </c>
    </row>
    <row r="418" spans="1:14">
      <c r="A418">
        <f t="shared" si="24"/>
        <v>12</v>
      </c>
      <c r="B418">
        <v>12</v>
      </c>
      <c r="C418" t="s">
        <v>47</v>
      </c>
      <c r="D418" t="s">
        <v>33</v>
      </c>
      <c r="E418">
        <v>1</v>
      </c>
      <c r="F418">
        <v>1</v>
      </c>
      <c r="G418">
        <v>2302</v>
      </c>
      <c r="H418" t="s">
        <v>37</v>
      </c>
      <c r="I418" t="str">
        <f t="shared" si="25"/>
        <v>[{1000,1,1,2302,401}]</v>
      </c>
      <c r="J418">
        <v>1</v>
      </c>
      <c r="K418" t="e">
        <f>IF(A418="","",IF(J418=1,VLOOKUP(A418,[1]怪物!$R$80:$V$99,4,0),VLOOKUP(A418,[1]怪物!$R$80:$V$99,2,0))*10000)</f>
        <v>#N/A</v>
      </c>
      <c r="L418" t="e">
        <f>IF(A418="","",IF(K418=1,VLOOKUP(A418,[1]怪物!$R$80:$V$99,5,0),VLOOKUP(A418,[1]怪物!$R$80:$V$99,3,0))*10000)</f>
        <v>#N/A</v>
      </c>
      <c r="M418" t="e">
        <f t="shared" si="26"/>
        <v>#N/A</v>
      </c>
      <c r="N418" t="e">
        <f t="shared" si="27"/>
        <v>#N/A</v>
      </c>
    </row>
    <row r="419" spans="1:14">
      <c r="A419">
        <f t="shared" si="24"/>
        <v>13</v>
      </c>
      <c r="B419">
        <v>13</v>
      </c>
      <c r="C419" t="s">
        <v>47</v>
      </c>
      <c r="D419" t="s">
        <v>33</v>
      </c>
      <c r="E419">
        <v>1</v>
      </c>
      <c r="F419">
        <v>1</v>
      </c>
      <c r="G419">
        <v>2301</v>
      </c>
      <c r="H419" t="s">
        <v>34</v>
      </c>
      <c r="I419" t="str">
        <f t="shared" si="25"/>
        <v>[{1000,1,1,2301,101}]</v>
      </c>
      <c r="J419" t="s">
        <v>35</v>
      </c>
      <c r="K419" t="e">
        <f>IF(A419="","",IF(J419=1,VLOOKUP(A419,[1]怪物!$R$80:$V$99,4,0),VLOOKUP(A419,[1]怪物!$R$80:$V$99,2,0))*10000)</f>
        <v>#N/A</v>
      </c>
      <c r="L419" t="e">
        <f>IF(A419="","",IF(K419=1,VLOOKUP(A419,[1]怪物!$R$80:$V$99,5,0),VLOOKUP(A419,[1]怪物!$R$80:$V$99,3,0))*10000)</f>
        <v>#N/A</v>
      </c>
      <c r="M419" t="e">
        <f t="shared" si="26"/>
        <v>#N/A</v>
      </c>
      <c r="N419" t="e">
        <f t="shared" si="27"/>
        <v>#N/A</v>
      </c>
    </row>
    <row r="420" spans="1:14">
      <c r="A420">
        <f t="shared" si="24"/>
        <v>13</v>
      </c>
      <c r="B420">
        <v>13</v>
      </c>
      <c r="C420" t="s">
        <v>47</v>
      </c>
      <c r="D420" t="s">
        <v>33</v>
      </c>
      <c r="E420">
        <v>1</v>
      </c>
      <c r="F420">
        <v>1</v>
      </c>
      <c r="G420">
        <v>2302</v>
      </c>
      <c r="H420" t="s">
        <v>37</v>
      </c>
      <c r="I420" t="str">
        <f t="shared" si="25"/>
        <v>[{1000,1,1,2302,401}]</v>
      </c>
      <c r="J420">
        <v>1</v>
      </c>
      <c r="K420" t="e">
        <f>IF(A420="","",IF(J420=1,VLOOKUP(A420,[1]怪物!$R$80:$V$99,4,0),VLOOKUP(A420,[1]怪物!$R$80:$V$99,2,0))*10000)</f>
        <v>#N/A</v>
      </c>
      <c r="L420" t="e">
        <f>IF(A420="","",IF(K420=1,VLOOKUP(A420,[1]怪物!$R$80:$V$99,5,0),VLOOKUP(A420,[1]怪物!$R$80:$V$99,3,0))*10000)</f>
        <v>#N/A</v>
      </c>
      <c r="M420" t="e">
        <f t="shared" si="26"/>
        <v>#N/A</v>
      </c>
      <c r="N420" t="e">
        <f t="shared" si="27"/>
        <v>#N/A</v>
      </c>
    </row>
    <row r="421" spans="1:14">
      <c r="A421">
        <f t="shared" si="24"/>
        <v>14</v>
      </c>
      <c r="B421">
        <v>14</v>
      </c>
      <c r="C421" t="s">
        <v>47</v>
      </c>
      <c r="D421" t="s">
        <v>33</v>
      </c>
      <c r="E421">
        <v>1</v>
      </c>
      <c r="F421">
        <v>1</v>
      </c>
      <c r="G421">
        <v>2301</v>
      </c>
      <c r="H421" t="s">
        <v>34</v>
      </c>
      <c r="I421" t="str">
        <f t="shared" si="25"/>
        <v>[{1000,1,1,2301,101}]</v>
      </c>
      <c r="J421" t="s">
        <v>35</v>
      </c>
      <c r="K421" t="e">
        <f>IF(A421="","",IF(J421=1,VLOOKUP(A421,[1]怪物!$R$80:$V$99,4,0),VLOOKUP(A421,[1]怪物!$R$80:$V$99,2,0))*10000)</f>
        <v>#N/A</v>
      </c>
      <c r="L421" t="e">
        <f>IF(A421="","",IF(K421=1,VLOOKUP(A421,[1]怪物!$R$80:$V$99,5,0),VLOOKUP(A421,[1]怪物!$R$80:$V$99,3,0))*10000)</f>
        <v>#N/A</v>
      </c>
      <c r="M421" t="e">
        <f t="shared" si="26"/>
        <v>#N/A</v>
      </c>
      <c r="N421" t="e">
        <f t="shared" si="27"/>
        <v>#N/A</v>
      </c>
    </row>
    <row r="422" spans="1:14">
      <c r="A422">
        <f t="shared" si="24"/>
        <v>14</v>
      </c>
      <c r="B422">
        <v>14</v>
      </c>
      <c r="C422" t="s">
        <v>47</v>
      </c>
      <c r="D422" t="s">
        <v>33</v>
      </c>
      <c r="E422">
        <v>1</v>
      </c>
      <c r="F422">
        <v>1</v>
      </c>
      <c r="G422">
        <v>2302</v>
      </c>
      <c r="H422" t="s">
        <v>37</v>
      </c>
      <c r="I422" t="str">
        <f t="shared" si="25"/>
        <v>[{1000,1,1,2302,401}]</v>
      </c>
      <c r="J422">
        <v>1</v>
      </c>
      <c r="K422" t="e">
        <f>IF(A422="","",IF(J422=1,VLOOKUP(A422,[1]怪物!$R$80:$V$99,4,0),VLOOKUP(A422,[1]怪物!$R$80:$V$99,2,0))*10000)</f>
        <v>#N/A</v>
      </c>
      <c r="L422" t="e">
        <f>IF(A422="","",IF(K422=1,VLOOKUP(A422,[1]怪物!$R$80:$V$99,5,0),VLOOKUP(A422,[1]怪物!$R$80:$V$99,3,0))*10000)</f>
        <v>#N/A</v>
      </c>
      <c r="M422" t="e">
        <f t="shared" si="26"/>
        <v>#N/A</v>
      </c>
      <c r="N422" t="e">
        <f t="shared" si="27"/>
        <v>#N/A</v>
      </c>
    </row>
    <row r="423" spans="1:14">
      <c r="A423">
        <f t="shared" si="24"/>
        <v>14</v>
      </c>
      <c r="B423">
        <v>14</v>
      </c>
      <c r="C423" t="s">
        <v>47</v>
      </c>
      <c r="D423" t="s">
        <v>33</v>
      </c>
      <c r="E423">
        <v>1</v>
      </c>
      <c r="F423">
        <v>1</v>
      </c>
      <c r="G423">
        <v>2303</v>
      </c>
      <c r="H423" s="11" t="s">
        <v>37</v>
      </c>
      <c r="I423" t="str">
        <f t="shared" si="25"/>
        <v>[{1000,1,1,2303,401}]</v>
      </c>
      <c r="J423">
        <v>1</v>
      </c>
      <c r="K423" t="e">
        <f>IF(A423="","",IF(J423=1,VLOOKUP(A423,[1]怪物!$R$80:$V$99,4,0),VLOOKUP(A423,[1]怪物!$R$80:$V$99,2,0))*10000)</f>
        <v>#N/A</v>
      </c>
      <c r="L423" t="e">
        <f>IF(A423="","",IF(K423=1,VLOOKUP(A423,[1]怪物!$R$80:$V$99,5,0),VLOOKUP(A423,[1]怪物!$R$80:$V$99,3,0))*10000)</f>
        <v>#N/A</v>
      </c>
      <c r="M423" t="e">
        <f t="shared" si="26"/>
        <v>#N/A</v>
      </c>
      <c r="N423" t="e">
        <f t="shared" si="27"/>
        <v>#N/A</v>
      </c>
    </row>
    <row r="424" spans="1:14">
      <c r="A424">
        <f t="shared" si="24"/>
        <v>15</v>
      </c>
      <c r="B424">
        <v>15</v>
      </c>
      <c r="C424" t="s">
        <v>47</v>
      </c>
      <c r="D424" t="s">
        <v>33</v>
      </c>
      <c r="E424">
        <v>1</v>
      </c>
      <c r="F424">
        <v>1</v>
      </c>
      <c r="G424">
        <v>2301</v>
      </c>
      <c r="H424" t="s">
        <v>34</v>
      </c>
      <c r="I424" t="str">
        <f t="shared" si="25"/>
        <v>[{1000,1,1,2301,101}]</v>
      </c>
      <c r="J424" t="s">
        <v>35</v>
      </c>
      <c r="K424" t="e">
        <f>IF(A424="","",IF(J424=1,VLOOKUP(A424,[1]怪物!$R$80:$V$99,4,0),VLOOKUP(A424,[1]怪物!$R$80:$V$99,2,0))*10000)</f>
        <v>#N/A</v>
      </c>
      <c r="L424" t="e">
        <f>IF(A424="","",IF(K424=1,VLOOKUP(A424,[1]怪物!$R$80:$V$99,5,0),VLOOKUP(A424,[1]怪物!$R$80:$V$99,3,0))*10000)</f>
        <v>#N/A</v>
      </c>
      <c r="M424" t="e">
        <f t="shared" si="26"/>
        <v>#N/A</v>
      </c>
      <c r="N424" t="e">
        <f t="shared" si="27"/>
        <v>#N/A</v>
      </c>
    </row>
    <row r="425" spans="1:14">
      <c r="A425">
        <f t="shared" si="24"/>
        <v>15</v>
      </c>
      <c r="B425">
        <v>15</v>
      </c>
      <c r="C425" t="s">
        <v>47</v>
      </c>
      <c r="D425" t="s">
        <v>33</v>
      </c>
      <c r="E425">
        <v>1</v>
      </c>
      <c r="F425">
        <v>1</v>
      </c>
      <c r="G425">
        <v>2302</v>
      </c>
      <c r="H425" t="s">
        <v>37</v>
      </c>
      <c r="I425" t="str">
        <f t="shared" si="25"/>
        <v>[{1000,1,1,2302,401}]</v>
      </c>
      <c r="J425">
        <v>1</v>
      </c>
      <c r="K425" t="e">
        <f>IF(A425="","",IF(J425=1,VLOOKUP(A425,[1]怪物!$R$80:$V$99,4,0),VLOOKUP(A425,[1]怪物!$R$80:$V$99,2,0))*10000)</f>
        <v>#N/A</v>
      </c>
      <c r="L425" t="e">
        <f>IF(A425="","",IF(K425=1,VLOOKUP(A425,[1]怪物!$R$80:$V$99,5,0),VLOOKUP(A425,[1]怪物!$R$80:$V$99,3,0))*10000)</f>
        <v>#N/A</v>
      </c>
      <c r="M425" t="e">
        <f t="shared" si="26"/>
        <v>#N/A</v>
      </c>
      <c r="N425" t="e">
        <f t="shared" si="27"/>
        <v>#N/A</v>
      </c>
    </row>
    <row r="426" spans="1:14">
      <c r="A426">
        <f t="shared" si="24"/>
        <v>15</v>
      </c>
      <c r="B426">
        <v>15</v>
      </c>
      <c r="C426" t="s">
        <v>47</v>
      </c>
      <c r="D426" t="s">
        <v>33</v>
      </c>
      <c r="E426">
        <v>1</v>
      </c>
      <c r="F426">
        <v>1</v>
      </c>
      <c r="G426">
        <v>2303</v>
      </c>
      <c r="H426" s="11" t="s">
        <v>37</v>
      </c>
      <c r="I426" t="str">
        <f t="shared" si="25"/>
        <v>[{1000,1,1,2303,401}]</v>
      </c>
      <c r="J426">
        <v>1</v>
      </c>
      <c r="K426" t="e">
        <f>IF(A426="","",IF(J426=1,VLOOKUP(A426,[1]怪物!$R$80:$V$99,4,0),VLOOKUP(A426,[1]怪物!$R$80:$V$99,2,0))*10000)</f>
        <v>#N/A</v>
      </c>
      <c r="L426" t="e">
        <f>IF(A426="","",IF(K426=1,VLOOKUP(A426,[1]怪物!$R$80:$V$99,5,0),VLOOKUP(A426,[1]怪物!$R$80:$V$99,3,0))*10000)</f>
        <v>#N/A</v>
      </c>
      <c r="M426" t="e">
        <f t="shared" si="26"/>
        <v>#N/A</v>
      </c>
      <c r="N426" t="e">
        <f t="shared" si="27"/>
        <v>#N/A</v>
      </c>
    </row>
    <row r="427" spans="1:14">
      <c r="A427">
        <f t="shared" si="24"/>
        <v>16</v>
      </c>
      <c r="B427">
        <v>16</v>
      </c>
      <c r="C427" t="s">
        <v>47</v>
      </c>
      <c r="D427" t="s">
        <v>33</v>
      </c>
      <c r="E427">
        <v>1</v>
      </c>
      <c r="F427">
        <v>1</v>
      </c>
      <c r="G427">
        <v>2301</v>
      </c>
      <c r="H427" t="s">
        <v>34</v>
      </c>
      <c r="I427" t="str">
        <f t="shared" si="25"/>
        <v>[{1000,1,1,2301,101}]</v>
      </c>
      <c r="J427" t="s">
        <v>35</v>
      </c>
      <c r="K427" t="e">
        <f>IF(A427="","",IF(J427=1,VLOOKUP(A427,[1]怪物!$R$80:$V$99,4,0),VLOOKUP(A427,[1]怪物!$R$80:$V$99,2,0))*10000)</f>
        <v>#N/A</v>
      </c>
      <c r="L427" t="e">
        <f>IF(A427="","",IF(K427=1,VLOOKUP(A427,[1]怪物!$R$80:$V$99,5,0),VLOOKUP(A427,[1]怪物!$R$80:$V$99,3,0))*10000)</f>
        <v>#N/A</v>
      </c>
      <c r="M427" t="e">
        <f t="shared" si="26"/>
        <v>#N/A</v>
      </c>
      <c r="N427" t="e">
        <f t="shared" si="27"/>
        <v>#N/A</v>
      </c>
    </row>
    <row r="428" spans="1:14">
      <c r="A428">
        <f t="shared" si="24"/>
        <v>16</v>
      </c>
      <c r="B428">
        <v>16</v>
      </c>
      <c r="C428" t="s">
        <v>47</v>
      </c>
      <c r="D428" t="s">
        <v>33</v>
      </c>
      <c r="E428">
        <v>1</v>
      </c>
      <c r="F428">
        <v>1</v>
      </c>
      <c r="G428">
        <v>2302</v>
      </c>
      <c r="H428" t="s">
        <v>37</v>
      </c>
      <c r="I428" t="str">
        <f t="shared" si="25"/>
        <v>[{1000,1,1,2302,401}]</v>
      </c>
      <c r="J428">
        <v>1</v>
      </c>
      <c r="K428" t="e">
        <f>IF(A428="","",IF(J428=1,VLOOKUP(A428,[1]怪物!$R$80:$V$99,4,0),VLOOKUP(A428,[1]怪物!$R$80:$V$99,2,0))*10000)</f>
        <v>#N/A</v>
      </c>
      <c r="L428" t="e">
        <f>IF(A428="","",IF(K428=1,VLOOKUP(A428,[1]怪物!$R$80:$V$99,5,0),VLOOKUP(A428,[1]怪物!$R$80:$V$99,3,0))*10000)</f>
        <v>#N/A</v>
      </c>
      <c r="M428" t="e">
        <f t="shared" si="26"/>
        <v>#N/A</v>
      </c>
      <c r="N428" t="e">
        <f t="shared" si="27"/>
        <v>#N/A</v>
      </c>
    </row>
    <row r="429" spans="1:14">
      <c r="A429">
        <f t="shared" si="24"/>
        <v>16</v>
      </c>
      <c r="B429">
        <v>16</v>
      </c>
      <c r="C429" t="s">
        <v>47</v>
      </c>
      <c r="D429" t="s">
        <v>33</v>
      </c>
      <c r="E429">
        <v>1</v>
      </c>
      <c r="F429">
        <v>1</v>
      </c>
      <c r="G429">
        <v>2303</v>
      </c>
      <c r="H429" s="11" t="s">
        <v>37</v>
      </c>
      <c r="I429" t="str">
        <f t="shared" si="25"/>
        <v>[{1000,1,1,2303,401}]</v>
      </c>
      <c r="J429">
        <v>1</v>
      </c>
      <c r="K429" t="e">
        <f>IF(A429="","",IF(J429=1,VLOOKUP(A429,[1]怪物!$R$80:$V$99,4,0),VLOOKUP(A429,[1]怪物!$R$80:$V$99,2,0))*10000)</f>
        <v>#N/A</v>
      </c>
      <c r="L429" t="e">
        <f>IF(A429="","",IF(K429=1,VLOOKUP(A429,[1]怪物!$R$80:$V$99,5,0),VLOOKUP(A429,[1]怪物!$R$80:$V$99,3,0))*10000)</f>
        <v>#N/A</v>
      </c>
      <c r="M429" t="e">
        <f t="shared" si="26"/>
        <v>#N/A</v>
      </c>
      <c r="N429" t="e">
        <f t="shared" si="27"/>
        <v>#N/A</v>
      </c>
    </row>
    <row r="430" spans="1:14">
      <c r="A430">
        <f t="shared" si="24"/>
        <v>17</v>
      </c>
      <c r="B430">
        <v>17</v>
      </c>
      <c r="C430" t="s">
        <v>47</v>
      </c>
      <c r="D430" t="s">
        <v>33</v>
      </c>
      <c r="E430">
        <v>1</v>
      </c>
      <c r="F430">
        <v>1</v>
      </c>
      <c r="G430">
        <v>2301</v>
      </c>
      <c r="H430" t="s">
        <v>34</v>
      </c>
      <c r="I430" t="str">
        <f t="shared" si="25"/>
        <v>[{1000,1,1,2301,101}]</v>
      </c>
      <c r="J430" t="s">
        <v>35</v>
      </c>
      <c r="K430" t="e">
        <f>IF(A430="","",IF(J430=1,VLOOKUP(A430,[1]怪物!$R$80:$V$99,4,0),VLOOKUP(A430,[1]怪物!$R$80:$V$99,2,0))*10000)</f>
        <v>#N/A</v>
      </c>
      <c r="L430" t="e">
        <f>IF(A430="","",IF(K430=1,VLOOKUP(A430,[1]怪物!$R$80:$V$99,5,0),VLOOKUP(A430,[1]怪物!$R$80:$V$99,3,0))*10000)</f>
        <v>#N/A</v>
      </c>
      <c r="M430" t="e">
        <f t="shared" si="26"/>
        <v>#N/A</v>
      </c>
      <c r="N430" t="e">
        <f t="shared" si="27"/>
        <v>#N/A</v>
      </c>
    </row>
    <row r="431" spans="1:14">
      <c r="A431">
        <f t="shared" si="24"/>
        <v>17</v>
      </c>
      <c r="B431">
        <v>17</v>
      </c>
      <c r="C431" t="s">
        <v>47</v>
      </c>
      <c r="D431" t="s">
        <v>33</v>
      </c>
      <c r="E431">
        <v>1</v>
      </c>
      <c r="F431">
        <v>1</v>
      </c>
      <c r="G431">
        <v>2302</v>
      </c>
      <c r="H431" t="s">
        <v>37</v>
      </c>
      <c r="I431" t="str">
        <f t="shared" si="25"/>
        <v>[{1000,1,1,2302,401}]</v>
      </c>
      <c r="J431">
        <v>1</v>
      </c>
      <c r="K431" t="e">
        <f>IF(A431="","",IF(J431=1,VLOOKUP(A431,[1]怪物!$R$80:$V$99,4,0),VLOOKUP(A431,[1]怪物!$R$80:$V$99,2,0))*10000)</f>
        <v>#N/A</v>
      </c>
      <c r="L431" t="e">
        <f>IF(A431="","",IF(K431=1,VLOOKUP(A431,[1]怪物!$R$80:$V$99,5,0),VLOOKUP(A431,[1]怪物!$R$80:$V$99,3,0))*10000)</f>
        <v>#N/A</v>
      </c>
      <c r="M431" t="e">
        <f t="shared" si="26"/>
        <v>#N/A</v>
      </c>
      <c r="N431" t="e">
        <f t="shared" si="27"/>
        <v>#N/A</v>
      </c>
    </row>
    <row r="432" spans="1:14">
      <c r="A432">
        <f t="shared" si="24"/>
        <v>17</v>
      </c>
      <c r="B432">
        <v>17</v>
      </c>
      <c r="C432" t="s">
        <v>47</v>
      </c>
      <c r="D432" t="s">
        <v>33</v>
      </c>
      <c r="E432">
        <v>1</v>
      </c>
      <c r="F432">
        <v>1</v>
      </c>
      <c r="G432">
        <v>2303</v>
      </c>
      <c r="H432" s="11" t="s">
        <v>37</v>
      </c>
      <c r="I432" t="str">
        <f t="shared" si="25"/>
        <v>[{1000,1,1,2303,401}]</v>
      </c>
      <c r="J432">
        <v>1</v>
      </c>
      <c r="K432" t="e">
        <f>IF(A432="","",IF(J432=1,VLOOKUP(A432,[1]怪物!$R$80:$V$99,4,0),VLOOKUP(A432,[1]怪物!$R$80:$V$99,2,0))*10000)</f>
        <v>#N/A</v>
      </c>
      <c r="L432" t="e">
        <f>IF(A432="","",IF(K432=1,VLOOKUP(A432,[1]怪物!$R$80:$V$99,5,0),VLOOKUP(A432,[1]怪物!$R$80:$V$99,3,0))*10000)</f>
        <v>#N/A</v>
      </c>
      <c r="M432" t="e">
        <f t="shared" si="26"/>
        <v>#N/A</v>
      </c>
      <c r="N432" t="e">
        <f t="shared" si="27"/>
        <v>#N/A</v>
      </c>
    </row>
    <row r="433" spans="1:14">
      <c r="A433">
        <f t="shared" si="24"/>
        <v>18</v>
      </c>
      <c r="B433">
        <v>18</v>
      </c>
      <c r="C433" t="s">
        <v>47</v>
      </c>
      <c r="D433" t="s">
        <v>33</v>
      </c>
      <c r="E433">
        <v>1</v>
      </c>
      <c r="F433">
        <v>1</v>
      </c>
      <c r="G433">
        <v>2301</v>
      </c>
      <c r="H433" t="s">
        <v>34</v>
      </c>
      <c r="I433" t="str">
        <f t="shared" si="25"/>
        <v>[{1000,1,1,2301,101}]</v>
      </c>
      <c r="J433" t="s">
        <v>35</v>
      </c>
      <c r="K433" t="e">
        <f>IF(A433="","",IF(J433=1,VLOOKUP(A433,[1]怪物!$R$80:$V$99,4,0),VLOOKUP(A433,[1]怪物!$R$80:$V$99,2,0))*10000)</f>
        <v>#N/A</v>
      </c>
      <c r="L433" t="e">
        <f>IF(A433="","",IF(K433=1,VLOOKUP(A433,[1]怪物!$R$80:$V$99,5,0),VLOOKUP(A433,[1]怪物!$R$80:$V$99,3,0))*10000)</f>
        <v>#N/A</v>
      </c>
      <c r="M433" t="e">
        <f t="shared" si="26"/>
        <v>#N/A</v>
      </c>
      <c r="N433" t="e">
        <f t="shared" si="27"/>
        <v>#N/A</v>
      </c>
    </row>
    <row r="434" spans="1:14">
      <c r="A434">
        <f t="shared" si="24"/>
        <v>18</v>
      </c>
      <c r="B434">
        <v>18</v>
      </c>
      <c r="C434" t="s">
        <v>47</v>
      </c>
      <c r="D434" t="s">
        <v>33</v>
      </c>
      <c r="E434">
        <v>1</v>
      </c>
      <c r="F434">
        <v>1</v>
      </c>
      <c r="G434">
        <v>2302</v>
      </c>
      <c r="H434" t="s">
        <v>37</v>
      </c>
      <c r="I434" t="str">
        <f t="shared" si="25"/>
        <v>[{1000,1,1,2302,401}]</v>
      </c>
      <c r="J434">
        <v>1</v>
      </c>
      <c r="K434" t="e">
        <f>IF(A434="","",IF(J434=1,VLOOKUP(A434,[1]怪物!$R$80:$V$99,4,0),VLOOKUP(A434,[1]怪物!$R$80:$V$99,2,0))*10000)</f>
        <v>#N/A</v>
      </c>
      <c r="L434" t="e">
        <f>IF(A434="","",IF(K434=1,VLOOKUP(A434,[1]怪物!$R$80:$V$99,5,0),VLOOKUP(A434,[1]怪物!$R$80:$V$99,3,0))*10000)</f>
        <v>#N/A</v>
      </c>
      <c r="M434" t="e">
        <f t="shared" si="26"/>
        <v>#N/A</v>
      </c>
      <c r="N434" t="e">
        <f t="shared" si="27"/>
        <v>#N/A</v>
      </c>
    </row>
    <row r="435" spans="1:14">
      <c r="A435">
        <f t="shared" si="24"/>
        <v>18</v>
      </c>
      <c r="B435">
        <v>18</v>
      </c>
      <c r="C435" t="s">
        <v>47</v>
      </c>
      <c r="D435" t="s">
        <v>33</v>
      </c>
      <c r="E435">
        <v>1</v>
      </c>
      <c r="F435">
        <v>1</v>
      </c>
      <c r="G435">
        <v>2303</v>
      </c>
      <c r="H435" s="11" t="s">
        <v>37</v>
      </c>
      <c r="I435" t="str">
        <f t="shared" si="25"/>
        <v>[{1000,1,1,2303,401}]</v>
      </c>
      <c r="J435">
        <v>1</v>
      </c>
      <c r="K435" t="e">
        <f>IF(A435="","",IF(J435=1,VLOOKUP(A435,[1]怪物!$R$80:$V$99,4,0),VLOOKUP(A435,[1]怪物!$R$80:$V$99,2,0))*10000)</f>
        <v>#N/A</v>
      </c>
      <c r="L435" t="e">
        <f>IF(A435="","",IF(K435=1,VLOOKUP(A435,[1]怪物!$R$80:$V$99,5,0),VLOOKUP(A435,[1]怪物!$R$80:$V$99,3,0))*10000)</f>
        <v>#N/A</v>
      </c>
      <c r="M435" t="e">
        <f t="shared" si="26"/>
        <v>#N/A</v>
      </c>
      <c r="N435" t="e">
        <f t="shared" si="27"/>
        <v>#N/A</v>
      </c>
    </row>
    <row r="436" spans="1:14">
      <c r="A436">
        <f t="shared" si="24"/>
        <v>19</v>
      </c>
      <c r="B436">
        <v>19</v>
      </c>
      <c r="C436" t="s">
        <v>47</v>
      </c>
      <c r="D436" t="s">
        <v>33</v>
      </c>
      <c r="E436">
        <v>1</v>
      </c>
      <c r="F436">
        <v>1</v>
      </c>
      <c r="G436">
        <v>2301</v>
      </c>
      <c r="H436" t="s">
        <v>34</v>
      </c>
      <c r="I436" t="str">
        <f t="shared" si="25"/>
        <v>[{1000,1,1,2301,101}]</v>
      </c>
      <c r="J436" t="s">
        <v>35</v>
      </c>
      <c r="K436" t="e">
        <f>IF(A436="","",IF(J436=1,VLOOKUP(A436,[1]怪物!$R$80:$V$99,4,0),VLOOKUP(A436,[1]怪物!$R$80:$V$99,2,0))*10000)</f>
        <v>#N/A</v>
      </c>
      <c r="L436" t="e">
        <f>IF(A436="","",IF(K436=1,VLOOKUP(A436,[1]怪物!$R$80:$V$99,5,0),VLOOKUP(A436,[1]怪物!$R$80:$V$99,3,0))*10000)</f>
        <v>#N/A</v>
      </c>
      <c r="M436" t="e">
        <f t="shared" si="26"/>
        <v>#N/A</v>
      </c>
      <c r="N436" t="e">
        <f t="shared" si="27"/>
        <v>#N/A</v>
      </c>
    </row>
    <row r="437" spans="1:14">
      <c r="A437">
        <f t="shared" si="24"/>
        <v>19</v>
      </c>
      <c r="B437">
        <v>19</v>
      </c>
      <c r="C437" t="s">
        <v>47</v>
      </c>
      <c r="D437" t="s">
        <v>33</v>
      </c>
      <c r="E437">
        <v>1</v>
      </c>
      <c r="F437">
        <v>1</v>
      </c>
      <c r="G437">
        <v>2302</v>
      </c>
      <c r="H437" t="s">
        <v>37</v>
      </c>
      <c r="I437" t="str">
        <f t="shared" si="25"/>
        <v>[{1000,1,1,2302,401}]</v>
      </c>
      <c r="J437">
        <v>1</v>
      </c>
      <c r="K437" t="e">
        <f>IF(A437="","",IF(J437=1,VLOOKUP(A437,[1]怪物!$R$80:$V$99,4,0),VLOOKUP(A437,[1]怪物!$R$80:$V$99,2,0))*10000)</f>
        <v>#N/A</v>
      </c>
      <c r="L437" t="e">
        <f>IF(A437="","",IF(K437=1,VLOOKUP(A437,[1]怪物!$R$80:$V$99,5,0),VLOOKUP(A437,[1]怪物!$R$80:$V$99,3,0))*10000)</f>
        <v>#N/A</v>
      </c>
      <c r="M437" t="e">
        <f t="shared" si="26"/>
        <v>#N/A</v>
      </c>
      <c r="N437" t="e">
        <f t="shared" si="27"/>
        <v>#N/A</v>
      </c>
    </row>
    <row r="438" spans="1:14">
      <c r="A438">
        <f t="shared" si="24"/>
        <v>19</v>
      </c>
      <c r="B438">
        <v>19</v>
      </c>
      <c r="C438" t="s">
        <v>47</v>
      </c>
      <c r="D438" t="s">
        <v>33</v>
      </c>
      <c r="E438">
        <v>1</v>
      </c>
      <c r="F438">
        <v>1</v>
      </c>
      <c r="G438">
        <v>2303</v>
      </c>
      <c r="H438" s="11" t="s">
        <v>37</v>
      </c>
      <c r="I438" t="str">
        <f t="shared" si="25"/>
        <v>[{1000,1,1,2303,401}]</v>
      </c>
      <c r="J438">
        <v>1</v>
      </c>
      <c r="K438" t="e">
        <f>IF(A438="","",IF(J438=1,VLOOKUP(A438,[1]怪物!$R$80:$V$99,4,0),VLOOKUP(A438,[1]怪物!$R$80:$V$99,2,0))*10000)</f>
        <v>#N/A</v>
      </c>
      <c r="L438" t="e">
        <f>IF(A438="","",IF(K438=1,VLOOKUP(A438,[1]怪物!$R$80:$V$99,5,0),VLOOKUP(A438,[1]怪物!$R$80:$V$99,3,0))*10000)</f>
        <v>#N/A</v>
      </c>
      <c r="M438" t="e">
        <f t="shared" si="26"/>
        <v>#N/A</v>
      </c>
      <c r="N438" t="e">
        <f t="shared" si="27"/>
        <v>#N/A</v>
      </c>
    </row>
    <row r="439" spans="1:14">
      <c r="A439">
        <f t="shared" si="24"/>
        <v>20</v>
      </c>
      <c r="B439">
        <v>20</v>
      </c>
      <c r="C439" t="s">
        <v>47</v>
      </c>
      <c r="D439" t="s">
        <v>33</v>
      </c>
      <c r="E439">
        <v>1</v>
      </c>
      <c r="F439">
        <v>1</v>
      </c>
      <c r="G439">
        <v>2301</v>
      </c>
      <c r="H439" t="s">
        <v>34</v>
      </c>
      <c r="I439" t="str">
        <f t="shared" si="25"/>
        <v>[{1000,1,1,2301,101}]</v>
      </c>
      <c r="J439" t="s">
        <v>35</v>
      </c>
      <c r="K439" t="e">
        <f>IF(A439="","",IF(J439=1,VLOOKUP(A439,[1]怪物!$R$80:$V$99,4,0),VLOOKUP(A439,[1]怪物!$R$80:$V$99,2,0))*10000)</f>
        <v>#N/A</v>
      </c>
      <c r="L439" t="e">
        <f>IF(A439="","",IF(K439=1,VLOOKUP(A439,[1]怪物!$R$80:$V$99,5,0),VLOOKUP(A439,[1]怪物!$R$80:$V$99,3,0))*10000)</f>
        <v>#N/A</v>
      </c>
      <c r="M439" t="e">
        <f t="shared" si="26"/>
        <v>#N/A</v>
      </c>
      <c r="N439" t="e">
        <f t="shared" si="27"/>
        <v>#N/A</v>
      </c>
    </row>
    <row r="440" spans="1:14">
      <c r="A440">
        <f t="shared" si="24"/>
        <v>20</v>
      </c>
      <c r="B440">
        <v>20</v>
      </c>
      <c r="C440" t="s">
        <v>47</v>
      </c>
      <c r="D440" t="s">
        <v>33</v>
      </c>
      <c r="E440">
        <v>1</v>
      </c>
      <c r="F440">
        <v>1</v>
      </c>
      <c r="G440">
        <v>2302</v>
      </c>
      <c r="H440" t="s">
        <v>37</v>
      </c>
      <c r="I440" t="str">
        <f t="shared" si="25"/>
        <v>[{1000,1,1,2302,401}]</v>
      </c>
      <c r="J440">
        <v>1</v>
      </c>
      <c r="K440" t="e">
        <f>IF(A440="","",IF(J440=1,VLOOKUP(A440,[1]怪物!$R$80:$V$99,4,0),VLOOKUP(A440,[1]怪物!$R$80:$V$99,2,0))*10000)</f>
        <v>#N/A</v>
      </c>
      <c r="L440" t="e">
        <f>IF(A440="","",IF(K440=1,VLOOKUP(A440,[1]怪物!$R$80:$V$99,5,0),VLOOKUP(A440,[1]怪物!$R$80:$V$99,3,0))*10000)</f>
        <v>#N/A</v>
      </c>
      <c r="M440" t="e">
        <f t="shared" si="26"/>
        <v>#N/A</v>
      </c>
      <c r="N440" t="e">
        <f t="shared" si="27"/>
        <v>#N/A</v>
      </c>
    </row>
    <row r="441" spans="1:14">
      <c r="A441">
        <f t="shared" si="24"/>
        <v>20</v>
      </c>
      <c r="B441">
        <v>20</v>
      </c>
      <c r="C441" t="s">
        <v>47</v>
      </c>
      <c r="D441" t="s">
        <v>33</v>
      </c>
      <c r="E441">
        <v>1</v>
      </c>
      <c r="F441">
        <v>1</v>
      </c>
      <c r="G441">
        <v>2303</v>
      </c>
      <c r="H441" s="11" t="s">
        <v>37</v>
      </c>
      <c r="I441" t="str">
        <f t="shared" si="25"/>
        <v>[{1000,1,1,2303,401}]</v>
      </c>
      <c r="J441">
        <v>1</v>
      </c>
      <c r="K441" t="e">
        <f>IF(A441="","",IF(J441=1,VLOOKUP(A441,[1]怪物!$R$80:$V$99,4,0),VLOOKUP(A441,[1]怪物!$R$80:$V$99,2,0))*10000)</f>
        <v>#N/A</v>
      </c>
      <c r="L441" t="e">
        <f>IF(A441="","",IF(K441=1,VLOOKUP(A441,[1]怪物!$R$80:$V$99,5,0),VLOOKUP(A441,[1]怪物!$R$80:$V$99,3,0))*10000)</f>
        <v>#N/A</v>
      </c>
      <c r="M441" t="e">
        <f t="shared" si="26"/>
        <v>#N/A</v>
      </c>
      <c r="N441" t="e">
        <f t="shared" si="27"/>
        <v>#N/A</v>
      </c>
    </row>
    <row r="442" spans="1:14">
      <c r="A442" t="str">
        <f t="shared" si="24"/>
        <v/>
      </c>
      <c r="B442">
        <v>20</v>
      </c>
      <c r="C442" t="s">
        <v>47</v>
      </c>
      <c r="D442" t="s">
        <v>28</v>
      </c>
      <c r="I442" t="str">
        <f t="shared" si="25"/>
        <v>[]</v>
      </c>
      <c r="J442">
        <v>2</v>
      </c>
      <c r="K442" t="str">
        <f>IF(A442="","",IF(J442=1,VLOOKUP(A442,[1]怪物!$R$80:$V$99,4,0),VLOOKUP(A442,[1]怪物!$R$80:$V$99,2,0))*10000)</f>
        <v/>
      </c>
      <c r="L442" t="str">
        <f>IF(A442="","",IF(K442=1,VLOOKUP(A442,[1]怪物!$R$80:$V$99,5,0),VLOOKUP(A442,[1]怪物!$R$80:$V$99,3,0))*10000)</f>
        <v/>
      </c>
      <c r="M442" t="str">
        <f t="shared" si="26"/>
        <v/>
      </c>
      <c r="N442" t="str">
        <f t="shared" si="27"/>
        <v/>
      </c>
    </row>
    <row r="443" spans="1:14">
      <c r="A443">
        <f t="shared" si="24"/>
        <v>20</v>
      </c>
      <c r="B443">
        <v>20</v>
      </c>
      <c r="C443" t="s">
        <v>47</v>
      </c>
      <c r="D443" t="s">
        <v>33</v>
      </c>
      <c r="E443">
        <v>1</v>
      </c>
      <c r="F443">
        <v>0</v>
      </c>
      <c r="G443">
        <v>2331</v>
      </c>
      <c r="H443" s="11" t="s">
        <v>36</v>
      </c>
      <c r="I443" t="str">
        <f t="shared" si="25"/>
        <v>[{1000,1,0,2331,41}]</v>
      </c>
      <c r="J443" t="s">
        <v>35</v>
      </c>
      <c r="K443" t="e">
        <f>IF(A443="","",IF(J443=1,VLOOKUP(A443,[1]怪物!$R$80:$V$99,4,0),VLOOKUP(A443,[1]怪物!$R$80:$V$99,2,0))*10000)</f>
        <v>#N/A</v>
      </c>
      <c r="L443" t="e">
        <f>IF(A443="","",IF(K443=1,VLOOKUP(A443,[1]怪物!$R$80:$V$99,5,0),VLOOKUP(A443,[1]怪物!$R$80:$V$99,3,0))*10000)</f>
        <v>#N/A</v>
      </c>
      <c r="M443">
        <f t="shared" si="26"/>
        <v>10000</v>
      </c>
      <c r="N443">
        <f t="shared" si="27"/>
        <v>10000</v>
      </c>
    </row>
    <row r="444" spans="1:14">
      <c r="A444">
        <f t="shared" si="24"/>
        <v>1</v>
      </c>
      <c r="B444">
        <v>1</v>
      </c>
      <c r="C444" t="s">
        <v>48</v>
      </c>
      <c r="D444" t="s">
        <v>33</v>
      </c>
      <c r="E444">
        <v>1</v>
      </c>
      <c r="F444">
        <v>1</v>
      </c>
      <c r="G444">
        <v>2401</v>
      </c>
      <c r="H444" t="s">
        <v>34</v>
      </c>
      <c r="I444" t="str">
        <f t="shared" si="25"/>
        <v>[{1000,1,1,2401,101}]</v>
      </c>
      <c r="J444" t="s">
        <v>35</v>
      </c>
      <c r="K444">
        <f>IF(A444="","",IF(J444=1,VLOOKUP(A444,[1]怪物!$R$80:$V$99,4,0),VLOOKUP(A444,[1]怪物!$R$80:$V$99,2,0))*10000)</f>
        <v>10000</v>
      </c>
      <c r="L444">
        <f>IF(A444="","",IF(K444=1,VLOOKUP(A444,[1]怪物!$R$80:$V$99,5,0),VLOOKUP(A444,[1]怪物!$R$80:$V$99,3,0))*10000)</f>
        <v>10000</v>
      </c>
      <c r="M444">
        <f t="shared" si="26"/>
        <v>10000</v>
      </c>
      <c r="N444">
        <f t="shared" si="27"/>
        <v>10000</v>
      </c>
    </row>
    <row r="445" spans="1:14">
      <c r="A445">
        <f t="shared" si="24"/>
        <v>2</v>
      </c>
      <c r="B445">
        <v>2</v>
      </c>
      <c r="C445" t="s">
        <v>48</v>
      </c>
      <c r="D445" t="s">
        <v>33</v>
      </c>
      <c r="E445">
        <v>1</v>
      </c>
      <c r="F445">
        <v>1</v>
      </c>
      <c r="G445">
        <v>2401</v>
      </c>
      <c r="H445" t="s">
        <v>34</v>
      </c>
      <c r="I445" t="str">
        <f t="shared" si="25"/>
        <v>[{1000,1,1,2401,101}]</v>
      </c>
      <c r="J445" t="s">
        <v>35</v>
      </c>
      <c r="K445">
        <f>IF(A445="","",IF(J445=1,VLOOKUP(A445,[1]怪物!$R$80:$V$99,4,0),VLOOKUP(A445,[1]怪物!$R$80:$V$99,2,0))*10000)</f>
        <v>10000</v>
      </c>
      <c r="L445">
        <f>IF(A445="","",IF(K445=1,VLOOKUP(A445,[1]怪物!$R$80:$V$99,5,0),VLOOKUP(A445,[1]怪物!$R$80:$V$99,3,0))*10000)</f>
        <v>10000</v>
      </c>
      <c r="M445">
        <f t="shared" si="26"/>
        <v>10000</v>
      </c>
      <c r="N445">
        <f t="shared" si="27"/>
        <v>10000</v>
      </c>
    </row>
    <row r="446" spans="1:14">
      <c r="A446">
        <f t="shared" si="24"/>
        <v>3</v>
      </c>
      <c r="B446">
        <v>3</v>
      </c>
      <c r="C446" t="s">
        <v>48</v>
      </c>
      <c r="D446" t="s">
        <v>33</v>
      </c>
      <c r="E446">
        <v>1</v>
      </c>
      <c r="F446">
        <v>1</v>
      </c>
      <c r="G446">
        <v>2401</v>
      </c>
      <c r="H446" t="s">
        <v>34</v>
      </c>
      <c r="I446" t="str">
        <f t="shared" si="25"/>
        <v>[{1000,1,1,2401,101}]</v>
      </c>
      <c r="J446" t="s">
        <v>35</v>
      </c>
      <c r="K446">
        <f>IF(A446="","",IF(J446=1,VLOOKUP(A446,[1]怪物!$R$80:$V$99,4,0),VLOOKUP(A446,[1]怪物!$R$80:$V$99,2,0))*10000)</f>
        <v>10000</v>
      </c>
      <c r="L446">
        <f>IF(A446="","",IF(K446=1,VLOOKUP(A446,[1]怪物!$R$80:$V$99,5,0),VLOOKUP(A446,[1]怪物!$R$80:$V$99,3,0))*10000)</f>
        <v>10000</v>
      </c>
      <c r="M446">
        <f t="shared" si="26"/>
        <v>10000</v>
      </c>
      <c r="N446">
        <f t="shared" si="27"/>
        <v>10000</v>
      </c>
    </row>
    <row r="447" spans="1:14">
      <c r="A447">
        <f t="shared" si="24"/>
        <v>4</v>
      </c>
      <c r="B447">
        <v>4</v>
      </c>
      <c r="C447" t="s">
        <v>48</v>
      </c>
      <c r="D447" t="s">
        <v>33</v>
      </c>
      <c r="E447">
        <v>1</v>
      </c>
      <c r="F447">
        <v>1</v>
      </c>
      <c r="G447">
        <v>2401</v>
      </c>
      <c r="H447" t="s">
        <v>34</v>
      </c>
      <c r="I447" t="str">
        <f t="shared" si="25"/>
        <v>[{1000,1,1,2401,101}]</v>
      </c>
      <c r="J447" t="s">
        <v>35</v>
      </c>
      <c r="K447">
        <f>IF(A447="","",IF(J447=1,VLOOKUP(A447,[1]怪物!$R$80:$V$99,4,0),VLOOKUP(A447,[1]怪物!$R$80:$V$99,2,0))*10000)</f>
        <v>10000</v>
      </c>
      <c r="L447">
        <f>IF(A447="","",IF(K447=1,VLOOKUP(A447,[1]怪物!$R$80:$V$99,5,0),VLOOKUP(A447,[1]怪物!$R$80:$V$99,3,0))*10000)</f>
        <v>10000</v>
      </c>
      <c r="M447">
        <f t="shared" si="26"/>
        <v>10000</v>
      </c>
      <c r="N447">
        <f t="shared" si="27"/>
        <v>10000</v>
      </c>
    </row>
    <row r="448" spans="1:14">
      <c r="A448">
        <f t="shared" si="24"/>
        <v>5</v>
      </c>
      <c r="B448">
        <v>5</v>
      </c>
      <c r="C448" t="s">
        <v>48</v>
      </c>
      <c r="D448" t="s">
        <v>33</v>
      </c>
      <c r="E448">
        <v>1</v>
      </c>
      <c r="F448">
        <v>1</v>
      </c>
      <c r="G448">
        <v>2401</v>
      </c>
      <c r="H448" t="s">
        <v>34</v>
      </c>
      <c r="I448" t="str">
        <f t="shared" si="25"/>
        <v>[{1000,1,1,2401,101}]</v>
      </c>
      <c r="J448" t="s">
        <v>35</v>
      </c>
      <c r="K448">
        <f>IF(A448="","",IF(J448=1,VLOOKUP(A448,[1]怪物!$R$80:$V$99,4,0),VLOOKUP(A448,[1]怪物!$R$80:$V$99,2,0))*10000)</f>
        <v>10000</v>
      </c>
      <c r="L448">
        <f>IF(A448="","",IF(K448=1,VLOOKUP(A448,[1]怪物!$R$80:$V$99,5,0),VLOOKUP(A448,[1]怪物!$R$80:$V$99,3,0))*10000)</f>
        <v>10000</v>
      </c>
      <c r="M448">
        <f t="shared" si="26"/>
        <v>10000</v>
      </c>
      <c r="N448">
        <f t="shared" si="27"/>
        <v>10000</v>
      </c>
    </row>
    <row r="449" spans="1:14">
      <c r="A449">
        <f t="shared" si="24"/>
        <v>6</v>
      </c>
      <c r="B449">
        <v>6</v>
      </c>
      <c r="C449" t="s">
        <v>48</v>
      </c>
      <c r="D449" t="s">
        <v>33</v>
      </c>
      <c r="E449">
        <v>1</v>
      </c>
      <c r="F449">
        <v>1</v>
      </c>
      <c r="G449">
        <v>2401</v>
      </c>
      <c r="H449" t="s">
        <v>34</v>
      </c>
      <c r="I449" t="str">
        <f t="shared" si="25"/>
        <v>[{1000,1,1,2401,101}]</v>
      </c>
      <c r="J449" t="s">
        <v>35</v>
      </c>
      <c r="K449">
        <f>IF(A449="","",IF(J449=1,VLOOKUP(A449,[1]怪物!$R$80:$V$99,4,0),VLOOKUP(A449,[1]怪物!$R$80:$V$99,2,0))*10000)</f>
        <v>15000</v>
      </c>
      <c r="L449">
        <f>IF(A449="","",IF(K449=1,VLOOKUP(A449,[1]怪物!$R$80:$V$99,5,0),VLOOKUP(A449,[1]怪物!$R$80:$V$99,3,0))*10000)</f>
        <v>15000</v>
      </c>
      <c r="M449">
        <f t="shared" si="26"/>
        <v>15000</v>
      </c>
      <c r="N449">
        <f t="shared" si="27"/>
        <v>15000</v>
      </c>
    </row>
    <row r="450" spans="1:14">
      <c r="A450">
        <f t="shared" ref="A450:A513" si="28">IF(E450="","",B450)</f>
        <v>7</v>
      </c>
      <c r="B450">
        <v>7</v>
      </c>
      <c r="C450" t="s">
        <v>48</v>
      </c>
      <c r="D450" t="s">
        <v>33</v>
      </c>
      <c r="E450">
        <v>1</v>
      </c>
      <c r="F450">
        <v>1</v>
      </c>
      <c r="G450">
        <v>2401</v>
      </c>
      <c r="H450" t="s">
        <v>34</v>
      </c>
      <c r="I450" t="str">
        <f t="shared" ref="I450:I513" si="29">_xlfn.TEXTJOIN(",",1,D450:H450)</f>
        <v>[{1000,1,1,2401,101}]</v>
      </c>
      <c r="J450" t="s">
        <v>35</v>
      </c>
      <c r="K450">
        <f>IF(A450="","",IF(J450=1,VLOOKUP(A450,[1]怪物!$R$80:$V$99,4,0),VLOOKUP(A450,[1]怪物!$R$80:$V$99,2,0))*10000)</f>
        <v>15000</v>
      </c>
      <c r="L450">
        <f>IF(A450="","",IF(K450=1,VLOOKUP(A450,[1]怪物!$R$80:$V$99,5,0),VLOOKUP(A450,[1]怪物!$R$80:$V$99,3,0))*10000)</f>
        <v>15000</v>
      </c>
      <c r="M450">
        <f t="shared" ref="M450:M513" si="30">IF(F450="","",IF(F450=0,10000,K450))</f>
        <v>15000</v>
      </c>
      <c r="N450">
        <f t="shared" ref="N450:N513" si="31">IF(F450="","",IF(F450=0,10000,L450))</f>
        <v>15000</v>
      </c>
    </row>
    <row r="451" spans="1:14">
      <c r="A451">
        <f t="shared" si="28"/>
        <v>7</v>
      </c>
      <c r="B451">
        <v>7</v>
      </c>
      <c r="C451" t="s">
        <v>48</v>
      </c>
      <c r="D451" t="s">
        <v>33</v>
      </c>
      <c r="E451">
        <v>1</v>
      </c>
      <c r="F451">
        <v>1</v>
      </c>
      <c r="G451">
        <v>2402</v>
      </c>
      <c r="H451" s="11" t="s">
        <v>37</v>
      </c>
      <c r="I451" t="str">
        <f t="shared" si="29"/>
        <v>[{1000,1,1,2402,401}]</v>
      </c>
      <c r="J451">
        <v>1</v>
      </c>
      <c r="K451">
        <f>IF(A451="","",IF(J451=1,VLOOKUP(A451,[1]怪物!$R$80:$V$99,4,0),VLOOKUP(A451,[1]怪物!$R$80:$V$99,2,0))*10000)</f>
        <v>13000</v>
      </c>
      <c r="L451">
        <f>IF(A451="","",IF(K451=1,VLOOKUP(A451,[1]怪物!$R$80:$V$99,5,0),VLOOKUP(A451,[1]怪物!$R$80:$V$99,3,0))*10000)</f>
        <v>15000</v>
      </c>
      <c r="M451">
        <f t="shared" si="30"/>
        <v>13000</v>
      </c>
      <c r="N451">
        <f t="shared" si="31"/>
        <v>15000</v>
      </c>
    </row>
    <row r="452" spans="1:14">
      <c r="A452">
        <f t="shared" si="28"/>
        <v>8</v>
      </c>
      <c r="B452">
        <v>8</v>
      </c>
      <c r="C452" t="s">
        <v>48</v>
      </c>
      <c r="D452" t="s">
        <v>33</v>
      </c>
      <c r="E452">
        <v>1</v>
      </c>
      <c r="F452">
        <v>1</v>
      </c>
      <c r="G452">
        <v>2401</v>
      </c>
      <c r="H452" t="s">
        <v>34</v>
      </c>
      <c r="I452" t="str">
        <f t="shared" si="29"/>
        <v>[{1000,1,1,2401,101}]</v>
      </c>
      <c r="J452" t="s">
        <v>35</v>
      </c>
      <c r="K452">
        <f>IF(A452="","",IF(J452=1,VLOOKUP(A452,[1]怪物!$R$80:$V$99,4,0),VLOOKUP(A452,[1]怪物!$R$80:$V$99,2,0))*10000)</f>
        <v>15000</v>
      </c>
      <c r="L452">
        <f>IF(A452="","",IF(K452=1,VLOOKUP(A452,[1]怪物!$R$80:$V$99,5,0),VLOOKUP(A452,[1]怪物!$R$80:$V$99,3,0))*10000)</f>
        <v>15000</v>
      </c>
      <c r="M452">
        <f t="shared" si="30"/>
        <v>15000</v>
      </c>
      <c r="N452">
        <f t="shared" si="31"/>
        <v>15000</v>
      </c>
    </row>
    <row r="453" spans="1:14">
      <c r="A453">
        <f t="shared" si="28"/>
        <v>8</v>
      </c>
      <c r="B453">
        <v>8</v>
      </c>
      <c r="C453" t="s">
        <v>48</v>
      </c>
      <c r="D453" t="s">
        <v>33</v>
      </c>
      <c r="E453">
        <v>1</v>
      </c>
      <c r="F453">
        <v>1</v>
      </c>
      <c r="G453">
        <v>2402</v>
      </c>
      <c r="H453" s="11" t="s">
        <v>37</v>
      </c>
      <c r="I453" t="str">
        <f t="shared" si="29"/>
        <v>[{1000,1,1,2402,401}]</v>
      </c>
      <c r="J453">
        <v>1</v>
      </c>
      <c r="K453">
        <f>IF(A453="","",IF(J453=1,VLOOKUP(A453,[1]怪物!$R$80:$V$99,4,0),VLOOKUP(A453,[1]怪物!$R$80:$V$99,2,0))*10000)</f>
        <v>13000</v>
      </c>
      <c r="L453">
        <f>IF(A453="","",IF(K453=1,VLOOKUP(A453,[1]怪物!$R$80:$V$99,5,0),VLOOKUP(A453,[1]怪物!$R$80:$V$99,3,0))*10000)</f>
        <v>15000</v>
      </c>
      <c r="M453">
        <f t="shared" si="30"/>
        <v>13000</v>
      </c>
      <c r="N453">
        <f t="shared" si="31"/>
        <v>15000</v>
      </c>
    </row>
    <row r="454" spans="1:14">
      <c r="A454">
        <f t="shared" si="28"/>
        <v>9</v>
      </c>
      <c r="B454">
        <v>9</v>
      </c>
      <c r="C454" t="s">
        <v>48</v>
      </c>
      <c r="D454" t="s">
        <v>33</v>
      </c>
      <c r="E454">
        <v>1</v>
      </c>
      <c r="F454">
        <v>1</v>
      </c>
      <c r="G454">
        <v>2401</v>
      </c>
      <c r="H454" t="s">
        <v>34</v>
      </c>
      <c r="I454" t="str">
        <f t="shared" si="29"/>
        <v>[{1000,1,1,2401,101}]</v>
      </c>
      <c r="J454" t="s">
        <v>35</v>
      </c>
      <c r="K454" t="e">
        <f>IF(A454="","",IF(J454=1,VLOOKUP(A454,[1]怪物!$R$80:$V$99,4,0),VLOOKUP(A454,[1]怪物!$R$80:$V$99,2,0))*10000)</f>
        <v>#N/A</v>
      </c>
      <c r="L454" t="e">
        <f>IF(A454="","",IF(K454=1,VLOOKUP(A454,[1]怪物!$R$80:$V$99,5,0),VLOOKUP(A454,[1]怪物!$R$80:$V$99,3,0))*10000)</f>
        <v>#N/A</v>
      </c>
      <c r="M454" t="e">
        <f t="shared" si="30"/>
        <v>#N/A</v>
      </c>
      <c r="N454" t="e">
        <f t="shared" si="31"/>
        <v>#N/A</v>
      </c>
    </row>
    <row r="455" spans="1:14">
      <c r="A455">
        <f t="shared" si="28"/>
        <v>9</v>
      </c>
      <c r="B455">
        <v>9</v>
      </c>
      <c r="C455" t="s">
        <v>48</v>
      </c>
      <c r="D455" t="s">
        <v>33</v>
      </c>
      <c r="E455">
        <v>1</v>
      </c>
      <c r="F455">
        <v>1</v>
      </c>
      <c r="G455">
        <v>2402</v>
      </c>
      <c r="H455" s="11" t="s">
        <v>37</v>
      </c>
      <c r="I455" t="str">
        <f t="shared" si="29"/>
        <v>[{1000,1,1,2402,401}]</v>
      </c>
      <c r="J455">
        <v>1</v>
      </c>
      <c r="K455" t="e">
        <f>IF(A455="","",IF(J455=1,VLOOKUP(A455,[1]怪物!$R$80:$V$99,4,0),VLOOKUP(A455,[1]怪物!$R$80:$V$99,2,0))*10000)</f>
        <v>#N/A</v>
      </c>
      <c r="L455" t="e">
        <f>IF(A455="","",IF(K455=1,VLOOKUP(A455,[1]怪物!$R$80:$V$99,5,0),VLOOKUP(A455,[1]怪物!$R$80:$V$99,3,0))*10000)</f>
        <v>#N/A</v>
      </c>
      <c r="M455" t="e">
        <f t="shared" si="30"/>
        <v>#N/A</v>
      </c>
      <c r="N455" t="e">
        <f t="shared" si="31"/>
        <v>#N/A</v>
      </c>
    </row>
    <row r="456" spans="1:14">
      <c r="A456">
        <f t="shared" si="28"/>
        <v>10</v>
      </c>
      <c r="B456">
        <v>10</v>
      </c>
      <c r="C456" t="s">
        <v>48</v>
      </c>
      <c r="D456" t="s">
        <v>33</v>
      </c>
      <c r="E456">
        <v>1</v>
      </c>
      <c r="F456">
        <v>1</v>
      </c>
      <c r="G456">
        <v>2401</v>
      </c>
      <c r="H456" t="s">
        <v>34</v>
      </c>
      <c r="I456" t="str">
        <f t="shared" si="29"/>
        <v>[{1000,1,1,2401,101}]</v>
      </c>
      <c r="J456" t="s">
        <v>35</v>
      </c>
      <c r="K456" t="e">
        <f>IF(A456="","",IF(J456=1,VLOOKUP(A456,[1]怪物!$R$80:$V$99,4,0),VLOOKUP(A456,[1]怪物!$R$80:$V$99,2,0))*10000)</f>
        <v>#N/A</v>
      </c>
      <c r="L456" t="e">
        <f>IF(A456="","",IF(K456=1,VLOOKUP(A456,[1]怪物!$R$80:$V$99,5,0),VLOOKUP(A456,[1]怪物!$R$80:$V$99,3,0))*10000)</f>
        <v>#N/A</v>
      </c>
      <c r="M456" t="e">
        <f t="shared" si="30"/>
        <v>#N/A</v>
      </c>
      <c r="N456" t="e">
        <f t="shared" si="31"/>
        <v>#N/A</v>
      </c>
    </row>
    <row r="457" spans="1:14">
      <c r="A457">
        <f t="shared" si="28"/>
        <v>10</v>
      </c>
      <c r="B457">
        <v>10</v>
      </c>
      <c r="C457" t="s">
        <v>48</v>
      </c>
      <c r="D457" t="s">
        <v>33</v>
      </c>
      <c r="E457">
        <v>1</v>
      </c>
      <c r="F457">
        <v>1</v>
      </c>
      <c r="G457">
        <v>2402</v>
      </c>
      <c r="H457" s="11" t="s">
        <v>37</v>
      </c>
      <c r="I457" t="str">
        <f t="shared" si="29"/>
        <v>[{1000,1,1,2402,401}]</v>
      </c>
      <c r="J457">
        <v>1</v>
      </c>
      <c r="K457" t="e">
        <f>IF(A457="","",IF(J457=1,VLOOKUP(A457,[1]怪物!$R$80:$V$99,4,0),VLOOKUP(A457,[1]怪物!$R$80:$V$99,2,0))*10000)</f>
        <v>#N/A</v>
      </c>
      <c r="L457" t="e">
        <f>IF(A457="","",IF(K457=1,VLOOKUP(A457,[1]怪物!$R$80:$V$99,5,0),VLOOKUP(A457,[1]怪物!$R$80:$V$99,3,0))*10000)</f>
        <v>#N/A</v>
      </c>
      <c r="M457" t="e">
        <f t="shared" si="30"/>
        <v>#N/A</v>
      </c>
      <c r="N457" t="e">
        <f t="shared" si="31"/>
        <v>#N/A</v>
      </c>
    </row>
    <row r="458" spans="1:14">
      <c r="A458" t="str">
        <f t="shared" si="28"/>
        <v/>
      </c>
      <c r="B458">
        <v>10</v>
      </c>
      <c r="C458" t="s">
        <v>48</v>
      </c>
      <c r="D458" t="s">
        <v>28</v>
      </c>
      <c r="I458" t="str">
        <f t="shared" si="29"/>
        <v>[]</v>
      </c>
      <c r="J458">
        <v>2</v>
      </c>
      <c r="K458" t="str">
        <f>IF(A458="","",IF(J458=1,VLOOKUP(A458,[1]怪物!$R$80:$V$99,4,0),VLOOKUP(A458,[1]怪物!$R$80:$V$99,2,0))*10000)</f>
        <v/>
      </c>
      <c r="L458" t="str">
        <f>IF(A458="","",IF(K458=1,VLOOKUP(A458,[1]怪物!$R$80:$V$99,5,0),VLOOKUP(A458,[1]怪物!$R$80:$V$99,3,0))*10000)</f>
        <v/>
      </c>
      <c r="M458" t="str">
        <f t="shared" si="30"/>
        <v/>
      </c>
      <c r="N458" t="str">
        <f t="shared" si="31"/>
        <v/>
      </c>
    </row>
    <row r="459" spans="1:14">
      <c r="A459">
        <f t="shared" si="28"/>
        <v>10</v>
      </c>
      <c r="B459">
        <v>10</v>
      </c>
      <c r="C459" t="s">
        <v>48</v>
      </c>
      <c r="D459" t="s">
        <v>33</v>
      </c>
      <c r="E459">
        <v>1</v>
      </c>
      <c r="F459">
        <v>0</v>
      </c>
      <c r="G459">
        <v>2421</v>
      </c>
      <c r="H459" t="s">
        <v>37</v>
      </c>
      <c r="I459" t="str">
        <f t="shared" si="29"/>
        <v>[{1000,1,0,2421,401}]</v>
      </c>
      <c r="J459">
        <v>1</v>
      </c>
      <c r="K459" t="e">
        <f>IF(A459="","",IF(J459=1,VLOOKUP(A459,[1]怪物!$R$80:$V$99,4,0),VLOOKUP(A459,[1]怪物!$R$80:$V$99,2,0))*10000)</f>
        <v>#N/A</v>
      </c>
      <c r="L459" t="e">
        <f>IF(A459="","",IF(K459=1,VLOOKUP(A459,[1]怪物!$R$80:$V$99,5,0),VLOOKUP(A459,[1]怪物!$R$80:$V$99,3,0))*10000)</f>
        <v>#N/A</v>
      </c>
      <c r="M459">
        <f t="shared" si="30"/>
        <v>10000</v>
      </c>
      <c r="N459">
        <f t="shared" si="31"/>
        <v>10000</v>
      </c>
    </row>
    <row r="460" spans="1:14">
      <c r="A460">
        <f t="shared" si="28"/>
        <v>11</v>
      </c>
      <c r="B460">
        <v>11</v>
      </c>
      <c r="C460" t="s">
        <v>48</v>
      </c>
      <c r="D460" t="s">
        <v>33</v>
      </c>
      <c r="E460">
        <v>1</v>
      </c>
      <c r="F460">
        <v>1</v>
      </c>
      <c r="G460">
        <v>2401</v>
      </c>
      <c r="H460" t="s">
        <v>34</v>
      </c>
      <c r="I460" t="str">
        <f t="shared" si="29"/>
        <v>[{1000,1,1,2401,101}]</v>
      </c>
      <c r="J460" t="s">
        <v>35</v>
      </c>
      <c r="K460" t="e">
        <f>IF(A460="","",IF(J460=1,VLOOKUP(A460,[1]怪物!$R$80:$V$99,4,0),VLOOKUP(A460,[1]怪物!$R$80:$V$99,2,0))*10000)</f>
        <v>#N/A</v>
      </c>
      <c r="L460" t="e">
        <f>IF(A460="","",IF(K460=1,VLOOKUP(A460,[1]怪物!$R$80:$V$99,5,0),VLOOKUP(A460,[1]怪物!$R$80:$V$99,3,0))*10000)</f>
        <v>#N/A</v>
      </c>
      <c r="M460" t="e">
        <f t="shared" si="30"/>
        <v>#N/A</v>
      </c>
      <c r="N460" t="e">
        <f t="shared" si="31"/>
        <v>#N/A</v>
      </c>
    </row>
    <row r="461" spans="1:14">
      <c r="A461">
        <f t="shared" si="28"/>
        <v>11</v>
      </c>
      <c r="B461">
        <v>11</v>
      </c>
      <c r="C461" t="s">
        <v>48</v>
      </c>
      <c r="D461" t="s">
        <v>33</v>
      </c>
      <c r="E461">
        <v>1</v>
      </c>
      <c r="F461">
        <v>1</v>
      </c>
      <c r="G461">
        <v>2402</v>
      </c>
      <c r="H461" s="11" t="s">
        <v>37</v>
      </c>
      <c r="I461" t="str">
        <f t="shared" si="29"/>
        <v>[{1000,1,1,2402,401}]</v>
      </c>
      <c r="J461">
        <v>1</v>
      </c>
      <c r="K461" t="e">
        <f>IF(A461="","",IF(J461=1,VLOOKUP(A461,[1]怪物!$R$80:$V$99,4,0),VLOOKUP(A461,[1]怪物!$R$80:$V$99,2,0))*10000)</f>
        <v>#N/A</v>
      </c>
      <c r="L461" t="e">
        <f>IF(A461="","",IF(K461=1,VLOOKUP(A461,[1]怪物!$R$80:$V$99,5,0),VLOOKUP(A461,[1]怪物!$R$80:$V$99,3,0))*10000)</f>
        <v>#N/A</v>
      </c>
      <c r="M461" t="e">
        <f t="shared" si="30"/>
        <v>#N/A</v>
      </c>
      <c r="N461" t="e">
        <f t="shared" si="31"/>
        <v>#N/A</v>
      </c>
    </row>
    <row r="462" spans="1:14">
      <c r="A462">
        <f t="shared" si="28"/>
        <v>12</v>
      </c>
      <c r="B462">
        <v>12</v>
      </c>
      <c r="C462" t="s">
        <v>48</v>
      </c>
      <c r="D462" t="s">
        <v>33</v>
      </c>
      <c r="E462">
        <v>1</v>
      </c>
      <c r="F462">
        <v>1</v>
      </c>
      <c r="G462">
        <v>2401</v>
      </c>
      <c r="H462" t="s">
        <v>34</v>
      </c>
      <c r="I462" t="str">
        <f t="shared" si="29"/>
        <v>[{1000,1,1,2401,101}]</v>
      </c>
      <c r="J462" t="s">
        <v>35</v>
      </c>
      <c r="K462" t="e">
        <f>IF(A462="","",IF(J462=1,VLOOKUP(A462,[1]怪物!$R$80:$V$99,4,0),VLOOKUP(A462,[1]怪物!$R$80:$V$99,2,0))*10000)</f>
        <v>#N/A</v>
      </c>
      <c r="L462" t="e">
        <f>IF(A462="","",IF(K462=1,VLOOKUP(A462,[1]怪物!$R$80:$V$99,5,0),VLOOKUP(A462,[1]怪物!$R$80:$V$99,3,0))*10000)</f>
        <v>#N/A</v>
      </c>
      <c r="M462" t="e">
        <f t="shared" si="30"/>
        <v>#N/A</v>
      </c>
      <c r="N462" t="e">
        <f t="shared" si="31"/>
        <v>#N/A</v>
      </c>
    </row>
    <row r="463" spans="1:14">
      <c r="A463">
        <f t="shared" si="28"/>
        <v>12</v>
      </c>
      <c r="B463">
        <v>12</v>
      </c>
      <c r="C463" t="s">
        <v>48</v>
      </c>
      <c r="D463" t="s">
        <v>33</v>
      </c>
      <c r="E463">
        <v>1</v>
      </c>
      <c r="F463">
        <v>1</v>
      </c>
      <c r="G463">
        <v>2402</v>
      </c>
      <c r="H463" s="11" t="s">
        <v>37</v>
      </c>
      <c r="I463" t="str">
        <f t="shared" si="29"/>
        <v>[{1000,1,1,2402,401}]</v>
      </c>
      <c r="J463">
        <v>1</v>
      </c>
      <c r="K463" t="e">
        <f>IF(A463="","",IF(J463=1,VLOOKUP(A463,[1]怪物!$R$80:$V$99,4,0),VLOOKUP(A463,[1]怪物!$R$80:$V$99,2,0))*10000)</f>
        <v>#N/A</v>
      </c>
      <c r="L463" t="e">
        <f>IF(A463="","",IF(K463=1,VLOOKUP(A463,[1]怪物!$R$80:$V$99,5,0),VLOOKUP(A463,[1]怪物!$R$80:$V$99,3,0))*10000)</f>
        <v>#N/A</v>
      </c>
      <c r="M463" t="e">
        <f t="shared" si="30"/>
        <v>#N/A</v>
      </c>
      <c r="N463" t="e">
        <f t="shared" si="31"/>
        <v>#N/A</v>
      </c>
    </row>
    <row r="464" spans="1:14">
      <c r="A464">
        <f t="shared" si="28"/>
        <v>13</v>
      </c>
      <c r="B464">
        <v>13</v>
      </c>
      <c r="C464" t="s">
        <v>48</v>
      </c>
      <c r="D464" t="s">
        <v>33</v>
      </c>
      <c r="E464">
        <v>1</v>
      </c>
      <c r="F464">
        <v>1</v>
      </c>
      <c r="G464">
        <v>2401</v>
      </c>
      <c r="H464" t="s">
        <v>34</v>
      </c>
      <c r="I464" t="str">
        <f t="shared" si="29"/>
        <v>[{1000,1,1,2401,101}]</v>
      </c>
      <c r="J464" t="s">
        <v>35</v>
      </c>
      <c r="K464" t="e">
        <f>IF(A464="","",IF(J464=1,VLOOKUP(A464,[1]怪物!$R$80:$V$99,4,0),VLOOKUP(A464,[1]怪物!$R$80:$V$99,2,0))*10000)</f>
        <v>#N/A</v>
      </c>
      <c r="L464" t="e">
        <f>IF(A464="","",IF(K464=1,VLOOKUP(A464,[1]怪物!$R$80:$V$99,5,0),VLOOKUP(A464,[1]怪物!$R$80:$V$99,3,0))*10000)</f>
        <v>#N/A</v>
      </c>
      <c r="M464" t="e">
        <f t="shared" si="30"/>
        <v>#N/A</v>
      </c>
      <c r="N464" t="e">
        <f t="shared" si="31"/>
        <v>#N/A</v>
      </c>
    </row>
    <row r="465" spans="1:14">
      <c r="A465">
        <f t="shared" si="28"/>
        <v>13</v>
      </c>
      <c r="B465">
        <v>13</v>
      </c>
      <c r="C465" t="s">
        <v>48</v>
      </c>
      <c r="D465" t="s">
        <v>33</v>
      </c>
      <c r="E465">
        <v>1</v>
      </c>
      <c r="F465">
        <v>1</v>
      </c>
      <c r="G465">
        <v>2402</v>
      </c>
      <c r="H465" s="11" t="s">
        <v>37</v>
      </c>
      <c r="I465" t="str">
        <f t="shared" si="29"/>
        <v>[{1000,1,1,2402,401}]</v>
      </c>
      <c r="J465">
        <v>1</v>
      </c>
      <c r="K465" t="e">
        <f>IF(A465="","",IF(J465=1,VLOOKUP(A465,[1]怪物!$R$80:$V$99,4,0),VLOOKUP(A465,[1]怪物!$R$80:$V$99,2,0))*10000)</f>
        <v>#N/A</v>
      </c>
      <c r="L465" t="e">
        <f>IF(A465="","",IF(K465=1,VLOOKUP(A465,[1]怪物!$R$80:$V$99,5,0),VLOOKUP(A465,[1]怪物!$R$80:$V$99,3,0))*10000)</f>
        <v>#N/A</v>
      </c>
      <c r="M465" t="e">
        <f t="shared" si="30"/>
        <v>#N/A</v>
      </c>
      <c r="N465" t="e">
        <f t="shared" si="31"/>
        <v>#N/A</v>
      </c>
    </row>
    <row r="466" spans="1:14">
      <c r="A466">
        <f t="shared" si="28"/>
        <v>14</v>
      </c>
      <c r="B466">
        <v>14</v>
      </c>
      <c r="C466" t="s">
        <v>48</v>
      </c>
      <c r="D466" t="s">
        <v>33</v>
      </c>
      <c r="E466">
        <v>1</v>
      </c>
      <c r="F466">
        <v>1</v>
      </c>
      <c r="G466">
        <v>2401</v>
      </c>
      <c r="H466" t="s">
        <v>34</v>
      </c>
      <c r="I466" t="str">
        <f t="shared" si="29"/>
        <v>[{1000,1,1,2401,101}]</v>
      </c>
      <c r="J466" t="s">
        <v>35</v>
      </c>
      <c r="K466" t="e">
        <f>IF(A466="","",IF(J466=1,VLOOKUP(A466,[1]怪物!$R$80:$V$99,4,0),VLOOKUP(A466,[1]怪物!$R$80:$V$99,2,0))*10000)</f>
        <v>#N/A</v>
      </c>
      <c r="L466" t="e">
        <f>IF(A466="","",IF(K466=1,VLOOKUP(A466,[1]怪物!$R$80:$V$99,5,0),VLOOKUP(A466,[1]怪物!$R$80:$V$99,3,0))*10000)</f>
        <v>#N/A</v>
      </c>
      <c r="M466" t="e">
        <f t="shared" si="30"/>
        <v>#N/A</v>
      </c>
      <c r="N466" t="e">
        <f t="shared" si="31"/>
        <v>#N/A</v>
      </c>
    </row>
    <row r="467" spans="1:14">
      <c r="A467">
        <f t="shared" si="28"/>
        <v>14</v>
      </c>
      <c r="B467">
        <v>14</v>
      </c>
      <c r="C467" t="s">
        <v>48</v>
      </c>
      <c r="D467" t="s">
        <v>33</v>
      </c>
      <c r="E467">
        <v>1</v>
      </c>
      <c r="F467">
        <v>1</v>
      </c>
      <c r="G467">
        <v>2402</v>
      </c>
      <c r="H467" s="11" t="s">
        <v>37</v>
      </c>
      <c r="I467" t="str">
        <f t="shared" si="29"/>
        <v>[{1000,1,1,2402,401}]</v>
      </c>
      <c r="J467">
        <v>1</v>
      </c>
      <c r="K467" t="e">
        <f>IF(A467="","",IF(J467=1,VLOOKUP(A467,[1]怪物!$R$80:$V$99,4,0),VLOOKUP(A467,[1]怪物!$R$80:$V$99,2,0))*10000)</f>
        <v>#N/A</v>
      </c>
      <c r="L467" t="e">
        <f>IF(A467="","",IF(K467=1,VLOOKUP(A467,[1]怪物!$R$80:$V$99,5,0),VLOOKUP(A467,[1]怪物!$R$80:$V$99,3,0))*10000)</f>
        <v>#N/A</v>
      </c>
      <c r="M467" t="e">
        <f t="shared" si="30"/>
        <v>#N/A</v>
      </c>
      <c r="N467" t="e">
        <f t="shared" si="31"/>
        <v>#N/A</v>
      </c>
    </row>
    <row r="468" spans="1:14">
      <c r="A468">
        <f t="shared" si="28"/>
        <v>14</v>
      </c>
      <c r="B468">
        <v>14</v>
      </c>
      <c r="C468" t="s">
        <v>48</v>
      </c>
      <c r="D468" t="s">
        <v>33</v>
      </c>
      <c r="E468">
        <v>1</v>
      </c>
      <c r="F468">
        <v>1</v>
      </c>
      <c r="G468">
        <v>2403</v>
      </c>
      <c r="H468" s="11" t="s">
        <v>34</v>
      </c>
      <c r="I468" t="str">
        <f t="shared" si="29"/>
        <v>[{1000,1,1,2403,101}]</v>
      </c>
      <c r="J468" t="s">
        <v>35</v>
      </c>
      <c r="K468" t="e">
        <f>IF(A468="","",IF(J468=1,VLOOKUP(A468,[1]怪物!$R$80:$V$99,4,0),VLOOKUP(A468,[1]怪物!$R$80:$V$99,2,0))*10000)</f>
        <v>#N/A</v>
      </c>
      <c r="L468" t="e">
        <f>IF(A468="","",IF(K468=1,VLOOKUP(A468,[1]怪物!$R$80:$V$99,5,0),VLOOKUP(A468,[1]怪物!$R$80:$V$99,3,0))*10000)</f>
        <v>#N/A</v>
      </c>
      <c r="M468" t="e">
        <f t="shared" si="30"/>
        <v>#N/A</v>
      </c>
      <c r="N468" t="e">
        <f t="shared" si="31"/>
        <v>#N/A</v>
      </c>
    </row>
    <row r="469" spans="1:14">
      <c r="A469">
        <f t="shared" si="28"/>
        <v>15</v>
      </c>
      <c r="B469">
        <v>15</v>
      </c>
      <c r="C469" t="s">
        <v>48</v>
      </c>
      <c r="D469" t="s">
        <v>33</v>
      </c>
      <c r="E469">
        <v>1</v>
      </c>
      <c r="F469">
        <v>1</v>
      </c>
      <c r="G469">
        <v>2401</v>
      </c>
      <c r="H469" t="s">
        <v>34</v>
      </c>
      <c r="I469" t="str">
        <f t="shared" si="29"/>
        <v>[{1000,1,1,2401,101}]</v>
      </c>
      <c r="J469" t="s">
        <v>35</v>
      </c>
      <c r="K469" t="e">
        <f>IF(A469="","",IF(J469=1,VLOOKUP(A469,[1]怪物!$R$80:$V$99,4,0),VLOOKUP(A469,[1]怪物!$R$80:$V$99,2,0))*10000)</f>
        <v>#N/A</v>
      </c>
      <c r="L469" t="e">
        <f>IF(A469="","",IF(K469=1,VLOOKUP(A469,[1]怪物!$R$80:$V$99,5,0),VLOOKUP(A469,[1]怪物!$R$80:$V$99,3,0))*10000)</f>
        <v>#N/A</v>
      </c>
      <c r="M469" t="e">
        <f t="shared" si="30"/>
        <v>#N/A</v>
      </c>
      <c r="N469" t="e">
        <f t="shared" si="31"/>
        <v>#N/A</v>
      </c>
    </row>
    <row r="470" spans="1:14">
      <c r="A470">
        <f t="shared" si="28"/>
        <v>15</v>
      </c>
      <c r="B470">
        <v>15</v>
      </c>
      <c r="C470" t="s">
        <v>48</v>
      </c>
      <c r="D470" t="s">
        <v>33</v>
      </c>
      <c r="E470">
        <v>1</v>
      </c>
      <c r="F470">
        <v>1</v>
      </c>
      <c r="G470">
        <v>2402</v>
      </c>
      <c r="H470" s="11" t="s">
        <v>37</v>
      </c>
      <c r="I470" t="str">
        <f t="shared" si="29"/>
        <v>[{1000,1,1,2402,401}]</v>
      </c>
      <c r="J470">
        <v>1</v>
      </c>
      <c r="K470" t="e">
        <f>IF(A470="","",IF(J470=1,VLOOKUP(A470,[1]怪物!$R$80:$V$99,4,0),VLOOKUP(A470,[1]怪物!$R$80:$V$99,2,0))*10000)</f>
        <v>#N/A</v>
      </c>
      <c r="L470" t="e">
        <f>IF(A470="","",IF(K470=1,VLOOKUP(A470,[1]怪物!$R$80:$V$99,5,0),VLOOKUP(A470,[1]怪物!$R$80:$V$99,3,0))*10000)</f>
        <v>#N/A</v>
      </c>
      <c r="M470" t="e">
        <f t="shared" si="30"/>
        <v>#N/A</v>
      </c>
      <c r="N470" t="e">
        <f t="shared" si="31"/>
        <v>#N/A</v>
      </c>
    </row>
    <row r="471" spans="1:14">
      <c r="A471">
        <f t="shared" si="28"/>
        <v>15</v>
      </c>
      <c r="B471">
        <v>15</v>
      </c>
      <c r="C471" t="s">
        <v>48</v>
      </c>
      <c r="D471" t="s">
        <v>33</v>
      </c>
      <c r="E471">
        <v>1</v>
      </c>
      <c r="F471">
        <v>1</v>
      </c>
      <c r="G471">
        <v>2403</v>
      </c>
      <c r="H471" s="11" t="s">
        <v>34</v>
      </c>
      <c r="I471" t="str">
        <f t="shared" si="29"/>
        <v>[{1000,1,1,2403,101}]</v>
      </c>
      <c r="J471" t="s">
        <v>35</v>
      </c>
      <c r="K471" t="e">
        <f>IF(A471="","",IF(J471=1,VLOOKUP(A471,[1]怪物!$R$80:$V$99,4,0),VLOOKUP(A471,[1]怪物!$R$80:$V$99,2,0))*10000)</f>
        <v>#N/A</v>
      </c>
      <c r="L471" t="e">
        <f>IF(A471="","",IF(K471=1,VLOOKUP(A471,[1]怪物!$R$80:$V$99,5,0),VLOOKUP(A471,[1]怪物!$R$80:$V$99,3,0))*10000)</f>
        <v>#N/A</v>
      </c>
      <c r="M471" t="e">
        <f t="shared" si="30"/>
        <v>#N/A</v>
      </c>
      <c r="N471" t="e">
        <f t="shared" si="31"/>
        <v>#N/A</v>
      </c>
    </row>
    <row r="472" spans="1:14">
      <c r="A472">
        <f t="shared" si="28"/>
        <v>16</v>
      </c>
      <c r="B472">
        <v>16</v>
      </c>
      <c r="C472" t="s">
        <v>48</v>
      </c>
      <c r="D472" t="s">
        <v>33</v>
      </c>
      <c r="E472">
        <v>1</v>
      </c>
      <c r="F472">
        <v>1</v>
      </c>
      <c r="G472">
        <v>2401</v>
      </c>
      <c r="H472" t="s">
        <v>34</v>
      </c>
      <c r="I472" t="str">
        <f t="shared" si="29"/>
        <v>[{1000,1,1,2401,101}]</v>
      </c>
      <c r="J472" t="s">
        <v>35</v>
      </c>
      <c r="K472" t="e">
        <f>IF(A472="","",IF(J472=1,VLOOKUP(A472,[1]怪物!$R$80:$V$99,4,0),VLOOKUP(A472,[1]怪物!$R$80:$V$99,2,0))*10000)</f>
        <v>#N/A</v>
      </c>
      <c r="L472" t="e">
        <f>IF(A472="","",IF(K472=1,VLOOKUP(A472,[1]怪物!$R$80:$V$99,5,0),VLOOKUP(A472,[1]怪物!$R$80:$V$99,3,0))*10000)</f>
        <v>#N/A</v>
      </c>
      <c r="M472" t="e">
        <f t="shared" si="30"/>
        <v>#N/A</v>
      </c>
      <c r="N472" t="e">
        <f t="shared" si="31"/>
        <v>#N/A</v>
      </c>
    </row>
    <row r="473" spans="1:14">
      <c r="A473">
        <f t="shared" si="28"/>
        <v>16</v>
      </c>
      <c r="B473">
        <v>16</v>
      </c>
      <c r="C473" t="s">
        <v>48</v>
      </c>
      <c r="D473" t="s">
        <v>33</v>
      </c>
      <c r="E473">
        <v>1</v>
      </c>
      <c r="F473">
        <v>1</v>
      </c>
      <c r="G473">
        <v>2402</v>
      </c>
      <c r="H473" s="11" t="s">
        <v>37</v>
      </c>
      <c r="I473" t="str">
        <f t="shared" si="29"/>
        <v>[{1000,1,1,2402,401}]</v>
      </c>
      <c r="J473">
        <v>1</v>
      </c>
      <c r="K473" t="e">
        <f>IF(A473="","",IF(J473=1,VLOOKUP(A473,[1]怪物!$R$80:$V$99,4,0),VLOOKUP(A473,[1]怪物!$R$80:$V$99,2,0))*10000)</f>
        <v>#N/A</v>
      </c>
      <c r="L473" t="e">
        <f>IF(A473="","",IF(K473=1,VLOOKUP(A473,[1]怪物!$R$80:$V$99,5,0),VLOOKUP(A473,[1]怪物!$R$80:$V$99,3,0))*10000)</f>
        <v>#N/A</v>
      </c>
      <c r="M473" t="e">
        <f t="shared" si="30"/>
        <v>#N/A</v>
      </c>
      <c r="N473" t="e">
        <f t="shared" si="31"/>
        <v>#N/A</v>
      </c>
    </row>
    <row r="474" spans="1:14">
      <c r="A474">
        <f t="shared" si="28"/>
        <v>16</v>
      </c>
      <c r="B474">
        <v>16</v>
      </c>
      <c r="C474" t="s">
        <v>48</v>
      </c>
      <c r="D474" t="s">
        <v>33</v>
      </c>
      <c r="E474">
        <v>1</v>
      </c>
      <c r="F474">
        <v>1</v>
      </c>
      <c r="G474">
        <v>2403</v>
      </c>
      <c r="H474" s="11" t="s">
        <v>34</v>
      </c>
      <c r="I474" t="str">
        <f t="shared" si="29"/>
        <v>[{1000,1,1,2403,101}]</v>
      </c>
      <c r="J474" t="s">
        <v>35</v>
      </c>
      <c r="K474" t="e">
        <f>IF(A474="","",IF(J474=1,VLOOKUP(A474,[1]怪物!$R$80:$V$99,4,0),VLOOKUP(A474,[1]怪物!$R$80:$V$99,2,0))*10000)</f>
        <v>#N/A</v>
      </c>
      <c r="L474" t="e">
        <f>IF(A474="","",IF(K474=1,VLOOKUP(A474,[1]怪物!$R$80:$V$99,5,0),VLOOKUP(A474,[1]怪物!$R$80:$V$99,3,0))*10000)</f>
        <v>#N/A</v>
      </c>
      <c r="M474" t="e">
        <f t="shared" si="30"/>
        <v>#N/A</v>
      </c>
      <c r="N474" t="e">
        <f t="shared" si="31"/>
        <v>#N/A</v>
      </c>
    </row>
    <row r="475" spans="1:14">
      <c r="A475">
        <f t="shared" si="28"/>
        <v>17</v>
      </c>
      <c r="B475">
        <v>17</v>
      </c>
      <c r="C475" t="s">
        <v>48</v>
      </c>
      <c r="D475" t="s">
        <v>33</v>
      </c>
      <c r="E475">
        <v>1</v>
      </c>
      <c r="F475">
        <v>1</v>
      </c>
      <c r="G475">
        <v>2401</v>
      </c>
      <c r="H475" t="s">
        <v>34</v>
      </c>
      <c r="I475" t="str">
        <f t="shared" si="29"/>
        <v>[{1000,1,1,2401,101}]</v>
      </c>
      <c r="J475" t="s">
        <v>35</v>
      </c>
      <c r="K475" t="e">
        <f>IF(A475="","",IF(J475=1,VLOOKUP(A475,[1]怪物!$R$80:$V$99,4,0),VLOOKUP(A475,[1]怪物!$R$80:$V$99,2,0))*10000)</f>
        <v>#N/A</v>
      </c>
      <c r="L475" t="e">
        <f>IF(A475="","",IF(K475=1,VLOOKUP(A475,[1]怪物!$R$80:$V$99,5,0),VLOOKUP(A475,[1]怪物!$R$80:$V$99,3,0))*10000)</f>
        <v>#N/A</v>
      </c>
      <c r="M475" t="e">
        <f t="shared" si="30"/>
        <v>#N/A</v>
      </c>
      <c r="N475" t="e">
        <f t="shared" si="31"/>
        <v>#N/A</v>
      </c>
    </row>
    <row r="476" spans="1:14">
      <c r="A476">
        <f t="shared" si="28"/>
        <v>17</v>
      </c>
      <c r="B476">
        <v>17</v>
      </c>
      <c r="C476" t="s">
        <v>48</v>
      </c>
      <c r="D476" t="s">
        <v>33</v>
      </c>
      <c r="E476">
        <v>1</v>
      </c>
      <c r="F476">
        <v>1</v>
      </c>
      <c r="G476">
        <v>2402</v>
      </c>
      <c r="H476" s="11" t="s">
        <v>37</v>
      </c>
      <c r="I476" t="str">
        <f t="shared" si="29"/>
        <v>[{1000,1,1,2402,401}]</v>
      </c>
      <c r="J476">
        <v>1</v>
      </c>
      <c r="K476" t="e">
        <f>IF(A476="","",IF(J476=1,VLOOKUP(A476,[1]怪物!$R$80:$V$99,4,0),VLOOKUP(A476,[1]怪物!$R$80:$V$99,2,0))*10000)</f>
        <v>#N/A</v>
      </c>
      <c r="L476" t="e">
        <f>IF(A476="","",IF(K476=1,VLOOKUP(A476,[1]怪物!$R$80:$V$99,5,0),VLOOKUP(A476,[1]怪物!$R$80:$V$99,3,0))*10000)</f>
        <v>#N/A</v>
      </c>
      <c r="M476" t="e">
        <f t="shared" si="30"/>
        <v>#N/A</v>
      </c>
      <c r="N476" t="e">
        <f t="shared" si="31"/>
        <v>#N/A</v>
      </c>
    </row>
    <row r="477" spans="1:14">
      <c r="A477">
        <f t="shared" si="28"/>
        <v>17</v>
      </c>
      <c r="B477">
        <v>17</v>
      </c>
      <c r="C477" t="s">
        <v>48</v>
      </c>
      <c r="D477" t="s">
        <v>33</v>
      </c>
      <c r="E477">
        <v>1</v>
      </c>
      <c r="F477">
        <v>1</v>
      </c>
      <c r="G477">
        <v>2403</v>
      </c>
      <c r="H477" s="11" t="s">
        <v>34</v>
      </c>
      <c r="I477" t="str">
        <f t="shared" si="29"/>
        <v>[{1000,1,1,2403,101}]</v>
      </c>
      <c r="J477" t="s">
        <v>35</v>
      </c>
      <c r="K477" t="e">
        <f>IF(A477="","",IF(J477=1,VLOOKUP(A477,[1]怪物!$R$80:$V$99,4,0),VLOOKUP(A477,[1]怪物!$R$80:$V$99,2,0))*10000)</f>
        <v>#N/A</v>
      </c>
      <c r="L477" t="e">
        <f>IF(A477="","",IF(K477=1,VLOOKUP(A477,[1]怪物!$R$80:$V$99,5,0),VLOOKUP(A477,[1]怪物!$R$80:$V$99,3,0))*10000)</f>
        <v>#N/A</v>
      </c>
      <c r="M477" t="e">
        <f t="shared" si="30"/>
        <v>#N/A</v>
      </c>
      <c r="N477" t="e">
        <f t="shared" si="31"/>
        <v>#N/A</v>
      </c>
    </row>
    <row r="478" spans="1:14">
      <c r="A478">
        <f t="shared" si="28"/>
        <v>18</v>
      </c>
      <c r="B478">
        <v>18</v>
      </c>
      <c r="C478" t="s">
        <v>48</v>
      </c>
      <c r="D478" t="s">
        <v>33</v>
      </c>
      <c r="E478">
        <v>1</v>
      </c>
      <c r="F478">
        <v>1</v>
      </c>
      <c r="G478">
        <v>2401</v>
      </c>
      <c r="H478" t="s">
        <v>34</v>
      </c>
      <c r="I478" t="str">
        <f t="shared" si="29"/>
        <v>[{1000,1,1,2401,101}]</v>
      </c>
      <c r="J478" t="s">
        <v>35</v>
      </c>
      <c r="K478" t="e">
        <f>IF(A478="","",IF(J478=1,VLOOKUP(A478,[1]怪物!$R$80:$V$99,4,0),VLOOKUP(A478,[1]怪物!$R$80:$V$99,2,0))*10000)</f>
        <v>#N/A</v>
      </c>
      <c r="L478" t="e">
        <f>IF(A478="","",IF(K478=1,VLOOKUP(A478,[1]怪物!$R$80:$V$99,5,0),VLOOKUP(A478,[1]怪物!$R$80:$V$99,3,0))*10000)</f>
        <v>#N/A</v>
      </c>
      <c r="M478" t="e">
        <f t="shared" si="30"/>
        <v>#N/A</v>
      </c>
      <c r="N478" t="e">
        <f t="shared" si="31"/>
        <v>#N/A</v>
      </c>
    </row>
    <row r="479" spans="1:14">
      <c r="A479">
        <f t="shared" si="28"/>
        <v>18</v>
      </c>
      <c r="B479">
        <v>18</v>
      </c>
      <c r="C479" t="s">
        <v>48</v>
      </c>
      <c r="D479" t="s">
        <v>33</v>
      </c>
      <c r="E479">
        <v>1</v>
      </c>
      <c r="F479">
        <v>1</v>
      </c>
      <c r="G479">
        <v>2402</v>
      </c>
      <c r="H479" s="11" t="s">
        <v>37</v>
      </c>
      <c r="I479" t="str">
        <f t="shared" si="29"/>
        <v>[{1000,1,1,2402,401}]</v>
      </c>
      <c r="J479">
        <v>1</v>
      </c>
      <c r="K479" t="e">
        <f>IF(A479="","",IF(J479=1,VLOOKUP(A479,[1]怪物!$R$80:$V$99,4,0),VLOOKUP(A479,[1]怪物!$R$80:$V$99,2,0))*10000)</f>
        <v>#N/A</v>
      </c>
      <c r="L479" t="e">
        <f>IF(A479="","",IF(K479=1,VLOOKUP(A479,[1]怪物!$R$80:$V$99,5,0),VLOOKUP(A479,[1]怪物!$R$80:$V$99,3,0))*10000)</f>
        <v>#N/A</v>
      </c>
      <c r="M479" t="e">
        <f t="shared" si="30"/>
        <v>#N/A</v>
      </c>
      <c r="N479" t="e">
        <f t="shared" si="31"/>
        <v>#N/A</v>
      </c>
    </row>
    <row r="480" spans="1:14">
      <c r="A480">
        <f t="shared" si="28"/>
        <v>18</v>
      </c>
      <c r="B480">
        <v>18</v>
      </c>
      <c r="C480" t="s">
        <v>48</v>
      </c>
      <c r="D480" t="s">
        <v>33</v>
      </c>
      <c r="E480">
        <v>1</v>
      </c>
      <c r="F480">
        <v>1</v>
      </c>
      <c r="G480">
        <v>2403</v>
      </c>
      <c r="H480" s="11" t="s">
        <v>34</v>
      </c>
      <c r="I480" t="str">
        <f t="shared" si="29"/>
        <v>[{1000,1,1,2403,101}]</v>
      </c>
      <c r="J480" t="s">
        <v>35</v>
      </c>
      <c r="K480" t="e">
        <f>IF(A480="","",IF(J480=1,VLOOKUP(A480,[1]怪物!$R$80:$V$99,4,0),VLOOKUP(A480,[1]怪物!$R$80:$V$99,2,0))*10000)</f>
        <v>#N/A</v>
      </c>
      <c r="L480" t="e">
        <f>IF(A480="","",IF(K480=1,VLOOKUP(A480,[1]怪物!$R$80:$V$99,5,0),VLOOKUP(A480,[1]怪物!$R$80:$V$99,3,0))*10000)</f>
        <v>#N/A</v>
      </c>
      <c r="M480" t="e">
        <f t="shared" si="30"/>
        <v>#N/A</v>
      </c>
      <c r="N480" t="e">
        <f t="shared" si="31"/>
        <v>#N/A</v>
      </c>
    </row>
    <row r="481" spans="1:14">
      <c r="A481">
        <f t="shared" si="28"/>
        <v>19</v>
      </c>
      <c r="B481">
        <v>19</v>
      </c>
      <c r="C481" t="s">
        <v>48</v>
      </c>
      <c r="D481" t="s">
        <v>33</v>
      </c>
      <c r="E481">
        <v>1</v>
      </c>
      <c r="F481">
        <v>1</v>
      </c>
      <c r="G481">
        <v>2401</v>
      </c>
      <c r="H481" t="s">
        <v>34</v>
      </c>
      <c r="I481" t="str">
        <f t="shared" si="29"/>
        <v>[{1000,1,1,2401,101}]</v>
      </c>
      <c r="J481" t="s">
        <v>35</v>
      </c>
      <c r="K481" t="e">
        <f>IF(A481="","",IF(J481=1,VLOOKUP(A481,[1]怪物!$R$80:$V$99,4,0),VLOOKUP(A481,[1]怪物!$R$80:$V$99,2,0))*10000)</f>
        <v>#N/A</v>
      </c>
      <c r="L481" t="e">
        <f>IF(A481="","",IF(K481=1,VLOOKUP(A481,[1]怪物!$R$80:$V$99,5,0),VLOOKUP(A481,[1]怪物!$R$80:$V$99,3,0))*10000)</f>
        <v>#N/A</v>
      </c>
      <c r="M481" t="e">
        <f t="shared" si="30"/>
        <v>#N/A</v>
      </c>
      <c r="N481" t="e">
        <f t="shared" si="31"/>
        <v>#N/A</v>
      </c>
    </row>
    <row r="482" spans="1:14">
      <c r="A482">
        <f t="shared" si="28"/>
        <v>19</v>
      </c>
      <c r="B482">
        <v>19</v>
      </c>
      <c r="C482" t="s">
        <v>48</v>
      </c>
      <c r="D482" t="s">
        <v>33</v>
      </c>
      <c r="E482">
        <v>1</v>
      </c>
      <c r="F482">
        <v>1</v>
      </c>
      <c r="G482">
        <v>2402</v>
      </c>
      <c r="H482" s="11" t="s">
        <v>37</v>
      </c>
      <c r="I482" t="str">
        <f t="shared" si="29"/>
        <v>[{1000,1,1,2402,401}]</v>
      </c>
      <c r="J482">
        <v>1</v>
      </c>
      <c r="K482" t="e">
        <f>IF(A482="","",IF(J482=1,VLOOKUP(A482,[1]怪物!$R$80:$V$99,4,0),VLOOKUP(A482,[1]怪物!$R$80:$V$99,2,0))*10000)</f>
        <v>#N/A</v>
      </c>
      <c r="L482" t="e">
        <f>IF(A482="","",IF(K482=1,VLOOKUP(A482,[1]怪物!$R$80:$V$99,5,0),VLOOKUP(A482,[1]怪物!$R$80:$V$99,3,0))*10000)</f>
        <v>#N/A</v>
      </c>
      <c r="M482" t="e">
        <f t="shared" si="30"/>
        <v>#N/A</v>
      </c>
      <c r="N482" t="e">
        <f t="shared" si="31"/>
        <v>#N/A</v>
      </c>
    </row>
    <row r="483" spans="1:14">
      <c r="A483">
        <f t="shared" si="28"/>
        <v>19</v>
      </c>
      <c r="B483">
        <v>19</v>
      </c>
      <c r="C483" t="s">
        <v>48</v>
      </c>
      <c r="D483" t="s">
        <v>33</v>
      </c>
      <c r="E483">
        <v>1</v>
      </c>
      <c r="F483">
        <v>1</v>
      </c>
      <c r="G483">
        <v>2403</v>
      </c>
      <c r="H483" s="11" t="s">
        <v>34</v>
      </c>
      <c r="I483" t="str">
        <f t="shared" si="29"/>
        <v>[{1000,1,1,2403,101}]</v>
      </c>
      <c r="J483" t="s">
        <v>35</v>
      </c>
      <c r="K483" t="e">
        <f>IF(A483="","",IF(J483=1,VLOOKUP(A483,[1]怪物!$R$80:$V$99,4,0),VLOOKUP(A483,[1]怪物!$R$80:$V$99,2,0))*10000)</f>
        <v>#N/A</v>
      </c>
      <c r="L483" t="e">
        <f>IF(A483="","",IF(K483=1,VLOOKUP(A483,[1]怪物!$R$80:$V$99,5,0),VLOOKUP(A483,[1]怪物!$R$80:$V$99,3,0))*10000)</f>
        <v>#N/A</v>
      </c>
      <c r="M483" t="e">
        <f t="shared" si="30"/>
        <v>#N/A</v>
      </c>
      <c r="N483" t="e">
        <f t="shared" si="31"/>
        <v>#N/A</v>
      </c>
    </row>
    <row r="484" spans="1:14">
      <c r="A484">
        <f t="shared" si="28"/>
        <v>20</v>
      </c>
      <c r="B484">
        <v>20</v>
      </c>
      <c r="C484" t="s">
        <v>48</v>
      </c>
      <c r="D484" t="s">
        <v>33</v>
      </c>
      <c r="E484">
        <v>1</v>
      </c>
      <c r="F484">
        <v>1</v>
      </c>
      <c r="G484">
        <v>2401</v>
      </c>
      <c r="H484" t="s">
        <v>34</v>
      </c>
      <c r="I484" t="str">
        <f t="shared" si="29"/>
        <v>[{1000,1,1,2401,101}]</v>
      </c>
      <c r="J484" t="s">
        <v>35</v>
      </c>
      <c r="K484" t="e">
        <f>IF(A484="","",IF(J484=1,VLOOKUP(A484,[1]怪物!$R$80:$V$99,4,0),VLOOKUP(A484,[1]怪物!$R$80:$V$99,2,0))*10000)</f>
        <v>#N/A</v>
      </c>
      <c r="L484" t="e">
        <f>IF(A484="","",IF(K484=1,VLOOKUP(A484,[1]怪物!$R$80:$V$99,5,0),VLOOKUP(A484,[1]怪物!$R$80:$V$99,3,0))*10000)</f>
        <v>#N/A</v>
      </c>
      <c r="M484" t="e">
        <f t="shared" si="30"/>
        <v>#N/A</v>
      </c>
      <c r="N484" t="e">
        <f t="shared" si="31"/>
        <v>#N/A</v>
      </c>
    </row>
    <row r="485" spans="1:14">
      <c r="A485">
        <f t="shared" si="28"/>
        <v>20</v>
      </c>
      <c r="B485">
        <v>20</v>
      </c>
      <c r="C485" t="s">
        <v>48</v>
      </c>
      <c r="D485" t="s">
        <v>33</v>
      </c>
      <c r="E485">
        <v>1</v>
      </c>
      <c r="F485">
        <v>1</v>
      </c>
      <c r="G485">
        <v>2402</v>
      </c>
      <c r="H485" s="11" t="s">
        <v>37</v>
      </c>
      <c r="I485" t="str">
        <f t="shared" si="29"/>
        <v>[{1000,1,1,2402,401}]</v>
      </c>
      <c r="J485">
        <v>1</v>
      </c>
      <c r="K485" t="e">
        <f>IF(A485="","",IF(J485=1,VLOOKUP(A485,[1]怪物!$R$80:$V$99,4,0),VLOOKUP(A485,[1]怪物!$R$80:$V$99,2,0))*10000)</f>
        <v>#N/A</v>
      </c>
      <c r="L485" t="e">
        <f>IF(A485="","",IF(K485=1,VLOOKUP(A485,[1]怪物!$R$80:$V$99,5,0),VLOOKUP(A485,[1]怪物!$R$80:$V$99,3,0))*10000)</f>
        <v>#N/A</v>
      </c>
      <c r="M485" t="e">
        <f t="shared" si="30"/>
        <v>#N/A</v>
      </c>
      <c r="N485" t="e">
        <f t="shared" si="31"/>
        <v>#N/A</v>
      </c>
    </row>
    <row r="486" spans="1:14">
      <c r="A486">
        <f t="shared" si="28"/>
        <v>20</v>
      </c>
      <c r="B486">
        <v>20</v>
      </c>
      <c r="C486" t="s">
        <v>48</v>
      </c>
      <c r="D486" t="s">
        <v>33</v>
      </c>
      <c r="E486">
        <v>1</v>
      </c>
      <c r="F486">
        <v>1</v>
      </c>
      <c r="G486">
        <v>2403</v>
      </c>
      <c r="H486" s="11" t="s">
        <v>34</v>
      </c>
      <c r="I486" t="str">
        <f t="shared" si="29"/>
        <v>[{1000,1,1,2403,101}]</v>
      </c>
      <c r="J486" t="s">
        <v>35</v>
      </c>
      <c r="K486" t="e">
        <f>IF(A486="","",IF(J486=1,VLOOKUP(A486,[1]怪物!$R$80:$V$99,4,0),VLOOKUP(A486,[1]怪物!$R$80:$V$99,2,0))*10000)</f>
        <v>#N/A</v>
      </c>
      <c r="L486" t="e">
        <f>IF(A486="","",IF(K486=1,VLOOKUP(A486,[1]怪物!$R$80:$V$99,5,0),VLOOKUP(A486,[1]怪物!$R$80:$V$99,3,0))*10000)</f>
        <v>#N/A</v>
      </c>
      <c r="M486" t="e">
        <f t="shared" si="30"/>
        <v>#N/A</v>
      </c>
      <c r="N486" t="e">
        <f t="shared" si="31"/>
        <v>#N/A</v>
      </c>
    </row>
    <row r="487" spans="1:14">
      <c r="A487" t="str">
        <f t="shared" si="28"/>
        <v/>
      </c>
      <c r="B487">
        <v>20</v>
      </c>
      <c r="C487" t="s">
        <v>48</v>
      </c>
      <c r="D487" t="s">
        <v>28</v>
      </c>
      <c r="I487" t="str">
        <f t="shared" si="29"/>
        <v>[]</v>
      </c>
      <c r="J487">
        <v>2</v>
      </c>
      <c r="K487" t="str">
        <f>IF(A487="","",IF(J487=1,VLOOKUP(A487,[1]怪物!$R$80:$V$99,4,0),VLOOKUP(A487,[1]怪物!$R$80:$V$99,2,0))*10000)</f>
        <v/>
      </c>
      <c r="L487" t="str">
        <f>IF(A487="","",IF(K487=1,VLOOKUP(A487,[1]怪物!$R$80:$V$99,5,0),VLOOKUP(A487,[1]怪物!$R$80:$V$99,3,0))*10000)</f>
        <v/>
      </c>
      <c r="M487" t="str">
        <f t="shared" si="30"/>
        <v/>
      </c>
      <c r="N487" t="str">
        <f t="shared" si="31"/>
        <v/>
      </c>
    </row>
    <row r="488" spans="1:14">
      <c r="A488">
        <f t="shared" si="28"/>
        <v>20</v>
      </c>
      <c r="B488">
        <v>20</v>
      </c>
      <c r="C488" t="s">
        <v>48</v>
      </c>
      <c r="D488" t="s">
        <v>33</v>
      </c>
      <c r="E488">
        <v>1</v>
      </c>
      <c r="F488">
        <v>0</v>
      </c>
      <c r="G488">
        <v>2431</v>
      </c>
      <c r="H488" t="s">
        <v>37</v>
      </c>
      <c r="I488" t="str">
        <f t="shared" si="29"/>
        <v>[{1000,1,0,2431,401}]</v>
      </c>
      <c r="J488">
        <v>1</v>
      </c>
      <c r="K488" t="e">
        <f>IF(A488="","",IF(J488=1,VLOOKUP(A488,[1]怪物!$R$80:$V$99,4,0),VLOOKUP(A488,[1]怪物!$R$80:$V$99,2,0))*10000)</f>
        <v>#N/A</v>
      </c>
      <c r="L488" t="e">
        <f>IF(A488="","",IF(K488=1,VLOOKUP(A488,[1]怪物!$R$80:$V$99,5,0),VLOOKUP(A488,[1]怪物!$R$80:$V$99,3,0))*10000)</f>
        <v>#N/A</v>
      </c>
      <c r="M488">
        <f t="shared" si="30"/>
        <v>10000</v>
      </c>
      <c r="N488">
        <f t="shared" si="31"/>
        <v>10000</v>
      </c>
    </row>
    <row r="489" spans="1:14">
      <c r="A489">
        <f t="shared" si="28"/>
        <v>1</v>
      </c>
      <c r="B489">
        <v>1</v>
      </c>
      <c r="C489" t="s">
        <v>49</v>
      </c>
      <c r="D489" t="s">
        <v>33</v>
      </c>
      <c r="E489">
        <v>1</v>
      </c>
      <c r="F489">
        <v>1</v>
      </c>
      <c r="G489">
        <v>2501</v>
      </c>
      <c r="H489" t="s">
        <v>34</v>
      </c>
      <c r="I489" t="str">
        <f t="shared" si="29"/>
        <v>[{1000,1,1,2501,101}]</v>
      </c>
      <c r="J489" t="s">
        <v>35</v>
      </c>
      <c r="K489">
        <f>IF(A489="","",IF(J489=1,VLOOKUP(A489,[1]怪物!$R$80:$V$99,4,0),VLOOKUP(A489,[1]怪物!$R$80:$V$99,2,0))*10000)</f>
        <v>10000</v>
      </c>
      <c r="L489">
        <f>IF(A489="","",IF(K489=1,VLOOKUP(A489,[1]怪物!$R$80:$V$99,5,0),VLOOKUP(A489,[1]怪物!$R$80:$V$99,3,0))*10000)</f>
        <v>10000</v>
      </c>
      <c r="M489">
        <f t="shared" si="30"/>
        <v>10000</v>
      </c>
      <c r="N489">
        <f t="shared" si="31"/>
        <v>10000</v>
      </c>
    </row>
    <row r="490" spans="1:14">
      <c r="A490">
        <f t="shared" si="28"/>
        <v>2</v>
      </c>
      <c r="B490">
        <v>2</v>
      </c>
      <c r="C490" t="s">
        <v>49</v>
      </c>
      <c r="D490" t="s">
        <v>33</v>
      </c>
      <c r="E490">
        <v>1</v>
      </c>
      <c r="F490">
        <v>1</v>
      </c>
      <c r="G490">
        <v>2501</v>
      </c>
      <c r="H490" t="s">
        <v>34</v>
      </c>
      <c r="I490" t="str">
        <f t="shared" si="29"/>
        <v>[{1000,1,1,2501,101}]</v>
      </c>
      <c r="J490" t="s">
        <v>35</v>
      </c>
      <c r="K490">
        <f>IF(A490="","",IF(J490=1,VLOOKUP(A490,[1]怪物!$R$80:$V$99,4,0),VLOOKUP(A490,[1]怪物!$R$80:$V$99,2,0))*10000)</f>
        <v>10000</v>
      </c>
      <c r="L490">
        <f>IF(A490="","",IF(K490=1,VLOOKUP(A490,[1]怪物!$R$80:$V$99,5,0),VLOOKUP(A490,[1]怪物!$R$80:$V$99,3,0))*10000)</f>
        <v>10000</v>
      </c>
      <c r="M490">
        <f t="shared" si="30"/>
        <v>10000</v>
      </c>
      <c r="N490">
        <f t="shared" si="31"/>
        <v>10000</v>
      </c>
    </row>
    <row r="491" spans="1:14">
      <c r="A491">
        <f t="shared" si="28"/>
        <v>3</v>
      </c>
      <c r="B491">
        <v>3</v>
      </c>
      <c r="C491" t="s">
        <v>49</v>
      </c>
      <c r="D491" t="s">
        <v>33</v>
      </c>
      <c r="E491">
        <v>1</v>
      </c>
      <c r="F491">
        <v>1</v>
      </c>
      <c r="G491">
        <v>2501</v>
      </c>
      <c r="H491" t="s">
        <v>34</v>
      </c>
      <c r="I491" t="str">
        <f t="shared" si="29"/>
        <v>[{1000,1,1,2501,101}]</v>
      </c>
      <c r="J491" t="s">
        <v>35</v>
      </c>
      <c r="K491">
        <f>IF(A491="","",IF(J491=1,VLOOKUP(A491,[1]怪物!$R$80:$V$99,4,0),VLOOKUP(A491,[1]怪物!$R$80:$V$99,2,0))*10000)</f>
        <v>10000</v>
      </c>
      <c r="L491">
        <f>IF(A491="","",IF(K491=1,VLOOKUP(A491,[1]怪物!$R$80:$V$99,5,0),VLOOKUP(A491,[1]怪物!$R$80:$V$99,3,0))*10000)</f>
        <v>10000</v>
      </c>
      <c r="M491">
        <f t="shared" si="30"/>
        <v>10000</v>
      </c>
      <c r="N491">
        <f t="shared" si="31"/>
        <v>10000</v>
      </c>
    </row>
    <row r="492" spans="1:14">
      <c r="A492">
        <f t="shared" si="28"/>
        <v>4</v>
      </c>
      <c r="B492">
        <v>4</v>
      </c>
      <c r="C492" t="s">
        <v>49</v>
      </c>
      <c r="D492" t="s">
        <v>33</v>
      </c>
      <c r="E492">
        <v>1</v>
      </c>
      <c r="F492">
        <v>1</v>
      </c>
      <c r="G492">
        <v>2501</v>
      </c>
      <c r="H492" t="s">
        <v>34</v>
      </c>
      <c r="I492" t="str">
        <f t="shared" si="29"/>
        <v>[{1000,1,1,2501,101}]</v>
      </c>
      <c r="J492" t="s">
        <v>35</v>
      </c>
      <c r="K492">
        <f>IF(A492="","",IF(J492=1,VLOOKUP(A492,[1]怪物!$R$80:$V$99,4,0),VLOOKUP(A492,[1]怪物!$R$80:$V$99,2,0))*10000)</f>
        <v>10000</v>
      </c>
      <c r="L492">
        <f>IF(A492="","",IF(K492=1,VLOOKUP(A492,[1]怪物!$R$80:$V$99,5,0),VLOOKUP(A492,[1]怪物!$R$80:$V$99,3,0))*10000)</f>
        <v>10000</v>
      </c>
      <c r="M492">
        <f t="shared" si="30"/>
        <v>10000</v>
      </c>
      <c r="N492">
        <f t="shared" si="31"/>
        <v>10000</v>
      </c>
    </row>
    <row r="493" spans="1:14">
      <c r="A493">
        <f t="shared" si="28"/>
        <v>5</v>
      </c>
      <c r="B493">
        <v>5</v>
      </c>
      <c r="C493" t="s">
        <v>49</v>
      </c>
      <c r="D493" t="s">
        <v>33</v>
      </c>
      <c r="E493">
        <v>1</v>
      </c>
      <c r="F493">
        <v>1</v>
      </c>
      <c r="G493">
        <v>2501</v>
      </c>
      <c r="H493" t="s">
        <v>34</v>
      </c>
      <c r="I493" t="str">
        <f t="shared" si="29"/>
        <v>[{1000,1,1,2501,101}]</v>
      </c>
      <c r="J493" t="s">
        <v>35</v>
      </c>
      <c r="K493">
        <f>IF(A493="","",IF(J493=1,VLOOKUP(A493,[1]怪物!$R$80:$V$99,4,0),VLOOKUP(A493,[1]怪物!$R$80:$V$99,2,0))*10000)</f>
        <v>10000</v>
      </c>
      <c r="L493">
        <f>IF(A493="","",IF(K493=1,VLOOKUP(A493,[1]怪物!$R$80:$V$99,5,0),VLOOKUP(A493,[1]怪物!$R$80:$V$99,3,0))*10000)</f>
        <v>10000</v>
      </c>
      <c r="M493">
        <f t="shared" si="30"/>
        <v>10000</v>
      </c>
      <c r="N493">
        <f t="shared" si="31"/>
        <v>10000</v>
      </c>
    </row>
    <row r="494" spans="1:14">
      <c r="A494">
        <f t="shared" si="28"/>
        <v>6</v>
      </c>
      <c r="B494">
        <v>6</v>
      </c>
      <c r="C494" t="s">
        <v>49</v>
      </c>
      <c r="D494" t="s">
        <v>33</v>
      </c>
      <c r="E494">
        <v>1</v>
      </c>
      <c r="F494">
        <v>1</v>
      </c>
      <c r="G494">
        <v>2501</v>
      </c>
      <c r="H494" t="s">
        <v>34</v>
      </c>
      <c r="I494" t="str">
        <f t="shared" si="29"/>
        <v>[{1000,1,1,2501,101}]</v>
      </c>
      <c r="J494" t="s">
        <v>35</v>
      </c>
      <c r="K494">
        <f>IF(A494="","",IF(J494=1,VLOOKUP(A494,[1]怪物!$R$80:$V$99,4,0),VLOOKUP(A494,[1]怪物!$R$80:$V$99,2,0))*10000)</f>
        <v>15000</v>
      </c>
      <c r="L494">
        <f>IF(A494="","",IF(K494=1,VLOOKUP(A494,[1]怪物!$R$80:$V$99,5,0),VLOOKUP(A494,[1]怪物!$R$80:$V$99,3,0))*10000)</f>
        <v>15000</v>
      </c>
      <c r="M494">
        <f t="shared" si="30"/>
        <v>15000</v>
      </c>
      <c r="N494">
        <f t="shared" si="31"/>
        <v>15000</v>
      </c>
    </row>
    <row r="495" spans="1:14">
      <c r="A495">
        <f t="shared" si="28"/>
        <v>7</v>
      </c>
      <c r="B495">
        <v>7</v>
      </c>
      <c r="C495" t="s">
        <v>49</v>
      </c>
      <c r="D495" t="s">
        <v>33</v>
      </c>
      <c r="E495">
        <v>1</v>
      </c>
      <c r="F495">
        <v>1</v>
      </c>
      <c r="G495">
        <v>2501</v>
      </c>
      <c r="H495" t="s">
        <v>34</v>
      </c>
      <c r="I495" t="str">
        <f t="shared" si="29"/>
        <v>[{1000,1,1,2501,101}]</v>
      </c>
      <c r="J495" t="s">
        <v>35</v>
      </c>
      <c r="K495">
        <f>IF(A495="","",IF(J495=1,VLOOKUP(A495,[1]怪物!$R$80:$V$99,4,0),VLOOKUP(A495,[1]怪物!$R$80:$V$99,2,0))*10000)</f>
        <v>15000</v>
      </c>
      <c r="L495">
        <f>IF(A495="","",IF(K495=1,VLOOKUP(A495,[1]怪物!$R$80:$V$99,5,0),VLOOKUP(A495,[1]怪物!$R$80:$V$99,3,0))*10000)</f>
        <v>15000</v>
      </c>
      <c r="M495">
        <f t="shared" si="30"/>
        <v>15000</v>
      </c>
      <c r="N495">
        <f t="shared" si="31"/>
        <v>15000</v>
      </c>
    </row>
    <row r="496" spans="1:14">
      <c r="A496">
        <f t="shared" si="28"/>
        <v>7</v>
      </c>
      <c r="B496">
        <v>7</v>
      </c>
      <c r="C496" t="s">
        <v>49</v>
      </c>
      <c r="D496" t="s">
        <v>33</v>
      </c>
      <c r="E496">
        <v>1</v>
      </c>
      <c r="F496">
        <v>1</v>
      </c>
      <c r="G496">
        <v>2502</v>
      </c>
      <c r="H496" t="s">
        <v>34</v>
      </c>
      <c r="I496" t="str">
        <f t="shared" si="29"/>
        <v>[{1000,1,1,2502,101}]</v>
      </c>
      <c r="J496" t="s">
        <v>35</v>
      </c>
      <c r="K496">
        <f>IF(A496="","",IF(J496=1,VLOOKUP(A496,[1]怪物!$R$80:$V$99,4,0),VLOOKUP(A496,[1]怪物!$R$80:$V$99,2,0))*10000)</f>
        <v>15000</v>
      </c>
      <c r="L496">
        <f>IF(A496="","",IF(K496=1,VLOOKUP(A496,[1]怪物!$R$80:$V$99,5,0),VLOOKUP(A496,[1]怪物!$R$80:$V$99,3,0))*10000)</f>
        <v>15000</v>
      </c>
      <c r="M496">
        <f t="shared" si="30"/>
        <v>15000</v>
      </c>
      <c r="N496">
        <f t="shared" si="31"/>
        <v>15000</v>
      </c>
    </row>
    <row r="497" spans="1:14">
      <c r="A497">
        <f t="shared" si="28"/>
        <v>8</v>
      </c>
      <c r="B497">
        <v>8</v>
      </c>
      <c r="C497" t="s">
        <v>49</v>
      </c>
      <c r="D497" t="s">
        <v>33</v>
      </c>
      <c r="E497">
        <v>1</v>
      </c>
      <c r="F497">
        <v>1</v>
      </c>
      <c r="G497">
        <v>2501</v>
      </c>
      <c r="H497" t="s">
        <v>34</v>
      </c>
      <c r="I497" t="str">
        <f t="shared" si="29"/>
        <v>[{1000,1,1,2501,101}]</v>
      </c>
      <c r="J497" t="s">
        <v>35</v>
      </c>
      <c r="K497">
        <f>IF(A497="","",IF(J497=1,VLOOKUP(A497,[1]怪物!$R$80:$V$99,4,0),VLOOKUP(A497,[1]怪物!$R$80:$V$99,2,0))*10000)</f>
        <v>15000</v>
      </c>
      <c r="L497">
        <f>IF(A497="","",IF(K497=1,VLOOKUP(A497,[1]怪物!$R$80:$V$99,5,0),VLOOKUP(A497,[1]怪物!$R$80:$V$99,3,0))*10000)</f>
        <v>15000</v>
      </c>
      <c r="M497">
        <f t="shared" si="30"/>
        <v>15000</v>
      </c>
      <c r="N497">
        <f t="shared" si="31"/>
        <v>15000</v>
      </c>
    </row>
    <row r="498" spans="1:14">
      <c r="A498">
        <f t="shared" si="28"/>
        <v>8</v>
      </c>
      <c r="B498">
        <v>8</v>
      </c>
      <c r="C498" t="s">
        <v>49</v>
      </c>
      <c r="D498" t="s">
        <v>33</v>
      </c>
      <c r="E498">
        <v>1</v>
      </c>
      <c r="F498">
        <v>1</v>
      </c>
      <c r="G498">
        <v>2502</v>
      </c>
      <c r="H498" t="s">
        <v>34</v>
      </c>
      <c r="I498" t="str">
        <f t="shared" si="29"/>
        <v>[{1000,1,1,2502,101}]</v>
      </c>
      <c r="J498" t="s">
        <v>35</v>
      </c>
      <c r="K498">
        <f>IF(A498="","",IF(J498=1,VLOOKUP(A498,[1]怪物!$R$80:$V$99,4,0),VLOOKUP(A498,[1]怪物!$R$80:$V$99,2,0))*10000)</f>
        <v>15000</v>
      </c>
      <c r="L498">
        <f>IF(A498="","",IF(K498=1,VLOOKUP(A498,[1]怪物!$R$80:$V$99,5,0),VLOOKUP(A498,[1]怪物!$R$80:$V$99,3,0))*10000)</f>
        <v>15000</v>
      </c>
      <c r="M498">
        <f t="shared" si="30"/>
        <v>15000</v>
      </c>
      <c r="N498">
        <f t="shared" si="31"/>
        <v>15000</v>
      </c>
    </row>
    <row r="499" spans="1:14">
      <c r="A499">
        <f t="shared" si="28"/>
        <v>9</v>
      </c>
      <c r="B499">
        <v>9</v>
      </c>
      <c r="C499" t="s">
        <v>49</v>
      </c>
      <c r="D499" t="s">
        <v>33</v>
      </c>
      <c r="E499">
        <v>1</v>
      </c>
      <c r="F499">
        <v>1</v>
      </c>
      <c r="G499">
        <v>2501</v>
      </c>
      <c r="H499" t="s">
        <v>34</v>
      </c>
      <c r="I499" t="str">
        <f t="shared" si="29"/>
        <v>[{1000,1,1,2501,101}]</v>
      </c>
      <c r="J499" t="s">
        <v>35</v>
      </c>
      <c r="K499" t="e">
        <f>IF(A499="","",IF(J499=1,VLOOKUP(A499,[1]怪物!$R$80:$V$99,4,0),VLOOKUP(A499,[1]怪物!$R$80:$V$99,2,0))*10000)</f>
        <v>#N/A</v>
      </c>
      <c r="L499" t="e">
        <f>IF(A499="","",IF(K499=1,VLOOKUP(A499,[1]怪物!$R$80:$V$99,5,0),VLOOKUP(A499,[1]怪物!$R$80:$V$99,3,0))*10000)</f>
        <v>#N/A</v>
      </c>
      <c r="M499" t="e">
        <f t="shared" si="30"/>
        <v>#N/A</v>
      </c>
      <c r="N499" t="e">
        <f t="shared" si="31"/>
        <v>#N/A</v>
      </c>
    </row>
    <row r="500" spans="1:14">
      <c r="A500">
        <f t="shared" si="28"/>
        <v>9</v>
      </c>
      <c r="B500">
        <v>9</v>
      </c>
      <c r="C500" t="s">
        <v>49</v>
      </c>
      <c r="D500" t="s">
        <v>33</v>
      </c>
      <c r="E500">
        <v>1</v>
      </c>
      <c r="F500">
        <v>1</v>
      </c>
      <c r="G500">
        <v>2502</v>
      </c>
      <c r="H500" t="s">
        <v>34</v>
      </c>
      <c r="I500" t="str">
        <f t="shared" si="29"/>
        <v>[{1000,1,1,2502,101}]</v>
      </c>
      <c r="J500" t="s">
        <v>35</v>
      </c>
      <c r="K500" t="e">
        <f>IF(A500="","",IF(J500=1,VLOOKUP(A500,[1]怪物!$R$80:$V$99,4,0),VLOOKUP(A500,[1]怪物!$R$80:$V$99,2,0))*10000)</f>
        <v>#N/A</v>
      </c>
      <c r="L500" t="e">
        <f>IF(A500="","",IF(K500=1,VLOOKUP(A500,[1]怪物!$R$80:$V$99,5,0),VLOOKUP(A500,[1]怪物!$R$80:$V$99,3,0))*10000)</f>
        <v>#N/A</v>
      </c>
      <c r="M500" t="e">
        <f t="shared" si="30"/>
        <v>#N/A</v>
      </c>
      <c r="N500" t="e">
        <f t="shared" si="31"/>
        <v>#N/A</v>
      </c>
    </row>
    <row r="501" spans="1:14">
      <c r="A501">
        <f t="shared" si="28"/>
        <v>10</v>
      </c>
      <c r="B501">
        <v>10</v>
      </c>
      <c r="C501" t="s">
        <v>49</v>
      </c>
      <c r="D501" t="s">
        <v>33</v>
      </c>
      <c r="E501">
        <v>1</v>
      </c>
      <c r="F501">
        <v>1</v>
      </c>
      <c r="G501">
        <v>2501</v>
      </c>
      <c r="H501" t="s">
        <v>34</v>
      </c>
      <c r="I501" t="str">
        <f t="shared" si="29"/>
        <v>[{1000,1,1,2501,101}]</v>
      </c>
      <c r="J501" t="s">
        <v>35</v>
      </c>
      <c r="K501" t="e">
        <f>IF(A501="","",IF(J501=1,VLOOKUP(A501,[1]怪物!$R$80:$V$99,4,0),VLOOKUP(A501,[1]怪物!$R$80:$V$99,2,0))*10000)</f>
        <v>#N/A</v>
      </c>
      <c r="L501" t="e">
        <f>IF(A501="","",IF(K501=1,VLOOKUP(A501,[1]怪物!$R$80:$V$99,5,0),VLOOKUP(A501,[1]怪物!$R$80:$V$99,3,0))*10000)</f>
        <v>#N/A</v>
      </c>
      <c r="M501" t="e">
        <f t="shared" si="30"/>
        <v>#N/A</v>
      </c>
      <c r="N501" t="e">
        <f t="shared" si="31"/>
        <v>#N/A</v>
      </c>
    </row>
    <row r="502" spans="1:14">
      <c r="A502">
        <f t="shared" si="28"/>
        <v>10</v>
      </c>
      <c r="B502">
        <v>10</v>
      </c>
      <c r="C502" t="s">
        <v>49</v>
      </c>
      <c r="D502" t="s">
        <v>33</v>
      </c>
      <c r="E502">
        <v>1</v>
      </c>
      <c r="F502">
        <v>1</v>
      </c>
      <c r="G502">
        <v>2502</v>
      </c>
      <c r="H502" t="s">
        <v>34</v>
      </c>
      <c r="I502" t="str">
        <f t="shared" si="29"/>
        <v>[{1000,1,1,2502,101}]</v>
      </c>
      <c r="J502" t="s">
        <v>35</v>
      </c>
      <c r="K502" t="e">
        <f>IF(A502="","",IF(J502=1,VLOOKUP(A502,[1]怪物!$R$80:$V$99,4,0),VLOOKUP(A502,[1]怪物!$R$80:$V$99,2,0))*10000)</f>
        <v>#N/A</v>
      </c>
      <c r="L502" t="e">
        <f>IF(A502="","",IF(K502=1,VLOOKUP(A502,[1]怪物!$R$80:$V$99,5,0),VLOOKUP(A502,[1]怪物!$R$80:$V$99,3,0))*10000)</f>
        <v>#N/A</v>
      </c>
      <c r="M502" t="e">
        <f t="shared" si="30"/>
        <v>#N/A</v>
      </c>
      <c r="N502" t="e">
        <f t="shared" si="31"/>
        <v>#N/A</v>
      </c>
    </row>
    <row r="503" spans="1:14">
      <c r="A503" t="str">
        <f t="shared" si="28"/>
        <v/>
      </c>
      <c r="B503">
        <v>10</v>
      </c>
      <c r="C503" t="s">
        <v>49</v>
      </c>
      <c r="D503" t="s">
        <v>28</v>
      </c>
      <c r="I503" t="str">
        <f t="shared" si="29"/>
        <v>[]</v>
      </c>
      <c r="J503">
        <v>2</v>
      </c>
      <c r="K503" t="str">
        <f>IF(A503="","",IF(J503=1,VLOOKUP(A503,[1]怪物!$R$80:$V$99,4,0),VLOOKUP(A503,[1]怪物!$R$80:$V$99,2,0))*10000)</f>
        <v/>
      </c>
      <c r="L503" t="str">
        <f>IF(A503="","",IF(K503=1,VLOOKUP(A503,[1]怪物!$R$80:$V$99,5,0),VLOOKUP(A503,[1]怪物!$R$80:$V$99,3,0))*10000)</f>
        <v/>
      </c>
      <c r="M503" t="str">
        <f t="shared" si="30"/>
        <v/>
      </c>
      <c r="N503" t="str">
        <f t="shared" si="31"/>
        <v/>
      </c>
    </row>
    <row r="504" spans="1:14">
      <c r="A504">
        <f t="shared" si="28"/>
        <v>10</v>
      </c>
      <c r="B504">
        <v>10</v>
      </c>
      <c r="C504" t="s">
        <v>49</v>
      </c>
      <c r="D504" t="s">
        <v>33</v>
      </c>
      <c r="E504">
        <v>1</v>
      </c>
      <c r="F504">
        <v>0</v>
      </c>
      <c r="G504">
        <v>2521</v>
      </c>
      <c r="H504" t="s">
        <v>36</v>
      </c>
      <c r="I504" t="str">
        <f t="shared" si="29"/>
        <v>[{1000,1,0,2521,41}]</v>
      </c>
      <c r="J504" t="s">
        <v>35</v>
      </c>
      <c r="K504" t="e">
        <f>IF(A504="","",IF(J504=1,VLOOKUP(A504,[1]怪物!$R$80:$V$99,4,0),VLOOKUP(A504,[1]怪物!$R$80:$V$99,2,0))*10000)</f>
        <v>#N/A</v>
      </c>
      <c r="L504" t="e">
        <f>IF(A504="","",IF(K504=1,VLOOKUP(A504,[1]怪物!$R$80:$V$99,5,0),VLOOKUP(A504,[1]怪物!$R$80:$V$99,3,0))*10000)</f>
        <v>#N/A</v>
      </c>
      <c r="M504">
        <f t="shared" si="30"/>
        <v>10000</v>
      </c>
      <c r="N504">
        <f t="shared" si="31"/>
        <v>10000</v>
      </c>
    </row>
    <row r="505" spans="1:14">
      <c r="A505">
        <f t="shared" si="28"/>
        <v>11</v>
      </c>
      <c r="B505">
        <v>11</v>
      </c>
      <c r="C505" t="s">
        <v>49</v>
      </c>
      <c r="D505" t="s">
        <v>33</v>
      </c>
      <c r="E505">
        <v>1</v>
      </c>
      <c r="F505">
        <v>1</v>
      </c>
      <c r="G505">
        <v>2501</v>
      </c>
      <c r="H505" t="s">
        <v>34</v>
      </c>
      <c r="I505" t="str">
        <f t="shared" si="29"/>
        <v>[{1000,1,1,2501,101}]</v>
      </c>
      <c r="J505" t="s">
        <v>35</v>
      </c>
      <c r="K505" t="e">
        <f>IF(A505="","",IF(J505=1,VLOOKUP(A505,[1]怪物!$R$80:$V$99,4,0),VLOOKUP(A505,[1]怪物!$R$80:$V$99,2,0))*10000)</f>
        <v>#N/A</v>
      </c>
      <c r="L505" t="e">
        <f>IF(A505="","",IF(K505=1,VLOOKUP(A505,[1]怪物!$R$80:$V$99,5,0),VLOOKUP(A505,[1]怪物!$R$80:$V$99,3,0))*10000)</f>
        <v>#N/A</v>
      </c>
      <c r="M505" t="e">
        <f t="shared" si="30"/>
        <v>#N/A</v>
      </c>
      <c r="N505" t="e">
        <f t="shared" si="31"/>
        <v>#N/A</v>
      </c>
    </row>
    <row r="506" spans="1:14">
      <c r="A506">
        <f t="shared" si="28"/>
        <v>11</v>
      </c>
      <c r="B506">
        <v>11</v>
      </c>
      <c r="C506" t="s">
        <v>49</v>
      </c>
      <c r="D506" t="s">
        <v>33</v>
      </c>
      <c r="E506">
        <v>1</v>
      </c>
      <c r="F506">
        <v>1</v>
      </c>
      <c r="G506">
        <v>2502</v>
      </c>
      <c r="H506" t="s">
        <v>34</v>
      </c>
      <c r="I506" t="str">
        <f t="shared" si="29"/>
        <v>[{1000,1,1,2502,101}]</v>
      </c>
      <c r="J506" t="s">
        <v>35</v>
      </c>
      <c r="K506" t="e">
        <f>IF(A506="","",IF(J506=1,VLOOKUP(A506,[1]怪物!$R$80:$V$99,4,0),VLOOKUP(A506,[1]怪物!$R$80:$V$99,2,0))*10000)</f>
        <v>#N/A</v>
      </c>
      <c r="L506" t="e">
        <f>IF(A506="","",IF(K506=1,VLOOKUP(A506,[1]怪物!$R$80:$V$99,5,0),VLOOKUP(A506,[1]怪物!$R$80:$V$99,3,0))*10000)</f>
        <v>#N/A</v>
      </c>
      <c r="M506" t="e">
        <f t="shared" si="30"/>
        <v>#N/A</v>
      </c>
      <c r="N506" t="e">
        <f t="shared" si="31"/>
        <v>#N/A</v>
      </c>
    </row>
    <row r="507" spans="1:14">
      <c r="A507">
        <f t="shared" si="28"/>
        <v>12</v>
      </c>
      <c r="B507">
        <v>12</v>
      </c>
      <c r="C507" t="s">
        <v>49</v>
      </c>
      <c r="D507" t="s">
        <v>33</v>
      </c>
      <c r="E507">
        <v>1</v>
      </c>
      <c r="F507">
        <v>1</v>
      </c>
      <c r="G507">
        <v>2501</v>
      </c>
      <c r="H507" t="s">
        <v>34</v>
      </c>
      <c r="I507" t="str">
        <f t="shared" si="29"/>
        <v>[{1000,1,1,2501,101}]</v>
      </c>
      <c r="J507" t="s">
        <v>35</v>
      </c>
      <c r="K507" t="e">
        <f>IF(A507="","",IF(J507=1,VLOOKUP(A507,[1]怪物!$R$80:$V$99,4,0),VLOOKUP(A507,[1]怪物!$R$80:$V$99,2,0))*10000)</f>
        <v>#N/A</v>
      </c>
      <c r="L507" t="e">
        <f>IF(A507="","",IF(K507=1,VLOOKUP(A507,[1]怪物!$R$80:$V$99,5,0),VLOOKUP(A507,[1]怪物!$R$80:$V$99,3,0))*10000)</f>
        <v>#N/A</v>
      </c>
      <c r="M507" t="e">
        <f t="shared" si="30"/>
        <v>#N/A</v>
      </c>
      <c r="N507" t="e">
        <f t="shared" si="31"/>
        <v>#N/A</v>
      </c>
    </row>
    <row r="508" spans="1:14">
      <c r="A508">
        <f t="shared" si="28"/>
        <v>12</v>
      </c>
      <c r="B508">
        <v>12</v>
      </c>
      <c r="C508" t="s">
        <v>49</v>
      </c>
      <c r="D508" t="s">
        <v>33</v>
      </c>
      <c r="E508">
        <v>1</v>
      </c>
      <c r="F508">
        <v>1</v>
      </c>
      <c r="G508">
        <v>2502</v>
      </c>
      <c r="H508" t="s">
        <v>34</v>
      </c>
      <c r="I508" t="str">
        <f t="shared" si="29"/>
        <v>[{1000,1,1,2502,101}]</v>
      </c>
      <c r="J508" t="s">
        <v>35</v>
      </c>
      <c r="K508" t="e">
        <f>IF(A508="","",IF(J508=1,VLOOKUP(A508,[1]怪物!$R$80:$V$99,4,0),VLOOKUP(A508,[1]怪物!$R$80:$V$99,2,0))*10000)</f>
        <v>#N/A</v>
      </c>
      <c r="L508" t="e">
        <f>IF(A508="","",IF(K508=1,VLOOKUP(A508,[1]怪物!$R$80:$V$99,5,0),VLOOKUP(A508,[1]怪物!$R$80:$V$99,3,0))*10000)</f>
        <v>#N/A</v>
      </c>
      <c r="M508" t="e">
        <f t="shared" si="30"/>
        <v>#N/A</v>
      </c>
      <c r="N508" t="e">
        <f t="shared" si="31"/>
        <v>#N/A</v>
      </c>
    </row>
    <row r="509" spans="1:14">
      <c r="A509">
        <f t="shared" si="28"/>
        <v>13</v>
      </c>
      <c r="B509">
        <v>13</v>
      </c>
      <c r="C509" t="s">
        <v>49</v>
      </c>
      <c r="D509" t="s">
        <v>33</v>
      </c>
      <c r="E509">
        <v>1</v>
      </c>
      <c r="F509">
        <v>1</v>
      </c>
      <c r="G509">
        <v>2501</v>
      </c>
      <c r="H509" t="s">
        <v>34</v>
      </c>
      <c r="I509" t="str">
        <f t="shared" si="29"/>
        <v>[{1000,1,1,2501,101}]</v>
      </c>
      <c r="J509" t="s">
        <v>35</v>
      </c>
      <c r="K509" t="e">
        <f>IF(A509="","",IF(J509=1,VLOOKUP(A509,[1]怪物!$R$80:$V$99,4,0),VLOOKUP(A509,[1]怪物!$R$80:$V$99,2,0))*10000)</f>
        <v>#N/A</v>
      </c>
      <c r="L509" t="e">
        <f>IF(A509="","",IF(K509=1,VLOOKUP(A509,[1]怪物!$R$80:$V$99,5,0),VLOOKUP(A509,[1]怪物!$R$80:$V$99,3,0))*10000)</f>
        <v>#N/A</v>
      </c>
      <c r="M509" t="e">
        <f t="shared" si="30"/>
        <v>#N/A</v>
      </c>
      <c r="N509" t="e">
        <f t="shared" si="31"/>
        <v>#N/A</v>
      </c>
    </row>
    <row r="510" spans="1:14">
      <c r="A510">
        <f t="shared" si="28"/>
        <v>13</v>
      </c>
      <c r="B510">
        <v>13</v>
      </c>
      <c r="C510" t="s">
        <v>49</v>
      </c>
      <c r="D510" t="s">
        <v>33</v>
      </c>
      <c r="E510">
        <v>1</v>
      </c>
      <c r="F510">
        <v>1</v>
      </c>
      <c r="G510">
        <v>2502</v>
      </c>
      <c r="H510" t="s">
        <v>34</v>
      </c>
      <c r="I510" t="str">
        <f t="shared" si="29"/>
        <v>[{1000,1,1,2502,101}]</v>
      </c>
      <c r="J510" t="s">
        <v>35</v>
      </c>
      <c r="K510" t="e">
        <f>IF(A510="","",IF(J510=1,VLOOKUP(A510,[1]怪物!$R$80:$V$99,4,0),VLOOKUP(A510,[1]怪物!$R$80:$V$99,2,0))*10000)</f>
        <v>#N/A</v>
      </c>
      <c r="L510" t="e">
        <f>IF(A510="","",IF(K510=1,VLOOKUP(A510,[1]怪物!$R$80:$V$99,5,0),VLOOKUP(A510,[1]怪物!$R$80:$V$99,3,0))*10000)</f>
        <v>#N/A</v>
      </c>
      <c r="M510" t="e">
        <f t="shared" si="30"/>
        <v>#N/A</v>
      </c>
      <c r="N510" t="e">
        <f t="shared" si="31"/>
        <v>#N/A</v>
      </c>
    </row>
    <row r="511" spans="1:14">
      <c r="A511">
        <f t="shared" si="28"/>
        <v>14</v>
      </c>
      <c r="B511">
        <v>14</v>
      </c>
      <c r="C511" t="s">
        <v>49</v>
      </c>
      <c r="D511" t="s">
        <v>33</v>
      </c>
      <c r="E511">
        <v>1</v>
      </c>
      <c r="F511">
        <v>1</v>
      </c>
      <c r="G511">
        <v>2501</v>
      </c>
      <c r="H511" t="s">
        <v>34</v>
      </c>
      <c r="I511" t="str">
        <f t="shared" si="29"/>
        <v>[{1000,1,1,2501,101}]</v>
      </c>
      <c r="J511" t="s">
        <v>35</v>
      </c>
      <c r="K511" t="e">
        <f>IF(A511="","",IF(J511=1,VLOOKUP(A511,[1]怪物!$R$80:$V$99,4,0),VLOOKUP(A511,[1]怪物!$R$80:$V$99,2,0))*10000)</f>
        <v>#N/A</v>
      </c>
      <c r="L511" t="e">
        <f>IF(A511="","",IF(K511=1,VLOOKUP(A511,[1]怪物!$R$80:$V$99,5,0),VLOOKUP(A511,[1]怪物!$R$80:$V$99,3,0))*10000)</f>
        <v>#N/A</v>
      </c>
      <c r="M511" t="e">
        <f t="shared" si="30"/>
        <v>#N/A</v>
      </c>
      <c r="N511" t="e">
        <f t="shared" si="31"/>
        <v>#N/A</v>
      </c>
    </row>
    <row r="512" spans="1:14">
      <c r="A512">
        <f t="shared" si="28"/>
        <v>14</v>
      </c>
      <c r="B512">
        <v>14</v>
      </c>
      <c r="C512" t="s">
        <v>49</v>
      </c>
      <c r="D512" t="s">
        <v>33</v>
      </c>
      <c r="E512">
        <v>1</v>
      </c>
      <c r="F512">
        <v>1</v>
      </c>
      <c r="G512">
        <v>2502</v>
      </c>
      <c r="H512" t="s">
        <v>34</v>
      </c>
      <c r="I512" t="str">
        <f t="shared" si="29"/>
        <v>[{1000,1,1,2502,101}]</v>
      </c>
      <c r="J512" t="s">
        <v>35</v>
      </c>
      <c r="K512" t="e">
        <f>IF(A512="","",IF(J512=1,VLOOKUP(A512,[1]怪物!$R$80:$V$99,4,0),VLOOKUP(A512,[1]怪物!$R$80:$V$99,2,0))*10000)</f>
        <v>#N/A</v>
      </c>
      <c r="L512" t="e">
        <f>IF(A512="","",IF(K512=1,VLOOKUP(A512,[1]怪物!$R$80:$V$99,5,0),VLOOKUP(A512,[1]怪物!$R$80:$V$99,3,0))*10000)</f>
        <v>#N/A</v>
      </c>
      <c r="M512" t="e">
        <f t="shared" si="30"/>
        <v>#N/A</v>
      </c>
      <c r="N512" t="e">
        <f t="shared" si="31"/>
        <v>#N/A</v>
      </c>
    </row>
    <row r="513" spans="1:14">
      <c r="A513">
        <f t="shared" si="28"/>
        <v>14</v>
      </c>
      <c r="B513">
        <v>14</v>
      </c>
      <c r="C513" t="s">
        <v>49</v>
      </c>
      <c r="D513" t="s">
        <v>33</v>
      </c>
      <c r="E513">
        <v>1</v>
      </c>
      <c r="F513">
        <v>1</v>
      </c>
      <c r="G513">
        <v>2503</v>
      </c>
      <c r="H513" t="s">
        <v>37</v>
      </c>
      <c r="I513" t="str">
        <f t="shared" si="29"/>
        <v>[{1000,1,1,2503,401}]</v>
      </c>
      <c r="J513">
        <v>1</v>
      </c>
      <c r="K513" t="e">
        <f>IF(A513="","",IF(J513=1,VLOOKUP(A513,[1]怪物!$R$80:$V$99,4,0),VLOOKUP(A513,[1]怪物!$R$80:$V$99,2,0))*10000)</f>
        <v>#N/A</v>
      </c>
      <c r="L513" t="e">
        <f>IF(A513="","",IF(K513=1,VLOOKUP(A513,[1]怪物!$R$80:$V$99,5,0),VLOOKUP(A513,[1]怪物!$R$80:$V$99,3,0))*10000)</f>
        <v>#N/A</v>
      </c>
      <c r="M513" t="e">
        <f t="shared" si="30"/>
        <v>#N/A</v>
      </c>
      <c r="N513" t="e">
        <f t="shared" si="31"/>
        <v>#N/A</v>
      </c>
    </row>
    <row r="514" spans="1:14">
      <c r="A514">
        <f t="shared" ref="A514:A577" si="32">IF(E514="","",B514)</f>
        <v>15</v>
      </c>
      <c r="B514">
        <v>15</v>
      </c>
      <c r="C514" t="s">
        <v>49</v>
      </c>
      <c r="D514" t="s">
        <v>33</v>
      </c>
      <c r="E514">
        <v>1</v>
      </c>
      <c r="F514">
        <v>1</v>
      </c>
      <c r="G514">
        <v>2501</v>
      </c>
      <c r="H514" t="s">
        <v>34</v>
      </c>
      <c r="I514" t="str">
        <f t="shared" ref="I514:I577" si="33">_xlfn.TEXTJOIN(",",1,D514:H514)</f>
        <v>[{1000,1,1,2501,101}]</v>
      </c>
      <c r="J514" t="s">
        <v>35</v>
      </c>
      <c r="K514" t="e">
        <f>IF(A514="","",IF(J514=1,VLOOKUP(A514,[1]怪物!$R$80:$V$99,4,0),VLOOKUP(A514,[1]怪物!$R$80:$V$99,2,0))*10000)</f>
        <v>#N/A</v>
      </c>
      <c r="L514" t="e">
        <f>IF(A514="","",IF(K514=1,VLOOKUP(A514,[1]怪物!$R$80:$V$99,5,0),VLOOKUP(A514,[1]怪物!$R$80:$V$99,3,0))*10000)</f>
        <v>#N/A</v>
      </c>
      <c r="M514" t="e">
        <f t="shared" ref="M514:M577" si="34">IF(F514="","",IF(F514=0,10000,K514))</f>
        <v>#N/A</v>
      </c>
      <c r="N514" t="e">
        <f t="shared" ref="N514:N577" si="35">IF(F514="","",IF(F514=0,10000,L514))</f>
        <v>#N/A</v>
      </c>
    </row>
    <row r="515" spans="1:14">
      <c r="A515">
        <f t="shared" si="32"/>
        <v>15</v>
      </c>
      <c r="B515">
        <v>15</v>
      </c>
      <c r="C515" t="s">
        <v>49</v>
      </c>
      <c r="D515" t="s">
        <v>33</v>
      </c>
      <c r="E515">
        <v>1</v>
      </c>
      <c r="F515">
        <v>1</v>
      </c>
      <c r="G515">
        <v>2502</v>
      </c>
      <c r="H515" t="s">
        <v>34</v>
      </c>
      <c r="I515" t="str">
        <f t="shared" si="33"/>
        <v>[{1000,1,1,2502,101}]</v>
      </c>
      <c r="J515" t="s">
        <v>35</v>
      </c>
      <c r="K515" t="e">
        <f>IF(A515="","",IF(J515=1,VLOOKUP(A515,[1]怪物!$R$80:$V$99,4,0),VLOOKUP(A515,[1]怪物!$R$80:$V$99,2,0))*10000)</f>
        <v>#N/A</v>
      </c>
      <c r="L515" t="e">
        <f>IF(A515="","",IF(K515=1,VLOOKUP(A515,[1]怪物!$R$80:$V$99,5,0),VLOOKUP(A515,[1]怪物!$R$80:$V$99,3,0))*10000)</f>
        <v>#N/A</v>
      </c>
      <c r="M515" t="e">
        <f t="shared" si="34"/>
        <v>#N/A</v>
      </c>
      <c r="N515" t="e">
        <f t="shared" si="35"/>
        <v>#N/A</v>
      </c>
    </row>
    <row r="516" spans="1:14">
      <c r="A516">
        <f t="shared" si="32"/>
        <v>15</v>
      </c>
      <c r="B516">
        <v>15</v>
      </c>
      <c r="C516" t="s">
        <v>49</v>
      </c>
      <c r="D516" t="s">
        <v>33</v>
      </c>
      <c r="E516">
        <v>1</v>
      </c>
      <c r="F516">
        <v>1</v>
      </c>
      <c r="G516">
        <v>2503</v>
      </c>
      <c r="H516" t="s">
        <v>37</v>
      </c>
      <c r="I516" t="str">
        <f t="shared" si="33"/>
        <v>[{1000,1,1,2503,401}]</v>
      </c>
      <c r="J516">
        <v>1</v>
      </c>
      <c r="K516" t="e">
        <f>IF(A516="","",IF(J516=1,VLOOKUP(A516,[1]怪物!$R$80:$V$99,4,0),VLOOKUP(A516,[1]怪物!$R$80:$V$99,2,0))*10000)</f>
        <v>#N/A</v>
      </c>
      <c r="L516" t="e">
        <f>IF(A516="","",IF(K516=1,VLOOKUP(A516,[1]怪物!$R$80:$V$99,5,0),VLOOKUP(A516,[1]怪物!$R$80:$V$99,3,0))*10000)</f>
        <v>#N/A</v>
      </c>
      <c r="M516" t="e">
        <f t="shared" si="34"/>
        <v>#N/A</v>
      </c>
      <c r="N516" t="e">
        <f t="shared" si="35"/>
        <v>#N/A</v>
      </c>
    </row>
    <row r="517" spans="1:14">
      <c r="A517">
        <f t="shared" si="32"/>
        <v>16</v>
      </c>
      <c r="B517">
        <v>16</v>
      </c>
      <c r="C517" t="s">
        <v>49</v>
      </c>
      <c r="D517" t="s">
        <v>33</v>
      </c>
      <c r="E517">
        <v>1</v>
      </c>
      <c r="F517">
        <v>1</v>
      </c>
      <c r="G517">
        <v>2501</v>
      </c>
      <c r="H517" t="s">
        <v>34</v>
      </c>
      <c r="I517" t="str">
        <f t="shared" si="33"/>
        <v>[{1000,1,1,2501,101}]</v>
      </c>
      <c r="J517" t="s">
        <v>35</v>
      </c>
      <c r="K517" t="e">
        <f>IF(A517="","",IF(J517=1,VLOOKUP(A517,[1]怪物!$R$80:$V$99,4,0),VLOOKUP(A517,[1]怪物!$R$80:$V$99,2,0))*10000)</f>
        <v>#N/A</v>
      </c>
      <c r="L517" t="e">
        <f>IF(A517="","",IF(K517=1,VLOOKUP(A517,[1]怪物!$R$80:$V$99,5,0),VLOOKUP(A517,[1]怪物!$R$80:$V$99,3,0))*10000)</f>
        <v>#N/A</v>
      </c>
      <c r="M517" t="e">
        <f t="shared" si="34"/>
        <v>#N/A</v>
      </c>
      <c r="N517" t="e">
        <f t="shared" si="35"/>
        <v>#N/A</v>
      </c>
    </row>
    <row r="518" spans="1:14">
      <c r="A518">
        <f t="shared" si="32"/>
        <v>16</v>
      </c>
      <c r="B518">
        <v>16</v>
      </c>
      <c r="C518" t="s">
        <v>49</v>
      </c>
      <c r="D518" t="s">
        <v>33</v>
      </c>
      <c r="E518">
        <v>1</v>
      </c>
      <c r="F518">
        <v>1</v>
      </c>
      <c r="G518">
        <v>2502</v>
      </c>
      <c r="H518" t="s">
        <v>34</v>
      </c>
      <c r="I518" t="str">
        <f t="shared" si="33"/>
        <v>[{1000,1,1,2502,101}]</v>
      </c>
      <c r="J518" t="s">
        <v>35</v>
      </c>
      <c r="K518" t="e">
        <f>IF(A518="","",IF(J518=1,VLOOKUP(A518,[1]怪物!$R$80:$V$99,4,0),VLOOKUP(A518,[1]怪物!$R$80:$V$99,2,0))*10000)</f>
        <v>#N/A</v>
      </c>
      <c r="L518" t="e">
        <f>IF(A518="","",IF(K518=1,VLOOKUP(A518,[1]怪物!$R$80:$V$99,5,0),VLOOKUP(A518,[1]怪物!$R$80:$V$99,3,0))*10000)</f>
        <v>#N/A</v>
      </c>
      <c r="M518" t="e">
        <f t="shared" si="34"/>
        <v>#N/A</v>
      </c>
      <c r="N518" t="e">
        <f t="shared" si="35"/>
        <v>#N/A</v>
      </c>
    </row>
    <row r="519" spans="1:14">
      <c r="A519">
        <f t="shared" si="32"/>
        <v>16</v>
      </c>
      <c r="B519">
        <v>16</v>
      </c>
      <c r="C519" t="s">
        <v>49</v>
      </c>
      <c r="D519" t="s">
        <v>33</v>
      </c>
      <c r="E519">
        <v>1</v>
      </c>
      <c r="F519">
        <v>1</v>
      </c>
      <c r="G519">
        <v>2503</v>
      </c>
      <c r="H519" t="s">
        <v>37</v>
      </c>
      <c r="I519" t="str">
        <f t="shared" si="33"/>
        <v>[{1000,1,1,2503,401}]</v>
      </c>
      <c r="J519">
        <v>1</v>
      </c>
      <c r="K519" t="e">
        <f>IF(A519="","",IF(J519=1,VLOOKUP(A519,[1]怪物!$R$80:$V$99,4,0),VLOOKUP(A519,[1]怪物!$R$80:$V$99,2,0))*10000)</f>
        <v>#N/A</v>
      </c>
      <c r="L519" t="e">
        <f>IF(A519="","",IF(K519=1,VLOOKUP(A519,[1]怪物!$R$80:$V$99,5,0),VLOOKUP(A519,[1]怪物!$R$80:$V$99,3,0))*10000)</f>
        <v>#N/A</v>
      </c>
      <c r="M519" t="e">
        <f t="shared" si="34"/>
        <v>#N/A</v>
      </c>
      <c r="N519" t="e">
        <f t="shared" si="35"/>
        <v>#N/A</v>
      </c>
    </row>
    <row r="520" spans="1:14">
      <c r="A520">
        <f t="shared" si="32"/>
        <v>17</v>
      </c>
      <c r="B520">
        <v>17</v>
      </c>
      <c r="C520" t="s">
        <v>49</v>
      </c>
      <c r="D520" t="s">
        <v>33</v>
      </c>
      <c r="E520">
        <v>1</v>
      </c>
      <c r="F520">
        <v>1</v>
      </c>
      <c r="G520">
        <v>2501</v>
      </c>
      <c r="H520" t="s">
        <v>34</v>
      </c>
      <c r="I520" t="str">
        <f t="shared" si="33"/>
        <v>[{1000,1,1,2501,101}]</v>
      </c>
      <c r="J520" t="s">
        <v>35</v>
      </c>
      <c r="K520" t="e">
        <f>IF(A520="","",IF(J520=1,VLOOKUP(A520,[1]怪物!$R$80:$V$99,4,0),VLOOKUP(A520,[1]怪物!$R$80:$V$99,2,0))*10000)</f>
        <v>#N/A</v>
      </c>
      <c r="L520" t="e">
        <f>IF(A520="","",IF(K520=1,VLOOKUP(A520,[1]怪物!$R$80:$V$99,5,0),VLOOKUP(A520,[1]怪物!$R$80:$V$99,3,0))*10000)</f>
        <v>#N/A</v>
      </c>
      <c r="M520" t="e">
        <f t="shared" si="34"/>
        <v>#N/A</v>
      </c>
      <c r="N520" t="e">
        <f t="shared" si="35"/>
        <v>#N/A</v>
      </c>
    </row>
    <row r="521" spans="1:14">
      <c r="A521">
        <f t="shared" si="32"/>
        <v>17</v>
      </c>
      <c r="B521">
        <v>17</v>
      </c>
      <c r="C521" t="s">
        <v>49</v>
      </c>
      <c r="D521" t="s">
        <v>33</v>
      </c>
      <c r="E521">
        <v>1</v>
      </c>
      <c r="F521">
        <v>1</v>
      </c>
      <c r="G521">
        <v>2502</v>
      </c>
      <c r="H521" t="s">
        <v>34</v>
      </c>
      <c r="I521" t="str">
        <f t="shared" si="33"/>
        <v>[{1000,1,1,2502,101}]</v>
      </c>
      <c r="J521" t="s">
        <v>35</v>
      </c>
      <c r="K521" t="e">
        <f>IF(A521="","",IF(J521=1,VLOOKUP(A521,[1]怪物!$R$80:$V$99,4,0),VLOOKUP(A521,[1]怪物!$R$80:$V$99,2,0))*10000)</f>
        <v>#N/A</v>
      </c>
      <c r="L521" t="e">
        <f>IF(A521="","",IF(K521=1,VLOOKUP(A521,[1]怪物!$R$80:$V$99,5,0),VLOOKUP(A521,[1]怪物!$R$80:$V$99,3,0))*10000)</f>
        <v>#N/A</v>
      </c>
      <c r="M521" t="e">
        <f t="shared" si="34"/>
        <v>#N/A</v>
      </c>
      <c r="N521" t="e">
        <f t="shared" si="35"/>
        <v>#N/A</v>
      </c>
    </row>
    <row r="522" spans="1:14">
      <c r="A522">
        <f t="shared" si="32"/>
        <v>17</v>
      </c>
      <c r="B522">
        <v>17</v>
      </c>
      <c r="C522" t="s">
        <v>49</v>
      </c>
      <c r="D522" t="s">
        <v>33</v>
      </c>
      <c r="E522">
        <v>1</v>
      </c>
      <c r="F522">
        <v>1</v>
      </c>
      <c r="G522">
        <v>2503</v>
      </c>
      <c r="H522" t="s">
        <v>37</v>
      </c>
      <c r="I522" t="str">
        <f t="shared" si="33"/>
        <v>[{1000,1,1,2503,401}]</v>
      </c>
      <c r="J522">
        <v>1</v>
      </c>
      <c r="K522" t="e">
        <f>IF(A522="","",IF(J522=1,VLOOKUP(A522,[1]怪物!$R$80:$V$99,4,0),VLOOKUP(A522,[1]怪物!$R$80:$V$99,2,0))*10000)</f>
        <v>#N/A</v>
      </c>
      <c r="L522" t="e">
        <f>IF(A522="","",IF(K522=1,VLOOKUP(A522,[1]怪物!$R$80:$V$99,5,0),VLOOKUP(A522,[1]怪物!$R$80:$V$99,3,0))*10000)</f>
        <v>#N/A</v>
      </c>
      <c r="M522" t="e">
        <f t="shared" si="34"/>
        <v>#N/A</v>
      </c>
      <c r="N522" t="e">
        <f t="shared" si="35"/>
        <v>#N/A</v>
      </c>
    </row>
    <row r="523" spans="1:14">
      <c r="A523">
        <f t="shared" si="32"/>
        <v>18</v>
      </c>
      <c r="B523">
        <v>18</v>
      </c>
      <c r="C523" t="s">
        <v>49</v>
      </c>
      <c r="D523" t="s">
        <v>33</v>
      </c>
      <c r="E523">
        <v>1</v>
      </c>
      <c r="F523">
        <v>1</v>
      </c>
      <c r="G523">
        <v>2501</v>
      </c>
      <c r="H523" t="s">
        <v>34</v>
      </c>
      <c r="I523" t="str">
        <f t="shared" si="33"/>
        <v>[{1000,1,1,2501,101}]</v>
      </c>
      <c r="J523" t="s">
        <v>35</v>
      </c>
      <c r="K523" t="e">
        <f>IF(A523="","",IF(J523=1,VLOOKUP(A523,[1]怪物!$R$80:$V$99,4,0),VLOOKUP(A523,[1]怪物!$R$80:$V$99,2,0))*10000)</f>
        <v>#N/A</v>
      </c>
      <c r="L523" t="e">
        <f>IF(A523="","",IF(K523=1,VLOOKUP(A523,[1]怪物!$R$80:$V$99,5,0),VLOOKUP(A523,[1]怪物!$R$80:$V$99,3,0))*10000)</f>
        <v>#N/A</v>
      </c>
      <c r="M523" t="e">
        <f t="shared" si="34"/>
        <v>#N/A</v>
      </c>
      <c r="N523" t="e">
        <f t="shared" si="35"/>
        <v>#N/A</v>
      </c>
    </row>
    <row r="524" spans="1:14">
      <c r="A524">
        <f t="shared" si="32"/>
        <v>18</v>
      </c>
      <c r="B524">
        <v>18</v>
      </c>
      <c r="C524" t="s">
        <v>49</v>
      </c>
      <c r="D524" t="s">
        <v>33</v>
      </c>
      <c r="E524">
        <v>1</v>
      </c>
      <c r="F524">
        <v>1</v>
      </c>
      <c r="G524">
        <v>2502</v>
      </c>
      <c r="H524" t="s">
        <v>34</v>
      </c>
      <c r="I524" t="str">
        <f t="shared" si="33"/>
        <v>[{1000,1,1,2502,101}]</v>
      </c>
      <c r="J524" t="s">
        <v>35</v>
      </c>
      <c r="K524" t="e">
        <f>IF(A524="","",IF(J524=1,VLOOKUP(A524,[1]怪物!$R$80:$V$99,4,0),VLOOKUP(A524,[1]怪物!$R$80:$V$99,2,0))*10000)</f>
        <v>#N/A</v>
      </c>
      <c r="L524" t="e">
        <f>IF(A524="","",IF(K524=1,VLOOKUP(A524,[1]怪物!$R$80:$V$99,5,0),VLOOKUP(A524,[1]怪物!$R$80:$V$99,3,0))*10000)</f>
        <v>#N/A</v>
      </c>
      <c r="M524" t="e">
        <f t="shared" si="34"/>
        <v>#N/A</v>
      </c>
      <c r="N524" t="e">
        <f t="shared" si="35"/>
        <v>#N/A</v>
      </c>
    </row>
    <row r="525" spans="1:14">
      <c r="A525">
        <f t="shared" si="32"/>
        <v>18</v>
      </c>
      <c r="B525">
        <v>18</v>
      </c>
      <c r="C525" t="s">
        <v>49</v>
      </c>
      <c r="D525" t="s">
        <v>33</v>
      </c>
      <c r="E525">
        <v>1</v>
      </c>
      <c r="F525">
        <v>1</v>
      </c>
      <c r="G525">
        <v>2503</v>
      </c>
      <c r="H525" t="s">
        <v>37</v>
      </c>
      <c r="I525" t="str">
        <f t="shared" si="33"/>
        <v>[{1000,1,1,2503,401}]</v>
      </c>
      <c r="J525">
        <v>1</v>
      </c>
      <c r="K525" t="e">
        <f>IF(A525="","",IF(J525=1,VLOOKUP(A525,[1]怪物!$R$80:$V$99,4,0),VLOOKUP(A525,[1]怪物!$R$80:$V$99,2,0))*10000)</f>
        <v>#N/A</v>
      </c>
      <c r="L525" t="e">
        <f>IF(A525="","",IF(K525=1,VLOOKUP(A525,[1]怪物!$R$80:$V$99,5,0),VLOOKUP(A525,[1]怪物!$R$80:$V$99,3,0))*10000)</f>
        <v>#N/A</v>
      </c>
      <c r="M525" t="e">
        <f t="shared" si="34"/>
        <v>#N/A</v>
      </c>
      <c r="N525" t="e">
        <f t="shared" si="35"/>
        <v>#N/A</v>
      </c>
    </row>
    <row r="526" spans="1:14">
      <c r="A526">
        <f t="shared" si="32"/>
        <v>19</v>
      </c>
      <c r="B526">
        <v>19</v>
      </c>
      <c r="C526" t="s">
        <v>49</v>
      </c>
      <c r="D526" t="s">
        <v>33</v>
      </c>
      <c r="E526">
        <v>1</v>
      </c>
      <c r="F526">
        <v>1</v>
      </c>
      <c r="G526">
        <v>2501</v>
      </c>
      <c r="H526" t="s">
        <v>34</v>
      </c>
      <c r="I526" t="str">
        <f t="shared" si="33"/>
        <v>[{1000,1,1,2501,101}]</v>
      </c>
      <c r="J526" t="s">
        <v>35</v>
      </c>
      <c r="K526" t="e">
        <f>IF(A526="","",IF(J526=1,VLOOKUP(A526,[1]怪物!$R$80:$V$99,4,0),VLOOKUP(A526,[1]怪物!$R$80:$V$99,2,0))*10000)</f>
        <v>#N/A</v>
      </c>
      <c r="L526" t="e">
        <f>IF(A526="","",IF(K526=1,VLOOKUP(A526,[1]怪物!$R$80:$V$99,5,0),VLOOKUP(A526,[1]怪物!$R$80:$V$99,3,0))*10000)</f>
        <v>#N/A</v>
      </c>
      <c r="M526" t="e">
        <f t="shared" si="34"/>
        <v>#N/A</v>
      </c>
      <c r="N526" t="e">
        <f t="shared" si="35"/>
        <v>#N/A</v>
      </c>
    </row>
    <row r="527" spans="1:14">
      <c r="A527">
        <f t="shared" si="32"/>
        <v>19</v>
      </c>
      <c r="B527">
        <v>19</v>
      </c>
      <c r="C527" t="s">
        <v>49</v>
      </c>
      <c r="D527" t="s">
        <v>33</v>
      </c>
      <c r="E527">
        <v>1</v>
      </c>
      <c r="F527">
        <v>1</v>
      </c>
      <c r="G527">
        <v>2502</v>
      </c>
      <c r="H527" t="s">
        <v>34</v>
      </c>
      <c r="I527" t="str">
        <f t="shared" si="33"/>
        <v>[{1000,1,1,2502,101}]</v>
      </c>
      <c r="J527" t="s">
        <v>35</v>
      </c>
      <c r="K527" t="e">
        <f>IF(A527="","",IF(J527=1,VLOOKUP(A527,[1]怪物!$R$80:$V$99,4,0),VLOOKUP(A527,[1]怪物!$R$80:$V$99,2,0))*10000)</f>
        <v>#N/A</v>
      </c>
      <c r="L527" t="e">
        <f>IF(A527="","",IF(K527=1,VLOOKUP(A527,[1]怪物!$R$80:$V$99,5,0),VLOOKUP(A527,[1]怪物!$R$80:$V$99,3,0))*10000)</f>
        <v>#N/A</v>
      </c>
      <c r="M527" t="e">
        <f t="shared" si="34"/>
        <v>#N/A</v>
      </c>
      <c r="N527" t="e">
        <f t="shared" si="35"/>
        <v>#N/A</v>
      </c>
    </row>
    <row r="528" spans="1:14">
      <c r="A528">
        <f t="shared" si="32"/>
        <v>19</v>
      </c>
      <c r="B528">
        <v>19</v>
      </c>
      <c r="C528" t="s">
        <v>49</v>
      </c>
      <c r="D528" t="s">
        <v>33</v>
      </c>
      <c r="E528">
        <v>1</v>
      </c>
      <c r="F528">
        <v>1</v>
      </c>
      <c r="G528">
        <v>2503</v>
      </c>
      <c r="H528" t="s">
        <v>37</v>
      </c>
      <c r="I528" t="str">
        <f t="shared" si="33"/>
        <v>[{1000,1,1,2503,401}]</v>
      </c>
      <c r="J528">
        <v>1</v>
      </c>
      <c r="K528" t="e">
        <f>IF(A528="","",IF(J528=1,VLOOKUP(A528,[1]怪物!$R$80:$V$99,4,0),VLOOKUP(A528,[1]怪物!$R$80:$V$99,2,0))*10000)</f>
        <v>#N/A</v>
      </c>
      <c r="L528" t="e">
        <f>IF(A528="","",IF(K528=1,VLOOKUP(A528,[1]怪物!$R$80:$V$99,5,0),VLOOKUP(A528,[1]怪物!$R$80:$V$99,3,0))*10000)</f>
        <v>#N/A</v>
      </c>
      <c r="M528" t="e">
        <f t="shared" si="34"/>
        <v>#N/A</v>
      </c>
      <c r="N528" t="e">
        <f t="shared" si="35"/>
        <v>#N/A</v>
      </c>
    </row>
    <row r="529" spans="1:14">
      <c r="A529">
        <f t="shared" si="32"/>
        <v>20</v>
      </c>
      <c r="B529">
        <v>20</v>
      </c>
      <c r="C529" t="s">
        <v>49</v>
      </c>
      <c r="D529" t="s">
        <v>33</v>
      </c>
      <c r="E529">
        <v>1</v>
      </c>
      <c r="F529">
        <v>1</v>
      </c>
      <c r="G529">
        <v>2501</v>
      </c>
      <c r="H529" t="s">
        <v>34</v>
      </c>
      <c r="I529" t="str">
        <f t="shared" si="33"/>
        <v>[{1000,1,1,2501,101}]</v>
      </c>
      <c r="J529" t="s">
        <v>35</v>
      </c>
      <c r="K529" t="e">
        <f>IF(A529="","",IF(J529=1,VLOOKUP(A529,[1]怪物!$R$80:$V$99,4,0),VLOOKUP(A529,[1]怪物!$R$80:$V$99,2,0))*10000)</f>
        <v>#N/A</v>
      </c>
      <c r="L529" t="e">
        <f>IF(A529="","",IF(K529=1,VLOOKUP(A529,[1]怪物!$R$80:$V$99,5,0),VLOOKUP(A529,[1]怪物!$R$80:$V$99,3,0))*10000)</f>
        <v>#N/A</v>
      </c>
      <c r="M529" t="e">
        <f t="shared" si="34"/>
        <v>#N/A</v>
      </c>
      <c r="N529" t="e">
        <f t="shared" si="35"/>
        <v>#N/A</v>
      </c>
    </row>
    <row r="530" spans="1:14">
      <c r="A530">
        <f t="shared" si="32"/>
        <v>20</v>
      </c>
      <c r="B530">
        <v>20</v>
      </c>
      <c r="C530" t="s">
        <v>49</v>
      </c>
      <c r="D530" t="s">
        <v>33</v>
      </c>
      <c r="E530">
        <v>1</v>
      </c>
      <c r="F530">
        <v>1</v>
      </c>
      <c r="G530">
        <v>2502</v>
      </c>
      <c r="H530" t="s">
        <v>34</v>
      </c>
      <c r="I530" t="str">
        <f t="shared" si="33"/>
        <v>[{1000,1,1,2502,101}]</v>
      </c>
      <c r="J530" t="s">
        <v>35</v>
      </c>
      <c r="K530" t="e">
        <f>IF(A530="","",IF(J530=1,VLOOKUP(A530,[1]怪物!$R$80:$V$99,4,0),VLOOKUP(A530,[1]怪物!$R$80:$V$99,2,0))*10000)</f>
        <v>#N/A</v>
      </c>
      <c r="L530" t="e">
        <f>IF(A530="","",IF(K530=1,VLOOKUP(A530,[1]怪物!$R$80:$V$99,5,0),VLOOKUP(A530,[1]怪物!$R$80:$V$99,3,0))*10000)</f>
        <v>#N/A</v>
      </c>
      <c r="M530" t="e">
        <f t="shared" si="34"/>
        <v>#N/A</v>
      </c>
      <c r="N530" t="e">
        <f t="shared" si="35"/>
        <v>#N/A</v>
      </c>
    </row>
    <row r="531" spans="1:14">
      <c r="A531">
        <f t="shared" si="32"/>
        <v>20</v>
      </c>
      <c r="B531">
        <v>20</v>
      </c>
      <c r="C531" t="s">
        <v>49</v>
      </c>
      <c r="D531" t="s">
        <v>33</v>
      </c>
      <c r="E531">
        <v>1</v>
      </c>
      <c r="F531">
        <v>1</v>
      </c>
      <c r="G531">
        <v>2503</v>
      </c>
      <c r="H531" t="s">
        <v>37</v>
      </c>
      <c r="I531" t="str">
        <f t="shared" si="33"/>
        <v>[{1000,1,1,2503,401}]</v>
      </c>
      <c r="J531">
        <v>1</v>
      </c>
      <c r="K531" t="e">
        <f>IF(A531="","",IF(J531=1,VLOOKUP(A531,[1]怪物!$R$80:$V$99,4,0),VLOOKUP(A531,[1]怪物!$R$80:$V$99,2,0))*10000)</f>
        <v>#N/A</v>
      </c>
      <c r="L531" t="e">
        <f>IF(A531="","",IF(K531=1,VLOOKUP(A531,[1]怪物!$R$80:$V$99,5,0),VLOOKUP(A531,[1]怪物!$R$80:$V$99,3,0))*10000)</f>
        <v>#N/A</v>
      </c>
      <c r="M531" t="e">
        <f t="shared" si="34"/>
        <v>#N/A</v>
      </c>
      <c r="N531" t="e">
        <f t="shared" si="35"/>
        <v>#N/A</v>
      </c>
    </row>
    <row r="532" spans="1:14">
      <c r="A532" t="str">
        <f t="shared" si="32"/>
        <v/>
      </c>
      <c r="B532">
        <v>20</v>
      </c>
      <c r="C532" t="s">
        <v>49</v>
      </c>
      <c r="D532" t="s">
        <v>28</v>
      </c>
      <c r="I532" t="str">
        <f t="shared" si="33"/>
        <v>[]</v>
      </c>
      <c r="J532">
        <v>2</v>
      </c>
      <c r="K532" t="str">
        <f>IF(A532="","",IF(J532=1,VLOOKUP(A532,[1]怪物!$R$80:$V$99,4,0),VLOOKUP(A532,[1]怪物!$R$80:$V$99,2,0))*10000)</f>
        <v/>
      </c>
      <c r="L532" t="str">
        <f>IF(A532="","",IF(K532=1,VLOOKUP(A532,[1]怪物!$R$80:$V$99,5,0),VLOOKUP(A532,[1]怪物!$R$80:$V$99,3,0))*10000)</f>
        <v/>
      </c>
      <c r="M532" t="str">
        <f t="shared" si="34"/>
        <v/>
      </c>
      <c r="N532" t="str">
        <f t="shared" si="35"/>
        <v/>
      </c>
    </row>
    <row r="533" spans="1:14">
      <c r="A533">
        <f t="shared" si="32"/>
        <v>20</v>
      </c>
      <c r="B533">
        <v>20</v>
      </c>
      <c r="C533" t="s">
        <v>49</v>
      </c>
      <c r="D533" t="s">
        <v>33</v>
      </c>
      <c r="E533">
        <v>1</v>
      </c>
      <c r="F533">
        <v>0</v>
      </c>
      <c r="G533">
        <v>2531</v>
      </c>
      <c r="H533" t="s">
        <v>36</v>
      </c>
      <c r="I533" t="str">
        <f t="shared" si="33"/>
        <v>[{1000,1,0,2531,41}]</v>
      </c>
      <c r="J533" t="s">
        <v>35</v>
      </c>
      <c r="K533" t="e">
        <f>IF(A533="","",IF(J533=1,VLOOKUP(A533,[1]怪物!$R$80:$V$99,4,0),VLOOKUP(A533,[1]怪物!$R$80:$V$99,2,0))*10000)</f>
        <v>#N/A</v>
      </c>
      <c r="L533" t="e">
        <f>IF(A533="","",IF(K533=1,VLOOKUP(A533,[1]怪物!$R$80:$V$99,5,0),VLOOKUP(A533,[1]怪物!$R$80:$V$99,3,0))*10000)</f>
        <v>#N/A</v>
      </c>
      <c r="M533">
        <f t="shared" si="34"/>
        <v>10000</v>
      </c>
      <c r="N533">
        <f t="shared" si="35"/>
        <v>10000</v>
      </c>
    </row>
    <row r="534" spans="1:14">
      <c r="A534">
        <f t="shared" si="32"/>
        <v>1</v>
      </c>
      <c r="B534">
        <v>1</v>
      </c>
      <c r="C534" t="s">
        <v>50</v>
      </c>
      <c r="D534" t="s">
        <v>33</v>
      </c>
      <c r="E534">
        <v>1</v>
      </c>
      <c r="F534">
        <v>1</v>
      </c>
      <c r="G534">
        <v>2601</v>
      </c>
      <c r="H534" t="s">
        <v>34</v>
      </c>
      <c r="I534" t="str">
        <f t="shared" si="33"/>
        <v>[{1000,1,1,2601,101}]</v>
      </c>
      <c r="J534" t="s">
        <v>35</v>
      </c>
      <c r="K534">
        <f>IF(A534="","",IF(J534=1,VLOOKUP(A534,[1]怪物!$R$80:$V$99,4,0),VLOOKUP(A534,[1]怪物!$R$80:$V$99,2,0))*10000)</f>
        <v>10000</v>
      </c>
      <c r="L534">
        <f>IF(A534="","",IF(K534=1,VLOOKUP(A534,[1]怪物!$R$80:$V$99,5,0),VLOOKUP(A534,[1]怪物!$R$80:$V$99,3,0))*10000)</f>
        <v>10000</v>
      </c>
      <c r="M534">
        <f t="shared" si="34"/>
        <v>10000</v>
      </c>
      <c r="N534">
        <f t="shared" si="35"/>
        <v>10000</v>
      </c>
    </row>
    <row r="535" spans="1:14">
      <c r="A535">
        <f t="shared" si="32"/>
        <v>2</v>
      </c>
      <c r="B535">
        <v>2</v>
      </c>
      <c r="C535" t="s">
        <v>50</v>
      </c>
      <c r="D535" t="s">
        <v>33</v>
      </c>
      <c r="E535">
        <v>1</v>
      </c>
      <c r="F535">
        <v>1</v>
      </c>
      <c r="G535">
        <v>2601</v>
      </c>
      <c r="H535" t="s">
        <v>34</v>
      </c>
      <c r="I535" t="str">
        <f t="shared" si="33"/>
        <v>[{1000,1,1,2601,101}]</v>
      </c>
      <c r="J535" t="s">
        <v>35</v>
      </c>
      <c r="K535">
        <f>IF(A535="","",IF(J535=1,VLOOKUP(A535,[1]怪物!$R$80:$V$99,4,0),VLOOKUP(A535,[1]怪物!$R$80:$V$99,2,0))*10000)</f>
        <v>10000</v>
      </c>
      <c r="L535">
        <f>IF(A535="","",IF(K535=1,VLOOKUP(A535,[1]怪物!$R$80:$V$99,5,0),VLOOKUP(A535,[1]怪物!$R$80:$V$99,3,0))*10000)</f>
        <v>10000</v>
      </c>
      <c r="M535">
        <f t="shared" si="34"/>
        <v>10000</v>
      </c>
      <c r="N535">
        <f t="shared" si="35"/>
        <v>10000</v>
      </c>
    </row>
    <row r="536" spans="1:14">
      <c r="A536">
        <f t="shared" si="32"/>
        <v>3</v>
      </c>
      <c r="B536">
        <v>3</v>
      </c>
      <c r="C536" t="s">
        <v>50</v>
      </c>
      <c r="D536" t="s">
        <v>33</v>
      </c>
      <c r="E536">
        <v>1</v>
      </c>
      <c r="F536">
        <v>1</v>
      </c>
      <c r="G536">
        <v>2601</v>
      </c>
      <c r="H536" t="s">
        <v>34</v>
      </c>
      <c r="I536" t="str">
        <f t="shared" si="33"/>
        <v>[{1000,1,1,2601,101}]</v>
      </c>
      <c r="J536" t="s">
        <v>35</v>
      </c>
      <c r="K536">
        <f>IF(A536="","",IF(J536=1,VLOOKUP(A536,[1]怪物!$R$80:$V$99,4,0),VLOOKUP(A536,[1]怪物!$R$80:$V$99,2,0))*10000)</f>
        <v>10000</v>
      </c>
      <c r="L536">
        <f>IF(A536="","",IF(K536=1,VLOOKUP(A536,[1]怪物!$R$80:$V$99,5,0),VLOOKUP(A536,[1]怪物!$R$80:$V$99,3,0))*10000)</f>
        <v>10000</v>
      </c>
      <c r="M536">
        <f t="shared" si="34"/>
        <v>10000</v>
      </c>
      <c r="N536">
        <f t="shared" si="35"/>
        <v>10000</v>
      </c>
    </row>
    <row r="537" spans="1:14">
      <c r="A537">
        <f t="shared" si="32"/>
        <v>4</v>
      </c>
      <c r="B537">
        <v>4</v>
      </c>
      <c r="C537" t="s">
        <v>50</v>
      </c>
      <c r="D537" t="s">
        <v>33</v>
      </c>
      <c r="E537">
        <v>1</v>
      </c>
      <c r="F537">
        <v>1</v>
      </c>
      <c r="G537">
        <v>2601</v>
      </c>
      <c r="H537" t="s">
        <v>34</v>
      </c>
      <c r="I537" t="str">
        <f t="shared" si="33"/>
        <v>[{1000,1,1,2601,101}]</v>
      </c>
      <c r="J537" t="s">
        <v>35</v>
      </c>
      <c r="K537">
        <f>IF(A537="","",IF(J537=1,VLOOKUP(A537,[1]怪物!$R$80:$V$99,4,0),VLOOKUP(A537,[1]怪物!$R$80:$V$99,2,0))*10000)</f>
        <v>10000</v>
      </c>
      <c r="L537">
        <f>IF(A537="","",IF(K537=1,VLOOKUP(A537,[1]怪物!$R$80:$V$99,5,0),VLOOKUP(A537,[1]怪物!$R$80:$V$99,3,0))*10000)</f>
        <v>10000</v>
      </c>
      <c r="M537">
        <f t="shared" si="34"/>
        <v>10000</v>
      </c>
      <c r="N537">
        <f t="shared" si="35"/>
        <v>10000</v>
      </c>
    </row>
    <row r="538" spans="1:14">
      <c r="A538">
        <f t="shared" si="32"/>
        <v>5</v>
      </c>
      <c r="B538">
        <v>5</v>
      </c>
      <c r="C538" t="s">
        <v>50</v>
      </c>
      <c r="D538" t="s">
        <v>33</v>
      </c>
      <c r="E538">
        <v>1</v>
      </c>
      <c r="F538">
        <v>1</v>
      </c>
      <c r="G538">
        <v>2601</v>
      </c>
      <c r="H538" t="s">
        <v>34</v>
      </c>
      <c r="I538" t="str">
        <f t="shared" si="33"/>
        <v>[{1000,1,1,2601,101}]</v>
      </c>
      <c r="J538" t="s">
        <v>35</v>
      </c>
      <c r="K538">
        <f>IF(A538="","",IF(J538=1,VLOOKUP(A538,[1]怪物!$R$80:$V$99,4,0),VLOOKUP(A538,[1]怪物!$R$80:$V$99,2,0))*10000)</f>
        <v>10000</v>
      </c>
      <c r="L538">
        <f>IF(A538="","",IF(K538=1,VLOOKUP(A538,[1]怪物!$R$80:$V$99,5,0),VLOOKUP(A538,[1]怪物!$R$80:$V$99,3,0))*10000)</f>
        <v>10000</v>
      </c>
      <c r="M538">
        <f t="shared" si="34"/>
        <v>10000</v>
      </c>
      <c r="N538">
        <f t="shared" si="35"/>
        <v>10000</v>
      </c>
    </row>
    <row r="539" spans="1:14">
      <c r="A539">
        <f t="shared" si="32"/>
        <v>6</v>
      </c>
      <c r="B539">
        <v>6</v>
      </c>
      <c r="C539" t="s">
        <v>50</v>
      </c>
      <c r="D539" t="s">
        <v>33</v>
      </c>
      <c r="E539">
        <v>1</v>
      </c>
      <c r="F539">
        <v>1</v>
      </c>
      <c r="G539">
        <v>2601</v>
      </c>
      <c r="H539" t="s">
        <v>34</v>
      </c>
      <c r="I539" t="str">
        <f t="shared" si="33"/>
        <v>[{1000,1,1,2601,101}]</v>
      </c>
      <c r="J539" t="s">
        <v>35</v>
      </c>
      <c r="K539">
        <f>IF(A539="","",IF(J539=1,VLOOKUP(A539,[1]怪物!$R$80:$V$99,4,0),VLOOKUP(A539,[1]怪物!$R$80:$V$99,2,0))*10000)</f>
        <v>15000</v>
      </c>
      <c r="L539">
        <f>IF(A539="","",IF(K539=1,VLOOKUP(A539,[1]怪物!$R$80:$V$99,5,0),VLOOKUP(A539,[1]怪物!$R$80:$V$99,3,0))*10000)</f>
        <v>15000</v>
      </c>
      <c r="M539">
        <f t="shared" si="34"/>
        <v>15000</v>
      </c>
      <c r="N539">
        <f t="shared" si="35"/>
        <v>15000</v>
      </c>
    </row>
    <row r="540" spans="1:14">
      <c r="A540">
        <f t="shared" si="32"/>
        <v>7</v>
      </c>
      <c r="B540">
        <v>7</v>
      </c>
      <c r="C540" t="s">
        <v>50</v>
      </c>
      <c r="D540" t="s">
        <v>33</v>
      </c>
      <c r="E540">
        <v>1</v>
      </c>
      <c r="F540">
        <v>1</v>
      </c>
      <c r="G540">
        <v>2601</v>
      </c>
      <c r="H540" t="s">
        <v>34</v>
      </c>
      <c r="I540" t="str">
        <f t="shared" si="33"/>
        <v>[{1000,1,1,2601,101}]</v>
      </c>
      <c r="J540" t="s">
        <v>35</v>
      </c>
      <c r="K540">
        <f>IF(A540="","",IF(J540=1,VLOOKUP(A540,[1]怪物!$R$80:$V$99,4,0),VLOOKUP(A540,[1]怪物!$R$80:$V$99,2,0))*10000)</f>
        <v>15000</v>
      </c>
      <c r="L540">
        <f>IF(A540="","",IF(K540=1,VLOOKUP(A540,[1]怪物!$R$80:$V$99,5,0),VLOOKUP(A540,[1]怪物!$R$80:$V$99,3,0))*10000)</f>
        <v>15000</v>
      </c>
      <c r="M540">
        <f t="shared" si="34"/>
        <v>15000</v>
      </c>
      <c r="N540">
        <f t="shared" si="35"/>
        <v>15000</v>
      </c>
    </row>
    <row r="541" spans="1:14">
      <c r="A541">
        <f t="shared" si="32"/>
        <v>7</v>
      </c>
      <c r="B541">
        <v>7</v>
      </c>
      <c r="C541" t="s">
        <v>50</v>
      </c>
      <c r="D541" t="s">
        <v>33</v>
      </c>
      <c r="E541">
        <v>1</v>
      </c>
      <c r="F541">
        <v>1</v>
      </c>
      <c r="G541">
        <v>2602</v>
      </c>
      <c r="H541" t="s">
        <v>34</v>
      </c>
      <c r="I541" t="str">
        <f t="shared" si="33"/>
        <v>[{1000,1,1,2602,101}]</v>
      </c>
      <c r="J541" t="s">
        <v>35</v>
      </c>
      <c r="K541">
        <f>IF(A541="","",IF(J541=1,VLOOKUP(A541,[1]怪物!$R$80:$V$99,4,0),VLOOKUP(A541,[1]怪物!$R$80:$V$99,2,0))*10000)</f>
        <v>15000</v>
      </c>
      <c r="L541">
        <f>IF(A541="","",IF(K541=1,VLOOKUP(A541,[1]怪物!$R$80:$V$99,5,0),VLOOKUP(A541,[1]怪物!$R$80:$V$99,3,0))*10000)</f>
        <v>15000</v>
      </c>
      <c r="M541">
        <f t="shared" si="34"/>
        <v>15000</v>
      </c>
      <c r="N541">
        <f t="shared" si="35"/>
        <v>15000</v>
      </c>
    </row>
    <row r="542" spans="1:14">
      <c r="A542">
        <f t="shared" si="32"/>
        <v>8</v>
      </c>
      <c r="B542">
        <v>8</v>
      </c>
      <c r="C542" t="s">
        <v>50</v>
      </c>
      <c r="D542" t="s">
        <v>33</v>
      </c>
      <c r="E542">
        <v>1</v>
      </c>
      <c r="F542">
        <v>1</v>
      </c>
      <c r="G542">
        <v>2601</v>
      </c>
      <c r="H542" t="s">
        <v>34</v>
      </c>
      <c r="I542" t="str">
        <f t="shared" si="33"/>
        <v>[{1000,1,1,2601,101}]</v>
      </c>
      <c r="J542" t="s">
        <v>35</v>
      </c>
      <c r="K542">
        <f>IF(A542="","",IF(J542=1,VLOOKUP(A542,[1]怪物!$R$80:$V$99,4,0),VLOOKUP(A542,[1]怪物!$R$80:$V$99,2,0))*10000)</f>
        <v>15000</v>
      </c>
      <c r="L542">
        <f>IF(A542="","",IF(K542=1,VLOOKUP(A542,[1]怪物!$R$80:$V$99,5,0),VLOOKUP(A542,[1]怪物!$R$80:$V$99,3,0))*10000)</f>
        <v>15000</v>
      </c>
      <c r="M542">
        <f t="shared" si="34"/>
        <v>15000</v>
      </c>
      <c r="N542">
        <f t="shared" si="35"/>
        <v>15000</v>
      </c>
    </row>
    <row r="543" spans="1:14">
      <c r="A543">
        <f t="shared" si="32"/>
        <v>8</v>
      </c>
      <c r="B543">
        <v>8</v>
      </c>
      <c r="C543" t="s">
        <v>50</v>
      </c>
      <c r="D543" t="s">
        <v>33</v>
      </c>
      <c r="E543">
        <v>1</v>
      </c>
      <c r="F543">
        <v>1</v>
      </c>
      <c r="G543">
        <v>2602</v>
      </c>
      <c r="H543" t="s">
        <v>34</v>
      </c>
      <c r="I543" t="str">
        <f t="shared" si="33"/>
        <v>[{1000,1,1,2602,101}]</v>
      </c>
      <c r="J543" t="s">
        <v>35</v>
      </c>
      <c r="K543">
        <f>IF(A543="","",IF(J543=1,VLOOKUP(A543,[1]怪物!$R$80:$V$99,4,0),VLOOKUP(A543,[1]怪物!$R$80:$V$99,2,0))*10000)</f>
        <v>15000</v>
      </c>
      <c r="L543">
        <f>IF(A543="","",IF(K543=1,VLOOKUP(A543,[1]怪物!$R$80:$V$99,5,0),VLOOKUP(A543,[1]怪物!$R$80:$V$99,3,0))*10000)</f>
        <v>15000</v>
      </c>
      <c r="M543">
        <f t="shared" si="34"/>
        <v>15000</v>
      </c>
      <c r="N543">
        <f t="shared" si="35"/>
        <v>15000</v>
      </c>
    </row>
    <row r="544" spans="1:14">
      <c r="A544">
        <f t="shared" si="32"/>
        <v>9</v>
      </c>
      <c r="B544">
        <v>9</v>
      </c>
      <c r="C544" t="s">
        <v>50</v>
      </c>
      <c r="D544" t="s">
        <v>33</v>
      </c>
      <c r="E544">
        <v>1</v>
      </c>
      <c r="F544">
        <v>1</v>
      </c>
      <c r="G544">
        <v>2601</v>
      </c>
      <c r="H544" t="s">
        <v>34</v>
      </c>
      <c r="I544" t="str">
        <f t="shared" si="33"/>
        <v>[{1000,1,1,2601,101}]</v>
      </c>
      <c r="J544" t="s">
        <v>35</v>
      </c>
      <c r="K544" t="e">
        <f>IF(A544="","",IF(J544=1,VLOOKUP(A544,[1]怪物!$R$80:$V$99,4,0),VLOOKUP(A544,[1]怪物!$R$80:$V$99,2,0))*10000)</f>
        <v>#N/A</v>
      </c>
      <c r="L544" t="e">
        <f>IF(A544="","",IF(K544=1,VLOOKUP(A544,[1]怪物!$R$80:$V$99,5,0),VLOOKUP(A544,[1]怪物!$R$80:$V$99,3,0))*10000)</f>
        <v>#N/A</v>
      </c>
      <c r="M544" t="e">
        <f t="shared" si="34"/>
        <v>#N/A</v>
      </c>
      <c r="N544" t="e">
        <f t="shared" si="35"/>
        <v>#N/A</v>
      </c>
    </row>
    <row r="545" spans="1:14">
      <c r="A545">
        <f t="shared" si="32"/>
        <v>9</v>
      </c>
      <c r="B545">
        <v>9</v>
      </c>
      <c r="C545" t="s">
        <v>50</v>
      </c>
      <c r="D545" t="s">
        <v>33</v>
      </c>
      <c r="E545">
        <v>1</v>
      </c>
      <c r="F545">
        <v>1</v>
      </c>
      <c r="G545">
        <v>2602</v>
      </c>
      <c r="H545" t="s">
        <v>34</v>
      </c>
      <c r="I545" t="str">
        <f t="shared" si="33"/>
        <v>[{1000,1,1,2602,101}]</v>
      </c>
      <c r="J545" t="s">
        <v>35</v>
      </c>
      <c r="K545" t="e">
        <f>IF(A545="","",IF(J545=1,VLOOKUP(A545,[1]怪物!$R$80:$V$99,4,0),VLOOKUP(A545,[1]怪物!$R$80:$V$99,2,0))*10000)</f>
        <v>#N/A</v>
      </c>
      <c r="L545" t="e">
        <f>IF(A545="","",IF(K545=1,VLOOKUP(A545,[1]怪物!$R$80:$V$99,5,0),VLOOKUP(A545,[1]怪物!$R$80:$V$99,3,0))*10000)</f>
        <v>#N/A</v>
      </c>
      <c r="M545" t="e">
        <f t="shared" si="34"/>
        <v>#N/A</v>
      </c>
      <c r="N545" t="e">
        <f t="shared" si="35"/>
        <v>#N/A</v>
      </c>
    </row>
    <row r="546" spans="1:14">
      <c r="A546">
        <f t="shared" si="32"/>
        <v>10</v>
      </c>
      <c r="B546">
        <v>10</v>
      </c>
      <c r="C546" t="s">
        <v>50</v>
      </c>
      <c r="D546" t="s">
        <v>33</v>
      </c>
      <c r="E546">
        <v>1</v>
      </c>
      <c r="F546">
        <v>1</v>
      </c>
      <c r="G546">
        <v>2601</v>
      </c>
      <c r="H546" t="s">
        <v>34</v>
      </c>
      <c r="I546" t="str">
        <f t="shared" si="33"/>
        <v>[{1000,1,1,2601,101}]</v>
      </c>
      <c r="J546" t="s">
        <v>35</v>
      </c>
      <c r="K546" t="e">
        <f>IF(A546="","",IF(J546=1,VLOOKUP(A546,[1]怪物!$R$80:$V$99,4,0),VLOOKUP(A546,[1]怪物!$R$80:$V$99,2,0))*10000)</f>
        <v>#N/A</v>
      </c>
      <c r="L546" t="e">
        <f>IF(A546="","",IF(K546=1,VLOOKUP(A546,[1]怪物!$R$80:$V$99,5,0),VLOOKUP(A546,[1]怪物!$R$80:$V$99,3,0))*10000)</f>
        <v>#N/A</v>
      </c>
      <c r="M546" t="e">
        <f t="shared" si="34"/>
        <v>#N/A</v>
      </c>
      <c r="N546" t="e">
        <f t="shared" si="35"/>
        <v>#N/A</v>
      </c>
    </row>
    <row r="547" spans="1:14">
      <c r="A547">
        <f t="shared" si="32"/>
        <v>10</v>
      </c>
      <c r="B547">
        <v>10</v>
      </c>
      <c r="C547" t="s">
        <v>50</v>
      </c>
      <c r="D547" t="s">
        <v>33</v>
      </c>
      <c r="E547">
        <v>1</v>
      </c>
      <c r="F547">
        <v>1</v>
      </c>
      <c r="G547">
        <v>2602</v>
      </c>
      <c r="H547" t="s">
        <v>34</v>
      </c>
      <c r="I547" t="str">
        <f t="shared" si="33"/>
        <v>[{1000,1,1,2602,101}]</v>
      </c>
      <c r="J547" t="s">
        <v>35</v>
      </c>
      <c r="K547" t="e">
        <f>IF(A547="","",IF(J547=1,VLOOKUP(A547,[1]怪物!$R$80:$V$99,4,0),VLOOKUP(A547,[1]怪物!$R$80:$V$99,2,0))*10000)</f>
        <v>#N/A</v>
      </c>
      <c r="L547" t="e">
        <f>IF(A547="","",IF(K547=1,VLOOKUP(A547,[1]怪物!$R$80:$V$99,5,0),VLOOKUP(A547,[1]怪物!$R$80:$V$99,3,0))*10000)</f>
        <v>#N/A</v>
      </c>
      <c r="M547" t="e">
        <f t="shared" si="34"/>
        <v>#N/A</v>
      </c>
      <c r="N547" t="e">
        <f t="shared" si="35"/>
        <v>#N/A</v>
      </c>
    </row>
    <row r="548" spans="1:14">
      <c r="A548" t="str">
        <f t="shared" si="32"/>
        <v/>
      </c>
      <c r="B548">
        <v>10</v>
      </c>
      <c r="C548" t="s">
        <v>50</v>
      </c>
      <c r="D548" t="s">
        <v>28</v>
      </c>
      <c r="I548" t="str">
        <f t="shared" si="33"/>
        <v>[]</v>
      </c>
      <c r="J548">
        <v>2</v>
      </c>
      <c r="K548" t="str">
        <f>IF(A548="","",IF(J548=1,VLOOKUP(A548,[1]怪物!$R$80:$V$99,4,0),VLOOKUP(A548,[1]怪物!$R$80:$V$99,2,0))*10000)</f>
        <v/>
      </c>
      <c r="L548" t="str">
        <f>IF(A548="","",IF(K548=1,VLOOKUP(A548,[1]怪物!$R$80:$V$99,5,0),VLOOKUP(A548,[1]怪物!$R$80:$V$99,3,0))*10000)</f>
        <v/>
      </c>
      <c r="M548" t="str">
        <f t="shared" si="34"/>
        <v/>
      </c>
      <c r="N548" t="str">
        <f t="shared" si="35"/>
        <v/>
      </c>
    </row>
    <row r="549" spans="1:14">
      <c r="A549">
        <f t="shared" si="32"/>
        <v>10</v>
      </c>
      <c r="B549">
        <v>10</v>
      </c>
      <c r="C549" t="s">
        <v>50</v>
      </c>
      <c r="D549" t="s">
        <v>33</v>
      </c>
      <c r="E549">
        <v>1</v>
      </c>
      <c r="F549">
        <v>0</v>
      </c>
      <c r="G549">
        <v>2621</v>
      </c>
      <c r="H549" t="s">
        <v>37</v>
      </c>
      <c r="I549" t="str">
        <f t="shared" si="33"/>
        <v>[{1000,1,0,2621,401}]</v>
      </c>
      <c r="J549">
        <v>1</v>
      </c>
      <c r="K549" t="e">
        <f>IF(A549="","",IF(J549=1,VLOOKUP(A549,[1]怪物!$R$80:$V$99,4,0),VLOOKUP(A549,[1]怪物!$R$80:$V$99,2,0))*10000)</f>
        <v>#N/A</v>
      </c>
      <c r="L549" t="e">
        <f>IF(A549="","",IF(K549=1,VLOOKUP(A549,[1]怪物!$R$80:$V$99,5,0),VLOOKUP(A549,[1]怪物!$R$80:$V$99,3,0))*10000)</f>
        <v>#N/A</v>
      </c>
      <c r="M549">
        <f t="shared" si="34"/>
        <v>10000</v>
      </c>
      <c r="N549">
        <f t="shared" si="35"/>
        <v>10000</v>
      </c>
    </row>
    <row r="550" spans="1:14">
      <c r="A550">
        <f t="shared" si="32"/>
        <v>11</v>
      </c>
      <c r="B550">
        <v>11</v>
      </c>
      <c r="C550" t="s">
        <v>50</v>
      </c>
      <c r="D550" t="s">
        <v>33</v>
      </c>
      <c r="E550">
        <v>1</v>
      </c>
      <c r="F550">
        <v>1</v>
      </c>
      <c r="G550">
        <v>2601</v>
      </c>
      <c r="H550" t="s">
        <v>34</v>
      </c>
      <c r="I550" t="str">
        <f t="shared" si="33"/>
        <v>[{1000,1,1,2601,101}]</v>
      </c>
      <c r="J550" t="s">
        <v>35</v>
      </c>
      <c r="K550" t="e">
        <f>IF(A550="","",IF(J550=1,VLOOKUP(A550,[1]怪物!$R$80:$V$99,4,0),VLOOKUP(A550,[1]怪物!$R$80:$V$99,2,0))*10000)</f>
        <v>#N/A</v>
      </c>
      <c r="L550" t="e">
        <f>IF(A550="","",IF(K550=1,VLOOKUP(A550,[1]怪物!$R$80:$V$99,5,0),VLOOKUP(A550,[1]怪物!$R$80:$V$99,3,0))*10000)</f>
        <v>#N/A</v>
      </c>
      <c r="M550" t="e">
        <f t="shared" si="34"/>
        <v>#N/A</v>
      </c>
      <c r="N550" t="e">
        <f t="shared" si="35"/>
        <v>#N/A</v>
      </c>
    </row>
    <row r="551" spans="1:14">
      <c r="A551">
        <f t="shared" si="32"/>
        <v>11</v>
      </c>
      <c r="B551">
        <v>11</v>
      </c>
      <c r="C551" t="s">
        <v>50</v>
      </c>
      <c r="D551" t="s">
        <v>33</v>
      </c>
      <c r="E551">
        <v>1</v>
      </c>
      <c r="F551">
        <v>1</v>
      </c>
      <c r="G551">
        <v>2602</v>
      </c>
      <c r="H551" t="s">
        <v>34</v>
      </c>
      <c r="I551" t="str">
        <f t="shared" si="33"/>
        <v>[{1000,1,1,2602,101}]</v>
      </c>
      <c r="J551" t="s">
        <v>35</v>
      </c>
      <c r="K551" t="e">
        <f>IF(A551="","",IF(J551=1,VLOOKUP(A551,[1]怪物!$R$80:$V$99,4,0),VLOOKUP(A551,[1]怪物!$R$80:$V$99,2,0))*10000)</f>
        <v>#N/A</v>
      </c>
      <c r="L551" t="e">
        <f>IF(A551="","",IF(K551=1,VLOOKUP(A551,[1]怪物!$R$80:$V$99,5,0),VLOOKUP(A551,[1]怪物!$R$80:$V$99,3,0))*10000)</f>
        <v>#N/A</v>
      </c>
      <c r="M551" t="e">
        <f t="shared" si="34"/>
        <v>#N/A</v>
      </c>
      <c r="N551" t="e">
        <f t="shared" si="35"/>
        <v>#N/A</v>
      </c>
    </row>
    <row r="552" spans="1:14">
      <c r="A552">
        <f t="shared" si="32"/>
        <v>12</v>
      </c>
      <c r="B552">
        <v>12</v>
      </c>
      <c r="C552" t="s">
        <v>50</v>
      </c>
      <c r="D552" t="s">
        <v>33</v>
      </c>
      <c r="E552">
        <v>1</v>
      </c>
      <c r="F552">
        <v>1</v>
      </c>
      <c r="G552">
        <v>2601</v>
      </c>
      <c r="H552" t="s">
        <v>34</v>
      </c>
      <c r="I552" t="str">
        <f t="shared" si="33"/>
        <v>[{1000,1,1,2601,101}]</v>
      </c>
      <c r="J552" t="s">
        <v>35</v>
      </c>
      <c r="K552" t="e">
        <f>IF(A552="","",IF(J552=1,VLOOKUP(A552,[1]怪物!$R$80:$V$99,4,0),VLOOKUP(A552,[1]怪物!$R$80:$V$99,2,0))*10000)</f>
        <v>#N/A</v>
      </c>
      <c r="L552" t="e">
        <f>IF(A552="","",IF(K552=1,VLOOKUP(A552,[1]怪物!$R$80:$V$99,5,0),VLOOKUP(A552,[1]怪物!$R$80:$V$99,3,0))*10000)</f>
        <v>#N/A</v>
      </c>
      <c r="M552" t="e">
        <f t="shared" si="34"/>
        <v>#N/A</v>
      </c>
      <c r="N552" t="e">
        <f t="shared" si="35"/>
        <v>#N/A</v>
      </c>
    </row>
    <row r="553" spans="1:14">
      <c r="A553">
        <f t="shared" si="32"/>
        <v>12</v>
      </c>
      <c r="B553">
        <v>12</v>
      </c>
      <c r="C553" t="s">
        <v>50</v>
      </c>
      <c r="D553" t="s">
        <v>33</v>
      </c>
      <c r="E553">
        <v>1</v>
      </c>
      <c r="F553">
        <v>1</v>
      </c>
      <c r="G553">
        <v>2602</v>
      </c>
      <c r="H553" t="s">
        <v>34</v>
      </c>
      <c r="I553" t="str">
        <f t="shared" si="33"/>
        <v>[{1000,1,1,2602,101}]</v>
      </c>
      <c r="J553" t="s">
        <v>35</v>
      </c>
      <c r="K553" t="e">
        <f>IF(A553="","",IF(J553=1,VLOOKUP(A553,[1]怪物!$R$80:$V$99,4,0),VLOOKUP(A553,[1]怪物!$R$80:$V$99,2,0))*10000)</f>
        <v>#N/A</v>
      </c>
      <c r="L553" t="e">
        <f>IF(A553="","",IF(K553=1,VLOOKUP(A553,[1]怪物!$R$80:$V$99,5,0),VLOOKUP(A553,[1]怪物!$R$80:$V$99,3,0))*10000)</f>
        <v>#N/A</v>
      </c>
      <c r="M553" t="e">
        <f t="shared" si="34"/>
        <v>#N/A</v>
      </c>
      <c r="N553" t="e">
        <f t="shared" si="35"/>
        <v>#N/A</v>
      </c>
    </row>
    <row r="554" spans="1:14">
      <c r="A554">
        <f t="shared" si="32"/>
        <v>13</v>
      </c>
      <c r="B554">
        <v>13</v>
      </c>
      <c r="C554" t="s">
        <v>50</v>
      </c>
      <c r="D554" t="s">
        <v>33</v>
      </c>
      <c r="E554">
        <v>1</v>
      </c>
      <c r="F554">
        <v>1</v>
      </c>
      <c r="G554">
        <v>2601</v>
      </c>
      <c r="H554" t="s">
        <v>34</v>
      </c>
      <c r="I554" t="str">
        <f t="shared" si="33"/>
        <v>[{1000,1,1,2601,101}]</v>
      </c>
      <c r="J554" t="s">
        <v>35</v>
      </c>
      <c r="K554" t="e">
        <f>IF(A554="","",IF(J554=1,VLOOKUP(A554,[1]怪物!$R$80:$V$99,4,0),VLOOKUP(A554,[1]怪物!$R$80:$V$99,2,0))*10000)</f>
        <v>#N/A</v>
      </c>
      <c r="L554" t="e">
        <f>IF(A554="","",IF(K554=1,VLOOKUP(A554,[1]怪物!$R$80:$V$99,5,0),VLOOKUP(A554,[1]怪物!$R$80:$V$99,3,0))*10000)</f>
        <v>#N/A</v>
      </c>
      <c r="M554" t="e">
        <f t="shared" si="34"/>
        <v>#N/A</v>
      </c>
      <c r="N554" t="e">
        <f t="shared" si="35"/>
        <v>#N/A</v>
      </c>
    </row>
    <row r="555" spans="1:14">
      <c r="A555">
        <f t="shared" si="32"/>
        <v>13</v>
      </c>
      <c r="B555">
        <v>13</v>
      </c>
      <c r="C555" t="s">
        <v>50</v>
      </c>
      <c r="D555" t="s">
        <v>33</v>
      </c>
      <c r="E555">
        <v>1</v>
      </c>
      <c r="F555">
        <v>1</v>
      </c>
      <c r="G555">
        <v>2602</v>
      </c>
      <c r="H555" t="s">
        <v>34</v>
      </c>
      <c r="I555" t="str">
        <f t="shared" si="33"/>
        <v>[{1000,1,1,2602,101}]</v>
      </c>
      <c r="J555" t="s">
        <v>35</v>
      </c>
      <c r="K555" t="e">
        <f>IF(A555="","",IF(J555=1,VLOOKUP(A555,[1]怪物!$R$80:$V$99,4,0),VLOOKUP(A555,[1]怪物!$R$80:$V$99,2,0))*10000)</f>
        <v>#N/A</v>
      </c>
      <c r="L555" t="e">
        <f>IF(A555="","",IF(K555=1,VLOOKUP(A555,[1]怪物!$R$80:$V$99,5,0),VLOOKUP(A555,[1]怪物!$R$80:$V$99,3,0))*10000)</f>
        <v>#N/A</v>
      </c>
      <c r="M555" t="e">
        <f t="shared" si="34"/>
        <v>#N/A</v>
      </c>
      <c r="N555" t="e">
        <f t="shared" si="35"/>
        <v>#N/A</v>
      </c>
    </row>
    <row r="556" spans="1:14">
      <c r="A556">
        <f t="shared" si="32"/>
        <v>14</v>
      </c>
      <c r="B556">
        <v>14</v>
      </c>
      <c r="C556" t="s">
        <v>50</v>
      </c>
      <c r="D556" t="s">
        <v>33</v>
      </c>
      <c r="E556">
        <v>1</v>
      </c>
      <c r="F556">
        <v>1</v>
      </c>
      <c r="G556">
        <v>2601</v>
      </c>
      <c r="H556" t="s">
        <v>34</v>
      </c>
      <c r="I556" t="str">
        <f t="shared" si="33"/>
        <v>[{1000,1,1,2601,101}]</v>
      </c>
      <c r="J556" t="s">
        <v>35</v>
      </c>
      <c r="K556" t="e">
        <f>IF(A556="","",IF(J556=1,VLOOKUP(A556,[1]怪物!$R$80:$V$99,4,0),VLOOKUP(A556,[1]怪物!$R$80:$V$99,2,0))*10000)</f>
        <v>#N/A</v>
      </c>
      <c r="L556" t="e">
        <f>IF(A556="","",IF(K556=1,VLOOKUP(A556,[1]怪物!$R$80:$V$99,5,0),VLOOKUP(A556,[1]怪物!$R$80:$V$99,3,0))*10000)</f>
        <v>#N/A</v>
      </c>
      <c r="M556" t="e">
        <f t="shared" si="34"/>
        <v>#N/A</v>
      </c>
      <c r="N556" t="e">
        <f t="shared" si="35"/>
        <v>#N/A</v>
      </c>
    </row>
    <row r="557" spans="1:14">
      <c r="A557">
        <f t="shared" si="32"/>
        <v>14</v>
      </c>
      <c r="B557">
        <v>14</v>
      </c>
      <c r="C557" t="s">
        <v>50</v>
      </c>
      <c r="D557" t="s">
        <v>33</v>
      </c>
      <c r="E557">
        <v>1</v>
      </c>
      <c r="F557">
        <v>1</v>
      </c>
      <c r="G557">
        <v>2602</v>
      </c>
      <c r="H557" t="s">
        <v>34</v>
      </c>
      <c r="I557" t="str">
        <f t="shared" si="33"/>
        <v>[{1000,1,1,2602,101}]</v>
      </c>
      <c r="J557" t="s">
        <v>35</v>
      </c>
      <c r="K557" t="e">
        <f>IF(A557="","",IF(J557=1,VLOOKUP(A557,[1]怪物!$R$80:$V$99,4,0),VLOOKUP(A557,[1]怪物!$R$80:$V$99,2,0))*10000)</f>
        <v>#N/A</v>
      </c>
      <c r="L557" t="e">
        <f>IF(A557="","",IF(K557=1,VLOOKUP(A557,[1]怪物!$R$80:$V$99,5,0),VLOOKUP(A557,[1]怪物!$R$80:$V$99,3,0))*10000)</f>
        <v>#N/A</v>
      </c>
      <c r="M557" t="e">
        <f t="shared" si="34"/>
        <v>#N/A</v>
      </c>
      <c r="N557" t="e">
        <f t="shared" si="35"/>
        <v>#N/A</v>
      </c>
    </row>
    <row r="558" spans="1:14">
      <c r="A558">
        <f t="shared" si="32"/>
        <v>14</v>
      </c>
      <c r="B558">
        <v>14</v>
      </c>
      <c r="C558" t="s">
        <v>50</v>
      </c>
      <c r="D558" t="s">
        <v>33</v>
      </c>
      <c r="E558">
        <v>1</v>
      </c>
      <c r="F558">
        <v>1</v>
      </c>
      <c r="G558">
        <v>2603</v>
      </c>
      <c r="H558" t="s">
        <v>37</v>
      </c>
      <c r="I558" t="str">
        <f t="shared" si="33"/>
        <v>[{1000,1,1,2603,401}]</v>
      </c>
      <c r="J558">
        <v>1</v>
      </c>
      <c r="K558" t="e">
        <f>IF(A558="","",IF(J558=1,VLOOKUP(A558,[1]怪物!$R$80:$V$99,4,0),VLOOKUP(A558,[1]怪物!$R$80:$V$99,2,0))*10000)</f>
        <v>#N/A</v>
      </c>
      <c r="L558" t="e">
        <f>IF(A558="","",IF(K558=1,VLOOKUP(A558,[1]怪物!$R$80:$V$99,5,0),VLOOKUP(A558,[1]怪物!$R$80:$V$99,3,0))*10000)</f>
        <v>#N/A</v>
      </c>
      <c r="M558" t="e">
        <f t="shared" si="34"/>
        <v>#N/A</v>
      </c>
      <c r="N558" t="e">
        <f t="shared" si="35"/>
        <v>#N/A</v>
      </c>
    </row>
    <row r="559" spans="1:14">
      <c r="A559">
        <f t="shared" si="32"/>
        <v>15</v>
      </c>
      <c r="B559">
        <v>15</v>
      </c>
      <c r="C559" t="s">
        <v>50</v>
      </c>
      <c r="D559" t="s">
        <v>33</v>
      </c>
      <c r="E559">
        <v>1</v>
      </c>
      <c r="F559">
        <v>1</v>
      </c>
      <c r="G559">
        <v>2601</v>
      </c>
      <c r="H559" t="s">
        <v>34</v>
      </c>
      <c r="I559" t="str">
        <f t="shared" si="33"/>
        <v>[{1000,1,1,2601,101}]</v>
      </c>
      <c r="J559" t="s">
        <v>35</v>
      </c>
      <c r="K559" t="e">
        <f>IF(A559="","",IF(J559=1,VLOOKUP(A559,[1]怪物!$R$80:$V$99,4,0),VLOOKUP(A559,[1]怪物!$R$80:$V$99,2,0))*10000)</f>
        <v>#N/A</v>
      </c>
      <c r="L559" t="e">
        <f>IF(A559="","",IF(K559=1,VLOOKUP(A559,[1]怪物!$R$80:$V$99,5,0),VLOOKUP(A559,[1]怪物!$R$80:$V$99,3,0))*10000)</f>
        <v>#N/A</v>
      </c>
      <c r="M559" t="e">
        <f t="shared" si="34"/>
        <v>#N/A</v>
      </c>
      <c r="N559" t="e">
        <f t="shared" si="35"/>
        <v>#N/A</v>
      </c>
    </row>
    <row r="560" spans="1:14">
      <c r="A560">
        <f t="shared" si="32"/>
        <v>15</v>
      </c>
      <c r="B560">
        <v>15</v>
      </c>
      <c r="C560" t="s">
        <v>50</v>
      </c>
      <c r="D560" t="s">
        <v>33</v>
      </c>
      <c r="E560">
        <v>1</v>
      </c>
      <c r="F560">
        <v>1</v>
      </c>
      <c r="G560">
        <v>2602</v>
      </c>
      <c r="H560" t="s">
        <v>34</v>
      </c>
      <c r="I560" t="str">
        <f t="shared" si="33"/>
        <v>[{1000,1,1,2602,101}]</v>
      </c>
      <c r="J560" t="s">
        <v>35</v>
      </c>
      <c r="K560" t="e">
        <f>IF(A560="","",IF(J560=1,VLOOKUP(A560,[1]怪物!$R$80:$V$99,4,0),VLOOKUP(A560,[1]怪物!$R$80:$V$99,2,0))*10000)</f>
        <v>#N/A</v>
      </c>
      <c r="L560" t="e">
        <f>IF(A560="","",IF(K560=1,VLOOKUP(A560,[1]怪物!$R$80:$V$99,5,0),VLOOKUP(A560,[1]怪物!$R$80:$V$99,3,0))*10000)</f>
        <v>#N/A</v>
      </c>
      <c r="M560" t="e">
        <f t="shared" si="34"/>
        <v>#N/A</v>
      </c>
      <c r="N560" t="e">
        <f t="shared" si="35"/>
        <v>#N/A</v>
      </c>
    </row>
    <row r="561" spans="1:14">
      <c r="A561">
        <f t="shared" si="32"/>
        <v>15</v>
      </c>
      <c r="B561">
        <v>15</v>
      </c>
      <c r="C561" t="s">
        <v>50</v>
      </c>
      <c r="D561" t="s">
        <v>33</v>
      </c>
      <c r="E561">
        <v>1</v>
      </c>
      <c r="F561">
        <v>1</v>
      </c>
      <c r="G561">
        <v>2603</v>
      </c>
      <c r="H561" t="s">
        <v>37</v>
      </c>
      <c r="I561" t="str">
        <f t="shared" si="33"/>
        <v>[{1000,1,1,2603,401}]</v>
      </c>
      <c r="J561">
        <v>1</v>
      </c>
      <c r="K561" t="e">
        <f>IF(A561="","",IF(J561=1,VLOOKUP(A561,[1]怪物!$R$80:$V$99,4,0),VLOOKUP(A561,[1]怪物!$R$80:$V$99,2,0))*10000)</f>
        <v>#N/A</v>
      </c>
      <c r="L561" t="e">
        <f>IF(A561="","",IF(K561=1,VLOOKUP(A561,[1]怪物!$R$80:$V$99,5,0),VLOOKUP(A561,[1]怪物!$R$80:$V$99,3,0))*10000)</f>
        <v>#N/A</v>
      </c>
      <c r="M561" t="e">
        <f t="shared" si="34"/>
        <v>#N/A</v>
      </c>
      <c r="N561" t="e">
        <f t="shared" si="35"/>
        <v>#N/A</v>
      </c>
    </row>
    <row r="562" spans="1:14">
      <c r="A562">
        <f t="shared" si="32"/>
        <v>16</v>
      </c>
      <c r="B562">
        <v>16</v>
      </c>
      <c r="C562" t="s">
        <v>50</v>
      </c>
      <c r="D562" t="s">
        <v>33</v>
      </c>
      <c r="E562">
        <v>1</v>
      </c>
      <c r="F562">
        <v>1</v>
      </c>
      <c r="G562">
        <v>2601</v>
      </c>
      <c r="H562" t="s">
        <v>34</v>
      </c>
      <c r="I562" t="str">
        <f t="shared" si="33"/>
        <v>[{1000,1,1,2601,101}]</v>
      </c>
      <c r="J562" t="s">
        <v>35</v>
      </c>
      <c r="K562" t="e">
        <f>IF(A562="","",IF(J562=1,VLOOKUP(A562,[1]怪物!$R$80:$V$99,4,0),VLOOKUP(A562,[1]怪物!$R$80:$V$99,2,0))*10000)</f>
        <v>#N/A</v>
      </c>
      <c r="L562" t="e">
        <f>IF(A562="","",IF(K562=1,VLOOKUP(A562,[1]怪物!$R$80:$V$99,5,0),VLOOKUP(A562,[1]怪物!$R$80:$V$99,3,0))*10000)</f>
        <v>#N/A</v>
      </c>
      <c r="M562" t="e">
        <f t="shared" si="34"/>
        <v>#N/A</v>
      </c>
      <c r="N562" t="e">
        <f t="shared" si="35"/>
        <v>#N/A</v>
      </c>
    </row>
    <row r="563" spans="1:14">
      <c r="A563">
        <f t="shared" si="32"/>
        <v>16</v>
      </c>
      <c r="B563">
        <v>16</v>
      </c>
      <c r="C563" t="s">
        <v>50</v>
      </c>
      <c r="D563" t="s">
        <v>33</v>
      </c>
      <c r="E563">
        <v>1</v>
      </c>
      <c r="F563">
        <v>1</v>
      </c>
      <c r="G563">
        <v>2602</v>
      </c>
      <c r="H563" t="s">
        <v>34</v>
      </c>
      <c r="I563" t="str">
        <f t="shared" si="33"/>
        <v>[{1000,1,1,2602,101}]</v>
      </c>
      <c r="J563" t="s">
        <v>35</v>
      </c>
      <c r="K563" t="e">
        <f>IF(A563="","",IF(J563=1,VLOOKUP(A563,[1]怪物!$R$80:$V$99,4,0),VLOOKUP(A563,[1]怪物!$R$80:$V$99,2,0))*10000)</f>
        <v>#N/A</v>
      </c>
      <c r="L563" t="e">
        <f>IF(A563="","",IF(K563=1,VLOOKUP(A563,[1]怪物!$R$80:$V$99,5,0),VLOOKUP(A563,[1]怪物!$R$80:$V$99,3,0))*10000)</f>
        <v>#N/A</v>
      </c>
      <c r="M563" t="e">
        <f t="shared" si="34"/>
        <v>#N/A</v>
      </c>
      <c r="N563" t="e">
        <f t="shared" si="35"/>
        <v>#N/A</v>
      </c>
    </row>
    <row r="564" spans="1:14">
      <c r="A564">
        <f t="shared" si="32"/>
        <v>16</v>
      </c>
      <c r="B564">
        <v>16</v>
      </c>
      <c r="C564" t="s">
        <v>50</v>
      </c>
      <c r="D564" t="s">
        <v>33</v>
      </c>
      <c r="E564">
        <v>1</v>
      </c>
      <c r="F564">
        <v>1</v>
      </c>
      <c r="G564">
        <v>2603</v>
      </c>
      <c r="H564" t="s">
        <v>37</v>
      </c>
      <c r="I564" t="str">
        <f t="shared" si="33"/>
        <v>[{1000,1,1,2603,401}]</v>
      </c>
      <c r="J564">
        <v>1</v>
      </c>
      <c r="K564" t="e">
        <f>IF(A564="","",IF(J564=1,VLOOKUP(A564,[1]怪物!$R$80:$V$99,4,0),VLOOKUP(A564,[1]怪物!$R$80:$V$99,2,0))*10000)</f>
        <v>#N/A</v>
      </c>
      <c r="L564" t="e">
        <f>IF(A564="","",IF(K564=1,VLOOKUP(A564,[1]怪物!$R$80:$V$99,5,0),VLOOKUP(A564,[1]怪物!$R$80:$V$99,3,0))*10000)</f>
        <v>#N/A</v>
      </c>
      <c r="M564" t="e">
        <f t="shared" si="34"/>
        <v>#N/A</v>
      </c>
      <c r="N564" t="e">
        <f t="shared" si="35"/>
        <v>#N/A</v>
      </c>
    </row>
    <row r="565" spans="1:14">
      <c r="A565">
        <f t="shared" si="32"/>
        <v>17</v>
      </c>
      <c r="B565">
        <v>17</v>
      </c>
      <c r="C565" t="s">
        <v>50</v>
      </c>
      <c r="D565" t="s">
        <v>33</v>
      </c>
      <c r="E565">
        <v>1</v>
      </c>
      <c r="F565">
        <v>1</v>
      </c>
      <c r="G565">
        <v>2601</v>
      </c>
      <c r="H565" t="s">
        <v>34</v>
      </c>
      <c r="I565" t="str">
        <f t="shared" si="33"/>
        <v>[{1000,1,1,2601,101}]</v>
      </c>
      <c r="J565" t="s">
        <v>35</v>
      </c>
      <c r="K565" t="e">
        <f>IF(A565="","",IF(J565=1,VLOOKUP(A565,[1]怪物!$R$80:$V$99,4,0),VLOOKUP(A565,[1]怪物!$R$80:$V$99,2,0))*10000)</f>
        <v>#N/A</v>
      </c>
      <c r="L565" t="e">
        <f>IF(A565="","",IF(K565=1,VLOOKUP(A565,[1]怪物!$R$80:$V$99,5,0),VLOOKUP(A565,[1]怪物!$R$80:$V$99,3,0))*10000)</f>
        <v>#N/A</v>
      </c>
      <c r="M565" t="e">
        <f t="shared" si="34"/>
        <v>#N/A</v>
      </c>
      <c r="N565" t="e">
        <f t="shared" si="35"/>
        <v>#N/A</v>
      </c>
    </row>
    <row r="566" spans="1:14">
      <c r="A566">
        <f t="shared" si="32"/>
        <v>17</v>
      </c>
      <c r="B566">
        <v>17</v>
      </c>
      <c r="C566" t="s">
        <v>50</v>
      </c>
      <c r="D566" t="s">
        <v>33</v>
      </c>
      <c r="E566">
        <v>1</v>
      </c>
      <c r="F566">
        <v>1</v>
      </c>
      <c r="G566">
        <v>2602</v>
      </c>
      <c r="H566" t="s">
        <v>34</v>
      </c>
      <c r="I566" t="str">
        <f t="shared" si="33"/>
        <v>[{1000,1,1,2602,101}]</v>
      </c>
      <c r="J566" t="s">
        <v>35</v>
      </c>
      <c r="K566" t="e">
        <f>IF(A566="","",IF(J566=1,VLOOKUP(A566,[1]怪物!$R$80:$V$99,4,0),VLOOKUP(A566,[1]怪物!$R$80:$V$99,2,0))*10000)</f>
        <v>#N/A</v>
      </c>
      <c r="L566" t="e">
        <f>IF(A566="","",IF(K566=1,VLOOKUP(A566,[1]怪物!$R$80:$V$99,5,0),VLOOKUP(A566,[1]怪物!$R$80:$V$99,3,0))*10000)</f>
        <v>#N/A</v>
      </c>
      <c r="M566" t="e">
        <f t="shared" si="34"/>
        <v>#N/A</v>
      </c>
      <c r="N566" t="e">
        <f t="shared" si="35"/>
        <v>#N/A</v>
      </c>
    </row>
    <row r="567" spans="1:14">
      <c r="A567">
        <f t="shared" si="32"/>
        <v>17</v>
      </c>
      <c r="B567">
        <v>17</v>
      </c>
      <c r="C567" t="s">
        <v>50</v>
      </c>
      <c r="D567" t="s">
        <v>33</v>
      </c>
      <c r="E567">
        <v>1</v>
      </c>
      <c r="F567">
        <v>1</v>
      </c>
      <c r="G567">
        <v>2603</v>
      </c>
      <c r="H567" t="s">
        <v>37</v>
      </c>
      <c r="I567" t="str">
        <f t="shared" si="33"/>
        <v>[{1000,1,1,2603,401}]</v>
      </c>
      <c r="J567">
        <v>1</v>
      </c>
      <c r="K567" t="e">
        <f>IF(A567="","",IF(J567=1,VLOOKUP(A567,[1]怪物!$R$80:$V$99,4,0),VLOOKUP(A567,[1]怪物!$R$80:$V$99,2,0))*10000)</f>
        <v>#N/A</v>
      </c>
      <c r="L567" t="e">
        <f>IF(A567="","",IF(K567=1,VLOOKUP(A567,[1]怪物!$R$80:$V$99,5,0),VLOOKUP(A567,[1]怪物!$R$80:$V$99,3,0))*10000)</f>
        <v>#N/A</v>
      </c>
      <c r="M567" t="e">
        <f t="shared" si="34"/>
        <v>#N/A</v>
      </c>
      <c r="N567" t="e">
        <f t="shared" si="35"/>
        <v>#N/A</v>
      </c>
    </row>
    <row r="568" spans="1:14">
      <c r="A568">
        <f t="shared" si="32"/>
        <v>18</v>
      </c>
      <c r="B568">
        <v>18</v>
      </c>
      <c r="C568" t="s">
        <v>50</v>
      </c>
      <c r="D568" t="s">
        <v>33</v>
      </c>
      <c r="E568">
        <v>1</v>
      </c>
      <c r="F568">
        <v>1</v>
      </c>
      <c r="G568">
        <v>2601</v>
      </c>
      <c r="H568" t="s">
        <v>34</v>
      </c>
      <c r="I568" t="str">
        <f t="shared" si="33"/>
        <v>[{1000,1,1,2601,101}]</v>
      </c>
      <c r="J568" t="s">
        <v>35</v>
      </c>
      <c r="K568" t="e">
        <f>IF(A568="","",IF(J568=1,VLOOKUP(A568,[1]怪物!$R$80:$V$99,4,0),VLOOKUP(A568,[1]怪物!$R$80:$V$99,2,0))*10000)</f>
        <v>#N/A</v>
      </c>
      <c r="L568" t="e">
        <f>IF(A568="","",IF(K568=1,VLOOKUP(A568,[1]怪物!$R$80:$V$99,5,0),VLOOKUP(A568,[1]怪物!$R$80:$V$99,3,0))*10000)</f>
        <v>#N/A</v>
      </c>
      <c r="M568" t="e">
        <f t="shared" si="34"/>
        <v>#N/A</v>
      </c>
      <c r="N568" t="e">
        <f t="shared" si="35"/>
        <v>#N/A</v>
      </c>
    </row>
    <row r="569" spans="1:14">
      <c r="A569">
        <f t="shared" si="32"/>
        <v>18</v>
      </c>
      <c r="B569">
        <v>18</v>
      </c>
      <c r="C569" t="s">
        <v>50</v>
      </c>
      <c r="D569" t="s">
        <v>33</v>
      </c>
      <c r="E569">
        <v>1</v>
      </c>
      <c r="F569">
        <v>1</v>
      </c>
      <c r="G569">
        <v>2602</v>
      </c>
      <c r="H569" t="s">
        <v>34</v>
      </c>
      <c r="I569" t="str">
        <f t="shared" si="33"/>
        <v>[{1000,1,1,2602,101}]</v>
      </c>
      <c r="J569" t="s">
        <v>35</v>
      </c>
      <c r="K569" t="e">
        <f>IF(A569="","",IF(J569=1,VLOOKUP(A569,[1]怪物!$R$80:$V$99,4,0),VLOOKUP(A569,[1]怪物!$R$80:$V$99,2,0))*10000)</f>
        <v>#N/A</v>
      </c>
      <c r="L569" t="e">
        <f>IF(A569="","",IF(K569=1,VLOOKUP(A569,[1]怪物!$R$80:$V$99,5,0),VLOOKUP(A569,[1]怪物!$R$80:$V$99,3,0))*10000)</f>
        <v>#N/A</v>
      </c>
      <c r="M569" t="e">
        <f t="shared" si="34"/>
        <v>#N/A</v>
      </c>
      <c r="N569" t="e">
        <f t="shared" si="35"/>
        <v>#N/A</v>
      </c>
    </row>
    <row r="570" spans="1:14">
      <c r="A570">
        <f t="shared" si="32"/>
        <v>18</v>
      </c>
      <c r="B570">
        <v>18</v>
      </c>
      <c r="C570" t="s">
        <v>50</v>
      </c>
      <c r="D570" t="s">
        <v>33</v>
      </c>
      <c r="E570">
        <v>1</v>
      </c>
      <c r="F570">
        <v>1</v>
      </c>
      <c r="G570">
        <v>2603</v>
      </c>
      <c r="H570" t="s">
        <v>37</v>
      </c>
      <c r="I570" t="str">
        <f t="shared" si="33"/>
        <v>[{1000,1,1,2603,401}]</v>
      </c>
      <c r="J570">
        <v>1</v>
      </c>
      <c r="K570" t="e">
        <f>IF(A570="","",IF(J570=1,VLOOKUP(A570,[1]怪物!$R$80:$V$99,4,0),VLOOKUP(A570,[1]怪物!$R$80:$V$99,2,0))*10000)</f>
        <v>#N/A</v>
      </c>
      <c r="L570" t="e">
        <f>IF(A570="","",IF(K570=1,VLOOKUP(A570,[1]怪物!$R$80:$V$99,5,0),VLOOKUP(A570,[1]怪物!$R$80:$V$99,3,0))*10000)</f>
        <v>#N/A</v>
      </c>
      <c r="M570" t="e">
        <f t="shared" si="34"/>
        <v>#N/A</v>
      </c>
      <c r="N570" t="e">
        <f t="shared" si="35"/>
        <v>#N/A</v>
      </c>
    </row>
    <row r="571" spans="1:14">
      <c r="A571">
        <f t="shared" si="32"/>
        <v>19</v>
      </c>
      <c r="B571">
        <v>19</v>
      </c>
      <c r="C571" t="s">
        <v>50</v>
      </c>
      <c r="D571" t="s">
        <v>33</v>
      </c>
      <c r="E571">
        <v>1</v>
      </c>
      <c r="F571">
        <v>1</v>
      </c>
      <c r="G571">
        <v>2601</v>
      </c>
      <c r="H571" t="s">
        <v>34</v>
      </c>
      <c r="I571" t="str">
        <f t="shared" si="33"/>
        <v>[{1000,1,1,2601,101}]</v>
      </c>
      <c r="J571" t="s">
        <v>35</v>
      </c>
      <c r="K571" t="e">
        <f>IF(A571="","",IF(J571=1,VLOOKUP(A571,[1]怪物!$R$80:$V$99,4,0),VLOOKUP(A571,[1]怪物!$R$80:$V$99,2,0))*10000)</f>
        <v>#N/A</v>
      </c>
      <c r="L571" t="e">
        <f>IF(A571="","",IF(K571=1,VLOOKUP(A571,[1]怪物!$R$80:$V$99,5,0),VLOOKUP(A571,[1]怪物!$R$80:$V$99,3,0))*10000)</f>
        <v>#N/A</v>
      </c>
      <c r="M571" t="e">
        <f t="shared" si="34"/>
        <v>#N/A</v>
      </c>
      <c r="N571" t="e">
        <f t="shared" si="35"/>
        <v>#N/A</v>
      </c>
    </row>
    <row r="572" spans="1:14">
      <c r="A572">
        <f t="shared" si="32"/>
        <v>19</v>
      </c>
      <c r="B572">
        <v>19</v>
      </c>
      <c r="C572" t="s">
        <v>50</v>
      </c>
      <c r="D572" t="s">
        <v>33</v>
      </c>
      <c r="E572">
        <v>1</v>
      </c>
      <c r="F572">
        <v>1</v>
      </c>
      <c r="G572">
        <v>2602</v>
      </c>
      <c r="H572" t="s">
        <v>34</v>
      </c>
      <c r="I572" t="str">
        <f t="shared" si="33"/>
        <v>[{1000,1,1,2602,101}]</v>
      </c>
      <c r="J572" t="s">
        <v>35</v>
      </c>
      <c r="K572" t="e">
        <f>IF(A572="","",IF(J572=1,VLOOKUP(A572,[1]怪物!$R$80:$V$99,4,0),VLOOKUP(A572,[1]怪物!$R$80:$V$99,2,0))*10000)</f>
        <v>#N/A</v>
      </c>
      <c r="L572" t="e">
        <f>IF(A572="","",IF(K572=1,VLOOKUP(A572,[1]怪物!$R$80:$V$99,5,0),VLOOKUP(A572,[1]怪物!$R$80:$V$99,3,0))*10000)</f>
        <v>#N/A</v>
      </c>
      <c r="M572" t="e">
        <f t="shared" si="34"/>
        <v>#N/A</v>
      </c>
      <c r="N572" t="e">
        <f t="shared" si="35"/>
        <v>#N/A</v>
      </c>
    </row>
    <row r="573" spans="1:14">
      <c r="A573">
        <f t="shared" si="32"/>
        <v>19</v>
      </c>
      <c r="B573">
        <v>19</v>
      </c>
      <c r="C573" t="s">
        <v>50</v>
      </c>
      <c r="D573" t="s">
        <v>33</v>
      </c>
      <c r="E573">
        <v>1</v>
      </c>
      <c r="F573">
        <v>1</v>
      </c>
      <c r="G573">
        <v>2603</v>
      </c>
      <c r="H573" t="s">
        <v>37</v>
      </c>
      <c r="I573" t="str">
        <f t="shared" si="33"/>
        <v>[{1000,1,1,2603,401}]</v>
      </c>
      <c r="J573">
        <v>1</v>
      </c>
      <c r="K573" t="e">
        <f>IF(A573="","",IF(J573=1,VLOOKUP(A573,[1]怪物!$R$80:$V$99,4,0),VLOOKUP(A573,[1]怪物!$R$80:$V$99,2,0))*10000)</f>
        <v>#N/A</v>
      </c>
      <c r="L573" t="e">
        <f>IF(A573="","",IF(K573=1,VLOOKUP(A573,[1]怪物!$R$80:$V$99,5,0),VLOOKUP(A573,[1]怪物!$R$80:$V$99,3,0))*10000)</f>
        <v>#N/A</v>
      </c>
      <c r="M573" t="e">
        <f t="shared" si="34"/>
        <v>#N/A</v>
      </c>
      <c r="N573" t="e">
        <f t="shared" si="35"/>
        <v>#N/A</v>
      </c>
    </row>
    <row r="574" spans="1:14">
      <c r="A574">
        <f t="shared" si="32"/>
        <v>20</v>
      </c>
      <c r="B574">
        <v>20</v>
      </c>
      <c r="C574" t="s">
        <v>50</v>
      </c>
      <c r="D574" t="s">
        <v>33</v>
      </c>
      <c r="E574">
        <v>1</v>
      </c>
      <c r="F574">
        <v>1</v>
      </c>
      <c r="G574">
        <v>2601</v>
      </c>
      <c r="H574" t="s">
        <v>34</v>
      </c>
      <c r="I574" t="str">
        <f t="shared" si="33"/>
        <v>[{1000,1,1,2601,101}]</v>
      </c>
      <c r="J574" t="s">
        <v>35</v>
      </c>
      <c r="K574" t="e">
        <f>IF(A574="","",IF(J574=1,VLOOKUP(A574,[1]怪物!$R$80:$V$99,4,0),VLOOKUP(A574,[1]怪物!$R$80:$V$99,2,0))*10000)</f>
        <v>#N/A</v>
      </c>
      <c r="L574" t="e">
        <f>IF(A574="","",IF(K574=1,VLOOKUP(A574,[1]怪物!$R$80:$V$99,5,0),VLOOKUP(A574,[1]怪物!$R$80:$V$99,3,0))*10000)</f>
        <v>#N/A</v>
      </c>
      <c r="M574" t="e">
        <f t="shared" si="34"/>
        <v>#N/A</v>
      </c>
      <c r="N574" t="e">
        <f t="shared" si="35"/>
        <v>#N/A</v>
      </c>
    </row>
    <row r="575" spans="1:14">
      <c r="A575">
        <f t="shared" si="32"/>
        <v>20</v>
      </c>
      <c r="B575">
        <v>20</v>
      </c>
      <c r="C575" t="s">
        <v>50</v>
      </c>
      <c r="D575" t="s">
        <v>33</v>
      </c>
      <c r="E575">
        <v>1</v>
      </c>
      <c r="F575">
        <v>1</v>
      </c>
      <c r="G575">
        <v>2602</v>
      </c>
      <c r="H575" t="s">
        <v>34</v>
      </c>
      <c r="I575" t="str">
        <f t="shared" si="33"/>
        <v>[{1000,1,1,2602,101}]</v>
      </c>
      <c r="J575" t="s">
        <v>35</v>
      </c>
      <c r="K575" t="e">
        <f>IF(A575="","",IF(J575=1,VLOOKUP(A575,[1]怪物!$R$80:$V$99,4,0),VLOOKUP(A575,[1]怪物!$R$80:$V$99,2,0))*10000)</f>
        <v>#N/A</v>
      </c>
      <c r="L575" t="e">
        <f>IF(A575="","",IF(K575=1,VLOOKUP(A575,[1]怪物!$R$80:$V$99,5,0),VLOOKUP(A575,[1]怪物!$R$80:$V$99,3,0))*10000)</f>
        <v>#N/A</v>
      </c>
      <c r="M575" t="e">
        <f t="shared" si="34"/>
        <v>#N/A</v>
      </c>
      <c r="N575" t="e">
        <f t="shared" si="35"/>
        <v>#N/A</v>
      </c>
    </row>
    <row r="576" spans="1:14">
      <c r="A576">
        <f t="shared" si="32"/>
        <v>20</v>
      </c>
      <c r="B576">
        <v>20</v>
      </c>
      <c r="C576" t="s">
        <v>50</v>
      </c>
      <c r="D576" t="s">
        <v>33</v>
      </c>
      <c r="E576">
        <v>1</v>
      </c>
      <c r="F576">
        <v>1</v>
      </c>
      <c r="G576">
        <v>2603</v>
      </c>
      <c r="H576" t="s">
        <v>37</v>
      </c>
      <c r="I576" t="str">
        <f t="shared" si="33"/>
        <v>[{1000,1,1,2603,401}]</v>
      </c>
      <c r="J576">
        <v>1</v>
      </c>
      <c r="K576" t="e">
        <f>IF(A576="","",IF(J576=1,VLOOKUP(A576,[1]怪物!$R$80:$V$99,4,0),VLOOKUP(A576,[1]怪物!$R$80:$V$99,2,0))*10000)</f>
        <v>#N/A</v>
      </c>
      <c r="L576" t="e">
        <f>IF(A576="","",IF(K576=1,VLOOKUP(A576,[1]怪物!$R$80:$V$99,5,0),VLOOKUP(A576,[1]怪物!$R$80:$V$99,3,0))*10000)</f>
        <v>#N/A</v>
      </c>
      <c r="M576" t="e">
        <f t="shared" si="34"/>
        <v>#N/A</v>
      </c>
      <c r="N576" t="e">
        <f t="shared" si="35"/>
        <v>#N/A</v>
      </c>
    </row>
    <row r="577" spans="1:14">
      <c r="A577" t="str">
        <f t="shared" si="32"/>
        <v/>
      </c>
      <c r="B577">
        <v>20</v>
      </c>
      <c r="C577" t="s">
        <v>50</v>
      </c>
      <c r="D577" t="s">
        <v>28</v>
      </c>
      <c r="I577" t="str">
        <f t="shared" si="33"/>
        <v>[]</v>
      </c>
      <c r="J577">
        <v>2</v>
      </c>
      <c r="K577" t="str">
        <f>IF(A577="","",IF(J577=1,VLOOKUP(A577,[1]怪物!$R$80:$V$99,4,0),VLOOKUP(A577,[1]怪物!$R$80:$V$99,2,0))*10000)</f>
        <v/>
      </c>
      <c r="L577" t="str">
        <f>IF(A577="","",IF(K577=1,VLOOKUP(A577,[1]怪物!$R$80:$V$99,5,0),VLOOKUP(A577,[1]怪物!$R$80:$V$99,3,0))*10000)</f>
        <v/>
      </c>
      <c r="M577" t="str">
        <f t="shared" si="34"/>
        <v/>
      </c>
      <c r="N577" t="str">
        <f t="shared" si="35"/>
        <v/>
      </c>
    </row>
    <row r="578" spans="1:14">
      <c r="A578">
        <f t="shared" ref="A578:A641" si="36">IF(E578="","",B578)</f>
        <v>20</v>
      </c>
      <c r="B578">
        <v>20</v>
      </c>
      <c r="C578" t="s">
        <v>50</v>
      </c>
      <c r="D578" t="s">
        <v>33</v>
      </c>
      <c r="E578">
        <v>1</v>
      </c>
      <c r="F578">
        <v>0</v>
      </c>
      <c r="G578">
        <v>2631</v>
      </c>
      <c r="H578" t="s">
        <v>37</v>
      </c>
      <c r="I578" t="str">
        <f t="shared" ref="I578:I641" si="37">_xlfn.TEXTJOIN(",",1,D578:H578)</f>
        <v>[{1000,1,0,2631,401}]</v>
      </c>
      <c r="J578">
        <v>1</v>
      </c>
      <c r="K578" t="e">
        <f>IF(A578="","",IF(J578=1,VLOOKUP(A578,[1]怪物!$R$80:$V$99,4,0),VLOOKUP(A578,[1]怪物!$R$80:$V$99,2,0))*10000)</f>
        <v>#N/A</v>
      </c>
      <c r="L578" t="e">
        <f>IF(A578="","",IF(K578=1,VLOOKUP(A578,[1]怪物!$R$80:$V$99,5,0),VLOOKUP(A578,[1]怪物!$R$80:$V$99,3,0))*10000)</f>
        <v>#N/A</v>
      </c>
      <c r="M578">
        <f t="shared" ref="M578:M641" si="38">IF(F578="","",IF(F578=0,10000,K578))</f>
        <v>10000</v>
      </c>
      <c r="N578">
        <f t="shared" ref="N578:N641" si="39">IF(F578="","",IF(F578=0,10000,L578))</f>
        <v>10000</v>
      </c>
    </row>
    <row r="579" spans="1:14">
      <c r="A579">
        <f t="shared" si="36"/>
        <v>1</v>
      </c>
      <c r="B579">
        <v>1</v>
      </c>
      <c r="C579" t="s">
        <v>51</v>
      </c>
      <c r="D579" t="s">
        <v>33</v>
      </c>
      <c r="E579">
        <v>1</v>
      </c>
      <c r="F579">
        <v>1</v>
      </c>
      <c r="G579">
        <v>2701</v>
      </c>
      <c r="H579" t="s">
        <v>34</v>
      </c>
      <c r="I579" t="str">
        <f t="shared" si="37"/>
        <v>[{1000,1,1,2701,101}]</v>
      </c>
      <c r="J579" t="s">
        <v>35</v>
      </c>
      <c r="K579">
        <f>IF(A579="","",IF(J579=1,VLOOKUP(A579,[1]怪物!$R$80:$V$99,4,0),VLOOKUP(A579,[1]怪物!$R$80:$V$99,2,0))*10000)</f>
        <v>10000</v>
      </c>
      <c r="L579">
        <f>IF(A579="","",IF(K579=1,VLOOKUP(A579,[1]怪物!$R$80:$V$99,5,0),VLOOKUP(A579,[1]怪物!$R$80:$V$99,3,0))*10000)</f>
        <v>10000</v>
      </c>
      <c r="M579">
        <f t="shared" si="38"/>
        <v>10000</v>
      </c>
      <c r="N579">
        <f t="shared" si="39"/>
        <v>10000</v>
      </c>
    </row>
    <row r="580" spans="1:14">
      <c r="A580">
        <f t="shared" si="36"/>
        <v>2</v>
      </c>
      <c r="B580">
        <v>2</v>
      </c>
      <c r="C580" t="s">
        <v>51</v>
      </c>
      <c r="D580" t="s">
        <v>33</v>
      </c>
      <c r="E580">
        <v>1</v>
      </c>
      <c r="F580">
        <v>1</v>
      </c>
      <c r="G580">
        <v>2701</v>
      </c>
      <c r="H580" t="s">
        <v>34</v>
      </c>
      <c r="I580" t="str">
        <f t="shared" si="37"/>
        <v>[{1000,1,1,2701,101}]</v>
      </c>
      <c r="J580" t="s">
        <v>35</v>
      </c>
      <c r="K580">
        <f>IF(A580="","",IF(J580=1,VLOOKUP(A580,[1]怪物!$R$80:$V$99,4,0),VLOOKUP(A580,[1]怪物!$R$80:$V$99,2,0))*10000)</f>
        <v>10000</v>
      </c>
      <c r="L580">
        <f>IF(A580="","",IF(K580=1,VLOOKUP(A580,[1]怪物!$R$80:$V$99,5,0),VLOOKUP(A580,[1]怪物!$R$80:$V$99,3,0))*10000)</f>
        <v>10000</v>
      </c>
      <c r="M580">
        <f t="shared" si="38"/>
        <v>10000</v>
      </c>
      <c r="N580">
        <f t="shared" si="39"/>
        <v>10000</v>
      </c>
    </row>
    <row r="581" spans="1:14">
      <c r="A581">
        <f t="shared" si="36"/>
        <v>3</v>
      </c>
      <c r="B581">
        <v>3</v>
      </c>
      <c r="C581" t="s">
        <v>51</v>
      </c>
      <c r="D581" t="s">
        <v>33</v>
      </c>
      <c r="E581">
        <v>1</v>
      </c>
      <c r="F581">
        <v>1</v>
      </c>
      <c r="G581">
        <v>2701</v>
      </c>
      <c r="H581" t="s">
        <v>34</v>
      </c>
      <c r="I581" t="str">
        <f t="shared" si="37"/>
        <v>[{1000,1,1,2701,101}]</v>
      </c>
      <c r="J581" t="s">
        <v>35</v>
      </c>
      <c r="K581">
        <f>IF(A581="","",IF(J581=1,VLOOKUP(A581,[1]怪物!$R$80:$V$99,4,0),VLOOKUP(A581,[1]怪物!$R$80:$V$99,2,0))*10000)</f>
        <v>10000</v>
      </c>
      <c r="L581">
        <f>IF(A581="","",IF(K581=1,VLOOKUP(A581,[1]怪物!$R$80:$V$99,5,0),VLOOKUP(A581,[1]怪物!$R$80:$V$99,3,0))*10000)</f>
        <v>10000</v>
      </c>
      <c r="M581">
        <f t="shared" si="38"/>
        <v>10000</v>
      </c>
      <c r="N581">
        <f t="shared" si="39"/>
        <v>10000</v>
      </c>
    </row>
    <row r="582" spans="1:14">
      <c r="A582">
        <f t="shared" si="36"/>
        <v>4</v>
      </c>
      <c r="B582">
        <v>4</v>
      </c>
      <c r="C582" t="s">
        <v>51</v>
      </c>
      <c r="D582" t="s">
        <v>33</v>
      </c>
      <c r="E582">
        <v>1</v>
      </c>
      <c r="F582">
        <v>1</v>
      </c>
      <c r="G582">
        <v>2701</v>
      </c>
      <c r="H582" t="s">
        <v>34</v>
      </c>
      <c r="I582" t="str">
        <f t="shared" si="37"/>
        <v>[{1000,1,1,2701,101}]</v>
      </c>
      <c r="J582" t="s">
        <v>35</v>
      </c>
      <c r="K582">
        <f>IF(A582="","",IF(J582=1,VLOOKUP(A582,[1]怪物!$R$80:$V$99,4,0),VLOOKUP(A582,[1]怪物!$R$80:$V$99,2,0))*10000)</f>
        <v>10000</v>
      </c>
      <c r="L582">
        <f>IF(A582="","",IF(K582=1,VLOOKUP(A582,[1]怪物!$R$80:$V$99,5,0),VLOOKUP(A582,[1]怪物!$R$80:$V$99,3,0))*10000)</f>
        <v>10000</v>
      </c>
      <c r="M582">
        <f t="shared" si="38"/>
        <v>10000</v>
      </c>
      <c r="N582">
        <f t="shared" si="39"/>
        <v>10000</v>
      </c>
    </row>
    <row r="583" spans="1:14">
      <c r="A583">
        <f t="shared" si="36"/>
        <v>5</v>
      </c>
      <c r="B583">
        <v>5</v>
      </c>
      <c r="C583" t="s">
        <v>51</v>
      </c>
      <c r="D583" t="s">
        <v>33</v>
      </c>
      <c r="E583">
        <v>1</v>
      </c>
      <c r="F583">
        <v>1</v>
      </c>
      <c r="G583">
        <v>2701</v>
      </c>
      <c r="H583" t="s">
        <v>34</v>
      </c>
      <c r="I583" t="str">
        <f t="shared" si="37"/>
        <v>[{1000,1,1,2701,101}]</v>
      </c>
      <c r="J583" t="s">
        <v>35</v>
      </c>
      <c r="K583">
        <f>IF(A583="","",IF(J583=1,VLOOKUP(A583,[1]怪物!$R$80:$V$99,4,0),VLOOKUP(A583,[1]怪物!$R$80:$V$99,2,0))*10000)</f>
        <v>10000</v>
      </c>
      <c r="L583">
        <f>IF(A583="","",IF(K583=1,VLOOKUP(A583,[1]怪物!$R$80:$V$99,5,0),VLOOKUP(A583,[1]怪物!$R$80:$V$99,3,0))*10000)</f>
        <v>10000</v>
      </c>
      <c r="M583">
        <f t="shared" si="38"/>
        <v>10000</v>
      </c>
      <c r="N583">
        <f t="shared" si="39"/>
        <v>10000</v>
      </c>
    </row>
    <row r="584" spans="1:14">
      <c r="A584">
        <f t="shared" si="36"/>
        <v>6</v>
      </c>
      <c r="B584">
        <v>6</v>
      </c>
      <c r="C584" t="s">
        <v>51</v>
      </c>
      <c r="D584" t="s">
        <v>33</v>
      </c>
      <c r="E584">
        <v>1</v>
      </c>
      <c r="F584">
        <v>1</v>
      </c>
      <c r="G584">
        <v>2701</v>
      </c>
      <c r="H584" t="s">
        <v>34</v>
      </c>
      <c r="I584" t="str">
        <f t="shared" si="37"/>
        <v>[{1000,1,1,2701,101}]</v>
      </c>
      <c r="J584" t="s">
        <v>35</v>
      </c>
      <c r="K584">
        <f>IF(A584="","",IF(J584=1,VLOOKUP(A584,[1]怪物!$R$80:$V$99,4,0),VLOOKUP(A584,[1]怪物!$R$80:$V$99,2,0))*10000)</f>
        <v>15000</v>
      </c>
      <c r="L584">
        <f>IF(A584="","",IF(K584=1,VLOOKUP(A584,[1]怪物!$R$80:$V$99,5,0),VLOOKUP(A584,[1]怪物!$R$80:$V$99,3,0))*10000)</f>
        <v>15000</v>
      </c>
      <c r="M584">
        <f t="shared" si="38"/>
        <v>15000</v>
      </c>
      <c r="N584">
        <f t="shared" si="39"/>
        <v>15000</v>
      </c>
    </row>
    <row r="585" spans="1:14">
      <c r="A585">
        <f t="shared" si="36"/>
        <v>7</v>
      </c>
      <c r="B585">
        <v>7</v>
      </c>
      <c r="C585" t="s">
        <v>51</v>
      </c>
      <c r="D585" t="s">
        <v>33</v>
      </c>
      <c r="E585">
        <v>1</v>
      </c>
      <c r="F585">
        <v>1</v>
      </c>
      <c r="G585">
        <v>2701</v>
      </c>
      <c r="H585" t="s">
        <v>34</v>
      </c>
      <c r="I585" t="str">
        <f t="shared" si="37"/>
        <v>[{1000,1,1,2701,101}]</v>
      </c>
      <c r="J585" t="s">
        <v>35</v>
      </c>
      <c r="K585">
        <f>IF(A585="","",IF(J585=1,VLOOKUP(A585,[1]怪物!$R$80:$V$99,4,0),VLOOKUP(A585,[1]怪物!$R$80:$V$99,2,0))*10000)</f>
        <v>15000</v>
      </c>
      <c r="L585">
        <f>IF(A585="","",IF(K585=1,VLOOKUP(A585,[1]怪物!$R$80:$V$99,5,0),VLOOKUP(A585,[1]怪物!$R$80:$V$99,3,0))*10000)</f>
        <v>15000</v>
      </c>
      <c r="M585">
        <f t="shared" si="38"/>
        <v>15000</v>
      </c>
      <c r="N585">
        <f t="shared" si="39"/>
        <v>15000</v>
      </c>
    </row>
    <row r="586" spans="1:14">
      <c r="A586">
        <f t="shared" si="36"/>
        <v>7</v>
      </c>
      <c r="B586">
        <v>7</v>
      </c>
      <c r="C586" t="s">
        <v>51</v>
      </c>
      <c r="D586" t="s">
        <v>33</v>
      </c>
      <c r="E586">
        <v>1</v>
      </c>
      <c r="F586">
        <v>1</v>
      </c>
      <c r="G586">
        <v>2702</v>
      </c>
      <c r="H586" t="s">
        <v>34</v>
      </c>
      <c r="I586" t="str">
        <f t="shared" si="37"/>
        <v>[{1000,1,1,2702,101}]</v>
      </c>
      <c r="J586" t="s">
        <v>35</v>
      </c>
      <c r="K586">
        <f>IF(A586="","",IF(J586=1,VLOOKUP(A586,[1]怪物!$R$80:$V$99,4,0),VLOOKUP(A586,[1]怪物!$R$80:$V$99,2,0))*10000)</f>
        <v>15000</v>
      </c>
      <c r="L586">
        <f>IF(A586="","",IF(K586=1,VLOOKUP(A586,[1]怪物!$R$80:$V$99,5,0),VLOOKUP(A586,[1]怪物!$R$80:$V$99,3,0))*10000)</f>
        <v>15000</v>
      </c>
      <c r="M586">
        <f t="shared" si="38"/>
        <v>15000</v>
      </c>
      <c r="N586">
        <f t="shared" si="39"/>
        <v>15000</v>
      </c>
    </row>
    <row r="587" spans="1:14">
      <c r="A587">
        <f t="shared" si="36"/>
        <v>8</v>
      </c>
      <c r="B587">
        <v>8</v>
      </c>
      <c r="C587" t="s">
        <v>51</v>
      </c>
      <c r="D587" t="s">
        <v>33</v>
      </c>
      <c r="E587">
        <v>1</v>
      </c>
      <c r="F587">
        <v>1</v>
      </c>
      <c r="G587">
        <v>2701</v>
      </c>
      <c r="H587" t="s">
        <v>34</v>
      </c>
      <c r="I587" t="str">
        <f t="shared" si="37"/>
        <v>[{1000,1,1,2701,101}]</v>
      </c>
      <c r="J587" t="s">
        <v>35</v>
      </c>
      <c r="K587">
        <f>IF(A587="","",IF(J587=1,VLOOKUP(A587,[1]怪物!$R$80:$V$99,4,0),VLOOKUP(A587,[1]怪物!$R$80:$V$99,2,0))*10000)</f>
        <v>15000</v>
      </c>
      <c r="L587">
        <f>IF(A587="","",IF(K587=1,VLOOKUP(A587,[1]怪物!$R$80:$V$99,5,0),VLOOKUP(A587,[1]怪物!$R$80:$V$99,3,0))*10000)</f>
        <v>15000</v>
      </c>
      <c r="M587">
        <f t="shared" si="38"/>
        <v>15000</v>
      </c>
      <c r="N587">
        <f t="shared" si="39"/>
        <v>15000</v>
      </c>
    </row>
    <row r="588" spans="1:14">
      <c r="A588">
        <f t="shared" si="36"/>
        <v>8</v>
      </c>
      <c r="B588">
        <v>8</v>
      </c>
      <c r="C588" t="s">
        <v>51</v>
      </c>
      <c r="D588" t="s">
        <v>33</v>
      </c>
      <c r="E588">
        <v>1</v>
      </c>
      <c r="F588">
        <v>1</v>
      </c>
      <c r="G588">
        <v>2702</v>
      </c>
      <c r="H588" t="s">
        <v>34</v>
      </c>
      <c r="I588" t="str">
        <f t="shared" si="37"/>
        <v>[{1000,1,1,2702,101}]</v>
      </c>
      <c r="J588" t="s">
        <v>35</v>
      </c>
      <c r="K588">
        <f>IF(A588="","",IF(J588=1,VLOOKUP(A588,[1]怪物!$R$80:$V$99,4,0),VLOOKUP(A588,[1]怪物!$R$80:$V$99,2,0))*10000)</f>
        <v>15000</v>
      </c>
      <c r="L588">
        <f>IF(A588="","",IF(K588=1,VLOOKUP(A588,[1]怪物!$R$80:$V$99,5,0),VLOOKUP(A588,[1]怪物!$R$80:$V$99,3,0))*10000)</f>
        <v>15000</v>
      </c>
      <c r="M588">
        <f t="shared" si="38"/>
        <v>15000</v>
      </c>
      <c r="N588">
        <f t="shared" si="39"/>
        <v>15000</v>
      </c>
    </row>
    <row r="589" spans="1:14">
      <c r="A589">
        <f t="shared" si="36"/>
        <v>9</v>
      </c>
      <c r="B589">
        <v>9</v>
      </c>
      <c r="C589" t="s">
        <v>51</v>
      </c>
      <c r="D589" t="s">
        <v>33</v>
      </c>
      <c r="E589">
        <v>1</v>
      </c>
      <c r="F589">
        <v>1</v>
      </c>
      <c r="G589">
        <v>2701</v>
      </c>
      <c r="H589" t="s">
        <v>34</v>
      </c>
      <c r="I589" t="str">
        <f t="shared" si="37"/>
        <v>[{1000,1,1,2701,101}]</v>
      </c>
      <c r="J589" t="s">
        <v>35</v>
      </c>
      <c r="K589" t="e">
        <f>IF(A589="","",IF(J589=1,VLOOKUP(A589,[1]怪物!$R$80:$V$99,4,0),VLOOKUP(A589,[1]怪物!$R$80:$V$99,2,0))*10000)</f>
        <v>#N/A</v>
      </c>
      <c r="L589" t="e">
        <f>IF(A589="","",IF(K589=1,VLOOKUP(A589,[1]怪物!$R$80:$V$99,5,0),VLOOKUP(A589,[1]怪物!$R$80:$V$99,3,0))*10000)</f>
        <v>#N/A</v>
      </c>
      <c r="M589" t="e">
        <f t="shared" si="38"/>
        <v>#N/A</v>
      </c>
      <c r="N589" t="e">
        <f t="shared" si="39"/>
        <v>#N/A</v>
      </c>
    </row>
    <row r="590" spans="1:14">
      <c r="A590">
        <f t="shared" si="36"/>
        <v>9</v>
      </c>
      <c r="B590">
        <v>9</v>
      </c>
      <c r="C590" t="s">
        <v>51</v>
      </c>
      <c r="D590" t="s">
        <v>33</v>
      </c>
      <c r="E590">
        <v>1</v>
      </c>
      <c r="F590">
        <v>1</v>
      </c>
      <c r="G590">
        <v>2702</v>
      </c>
      <c r="H590" t="s">
        <v>34</v>
      </c>
      <c r="I590" t="str">
        <f t="shared" si="37"/>
        <v>[{1000,1,1,2702,101}]</v>
      </c>
      <c r="J590" t="s">
        <v>35</v>
      </c>
      <c r="K590" t="e">
        <f>IF(A590="","",IF(J590=1,VLOOKUP(A590,[1]怪物!$R$80:$V$99,4,0),VLOOKUP(A590,[1]怪物!$R$80:$V$99,2,0))*10000)</f>
        <v>#N/A</v>
      </c>
      <c r="L590" t="e">
        <f>IF(A590="","",IF(K590=1,VLOOKUP(A590,[1]怪物!$R$80:$V$99,5,0),VLOOKUP(A590,[1]怪物!$R$80:$V$99,3,0))*10000)</f>
        <v>#N/A</v>
      </c>
      <c r="M590" t="e">
        <f t="shared" si="38"/>
        <v>#N/A</v>
      </c>
      <c r="N590" t="e">
        <f t="shared" si="39"/>
        <v>#N/A</v>
      </c>
    </row>
    <row r="591" spans="1:14">
      <c r="A591">
        <f t="shared" si="36"/>
        <v>10</v>
      </c>
      <c r="B591">
        <v>10</v>
      </c>
      <c r="C591" t="s">
        <v>51</v>
      </c>
      <c r="D591" t="s">
        <v>33</v>
      </c>
      <c r="E591">
        <v>1</v>
      </c>
      <c r="F591">
        <v>1</v>
      </c>
      <c r="G591">
        <v>2701</v>
      </c>
      <c r="H591" t="s">
        <v>34</v>
      </c>
      <c r="I591" t="str">
        <f t="shared" si="37"/>
        <v>[{1000,1,1,2701,101}]</v>
      </c>
      <c r="J591" t="s">
        <v>35</v>
      </c>
      <c r="K591" t="e">
        <f>IF(A591="","",IF(J591=1,VLOOKUP(A591,[1]怪物!$R$80:$V$99,4,0),VLOOKUP(A591,[1]怪物!$R$80:$V$99,2,0))*10000)</f>
        <v>#N/A</v>
      </c>
      <c r="L591" t="e">
        <f>IF(A591="","",IF(K591=1,VLOOKUP(A591,[1]怪物!$R$80:$V$99,5,0),VLOOKUP(A591,[1]怪物!$R$80:$V$99,3,0))*10000)</f>
        <v>#N/A</v>
      </c>
      <c r="M591" t="e">
        <f t="shared" si="38"/>
        <v>#N/A</v>
      </c>
      <c r="N591" t="e">
        <f t="shared" si="39"/>
        <v>#N/A</v>
      </c>
    </row>
    <row r="592" spans="1:14">
      <c r="A592">
        <f t="shared" si="36"/>
        <v>10</v>
      </c>
      <c r="B592">
        <v>10</v>
      </c>
      <c r="C592" t="s">
        <v>51</v>
      </c>
      <c r="D592" t="s">
        <v>33</v>
      </c>
      <c r="E592">
        <v>1</v>
      </c>
      <c r="F592">
        <v>1</v>
      </c>
      <c r="G592">
        <v>2702</v>
      </c>
      <c r="H592" t="s">
        <v>34</v>
      </c>
      <c r="I592" t="str">
        <f t="shared" si="37"/>
        <v>[{1000,1,1,2702,101}]</v>
      </c>
      <c r="J592" t="s">
        <v>35</v>
      </c>
      <c r="K592" t="e">
        <f>IF(A592="","",IF(J592=1,VLOOKUP(A592,[1]怪物!$R$80:$V$99,4,0),VLOOKUP(A592,[1]怪物!$R$80:$V$99,2,0))*10000)</f>
        <v>#N/A</v>
      </c>
      <c r="L592" t="e">
        <f>IF(A592="","",IF(K592=1,VLOOKUP(A592,[1]怪物!$R$80:$V$99,5,0),VLOOKUP(A592,[1]怪物!$R$80:$V$99,3,0))*10000)</f>
        <v>#N/A</v>
      </c>
      <c r="M592" t="e">
        <f t="shared" si="38"/>
        <v>#N/A</v>
      </c>
      <c r="N592" t="e">
        <f t="shared" si="39"/>
        <v>#N/A</v>
      </c>
    </row>
    <row r="593" spans="1:14">
      <c r="A593" t="str">
        <f t="shared" si="36"/>
        <v/>
      </c>
      <c r="B593">
        <v>10</v>
      </c>
      <c r="C593" t="s">
        <v>51</v>
      </c>
      <c r="D593" t="s">
        <v>28</v>
      </c>
      <c r="I593" t="str">
        <f t="shared" si="37"/>
        <v>[]</v>
      </c>
      <c r="J593">
        <v>2</v>
      </c>
      <c r="K593" t="str">
        <f>IF(A593="","",IF(J593=1,VLOOKUP(A593,[1]怪物!$R$80:$V$99,4,0),VLOOKUP(A593,[1]怪物!$R$80:$V$99,2,0))*10000)</f>
        <v/>
      </c>
      <c r="L593" t="str">
        <f>IF(A593="","",IF(K593=1,VLOOKUP(A593,[1]怪物!$R$80:$V$99,5,0),VLOOKUP(A593,[1]怪物!$R$80:$V$99,3,0))*10000)</f>
        <v/>
      </c>
      <c r="M593" t="str">
        <f t="shared" si="38"/>
        <v/>
      </c>
      <c r="N593" t="str">
        <f t="shared" si="39"/>
        <v/>
      </c>
    </row>
    <row r="594" spans="1:14">
      <c r="A594">
        <f t="shared" si="36"/>
        <v>10</v>
      </c>
      <c r="B594">
        <v>10</v>
      </c>
      <c r="C594" t="s">
        <v>51</v>
      </c>
      <c r="D594" t="s">
        <v>33</v>
      </c>
      <c r="E594">
        <v>1</v>
      </c>
      <c r="F594">
        <v>0</v>
      </c>
      <c r="G594">
        <v>2721</v>
      </c>
      <c r="H594" t="s">
        <v>36</v>
      </c>
      <c r="I594" t="str">
        <f t="shared" si="37"/>
        <v>[{1000,1,0,2721,41}]</v>
      </c>
      <c r="J594" t="s">
        <v>35</v>
      </c>
      <c r="K594" t="e">
        <f>IF(A594="","",IF(J594=1,VLOOKUP(A594,[1]怪物!$R$80:$V$99,4,0),VLOOKUP(A594,[1]怪物!$R$80:$V$99,2,0))*10000)</f>
        <v>#N/A</v>
      </c>
      <c r="L594" t="e">
        <f>IF(A594="","",IF(K594=1,VLOOKUP(A594,[1]怪物!$R$80:$V$99,5,0),VLOOKUP(A594,[1]怪物!$R$80:$V$99,3,0))*10000)</f>
        <v>#N/A</v>
      </c>
      <c r="M594">
        <f t="shared" si="38"/>
        <v>10000</v>
      </c>
      <c r="N594">
        <f t="shared" si="39"/>
        <v>10000</v>
      </c>
    </row>
    <row r="595" spans="1:14">
      <c r="A595">
        <f t="shared" si="36"/>
        <v>11</v>
      </c>
      <c r="B595">
        <v>11</v>
      </c>
      <c r="C595" t="s">
        <v>51</v>
      </c>
      <c r="D595" t="s">
        <v>33</v>
      </c>
      <c r="E595">
        <v>1</v>
      </c>
      <c r="F595">
        <v>1</v>
      </c>
      <c r="G595">
        <v>2701</v>
      </c>
      <c r="H595" t="s">
        <v>34</v>
      </c>
      <c r="I595" t="str">
        <f t="shared" si="37"/>
        <v>[{1000,1,1,2701,101}]</v>
      </c>
      <c r="J595" t="s">
        <v>35</v>
      </c>
      <c r="K595" t="e">
        <f>IF(A595="","",IF(J595=1,VLOOKUP(A595,[1]怪物!$R$80:$V$99,4,0),VLOOKUP(A595,[1]怪物!$R$80:$V$99,2,0))*10000)</f>
        <v>#N/A</v>
      </c>
      <c r="L595" t="e">
        <f>IF(A595="","",IF(K595=1,VLOOKUP(A595,[1]怪物!$R$80:$V$99,5,0),VLOOKUP(A595,[1]怪物!$R$80:$V$99,3,0))*10000)</f>
        <v>#N/A</v>
      </c>
      <c r="M595" t="e">
        <f t="shared" si="38"/>
        <v>#N/A</v>
      </c>
      <c r="N595" t="e">
        <f t="shared" si="39"/>
        <v>#N/A</v>
      </c>
    </row>
    <row r="596" spans="1:14">
      <c r="A596">
        <f t="shared" si="36"/>
        <v>11</v>
      </c>
      <c r="B596">
        <v>11</v>
      </c>
      <c r="C596" t="s">
        <v>51</v>
      </c>
      <c r="D596" t="s">
        <v>33</v>
      </c>
      <c r="E596">
        <v>1</v>
      </c>
      <c r="F596">
        <v>1</v>
      </c>
      <c r="G596">
        <v>2702</v>
      </c>
      <c r="H596" t="s">
        <v>34</v>
      </c>
      <c r="I596" t="str">
        <f t="shared" si="37"/>
        <v>[{1000,1,1,2702,101}]</v>
      </c>
      <c r="J596" t="s">
        <v>35</v>
      </c>
      <c r="K596" t="e">
        <f>IF(A596="","",IF(J596=1,VLOOKUP(A596,[1]怪物!$R$80:$V$99,4,0),VLOOKUP(A596,[1]怪物!$R$80:$V$99,2,0))*10000)</f>
        <v>#N/A</v>
      </c>
      <c r="L596" t="e">
        <f>IF(A596="","",IF(K596=1,VLOOKUP(A596,[1]怪物!$R$80:$V$99,5,0),VLOOKUP(A596,[1]怪物!$R$80:$V$99,3,0))*10000)</f>
        <v>#N/A</v>
      </c>
      <c r="M596" t="e">
        <f t="shared" si="38"/>
        <v>#N/A</v>
      </c>
      <c r="N596" t="e">
        <f t="shared" si="39"/>
        <v>#N/A</v>
      </c>
    </row>
    <row r="597" spans="1:14">
      <c r="A597">
        <f t="shared" si="36"/>
        <v>12</v>
      </c>
      <c r="B597">
        <v>12</v>
      </c>
      <c r="C597" t="s">
        <v>51</v>
      </c>
      <c r="D597" t="s">
        <v>33</v>
      </c>
      <c r="E597">
        <v>1</v>
      </c>
      <c r="F597">
        <v>1</v>
      </c>
      <c r="G597">
        <v>2701</v>
      </c>
      <c r="H597" t="s">
        <v>34</v>
      </c>
      <c r="I597" t="str">
        <f t="shared" si="37"/>
        <v>[{1000,1,1,2701,101}]</v>
      </c>
      <c r="J597" t="s">
        <v>35</v>
      </c>
      <c r="K597" t="e">
        <f>IF(A597="","",IF(J597=1,VLOOKUP(A597,[1]怪物!$R$80:$V$99,4,0),VLOOKUP(A597,[1]怪物!$R$80:$V$99,2,0))*10000)</f>
        <v>#N/A</v>
      </c>
      <c r="L597" t="e">
        <f>IF(A597="","",IF(K597=1,VLOOKUP(A597,[1]怪物!$R$80:$V$99,5,0),VLOOKUP(A597,[1]怪物!$R$80:$V$99,3,0))*10000)</f>
        <v>#N/A</v>
      </c>
      <c r="M597" t="e">
        <f t="shared" si="38"/>
        <v>#N/A</v>
      </c>
      <c r="N597" t="e">
        <f t="shared" si="39"/>
        <v>#N/A</v>
      </c>
    </row>
    <row r="598" spans="1:14">
      <c r="A598">
        <f t="shared" si="36"/>
        <v>12</v>
      </c>
      <c r="B598">
        <v>12</v>
      </c>
      <c r="C598" t="s">
        <v>51</v>
      </c>
      <c r="D598" t="s">
        <v>33</v>
      </c>
      <c r="E598">
        <v>1</v>
      </c>
      <c r="F598">
        <v>1</v>
      </c>
      <c r="G598">
        <v>2702</v>
      </c>
      <c r="H598" t="s">
        <v>34</v>
      </c>
      <c r="I598" t="str">
        <f t="shared" si="37"/>
        <v>[{1000,1,1,2702,101}]</v>
      </c>
      <c r="J598" t="s">
        <v>35</v>
      </c>
      <c r="K598" t="e">
        <f>IF(A598="","",IF(J598=1,VLOOKUP(A598,[1]怪物!$R$80:$V$99,4,0),VLOOKUP(A598,[1]怪物!$R$80:$V$99,2,0))*10000)</f>
        <v>#N/A</v>
      </c>
      <c r="L598" t="e">
        <f>IF(A598="","",IF(K598=1,VLOOKUP(A598,[1]怪物!$R$80:$V$99,5,0),VLOOKUP(A598,[1]怪物!$R$80:$V$99,3,0))*10000)</f>
        <v>#N/A</v>
      </c>
      <c r="M598" t="e">
        <f t="shared" si="38"/>
        <v>#N/A</v>
      </c>
      <c r="N598" t="e">
        <f t="shared" si="39"/>
        <v>#N/A</v>
      </c>
    </row>
    <row r="599" spans="1:14">
      <c r="A599">
        <f t="shared" si="36"/>
        <v>13</v>
      </c>
      <c r="B599">
        <v>13</v>
      </c>
      <c r="C599" t="s">
        <v>51</v>
      </c>
      <c r="D599" t="s">
        <v>33</v>
      </c>
      <c r="E599">
        <v>1</v>
      </c>
      <c r="F599">
        <v>1</v>
      </c>
      <c r="G599">
        <v>2701</v>
      </c>
      <c r="H599" t="s">
        <v>34</v>
      </c>
      <c r="I599" t="str">
        <f t="shared" si="37"/>
        <v>[{1000,1,1,2701,101}]</v>
      </c>
      <c r="J599" t="s">
        <v>35</v>
      </c>
      <c r="K599" t="e">
        <f>IF(A599="","",IF(J599=1,VLOOKUP(A599,[1]怪物!$R$80:$V$99,4,0),VLOOKUP(A599,[1]怪物!$R$80:$V$99,2,0))*10000)</f>
        <v>#N/A</v>
      </c>
      <c r="L599" t="e">
        <f>IF(A599="","",IF(K599=1,VLOOKUP(A599,[1]怪物!$R$80:$V$99,5,0),VLOOKUP(A599,[1]怪物!$R$80:$V$99,3,0))*10000)</f>
        <v>#N/A</v>
      </c>
      <c r="M599" t="e">
        <f t="shared" si="38"/>
        <v>#N/A</v>
      </c>
      <c r="N599" t="e">
        <f t="shared" si="39"/>
        <v>#N/A</v>
      </c>
    </row>
    <row r="600" spans="1:14">
      <c r="A600">
        <f t="shared" si="36"/>
        <v>13</v>
      </c>
      <c r="B600">
        <v>13</v>
      </c>
      <c r="C600" t="s">
        <v>51</v>
      </c>
      <c r="D600" t="s">
        <v>33</v>
      </c>
      <c r="E600">
        <v>1</v>
      </c>
      <c r="F600">
        <v>1</v>
      </c>
      <c r="G600">
        <v>2702</v>
      </c>
      <c r="H600" t="s">
        <v>34</v>
      </c>
      <c r="I600" t="str">
        <f t="shared" si="37"/>
        <v>[{1000,1,1,2702,101}]</v>
      </c>
      <c r="J600" t="s">
        <v>35</v>
      </c>
      <c r="K600" t="e">
        <f>IF(A600="","",IF(J600=1,VLOOKUP(A600,[1]怪物!$R$80:$V$99,4,0),VLOOKUP(A600,[1]怪物!$R$80:$V$99,2,0))*10000)</f>
        <v>#N/A</v>
      </c>
      <c r="L600" t="e">
        <f>IF(A600="","",IF(K600=1,VLOOKUP(A600,[1]怪物!$R$80:$V$99,5,0),VLOOKUP(A600,[1]怪物!$R$80:$V$99,3,0))*10000)</f>
        <v>#N/A</v>
      </c>
      <c r="M600" t="e">
        <f t="shared" si="38"/>
        <v>#N/A</v>
      </c>
      <c r="N600" t="e">
        <f t="shared" si="39"/>
        <v>#N/A</v>
      </c>
    </row>
    <row r="601" spans="1:14">
      <c r="A601">
        <f t="shared" si="36"/>
        <v>14</v>
      </c>
      <c r="B601">
        <v>14</v>
      </c>
      <c r="C601" t="s">
        <v>51</v>
      </c>
      <c r="D601" t="s">
        <v>33</v>
      </c>
      <c r="E601">
        <v>1</v>
      </c>
      <c r="F601">
        <v>1</v>
      </c>
      <c r="G601">
        <v>2701</v>
      </c>
      <c r="H601" t="s">
        <v>34</v>
      </c>
      <c r="I601" t="str">
        <f t="shared" si="37"/>
        <v>[{1000,1,1,2701,101}]</v>
      </c>
      <c r="J601" t="s">
        <v>35</v>
      </c>
      <c r="K601" t="e">
        <f>IF(A601="","",IF(J601=1,VLOOKUP(A601,[1]怪物!$R$80:$V$99,4,0),VLOOKUP(A601,[1]怪物!$R$80:$V$99,2,0))*10000)</f>
        <v>#N/A</v>
      </c>
      <c r="L601" t="e">
        <f>IF(A601="","",IF(K601=1,VLOOKUP(A601,[1]怪物!$R$80:$V$99,5,0),VLOOKUP(A601,[1]怪物!$R$80:$V$99,3,0))*10000)</f>
        <v>#N/A</v>
      </c>
      <c r="M601" t="e">
        <f t="shared" si="38"/>
        <v>#N/A</v>
      </c>
      <c r="N601" t="e">
        <f t="shared" si="39"/>
        <v>#N/A</v>
      </c>
    </row>
    <row r="602" spans="1:14">
      <c r="A602">
        <f t="shared" si="36"/>
        <v>14</v>
      </c>
      <c r="B602">
        <v>14</v>
      </c>
      <c r="C602" t="s">
        <v>51</v>
      </c>
      <c r="D602" t="s">
        <v>33</v>
      </c>
      <c r="E602">
        <v>1</v>
      </c>
      <c r="F602">
        <v>1</v>
      </c>
      <c r="G602">
        <v>2702</v>
      </c>
      <c r="H602" t="s">
        <v>34</v>
      </c>
      <c r="I602" t="str">
        <f t="shared" si="37"/>
        <v>[{1000,1,1,2702,101}]</v>
      </c>
      <c r="J602" t="s">
        <v>35</v>
      </c>
      <c r="K602" t="e">
        <f>IF(A602="","",IF(J602=1,VLOOKUP(A602,[1]怪物!$R$80:$V$99,4,0),VLOOKUP(A602,[1]怪物!$R$80:$V$99,2,0))*10000)</f>
        <v>#N/A</v>
      </c>
      <c r="L602" t="e">
        <f>IF(A602="","",IF(K602=1,VLOOKUP(A602,[1]怪物!$R$80:$V$99,5,0),VLOOKUP(A602,[1]怪物!$R$80:$V$99,3,0))*10000)</f>
        <v>#N/A</v>
      </c>
      <c r="M602" t="e">
        <f t="shared" si="38"/>
        <v>#N/A</v>
      </c>
      <c r="N602" t="e">
        <f t="shared" si="39"/>
        <v>#N/A</v>
      </c>
    </row>
    <row r="603" spans="1:14">
      <c r="A603">
        <f t="shared" si="36"/>
        <v>15</v>
      </c>
      <c r="B603">
        <v>15</v>
      </c>
      <c r="C603" t="s">
        <v>51</v>
      </c>
      <c r="D603" t="s">
        <v>33</v>
      </c>
      <c r="E603">
        <v>1</v>
      </c>
      <c r="F603">
        <v>1</v>
      </c>
      <c r="G603">
        <v>2701</v>
      </c>
      <c r="H603" t="s">
        <v>34</v>
      </c>
      <c r="I603" t="str">
        <f t="shared" si="37"/>
        <v>[{1000,1,1,2701,101}]</v>
      </c>
      <c r="J603" t="s">
        <v>35</v>
      </c>
      <c r="K603" t="e">
        <f>IF(A603="","",IF(J603=1,VLOOKUP(A603,[1]怪物!$R$80:$V$99,4,0),VLOOKUP(A603,[1]怪物!$R$80:$V$99,2,0))*10000)</f>
        <v>#N/A</v>
      </c>
      <c r="L603" t="e">
        <f>IF(A603="","",IF(K603=1,VLOOKUP(A603,[1]怪物!$R$80:$V$99,5,0),VLOOKUP(A603,[1]怪物!$R$80:$V$99,3,0))*10000)</f>
        <v>#N/A</v>
      </c>
      <c r="M603" t="e">
        <f t="shared" si="38"/>
        <v>#N/A</v>
      </c>
      <c r="N603" t="e">
        <f t="shared" si="39"/>
        <v>#N/A</v>
      </c>
    </row>
    <row r="604" spans="1:14">
      <c r="A604">
        <f t="shared" si="36"/>
        <v>15</v>
      </c>
      <c r="B604">
        <v>15</v>
      </c>
      <c r="C604" t="s">
        <v>51</v>
      </c>
      <c r="D604" t="s">
        <v>33</v>
      </c>
      <c r="E604">
        <v>1</v>
      </c>
      <c r="F604">
        <v>1</v>
      </c>
      <c r="G604">
        <v>2702</v>
      </c>
      <c r="H604" t="s">
        <v>34</v>
      </c>
      <c r="I604" t="str">
        <f t="shared" si="37"/>
        <v>[{1000,1,1,2702,101}]</v>
      </c>
      <c r="J604" t="s">
        <v>35</v>
      </c>
      <c r="K604" t="e">
        <f>IF(A604="","",IF(J604=1,VLOOKUP(A604,[1]怪物!$R$80:$V$99,4,0),VLOOKUP(A604,[1]怪物!$R$80:$V$99,2,0))*10000)</f>
        <v>#N/A</v>
      </c>
      <c r="L604" t="e">
        <f>IF(A604="","",IF(K604=1,VLOOKUP(A604,[1]怪物!$R$80:$V$99,5,0),VLOOKUP(A604,[1]怪物!$R$80:$V$99,3,0))*10000)</f>
        <v>#N/A</v>
      </c>
      <c r="M604" t="e">
        <f t="shared" si="38"/>
        <v>#N/A</v>
      </c>
      <c r="N604" t="e">
        <f t="shared" si="39"/>
        <v>#N/A</v>
      </c>
    </row>
    <row r="605" spans="1:14">
      <c r="A605">
        <f t="shared" si="36"/>
        <v>16</v>
      </c>
      <c r="B605">
        <v>16</v>
      </c>
      <c r="C605" t="s">
        <v>51</v>
      </c>
      <c r="D605" t="s">
        <v>33</v>
      </c>
      <c r="E605">
        <v>1</v>
      </c>
      <c r="F605">
        <v>1</v>
      </c>
      <c r="G605">
        <v>2701</v>
      </c>
      <c r="H605" t="s">
        <v>34</v>
      </c>
      <c r="I605" t="str">
        <f t="shared" si="37"/>
        <v>[{1000,1,1,2701,101}]</v>
      </c>
      <c r="J605" t="s">
        <v>35</v>
      </c>
      <c r="K605" t="e">
        <f>IF(A605="","",IF(J605=1,VLOOKUP(A605,[1]怪物!$R$80:$V$99,4,0),VLOOKUP(A605,[1]怪物!$R$80:$V$99,2,0))*10000)</f>
        <v>#N/A</v>
      </c>
      <c r="L605" t="e">
        <f>IF(A605="","",IF(K605=1,VLOOKUP(A605,[1]怪物!$R$80:$V$99,5,0),VLOOKUP(A605,[1]怪物!$R$80:$V$99,3,0))*10000)</f>
        <v>#N/A</v>
      </c>
      <c r="M605" t="e">
        <f t="shared" si="38"/>
        <v>#N/A</v>
      </c>
      <c r="N605" t="e">
        <f t="shared" si="39"/>
        <v>#N/A</v>
      </c>
    </row>
    <row r="606" spans="1:14">
      <c r="A606">
        <f t="shared" si="36"/>
        <v>16</v>
      </c>
      <c r="B606">
        <v>16</v>
      </c>
      <c r="C606" t="s">
        <v>51</v>
      </c>
      <c r="D606" t="s">
        <v>33</v>
      </c>
      <c r="E606">
        <v>1</v>
      </c>
      <c r="F606">
        <v>1</v>
      </c>
      <c r="G606">
        <v>2702</v>
      </c>
      <c r="H606" t="s">
        <v>34</v>
      </c>
      <c r="I606" t="str">
        <f t="shared" si="37"/>
        <v>[{1000,1,1,2702,101}]</v>
      </c>
      <c r="J606" t="s">
        <v>35</v>
      </c>
      <c r="K606" t="e">
        <f>IF(A606="","",IF(J606=1,VLOOKUP(A606,[1]怪物!$R$80:$V$99,4,0),VLOOKUP(A606,[1]怪物!$R$80:$V$99,2,0))*10000)</f>
        <v>#N/A</v>
      </c>
      <c r="L606" t="e">
        <f>IF(A606="","",IF(K606=1,VLOOKUP(A606,[1]怪物!$R$80:$V$99,5,0),VLOOKUP(A606,[1]怪物!$R$80:$V$99,3,0))*10000)</f>
        <v>#N/A</v>
      </c>
      <c r="M606" t="e">
        <f t="shared" si="38"/>
        <v>#N/A</v>
      </c>
      <c r="N606" t="e">
        <f t="shared" si="39"/>
        <v>#N/A</v>
      </c>
    </row>
    <row r="607" spans="1:14">
      <c r="A607">
        <f t="shared" si="36"/>
        <v>17</v>
      </c>
      <c r="B607">
        <v>17</v>
      </c>
      <c r="C607" t="s">
        <v>51</v>
      </c>
      <c r="D607" t="s">
        <v>33</v>
      </c>
      <c r="E607">
        <v>1</v>
      </c>
      <c r="F607">
        <v>1</v>
      </c>
      <c r="G607">
        <v>2701</v>
      </c>
      <c r="H607" t="s">
        <v>34</v>
      </c>
      <c r="I607" t="str">
        <f t="shared" si="37"/>
        <v>[{1000,1,1,2701,101}]</v>
      </c>
      <c r="J607" t="s">
        <v>35</v>
      </c>
      <c r="K607" t="e">
        <f>IF(A607="","",IF(J607=1,VLOOKUP(A607,[1]怪物!$R$80:$V$99,4,0),VLOOKUP(A607,[1]怪物!$R$80:$V$99,2,0))*10000)</f>
        <v>#N/A</v>
      </c>
      <c r="L607" t="e">
        <f>IF(A607="","",IF(K607=1,VLOOKUP(A607,[1]怪物!$R$80:$V$99,5,0),VLOOKUP(A607,[1]怪物!$R$80:$V$99,3,0))*10000)</f>
        <v>#N/A</v>
      </c>
      <c r="M607" t="e">
        <f t="shared" si="38"/>
        <v>#N/A</v>
      </c>
      <c r="N607" t="e">
        <f t="shared" si="39"/>
        <v>#N/A</v>
      </c>
    </row>
    <row r="608" spans="1:14">
      <c r="A608">
        <f t="shared" si="36"/>
        <v>17</v>
      </c>
      <c r="B608">
        <v>17</v>
      </c>
      <c r="C608" t="s">
        <v>51</v>
      </c>
      <c r="D608" t="s">
        <v>33</v>
      </c>
      <c r="E608">
        <v>1</v>
      </c>
      <c r="F608">
        <v>1</v>
      </c>
      <c r="G608">
        <v>2702</v>
      </c>
      <c r="H608" t="s">
        <v>34</v>
      </c>
      <c r="I608" t="str">
        <f t="shared" si="37"/>
        <v>[{1000,1,1,2702,101}]</v>
      </c>
      <c r="J608" t="s">
        <v>35</v>
      </c>
      <c r="K608" t="e">
        <f>IF(A608="","",IF(J608=1,VLOOKUP(A608,[1]怪物!$R$80:$V$99,4,0),VLOOKUP(A608,[1]怪物!$R$80:$V$99,2,0))*10000)</f>
        <v>#N/A</v>
      </c>
      <c r="L608" t="e">
        <f>IF(A608="","",IF(K608=1,VLOOKUP(A608,[1]怪物!$R$80:$V$99,5,0),VLOOKUP(A608,[1]怪物!$R$80:$V$99,3,0))*10000)</f>
        <v>#N/A</v>
      </c>
      <c r="M608" t="e">
        <f t="shared" si="38"/>
        <v>#N/A</v>
      </c>
      <c r="N608" t="e">
        <f t="shared" si="39"/>
        <v>#N/A</v>
      </c>
    </row>
    <row r="609" spans="1:14">
      <c r="A609">
        <f t="shared" si="36"/>
        <v>18</v>
      </c>
      <c r="B609">
        <v>18</v>
      </c>
      <c r="C609" t="s">
        <v>51</v>
      </c>
      <c r="D609" t="s">
        <v>33</v>
      </c>
      <c r="E609">
        <v>1</v>
      </c>
      <c r="F609">
        <v>1</v>
      </c>
      <c r="G609">
        <v>2701</v>
      </c>
      <c r="H609" t="s">
        <v>34</v>
      </c>
      <c r="I609" t="str">
        <f t="shared" si="37"/>
        <v>[{1000,1,1,2701,101}]</v>
      </c>
      <c r="J609" t="s">
        <v>35</v>
      </c>
      <c r="K609" t="e">
        <f>IF(A609="","",IF(J609=1,VLOOKUP(A609,[1]怪物!$R$80:$V$99,4,0),VLOOKUP(A609,[1]怪物!$R$80:$V$99,2,0))*10000)</f>
        <v>#N/A</v>
      </c>
      <c r="L609" t="e">
        <f>IF(A609="","",IF(K609=1,VLOOKUP(A609,[1]怪物!$R$80:$V$99,5,0),VLOOKUP(A609,[1]怪物!$R$80:$V$99,3,0))*10000)</f>
        <v>#N/A</v>
      </c>
      <c r="M609" t="e">
        <f t="shared" si="38"/>
        <v>#N/A</v>
      </c>
      <c r="N609" t="e">
        <f t="shared" si="39"/>
        <v>#N/A</v>
      </c>
    </row>
    <row r="610" spans="1:14">
      <c r="A610">
        <f t="shared" si="36"/>
        <v>18</v>
      </c>
      <c r="B610">
        <v>18</v>
      </c>
      <c r="C610" t="s">
        <v>51</v>
      </c>
      <c r="D610" t="s">
        <v>33</v>
      </c>
      <c r="E610">
        <v>1</v>
      </c>
      <c r="F610">
        <v>1</v>
      </c>
      <c r="G610">
        <v>2702</v>
      </c>
      <c r="H610" t="s">
        <v>34</v>
      </c>
      <c r="I610" t="str">
        <f t="shared" si="37"/>
        <v>[{1000,1,1,2702,101}]</v>
      </c>
      <c r="J610" t="s">
        <v>35</v>
      </c>
      <c r="K610" t="e">
        <f>IF(A610="","",IF(J610=1,VLOOKUP(A610,[1]怪物!$R$80:$V$99,4,0),VLOOKUP(A610,[1]怪物!$R$80:$V$99,2,0))*10000)</f>
        <v>#N/A</v>
      </c>
      <c r="L610" t="e">
        <f>IF(A610="","",IF(K610=1,VLOOKUP(A610,[1]怪物!$R$80:$V$99,5,0),VLOOKUP(A610,[1]怪物!$R$80:$V$99,3,0))*10000)</f>
        <v>#N/A</v>
      </c>
      <c r="M610" t="e">
        <f t="shared" si="38"/>
        <v>#N/A</v>
      </c>
      <c r="N610" t="e">
        <f t="shared" si="39"/>
        <v>#N/A</v>
      </c>
    </row>
    <row r="611" spans="1:14">
      <c r="A611">
        <f t="shared" si="36"/>
        <v>19</v>
      </c>
      <c r="B611">
        <v>19</v>
      </c>
      <c r="C611" t="s">
        <v>51</v>
      </c>
      <c r="D611" t="s">
        <v>33</v>
      </c>
      <c r="E611">
        <v>1</v>
      </c>
      <c r="F611">
        <v>1</v>
      </c>
      <c r="G611">
        <v>2701</v>
      </c>
      <c r="H611" t="s">
        <v>34</v>
      </c>
      <c r="I611" t="str">
        <f t="shared" si="37"/>
        <v>[{1000,1,1,2701,101}]</v>
      </c>
      <c r="J611" t="s">
        <v>35</v>
      </c>
      <c r="K611" t="e">
        <f>IF(A611="","",IF(J611=1,VLOOKUP(A611,[1]怪物!$R$80:$V$99,4,0),VLOOKUP(A611,[1]怪物!$R$80:$V$99,2,0))*10000)</f>
        <v>#N/A</v>
      </c>
      <c r="L611" t="e">
        <f>IF(A611="","",IF(K611=1,VLOOKUP(A611,[1]怪物!$R$80:$V$99,5,0),VLOOKUP(A611,[1]怪物!$R$80:$V$99,3,0))*10000)</f>
        <v>#N/A</v>
      </c>
      <c r="M611" t="e">
        <f t="shared" si="38"/>
        <v>#N/A</v>
      </c>
      <c r="N611" t="e">
        <f t="shared" si="39"/>
        <v>#N/A</v>
      </c>
    </row>
    <row r="612" spans="1:14">
      <c r="A612">
        <f t="shared" si="36"/>
        <v>19</v>
      </c>
      <c r="B612">
        <v>19</v>
      </c>
      <c r="C612" t="s">
        <v>51</v>
      </c>
      <c r="D612" t="s">
        <v>33</v>
      </c>
      <c r="E612">
        <v>1</v>
      </c>
      <c r="F612">
        <v>1</v>
      </c>
      <c r="G612">
        <v>2702</v>
      </c>
      <c r="H612" t="s">
        <v>34</v>
      </c>
      <c r="I612" t="str">
        <f t="shared" si="37"/>
        <v>[{1000,1,1,2702,101}]</v>
      </c>
      <c r="J612" t="s">
        <v>35</v>
      </c>
      <c r="K612" t="e">
        <f>IF(A612="","",IF(J612=1,VLOOKUP(A612,[1]怪物!$R$80:$V$99,4,0),VLOOKUP(A612,[1]怪物!$R$80:$V$99,2,0))*10000)</f>
        <v>#N/A</v>
      </c>
      <c r="L612" t="e">
        <f>IF(A612="","",IF(K612=1,VLOOKUP(A612,[1]怪物!$R$80:$V$99,5,0),VLOOKUP(A612,[1]怪物!$R$80:$V$99,3,0))*10000)</f>
        <v>#N/A</v>
      </c>
      <c r="M612" t="e">
        <f t="shared" si="38"/>
        <v>#N/A</v>
      </c>
      <c r="N612" t="e">
        <f t="shared" si="39"/>
        <v>#N/A</v>
      </c>
    </row>
    <row r="613" spans="1:14">
      <c r="A613">
        <f t="shared" si="36"/>
        <v>20</v>
      </c>
      <c r="B613">
        <v>20</v>
      </c>
      <c r="C613" t="s">
        <v>51</v>
      </c>
      <c r="D613" t="s">
        <v>33</v>
      </c>
      <c r="E613">
        <v>1</v>
      </c>
      <c r="F613">
        <v>1</v>
      </c>
      <c r="G613">
        <v>2701</v>
      </c>
      <c r="H613" t="s">
        <v>34</v>
      </c>
      <c r="I613" t="str">
        <f t="shared" si="37"/>
        <v>[{1000,1,1,2701,101}]</v>
      </c>
      <c r="J613" t="s">
        <v>35</v>
      </c>
      <c r="K613" t="e">
        <f>IF(A613="","",IF(J613=1,VLOOKUP(A613,[1]怪物!$R$80:$V$99,4,0),VLOOKUP(A613,[1]怪物!$R$80:$V$99,2,0))*10000)</f>
        <v>#N/A</v>
      </c>
      <c r="L613" t="e">
        <f>IF(A613="","",IF(K613=1,VLOOKUP(A613,[1]怪物!$R$80:$V$99,5,0),VLOOKUP(A613,[1]怪物!$R$80:$V$99,3,0))*10000)</f>
        <v>#N/A</v>
      </c>
      <c r="M613" t="e">
        <f t="shared" si="38"/>
        <v>#N/A</v>
      </c>
      <c r="N613" t="e">
        <f t="shared" si="39"/>
        <v>#N/A</v>
      </c>
    </row>
    <row r="614" spans="1:14">
      <c r="A614">
        <f t="shared" si="36"/>
        <v>20</v>
      </c>
      <c r="B614">
        <v>20</v>
      </c>
      <c r="C614" t="s">
        <v>51</v>
      </c>
      <c r="D614" t="s">
        <v>33</v>
      </c>
      <c r="E614">
        <v>1</v>
      </c>
      <c r="F614">
        <v>1</v>
      </c>
      <c r="G614">
        <v>2702</v>
      </c>
      <c r="H614" t="s">
        <v>34</v>
      </c>
      <c r="I614" t="str">
        <f t="shared" si="37"/>
        <v>[{1000,1,1,2702,101}]</v>
      </c>
      <c r="J614" t="s">
        <v>35</v>
      </c>
      <c r="K614" t="e">
        <f>IF(A614="","",IF(J614=1,VLOOKUP(A614,[1]怪物!$R$80:$V$99,4,0),VLOOKUP(A614,[1]怪物!$R$80:$V$99,2,0))*10000)</f>
        <v>#N/A</v>
      </c>
      <c r="L614" t="e">
        <f>IF(A614="","",IF(K614=1,VLOOKUP(A614,[1]怪物!$R$80:$V$99,5,0),VLOOKUP(A614,[1]怪物!$R$80:$V$99,3,0))*10000)</f>
        <v>#N/A</v>
      </c>
      <c r="M614" t="e">
        <f t="shared" si="38"/>
        <v>#N/A</v>
      </c>
      <c r="N614" t="e">
        <f t="shared" si="39"/>
        <v>#N/A</v>
      </c>
    </row>
    <row r="615" spans="1:14">
      <c r="A615" t="str">
        <f t="shared" si="36"/>
        <v/>
      </c>
      <c r="B615">
        <v>20</v>
      </c>
      <c r="C615" t="s">
        <v>51</v>
      </c>
      <c r="D615" t="s">
        <v>28</v>
      </c>
      <c r="I615" t="str">
        <f t="shared" si="37"/>
        <v>[]</v>
      </c>
      <c r="J615">
        <v>2</v>
      </c>
      <c r="K615" t="str">
        <f>IF(A615="","",IF(J615=1,VLOOKUP(A615,[1]怪物!$R$80:$V$99,4,0),VLOOKUP(A615,[1]怪物!$R$80:$V$99,2,0))*10000)</f>
        <v/>
      </c>
      <c r="L615" t="str">
        <f>IF(A615="","",IF(K615=1,VLOOKUP(A615,[1]怪物!$R$80:$V$99,5,0),VLOOKUP(A615,[1]怪物!$R$80:$V$99,3,0))*10000)</f>
        <v/>
      </c>
      <c r="M615" t="str">
        <f t="shared" si="38"/>
        <v/>
      </c>
      <c r="N615" t="str">
        <f t="shared" si="39"/>
        <v/>
      </c>
    </row>
    <row r="616" spans="1:14">
      <c r="A616">
        <f t="shared" si="36"/>
        <v>20</v>
      </c>
      <c r="B616">
        <v>20</v>
      </c>
      <c r="C616" t="s">
        <v>51</v>
      </c>
      <c r="D616" t="s">
        <v>33</v>
      </c>
      <c r="E616">
        <v>1</v>
      </c>
      <c r="F616">
        <v>0</v>
      </c>
      <c r="G616">
        <v>2731</v>
      </c>
      <c r="H616" t="s">
        <v>36</v>
      </c>
      <c r="I616" t="str">
        <f t="shared" si="37"/>
        <v>[{1000,1,0,2731,41}]</v>
      </c>
      <c r="J616" t="s">
        <v>35</v>
      </c>
      <c r="K616" t="e">
        <f>IF(A616="","",IF(J616=1,VLOOKUP(A616,[1]怪物!$R$80:$V$99,4,0),VLOOKUP(A616,[1]怪物!$R$80:$V$99,2,0))*10000)</f>
        <v>#N/A</v>
      </c>
      <c r="L616" t="e">
        <f>IF(A616="","",IF(K616=1,VLOOKUP(A616,[1]怪物!$R$80:$V$99,5,0),VLOOKUP(A616,[1]怪物!$R$80:$V$99,3,0))*10000)</f>
        <v>#N/A</v>
      </c>
      <c r="M616">
        <f t="shared" si="38"/>
        <v>10000</v>
      </c>
      <c r="N616">
        <f t="shared" si="39"/>
        <v>10000</v>
      </c>
    </row>
    <row r="617" spans="1:14">
      <c r="A617">
        <f t="shared" si="36"/>
        <v>1</v>
      </c>
      <c r="B617">
        <v>1</v>
      </c>
      <c r="C617" t="s">
        <v>52</v>
      </c>
      <c r="D617" t="s">
        <v>33</v>
      </c>
      <c r="E617">
        <v>1</v>
      </c>
      <c r="F617">
        <v>1</v>
      </c>
      <c r="G617">
        <v>2801</v>
      </c>
      <c r="H617" t="s">
        <v>34</v>
      </c>
      <c r="I617" t="str">
        <f t="shared" si="37"/>
        <v>[{1000,1,1,2801,101}]</v>
      </c>
      <c r="J617" t="s">
        <v>35</v>
      </c>
      <c r="K617">
        <f>IF(A617="","",IF(J617=1,VLOOKUP(A617,[1]怪物!$R$80:$V$99,4,0),VLOOKUP(A617,[1]怪物!$R$80:$V$99,2,0))*10000)</f>
        <v>10000</v>
      </c>
      <c r="L617">
        <f>IF(A617="","",IF(K617=1,VLOOKUP(A617,[1]怪物!$R$80:$V$99,5,0),VLOOKUP(A617,[1]怪物!$R$80:$V$99,3,0))*10000)</f>
        <v>10000</v>
      </c>
      <c r="M617">
        <f t="shared" si="38"/>
        <v>10000</v>
      </c>
      <c r="N617">
        <f t="shared" si="39"/>
        <v>10000</v>
      </c>
    </row>
    <row r="618" spans="1:14">
      <c r="A618">
        <f t="shared" si="36"/>
        <v>2</v>
      </c>
      <c r="B618">
        <v>2</v>
      </c>
      <c r="C618" t="s">
        <v>52</v>
      </c>
      <c r="D618" t="s">
        <v>33</v>
      </c>
      <c r="E618">
        <v>1</v>
      </c>
      <c r="F618">
        <v>1</v>
      </c>
      <c r="G618">
        <v>2801</v>
      </c>
      <c r="H618" t="s">
        <v>34</v>
      </c>
      <c r="I618" t="str">
        <f t="shared" si="37"/>
        <v>[{1000,1,1,2801,101}]</v>
      </c>
      <c r="J618" t="s">
        <v>35</v>
      </c>
      <c r="K618">
        <f>IF(A618="","",IF(J618=1,VLOOKUP(A618,[1]怪物!$R$80:$V$99,4,0),VLOOKUP(A618,[1]怪物!$R$80:$V$99,2,0))*10000)</f>
        <v>10000</v>
      </c>
      <c r="L618">
        <f>IF(A618="","",IF(K618=1,VLOOKUP(A618,[1]怪物!$R$80:$V$99,5,0),VLOOKUP(A618,[1]怪物!$R$80:$V$99,3,0))*10000)</f>
        <v>10000</v>
      </c>
      <c r="M618">
        <f t="shared" si="38"/>
        <v>10000</v>
      </c>
      <c r="N618">
        <f t="shared" si="39"/>
        <v>10000</v>
      </c>
    </row>
    <row r="619" spans="1:14">
      <c r="A619">
        <f t="shared" si="36"/>
        <v>3</v>
      </c>
      <c r="B619">
        <v>3</v>
      </c>
      <c r="C619" t="s">
        <v>52</v>
      </c>
      <c r="D619" t="s">
        <v>33</v>
      </c>
      <c r="E619">
        <v>1</v>
      </c>
      <c r="F619">
        <v>1</v>
      </c>
      <c r="G619">
        <v>2801</v>
      </c>
      <c r="H619" t="s">
        <v>34</v>
      </c>
      <c r="I619" t="str">
        <f t="shared" si="37"/>
        <v>[{1000,1,1,2801,101}]</v>
      </c>
      <c r="J619" t="s">
        <v>35</v>
      </c>
      <c r="K619">
        <f>IF(A619="","",IF(J619=1,VLOOKUP(A619,[1]怪物!$R$80:$V$99,4,0),VLOOKUP(A619,[1]怪物!$R$80:$V$99,2,0))*10000)</f>
        <v>10000</v>
      </c>
      <c r="L619">
        <f>IF(A619="","",IF(K619=1,VLOOKUP(A619,[1]怪物!$R$80:$V$99,5,0),VLOOKUP(A619,[1]怪物!$R$80:$V$99,3,0))*10000)</f>
        <v>10000</v>
      </c>
      <c r="M619">
        <f t="shared" si="38"/>
        <v>10000</v>
      </c>
      <c r="N619">
        <f t="shared" si="39"/>
        <v>10000</v>
      </c>
    </row>
    <row r="620" spans="1:14">
      <c r="A620">
        <f t="shared" si="36"/>
        <v>4</v>
      </c>
      <c r="B620">
        <v>4</v>
      </c>
      <c r="C620" t="s">
        <v>52</v>
      </c>
      <c r="D620" t="s">
        <v>33</v>
      </c>
      <c r="E620">
        <v>1</v>
      </c>
      <c r="F620">
        <v>1</v>
      </c>
      <c r="G620">
        <v>2801</v>
      </c>
      <c r="H620" t="s">
        <v>34</v>
      </c>
      <c r="I620" t="str">
        <f t="shared" si="37"/>
        <v>[{1000,1,1,2801,101}]</v>
      </c>
      <c r="J620" t="s">
        <v>35</v>
      </c>
      <c r="K620">
        <f>IF(A620="","",IF(J620=1,VLOOKUP(A620,[1]怪物!$R$80:$V$99,4,0),VLOOKUP(A620,[1]怪物!$R$80:$V$99,2,0))*10000)</f>
        <v>10000</v>
      </c>
      <c r="L620">
        <f>IF(A620="","",IF(K620=1,VLOOKUP(A620,[1]怪物!$R$80:$V$99,5,0),VLOOKUP(A620,[1]怪物!$R$80:$V$99,3,0))*10000)</f>
        <v>10000</v>
      </c>
      <c r="M620">
        <f t="shared" si="38"/>
        <v>10000</v>
      </c>
      <c r="N620">
        <f t="shared" si="39"/>
        <v>10000</v>
      </c>
    </row>
    <row r="621" spans="1:14">
      <c r="A621">
        <f t="shared" si="36"/>
        <v>5</v>
      </c>
      <c r="B621">
        <v>5</v>
      </c>
      <c r="C621" t="s">
        <v>52</v>
      </c>
      <c r="D621" t="s">
        <v>33</v>
      </c>
      <c r="E621">
        <v>1</v>
      </c>
      <c r="F621">
        <v>1</v>
      </c>
      <c r="G621">
        <v>2801</v>
      </c>
      <c r="H621" t="s">
        <v>34</v>
      </c>
      <c r="I621" t="str">
        <f t="shared" si="37"/>
        <v>[{1000,1,1,2801,101}]</v>
      </c>
      <c r="J621" t="s">
        <v>35</v>
      </c>
      <c r="K621">
        <f>IF(A621="","",IF(J621=1,VLOOKUP(A621,[1]怪物!$R$80:$V$99,4,0),VLOOKUP(A621,[1]怪物!$R$80:$V$99,2,0))*10000)</f>
        <v>10000</v>
      </c>
      <c r="L621">
        <f>IF(A621="","",IF(K621=1,VLOOKUP(A621,[1]怪物!$R$80:$V$99,5,0),VLOOKUP(A621,[1]怪物!$R$80:$V$99,3,0))*10000)</f>
        <v>10000</v>
      </c>
      <c r="M621">
        <f t="shared" si="38"/>
        <v>10000</v>
      </c>
      <c r="N621">
        <f t="shared" si="39"/>
        <v>10000</v>
      </c>
    </row>
    <row r="622" spans="1:14">
      <c r="A622">
        <f t="shared" si="36"/>
        <v>6</v>
      </c>
      <c r="B622">
        <v>6</v>
      </c>
      <c r="C622" t="s">
        <v>52</v>
      </c>
      <c r="D622" t="s">
        <v>33</v>
      </c>
      <c r="E622">
        <v>1</v>
      </c>
      <c r="F622">
        <v>1</v>
      </c>
      <c r="G622">
        <v>2801</v>
      </c>
      <c r="H622" t="s">
        <v>34</v>
      </c>
      <c r="I622" t="str">
        <f t="shared" si="37"/>
        <v>[{1000,1,1,2801,101}]</v>
      </c>
      <c r="J622" t="s">
        <v>35</v>
      </c>
      <c r="K622">
        <f>IF(A622="","",IF(J622=1,VLOOKUP(A622,[1]怪物!$R$80:$V$99,4,0),VLOOKUP(A622,[1]怪物!$R$80:$V$99,2,0))*10000)</f>
        <v>15000</v>
      </c>
      <c r="L622">
        <f>IF(A622="","",IF(K622=1,VLOOKUP(A622,[1]怪物!$R$80:$V$99,5,0),VLOOKUP(A622,[1]怪物!$R$80:$V$99,3,0))*10000)</f>
        <v>15000</v>
      </c>
      <c r="M622">
        <f t="shared" si="38"/>
        <v>15000</v>
      </c>
      <c r="N622">
        <f t="shared" si="39"/>
        <v>15000</v>
      </c>
    </row>
    <row r="623" spans="1:14">
      <c r="A623">
        <f t="shared" si="36"/>
        <v>7</v>
      </c>
      <c r="B623">
        <v>7</v>
      </c>
      <c r="C623" t="s">
        <v>52</v>
      </c>
      <c r="D623" t="s">
        <v>33</v>
      </c>
      <c r="E623">
        <v>1</v>
      </c>
      <c r="F623">
        <v>1</v>
      </c>
      <c r="G623">
        <v>2801</v>
      </c>
      <c r="H623" t="s">
        <v>34</v>
      </c>
      <c r="I623" t="str">
        <f t="shared" si="37"/>
        <v>[{1000,1,1,2801,101}]</v>
      </c>
      <c r="J623" t="s">
        <v>35</v>
      </c>
      <c r="K623">
        <f>IF(A623="","",IF(J623=1,VLOOKUP(A623,[1]怪物!$R$80:$V$99,4,0),VLOOKUP(A623,[1]怪物!$R$80:$V$99,2,0))*10000)</f>
        <v>15000</v>
      </c>
      <c r="L623">
        <f>IF(A623="","",IF(K623=1,VLOOKUP(A623,[1]怪物!$R$80:$V$99,5,0),VLOOKUP(A623,[1]怪物!$R$80:$V$99,3,0))*10000)</f>
        <v>15000</v>
      </c>
      <c r="M623">
        <f t="shared" si="38"/>
        <v>15000</v>
      </c>
      <c r="N623">
        <f t="shared" si="39"/>
        <v>15000</v>
      </c>
    </row>
    <row r="624" spans="1:14">
      <c r="A624">
        <f t="shared" si="36"/>
        <v>7</v>
      </c>
      <c r="B624">
        <v>7</v>
      </c>
      <c r="C624" t="s">
        <v>52</v>
      </c>
      <c r="D624" t="s">
        <v>33</v>
      </c>
      <c r="E624">
        <v>1</v>
      </c>
      <c r="F624">
        <v>1</v>
      </c>
      <c r="G624">
        <v>2802</v>
      </c>
      <c r="H624" t="s">
        <v>34</v>
      </c>
      <c r="I624" t="str">
        <f t="shared" si="37"/>
        <v>[{1000,1,1,2802,101}]</v>
      </c>
      <c r="J624" t="s">
        <v>35</v>
      </c>
      <c r="K624">
        <f>IF(A624="","",IF(J624=1,VLOOKUP(A624,[1]怪物!$R$80:$V$99,4,0),VLOOKUP(A624,[1]怪物!$R$80:$V$99,2,0))*10000)</f>
        <v>15000</v>
      </c>
      <c r="L624">
        <f>IF(A624="","",IF(K624=1,VLOOKUP(A624,[1]怪物!$R$80:$V$99,5,0),VLOOKUP(A624,[1]怪物!$R$80:$V$99,3,0))*10000)</f>
        <v>15000</v>
      </c>
      <c r="M624">
        <f t="shared" si="38"/>
        <v>15000</v>
      </c>
      <c r="N624">
        <f t="shared" si="39"/>
        <v>15000</v>
      </c>
    </row>
    <row r="625" spans="1:14">
      <c r="A625">
        <f t="shared" si="36"/>
        <v>8</v>
      </c>
      <c r="B625">
        <v>8</v>
      </c>
      <c r="C625" t="s">
        <v>52</v>
      </c>
      <c r="D625" t="s">
        <v>33</v>
      </c>
      <c r="E625">
        <v>1</v>
      </c>
      <c r="F625">
        <v>1</v>
      </c>
      <c r="G625">
        <v>2801</v>
      </c>
      <c r="H625" t="s">
        <v>34</v>
      </c>
      <c r="I625" t="str">
        <f t="shared" si="37"/>
        <v>[{1000,1,1,2801,101}]</v>
      </c>
      <c r="J625" t="s">
        <v>35</v>
      </c>
      <c r="K625">
        <f>IF(A625="","",IF(J625=1,VLOOKUP(A625,[1]怪物!$R$80:$V$99,4,0),VLOOKUP(A625,[1]怪物!$R$80:$V$99,2,0))*10000)</f>
        <v>15000</v>
      </c>
      <c r="L625">
        <f>IF(A625="","",IF(K625=1,VLOOKUP(A625,[1]怪物!$R$80:$V$99,5,0),VLOOKUP(A625,[1]怪物!$R$80:$V$99,3,0))*10000)</f>
        <v>15000</v>
      </c>
      <c r="M625">
        <f t="shared" si="38"/>
        <v>15000</v>
      </c>
      <c r="N625">
        <f t="shared" si="39"/>
        <v>15000</v>
      </c>
    </row>
    <row r="626" spans="1:14">
      <c r="A626">
        <f t="shared" si="36"/>
        <v>8</v>
      </c>
      <c r="B626">
        <v>8</v>
      </c>
      <c r="C626" t="s">
        <v>52</v>
      </c>
      <c r="D626" t="s">
        <v>33</v>
      </c>
      <c r="E626">
        <v>1</v>
      </c>
      <c r="F626">
        <v>1</v>
      </c>
      <c r="G626">
        <v>2802</v>
      </c>
      <c r="H626" t="s">
        <v>34</v>
      </c>
      <c r="I626" t="str">
        <f t="shared" si="37"/>
        <v>[{1000,1,1,2802,101}]</v>
      </c>
      <c r="J626" t="s">
        <v>35</v>
      </c>
      <c r="K626">
        <f>IF(A626="","",IF(J626=1,VLOOKUP(A626,[1]怪物!$R$80:$V$99,4,0),VLOOKUP(A626,[1]怪物!$R$80:$V$99,2,0))*10000)</f>
        <v>15000</v>
      </c>
      <c r="L626">
        <f>IF(A626="","",IF(K626=1,VLOOKUP(A626,[1]怪物!$R$80:$V$99,5,0),VLOOKUP(A626,[1]怪物!$R$80:$V$99,3,0))*10000)</f>
        <v>15000</v>
      </c>
      <c r="M626">
        <f t="shared" si="38"/>
        <v>15000</v>
      </c>
      <c r="N626">
        <f t="shared" si="39"/>
        <v>15000</v>
      </c>
    </row>
    <row r="627" spans="1:14">
      <c r="A627">
        <f t="shared" si="36"/>
        <v>9</v>
      </c>
      <c r="B627">
        <v>9</v>
      </c>
      <c r="C627" t="s">
        <v>52</v>
      </c>
      <c r="D627" t="s">
        <v>33</v>
      </c>
      <c r="E627">
        <v>1</v>
      </c>
      <c r="F627">
        <v>1</v>
      </c>
      <c r="G627">
        <v>2801</v>
      </c>
      <c r="H627" t="s">
        <v>34</v>
      </c>
      <c r="I627" t="str">
        <f t="shared" si="37"/>
        <v>[{1000,1,1,2801,101}]</v>
      </c>
      <c r="J627" t="s">
        <v>35</v>
      </c>
      <c r="K627" t="e">
        <f>IF(A627="","",IF(J627=1,VLOOKUP(A627,[1]怪物!$R$80:$V$99,4,0),VLOOKUP(A627,[1]怪物!$R$80:$V$99,2,0))*10000)</f>
        <v>#N/A</v>
      </c>
      <c r="L627" t="e">
        <f>IF(A627="","",IF(K627=1,VLOOKUP(A627,[1]怪物!$R$80:$V$99,5,0),VLOOKUP(A627,[1]怪物!$R$80:$V$99,3,0))*10000)</f>
        <v>#N/A</v>
      </c>
      <c r="M627" t="e">
        <f t="shared" si="38"/>
        <v>#N/A</v>
      </c>
      <c r="N627" t="e">
        <f t="shared" si="39"/>
        <v>#N/A</v>
      </c>
    </row>
    <row r="628" spans="1:14">
      <c r="A628">
        <f t="shared" si="36"/>
        <v>9</v>
      </c>
      <c r="B628">
        <v>9</v>
      </c>
      <c r="C628" t="s">
        <v>52</v>
      </c>
      <c r="D628" t="s">
        <v>33</v>
      </c>
      <c r="E628">
        <v>1</v>
      </c>
      <c r="F628">
        <v>1</v>
      </c>
      <c r="G628">
        <v>2802</v>
      </c>
      <c r="H628" t="s">
        <v>34</v>
      </c>
      <c r="I628" t="str">
        <f t="shared" si="37"/>
        <v>[{1000,1,1,2802,101}]</v>
      </c>
      <c r="J628" t="s">
        <v>35</v>
      </c>
      <c r="K628" t="e">
        <f>IF(A628="","",IF(J628=1,VLOOKUP(A628,[1]怪物!$R$80:$V$99,4,0),VLOOKUP(A628,[1]怪物!$R$80:$V$99,2,0))*10000)</f>
        <v>#N/A</v>
      </c>
      <c r="L628" t="e">
        <f>IF(A628="","",IF(K628=1,VLOOKUP(A628,[1]怪物!$R$80:$V$99,5,0),VLOOKUP(A628,[1]怪物!$R$80:$V$99,3,0))*10000)</f>
        <v>#N/A</v>
      </c>
      <c r="M628" t="e">
        <f t="shared" si="38"/>
        <v>#N/A</v>
      </c>
      <c r="N628" t="e">
        <f t="shared" si="39"/>
        <v>#N/A</v>
      </c>
    </row>
    <row r="629" spans="1:14">
      <c r="A629">
        <f t="shared" si="36"/>
        <v>10</v>
      </c>
      <c r="B629">
        <v>10</v>
      </c>
      <c r="C629" t="s">
        <v>52</v>
      </c>
      <c r="D629" t="s">
        <v>33</v>
      </c>
      <c r="E629">
        <v>1</v>
      </c>
      <c r="F629">
        <v>1</v>
      </c>
      <c r="G629">
        <v>2801</v>
      </c>
      <c r="H629" t="s">
        <v>34</v>
      </c>
      <c r="I629" t="str">
        <f t="shared" si="37"/>
        <v>[{1000,1,1,2801,101}]</v>
      </c>
      <c r="J629" t="s">
        <v>35</v>
      </c>
      <c r="K629" t="e">
        <f>IF(A629="","",IF(J629=1,VLOOKUP(A629,[1]怪物!$R$80:$V$99,4,0),VLOOKUP(A629,[1]怪物!$R$80:$V$99,2,0))*10000)</f>
        <v>#N/A</v>
      </c>
      <c r="L629" t="e">
        <f>IF(A629="","",IF(K629=1,VLOOKUP(A629,[1]怪物!$R$80:$V$99,5,0),VLOOKUP(A629,[1]怪物!$R$80:$V$99,3,0))*10000)</f>
        <v>#N/A</v>
      </c>
      <c r="M629" t="e">
        <f t="shared" si="38"/>
        <v>#N/A</v>
      </c>
      <c r="N629" t="e">
        <f t="shared" si="39"/>
        <v>#N/A</v>
      </c>
    </row>
    <row r="630" spans="1:14">
      <c r="A630">
        <f t="shared" si="36"/>
        <v>10</v>
      </c>
      <c r="B630">
        <v>10</v>
      </c>
      <c r="C630" t="s">
        <v>52</v>
      </c>
      <c r="D630" t="s">
        <v>33</v>
      </c>
      <c r="E630">
        <v>1</v>
      </c>
      <c r="F630">
        <v>1</v>
      </c>
      <c r="G630">
        <v>2802</v>
      </c>
      <c r="H630" t="s">
        <v>34</v>
      </c>
      <c r="I630" t="str">
        <f t="shared" si="37"/>
        <v>[{1000,1,1,2802,101}]</v>
      </c>
      <c r="J630" t="s">
        <v>35</v>
      </c>
      <c r="K630" t="e">
        <f>IF(A630="","",IF(J630=1,VLOOKUP(A630,[1]怪物!$R$80:$V$99,4,0),VLOOKUP(A630,[1]怪物!$R$80:$V$99,2,0))*10000)</f>
        <v>#N/A</v>
      </c>
      <c r="L630" t="e">
        <f>IF(A630="","",IF(K630=1,VLOOKUP(A630,[1]怪物!$R$80:$V$99,5,0),VLOOKUP(A630,[1]怪物!$R$80:$V$99,3,0))*10000)</f>
        <v>#N/A</v>
      </c>
      <c r="M630" t="e">
        <f t="shared" si="38"/>
        <v>#N/A</v>
      </c>
      <c r="N630" t="e">
        <f t="shared" si="39"/>
        <v>#N/A</v>
      </c>
    </row>
    <row r="631" spans="1:14">
      <c r="A631" t="str">
        <f t="shared" si="36"/>
        <v/>
      </c>
      <c r="B631">
        <v>10</v>
      </c>
      <c r="C631" t="s">
        <v>52</v>
      </c>
      <c r="D631" t="s">
        <v>28</v>
      </c>
      <c r="I631" t="str">
        <f t="shared" si="37"/>
        <v>[]</v>
      </c>
      <c r="J631">
        <v>2</v>
      </c>
      <c r="K631" t="str">
        <f>IF(A631="","",IF(J631=1,VLOOKUP(A631,[1]怪物!$R$80:$V$99,4,0),VLOOKUP(A631,[1]怪物!$R$80:$V$99,2,0))*10000)</f>
        <v/>
      </c>
      <c r="L631" t="str">
        <f>IF(A631="","",IF(K631=1,VLOOKUP(A631,[1]怪物!$R$80:$V$99,5,0),VLOOKUP(A631,[1]怪物!$R$80:$V$99,3,0))*10000)</f>
        <v/>
      </c>
      <c r="M631" t="str">
        <f t="shared" si="38"/>
        <v/>
      </c>
      <c r="N631" t="str">
        <f t="shared" si="39"/>
        <v/>
      </c>
    </row>
    <row r="632" spans="1:14">
      <c r="A632">
        <f t="shared" si="36"/>
        <v>10</v>
      </c>
      <c r="B632">
        <v>10</v>
      </c>
      <c r="C632" t="s">
        <v>52</v>
      </c>
      <c r="D632" t="s">
        <v>33</v>
      </c>
      <c r="E632">
        <v>1</v>
      </c>
      <c r="F632">
        <v>0</v>
      </c>
      <c r="G632">
        <v>2821</v>
      </c>
      <c r="H632" t="s">
        <v>36</v>
      </c>
      <c r="I632" t="str">
        <f t="shared" si="37"/>
        <v>[{1000,1,0,2821,41}]</v>
      </c>
      <c r="J632" t="s">
        <v>35</v>
      </c>
      <c r="K632" t="e">
        <f>IF(A632="","",IF(J632=1,VLOOKUP(A632,[1]怪物!$R$80:$V$99,4,0),VLOOKUP(A632,[1]怪物!$R$80:$V$99,2,0))*10000)</f>
        <v>#N/A</v>
      </c>
      <c r="L632" t="e">
        <f>IF(A632="","",IF(K632=1,VLOOKUP(A632,[1]怪物!$R$80:$V$99,5,0),VLOOKUP(A632,[1]怪物!$R$80:$V$99,3,0))*10000)</f>
        <v>#N/A</v>
      </c>
      <c r="M632">
        <f t="shared" si="38"/>
        <v>10000</v>
      </c>
      <c r="N632">
        <f t="shared" si="39"/>
        <v>10000</v>
      </c>
    </row>
    <row r="633" spans="1:14">
      <c r="A633">
        <f t="shared" si="36"/>
        <v>11</v>
      </c>
      <c r="B633">
        <v>11</v>
      </c>
      <c r="C633" t="s">
        <v>52</v>
      </c>
      <c r="D633" t="s">
        <v>33</v>
      </c>
      <c r="E633">
        <v>1</v>
      </c>
      <c r="F633">
        <v>1</v>
      </c>
      <c r="G633">
        <v>2801</v>
      </c>
      <c r="H633" t="s">
        <v>34</v>
      </c>
      <c r="I633" t="str">
        <f t="shared" si="37"/>
        <v>[{1000,1,1,2801,101}]</v>
      </c>
      <c r="J633" t="s">
        <v>35</v>
      </c>
      <c r="K633" t="e">
        <f>IF(A633="","",IF(J633=1,VLOOKUP(A633,[1]怪物!$R$80:$V$99,4,0),VLOOKUP(A633,[1]怪物!$R$80:$V$99,2,0))*10000)</f>
        <v>#N/A</v>
      </c>
      <c r="L633" t="e">
        <f>IF(A633="","",IF(K633=1,VLOOKUP(A633,[1]怪物!$R$80:$V$99,5,0),VLOOKUP(A633,[1]怪物!$R$80:$V$99,3,0))*10000)</f>
        <v>#N/A</v>
      </c>
      <c r="M633" t="e">
        <f t="shared" si="38"/>
        <v>#N/A</v>
      </c>
      <c r="N633" t="e">
        <f t="shared" si="39"/>
        <v>#N/A</v>
      </c>
    </row>
    <row r="634" spans="1:14">
      <c r="A634">
        <f t="shared" si="36"/>
        <v>11</v>
      </c>
      <c r="B634">
        <v>11</v>
      </c>
      <c r="C634" t="s">
        <v>52</v>
      </c>
      <c r="D634" t="s">
        <v>33</v>
      </c>
      <c r="E634">
        <v>1</v>
      </c>
      <c r="F634">
        <v>1</v>
      </c>
      <c r="G634">
        <v>2802</v>
      </c>
      <c r="H634" t="s">
        <v>34</v>
      </c>
      <c r="I634" t="str">
        <f t="shared" si="37"/>
        <v>[{1000,1,1,2802,101}]</v>
      </c>
      <c r="J634" t="s">
        <v>35</v>
      </c>
      <c r="K634" t="e">
        <f>IF(A634="","",IF(J634=1,VLOOKUP(A634,[1]怪物!$R$80:$V$99,4,0),VLOOKUP(A634,[1]怪物!$R$80:$V$99,2,0))*10000)</f>
        <v>#N/A</v>
      </c>
      <c r="L634" t="e">
        <f>IF(A634="","",IF(K634=1,VLOOKUP(A634,[1]怪物!$R$80:$V$99,5,0),VLOOKUP(A634,[1]怪物!$R$80:$V$99,3,0))*10000)</f>
        <v>#N/A</v>
      </c>
      <c r="M634" t="e">
        <f t="shared" si="38"/>
        <v>#N/A</v>
      </c>
      <c r="N634" t="e">
        <f t="shared" si="39"/>
        <v>#N/A</v>
      </c>
    </row>
    <row r="635" spans="1:14">
      <c r="A635">
        <f t="shared" si="36"/>
        <v>12</v>
      </c>
      <c r="B635">
        <v>12</v>
      </c>
      <c r="C635" t="s">
        <v>52</v>
      </c>
      <c r="D635" t="s">
        <v>33</v>
      </c>
      <c r="E635">
        <v>1</v>
      </c>
      <c r="F635">
        <v>1</v>
      </c>
      <c r="G635">
        <v>2801</v>
      </c>
      <c r="H635" t="s">
        <v>34</v>
      </c>
      <c r="I635" t="str">
        <f t="shared" si="37"/>
        <v>[{1000,1,1,2801,101}]</v>
      </c>
      <c r="J635" t="s">
        <v>35</v>
      </c>
      <c r="K635" t="e">
        <f>IF(A635="","",IF(J635=1,VLOOKUP(A635,[1]怪物!$R$80:$V$99,4,0),VLOOKUP(A635,[1]怪物!$R$80:$V$99,2,0))*10000)</f>
        <v>#N/A</v>
      </c>
      <c r="L635" t="e">
        <f>IF(A635="","",IF(K635=1,VLOOKUP(A635,[1]怪物!$R$80:$V$99,5,0),VLOOKUP(A635,[1]怪物!$R$80:$V$99,3,0))*10000)</f>
        <v>#N/A</v>
      </c>
      <c r="M635" t="e">
        <f t="shared" si="38"/>
        <v>#N/A</v>
      </c>
      <c r="N635" t="e">
        <f t="shared" si="39"/>
        <v>#N/A</v>
      </c>
    </row>
    <row r="636" spans="1:14">
      <c r="A636">
        <f t="shared" si="36"/>
        <v>12</v>
      </c>
      <c r="B636">
        <v>12</v>
      </c>
      <c r="C636" t="s">
        <v>52</v>
      </c>
      <c r="D636" t="s">
        <v>33</v>
      </c>
      <c r="E636">
        <v>1</v>
      </c>
      <c r="F636">
        <v>1</v>
      </c>
      <c r="G636">
        <v>2802</v>
      </c>
      <c r="H636" t="s">
        <v>34</v>
      </c>
      <c r="I636" t="str">
        <f t="shared" si="37"/>
        <v>[{1000,1,1,2802,101}]</v>
      </c>
      <c r="J636" t="s">
        <v>35</v>
      </c>
      <c r="K636" t="e">
        <f>IF(A636="","",IF(J636=1,VLOOKUP(A636,[1]怪物!$R$80:$V$99,4,0),VLOOKUP(A636,[1]怪物!$R$80:$V$99,2,0))*10000)</f>
        <v>#N/A</v>
      </c>
      <c r="L636" t="e">
        <f>IF(A636="","",IF(K636=1,VLOOKUP(A636,[1]怪物!$R$80:$V$99,5,0),VLOOKUP(A636,[1]怪物!$R$80:$V$99,3,0))*10000)</f>
        <v>#N/A</v>
      </c>
      <c r="M636" t="e">
        <f t="shared" si="38"/>
        <v>#N/A</v>
      </c>
      <c r="N636" t="e">
        <f t="shared" si="39"/>
        <v>#N/A</v>
      </c>
    </row>
    <row r="637" spans="1:14">
      <c r="A637">
        <f t="shared" si="36"/>
        <v>13</v>
      </c>
      <c r="B637">
        <v>13</v>
      </c>
      <c r="C637" t="s">
        <v>52</v>
      </c>
      <c r="D637" t="s">
        <v>33</v>
      </c>
      <c r="E637">
        <v>1</v>
      </c>
      <c r="F637">
        <v>1</v>
      </c>
      <c r="G637">
        <v>2801</v>
      </c>
      <c r="H637" t="s">
        <v>34</v>
      </c>
      <c r="I637" t="str">
        <f t="shared" si="37"/>
        <v>[{1000,1,1,2801,101}]</v>
      </c>
      <c r="J637" t="s">
        <v>35</v>
      </c>
      <c r="K637" t="e">
        <f>IF(A637="","",IF(J637=1,VLOOKUP(A637,[1]怪物!$R$80:$V$99,4,0),VLOOKUP(A637,[1]怪物!$R$80:$V$99,2,0))*10000)</f>
        <v>#N/A</v>
      </c>
      <c r="L637" t="e">
        <f>IF(A637="","",IF(K637=1,VLOOKUP(A637,[1]怪物!$R$80:$V$99,5,0),VLOOKUP(A637,[1]怪物!$R$80:$V$99,3,0))*10000)</f>
        <v>#N/A</v>
      </c>
      <c r="M637" t="e">
        <f t="shared" si="38"/>
        <v>#N/A</v>
      </c>
      <c r="N637" t="e">
        <f t="shared" si="39"/>
        <v>#N/A</v>
      </c>
    </row>
    <row r="638" spans="1:14">
      <c r="A638">
        <f t="shared" si="36"/>
        <v>13</v>
      </c>
      <c r="B638">
        <v>13</v>
      </c>
      <c r="C638" t="s">
        <v>52</v>
      </c>
      <c r="D638" t="s">
        <v>33</v>
      </c>
      <c r="E638">
        <v>1</v>
      </c>
      <c r="F638">
        <v>1</v>
      </c>
      <c r="G638">
        <v>2802</v>
      </c>
      <c r="H638" t="s">
        <v>34</v>
      </c>
      <c r="I638" t="str">
        <f t="shared" si="37"/>
        <v>[{1000,1,1,2802,101}]</v>
      </c>
      <c r="J638" t="s">
        <v>35</v>
      </c>
      <c r="K638" t="e">
        <f>IF(A638="","",IF(J638=1,VLOOKUP(A638,[1]怪物!$R$80:$V$99,4,0),VLOOKUP(A638,[1]怪物!$R$80:$V$99,2,0))*10000)</f>
        <v>#N/A</v>
      </c>
      <c r="L638" t="e">
        <f>IF(A638="","",IF(K638=1,VLOOKUP(A638,[1]怪物!$R$80:$V$99,5,0),VLOOKUP(A638,[1]怪物!$R$80:$V$99,3,0))*10000)</f>
        <v>#N/A</v>
      </c>
      <c r="M638" t="e">
        <f t="shared" si="38"/>
        <v>#N/A</v>
      </c>
      <c r="N638" t="e">
        <f t="shared" si="39"/>
        <v>#N/A</v>
      </c>
    </row>
    <row r="639" spans="1:14">
      <c r="A639">
        <f t="shared" si="36"/>
        <v>14</v>
      </c>
      <c r="B639">
        <v>14</v>
      </c>
      <c r="C639" t="s">
        <v>52</v>
      </c>
      <c r="D639" t="s">
        <v>33</v>
      </c>
      <c r="E639">
        <v>1</v>
      </c>
      <c r="F639">
        <v>1</v>
      </c>
      <c r="G639">
        <v>2801</v>
      </c>
      <c r="H639" t="s">
        <v>34</v>
      </c>
      <c r="I639" t="str">
        <f t="shared" si="37"/>
        <v>[{1000,1,1,2801,101}]</v>
      </c>
      <c r="J639" t="s">
        <v>35</v>
      </c>
      <c r="K639" t="e">
        <f>IF(A639="","",IF(J639=1,VLOOKUP(A639,[1]怪物!$R$80:$V$99,4,0),VLOOKUP(A639,[1]怪物!$R$80:$V$99,2,0))*10000)</f>
        <v>#N/A</v>
      </c>
      <c r="L639" t="e">
        <f>IF(A639="","",IF(K639=1,VLOOKUP(A639,[1]怪物!$R$80:$V$99,5,0),VLOOKUP(A639,[1]怪物!$R$80:$V$99,3,0))*10000)</f>
        <v>#N/A</v>
      </c>
      <c r="M639" t="e">
        <f t="shared" si="38"/>
        <v>#N/A</v>
      </c>
      <c r="N639" t="e">
        <f t="shared" si="39"/>
        <v>#N/A</v>
      </c>
    </row>
    <row r="640" spans="1:14">
      <c r="A640">
        <f t="shared" si="36"/>
        <v>14</v>
      </c>
      <c r="B640">
        <v>14</v>
      </c>
      <c r="C640" t="s">
        <v>52</v>
      </c>
      <c r="D640" t="s">
        <v>33</v>
      </c>
      <c r="E640">
        <v>1</v>
      </c>
      <c r="F640">
        <v>1</v>
      </c>
      <c r="G640">
        <v>2802</v>
      </c>
      <c r="H640" t="s">
        <v>34</v>
      </c>
      <c r="I640" t="str">
        <f t="shared" si="37"/>
        <v>[{1000,1,1,2802,101}]</v>
      </c>
      <c r="J640" t="s">
        <v>35</v>
      </c>
      <c r="K640" t="e">
        <f>IF(A640="","",IF(J640=1,VLOOKUP(A640,[1]怪物!$R$80:$V$99,4,0),VLOOKUP(A640,[1]怪物!$R$80:$V$99,2,0))*10000)</f>
        <v>#N/A</v>
      </c>
      <c r="L640" t="e">
        <f>IF(A640="","",IF(K640=1,VLOOKUP(A640,[1]怪物!$R$80:$V$99,5,0),VLOOKUP(A640,[1]怪物!$R$80:$V$99,3,0))*10000)</f>
        <v>#N/A</v>
      </c>
      <c r="M640" t="e">
        <f t="shared" si="38"/>
        <v>#N/A</v>
      </c>
      <c r="N640" t="e">
        <f t="shared" si="39"/>
        <v>#N/A</v>
      </c>
    </row>
    <row r="641" spans="1:14">
      <c r="A641">
        <f t="shared" si="36"/>
        <v>14</v>
      </c>
      <c r="B641">
        <v>14</v>
      </c>
      <c r="C641" t="s">
        <v>52</v>
      </c>
      <c r="D641" t="s">
        <v>33</v>
      </c>
      <c r="E641">
        <v>1</v>
      </c>
      <c r="F641">
        <v>1</v>
      </c>
      <c r="G641">
        <v>2803</v>
      </c>
      <c r="H641" t="s">
        <v>37</v>
      </c>
      <c r="I641" t="str">
        <f t="shared" si="37"/>
        <v>[{1000,1,1,2803,401}]</v>
      </c>
      <c r="J641">
        <v>1</v>
      </c>
      <c r="K641" t="e">
        <f>IF(A641="","",IF(J641=1,VLOOKUP(A641,[1]怪物!$R$80:$V$99,4,0),VLOOKUP(A641,[1]怪物!$R$80:$V$99,2,0))*10000)</f>
        <v>#N/A</v>
      </c>
      <c r="L641" t="e">
        <f>IF(A641="","",IF(K641=1,VLOOKUP(A641,[1]怪物!$R$80:$V$99,5,0),VLOOKUP(A641,[1]怪物!$R$80:$V$99,3,0))*10000)</f>
        <v>#N/A</v>
      </c>
      <c r="M641" t="e">
        <f t="shared" si="38"/>
        <v>#N/A</v>
      </c>
      <c r="N641" t="e">
        <f t="shared" si="39"/>
        <v>#N/A</v>
      </c>
    </row>
    <row r="642" spans="1:14">
      <c r="A642">
        <f t="shared" ref="A642:A705" si="40">IF(E642="","",B642)</f>
        <v>15</v>
      </c>
      <c r="B642">
        <v>15</v>
      </c>
      <c r="C642" t="s">
        <v>52</v>
      </c>
      <c r="D642" t="s">
        <v>33</v>
      </c>
      <c r="E642">
        <v>1</v>
      </c>
      <c r="F642">
        <v>1</v>
      </c>
      <c r="G642">
        <v>2801</v>
      </c>
      <c r="H642" t="s">
        <v>34</v>
      </c>
      <c r="I642" t="str">
        <f t="shared" ref="I642:I705" si="41">_xlfn.TEXTJOIN(",",1,D642:H642)</f>
        <v>[{1000,1,1,2801,101}]</v>
      </c>
      <c r="J642" t="s">
        <v>35</v>
      </c>
      <c r="K642" t="e">
        <f>IF(A642="","",IF(J642=1,VLOOKUP(A642,[1]怪物!$R$80:$V$99,4,0),VLOOKUP(A642,[1]怪物!$R$80:$V$99,2,0))*10000)</f>
        <v>#N/A</v>
      </c>
      <c r="L642" t="e">
        <f>IF(A642="","",IF(K642=1,VLOOKUP(A642,[1]怪物!$R$80:$V$99,5,0),VLOOKUP(A642,[1]怪物!$R$80:$V$99,3,0))*10000)</f>
        <v>#N/A</v>
      </c>
      <c r="M642" t="e">
        <f t="shared" ref="M642:M705" si="42">IF(F642="","",IF(F642=0,10000,K642))</f>
        <v>#N/A</v>
      </c>
      <c r="N642" t="e">
        <f t="shared" ref="N642:N705" si="43">IF(F642="","",IF(F642=0,10000,L642))</f>
        <v>#N/A</v>
      </c>
    </row>
    <row r="643" spans="1:14">
      <c r="A643">
        <f t="shared" si="40"/>
        <v>15</v>
      </c>
      <c r="B643">
        <v>15</v>
      </c>
      <c r="C643" t="s">
        <v>52</v>
      </c>
      <c r="D643" t="s">
        <v>33</v>
      </c>
      <c r="E643">
        <v>1</v>
      </c>
      <c r="F643">
        <v>1</v>
      </c>
      <c r="G643">
        <v>2802</v>
      </c>
      <c r="H643" t="s">
        <v>34</v>
      </c>
      <c r="I643" t="str">
        <f t="shared" si="41"/>
        <v>[{1000,1,1,2802,101}]</v>
      </c>
      <c r="J643" t="s">
        <v>35</v>
      </c>
      <c r="K643" t="e">
        <f>IF(A643="","",IF(J643=1,VLOOKUP(A643,[1]怪物!$R$80:$V$99,4,0),VLOOKUP(A643,[1]怪物!$R$80:$V$99,2,0))*10000)</f>
        <v>#N/A</v>
      </c>
      <c r="L643" t="e">
        <f>IF(A643="","",IF(K643=1,VLOOKUP(A643,[1]怪物!$R$80:$V$99,5,0),VLOOKUP(A643,[1]怪物!$R$80:$V$99,3,0))*10000)</f>
        <v>#N/A</v>
      </c>
      <c r="M643" t="e">
        <f t="shared" si="42"/>
        <v>#N/A</v>
      </c>
      <c r="N643" t="e">
        <f t="shared" si="43"/>
        <v>#N/A</v>
      </c>
    </row>
    <row r="644" spans="1:14">
      <c r="A644">
        <f t="shared" si="40"/>
        <v>15</v>
      </c>
      <c r="B644">
        <v>15</v>
      </c>
      <c r="C644" t="s">
        <v>52</v>
      </c>
      <c r="D644" t="s">
        <v>33</v>
      </c>
      <c r="E644">
        <v>1</v>
      </c>
      <c r="F644">
        <v>1</v>
      </c>
      <c r="G644">
        <v>2803</v>
      </c>
      <c r="H644" t="s">
        <v>37</v>
      </c>
      <c r="I644" t="str">
        <f t="shared" si="41"/>
        <v>[{1000,1,1,2803,401}]</v>
      </c>
      <c r="J644">
        <v>1</v>
      </c>
      <c r="K644" t="e">
        <f>IF(A644="","",IF(J644=1,VLOOKUP(A644,[1]怪物!$R$80:$V$99,4,0),VLOOKUP(A644,[1]怪物!$R$80:$V$99,2,0))*10000)</f>
        <v>#N/A</v>
      </c>
      <c r="L644" t="e">
        <f>IF(A644="","",IF(K644=1,VLOOKUP(A644,[1]怪物!$R$80:$V$99,5,0),VLOOKUP(A644,[1]怪物!$R$80:$V$99,3,0))*10000)</f>
        <v>#N/A</v>
      </c>
      <c r="M644" t="e">
        <f t="shared" si="42"/>
        <v>#N/A</v>
      </c>
      <c r="N644" t="e">
        <f t="shared" si="43"/>
        <v>#N/A</v>
      </c>
    </row>
    <row r="645" spans="1:14">
      <c r="A645">
        <f t="shared" si="40"/>
        <v>16</v>
      </c>
      <c r="B645">
        <v>16</v>
      </c>
      <c r="C645" t="s">
        <v>52</v>
      </c>
      <c r="D645" t="s">
        <v>33</v>
      </c>
      <c r="E645">
        <v>1</v>
      </c>
      <c r="F645">
        <v>1</v>
      </c>
      <c r="G645">
        <v>2801</v>
      </c>
      <c r="H645" t="s">
        <v>34</v>
      </c>
      <c r="I645" t="str">
        <f t="shared" si="41"/>
        <v>[{1000,1,1,2801,101}]</v>
      </c>
      <c r="J645" t="s">
        <v>35</v>
      </c>
      <c r="K645" t="e">
        <f>IF(A645="","",IF(J645=1,VLOOKUP(A645,[1]怪物!$R$80:$V$99,4,0),VLOOKUP(A645,[1]怪物!$R$80:$V$99,2,0))*10000)</f>
        <v>#N/A</v>
      </c>
      <c r="L645" t="e">
        <f>IF(A645="","",IF(K645=1,VLOOKUP(A645,[1]怪物!$R$80:$V$99,5,0),VLOOKUP(A645,[1]怪物!$R$80:$V$99,3,0))*10000)</f>
        <v>#N/A</v>
      </c>
      <c r="M645" t="e">
        <f t="shared" si="42"/>
        <v>#N/A</v>
      </c>
      <c r="N645" t="e">
        <f t="shared" si="43"/>
        <v>#N/A</v>
      </c>
    </row>
    <row r="646" spans="1:14">
      <c r="A646">
        <f t="shared" si="40"/>
        <v>16</v>
      </c>
      <c r="B646">
        <v>16</v>
      </c>
      <c r="C646" t="s">
        <v>52</v>
      </c>
      <c r="D646" t="s">
        <v>33</v>
      </c>
      <c r="E646">
        <v>1</v>
      </c>
      <c r="F646">
        <v>1</v>
      </c>
      <c r="G646">
        <v>2802</v>
      </c>
      <c r="H646" t="s">
        <v>34</v>
      </c>
      <c r="I646" t="str">
        <f t="shared" si="41"/>
        <v>[{1000,1,1,2802,101}]</v>
      </c>
      <c r="J646" t="s">
        <v>35</v>
      </c>
      <c r="K646" t="e">
        <f>IF(A646="","",IF(J646=1,VLOOKUP(A646,[1]怪物!$R$80:$V$99,4,0),VLOOKUP(A646,[1]怪物!$R$80:$V$99,2,0))*10000)</f>
        <v>#N/A</v>
      </c>
      <c r="L646" t="e">
        <f>IF(A646="","",IF(K646=1,VLOOKUP(A646,[1]怪物!$R$80:$V$99,5,0),VLOOKUP(A646,[1]怪物!$R$80:$V$99,3,0))*10000)</f>
        <v>#N/A</v>
      </c>
      <c r="M646" t="e">
        <f t="shared" si="42"/>
        <v>#N/A</v>
      </c>
      <c r="N646" t="e">
        <f t="shared" si="43"/>
        <v>#N/A</v>
      </c>
    </row>
    <row r="647" spans="1:14">
      <c r="A647">
        <f t="shared" si="40"/>
        <v>16</v>
      </c>
      <c r="B647">
        <v>16</v>
      </c>
      <c r="C647" t="s">
        <v>52</v>
      </c>
      <c r="D647" t="s">
        <v>33</v>
      </c>
      <c r="E647">
        <v>1</v>
      </c>
      <c r="F647">
        <v>1</v>
      </c>
      <c r="G647">
        <v>2803</v>
      </c>
      <c r="H647" t="s">
        <v>37</v>
      </c>
      <c r="I647" t="str">
        <f t="shared" si="41"/>
        <v>[{1000,1,1,2803,401}]</v>
      </c>
      <c r="J647">
        <v>1</v>
      </c>
      <c r="K647" t="e">
        <f>IF(A647="","",IF(J647=1,VLOOKUP(A647,[1]怪物!$R$80:$V$99,4,0),VLOOKUP(A647,[1]怪物!$R$80:$V$99,2,0))*10000)</f>
        <v>#N/A</v>
      </c>
      <c r="L647" t="e">
        <f>IF(A647="","",IF(K647=1,VLOOKUP(A647,[1]怪物!$R$80:$V$99,5,0),VLOOKUP(A647,[1]怪物!$R$80:$V$99,3,0))*10000)</f>
        <v>#N/A</v>
      </c>
      <c r="M647" t="e">
        <f t="shared" si="42"/>
        <v>#N/A</v>
      </c>
      <c r="N647" t="e">
        <f t="shared" si="43"/>
        <v>#N/A</v>
      </c>
    </row>
    <row r="648" spans="1:14">
      <c r="A648">
        <f t="shared" si="40"/>
        <v>17</v>
      </c>
      <c r="B648">
        <v>17</v>
      </c>
      <c r="C648" t="s">
        <v>52</v>
      </c>
      <c r="D648" t="s">
        <v>33</v>
      </c>
      <c r="E648">
        <v>1</v>
      </c>
      <c r="F648">
        <v>1</v>
      </c>
      <c r="G648">
        <v>2801</v>
      </c>
      <c r="H648" t="s">
        <v>34</v>
      </c>
      <c r="I648" t="str">
        <f t="shared" si="41"/>
        <v>[{1000,1,1,2801,101}]</v>
      </c>
      <c r="J648" t="s">
        <v>35</v>
      </c>
      <c r="K648" t="e">
        <f>IF(A648="","",IF(J648=1,VLOOKUP(A648,[1]怪物!$R$80:$V$99,4,0),VLOOKUP(A648,[1]怪物!$R$80:$V$99,2,0))*10000)</f>
        <v>#N/A</v>
      </c>
      <c r="L648" t="e">
        <f>IF(A648="","",IF(K648=1,VLOOKUP(A648,[1]怪物!$R$80:$V$99,5,0),VLOOKUP(A648,[1]怪物!$R$80:$V$99,3,0))*10000)</f>
        <v>#N/A</v>
      </c>
      <c r="M648" t="e">
        <f t="shared" si="42"/>
        <v>#N/A</v>
      </c>
      <c r="N648" t="e">
        <f t="shared" si="43"/>
        <v>#N/A</v>
      </c>
    </row>
    <row r="649" spans="1:14">
      <c r="A649">
        <f t="shared" si="40"/>
        <v>17</v>
      </c>
      <c r="B649">
        <v>17</v>
      </c>
      <c r="C649" t="s">
        <v>52</v>
      </c>
      <c r="D649" t="s">
        <v>33</v>
      </c>
      <c r="E649">
        <v>1</v>
      </c>
      <c r="F649">
        <v>1</v>
      </c>
      <c r="G649">
        <v>2802</v>
      </c>
      <c r="H649" t="s">
        <v>34</v>
      </c>
      <c r="I649" t="str">
        <f t="shared" si="41"/>
        <v>[{1000,1,1,2802,101}]</v>
      </c>
      <c r="J649" t="s">
        <v>35</v>
      </c>
      <c r="K649" t="e">
        <f>IF(A649="","",IF(J649=1,VLOOKUP(A649,[1]怪物!$R$80:$V$99,4,0),VLOOKUP(A649,[1]怪物!$R$80:$V$99,2,0))*10000)</f>
        <v>#N/A</v>
      </c>
      <c r="L649" t="e">
        <f>IF(A649="","",IF(K649=1,VLOOKUP(A649,[1]怪物!$R$80:$V$99,5,0),VLOOKUP(A649,[1]怪物!$R$80:$V$99,3,0))*10000)</f>
        <v>#N/A</v>
      </c>
      <c r="M649" t="e">
        <f t="shared" si="42"/>
        <v>#N/A</v>
      </c>
      <c r="N649" t="e">
        <f t="shared" si="43"/>
        <v>#N/A</v>
      </c>
    </row>
    <row r="650" spans="1:14">
      <c r="A650">
        <f t="shared" si="40"/>
        <v>17</v>
      </c>
      <c r="B650">
        <v>17</v>
      </c>
      <c r="C650" t="s">
        <v>52</v>
      </c>
      <c r="D650" t="s">
        <v>33</v>
      </c>
      <c r="E650">
        <v>1</v>
      </c>
      <c r="F650">
        <v>1</v>
      </c>
      <c r="G650">
        <v>2803</v>
      </c>
      <c r="H650" t="s">
        <v>37</v>
      </c>
      <c r="I650" t="str">
        <f t="shared" si="41"/>
        <v>[{1000,1,1,2803,401}]</v>
      </c>
      <c r="J650">
        <v>1</v>
      </c>
      <c r="K650" t="e">
        <f>IF(A650="","",IF(J650=1,VLOOKUP(A650,[1]怪物!$R$80:$V$99,4,0),VLOOKUP(A650,[1]怪物!$R$80:$V$99,2,0))*10000)</f>
        <v>#N/A</v>
      </c>
      <c r="L650" t="e">
        <f>IF(A650="","",IF(K650=1,VLOOKUP(A650,[1]怪物!$R$80:$V$99,5,0),VLOOKUP(A650,[1]怪物!$R$80:$V$99,3,0))*10000)</f>
        <v>#N/A</v>
      </c>
      <c r="M650" t="e">
        <f t="shared" si="42"/>
        <v>#N/A</v>
      </c>
      <c r="N650" t="e">
        <f t="shared" si="43"/>
        <v>#N/A</v>
      </c>
    </row>
    <row r="651" spans="1:14">
      <c r="A651">
        <f t="shared" si="40"/>
        <v>18</v>
      </c>
      <c r="B651">
        <v>18</v>
      </c>
      <c r="C651" t="s">
        <v>52</v>
      </c>
      <c r="D651" t="s">
        <v>33</v>
      </c>
      <c r="E651">
        <v>1</v>
      </c>
      <c r="F651">
        <v>1</v>
      </c>
      <c r="G651">
        <v>2801</v>
      </c>
      <c r="H651" t="s">
        <v>34</v>
      </c>
      <c r="I651" t="str">
        <f t="shared" si="41"/>
        <v>[{1000,1,1,2801,101}]</v>
      </c>
      <c r="J651" t="s">
        <v>35</v>
      </c>
      <c r="K651" t="e">
        <f>IF(A651="","",IF(J651=1,VLOOKUP(A651,[1]怪物!$R$80:$V$99,4,0),VLOOKUP(A651,[1]怪物!$R$80:$V$99,2,0))*10000)</f>
        <v>#N/A</v>
      </c>
      <c r="L651" t="e">
        <f>IF(A651="","",IF(K651=1,VLOOKUP(A651,[1]怪物!$R$80:$V$99,5,0),VLOOKUP(A651,[1]怪物!$R$80:$V$99,3,0))*10000)</f>
        <v>#N/A</v>
      </c>
      <c r="M651" t="e">
        <f t="shared" si="42"/>
        <v>#N/A</v>
      </c>
      <c r="N651" t="e">
        <f t="shared" si="43"/>
        <v>#N/A</v>
      </c>
    </row>
    <row r="652" spans="1:14">
      <c r="A652">
        <f t="shared" si="40"/>
        <v>18</v>
      </c>
      <c r="B652">
        <v>18</v>
      </c>
      <c r="C652" t="s">
        <v>52</v>
      </c>
      <c r="D652" t="s">
        <v>33</v>
      </c>
      <c r="E652">
        <v>1</v>
      </c>
      <c r="F652">
        <v>1</v>
      </c>
      <c r="G652">
        <v>2802</v>
      </c>
      <c r="H652" t="s">
        <v>34</v>
      </c>
      <c r="I652" t="str">
        <f t="shared" si="41"/>
        <v>[{1000,1,1,2802,101}]</v>
      </c>
      <c r="J652" t="s">
        <v>35</v>
      </c>
      <c r="K652" t="e">
        <f>IF(A652="","",IF(J652=1,VLOOKUP(A652,[1]怪物!$R$80:$V$99,4,0),VLOOKUP(A652,[1]怪物!$R$80:$V$99,2,0))*10000)</f>
        <v>#N/A</v>
      </c>
      <c r="L652" t="e">
        <f>IF(A652="","",IF(K652=1,VLOOKUP(A652,[1]怪物!$R$80:$V$99,5,0),VLOOKUP(A652,[1]怪物!$R$80:$V$99,3,0))*10000)</f>
        <v>#N/A</v>
      </c>
      <c r="M652" t="e">
        <f t="shared" si="42"/>
        <v>#N/A</v>
      </c>
      <c r="N652" t="e">
        <f t="shared" si="43"/>
        <v>#N/A</v>
      </c>
    </row>
    <row r="653" spans="1:14">
      <c r="A653">
        <f t="shared" si="40"/>
        <v>18</v>
      </c>
      <c r="B653">
        <v>18</v>
      </c>
      <c r="C653" t="s">
        <v>52</v>
      </c>
      <c r="D653" t="s">
        <v>33</v>
      </c>
      <c r="E653">
        <v>1</v>
      </c>
      <c r="F653">
        <v>1</v>
      </c>
      <c r="G653">
        <v>2803</v>
      </c>
      <c r="H653" t="s">
        <v>37</v>
      </c>
      <c r="I653" t="str">
        <f t="shared" si="41"/>
        <v>[{1000,1,1,2803,401}]</v>
      </c>
      <c r="J653">
        <v>1</v>
      </c>
      <c r="K653" t="e">
        <f>IF(A653="","",IF(J653=1,VLOOKUP(A653,[1]怪物!$R$80:$V$99,4,0),VLOOKUP(A653,[1]怪物!$R$80:$V$99,2,0))*10000)</f>
        <v>#N/A</v>
      </c>
      <c r="L653" t="e">
        <f>IF(A653="","",IF(K653=1,VLOOKUP(A653,[1]怪物!$R$80:$V$99,5,0),VLOOKUP(A653,[1]怪物!$R$80:$V$99,3,0))*10000)</f>
        <v>#N/A</v>
      </c>
      <c r="M653" t="e">
        <f t="shared" si="42"/>
        <v>#N/A</v>
      </c>
      <c r="N653" t="e">
        <f t="shared" si="43"/>
        <v>#N/A</v>
      </c>
    </row>
    <row r="654" spans="1:14">
      <c r="A654">
        <f t="shared" si="40"/>
        <v>19</v>
      </c>
      <c r="B654">
        <v>19</v>
      </c>
      <c r="C654" t="s">
        <v>52</v>
      </c>
      <c r="D654" t="s">
        <v>33</v>
      </c>
      <c r="E654">
        <v>1</v>
      </c>
      <c r="F654">
        <v>1</v>
      </c>
      <c r="G654">
        <v>2801</v>
      </c>
      <c r="H654" t="s">
        <v>34</v>
      </c>
      <c r="I654" t="str">
        <f t="shared" si="41"/>
        <v>[{1000,1,1,2801,101}]</v>
      </c>
      <c r="J654" t="s">
        <v>35</v>
      </c>
      <c r="K654" t="e">
        <f>IF(A654="","",IF(J654=1,VLOOKUP(A654,[1]怪物!$R$80:$V$99,4,0),VLOOKUP(A654,[1]怪物!$R$80:$V$99,2,0))*10000)</f>
        <v>#N/A</v>
      </c>
      <c r="L654" t="e">
        <f>IF(A654="","",IF(K654=1,VLOOKUP(A654,[1]怪物!$R$80:$V$99,5,0),VLOOKUP(A654,[1]怪物!$R$80:$V$99,3,0))*10000)</f>
        <v>#N/A</v>
      </c>
      <c r="M654" t="e">
        <f t="shared" si="42"/>
        <v>#N/A</v>
      </c>
      <c r="N654" t="e">
        <f t="shared" si="43"/>
        <v>#N/A</v>
      </c>
    </row>
    <row r="655" spans="1:14">
      <c r="A655">
        <f t="shared" si="40"/>
        <v>19</v>
      </c>
      <c r="B655">
        <v>19</v>
      </c>
      <c r="C655" t="s">
        <v>52</v>
      </c>
      <c r="D655" t="s">
        <v>33</v>
      </c>
      <c r="E655">
        <v>1</v>
      </c>
      <c r="F655">
        <v>1</v>
      </c>
      <c r="G655">
        <v>2802</v>
      </c>
      <c r="H655" t="s">
        <v>34</v>
      </c>
      <c r="I655" t="str">
        <f t="shared" si="41"/>
        <v>[{1000,1,1,2802,101}]</v>
      </c>
      <c r="J655" t="s">
        <v>35</v>
      </c>
      <c r="K655" t="e">
        <f>IF(A655="","",IF(J655=1,VLOOKUP(A655,[1]怪物!$R$80:$V$99,4,0),VLOOKUP(A655,[1]怪物!$R$80:$V$99,2,0))*10000)</f>
        <v>#N/A</v>
      </c>
      <c r="L655" t="e">
        <f>IF(A655="","",IF(K655=1,VLOOKUP(A655,[1]怪物!$R$80:$V$99,5,0),VLOOKUP(A655,[1]怪物!$R$80:$V$99,3,0))*10000)</f>
        <v>#N/A</v>
      </c>
      <c r="M655" t="e">
        <f t="shared" si="42"/>
        <v>#N/A</v>
      </c>
      <c r="N655" t="e">
        <f t="shared" si="43"/>
        <v>#N/A</v>
      </c>
    </row>
    <row r="656" spans="1:14">
      <c r="A656">
        <f t="shared" si="40"/>
        <v>19</v>
      </c>
      <c r="B656">
        <v>19</v>
      </c>
      <c r="C656" t="s">
        <v>52</v>
      </c>
      <c r="D656" t="s">
        <v>33</v>
      </c>
      <c r="E656">
        <v>1</v>
      </c>
      <c r="F656">
        <v>1</v>
      </c>
      <c r="G656">
        <v>2803</v>
      </c>
      <c r="H656" t="s">
        <v>37</v>
      </c>
      <c r="I656" t="str">
        <f t="shared" si="41"/>
        <v>[{1000,1,1,2803,401}]</v>
      </c>
      <c r="J656">
        <v>1</v>
      </c>
      <c r="K656" t="e">
        <f>IF(A656="","",IF(J656=1,VLOOKUP(A656,[1]怪物!$R$80:$V$99,4,0),VLOOKUP(A656,[1]怪物!$R$80:$V$99,2,0))*10000)</f>
        <v>#N/A</v>
      </c>
      <c r="L656" t="e">
        <f>IF(A656="","",IF(K656=1,VLOOKUP(A656,[1]怪物!$R$80:$V$99,5,0),VLOOKUP(A656,[1]怪物!$R$80:$V$99,3,0))*10000)</f>
        <v>#N/A</v>
      </c>
      <c r="M656" t="e">
        <f t="shared" si="42"/>
        <v>#N/A</v>
      </c>
      <c r="N656" t="e">
        <f t="shared" si="43"/>
        <v>#N/A</v>
      </c>
    </row>
    <row r="657" spans="1:14">
      <c r="A657">
        <f t="shared" si="40"/>
        <v>20</v>
      </c>
      <c r="B657">
        <v>20</v>
      </c>
      <c r="C657" t="s">
        <v>52</v>
      </c>
      <c r="D657" t="s">
        <v>33</v>
      </c>
      <c r="E657">
        <v>1</v>
      </c>
      <c r="F657">
        <v>1</v>
      </c>
      <c r="G657">
        <v>2801</v>
      </c>
      <c r="H657" t="s">
        <v>34</v>
      </c>
      <c r="I657" t="str">
        <f t="shared" si="41"/>
        <v>[{1000,1,1,2801,101}]</v>
      </c>
      <c r="J657" t="s">
        <v>35</v>
      </c>
      <c r="K657" t="e">
        <f>IF(A657="","",IF(J657=1,VLOOKUP(A657,[1]怪物!$R$80:$V$99,4,0),VLOOKUP(A657,[1]怪物!$R$80:$V$99,2,0))*10000)</f>
        <v>#N/A</v>
      </c>
      <c r="L657" t="e">
        <f>IF(A657="","",IF(K657=1,VLOOKUP(A657,[1]怪物!$R$80:$V$99,5,0),VLOOKUP(A657,[1]怪物!$R$80:$V$99,3,0))*10000)</f>
        <v>#N/A</v>
      </c>
      <c r="M657" t="e">
        <f t="shared" si="42"/>
        <v>#N/A</v>
      </c>
      <c r="N657" t="e">
        <f t="shared" si="43"/>
        <v>#N/A</v>
      </c>
    </row>
    <row r="658" spans="1:14">
      <c r="A658">
        <f t="shared" si="40"/>
        <v>20</v>
      </c>
      <c r="B658">
        <v>20</v>
      </c>
      <c r="C658" t="s">
        <v>52</v>
      </c>
      <c r="D658" t="s">
        <v>33</v>
      </c>
      <c r="E658">
        <v>1</v>
      </c>
      <c r="F658">
        <v>1</v>
      </c>
      <c r="G658">
        <v>2802</v>
      </c>
      <c r="H658" t="s">
        <v>34</v>
      </c>
      <c r="I658" t="str">
        <f t="shared" si="41"/>
        <v>[{1000,1,1,2802,101}]</v>
      </c>
      <c r="J658" t="s">
        <v>35</v>
      </c>
      <c r="K658" t="e">
        <f>IF(A658="","",IF(J658=1,VLOOKUP(A658,[1]怪物!$R$80:$V$99,4,0),VLOOKUP(A658,[1]怪物!$R$80:$V$99,2,0))*10000)</f>
        <v>#N/A</v>
      </c>
      <c r="L658" t="e">
        <f>IF(A658="","",IF(K658=1,VLOOKUP(A658,[1]怪物!$R$80:$V$99,5,0),VLOOKUP(A658,[1]怪物!$R$80:$V$99,3,0))*10000)</f>
        <v>#N/A</v>
      </c>
      <c r="M658" t="e">
        <f t="shared" si="42"/>
        <v>#N/A</v>
      </c>
      <c r="N658" t="e">
        <f t="shared" si="43"/>
        <v>#N/A</v>
      </c>
    </row>
    <row r="659" spans="1:14">
      <c r="A659">
        <f t="shared" si="40"/>
        <v>20</v>
      </c>
      <c r="B659">
        <v>20</v>
      </c>
      <c r="C659" t="s">
        <v>52</v>
      </c>
      <c r="D659" t="s">
        <v>33</v>
      </c>
      <c r="E659">
        <v>1</v>
      </c>
      <c r="F659">
        <v>1</v>
      </c>
      <c r="G659">
        <v>2803</v>
      </c>
      <c r="H659" t="s">
        <v>37</v>
      </c>
      <c r="I659" t="str">
        <f t="shared" si="41"/>
        <v>[{1000,1,1,2803,401}]</v>
      </c>
      <c r="J659">
        <v>1</v>
      </c>
      <c r="K659" t="e">
        <f>IF(A659="","",IF(J659=1,VLOOKUP(A659,[1]怪物!$R$80:$V$99,4,0),VLOOKUP(A659,[1]怪物!$R$80:$V$99,2,0))*10000)</f>
        <v>#N/A</v>
      </c>
      <c r="L659" t="e">
        <f>IF(A659="","",IF(K659=1,VLOOKUP(A659,[1]怪物!$R$80:$V$99,5,0),VLOOKUP(A659,[1]怪物!$R$80:$V$99,3,0))*10000)</f>
        <v>#N/A</v>
      </c>
      <c r="M659" t="e">
        <f t="shared" si="42"/>
        <v>#N/A</v>
      </c>
      <c r="N659" t="e">
        <f t="shared" si="43"/>
        <v>#N/A</v>
      </c>
    </row>
    <row r="660" spans="1:14">
      <c r="A660" t="str">
        <f t="shared" si="40"/>
        <v/>
      </c>
      <c r="B660">
        <v>20</v>
      </c>
      <c r="C660" t="s">
        <v>52</v>
      </c>
      <c r="D660" t="s">
        <v>28</v>
      </c>
      <c r="I660" t="str">
        <f t="shared" si="41"/>
        <v>[]</v>
      </c>
      <c r="J660">
        <v>2</v>
      </c>
      <c r="K660" t="str">
        <f>IF(A660="","",IF(J660=1,VLOOKUP(A660,[1]怪物!$R$80:$V$99,4,0),VLOOKUP(A660,[1]怪物!$R$80:$V$99,2,0))*10000)</f>
        <v/>
      </c>
      <c r="L660" t="str">
        <f>IF(A660="","",IF(K660=1,VLOOKUP(A660,[1]怪物!$R$80:$V$99,5,0),VLOOKUP(A660,[1]怪物!$R$80:$V$99,3,0))*10000)</f>
        <v/>
      </c>
      <c r="M660" t="str">
        <f t="shared" si="42"/>
        <v/>
      </c>
      <c r="N660" t="str">
        <f t="shared" si="43"/>
        <v/>
      </c>
    </row>
    <row r="661" spans="1:14">
      <c r="A661">
        <f t="shared" si="40"/>
        <v>20</v>
      </c>
      <c r="B661">
        <v>20</v>
      </c>
      <c r="C661" t="s">
        <v>52</v>
      </c>
      <c r="D661" t="s">
        <v>33</v>
      </c>
      <c r="E661">
        <v>1</v>
      </c>
      <c r="F661">
        <v>0</v>
      </c>
      <c r="G661">
        <v>2831</v>
      </c>
      <c r="H661" t="s">
        <v>36</v>
      </c>
      <c r="I661" t="str">
        <f t="shared" si="41"/>
        <v>[{1000,1,0,2831,41}]</v>
      </c>
      <c r="J661" t="s">
        <v>35</v>
      </c>
      <c r="K661" t="e">
        <f>IF(A661="","",IF(J661=1,VLOOKUP(A661,[1]怪物!$R$80:$V$99,4,0),VLOOKUP(A661,[1]怪物!$R$80:$V$99,2,0))*10000)</f>
        <v>#N/A</v>
      </c>
      <c r="L661" t="e">
        <f>IF(A661="","",IF(K661=1,VLOOKUP(A661,[1]怪物!$R$80:$V$99,5,0),VLOOKUP(A661,[1]怪物!$R$80:$V$99,3,0))*10000)</f>
        <v>#N/A</v>
      </c>
      <c r="M661">
        <f t="shared" si="42"/>
        <v>10000</v>
      </c>
      <c r="N661">
        <f t="shared" si="43"/>
        <v>10000</v>
      </c>
    </row>
    <row r="662" spans="1:14">
      <c r="A662">
        <f t="shared" si="40"/>
        <v>1</v>
      </c>
      <c r="B662">
        <v>1</v>
      </c>
      <c r="C662" t="s">
        <v>53</v>
      </c>
      <c r="D662" t="s">
        <v>33</v>
      </c>
      <c r="E662">
        <v>1</v>
      </c>
      <c r="F662">
        <v>1</v>
      </c>
      <c r="G662">
        <v>2901</v>
      </c>
      <c r="H662" t="s">
        <v>34</v>
      </c>
      <c r="I662" t="str">
        <f t="shared" si="41"/>
        <v>[{1000,1,1,2901,101}]</v>
      </c>
      <c r="J662" t="s">
        <v>35</v>
      </c>
      <c r="K662">
        <f>IF(A662="","",IF(J662=1,VLOOKUP(A662,[1]怪物!$R$80:$V$99,4,0),VLOOKUP(A662,[1]怪物!$R$80:$V$99,2,0))*10000)</f>
        <v>10000</v>
      </c>
      <c r="L662">
        <f>IF(A662="","",IF(K662=1,VLOOKUP(A662,[1]怪物!$R$80:$V$99,5,0),VLOOKUP(A662,[1]怪物!$R$80:$V$99,3,0))*10000)</f>
        <v>10000</v>
      </c>
      <c r="M662">
        <f t="shared" si="42"/>
        <v>10000</v>
      </c>
      <c r="N662">
        <f t="shared" si="43"/>
        <v>10000</v>
      </c>
    </row>
    <row r="663" spans="1:14">
      <c r="A663">
        <f t="shared" si="40"/>
        <v>2</v>
      </c>
      <c r="B663">
        <v>2</v>
      </c>
      <c r="C663" t="s">
        <v>53</v>
      </c>
      <c r="D663" t="s">
        <v>33</v>
      </c>
      <c r="E663">
        <v>1</v>
      </c>
      <c r="F663">
        <v>1</v>
      </c>
      <c r="G663">
        <v>2901</v>
      </c>
      <c r="H663" t="s">
        <v>34</v>
      </c>
      <c r="I663" t="str">
        <f t="shared" si="41"/>
        <v>[{1000,1,1,2901,101}]</v>
      </c>
      <c r="J663" t="s">
        <v>35</v>
      </c>
      <c r="K663">
        <f>IF(A663="","",IF(J663=1,VLOOKUP(A663,[1]怪物!$R$80:$V$99,4,0),VLOOKUP(A663,[1]怪物!$R$80:$V$99,2,0))*10000)</f>
        <v>10000</v>
      </c>
      <c r="L663">
        <f>IF(A663="","",IF(K663=1,VLOOKUP(A663,[1]怪物!$R$80:$V$99,5,0),VLOOKUP(A663,[1]怪物!$R$80:$V$99,3,0))*10000)</f>
        <v>10000</v>
      </c>
      <c r="M663">
        <f t="shared" si="42"/>
        <v>10000</v>
      </c>
      <c r="N663">
        <f t="shared" si="43"/>
        <v>10000</v>
      </c>
    </row>
    <row r="664" spans="1:14">
      <c r="A664">
        <f t="shared" si="40"/>
        <v>3</v>
      </c>
      <c r="B664">
        <v>3</v>
      </c>
      <c r="C664" t="s">
        <v>53</v>
      </c>
      <c r="D664" t="s">
        <v>33</v>
      </c>
      <c r="E664">
        <v>1</v>
      </c>
      <c r="F664">
        <v>1</v>
      </c>
      <c r="G664">
        <v>2901</v>
      </c>
      <c r="H664" t="s">
        <v>34</v>
      </c>
      <c r="I664" t="str">
        <f t="shared" si="41"/>
        <v>[{1000,1,1,2901,101}]</v>
      </c>
      <c r="J664" t="s">
        <v>35</v>
      </c>
      <c r="K664">
        <f>IF(A664="","",IF(J664=1,VLOOKUP(A664,[1]怪物!$R$80:$V$99,4,0),VLOOKUP(A664,[1]怪物!$R$80:$V$99,2,0))*10000)</f>
        <v>10000</v>
      </c>
      <c r="L664">
        <f>IF(A664="","",IF(K664=1,VLOOKUP(A664,[1]怪物!$R$80:$V$99,5,0),VLOOKUP(A664,[1]怪物!$R$80:$V$99,3,0))*10000)</f>
        <v>10000</v>
      </c>
      <c r="M664">
        <f t="shared" si="42"/>
        <v>10000</v>
      </c>
      <c r="N664">
        <f t="shared" si="43"/>
        <v>10000</v>
      </c>
    </row>
    <row r="665" spans="1:14">
      <c r="A665">
        <f t="shared" si="40"/>
        <v>4</v>
      </c>
      <c r="B665">
        <v>4</v>
      </c>
      <c r="C665" t="s">
        <v>53</v>
      </c>
      <c r="D665" t="s">
        <v>33</v>
      </c>
      <c r="E665">
        <v>1</v>
      </c>
      <c r="F665">
        <v>1</v>
      </c>
      <c r="G665">
        <v>2901</v>
      </c>
      <c r="H665" t="s">
        <v>34</v>
      </c>
      <c r="I665" t="str">
        <f t="shared" si="41"/>
        <v>[{1000,1,1,2901,101}]</v>
      </c>
      <c r="J665" t="s">
        <v>35</v>
      </c>
      <c r="K665">
        <f>IF(A665="","",IF(J665=1,VLOOKUP(A665,[1]怪物!$R$80:$V$99,4,0),VLOOKUP(A665,[1]怪物!$R$80:$V$99,2,0))*10000)</f>
        <v>10000</v>
      </c>
      <c r="L665">
        <f>IF(A665="","",IF(K665=1,VLOOKUP(A665,[1]怪物!$R$80:$V$99,5,0),VLOOKUP(A665,[1]怪物!$R$80:$V$99,3,0))*10000)</f>
        <v>10000</v>
      </c>
      <c r="M665">
        <f t="shared" si="42"/>
        <v>10000</v>
      </c>
      <c r="N665">
        <f t="shared" si="43"/>
        <v>10000</v>
      </c>
    </row>
    <row r="666" spans="1:14">
      <c r="A666">
        <f t="shared" si="40"/>
        <v>5</v>
      </c>
      <c r="B666">
        <v>5</v>
      </c>
      <c r="C666" t="s">
        <v>53</v>
      </c>
      <c r="D666" t="s">
        <v>33</v>
      </c>
      <c r="E666">
        <v>1</v>
      </c>
      <c r="F666">
        <v>1</v>
      </c>
      <c r="G666">
        <v>2901</v>
      </c>
      <c r="H666" t="s">
        <v>34</v>
      </c>
      <c r="I666" t="str">
        <f t="shared" si="41"/>
        <v>[{1000,1,1,2901,101}]</v>
      </c>
      <c r="J666" t="s">
        <v>35</v>
      </c>
      <c r="K666">
        <f>IF(A666="","",IF(J666=1,VLOOKUP(A666,[1]怪物!$R$80:$V$99,4,0),VLOOKUP(A666,[1]怪物!$R$80:$V$99,2,0))*10000)</f>
        <v>10000</v>
      </c>
      <c r="L666">
        <f>IF(A666="","",IF(K666=1,VLOOKUP(A666,[1]怪物!$R$80:$V$99,5,0),VLOOKUP(A666,[1]怪物!$R$80:$V$99,3,0))*10000)</f>
        <v>10000</v>
      </c>
      <c r="M666">
        <f t="shared" si="42"/>
        <v>10000</v>
      </c>
      <c r="N666">
        <f t="shared" si="43"/>
        <v>10000</v>
      </c>
    </row>
    <row r="667" spans="1:14">
      <c r="A667">
        <f t="shared" si="40"/>
        <v>6</v>
      </c>
      <c r="B667">
        <v>6</v>
      </c>
      <c r="C667" t="s">
        <v>53</v>
      </c>
      <c r="D667" t="s">
        <v>33</v>
      </c>
      <c r="E667">
        <v>1</v>
      </c>
      <c r="F667">
        <v>1</v>
      </c>
      <c r="G667">
        <v>2901</v>
      </c>
      <c r="H667" t="s">
        <v>34</v>
      </c>
      <c r="I667" t="str">
        <f t="shared" si="41"/>
        <v>[{1000,1,1,2901,101}]</v>
      </c>
      <c r="J667" t="s">
        <v>35</v>
      </c>
      <c r="K667">
        <f>IF(A667="","",IF(J667=1,VLOOKUP(A667,[1]怪物!$R$80:$V$99,4,0),VLOOKUP(A667,[1]怪物!$R$80:$V$99,2,0))*10000)</f>
        <v>15000</v>
      </c>
      <c r="L667">
        <f>IF(A667="","",IF(K667=1,VLOOKUP(A667,[1]怪物!$R$80:$V$99,5,0),VLOOKUP(A667,[1]怪物!$R$80:$V$99,3,0))*10000)</f>
        <v>15000</v>
      </c>
      <c r="M667">
        <f t="shared" si="42"/>
        <v>15000</v>
      </c>
      <c r="N667">
        <f t="shared" si="43"/>
        <v>15000</v>
      </c>
    </row>
    <row r="668" spans="1:14">
      <c r="A668">
        <f t="shared" si="40"/>
        <v>7</v>
      </c>
      <c r="B668">
        <v>7</v>
      </c>
      <c r="C668" t="s">
        <v>53</v>
      </c>
      <c r="D668" t="s">
        <v>33</v>
      </c>
      <c r="E668">
        <v>1</v>
      </c>
      <c r="F668">
        <v>1</v>
      </c>
      <c r="G668">
        <v>2901</v>
      </c>
      <c r="H668" t="s">
        <v>34</v>
      </c>
      <c r="I668" t="str">
        <f t="shared" si="41"/>
        <v>[{1000,1,1,2901,101}]</v>
      </c>
      <c r="J668" t="s">
        <v>35</v>
      </c>
      <c r="K668">
        <f>IF(A668="","",IF(J668=1,VLOOKUP(A668,[1]怪物!$R$80:$V$99,4,0),VLOOKUP(A668,[1]怪物!$R$80:$V$99,2,0))*10000)</f>
        <v>15000</v>
      </c>
      <c r="L668">
        <f>IF(A668="","",IF(K668=1,VLOOKUP(A668,[1]怪物!$R$80:$V$99,5,0),VLOOKUP(A668,[1]怪物!$R$80:$V$99,3,0))*10000)</f>
        <v>15000</v>
      </c>
      <c r="M668">
        <f t="shared" si="42"/>
        <v>15000</v>
      </c>
      <c r="N668">
        <f t="shared" si="43"/>
        <v>15000</v>
      </c>
    </row>
    <row r="669" spans="1:14">
      <c r="A669">
        <f t="shared" si="40"/>
        <v>7</v>
      </c>
      <c r="B669">
        <v>7</v>
      </c>
      <c r="C669" t="s">
        <v>53</v>
      </c>
      <c r="D669" t="s">
        <v>33</v>
      </c>
      <c r="E669">
        <v>1</v>
      </c>
      <c r="F669">
        <v>1</v>
      </c>
      <c r="G669">
        <v>2902</v>
      </c>
      <c r="H669" t="s">
        <v>34</v>
      </c>
      <c r="I669" t="str">
        <f t="shared" si="41"/>
        <v>[{1000,1,1,2902,101}]</v>
      </c>
      <c r="J669" t="s">
        <v>35</v>
      </c>
      <c r="K669">
        <f>IF(A669="","",IF(J669=1,VLOOKUP(A669,[1]怪物!$R$80:$V$99,4,0),VLOOKUP(A669,[1]怪物!$R$80:$V$99,2,0))*10000)</f>
        <v>15000</v>
      </c>
      <c r="L669">
        <f>IF(A669="","",IF(K669=1,VLOOKUP(A669,[1]怪物!$R$80:$V$99,5,0),VLOOKUP(A669,[1]怪物!$R$80:$V$99,3,0))*10000)</f>
        <v>15000</v>
      </c>
      <c r="M669">
        <f t="shared" si="42"/>
        <v>15000</v>
      </c>
      <c r="N669">
        <f t="shared" si="43"/>
        <v>15000</v>
      </c>
    </row>
    <row r="670" spans="1:14">
      <c r="A670">
        <f t="shared" si="40"/>
        <v>8</v>
      </c>
      <c r="B670">
        <v>8</v>
      </c>
      <c r="C670" t="s">
        <v>53</v>
      </c>
      <c r="D670" t="s">
        <v>33</v>
      </c>
      <c r="E670">
        <v>1</v>
      </c>
      <c r="F670">
        <v>1</v>
      </c>
      <c r="G670">
        <v>2901</v>
      </c>
      <c r="H670" t="s">
        <v>34</v>
      </c>
      <c r="I670" t="str">
        <f t="shared" si="41"/>
        <v>[{1000,1,1,2901,101}]</v>
      </c>
      <c r="J670" t="s">
        <v>35</v>
      </c>
      <c r="K670">
        <f>IF(A670="","",IF(J670=1,VLOOKUP(A670,[1]怪物!$R$80:$V$99,4,0),VLOOKUP(A670,[1]怪物!$R$80:$V$99,2,0))*10000)</f>
        <v>15000</v>
      </c>
      <c r="L670">
        <f>IF(A670="","",IF(K670=1,VLOOKUP(A670,[1]怪物!$R$80:$V$99,5,0),VLOOKUP(A670,[1]怪物!$R$80:$V$99,3,0))*10000)</f>
        <v>15000</v>
      </c>
      <c r="M670">
        <f t="shared" si="42"/>
        <v>15000</v>
      </c>
      <c r="N670">
        <f t="shared" si="43"/>
        <v>15000</v>
      </c>
    </row>
    <row r="671" spans="1:14">
      <c r="A671">
        <f t="shared" si="40"/>
        <v>8</v>
      </c>
      <c r="B671">
        <v>8</v>
      </c>
      <c r="C671" t="s">
        <v>53</v>
      </c>
      <c r="D671" t="s">
        <v>33</v>
      </c>
      <c r="E671">
        <v>1</v>
      </c>
      <c r="F671">
        <v>1</v>
      </c>
      <c r="G671">
        <v>2902</v>
      </c>
      <c r="H671" t="s">
        <v>34</v>
      </c>
      <c r="I671" t="str">
        <f t="shared" si="41"/>
        <v>[{1000,1,1,2902,101}]</v>
      </c>
      <c r="J671" t="s">
        <v>35</v>
      </c>
      <c r="K671">
        <f>IF(A671="","",IF(J671=1,VLOOKUP(A671,[1]怪物!$R$80:$V$99,4,0),VLOOKUP(A671,[1]怪物!$R$80:$V$99,2,0))*10000)</f>
        <v>15000</v>
      </c>
      <c r="L671">
        <f>IF(A671="","",IF(K671=1,VLOOKUP(A671,[1]怪物!$R$80:$V$99,5,0),VLOOKUP(A671,[1]怪物!$R$80:$V$99,3,0))*10000)</f>
        <v>15000</v>
      </c>
      <c r="M671">
        <f t="shared" si="42"/>
        <v>15000</v>
      </c>
      <c r="N671">
        <f t="shared" si="43"/>
        <v>15000</v>
      </c>
    </row>
    <row r="672" spans="1:14">
      <c r="A672">
        <f t="shared" si="40"/>
        <v>9</v>
      </c>
      <c r="B672">
        <v>9</v>
      </c>
      <c r="C672" t="s">
        <v>53</v>
      </c>
      <c r="D672" t="s">
        <v>33</v>
      </c>
      <c r="E672">
        <v>1</v>
      </c>
      <c r="F672">
        <v>1</v>
      </c>
      <c r="G672">
        <v>2901</v>
      </c>
      <c r="H672" t="s">
        <v>34</v>
      </c>
      <c r="I672" t="str">
        <f t="shared" si="41"/>
        <v>[{1000,1,1,2901,101}]</v>
      </c>
      <c r="J672" t="s">
        <v>35</v>
      </c>
      <c r="K672" t="e">
        <f>IF(A672="","",IF(J672=1,VLOOKUP(A672,[1]怪物!$R$80:$V$99,4,0),VLOOKUP(A672,[1]怪物!$R$80:$V$99,2,0))*10000)</f>
        <v>#N/A</v>
      </c>
      <c r="L672" t="e">
        <f>IF(A672="","",IF(K672=1,VLOOKUP(A672,[1]怪物!$R$80:$V$99,5,0),VLOOKUP(A672,[1]怪物!$R$80:$V$99,3,0))*10000)</f>
        <v>#N/A</v>
      </c>
      <c r="M672" t="e">
        <f t="shared" si="42"/>
        <v>#N/A</v>
      </c>
      <c r="N672" t="e">
        <f t="shared" si="43"/>
        <v>#N/A</v>
      </c>
    </row>
    <row r="673" spans="1:14">
      <c r="A673">
        <f t="shared" si="40"/>
        <v>9</v>
      </c>
      <c r="B673">
        <v>9</v>
      </c>
      <c r="C673" t="s">
        <v>53</v>
      </c>
      <c r="D673" t="s">
        <v>33</v>
      </c>
      <c r="E673">
        <v>1</v>
      </c>
      <c r="F673">
        <v>1</v>
      </c>
      <c r="G673">
        <v>2902</v>
      </c>
      <c r="H673" t="s">
        <v>34</v>
      </c>
      <c r="I673" t="str">
        <f t="shared" si="41"/>
        <v>[{1000,1,1,2902,101}]</v>
      </c>
      <c r="J673" t="s">
        <v>35</v>
      </c>
      <c r="K673" t="e">
        <f>IF(A673="","",IF(J673=1,VLOOKUP(A673,[1]怪物!$R$80:$V$99,4,0),VLOOKUP(A673,[1]怪物!$R$80:$V$99,2,0))*10000)</f>
        <v>#N/A</v>
      </c>
      <c r="L673" t="e">
        <f>IF(A673="","",IF(K673=1,VLOOKUP(A673,[1]怪物!$R$80:$V$99,5,0),VLOOKUP(A673,[1]怪物!$R$80:$V$99,3,0))*10000)</f>
        <v>#N/A</v>
      </c>
      <c r="M673" t="e">
        <f t="shared" si="42"/>
        <v>#N/A</v>
      </c>
      <c r="N673" t="e">
        <f t="shared" si="43"/>
        <v>#N/A</v>
      </c>
    </row>
    <row r="674" spans="1:14">
      <c r="A674">
        <f t="shared" si="40"/>
        <v>10</v>
      </c>
      <c r="B674">
        <v>10</v>
      </c>
      <c r="C674" t="s">
        <v>53</v>
      </c>
      <c r="D674" t="s">
        <v>33</v>
      </c>
      <c r="E674">
        <v>1</v>
      </c>
      <c r="F674">
        <v>1</v>
      </c>
      <c r="G674">
        <v>2901</v>
      </c>
      <c r="H674" t="s">
        <v>34</v>
      </c>
      <c r="I674" t="str">
        <f t="shared" si="41"/>
        <v>[{1000,1,1,2901,101}]</v>
      </c>
      <c r="J674" t="s">
        <v>35</v>
      </c>
      <c r="K674" t="e">
        <f>IF(A674="","",IF(J674=1,VLOOKUP(A674,[1]怪物!$R$80:$V$99,4,0),VLOOKUP(A674,[1]怪物!$R$80:$V$99,2,0))*10000)</f>
        <v>#N/A</v>
      </c>
      <c r="L674" t="e">
        <f>IF(A674="","",IF(K674=1,VLOOKUP(A674,[1]怪物!$R$80:$V$99,5,0),VLOOKUP(A674,[1]怪物!$R$80:$V$99,3,0))*10000)</f>
        <v>#N/A</v>
      </c>
      <c r="M674" t="e">
        <f t="shared" si="42"/>
        <v>#N/A</v>
      </c>
      <c r="N674" t="e">
        <f t="shared" si="43"/>
        <v>#N/A</v>
      </c>
    </row>
    <row r="675" spans="1:14">
      <c r="A675">
        <f t="shared" si="40"/>
        <v>10</v>
      </c>
      <c r="B675">
        <v>10</v>
      </c>
      <c r="C675" t="s">
        <v>53</v>
      </c>
      <c r="D675" t="s">
        <v>33</v>
      </c>
      <c r="E675">
        <v>1</v>
      </c>
      <c r="F675">
        <v>1</v>
      </c>
      <c r="G675">
        <v>2902</v>
      </c>
      <c r="H675" t="s">
        <v>34</v>
      </c>
      <c r="I675" t="str">
        <f t="shared" si="41"/>
        <v>[{1000,1,1,2902,101}]</v>
      </c>
      <c r="J675" t="s">
        <v>35</v>
      </c>
      <c r="K675" t="e">
        <f>IF(A675="","",IF(J675=1,VLOOKUP(A675,[1]怪物!$R$80:$V$99,4,0),VLOOKUP(A675,[1]怪物!$R$80:$V$99,2,0))*10000)</f>
        <v>#N/A</v>
      </c>
      <c r="L675" t="e">
        <f>IF(A675="","",IF(K675=1,VLOOKUP(A675,[1]怪物!$R$80:$V$99,5,0),VLOOKUP(A675,[1]怪物!$R$80:$V$99,3,0))*10000)</f>
        <v>#N/A</v>
      </c>
      <c r="M675" t="e">
        <f t="shared" si="42"/>
        <v>#N/A</v>
      </c>
      <c r="N675" t="e">
        <f t="shared" si="43"/>
        <v>#N/A</v>
      </c>
    </row>
    <row r="676" spans="1:14">
      <c r="A676" t="str">
        <f t="shared" si="40"/>
        <v/>
      </c>
      <c r="B676">
        <v>10</v>
      </c>
      <c r="C676" t="s">
        <v>53</v>
      </c>
      <c r="D676" t="s">
        <v>28</v>
      </c>
      <c r="I676" t="str">
        <f t="shared" si="41"/>
        <v>[]</v>
      </c>
      <c r="J676">
        <v>2</v>
      </c>
      <c r="K676" t="str">
        <f>IF(A676="","",IF(J676=1,VLOOKUP(A676,[1]怪物!$R$80:$V$99,4,0),VLOOKUP(A676,[1]怪物!$R$80:$V$99,2,0))*10000)</f>
        <v/>
      </c>
      <c r="L676" t="str">
        <f>IF(A676="","",IF(K676=1,VLOOKUP(A676,[1]怪物!$R$80:$V$99,5,0),VLOOKUP(A676,[1]怪物!$R$80:$V$99,3,0))*10000)</f>
        <v/>
      </c>
      <c r="M676" t="str">
        <f t="shared" si="42"/>
        <v/>
      </c>
      <c r="N676" t="str">
        <f t="shared" si="43"/>
        <v/>
      </c>
    </row>
    <row r="677" spans="1:14">
      <c r="A677">
        <f t="shared" si="40"/>
        <v>10</v>
      </c>
      <c r="B677">
        <v>10</v>
      </c>
      <c r="C677" t="s">
        <v>53</v>
      </c>
      <c r="D677" t="s">
        <v>33</v>
      </c>
      <c r="E677">
        <v>1</v>
      </c>
      <c r="F677">
        <v>0</v>
      </c>
      <c r="G677">
        <v>2921</v>
      </c>
      <c r="H677" t="s">
        <v>36</v>
      </c>
      <c r="I677" t="str">
        <f t="shared" si="41"/>
        <v>[{1000,1,0,2921,41}]</v>
      </c>
      <c r="J677" t="s">
        <v>35</v>
      </c>
      <c r="K677" t="e">
        <f>IF(A677="","",IF(J677=1,VLOOKUP(A677,[1]怪物!$R$80:$V$99,4,0),VLOOKUP(A677,[1]怪物!$R$80:$V$99,2,0))*10000)</f>
        <v>#N/A</v>
      </c>
      <c r="L677" t="e">
        <f>IF(A677="","",IF(K677=1,VLOOKUP(A677,[1]怪物!$R$80:$V$99,5,0),VLOOKUP(A677,[1]怪物!$R$80:$V$99,3,0))*10000)</f>
        <v>#N/A</v>
      </c>
      <c r="M677">
        <f t="shared" si="42"/>
        <v>10000</v>
      </c>
      <c r="N677">
        <f t="shared" si="43"/>
        <v>10000</v>
      </c>
    </row>
    <row r="678" spans="1:14">
      <c r="A678">
        <f t="shared" si="40"/>
        <v>11</v>
      </c>
      <c r="B678">
        <v>11</v>
      </c>
      <c r="C678" t="s">
        <v>53</v>
      </c>
      <c r="D678" t="s">
        <v>33</v>
      </c>
      <c r="E678">
        <v>1</v>
      </c>
      <c r="F678">
        <v>1</v>
      </c>
      <c r="G678">
        <v>2901</v>
      </c>
      <c r="H678" t="s">
        <v>34</v>
      </c>
      <c r="I678" t="str">
        <f t="shared" si="41"/>
        <v>[{1000,1,1,2901,101}]</v>
      </c>
      <c r="J678" t="s">
        <v>35</v>
      </c>
      <c r="K678" t="e">
        <f>IF(A678="","",IF(J678=1,VLOOKUP(A678,[1]怪物!$R$80:$V$99,4,0),VLOOKUP(A678,[1]怪物!$R$80:$V$99,2,0))*10000)</f>
        <v>#N/A</v>
      </c>
      <c r="L678" t="e">
        <f>IF(A678="","",IF(K678=1,VLOOKUP(A678,[1]怪物!$R$80:$V$99,5,0),VLOOKUP(A678,[1]怪物!$R$80:$V$99,3,0))*10000)</f>
        <v>#N/A</v>
      </c>
      <c r="M678" t="e">
        <f t="shared" si="42"/>
        <v>#N/A</v>
      </c>
      <c r="N678" t="e">
        <f t="shared" si="43"/>
        <v>#N/A</v>
      </c>
    </row>
    <row r="679" spans="1:14">
      <c r="A679">
        <f t="shared" si="40"/>
        <v>11</v>
      </c>
      <c r="B679">
        <v>11</v>
      </c>
      <c r="C679" t="s">
        <v>53</v>
      </c>
      <c r="D679" t="s">
        <v>33</v>
      </c>
      <c r="E679">
        <v>1</v>
      </c>
      <c r="F679">
        <v>1</v>
      </c>
      <c r="G679">
        <v>2902</v>
      </c>
      <c r="H679" t="s">
        <v>34</v>
      </c>
      <c r="I679" t="str">
        <f t="shared" si="41"/>
        <v>[{1000,1,1,2902,101}]</v>
      </c>
      <c r="J679" t="s">
        <v>35</v>
      </c>
      <c r="K679" t="e">
        <f>IF(A679="","",IF(J679=1,VLOOKUP(A679,[1]怪物!$R$80:$V$99,4,0),VLOOKUP(A679,[1]怪物!$R$80:$V$99,2,0))*10000)</f>
        <v>#N/A</v>
      </c>
      <c r="L679" t="e">
        <f>IF(A679="","",IF(K679=1,VLOOKUP(A679,[1]怪物!$R$80:$V$99,5,0),VLOOKUP(A679,[1]怪物!$R$80:$V$99,3,0))*10000)</f>
        <v>#N/A</v>
      </c>
      <c r="M679" t="e">
        <f t="shared" si="42"/>
        <v>#N/A</v>
      </c>
      <c r="N679" t="e">
        <f t="shared" si="43"/>
        <v>#N/A</v>
      </c>
    </row>
    <row r="680" spans="1:14">
      <c r="A680">
        <f t="shared" si="40"/>
        <v>12</v>
      </c>
      <c r="B680">
        <v>12</v>
      </c>
      <c r="C680" t="s">
        <v>53</v>
      </c>
      <c r="D680" t="s">
        <v>33</v>
      </c>
      <c r="E680">
        <v>1</v>
      </c>
      <c r="F680">
        <v>1</v>
      </c>
      <c r="G680">
        <v>2901</v>
      </c>
      <c r="H680" t="s">
        <v>34</v>
      </c>
      <c r="I680" t="str">
        <f t="shared" si="41"/>
        <v>[{1000,1,1,2901,101}]</v>
      </c>
      <c r="J680" t="s">
        <v>35</v>
      </c>
      <c r="K680" t="e">
        <f>IF(A680="","",IF(J680=1,VLOOKUP(A680,[1]怪物!$R$80:$V$99,4,0),VLOOKUP(A680,[1]怪物!$R$80:$V$99,2,0))*10000)</f>
        <v>#N/A</v>
      </c>
      <c r="L680" t="e">
        <f>IF(A680="","",IF(K680=1,VLOOKUP(A680,[1]怪物!$R$80:$V$99,5,0),VLOOKUP(A680,[1]怪物!$R$80:$V$99,3,0))*10000)</f>
        <v>#N/A</v>
      </c>
      <c r="M680" t="e">
        <f t="shared" si="42"/>
        <v>#N/A</v>
      </c>
      <c r="N680" t="e">
        <f t="shared" si="43"/>
        <v>#N/A</v>
      </c>
    </row>
    <row r="681" spans="1:14">
      <c r="A681">
        <f t="shared" si="40"/>
        <v>12</v>
      </c>
      <c r="B681">
        <v>12</v>
      </c>
      <c r="C681" t="s">
        <v>53</v>
      </c>
      <c r="D681" t="s">
        <v>33</v>
      </c>
      <c r="E681">
        <v>1</v>
      </c>
      <c r="F681">
        <v>1</v>
      </c>
      <c r="G681">
        <v>2902</v>
      </c>
      <c r="H681" t="s">
        <v>34</v>
      </c>
      <c r="I681" t="str">
        <f t="shared" si="41"/>
        <v>[{1000,1,1,2902,101}]</v>
      </c>
      <c r="J681" t="s">
        <v>35</v>
      </c>
      <c r="K681" t="e">
        <f>IF(A681="","",IF(J681=1,VLOOKUP(A681,[1]怪物!$R$80:$V$99,4,0),VLOOKUP(A681,[1]怪物!$R$80:$V$99,2,0))*10000)</f>
        <v>#N/A</v>
      </c>
      <c r="L681" t="e">
        <f>IF(A681="","",IF(K681=1,VLOOKUP(A681,[1]怪物!$R$80:$V$99,5,0),VLOOKUP(A681,[1]怪物!$R$80:$V$99,3,0))*10000)</f>
        <v>#N/A</v>
      </c>
      <c r="M681" t="e">
        <f t="shared" si="42"/>
        <v>#N/A</v>
      </c>
      <c r="N681" t="e">
        <f t="shared" si="43"/>
        <v>#N/A</v>
      </c>
    </row>
    <row r="682" spans="1:14">
      <c r="A682">
        <f t="shared" si="40"/>
        <v>13</v>
      </c>
      <c r="B682">
        <v>13</v>
      </c>
      <c r="C682" t="s">
        <v>53</v>
      </c>
      <c r="D682" t="s">
        <v>33</v>
      </c>
      <c r="E682">
        <v>1</v>
      </c>
      <c r="F682">
        <v>1</v>
      </c>
      <c r="G682">
        <v>2901</v>
      </c>
      <c r="H682" t="s">
        <v>34</v>
      </c>
      <c r="I682" t="str">
        <f t="shared" si="41"/>
        <v>[{1000,1,1,2901,101}]</v>
      </c>
      <c r="J682" t="s">
        <v>35</v>
      </c>
      <c r="K682" t="e">
        <f>IF(A682="","",IF(J682=1,VLOOKUP(A682,[1]怪物!$R$80:$V$99,4,0),VLOOKUP(A682,[1]怪物!$R$80:$V$99,2,0))*10000)</f>
        <v>#N/A</v>
      </c>
      <c r="L682" t="e">
        <f>IF(A682="","",IF(K682=1,VLOOKUP(A682,[1]怪物!$R$80:$V$99,5,0),VLOOKUP(A682,[1]怪物!$R$80:$V$99,3,0))*10000)</f>
        <v>#N/A</v>
      </c>
      <c r="M682" t="e">
        <f t="shared" si="42"/>
        <v>#N/A</v>
      </c>
      <c r="N682" t="e">
        <f t="shared" si="43"/>
        <v>#N/A</v>
      </c>
    </row>
    <row r="683" spans="1:14">
      <c r="A683">
        <f t="shared" si="40"/>
        <v>13</v>
      </c>
      <c r="B683">
        <v>13</v>
      </c>
      <c r="C683" t="s">
        <v>53</v>
      </c>
      <c r="D683" t="s">
        <v>33</v>
      </c>
      <c r="E683">
        <v>1</v>
      </c>
      <c r="F683">
        <v>1</v>
      </c>
      <c r="G683">
        <v>2902</v>
      </c>
      <c r="H683" t="s">
        <v>34</v>
      </c>
      <c r="I683" t="str">
        <f t="shared" si="41"/>
        <v>[{1000,1,1,2902,101}]</v>
      </c>
      <c r="J683" t="s">
        <v>35</v>
      </c>
      <c r="K683" t="e">
        <f>IF(A683="","",IF(J683=1,VLOOKUP(A683,[1]怪物!$R$80:$V$99,4,0),VLOOKUP(A683,[1]怪物!$R$80:$V$99,2,0))*10000)</f>
        <v>#N/A</v>
      </c>
      <c r="L683" t="e">
        <f>IF(A683="","",IF(K683=1,VLOOKUP(A683,[1]怪物!$R$80:$V$99,5,0),VLOOKUP(A683,[1]怪物!$R$80:$V$99,3,0))*10000)</f>
        <v>#N/A</v>
      </c>
      <c r="M683" t="e">
        <f t="shared" si="42"/>
        <v>#N/A</v>
      </c>
      <c r="N683" t="e">
        <f t="shared" si="43"/>
        <v>#N/A</v>
      </c>
    </row>
    <row r="684" spans="1:14">
      <c r="A684">
        <f t="shared" si="40"/>
        <v>14</v>
      </c>
      <c r="B684">
        <v>14</v>
      </c>
      <c r="C684" t="s">
        <v>53</v>
      </c>
      <c r="D684" t="s">
        <v>33</v>
      </c>
      <c r="E684">
        <v>1</v>
      </c>
      <c r="F684">
        <v>1</v>
      </c>
      <c r="G684">
        <v>2901</v>
      </c>
      <c r="H684" t="s">
        <v>34</v>
      </c>
      <c r="I684" t="str">
        <f t="shared" si="41"/>
        <v>[{1000,1,1,2901,101}]</v>
      </c>
      <c r="J684" t="s">
        <v>35</v>
      </c>
      <c r="K684" t="e">
        <f>IF(A684="","",IF(J684=1,VLOOKUP(A684,[1]怪物!$R$80:$V$99,4,0),VLOOKUP(A684,[1]怪物!$R$80:$V$99,2,0))*10000)</f>
        <v>#N/A</v>
      </c>
      <c r="L684" t="e">
        <f>IF(A684="","",IF(K684=1,VLOOKUP(A684,[1]怪物!$R$80:$V$99,5,0),VLOOKUP(A684,[1]怪物!$R$80:$V$99,3,0))*10000)</f>
        <v>#N/A</v>
      </c>
      <c r="M684" t="e">
        <f t="shared" si="42"/>
        <v>#N/A</v>
      </c>
      <c r="N684" t="e">
        <f t="shared" si="43"/>
        <v>#N/A</v>
      </c>
    </row>
    <row r="685" spans="1:14">
      <c r="A685">
        <f t="shared" si="40"/>
        <v>14</v>
      </c>
      <c r="B685">
        <v>14</v>
      </c>
      <c r="C685" t="s">
        <v>53</v>
      </c>
      <c r="D685" t="s">
        <v>33</v>
      </c>
      <c r="E685">
        <v>1</v>
      </c>
      <c r="F685">
        <v>1</v>
      </c>
      <c r="G685">
        <v>2902</v>
      </c>
      <c r="H685" t="s">
        <v>34</v>
      </c>
      <c r="I685" t="str">
        <f t="shared" si="41"/>
        <v>[{1000,1,1,2902,101}]</v>
      </c>
      <c r="J685" t="s">
        <v>35</v>
      </c>
      <c r="K685" t="e">
        <f>IF(A685="","",IF(J685=1,VLOOKUP(A685,[1]怪物!$R$80:$V$99,4,0),VLOOKUP(A685,[1]怪物!$R$80:$V$99,2,0))*10000)</f>
        <v>#N/A</v>
      </c>
      <c r="L685" t="e">
        <f>IF(A685="","",IF(K685=1,VLOOKUP(A685,[1]怪物!$R$80:$V$99,5,0),VLOOKUP(A685,[1]怪物!$R$80:$V$99,3,0))*10000)</f>
        <v>#N/A</v>
      </c>
      <c r="M685" t="e">
        <f t="shared" si="42"/>
        <v>#N/A</v>
      </c>
      <c r="N685" t="e">
        <f t="shared" si="43"/>
        <v>#N/A</v>
      </c>
    </row>
    <row r="686" spans="1:14">
      <c r="A686">
        <f t="shared" si="40"/>
        <v>14</v>
      </c>
      <c r="B686">
        <v>14</v>
      </c>
      <c r="C686" t="s">
        <v>53</v>
      </c>
      <c r="D686" t="s">
        <v>33</v>
      </c>
      <c r="E686">
        <v>1</v>
      </c>
      <c r="F686">
        <v>1</v>
      </c>
      <c r="G686">
        <v>2903</v>
      </c>
      <c r="H686" t="s">
        <v>34</v>
      </c>
      <c r="I686" t="str">
        <f t="shared" si="41"/>
        <v>[{1000,1,1,2903,101}]</v>
      </c>
      <c r="J686" t="s">
        <v>35</v>
      </c>
      <c r="K686" t="e">
        <f>IF(A686="","",IF(J686=1,VLOOKUP(A686,[1]怪物!$R$80:$V$99,4,0),VLOOKUP(A686,[1]怪物!$R$80:$V$99,2,0))*10000)</f>
        <v>#N/A</v>
      </c>
      <c r="L686" t="e">
        <f>IF(A686="","",IF(K686=1,VLOOKUP(A686,[1]怪物!$R$80:$V$99,5,0),VLOOKUP(A686,[1]怪物!$R$80:$V$99,3,0))*10000)</f>
        <v>#N/A</v>
      </c>
      <c r="M686" t="e">
        <f t="shared" si="42"/>
        <v>#N/A</v>
      </c>
      <c r="N686" t="e">
        <f t="shared" si="43"/>
        <v>#N/A</v>
      </c>
    </row>
    <row r="687" spans="1:14">
      <c r="A687">
        <f t="shared" si="40"/>
        <v>15</v>
      </c>
      <c r="B687">
        <v>15</v>
      </c>
      <c r="C687" t="s">
        <v>53</v>
      </c>
      <c r="D687" t="s">
        <v>33</v>
      </c>
      <c r="E687">
        <v>1</v>
      </c>
      <c r="F687">
        <v>1</v>
      </c>
      <c r="G687">
        <v>2901</v>
      </c>
      <c r="H687" t="s">
        <v>34</v>
      </c>
      <c r="I687" t="str">
        <f t="shared" si="41"/>
        <v>[{1000,1,1,2901,101}]</v>
      </c>
      <c r="J687" t="s">
        <v>35</v>
      </c>
      <c r="K687" t="e">
        <f>IF(A687="","",IF(J687=1,VLOOKUP(A687,[1]怪物!$R$80:$V$99,4,0),VLOOKUP(A687,[1]怪物!$R$80:$V$99,2,0))*10000)</f>
        <v>#N/A</v>
      </c>
      <c r="L687" t="e">
        <f>IF(A687="","",IF(K687=1,VLOOKUP(A687,[1]怪物!$R$80:$V$99,5,0),VLOOKUP(A687,[1]怪物!$R$80:$V$99,3,0))*10000)</f>
        <v>#N/A</v>
      </c>
      <c r="M687" t="e">
        <f t="shared" si="42"/>
        <v>#N/A</v>
      </c>
      <c r="N687" t="e">
        <f t="shared" si="43"/>
        <v>#N/A</v>
      </c>
    </row>
    <row r="688" spans="1:14">
      <c r="A688">
        <f t="shared" si="40"/>
        <v>15</v>
      </c>
      <c r="B688">
        <v>15</v>
      </c>
      <c r="C688" t="s">
        <v>53</v>
      </c>
      <c r="D688" t="s">
        <v>33</v>
      </c>
      <c r="E688">
        <v>1</v>
      </c>
      <c r="F688">
        <v>1</v>
      </c>
      <c r="G688">
        <v>2902</v>
      </c>
      <c r="H688" t="s">
        <v>34</v>
      </c>
      <c r="I688" t="str">
        <f t="shared" si="41"/>
        <v>[{1000,1,1,2902,101}]</v>
      </c>
      <c r="J688" t="s">
        <v>35</v>
      </c>
      <c r="K688" t="e">
        <f>IF(A688="","",IF(J688=1,VLOOKUP(A688,[1]怪物!$R$80:$V$99,4,0),VLOOKUP(A688,[1]怪物!$R$80:$V$99,2,0))*10000)</f>
        <v>#N/A</v>
      </c>
      <c r="L688" t="e">
        <f>IF(A688="","",IF(K688=1,VLOOKUP(A688,[1]怪物!$R$80:$V$99,5,0),VLOOKUP(A688,[1]怪物!$R$80:$V$99,3,0))*10000)</f>
        <v>#N/A</v>
      </c>
      <c r="M688" t="e">
        <f t="shared" si="42"/>
        <v>#N/A</v>
      </c>
      <c r="N688" t="e">
        <f t="shared" si="43"/>
        <v>#N/A</v>
      </c>
    </row>
    <row r="689" spans="1:14">
      <c r="A689">
        <f t="shared" si="40"/>
        <v>15</v>
      </c>
      <c r="B689">
        <v>15</v>
      </c>
      <c r="C689" t="s">
        <v>53</v>
      </c>
      <c r="D689" t="s">
        <v>33</v>
      </c>
      <c r="E689">
        <v>1</v>
      </c>
      <c r="F689">
        <v>1</v>
      </c>
      <c r="G689">
        <v>2903</v>
      </c>
      <c r="H689" t="s">
        <v>34</v>
      </c>
      <c r="I689" t="str">
        <f t="shared" si="41"/>
        <v>[{1000,1,1,2903,101}]</v>
      </c>
      <c r="J689" t="s">
        <v>35</v>
      </c>
      <c r="K689" t="e">
        <f>IF(A689="","",IF(J689=1,VLOOKUP(A689,[1]怪物!$R$80:$V$99,4,0),VLOOKUP(A689,[1]怪物!$R$80:$V$99,2,0))*10000)</f>
        <v>#N/A</v>
      </c>
      <c r="L689" t="e">
        <f>IF(A689="","",IF(K689=1,VLOOKUP(A689,[1]怪物!$R$80:$V$99,5,0),VLOOKUP(A689,[1]怪物!$R$80:$V$99,3,0))*10000)</f>
        <v>#N/A</v>
      </c>
      <c r="M689" t="e">
        <f t="shared" si="42"/>
        <v>#N/A</v>
      </c>
      <c r="N689" t="e">
        <f t="shared" si="43"/>
        <v>#N/A</v>
      </c>
    </row>
    <row r="690" spans="1:14">
      <c r="A690">
        <f t="shared" si="40"/>
        <v>16</v>
      </c>
      <c r="B690">
        <v>16</v>
      </c>
      <c r="C690" t="s">
        <v>53</v>
      </c>
      <c r="D690" t="s">
        <v>33</v>
      </c>
      <c r="E690">
        <v>1</v>
      </c>
      <c r="F690">
        <v>1</v>
      </c>
      <c r="G690">
        <v>2901</v>
      </c>
      <c r="H690" t="s">
        <v>34</v>
      </c>
      <c r="I690" t="str">
        <f t="shared" si="41"/>
        <v>[{1000,1,1,2901,101}]</v>
      </c>
      <c r="J690" t="s">
        <v>35</v>
      </c>
      <c r="K690" t="e">
        <f>IF(A690="","",IF(J690=1,VLOOKUP(A690,[1]怪物!$R$80:$V$99,4,0),VLOOKUP(A690,[1]怪物!$R$80:$V$99,2,0))*10000)</f>
        <v>#N/A</v>
      </c>
      <c r="L690" t="e">
        <f>IF(A690="","",IF(K690=1,VLOOKUP(A690,[1]怪物!$R$80:$V$99,5,0),VLOOKUP(A690,[1]怪物!$R$80:$V$99,3,0))*10000)</f>
        <v>#N/A</v>
      </c>
      <c r="M690" t="e">
        <f t="shared" si="42"/>
        <v>#N/A</v>
      </c>
      <c r="N690" t="e">
        <f t="shared" si="43"/>
        <v>#N/A</v>
      </c>
    </row>
    <row r="691" spans="1:14">
      <c r="A691">
        <f t="shared" si="40"/>
        <v>16</v>
      </c>
      <c r="B691">
        <v>16</v>
      </c>
      <c r="C691" t="s">
        <v>53</v>
      </c>
      <c r="D691" t="s">
        <v>33</v>
      </c>
      <c r="E691">
        <v>1</v>
      </c>
      <c r="F691">
        <v>1</v>
      </c>
      <c r="G691">
        <v>2902</v>
      </c>
      <c r="H691" t="s">
        <v>34</v>
      </c>
      <c r="I691" t="str">
        <f t="shared" si="41"/>
        <v>[{1000,1,1,2902,101}]</v>
      </c>
      <c r="J691" t="s">
        <v>35</v>
      </c>
      <c r="K691" t="e">
        <f>IF(A691="","",IF(J691=1,VLOOKUP(A691,[1]怪物!$R$80:$V$99,4,0),VLOOKUP(A691,[1]怪物!$R$80:$V$99,2,0))*10000)</f>
        <v>#N/A</v>
      </c>
      <c r="L691" t="e">
        <f>IF(A691="","",IF(K691=1,VLOOKUP(A691,[1]怪物!$R$80:$V$99,5,0),VLOOKUP(A691,[1]怪物!$R$80:$V$99,3,0))*10000)</f>
        <v>#N/A</v>
      </c>
      <c r="M691" t="e">
        <f t="shared" si="42"/>
        <v>#N/A</v>
      </c>
      <c r="N691" t="e">
        <f t="shared" si="43"/>
        <v>#N/A</v>
      </c>
    </row>
    <row r="692" spans="1:14">
      <c r="A692">
        <f t="shared" si="40"/>
        <v>16</v>
      </c>
      <c r="B692">
        <v>16</v>
      </c>
      <c r="C692" t="s">
        <v>53</v>
      </c>
      <c r="D692" t="s">
        <v>33</v>
      </c>
      <c r="E692">
        <v>1</v>
      </c>
      <c r="F692">
        <v>1</v>
      </c>
      <c r="G692">
        <v>2903</v>
      </c>
      <c r="H692" t="s">
        <v>34</v>
      </c>
      <c r="I692" t="str">
        <f t="shared" si="41"/>
        <v>[{1000,1,1,2903,101}]</v>
      </c>
      <c r="J692" t="s">
        <v>35</v>
      </c>
      <c r="K692" t="e">
        <f>IF(A692="","",IF(J692=1,VLOOKUP(A692,[1]怪物!$R$80:$V$99,4,0),VLOOKUP(A692,[1]怪物!$R$80:$V$99,2,0))*10000)</f>
        <v>#N/A</v>
      </c>
      <c r="L692" t="e">
        <f>IF(A692="","",IF(K692=1,VLOOKUP(A692,[1]怪物!$R$80:$V$99,5,0),VLOOKUP(A692,[1]怪物!$R$80:$V$99,3,0))*10000)</f>
        <v>#N/A</v>
      </c>
      <c r="M692" t="e">
        <f t="shared" si="42"/>
        <v>#N/A</v>
      </c>
      <c r="N692" t="e">
        <f t="shared" si="43"/>
        <v>#N/A</v>
      </c>
    </row>
    <row r="693" spans="1:14">
      <c r="A693">
        <f t="shared" si="40"/>
        <v>17</v>
      </c>
      <c r="B693">
        <v>17</v>
      </c>
      <c r="C693" t="s">
        <v>53</v>
      </c>
      <c r="D693" t="s">
        <v>33</v>
      </c>
      <c r="E693">
        <v>1</v>
      </c>
      <c r="F693">
        <v>1</v>
      </c>
      <c r="G693">
        <v>2901</v>
      </c>
      <c r="H693" t="s">
        <v>34</v>
      </c>
      <c r="I693" t="str">
        <f t="shared" si="41"/>
        <v>[{1000,1,1,2901,101}]</v>
      </c>
      <c r="J693" t="s">
        <v>35</v>
      </c>
      <c r="K693" t="e">
        <f>IF(A693="","",IF(J693=1,VLOOKUP(A693,[1]怪物!$R$80:$V$99,4,0),VLOOKUP(A693,[1]怪物!$R$80:$V$99,2,0))*10000)</f>
        <v>#N/A</v>
      </c>
      <c r="L693" t="e">
        <f>IF(A693="","",IF(K693=1,VLOOKUP(A693,[1]怪物!$R$80:$V$99,5,0),VLOOKUP(A693,[1]怪物!$R$80:$V$99,3,0))*10000)</f>
        <v>#N/A</v>
      </c>
      <c r="M693" t="e">
        <f t="shared" si="42"/>
        <v>#N/A</v>
      </c>
      <c r="N693" t="e">
        <f t="shared" si="43"/>
        <v>#N/A</v>
      </c>
    </row>
    <row r="694" spans="1:14">
      <c r="A694">
        <f t="shared" si="40"/>
        <v>17</v>
      </c>
      <c r="B694">
        <v>17</v>
      </c>
      <c r="C694" t="s">
        <v>53</v>
      </c>
      <c r="D694" t="s">
        <v>33</v>
      </c>
      <c r="E694">
        <v>1</v>
      </c>
      <c r="F694">
        <v>1</v>
      </c>
      <c r="G694">
        <v>2902</v>
      </c>
      <c r="H694" t="s">
        <v>34</v>
      </c>
      <c r="I694" t="str">
        <f t="shared" si="41"/>
        <v>[{1000,1,1,2902,101}]</v>
      </c>
      <c r="J694" t="s">
        <v>35</v>
      </c>
      <c r="K694" t="e">
        <f>IF(A694="","",IF(J694=1,VLOOKUP(A694,[1]怪物!$R$80:$V$99,4,0),VLOOKUP(A694,[1]怪物!$R$80:$V$99,2,0))*10000)</f>
        <v>#N/A</v>
      </c>
      <c r="L694" t="e">
        <f>IF(A694="","",IF(K694=1,VLOOKUP(A694,[1]怪物!$R$80:$V$99,5,0),VLOOKUP(A694,[1]怪物!$R$80:$V$99,3,0))*10000)</f>
        <v>#N/A</v>
      </c>
      <c r="M694" t="e">
        <f t="shared" si="42"/>
        <v>#N/A</v>
      </c>
      <c r="N694" t="e">
        <f t="shared" si="43"/>
        <v>#N/A</v>
      </c>
    </row>
    <row r="695" spans="1:14">
      <c r="A695">
        <f t="shared" si="40"/>
        <v>17</v>
      </c>
      <c r="B695">
        <v>17</v>
      </c>
      <c r="C695" t="s">
        <v>53</v>
      </c>
      <c r="D695" t="s">
        <v>33</v>
      </c>
      <c r="E695">
        <v>1</v>
      </c>
      <c r="F695">
        <v>1</v>
      </c>
      <c r="G695">
        <v>2903</v>
      </c>
      <c r="H695" t="s">
        <v>34</v>
      </c>
      <c r="I695" t="str">
        <f t="shared" si="41"/>
        <v>[{1000,1,1,2903,101}]</v>
      </c>
      <c r="J695" t="s">
        <v>35</v>
      </c>
      <c r="K695" t="e">
        <f>IF(A695="","",IF(J695=1,VLOOKUP(A695,[1]怪物!$R$80:$V$99,4,0),VLOOKUP(A695,[1]怪物!$R$80:$V$99,2,0))*10000)</f>
        <v>#N/A</v>
      </c>
      <c r="L695" t="e">
        <f>IF(A695="","",IF(K695=1,VLOOKUP(A695,[1]怪物!$R$80:$V$99,5,0),VLOOKUP(A695,[1]怪物!$R$80:$V$99,3,0))*10000)</f>
        <v>#N/A</v>
      </c>
      <c r="M695" t="e">
        <f t="shared" si="42"/>
        <v>#N/A</v>
      </c>
      <c r="N695" t="e">
        <f t="shared" si="43"/>
        <v>#N/A</v>
      </c>
    </row>
    <row r="696" spans="1:14">
      <c r="A696">
        <f t="shared" si="40"/>
        <v>18</v>
      </c>
      <c r="B696">
        <v>18</v>
      </c>
      <c r="C696" t="s">
        <v>53</v>
      </c>
      <c r="D696" t="s">
        <v>33</v>
      </c>
      <c r="E696">
        <v>1</v>
      </c>
      <c r="F696">
        <v>1</v>
      </c>
      <c r="G696">
        <v>2901</v>
      </c>
      <c r="H696" t="s">
        <v>34</v>
      </c>
      <c r="I696" t="str">
        <f t="shared" si="41"/>
        <v>[{1000,1,1,2901,101}]</v>
      </c>
      <c r="J696" t="s">
        <v>35</v>
      </c>
      <c r="K696" t="e">
        <f>IF(A696="","",IF(J696=1,VLOOKUP(A696,[1]怪物!$R$80:$V$99,4,0),VLOOKUP(A696,[1]怪物!$R$80:$V$99,2,0))*10000)</f>
        <v>#N/A</v>
      </c>
      <c r="L696" t="e">
        <f>IF(A696="","",IF(K696=1,VLOOKUP(A696,[1]怪物!$R$80:$V$99,5,0),VLOOKUP(A696,[1]怪物!$R$80:$V$99,3,0))*10000)</f>
        <v>#N/A</v>
      </c>
      <c r="M696" t="e">
        <f t="shared" si="42"/>
        <v>#N/A</v>
      </c>
      <c r="N696" t="e">
        <f t="shared" si="43"/>
        <v>#N/A</v>
      </c>
    </row>
    <row r="697" spans="1:14">
      <c r="A697">
        <f t="shared" si="40"/>
        <v>18</v>
      </c>
      <c r="B697">
        <v>18</v>
      </c>
      <c r="C697" t="s">
        <v>53</v>
      </c>
      <c r="D697" t="s">
        <v>33</v>
      </c>
      <c r="E697">
        <v>1</v>
      </c>
      <c r="F697">
        <v>1</v>
      </c>
      <c r="G697">
        <v>2902</v>
      </c>
      <c r="H697" t="s">
        <v>34</v>
      </c>
      <c r="I697" t="str">
        <f t="shared" si="41"/>
        <v>[{1000,1,1,2902,101}]</v>
      </c>
      <c r="J697" t="s">
        <v>35</v>
      </c>
      <c r="K697" t="e">
        <f>IF(A697="","",IF(J697=1,VLOOKUP(A697,[1]怪物!$R$80:$V$99,4,0),VLOOKUP(A697,[1]怪物!$R$80:$V$99,2,0))*10000)</f>
        <v>#N/A</v>
      </c>
      <c r="L697" t="e">
        <f>IF(A697="","",IF(K697=1,VLOOKUP(A697,[1]怪物!$R$80:$V$99,5,0),VLOOKUP(A697,[1]怪物!$R$80:$V$99,3,0))*10000)</f>
        <v>#N/A</v>
      </c>
      <c r="M697" t="e">
        <f t="shared" si="42"/>
        <v>#N/A</v>
      </c>
      <c r="N697" t="e">
        <f t="shared" si="43"/>
        <v>#N/A</v>
      </c>
    </row>
    <row r="698" spans="1:14">
      <c r="A698">
        <f t="shared" si="40"/>
        <v>18</v>
      </c>
      <c r="B698">
        <v>18</v>
      </c>
      <c r="C698" t="s">
        <v>53</v>
      </c>
      <c r="D698" t="s">
        <v>33</v>
      </c>
      <c r="E698">
        <v>1</v>
      </c>
      <c r="F698">
        <v>1</v>
      </c>
      <c r="G698">
        <v>2903</v>
      </c>
      <c r="H698" t="s">
        <v>34</v>
      </c>
      <c r="I698" t="str">
        <f t="shared" si="41"/>
        <v>[{1000,1,1,2903,101}]</v>
      </c>
      <c r="J698" t="s">
        <v>35</v>
      </c>
      <c r="K698" t="e">
        <f>IF(A698="","",IF(J698=1,VLOOKUP(A698,[1]怪物!$R$80:$V$99,4,0),VLOOKUP(A698,[1]怪物!$R$80:$V$99,2,0))*10000)</f>
        <v>#N/A</v>
      </c>
      <c r="L698" t="e">
        <f>IF(A698="","",IF(K698=1,VLOOKUP(A698,[1]怪物!$R$80:$V$99,5,0),VLOOKUP(A698,[1]怪物!$R$80:$V$99,3,0))*10000)</f>
        <v>#N/A</v>
      </c>
      <c r="M698" t="e">
        <f t="shared" si="42"/>
        <v>#N/A</v>
      </c>
      <c r="N698" t="e">
        <f t="shared" si="43"/>
        <v>#N/A</v>
      </c>
    </row>
    <row r="699" spans="1:14">
      <c r="A699">
        <f t="shared" si="40"/>
        <v>19</v>
      </c>
      <c r="B699">
        <v>19</v>
      </c>
      <c r="C699" t="s">
        <v>53</v>
      </c>
      <c r="D699" t="s">
        <v>33</v>
      </c>
      <c r="E699">
        <v>1</v>
      </c>
      <c r="F699">
        <v>1</v>
      </c>
      <c r="G699">
        <v>2901</v>
      </c>
      <c r="H699" t="s">
        <v>34</v>
      </c>
      <c r="I699" t="str">
        <f t="shared" si="41"/>
        <v>[{1000,1,1,2901,101}]</v>
      </c>
      <c r="J699" t="s">
        <v>35</v>
      </c>
      <c r="K699" t="e">
        <f>IF(A699="","",IF(J699=1,VLOOKUP(A699,[1]怪物!$R$80:$V$99,4,0),VLOOKUP(A699,[1]怪物!$R$80:$V$99,2,0))*10000)</f>
        <v>#N/A</v>
      </c>
      <c r="L699" t="e">
        <f>IF(A699="","",IF(K699=1,VLOOKUP(A699,[1]怪物!$R$80:$V$99,5,0),VLOOKUP(A699,[1]怪物!$R$80:$V$99,3,0))*10000)</f>
        <v>#N/A</v>
      </c>
      <c r="M699" t="e">
        <f t="shared" si="42"/>
        <v>#N/A</v>
      </c>
      <c r="N699" t="e">
        <f t="shared" si="43"/>
        <v>#N/A</v>
      </c>
    </row>
    <row r="700" spans="1:14">
      <c r="A700">
        <f t="shared" si="40"/>
        <v>19</v>
      </c>
      <c r="B700">
        <v>19</v>
      </c>
      <c r="C700" t="s">
        <v>53</v>
      </c>
      <c r="D700" t="s">
        <v>33</v>
      </c>
      <c r="E700">
        <v>1</v>
      </c>
      <c r="F700">
        <v>1</v>
      </c>
      <c r="G700">
        <v>2902</v>
      </c>
      <c r="H700" t="s">
        <v>34</v>
      </c>
      <c r="I700" t="str">
        <f t="shared" si="41"/>
        <v>[{1000,1,1,2902,101}]</v>
      </c>
      <c r="J700" t="s">
        <v>35</v>
      </c>
      <c r="K700" t="e">
        <f>IF(A700="","",IF(J700=1,VLOOKUP(A700,[1]怪物!$R$80:$V$99,4,0),VLOOKUP(A700,[1]怪物!$R$80:$V$99,2,0))*10000)</f>
        <v>#N/A</v>
      </c>
      <c r="L700" t="e">
        <f>IF(A700="","",IF(K700=1,VLOOKUP(A700,[1]怪物!$R$80:$V$99,5,0),VLOOKUP(A700,[1]怪物!$R$80:$V$99,3,0))*10000)</f>
        <v>#N/A</v>
      </c>
      <c r="M700" t="e">
        <f t="shared" si="42"/>
        <v>#N/A</v>
      </c>
      <c r="N700" t="e">
        <f t="shared" si="43"/>
        <v>#N/A</v>
      </c>
    </row>
    <row r="701" spans="1:14">
      <c r="A701">
        <f t="shared" si="40"/>
        <v>19</v>
      </c>
      <c r="B701">
        <v>19</v>
      </c>
      <c r="C701" t="s">
        <v>53</v>
      </c>
      <c r="D701" t="s">
        <v>33</v>
      </c>
      <c r="E701">
        <v>1</v>
      </c>
      <c r="F701">
        <v>1</v>
      </c>
      <c r="G701">
        <v>2903</v>
      </c>
      <c r="H701" t="s">
        <v>34</v>
      </c>
      <c r="I701" t="str">
        <f t="shared" si="41"/>
        <v>[{1000,1,1,2903,101}]</v>
      </c>
      <c r="J701" t="s">
        <v>35</v>
      </c>
      <c r="K701" t="e">
        <f>IF(A701="","",IF(J701=1,VLOOKUP(A701,[1]怪物!$R$80:$V$99,4,0),VLOOKUP(A701,[1]怪物!$R$80:$V$99,2,0))*10000)</f>
        <v>#N/A</v>
      </c>
      <c r="L701" t="e">
        <f>IF(A701="","",IF(K701=1,VLOOKUP(A701,[1]怪物!$R$80:$V$99,5,0),VLOOKUP(A701,[1]怪物!$R$80:$V$99,3,0))*10000)</f>
        <v>#N/A</v>
      </c>
      <c r="M701" t="e">
        <f t="shared" si="42"/>
        <v>#N/A</v>
      </c>
      <c r="N701" t="e">
        <f t="shared" si="43"/>
        <v>#N/A</v>
      </c>
    </row>
    <row r="702" spans="1:14">
      <c r="A702">
        <f t="shared" si="40"/>
        <v>20</v>
      </c>
      <c r="B702">
        <v>20</v>
      </c>
      <c r="C702" t="s">
        <v>53</v>
      </c>
      <c r="D702" t="s">
        <v>33</v>
      </c>
      <c r="E702">
        <v>1</v>
      </c>
      <c r="F702">
        <v>1</v>
      </c>
      <c r="G702">
        <v>2901</v>
      </c>
      <c r="H702" t="s">
        <v>34</v>
      </c>
      <c r="I702" t="str">
        <f t="shared" si="41"/>
        <v>[{1000,1,1,2901,101}]</v>
      </c>
      <c r="J702" t="s">
        <v>35</v>
      </c>
      <c r="K702" t="e">
        <f>IF(A702="","",IF(J702=1,VLOOKUP(A702,[1]怪物!$R$80:$V$99,4,0),VLOOKUP(A702,[1]怪物!$R$80:$V$99,2,0))*10000)</f>
        <v>#N/A</v>
      </c>
      <c r="L702" t="e">
        <f>IF(A702="","",IF(K702=1,VLOOKUP(A702,[1]怪物!$R$80:$V$99,5,0),VLOOKUP(A702,[1]怪物!$R$80:$V$99,3,0))*10000)</f>
        <v>#N/A</v>
      </c>
      <c r="M702" t="e">
        <f t="shared" si="42"/>
        <v>#N/A</v>
      </c>
      <c r="N702" t="e">
        <f t="shared" si="43"/>
        <v>#N/A</v>
      </c>
    </row>
    <row r="703" spans="1:14">
      <c r="A703">
        <f t="shared" si="40"/>
        <v>20</v>
      </c>
      <c r="B703">
        <v>20</v>
      </c>
      <c r="C703" t="s">
        <v>53</v>
      </c>
      <c r="D703" t="s">
        <v>33</v>
      </c>
      <c r="E703">
        <v>1</v>
      </c>
      <c r="F703">
        <v>1</v>
      </c>
      <c r="G703">
        <v>2902</v>
      </c>
      <c r="H703" t="s">
        <v>34</v>
      </c>
      <c r="I703" t="str">
        <f t="shared" si="41"/>
        <v>[{1000,1,1,2902,101}]</v>
      </c>
      <c r="J703" t="s">
        <v>35</v>
      </c>
      <c r="K703" t="e">
        <f>IF(A703="","",IF(J703=1,VLOOKUP(A703,[1]怪物!$R$80:$V$99,4,0),VLOOKUP(A703,[1]怪物!$R$80:$V$99,2,0))*10000)</f>
        <v>#N/A</v>
      </c>
      <c r="L703" t="e">
        <f>IF(A703="","",IF(K703=1,VLOOKUP(A703,[1]怪物!$R$80:$V$99,5,0),VLOOKUP(A703,[1]怪物!$R$80:$V$99,3,0))*10000)</f>
        <v>#N/A</v>
      </c>
      <c r="M703" t="e">
        <f t="shared" si="42"/>
        <v>#N/A</v>
      </c>
      <c r="N703" t="e">
        <f t="shared" si="43"/>
        <v>#N/A</v>
      </c>
    </row>
    <row r="704" spans="1:14">
      <c r="A704">
        <f t="shared" si="40"/>
        <v>20</v>
      </c>
      <c r="B704">
        <v>20</v>
      </c>
      <c r="C704" t="s">
        <v>53</v>
      </c>
      <c r="D704" t="s">
        <v>33</v>
      </c>
      <c r="E704">
        <v>1</v>
      </c>
      <c r="F704">
        <v>1</v>
      </c>
      <c r="G704">
        <v>2903</v>
      </c>
      <c r="H704" t="s">
        <v>34</v>
      </c>
      <c r="I704" t="str">
        <f t="shared" si="41"/>
        <v>[{1000,1,1,2903,101}]</v>
      </c>
      <c r="J704" t="s">
        <v>35</v>
      </c>
      <c r="K704" t="e">
        <f>IF(A704="","",IF(J704=1,VLOOKUP(A704,[1]怪物!$R$80:$V$99,4,0),VLOOKUP(A704,[1]怪物!$R$80:$V$99,2,0))*10000)</f>
        <v>#N/A</v>
      </c>
      <c r="L704" t="e">
        <f>IF(A704="","",IF(K704=1,VLOOKUP(A704,[1]怪物!$R$80:$V$99,5,0),VLOOKUP(A704,[1]怪物!$R$80:$V$99,3,0))*10000)</f>
        <v>#N/A</v>
      </c>
      <c r="M704" t="e">
        <f t="shared" si="42"/>
        <v>#N/A</v>
      </c>
      <c r="N704" t="e">
        <f t="shared" si="43"/>
        <v>#N/A</v>
      </c>
    </row>
    <row r="705" spans="1:14">
      <c r="A705" t="str">
        <f t="shared" si="40"/>
        <v/>
      </c>
      <c r="B705">
        <v>20</v>
      </c>
      <c r="C705" t="s">
        <v>53</v>
      </c>
      <c r="D705" t="s">
        <v>28</v>
      </c>
      <c r="I705" t="str">
        <f t="shared" si="41"/>
        <v>[]</v>
      </c>
      <c r="J705" t="s">
        <v>54</v>
      </c>
      <c r="K705" t="str">
        <f>IF(A705="","",IF(J705=1,VLOOKUP(A705,[1]怪物!$R$80:$V$99,4,0),VLOOKUP(A705,[1]怪物!$R$80:$V$99,2,0))*10000)</f>
        <v/>
      </c>
      <c r="L705" t="str">
        <f>IF(A705="","",IF(K705=1,VLOOKUP(A705,[1]怪物!$R$80:$V$99,5,0),VLOOKUP(A705,[1]怪物!$R$80:$V$99,3,0))*10000)</f>
        <v/>
      </c>
      <c r="M705" t="str">
        <f t="shared" si="42"/>
        <v/>
      </c>
      <c r="N705" t="str">
        <f t="shared" si="43"/>
        <v/>
      </c>
    </row>
    <row r="706" spans="1:14">
      <c r="A706">
        <f t="shared" ref="A706:A751" si="44">IF(E706="","",B706)</f>
        <v>20</v>
      </c>
      <c r="B706">
        <v>20</v>
      </c>
      <c r="C706" t="s">
        <v>53</v>
      </c>
      <c r="D706" t="s">
        <v>33</v>
      </c>
      <c r="E706">
        <v>1</v>
      </c>
      <c r="F706">
        <v>0</v>
      </c>
      <c r="G706">
        <v>2931</v>
      </c>
      <c r="H706" t="s">
        <v>36</v>
      </c>
      <c r="I706" t="str">
        <f t="shared" ref="I706:I769" si="45">_xlfn.TEXTJOIN(",",1,D706:H706)</f>
        <v>[{1000,1,0,2931,41}]</v>
      </c>
      <c r="J706" t="s">
        <v>35</v>
      </c>
      <c r="K706" t="e">
        <f>IF(A706="","",IF(J706=1,VLOOKUP(A706,[1]怪物!$R$80:$V$99,4,0),VLOOKUP(A706,[1]怪物!$R$80:$V$99,2,0))*10000)</f>
        <v>#N/A</v>
      </c>
      <c r="L706" t="e">
        <f>IF(A706="","",IF(K706=1,VLOOKUP(A706,[1]怪物!$R$80:$V$99,5,0),VLOOKUP(A706,[1]怪物!$R$80:$V$99,3,0))*10000)</f>
        <v>#N/A</v>
      </c>
      <c r="M706">
        <f t="shared" ref="M706:M751" si="46">IF(F706="","",IF(F706=0,10000,K706))</f>
        <v>10000</v>
      </c>
      <c r="N706">
        <f t="shared" ref="N706:N751" si="47">IF(F706="","",IF(F706=0,10000,L706))</f>
        <v>10000</v>
      </c>
    </row>
    <row r="707" spans="1:14">
      <c r="A707">
        <f t="shared" si="44"/>
        <v>1</v>
      </c>
      <c r="B707">
        <v>1</v>
      </c>
      <c r="C707" t="s">
        <v>55</v>
      </c>
      <c r="D707" t="s">
        <v>33</v>
      </c>
      <c r="E707">
        <v>1</v>
      </c>
      <c r="F707">
        <v>1</v>
      </c>
      <c r="G707">
        <v>3001</v>
      </c>
      <c r="H707" t="s">
        <v>34</v>
      </c>
      <c r="I707" t="str">
        <f t="shared" si="45"/>
        <v>[{1000,1,1,3001,101}]</v>
      </c>
      <c r="J707" t="s">
        <v>35</v>
      </c>
      <c r="K707">
        <f>IF(A707="","",IF(J707=1,VLOOKUP(A707,[1]怪物!$R$80:$V$99,4,0),VLOOKUP(A707,[1]怪物!$R$80:$V$99,2,0))*10000)</f>
        <v>10000</v>
      </c>
      <c r="L707">
        <f>IF(A707="","",IF(K707=1,VLOOKUP(A707,[1]怪物!$R$80:$V$99,5,0),VLOOKUP(A707,[1]怪物!$R$80:$V$99,3,0))*10000)</f>
        <v>10000</v>
      </c>
      <c r="M707">
        <f t="shared" si="46"/>
        <v>10000</v>
      </c>
      <c r="N707">
        <f t="shared" si="47"/>
        <v>10000</v>
      </c>
    </row>
    <row r="708" spans="1:14">
      <c r="A708">
        <f t="shared" si="44"/>
        <v>2</v>
      </c>
      <c r="B708">
        <v>2</v>
      </c>
      <c r="C708" t="s">
        <v>55</v>
      </c>
      <c r="D708" t="s">
        <v>33</v>
      </c>
      <c r="E708">
        <v>1</v>
      </c>
      <c r="F708">
        <v>1</v>
      </c>
      <c r="G708">
        <v>3001</v>
      </c>
      <c r="H708" t="s">
        <v>34</v>
      </c>
      <c r="I708" t="str">
        <f t="shared" si="45"/>
        <v>[{1000,1,1,3001,101}]</v>
      </c>
      <c r="J708" t="s">
        <v>35</v>
      </c>
      <c r="K708">
        <f>IF(A708="","",IF(J708=1,VLOOKUP(A708,[1]怪物!$R$80:$V$99,4,0),VLOOKUP(A708,[1]怪物!$R$80:$V$99,2,0))*10000)</f>
        <v>10000</v>
      </c>
      <c r="L708">
        <f>IF(A708="","",IF(K708=1,VLOOKUP(A708,[1]怪物!$R$80:$V$99,5,0),VLOOKUP(A708,[1]怪物!$R$80:$V$99,3,0))*10000)</f>
        <v>10000</v>
      </c>
      <c r="M708">
        <f t="shared" si="46"/>
        <v>10000</v>
      </c>
      <c r="N708">
        <f t="shared" si="47"/>
        <v>10000</v>
      </c>
    </row>
    <row r="709" spans="1:14">
      <c r="A709">
        <f t="shared" si="44"/>
        <v>3</v>
      </c>
      <c r="B709">
        <v>3</v>
      </c>
      <c r="C709" t="s">
        <v>55</v>
      </c>
      <c r="D709" t="s">
        <v>33</v>
      </c>
      <c r="E709">
        <v>1</v>
      </c>
      <c r="F709">
        <v>1</v>
      </c>
      <c r="G709">
        <v>3001</v>
      </c>
      <c r="H709" t="s">
        <v>34</v>
      </c>
      <c r="I709" t="str">
        <f t="shared" si="45"/>
        <v>[{1000,1,1,3001,101}]</v>
      </c>
      <c r="J709" t="s">
        <v>35</v>
      </c>
      <c r="K709">
        <f>IF(A709="","",IF(J709=1,VLOOKUP(A709,[1]怪物!$R$80:$V$99,4,0),VLOOKUP(A709,[1]怪物!$R$80:$V$99,2,0))*10000)</f>
        <v>10000</v>
      </c>
      <c r="L709">
        <f>IF(A709="","",IF(K709=1,VLOOKUP(A709,[1]怪物!$R$80:$V$99,5,0),VLOOKUP(A709,[1]怪物!$R$80:$V$99,3,0))*10000)</f>
        <v>10000</v>
      </c>
      <c r="M709">
        <f t="shared" si="46"/>
        <v>10000</v>
      </c>
      <c r="N709">
        <f t="shared" si="47"/>
        <v>10000</v>
      </c>
    </row>
    <row r="710" spans="1:14">
      <c r="A710">
        <f t="shared" si="44"/>
        <v>4</v>
      </c>
      <c r="B710">
        <v>4</v>
      </c>
      <c r="C710" t="s">
        <v>55</v>
      </c>
      <c r="D710" t="s">
        <v>33</v>
      </c>
      <c r="E710">
        <v>1</v>
      </c>
      <c r="F710">
        <v>1</v>
      </c>
      <c r="G710">
        <v>3001</v>
      </c>
      <c r="H710" t="s">
        <v>34</v>
      </c>
      <c r="I710" t="str">
        <f t="shared" si="45"/>
        <v>[{1000,1,1,3001,101}]</v>
      </c>
      <c r="J710" t="s">
        <v>35</v>
      </c>
      <c r="K710">
        <f>IF(A710="","",IF(J710=1,VLOOKUP(A710,[1]怪物!$R$80:$V$99,4,0),VLOOKUP(A710,[1]怪物!$R$80:$V$99,2,0))*10000)</f>
        <v>10000</v>
      </c>
      <c r="L710">
        <f>IF(A710="","",IF(K710=1,VLOOKUP(A710,[1]怪物!$R$80:$V$99,5,0),VLOOKUP(A710,[1]怪物!$R$80:$V$99,3,0))*10000)</f>
        <v>10000</v>
      </c>
      <c r="M710">
        <f t="shared" si="46"/>
        <v>10000</v>
      </c>
      <c r="N710">
        <f t="shared" si="47"/>
        <v>10000</v>
      </c>
    </row>
    <row r="711" spans="1:14">
      <c r="A711">
        <f t="shared" si="44"/>
        <v>5</v>
      </c>
      <c r="B711">
        <v>5</v>
      </c>
      <c r="C711" t="s">
        <v>55</v>
      </c>
      <c r="D711" t="s">
        <v>33</v>
      </c>
      <c r="E711">
        <v>1</v>
      </c>
      <c r="F711">
        <v>1</v>
      </c>
      <c r="G711">
        <v>3001</v>
      </c>
      <c r="H711" t="s">
        <v>34</v>
      </c>
      <c r="I711" t="str">
        <f t="shared" si="45"/>
        <v>[{1000,1,1,3001,101}]</v>
      </c>
      <c r="J711" t="s">
        <v>35</v>
      </c>
      <c r="K711">
        <f>IF(A711="","",IF(J711=1,VLOOKUP(A711,[1]怪物!$R$80:$V$99,4,0),VLOOKUP(A711,[1]怪物!$R$80:$V$99,2,0))*10000)</f>
        <v>10000</v>
      </c>
      <c r="L711">
        <f>IF(A711="","",IF(K711=1,VLOOKUP(A711,[1]怪物!$R$80:$V$99,5,0),VLOOKUP(A711,[1]怪物!$R$80:$V$99,3,0))*10000)</f>
        <v>10000</v>
      </c>
      <c r="M711">
        <f t="shared" si="46"/>
        <v>10000</v>
      </c>
      <c r="N711">
        <f t="shared" si="47"/>
        <v>10000</v>
      </c>
    </row>
    <row r="712" spans="1:14">
      <c r="A712">
        <f t="shared" si="44"/>
        <v>6</v>
      </c>
      <c r="B712">
        <v>6</v>
      </c>
      <c r="C712" t="s">
        <v>55</v>
      </c>
      <c r="D712" t="s">
        <v>33</v>
      </c>
      <c r="E712">
        <v>1</v>
      </c>
      <c r="F712">
        <v>1</v>
      </c>
      <c r="G712">
        <v>3001</v>
      </c>
      <c r="H712" t="s">
        <v>34</v>
      </c>
      <c r="I712" t="str">
        <f t="shared" si="45"/>
        <v>[{1000,1,1,3001,101}]</v>
      </c>
      <c r="J712" t="s">
        <v>35</v>
      </c>
      <c r="K712">
        <f>IF(A712="","",IF(J712=1,VLOOKUP(A712,[1]怪物!$R$80:$V$99,4,0),VLOOKUP(A712,[1]怪物!$R$80:$V$99,2,0))*10000)</f>
        <v>15000</v>
      </c>
      <c r="L712">
        <f>IF(A712="","",IF(K712=1,VLOOKUP(A712,[1]怪物!$R$80:$V$99,5,0),VLOOKUP(A712,[1]怪物!$R$80:$V$99,3,0))*10000)</f>
        <v>15000</v>
      </c>
      <c r="M712">
        <f t="shared" si="46"/>
        <v>15000</v>
      </c>
      <c r="N712">
        <f t="shared" si="47"/>
        <v>15000</v>
      </c>
    </row>
    <row r="713" spans="1:14">
      <c r="A713">
        <f t="shared" si="44"/>
        <v>7</v>
      </c>
      <c r="B713">
        <v>7</v>
      </c>
      <c r="C713" t="s">
        <v>55</v>
      </c>
      <c r="D713" t="s">
        <v>33</v>
      </c>
      <c r="E713">
        <v>1</v>
      </c>
      <c r="F713">
        <v>1</v>
      </c>
      <c r="G713">
        <v>3001</v>
      </c>
      <c r="H713" t="s">
        <v>34</v>
      </c>
      <c r="I713" t="str">
        <f t="shared" si="45"/>
        <v>[{1000,1,1,3001,101}]</v>
      </c>
      <c r="J713" t="s">
        <v>35</v>
      </c>
      <c r="K713">
        <f>IF(A713="","",IF(J713=1,VLOOKUP(A713,[1]怪物!$R$80:$V$99,4,0),VLOOKUP(A713,[1]怪物!$R$80:$V$99,2,0))*10000)</f>
        <v>15000</v>
      </c>
      <c r="L713">
        <f>IF(A713="","",IF(K713=1,VLOOKUP(A713,[1]怪物!$R$80:$V$99,5,0),VLOOKUP(A713,[1]怪物!$R$80:$V$99,3,0))*10000)</f>
        <v>15000</v>
      </c>
      <c r="M713">
        <f t="shared" si="46"/>
        <v>15000</v>
      </c>
      <c r="N713">
        <f t="shared" si="47"/>
        <v>15000</v>
      </c>
    </row>
    <row r="714" spans="1:14">
      <c r="A714">
        <f t="shared" si="44"/>
        <v>7</v>
      </c>
      <c r="B714">
        <v>7</v>
      </c>
      <c r="C714" t="s">
        <v>55</v>
      </c>
      <c r="D714" t="s">
        <v>33</v>
      </c>
      <c r="E714">
        <v>1</v>
      </c>
      <c r="F714">
        <v>1</v>
      </c>
      <c r="G714">
        <v>3002</v>
      </c>
      <c r="H714" t="s">
        <v>34</v>
      </c>
      <c r="I714" t="str">
        <f t="shared" si="45"/>
        <v>[{1000,1,1,3002,101}]</v>
      </c>
      <c r="J714" t="s">
        <v>35</v>
      </c>
      <c r="K714">
        <f>IF(A714="","",IF(J714=1,VLOOKUP(A714,[1]怪物!$R$80:$V$99,4,0),VLOOKUP(A714,[1]怪物!$R$80:$V$99,2,0))*10000)</f>
        <v>15000</v>
      </c>
      <c r="L714">
        <f>IF(A714="","",IF(K714=1,VLOOKUP(A714,[1]怪物!$R$80:$V$99,5,0),VLOOKUP(A714,[1]怪物!$R$80:$V$99,3,0))*10000)</f>
        <v>15000</v>
      </c>
      <c r="M714">
        <f t="shared" si="46"/>
        <v>15000</v>
      </c>
      <c r="N714">
        <f t="shared" si="47"/>
        <v>15000</v>
      </c>
    </row>
    <row r="715" spans="1:14">
      <c r="A715">
        <f t="shared" si="44"/>
        <v>8</v>
      </c>
      <c r="B715">
        <v>8</v>
      </c>
      <c r="C715" t="s">
        <v>55</v>
      </c>
      <c r="D715" t="s">
        <v>33</v>
      </c>
      <c r="E715">
        <v>1</v>
      </c>
      <c r="F715">
        <v>1</v>
      </c>
      <c r="G715">
        <v>3001</v>
      </c>
      <c r="H715" t="s">
        <v>34</v>
      </c>
      <c r="I715" t="str">
        <f t="shared" si="45"/>
        <v>[{1000,1,1,3001,101}]</v>
      </c>
      <c r="J715" t="s">
        <v>35</v>
      </c>
      <c r="K715">
        <f>IF(A715="","",IF(J715=1,VLOOKUP(A715,[1]怪物!$R$80:$V$99,4,0),VLOOKUP(A715,[1]怪物!$R$80:$V$99,2,0))*10000)</f>
        <v>15000</v>
      </c>
      <c r="L715">
        <f>IF(A715="","",IF(K715=1,VLOOKUP(A715,[1]怪物!$R$80:$V$99,5,0),VLOOKUP(A715,[1]怪物!$R$80:$V$99,3,0))*10000)</f>
        <v>15000</v>
      </c>
      <c r="M715">
        <f t="shared" si="46"/>
        <v>15000</v>
      </c>
      <c r="N715">
        <f t="shared" si="47"/>
        <v>15000</v>
      </c>
    </row>
    <row r="716" spans="1:14">
      <c r="A716">
        <f t="shared" si="44"/>
        <v>8</v>
      </c>
      <c r="B716">
        <v>8</v>
      </c>
      <c r="C716" t="s">
        <v>55</v>
      </c>
      <c r="D716" t="s">
        <v>33</v>
      </c>
      <c r="E716">
        <v>1</v>
      </c>
      <c r="F716">
        <v>1</v>
      </c>
      <c r="G716">
        <v>3002</v>
      </c>
      <c r="H716" t="s">
        <v>34</v>
      </c>
      <c r="I716" t="str">
        <f t="shared" si="45"/>
        <v>[{1000,1,1,3002,101}]</v>
      </c>
      <c r="J716" t="s">
        <v>35</v>
      </c>
      <c r="K716">
        <f>IF(A716="","",IF(J716=1,VLOOKUP(A716,[1]怪物!$R$80:$V$99,4,0),VLOOKUP(A716,[1]怪物!$R$80:$V$99,2,0))*10000)</f>
        <v>15000</v>
      </c>
      <c r="L716">
        <f>IF(A716="","",IF(K716=1,VLOOKUP(A716,[1]怪物!$R$80:$V$99,5,0),VLOOKUP(A716,[1]怪物!$R$80:$V$99,3,0))*10000)</f>
        <v>15000</v>
      </c>
      <c r="M716">
        <f t="shared" si="46"/>
        <v>15000</v>
      </c>
      <c r="N716">
        <f t="shared" si="47"/>
        <v>15000</v>
      </c>
    </row>
    <row r="717" spans="1:14">
      <c r="A717">
        <f t="shared" si="44"/>
        <v>9</v>
      </c>
      <c r="B717">
        <v>9</v>
      </c>
      <c r="C717" t="s">
        <v>55</v>
      </c>
      <c r="D717" t="s">
        <v>33</v>
      </c>
      <c r="E717">
        <v>1</v>
      </c>
      <c r="F717">
        <v>1</v>
      </c>
      <c r="G717">
        <v>3001</v>
      </c>
      <c r="H717" t="s">
        <v>34</v>
      </c>
      <c r="I717" t="str">
        <f t="shared" si="45"/>
        <v>[{1000,1,1,3001,101}]</v>
      </c>
      <c r="J717" t="s">
        <v>35</v>
      </c>
      <c r="K717" t="e">
        <f>IF(A717="","",IF(J717=1,VLOOKUP(A717,[1]怪物!$R$80:$V$99,4,0),VLOOKUP(A717,[1]怪物!$R$80:$V$99,2,0))*10000)</f>
        <v>#N/A</v>
      </c>
      <c r="L717" t="e">
        <f>IF(A717="","",IF(K717=1,VLOOKUP(A717,[1]怪物!$R$80:$V$99,5,0),VLOOKUP(A717,[1]怪物!$R$80:$V$99,3,0))*10000)</f>
        <v>#N/A</v>
      </c>
      <c r="M717" t="e">
        <f t="shared" si="46"/>
        <v>#N/A</v>
      </c>
      <c r="N717" t="e">
        <f t="shared" si="47"/>
        <v>#N/A</v>
      </c>
    </row>
    <row r="718" spans="1:14">
      <c r="A718">
        <f t="shared" si="44"/>
        <v>9</v>
      </c>
      <c r="B718">
        <v>9</v>
      </c>
      <c r="C718" t="s">
        <v>55</v>
      </c>
      <c r="D718" t="s">
        <v>33</v>
      </c>
      <c r="E718">
        <v>1</v>
      </c>
      <c r="F718">
        <v>1</v>
      </c>
      <c r="G718">
        <v>3002</v>
      </c>
      <c r="H718" t="s">
        <v>34</v>
      </c>
      <c r="I718" t="str">
        <f t="shared" si="45"/>
        <v>[{1000,1,1,3002,101}]</v>
      </c>
      <c r="J718" t="s">
        <v>35</v>
      </c>
      <c r="K718" t="e">
        <f>IF(A718="","",IF(J718=1,VLOOKUP(A718,[1]怪物!$R$80:$V$99,4,0),VLOOKUP(A718,[1]怪物!$R$80:$V$99,2,0))*10000)</f>
        <v>#N/A</v>
      </c>
      <c r="L718" t="e">
        <f>IF(A718="","",IF(K718=1,VLOOKUP(A718,[1]怪物!$R$80:$V$99,5,0),VLOOKUP(A718,[1]怪物!$R$80:$V$99,3,0))*10000)</f>
        <v>#N/A</v>
      </c>
      <c r="M718" t="e">
        <f t="shared" si="46"/>
        <v>#N/A</v>
      </c>
      <c r="N718" t="e">
        <f t="shared" si="47"/>
        <v>#N/A</v>
      </c>
    </row>
    <row r="719" spans="1:14">
      <c r="A719">
        <f t="shared" si="44"/>
        <v>10</v>
      </c>
      <c r="B719">
        <v>10</v>
      </c>
      <c r="C719" t="s">
        <v>55</v>
      </c>
      <c r="D719" t="s">
        <v>33</v>
      </c>
      <c r="E719">
        <v>1</v>
      </c>
      <c r="F719">
        <v>1</v>
      </c>
      <c r="G719">
        <v>3001</v>
      </c>
      <c r="H719" t="s">
        <v>34</v>
      </c>
      <c r="I719" t="str">
        <f t="shared" si="45"/>
        <v>[{1000,1,1,3001,101}]</v>
      </c>
      <c r="J719" t="s">
        <v>35</v>
      </c>
      <c r="K719" t="e">
        <f>IF(A719="","",IF(J719=1,VLOOKUP(A719,[1]怪物!$R$80:$V$99,4,0),VLOOKUP(A719,[1]怪物!$R$80:$V$99,2,0))*10000)</f>
        <v>#N/A</v>
      </c>
      <c r="L719" t="e">
        <f>IF(A719="","",IF(K719=1,VLOOKUP(A719,[1]怪物!$R$80:$V$99,5,0),VLOOKUP(A719,[1]怪物!$R$80:$V$99,3,0))*10000)</f>
        <v>#N/A</v>
      </c>
      <c r="M719" t="e">
        <f t="shared" si="46"/>
        <v>#N/A</v>
      </c>
      <c r="N719" t="e">
        <f t="shared" si="47"/>
        <v>#N/A</v>
      </c>
    </row>
    <row r="720" spans="1:14">
      <c r="A720">
        <f t="shared" si="44"/>
        <v>10</v>
      </c>
      <c r="B720">
        <v>10</v>
      </c>
      <c r="C720" t="s">
        <v>55</v>
      </c>
      <c r="D720" t="s">
        <v>33</v>
      </c>
      <c r="E720">
        <v>1</v>
      </c>
      <c r="F720">
        <v>1</v>
      </c>
      <c r="G720">
        <v>3002</v>
      </c>
      <c r="H720" t="s">
        <v>34</v>
      </c>
      <c r="I720" t="str">
        <f t="shared" si="45"/>
        <v>[{1000,1,1,3002,101}]</v>
      </c>
      <c r="J720" t="s">
        <v>35</v>
      </c>
      <c r="K720" t="e">
        <f>IF(A720="","",IF(J720=1,VLOOKUP(A720,[1]怪物!$R$80:$V$99,4,0),VLOOKUP(A720,[1]怪物!$R$80:$V$99,2,0))*10000)</f>
        <v>#N/A</v>
      </c>
      <c r="L720" t="e">
        <f>IF(A720="","",IF(K720=1,VLOOKUP(A720,[1]怪物!$R$80:$V$99,5,0),VLOOKUP(A720,[1]怪物!$R$80:$V$99,3,0))*10000)</f>
        <v>#N/A</v>
      </c>
      <c r="M720" t="e">
        <f t="shared" si="46"/>
        <v>#N/A</v>
      </c>
      <c r="N720" t="e">
        <f t="shared" si="47"/>
        <v>#N/A</v>
      </c>
    </row>
    <row r="721" spans="1:14">
      <c r="A721" t="str">
        <f t="shared" si="44"/>
        <v/>
      </c>
      <c r="B721">
        <v>10</v>
      </c>
      <c r="C721" t="s">
        <v>55</v>
      </c>
      <c r="D721" s="11" t="s">
        <v>28</v>
      </c>
      <c r="I721" t="str">
        <f t="shared" si="45"/>
        <v>[]</v>
      </c>
      <c r="J721" t="s">
        <v>54</v>
      </c>
      <c r="K721" t="str">
        <f>IF(A721="","",IF(J721=1,VLOOKUP(A721,[1]怪物!$R$80:$V$99,4,0),VLOOKUP(A721,[1]怪物!$R$80:$V$99,2,0))*10000)</f>
        <v/>
      </c>
      <c r="L721" t="str">
        <f>IF(A721="","",IF(K721=1,VLOOKUP(A721,[1]怪物!$R$80:$V$99,5,0),VLOOKUP(A721,[1]怪物!$R$80:$V$99,3,0))*10000)</f>
        <v/>
      </c>
      <c r="M721" t="str">
        <f t="shared" si="46"/>
        <v/>
      </c>
      <c r="N721" t="str">
        <f t="shared" si="47"/>
        <v/>
      </c>
    </row>
    <row r="722" spans="1:14">
      <c r="A722">
        <f t="shared" si="44"/>
        <v>10</v>
      </c>
      <c r="B722">
        <v>10</v>
      </c>
      <c r="C722" t="s">
        <v>55</v>
      </c>
      <c r="D722" t="s">
        <v>33</v>
      </c>
      <c r="E722">
        <v>1</v>
      </c>
      <c r="F722">
        <v>0</v>
      </c>
      <c r="G722">
        <v>3021</v>
      </c>
      <c r="H722" s="11" t="s">
        <v>36</v>
      </c>
      <c r="I722" t="str">
        <f t="shared" si="45"/>
        <v>[{1000,1,0,3021,41}]</v>
      </c>
      <c r="J722" t="s">
        <v>35</v>
      </c>
      <c r="K722" t="e">
        <f>IF(A722="","",IF(J722=1,VLOOKUP(A722,[1]怪物!$R$80:$V$99,4,0),VLOOKUP(A722,[1]怪物!$R$80:$V$99,2,0))*10000)</f>
        <v>#N/A</v>
      </c>
      <c r="L722" t="e">
        <f>IF(A722="","",IF(K722=1,VLOOKUP(A722,[1]怪物!$R$80:$V$99,5,0),VLOOKUP(A722,[1]怪物!$R$80:$V$99,3,0))*10000)</f>
        <v>#N/A</v>
      </c>
      <c r="M722">
        <f t="shared" si="46"/>
        <v>10000</v>
      </c>
      <c r="N722">
        <f t="shared" si="47"/>
        <v>10000</v>
      </c>
    </row>
    <row r="723" spans="1:14">
      <c r="A723">
        <f t="shared" si="44"/>
        <v>11</v>
      </c>
      <c r="B723">
        <v>11</v>
      </c>
      <c r="C723" t="s">
        <v>55</v>
      </c>
      <c r="D723" t="s">
        <v>33</v>
      </c>
      <c r="E723">
        <v>1</v>
      </c>
      <c r="F723">
        <v>1</v>
      </c>
      <c r="G723">
        <v>3001</v>
      </c>
      <c r="H723" t="s">
        <v>34</v>
      </c>
      <c r="I723" t="str">
        <f t="shared" si="45"/>
        <v>[{1000,1,1,3001,101}]</v>
      </c>
      <c r="J723" t="s">
        <v>35</v>
      </c>
      <c r="K723" t="e">
        <f>IF(A723="","",IF(J723=1,VLOOKUP(A723,[1]怪物!$R$80:$V$99,4,0),VLOOKUP(A723,[1]怪物!$R$80:$V$99,2,0))*10000)</f>
        <v>#N/A</v>
      </c>
      <c r="L723" t="e">
        <f>IF(A723="","",IF(K723=1,VLOOKUP(A723,[1]怪物!$R$80:$V$99,5,0),VLOOKUP(A723,[1]怪物!$R$80:$V$99,3,0))*10000)</f>
        <v>#N/A</v>
      </c>
      <c r="M723" t="e">
        <f t="shared" si="46"/>
        <v>#N/A</v>
      </c>
      <c r="N723" t="e">
        <f t="shared" si="47"/>
        <v>#N/A</v>
      </c>
    </row>
    <row r="724" spans="1:14">
      <c r="A724">
        <f t="shared" si="44"/>
        <v>11</v>
      </c>
      <c r="B724">
        <v>11</v>
      </c>
      <c r="C724" t="s">
        <v>55</v>
      </c>
      <c r="D724" t="s">
        <v>33</v>
      </c>
      <c r="E724">
        <v>1</v>
      </c>
      <c r="F724">
        <v>1</v>
      </c>
      <c r="G724">
        <v>3002</v>
      </c>
      <c r="H724" t="s">
        <v>34</v>
      </c>
      <c r="I724" t="str">
        <f t="shared" si="45"/>
        <v>[{1000,1,1,3002,101}]</v>
      </c>
      <c r="J724" t="s">
        <v>35</v>
      </c>
      <c r="K724" t="e">
        <f>IF(A724="","",IF(J724=1,VLOOKUP(A724,[1]怪物!$R$80:$V$99,4,0),VLOOKUP(A724,[1]怪物!$R$80:$V$99,2,0))*10000)</f>
        <v>#N/A</v>
      </c>
      <c r="L724" t="e">
        <f>IF(A724="","",IF(K724=1,VLOOKUP(A724,[1]怪物!$R$80:$V$99,5,0),VLOOKUP(A724,[1]怪物!$R$80:$V$99,3,0))*10000)</f>
        <v>#N/A</v>
      </c>
      <c r="M724" t="e">
        <f t="shared" si="46"/>
        <v>#N/A</v>
      </c>
      <c r="N724" t="e">
        <f t="shared" si="47"/>
        <v>#N/A</v>
      </c>
    </row>
    <row r="725" spans="1:14">
      <c r="A725">
        <f t="shared" si="44"/>
        <v>12</v>
      </c>
      <c r="B725">
        <v>12</v>
      </c>
      <c r="C725" t="s">
        <v>55</v>
      </c>
      <c r="D725" t="s">
        <v>33</v>
      </c>
      <c r="E725">
        <v>1</v>
      </c>
      <c r="F725">
        <v>1</v>
      </c>
      <c r="G725">
        <v>3001</v>
      </c>
      <c r="H725" s="11" t="s">
        <v>34</v>
      </c>
      <c r="I725" t="str">
        <f t="shared" si="45"/>
        <v>[{1000,1,1,3001,101}]</v>
      </c>
      <c r="J725" t="s">
        <v>35</v>
      </c>
      <c r="K725" t="e">
        <f>IF(A725="","",IF(J725=1,VLOOKUP(A725,[1]怪物!$R$80:$V$99,4,0),VLOOKUP(A725,[1]怪物!$R$80:$V$99,2,0))*10000)</f>
        <v>#N/A</v>
      </c>
      <c r="L725" t="e">
        <f>IF(A725="","",IF(K725=1,VLOOKUP(A725,[1]怪物!$R$80:$V$99,5,0),VLOOKUP(A725,[1]怪物!$R$80:$V$99,3,0))*10000)</f>
        <v>#N/A</v>
      </c>
      <c r="M725" t="e">
        <f t="shared" si="46"/>
        <v>#N/A</v>
      </c>
      <c r="N725" t="e">
        <f t="shared" si="47"/>
        <v>#N/A</v>
      </c>
    </row>
    <row r="726" spans="1:14">
      <c r="A726">
        <f t="shared" si="44"/>
        <v>12</v>
      </c>
      <c r="B726">
        <v>12</v>
      </c>
      <c r="C726" t="s">
        <v>55</v>
      </c>
      <c r="D726" t="s">
        <v>33</v>
      </c>
      <c r="E726">
        <v>1</v>
      </c>
      <c r="F726">
        <v>1</v>
      </c>
      <c r="G726">
        <v>3002</v>
      </c>
      <c r="H726" t="s">
        <v>34</v>
      </c>
      <c r="I726" t="str">
        <f t="shared" si="45"/>
        <v>[{1000,1,1,3002,101}]</v>
      </c>
      <c r="J726" t="s">
        <v>35</v>
      </c>
      <c r="K726" t="e">
        <f>IF(A726="","",IF(J726=1,VLOOKUP(A726,[1]怪物!$R$80:$V$99,4,0),VLOOKUP(A726,[1]怪物!$R$80:$V$99,2,0))*10000)</f>
        <v>#N/A</v>
      </c>
      <c r="L726" t="e">
        <f>IF(A726="","",IF(K726=1,VLOOKUP(A726,[1]怪物!$R$80:$V$99,5,0),VLOOKUP(A726,[1]怪物!$R$80:$V$99,3,0))*10000)</f>
        <v>#N/A</v>
      </c>
      <c r="M726" t="e">
        <f t="shared" si="46"/>
        <v>#N/A</v>
      </c>
      <c r="N726" t="e">
        <f t="shared" si="47"/>
        <v>#N/A</v>
      </c>
    </row>
    <row r="727" spans="1:14">
      <c r="A727">
        <f t="shared" si="44"/>
        <v>13</v>
      </c>
      <c r="B727">
        <v>13</v>
      </c>
      <c r="C727" t="s">
        <v>55</v>
      </c>
      <c r="D727" t="s">
        <v>33</v>
      </c>
      <c r="E727">
        <v>1</v>
      </c>
      <c r="F727">
        <v>1</v>
      </c>
      <c r="G727">
        <v>3001</v>
      </c>
      <c r="H727" t="s">
        <v>34</v>
      </c>
      <c r="I727" t="str">
        <f t="shared" si="45"/>
        <v>[{1000,1,1,3001,101}]</v>
      </c>
      <c r="J727" t="s">
        <v>35</v>
      </c>
      <c r="K727" t="e">
        <f>IF(A727="","",IF(J727=1,VLOOKUP(A727,[1]怪物!$R$80:$V$99,4,0),VLOOKUP(A727,[1]怪物!$R$80:$V$99,2,0))*10000)</f>
        <v>#N/A</v>
      </c>
      <c r="L727" t="e">
        <f>IF(A727="","",IF(K727=1,VLOOKUP(A727,[1]怪物!$R$80:$V$99,5,0),VLOOKUP(A727,[1]怪物!$R$80:$V$99,3,0))*10000)</f>
        <v>#N/A</v>
      </c>
      <c r="M727" t="e">
        <f t="shared" si="46"/>
        <v>#N/A</v>
      </c>
      <c r="N727" t="e">
        <f t="shared" si="47"/>
        <v>#N/A</v>
      </c>
    </row>
    <row r="728" spans="1:14">
      <c r="A728">
        <f t="shared" si="44"/>
        <v>13</v>
      </c>
      <c r="B728">
        <v>13</v>
      </c>
      <c r="C728" t="s">
        <v>55</v>
      </c>
      <c r="D728" t="s">
        <v>33</v>
      </c>
      <c r="E728">
        <v>1</v>
      </c>
      <c r="F728">
        <v>1</v>
      </c>
      <c r="G728">
        <v>3002</v>
      </c>
      <c r="H728" t="s">
        <v>34</v>
      </c>
      <c r="I728" t="str">
        <f t="shared" si="45"/>
        <v>[{1000,1,1,3002,101}]</v>
      </c>
      <c r="J728" t="s">
        <v>35</v>
      </c>
      <c r="K728" t="e">
        <f>IF(A728="","",IF(J728=1,VLOOKUP(A728,[1]怪物!$R$80:$V$99,4,0),VLOOKUP(A728,[1]怪物!$R$80:$V$99,2,0))*10000)</f>
        <v>#N/A</v>
      </c>
      <c r="L728" t="e">
        <f>IF(A728="","",IF(K728=1,VLOOKUP(A728,[1]怪物!$R$80:$V$99,5,0),VLOOKUP(A728,[1]怪物!$R$80:$V$99,3,0))*10000)</f>
        <v>#N/A</v>
      </c>
      <c r="M728" t="e">
        <f t="shared" si="46"/>
        <v>#N/A</v>
      </c>
      <c r="N728" t="e">
        <f t="shared" si="47"/>
        <v>#N/A</v>
      </c>
    </row>
    <row r="729" spans="1:14">
      <c r="A729">
        <f t="shared" si="44"/>
        <v>14</v>
      </c>
      <c r="B729">
        <v>14</v>
      </c>
      <c r="C729" t="s">
        <v>55</v>
      </c>
      <c r="D729" t="s">
        <v>33</v>
      </c>
      <c r="E729">
        <v>1</v>
      </c>
      <c r="F729">
        <v>1</v>
      </c>
      <c r="G729">
        <v>3001</v>
      </c>
      <c r="H729" t="s">
        <v>34</v>
      </c>
      <c r="I729" t="str">
        <f t="shared" si="45"/>
        <v>[{1000,1,1,3001,101}]</v>
      </c>
      <c r="J729" t="s">
        <v>35</v>
      </c>
      <c r="K729" t="e">
        <f>IF(A729="","",IF(J729=1,VLOOKUP(A729,[1]怪物!$R$80:$V$99,4,0),VLOOKUP(A729,[1]怪物!$R$80:$V$99,2,0))*10000)</f>
        <v>#N/A</v>
      </c>
      <c r="L729" t="e">
        <f>IF(A729="","",IF(K729=1,VLOOKUP(A729,[1]怪物!$R$80:$V$99,5,0),VLOOKUP(A729,[1]怪物!$R$80:$V$99,3,0))*10000)</f>
        <v>#N/A</v>
      </c>
      <c r="M729" t="e">
        <f t="shared" si="46"/>
        <v>#N/A</v>
      </c>
      <c r="N729" t="e">
        <f t="shared" si="47"/>
        <v>#N/A</v>
      </c>
    </row>
    <row r="730" spans="1:14">
      <c r="A730">
        <f t="shared" si="44"/>
        <v>14</v>
      </c>
      <c r="B730">
        <v>14</v>
      </c>
      <c r="C730" t="s">
        <v>55</v>
      </c>
      <c r="D730" t="s">
        <v>33</v>
      </c>
      <c r="E730">
        <v>1</v>
      </c>
      <c r="F730">
        <v>1</v>
      </c>
      <c r="G730">
        <v>3002</v>
      </c>
      <c r="H730" t="s">
        <v>34</v>
      </c>
      <c r="I730" t="str">
        <f t="shared" si="45"/>
        <v>[{1000,1,1,3002,101}]</v>
      </c>
      <c r="J730" t="s">
        <v>35</v>
      </c>
      <c r="K730" t="e">
        <f>IF(A730="","",IF(J730=1,VLOOKUP(A730,[1]怪物!$R$80:$V$99,4,0),VLOOKUP(A730,[1]怪物!$R$80:$V$99,2,0))*10000)</f>
        <v>#N/A</v>
      </c>
      <c r="L730" t="e">
        <f>IF(A730="","",IF(K730=1,VLOOKUP(A730,[1]怪物!$R$80:$V$99,5,0),VLOOKUP(A730,[1]怪物!$R$80:$V$99,3,0))*10000)</f>
        <v>#N/A</v>
      </c>
      <c r="M730" t="e">
        <f t="shared" si="46"/>
        <v>#N/A</v>
      </c>
      <c r="N730" t="e">
        <f t="shared" si="47"/>
        <v>#N/A</v>
      </c>
    </row>
    <row r="731" spans="1:14">
      <c r="A731">
        <f t="shared" si="44"/>
        <v>14</v>
      </c>
      <c r="B731">
        <v>14</v>
      </c>
      <c r="C731" t="s">
        <v>55</v>
      </c>
      <c r="D731" t="s">
        <v>33</v>
      </c>
      <c r="E731">
        <v>1</v>
      </c>
      <c r="F731">
        <v>1</v>
      </c>
      <c r="G731">
        <v>3003</v>
      </c>
      <c r="H731" t="s">
        <v>37</v>
      </c>
      <c r="I731" t="str">
        <f t="shared" si="45"/>
        <v>[{1000,1,1,3003,401}]</v>
      </c>
      <c r="J731">
        <v>1</v>
      </c>
      <c r="K731" t="e">
        <f>IF(A731="","",IF(J731=1,VLOOKUP(A731,[1]怪物!$R$80:$V$99,4,0),VLOOKUP(A731,[1]怪物!$R$80:$V$99,2,0))*10000)</f>
        <v>#N/A</v>
      </c>
      <c r="L731" t="e">
        <f>IF(A731="","",IF(K731=1,VLOOKUP(A731,[1]怪物!$R$80:$V$99,5,0),VLOOKUP(A731,[1]怪物!$R$80:$V$99,3,0))*10000)</f>
        <v>#N/A</v>
      </c>
      <c r="M731" t="e">
        <f t="shared" si="46"/>
        <v>#N/A</v>
      </c>
      <c r="N731" t="e">
        <f t="shared" si="47"/>
        <v>#N/A</v>
      </c>
    </row>
    <row r="732" spans="1:14">
      <c r="A732">
        <f t="shared" si="44"/>
        <v>15</v>
      </c>
      <c r="B732">
        <v>15</v>
      </c>
      <c r="C732" t="s">
        <v>55</v>
      </c>
      <c r="D732" t="s">
        <v>33</v>
      </c>
      <c r="E732">
        <v>1</v>
      </c>
      <c r="F732">
        <v>1</v>
      </c>
      <c r="G732">
        <v>3001</v>
      </c>
      <c r="H732" t="s">
        <v>34</v>
      </c>
      <c r="I732" t="str">
        <f t="shared" si="45"/>
        <v>[{1000,1,1,3001,101}]</v>
      </c>
      <c r="J732" t="s">
        <v>35</v>
      </c>
      <c r="K732" t="e">
        <f>IF(A732="","",IF(J732=1,VLOOKUP(A732,[1]怪物!$R$80:$V$99,4,0),VLOOKUP(A732,[1]怪物!$R$80:$V$99,2,0))*10000)</f>
        <v>#N/A</v>
      </c>
      <c r="L732" t="e">
        <f>IF(A732="","",IF(K732=1,VLOOKUP(A732,[1]怪物!$R$80:$V$99,5,0),VLOOKUP(A732,[1]怪物!$R$80:$V$99,3,0))*10000)</f>
        <v>#N/A</v>
      </c>
      <c r="M732" t="e">
        <f t="shared" si="46"/>
        <v>#N/A</v>
      </c>
      <c r="N732" t="e">
        <f t="shared" si="47"/>
        <v>#N/A</v>
      </c>
    </row>
    <row r="733" spans="1:14">
      <c r="A733">
        <f t="shared" si="44"/>
        <v>15</v>
      </c>
      <c r="B733">
        <v>15</v>
      </c>
      <c r="C733" t="s">
        <v>55</v>
      </c>
      <c r="D733" t="s">
        <v>33</v>
      </c>
      <c r="E733">
        <v>1</v>
      </c>
      <c r="F733">
        <v>1</v>
      </c>
      <c r="G733">
        <v>3002</v>
      </c>
      <c r="H733" t="s">
        <v>34</v>
      </c>
      <c r="I733" t="str">
        <f t="shared" si="45"/>
        <v>[{1000,1,1,3002,101}]</v>
      </c>
      <c r="J733" t="s">
        <v>35</v>
      </c>
      <c r="K733" t="e">
        <f>IF(A733="","",IF(J733=1,VLOOKUP(A733,[1]怪物!$R$80:$V$99,4,0),VLOOKUP(A733,[1]怪物!$R$80:$V$99,2,0))*10000)</f>
        <v>#N/A</v>
      </c>
      <c r="L733" t="e">
        <f>IF(A733="","",IF(K733=1,VLOOKUP(A733,[1]怪物!$R$80:$V$99,5,0),VLOOKUP(A733,[1]怪物!$R$80:$V$99,3,0))*10000)</f>
        <v>#N/A</v>
      </c>
      <c r="M733" t="e">
        <f t="shared" si="46"/>
        <v>#N/A</v>
      </c>
      <c r="N733" t="e">
        <f t="shared" si="47"/>
        <v>#N/A</v>
      </c>
    </row>
    <row r="734" spans="1:14">
      <c r="A734">
        <f t="shared" si="44"/>
        <v>15</v>
      </c>
      <c r="B734">
        <v>15</v>
      </c>
      <c r="C734" t="s">
        <v>55</v>
      </c>
      <c r="D734" t="s">
        <v>33</v>
      </c>
      <c r="E734">
        <v>1</v>
      </c>
      <c r="F734">
        <v>1</v>
      </c>
      <c r="G734">
        <v>3003</v>
      </c>
      <c r="H734" t="s">
        <v>37</v>
      </c>
      <c r="I734" t="str">
        <f t="shared" si="45"/>
        <v>[{1000,1,1,3003,401}]</v>
      </c>
      <c r="J734">
        <v>1</v>
      </c>
      <c r="K734" t="e">
        <f>IF(A734="","",IF(J734=1,VLOOKUP(A734,[1]怪物!$R$80:$V$99,4,0),VLOOKUP(A734,[1]怪物!$R$80:$V$99,2,0))*10000)</f>
        <v>#N/A</v>
      </c>
      <c r="L734" t="e">
        <f>IF(A734="","",IF(K734=1,VLOOKUP(A734,[1]怪物!$R$80:$V$99,5,0),VLOOKUP(A734,[1]怪物!$R$80:$V$99,3,0))*10000)</f>
        <v>#N/A</v>
      </c>
      <c r="M734" t="e">
        <f t="shared" si="46"/>
        <v>#N/A</v>
      </c>
      <c r="N734" t="e">
        <f t="shared" si="47"/>
        <v>#N/A</v>
      </c>
    </row>
    <row r="735" spans="1:14">
      <c r="A735">
        <f t="shared" si="44"/>
        <v>16</v>
      </c>
      <c r="B735">
        <v>16</v>
      </c>
      <c r="C735" t="s">
        <v>55</v>
      </c>
      <c r="D735" t="s">
        <v>33</v>
      </c>
      <c r="E735">
        <v>1</v>
      </c>
      <c r="F735">
        <v>1</v>
      </c>
      <c r="G735">
        <v>3001</v>
      </c>
      <c r="H735" t="s">
        <v>34</v>
      </c>
      <c r="I735" t="str">
        <f t="shared" si="45"/>
        <v>[{1000,1,1,3001,101}]</v>
      </c>
      <c r="J735" t="s">
        <v>35</v>
      </c>
      <c r="K735" t="e">
        <f>IF(A735="","",IF(J735=1,VLOOKUP(A735,[1]怪物!$R$80:$V$99,4,0),VLOOKUP(A735,[1]怪物!$R$80:$V$99,2,0))*10000)</f>
        <v>#N/A</v>
      </c>
      <c r="L735" t="e">
        <f>IF(A735="","",IF(K735=1,VLOOKUP(A735,[1]怪物!$R$80:$V$99,5,0),VLOOKUP(A735,[1]怪物!$R$80:$V$99,3,0))*10000)</f>
        <v>#N/A</v>
      </c>
      <c r="M735" t="e">
        <f t="shared" si="46"/>
        <v>#N/A</v>
      </c>
      <c r="N735" t="e">
        <f t="shared" si="47"/>
        <v>#N/A</v>
      </c>
    </row>
    <row r="736" spans="1:14">
      <c r="A736">
        <f t="shared" si="44"/>
        <v>16</v>
      </c>
      <c r="B736">
        <v>16</v>
      </c>
      <c r="C736" t="s">
        <v>55</v>
      </c>
      <c r="D736" t="s">
        <v>33</v>
      </c>
      <c r="E736">
        <v>1</v>
      </c>
      <c r="F736">
        <v>1</v>
      </c>
      <c r="G736">
        <v>3002</v>
      </c>
      <c r="H736" t="s">
        <v>34</v>
      </c>
      <c r="I736" t="str">
        <f t="shared" si="45"/>
        <v>[{1000,1,1,3002,101}]</v>
      </c>
      <c r="J736" t="s">
        <v>35</v>
      </c>
      <c r="K736" t="e">
        <f>IF(A736="","",IF(J736=1,VLOOKUP(A736,[1]怪物!$R$80:$V$99,4,0),VLOOKUP(A736,[1]怪物!$R$80:$V$99,2,0))*10000)</f>
        <v>#N/A</v>
      </c>
      <c r="L736" t="e">
        <f>IF(A736="","",IF(K736=1,VLOOKUP(A736,[1]怪物!$R$80:$V$99,5,0),VLOOKUP(A736,[1]怪物!$R$80:$V$99,3,0))*10000)</f>
        <v>#N/A</v>
      </c>
      <c r="M736" t="e">
        <f t="shared" si="46"/>
        <v>#N/A</v>
      </c>
      <c r="N736" t="e">
        <f t="shared" si="47"/>
        <v>#N/A</v>
      </c>
    </row>
    <row r="737" spans="1:14">
      <c r="A737">
        <f t="shared" si="44"/>
        <v>16</v>
      </c>
      <c r="B737">
        <v>16</v>
      </c>
      <c r="C737" t="s">
        <v>55</v>
      </c>
      <c r="D737" t="s">
        <v>33</v>
      </c>
      <c r="E737">
        <v>1</v>
      </c>
      <c r="F737">
        <v>1</v>
      </c>
      <c r="G737">
        <v>3003</v>
      </c>
      <c r="H737" t="s">
        <v>37</v>
      </c>
      <c r="I737" t="str">
        <f t="shared" si="45"/>
        <v>[{1000,1,1,3003,401}]</v>
      </c>
      <c r="J737">
        <v>1</v>
      </c>
      <c r="K737" t="e">
        <f>IF(A737="","",IF(J737=1,VLOOKUP(A737,[1]怪物!$R$80:$V$99,4,0),VLOOKUP(A737,[1]怪物!$R$80:$V$99,2,0))*10000)</f>
        <v>#N/A</v>
      </c>
      <c r="L737" t="e">
        <f>IF(A737="","",IF(K737=1,VLOOKUP(A737,[1]怪物!$R$80:$V$99,5,0),VLOOKUP(A737,[1]怪物!$R$80:$V$99,3,0))*10000)</f>
        <v>#N/A</v>
      </c>
      <c r="M737" t="e">
        <f t="shared" si="46"/>
        <v>#N/A</v>
      </c>
      <c r="N737" t="e">
        <f t="shared" si="47"/>
        <v>#N/A</v>
      </c>
    </row>
    <row r="738" spans="1:14">
      <c r="A738">
        <f t="shared" si="44"/>
        <v>17</v>
      </c>
      <c r="B738">
        <v>17</v>
      </c>
      <c r="C738" t="s">
        <v>55</v>
      </c>
      <c r="D738" t="s">
        <v>33</v>
      </c>
      <c r="E738">
        <v>1</v>
      </c>
      <c r="F738">
        <v>1</v>
      </c>
      <c r="G738">
        <v>3001</v>
      </c>
      <c r="H738" t="s">
        <v>34</v>
      </c>
      <c r="I738" t="str">
        <f t="shared" si="45"/>
        <v>[{1000,1,1,3001,101}]</v>
      </c>
      <c r="J738" t="s">
        <v>35</v>
      </c>
      <c r="K738" t="e">
        <f>IF(A738="","",IF(J738=1,VLOOKUP(A738,[1]怪物!$R$80:$V$99,4,0),VLOOKUP(A738,[1]怪物!$R$80:$V$99,2,0))*10000)</f>
        <v>#N/A</v>
      </c>
      <c r="L738" t="e">
        <f>IF(A738="","",IF(K738=1,VLOOKUP(A738,[1]怪物!$R$80:$V$99,5,0),VLOOKUP(A738,[1]怪物!$R$80:$V$99,3,0))*10000)</f>
        <v>#N/A</v>
      </c>
      <c r="M738" t="e">
        <f t="shared" si="46"/>
        <v>#N/A</v>
      </c>
      <c r="N738" t="e">
        <f t="shared" si="47"/>
        <v>#N/A</v>
      </c>
    </row>
    <row r="739" spans="1:14">
      <c r="A739">
        <f t="shared" si="44"/>
        <v>17</v>
      </c>
      <c r="B739">
        <v>17</v>
      </c>
      <c r="C739" t="s">
        <v>55</v>
      </c>
      <c r="D739" t="s">
        <v>33</v>
      </c>
      <c r="E739">
        <v>1</v>
      </c>
      <c r="F739">
        <v>1</v>
      </c>
      <c r="G739">
        <v>3002</v>
      </c>
      <c r="H739" t="s">
        <v>34</v>
      </c>
      <c r="I739" t="str">
        <f t="shared" si="45"/>
        <v>[{1000,1,1,3002,101}]</v>
      </c>
      <c r="J739" t="s">
        <v>35</v>
      </c>
      <c r="K739" t="e">
        <f>IF(A739="","",IF(J739=1,VLOOKUP(A739,[1]怪物!$R$80:$V$99,4,0),VLOOKUP(A739,[1]怪物!$R$80:$V$99,2,0))*10000)</f>
        <v>#N/A</v>
      </c>
      <c r="L739" t="e">
        <f>IF(A739="","",IF(K739=1,VLOOKUP(A739,[1]怪物!$R$80:$V$99,5,0),VLOOKUP(A739,[1]怪物!$R$80:$V$99,3,0))*10000)</f>
        <v>#N/A</v>
      </c>
      <c r="M739" t="e">
        <f t="shared" si="46"/>
        <v>#N/A</v>
      </c>
      <c r="N739" t="e">
        <f t="shared" si="47"/>
        <v>#N/A</v>
      </c>
    </row>
    <row r="740" spans="1:14">
      <c r="A740">
        <f t="shared" si="44"/>
        <v>17</v>
      </c>
      <c r="B740">
        <v>17</v>
      </c>
      <c r="C740" t="s">
        <v>55</v>
      </c>
      <c r="D740" t="s">
        <v>33</v>
      </c>
      <c r="E740">
        <v>1</v>
      </c>
      <c r="F740">
        <v>1</v>
      </c>
      <c r="G740">
        <v>3003</v>
      </c>
      <c r="H740" s="11" t="s">
        <v>37</v>
      </c>
      <c r="I740" t="str">
        <f t="shared" si="45"/>
        <v>[{1000,1,1,3003,401}]</v>
      </c>
      <c r="J740">
        <v>1</v>
      </c>
      <c r="K740" t="e">
        <f>IF(A740="","",IF(J740=1,VLOOKUP(A740,[1]怪物!$R$80:$V$99,4,0),VLOOKUP(A740,[1]怪物!$R$80:$V$99,2,0))*10000)</f>
        <v>#N/A</v>
      </c>
      <c r="L740" t="e">
        <f>IF(A740="","",IF(K740=1,VLOOKUP(A740,[1]怪物!$R$80:$V$99,5,0),VLOOKUP(A740,[1]怪物!$R$80:$V$99,3,0))*10000)</f>
        <v>#N/A</v>
      </c>
      <c r="M740" t="e">
        <f t="shared" si="46"/>
        <v>#N/A</v>
      </c>
      <c r="N740" t="e">
        <f t="shared" si="47"/>
        <v>#N/A</v>
      </c>
    </row>
    <row r="741" spans="1:14">
      <c r="A741">
        <f t="shared" si="44"/>
        <v>18</v>
      </c>
      <c r="B741">
        <v>18</v>
      </c>
      <c r="C741" t="s">
        <v>55</v>
      </c>
      <c r="D741" t="s">
        <v>33</v>
      </c>
      <c r="E741">
        <v>1</v>
      </c>
      <c r="F741">
        <v>1</v>
      </c>
      <c r="G741">
        <v>3001</v>
      </c>
      <c r="H741" t="s">
        <v>34</v>
      </c>
      <c r="I741" t="str">
        <f t="shared" si="45"/>
        <v>[{1000,1,1,3001,101}]</v>
      </c>
      <c r="J741" t="s">
        <v>35</v>
      </c>
      <c r="K741" t="e">
        <f>IF(A741="","",IF(J741=1,VLOOKUP(A741,[1]怪物!$R$80:$V$99,4,0),VLOOKUP(A741,[1]怪物!$R$80:$V$99,2,0))*10000)</f>
        <v>#N/A</v>
      </c>
      <c r="L741" t="e">
        <f>IF(A741="","",IF(K741=1,VLOOKUP(A741,[1]怪物!$R$80:$V$99,5,0),VLOOKUP(A741,[1]怪物!$R$80:$V$99,3,0))*10000)</f>
        <v>#N/A</v>
      </c>
      <c r="M741" t="e">
        <f t="shared" si="46"/>
        <v>#N/A</v>
      </c>
      <c r="N741" t="e">
        <f t="shared" si="47"/>
        <v>#N/A</v>
      </c>
    </row>
    <row r="742" spans="1:14">
      <c r="A742">
        <f t="shared" si="44"/>
        <v>18</v>
      </c>
      <c r="B742">
        <v>18</v>
      </c>
      <c r="C742" t="s">
        <v>55</v>
      </c>
      <c r="D742" t="s">
        <v>33</v>
      </c>
      <c r="E742">
        <v>1</v>
      </c>
      <c r="F742">
        <v>1</v>
      </c>
      <c r="G742">
        <v>3002</v>
      </c>
      <c r="H742" s="11" t="s">
        <v>34</v>
      </c>
      <c r="I742" t="str">
        <f t="shared" si="45"/>
        <v>[{1000,1,1,3002,101}]</v>
      </c>
      <c r="J742" t="s">
        <v>35</v>
      </c>
      <c r="K742" t="e">
        <f>IF(A742="","",IF(J742=1,VLOOKUP(A742,[1]怪物!$R$80:$V$99,4,0),VLOOKUP(A742,[1]怪物!$R$80:$V$99,2,0))*10000)</f>
        <v>#N/A</v>
      </c>
      <c r="L742" t="e">
        <f>IF(A742="","",IF(K742=1,VLOOKUP(A742,[1]怪物!$R$80:$V$99,5,0),VLOOKUP(A742,[1]怪物!$R$80:$V$99,3,0))*10000)</f>
        <v>#N/A</v>
      </c>
      <c r="M742" t="e">
        <f t="shared" si="46"/>
        <v>#N/A</v>
      </c>
      <c r="N742" t="e">
        <f t="shared" si="47"/>
        <v>#N/A</v>
      </c>
    </row>
    <row r="743" spans="1:14">
      <c r="A743">
        <f t="shared" si="44"/>
        <v>18</v>
      </c>
      <c r="B743">
        <v>18</v>
      </c>
      <c r="C743" t="s">
        <v>55</v>
      </c>
      <c r="D743" t="s">
        <v>33</v>
      </c>
      <c r="E743">
        <v>1</v>
      </c>
      <c r="F743">
        <v>1</v>
      </c>
      <c r="G743">
        <v>3003</v>
      </c>
      <c r="H743" t="s">
        <v>37</v>
      </c>
      <c r="I743" t="str">
        <f t="shared" si="45"/>
        <v>[{1000,1,1,3003,401}]</v>
      </c>
      <c r="J743">
        <v>1</v>
      </c>
      <c r="K743" t="e">
        <f>IF(A743="","",IF(J743=1,VLOOKUP(A743,[1]怪物!$R$80:$V$99,4,0),VLOOKUP(A743,[1]怪物!$R$80:$V$99,2,0))*10000)</f>
        <v>#N/A</v>
      </c>
      <c r="L743" t="e">
        <f>IF(A743="","",IF(K743=1,VLOOKUP(A743,[1]怪物!$R$80:$V$99,5,0),VLOOKUP(A743,[1]怪物!$R$80:$V$99,3,0))*10000)</f>
        <v>#N/A</v>
      </c>
      <c r="M743" t="e">
        <f t="shared" si="46"/>
        <v>#N/A</v>
      </c>
      <c r="N743" t="e">
        <f t="shared" si="47"/>
        <v>#N/A</v>
      </c>
    </row>
    <row r="744" spans="1:14">
      <c r="A744">
        <f t="shared" si="44"/>
        <v>19</v>
      </c>
      <c r="B744">
        <v>19</v>
      </c>
      <c r="C744" t="s">
        <v>55</v>
      </c>
      <c r="D744" t="s">
        <v>33</v>
      </c>
      <c r="E744">
        <v>1</v>
      </c>
      <c r="F744">
        <v>1</v>
      </c>
      <c r="G744">
        <v>3001</v>
      </c>
      <c r="H744" t="s">
        <v>34</v>
      </c>
      <c r="I744" t="str">
        <f t="shared" si="45"/>
        <v>[{1000,1,1,3001,101}]</v>
      </c>
      <c r="J744" t="s">
        <v>35</v>
      </c>
      <c r="K744" t="e">
        <f>IF(A744="","",IF(J744=1,VLOOKUP(A744,[1]怪物!$R$80:$V$99,4,0),VLOOKUP(A744,[1]怪物!$R$80:$V$99,2,0))*10000)</f>
        <v>#N/A</v>
      </c>
      <c r="L744" t="e">
        <f>IF(A744="","",IF(K744=1,VLOOKUP(A744,[1]怪物!$R$80:$V$99,5,0),VLOOKUP(A744,[1]怪物!$R$80:$V$99,3,0))*10000)</f>
        <v>#N/A</v>
      </c>
      <c r="M744" t="e">
        <f t="shared" si="46"/>
        <v>#N/A</v>
      </c>
      <c r="N744" t="e">
        <f t="shared" si="47"/>
        <v>#N/A</v>
      </c>
    </row>
    <row r="745" spans="1:14">
      <c r="A745">
        <f t="shared" si="44"/>
        <v>19</v>
      </c>
      <c r="B745">
        <v>19</v>
      </c>
      <c r="C745" t="s">
        <v>55</v>
      </c>
      <c r="D745" t="s">
        <v>33</v>
      </c>
      <c r="E745">
        <v>1</v>
      </c>
      <c r="F745">
        <v>1</v>
      </c>
      <c r="G745">
        <v>3002</v>
      </c>
      <c r="H745" t="s">
        <v>34</v>
      </c>
      <c r="I745" t="str">
        <f t="shared" si="45"/>
        <v>[{1000,1,1,3002,101}]</v>
      </c>
      <c r="J745" t="s">
        <v>35</v>
      </c>
      <c r="K745" t="e">
        <f>IF(A745="","",IF(J745=1,VLOOKUP(A745,[1]怪物!$R$80:$V$99,4,0),VLOOKUP(A745,[1]怪物!$R$80:$V$99,2,0))*10000)</f>
        <v>#N/A</v>
      </c>
      <c r="L745" t="e">
        <f>IF(A745="","",IF(K745=1,VLOOKUP(A745,[1]怪物!$R$80:$V$99,5,0),VLOOKUP(A745,[1]怪物!$R$80:$V$99,3,0))*10000)</f>
        <v>#N/A</v>
      </c>
      <c r="M745" t="e">
        <f t="shared" si="46"/>
        <v>#N/A</v>
      </c>
      <c r="N745" t="e">
        <f t="shared" si="47"/>
        <v>#N/A</v>
      </c>
    </row>
    <row r="746" spans="1:14">
      <c r="A746">
        <f t="shared" si="44"/>
        <v>19</v>
      </c>
      <c r="B746">
        <v>19</v>
      </c>
      <c r="C746" t="s">
        <v>55</v>
      </c>
      <c r="D746" t="s">
        <v>33</v>
      </c>
      <c r="E746">
        <v>1</v>
      </c>
      <c r="F746">
        <v>1</v>
      </c>
      <c r="G746">
        <v>3003</v>
      </c>
      <c r="H746" t="s">
        <v>37</v>
      </c>
      <c r="I746" t="str">
        <f t="shared" si="45"/>
        <v>[{1000,1,1,3003,401}]</v>
      </c>
      <c r="J746">
        <v>1</v>
      </c>
      <c r="K746" t="e">
        <f>IF(A746="","",IF(J746=1,VLOOKUP(A746,[1]怪物!$R$80:$V$99,4,0),VLOOKUP(A746,[1]怪物!$R$80:$V$99,2,0))*10000)</f>
        <v>#N/A</v>
      </c>
      <c r="L746" t="e">
        <f>IF(A746="","",IF(K746=1,VLOOKUP(A746,[1]怪物!$R$80:$V$99,5,0),VLOOKUP(A746,[1]怪物!$R$80:$V$99,3,0))*10000)</f>
        <v>#N/A</v>
      </c>
      <c r="M746" t="e">
        <f t="shared" si="46"/>
        <v>#N/A</v>
      </c>
      <c r="N746" t="e">
        <f t="shared" si="47"/>
        <v>#N/A</v>
      </c>
    </row>
    <row r="747" spans="1:14">
      <c r="A747">
        <f t="shared" si="44"/>
        <v>20</v>
      </c>
      <c r="B747">
        <v>20</v>
      </c>
      <c r="C747" t="s">
        <v>55</v>
      </c>
      <c r="D747" t="s">
        <v>33</v>
      </c>
      <c r="E747">
        <v>1</v>
      </c>
      <c r="F747">
        <v>1</v>
      </c>
      <c r="G747">
        <v>3001</v>
      </c>
      <c r="H747" t="s">
        <v>34</v>
      </c>
      <c r="I747" t="str">
        <f t="shared" si="45"/>
        <v>[{1000,1,1,3001,101}]</v>
      </c>
      <c r="J747" t="s">
        <v>35</v>
      </c>
      <c r="K747" t="e">
        <f>IF(A747="","",IF(J747=1,VLOOKUP(A747,[1]怪物!$R$80:$V$99,4,0),VLOOKUP(A747,[1]怪物!$R$80:$V$99,2,0))*10000)</f>
        <v>#N/A</v>
      </c>
      <c r="L747" t="e">
        <f>IF(A747="","",IF(K747=1,VLOOKUP(A747,[1]怪物!$R$80:$V$99,5,0),VLOOKUP(A747,[1]怪物!$R$80:$V$99,3,0))*10000)</f>
        <v>#N/A</v>
      </c>
      <c r="M747" t="e">
        <f t="shared" si="46"/>
        <v>#N/A</v>
      </c>
      <c r="N747" t="e">
        <f t="shared" si="47"/>
        <v>#N/A</v>
      </c>
    </row>
    <row r="748" spans="1:14">
      <c r="A748">
        <f t="shared" si="44"/>
        <v>20</v>
      </c>
      <c r="B748">
        <v>20</v>
      </c>
      <c r="C748" t="s">
        <v>55</v>
      </c>
      <c r="D748" t="s">
        <v>33</v>
      </c>
      <c r="E748">
        <v>1</v>
      </c>
      <c r="F748">
        <v>1</v>
      </c>
      <c r="G748">
        <v>3002</v>
      </c>
      <c r="H748" t="s">
        <v>34</v>
      </c>
      <c r="I748" t="str">
        <f t="shared" si="45"/>
        <v>[{1000,1,1,3002,101}]</v>
      </c>
      <c r="J748" t="s">
        <v>35</v>
      </c>
      <c r="K748" t="e">
        <f>IF(A748="","",IF(J748=1,VLOOKUP(A748,[1]怪物!$R$80:$V$99,4,0),VLOOKUP(A748,[1]怪物!$R$80:$V$99,2,0))*10000)</f>
        <v>#N/A</v>
      </c>
      <c r="L748" t="e">
        <f>IF(A748="","",IF(K748=1,VLOOKUP(A748,[1]怪物!$R$80:$V$99,5,0),VLOOKUP(A748,[1]怪物!$R$80:$V$99,3,0))*10000)</f>
        <v>#N/A</v>
      </c>
      <c r="M748" t="e">
        <f t="shared" si="46"/>
        <v>#N/A</v>
      </c>
      <c r="N748" t="e">
        <f t="shared" si="47"/>
        <v>#N/A</v>
      </c>
    </row>
    <row r="749" spans="1:14">
      <c r="A749">
        <f t="shared" si="44"/>
        <v>20</v>
      </c>
      <c r="B749">
        <v>20</v>
      </c>
      <c r="C749" t="s">
        <v>55</v>
      </c>
      <c r="D749" s="11" t="s">
        <v>33</v>
      </c>
      <c r="E749">
        <v>1</v>
      </c>
      <c r="F749">
        <v>1</v>
      </c>
      <c r="G749">
        <v>3003</v>
      </c>
      <c r="H749" t="s">
        <v>37</v>
      </c>
      <c r="I749" t="str">
        <f t="shared" si="45"/>
        <v>[{1000,1,1,3003,401}]</v>
      </c>
      <c r="J749">
        <v>1</v>
      </c>
      <c r="K749" t="e">
        <f>IF(A749="","",IF(J749=1,VLOOKUP(A749,[1]怪物!$R$80:$V$99,4,0),VLOOKUP(A749,[1]怪物!$R$80:$V$99,2,0))*10000)</f>
        <v>#N/A</v>
      </c>
      <c r="L749" t="e">
        <f>IF(A749="","",IF(K749=1,VLOOKUP(A749,[1]怪物!$R$80:$V$99,5,0),VLOOKUP(A749,[1]怪物!$R$80:$V$99,3,0))*10000)</f>
        <v>#N/A</v>
      </c>
      <c r="M749" t="e">
        <f t="shared" si="46"/>
        <v>#N/A</v>
      </c>
      <c r="N749" t="e">
        <f t="shared" si="47"/>
        <v>#N/A</v>
      </c>
    </row>
    <row r="750" spans="1:14">
      <c r="A750" t="str">
        <f t="shared" si="44"/>
        <v/>
      </c>
      <c r="B750">
        <v>20</v>
      </c>
      <c r="C750" t="s">
        <v>55</v>
      </c>
      <c r="D750" s="11" t="s">
        <v>28</v>
      </c>
      <c r="I750" t="str">
        <f t="shared" si="45"/>
        <v>[]</v>
      </c>
      <c r="J750">
        <v>2</v>
      </c>
      <c r="K750" t="str">
        <f>IF(A750="","",IF(J750=1,VLOOKUP(A750,[1]怪物!$R$80:$V$99,4,0),VLOOKUP(A750,[1]怪物!$R$80:$V$99,2,0))*10000)</f>
        <v/>
      </c>
      <c r="L750" t="str">
        <f>IF(A750="","",IF(K750=1,VLOOKUP(A750,[1]怪物!$R$80:$V$99,5,0),VLOOKUP(A750,[1]怪物!$R$80:$V$99,3,0))*10000)</f>
        <v/>
      </c>
      <c r="M750" t="str">
        <f t="shared" si="46"/>
        <v/>
      </c>
      <c r="N750" t="str">
        <f t="shared" si="47"/>
        <v/>
      </c>
    </row>
    <row r="751" spans="1:14">
      <c r="A751">
        <f t="shared" si="44"/>
        <v>20</v>
      </c>
      <c r="B751">
        <v>20</v>
      </c>
      <c r="C751" t="s">
        <v>55</v>
      </c>
      <c r="D751" s="11" t="s">
        <v>33</v>
      </c>
      <c r="E751">
        <v>1</v>
      </c>
      <c r="F751">
        <v>0</v>
      </c>
      <c r="G751">
        <v>3031</v>
      </c>
      <c r="H751" s="11" t="s">
        <v>36</v>
      </c>
      <c r="I751" t="str">
        <f t="shared" si="45"/>
        <v>[{1000,1,0,3031,41}]</v>
      </c>
      <c r="J751" t="s">
        <v>35</v>
      </c>
      <c r="K751" t="e">
        <f>IF(A751="","",IF(J751=1,VLOOKUP(A751,[1]怪物!$R$80:$V$99,4,0),VLOOKUP(A751,[1]怪物!$R$80:$V$99,2,0))*10000)</f>
        <v>#N/A</v>
      </c>
      <c r="L751" t="e">
        <f>IF(A751="","",IF(K751=1,VLOOKUP(A751,[1]怪物!$R$80:$V$99,5,0),VLOOKUP(A751,[1]怪物!$R$80:$V$99,3,0))*10000)</f>
        <v>#N/A</v>
      </c>
      <c r="M751">
        <f t="shared" si="46"/>
        <v>10000</v>
      </c>
      <c r="N751">
        <f t="shared" si="47"/>
        <v>10000</v>
      </c>
    </row>
    <row r="752" spans="1:14">
      <c r="A752">
        <f t="shared" ref="A752:A815" si="48">IF(E752="","",B752)</f>
        <v>1</v>
      </c>
      <c r="B752">
        <v>1</v>
      </c>
      <c r="C752" t="s">
        <v>56</v>
      </c>
      <c r="D752" t="s">
        <v>33</v>
      </c>
      <c r="E752">
        <v>1</v>
      </c>
      <c r="F752">
        <v>1</v>
      </c>
      <c r="G752">
        <f>IF(G707="","",G707+100)</f>
        <v>3101</v>
      </c>
      <c r="H752" t="str">
        <f>IF(VLOOKUP(G752,[2]Sheet1!$A:$O,15,0)=1,"401}]","101}]")</f>
        <v>101}]</v>
      </c>
      <c r="I752" t="str">
        <f t="shared" si="45"/>
        <v>[{1000,1,1,3101,101}]</v>
      </c>
      <c r="J752" t="str">
        <f>VLOOKUP(G752,[2]Sheet1!$A:$O,15,0)</f>
        <v/>
      </c>
      <c r="K752">
        <f>IF(A752="","",IF(J752=1,VLOOKUP(A752,[1]怪物!$R$92:$Z$111,8,0),VLOOKUP(A752,[1]怪物!$R$92:$Z$111,6,0))*10000)</f>
        <v>10000</v>
      </c>
      <c r="L752">
        <f>IF(A752="","",IF(J752=1,VLOOKUP(A752,[1]怪物!$R$92:$Z$111,9,0),VLOOKUP(A752,[1]怪物!$R$92:$Z$111,7,0))*10000)</f>
        <v>10000</v>
      </c>
      <c r="M752">
        <f t="shared" ref="M752:M815" si="49">IF(F752="","",IF(F752=0,10000,K752))</f>
        <v>10000</v>
      </c>
      <c r="N752">
        <f t="shared" ref="N752:N815" si="50">IF(F752="","",IF(F752=0,10000,L752))</f>
        <v>10000</v>
      </c>
    </row>
    <row r="753" spans="1:14">
      <c r="A753">
        <f t="shared" si="48"/>
        <v>2</v>
      </c>
      <c r="B753">
        <v>2</v>
      </c>
      <c r="C753" t="s">
        <v>56</v>
      </c>
      <c r="D753" t="s">
        <v>33</v>
      </c>
      <c r="E753">
        <v>1</v>
      </c>
      <c r="F753">
        <v>1</v>
      </c>
      <c r="G753">
        <f t="shared" ref="G753:G796" si="51">IF(G708="","",G708+100)</f>
        <v>3101</v>
      </c>
      <c r="H753" t="str">
        <f>IF(VLOOKUP(G753,[2]Sheet1!$A:$O,15,0)=1,"401}]","101}]")</f>
        <v>101}]</v>
      </c>
      <c r="I753" t="str">
        <f t="shared" si="45"/>
        <v>[{1000,1,1,3101,101}]</v>
      </c>
      <c r="J753" t="str">
        <f>VLOOKUP(G753,[2]Sheet1!$A:$O,15,0)</f>
        <v/>
      </c>
      <c r="K753">
        <f>IF(A753="","",IF(J753=1,VLOOKUP(A753,[1]怪物!$R$92:$Z$111,8,0),VLOOKUP(A753,[1]怪物!$R$92:$Z$111,6,0))*10000)</f>
        <v>10000</v>
      </c>
      <c r="L753">
        <f>IF(A753="","",IF(J753=1,VLOOKUP(A753,[1]怪物!$R$92:$Z$111,9,0),VLOOKUP(A753,[1]怪物!$R$92:$Z$111,7,0))*10000)</f>
        <v>10000</v>
      </c>
      <c r="M753">
        <f t="shared" si="49"/>
        <v>10000</v>
      </c>
      <c r="N753">
        <f t="shared" si="50"/>
        <v>10000</v>
      </c>
    </row>
    <row r="754" spans="1:14">
      <c r="A754">
        <f t="shared" si="48"/>
        <v>3</v>
      </c>
      <c r="B754">
        <v>3</v>
      </c>
      <c r="C754" t="s">
        <v>56</v>
      </c>
      <c r="D754" t="s">
        <v>33</v>
      </c>
      <c r="E754">
        <v>1</v>
      </c>
      <c r="F754">
        <v>1</v>
      </c>
      <c r="G754">
        <f t="shared" si="51"/>
        <v>3101</v>
      </c>
      <c r="H754" t="str">
        <f>IF(VLOOKUP(G754,[2]Sheet1!$A:$O,15,0)=1,"401}]","101}]")</f>
        <v>101}]</v>
      </c>
      <c r="I754" t="str">
        <f t="shared" si="45"/>
        <v>[{1000,1,1,3101,101}]</v>
      </c>
      <c r="J754" t="str">
        <f>VLOOKUP(G754,[2]Sheet1!$A:$O,15,0)</f>
        <v/>
      </c>
      <c r="K754">
        <f>IF(A754="","",IF(J754=1,VLOOKUP(A754,[1]怪物!$R$92:$Z$111,8,0),VLOOKUP(A754,[1]怪物!$R$92:$Z$111,6,0))*10000)</f>
        <v>10000</v>
      </c>
      <c r="L754">
        <f>IF(A754="","",IF(J754=1,VLOOKUP(A754,[1]怪物!$R$92:$Z$111,9,0),VLOOKUP(A754,[1]怪物!$R$92:$Z$111,7,0))*10000)</f>
        <v>10000</v>
      </c>
      <c r="M754">
        <f t="shared" si="49"/>
        <v>10000</v>
      </c>
      <c r="N754">
        <f t="shared" si="50"/>
        <v>10000</v>
      </c>
    </row>
    <row r="755" spans="1:14">
      <c r="A755">
        <f t="shared" si="48"/>
        <v>4</v>
      </c>
      <c r="B755">
        <v>4</v>
      </c>
      <c r="C755" t="s">
        <v>56</v>
      </c>
      <c r="D755" t="s">
        <v>33</v>
      </c>
      <c r="E755">
        <v>1</v>
      </c>
      <c r="F755">
        <v>1</v>
      </c>
      <c r="G755">
        <f t="shared" si="51"/>
        <v>3101</v>
      </c>
      <c r="H755" t="str">
        <f>IF(VLOOKUP(G755,[2]Sheet1!$A:$O,15,0)=1,"401}]","101}]")</f>
        <v>101}]</v>
      </c>
      <c r="I755" t="str">
        <f t="shared" si="45"/>
        <v>[{1000,1,1,3101,101}]</v>
      </c>
      <c r="J755" t="str">
        <f>VLOOKUP(G755,[2]Sheet1!$A:$O,15,0)</f>
        <v/>
      </c>
      <c r="K755">
        <f>IF(A755="","",IF(J755=1,VLOOKUP(A755,[1]怪物!$R$92:$Z$111,8,0),VLOOKUP(A755,[1]怪物!$R$92:$Z$111,6,0))*10000)</f>
        <v>10000</v>
      </c>
      <c r="L755">
        <f>IF(A755="","",IF(J755=1,VLOOKUP(A755,[1]怪物!$R$92:$Z$111,9,0),VLOOKUP(A755,[1]怪物!$R$92:$Z$111,7,0))*10000)</f>
        <v>10000</v>
      </c>
      <c r="M755">
        <f t="shared" si="49"/>
        <v>10000</v>
      </c>
      <c r="N755">
        <f t="shared" si="50"/>
        <v>10000</v>
      </c>
    </row>
    <row r="756" spans="1:14">
      <c r="A756">
        <f t="shared" si="48"/>
        <v>5</v>
      </c>
      <c r="B756">
        <v>5</v>
      </c>
      <c r="C756" t="s">
        <v>56</v>
      </c>
      <c r="D756" t="s">
        <v>33</v>
      </c>
      <c r="E756">
        <v>1</v>
      </c>
      <c r="F756">
        <v>1</v>
      </c>
      <c r="G756">
        <f t="shared" si="51"/>
        <v>3101</v>
      </c>
      <c r="H756" t="str">
        <f>IF(VLOOKUP(G756,[2]Sheet1!$A:$O,15,0)=1,"401}]","101}]")</f>
        <v>101}]</v>
      </c>
      <c r="I756" t="str">
        <f t="shared" si="45"/>
        <v>[{1000,1,1,3101,101}]</v>
      </c>
      <c r="J756" t="str">
        <f>VLOOKUP(G756,[2]Sheet1!$A:$O,15,0)</f>
        <v/>
      </c>
      <c r="K756">
        <f>IF(A756="","",IF(J756=1,VLOOKUP(A756,[1]怪物!$R$92:$Z$111,8,0),VLOOKUP(A756,[1]怪物!$R$92:$Z$111,6,0))*10000)</f>
        <v>10000</v>
      </c>
      <c r="L756">
        <f>IF(A756="","",IF(J756=1,VLOOKUP(A756,[1]怪物!$R$92:$Z$111,9,0),VLOOKUP(A756,[1]怪物!$R$92:$Z$111,7,0))*10000)</f>
        <v>10000</v>
      </c>
      <c r="M756">
        <f t="shared" si="49"/>
        <v>10000</v>
      </c>
      <c r="N756">
        <f t="shared" si="50"/>
        <v>10000</v>
      </c>
    </row>
    <row r="757" spans="1:14">
      <c r="A757">
        <f t="shared" si="48"/>
        <v>6</v>
      </c>
      <c r="B757">
        <v>6</v>
      </c>
      <c r="C757" t="s">
        <v>56</v>
      </c>
      <c r="D757" t="s">
        <v>33</v>
      </c>
      <c r="E757">
        <v>1</v>
      </c>
      <c r="F757">
        <v>1</v>
      </c>
      <c r="G757">
        <f t="shared" si="51"/>
        <v>3101</v>
      </c>
      <c r="H757" t="str">
        <f>IF(VLOOKUP(G757,[2]Sheet1!$A:$O,15,0)=1,"401}]","101}]")</f>
        <v>101}]</v>
      </c>
      <c r="I757" t="str">
        <f t="shared" si="45"/>
        <v>[{1000,1,1,3101,101}]</v>
      </c>
      <c r="J757" t="str">
        <f>VLOOKUP(G757,[2]Sheet1!$A:$O,15,0)</f>
        <v/>
      </c>
      <c r="K757">
        <f>IF(A757="","",IF(J757=1,VLOOKUP(A757,[1]怪物!$R$92:$Z$111,8,0),VLOOKUP(A757,[1]怪物!$R$92:$Z$111,6,0))*10000)</f>
        <v>20000</v>
      </c>
      <c r="L757">
        <f>IF(A757="","",IF(J757=1,VLOOKUP(A757,[1]怪物!$R$92:$Z$111,9,0),VLOOKUP(A757,[1]怪物!$R$92:$Z$111,7,0))*10000)</f>
        <v>20000</v>
      </c>
      <c r="M757">
        <f t="shared" si="49"/>
        <v>20000</v>
      </c>
      <c r="N757">
        <f t="shared" si="50"/>
        <v>20000</v>
      </c>
    </row>
    <row r="758" spans="1:14">
      <c r="A758">
        <f t="shared" si="48"/>
        <v>7</v>
      </c>
      <c r="B758">
        <v>7</v>
      </c>
      <c r="C758" t="s">
        <v>56</v>
      </c>
      <c r="D758" t="s">
        <v>33</v>
      </c>
      <c r="E758">
        <v>1</v>
      </c>
      <c r="F758">
        <v>1</v>
      </c>
      <c r="G758">
        <f t="shared" si="51"/>
        <v>3101</v>
      </c>
      <c r="H758" t="str">
        <f>IF(VLOOKUP(G758,[2]Sheet1!$A:$O,15,0)=1,"401}]","101}]")</f>
        <v>101}]</v>
      </c>
      <c r="I758" t="str">
        <f t="shared" si="45"/>
        <v>[{1000,1,1,3101,101}]</v>
      </c>
      <c r="J758" t="str">
        <f>VLOOKUP(G758,[2]Sheet1!$A:$O,15,0)</f>
        <v/>
      </c>
      <c r="K758">
        <f>IF(A758="","",IF(J758=1,VLOOKUP(A758,[1]怪物!$R$92:$Z$111,8,0),VLOOKUP(A758,[1]怪物!$R$92:$Z$111,6,0))*10000)</f>
        <v>20000</v>
      </c>
      <c r="L758">
        <f>IF(A758="","",IF(J758=1,VLOOKUP(A758,[1]怪物!$R$92:$Z$111,9,0),VLOOKUP(A758,[1]怪物!$R$92:$Z$111,7,0))*10000)</f>
        <v>20000</v>
      </c>
      <c r="M758">
        <f t="shared" si="49"/>
        <v>20000</v>
      </c>
      <c r="N758">
        <f t="shared" si="50"/>
        <v>20000</v>
      </c>
    </row>
    <row r="759" spans="1:14">
      <c r="A759">
        <f t="shared" si="48"/>
        <v>7</v>
      </c>
      <c r="B759">
        <v>7</v>
      </c>
      <c r="C759" t="s">
        <v>56</v>
      </c>
      <c r="D759" t="s">
        <v>33</v>
      </c>
      <c r="E759">
        <v>1</v>
      </c>
      <c r="F759">
        <v>1</v>
      </c>
      <c r="G759">
        <f t="shared" si="51"/>
        <v>3102</v>
      </c>
      <c r="H759" t="str">
        <f>IF(VLOOKUP(G759,[2]Sheet1!$A:$O,15,0)=1,"401}]","101}]")</f>
        <v>101}]</v>
      </c>
      <c r="I759" t="str">
        <f t="shared" si="45"/>
        <v>[{1000,1,1,3102,101}]</v>
      </c>
      <c r="J759" t="str">
        <f>VLOOKUP(G759,[2]Sheet1!$A:$O,15,0)</f>
        <v/>
      </c>
      <c r="K759">
        <f>IF(A759="","",IF(J759=1,VLOOKUP(A759,[1]怪物!$R$92:$Z$111,8,0),VLOOKUP(A759,[1]怪物!$R$92:$Z$111,6,0))*10000)</f>
        <v>20000</v>
      </c>
      <c r="L759">
        <f>IF(A759="","",IF(J759=1,VLOOKUP(A759,[1]怪物!$R$92:$Z$111,9,0),VLOOKUP(A759,[1]怪物!$R$92:$Z$111,7,0))*10000)</f>
        <v>20000</v>
      </c>
      <c r="M759">
        <f t="shared" si="49"/>
        <v>20000</v>
      </c>
      <c r="N759">
        <f t="shared" si="50"/>
        <v>20000</v>
      </c>
    </row>
    <row r="760" spans="1:14">
      <c r="A760">
        <f t="shared" si="48"/>
        <v>8</v>
      </c>
      <c r="B760">
        <v>8</v>
      </c>
      <c r="C760" t="s">
        <v>56</v>
      </c>
      <c r="D760" t="s">
        <v>33</v>
      </c>
      <c r="E760">
        <v>1</v>
      </c>
      <c r="F760">
        <v>1</v>
      </c>
      <c r="G760">
        <f t="shared" si="51"/>
        <v>3101</v>
      </c>
      <c r="H760" t="str">
        <f>IF(VLOOKUP(G760,[2]Sheet1!$A:$O,15,0)=1,"401}]","101}]")</f>
        <v>101}]</v>
      </c>
      <c r="I760" t="str">
        <f t="shared" si="45"/>
        <v>[{1000,1,1,3101,101}]</v>
      </c>
      <c r="J760" t="str">
        <f>VLOOKUP(G760,[2]Sheet1!$A:$O,15,0)</f>
        <v/>
      </c>
      <c r="K760">
        <f>IF(A760="","",IF(J760=1,VLOOKUP(A760,[1]怪物!$R$92:$Z$111,8,0),VLOOKUP(A760,[1]怪物!$R$92:$Z$111,6,0))*10000)</f>
        <v>20000</v>
      </c>
      <c r="L760">
        <f>IF(A760="","",IF(J760=1,VLOOKUP(A760,[1]怪物!$R$92:$Z$111,9,0),VLOOKUP(A760,[1]怪物!$R$92:$Z$111,7,0))*10000)</f>
        <v>20000</v>
      </c>
      <c r="M760">
        <f t="shared" si="49"/>
        <v>20000</v>
      </c>
      <c r="N760">
        <f t="shared" si="50"/>
        <v>20000</v>
      </c>
    </row>
    <row r="761" spans="1:14">
      <c r="A761">
        <f t="shared" si="48"/>
        <v>8</v>
      </c>
      <c r="B761">
        <v>8</v>
      </c>
      <c r="C761" t="s">
        <v>56</v>
      </c>
      <c r="D761" t="s">
        <v>33</v>
      </c>
      <c r="E761">
        <v>1</v>
      </c>
      <c r="F761">
        <v>1</v>
      </c>
      <c r="G761">
        <f t="shared" si="51"/>
        <v>3102</v>
      </c>
      <c r="H761" t="str">
        <f>IF(VLOOKUP(G761,[2]Sheet1!$A:$O,15,0)=1,"401}]","101}]")</f>
        <v>101}]</v>
      </c>
      <c r="I761" t="str">
        <f t="shared" si="45"/>
        <v>[{1000,1,1,3102,101}]</v>
      </c>
      <c r="J761" t="str">
        <f>VLOOKUP(G761,[2]Sheet1!$A:$O,15,0)</f>
        <v/>
      </c>
      <c r="K761">
        <f>IF(A761="","",IF(J761=1,VLOOKUP(A761,[1]怪物!$R$92:$Z$111,8,0),VLOOKUP(A761,[1]怪物!$R$92:$Z$111,6,0))*10000)</f>
        <v>20000</v>
      </c>
      <c r="L761">
        <f>IF(A761="","",IF(J761=1,VLOOKUP(A761,[1]怪物!$R$92:$Z$111,9,0),VLOOKUP(A761,[1]怪物!$R$92:$Z$111,7,0))*10000)</f>
        <v>20000</v>
      </c>
      <c r="M761">
        <f t="shared" si="49"/>
        <v>20000</v>
      </c>
      <c r="N761">
        <f t="shared" si="50"/>
        <v>20000</v>
      </c>
    </row>
    <row r="762" spans="1:14">
      <c r="A762">
        <f t="shared" si="48"/>
        <v>9</v>
      </c>
      <c r="B762">
        <v>9</v>
      </c>
      <c r="C762" t="s">
        <v>56</v>
      </c>
      <c r="D762" t="s">
        <v>33</v>
      </c>
      <c r="E762">
        <v>1</v>
      </c>
      <c r="F762">
        <v>1</v>
      </c>
      <c r="G762">
        <f t="shared" si="51"/>
        <v>3101</v>
      </c>
      <c r="H762" t="str">
        <f>IF(VLOOKUP(G762,[2]Sheet1!$A:$O,15,0)=1,"401}]","101}]")</f>
        <v>101}]</v>
      </c>
      <c r="I762" t="str">
        <f t="shared" si="45"/>
        <v>[{1000,1,1,3101,101}]</v>
      </c>
      <c r="J762" t="str">
        <f>VLOOKUP(G762,[2]Sheet1!$A:$O,15,0)</f>
        <v/>
      </c>
      <c r="K762">
        <f>IF(A762="","",IF(J762=1,VLOOKUP(A762,[1]怪物!$R$92:$Z$111,8,0),VLOOKUP(A762,[1]怪物!$R$92:$Z$111,6,0))*10000)</f>
        <v>20000</v>
      </c>
      <c r="L762">
        <f>IF(A762="","",IF(J762=1,VLOOKUP(A762,[1]怪物!$R$92:$Z$111,9,0),VLOOKUP(A762,[1]怪物!$R$92:$Z$111,7,0))*10000)</f>
        <v>20000</v>
      </c>
      <c r="M762">
        <f t="shared" si="49"/>
        <v>20000</v>
      </c>
      <c r="N762">
        <f t="shared" si="50"/>
        <v>20000</v>
      </c>
    </row>
    <row r="763" spans="1:14">
      <c r="A763">
        <f t="shared" si="48"/>
        <v>9</v>
      </c>
      <c r="B763">
        <v>9</v>
      </c>
      <c r="C763" t="s">
        <v>56</v>
      </c>
      <c r="D763" t="s">
        <v>33</v>
      </c>
      <c r="E763">
        <v>1</v>
      </c>
      <c r="F763">
        <v>1</v>
      </c>
      <c r="G763">
        <f t="shared" si="51"/>
        <v>3102</v>
      </c>
      <c r="H763" t="str">
        <f>IF(VLOOKUP(G763,[2]Sheet1!$A:$O,15,0)=1,"401}]","101}]")</f>
        <v>101}]</v>
      </c>
      <c r="I763" t="str">
        <f t="shared" si="45"/>
        <v>[{1000,1,1,3102,101}]</v>
      </c>
      <c r="J763" t="str">
        <f>VLOOKUP(G763,[2]Sheet1!$A:$O,15,0)</f>
        <v/>
      </c>
      <c r="K763">
        <f>IF(A763="","",IF(J763=1,VLOOKUP(A763,[1]怪物!$R$92:$Z$111,8,0),VLOOKUP(A763,[1]怪物!$R$92:$Z$111,6,0))*10000)</f>
        <v>20000</v>
      </c>
      <c r="L763">
        <f>IF(A763="","",IF(J763=1,VLOOKUP(A763,[1]怪物!$R$92:$Z$111,9,0),VLOOKUP(A763,[1]怪物!$R$92:$Z$111,7,0))*10000)</f>
        <v>20000</v>
      </c>
      <c r="M763">
        <f t="shared" si="49"/>
        <v>20000</v>
      </c>
      <c r="N763">
        <f t="shared" si="50"/>
        <v>20000</v>
      </c>
    </row>
    <row r="764" spans="1:14">
      <c r="A764">
        <f t="shared" si="48"/>
        <v>10</v>
      </c>
      <c r="B764">
        <v>10</v>
      </c>
      <c r="C764" t="s">
        <v>56</v>
      </c>
      <c r="D764" t="s">
        <v>33</v>
      </c>
      <c r="E764">
        <v>1</v>
      </c>
      <c r="F764">
        <v>1</v>
      </c>
      <c r="G764">
        <f t="shared" si="51"/>
        <v>3101</v>
      </c>
      <c r="H764" t="str">
        <f>IF(VLOOKUP(G764,[2]Sheet1!$A:$O,15,0)=1,"401}]","101}]")</f>
        <v>101}]</v>
      </c>
      <c r="I764" t="str">
        <f t="shared" si="45"/>
        <v>[{1000,1,1,3101,101}]</v>
      </c>
      <c r="J764" t="str">
        <f>VLOOKUP(G764,[2]Sheet1!$A:$O,15,0)</f>
        <v/>
      </c>
      <c r="K764">
        <f>IF(A764="","",IF(J764=1,VLOOKUP(A764,[1]怪物!$R$92:$Z$111,8,0),VLOOKUP(A764,[1]怪物!$R$92:$Z$111,6,0))*10000)</f>
        <v>20000</v>
      </c>
      <c r="L764">
        <f>IF(A764="","",IF(J764=1,VLOOKUP(A764,[1]怪物!$R$92:$Z$111,9,0),VLOOKUP(A764,[1]怪物!$R$92:$Z$111,7,0))*10000)</f>
        <v>20000</v>
      </c>
      <c r="M764">
        <f t="shared" si="49"/>
        <v>20000</v>
      </c>
      <c r="N764">
        <f t="shared" si="50"/>
        <v>20000</v>
      </c>
    </row>
    <row r="765" spans="1:14">
      <c r="A765">
        <f t="shared" si="48"/>
        <v>10</v>
      </c>
      <c r="B765">
        <v>10</v>
      </c>
      <c r="C765" t="s">
        <v>56</v>
      </c>
      <c r="D765" t="s">
        <v>33</v>
      </c>
      <c r="E765">
        <v>1</v>
      </c>
      <c r="F765">
        <v>1</v>
      </c>
      <c r="G765">
        <f t="shared" si="51"/>
        <v>3102</v>
      </c>
      <c r="H765" t="str">
        <f>IF(VLOOKUP(G765,[2]Sheet1!$A:$O,15,0)=1,"401}]","101}]")</f>
        <v>101}]</v>
      </c>
      <c r="I765" t="str">
        <f t="shared" si="45"/>
        <v>[{1000,1,1,3102,101}]</v>
      </c>
      <c r="J765" t="str">
        <f>VLOOKUP(G765,[2]Sheet1!$A:$O,15,0)</f>
        <v/>
      </c>
      <c r="K765">
        <f>IF(A765="","",IF(J765=1,VLOOKUP(A765,[1]怪物!$R$92:$Z$111,8,0),VLOOKUP(A765,[1]怪物!$R$92:$Z$111,6,0))*10000)</f>
        <v>20000</v>
      </c>
      <c r="L765">
        <f>IF(A765="","",IF(J765=1,VLOOKUP(A765,[1]怪物!$R$92:$Z$111,9,0),VLOOKUP(A765,[1]怪物!$R$92:$Z$111,7,0))*10000)</f>
        <v>20000</v>
      </c>
      <c r="M765">
        <f t="shared" si="49"/>
        <v>20000</v>
      </c>
      <c r="N765">
        <f t="shared" si="50"/>
        <v>20000</v>
      </c>
    </row>
    <row r="766" spans="1:14">
      <c r="A766" t="str">
        <f t="shared" si="48"/>
        <v/>
      </c>
      <c r="B766">
        <v>10</v>
      </c>
      <c r="C766" t="s">
        <v>56</v>
      </c>
      <c r="D766" s="11" t="s">
        <v>28</v>
      </c>
      <c r="G766" t="str">
        <f t="shared" si="51"/>
        <v/>
      </c>
      <c r="I766" t="str">
        <f t="shared" si="45"/>
        <v>[]</v>
      </c>
      <c r="K766" t="str">
        <f>IF(A766="","",IF(J766=1,VLOOKUP(A766,[1]怪物!$R$92:$Z$111,8,0),VLOOKUP(A766,[1]怪物!$R$92:$Z$111,6,0))*10000)</f>
        <v/>
      </c>
      <c r="L766" t="str">
        <f>IF(A766="","",IF(J766=1,VLOOKUP(A766,[1]怪物!$R$92:$Z$111,9,0),VLOOKUP(A766,[1]怪物!$R$92:$Z$111,7,0))*10000)</f>
        <v/>
      </c>
      <c r="M766" t="str">
        <f t="shared" si="49"/>
        <v/>
      </c>
      <c r="N766" t="str">
        <f t="shared" si="50"/>
        <v/>
      </c>
    </row>
    <row r="767" spans="1:14">
      <c r="A767">
        <f t="shared" si="48"/>
        <v>10</v>
      </c>
      <c r="B767">
        <v>10</v>
      </c>
      <c r="C767" t="s">
        <v>56</v>
      </c>
      <c r="D767" t="s">
        <v>33</v>
      </c>
      <c r="E767">
        <v>1</v>
      </c>
      <c r="F767">
        <v>0</v>
      </c>
      <c r="G767">
        <f t="shared" si="51"/>
        <v>3121</v>
      </c>
      <c r="H767" s="11" t="s">
        <v>36</v>
      </c>
      <c r="I767" t="str">
        <f t="shared" si="45"/>
        <v>[{1000,1,0,3121,41}]</v>
      </c>
      <c r="J767" t="str">
        <f>VLOOKUP(G767,[2]Sheet1!$A:$O,15,0)</f>
        <v/>
      </c>
      <c r="K767">
        <f>IF(A767="","",IF(J767=1,VLOOKUP(A767,[1]怪物!$R$92:$Z$111,8,0),VLOOKUP(A767,[1]怪物!$R$92:$Z$111,6,0))*10000)</f>
        <v>20000</v>
      </c>
      <c r="L767">
        <f>IF(A767="","",IF(J767=1,VLOOKUP(A767,[1]怪物!$R$92:$Z$111,9,0),VLOOKUP(A767,[1]怪物!$R$92:$Z$111,7,0))*10000)</f>
        <v>20000</v>
      </c>
      <c r="M767">
        <f t="shared" si="49"/>
        <v>10000</v>
      </c>
      <c r="N767">
        <f t="shared" si="50"/>
        <v>10000</v>
      </c>
    </row>
    <row r="768" spans="1:14">
      <c r="A768">
        <f t="shared" si="48"/>
        <v>11</v>
      </c>
      <c r="B768">
        <v>11</v>
      </c>
      <c r="C768" t="s">
        <v>56</v>
      </c>
      <c r="D768" t="s">
        <v>33</v>
      </c>
      <c r="E768">
        <v>1</v>
      </c>
      <c r="F768">
        <v>1</v>
      </c>
      <c r="G768">
        <f t="shared" si="51"/>
        <v>3101</v>
      </c>
      <c r="H768" t="str">
        <f>IF(VLOOKUP(G768,[2]Sheet1!$A:$O,15,0)=1,"401}]","101}]")</f>
        <v>101}]</v>
      </c>
      <c r="I768" t="str">
        <f t="shared" si="45"/>
        <v>[{1000,1,1,3101,101}]</v>
      </c>
      <c r="J768" t="str">
        <f>VLOOKUP(G768,[2]Sheet1!$A:$O,15,0)</f>
        <v/>
      </c>
      <c r="K768">
        <f>IF(A768="","",IF(J768=1,VLOOKUP(A768,[1]怪物!$R$92:$Z$111,8,0),VLOOKUP(A768,[1]怪物!$R$92:$Z$111,6,0))*10000)</f>
        <v>40000</v>
      </c>
      <c r="L768">
        <f>IF(A768="","",IF(J768=1,VLOOKUP(A768,[1]怪物!$R$92:$Z$111,9,0),VLOOKUP(A768,[1]怪物!$R$92:$Z$111,7,0))*10000)</f>
        <v>30000</v>
      </c>
      <c r="M768">
        <f t="shared" si="49"/>
        <v>40000</v>
      </c>
      <c r="N768">
        <f t="shared" si="50"/>
        <v>30000</v>
      </c>
    </row>
    <row r="769" spans="1:14">
      <c r="A769">
        <f t="shared" si="48"/>
        <v>11</v>
      </c>
      <c r="B769">
        <v>11</v>
      </c>
      <c r="C769" t="s">
        <v>56</v>
      </c>
      <c r="D769" t="s">
        <v>33</v>
      </c>
      <c r="E769">
        <v>1</v>
      </c>
      <c r="F769">
        <v>1</v>
      </c>
      <c r="G769">
        <f t="shared" si="51"/>
        <v>3102</v>
      </c>
      <c r="H769" t="str">
        <f>IF(VLOOKUP(G769,[2]Sheet1!$A:$O,15,0)=1,"401}]","101}]")</f>
        <v>101}]</v>
      </c>
      <c r="I769" t="str">
        <f t="shared" si="45"/>
        <v>[{1000,1,1,3102,101}]</v>
      </c>
      <c r="J769" t="str">
        <f>VLOOKUP(G769,[2]Sheet1!$A:$O,15,0)</f>
        <v/>
      </c>
      <c r="K769">
        <f>IF(A769="","",IF(J769=1,VLOOKUP(A769,[1]怪物!$R$92:$Z$111,8,0),VLOOKUP(A769,[1]怪物!$R$92:$Z$111,6,0))*10000)</f>
        <v>40000</v>
      </c>
      <c r="L769">
        <f>IF(A769="","",IF(J769=1,VLOOKUP(A769,[1]怪物!$R$92:$Z$111,9,0),VLOOKUP(A769,[1]怪物!$R$92:$Z$111,7,0))*10000)</f>
        <v>30000</v>
      </c>
      <c r="M769">
        <f t="shared" si="49"/>
        <v>40000</v>
      </c>
      <c r="N769">
        <f t="shared" si="50"/>
        <v>30000</v>
      </c>
    </row>
    <row r="770" spans="1:14">
      <c r="A770">
        <f t="shared" si="48"/>
        <v>12</v>
      </c>
      <c r="B770">
        <v>12</v>
      </c>
      <c r="C770" t="s">
        <v>56</v>
      </c>
      <c r="D770" t="s">
        <v>33</v>
      </c>
      <c r="E770">
        <v>1</v>
      </c>
      <c r="F770">
        <v>1</v>
      </c>
      <c r="G770">
        <f t="shared" si="51"/>
        <v>3101</v>
      </c>
      <c r="H770" t="str">
        <f>IF(VLOOKUP(G770,[2]Sheet1!$A:$O,15,0)=1,"401}]","101}]")</f>
        <v>101}]</v>
      </c>
      <c r="I770" t="str">
        <f t="shared" ref="I770:I833" si="52">_xlfn.TEXTJOIN(",",1,D770:H770)</f>
        <v>[{1000,1,1,3101,101}]</v>
      </c>
      <c r="J770" t="str">
        <f>VLOOKUP(G770,[2]Sheet1!$A:$O,15,0)</f>
        <v/>
      </c>
      <c r="K770">
        <f>IF(A770="","",IF(J770=1,VLOOKUP(A770,[1]怪物!$R$92:$Z$111,8,0),VLOOKUP(A770,[1]怪物!$R$92:$Z$111,6,0))*10000)</f>
        <v>40000</v>
      </c>
      <c r="L770">
        <f>IF(A770="","",IF(J770=1,VLOOKUP(A770,[1]怪物!$R$92:$Z$111,9,0),VLOOKUP(A770,[1]怪物!$R$92:$Z$111,7,0))*10000)</f>
        <v>30000</v>
      </c>
      <c r="M770">
        <f t="shared" si="49"/>
        <v>40000</v>
      </c>
      <c r="N770">
        <f t="shared" si="50"/>
        <v>30000</v>
      </c>
    </row>
    <row r="771" spans="1:14">
      <c r="A771">
        <f t="shared" si="48"/>
        <v>12</v>
      </c>
      <c r="B771">
        <v>12</v>
      </c>
      <c r="C771" t="s">
        <v>56</v>
      </c>
      <c r="D771" t="s">
        <v>33</v>
      </c>
      <c r="E771">
        <v>1</v>
      </c>
      <c r="F771">
        <v>1</v>
      </c>
      <c r="G771">
        <f t="shared" si="51"/>
        <v>3102</v>
      </c>
      <c r="H771" t="str">
        <f>IF(VLOOKUP(G771,[2]Sheet1!$A:$O,15,0)=1,"401}]","101}]")</f>
        <v>101}]</v>
      </c>
      <c r="I771" t="str">
        <f t="shared" si="52"/>
        <v>[{1000,1,1,3102,101}]</v>
      </c>
      <c r="J771" t="str">
        <f>VLOOKUP(G771,[2]Sheet1!$A:$O,15,0)</f>
        <v/>
      </c>
      <c r="K771">
        <f>IF(A771="","",IF(J771=1,VLOOKUP(A771,[1]怪物!$R$92:$Z$111,8,0),VLOOKUP(A771,[1]怪物!$R$92:$Z$111,6,0))*10000)</f>
        <v>40000</v>
      </c>
      <c r="L771">
        <f>IF(A771="","",IF(J771=1,VLOOKUP(A771,[1]怪物!$R$92:$Z$111,9,0),VLOOKUP(A771,[1]怪物!$R$92:$Z$111,7,0))*10000)</f>
        <v>30000</v>
      </c>
      <c r="M771">
        <f t="shared" si="49"/>
        <v>40000</v>
      </c>
      <c r="N771">
        <f t="shared" si="50"/>
        <v>30000</v>
      </c>
    </row>
    <row r="772" spans="1:14">
      <c r="A772">
        <f t="shared" si="48"/>
        <v>13</v>
      </c>
      <c r="B772">
        <v>13</v>
      </c>
      <c r="C772" t="s">
        <v>56</v>
      </c>
      <c r="D772" t="s">
        <v>33</v>
      </c>
      <c r="E772">
        <v>1</v>
      </c>
      <c r="F772">
        <v>1</v>
      </c>
      <c r="G772">
        <f t="shared" si="51"/>
        <v>3101</v>
      </c>
      <c r="H772" t="str">
        <f>IF(VLOOKUP(G772,[2]Sheet1!$A:$O,15,0)=1,"401}]","101}]")</f>
        <v>101}]</v>
      </c>
      <c r="I772" t="str">
        <f t="shared" si="52"/>
        <v>[{1000,1,1,3101,101}]</v>
      </c>
      <c r="J772" t="str">
        <f>VLOOKUP(G772,[2]Sheet1!$A:$O,15,0)</f>
        <v/>
      </c>
      <c r="K772">
        <f>IF(A772="","",IF(J772=1,VLOOKUP(A772,[1]怪物!$R$92:$Z$111,8,0),VLOOKUP(A772,[1]怪物!$R$92:$Z$111,6,0))*10000)</f>
        <v>40000</v>
      </c>
      <c r="L772">
        <f>IF(A772="","",IF(J772=1,VLOOKUP(A772,[1]怪物!$R$92:$Z$111,9,0),VLOOKUP(A772,[1]怪物!$R$92:$Z$111,7,0))*10000)</f>
        <v>30000</v>
      </c>
      <c r="M772">
        <f t="shared" si="49"/>
        <v>40000</v>
      </c>
      <c r="N772">
        <f t="shared" si="50"/>
        <v>30000</v>
      </c>
    </row>
    <row r="773" spans="1:14">
      <c r="A773">
        <f t="shared" si="48"/>
        <v>13</v>
      </c>
      <c r="B773">
        <v>13</v>
      </c>
      <c r="C773" t="s">
        <v>56</v>
      </c>
      <c r="D773" t="s">
        <v>33</v>
      </c>
      <c r="E773">
        <v>1</v>
      </c>
      <c r="F773">
        <v>1</v>
      </c>
      <c r="G773">
        <f t="shared" si="51"/>
        <v>3102</v>
      </c>
      <c r="H773" t="str">
        <f>IF(VLOOKUP(G773,[2]Sheet1!$A:$O,15,0)=1,"401}]","101}]")</f>
        <v>101}]</v>
      </c>
      <c r="I773" t="str">
        <f t="shared" si="52"/>
        <v>[{1000,1,1,3102,101}]</v>
      </c>
      <c r="J773" t="str">
        <f>VLOOKUP(G773,[2]Sheet1!$A:$O,15,0)</f>
        <v/>
      </c>
      <c r="K773">
        <f>IF(A773="","",IF(J773=1,VLOOKUP(A773,[1]怪物!$R$92:$Z$111,8,0),VLOOKUP(A773,[1]怪物!$R$92:$Z$111,6,0))*10000)</f>
        <v>40000</v>
      </c>
      <c r="L773">
        <f>IF(A773="","",IF(J773=1,VLOOKUP(A773,[1]怪物!$R$92:$Z$111,9,0),VLOOKUP(A773,[1]怪物!$R$92:$Z$111,7,0))*10000)</f>
        <v>30000</v>
      </c>
      <c r="M773">
        <f t="shared" si="49"/>
        <v>40000</v>
      </c>
      <c r="N773">
        <f t="shared" si="50"/>
        <v>30000</v>
      </c>
    </row>
    <row r="774" spans="1:14">
      <c r="A774">
        <f t="shared" si="48"/>
        <v>14</v>
      </c>
      <c r="B774">
        <v>14</v>
      </c>
      <c r="C774" t="s">
        <v>56</v>
      </c>
      <c r="D774" t="s">
        <v>33</v>
      </c>
      <c r="E774">
        <v>1</v>
      </c>
      <c r="F774">
        <v>1</v>
      </c>
      <c r="G774">
        <f t="shared" si="51"/>
        <v>3101</v>
      </c>
      <c r="H774" t="str">
        <f>IF(VLOOKUP(G774,[2]Sheet1!$A:$O,15,0)=1,"401}]","101}]")</f>
        <v>101}]</v>
      </c>
      <c r="I774" t="str">
        <f t="shared" si="52"/>
        <v>[{1000,1,1,3101,101}]</v>
      </c>
      <c r="J774" t="str">
        <f>VLOOKUP(G774,[2]Sheet1!$A:$O,15,0)</f>
        <v/>
      </c>
      <c r="K774">
        <f>IF(A774="","",IF(J774=1,VLOOKUP(A774,[1]怪物!$R$92:$Z$111,8,0),VLOOKUP(A774,[1]怪物!$R$92:$Z$111,6,0))*10000)</f>
        <v>40000</v>
      </c>
      <c r="L774">
        <f>IF(A774="","",IF(J774=1,VLOOKUP(A774,[1]怪物!$R$92:$Z$111,9,0),VLOOKUP(A774,[1]怪物!$R$92:$Z$111,7,0))*10000)</f>
        <v>30000</v>
      </c>
      <c r="M774">
        <f t="shared" si="49"/>
        <v>40000</v>
      </c>
      <c r="N774">
        <f t="shared" si="50"/>
        <v>30000</v>
      </c>
    </row>
    <row r="775" spans="1:14">
      <c r="A775">
        <f t="shared" si="48"/>
        <v>14</v>
      </c>
      <c r="B775">
        <v>14</v>
      </c>
      <c r="C775" t="s">
        <v>56</v>
      </c>
      <c r="D775" t="s">
        <v>33</v>
      </c>
      <c r="E775">
        <v>1</v>
      </c>
      <c r="F775">
        <v>1</v>
      </c>
      <c r="G775">
        <f t="shared" si="51"/>
        <v>3102</v>
      </c>
      <c r="H775" t="str">
        <f>IF(VLOOKUP(G775,[2]Sheet1!$A:$O,15,0)=1,"401}]","101}]")</f>
        <v>101}]</v>
      </c>
      <c r="I775" t="str">
        <f t="shared" si="52"/>
        <v>[{1000,1,1,3102,101}]</v>
      </c>
      <c r="J775" t="str">
        <f>VLOOKUP(G775,[2]Sheet1!$A:$O,15,0)</f>
        <v/>
      </c>
      <c r="K775">
        <f>IF(A775="","",IF(J775=1,VLOOKUP(A775,[1]怪物!$R$92:$Z$111,8,0),VLOOKUP(A775,[1]怪物!$R$92:$Z$111,6,0))*10000)</f>
        <v>40000</v>
      </c>
      <c r="L775">
        <f>IF(A775="","",IF(J775=1,VLOOKUP(A775,[1]怪物!$R$92:$Z$111,9,0),VLOOKUP(A775,[1]怪物!$R$92:$Z$111,7,0))*10000)</f>
        <v>30000</v>
      </c>
      <c r="M775">
        <f t="shared" si="49"/>
        <v>40000</v>
      </c>
      <c r="N775">
        <f t="shared" si="50"/>
        <v>30000</v>
      </c>
    </row>
    <row r="776" spans="1:14">
      <c r="A776">
        <f t="shared" si="48"/>
        <v>14</v>
      </c>
      <c r="B776">
        <v>14</v>
      </c>
      <c r="C776" t="s">
        <v>56</v>
      </c>
      <c r="D776" t="s">
        <v>33</v>
      </c>
      <c r="E776">
        <v>1</v>
      </c>
      <c r="F776">
        <v>1</v>
      </c>
      <c r="G776">
        <f t="shared" si="51"/>
        <v>3103</v>
      </c>
      <c r="H776" t="str">
        <f>IF(VLOOKUP(G776,[2]Sheet1!$A:$O,15,0)=1,"401}]","101}]")</f>
        <v>401}]</v>
      </c>
      <c r="I776" t="str">
        <f t="shared" si="52"/>
        <v>[{1000,1,1,3103,401}]</v>
      </c>
      <c r="J776">
        <f>VLOOKUP(G776,[2]Sheet1!$A:$O,15,0)</f>
        <v>1</v>
      </c>
      <c r="K776">
        <f>IF(A776="","",IF(J776=1,VLOOKUP(A776,[1]怪物!$R$92:$Z$111,8,0),VLOOKUP(A776,[1]怪物!$R$92:$Z$111,6,0))*10000)</f>
        <v>40000</v>
      </c>
      <c r="L776">
        <f>IF(A776="","",IF(J776=1,VLOOKUP(A776,[1]怪物!$R$92:$Z$111,9,0),VLOOKUP(A776,[1]怪物!$R$92:$Z$111,7,0))*10000)</f>
        <v>30000</v>
      </c>
      <c r="M776">
        <f t="shared" si="49"/>
        <v>40000</v>
      </c>
      <c r="N776">
        <f t="shared" si="50"/>
        <v>30000</v>
      </c>
    </row>
    <row r="777" spans="1:14">
      <c r="A777">
        <f t="shared" si="48"/>
        <v>15</v>
      </c>
      <c r="B777">
        <v>15</v>
      </c>
      <c r="C777" t="s">
        <v>56</v>
      </c>
      <c r="D777" t="s">
        <v>33</v>
      </c>
      <c r="E777">
        <v>1</v>
      </c>
      <c r="F777">
        <v>1</v>
      </c>
      <c r="G777">
        <f t="shared" si="51"/>
        <v>3101</v>
      </c>
      <c r="H777" t="str">
        <f>IF(VLOOKUP(G777,[2]Sheet1!$A:$O,15,0)=1,"401}]","101}]")</f>
        <v>101}]</v>
      </c>
      <c r="I777" t="str">
        <f t="shared" si="52"/>
        <v>[{1000,1,1,3101,101}]</v>
      </c>
      <c r="J777" t="str">
        <f>VLOOKUP(G777,[2]Sheet1!$A:$O,15,0)</f>
        <v/>
      </c>
      <c r="K777">
        <f>IF(A777="","",IF(J777=1,VLOOKUP(A777,[1]怪物!$R$92:$Z$111,8,0),VLOOKUP(A777,[1]怪物!$R$92:$Z$111,6,0))*10000)</f>
        <v>40000</v>
      </c>
      <c r="L777">
        <f>IF(A777="","",IF(J777=1,VLOOKUP(A777,[1]怪物!$R$92:$Z$111,9,0),VLOOKUP(A777,[1]怪物!$R$92:$Z$111,7,0))*10000)</f>
        <v>30000</v>
      </c>
      <c r="M777">
        <f t="shared" si="49"/>
        <v>40000</v>
      </c>
      <c r="N777">
        <f t="shared" si="50"/>
        <v>30000</v>
      </c>
    </row>
    <row r="778" spans="1:14">
      <c r="A778">
        <f t="shared" si="48"/>
        <v>15</v>
      </c>
      <c r="B778">
        <v>15</v>
      </c>
      <c r="C778" t="s">
        <v>56</v>
      </c>
      <c r="D778" t="s">
        <v>33</v>
      </c>
      <c r="E778">
        <v>1</v>
      </c>
      <c r="F778">
        <v>1</v>
      </c>
      <c r="G778">
        <f t="shared" si="51"/>
        <v>3102</v>
      </c>
      <c r="H778" t="str">
        <f>IF(VLOOKUP(G778,[2]Sheet1!$A:$O,15,0)=1,"401}]","101}]")</f>
        <v>101}]</v>
      </c>
      <c r="I778" t="str">
        <f t="shared" si="52"/>
        <v>[{1000,1,1,3102,101}]</v>
      </c>
      <c r="J778" t="str">
        <f>VLOOKUP(G778,[2]Sheet1!$A:$O,15,0)</f>
        <v/>
      </c>
      <c r="K778">
        <f>IF(A778="","",IF(J778=1,VLOOKUP(A778,[1]怪物!$R$92:$Z$111,8,0),VLOOKUP(A778,[1]怪物!$R$92:$Z$111,6,0))*10000)</f>
        <v>40000</v>
      </c>
      <c r="L778">
        <f>IF(A778="","",IF(J778=1,VLOOKUP(A778,[1]怪物!$R$92:$Z$111,9,0),VLOOKUP(A778,[1]怪物!$R$92:$Z$111,7,0))*10000)</f>
        <v>30000</v>
      </c>
      <c r="M778">
        <f t="shared" si="49"/>
        <v>40000</v>
      </c>
      <c r="N778">
        <f t="shared" si="50"/>
        <v>30000</v>
      </c>
    </row>
    <row r="779" spans="1:14">
      <c r="A779">
        <f t="shared" si="48"/>
        <v>15</v>
      </c>
      <c r="B779">
        <v>15</v>
      </c>
      <c r="C779" t="s">
        <v>56</v>
      </c>
      <c r="D779" t="s">
        <v>33</v>
      </c>
      <c r="E779">
        <v>1</v>
      </c>
      <c r="F779">
        <v>1</v>
      </c>
      <c r="G779">
        <f t="shared" si="51"/>
        <v>3103</v>
      </c>
      <c r="H779" t="str">
        <f>IF(VLOOKUP(G779,[2]Sheet1!$A:$O,15,0)=1,"401}]","101}]")</f>
        <v>401}]</v>
      </c>
      <c r="I779" t="str">
        <f t="shared" si="52"/>
        <v>[{1000,1,1,3103,401}]</v>
      </c>
      <c r="J779">
        <f>VLOOKUP(G779,[2]Sheet1!$A:$O,15,0)</f>
        <v>1</v>
      </c>
      <c r="K779">
        <f>IF(A779="","",IF(J779=1,VLOOKUP(A779,[1]怪物!$R$92:$Z$111,8,0),VLOOKUP(A779,[1]怪物!$R$92:$Z$111,6,0))*10000)</f>
        <v>40000</v>
      </c>
      <c r="L779">
        <f>IF(A779="","",IF(J779=1,VLOOKUP(A779,[1]怪物!$R$92:$Z$111,9,0),VLOOKUP(A779,[1]怪物!$R$92:$Z$111,7,0))*10000)</f>
        <v>30000</v>
      </c>
      <c r="M779">
        <f t="shared" si="49"/>
        <v>40000</v>
      </c>
      <c r="N779">
        <f t="shared" si="50"/>
        <v>30000</v>
      </c>
    </row>
    <row r="780" spans="1:14">
      <c r="A780">
        <f t="shared" si="48"/>
        <v>16</v>
      </c>
      <c r="B780">
        <v>16</v>
      </c>
      <c r="C780" t="s">
        <v>56</v>
      </c>
      <c r="D780" t="s">
        <v>33</v>
      </c>
      <c r="E780">
        <v>1</v>
      </c>
      <c r="F780">
        <v>1</v>
      </c>
      <c r="G780">
        <f t="shared" si="51"/>
        <v>3101</v>
      </c>
      <c r="H780" t="str">
        <f>IF(VLOOKUP(G780,[2]Sheet1!$A:$O,15,0)=1,"401}]","101}]")</f>
        <v>101}]</v>
      </c>
      <c r="I780" t="str">
        <f t="shared" si="52"/>
        <v>[{1000,1,1,3101,101}]</v>
      </c>
      <c r="J780" t="str">
        <f>VLOOKUP(G780,[2]Sheet1!$A:$O,15,0)</f>
        <v/>
      </c>
      <c r="K780">
        <f>IF(A780="","",IF(J780=1,VLOOKUP(A780,[1]怪物!$R$92:$Z$111,8,0),VLOOKUP(A780,[1]怪物!$R$92:$Z$111,6,0))*10000)</f>
        <v>90000</v>
      </c>
      <c r="L780">
        <f>IF(A780="","",IF(J780=1,VLOOKUP(A780,[1]怪物!$R$92:$Z$111,9,0),VLOOKUP(A780,[1]怪物!$R$92:$Z$111,7,0))*10000)</f>
        <v>60000</v>
      </c>
      <c r="M780">
        <f t="shared" si="49"/>
        <v>90000</v>
      </c>
      <c r="N780">
        <f t="shared" si="50"/>
        <v>60000</v>
      </c>
    </row>
    <row r="781" spans="1:14">
      <c r="A781">
        <f t="shared" si="48"/>
        <v>16</v>
      </c>
      <c r="B781">
        <v>16</v>
      </c>
      <c r="C781" t="s">
        <v>56</v>
      </c>
      <c r="D781" t="s">
        <v>33</v>
      </c>
      <c r="E781">
        <v>1</v>
      </c>
      <c r="F781">
        <v>1</v>
      </c>
      <c r="G781">
        <f t="shared" si="51"/>
        <v>3102</v>
      </c>
      <c r="H781" t="str">
        <f>IF(VLOOKUP(G781,[2]Sheet1!$A:$O,15,0)=1,"401}]","101}]")</f>
        <v>101}]</v>
      </c>
      <c r="I781" t="str">
        <f t="shared" si="52"/>
        <v>[{1000,1,1,3102,101}]</v>
      </c>
      <c r="J781" t="str">
        <f>VLOOKUP(G781,[2]Sheet1!$A:$O,15,0)</f>
        <v/>
      </c>
      <c r="K781">
        <f>IF(A781="","",IF(J781=1,VLOOKUP(A781,[1]怪物!$R$92:$Z$111,8,0),VLOOKUP(A781,[1]怪物!$R$92:$Z$111,6,0))*10000)</f>
        <v>90000</v>
      </c>
      <c r="L781">
        <f>IF(A781="","",IF(J781=1,VLOOKUP(A781,[1]怪物!$R$92:$Z$111,9,0),VLOOKUP(A781,[1]怪物!$R$92:$Z$111,7,0))*10000)</f>
        <v>60000</v>
      </c>
      <c r="M781">
        <f t="shared" si="49"/>
        <v>90000</v>
      </c>
      <c r="N781">
        <f t="shared" si="50"/>
        <v>60000</v>
      </c>
    </row>
    <row r="782" spans="1:14">
      <c r="A782">
        <f t="shared" si="48"/>
        <v>16</v>
      </c>
      <c r="B782">
        <v>16</v>
      </c>
      <c r="C782" t="s">
        <v>56</v>
      </c>
      <c r="D782" t="s">
        <v>33</v>
      </c>
      <c r="E782">
        <v>1</v>
      </c>
      <c r="F782">
        <v>1</v>
      </c>
      <c r="G782">
        <f t="shared" si="51"/>
        <v>3103</v>
      </c>
      <c r="H782" t="str">
        <f>IF(VLOOKUP(G782,[2]Sheet1!$A:$O,15,0)=1,"401}]","101}]")</f>
        <v>401}]</v>
      </c>
      <c r="I782" t="str">
        <f t="shared" si="52"/>
        <v>[{1000,1,1,3103,401}]</v>
      </c>
      <c r="J782">
        <f>VLOOKUP(G782,[2]Sheet1!$A:$O,15,0)</f>
        <v>1</v>
      </c>
      <c r="K782">
        <f>IF(A782="","",IF(J782=1,VLOOKUP(A782,[1]怪物!$R$92:$Z$111,8,0),VLOOKUP(A782,[1]怪物!$R$92:$Z$111,6,0))*10000)</f>
        <v>70000</v>
      </c>
      <c r="L782">
        <f>IF(A782="","",IF(J782=1,VLOOKUP(A782,[1]怪物!$R$92:$Z$111,9,0),VLOOKUP(A782,[1]怪物!$R$92:$Z$111,7,0))*10000)</f>
        <v>50000</v>
      </c>
      <c r="M782">
        <f t="shared" si="49"/>
        <v>70000</v>
      </c>
      <c r="N782">
        <f t="shared" si="50"/>
        <v>50000</v>
      </c>
    </row>
    <row r="783" spans="1:14">
      <c r="A783">
        <f t="shared" si="48"/>
        <v>17</v>
      </c>
      <c r="B783">
        <v>17</v>
      </c>
      <c r="C783" t="s">
        <v>56</v>
      </c>
      <c r="D783" t="s">
        <v>33</v>
      </c>
      <c r="E783">
        <v>1</v>
      </c>
      <c r="F783">
        <v>1</v>
      </c>
      <c r="G783">
        <f t="shared" si="51"/>
        <v>3101</v>
      </c>
      <c r="H783" t="str">
        <f>IF(VLOOKUP(G783,[2]Sheet1!$A:$O,15,0)=1,"401}]","101}]")</f>
        <v>101}]</v>
      </c>
      <c r="I783" t="str">
        <f t="shared" si="52"/>
        <v>[{1000,1,1,3101,101}]</v>
      </c>
      <c r="J783" t="str">
        <f>VLOOKUP(G783,[2]Sheet1!$A:$O,15,0)</f>
        <v/>
      </c>
      <c r="K783">
        <f>IF(A783="","",IF(J783=1,VLOOKUP(A783,[1]怪物!$R$92:$Z$111,8,0),VLOOKUP(A783,[1]怪物!$R$92:$Z$111,6,0))*10000)</f>
        <v>90000</v>
      </c>
      <c r="L783">
        <f>IF(A783="","",IF(J783=1,VLOOKUP(A783,[1]怪物!$R$92:$Z$111,9,0),VLOOKUP(A783,[1]怪物!$R$92:$Z$111,7,0))*10000)</f>
        <v>60000</v>
      </c>
      <c r="M783">
        <f t="shared" si="49"/>
        <v>90000</v>
      </c>
      <c r="N783">
        <f t="shared" si="50"/>
        <v>60000</v>
      </c>
    </row>
    <row r="784" spans="1:14">
      <c r="A784">
        <f t="shared" si="48"/>
        <v>17</v>
      </c>
      <c r="B784">
        <v>17</v>
      </c>
      <c r="C784" t="s">
        <v>56</v>
      </c>
      <c r="D784" t="s">
        <v>33</v>
      </c>
      <c r="E784">
        <v>1</v>
      </c>
      <c r="F784">
        <v>1</v>
      </c>
      <c r="G784">
        <f t="shared" si="51"/>
        <v>3102</v>
      </c>
      <c r="H784" t="str">
        <f>IF(VLOOKUP(G784,[2]Sheet1!$A:$O,15,0)=1,"401}]","101}]")</f>
        <v>101}]</v>
      </c>
      <c r="I784" t="str">
        <f t="shared" si="52"/>
        <v>[{1000,1,1,3102,101}]</v>
      </c>
      <c r="J784" t="str">
        <f>VLOOKUP(G784,[2]Sheet1!$A:$O,15,0)</f>
        <v/>
      </c>
      <c r="K784">
        <f>IF(A784="","",IF(J784=1,VLOOKUP(A784,[1]怪物!$R$92:$Z$111,8,0),VLOOKUP(A784,[1]怪物!$R$92:$Z$111,6,0))*10000)</f>
        <v>90000</v>
      </c>
      <c r="L784">
        <f>IF(A784="","",IF(J784=1,VLOOKUP(A784,[1]怪物!$R$92:$Z$111,9,0),VLOOKUP(A784,[1]怪物!$R$92:$Z$111,7,0))*10000)</f>
        <v>60000</v>
      </c>
      <c r="M784">
        <f t="shared" si="49"/>
        <v>90000</v>
      </c>
      <c r="N784">
        <f t="shared" si="50"/>
        <v>60000</v>
      </c>
    </row>
    <row r="785" spans="1:14">
      <c r="A785">
        <f t="shared" si="48"/>
        <v>17</v>
      </c>
      <c r="B785">
        <v>17</v>
      </c>
      <c r="C785" t="s">
        <v>56</v>
      </c>
      <c r="D785" t="s">
        <v>33</v>
      </c>
      <c r="E785">
        <v>1</v>
      </c>
      <c r="F785">
        <v>1</v>
      </c>
      <c r="G785">
        <f t="shared" si="51"/>
        <v>3103</v>
      </c>
      <c r="H785" t="str">
        <f>IF(VLOOKUP(G785,[2]Sheet1!$A:$O,15,0)=1,"401}]","101}]")</f>
        <v>401}]</v>
      </c>
      <c r="I785" t="str">
        <f t="shared" si="52"/>
        <v>[{1000,1,1,3103,401}]</v>
      </c>
      <c r="J785">
        <f>VLOOKUP(G785,[2]Sheet1!$A:$O,15,0)</f>
        <v>1</v>
      </c>
      <c r="K785">
        <f>IF(A785="","",IF(J785=1,VLOOKUP(A785,[1]怪物!$R$92:$Z$111,8,0),VLOOKUP(A785,[1]怪物!$R$92:$Z$111,6,0))*10000)</f>
        <v>70000</v>
      </c>
      <c r="L785">
        <f>IF(A785="","",IF(J785=1,VLOOKUP(A785,[1]怪物!$R$92:$Z$111,9,0),VLOOKUP(A785,[1]怪物!$R$92:$Z$111,7,0))*10000)</f>
        <v>50000</v>
      </c>
      <c r="M785">
        <f t="shared" si="49"/>
        <v>70000</v>
      </c>
      <c r="N785">
        <f t="shared" si="50"/>
        <v>50000</v>
      </c>
    </row>
    <row r="786" spans="1:14">
      <c r="A786">
        <f t="shared" si="48"/>
        <v>18</v>
      </c>
      <c r="B786">
        <v>18</v>
      </c>
      <c r="C786" t="s">
        <v>56</v>
      </c>
      <c r="D786" t="s">
        <v>33</v>
      </c>
      <c r="E786">
        <v>1</v>
      </c>
      <c r="F786">
        <v>1</v>
      </c>
      <c r="G786">
        <f t="shared" si="51"/>
        <v>3101</v>
      </c>
      <c r="H786" t="str">
        <f>IF(VLOOKUP(G786,[2]Sheet1!$A:$O,15,0)=1,"401}]","101}]")</f>
        <v>101}]</v>
      </c>
      <c r="I786" t="str">
        <f t="shared" si="52"/>
        <v>[{1000,1,1,3101,101}]</v>
      </c>
      <c r="J786" t="str">
        <f>VLOOKUP(G786,[2]Sheet1!$A:$O,15,0)</f>
        <v/>
      </c>
      <c r="K786">
        <f>IF(A786="","",IF(J786=1,VLOOKUP(A786,[1]怪物!$R$92:$Z$111,8,0),VLOOKUP(A786,[1]怪物!$R$92:$Z$111,6,0))*10000)</f>
        <v>90000</v>
      </c>
      <c r="L786">
        <f>IF(A786="","",IF(J786=1,VLOOKUP(A786,[1]怪物!$R$92:$Z$111,9,0),VLOOKUP(A786,[1]怪物!$R$92:$Z$111,7,0))*10000)</f>
        <v>60000</v>
      </c>
      <c r="M786">
        <f t="shared" si="49"/>
        <v>90000</v>
      </c>
      <c r="N786">
        <f t="shared" si="50"/>
        <v>60000</v>
      </c>
    </row>
    <row r="787" spans="1:14">
      <c r="A787">
        <f t="shared" si="48"/>
        <v>18</v>
      </c>
      <c r="B787">
        <v>18</v>
      </c>
      <c r="C787" t="s">
        <v>56</v>
      </c>
      <c r="D787" t="s">
        <v>33</v>
      </c>
      <c r="E787">
        <v>1</v>
      </c>
      <c r="F787">
        <v>1</v>
      </c>
      <c r="G787">
        <f t="shared" si="51"/>
        <v>3102</v>
      </c>
      <c r="H787" t="str">
        <f>IF(VLOOKUP(G787,[2]Sheet1!$A:$O,15,0)=1,"401}]","101}]")</f>
        <v>101}]</v>
      </c>
      <c r="I787" t="str">
        <f t="shared" si="52"/>
        <v>[{1000,1,1,3102,101}]</v>
      </c>
      <c r="J787" t="str">
        <f>VLOOKUP(G787,[2]Sheet1!$A:$O,15,0)</f>
        <v/>
      </c>
      <c r="K787">
        <f>IF(A787="","",IF(J787=1,VLOOKUP(A787,[1]怪物!$R$92:$Z$111,8,0),VLOOKUP(A787,[1]怪物!$R$92:$Z$111,6,0))*10000)</f>
        <v>90000</v>
      </c>
      <c r="L787">
        <f>IF(A787="","",IF(J787=1,VLOOKUP(A787,[1]怪物!$R$92:$Z$111,9,0),VLOOKUP(A787,[1]怪物!$R$92:$Z$111,7,0))*10000)</f>
        <v>60000</v>
      </c>
      <c r="M787">
        <f t="shared" si="49"/>
        <v>90000</v>
      </c>
      <c r="N787">
        <f t="shared" si="50"/>
        <v>60000</v>
      </c>
    </row>
    <row r="788" spans="1:14">
      <c r="A788">
        <f t="shared" si="48"/>
        <v>18</v>
      </c>
      <c r="B788">
        <v>18</v>
      </c>
      <c r="C788" t="s">
        <v>56</v>
      </c>
      <c r="D788" t="s">
        <v>33</v>
      </c>
      <c r="E788">
        <v>1</v>
      </c>
      <c r="F788">
        <v>1</v>
      </c>
      <c r="G788">
        <f t="shared" si="51"/>
        <v>3103</v>
      </c>
      <c r="H788" t="str">
        <f>IF(VLOOKUP(G788,[2]Sheet1!$A:$O,15,0)=1,"401}]","101}]")</f>
        <v>401}]</v>
      </c>
      <c r="I788" t="str">
        <f t="shared" si="52"/>
        <v>[{1000,1,1,3103,401}]</v>
      </c>
      <c r="J788">
        <f>VLOOKUP(G788,[2]Sheet1!$A:$O,15,0)</f>
        <v>1</v>
      </c>
      <c r="K788">
        <f>IF(A788="","",IF(J788=1,VLOOKUP(A788,[1]怪物!$R$92:$Z$111,8,0),VLOOKUP(A788,[1]怪物!$R$92:$Z$111,6,0))*10000)</f>
        <v>70000</v>
      </c>
      <c r="L788">
        <f>IF(A788="","",IF(J788=1,VLOOKUP(A788,[1]怪物!$R$92:$Z$111,9,0),VLOOKUP(A788,[1]怪物!$R$92:$Z$111,7,0))*10000)</f>
        <v>50000</v>
      </c>
      <c r="M788">
        <f t="shared" si="49"/>
        <v>70000</v>
      </c>
      <c r="N788">
        <f t="shared" si="50"/>
        <v>50000</v>
      </c>
    </row>
    <row r="789" spans="1:14">
      <c r="A789">
        <f t="shared" si="48"/>
        <v>19</v>
      </c>
      <c r="B789">
        <v>19</v>
      </c>
      <c r="C789" t="s">
        <v>56</v>
      </c>
      <c r="D789" t="s">
        <v>33</v>
      </c>
      <c r="E789">
        <v>1</v>
      </c>
      <c r="F789">
        <v>1</v>
      </c>
      <c r="G789">
        <f t="shared" si="51"/>
        <v>3101</v>
      </c>
      <c r="H789" t="str">
        <f>IF(VLOOKUP(G789,[2]Sheet1!$A:$O,15,0)=1,"401}]","101}]")</f>
        <v>101}]</v>
      </c>
      <c r="I789" t="str">
        <f t="shared" si="52"/>
        <v>[{1000,1,1,3101,101}]</v>
      </c>
      <c r="J789" t="str">
        <f>VLOOKUP(G789,[2]Sheet1!$A:$O,15,0)</f>
        <v/>
      </c>
      <c r="K789">
        <f>IF(A789="","",IF(J789=1,VLOOKUP(A789,[1]怪物!$R$92:$Z$111,8,0),VLOOKUP(A789,[1]怪物!$R$92:$Z$111,6,0))*10000)</f>
        <v>90000</v>
      </c>
      <c r="L789">
        <f>IF(A789="","",IF(J789=1,VLOOKUP(A789,[1]怪物!$R$92:$Z$111,9,0),VLOOKUP(A789,[1]怪物!$R$92:$Z$111,7,0))*10000)</f>
        <v>60000</v>
      </c>
      <c r="M789">
        <f t="shared" si="49"/>
        <v>90000</v>
      </c>
      <c r="N789">
        <f t="shared" si="50"/>
        <v>60000</v>
      </c>
    </row>
    <row r="790" spans="1:14">
      <c r="A790">
        <f t="shared" si="48"/>
        <v>19</v>
      </c>
      <c r="B790">
        <v>19</v>
      </c>
      <c r="C790" t="s">
        <v>56</v>
      </c>
      <c r="D790" t="s">
        <v>33</v>
      </c>
      <c r="E790">
        <v>1</v>
      </c>
      <c r="F790">
        <v>1</v>
      </c>
      <c r="G790">
        <f t="shared" si="51"/>
        <v>3102</v>
      </c>
      <c r="H790" t="str">
        <f>IF(VLOOKUP(G790,[2]Sheet1!$A:$O,15,0)=1,"401}]","101}]")</f>
        <v>101}]</v>
      </c>
      <c r="I790" t="str">
        <f t="shared" si="52"/>
        <v>[{1000,1,1,3102,101}]</v>
      </c>
      <c r="J790" t="str">
        <f>VLOOKUP(G790,[2]Sheet1!$A:$O,15,0)</f>
        <v/>
      </c>
      <c r="K790">
        <f>IF(A790="","",IF(J790=1,VLOOKUP(A790,[1]怪物!$R$92:$Z$111,8,0),VLOOKUP(A790,[1]怪物!$R$92:$Z$111,6,0))*10000)</f>
        <v>90000</v>
      </c>
      <c r="L790">
        <f>IF(A790="","",IF(J790=1,VLOOKUP(A790,[1]怪物!$R$92:$Z$111,9,0),VLOOKUP(A790,[1]怪物!$R$92:$Z$111,7,0))*10000)</f>
        <v>60000</v>
      </c>
      <c r="M790">
        <f t="shared" si="49"/>
        <v>90000</v>
      </c>
      <c r="N790">
        <f t="shared" si="50"/>
        <v>60000</v>
      </c>
    </row>
    <row r="791" spans="1:14">
      <c r="A791">
        <f t="shared" si="48"/>
        <v>19</v>
      </c>
      <c r="B791">
        <v>19</v>
      </c>
      <c r="C791" t="s">
        <v>56</v>
      </c>
      <c r="D791" t="s">
        <v>33</v>
      </c>
      <c r="E791">
        <v>1</v>
      </c>
      <c r="F791">
        <v>1</v>
      </c>
      <c r="G791">
        <f t="shared" si="51"/>
        <v>3103</v>
      </c>
      <c r="H791" t="str">
        <f>IF(VLOOKUP(G791,[2]Sheet1!$A:$O,15,0)=1,"401}]","101}]")</f>
        <v>401}]</v>
      </c>
      <c r="I791" t="str">
        <f t="shared" si="52"/>
        <v>[{1000,1,1,3103,401}]</v>
      </c>
      <c r="J791">
        <f>VLOOKUP(G791,[2]Sheet1!$A:$O,15,0)</f>
        <v>1</v>
      </c>
      <c r="K791">
        <f>IF(A791="","",IF(J791=1,VLOOKUP(A791,[1]怪物!$R$92:$Z$111,8,0),VLOOKUP(A791,[1]怪物!$R$92:$Z$111,6,0))*10000)</f>
        <v>70000</v>
      </c>
      <c r="L791">
        <f>IF(A791="","",IF(J791=1,VLOOKUP(A791,[1]怪物!$R$92:$Z$111,9,0),VLOOKUP(A791,[1]怪物!$R$92:$Z$111,7,0))*10000)</f>
        <v>50000</v>
      </c>
      <c r="M791">
        <f t="shared" si="49"/>
        <v>70000</v>
      </c>
      <c r="N791">
        <f t="shared" si="50"/>
        <v>50000</v>
      </c>
    </row>
    <row r="792" spans="1:14">
      <c r="A792">
        <f t="shared" si="48"/>
        <v>20</v>
      </c>
      <c r="B792">
        <v>20</v>
      </c>
      <c r="C792" t="s">
        <v>56</v>
      </c>
      <c r="D792" t="s">
        <v>33</v>
      </c>
      <c r="E792">
        <v>1</v>
      </c>
      <c r="F792">
        <v>1</v>
      </c>
      <c r="G792">
        <f t="shared" si="51"/>
        <v>3101</v>
      </c>
      <c r="H792" t="str">
        <f>IF(VLOOKUP(G792,[2]Sheet1!$A:$O,15,0)=1,"401}]","101}]")</f>
        <v>101}]</v>
      </c>
      <c r="I792" t="str">
        <f t="shared" si="52"/>
        <v>[{1000,1,1,3101,101}]</v>
      </c>
      <c r="J792" t="str">
        <f>VLOOKUP(G792,[2]Sheet1!$A:$O,15,0)</f>
        <v/>
      </c>
      <c r="K792">
        <f>IF(A792="","",IF(J792=1,VLOOKUP(A792,[1]怪物!$R$92:$Z$111,8,0),VLOOKUP(A792,[1]怪物!$R$92:$Z$111,6,0))*10000)</f>
        <v>90000</v>
      </c>
      <c r="L792">
        <f>IF(A792="","",IF(J792=1,VLOOKUP(A792,[1]怪物!$R$92:$Z$111,9,0),VLOOKUP(A792,[1]怪物!$R$92:$Z$111,7,0))*10000)</f>
        <v>60000</v>
      </c>
      <c r="M792">
        <f t="shared" si="49"/>
        <v>90000</v>
      </c>
      <c r="N792">
        <f t="shared" si="50"/>
        <v>60000</v>
      </c>
    </row>
    <row r="793" spans="1:14">
      <c r="A793">
        <f t="shared" si="48"/>
        <v>20</v>
      </c>
      <c r="B793">
        <v>20</v>
      </c>
      <c r="C793" t="s">
        <v>56</v>
      </c>
      <c r="D793" t="s">
        <v>33</v>
      </c>
      <c r="E793">
        <v>1</v>
      </c>
      <c r="F793">
        <v>1</v>
      </c>
      <c r="G793">
        <f t="shared" si="51"/>
        <v>3102</v>
      </c>
      <c r="H793" t="str">
        <f>IF(VLOOKUP(G793,[2]Sheet1!$A:$O,15,0)=1,"401}]","101}]")</f>
        <v>101}]</v>
      </c>
      <c r="I793" t="str">
        <f t="shared" si="52"/>
        <v>[{1000,1,1,3102,101}]</v>
      </c>
      <c r="J793" t="str">
        <f>VLOOKUP(G793,[2]Sheet1!$A:$O,15,0)</f>
        <v/>
      </c>
      <c r="K793">
        <f>IF(A793="","",IF(J793=1,VLOOKUP(A793,[1]怪物!$R$92:$Z$111,8,0),VLOOKUP(A793,[1]怪物!$R$92:$Z$111,6,0))*10000)</f>
        <v>90000</v>
      </c>
      <c r="L793">
        <f>IF(A793="","",IF(J793=1,VLOOKUP(A793,[1]怪物!$R$92:$Z$111,9,0),VLOOKUP(A793,[1]怪物!$R$92:$Z$111,7,0))*10000)</f>
        <v>60000</v>
      </c>
      <c r="M793">
        <f t="shared" si="49"/>
        <v>90000</v>
      </c>
      <c r="N793">
        <f t="shared" si="50"/>
        <v>60000</v>
      </c>
    </row>
    <row r="794" spans="1:14">
      <c r="A794">
        <f t="shared" si="48"/>
        <v>20</v>
      </c>
      <c r="B794">
        <v>20</v>
      </c>
      <c r="C794" t="s">
        <v>56</v>
      </c>
      <c r="D794" s="11" t="s">
        <v>33</v>
      </c>
      <c r="E794">
        <v>1</v>
      </c>
      <c r="F794">
        <v>1</v>
      </c>
      <c r="G794">
        <f t="shared" si="51"/>
        <v>3103</v>
      </c>
      <c r="H794" t="str">
        <f>IF(VLOOKUP(G794,[2]Sheet1!$A:$O,15,0)=1,"401}]","101}]")</f>
        <v>401}]</v>
      </c>
      <c r="I794" t="str">
        <f t="shared" si="52"/>
        <v>[{1000,1,1,3103,401}]</v>
      </c>
      <c r="J794">
        <f>VLOOKUP(G794,[2]Sheet1!$A:$O,15,0)</f>
        <v>1</v>
      </c>
      <c r="K794">
        <f>IF(A794="","",IF(J794=1,VLOOKUP(A794,[1]怪物!$R$92:$Z$111,8,0),VLOOKUP(A794,[1]怪物!$R$92:$Z$111,6,0))*10000)</f>
        <v>70000</v>
      </c>
      <c r="L794">
        <f>IF(A794="","",IF(J794=1,VLOOKUP(A794,[1]怪物!$R$92:$Z$111,9,0),VLOOKUP(A794,[1]怪物!$R$92:$Z$111,7,0))*10000)</f>
        <v>50000</v>
      </c>
      <c r="M794">
        <f t="shared" si="49"/>
        <v>70000</v>
      </c>
      <c r="N794">
        <f t="shared" si="50"/>
        <v>50000</v>
      </c>
    </row>
    <row r="795" spans="1:14">
      <c r="A795" t="str">
        <f t="shared" si="48"/>
        <v/>
      </c>
      <c r="B795">
        <v>20</v>
      </c>
      <c r="C795" t="s">
        <v>56</v>
      </c>
      <c r="D795" s="11" t="s">
        <v>28</v>
      </c>
      <c r="G795" t="str">
        <f t="shared" si="51"/>
        <v/>
      </c>
      <c r="I795" t="str">
        <f t="shared" si="52"/>
        <v>[]</v>
      </c>
      <c r="K795" t="str">
        <f>IF(A795="","",IF(J795=1,VLOOKUP(A795,[1]怪物!$R$92:$Z$111,8,0),VLOOKUP(A795,[1]怪物!$R$92:$Z$111,6,0))*10000)</f>
        <v/>
      </c>
      <c r="L795" t="str">
        <f>IF(A795="","",IF(J795=1,VLOOKUP(A795,[1]怪物!$R$92:$Z$111,9,0),VLOOKUP(A795,[1]怪物!$R$92:$Z$111,7,0))*10000)</f>
        <v/>
      </c>
      <c r="M795" t="str">
        <f t="shared" si="49"/>
        <v/>
      </c>
      <c r="N795" t="str">
        <f t="shared" si="50"/>
        <v/>
      </c>
    </row>
    <row r="796" spans="1:14">
      <c r="A796">
        <f t="shared" si="48"/>
        <v>20</v>
      </c>
      <c r="B796">
        <v>20</v>
      </c>
      <c r="C796" t="s">
        <v>56</v>
      </c>
      <c r="D796" s="11" t="s">
        <v>33</v>
      </c>
      <c r="E796">
        <v>1</v>
      </c>
      <c r="F796">
        <v>0</v>
      </c>
      <c r="G796">
        <f t="shared" si="51"/>
        <v>3131</v>
      </c>
      <c r="H796" s="11" t="s">
        <v>36</v>
      </c>
      <c r="I796" t="str">
        <f t="shared" si="52"/>
        <v>[{1000,1,0,3131,41}]</v>
      </c>
      <c r="J796" t="str">
        <f>VLOOKUP(G796,[2]Sheet1!$A:$O,15,0)</f>
        <v/>
      </c>
      <c r="K796">
        <f>IF(A796="","",IF(J796=1,VLOOKUP(A796,[1]怪物!$R$92:$Z$111,8,0),VLOOKUP(A796,[1]怪物!$R$92:$Z$111,6,0))*10000)</f>
        <v>90000</v>
      </c>
      <c r="L796">
        <f>IF(A796="","",IF(J796=1,VLOOKUP(A796,[1]怪物!$R$92:$Z$111,9,0),VLOOKUP(A796,[1]怪物!$R$92:$Z$111,7,0))*10000)</f>
        <v>60000</v>
      </c>
      <c r="M796">
        <f t="shared" si="49"/>
        <v>10000</v>
      </c>
      <c r="N796">
        <f t="shared" si="50"/>
        <v>10000</v>
      </c>
    </row>
    <row r="797" spans="1:14">
      <c r="A797">
        <f t="shared" si="48"/>
        <v>1</v>
      </c>
      <c r="B797">
        <v>1</v>
      </c>
      <c r="C797" s="11" t="s">
        <v>57</v>
      </c>
      <c r="D797" t="s">
        <v>33</v>
      </c>
      <c r="E797">
        <v>1</v>
      </c>
      <c r="F797">
        <v>1</v>
      </c>
      <c r="G797">
        <v>3201</v>
      </c>
      <c r="H797" t="str">
        <f>IF(VLOOKUP(G797,[2]Sheet1!$A:$O,15,0)=1,"401}]","101}]")</f>
        <v>101}]</v>
      </c>
      <c r="I797" t="str">
        <f t="shared" si="52"/>
        <v>[{1000,1,1,3201,101}]</v>
      </c>
      <c r="J797" t="str">
        <f>VLOOKUP(G797,[2]Sheet1!$A:$O,15,0)</f>
        <v/>
      </c>
      <c r="K797">
        <f>IF(A797="","",IF(J797=1,VLOOKUP(A797,[1]怪物!$R$92:$Z$111,8,0),VLOOKUP(A797,[1]怪物!$R$92:$Z$111,6,0))*10000)</f>
        <v>10000</v>
      </c>
      <c r="L797">
        <f>IF(A797="","",IF(J797=1,VLOOKUP(A797,[1]怪物!$R$92:$Z$111,9,0),VLOOKUP(A797,[1]怪物!$R$92:$Z$111,7,0))*10000)</f>
        <v>10000</v>
      </c>
      <c r="M797">
        <f t="shared" si="49"/>
        <v>10000</v>
      </c>
      <c r="N797">
        <f t="shared" si="50"/>
        <v>10000</v>
      </c>
    </row>
    <row r="798" spans="1:14">
      <c r="A798">
        <f t="shared" si="48"/>
        <v>2</v>
      </c>
      <c r="B798">
        <v>2</v>
      </c>
      <c r="C798" s="11" t="s">
        <v>57</v>
      </c>
      <c r="D798" t="s">
        <v>33</v>
      </c>
      <c r="E798">
        <v>1</v>
      </c>
      <c r="F798">
        <v>1</v>
      </c>
      <c r="G798">
        <v>3201</v>
      </c>
      <c r="H798" t="str">
        <f>IF(VLOOKUP(G798,[2]Sheet1!$A:$O,15,0)=1,"401}]","101}]")</f>
        <v>101}]</v>
      </c>
      <c r="I798" t="str">
        <f t="shared" si="52"/>
        <v>[{1000,1,1,3201,101}]</v>
      </c>
      <c r="J798" t="str">
        <f>VLOOKUP(G798,[2]Sheet1!$A:$O,15,0)</f>
        <v/>
      </c>
      <c r="K798">
        <f>IF(A798="","",IF(J798=1,VLOOKUP(A798,[1]怪物!$R$92:$Z$111,8,0),VLOOKUP(A798,[1]怪物!$R$92:$Z$111,6,0))*10000)</f>
        <v>10000</v>
      </c>
      <c r="L798">
        <f>IF(A798="","",IF(J798=1,VLOOKUP(A798,[1]怪物!$R$92:$Z$111,9,0),VLOOKUP(A798,[1]怪物!$R$92:$Z$111,7,0))*10000)</f>
        <v>10000</v>
      </c>
      <c r="M798">
        <f t="shared" si="49"/>
        <v>10000</v>
      </c>
      <c r="N798">
        <f t="shared" si="50"/>
        <v>10000</v>
      </c>
    </row>
    <row r="799" spans="1:14">
      <c r="A799">
        <f t="shared" si="48"/>
        <v>3</v>
      </c>
      <c r="B799">
        <v>3</v>
      </c>
      <c r="C799" s="11" t="s">
        <v>57</v>
      </c>
      <c r="D799" t="s">
        <v>33</v>
      </c>
      <c r="E799">
        <v>1</v>
      </c>
      <c r="F799">
        <v>1</v>
      </c>
      <c r="G799">
        <v>3201</v>
      </c>
      <c r="H799" t="str">
        <f>IF(VLOOKUP(G799,[2]Sheet1!$A:$O,15,0)=1,"401}]","101}]")</f>
        <v>101}]</v>
      </c>
      <c r="I799" t="str">
        <f t="shared" si="52"/>
        <v>[{1000,1,1,3201,101}]</v>
      </c>
      <c r="J799" t="str">
        <f>VLOOKUP(G799,[2]Sheet1!$A:$O,15,0)</f>
        <v/>
      </c>
      <c r="K799">
        <f>IF(A799="","",IF(J799=1,VLOOKUP(A799,[1]怪物!$R$92:$Z$111,8,0),VLOOKUP(A799,[1]怪物!$R$92:$Z$111,6,0))*10000)</f>
        <v>10000</v>
      </c>
      <c r="L799">
        <f>IF(A799="","",IF(J799=1,VLOOKUP(A799,[1]怪物!$R$92:$Z$111,9,0),VLOOKUP(A799,[1]怪物!$R$92:$Z$111,7,0))*10000)</f>
        <v>10000</v>
      </c>
      <c r="M799">
        <f t="shared" si="49"/>
        <v>10000</v>
      </c>
      <c r="N799">
        <f t="shared" si="50"/>
        <v>10000</v>
      </c>
    </row>
    <row r="800" spans="1:14">
      <c r="A800">
        <f t="shared" si="48"/>
        <v>4</v>
      </c>
      <c r="B800">
        <v>4</v>
      </c>
      <c r="C800" s="11" t="s">
        <v>57</v>
      </c>
      <c r="D800" t="s">
        <v>33</v>
      </c>
      <c r="E800">
        <v>1</v>
      </c>
      <c r="F800">
        <v>1</v>
      </c>
      <c r="G800">
        <v>3201</v>
      </c>
      <c r="H800" t="str">
        <f>IF(VLOOKUP(G800,[2]Sheet1!$A:$O,15,0)=1,"401}]","101}]")</f>
        <v>101}]</v>
      </c>
      <c r="I800" t="str">
        <f t="shared" si="52"/>
        <v>[{1000,1,1,3201,101}]</v>
      </c>
      <c r="J800" t="str">
        <f>VLOOKUP(G800,[2]Sheet1!$A:$O,15,0)</f>
        <v/>
      </c>
      <c r="K800">
        <f>IF(A800="","",IF(J800=1,VLOOKUP(A800,[1]怪物!$R$92:$Z$111,8,0),VLOOKUP(A800,[1]怪物!$R$92:$Z$111,6,0))*10000)</f>
        <v>10000</v>
      </c>
      <c r="L800">
        <f>IF(A800="","",IF(J800=1,VLOOKUP(A800,[1]怪物!$R$92:$Z$111,9,0),VLOOKUP(A800,[1]怪物!$R$92:$Z$111,7,0))*10000)</f>
        <v>10000</v>
      </c>
      <c r="M800">
        <f t="shared" si="49"/>
        <v>10000</v>
      </c>
      <c r="N800">
        <f t="shared" si="50"/>
        <v>10000</v>
      </c>
    </row>
    <row r="801" spans="1:14">
      <c r="A801">
        <f t="shared" si="48"/>
        <v>5</v>
      </c>
      <c r="B801">
        <v>5</v>
      </c>
      <c r="C801" s="11" t="s">
        <v>57</v>
      </c>
      <c r="D801" t="s">
        <v>33</v>
      </c>
      <c r="E801">
        <v>1</v>
      </c>
      <c r="F801">
        <v>1</v>
      </c>
      <c r="G801">
        <v>3201</v>
      </c>
      <c r="H801" t="str">
        <f>IF(VLOOKUP(G801,[2]Sheet1!$A:$O,15,0)=1,"401}]","101}]")</f>
        <v>101}]</v>
      </c>
      <c r="I801" t="str">
        <f t="shared" si="52"/>
        <v>[{1000,1,1,3201,101}]</v>
      </c>
      <c r="J801" t="str">
        <f>VLOOKUP(G801,[2]Sheet1!$A:$O,15,0)</f>
        <v/>
      </c>
      <c r="K801">
        <f>IF(A801="","",IF(J801=1,VLOOKUP(A801,[1]怪物!$R$92:$Z$111,8,0),VLOOKUP(A801,[1]怪物!$R$92:$Z$111,6,0))*10000)</f>
        <v>10000</v>
      </c>
      <c r="L801">
        <f>IF(A801="","",IF(J801=1,VLOOKUP(A801,[1]怪物!$R$92:$Z$111,9,0),VLOOKUP(A801,[1]怪物!$R$92:$Z$111,7,0))*10000)</f>
        <v>10000</v>
      </c>
      <c r="M801">
        <f t="shared" si="49"/>
        <v>10000</v>
      </c>
      <c r="N801">
        <f t="shared" si="50"/>
        <v>10000</v>
      </c>
    </row>
    <row r="802" spans="1:14">
      <c r="A802">
        <f t="shared" si="48"/>
        <v>6</v>
      </c>
      <c r="B802">
        <v>6</v>
      </c>
      <c r="C802" s="11" t="s">
        <v>57</v>
      </c>
      <c r="D802" t="s">
        <v>33</v>
      </c>
      <c r="E802">
        <v>1</v>
      </c>
      <c r="F802">
        <v>1</v>
      </c>
      <c r="G802">
        <v>3201</v>
      </c>
      <c r="H802" t="str">
        <f>IF(VLOOKUP(G802,[2]Sheet1!$A:$O,15,0)=1,"401}]","101}]")</f>
        <v>101}]</v>
      </c>
      <c r="I802" t="str">
        <f t="shared" si="52"/>
        <v>[{1000,1,1,3201,101}]</v>
      </c>
      <c r="J802" t="str">
        <f>VLOOKUP(G802,[2]Sheet1!$A:$O,15,0)</f>
        <v/>
      </c>
      <c r="K802">
        <f>IF(A802="","",IF(J802=1,VLOOKUP(A802,[1]怪物!$R$92:$Z$111,8,0),VLOOKUP(A802,[1]怪物!$R$92:$Z$111,6,0))*10000)</f>
        <v>20000</v>
      </c>
      <c r="L802">
        <f>IF(A802="","",IF(J802=1,VLOOKUP(A802,[1]怪物!$R$92:$Z$111,9,0),VLOOKUP(A802,[1]怪物!$R$92:$Z$111,7,0))*10000)</f>
        <v>20000</v>
      </c>
      <c r="M802">
        <f t="shared" si="49"/>
        <v>20000</v>
      </c>
      <c r="N802">
        <f t="shared" si="50"/>
        <v>20000</v>
      </c>
    </row>
    <row r="803" spans="1:14">
      <c r="A803">
        <f t="shared" si="48"/>
        <v>7</v>
      </c>
      <c r="B803">
        <v>7</v>
      </c>
      <c r="C803" s="11" t="s">
        <v>57</v>
      </c>
      <c r="D803" t="s">
        <v>33</v>
      </c>
      <c r="E803">
        <v>1</v>
      </c>
      <c r="F803">
        <v>1</v>
      </c>
      <c r="G803">
        <v>3201</v>
      </c>
      <c r="H803" t="str">
        <f>IF(VLOOKUP(G803,[2]Sheet1!$A:$O,15,0)=1,"401}]","101}]")</f>
        <v>101}]</v>
      </c>
      <c r="I803" t="str">
        <f t="shared" si="52"/>
        <v>[{1000,1,1,3201,101}]</v>
      </c>
      <c r="J803" t="str">
        <f>VLOOKUP(G803,[2]Sheet1!$A:$O,15,0)</f>
        <v/>
      </c>
      <c r="K803">
        <f>IF(A803="","",IF(J803=1,VLOOKUP(A803,[1]怪物!$R$92:$Z$111,8,0),VLOOKUP(A803,[1]怪物!$R$92:$Z$111,6,0))*10000)</f>
        <v>20000</v>
      </c>
      <c r="L803">
        <f>IF(A803="","",IF(J803=1,VLOOKUP(A803,[1]怪物!$R$92:$Z$111,9,0),VLOOKUP(A803,[1]怪物!$R$92:$Z$111,7,0))*10000)</f>
        <v>20000</v>
      </c>
      <c r="M803">
        <f t="shared" si="49"/>
        <v>20000</v>
      </c>
      <c r="N803">
        <f t="shared" si="50"/>
        <v>20000</v>
      </c>
    </row>
    <row r="804" spans="1:14">
      <c r="A804">
        <f t="shared" si="48"/>
        <v>7</v>
      </c>
      <c r="B804">
        <v>7</v>
      </c>
      <c r="C804" s="11" t="s">
        <v>57</v>
      </c>
      <c r="D804" t="s">
        <v>33</v>
      </c>
      <c r="E804">
        <v>1</v>
      </c>
      <c r="F804">
        <v>1</v>
      </c>
      <c r="G804">
        <v>3203</v>
      </c>
      <c r="H804" t="str">
        <f>IF(VLOOKUP(G804,[2]Sheet1!$A:$O,15,0)=1,"401}]","101}]")</f>
        <v>401}]</v>
      </c>
      <c r="I804" t="str">
        <f t="shared" si="52"/>
        <v>[{1000,1,1,3203,401}]</v>
      </c>
      <c r="J804">
        <f>VLOOKUP(G804,[2]Sheet1!$A:$O,15,0)</f>
        <v>1</v>
      </c>
      <c r="K804">
        <f>IF(A804="","",IF(J804=1,VLOOKUP(A804,[1]怪物!$R$92:$Z$111,8,0),VLOOKUP(A804,[1]怪物!$R$92:$Z$111,6,0))*10000)</f>
        <v>15000</v>
      </c>
      <c r="L804">
        <f>IF(A804="","",IF(J804=1,VLOOKUP(A804,[1]怪物!$R$92:$Z$111,9,0),VLOOKUP(A804,[1]怪物!$R$92:$Z$111,7,0))*10000)</f>
        <v>15000</v>
      </c>
      <c r="M804">
        <f t="shared" si="49"/>
        <v>15000</v>
      </c>
      <c r="N804">
        <f t="shared" si="50"/>
        <v>15000</v>
      </c>
    </row>
    <row r="805" spans="1:14">
      <c r="A805">
        <f t="shared" si="48"/>
        <v>8</v>
      </c>
      <c r="B805">
        <v>8</v>
      </c>
      <c r="C805" s="11" t="s">
        <v>57</v>
      </c>
      <c r="D805" t="s">
        <v>33</v>
      </c>
      <c r="E805">
        <v>1</v>
      </c>
      <c r="F805">
        <v>1</v>
      </c>
      <c r="G805">
        <v>3201</v>
      </c>
      <c r="H805" t="str">
        <f>IF(VLOOKUP(G805,[2]Sheet1!$A:$O,15,0)=1,"401}]","101}]")</f>
        <v>101}]</v>
      </c>
      <c r="I805" t="str">
        <f t="shared" si="52"/>
        <v>[{1000,1,1,3201,101}]</v>
      </c>
      <c r="J805" t="str">
        <f>VLOOKUP(G805,[2]Sheet1!$A:$O,15,0)</f>
        <v/>
      </c>
      <c r="K805">
        <f>IF(A805="","",IF(J805=1,VLOOKUP(A805,[1]怪物!$R$92:$Z$111,8,0),VLOOKUP(A805,[1]怪物!$R$92:$Z$111,6,0))*10000)</f>
        <v>20000</v>
      </c>
      <c r="L805">
        <f>IF(A805="","",IF(J805=1,VLOOKUP(A805,[1]怪物!$R$92:$Z$111,9,0),VLOOKUP(A805,[1]怪物!$R$92:$Z$111,7,0))*10000)</f>
        <v>20000</v>
      </c>
      <c r="M805">
        <f t="shared" si="49"/>
        <v>20000</v>
      </c>
      <c r="N805">
        <f t="shared" si="50"/>
        <v>20000</v>
      </c>
    </row>
    <row r="806" spans="1:14">
      <c r="A806">
        <f t="shared" si="48"/>
        <v>8</v>
      </c>
      <c r="B806">
        <v>8</v>
      </c>
      <c r="C806" s="11" t="s">
        <v>57</v>
      </c>
      <c r="D806" t="s">
        <v>33</v>
      </c>
      <c r="E806">
        <v>1</v>
      </c>
      <c r="F806">
        <v>1</v>
      </c>
      <c r="G806">
        <v>3203</v>
      </c>
      <c r="H806" t="str">
        <f>IF(VLOOKUP(G806,[2]Sheet1!$A:$O,15,0)=1,"401}]","101}]")</f>
        <v>401}]</v>
      </c>
      <c r="I806" t="str">
        <f t="shared" si="52"/>
        <v>[{1000,1,1,3203,401}]</v>
      </c>
      <c r="J806">
        <f>VLOOKUP(G806,[2]Sheet1!$A:$O,15,0)</f>
        <v>1</v>
      </c>
      <c r="K806">
        <f>IF(A806="","",IF(J806=1,VLOOKUP(A806,[1]怪物!$R$92:$Z$111,8,0),VLOOKUP(A806,[1]怪物!$R$92:$Z$111,6,0))*10000)</f>
        <v>15000</v>
      </c>
      <c r="L806">
        <f>IF(A806="","",IF(J806=1,VLOOKUP(A806,[1]怪物!$R$92:$Z$111,9,0),VLOOKUP(A806,[1]怪物!$R$92:$Z$111,7,0))*10000)</f>
        <v>15000</v>
      </c>
      <c r="M806">
        <f t="shared" si="49"/>
        <v>15000</v>
      </c>
      <c r="N806">
        <f t="shared" si="50"/>
        <v>15000</v>
      </c>
    </row>
    <row r="807" spans="1:14">
      <c r="A807">
        <f t="shared" si="48"/>
        <v>9</v>
      </c>
      <c r="B807">
        <v>9</v>
      </c>
      <c r="C807" s="11" t="s">
        <v>57</v>
      </c>
      <c r="D807" t="s">
        <v>33</v>
      </c>
      <c r="E807">
        <v>1</v>
      </c>
      <c r="F807">
        <v>1</v>
      </c>
      <c r="G807">
        <v>3201</v>
      </c>
      <c r="H807" t="str">
        <f>IF(VLOOKUP(G807,[2]Sheet1!$A:$O,15,0)=1,"401}]","101}]")</f>
        <v>101}]</v>
      </c>
      <c r="I807" t="str">
        <f t="shared" si="52"/>
        <v>[{1000,1,1,3201,101}]</v>
      </c>
      <c r="J807" t="str">
        <f>VLOOKUP(G807,[2]Sheet1!$A:$O,15,0)</f>
        <v/>
      </c>
      <c r="K807">
        <f>IF(A807="","",IF(J807=1,VLOOKUP(A807,[1]怪物!$R$92:$Z$111,8,0),VLOOKUP(A807,[1]怪物!$R$92:$Z$111,6,0))*10000)</f>
        <v>20000</v>
      </c>
      <c r="L807">
        <f>IF(A807="","",IF(J807=1,VLOOKUP(A807,[1]怪物!$R$92:$Z$111,9,0),VLOOKUP(A807,[1]怪物!$R$92:$Z$111,7,0))*10000)</f>
        <v>20000</v>
      </c>
      <c r="M807">
        <f t="shared" si="49"/>
        <v>20000</v>
      </c>
      <c r="N807">
        <f t="shared" si="50"/>
        <v>20000</v>
      </c>
    </row>
    <row r="808" spans="1:14">
      <c r="A808">
        <f t="shared" si="48"/>
        <v>9</v>
      </c>
      <c r="B808">
        <v>9</v>
      </c>
      <c r="C808" s="11" t="s">
        <v>57</v>
      </c>
      <c r="D808" t="s">
        <v>33</v>
      </c>
      <c r="E808">
        <v>1</v>
      </c>
      <c r="F808">
        <v>1</v>
      </c>
      <c r="G808">
        <v>3203</v>
      </c>
      <c r="H808" t="str">
        <f>IF(VLOOKUP(G808,[2]Sheet1!$A:$O,15,0)=1,"401}]","101}]")</f>
        <v>401}]</v>
      </c>
      <c r="I808" t="str">
        <f t="shared" si="52"/>
        <v>[{1000,1,1,3203,401}]</v>
      </c>
      <c r="J808">
        <f>VLOOKUP(G808,[2]Sheet1!$A:$O,15,0)</f>
        <v>1</v>
      </c>
      <c r="K808">
        <f>IF(A808="","",IF(J808=1,VLOOKUP(A808,[1]怪物!$R$92:$Z$111,8,0),VLOOKUP(A808,[1]怪物!$R$92:$Z$111,6,0))*10000)</f>
        <v>15000</v>
      </c>
      <c r="L808">
        <f>IF(A808="","",IF(J808=1,VLOOKUP(A808,[1]怪物!$R$92:$Z$111,9,0),VLOOKUP(A808,[1]怪物!$R$92:$Z$111,7,0))*10000)</f>
        <v>15000</v>
      </c>
      <c r="M808">
        <f t="shared" si="49"/>
        <v>15000</v>
      </c>
      <c r="N808">
        <f t="shared" si="50"/>
        <v>15000</v>
      </c>
    </row>
    <row r="809" spans="1:14">
      <c r="A809">
        <f t="shared" si="48"/>
        <v>10</v>
      </c>
      <c r="B809">
        <v>10</v>
      </c>
      <c r="C809" s="11" t="s">
        <v>57</v>
      </c>
      <c r="D809" t="s">
        <v>33</v>
      </c>
      <c r="E809">
        <v>1</v>
      </c>
      <c r="F809">
        <v>1</v>
      </c>
      <c r="G809">
        <v>3201</v>
      </c>
      <c r="H809" t="str">
        <f>IF(VLOOKUP(G809,[2]Sheet1!$A:$O,15,0)=1,"401}]","101}]")</f>
        <v>101}]</v>
      </c>
      <c r="I809" t="str">
        <f t="shared" si="52"/>
        <v>[{1000,1,1,3201,101}]</v>
      </c>
      <c r="J809" t="str">
        <f>VLOOKUP(G809,[2]Sheet1!$A:$O,15,0)</f>
        <v/>
      </c>
      <c r="K809">
        <f>IF(A809="","",IF(J809=1,VLOOKUP(A809,[1]怪物!$R$92:$Z$111,8,0),VLOOKUP(A809,[1]怪物!$R$92:$Z$111,6,0))*10000)</f>
        <v>20000</v>
      </c>
      <c r="L809">
        <f>IF(A809="","",IF(J809=1,VLOOKUP(A809,[1]怪物!$R$92:$Z$111,9,0),VLOOKUP(A809,[1]怪物!$R$92:$Z$111,7,0))*10000)</f>
        <v>20000</v>
      </c>
      <c r="M809">
        <f t="shared" si="49"/>
        <v>20000</v>
      </c>
      <c r="N809">
        <f t="shared" si="50"/>
        <v>20000</v>
      </c>
    </row>
    <row r="810" spans="1:14">
      <c r="A810">
        <f t="shared" si="48"/>
        <v>10</v>
      </c>
      <c r="B810">
        <v>10</v>
      </c>
      <c r="C810" s="11" t="s">
        <v>57</v>
      </c>
      <c r="D810" t="s">
        <v>33</v>
      </c>
      <c r="E810">
        <v>1</v>
      </c>
      <c r="F810">
        <v>1</v>
      </c>
      <c r="G810">
        <v>3203</v>
      </c>
      <c r="H810" t="str">
        <f>IF(VLOOKUP(G810,[2]Sheet1!$A:$O,15,0)=1,"401}]","101}]")</f>
        <v>401}]</v>
      </c>
      <c r="I810" t="str">
        <f t="shared" si="52"/>
        <v>[{1000,1,1,3203,401}]</v>
      </c>
      <c r="J810">
        <f>VLOOKUP(G810,[2]Sheet1!$A:$O,15,0)</f>
        <v>1</v>
      </c>
      <c r="K810">
        <f>IF(A810="","",IF(J810=1,VLOOKUP(A810,[1]怪物!$R$92:$Z$111,8,0),VLOOKUP(A810,[1]怪物!$R$92:$Z$111,6,0))*10000)</f>
        <v>15000</v>
      </c>
      <c r="L810">
        <f>IF(A810="","",IF(J810=1,VLOOKUP(A810,[1]怪物!$R$92:$Z$111,9,0),VLOOKUP(A810,[1]怪物!$R$92:$Z$111,7,0))*10000)</f>
        <v>15000</v>
      </c>
      <c r="M810">
        <f t="shared" si="49"/>
        <v>15000</v>
      </c>
      <c r="N810">
        <f t="shared" si="50"/>
        <v>15000</v>
      </c>
    </row>
    <row r="811" spans="1:14">
      <c r="A811" t="str">
        <f t="shared" si="48"/>
        <v/>
      </c>
      <c r="B811">
        <v>10</v>
      </c>
      <c r="C811" s="11" t="s">
        <v>57</v>
      </c>
      <c r="D811" t="s">
        <v>28</v>
      </c>
      <c r="I811" t="str">
        <f t="shared" si="52"/>
        <v>[]</v>
      </c>
      <c r="K811" t="str">
        <f>IF(A811="","",IF(J811=1,VLOOKUP(A811,[1]怪物!$R$92:$Z$111,8,0),VLOOKUP(A811,[1]怪物!$R$92:$Z$111,6,0))*10000)</f>
        <v/>
      </c>
      <c r="L811" t="str">
        <f>IF(A811="","",IF(J811=1,VLOOKUP(A811,[1]怪物!$R$92:$Z$111,9,0),VLOOKUP(A811,[1]怪物!$R$92:$Z$111,7,0))*10000)</f>
        <v/>
      </c>
      <c r="M811" t="str">
        <f t="shared" si="49"/>
        <v/>
      </c>
      <c r="N811" t="str">
        <f t="shared" si="50"/>
        <v/>
      </c>
    </row>
    <row r="812" spans="1:14">
      <c r="A812">
        <f t="shared" si="48"/>
        <v>10</v>
      </c>
      <c r="B812">
        <v>10</v>
      </c>
      <c r="C812" s="11" t="s">
        <v>57</v>
      </c>
      <c r="D812" t="s">
        <v>33</v>
      </c>
      <c r="E812">
        <v>1</v>
      </c>
      <c r="F812">
        <v>0</v>
      </c>
      <c r="G812">
        <v>3221</v>
      </c>
      <c r="H812" s="11" t="s">
        <v>36</v>
      </c>
      <c r="I812" t="str">
        <f t="shared" si="52"/>
        <v>[{1000,1,0,3221,41}]</v>
      </c>
      <c r="J812" t="str">
        <f>VLOOKUP(G812,[2]Sheet1!$A:$O,15,0)</f>
        <v/>
      </c>
      <c r="K812">
        <f>IF(A812="","",IF(J812=1,VLOOKUP(A812,[1]怪物!$R$92:$Z$111,8,0),VLOOKUP(A812,[1]怪物!$R$92:$Z$111,6,0))*10000)</f>
        <v>20000</v>
      </c>
      <c r="L812">
        <f>IF(A812="","",IF(J812=1,VLOOKUP(A812,[1]怪物!$R$92:$Z$111,9,0),VLOOKUP(A812,[1]怪物!$R$92:$Z$111,7,0))*10000)</f>
        <v>20000</v>
      </c>
      <c r="M812">
        <f t="shared" si="49"/>
        <v>10000</v>
      </c>
      <c r="N812">
        <f t="shared" si="50"/>
        <v>10000</v>
      </c>
    </row>
    <row r="813" spans="1:14">
      <c r="A813">
        <f t="shared" si="48"/>
        <v>11</v>
      </c>
      <c r="B813">
        <v>11</v>
      </c>
      <c r="C813" s="11" t="s">
        <v>57</v>
      </c>
      <c r="D813" t="s">
        <v>33</v>
      </c>
      <c r="E813">
        <v>1</v>
      </c>
      <c r="F813">
        <v>1</v>
      </c>
      <c r="G813">
        <v>3201</v>
      </c>
      <c r="H813" t="str">
        <f>IF(VLOOKUP(G813,[2]Sheet1!$A:$O,15,0)=1,"401}]","101}]")</f>
        <v>101}]</v>
      </c>
      <c r="I813" t="str">
        <f t="shared" si="52"/>
        <v>[{1000,1,1,3201,101}]</v>
      </c>
      <c r="J813" t="str">
        <f>VLOOKUP(G813,[2]Sheet1!$A:$O,15,0)</f>
        <v/>
      </c>
      <c r="K813">
        <f>IF(A813="","",IF(J813=1,VLOOKUP(A813,[1]怪物!$R$92:$Z$111,8,0),VLOOKUP(A813,[1]怪物!$R$92:$Z$111,6,0))*10000)</f>
        <v>40000</v>
      </c>
      <c r="L813">
        <f>IF(A813="","",IF(J813=1,VLOOKUP(A813,[1]怪物!$R$92:$Z$111,9,0),VLOOKUP(A813,[1]怪物!$R$92:$Z$111,7,0))*10000)</f>
        <v>30000</v>
      </c>
      <c r="M813">
        <f t="shared" si="49"/>
        <v>40000</v>
      </c>
      <c r="N813">
        <f t="shared" si="50"/>
        <v>30000</v>
      </c>
    </row>
    <row r="814" spans="1:14">
      <c r="A814">
        <f t="shared" si="48"/>
        <v>11</v>
      </c>
      <c r="B814">
        <v>11</v>
      </c>
      <c r="C814" s="11" t="s">
        <v>57</v>
      </c>
      <c r="D814" t="s">
        <v>33</v>
      </c>
      <c r="E814">
        <v>1</v>
      </c>
      <c r="F814">
        <v>1</v>
      </c>
      <c r="G814">
        <v>3203</v>
      </c>
      <c r="H814" t="str">
        <f>IF(VLOOKUP(G814,[2]Sheet1!$A:$O,15,0)=1,"401}]","101}]")</f>
        <v>401}]</v>
      </c>
      <c r="I814" t="str">
        <f t="shared" si="52"/>
        <v>[{1000,1,1,3203,401}]</v>
      </c>
      <c r="J814">
        <f>VLOOKUP(G814,[2]Sheet1!$A:$O,15,0)</f>
        <v>1</v>
      </c>
      <c r="K814">
        <f>IF(A814="","",IF(J814=1,VLOOKUP(A814,[1]怪物!$R$92:$Z$111,8,0),VLOOKUP(A814,[1]怪物!$R$92:$Z$111,6,0))*10000)</f>
        <v>40000</v>
      </c>
      <c r="L814">
        <f>IF(A814="","",IF(J814=1,VLOOKUP(A814,[1]怪物!$R$92:$Z$111,9,0),VLOOKUP(A814,[1]怪物!$R$92:$Z$111,7,0))*10000)</f>
        <v>30000</v>
      </c>
      <c r="M814">
        <f t="shared" si="49"/>
        <v>40000</v>
      </c>
      <c r="N814">
        <f t="shared" si="50"/>
        <v>30000</v>
      </c>
    </row>
    <row r="815" spans="1:14">
      <c r="A815">
        <f t="shared" si="48"/>
        <v>12</v>
      </c>
      <c r="B815">
        <v>12</v>
      </c>
      <c r="C815" s="11" t="s">
        <v>57</v>
      </c>
      <c r="D815" t="s">
        <v>33</v>
      </c>
      <c r="E815">
        <v>1</v>
      </c>
      <c r="F815">
        <v>1</v>
      </c>
      <c r="G815">
        <v>3201</v>
      </c>
      <c r="H815" t="str">
        <f>IF(VLOOKUP(G815,[2]Sheet1!$A:$O,15,0)=1,"401}]","101}]")</f>
        <v>101}]</v>
      </c>
      <c r="I815" t="str">
        <f t="shared" si="52"/>
        <v>[{1000,1,1,3201,101}]</v>
      </c>
      <c r="J815" t="str">
        <f>VLOOKUP(G815,[2]Sheet1!$A:$O,15,0)</f>
        <v/>
      </c>
      <c r="K815">
        <f>IF(A815="","",IF(J815=1,VLOOKUP(A815,[1]怪物!$R$92:$Z$111,8,0),VLOOKUP(A815,[1]怪物!$R$92:$Z$111,6,0))*10000)</f>
        <v>40000</v>
      </c>
      <c r="L815">
        <f>IF(A815="","",IF(J815=1,VLOOKUP(A815,[1]怪物!$R$92:$Z$111,9,0),VLOOKUP(A815,[1]怪物!$R$92:$Z$111,7,0))*10000)</f>
        <v>30000</v>
      </c>
      <c r="M815">
        <f t="shared" si="49"/>
        <v>40000</v>
      </c>
      <c r="N815">
        <f t="shared" si="50"/>
        <v>30000</v>
      </c>
    </row>
    <row r="816" spans="1:14">
      <c r="A816">
        <f t="shared" ref="A816:A879" si="53">IF(E816="","",B816)</f>
        <v>12</v>
      </c>
      <c r="B816">
        <v>12</v>
      </c>
      <c r="C816" s="11" t="s">
        <v>57</v>
      </c>
      <c r="D816" t="s">
        <v>33</v>
      </c>
      <c r="E816">
        <v>1</v>
      </c>
      <c r="F816">
        <v>1</v>
      </c>
      <c r="G816">
        <v>3203</v>
      </c>
      <c r="H816" t="str">
        <f>IF(VLOOKUP(G816,[2]Sheet1!$A:$O,15,0)=1,"401}]","101}]")</f>
        <v>401}]</v>
      </c>
      <c r="I816" t="str">
        <f t="shared" si="52"/>
        <v>[{1000,1,1,3203,401}]</v>
      </c>
      <c r="J816">
        <f>VLOOKUP(G816,[2]Sheet1!$A:$O,15,0)</f>
        <v>1</v>
      </c>
      <c r="K816">
        <f>IF(A816="","",IF(J816=1,VLOOKUP(A816,[1]怪物!$R$92:$Z$111,8,0),VLOOKUP(A816,[1]怪物!$R$92:$Z$111,6,0))*10000)</f>
        <v>40000</v>
      </c>
      <c r="L816">
        <f>IF(A816="","",IF(J816=1,VLOOKUP(A816,[1]怪物!$R$92:$Z$111,9,0),VLOOKUP(A816,[1]怪物!$R$92:$Z$111,7,0))*10000)</f>
        <v>30000</v>
      </c>
      <c r="M816">
        <f t="shared" ref="M816:M879" si="54">IF(F816="","",IF(F816=0,10000,K816))</f>
        <v>40000</v>
      </c>
      <c r="N816">
        <f t="shared" ref="N816:N879" si="55">IF(F816="","",IF(F816=0,10000,L816))</f>
        <v>30000</v>
      </c>
    </row>
    <row r="817" spans="1:14">
      <c r="A817">
        <f t="shared" si="53"/>
        <v>13</v>
      </c>
      <c r="B817">
        <v>13</v>
      </c>
      <c r="C817" s="11" t="s">
        <v>57</v>
      </c>
      <c r="D817" t="s">
        <v>33</v>
      </c>
      <c r="E817">
        <v>1</v>
      </c>
      <c r="F817">
        <v>1</v>
      </c>
      <c r="G817">
        <v>3201</v>
      </c>
      <c r="H817" t="str">
        <f>IF(VLOOKUP(G817,[2]Sheet1!$A:$O,15,0)=1,"401}]","101}]")</f>
        <v>101}]</v>
      </c>
      <c r="I817" t="str">
        <f t="shared" si="52"/>
        <v>[{1000,1,1,3201,101}]</v>
      </c>
      <c r="J817" t="str">
        <f>VLOOKUP(G817,[2]Sheet1!$A:$O,15,0)</f>
        <v/>
      </c>
      <c r="K817">
        <f>IF(A817="","",IF(J817=1,VLOOKUP(A817,[1]怪物!$R$92:$Z$111,8,0),VLOOKUP(A817,[1]怪物!$R$92:$Z$111,6,0))*10000)</f>
        <v>40000</v>
      </c>
      <c r="L817">
        <f>IF(A817="","",IF(J817=1,VLOOKUP(A817,[1]怪物!$R$92:$Z$111,9,0),VLOOKUP(A817,[1]怪物!$R$92:$Z$111,7,0))*10000)</f>
        <v>30000</v>
      </c>
      <c r="M817">
        <f t="shared" si="54"/>
        <v>40000</v>
      </c>
      <c r="N817">
        <f t="shared" si="55"/>
        <v>30000</v>
      </c>
    </row>
    <row r="818" spans="1:14">
      <c r="A818">
        <f t="shared" si="53"/>
        <v>13</v>
      </c>
      <c r="B818">
        <v>13</v>
      </c>
      <c r="C818" s="11" t="s">
        <v>57</v>
      </c>
      <c r="D818" t="s">
        <v>33</v>
      </c>
      <c r="E818">
        <v>1</v>
      </c>
      <c r="F818">
        <v>1</v>
      </c>
      <c r="G818">
        <v>3203</v>
      </c>
      <c r="H818" t="str">
        <f>IF(VLOOKUP(G818,[2]Sheet1!$A:$O,15,0)=1,"401}]","101}]")</f>
        <v>401}]</v>
      </c>
      <c r="I818" t="str">
        <f t="shared" si="52"/>
        <v>[{1000,1,1,3203,401}]</v>
      </c>
      <c r="J818">
        <f>VLOOKUP(G818,[2]Sheet1!$A:$O,15,0)</f>
        <v>1</v>
      </c>
      <c r="K818">
        <f>IF(A818="","",IF(J818=1,VLOOKUP(A818,[1]怪物!$R$92:$Z$111,8,0),VLOOKUP(A818,[1]怪物!$R$92:$Z$111,6,0))*10000)</f>
        <v>40000</v>
      </c>
      <c r="L818">
        <f>IF(A818="","",IF(J818=1,VLOOKUP(A818,[1]怪物!$R$92:$Z$111,9,0),VLOOKUP(A818,[1]怪物!$R$92:$Z$111,7,0))*10000)</f>
        <v>30000</v>
      </c>
      <c r="M818">
        <f t="shared" si="54"/>
        <v>40000</v>
      </c>
      <c r="N818">
        <f t="shared" si="55"/>
        <v>30000</v>
      </c>
    </row>
    <row r="819" spans="1:14">
      <c r="A819">
        <f t="shared" si="53"/>
        <v>14</v>
      </c>
      <c r="B819">
        <v>14</v>
      </c>
      <c r="C819" s="11" t="s">
        <v>57</v>
      </c>
      <c r="D819" t="s">
        <v>33</v>
      </c>
      <c r="E819">
        <v>1</v>
      </c>
      <c r="F819">
        <v>1</v>
      </c>
      <c r="G819">
        <v>3201</v>
      </c>
      <c r="H819" t="str">
        <f>IF(VLOOKUP(G819,[2]Sheet1!$A:$O,15,0)=1,"401}]","101}]")</f>
        <v>101}]</v>
      </c>
      <c r="I819" t="str">
        <f t="shared" si="52"/>
        <v>[{1000,1,1,3201,101}]</v>
      </c>
      <c r="J819" t="str">
        <f>VLOOKUP(G819,[2]Sheet1!$A:$O,15,0)</f>
        <v/>
      </c>
      <c r="K819">
        <f>IF(A819="","",IF(J819=1,VLOOKUP(A819,[1]怪物!$R$92:$Z$111,8,0),VLOOKUP(A819,[1]怪物!$R$92:$Z$111,6,0))*10000)</f>
        <v>40000</v>
      </c>
      <c r="L819">
        <f>IF(A819="","",IF(J819=1,VLOOKUP(A819,[1]怪物!$R$92:$Z$111,9,0),VLOOKUP(A819,[1]怪物!$R$92:$Z$111,7,0))*10000)</f>
        <v>30000</v>
      </c>
      <c r="M819">
        <f t="shared" si="54"/>
        <v>40000</v>
      </c>
      <c r="N819">
        <f t="shared" si="55"/>
        <v>30000</v>
      </c>
    </row>
    <row r="820" spans="1:14">
      <c r="A820">
        <f t="shared" si="53"/>
        <v>14</v>
      </c>
      <c r="B820">
        <v>14</v>
      </c>
      <c r="C820" s="11" t="s">
        <v>57</v>
      </c>
      <c r="D820" t="s">
        <v>33</v>
      </c>
      <c r="E820">
        <v>1</v>
      </c>
      <c r="F820">
        <v>1</v>
      </c>
      <c r="G820">
        <v>3203</v>
      </c>
      <c r="H820" t="str">
        <f>IF(VLOOKUP(G820,[2]Sheet1!$A:$O,15,0)=1,"401}]","101}]")</f>
        <v>401}]</v>
      </c>
      <c r="I820" t="str">
        <f t="shared" si="52"/>
        <v>[{1000,1,1,3203,401}]</v>
      </c>
      <c r="J820">
        <f>VLOOKUP(G820,[2]Sheet1!$A:$O,15,0)</f>
        <v>1</v>
      </c>
      <c r="K820">
        <f>IF(A820="","",IF(J820=1,VLOOKUP(A820,[1]怪物!$R$92:$Z$111,8,0),VLOOKUP(A820,[1]怪物!$R$92:$Z$111,6,0))*10000)</f>
        <v>40000</v>
      </c>
      <c r="L820">
        <f>IF(A820="","",IF(J820=1,VLOOKUP(A820,[1]怪物!$R$92:$Z$111,9,0),VLOOKUP(A820,[1]怪物!$R$92:$Z$111,7,0))*10000)</f>
        <v>30000</v>
      </c>
      <c r="M820">
        <f t="shared" si="54"/>
        <v>40000</v>
      </c>
      <c r="N820">
        <f t="shared" si="55"/>
        <v>30000</v>
      </c>
    </row>
    <row r="821" spans="1:14">
      <c r="A821">
        <f t="shared" si="53"/>
        <v>15</v>
      </c>
      <c r="B821">
        <v>15</v>
      </c>
      <c r="C821" s="11" t="s">
        <v>57</v>
      </c>
      <c r="D821" t="s">
        <v>33</v>
      </c>
      <c r="E821">
        <v>1</v>
      </c>
      <c r="F821">
        <v>1</v>
      </c>
      <c r="G821">
        <v>3201</v>
      </c>
      <c r="H821" t="str">
        <f>IF(VLOOKUP(G821,[2]Sheet1!$A:$O,15,0)=1,"401}]","101}]")</f>
        <v>101}]</v>
      </c>
      <c r="I821" t="str">
        <f t="shared" si="52"/>
        <v>[{1000,1,1,3201,101}]</v>
      </c>
      <c r="J821" t="str">
        <f>VLOOKUP(G821,[2]Sheet1!$A:$O,15,0)</f>
        <v/>
      </c>
      <c r="K821">
        <f>IF(A821="","",IF(J821=1,VLOOKUP(A821,[1]怪物!$R$92:$Z$111,8,0),VLOOKUP(A821,[1]怪物!$R$92:$Z$111,6,0))*10000)</f>
        <v>40000</v>
      </c>
      <c r="L821">
        <f>IF(A821="","",IF(J821=1,VLOOKUP(A821,[1]怪物!$R$92:$Z$111,9,0),VLOOKUP(A821,[1]怪物!$R$92:$Z$111,7,0))*10000)</f>
        <v>30000</v>
      </c>
      <c r="M821">
        <f t="shared" si="54"/>
        <v>40000</v>
      </c>
      <c r="N821">
        <f t="shared" si="55"/>
        <v>30000</v>
      </c>
    </row>
    <row r="822" spans="1:14">
      <c r="A822">
        <f t="shared" si="53"/>
        <v>15</v>
      </c>
      <c r="B822">
        <v>15</v>
      </c>
      <c r="C822" s="11" t="s">
        <v>57</v>
      </c>
      <c r="D822" t="s">
        <v>33</v>
      </c>
      <c r="E822">
        <v>1</v>
      </c>
      <c r="F822">
        <v>1</v>
      </c>
      <c r="G822">
        <v>3203</v>
      </c>
      <c r="H822" t="str">
        <f>IF(VLOOKUP(G822,[2]Sheet1!$A:$O,15,0)=1,"401}]","101}]")</f>
        <v>401}]</v>
      </c>
      <c r="I822" t="str">
        <f t="shared" si="52"/>
        <v>[{1000,1,1,3203,401}]</v>
      </c>
      <c r="J822">
        <f>VLOOKUP(G822,[2]Sheet1!$A:$O,15,0)</f>
        <v>1</v>
      </c>
      <c r="K822">
        <f>IF(A822="","",IF(J822=1,VLOOKUP(A822,[1]怪物!$R$92:$Z$111,8,0),VLOOKUP(A822,[1]怪物!$R$92:$Z$111,6,0))*10000)</f>
        <v>40000</v>
      </c>
      <c r="L822">
        <f>IF(A822="","",IF(J822=1,VLOOKUP(A822,[1]怪物!$R$92:$Z$111,9,0),VLOOKUP(A822,[1]怪物!$R$92:$Z$111,7,0))*10000)</f>
        <v>30000</v>
      </c>
      <c r="M822">
        <f t="shared" si="54"/>
        <v>40000</v>
      </c>
      <c r="N822">
        <f t="shared" si="55"/>
        <v>30000</v>
      </c>
    </row>
    <row r="823" spans="1:14">
      <c r="A823">
        <f t="shared" si="53"/>
        <v>16</v>
      </c>
      <c r="B823">
        <v>16</v>
      </c>
      <c r="C823" s="11" t="s">
        <v>57</v>
      </c>
      <c r="D823" t="s">
        <v>33</v>
      </c>
      <c r="E823">
        <v>1</v>
      </c>
      <c r="F823">
        <v>1</v>
      </c>
      <c r="G823">
        <v>3201</v>
      </c>
      <c r="H823" t="str">
        <f>IF(VLOOKUP(G823,[2]Sheet1!$A:$O,15,0)=1,"401}]","101}]")</f>
        <v>101}]</v>
      </c>
      <c r="I823" t="str">
        <f t="shared" si="52"/>
        <v>[{1000,1,1,3201,101}]</v>
      </c>
      <c r="J823" t="str">
        <f>VLOOKUP(G823,[2]Sheet1!$A:$O,15,0)</f>
        <v/>
      </c>
      <c r="K823">
        <f>IF(A823="","",IF(J823=1,VLOOKUP(A823,[1]怪物!$R$92:$Z$111,8,0),VLOOKUP(A823,[1]怪物!$R$92:$Z$111,6,0))*10000)</f>
        <v>90000</v>
      </c>
      <c r="L823">
        <f>IF(A823="","",IF(J823=1,VLOOKUP(A823,[1]怪物!$R$92:$Z$111,9,0),VLOOKUP(A823,[1]怪物!$R$92:$Z$111,7,0))*10000)</f>
        <v>60000</v>
      </c>
      <c r="M823">
        <f t="shared" si="54"/>
        <v>90000</v>
      </c>
      <c r="N823">
        <f t="shared" si="55"/>
        <v>60000</v>
      </c>
    </row>
    <row r="824" spans="1:14">
      <c r="A824">
        <f t="shared" si="53"/>
        <v>16</v>
      </c>
      <c r="B824">
        <v>16</v>
      </c>
      <c r="C824" s="11" t="s">
        <v>57</v>
      </c>
      <c r="D824" t="s">
        <v>33</v>
      </c>
      <c r="E824">
        <v>1</v>
      </c>
      <c r="F824">
        <v>1</v>
      </c>
      <c r="G824">
        <v>3203</v>
      </c>
      <c r="H824" t="str">
        <f>IF(VLOOKUP(G824,[2]Sheet1!$A:$O,15,0)=1,"401}]","101}]")</f>
        <v>401}]</v>
      </c>
      <c r="I824" t="str">
        <f t="shared" si="52"/>
        <v>[{1000,1,1,3203,401}]</v>
      </c>
      <c r="J824">
        <f>VLOOKUP(G824,[2]Sheet1!$A:$O,15,0)</f>
        <v>1</v>
      </c>
      <c r="K824">
        <f>IF(A824="","",IF(J824=1,VLOOKUP(A824,[1]怪物!$R$92:$Z$111,8,0),VLOOKUP(A824,[1]怪物!$R$92:$Z$111,6,0))*10000)</f>
        <v>70000</v>
      </c>
      <c r="L824">
        <f>IF(A824="","",IF(J824=1,VLOOKUP(A824,[1]怪物!$R$92:$Z$111,9,0),VLOOKUP(A824,[1]怪物!$R$92:$Z$111,7,0))*10000)</f>
        <v>50000</v>
      </c>
      <c r="M824">
        <f t="shared" si="54"/>
        <v>70000</v>
      </c>
      <c r="N824">
        <f t="shared" si="55"/>
        <v>50000</v>
      </c>
    </row>
    <row r="825" spans="1:14">
      <c r="A825">
        <f t="shared" si="53"/>
        <v>17</v>
      </c>
      <c r="B825">
        <v>17</v>
      </c>
      <c r="C825" s="11" t="s">
        <v>57</v>
      </c>
      <c r="D825" t="s">
        <v>33</v>
      </c>
      <c r="E825">
        <v>1</v>
      </c>
      <c r="F825">
        <v>1</v>
      </c>
      <c r="G825">
        <v>3201</v>
      </c>
      <c r="H825" t="str">
        <f>IF(VLOOKUP(G825,[2]Sheet1!$A:$O,15,0)=1,"401}]","101}]")</f>
        <v>101}]</v>
      </c>
      <c r="I825" t="str">
        <f t="shared" si="52"/>
        <v>[{1000,1,1,3201,101}]</v>
      </c>
      <c r="J825" t="str">
        <f>VLOOKUP(G825,[2]Sheet1!$A:$O,15,0)</f>
        <v/>
      </c>
      <c r="K825">
        <f>IF(A825="","",IF(J825=1,VLOOKUP(A825,[1]怪物!$R$92:$Z$111,8,0),VLOOKUP(A825,[1]怪物!$R$92:$Z$111,6,0))*10000)</f>
        <v>90000</v>
      </c>
      <c r="L825">
        <f>IF(A825="","",IF(J825=1,VLOOKUP(A825,[1]怪物!$R$92:$Z$111,9,0),VLOOKUP(A825,[1]怪物!$R$92:$Z$111,7,0))*10000)</f>
        <v>60000</v>
      </c>
      <c r="M825">
        <f t="shared" si="54"/>
        <v>90000</v>
      </c>
      <c r="N825">
        <f t="shared" si="55"/>
        <v>60000</v>
      </c>
    </row>
    <row r="826" spans="1:14">
      <c r="A826">
        <f t="shared" si="53"/>
        <v>17</v>
      </c>
      <c r="B826">
        <v>17</v>
      </c>
      <c r="C826" s="11" t="s">
        <v>57</v>
      </c>
      <c r="D826" t="s">
        <v>33</v>
      </c>
      <c r="E826">
        <v>1</v>
      </c>
      <c r="F826">
        <v>1</v>
      </c>
      <c r="G826">
        <v>3203</v>
      </c>
      <c r="H826" t="str">
        <f>IF(VLOOKUP(G826,[2]Sheet1!$A:$O,15,0)=1,"401}]","101}]")</f>
        <v>401}]</v>
      </c>
      <c r="I826" t="str">
        <f t="shared" si="52"/>
        <v>[{1000,1,1,3203,401}]</v>
      </c>
      <c r="J826">
        <f>VLOOKUP(G826,[2]Sheet1!$A:$O,15,0)</f>
        <v>1</v>
      </c>
      <c r="K826">
        <f>IF(A826="","",IF(J826=1,VLOOKUP(A826,[1]怪物!$R$92:$Z$111,8,0),VLOOKUP(A826,[1]怪物!$R$92:$Z$111,6,0))*10000)</f>
        <v>70000</v>
      </c>
      <c r="L826">
        <f>IF(A826="","",IF(J826=1,VLOOKUP(A826,[1]怪物!$R$92:$Z$111,9,0),VLOOKUP(A826,[1]怪物!$R$92:$Z$111,7,0))*10000)</f>
        <v>50000</v>
      </c>
      <c r="M826">
        <f t="shared" si="54"/>
        <v>70000</v>
      </c>
      <c r="N826">
        <f t="shared" si="55"/>
        <v>50000</v>
      </c>
    </row>
    <row r="827" spans="1:14">
      <c r="A827">
        <f t="shared" si="53"/>
        <v>18</v>
      </c>
      <c r="B827">
        <v>18</v>
      </c>
      <c r="C827" s="11" t="s">
        <v>57</v>
      </c>
      <c r="D827" t="s">
        <v>33</v>
      </c>
      <c r="E827">
        <v>1</v>
      </c>
      <c r="F827">
        <v>1</v>
      </c>
      <c r="G827">
        <v>3201</v>
      </c>
      <c r="H827" t="str">
        <f>IF(VLOOKUP(G827,[2]Sheet1!$A:$O,15,0)=1,"401}]","101}]")</f>
        <v>101}]</v>
      </c>
      <c r="I827" t="str">
        <f t="shared" si="52"/>
        <v>[{1000,1,1,3201,101}]</v>
      </c>
      <c r="J827" t="str">
        <f>VLOOKUP(G827,[2]Sheet1!$A:$O,15,0)</f>
        <v/>
      </c>
      <c r="K827">
        <f>IF(A827="","",IF(J827=1,VLOOKUP(A827,[1]怪物!$R$92:$Z$111,8,0),VLOOKUP(A827,[1]怪物!$R$92:$Z$111,6,0))*10000)</f>
        <v>90000</v>
      </c>
      <c r="L827">
        <f>IF(A827="","",IF(J827=1,VLOOKUP(A827,[1]怪物!$R$92:$Z$111,9,0),VLOOKUP(A827,[1]怪物!$R$92:$Z$111,7,0))*10000)</f>
        <v>60000</v>
      </c>
      <c r="M827">
        <f t="shared" si="54"/>
        <v>90000</v>
      </c>
      <c r="N827">
        <f t="shared" si="55"/>
        <v>60000</v>
      </c>
    </row>
    <row r="828" spans="1:14">
      <c r="A828">
        <f t="shared" si="53"/>
        <v>18</v>
      </c>
      <c r="B828">
        <v>18</v>
      </c>
      <c r="C828" s="11" t="s">
        <v>57</v>
      </c>
      <c r="D828" t="s">
        <v>33</v>
      </c>
      <c r="E828">
        <v>1</v>
      </c>
      <c r="F828">
        <v>1</v>
      </c>
      <c r="G828">
        <v>3203</v>
      </c>
      <c r="H828" t="str">
        <f>IF(VLOOKUP(G828,[2]Sheet1!$A:$O,15,0)=1,"401}]","101}]")</f>
        <v>401}]</v>
      </c>
      <c r="I828" t="str">
        <f t="shared" si="52"/>
        <v>[{1000,1,1,3203,401}]</v>
      </c>
      <c r="J828">
        <f>VLOOKUP(G828,[2]Sheet1!$A:$O,15,0)</f>
        <v>1</v>
      </c>
      <c r="K828">
        <f>IF(A828="","",IF(J828=1,VLOOKUP(A828,[1]怪物!$R$92:$Z$111,8,0),VLOOKUP(A828,[1]怪物!$R$92:$Z$111,6,0))*10000)</f>
        <v>70000</v>
      </c>
      <c r="L828">
        <f>IF(A828="","",IF(J828=1,VLOOKUP(A828,[1]怪物!$R$92:$Z$111,9,0),VLOOKUP(A828,[1]怪物!$R$92:$Z$111,7,0))*10000)</f>
        <v>50000</v>
      </c>
      <c r="M828">
        <f t="shared" si="54"/>
        <v>70000</v>
      </c>
      <c r="N828">
        <f t="shared" si="55"/>
        <v>50000</v>
      </c>
    </row>
    <row r="829" spans="1:14">
      <c r="A829">
        <f t="shared" si="53"/>
        <v>19</v>
      </c>
      <c r="B829">
        <v>19</v>
      </c>
      <c r="C829" s="11" t="s">
        <v>57</v>
      </c>
      <c r="D829" t="s">
        <v>33</v>
      </c>
      <c r="E829">
        <v>1</v>
      </c>
      <c r="F829">
        <v>1</v>
      </c>
      <c r="G829">
        <v>3201</v>
      </c>
      <c r="H829" t="str">
        <f>IF(VLOOKUP(G829,[2]Sheet1!$A:$O,15,0)=1,"401}]","101}]")</f>
        <v>101}]</v>
      </c>
      <c r="I829" t="str">
        <f t="shared" si="52"/>
        <v>[{1000,1,1,3201,101}]</v>
      </c>
      <c r="J829" t="str">
        <f>VLOOKUP(G829,[2]Sheet1!$A:$O,15,0)</f>
        <v/>
      </c>
      <c r="K829">
        <f>IF(A829="","",IF(J829=1,VLOOKUP(A829,[1]怪物!$R$92:$Z$111,8,0),VLOOKUP(A829,[1]怪物!$R$92:$Z$111,6,0))*10000)</f>
        <v>90000</v>
      </c>
      <c r="L829">
        <f>IF(A829="","",IF(J829=1,VLOOKUP(A829,[1]怪物!$R$92:$Z$111,9,0),VLOOKUP(A829,[1]怪物!$R$92:$Z$111,7,0))*10000)</f>
        <v>60000</v>
      </c>
      <c r="M829">
        <f t="shared" si="54"/>
        <v>90000</v>
      </c>
      <c r="N829">
        <f t="shared" si="55"/>
        <v>60000</v>
      </c>
    </row>
    <row r="830" spans="1:14">
      <c r="A830">
        <f t="shared" si="53"/>
        <v>19</v>
      </c>
      <c r="B830">
        <v>19</v>
      </c>
      <c r="C830" s="11" t="s">
        <v>57</v>
      </c>
      <c r="D830" t="s">
        <v>33</v>
      </c>
      <c r="E830">
        <v>1</v>
      </c>
      <c r="F830">
        <v>1</v>
      </c>
      <c r="G830">
        <v>3203</v>
      </c>
      <c r="H830" t="str">
        <f>IF(VLOOKUP(G830,[2]Sheet1!$A:$O,15,0)=1,"401}]","101}]")</f>
        <v>401}]</v>
      </c>
      <c r="I830" t="str">
        <f t="shared" si="52"/>
        <v>[{1000,1,1,3203,401}]</v>
      </c>
      <c r="J830">
        <f>VLOOKUP(G830,[2]Sheet1!$A:$O,15,0)</f>
        <v>1</v>
      </c>
      <c r="K830">
        <f>IF(A830="","",IF(J830=1,VLOOKUP(A830,[1]怪物!$R$92:$Z$111,8,0),VLOOKUP(A830,[1]怪物!$R$92:$Z$111,6,0))*10000)</f>
        <v>70000</v>
      </c>
      <c r="L830">
        <f>IF(A830="","",IF(J830=1,VLOOKUP(A830,[1]怪物!$R$92:$Z$111,9,0),VLOOKUP(A830,[1]怪物!$R$92:$Z$111,7,0))*10000)</f>
        <v>50000</v>
      </c>
      <c r="M830">
        <f t="shared" si="54"/>
        <v>70000</v>
      </c>
      <c r="N830">
        <f t="shared" si="55"/>
        <v>50000</v>
      </c>
    </row>
    <row r="831" spans="1:14">
      <c r="A831">
        <f t="shared" si="53"/>
        <v>20</v>
      </c>
      <c r="B831">
        <v>20</v>
      </c>
      <c r="C831" s="11" t="s">
        <v>57</v>
      </c>
      <c r="D831" t="s">
        <v>33</v>
      </c>
      <c r="E831">
        <v>1</v>
      </c>
      <c r="F831">
        <v>1</v>
      </c>
      <c r="G831">
        <v>3201</v>
      </c>
      <c r="H831" t="str">
        <f>IF(VLOOKUP(G831,[2]Sheet1!$A:$O,15,0)=1,"401}]","101}]")</f>
        <v>101}]</v>
      </c>
      <c r="I831" t="str">
        <f t="shared" si="52"/>
        <v>[{1000,1,1,3201,101}]</v>
      </c>
      <c r="J831" t="str">
        <f>VLOOKUP(G831,[2]Sheet1!$A:$O,15,0)</f>
        <v/>
      </c>
      <c r="K831">
        <f>IF(A831="","",IF(J831=1,VLOOKUP(A831,[1]怪物!$R$92:$Z$111,8,0),VLOOKUP(A831,[1]怪物!$R$92:$Z$111,6,0))*10000)</f>
        <v>90000</v>
      </c>
      <c r="L831">
        <f>IF(A831="","",IF(J831=1,VLOOKUP(A831,[1]怪物!$R$92:$Z$111,9,0),VLOOKUP(A831,[1]怪物!$R$92:$Z$111,7,0))*10000)</f>
        <v>60000</v>
      </c>
      <c r="M831">
        <f t="shared" si="54"/>
        <v>90000</v>
      </c>
      <c r="N831">
        <f t="shared" si="55"/>
        <v>60000</v>
      </c>
    </row>
    <row r="832" spans="1:14">
      <c r="A832">
        <f t="shared" si="53"/>
        <v>20</v>
      </c>
      <c r="B832">
        <v>20</v>
      </c>
      <c r="C832" s="11" t="s">
        <v>57</v>
      </c>
      <c r="D832" t="s">
        <v>33</v>
      </c>
      <c r="E832">
        <v>1</v>
      </c>
      <c r="F832">
        <v>1</v>
      </c>
      <c r="G832">
        <v>3203</v>
      </c>
      <c r="H832" t="str">
        <f>IF(VLOOKUP(G832,[2]Sheet1!$A:$O,15,0)=1,"401}]","101}]")</f>
        <v>401}]</v>
      </c>
      <c r="I832" t="str">
        <f t="shared" si="52"/>
        <v>[{1000,1,1,3203,401}]</v>
      </c>
      <c r="J832">
        <f>VLOOKUP(G832,[2]Sheet1!$A:$O,15,0)</f>
        <v>1</v>
      </c>
      <c r="K832">
        <f>IF(A832="","",IF(J832=1,VLOOKUP(A832,[1]怪物!$R$92:$Z$111,8,0),VLOOKUP(A832,[1]怪物!$R$92:$Z$111,6,0))*10000)</f>
        <v>70000</v>
      </c>
      <c r="L832">
        <f>IF(A832="","",IF(J832=1,VLOOKUP(A832,[1]怪物!$R$92:$Z$111,9,0),VLOOKUP(A832,[1]怪物!$R$92:$Z$111,7,0))*10000)</f>
        <v>50000</v>
      </c>
      <c r="M832">
        <f t="shared" si="54"/>
        <v>70000</v>
      </c>
      <c r="N832">
        <f t="shared" si="55"/>
        <v>50000</v>
      </c>
    </row>
    <row r="833" spans="1:14">
      <c r="A833" t="str">
        <f t="shared" si="53"/>
        <v/>
      </c>
      <c r="B833">
        <v>20</v>
      </c>
      <c r="C833" s="11" t="s">
        <v>57</v>
      </c>
      <c r="D833" t="s">
        <v>28</v>
      </c>
      <c r="I833" t="str">
        <f t="shared" si="52"/>
        <v>[]</v>
      </c>
      <c r="K833" t="str">
        <f>IF(A833="","",IF(J833=1,VLOOKUP(A833,[1]怪物!$R$92:$Z$111,8,0),VLOOKUP(A833,[1]怪物!$R$92:$Z$111,6,0))*10000)</f>
        <v/>
      </c>
      <c r="L833" t="str">
        <f>IF(A833="","",IF(J833=1,VLOOKUP(A833,[1]怪物!$R$92:$Z$111,9,0),VLOOKUP(A833,[1]怪物!$R$92:$Z$111,7,0))*10000)</f>
        <v/>
      </c>
      <c r="M833" t="str">
        <f t="shared" si="54"/>
        <v/>
      </c>
      <c r="N833" t="str">
        <f t="shared" si="55"/>
        <v/>
      </c>
    </row>
    <row r="834" spans="1:14">
      <c r="A834">
        <f t="shared" si="53"/>
        <v>20</v>
      </c>
      <c r="B834">
        <v>20</v>
      </c>
      <c r="C834" s="11" t="s">
        <v>57</v>
      </c>
      <c r="D834" t="s">
        <v>33</v>
      </c>
      <c r="E834">
        <v>1</v>
      </c>
      <c r="F834">
        <v>0</v>
      </c>
      <c r="G834">
        <v>3231</v>
      </c>
      <c r="H834" s="11" t="s">
        <v>36</v>
      </c>
      <c r="I834" t="str">
        <f t="shared" ref="I834:I897" si="56">_xlfn.TEXTJOIN(",",1,D834:H834)</f>
        <v>[{1000,1,0,3231,41}]</v>
      </c>
      <c r="J834" t="str">
        <f>VLOOKUP(G834,[2]Sheet1!$A:$O,15,0)</f>
        <v/>
      </c>
      <c r="K834">
        <f>IF(A834="","",IF(J834=1,VLOOKUP(A834,[1]怪物!$R$92:$Z$111,8,0),VLOOKUP(A834,[1]怪物!$R$92:$Z$111,6,0))*10000)</f>
        <v>90000</v>
      </c>
      <c r="L834">
        <f>IF(A834="","",IF(J834=1,VLOOKUP(A834,[1]怪物!$R$92:$Z$111,9,0),VLOOKUP(A834,[1]怪物!$R$92:$Z$111,7,0))*10000)</f>
        <v>60000</v>
      </c>
      <c r="M834">
        <f t="shared" si="54"/>
        <v>10000</v>
      </c>
      <c r="N834">
        <f t="shared" si="55"/>
        <v>10000</v>
      </c>
    </row>
    <row r="835" spans="1:14">
      <c r="A835">
        <f t="shared" si="53"/>
        <v>1</v>
      </c>
      <c r="B835">
        <v>1</v>
      </c>
      <c r="C835" s="11" t="s">
        <v>58</v>
      </c>
      <c r="D835" t="s">
        <v>33</v>
      </c>
      <c r="E835">
        <v>1</v>
      </c>
      <c r="F835">
        <v>1</v>
      </c>
      <c r="G835">
        <v>3301</v>
      </c>
      <c r="H835" t="str">
        <f>IF(VLOOKUP(G835,[2]Sheet1!$A:$O,15,0)=1,"401}]","101}]")</f>
        <v>101}]</v>
      </c>
      <c r="I835" t="str">
        <f t="shared" si="56"/>
        <v>[{1000,1,1,3301,101}]</v>
      </c>
      <c r="J835" t="str">
        <f>VLOOKUP(G835,[2]Sheet1!$A:$O,15,0)</f>
        <v/>
      </c>
      <c r="K835">
        <f>IF(A835="","",IF(J835=1,VLOOKUP(A835,[1]怪物!$R$92:$Z$111,8,0),VLOOKUP(A835,[1]怪物!$R$92:$Z$111,6,0))*10000)</f>
        <v>10000</v>
      </c>
      <c r="L835">
        <f>IF(A835="","",IF(J835=1,VLOOKUP(A835,[1]怪物!$R$92:$Z$111,9,0),VLOOKUP(A835,[1]怪物!$R$92:$Z$111,7,0))*10000)</f>
        <v>10000</v>
      </c>
      <c r="M835">
        <f t="shared" si="54"/>
        <v>10000</v>
      </c>
      <c r="N835">
        <f t="shared" si="55"/>
        <v>10000</v>
      </c>
    </row>
    <row r="836" spans="1:14">
      <c r="A836">
        <f t="shared" si="53"/>
        <v>2</v>
      </c>
      <c r="B836">
        <v>2</v>
      </c>
      <c r="C836" s="11" t="s">
        <v>58</v>
      </c>
      <c r="D836" t="s">
        <v>33</v>
      </c>
      <c r="E836">
        <v>1</v>
      </c>
      <c r="F836">
        <v>1</v>
      </c>
      <c r="G836">
        <v>3301</v>
      </c>
      <c r="H836" t="str">
        <f>IF(VLOOKUP(G836,[2]Sheet1!$A:$O,15,0)=1,"401}]","101}]")</f>
        <v>101}]</v>
      </c>
      <c r="I836" t="str">
        <f t="shared" si="56"/>
        <v>[{1000,1,1,3301,101}]</v>
      </c>
      <c r="J836" t="str">
        <f>VLOOKUP(G836,[2]Sheet1!$A:$O,15,0)</f>
        <v/>
      </c>
      <c r="K836">
        <f>IF(A836="","",IF(J836=1,VLOOKUP(A836,[1]怪物!$R$92:$Z$111,8,0),VLOOKUP(A836,[1]怪物!$R$92:$Z$111,6,0))*10000)</f>
        <v>10000</v>
      </c>
      <c r="L836">
        <f>IF(A836="","",IF(J836=1,VLOOKUP(A836,[1]怪物!$R$92:$Z$111,9,0),VLOOKUP(A836,[1]怪物!$R$92:$Z$111,7,0))*10000)</f>
        <v>10000</v>
      </c>
      <c r="M836">
        <f t="shared" si="54"/>
        <v>10000</v>
      </c>
      <c r="N836">
        <f t="shared" si="55"/>
        <v>10000</v>
      </c>
    </row>
    <row r="837" spans="1:14">
      <c r="A837">
        <f t="shared" si="53"/>
        <v>3</v>
      </c>
      <c r="B837">
        <v>3</v>
      </c>
      <c r="C837" s="11" t="s">
        <v>58</v>
      </c>
      <c r="D837" t="s">
        <v>33</v>
      </c>
      <c r="E837">
        <v>1</v>
      </c>
      <c r="F837">
        <v>1</v>
      </c>
      <c r="G837">
        <v>3301</v>
      </c>
      <c r="H837" t="str">
        <f>IF(VLOOKUP(G837,[2]Sheet1!$A:$O,15,0)=1,"401}]","101}]")</f>
        <v>101}]</v>
      </c>
      <c r="I837" t="str">
        <f t="shared" si="56"/>
        <v>[{1000,1,1,3301,101}]</v>
      </c>
      <c r="J837" t="str">
        <f>VLOOKUP(G837,[2]Sheet1!$A:$O,15,0)</f>
        <v/>
      </c>
      <c r="K837">
        <f>IF(A837="","",IF(J837=1,VLOOKUP(A837,[1]怪物!$R$92:$Z$111,8,0),VLOOKUP(A837,[1]怪物!$R$92:$Z$111,6,0))*10000)</f>
        <v>10000</v>
      </c>
      <c r="L837">
        <f>IF(A837="","",IF(J837=1,VLOOKUP(A837,[1]怪物!$R$92:$Z$111,9,0),VLOOKUP(A837,[1]怪物!$R$92:$Z$111,7,0))*10000)</f>
        <v>10000</v>
      </c>
      <c r="M837">
        <f t="shared" si="54"/>
        <v>10000</v>
      </c>
      <c r="N837">
        <f t="shared" si="55"/>
        <v>10000</v>
      </c>
    </row>
    <row r="838" spans="1:14">
      <c r="A838">
        <f t="shared" si="53"/>
        <v>4</v>
      </c>
      <c r="B838">
        <v>4</v>
      </c>
      <c r="C838" s="11" t="s">
        <v>58</v>
      </c>
      <c r="D838" t="s">
        <v>33</v>
      </c>
      <c r="E838">
        <v>1</v>
      </c>
      <c r="F838">
        <v>1</v>
      </c>
      <c r="G838">
        <v>3301</v>
      </c>
      <c r="H838" t="str">
        <f>IF(VLOOKUP(G838,[2]Sheet1!$A:$O,15,0)=1,"401}]","101}]")</f>
        <v>101}]</v>
      </c>
      <c r="I838" t="str">
        <f t="shared" si="56"/>
        <v>[{1000,1,1,3301,101}]</v>
      </c>
      <c r="J838" t="str">
        <f>VLOOKUP(G838,[2]Sheet1!$A:$O,15,0)</f>
        <v/>
      </c>
      <c r="K838">
        <f>IF(A838="","",IF(J838=1,VLOOKUP(A838,[1]怪物!$R$92:$Z$111,8,0),VLOOKUP(A838,[1]怪物!$R$92:$Z$111,6,0))*10000)</f>
        <v>10000</v>
      </c>
      <c r="L838">
        <f>IF(A838="","",IF(J838=1,VLOOKUP(A838,[1]怪物!$R$92:$Z$111,9,0),VLOOKUP(A838,[1]怪物!$R$92:$Z$111,7,0))*10000)</f>
        <v>10000</v>
      </c>
      <c r="M838">
        <f t="shared" si="54"/>
        <v>10000</v>
      </c>
      <c r="N838">
        <f t="shared" si="55"/>
        <v>10000</v>
      </c>
    </row>
    <row r="839" spans="1:14">
      <c r="A839">
        <f t="shared" si="53"/>
        <v>5</v>
      </c>
      <c r="B839">
        <v>5</v>
      </c>
      <c r="C839" s="11" t="s">
        <v>58</v>
      </c>
      <c r="D839" t="s">
        <v>33</v>
      </c>
      <c r="E839">
        <v>1</v>
      </c>
      <c r="F839">
        <v>1</v>
      </c>
      <c r="G839">
        <v>3301</v>
      </c>
      <c r="H839" t="str">
        <f>IF(VLOOKUP(G839,[2]Sheet1!$A:$O,15,0)=1,"401}]","101}]")</f>
        <v>101}]</v>
      </c>
      <c r="I839" t="str">
        <f t="shared" si="56"/>
        <v>[{1000,1,1,3301,101}]</v>
      </c>
      <c r="J839" t="str">
        <f>VLOOKUP(G839,[2]Sheet1!$A:$O,15,0)</f>
        <v/>
      </c>
      <c r="K839">
        <f>IF(A839="","",IF(J839=1,VLOOKUP(A839,[1]怪物!$R$92:$Z$111,8,0),VLOOKUP(A839,[1]怪物!$R$92:$Z$111,6,0))*10000)</f>
        <v>10000</v>
      </c>
      <c r="L839">
        <f>IF(A839="","",IF(J839=1,VLOOKUP(A839,[1]怪物!$R$92:$Z$111,9,0),VLOOKUP(A839,[1]怪物!$R$92:$Z$111,7,0))*10000)</f>
        <v>10000</v>
      </c>
      <c r="M839">
        <f t="shared" si="54"/>
        <v>10000</v>
      </c>
      <c r="N839">
        <f t="shared" si="55"/>
        <v>10000</v>
      </c>
    </row>
    <row r="840" spans="1:14">
      <c r="A840">
        <f t="shared" si="53"/>
        <v>6</v>
      </c>
      <c r="B840">
        <v>6</v>
      </c>
      <c r="C840" s="11" t="s">
        <v>58</v>
      </c>
      <c r="D840" t="s">
        <v>33</v>
      </c>
      <c r="E840">
        <v>1</v>
      </c>
      <c r="F840">
        <v>1</v>
      </c>
      <c r="G840">
        <v>3301</v>
      </c>
      <c r="H840" t="str">
        <f>IF(VLOOKUP(G840,[2]Sheet1!$A:$O,15,0)=1,"401}]","101}]")</f>
        <v>101}]</v>
      </c>
      <c r="I840" t="str">
        <f t="shared" si="56"/>
        <v>[{1000,1,1,3301,101}]</v>
      </c>
      <c r="J840" t="str">
        <f>VLOOKUP(G840,[2]Sheet1!$A:$O,15,0)</f>
        <v/>
      </c>
      <c r="K840">
        <f>IF(A840="","",IF(J840=1,VLOOKUP(A840,[1]怪物!$R$92:$Z$111,8,0),VLOOKUP(A840,[1]怪物!$R$92:$Z$111,6,0))*10000)</f>
        <v>20000</v>
      </c>
      <c r="L840">
        <f>IF(A840="","",IF(J840=1,VLOOKUP(A840,[1]怪物!$R$92:$Z$111,9,0),VLOOKUP(A840,[1]怪物!$R$92:$Z$111,7,0))*10000)</f>
        <v>20000</v>
      </c>
      <c r="M840">
        <f t="shared" si="54"/>
        <v>20000</v>
      </c>
      <c r="N840">
        <f t="shared" si="55"/>
        <v>20000</v>
      </c>
    </row>
    <row r="841" spans="1:14">
      <c r="A841">
        <f t="shared" si="53"/>
        <v>7</v>
      </c>
      <c r="B841">
        <v>7</v>
      </c>
      <c r="C841" s="11" t="s">
        <v>58</v>
      </c>
      <c r="D841" t="s">
        <v>33</v>
      </c>
      <c r="E841">
        <v>1</v>
      </c>
      <c r="F841">
        <v>1</v>
      </c>
      <c r="G841">
        <v>3301</v>
      </c>
      <c r="H841" t="str">
        <f>IF(VLOOKUP(G841,[2]Sheet1!$A:$O,15,0)=1,"401}]","101}]")</f>
        <v>101}]</v>
      </c>
      <c r="I841" t="str">
        <f t="shared" si="56"/>
        <v>[{1000,1,1,3301,101}]</v>
      </c>
      <c r="J841" t="str">
        <f>VLOOKUP(G841,[2]Sheet1!$A:$O,15,0)</f>
        <v/>
      </c>
      <c r="K841">
        <f>IF(A841="","",IF(J841=1,VLOOKUP(A841,[1]怪物!$R$92:$Z$111,8,0),VLOOKUP(A841,[1]怪物!$R$92:$Z$111,6,0))*10000)</f>
        <v>20000</v>
      </c>
      <c r="L841">
        <f>IF(A841="","",IF(J841=1,VLOOKUP(A841,[1]怪物!$R$92:$Z$111,9,0),VLOOKUP(A841,[1]怪物!$R$92:$Z$111,7,0))*10000)</f>
        <v>20000</v>
      </c>
      <c r="M841">
        <f t="shared" si="54"/>
        <v>20000</v>
      </c>
      <c r="N841">
        <f t="shared" si="55"/>
        <v>20000</v>
      </c>
    </row>
    <row r="842" spans="1:14">
      <c r="A842">
        <f t="shared" si="53"/>
        <v>7</v>
      </c>
      <c r="B842">
        <v>7</v>
      </c>
      <c r="C842" s="11" t="s">
        <v>58</v>
      </c>
      <c r="D842" t="s">
        <v>33</v>
      </c>
      <c r="E842">
        <v>1</v>
      </c>
      <c r="F842">
        <v>1</v>
      </c>
      <c r="G842">
        <v>3302</v>
      </c>
      <c r="H842" t="str">
        <f>IF(VLOOKUP(G842,[2]Sheet1!$A:$O,15,0)=1,"401}]","101}]")</f>
        <v>401}]</v>
      </c>
      <c r="I842" t="str">
        <f t="shared" si="56"/>
        <v>[{1000,1,1,3302,401}]</v>
      </c>
      <c r="J842">
        <f>VLOOKUP(G842,[2]Sheet1!$A:$O,15,0)</f>
        <v>1</v>
      </c>
      <c r="K842">
        <f>IF(A842="","",IF(J842=1,VLOOKUP(A842,[1]怪物!$R$92:$Z$111,8,0),VLOOKUP(A842,[1]怪物!$R$92:$Z$111,6,0))*10000)</f>
        <v>15000</v>
      </c>
      <c r="L842">
        <f>IF(A842="","",IF(J842=1,VLOOKUP(A842,[1]怪物!$R$92:$Z$111,9,0),VLOOKUP(A842,[1]怪物!$R$92:$Z$111,7,0))*10000)</f>
        <v>15000</v>
      </c>
      <c r="M842">
        <f t="shared" si="54"/>
        <v>15000</v>
      </c>
      <c r="N842">
        <f t="shared" si="55"/>
        <v>15000</v>
      </c>
    </row>
    <row r="843" spans="1:14">
      <c r="A843">
        <f t="shared" si="53"/>
        <v>8</v>
      </c>
      <c r="B843">
        <v>8</v>
      </c>
      <c r="C843" s="11" t="s">
        <v>58</v>
      </c>
      <c r="D843" t="s">
        <v>33</v>
      </c>
      <c r="E843">
        <v>1</v>
      </c>
      <c r="F843">
        <v>1</v>
      </c>
      <c r="G843">
        <v>3301</v>
      </c>
      <c r="H843" t="str">
        <f>IF(VLOOKUP(G843,[2]Sheet1!$A:$O,15,0)=1,"401}]","101}]")</f>
        <v>101}]</v>
      </c>
      <c r="I843" t="str">
        <f t="shared" si="56"/>
        <v>[{1000,1,1,3301,101}]</v>
      </c>
      <c r="J843" t="str">
        <f>VLOOKUP(G843,[2]Sheet1!$A:$O,15,0)</f>
        <v/>
      </c>
      <c r="K843">
        <f>IF(A843="","",IF(J843=1,VLOOKUP(A843,[1]怪物!$R$92:$Z$111,8,0),VLOOKUP(A843,[1]怪物!$R$92:$Z$111,6,0))*10000)</f>
        <v>20000</v>
      </c>
      <c r="L843">
        <f>IF(A843="","",IF(J843=1,VLOOKUP(A843,[1]怪物!$R$92:$Z$111,9,0),VLOOKUP(A843,[1]怪物!$R$92:$Z$111,7,0))*10000)</f>
        <v>20000</v>
      </c>
      <c r="M843">
        <f t="shared" si="54"/>
        <v>20000</v>
      </c>
      <c r="N843">
        <f t="shared" si="55"/>
        <v>20000</v>
      </c>
    </row>
    <row r="844" spans="1:14">
      <c r="A844">
        <f t="shared" si="53"/>
        <v>8</v>
      </c>
      <c r="B844">
        <v>8</v>
      </c>
      <c r="C844" s="11" t="s">
        <v>58</v>
      </c>
      <c r="D844" t="s">
        <v>33</v>
      </c>
      <c r="E844">
        <v>1</v>
      </c>
      <c r="F844">
        <v>1</v>
      </c>
      <c r="G844">
        <v>3302</v>
      </c>
      <c r="H844" t="str">
        <f>IF(VLOOKUP(G844,[2]Sheet1!$A:$O,15,0)=1,"401}]","101}]")</f>
        <v>401}]</v>
      </c>
      <c r="I844" t="str">
        <f t="shared" si="56"/>
        <v>[{1000,1,1,3302,401}]</v>
      </c>
      <c r="J844">
        <f>VLOOKUP(G844,[2]Sheet1!$A:$O,15,0)</f>
        <v>1</v>
      </c>
      <c r="K844">
        <f>IF(A844="","",IF(J844=1,VLOOKUP(A844,[1]怪物!$R$92:$Z$111,8,0),VLOOKUP(A844,[1]怪物!$R$92:$Z$111,6,0))*10000)</f>
        <v>15000</v>
      </c>
      <c r="L844">
        <f>IF(A844="","",IF(J844=1,VLOOKUP(A844,[1]怪物!$R$92:$Z$111,9,0),VLOOKUP(A844,[1]怪物!$R$92:$Z$111,7,0))*10000)</f>
        <v>15000</v>
      </c>
      <c r="M844">
        <f t="shared" si="54"/>
        <v>15000</v>
      </c>
      <c r="N844">
        <f t="shared" si="55"/>
        <v>15000</v>
      </c>
    </row>
    <row r="845" spans="1:14">
      <c r="A845">
        <f t="shared" si="53"/>
        <v>9</v>
      </c>
      <c r="B845">
        <v>9</v>
      </c>
      <c r="C845" s="11" t="s">
        <v>58</v>
      </c>
      <c r="D845" t="s">
        <v>33</v>
      </c>
      <c r="E845">
        <v>1</v>
      </c>
      <c r="F845">
        <v>1</v>
      </c>
      <c r="G845">
        <v>3301</v>
      </c>
      <c r="H845" t="str">
        <f>IF(VLOOKUP(G845,[2]Sheet1!$A:$O,15,0)=1,"401}]","101}]")</f>
        <v>101}]</v>
      </c>
      <c r="I845" t="str">
        <f t="shared" si="56"/>
        <v>[{1000,1,1,3301,101}]</v>
      </c>
      <c r="J845" t="str">
        <f>VLOOKUP(G845,[2]Sheet1!$A:$O,15,0)</f>
        <v/>
      </c>
      <c r="K845">
        <f>IF(A845="","",IF(J845=1,VLOOKUP(A845,[1]怪物!$R$92:$Z$111,8,0),VLOOKUP(A845,[1]怪物!$R$92:$Z$111,6,0))*10000)</f>
        <v>20000</v>
      </c>
      <c r="L845">
        <f>IF(A845="","",IF(J845=1,VLOOKUP(A845,[1]怪物!$R$92:$Z$111,9,0),VLOOKUP(A845,[1]怪物!$R$92:$Z$111,7,0))*10000)</f>
        <v>20000</v>
      </c>
      <c r="M845">
        <f t="shared" si="54"/>
        <v>20000</v>
      </c>
      <c r="N845">
        <f t="shared" si="55"/>
        <v>20000</v>
      </c>
    </row>
    <row r="846" spans="1:14">
      <c r="A846">
        <f t="shared" si="53"/>
        <v>9</v>
      </c>
      <c r="B846">
        <v>9</v>
      </c>
      <c r="C846" s="11" t="s">
        <v>58</v>
      </c>
      <c r="D846" t="s">
        <v>33</v>
      </c>
      <c r="E846">
        <v>1</v>
      </c>
      <c r="F846">
        <v>1</v>
      </c>
      <c r="G846">
        <v>3302</v>
      </c>
      <c r="H846" t="str">
        <f>IF(VLOOKUP(G846,[2]Sheet1!$A:$O,15,0)=1,"401}]","101}]")</f>
        <v>401}]</v>
      </c>
      <c r="I846" t="str">
        <f t="shared" si="56"/>
        <v>[{1000,1,1,3302,401}]</v>
      </c>
      <c r="J846">
        <f>VLOOKUP(G846,[2]Sheet1!$A:$O,15,0)</f>
        <v>1</v>
      </c>
      <c r="K846">
        <f>IF(A846="","",IF(J846=1,VLOOKUP(A846,[1]怪物!$R$92:$Z$111,8,0),VLOOKUP(A846,[1]怪物!$R$92:$Z$111,6,0))*10000)</f>
        <v>15000</v>
      </c>
      <c r="L846">
        <f>IF(A846="","",IF(J846=1,VLOOKUP(A846,[1]怪物!$R$92:$Z$111,9,0),VLOOKUP(A846,[1]怪物!$R$92:$Z$111,7,0))*10000)</f>
        <v>15000</v>
      </c>
      <c r="M846">
        <f t="shared" si="54"/>
        <v>15000</v>
      </c>
      <c r="N846">
        <f t="shared" si="55"/>
        <v>15000</v>
      </c>
    </row>
    <row r="847" spans="1:14">
      <c r="A847">
        <f t="shared" si="53"/>
        <v>10</v>
      </c>
      <c r="B847">
        <v>10</v>
      </c>
      <c r="C847" s="11" t="s">
        <v>58</v>
      </c>
      <c r="D847" t="s">
        <v>33</v>
      </c>
      <c r="E847">
        <v>1</v>
      </c>
      <c r="F847">
        <v>1</v>
      </c>
      <c r="G847">
        <v>3301</v>
      </c>
      <c r="H847" t="str">
        <f>IF(VLOOKUP(G847,[2]Sheet1!$A:$O,15,0)=1,"401}]","101}]")</f>
        <v>101}]</v>
      </c>
      <c r="I847" t="str">
        <f t="shared" si="56"/>
        <v>[{1000,1,1,3301,101}]</v>
      </c>
      <c r="J847" t="str">
        <f>VLOOKUP(G847,[2]Sheet1!$A:$O,15,0)</f>
        <v/>
      </c>
      <c r="K847">
        <f>IF(A847="","",IF(J847=1,VLOOKUP(A847,[1]怪物!$R$92:$Z$111,8,0),VLOOKUP(A847,[1]怪物!$R$92:$Z$111,6,0))*10000)</f>
        <v>20000</v>
      </c>
      <c r="L847">
        <f>IF(A847="","",IF(J847=1,VLOOKUP(A847,[1]怪物!$R$92:$Z$111,9,0),VLOOKUP(A847,[1]怪物!$R$92:$Z$111,7,0))*10000)</f>
        <v>20000</v>
      </c>
      <c r="M847">
        <f t="shared" si="54"/>
        <v>20000</v>
      </c>
      <c r="N847">
        <f t="shared" si="55"/>
        <v>20000</v>
      </c>
    </row>
    <row r="848" spans="1:14">
      <c r="A848">
        <f t="shared" si="53"/>
        <v>10</v>
      </c>
      <c r="B848">
        <v>10</v>
      </c>
      <c r="C848" s="11" t="s">
        <v>58</v>
      </c>
      <c r="D848" t="s">
        <v>33</v>
      </c>
      <c r="E848">
        <v>1</v>
      </c>
      <c r="F848">
        <v>1</v>
      </c>
      <c r="G848">
        <v>3302</v>
      </c>
      <c r="H848" t="str">
        <f>IF(VLOOKUP(G848,[2]Sheet1!$A:$O,15,0)=1,"401}]","101}]")</f>
        <v>401}]</v>
      </c>
      <c r="I848" t="str">
        <f t="shared" si="56"/>
        <v>[{1000,1,1,3302,401}]</v>
      </c>
      <c r="J848">
        <f>VLOOKUP(G848,[2]Sheet1!$A:$O,15,0)</f>
        <v>1</v>
      </c>
      <c r="K848">
        <f>IF(A848="","",IF(J848=1,VLOOKUP(A848,[1]怪物!$R$92:$Z$111,8,0),VLOOKUP(A848,[1]怪物!$R$92:$Z$111,6,0))*10000)</f>
        <v>15000</v>
      </c>
      <c r="L848">
        <f>IF(A848="","",IF(J848=1,VLOOKUP(A848,[1]怪物!$R$92:$Z$111,9,0),VLOOKUP(A848,[1]怪物!$R$92:$Z$111,7,0))*10000)</f>
        <v>15000</v>
      </c>
      <c r="M848">
        <f t="shared" si="54"/>
        <v>15000</v>
      </c>
      <c r="N848">
        <f t="shared" si="55"/>
        <v>15000</v>
      </c>
    </row>
    <row r="849" spans="1:14">
      <c r="A849" t="str">
        <f t="shared" si="53"/>
        <v/>
      </c>
      <c r="B849">
        <v>10</v>
      </c>
      <c r="C849" s="11" t="s">
        <v>58</v>
      </c>
      <c r="D849" s="11" t="s">
        <v>28</v>
      </c>
      <c r="I849" t="str">
        <f t="shared" si="56"/>
        <v>[]</v>
      </c>
      <c r="K849" t="str">
        <f>IF(A849="","",IF(J849=1,VLOOKUP(A849,[1]怪物!$R$92:$Z$111,8,0),VLOOKUP(A849,[1]怪物!$R$92:$Z$111,6,0))*10000)</f>
        <v/>
      </c>
      <c r="L849" t="str">
        <f>IF(A849="","",IF(J849=1,VLOOKUP(A849,[1]怪物!$R$92:$Z$111,9,0),VLOOKUP(A849,[1]怪物!$R$92:$Z$111,7,0))*10000)</f>
        <v/>
      </c>
      <c r="M849" t="str">
        <f t="shared" si="54"/>
        <v/>
      </c>
      <c r="N849" t="str">
        <f t="shared" si="55"/>
        <v/>
      </c>
    </row>
    <row r="850" spans="1:14">
      <c r="A850">
        <f t="shared" si="53"/>
        <v>10</v>
      </c>
      <c r="B850">
        <v>10</v>
      </c>
      <c r="C850" s="11" t="s">
        <v>58</v>
      </c>
      <c r="D850" t="s">
        <v>33</v>
      </c>
      <c r="E850">
        <v>1</v>
      </c>
      <c r="F850">
        <v>0</v>
      </c>
      <c r="G850">
        <v>3321</v>
      </c>
      <c r="H850" t="str">
        <f>IF(VLOOKUP(G850,[2]Sheet1!$A:$O,15,0)=1,"401}]","101}]")</f>
        <v>401}]</v>
      </c>
      <c r="I850" t="str">
        <f t="shared" si="56"/>
        <v>[{1000,1,0,3321,401}]</v>
      </c>
      <c r="J850">
        <f>VLOOKUP(G850,[2]Sheet1!$A:$O,15,0)</f>
        <v>1</v>
      </c>
      <c r="K850">
        <f>IF(A850="","",IF(J850=1,VLOOKUP(A850,[1]怪物!$R$92:$Z$111,8,0),VLOOKUP(A850,[1]怪物!$R$92:$Z$111,6,0))*10000)</f>
        <v>15000</v>
      </c>
      <c r="L850">
        <f>IF(A850="","",IF(J850=1,VLOOKUP(A850,[1]怪物!$R$92:$Z$111,9,0),VLOOKUP(A850,[1]怪物!$R$92:$Z$111,7,0))*10000)</f>
        <v>15000</v>
      </c>
      <c r="M850">
        <f t="shared" si="54"/>
        <v>10000</v>
      </c>
      <c r="N850">
        <f t="shared" si="55"/>
        <v>10000</v>
      </c>
    </row>
    <row r="851" spans="1:14">
      <c r="A851">
        <f t="shared" si="53"/>
        <v>11</v>
      </c>
      <c r="B851">
        <v>11</v>
      </c>
      <c r="C851" s="11" t="s">
        <v>58</v>
      </c>
      <c r="D851" t="s">
        <v>33</v>
      </c>
      <c r="E851">
        <v>1</v>
      </c>
      <c r="F851">
        <v>1</v>
      </c>
      <c r="G851">
        <v>3301</v>
      </c>
      <c r="H851" t="str">
        <f>IF(VLOOKUP(G851,[2]Sheet1!$A:$O,15,0)=1,"401}]","101}]")</f>
        <v>101}]</v>
      </c>
      <c r="I851" t="str">
        <f t="shared" si="56"/>
        <v>[{1000,1,1,3301,101}]</v>
      </c>
      <c r="J851" t="str">
        <f>VLOOKUP(G851,[2]Sheet1!$A:$O,15,0)</f>
        <v/>
      </c>
      <c r="K851">
        <f>IF(A851="","",IF(J851=1,VLOOKUP(A851,[1]怪物!$R$92:$Z$111,8,0),VLOOKUP(A851,[1]怪物!$R$92:$Z$111,6,0))*10000)</f>
        <v>40000</v>
      </c>
      <c r="L851">
        <f>IF(A851="","",IF(J851=1,VLOOKUP(A851,[1]怪物!$R$92:$Z$111,9,0),VLOOKUP(A851,[1]怪物!$R$92:$Z$111,7,0))*10000)</f>
        <v>30000</v>
      </c>
      <c r="M851">
        <f t="shared" si="54"/>
        <v>40000</v>
      </c>
      <c r="N851">
        <f t="shared" si="55"/>
        <v>30000</v>
      </c>
    </row>
    <row r="852" spans="1:14">
      <c r="A852">
        <f t="shared" si="53"/>
        <v>11</v>
      </c>
      <c r="B852">
        <v>11</v>
      </c>
      <c r="C852" s="11" t="s">
        <v>58</v>
      </c>
      <c r="D852" t="s">
        <v>33</v>
      </c>
      <c r="E852">
        <v>1</v>
      </c>
      <c r="F852">
        <v>1</v>
      </c>
      <c r="G852">
        <v>3302</v>
      </c>
      <c r="H852" t="str">
        <f>IF(VLOOKUP(G852,[2]Sheet1!$A:$O,15,0)=1,"401}]","101}]")</f>
        <v>401}]</v>
      </c>
      <c r="I852" t="str">
        <f t="shared" si="56"/>
        <v>[{1000,1,1,3302,401}]</v>
      </c>
      <c r="J852">
        <f>VLOOKUP(G852,[2]Sheet1!$A:$O,15,0)</f>
        <v>1</v>
      </c>
      <c r="K852">
        <f>IF(A852="","",IF(J852=1,VLOOKUP(A852,[1]怪物!$R$92:$Z$111,8,0),VLOOKUP(A852,[1]怪物!$R$92:$Z$111,6,0))*10000)</f>
        <v>40000</v>
      </c>
      <c r="L852">
        <f>IF(A852="","",IF(J852=1,VLOOKUP(A852,[1]怪物!$R$92:$Z$111,9,0),VLOOKUP(A852,[1]怪物!$R$92:$Z$111,7,0))*10000)</f>
        <v>30000</v>
      </c>
      <c r="M852">
        <f t="shared" si="54"/>
        <v>40000</v>
      </c>
      <c r="N852">
        <f t="shared" si="55"/>
        <v>30000</v>
      </c>
    </row>
    <row r="853" spans="1:14">
      <c r="A853">
        <f t="shared" si="53"/>
        <v>12</v>
      </c>
      <c r="B853">
        <v>12</v>
      </c>
      <c r="C853" s="11" t="s">
        <v>58</v>
      </c>
      <c r="D853" t="s">
        <v>33</v>
      </c>
      <c r="E853">
        <v>1</v>
      </c>
      <c r="F853">
        <v>1</v>
      </c>
      <c r="G853">
        <v>3301</v>
      </c>
      <c r="H853" t="str">
        <f>IF(VLOOKUP(G853,[2]Sheet1!$A:$O,15,0)=1,"401}]","101}]")</f>
        <v>101}]</v>
      </c>
      <c r="I853" t="str">
        <f t="shared" si="56"/>
        <v>[{1000,1,1,3301,101}]</v>
      </c>
      <c r="J853" t="str">
        <f>VLOOKUP(G853,[2]Sheet1!$A:$O,15,0)</f>
        <v/>
      </c>
      <c r="K853">
        <f>IF(A853="","",IF(J853=1,VLOOKUP(A853,[1]怪物!$R$92:$Z$111,8,0),VLOOKUP(A853,[1]怪物!$R$92:$Z$111,6,0))*10000)</f>
        <v>40000</v>
      </c>
      <c r="L853">
        <f>IF(A853="","",IF(J853=1,VLOOKUP(A853,[1]怪物!$R$92:$Z$111,9,0),VLOOKUP(A853,[1]怪物!$R$92:$Z$111,7,0))*10000)</f>
        <v>30000</v>
      </c>
      <c r="M853">
        <f t="shared" si="54"/>
        <v>40000</v>
      </c>
      <c r="N853">
        <f t="shared" si="55"/>
        <v>30000</v>
      </c>
    </row>
    <row r="854" spans="1:14">
      <c r="A854">
        <f t="shared" si="53"/>
        <v>12</v>
      </c>
      <c r="B854">
        <v>12</v>
      </c>
      <c r="C854" s="11" t="s">
        <v>58</v>
      </c>
      <c r="D854" t="s">
        <v>33</v>
      </c>
      <c r="E854">
        <v>1</v>
      </c>
      <c r="F854">
        <v>1</v>
      </c>
      <c r="G854">
        <v>3302</v>
      </c>
      <c r="H854" t="str">
        <f>IF(VLOOKUP(G854,[2]Sheet1!$A:$O,15,0)=1,"401}]","101}]")</f>
        <v>401}]</v>
      </c>
      <c r="I854" t="str">
        <f t="shared" si="56"/>
        <v>[{1000,1,1,3302,401}]</v>
      </c>
      <c r="J854">
        <f>VLOOKUP(G854,[2]Sheet1!$A:$O,15,0)</f>
        <v>1</v>
      </c>
      <c r="K854">
        <f>IF(A854="","",IF(J854=1,VLOOKUP(A854,[1]怪物!$R$92:$Z$111,8,0),VLOOKUP(A854,[1]怪物!$R$92:$Z$111,6,0))*10000)</f>
        <v>40000</v>
      </c>
      <c r="L854">
        <f>IF(A854="","",IF(J854=1,VLOOKUP(A854,[1]怪物!$R$92:$Z$111,9,0),VLOOKUP(A854,[1]怪物!$R$92:$Z$111,7,0))*10000)</f>
        <v>30000</v>
      </c>
      <c r="M854">
        <f t="shared" si="54"/>
        <v>40000</v>
      </c>
      <c r="N854">
        <f t="shared" si="55"/>
        <v>30000</v>
      </c>
    </row>
    <row r="855" spans="1:14">
      <c r="A855">
        <f t="shared" si="53"/>
        <v>13</v>
      </c>
      <c r="B855">
        <v>13</v>
      </c>
      <c r="C855" s="11" t="s">
        <v>58</v>
      </c>
      <c r="D855" t="s">
        <v>33</v>
      </c>
      <c r="E855">
        <v>1</v>
      </c>
      <c r="F855">
        <v>1</v>
      </c>
      <c r="G855">
        <v>3301</v>
      </c>
      <c r="H855" t="str">
        <f>IF(VLOOKUP(G855,[2]Sheet1!$A:$O,15,0)=1,"401}]","101}]")</f>
        <v>101}]</v>
      </c>
      <c r="I855" t="str">
        <f t="shared" si="56"/>
        <v>[{1000,1,1,3301,101}]</v>
      </c>
      <c r="J855" t="str">
        <f>VLOOKUP(G855,[2]Sheet1!$A:$O,15,0)</f>
        <v/>
      </c>
      <c r="K855">
        <f>IF(A855="","",IF(J855=1,VLOOKUP(A855,[1]怪物!$R$92:$Z$111,8,0),VLOOKUP(A855,[1]怪物!$R$92:$Z$111,6,0))*10000)</f>
        <v>40000</v>
      </c>
      <c r="L855">
        <f>IF(A855="","",IF(J855=1,VLOOKUP(A855,[1]怪物!$R$92:$Z$111,9,0),VLOOKUP(A855,[1]怪物!$R$92:$Z$111,7,0))*10000)</f>
        <v>30000</v>
      </c>
      <c r="M855">
        <f t="shared" si="54"/>
        <v>40000</v>
      </c>
      <c r="N855">
        <f t="shared" si="55"/>
        <v>30000</v>
      </c>
    </row>
    <row r="856" spans="1:14">
      <c r="A856">
        <f t="shared" si="53"/>
        <v>13</v>
      </c>
      <c r="B856">
        <v>13</v>
      </c>
      <c r="C856" s="11" t="s">
        <v>58</v>
      </c>
      <c r="D856" t="s">
        <v>33</v>
      </c>
      <c r="E856">
        <v>1</v>
      </c>
      <c r="F856">
        <v>1</v>
      </c>
      <c r="G856">
        <v>3302</v>
      </c>
      <c r="H856" t="str">
        <f>IF(VLOOKUP(G856,[2]Sheet1!$A:$O,15,0)=1,"401}]","101}]")</f>
        <v>401}]</v>
      </c>
      <c r="I856" t="str">
        <f t="shared" si="56"/>
        <v>[{1000,1,1,3302,401}]</v>
      </c>
      <c r="J856">
        <f>VLOOKUP(G856,[2]Sheet1!$A:$O,15,0)</f>
        <v>1</v>
      </c>
      <c r="K856">
        <f>IF(A856="","",IF(J856=1,VLOOKUP(A856,[1]怪物!$R$92:$Z$111,8,0),VLOOKUP(A856,[1]怪物!$R$92:$Z$111,6,0))*10000)</f>
        <v>40000</v>
      </c>
      <c r="L856">
        <f>IF(A856="","",IF(J856=1,VLOOKUP(A856,[1]怪物!$R$92:$Z$111,9,0),VLOOKUP(A856,[1]怪物!$R$92:$Z$111,7,0))*10000)</f>
        <v>30000</v>
      </c>
      <c r="M856">
        <f t="shared" si="54"/>
        <v>40000</v>
      </c>
      <c r="N856">
        <f t="shared" si="55"/>
        <v>30000</v>
      </c>
    </row>
    <row r="857" spans="1:14">
      <c r="A857">
        <f t="shared" si="53"/>
        <v>14</v>
      </c>
      <c r="B857">
        <v>14</v>
      </c>
      <c r="C857" s="11" t="s">
        <v>58</v>
      </c>
      <c r="D857" t="s">
        <v>33</v>
      </c>
      <c r="E857">
        <v>1</v>
      </c>
      <c r="F857">
        <v>1</v>
      </c>
      <c r="G857">
        <v>3301</v>
      </c>
      <c r="H857" t="str">
        <f>IF(VLOOKUP(G857,[2]Sheet1!$A:$O,15,0)=1,"401}]","101}]")</f>
        <v>101}]</v>
      </c>
      <c r="I857" t="str">
        <f t="shared" si="56"/>
        <v>[{1000,1,1,3301,101}]</v>
      </c>
      <c r="J857" t="str">
        <f>VLOOKUP(G857,[2]Sheet1!$A:$O,15,0)</f>
        <v/>
      </c>
      <c r="K857">
        <f>IF(A857="","",IF(J857=1,VLOOKUP(A857,[1]怪物!$R$92:$Z$111,8,0),VLOOKUP(A857,[1]怪物!$R$92:$Z$111,6,0))*10000)</f>
        <v>40000</v>
      </c>
      <c r="L857">
        <f>IF(A857="","",IF(J857=1,VLOOKUP(A857,[1]怪物!$R$92:$Z$111,9,0),VLOOKUP(A857,[1]怪物!$R$92:$Z$111,7,0))*10000)</f>
        <v>30000</v>
      </c>
      <c r="M857">
        <f t="shared" si="54"/>
        <v>40000</v>
      </c>
      <c r="N857">
        <f t="shared" si="55"/>
        <v>30000</v>
      </c>
    </row>
    <row r="858" spans="1:14">
      <c r="A858">
        <f t="shared" si="53"/>
        <v>14</v>
      </c>
      <c r="B858">
        <v>14</v>
      </c>
      <c r="C858" s="11" t="s">
        <v>58</v>
      </c>
      <c r="D858" t="s">
        <v>33</v>
      </c>
      <c r="E858">
        <v>1</v>
      </c>
      <c r="F858">
        <v>1</v>
      </c>
      <c r="G858">
        <v>3302</v>
      </c>
      <c r="H858" t="str">
        <f>IF(VLOOKUP(G858,[2]Sheet1!$A:$O,15,0)=1,"401}]","101}]")</f>
        <v>401}]</v>
      </c>
      <c r="I858" t="str">
        <f t="shared" si="56"/>
        <v>[{1000,1,1,3302,401}]</v>
      </c>
      <c r="J858">
        <f>VLOOKUP(G858,[2]Sheet1!$A:$O,15,0)</f>
        <v>1</v>
      </c>
      <c r="K858">
        <f>IF(A858="","",IF(J858=1,VLOOKUP(A858,[1]怪物!$R$92:$Z$111,8,0),VLOOKUP(A858,[1]怪物!$R$92:$Z$111,6,0))*10000)</f>
        <v>40000</v>
      </c>
      <c r="L858">
        <f>IF(A858="","",IF(J858=1,VLOOKUP(A858,[1]怪物!$R$92:$Z$111,9,0),VLOOKUP(A858,[1]怪物!$R$92:$Z$111,7,0))*10000)</f>
        <v>30000</v>
      </c>
      <c r="M858">
        <f t="shared" si="54"/>
        <v>40000</v>
      </c>
      <c r="N858">
        <f t="shared" si="55"/>
        <v>30000</v>
      </c>
    </row>
    <row r="859" spans="1:14">
      <c r="A859">
        <f t="shared" si="53"/>
        <v>14</v>
      </c>
      <c r="B859">
        <v>14</v>
      </c>
      <c r="C859" s="11" t="s">
        <v>58</v>
      </c>
      <c r="D859" t="s">
        <v>33</v>
      </c>
      <c r="E859">
        <v>1</v>
      </c>
      <c r="F859">
        <v>1</v>
      </c>
      <c r="G859">
        <v>3303</v>
      </c>
      <c r="H859" t="str">
        <f>IF(VLOOKUP(G859,[2]Sheet1!$A:$O,15,0)=1,"401}]","101}]")</f>
        <v>101}]</v>
      </c>
      <c r="I859" t="str">
        <f t="shared" si="56"/>
        <v>[{1000,1,1,3303,101}]</v>
      </c>
      <c r="J859" t="str">
        <f>VLOOKUP(G859,[2]Sheet1!$A:$O,15,0)</f>
        <v/>
      </c>
      <c r="K859">
        <f>IF(A859="","",IF(J859=1,VLOOKUP(A859,[1]怪物!$R$92:$Z$111,8,0),VLOOKUP(A859,[1]怪物!$R$92:$Z$111,6,0))*10000)</f>
        <v>40000</v>
      </c>
      <c r="L859">
        <f>IF(A859="","",IF(J859=1,VLOOKUP(A859,[1]怪物!$R$92:$Z$111,9,0),VLOOKUP(A859,[1]怪物!$R$92:$Z$111,7,0))*10000)</f>
        <v>30000</v>
      </c>
      <c r="M859">
        <f t="shared" si="54"/>
        <v>40000</v>
      </c>
      <c r="N859">
        <f t="shared" si="55"/>
        <v>30000</v>
      </c>
    </row>
    <row r="860" spans="1:14">
      <c r="A860">
        <f t="shared" si="53"/>
        <v>15</v>
      </c>
      <c r="B860">
        <v>15</v>
      </c>
      <c r="C860" s="11" t="s">
        <v>58</v>
      </c>
      <c r="D860" t="s">
        <v>33</v>
      </c>
      <c r="E860">
        <v>1</v>
      </c>
      <c r="F860">
        <v>1</v>
      </c>
      <c r="G860">
        <v>3301</v>
      </c>
      <c r="H860" t="str">
        <f>IF(VLOOKUP(G860,[2]Sheet1!$A:$O,15,0)=1,"401}]","101}]")</f>
        <v>101}]</v>
      </c>
      <c r="I860" t="str">
        <f t="shared" si="56"/>
        <v>[{1000,1,1,3301,101}]</v>
      </c>
      <c r="J860" t="str">
        <f>VLOOKUP(G860,[2]Sheet1!$A:$O,15,0)</f>
        <v/>
      </c>
      <c r="K860">
        <f>IF(A860="","",IF(J860=1,VLOOKUP(A860,[1]怪物!$R$92:$Z$111,8,0),VLOOKUP(A860,[1]怪物!$R$92:$Z$111,6,0))*10000)</f>
        <v>40000</v>
      </c>
      <c r="L860">
        <f>IF(A860="","",IF(J860=1,VLOOKUP(A860,[1]怪物!$R$92:$Z$111,9,0),VLOOKUP(A860,[1]怪物!$R$92:$Z$111,7,0))*10000)</f>
        <v>30000</v>
      </c>
      <c r="M860">
        <f t="shared" si="54"/>
        <v>40000</v>
      </c>
      <c r="N860">
        <f t="shared" si="55"/>
        <v>30000</v>
      </c>
    </row>
    <row r="861" spans="1:14">
      <c r="A861">
        <f t="shared" si="53"/>
        <v>15</v>
      </c>
      <c r="B861">
        <v>15</v>
      </c>
      <c r="C861" s="11" t="s">
        <v>58</v>
      </c>
      <c r="D861" t="s">
        <v>33</v>
      </c>
      <c r="E861">
        <v>1</v>
      </c>
      <c r="F861">
        <v>1</v>
      </c>
      <c r="G861">
        <v>3302</v>
      </c>
      <c r="H861" t="str">
        <f>IF(VLOOKUP(G861,[2]Sheet1!$A:$O,15,0)=1,"401}]","101}]")</f>
        <v>401}]</v>
      </c>
      <c r="I861" t="str">
        <f t="shared" si="56"/>
        <v>[{1000,1,1,3302,401}]</v>
      </c>
      <c r="J861">
        <f>VLOOKUP(G861,[2]Sheet1!$A:$O,15,0)</f>
        <v>1</v>
      </c>
      <c r="K861">
        <f>IF(A861="","",IF(J861=1,VLOOKUP(A861,[1]怪物!$R$92:$Z$111,8,0),VLOOKUP(A861,[1]怪物!$R$92:$Z$111,6,0))*10000)</f>
        <v>40000</v>
      </c>
      <c r="L861">
        <f>IF(A861="","",IF(J861=1,VLOOKUP(A861,[1]怪物!$R$92:$Z$111,9,0),VLOOKUP(A861,[1]怪物!$R$92:$Z$111,7,0))*10000)</f>
        <v>30000</v>
      </c>
      <c r="M861">
        <f t="shared" si="54"/>
        <v>40000</v>
      </c>
      <c r="N861">
        <f t="shared" si="55"/>
        <v>30000</v>
      </c>
    </row>
    <row r="862" spans="1:14">
      <c r="A862">
        <f t="shared" si="53"/>
        <v>15</v>
      </c>
      <c r="B862">
        <v>15</v>
      </c>
      <c r="C862" s="11" t="s">
        <v>58</v>
      </c>
      <c r="D862" t="s">
        <v>33</v>
      </c>
      <c r="E862">
        <v>1</v>
      </c>
      <c r="F862">
        <v>1</v>
      </c>
      <c r="G862">
        <v>3303</v>
      </c>
      <c r="H862" t="str">
        <f>IF(VLOOKUP(G862,[2]Sheet1!$A:$O,15,0)=1,"401}]","101}]")</f>
        <v>101}]</v>
      </c>
      <c r="I862" t="str">
        <f t="shared" si="56"/>
        <v>[{1000,1,1,3303,101}]</v>
      </c>
      <c r="J862" t="str">
        <f>VLOOKUP(G862,[2]Sheet1!$A:$O,15,0)</f>
        <v/>
      </c>
      <c r="K862">
        <f>IF(A862="","",IF(J862=1,VLOOKUP(A862,[1]怪物!$R$92:$Z$111,8,0),VLOOKUP(A862,[1]怪物!$R$92:$Z$111,6,0))*10000)</f>
        <v>40000</v>
      </c>
      <c r="L862">
        <f>IF(A862="","",IF(J862=1,VLOOKUP(A862,[1]怪物!$R$92:$Z$111,9,0),VLOOKUP(A862,[1]怪物!$R$92:$Z$111,7,0))*10000)</f>
        <v>30000</v>
      </c>
      <c r="M862">
        <f t="shared" si="54"/>
        <v>40000</v>
      </c>
      <c r="N862">
        <f t="shared" si="55"/>
        <v>30000</v>
      </c>
    </row>
    <row r="863" spans="1:14">
      <c r="A863">
        <f t="shared" si="53"/>
        <v>16</v>
      </c>
      <c r="B863">
        <v>16</v>
      </c>
      <c r="C863" s="11" t="s">
        <v>58</v>
      </c>
      <c r="D863" t="s">
        <v>33</v>
      </c>
      <c r="E863">
        <v>1</v>
      </c>
      <c r="F863">
        <v>1</v>
      </c>
      <c r="G863">
        <v>3301</v>
      </c>
      <c r="H863" t="str">
        <f>IF(VLOOKUP(G863,[2]Sheet1!$A:$O,15,0)=1,"401}]","101}]")</f>
        <v>101}]</v>
      </c>
      <c r="I863" t="str">
        <f t="shared" si="56"/>
        <v>[{1000,1,1,3301,101}]</v>
      </c>
      <c r="J863" t="str">
        <f>VLOOKUP(G863,[2]Sheet1!$A:$O,15,0)</f>
        <v/>
      </c>
      <c r="K863">
        <f>IF(A863="","",IF(J863=1,VLOOKUP(A863,[1]怪物!$R$92:$Z$111,8,0),VLOOKUP(A863,[1]怪物!$R$92:$Z$111,6,0))*10000)</f>
        <v>90000</v>
      </c>
      <c r="L863">
        <f>IF(A863="","",IF(J863=1,VLOOKUP(A863,[1]怪物!$R$92:$Z$111,9,0),VLOOKUP(A863,[1]怪物!$R$92:$Z$111,7,0))*10000)</f>
        <v>60000</v>
      </c>
      <c r="M863">
        <f t="shared" si="54"/>
        <v>90000</v>
      </c>
      <c r="N863">
        <f t="shared" si="55"/>
        <v>60000</v>
      </c>
    </row>
    <row r="864" spans="1:14">
      <c r="A864">
        <f t="shared" si="53"/>
        <v>16</v>
      </c>
      <c r="B864">
        <v>16</v>
      </c>
      <c r="C864" s="11" t="s">
        <v>58</v>
      </c>
      <c r="D864" t="s">
        <v>33</v>
      </c>
      <c r="E864">
        <v>1</v>
      </c>
      <c r="F864">
        <v>1</v>
      </c>
      <c r="G864">
        <v>3302</v>
      </c>
      <c r="H864" t="str">
        <f>IF(VLOOKUP(G864,[2]Sheet1!$A:$O,15,0)=1,"401}]","101}]")</f>
        <v>401}]</v>
      </c>
      <c r="I864" t="str">
        <f t="shared" si="56"/>
        <v>[{1000,1,1,3302,401}]</v>
      </c>
      <c r="J864">
        <f>VLOOKUP(G864,[2]Sheet1!$A:$O,15,0)</f>
        <v>1</v>
      </c>
      <c r="K864">
        <f>IF(A864="","",IF(J864=1,VLOOKUP(A864,[1]怪物!$R$92:$Z$111,8,0),VLOOKUP(A864,[1]怪物!$R$92:$Z$111,6,0))*10000)</f>
        <v>70000</v>
      </c>
      <c r="L864">
        <f>IF(A864="","",IF(J864=1,VLOOKUP(A864,[1]怪物!$R$92:$Z$111,9,0),VLOOKUP(A864,[1]怪物!$R$92:$Z$111,7,0))*10000)</f>
        <v>50000</v>
      </c>
      <c r="M864">
        <f t="shared" si="54"/>
        <v>70000</v>
      </c>
      <c r="N864">
        <f t="shared" si="55"/>
        <v>50000</v>
      </c>
    </row>
    <row r="865" spans="1:14">
      <c r="A865">
        <f t="shared" si="53"/>
        <v>16</v>
      </c>
      <c r="B865">
        <v>16</v>
      </c>
      <c r="C865" s="11" t="s">
        <v>58</v>
      </c>
      <c r="D865" t="s">
        <v>33</v>
      </c>
      <c r="E865">
        <v>1</v>
      </c>
      <c r="F865">
        <v>1</v>
      </c>
      <c r="G865">
        <v>3303</v>
      </c>
      <c r="H865" t="str">
        <f>IF(VLOOKUP(G865,[2]Sheet1!$A:$O,15,0)=1,"401}]","101}]")</f>
        <v>101}]</v>
      </c>
      <c r="I865" t="str">
        <f t="shared" si="56"/>
        <v>[{1000,1,1,3303,101}]</v>
      </c>
      <c r="J865" t="str">
        <f>VLOOKUP(G865,[2]Sheet1!$A:$O,15,0)</f>
        <v/>
      </c>
      <c r="K865">
        <f>IF(A865="","",IF(J865=1,VLOOKUP(A865,[1]怪物!$R$92:$Z$111,8,0),VLOOKUP(A865,[1]怪物!$R$92:$Z$111,6,0))*10000)</f>
        <v>90000</v>
      </c>
      <c r="L865">
        <f>IF(A865="","",IF(J865=1,VLOOKUP(A865,[1]怪物!$R$92:$Z$111,9,0),VLOOKUP(A865,[1]怪物!$R$92:$Z$111,7,0))*10000)</f>
        <v>60000</v>
      </c>
      <c r="M865">
        <f t="shared" si="54"/>
        <v>90000</v>
      </c>
      <c r="N865">
        <f t="shared" si="55"/>
        <v>60000</v>
      </c>
    </row>
    <row r="866" spans="1:14">
      <c r="A866">
        <f t="shared" si="53"/>
        <v>17</v>
      </c>
      <c r="B866">
        <v>17</v>
      </c>
      <c r="C866" s="11" t="s">
        <v>58</v>
      </c>
      <c r="D866" t="s">
        <v>33</v>
      </c>
      <c r="E866">
        <v>1</v>
      </c>
      <c r="F866">
        <v>1</v>
      </c>
      <c r="G866">
        <v>3301</v>
      </c>
      <c r="H866" t="str">
        <f>IF(VLOOKUP(G866,[2]Sheet1!$A:$O,15,0)=1,"401}]","101}]")</f>
        <v>101}]</v>
      </c>
      <c r="I866" t="str">
        <f t="shared" si="56"/>
        <v>[{1000,1,1,3301,101}]</v>
      </c>
      <c r="J866" t="str">
        <f>VLOOKUP(G866,[2]Sheet1!$A:$O,15,0)</f>
        <v/>
      </c>
      <c r="K866">
        <f>IF(A866="","",IF(J866=1,VLOOKUP(A866,[1]怪物!$R$92:$Z$111,8,0),VLOOKUP(A866,[1]怪物!$R$92:$Z$111,6,0))*10000)</f>
        <v>90000</v>
      </c>
      <c r="L866">
        <f>IF(A866="","",IF(J866=1,VLOOKUP(A866,[1]怪物!$R$92:$Z$111,9,0),VLOOKUP(A866,[1]怪物!$R$92:$Z$111,7,0))*10000)</f>
        <v>60000</v>
      </c>
      <c r="M866">
        <f t="shared" si="54"/>
        <v>90000</v>
      </c>
      <c r="N866">
        <f t="shared" si="55"/>
        <v>60000</v>
      </c>
    </row>
    <row r="867" spans="1:14">
      <c r="A867">
        <f t="shared" si="53"/>
        <v>17</v>
      </c>
      <c r="B867">
        <v>17</v>
      </c>
      <c r="C867" s="11" t="s">
        <v>58</v>
      </c>
      <c r="D867" t="s">
        <v>33</v>
      </c>
      <c r="E867">
        <v>1</v>
      </c>
      <c r="F867">
        <v>1</v>
      </c>
      <c r="G867">
        <v>3302</v>
      </c>
      <c r="H867" t="str">
        <f>IF(VLOOKUP(G867,[2]Sheet1!$A:$O,15,0)=1,"401}]","101}]")</f>
        <v>401}]</v>
      </c>
      <c r="I867" t="str">
        <f t="shared" si="56"/>
        <v>[{1000,1,1,3302,401}]</v>
      </c>
      <c r="J867">
        <f>VLOOKUP(G867,[2]Sheet1!$A:$O,15,0)</f>
        <v>1</v>
      </c>
      <c r="K867">
        <f>IF(A867="","",IF(J867=1,VLOOKUP(A867,[1]怪物!$R$92:$Z$111,8,0),VLOOKUP(A867,[1]怪物!$R$92:$Z$111,6,0))*10000)</f>
        <v>70000</v>
      </c>
      <c r="L867">
        <f>IF(A867="","",IF(J867=1,VLOOKUP(A867,[1]怪物!$R$92:$Z$111,9,0),VLOOKUP(A867,[1]怪物!$R$92:$Z$111,7,0))*10000)</f>
        <v>50000</v>
      </c>
      <c r="M867">
        <f t="shared" si="54"/>
        <v>70000</v>
      </c>
      <c r="N867">
        <f t="shared" si="55"/>
        <v>50000</v>
      </c>
    </row>
    <row r="868" spans="1:14">
      <c r="A868">
        <f t="shared" si="53"/>
        <v>17</v>
      </c>
      <c r="B868">
        <v>17</v>
      </c>
      <c r="C868" s="11" t="s">
        <v>58</v>
      </c>
      <c r="D868" t="s">
        <v>33</v>
      </c>
      <c r="E868">
        <v>1</v>
      </c>
      <c r="F868">
        <v>1</v>
      </c>
      <c r="G868">
        <v>3303</v>
      </c>
      <c r="H868" t="str">
        <f>IF(VLOOKUP(G868,[2]Sheet1!$A:$O,15,0)=1,"401}]","101}]")</f>
        <v>101}]</v>
      </c>
      <c r="I868" t="str">
        <f t="shared" si="56"/>
        <v>[{1000,1,1,3303,101}]</v>
      </c>
      <c r="J868" t="str">
        <f>VLOOKUP(G868,[2]Sheet1!$A:$O,15,0)</f>
        <v/>
      </c>
      <c r="K868">
        <f>IF(A868="","",IF(J868=1,VLOOKUP(A868,[1]怪物!$R$92:$Z$111,8,0),VLOOKUP(A868,[1]怪物!$R$92:$Z$111,6,0))*10000)</f>
        <v>90000</v>
      </c>
      <c r="L868">
        <f>IF(A868="","",IF(J868=1,VLOOKUP(A868,[1]怪物!$R$92:$Z$111,9,0),VLOOKUP(A868,[1]怪物!$R$92:$Z$111,7,0))*10000)</f>
        <v>60000</v>
      </c>
      <c r="M868">
        <f t="shared" si="54"/>
        <v>90000</v>
      </c>
      <c r="N868">
        <f t="shared" si="55"/>
        <v>60000</v>
      </c>
    </row>
    <row r="869" spans="1:14">
      <c r="A869">
        <f t="shared" si="53"/>
        <v>18</v>
      </c>
      <c r="B869">
        <v>18</v>
      </c>
      <c r="C869" s="11" t="s">
        <v>58</v>
      </c>
      <c r="D869" t="s">
        <v>33</v>
      </c>
      <c r="E869">
        <v>1</v>
      </c>
      <c r="F869">
        <v>1</v>
      </c>
      <c r="G869">
        <v>3301</v>
      </c>
      <c r="H869" t="str">
        <f>IF(VLOOKUP(G869,[2]Sheet1!$A:$O,15,0)=1,"401}]","101}]")</f>
        <v>101}]</v>
      </c>
      <c r="I869" t="str">
        <f t="shared" si="56"/>
        <v>[{1000,1,1,3301,101}]</v>
      </c>
      <c r="J869" t="str">
        <f>VLOOKUP(G869,[2]Sheet1!$A:$O,15,0)</f>
        <v/>
      </c>
      <c r="K869">
        <f>IF(A869="","",IF(J869=1,VLOOKUP(A869,[1]怪物!$R$92:$Z$111,8,0),VLOOKUP(A869,[1]怪物!$R$92:$Z$111,6,0))*10000)</f>
        <v>90000</v>
      </c>
      <c r="L869">
        <f>IF(A869="","",IF(J869=1,VLOOKUP(A869,[1]怪物!$R$92:$Z$111,9,0),VLOOKUP(A869,[1]怪物!$R$92:$Z$111,7,0))*10000)</f>
        <v>60000</v>
      </c>
      <c r="M869">
        <f t="shared" si="54"/>
        <v>90000</v>
      </c>
      <c r="N869">
        <f t="shared" si="55"/>
        <v>60000</v>
      </c>
    </row>
    <row r="870" spans="1:14">
      <c r="A870">
        <f t="shared" si="53"/>
        <v>18</v>
      </c>
      <c r="B870">
        <v>18</v>
      </c>
      <c r="C870" s="11" t="s">
        <v>58</v>
      </c>
      <c r="D870" t="s">
        <v>33</v>
      </c>
      <c r="E870">
        <v>1</v>
      </c>
      <c r="F870">
        <v>1</v>
      </c>
      <c r="G870">
        <v>3302</v>
      </c>
      <c r="H870" t="str">
        <f>IF(VLOOKUP(G870,[2]Sheet1!$A:$O,15,0)=1,"401}]","101}]")</f>
        <v>401}]</v>
      </c>
      <c r="I870" t="str">
        <f t="shared" si="56"/>
        <v>[{1000,1,1,3302,401}]</v>
      </c>
      <c r="J870">
        <f>VLOOKUP(G870,[2]Sheet1!$A:$O,15,0)</f>
        <v>1</v>
      </c>
      <c r="K870">
        <f>IF(A870="","",IF(J870=1,VLOOKUP(A870,[1]怪物!$R$92:$Z$111,8,0),VLOOKUP(A870,[1]怪物!$R$92:$Z$111,6,0))*10000)</f>
        <v>70000</v>
      </c>
      <c r="L870">
        <f>IF(A870="","",IF(J870=1,VLOOKUP(A870,[1]怪物!$R$92:$Z$111,9,0),VLOOKUP(A870,[1]怪物!$R$92:$Z$111,7,0))*10000)</f>
        <v>50000</v>
      </c>
      <c r="M870">
        <f t="shared" si="54"/>
        <v>70000</v>
      </c>
      <c r="N870">
        <f t="shared" si="55"/>
        <v>50000</v>
      </c>
    </row>
    <row r="871" spans="1:14">
      <c r="A871">
        <f t="shared" si="53"/>
        <v>18</v>
      </c>
      <c r="B871">
        <v>18</v>
      </c>
      <c r="C871" s="11" t="s">
        <v>58</v>
      </c>
      <c r="D871" t="s">
        <v>33</v>
      </c>
      <c r="E871">
        <v>1</v>
      </c>
      <c r="F871">
        <v>1</v>
      </c>
      <c r="G871">
        <v>3303</v>
      </c>
      <c r="H871" t="str">
        <f>IF(VLOOKUP(G871,[2]Sheet1!$A:$O,15,0)=1,"401}]","101}]")</f>
        <v>101}]</v>
      </c>
      <c r="I871" t="str">
        <f t="shared" si="56"/>
        <v>[{1000,1,1,3303,101}]</v>
      </c>
      <c r="J871" t="str">
        <f>VLOOKUP(G871,[2]Sheet1!$A:$O,15,0)</f>
        <v/>
      </c>
      <c r="K871">
        <f>IF(A871="","",IF(J871=1,VLOOKUP(A871,[1]怪物!$R$92:$Z$111,8,0),VLOOKUP(A871,[1]怪物!$R$92:$Z$111,6,0))*10000)</f>
        <v>90000</v>
      </c>
      <c r="L871">
        <f>IF(A871="","",IF(J871=1,VLOOKUP(A871,[1]怪物!$R$92:$Z$111,9,0),VLOOKUP(A871,[1]怪物!$R$92:$Z$111,7,0))*10000)</f>
        <v>60000</v>
      </c>
      <c r="M871">
        <f t="shared" si="54"/>
        <v>90000</v>
      </c>
      <c r="N871">
        <f t="shared" si="55"/>
        <v>60000</v>
      </c>
    </row>
    <row r="872" spans="1:14">
      <c r="A872">
        <f t="shared" si="53"/>
        <v>19</v>
      </c>
      <c r="B872">
        <v>19</v>
      </c>
      <c r="C872" s="11" t="s">
        <v>58</v>
      </c>
      <c r="D872" t="s">
        <v>33</v>
      </c>
      <c r="E872">
        <v>1</v>
      </c>
      <c r="F872">
        <v>1</v>
      </c>
      <c r="G872">
        <v>3301</v>
      </c>
      <c r="H872" t="str">
        <f>IF(VLOOKUP(G872,[2]Sheet1!$A:$O,15,0)=1,"401}]","101}]")</f>
        <v>101}]</v>
      </c>
      <c r="I872" t="str">
        <f t="shared" si="56"/>
        <v>[{1000,1,1,3301,101}]</v>
      </c>
      <c r="J872" t="str">
        <f>VLOOKUP(G872,[2]Sheet1!$A:$O,15,0)</f>
        <v/>
      </c>
      <c r="K872">
        <f>IF(A872="","",IF(J872=1,VLOOKUP(A872,[1]怪物!$R$92:$Z$111,8,0),VLOOKUP(A872,[1]怪物!$R$92:$Z$111,6,0))*10000)</f>
        <v>90000</v>
      </c>
      <c r="L872">
        <f>IF(A872="","",IF(J872=1,VLOOKUP(A872,[1]怪物!$R$92:$Z$111,9,0),VLOOKUP(A872,[1]怪物!$R$92:$Z$111,7,0))*10000)</f>
        <v>60000</v>
      </c>
      <c r="M872">
        <f t="shared" si="54"/>
        <v>90000</v>
      </c>
      <c r="N872">
        <f t="shared" si="55"/>
        <v>60000</v>
      </c>
    </row>
    <row r="873" spans="1:14">
      <c r="A873">
        <f t="shared" si="53"/>
        <v>19</v>
      </c>
      <c r="B873">
        <v>19</v>
      </c>
      <c r="C873" s="11" t="s">
        <v>58</v>
      </c>
      <c r="D873" t="s">
        <v>33</v>
      </c>
      <c r="E873">
        <v>1</v>
      </c>
      <c r="F873">
        <v>1</v>
      </c>
      <c r="G873">
        <v>3302</v>
      </c>
      <c r="H873" t="str">
        <f>IF(VLOOKUP(G873,[2]Sheet1!$A:$O,15,0)=1,"401}]","101}]")</f>
        <v>401}]</v>
      </c>
      <c r="I873" t="str">
        <f t="shared" si="56"/>
        <v>[{1000,1,1,3302,401}]</v>
      </c>
      <c r="J873">
        <f>VLOOKUP(G873,[2]Sheet1!$A:$O,15,0)</f>
        <v>1</v>
      </c>
      <c r="K873">
        <f>IF(A873="","",IF(J873=1,VLOOKUP(A873,[1]怪物!$R$92:$Z$111,8,0),VLOOKUP(A873,[1]怪物!$R$92:$Z$111,6,0))*10000)</f>
        <v>70000</v>
      </c>
      <c r="L873">
        <f>IF(A873="","",IF(J873=1,VLOOKUP(A873,[1]怪物!$R$92:$Z$111,9,0),VLOOKUP(A873,[1]怪物!$R$92:$Z$111,7,0))*10000)</f>
        <v>50000</v>
      </c>
      <c r="M873">
        <f t="shared" si="54"/>
        <v>70000</v>
      </c>
      <c r="N873">
        <f t="shared" si="55"/>
        <v>50000</v>
      </c>
    </row>
    <row r="874" spans="1:14">
      <c r="A874">
        <f t="shared" si="53"/>
        <v>19</v>
      </c>
      <c r="B874">
        <v>19</v>
      </c>
      <c r="C874" s="11" t="s">
        <v>58</v>
      </c>
      <c r="D874" t="s">
        <v>33</v>
      </c>
      <c r="E874">
        <v>1</v>
      </c>
      <c r="F874">
        <v>1</v>
      </c>
      <c r="G874">
        <v>3303</v>
      </c>
      <c r="H874" t="str">
        <f>IF(VLOOKUP(G874,[2]Sheet1!$A:$O,15,0)=1,"401}]","101}]")</f>
        <v>101}]</v>
      </c>
      <c r="I874" t="str">
        <f t="shared" si="56"/>
        <v>[{1000,1,1,3303,101}]</v>
      </c>
      <c r="J874" t="str">
        <f>VLOOKUP(G874,[2]Sheet1!$A:$O,15,0)</f>
        <v/>
      </c>
      <c r="K874">
        <f>IF(A874="","",IF(J874=1,VLOOKUP(A874,[1]怪物!$R$92:$Z$111,8,0),VLOOKUP(A874,[1]怪物!$R$92:$Z$111,6,0))*10000)</f>
        <v>90000</v>
      </c>
      <c r="L874">
        <f>IF(A874="","",IF(J874=1,VLOOKUP(A874,[1]怪物!$R$92:$Z$111,9,0),VLOOKUP(A874,[1]怪物!$R$92:$Z$111,7,0))*10000)</f>
        <v>60000</v>
      </c>
      <c r="M874">
        <f t="shared" si="54"/>
        <v>90000</v>
      </c>
      <c r="N874">
        <f t="shared" si="55"/>
        <v>60000</v>
      </c>
    </row>
    <row r="875" spans="1:14">
      <c r="A875">
        <f t="shared" si="53"/>
        <v>20</v>
      </c>
      <c r="B875">
        <v>20</v>
      </c>
      <c r="C875" s="11" t="s">
        <v>58</v>
      </c>
      <c r="D875" t="s">
        <v>33</v>
      </c>
      <c r="E875">
        <v>1</v>
      </c>
      <c r="F875">
        <v>1</v>
      </c>
      <c r="G875">
        <v>3301</v>
      </c>
      <c r="H875" t="str">
        <f>IF(VLOOKUP(G875,[2]Sheet1!$A:$O,15,0)=1,"401}]","101}]")</f>
        <v>101}]</v>
      </c>
      <c r="I875" t="str">
        <f t="shared" si="56"/>
        <v>[{1000,1,1,3301,101}]</v>
      </c>
      <c r="J875" t="str">
        <f>VLOOKUP(G875,[2]Sheet1!$A:$O,15,0)</f>
        <v/>
      </c>
      <c r="K875">
        <f>IF(A875="","",IF(J875=1,VLOOKUP(A875,[1]怪物!$R$92:$Z$111,8,0),VLOOKUP(A875,[1]怪物!$R$92:$Z$111,6,0))*10000)</f>
        <v>90000</v>
      </c>
      <c r="L875">
        <f>IF(A875="","",IF(J875=1,VLOOKUP(A875,[1]怪物!$R$92:$Z$111,9,0),VLOOKUP(A875,[1]怪物!$R$92:$Z$111,7,0))*10000)</f>
        <v>60000</v>
      </c>
      <c r="M875">
        <f t="shared" si="54"/>
        <v>90000</v>
      </c>
      <c r="N875">
        <f t="shared" si="55"/>
        <v>60000</v>
      </c>
    </row>
    <row r="876" spans="1:14">
      <c r="A876">
        <f t="shared" si="53"/>
        <v>20</v>
      </c>
      <c r="B876">
        <v>20</v>
      </c>
      <c r="C876" s="11" t="s">
        <v>58</v>
      </c>
      <c r="D876" t="s">
        <v>33</v>
      </c>
      <c r="E876">
        <v>1</v>
      </c>
      <c r="F876">
        <v>1</v>
      </c>
      <c r="G876">
        <v>3302</v>
      </c>
      <c r="H876" t="str">
        <f>IF(VLOOKUP(G876,[2]Sheet1!$A:$O,15,0)=1,"401}]","101}]")</f>
        <v>401}]</v>
      </c>
      <c r="I876" t="str">
        <f t="shared" si="56"/>
        <v>[{1000,1,1,3302,401}]</v>
      </c>
      <c r="J876">
        <f>VLOOKUP(G876,[2]Sheet1!$A:$O,15,0)</f>
        <v>1</v>
      </c>
      <c r="K876">
        <f>IF(A876="","",IF(J876=1,VLOOKUP(A876,[1]怪物!$R$92:$Z$111,8,0),VLOOKUP(A876,[1]怪物!$R$92:$Z$111,6,0))*10000)</f>
        <v>70000</v>
      </c>
      <c r="L876">
        <f>IF(A876="","",IF(J876=1,VLOOKUP(A876,[1]怪物!$R$92:$Z$111,9,0),VLOOKUP(A876,[1]怪物!$R$92:$Z$111,7,0))*10000)</f>
        <v>50000</v>
      </c>
      <c r="M876">
        <f t="shared" si="54"/>
        <v>70000</v>
      </c>
      <c r="N876">
        <f t="shared" si="55"/>
        <v>50000</v>
      </c>
    </row>
    <row r="877" spans="1:14">
      <c r="A877">
        <f t="shared" si="53"/>
        <v>20</v>
      </c>
      <c r="B877">
        <v>20</v>
      </c>
      <c r="C877" s="11" t="s">
        <v>58</v>
      </c>
      <c r="D877" s="11" t="s">
        <v>33</v>
      </c>
      <c r="E877">
        <v>1</v>
      </c>
      <c r="F877">
        <v>1</v>
      </c>
      <c r="G877">
        <v>3303</v>
      </c>
      <c r="H877" t="str">
        <f>IF(VLOOKUP(G877,[2]Sheet1!$A:$O,15,0)=1,"401}]","101}]")</f>
        <v>101}]</v>
      </c>
      <c r="I877" t="str">
        <f t="shared" si="56"/>
        <v>[{1000,1,1,3303,101}]</v>
      </c>
      <c r="J877" t="str">
        <f>VLOOKUP(G877,[2]Sheet1!$A:$O,15,0)</f>
        <v/>
      </c>
      <c r="K877">
        <f>IF(A877="","",IF(J877=1,VLOOKUP(A877,[1]怪物!$R$92:$Z$111,8,0),VLOOKUP(A877,[1]怪物!$R$92:$Z$111,6,0))*10000)</f>
        <v>90000</v>
      </c>
      <c r="L877">
        <f>IF(A877="","",IF(J877=1,VLOOKUP(A877,[1]怪物!$R$92:$Z$111,9,0),VLOOKUP(A877,[1]怪物!$R$92:$Z$111,7,0))*10000)</f>
        <v>60000</v>
      </c>
      <c r="M877">
        <f t="shared" si="54"/>
        <v>90000</v>
      </c>
      <c r="N877">
        <f t="shared" si="55"/>
        <v>60000</v>
      </c>
    </row>
    <row r="878" spans="1:14">
      <c r="A878" t="str">
        <f t="shared" si="53"/>
        <v/>
      </c>
      <c r="B878">
        <v>20</v>
      </c>
      <c r="C878" s="11" t="s">
        <v>58</v>
      </c>
      <c r="D878" s="11" t="s">
        <v>28</v>
      </c>
      <c r="I878" t="str">
        <f t="shared" si="56"/>
        <v>[]</v>
      </c>
      <c r="K878" t="str">
        <f>IF(A878="","",IF(J878=1,VLOOKUP(A878,[1]怪物!$R$92:$Z$111,8,0),VLOOKUP(A878,[1]怪物!$R$92:$Z$111,6,0))*10000)</f>
        <v/>
      </c>
      <c r="L878" t="str">
        <f>IF(A878="","",IF(J878=1,VLOOKUP(A878,[1]怪物!$R$92:$Z$111,9,0),VLOOKUP(A878,[1]怪物!$R$92:$Z$111,7,0))*10000)</f>
        <v/>
      </c>
      <c r="M878" t="str">
        <f t="shared" si="54"/>
        <v/>
      </c>
      <c r="N878" t="str">
        <f t="shared" si="55"/>
        <v/>
      </c>
    </row>
    <row r="879" spans="1:14">
      <c r="A879">
        <f t="shared" si="53"/>
        <v>20</v>
      </c>
      <c r="B879">
        <v>20</v>
      </c>
      <c r="C879" s="11" t="s">
        <v>58</v>
      </c>
      <c r="D879" s="11" t="s">
        <v>33</v>
      </c>
      <c r="E879">
        <v>1</v>
      </c>
      <c r="F879">
        <v>0</v>
      </c>
      <c r="G879">
        <v>3331</v>
      </c>
      <c r="H879" s="11" t="s">
        <v>36</v>
      </c>
      <c r="I879" t="str">
        <f t="shared" si="56"/>
        <v>[{1000,1,0,3331,41}]</v>
      </c>
      <c r="J879" t="str">
        <f>VLOOKUP(G879,[2]Sheet1!$A:$O,15,0)</f>
        <v/>
      </c>
      <c r="K879">
        <f>IF(A879="","",IF(J879=1,VLOOKUP(A879,[1]怪物!$R$92:$Z$111,8,0),VLOOKUP(A879,[1]怪物!$R$92:$Z$111,6,0))*10000)</f>
        <v>90000</v>
      </c>
      <c r="L879">
        <f>IF(A879="","",IF(J879=1,VLOOKUP(A879,[1]怪物!$R$92:$Z$111,9,0),VLOOKUP(A879,[1]怪物!$R$92:$Z$111,7,0))*10000)</f>
        <v>60000</v>
      </c>
      <c r="M879">
        <f t="shared" si="54"/>
        <v>10000</v>
      </c>
      <c r="N879">
        <f t="shared" si="55"/>
        <v>10000</v>
      </c>
    </row>
    <row r="880" spans="1:14">
      <c r="A880">
        <f t="shared" ref="A880:A943" si="57">IF(E880="","",B880)</f>
        <v>1</v>
      </c>
      <c r="B880">
        <v>1</v>
      </c>
      <c r="C880" s="11" t="s">
        <v>59</v>
      </c>
      <c r="D880" t="s">
        <v>33</v>
      </c>
      <c r="E880">
        <v>1</v>
      </c>
      <c r="F880">
        <v>1</v>
      </c>
      <c r="G880">
        <f>IF(G835="","",G835+100)</f>
        <v>3401</v>
      </c>
      <c r="H880" t="str">
        <f>IF(VLOOKUP(G880,[2]Sheet1!$A:$O,15,0)=1,"401}]","101}]")</f>
        <v>101}]</v>
      </c>
      <c r="I880" t="str">
        <f t="shared" si="56"/>
        <v>[{1000,1,1,3401,101}]</v>
      </c>
      <c r="J880" t="str">
        <f>VLOOKUP(G880,[2]Sheet1!$A:$O,15,0)</f>
        <v/>
      </c>
      <c r="K880">
        <f>IF(A880="","",IF(J880=1,VLOOKUP(A880,[1]怪物!$R$92:$Z$111,8,0),VLOOKUP(A880,[1]怪物!$R$92:$Z$111,6,0))*10000)</f>
        <v>10000</v>
      </c>
      <c r="L880">
        <f>IF(A880="","",IF(J880=1,VLOOKUP(A880,[1]怪物!$R$92:$Z$111,9,0),VLOOKUP(A880,[1]怪物!$R$92:$Z$111,7,0))*10000)</f>
        <v>10000</v>
      </c>
      <c r="M880">
        <f t="shared" ref="M880:M943" si="58">IF(F880="","",IF(F880=0,10000,K880))</f>
        <v>10000</v>
      </c>
      <c r="N880">
        <f t="shared" ref="N880:N943" si="59">IF(F880="","",IF(F880=0,10000,L880))</f>
        <v>10000</v>
      </c>
    </row>
    <row r="881" spans="1:14">
      <c r="A881">
        <f t="shared" si="57"/>
        <v>2</v>
      </c>
      <c r="B881">
        <v>2</v>
      </c>
      <c r="C881" s="11" t="s">
        <v>59</v>
      </c>
      <c r="D881" t="s">
        <v>33</v>
      </c>
      <c r="E881">
        <v>1</v>
      </c>
      <c r="F881">
        <v>1</v>
      </c>
      <c r="G881">
        <f t="shared" ref="G881:G944" si="60">IF(G836="","",G836+100)</f>
        <v>3401</v>
      </c>
      <c r="H881" t="str">
        <f>IF(VLOOKUP(G881,[2]Sheet1!$A:$O,15,0)=1,"401}]","101}]")</f>
        <v>101}]</v>
      </c>
      <c r="I881" t="str">
        <f t="shared" si="56"/>
        <v>[{1000,1,1,3401,101}]</v>
      </c>
      <c r="J881" t="str">
        <f>VLOOKUP(G881,[2]Sheet1!$A:$O,15,0)</f>
        <v/>
      </c>
      <c r="K881">
        <f>IF(A881="","",IF(J881=1,VLOOKUP(A881,[1]怪物!$R$92:$Z$111,8,0),VLOOKUP(A881,[1]怪物!$R$92:$Z$111,6,0))*10000)</f>
        <v>10000</v>
      </c>
      <c r="L881">
        <f>IF(A881="","",IF(J881=1,VLOOKUP(A881,[1]怪物!$R$92:$Z$111,9,0),VLOOKUP(A881,[1]怪物!$R$92:$Z$111,7,0))*10000)</f>
        <v>10000</v>
      </c>
      <c r="M881">
        <f t="shared" si="58"/>
        <v>10000</v>
      </c>
      <c r="N881">
        <f t="shared" si="59"/>
        <v>10000</v>
      </c>
    </row>
    <row r="882" spans="1:14">
      <c r="A882">
        <f t="shared" si="57"/>
        <v>3</v>
      </c>
      <c r="B882">
        <v>3</v>
      </c>
      <c r="C882" s="11" t="s">
        <v>59</v>
      </c>
      <c r="D882" t="s">
        <v>33</v>
      </c>
      <c r="E882">
        <v>1</v>
      </c>
      <c r="F882">
        <v>1</v>
      </c>
      <c r="G882">
        <f t="shared" si="60"/>
        <v>3401</v>
      </c>
      <c r="H882" t="str">
        <f>IF(VLOOKUP(G882,[2]Sheet1!$A:$O,15,0)=1,"401}]","101}]")</f>
        <v>101}]</v>
      </c>
      <c r="I882" t="str">
        <f t="shared" si="56"/>
        <v>[{1000,1,1,3401,101}]</v>
      </c>
      <c r="J882" t="str">
        <f>VLOOKUP(G882,[2]Sheet1!$A:$O,15,0)</f>
        <v/>
      </c>
      <c r="K882">
        <f>IF(A882="","",IF(J882=1,VLOOKUP(A882,[1]怪物!$R$92:$Z$111,8,0),VLOOKUP(A882,[1]怪物!$R$92:$Z$111,6,0))*10000)</f>
        <v>10000</v>
      </c>
      <c r="L882">
        <f>IF(A882="","",IF(J882=1,VLOOKUP(A882,[1]怪物!$R$92:$Z$111,9,0),VLOOKUP(A882,[1]怪物!$R$92:$Z$111,7,0))*10000)</f>
        <v>10000</v>
      </c>
      <c r="M882">
        <f t="shared" si="58"/>
        <v>10000</v>
      </c>
      <c r="N882">
        <f t="shared" si="59"/>
        <v>10000</v>
      </c>
    </row>
    <row r="883" spans="1:14">
      <c r="A883">
        <f t="shared" si="57"/>
        <v>4</v>
      </c>
      <c r="B883">
        <v>4</v>
      </c>
      <c r="C883" s="11" t="s">
        <v>59</v>
      </c>
      <c r="D883" t="s">
        <v>33</v>
      </c>
      <c r="E883">
        <v>1</v>
      </c>
      <c r="F883">
        <v>1</v>
      </c>
      <c r="G883">
        <f t="shared" si="60"/>
        <v>3401</v>
      </c>
      <c r="H883" t="str">
        <f>IF(VLOOKUP(G883,[2]Sheet1!$A:$O,15,0)=1,"401}]","101}]")</f>
        <v>101}]</v>
      </c>
      <c r="I883" t="str">
        <f t="shared" si="56"/>
        <v>[{1000,1,1,3401,101}]</v>
      </c>
      <c r="J883" t="str">
        <f>VLOOKUP(G883,[2]Sheet1!$A:$O,15,0)</f>
        <v/>
      </c>
      <c r="K883">
        <f>IF(A883="","",IF(J883=1,VLOOKUP(A883,[1]怪物!$R$92:$Z$111,8,0),VLOOKUP(A883,[1]怪物!$R$92:$Z$111,6,0))*10000)</f>
        <v>10000</v>
      </c>
      <c r="L883">
        <f>IF(A883="","",IF(J883=1,VLOOKUP(A883,[1]怪物!$R$92:$Z$111,9,0),VLOOKUP(A883,[1]怪物!$R$92:$Z$111,7,0))*10000)</f>
        <v>10000</v>
      </c>
      <c r="M883">
        <f t="shared" si="58"/>
        <v>10000</v>
      </c>
      <c r="N883">
        <f t="shared" si="59"/>
        <v>10000</v>
      </c>
    </row>
    <row r="884" spans="1:14">
      <c r="A884">
        <f t="shared" si="57"/>
        <v>5</v>
      </c>
      <c r="B884">
        <v>5</v>
      </c>
      <c r="C884" s="11" t="s">
        <v>59</v>
      </c>
      <c r="D884" t="s">
        <v>33</v>
      </c>
      <c r="E884">
        <v>1</v>
      </c>
      <c r="F884">
        <v>1</v>
      </c>
      <c r="G884">
        <f t="shared" si="60"/>
        <v>3401</v>
      </c>
      <c r="H884" t="str">
        <f>IF(VLOOKUP(G884,[2]Sheet1!$A:$O,15,0)=1,"401}]","101}]")</f>
        <v>101}]</v>
      </c>
      <c r="I884" t="str">
        <f t="shared" si="56"/>
        <v>[{1000,1,1,3401,101}]</v>
      </c>
      <c r="J884" t="str">
        <f>VLOOKUP(G884,[2]Sheet1!$A:$O,15,0)</f>
        <v/>
      </c>
      <c r="K884">
        <f>IF(A884="","",IF(J884=1,VLOOKUP(A884,[1]怪物!$R$92:$Z$111,8,0),VLOOKUP(A884,[1]怪物!$R$92:$Z$111,6,0))*10000)</f>
        <v>10000</v>
      </c>
      <c r="L884">
        <f>IF(A884="","",IF(J884=1,VLOOKUP(A884,[1]怪物!$R$92:$Z$111,9,0),VLOOKUP(A884,[1]怪物!$R$92:$Z$111,7,0))*10000)</f>
        <v>10000</v>
      </c>
      <c r="M884">
        <f t="shared" si="58"/>
        <v>10000</v>
      </c>
      <c r="N884">
        <f t="shared" si="59"/>
        <v>10000</v>
      </c>
    </row>
    <row r="885" spans="1:14">
      <c r="A885">
        <f t="shared" si="57"/>
        <v>6</v>
      </c>
      <c r="B885">
        <v>6</v>
      </c>
      <c r="C885" s="11" t="s">
        <v>59</v>
      </c>
      <c r="D885" t="s">
        <v>33</v>
      </c>
      <c r="E885">
        <v>1</v>
      </c>
      <c r="F885">
        <v>1</v>
      </c>
      <c r="G885">
        <f t="shared" si="60"/>
        <v>3401</v>
      </c>
      <c r="H885" t="str">
        <f>IF(VLOOKUP(G885,[2]Sheet1!$A:$O,15,0)=1,"401}]","101}]")</f>
        <v>101}]</v>
      </c>
      <c r="I885" t="str">
        <f t="shared" si="56"/>
        <v>[{1000,1,1,3401,101}]</v>
      </c>
      <c r="J885" t="str">
        <f>VLOOKUP(G885,[2]Sheet1!$A:$O,15,0)</f>
        <v/>
      </c>
      <c r="K885">
        <f>IF(A885="","",IF(J885=1,VLOOKUP(A885,[1]怪物!$R$92:$Z$111,8,0),VLOOKUP(A885,[1]怪物!$R$92:$Z$111,6,0))*10000)</f>
        <v>20000</v>
      </c>
      <c r="L885">
        <f>IF(A885="","",IF(J885=1,VLOOKUP(A885,[1]怪物!$R$92:$Z$111,9,0),VLOOKUP(A885,[1]怪物!$R$92:$Z$111,7,0))*10000)</f>
        <v>20000</v>
      </c>
      <c r="M885">
        <f t="shared" si="58"/>
        <v>20000</v>
      </c>
      <c r="N885">
        <f t="shared" si="59"/>
        <v>20000</v>
      </c>
    </row>
    <row r="886" spans="1:14">
      <c r="A886">
        <f t="shared" si="57"/>
        <v>7</v>
      </c>
      <c r="B886">
        <v>7</v>
      </c>
      <c r="C886" s="11" t="s">
        <v>59</v>
      </c>
      <c r="D886" t="s">
        <v>33</v>
      </c>
      <c r="E886">
        <v>1</v>
      </c>
      <c r="F886">
        <v>1</v>
      </c>
      <c r="G886">
        <f t="shared" si="60"/>
        <v>3401</v>
      </c>
      <c r="H886" t="str">
        <f>IF(VLOOKUP(G886,[2]Sheet1!$A:$O,15,0)=1,"401}]","101}]")</f>
        <v>101}]</v>
      </c>
      <c r="I886" t="str">
        <f t="shared" si="56"/>
        <v>[{1000,1,1,3401,101}]</v>
      </c>
      <c r="J886" t="str">
        <f>VLOOKUP(G886,[2]Sheet1!$A:$O,15,0)</f>
        <v/>
      </c>
      <c r="K886">
        <f>IF(A886="","",IF(J886=1,VLOOKUP(A886,[1]怪物!$R$92:$Z$111,8,0),VLOOKUP(A886,[1]怪物!$R$92:$Z$111,6,0))*10000)</f>
        <v>20000</v>
      </c>
      <c r="L886">
        <f>IF(A886="","",IF(J886=1,VLOOKUP(A886,[1]怪物!$R$92:$Z$111,9,0),VLOOKUP(A886,[1]怪物!$R$92:$Z$111,7,0))*10000)</f>
        <v>20000</v>
      </c>
      <c r="M886">
        <f t="shared" si="58"/>
        <v>20000</v>
      </c>
      <c r="N886">
        <f t="shared" si="59"/>
        <v>20000</v>
      </c>
    </row>
    <row r="887" spans="1:14">
      <c r="A887">
        <f t="shared" si="57"/>
        <v>7</v>
      </c>
      <c r="B887">
        <v>7</v>
      </c>
      <c r="C887" s="11" t="s">
        <v>59</v>
      </c>
      <c r="D887" t="s">
        <v>33</v>
      </c>
      <c r="E887">
        <v>1</v>
      </c>
      <c r="F887">
        <v>1</v>
      </c>
      <c r="G887">
        <f t="shared" si="60"/>
        <v>3402</v>
      </c>
      <c r="H887" t="str">
        <f>IF(VLOOKUP(G887,[2]Sheet1!$A:$O,15,0)=1,"401}]","101}]")</f>
        <v>101}]</v>
      </c>
      <c r="I887" t="str">
        <f t="shared" si="56"/>
        <v>[{1000,1,1,3402,101}]</v>
      </c>
      <c r="J887" t="str">
        <f>VLOOKUP(G887,[2]Sheet1!$A:$O,15,0)</f>
        <v/>
      </c>
      <c r="K887">
        <f>IF(A887="","",IF(J887=1,VLOOKUP(A887,[1]怪物!$R$92:$Z$111,8,0),VLOOKUP(A887,[1]怪物!$R$92:$Z$111,6,0))*10000)</f>
        <v>20000</v>
      </c>
      <c r="L887">
        <f>IF(A887="","",IF(J887=1,VLOOKUP(A887,[1]怪物!$R$92:$Z$111,9,0),VLOOKUP(A887,[1]怪物!$R$92:$Z$111,7,0))*10000)</f>
        <v>20000</v>
      </c>
      <c r="M887">
        <f t="shared" si="58"/>
        <v>20000</v>
      </c>
      <c r="N887">
        <f t="shared" si="59"/>
        <v>20000</v>
      </c>
    </row>
    <row r="888" spans="1:14">
      <c r="A888">
        <f t="shared" si="57"/>
        <v>8</v>
      </c>
      <c r="B888">
        <v>8</v>
      </c>
      <c r="C888" s="11" t="s">
        <v>59</v>
      </c>
      <c r="D888" t="s">
        <v>33</v>
      </c>
      <c r="E888">
        <v>1</v>
      </c>
      <c r="F888">
        <v>1</v>
      </c>
      <c r="G888">
        <f t="shared" si="60"/>
        <v>3401</v>
      </c>
      <c r="H888" t="str">
        <f>IF(VLOOKUP(G888,[2]Sheet1!$A:$O,15,0)=1,"401}]","101}]")</f>
        <v>101}]</v>
      </c>
      <c r="I888" t="str">
        <f t="shared" si="56"/>
        <v>[{1000,1,1,3401,101}]</v>
      </c>
      <c r="J888" t="str">
        <f>VLOOKUP(G888,[2]Sheet1!$A:$O,15,0)</f>
        <v/>
      </c>
      <c r="K888">
        <f>IF(A888="","",IF(J888=1,VLOOKUP(A888,[1]怪物!$R$92:$Z$111,8,0),VLOOKUP(A888,[1]怪物!$R$92:$Z$111,6,0))*10000)</f>
        <v>20000</v>
      </c>
      <c r="L888">
        <f>IF(A888="","",IF(J888=1,VLOOKUP(A888,[1]怪物!$R$92:$Z$111,9,0),VLOOKUP(A888,[1]怪物!$R$92:$Z$111,7,0))*10000)</f>
        <v>20000</v>
      </c>
      <c r="M888">
        <f t="shared" si="58"/>
        <v>20000</v>
      </c>
      <c r="N888">
        <f t="shared" si="59"/>
        <v>20000</v>
      </c>
    </row>
    <row r="889" spans="1:14">
      <c r="A889">
        <f t="shared" si="57"/>
        <v>8</v>
      </c>
      <c r="B889">
        <v>8</v>
      </c>
      <c r="C889" s="11" t="s">
        <v>59</v>
      </c>
      <c r="D889" t="s">
        <v>33</v>
      </c>
      <c r="E889">
        <v>1</v>
      </c>
      <c r="F889">
        <v>1</v>
      </c>
      <c r="G889">
        <f t="shared" si="60"/>
        <v>3402</v>
      </c>
      <c r="H889" t="str">
        <f>IF(VLOOKUP(G889,[2]Sheet1!$A:$O,15,0)=1,"401}]","101}]")</f>
        <v>101}]</v>
      </c>
      <c r="I889" t="str">
        <f t="shared" si="56"/>
        <v>[{1000,1,1,3402,101}]</v>
      </c>
      <c r="J889" t="str">
        <f>VLOOKUP(G889,[2]Sheet1!$A:$O,15,0)</f>
        <v/>
      </c>
      <c r="K889">
        <f>IF(A889="","",IF(J889=1,VLOOKUP(A889,[1]怪物!$R$92:$Z$111,8,0),VLOOKUP(A889,[1]怪物!$R$92:$Z$111,6,0))*10000)</f>
        <v>20000</v>
      </c>
      <c r="L889">
        <f>IF(A889="","",IF(J889=1,VLOOKUP(A889,[1]怪物!$R$92:$Z$111,9,0),VLOOKUP(A889,[1]怪物!$R$92:$Z$111,7,0))*10000)</f>
        <v>20000</v>
      </c>
      <c r="M889">
        <f t="shared" si="58"/>
        <v>20000</v>
      </c>
      <c r="N889">
        <f t="shared" si="59"/>
        <v>20000</v>
      </c>
    </row>
    <row r="890" spans="1:14">
      <c r="A890">
        <f t="shared" si="57"/>
        <v>9</v>
      </c>
      <c r="B890">
        <v>9</v>
      </c>
      <c r="C890" s="11" t="s">
        <v>59</v>
      </c>
      <c r="D890" t="s">
        <v>33</v>
      </c>
      <c r="E890">
        <v>1</v>
      </c>
      <c r="F890">
        <v>1</v>
      </c>
      <c r="G890">
        <f t="shared" si="60"/>
        <v>3401</v>
      </c>
      <c r="H890" t="str">
        <f>IF(VLOOKUP(G890,[2]Sheet1!$A:$O,15,0)=1,"401}]","101}]")</f>
        <v>101}]</v>
      </c>
      <c r="I890" t="str">
        <f t="shared" si="56"/>
        <v>[{1000,1,1,3401,101}]</v>
      </c>
      <c r="J890" t="str">
        <f>VLOOKUP(G890,[2]Sheet1!$A:$O,15,0)</f>
        <v/>
      </c>
      <c r="K890">
        <f>IF(A890="","",IF(J890=1,VLOOKUP(A890,[1]怪物!$R$92:$Z$111,8,0),VLOOKUP(A890,[1]怪物!$R$92:$Z$111,6,0))*10000)</f>
        <v>20000</v>
      </c>
      <c r="L890">
        <f>IF(A890="","",IF(J890=1,VLOOKUP(A890,[1]怪物!$R$92:$Z$111,9,0),VLOOKUP(A890,[1]怪物!$R$92:$Z$111,7,0))*10000)</f>
        <v>20000</v>
      </c>
      <c r="M890">
        <f t="shared" si="58"/>
        <v>20000</v>
      </c>
      <c r="N890">
        <f t="shared" si="59"/>
        <v>20000</v>
      </c>
    </row>
    <row r="891" spans="1:14">
      <c r="A891">
        <f t="shared" si="57"/>
        <v>9</v>
      </c>
      <c r="B891">
        <v>9</v>
      </c>
      <c r="C891" s="11" t="s">
        <v>59</v>
      </c>
      <c r="D891" t="s">
        <v>33</v>
      </c>
      <c r="E891">
        <v>1</v>
      </c>
      <c r="F891">
        <v>1</v>
      </c>
      <c r="G891">
        <f t="shared" si="60"/>
        <v>3402</v>
      </c>
      <c r="H891" t="str">
        <f>IF(VLOOKUP(G891,[2]Sheet1!$A:$O,15,0)=1,"401}]","101}]")</f>
        <v>101}]</v>
      </c>
      <c r="I891" t="str">
        <f t="shared" si="56"/>
        <v>[{1000,1,1,3402,101}]</v>
      </c>
      <c r="J891" t="str">
        <f>VLOOKUP(G891,[2]Sheet1!$A:$O,15,0)</f>
        <v/>
      </c>
      <c r="K891">
        <f>IF(A891="","",IF(J891=1,VLOOKUP(A891,[1]怪物!$R$92:$Z$111,8,0),VLOOKUP(A891,[1]怪物!$R$92:$Z$111,6,0))*10000)</f>
        <v>20000</v>
      </c>
      <c r="L891">
        <f>IF(A891="","",IF(J891=1,VLOOKUP(A891,[1]怪物!$R$92:$Z$111,9,0),VLOOKUP(A891,[1]怪物!$R$92:$Z$111,7,0))*10000)</f>
        <v>20000</v>
      </c>
      <c r="M891">
        <f t="shared" si="58"/>
        <v>20000</v>
      </c>
      <c r="N891">
        <f t="shared" si="59"/>
        <v>20000</v>
      </c>
    </row>
    <row r="892" spans="1:14">
      <c r="A892">
        <f t="shared" si="57"/>
        <v>10</v>
      </c>
      <c r="B892">
        <v>10</v>
      </c>
      <c r="C892" s="11" t="s">
        <v>59</v>
      </c>
      <c r="D892" t="s">
        <v>33</v>
      </c>
      <c r="E892">
        <v>1</v>
      </c>
      <c r="F892">
        <v>1</v>
      </c>
      <c r="G892">
        <f t="shared" si="60"/>
        <v>3401</v>
      </c>
      <c r="H892" t="str">
        <f>IF(VLOOKUP(G892,[2]Sheet1!$A:$O,15,0)=1,"401}]","101}]")</f>
        <v>101}]</v>
      </c>
      <c r="I892" t="str">
        <f t="shared" si="56"/>
        <v>[{1000,1,1,3401,101}]</v>
      </c>
      <c r="J892" t="str">
        <f>VLOOKUP(G892,[2]Sheet1!$A:$O,15,0)</f>
        <v/>
      </c>
      <c r="K892">
        <f>IF(A892="","",IF(J892=1,VLOOKUP(A892,[1]怪物!$R$92:$Z$111,8,0),VLOOKUP(A892,[1]怪物!$R$92:$Z$111,6,0))*10000)</f>
        <v>20000</v>
      </c>
      <c r="L892">
        <f>IF(A892="","",IF(J892=1,VLOOKUP(A892,[1]怪物!$R$92:$Z$111,9,0),VLOOKUP(A892,[1]怪物!$R$92:$Z$111,7,0))*10000)</f>
        <v>20000</v>
      </c>
      <c r="M892">
        <f t="shared" si="58"/>
        <v>20000</v>
      </c>
      <c r="N892">
        <f t="shared" si="59"/>
        <v>20000</v>
      </c>
    </row>
    <row r="893" spans="1:14">
      <c r="A893">
        <f t="shared" si="57"/>
        <v>10</v>
      </c>
      <c r="B893">
        <v>10</v>
      </c>
      <c r="C893" s="11" t="s">
        <v>59</v>
      </c>
      <c r="D893" t="s">
        <v>33</v>
      </c>
      <c r="E893">
        <v>1</v>
      </c>
      <c r="F893">
        <v>1</v>
      </c>
      <c r="G893">
        <f t="shared" si="60"/>
        <v>3402</v>
      </c>
      <c r="H893" t="str">
        <f>IF(VLOOKUP(G893,[2]Sheet1!$A:$O,15,0)=1,"401}]","101}]")</f>
        <v>101}]</v>
      </c>
      <c r="I893" t="str">
        <f t="shared" si="56"/>
        <v>[{1000,1,1,3402,101}]</v>
      </c>
      <c r="J893" t="str">
        <f>VLOOKUP(G893,[2]Sheet1!$A:$O,15,0)</f>
        <v/>
      </c>
      <c r="K893">
        <f>IF(A893="","",IF(J893=1,VLOOKUP(A893,[1]怪物!$R$92:$Z$111,8,0),VLOOKUP(A893,[1]怪物!$R$92:$Z$111,6,0))*10000)</f>
        <v>20000</v>
      </c>
      <c r="L893">
        <f>IF(A893="","",IF(J893=1,VLOOKUP(A893,[1]怪物!$R$92:$Z$111,9,0),VLOOKUP(A893,[1]怪物!$R$92:$Z$111,7,0))*10000)</f>
        <v>20000</v>
      </c>
      <c r="M893">
        <f t="shared" si="58"/>
        <v>20000</v>
      </c>
      <c r="N893">
        <f t="shared" si="59"/>
        <v>20000</v>
      </c>
    </row>
    <row r="894" spans="1:14">
      <c r="A894" t="str">
        <f t="shared" si="57"/>
        <v/>
      </c>
      <c r="B894">
        <v>10</v>
      </c>
      <c r="C894" s="11" t="s">
        <v>59</v>
      </c>
      <c r="D894" s="11" t="s">
        <v>28</v>
      </c>
      <c r="G894" t="str">
        <f t="shared" si="60"/>
        <v/>
      </c>
      <c r="I894" t="str">
        <f t="shared" si="56"/>
        <v>[]</v>
      </c>
      <c r="K894" t="str">
        <f>IF(A894="","",IF(J894=1,VLOOKUP(A894,[1]怪物!$R$92:$Z$111,8,0),VLOOKUP(A894,[1]怪物!$R$92:$Z$111,6,0))*10000)</f>
        <v/>
      </c>
      <c r="L894" t="str">
        <f>IF(A894="","",IF(J894=1,VLOOKUP(A894,[1]怪物!$R$92:$Z$111,9,0),VLOOKUP(A894,[1]怪物!$R$92:$Z$111,7,0))*10000)</f>
        <v/>
      </c>
      <c r="M894" t="str">
        <f t="shared" si="58"/>
        <v/>
      </c>
      <c r="N894" t="str">
        <f t="shared" si="59"/>
        <v/>
      </c>
    </row>
    <row r="895" spans="1:14">
      <c r="A895">
        <f t="shared" si="57"/>
        <v>10</v>
      </c>
      <c r="B895">
        <v>10</v>
      </c>
      <c r="C895" s="11" t="s">
        <v>59</v>
      </c>
      <c r="D895" t="s">
        <v>33</v>
      </c>
      <c r="E895">
        <v>1</v>
      </c>
      <c r="F895">
        <v>0</v>
      </c>
      <c r="G895">
        <f t="shared" si="60"/>
        <v>3421</v>
      </c>
      <c r="H895" t="str">
        <f>IF(VLOOKUP(G895,[2]Sheet1!$A:$O,15,0)=1,"401}]","101}]")</f>
        <v>401}]</v>
      </c>
      <c r="I895" t="str">
        <f t="shared" si="56"/>
        <v>[{1000,1,0,3421,401}]</v>
      </c>
      <c r="J895">
        <f>VLOOKUP(G895,[2]Sheet1!$A:$O,15,0)</f>
        <v>1</v>
      </c>
      <c r="K895">
        <f>IF(A895="","",IF(J895=1,VLOOKUP(A895,[1]怪物!$R$92:$Z$111,8,0),VLOOKUP(A895,[1]怪物!$R$92:$Z$111,6,0))*10000)</f>
        <v>15000</v>
      </c>
      <c r="L895">
        <f>IF(A895="","",IF(J895=1,VLOOKUP(A895,[1]怪物!$R$92:$Z$111,9,0),VLOOKUP(A895,[1]怪物!$R$92:$Z$111,7,0))*10000)</f>
        <v>15000</v>
      </c>
      <c r="M895">
        <f t="shared" si="58"/>
        <v>10000</v>
      </c>
      <c r="N895">
        <f t="shared" si="59"/>
        <v>10000</v>
      </c>
    </row>
    <row r="896" spans="1:14">
      <c r="A896">
        <f t="shared" si="57"/>
        <v>11</v>
      </c>
      <c r="B896">
        <v>11</v>
      </c>
      <c r="C896" s="11" t="s">
        <v>59</v>
      </c>
      <c r="D896" t="s">
        <v>33</v>
      </c>
      <c r="E896">
        <v>1</v>
      </c>
      <c r="F896">
        <v>1</v>
      </c>
      <c r="G896">
        <f t="shared" si="60"/>
        <v>3401</v>
      </c>
      <c r="H896" t="str">
        <f>IF(VLOOKUP(G896,[2]Sheet1!$A:$O,15,0)=1,"401}]","101}]")</f>
        <v>101}]</v>
      </c>
      <c r="I896" t="str">
        <f t="shared" si="56"/>
        <v>[{1000,1,1,3401,101}]</v>
      </c>
      <c r="J896" t="str">
        <f>VLOOKUP(G896,[2]Sheet1!$A:$O,15,0)</f>
        <v/>
      </c>
      <c r="K896">
        <f>IF(A896="","",IF(J896=1,VLOOKUP(A896,[1]怪物!$R$92:$Z$111,8,0),VLOOKUP(A896,[1]怪物!$R$92:$Z$111,6,0))*10000)</f>
        <v>40000</v>
      </c>
      <c r="L896">
        <f>IF(A896="","",IF(J896=1,VLOOKUP(A896,[1]怪物!$R$92:$Z$111,9,0),VLOOKUP(A896,[1]怪物!$R$92:$Z$111,7,0))*10000)</f>
        <v>30000</v>
      </c>
      <c r="M896">
        <f t="shared" si="58"/>
        <v>40000</v>
      </c>
      <c r="N896">
        <f t="shared" si="59"/>
        <v>30000</v>
      </c>
    </row>
    <row r="897" spans="1:14">
      <c r="A897">
        <f t="shared" si="57"/>
        <v>11</v>
      </c>
      <c r="B897">
        <v>11</v>
      </c>
      <c r="C897" s="11" t="s">
        <v>59</v>
      </c>
      <c r="D897" t="s">
        <v>33</v>
      </c>
      <c r="E897">
        <v>1</v>
      </c>
      <c r="F897">
        <v>1</v>
      </c>
      <c r="G897">
        <f t="shared" si="60"/>
        <v>3402</v>
      </c>
      <c r="H897" t="str">
        <f>IF(VLOOKUP(G897,[2]Sheet1!$A:$O,15,0)=1,"401}]","101}]")</f>
        <v>101}]</v>
      </c>
      <c r="I897" t="str">
        <f t="shared" si="56"/>
        <v>[{1000,1,1,3402,101}]</v>
      </c>
      <c r="J897" t="str">
        <f>VLOOKUP(G897,[2]Sheet1!$A:$O,15,0)</f>
        <v/>
      </c>
      <c r="K897">
        <f>IF(A897="","",IF(J897=1,VLOOKUP(A897,[1]怪物!$R$92:$Z$111,8,0),VLOOKUP(A897,[1]怪物!$R$92:$Z$111,6,0))*10000)</f>
        <v>40000</v>
      </c>
      <c r="L897">
        <f>IF(A897="","",IF(J897=1,VLOOKUP(A897,[1]怪物!$R$92:$Z$111,9,0),VLOOKUP(A897,[1]怪物!$R$92:$Z$111,7,0))*10000)</f>
        <v>30000</v>
      </c>
      <c r="M897">
        <f t="shared" si="58"/>
        <v>40000</v>
      </c>
      <c r="N897">
        <f t="shared" si="59"/>
        <v>30000</v>
      </c>
    </row>
    <row r="898" spans="1:14">
      <c r="A898">
        <f t="shared" si="57"/>
        <v>12</v>
      </c>
      <c r="B898">
        <v>12</v>
      </c>
      <c r="C898" s="11" t="s">
        <v>59</v>
      </c>
      <c r="D898" t="s">
        <v>33</v>
      </c>
      <c r="E898">
        <v>1</v>
      </c>
      <c r="F898">
        <v>1</v>
      </c>
      <c r="G898">
        <f t="shared" si="60"/>
        <v>3401</v>
      </c>
      <c r="H898" t="str">
        <f>IF(VLOOKUP(G898,[2]Sheet1!$A:$O,15,0)=1,"401}]","101}]")</f>
        <v>101}]</v>
      </c>
      <c r="I898" t="str">
        <f t="shared" ref="I898:I961" si="61">_xlfn.TEXTJOIN(",",1,D898:H898)</f>
        <v>[{1000,1,1,3401,101}]</v>
      </c>
      <c r="J898" t="str">
        <f>VLOOKUP(G898,[2]Sheet1!$A:$O,15,0)</f>
        <v/>
      </c>
      <c r="K898">
        <f>IF(A898="","",IF(J898=1,VLOOKUP(A898,[1]怪物!$R$92:$Z$111,8,0),VLOOKUP(A898,[1]怪物!$R$92:$Z$111,6,0))*10000)</f>
        <v>40000</v>
      </c>
      <c r="L898">
        <f>IF(A898="","",IF(J898=1,VLOOKUP(A898,[1]怪物!$R$92:$Z$111,9,0),VLOOKUP(A898,[1]怪物!$R$92:$Z$111,7,0))*10000)</f>
        <v>30000</v>
      </c>
      <c r="M898">
        <f t="shared" si="58"/>
        <v>40000</v>
      </c>
      <c r="N898">
        <f t="shared" si="59"/>
        <v>30000</v>
      </c>
    </row>
    <row r="899" spans="1:14">
      <c r="A899">
        <f t="shared" si="57"/>
        <v>12</v>
      </c>
      <c r="B899">
        <v>12</v>
      </c>
      <c r="C899" s="11" t="s">
        <v>59</v>
      </c>
      <c r="D899" t="s">
        <v>33</v>
      </c>
      <c r="E899">
        <v>1</v>
      </c>
      <c r="F899">
        <v>1</v>
      </c>
      <c r="G899">
        <f t="shared" si="60"/>
        <v>3402</v>
      </c>
      <c r="H899" t="str">
        <f>IF(VLOOKUP(G899,[2]Sheet1!$A:$O,15,0)=1,"401}]","101}]")</f>
        <v>101}]</v>
      </c>
      <c r="I899" t="str">
        <f t="shared" si="61"/>
        <v>[{1000,1,1,3402,101}]</v>
      </c>
      <c r="J899" t="str">
        <f>VLOOKUP(G899,[2]Sheet1!$A:$O,15,0)</f>
        <v/>
      </c>
      <c r="K899">
        <f>IF(A899="","",IF(J899=1,VLOOKUP(A899,[1]怪物!$R$92:$Z$111,8,0),VLOOKUP(A899,[1]怪物!$R$92:$Z$111,6,0))*10000)</f>
        <v>40000</v>
      </c>
      <c r="L899">
        <f>IF(A899="","",IF(J899=1,VLOOKUP(A899,[1]怪物!$R$92:$Z$111,9,0),VLOOKUP(A899,[1]怪物!$R$92:$Z$111,7,0))*10000)</f>
        <v>30000</v>
      </c>
      <c r="M899">
        <f t="shared" si="58"/>
        <v>40000</v>
      </c>
      <c r="N899">
        <f t="shared" si="59"/>
        <v>30000</v>
      </c>
    </row>
    <row r="900" spans="1:14">
      <c r="A900">
        <f t="shared" si="57"/>
        <v>13</v>
      </c>
      <c r="B900">
        <v>13</v>
      </c>
      <c r="C900" s="11" t="s">
        <v>59</v>
      </c>
      <c r="D900" t="s">
        <v>33</v>
      </c>
      <c r="E900">
        <v>1</v>
      </c>
      <c r="F900">
        <v>1</v>
      </c>
      <c r="G900">
        <f t="shared" si="60"/>
        <v>3401</v>
      </c>
      <c r="H900" t="str">
        <f>IF(VLOOKUP(G900,[2]Sheet1!$A:$O,15,0)=1,"401}]","101}]")</f>
        <v>101}]</v>
      </c>
      <c r="I900" t="str">
        <f t="shared" si="61"/>
        <v>[{1000,1,1,3401,101}]</v>
      </c>
      <c r="J900" t="str">
        <f>VLOOKUP(G900,[2]Sheet1!$A:$O,15,0)</f>
        <v/>
      </c>
      <c r="K900">
        <f>IF(A900="","",IF(J900=1,VLOOKUP(A900,[1]怪物!$R$92:$Z$111,8,0),VLOOKUP(A900,[1]怪物!$R$92:$Z$111,6,0))*10000)</f>
        <v>40000</v>
      </c>
      <c r="L900">
        <f>IF(A900="","",IF(J900=1,VLOOKUP(A900,[1]怪物!$R$92:$Z$111,9,0),VLOOKUP(A900,[1]怪物!$R$92:$Z$111,7,0))*10000)</f>
        <v>30000</v>
      </c>
      <c r="M900">
        <f t="shared" si="58"/>
        <v>40000</v>
      </c>
      <c r="N900">
        <f t="shared" si="59"/>
        <v>30000</v>
      </c>
    </row>
    <row r="901" spans="1:14">
      <c r="A901">
        <f t="shared" si="57"/>
        <v>13</v>
      </c>
      <c r="B901">
        <v>13</v>
      </c>
      <c r="C901" s="11" t="s">
        <v>59</v>
      </c>
      <c r="D901" t="s">
        <v>33</v>
      </c>
      <c r="E901">
        <v>1</v>
      </c>
      <c r="F901">
        <v>1</v>
      </c>
      <c r="G901">
        <f t="shared" si="60"/>
        <v>3402</v>
      </c>
      <c r="H901" t="str">
        <f>IF(VLOOKUP(G901,[2]Sheet1!$A:$O,15,0)=1,"401}]","101}]")</f>
        <v>101}]</v>
      </c>
      <c r="I901" t="str">
        <f t="shared" si="61"/>
        <v>[{1000,1,1,3402,101}]</v>
      </c>
      <c r="J901" t="str">
        <f>VLOOKUP(G901,[2]Sheet1!$A:$O,15,0)</f>
        <v/>
      </c>
      <c r="K901">
        <f>IF(A901="","",IF(J901=1,VLOOKUP(A901,[1]怪物!$R$92:$Z$111,8,0),VLOOKUP(A901,[1]怪物!$R$92:$Z$111,6,0))*10000)</f>
        <v>40000</v>
      </c>
      <c r="L901">
        <f>IF(A901="","",IF(J901=1,VLOOKUP(A901,[1]怪物!$R$92:$Z$111,9,0),VLOOKUP(A901,[1]怪物!$R$92:$Z$111,7,0))*10000)</f>
        <v>30000</v>
      </c>
      <c r="M901">
        <f t="shared" si="58"/>
        <v>40000</v>
      </c>
      <c r="N901">
        <f t="shared" si="59"/>
        <v>30000</v>
      </c>
    </row>
    <row r="902" spans="1:14">
      <c r="A902">
        <f t="shared" si="57"/>
        <v>14</v>
      </c>
      <c r="B902">
        <v>14</v>
      </c>
      <c r="C902" s="11" t="s">
        <v>59</v>
      </c>
      <c r="D902" t="s">
        <v>33</v>
      </c>
      <c r="E902">
        <v>1</v>
      </c>
      <c r="F902">
        <v>1</v>
      </c>
      <c r="G902">
        <f t="shared" si="60"/>
        <v>3401</v>
      </c>
      <c r="H902" t="str">
        <f>IF(VLOOKUP(G902,[2]Sheet1!$A:$O,15,0)=1,"401}]","101}]")</f>
        <v>101}]</v>
      </c>
      <c r="I902" t="str">
        <f t="shared" si="61"/>
        <v>[{1000,1,1,3401,101}]</v>
      </c>
      <c r="J902" t="str">
        <f>VLOOKUP(G902,[2]Sheet1!$A:$O,15,0)</f>
        <v/>
      </c>
      <c r="K902">
        <f>IF(A902="","",IF(J902=1,VLOOKUP(A902,[1]怪物!$R$92:$Z$111,8,0),VLOOKUP(A902,[1]怪物!$R$92:$Z$111,6,0))*10000)</f>
        <v>40000</v>
      </c>
      <c r="L902">
        <f>IF(A902="","",IF(J902=1,VLOOKUP(A902,[1]怪物!$R$92:$Z$111,9,0),VLOOKUP(A902,[1]怪物!$R$92:$Z$111,7,0))*10000)</f>
        <v>30000</v>
      </c>
      <c r="M902">
        <f t="shared" si="58"/>
        <v>40000</v>
      </c>
      <c r="N902">
        <f t="shared" si="59"/>
        <v>30000</v>
      </c>
    </row>
    <row r="903" spans="1:14">
      <c r="A903">
        <f t="shared" si="57"/>
        <v>14</v>
      </c>
      <c r="B903">
        <v>14</v>
      </c>
      <c r="C903" s="11" t="s">
        <v>59</v>
      </c>
      <c r="D903" t="s">
        <v>33</v>
      </c>
      <c r="E903">
        <v>1</v>
      </c>
      <c r="F903">
        <v>1</v>
      </c>
      <c r="G903">
        <f t="shared" si="60"/>
        <v>3402</v>
      </c>
      <c r="H903" t="str">
        <f>IF(VLOOKUP(G903,[2]Sheet1!$A:$O,15,0)=1,"401}]","101}]")</f>
        <v>101}]</v>
      </c>
      <c r="I903" t="str">
        <f t="shared" si="61"/>
        <v>[{1000,1,1,3402,101}]</v>
      </c>
      <c r="J903" t="str">
        <f>VLOOKUP(G903,[2]Sheet1!$A:$O,15,0)</f>
        <v/>
      </c>
      <c r="K903">
        <f>IF(A903="","",IF(J903=1,VLOOKUP(A903,[1]怪物!$R$92:$Z$111,8,0),VLOOKUP(A903,[1]怪物!$R$92:$Z$111,6,0))*10000)</f>
        <v>40000</v>
      </c>
      <c r="L903">
        <f>IF(A903="","",IF(J903=1,VLOOKUP(A903,[1]怪物!$R$92:$Z$111,9,0),VLOOKUP(A903,[1]怪物!$R$92:$Z$111,7,0))*10000)</f>
        <v>30000</v>
      </c>
      <c r="M903">
        <f t="shared" si="58"/>
        <v>40000</v>
      </c>
      <c r="N903">
        <f t="shared" si="59"/>
        <v>30000</v>
      </c>
    </row>
    <row r="904" spans="1:14">
      <c r="A904">
        <f t="shared" si="57"/>
        <v>14</v>
      </c>
      <c r="B904">
        <v>14</v>
      </c>
      <c r="C904" s="11" t="s">
        <v>59</v>
      </c>
      <c r="D904" t="s">
        <v>33</v>
      </c>
      <c r="E904">
        <v>1</v>
      </c>
      <c r="F904">
        <v>1</v>
      </c>
      <c r="G904">
        <f t="shared" si="60"/>
        <v>3403</v>
      </c>
      <c r="H904" t="str">
        <f>IF(VLOOKUP(G904,[2]Sheet1!$A:$O,15,0)=1,"401}]","101}]")</f>
        <v>401}]</v>
      </c>
      <c r="I904" t="str">
        <f t="shared" si="61"/>
        <v>[{1000,1,1,3403,401}]</v>
      </c>
      <c r="J904">
        <f>VLOOKUP(G904,[2]Sheet1!$A:$O,15,0)</f>
        <v>1</v>
      </c>
      <c r="K904">
        <f>IF(A904="","",IF(J904=1,VLOOKUP(A904,[1]怪物!$R$92:$Z$111,8,0),VLOOKUP(A904,[1]怪物!$R$92:$Z$111,6,0))*10000)</f>
        <v>40000</v>
      </c>
      <c r="L904">
        <f>IF(A904="","",IF(J904=1,VLOOKUP(A904,[1]怪物!$R$92:$Z$111,9,0),VLOOKUP(A904,[1]怪物!$R$92:$Z$111,7,0))*10000)</f>
        <v>30000</v>
      </c>
      <c r="M904">
        <f t="shared" si="58"/>
        <v>40000</v>
      </c>
      <c r="N904">
        <f t="shared" si="59"/>
        <v>30000</v>
      </c>
    </row>
    <row r="905" spans="1:14">
      <c r="A905">
        <f t="shared" si="57"/>
        <v>15</v>
      </c>
      <c r="B905">
        <v>15</v>
      </c>
      <c r="C905" s="11" t="s">
        <v>59</v>
      </c>
      <c r="D905" t="s">
        <v>33</v>
      </c>
      <c r="E905">
        <v>1</v>
      </c>
      <c r="F905">
        <v>1</v>
      </c>
      <c r="G905">
        <f t="shared" si="60"/>
        <v>3401</v>
      </c>
      <c r="H905" t="str">
        <f>IF(VLOOKUP(G905,[2]Sheet1!$A:$O,15,0)=1,"401}]","101}]")</f>
        <v>101}]</v>
      </c>
      <c r="I905" t="str">
        <f t="shared" si="61"/>
        <v>[{1000,1,1,3401,101}]</v>
      </c>
      <c r="J905" t="str">
        <f>VLOOKUP(G905,[2]Sheet1!$A:$O,15,0)</f>
        <v/>
      </c>
      <c r="K905">
        <f>IF(A905="","",IF(J905=1,VLOOKUP(A905,[1]怪物!$R$92:$Z$111,8,0),VLOOKUP(A905,[1]怪物!$R$92:$Z$111,6,0))*10000)</f>
        <v>40000</v>
      </c>
      <c r="L905">
        <f>IF(A905="","",IF(J905=1,VLOOKUP(A905,[1]怪物!$R$92:$Z$111,9,0),VLOOKUP(A905,[1]怪物!$R$92:$Z$111,7,0))*10000)</f>
        <v>30000</v>
      </c>
      <c r="M905">
        <f t="shared" si="58"/>
        <v>40000</v>
      </c>
      <c r="N905">
        <f t="shared" si="59"/>
        <v>30000</v>
      </c>
    </row>
    <row r="906" spans="1:14">
      <c r="A906">
        <f t="shared" si="57"/>
        <v>15</v>
      </c>
      <c r="B906">
        <v>15</v>
      </c>
      <c r="C906" s="11" t="s">
        <v>59</v>
      </c>
      <c r="D906" t="s">
        <v>33</v>
      </c>
      <c r="E906">
        <v>1</v>
      </c>
      <c r="F906">
        <v>1</v>
      </c>
      <c r="G906">
        <f t="shared" si="60"/>
        <v>3402</v>
      </c>
      <c r="H906" t="str">
        <f>IF(VLOOKUP(G906,[2]Sheet1!$A:$O,15,0)=1,"401}]","101}]")</f>
        <v>101}]</v>
      </c>
      <c r="I906" t="str">
        <f t="shared" si="61"/>
        <v>[{1000,1,1,3402,101}]</v>
      </c>
      <c r="J906" t="str">
        <f>VLOOKUP(G906,[2]Sheet1!$A:$O,15,0)</f>
        <v/>
      </c>
      <c r="K906">
        <f>IF(A906="","",IF(J906=1,VLOOKUP(A906,[1]怪物!$R$92:$Z$111,8,0),VLOOKUP(A906,[1]怪物!$R$92:$Z$111,6,0))*10000)</f>
        <v>40000</v>
      </c>
      <c r="L906">
        <f>IF(A906="","",IF(J906=1,VLOOKUP(A906,[1]怪物!$R$92:$Z$111,9,0),VLOOKUP(A906,[1]怪物!$R$92:$Z$111,7,0))*10000)</f>
        <v>30000</v>
      </c>
      <c r="M906">
        <f t="shared" si="58"/>
        <v>40000</v>
      </c>
      <c r="N906">
        <f t="shared" si="59"/>
        <v>30000</v>
      </c>
    </row>
    <row r="907" spans="1:14">
      <c r="A907">
        <f t="shared" si="57"/>
        <v>15</v>
      </c>
      <c r="B907">
        <v>15</v>
      </c>
      <c r="C907" s="11" t="s">
        <v>59</v>
      </c>
      <c r="D907" t="s">
        <v>33</v>
      </c>
      <c r="E907">
        <v>1</v>
      </c>
      <c r="F907">
        <v>1</v>
      </c>
      <c r="G907">
        <f t="shared" si="60"/>
        <v>3403</v>
      </c>
      <c r="H907" t="str">
        <f>IF(VLOOKUP(G907,[2]Sheet1!$A:$O,15,0)=1,"401}]","101}]")</f>
        <v>401}]</v>
      </c>
      <c r="I907" t="str">
        <f t="shared" si="61"/>
        <v>[{1000,1,1,3403,401}]</v>
      </c>
      <c r="J907">
        <f>VLOOKUP(G907,[2]Sheet1!$A:$O,15,0)</f>
        <v>1</v>
      </c>
      <c r="K907">
        <f>IF(A907="","",IF(J907=1,VLOOKUP(A907,[1]怪物!$R$92:$Z$111,8,0),VLOOKUP(A907,[1]怪物!$R$92:$Z$111,6,0))*10000)</f>
        <v>40000</v>
      </c>
      <c r="L907">
        <f>IF(A907="","",IF(J907=1,VLOOKUP(A907,[1]怪物!$R$92:$Z$111,9,0),VLOOKUP(A907,[1]怪物!$R$92:$Z$111,7,0))*10000)</f>
        <v>30000</v>
      </c>
      <c r="M907">
        <f t="shared" si="58"/>
        <v>40000</v>
      </c>
      <c r="N907">
        <f t="shared" si="59"/>
        <v>30000</v>
      </c>
    </row>
    <row r="908" spans="1:14">
      <c r="A908">
        <f t="shared" si="57"/>
        <v>16</v>
      </c>
      <c r="B908">
        <v>16</v>
      </c>
      <c r="C908" s="11" t="s">
        <v>59</v>
      </c>
      <c r="D908" t="s">
        <v>33</v>
      </c>
      <c r="E908">
        <v>1</v>
      </c>
      <c r="F908">
        <v>1</v>
      </c>
      <c r="G908">
        <f t="shared" si="60"/>
        <v>3401</v>
      </c>
      <c r="H908" t="str">
        <f>IF(VLOOKUP(G908,[2]Sheet1!$A:$O,15,0)=1,"401}]","101}]")</f>
        <v>101}]</v>
      </c>
      <c r="I908" t="str">
        <f t="shared" si="61"/>
        <v>[{1000,1,1,3401,101}]</v>
      </c>
      <c r="J908" t="str">
        <f>VLOOKUP(G908,[2]Sheet1!$A:$O,15,0)</f>
        <v/>
      </c>
      <c r="K908">
        <f>IF(A908="","",IF(J908=1,VLOOKUP(A908,[1]怪物!$R$92:$Z$111,8,0),VLOOKUP(A908,[1]怪物!$R$92:$Z$111,6,0))*10000)</f>
        <v>90000</v>
      </c>
      <c r="L908">
        <f>IF(A908="","",IF(J908=1,VLOOKUP(A908,[1]怪物!$R$92:$Z$111,9,0),VLOOKUP(A908,[1]怪物!$R$92:$Z$111,7,0))*10000)</f>
        <v>60000</v>
      </c>
      <c r="M908">
        <f t="shared" si="58"/>
        <v>90000</v>
      </c>
      <c r="N908">
        <f t="shared" si="59"/>
        <v>60000</v>
      </c>
    </row>
    <row r="909" spans="1:14">
      <c r="A909">
        <f t="shared" si="57"/>
        <v>16</v>
      </c>
      <c r="B909">
        <v>16</v>
      </c>
      <c r="C909" s="11" t="s">
        <v>59</v>
      </c>
      <c r="D909" t="s">
        <v>33</v>
      </c>
      <c r="E909">
        <v>1</v>
      </c>
      <c r="F909">
        <v>1</v>
      </c>
      <c r="G909">
        <f t="shared" si="60"/>
        <v>3402</v>
      </c>
      <c r="H909" t="str">
        <f>IF(VLOOKUP(G909,[2]Sheet1!$A:$O,15,0)=1,"401}]","101}]")</f>
        <v>101}]</v>
      </c>
      <c r="I909" t="str">
        <f t="shared" si="61"/>
        <v>[{1000,1,1,3402,101}]</v>
      </c>
      <c r="J909" t="str">
        <f>VLOOKUP(G909,[2]Sheet1!$A:$O,15,0)</f>
        <v/>
      </c>
      <c r="K909">
        <f>IF(A909="","",IF(J909=1,VLOOKUP(A909,[1]怪物!$R$92:$Z$111,8,0),VLOOKUP(A909,[1]怪物!$R$92:$Z$111,6,0))*10000)</f>
        <v>90000</v>
      </c>
      <c r="L909">
        <f>IF(A909="","",IF(J909=1,VLOOKUP(A909,[1]怪物!$R$92:$Z$111,9,0),VLOOKUP(A909,[1]怪物!$R$92:$Z$111,7,0))*10000)</f>
        <v>60000</v>
      </c>
      <c r="M909">
        <f t="shared" si="58"/>
        <v>90000</v>
      </c>
      <c r="N909">
        <f t="shared" si="59"/>
        <v>60000</v>
      </c>
    </row>
    <row r="910" spans="1:14">
      <c r="A910">
        <f t="shared" si="57"/>
        <v>16</v>
      </c>
      <c r="B910">
        <v>16</v>
      </c>
      <c r="C910" s="11" t="s">
        <v>59</v>
      </c>
      <c r="D910" t="s">
        <v>33</v>
      </c>
      <c r="E910">
        <v>1</v>
      </c>
      <c r="F910">
        <v>1</v>
      </c>
      <c r="G910">
        <f t="shared" si="60"/>
        <v>3403</v>
      </c>
      <c r="H910" t="str">
        <f>IF(VLOOKUP(G910,[2]Sheet1!$A:$O,15,0)=1,"401}]","101}]")</f>
        <v>401}]</v>
      </c>
      <c r="I910" t="str">
        <f t="shared" si="61"/>
        <v>[{1000,1,1,3403,401}]</v>
      </c>
      <c r="J910">
        <f>VLOOKUP(G910,[2]Sheet1!$A:$O,15,0)</f>
        <v>1</v>
      </c>
      <c r="K910">
        <f>IF(A910="","",IF(J910=1,VLOOKUP(A910,[1]怪物!$R$92:$Z$111,8,0),VLOOKUP(A910,[1]怪物!$R$92:$Z$111,6,0))*10000)</f>
        <v>70000</v>
      </c>
      <c r="L910">
        <f>IF(A910="","",IF(J910=1,VLOOKUP(A910,[1]怪物!$R$92:$Z$111,9,0),VLOOKUP(A910,[1]怪物!$R$92:$Z$111,7,0))*10000)</f>
        <v>50000</v>
      </c>
      <c r="M910">
        <f t="shared" si="58"/>
        <v>70000</v>
      </c>
      <c r="N910">
        <f t="shared" si="59"/>
        <v>50000</v>
      </c>
    </row>
    <row r="911" spans="1:14">
      <c r="A911">
        <f t="shared" si="57"/>
        <v>17</v>
      </c>
      <c r="B911">
        <v>17</v>
      </c>
      <c r="C911" s="11" t="s">
        <v>59</v>
      </c>
      <c r="D911" t="s">
        <v>33</v>
      </c>
      <c r="E911">
        <v>1</v>
      </c>
      <c r="F911">
        <v>1</v>
      </c>
      <c r="G911">
        <f t="shared" si="60"/>
        <v>3401</v>
      </c>
      <c r="H911" t="str">
        <f>IF(VLOOKUP(G911,[2]Sheet1!$A:$O,15,0)=1,"401}]","101}]")</f>
        <v>101}]</v>
      </c>
      <c r="I911" t="str">
        <f t="shared" si="61"/>
        <v>[{1000,1,1,3401,101}]</v>
      </c>
      <c r="J911" t="str">
        <f>VLOOKUP(G911,[2]Sheet1!$A:$O,15,0)</f>
        <v/>
      </c>
      <c r="K911">
        <f>IF(A911="","",IF(J911=1,VLOOKUP(A911,[1]怪物!$R$92:$Z$111,8,0),VLOOKUP(A911,[1]怪物!$R$92:$Z$111,6,0))*10000)</f>
        <v>90000</v>
      </c>
      <c r="L911">
        <f>IF(A911="","",IF(J911=1,VLOOKUP(A911,[1]怪物!$R$92:$Z$111,9,0),VLOOKUP(A911,[1]怪物!$R$92:$Z$111,7,0))*10000)</f>
        <v>60000</v>
      </c>
      <c r="M911">
        <f t="shared" si="58"/>
        <v>90000</v>
      </c>
      <c r="N911">
        <f t="shared" si="59"/>
        <v>60000</v>
      </c>
    </row>
    <row r="912" spans="1:14">
      <c r="A912">
        <f t="shared" si="57"/>
        <v>17</v>
      </c>
      <c r="B912">
        <v>17</v>
      </c>
      <c r="C912" s="11" t="s">
        <v>59</v>
      </c>
      <c r="D912" t="s">
        <v>33</v>
      </c>
      <c r="E912">
        <v>1</v>
      </c>
      <c r="F912">
        <v>1</v>
      </c>
      <c r="G912">
        <f t="shared" si="60"/>
        <v>3402</v>
      </c>
      <c r="H912" t="str">
        <f>IF(VLOOKUP(G912,[2]Sheet1!$A:$O,15,0)=1,"401}]","101}]")</f>
        <v>101}]</v>
      </c>
      <c r="I912" t="str">
        <f t="shared" si="61"/>
        <v>[{1000,1,1,3402,101}]</v>
      </c>
      <c r="J912" t="str">
        <f>VLOOKUP(G912,[2]Sheet1!$A:$O,15,0)</f>
        <v/>
      </c>
      <c r="K912">
        <f>IF(A912="","",IF(J912=1,VLOOKUP(A912,[1]怪物!$R$92:$Z$111,8,0),VLOOKUP(A912,[1]怪物!$R$92:$Z$111,6,0))*10000)</f>
        <v>90000</v>
      </c>
      <c r="L912">
        <f>IF(A912="","",IF(J912=1,VLOOKUP(A912,[1]怪物!$R$92:$Z$111,9,0),VLOOKUP(A912,[1]怪物!$R$92:$Z$111,7,0))*10000)</f>
        <v>60000</v>
      </c>
      <c r="M912">
        <f t="shared" si="58"/>
        <v>90000</v>
      </c>
      <c r="N912">
        <f t="shared" si="59"/>
        <v>60000</v>
      </c>
    </row>
    <row r="913" spans="1:14">
      <c r="A913">
        <f t="shared" si="57"/>
        <v>17</v>
      </c>
      <c r="B913">
        <v>17</v>
      </c>
      <c r="C913" s="11" t="s">
        <v>59</v>
      </c>
      <c r="D913" t="s">
        <v>33</v>
      </c>
      <c r="E913">
        <v>1</v>
      </c>
      <c r="F913">
        <v>1</v>
      </c>
      <c r="G913">
        <f t="shared" si="60"/>
        <v>3403</v>
      </c>
      <c r="H913" t="str">
        <f>IF(VLOOKUP(G913,[2]Sheet1!$A:$O,15,0)=1,"401}]","101}]")</f>
        <v>401}]</v>
      </c>
      <c r="I913" t="str">
        <f t="shared" si="61"/>
        <v>[{1000,1,1,3403,401}]</v>
      </c>
      <c r="J913">
        <f>VLOOKUP(G913,[2]Sheet1!$A:$O,15,0)</f>
        <v>1</v>
      </c>
      <c r="K913">
        <f>IF(A913="","",IF(J913=1,VLOOKUP(A913,[1]怪物!$R$92:$Z$111,8,0),VLOOKUP(A913,[1]怪物!$R$92:$Z$111,6,0))*10000)</f>
        <v>70000</v>
      </c>
      <c r="L913">
        <f>IF(A913="","",IF(J913=1,VLOOKUP(A913,[1]怪物!$R$92:$Z$111,9,0),VLOOKUP(A913,[1]怪物!$R$92:$Z$111,7,0))*10000)</f>
        <v>50000</v>
      </c>
      <c r="M913">
        <f t="shared" si="58"/>
        <v>70000</v>
      </c>
      <c r="N913">
        <f t="shared" si="59"/>
        <v>50000</v>
      </c>
    </row>
    <row r="914" spans="1:14">
      <c r="A914">
        <f t="shared" si="57"/>
        <v>18</v>
      </c>
      <c r="B914">
        <v>18</v>
      </c>
      <c r="C914" s="11" t="s">
        <v>59</v>
      </c>
      <c r="D914" t="s">
        <v>33</v>
      </c>
      <c r="E914">
        <v>1</v>
      </c>
      <c r="F914">
        <v>1</v>
      </c>
      <c r="G914">
        <f t="shared" si="60"/>
        <v>3401</v>
      </c>
      <c r="H914" t="str">
        <f>IF(VLOOKUP(G914,[2]Sheet1!$A:$O,15,0)=1,"401}]","101}]")</f>
        <v>101}]</v>
      </c>
      <c r="I914" t="str">
        <f t="shared" si="61"/>
        <v>[{1000,1,1,3401,101}]</v>
      </c>
      <c r="J914" t="str">
        <f>VLOOKUP(G914,[2]Sheet1!$A:$O,15,0)</f>
        <v/>
      </c>
      <c r="K914">
        <f>IF(A914="","",IF(J914=1,VLOOKUP(A914,[1]怪物!$R$92:$Z$111,8,0),VLOOKUP(A914,[1]怪物!$R$92:$Z$111,6,0))*10000)</f>
        <v>90000</v>
      </c>
      <c r="L914">
        <f>IF(A914="","",IF(J914=1,VLOOKUP(A914,[1]怪物!$R$92:$Z$111,9,0),VLOOKUP(A914,[1]怪物!$R$92:$Z$111,7,0))*10000)</f>
        <v>60000</v>
      </c>
      <c r="M914">
        <f t="shared" si="58"/>
        <v>90000</v>
      </c>
      <c r="N914">
        <f t="shared" si="59"/>
        <v>60000</v>
      </c>
    </row>
    <row r="915" spans="1:14">
      <c r="A915">
        <f t="shared" si="57"/>
        <v>18</v>
      </c>
      <c r="B915">
        <v>18</v>
      </c>
      <c r="C915" s="11" t="s">
        <v>59</v>
      </c>
      <c r="D915" t="s">
        <v>33</v>
      </c>
      <c r="E915">
        <v>1</v>
      </c>
      <c r="F915">
        <v>1</v>
      </c>
      <c r="G915">
        <f t="shared" si="60"/>
        <v>3402</v>
      </c>
      <c r="H915" t="str">
        <f>IF(VLOOKUP(G915,[2]Sheet1!$A:$O,15,0)=1,"401}]","101}]")</f>
        <v>101}]</v>
      </c>
      <c r="I915" t="str">
        <f t="shared" si="61"/>
        <v>[{1000,1,1,3402,101}]</v>
      </c>
      <c r="J915" t="str">
        <f>VLOOKUP(G915,[2]Sheet1!$A:$O,15,0)</f>
        <v/>
      </c>
      <c r="K915">
        <f>IF(A915="","",IF(J915=1,VLOOKUP(A915,[1]怪物!$R$92:$Z$111,8,0),VLOOKUP(A915,[1]怪物!$R$92:$Z$111,6,0))*10000)</f>
        <v>90000</v>
      </c>
      <c r="L915">
        <f>IF(A915="","",IF(J915=1,VLOOKUP(A915,[1]怪物!$R$92:$Z$111,9,0),VLOOKUP(A915,[1]怪物!$R$92:$Z$111,7,0))*10000)</f>
        <v>60000</v>
      </c>
      <c r="M915">
        <f t="shared" si="58"/>
        <v>90000</v>
      </c>
      <c r="N915">
        <f t="shared" si="59"/>
        <v>60000</v>
      </c>
    </row>
    <row r="916" spans="1:14">
      <c r="A916">
        <f t="shared" si="57"/>
        <v>18</v>
      </c>
      <c r="B916">
        <v>18</v>
      </c>
      <c r="C916" s="11" t="s">
        <v>59</v>
      </c>
      <c r="D916" t="s">
        <v>33</v>
      </c>
      <c r="E916">
        <v>1</v>
      </c>
      <c r="F916">
        <v>1</v>
      </c>
      <c r="G916">
        <f t="shared" si="60"/>
        <v>3403</v>
      </c>
      <c r="H916" t="str">
        <f>IF(VLOOKUP(G916,[2]Sheet1!$A:$O,15,0)=1,"401}]","101}]")</f>
        <v>401}]</v>
      </c>
      <c r="I916" t="str">
        <f t="shared" si="61"/>
        <v>[{1000,1,1,3403,401}]</v>
      </c>
      <c r="J916">
        <f>VLOOKUP(G916,[2]Sheet1!$A:$O,15,0)</f>
        <v>1</v>
      </c>
      <c r="K916">
        <f>IF(A916="","",IF(J916=1,VLOOKUP(A916,[1]怪物!$R$92:$Z$111,8,0),VLOOKUP(A916,[1]怪物!$R$92:$Z$111,6,0))*10000)</f>
        <v>70000</v>
      </c>
      <c r="L916">
        <f>IF(A916="","",IF(J916=1,VLOOKUP(A916,[1]怪物!$R$92:$Z$111,9,0),VLOOKUP(A916,[1]怪物!$R$92:$Z$111,7,0))*10000)</f>
        <v>50000</v>
      </c>
      <c r="M916">
        <f t="shared" si="58"/>
        <v>70000</v>
      </c>
      <c r="N916">
        <f t="shared" si="59"/>
        <v>50000</v>
      </c>
    </row>
    <row r="917" spans="1:14">
      <c r="A917">
        <f t="shared" si="57"/>
        <v>19</v>
      </c>
      <c r="B917">
        <v>19</v>
      </c>
      <c r="C917" s="11" t="s">
        <v>59</v>
      </c>
      <c r="D917" t="s">
        <v>33</v>
      </c>
      <c r="E917">
        <v>1</v>
      </c>
      <c r="F917">
        <v>1</v>
      </c>
      <c r="G917">
        <f t="shared" si="60"/>
        <v>3401</v>
      </c>
      <c r="H917" t="str">
        <f>IF(VLOOKUP(G917,[2]Sheet1!$A:$O,15,0)=1,"401}]","101}]")</f>
        <v>101}]</v>
      </c>
      <c r="I917" t="str">
        <f t="shared" si="61"/>
        <v>[{1000,1,1,3401,101}]</v>
      </c>
      <c r="J917" t="str">
        <f>VLOOKUP(G917,[2]Sheet1!$A:$O,15,0)</f>
        <v/>
      </c>
      <c r="K917">
        <f>IF(A917="","",IF(J917=1,VLOOKUP(A917,[1]怪物!$R$92:$Z$111,8,0),VLOOKUP(A917,[1]怪物!$R$92:$Z$111,6,0))*10000)</f>
        <v>90000</v>
      </c>
      <c r="L917">
        <f>IF(A917="","",IF(J917=1,VLOOKUP(A917,[1]怪物!$R$92:$Z$111,9,0),VLOOKUP(A917,[1]怪物!$R$92:$Z$111,7,0))*10000)</f>
        <v>60000</v>
      </c>
      <c r="M917">
        <f t="shared" si="58"/>
        <v>90000</v>
      </c>
      <c r="N917">
        <f t="shared" si="59"/>
        <v>60000</v>
      </c>
    </row>
    <row r="918" spans="1:14">
      <c r="A918">
        <f t="shared" si="57"/>
        <v>19</v>
      </c>
      <c r="B918">
        <v>19</v>
      </c>
      <c r="C918" s="11" t="s">
        <v>59</v>
      </c>
      <c r="D918" t="s">
        <v>33</v>
      </c>
      <c r="E918">
        <v>1</v>
      </c>
      <c r="F918">
        <v>1</v>
      </c>
      <c r="G918">
        <f t="shared" si="60"/>
        <v>3402</v>
      </c>
      <c r="H918" t="str">
        <f>IF(VLOOKUP(G918,[2]Sheet1!$A:$O,15,0)=1,"401}]","101}]")</f>
        <v>101}]</v>
      </c>
      <c r="I918" t="str">
        <f t="shared" si="61"/>
        <v>[{1000,1,1,3402,101}]</v>
      </c>
      <c r="J918" t="str">
        <f>VLOOKUP(G918,[2]Sheet1!$A:$O,15,0)</f>
        <v/>
      </c>
      <c r="K918">
        <f>IF(A918="","",IF(J918=1,VLOOKUP(A918,[1]怪物!$R$92:$Z$111,8,0),VLOOKUP(A918,[1]怪物!$R$92:$Z$111,6,0))*10000)</f>
        <v>90000</v>
      </c>
      <c r="L918">
        <f>IF(A918="","",IF(J918=1,VLOOKUP(A918,[1]怪物!$R$92:$Z$111,9,0),VLOOKUP(A918,[1]怪物!$R$92:$Z$111,7,0))*10000)</f>
        <v>60000</v>
      </c>
      <c r="M918">
        <f t="shared" si="58"/>
        <v>90000</v>
      </c>
      <c r="N918">
        <f t="shared" si="59"/>
        <v>60000</v>
      </c>
    </row>
    <row r="919" spans="1:14">
      <c r="A919">
        <f t="shared" si="57"/>
        <v>19</v>
      </c>
      <c r="B919">
        <v>19</v>
      </c>
      <c r="C919" s="11" t="s">
        <v>59</v>
      </c>
      <c r="D919" t="s">
        <v>33</v>
      </c>
      <c r="E919">
        <v>1</v>
      </c>
      <c r="F919">
        <v>1</v>
      </c>
      <c r="G919">
        <f t="shared" si="60"/>
        <v>3403</v>
      </c>
      <c r="H919" t="str">
        <f>IF(VLOOKUP(G919,[2]Sheet1!$A:$O,15,0)=1,"401}]","101}]")</f>
        <v>401}]</v>
      </c>
      <c r="I919" t="str">
        <f t="shared" si="61"/>
        <v>[{1000,1,1,3403,401}]</v>
      </c>
      <c r="J919">
        <f>VLOOKUP(G919,[2]Sheet1!$A:$O,15,0)</f>
        <v>1</v>
      </c>
      <c r="K919">
        <f>IF(A919="","",IF(J919=1,VLOOKUP(A919,[1]怪物!$R$92:$Z$111,8,0),VLOOKUP(A919,[1]怪物!$R$92:$Z$111,6,0))*10000)</f>
        <v>70000</v>
      </c>
      <c r="L919">
        <f>IF(A919="","",IF(J919=1,VLOOKUP(A919,[1]怪物!$R$92:$Z$111,9,0),VLOOKUP(A919,[1]怪物!$R$92:$Z$111,7,0))*10000)</f>
        <v>50000</v>
      </c>
      <c r="M919">
        <f t="shared" si="58"/>
        <v>70000</v>
      </c>
      <c r="N919">
        <f t="shared" si="59"/>
        <v>50000</v>
      </c>
    </row>
    <row r="920" spans="1:14">
      <c r="A920">
        <f t="shared" si="57"/>
        <v>20</v>
      </c>
      <c r="B920">
        <v>20</v>
      </c>
      <c r="C920" s="11" t="s">
        <v>59</v>
      </c>
      <c r="D920" t="s">
        <v>33</v>
      </c>
      <c r="E920">
        <v>1</v>
      </c>
      <c r="F920">
        <v>1</v>
      </c>
      <c r="G920">
        <f t="shared" si="60"/>
        <v>3401</v>
      </c>
      <c r="H920" t="str">
        <f>IF(VLOOKUP(G920,[2]Sheet1!$A:$O,15,0)=1,"401}]","101}]")</f>
        <v>101}]</v>
      </c>
      <c r="I920" t="str">
        <f t="shared" si="61"/>
        <v>[{1000,1,1,3401,101}]</v>
      </c>
      <c r="J920" t="str">
        <f>VLOOKUP(G920,[2]Sheet1!$A:$O,15,0)</f>
        <v/>
      </c>
      <c r="K920">
        <f>IF(A920="","",IF(J920=1,VLOOKUP(A920,[1]怪物!$R$92:$Z$111,8,0),VLOOKUP(A920,[1]怪物!$R$92:$Z$111,6,0))*10000)</f>
        <v>90000</v>
      </c>
      <c r="L920">
        <f>IF(A920="","",IF(J920=1,VLOOKUP(A920,[1]怪物!$R$92:$Z$111,9,0),VLOOKUP(A920,[1]怪物!$R$92:$Z$111,7,0))*10000)</f>
        <v>60000</v>
      </c>
      <c r="M920">
        <f t="shared" si="58"/>
        <v>90000</v>
      </c>
      <c r="N920">
        <f t="shared" si="59"/>
        <v>60000</v>
      </c>
    </row>
    <row r="921" spans="1:14">
      <c r="A921">
        <f t="shared" si="57"/>
        <v>20</v>
      </c>
      <c r="B921">
        <v>20</v>
      </c>
      <c r="C921" s="11" t="s">
        <v>59</v>
      </c>
      <c r="D921" t="s">
        <v>33</v>
      </c>
      <c r="E921">
        <v>1</v>
      </c>
      <c r="F921">
        <v>1</v>
      </c>
      <c r="G921">
        <f t="shared" si="60"/>
        <v>3402</v>
      </c>
      <c r="H921" t="str">
        <f>IF(VLOOKUP(G921,[2]Sheet1!$A:$O,15,0)=1,"401}]","101}]")</f>
        <v>101}]</v>
      </c>
      <c r="I921" t="str">
        <f t="shared" si="61"/>
        <v>[{1000,1,1,3402,101}]</v>
      </c>
      <c r="J921" t="str">
        <f>VLOOKUP(G921,[2]Sheet1!$A:$O,15,0)</f>
        <v/>
      </c>
      <c r="K921">
        <f>IF(A921="","",IF(J921=1,VLOOKUP(A921,[1]怪物!$R$92:$Z$111,8,0),VLOOKUP(A921,[1]怪物!$R$92:$Z$111,6,0))*10000)</f>
        <v>90000</v>
      </c>
      <c r="L921">
        <f>IF(A921="","",IF(J921=1,VLOOKUP(A921,[1]怪物!$R$92:$Z$111,9,0),VLOOKUP(A921,[1]怪物!$R$92:$Z$111,7,0))*10000)</f>
        <v>60000</v>
      </c>
      <c r="M921">
        <f t="shared" si="58"/>
        <v>90000</v>
      </c>
      <c r="N921">
        <f t="shared" si="59"/>
        <v>60000</v>
      </c>
    </row>
    <row r="922" spans="1:14">
      <c r="A922">
        <f t="shared" si="57"/>
        <v>20</v>
      </c>
      <c r="B922">
        <v>20</v>
      </c>
      <c r="C922" s="11" t="s">
        <v>59</v>
      </c>
      <c r="D922" s="11" t="s">
        <v>33</v>
      </c>
      <c r="E922">
        <v>1</v>
      </c>
      <c r="F922">
        <v>1</v>
      </c>
      <c r="G922">
        <f t="shared" si="60"/>
        <v>3403</v>
      </c>
      <c r="H922" t="str">
        <f>IF(VLOOKUP(G922,[2]Sheet1!$A:$O,15,0)=1,"401}]","101}]")</f>
        <v>401}]</v>
      </c>
      <c r="I922" t="str">
        <f t="shared" si="61"/>
        <v>[{1000,1,1,3403,401}]</v>
      </c>
      <c r="J922">
        <f>VLOOKUP(G922,[2]Sheet1!$A:$O,15,0)</f>
        <v>1</v>
      </c>
      <c r="K922">
        <f>IF(A922="","",IF(J922=1,VLOOKUP(A922,[1]怪物!$R$92:$Z$111,8,0),VLOOKUP(A922,[1]怪物!$R$92:$Z$111,6,0))*10000)</f>
        <v>70000</v>
      </c>
      <c r="L922">
        <f>IF(A922="","",IF(J922=1,VLOOKUP(A922,[1]怪物!$R$92:$Z$111,9,0),VLOOKUP(A922,[1]怪物!$R$92:$Z$111,7,0))*10000)</f>
        <v>50000</v>
      </c>
      <c r="M922">
        <f t="shared" si="58"/>
        <v>70000</v>
      </c>
      <c r="N922">
        <f t="shared" si="59"/>
        <v>50000</v>
      </c>
    </row>
    <row r="923" spans="1:14">
      <c r="A923" t="str">
        <f t="shared" si="57"/>
        <v/>
      </c>
      <c r="B923">
        <v>20</v>
      </c>
      <c r="C923" s="11" t="s">
        <v>59</v>
      </c>
      <c r="D923" s="11" t="s">
        <v>28</v>
      </c>
      <c r="G923" t="str">
        <f t="shared" si="60"/>
        <v/>
      </c>
      <c r="I923" t="str">
        <f t="shared" si="61"/>
        <v>[]</v>
      </c>
      <c r="K923" t="str">
        <f>IF(A923="","",IF(J923=1,VLOOKUP(A923,[1]怪物!$R$92:$Z$111,8,0),VLOOKUP(A923,[1]怪物!$R$92:$Z$111,6,0))*10000)</f>
        <v/>
      </c>
      <c r="L923" t="str">
        <f>IF(A923="","",IF(J923=1,VLOOKUP(A923,[1]怪物!$R$92:$Z$111,9,0),VLOOKUP(A923,[1]怪物!$R$92:$Z$111,7,0))*10000)</f>
        <v/>
      </c>
      <c r="M923" t="str">
        <f t="shared" si="58"/>
        <v/>
      </c>
      <c r="N923" t="str">
        <f t="shared" si="59"/>
        <v/>
      </c>
    </row>
    <row r="924" spans="1:14">
      <c r="A924">
        <f t="shared" si="57"/>
        <v>20</v>
      </c>
      <c r="B924">
        <v>20</v>
      </c>
      <c r="C924" s="11" t="s">
        <v>59</v>
      </c>
      <c r="D924" s="11" t="s">
        <v>33</v>
      </c>
      <c r="E924">
        <v>1</v>
      </c>
      <c r="F924">
        <v>0</v>
      </c>
      <c r="G924">
        <f t="shared" si="60"/>
        <v>3431</v>
      </c>
      <c r="H924" t="str">
        <f>IF(VLOOKUP(G924,[2]Sheet1!$A:$O,15,0)=1,"401}]","101}]")</f>
        <v>401}]</v>
      </c>
      <c r="I924" t="str">
        <f t="shared" si="61"/>
        <v>[{1000,1,0,3431,401}]</v>
      </c>
      <c r="J924">
        <f>VLOOKUP(G924,[2]Sheet1!$A:$O,15,0)</f>
        <v>1</v>
      </c>
      <c r="K924">
        <f>IF(A924="","",IF(J924=1,VLOOKUP(A924,[1]怪物!$R$92:$Z$111,8,0),VLOOKUP(A924,[1]怪物!$R$92:$Z$111,6,0))*10000)</f>
        <v>70000</v>
      </c>
      <c r="L924">
        <f>IF(A924="","",IF(J924=1,VLOOKUP(A924,[1]怪物!$R$92:$Z$111,9,0),VLOOKUP(A924,[1]怪物!$R$92:$Z$111,7,0))*10000)</f>
        <v>50000</v>
      </c>
      <c r="M924">
        <f t="shared" si="58"/>
        <v>10000</v>
      </c>
      <c r="N924">
        <f t="shared" si="59"/>
        <v>10000</v>
      </c>
    </row>
    <row r="925" spans="1:14">
      <c r="A925">
        <f t="shared" si="57"/>
        <v>1</v>
      </c>
      <c r="B925">
        <v>1</v>
      </c>
      <c r="C925" s="11" t="s">
        <v>60</v>
      </c>
      <c r="D925" t="s">
        <v>33</v>
      </c>
      <c r="E925">
        <v>1</v>
      </c>
      <c r="F925">
        <v>1</v>
      </c>
      <c r="G925">
        <f t="shared" si="60"/>
        <v>3501</v>
      </c>
      <c r="H925" t="str">
        <f>IF(VLOOKUP(G925,[2]Sheet1!$A:$O,15,0)=1,"401}]","101}]")</f>
        <v>101}]</v>
      </c>
      <c r="I925" t="str">
        <f t="shared" si="61"/>
        <v>[{1000,1,1,3501,101}]</v>
      </c>
      <c r="J925" t="str">
        <f>VLOOKUP(G925,[2]Sheet1!$A:$O,15,0)</f>
        <v/>
      </c>
      <c r="K925">
        <f>IF(A925="","",IF(J925=1,VLOOKUP(A925,[1]怪物!$R$92:$Z$111,8,0),VLOOKUP(A925,[1]怪物!$R$92:$Z$111,6,0))*10000)</f>
        <v>10000</v>
      </c>
      <c r="L925">
        <f>IF(A925="","",IF(J925=1,VLOOKUP(A925,[1]怪物!$R$92:$Z$111,9,0),VLOOKUP(A925,[1]怪物!$R$92:$Z$111,7,0))*10000)</f>
        <v>10000</v>
      </c>
      <c r="M925">
        <f t="shared" si="58"/>
        <v>10000</v>
      </c>
      <c r="N925">
        <f t="shared" si="59"/>
        <v>10000</v>
      </c>
    </row>
    <row r="926" spans="1:14">
      <c r="A926">
        <f t="shared" si="57"/>
        <v>2</v>
      </c>
      <c r="B926">
        <v>2</v>
      </c>
      <c r="C926" s="11" t="s">
        <v>60</v>
      </c>
      <c r="D926" t="s">
        <v>33</v>
      </c>
      <c r="E926">
        <v>1</v>
      </c>
      <c r="F926">
        <v>1</v>
      </c>
      <c r="G926">
        <f t="shared" si="60"/>
        <v>3501</v>
      </c>
      <c r="H926" t="str">
        <f>IF(VLOOKUP(G926,[2]Sheet1!$A:$O,15,0)=1,"401}]","101}]")</f>
        <v>101}]</v>
      </c>
      <c r="I926" t="str">
        <f t="shared" si="61"/>
        <v>[{1000,1,1,3501,101}]</v>
      </c>
      <c r="J926" t="str">
        <f>VLOOKUP(G926,[2]Sheet1!$A:$O,15,0)</f>
        <v/>
      </c>
      <c r="K926">
        <f>IF(A926="","",IF(J926=1,VLOOKUP(A926,[1]怪物!$R$92:$Z$111,8,0),VLOOKUP(A926,[1]怪物!$R$92:$Z$111,6,0))*10000)</f>
        <v>10000</v>
      </c>
      <c r="L926">
        <f>IF(A926="","",IF(J926=1,VLOOKUP(A926,[1]怪物!$R$92:$Z$111,9,0),VLOOKUP(A926,[1]怪物!$R$92:$Z$111,7,0))*10000)</f>
        <v>10000</v>
      </c>
      <c r="M926">
        <f t="shared" si="58"/>
        <v>10000</v>
      </c>
      <c r="N926">
        <f t="shared" si="59"/>
        <v>10000</v>
      </c>
    </row>
    <row r="927" spans="1:14">
      <c r="A927">
        <f t="shared" si="57"/>
        <v>3</v>
      </c>
      <c r="B927">
        <v>3</v>
      </c>
      <c r="C927" s="11" t="s">
        <v>60</v>
      </c>
      <c r="D927" t="s">
        <v>33</v>
      </c>
      <c r="E927">
        <v>1</v>
      </c>
      <c r="F927">
        <v>1</v>
      </c>
      <c r="G927">
        <f t="shared" si="60"/>
        <v>3501</v>
      </c>
      <c r="H927" t="str">
        <f>IF(VLOOKUP(G927,[2]Sheet1!$A:$O,15,0)=1,"401}]","101}]")</f>
        <v>101}]</v>
      </c>
      <c r="I927" t="str">
        <f t="shared" si="61"/>
        <v>[{1000,1,1,3501,101}]</v>
      </c>
      <c r="J927" t="str">
        <f>VLOOKUP(G927,[2]Sheet1!$A:$O,15,0)</f>
        <v/>
      </c>
      <c r="K927">
        <f>IF(A927="","",IF(J927=1,VLOOKUP(A927,[1]怪物!$R$92:$Z$111,8,0),VLOOKUP(A927,[1]怪物!$R$92:$Z$111,6,0))*10000)</f>
        <v>10000</v>
      </c>
      <c r="L927">
        <f>IF(A927="","",IF(J927=1,VLOOKUP(A927,[1]怪物!$R$92:$Z$111,9,0),VLOOKUP(A927,[1]怪物!$R$92:$Z$111,7,0))*10000)</f>
        <v>10000</v>
      </c>
      <c r="M927">
        <f t="shared" si="58"/>
        <v>10000</v>
      </c>
      <c r="N927">
        <f t="shared" si="59"/>
        <v>10000</v>
      </c>
    </row>
    <row r="928" spans="1:14">
      <c r="A928">
        <f t="shared" si="57"/>
        <v>4</v>
      </c>
      <c r="B928">
        <v>4</v>
      </c>
      <c r="C928" s="11" t="s">
        <v>60</v>
      </c>
      <c r="D928" t="s">
        <v>33</v>
      </c>
      <c r="E928">
        <v>1</v>
      </c>
      <c r="F928">
        <v>1</v>
      </c>
      <c r="G928">
        <f t="shared" si="60"/>
        <v>3501</v>
      </c>
      <c r="H928" t="str">
        <f>IF(VLOOKUP(G928,[2]Sheet1!$A:$O,15,0)=1,"401}]","101}]")</f>
        <v>101}]</v>
      </c>
      <c r="I928" t="str">
        <f t="shared" si="61"/>
        <v>[{1000,1,1,3501,101}]</v>
      </c>
      <c r="J928" t="str">
        <f>VLOOKUP(G928,[2]Sheet1!$A:$O,15,0)</f>
        <v/>
      </c>
      <c r="K928">
        <f>IF(A928="","",IF(J928=1,VLOOKUP(A928,[1]怪物!$R$92:$Z$111,8,0),VLOOKUP(A928,[1]怪物!$R$92:$Z$111,6,0))*10000)</f>
        <v>10000</v>
      </c>
      <c r="L928">
        <f>IF(A928="","",IF(J928=1,VLOOKUP(A928,[1]怪物!$R$92:$Z$111,9,0),VLOOKUP(A928,[1]怪物!$R$92:$Z$111,7,0))*10000)</f>
        <v>10000</v>
      </c>
      <c r="M928">
        <f t="shared" si="58"/>
        <v>10000</v>
      </c>
      <c r="N928">
        <f t="shared" si="59"/>
        <v>10000</v>
      </c>
    </row>
    <row r="929" spans="1:14">
      <c r="A929">
        <f t="shared" si="57"/>
        <v>5</v>
      </c>
      <c r="B929">
        <v>5</v>
      </c>
      <c r="C929" s="11" t="s">
        <v>60</v>
      </c>
      <c r="D929" t="s">
        <v>33</v>
      </c>
      <c r="E929">
        <v>1</v>
      </c>
      <c r="F929">
        <v>1</v>
      </c>
      <c r="G929">
        <f t="shared" si="60"/>
        <v>3501</v>
      </c>
      <c r="H929" t="str">
        <f>IF(VLOOKUP(G929,[2]Sheet1!$A:$O,15,0)=1,"401}]","101}]")</f>
        <v>101}]</v>
      </c>
      <c r="I929" t="str">
        <f t="shared" si="61"/>
        <v>[{1000,1,1,3501,101}]</v>
      </c>
      <c r="J929" t="str">
        <f>VLOOKUP(G929,[2]Sheet1!$A:$O,15,0)</f>
        <v/>
      </c>
      <c r="K929">
        <f>IF(A929="","",IF(J929=1,VLOOKUP(A929,[1]怪物!$R$92:$Z$111,8,0),VLOOKUP(A929,[1]怪物!$R$92:$Z$111,6,0))*10000)</f>
        <v>10000</v>
      </c>
      <c r="L929">
        <f>IF(A929="","",IF(J929=1,VLOOKUP(A929,[1]怪物!$R$92:$Z$111,9,0),VLOOKUP(A929,[1]怪物!$R$92:$Z$111,7,0))*10000)</f>
        <v>10000</v>
      </c>
      <c r="M929">
        <f t="shared" si="58"/>
        <v>10000</v>
      </c>
      <c r="N929">
        <f t="shared" si="59"/>
        <v>10000</v>
      </c>
    </row>
    <row r="930" spans="1:14">
      <c r="A930">
        <f t="shared" si="57"/>
        <v>6</v>
      </c>
      <c r="B930">
        <v>6</v>
      </c>
      <c r="C930" s="11" t="s">
        <v>60</v>
      </c>
      <c r="D930" t="s">
        <v>33</v>
      </c>
      <c r="E930">
        <v>1</v>
      </c>
      <c r="F930">
        <v>1</v>
      </c>
      <c r="G930">
        <f t="shared" si="60"/>
        <v>3501</v>
      </c>
      <c r="H930" t="str">
        <f>IF(VLOOKUP(G930,[2]Sheet1!$A:$O,15,0)=1,"401}]","101}]")</f>
        <v>101}]</v>
      </c>
      <c r="I930" t="str">
        <f t="shared" si="61"/>
        <v>[{1000,1,1,3501,101}]</v>
      </c>
      <c r="J930" t="str">
        <f>VLOOKUP(G930,[2]Sheet1!$A:$O,15,0)</f>
        <v/>
      </c>
      <c r="K930">
        <f>IF(A930="","",IF(J930=1,VLOOKUP(A930,[1]怪物!$R$92:$Z$111,8,0),VLOOKUP(A930,[1]怪物!$R$92:$Z$111,6,0))*10000)</f>
        <v>20000</v>
      </c>
      <c r="L930">
        <f>IF(A930="","",IF(J930=1,VLOOKUP(A930,[1]怪物!$R$92:$Z$111,9,0),VLOOKUP(A930,[1]怪物!$R$92:$Z$111,7,0))*10000)</f>
        <v>20000</v>
      </c>
      <c r="M930">
        <f t="shared" si="58"/>
        <v>20000</v>
      </c>
      <c r="N930">
        <f t="shared" si="59"/>
        <v>20000</v>
      </c>
    </row>
    <row r="931" spans="1:14">
      <c r="A931">
        <f t="shared" si="57"/>
        <v>7</v>
      </c>
      <c r="B931">
        <v>7</v>
      </c>
      <c r="C931" s="11" t="s">
        <v>60</v>
      </c>
      <c r="D931" t="s">
        <v>33</v>
      </c>
      <c r="E931">
        <v>1</v>
      </c>
      <c r="F931">
        <v>1</v>
      </c>
      <c r="G931">
        <f t="shared" si="60"/>
        <v>3501</v>
      </c>
      <c r="H931" t="str">
        <f>IF(VLOOKUP(G931,[2]Sheet1!$A:$O,15,0)=1,"401}]","101}]")</f>
        <v>101}]</v>
      </c>
      <c r="I931" t="str">
        <f t="shared" si="61"/>
        <v>[{1000,1,1,3501,101}]</v>
      </c>
      <c r="J931" t="str">
        <f>VLOOKUP(G931,[2]Sheet1!$A:$O,15,0)</f>
        <v/>
      </c>
      <c r="K931">
        <f>IF(A931="","",IF(J931=1,VLOOKUP(A931,[1]怪物!$R$92:$Z$111,8,0),VLOOKUP(A931,[1]怪物!$R$92:$Z$111,6,0))*10000)</f>
        <v>20000</v>
      </c>
      <c r="L931">
        <f>IF(A931="","",IF(J931=1,VLOOKUP(A931,[1]怪物!$R$92:$Z$111,9,0),VLOOKUP(A931,[1]怪物!$R$92:$Z$111,7,0))*10000)</f>
        <v>20000</v>
      </c>
      <c r="M931">
        <f t="shared" si="58"/>
        <v>20000</v>
      </c>
      <c r="N931">
        <f t="shared" si="59"/>
        <v>20000</v>
      </c>
    </row>
    <row r="932" spans="1:14">
      <c r="A932">
        <f t="shared" si="57"/>
        <v>7</v>
      </c>
      <c r="B932">
        <v>7</v>
      </c>
      <c r="C932" s="11" t="s">
        <v>60</v>
      </c>
      <c r="D932" t="s">
        <v>33</v>
      </c>
      <c r="E932">
        <v>1</v>
      </c>
      <c r="F932">
        <v>1</v>
      </c>
      <c r="G932">
        <f t="shared" si="60"/>
        <v>3502</v>
      </c>
      <c r="H932" t="str">
        <f>IF(VLOOKUP(G932,[2]Sheet1!$A:$O,15,0)=1,"401}]","101}]")</f>
        <v>401}]</v>
      </c>
      <c r="I932" t="str">
        <f t="shared" si="61"/>
        <v>[{1000,1,1,3502,401}]</v>
      </c>
      <c r="J932">
        <f>VLOOKUP(G932,[2]Sheet1!$A:$O,15,0)</f>
        <v>1</v>
      </c>
      <c r="K932">
        <f>IF(A932="","",IF(J932=1,VLOOKUP(A932,[1]怪物!$R$92:$Z$111,8,0),VLOOKUP(A932,[1]怪物!$R$92:$Z$111,6,0))*10000)</f>
        <v>15000</v>
      </c>
      <c r="L932">
        <f>IF(A932="","",IF(J932=1,VLOOKUP(A932,[1]怪物!$R$92:$Z$111,9,0),VLOOKUP(A932,[1]怪物!$R$92:$Z$111,7,0))*10000)</f>
        <v>15000</v>
      </c>
      <c r="M932">
        <f t="shared" si="58"/>
        <v>15000</v>
      </c>
      <c r="N932">
        <f t="shared" si="59"/>
        <v>15000</v>
      </c>
    </row>
    <row r="933" spans="1:14">
      <c r="A933">
        <f t="shared" si="57"/>
        <v>8</v>
      </c>
      <c r="B933">
        <v>8</v>
      </c>
      <c r="C933" s="11" t="s">
        <v>60</v>
      </c>
      <c r="D933" t="s">
        <v>33</v>
      </c>
      <c r="E933">
        <v>1</v>
      </c>
      <c r="F933">
        <v>1</v>
      </c>
      <c r="G933">
        <f t="shared" si="60"/>
        <v>3501</v>
      </c>
      <c r="H933" t="str">
        <f>IF(VLOOKUP(G933,[2]Sheet1!$A:$O,15,0)=1,"401}]","101}]")</f>
        <v>101}]</v>
      </c>
      <c r="I933" t="str">
        <f t="shared" si="61"/>
        <v>[{1000,1,1,3501,101}]</v>
      </c>
      <c r="J933" t="str">
        <f>VLOOKUP(G933,[2]Sheet1!$A:$O,15,0)</f>
        <v/>
      </c>
      <c r="K933">
        <f>IF(A933="","",IF(J933=1,VLOOKUP(A933,[1]怪物!$R$92:$Z$111,8,0),VLOOKUP(A933,[1]怪物!$R$92:$Z$111,6,0))*10000)</f>
        <v>20000</v>
      </c>
      <c r="L933">
        <f>IF(A933="","",IF(J933=1,VLOOKUP(A933,[1]怪物!$R$92:$Z$111,9,0),VLOOKUP(A933,[1]怪物!$R$92:$Z$111,7,0))*10000)</f>
        <v>20000</v>
      </c>
      <c r="M933">
        <f t="shared" si="58"/>
        <v>20000</v>
      </c>
      <c r="N933">
        <f t="shared" si="59"/>
        <v>20000</v>
      </c>
    </row>
    <row r="934" spans="1:14">
      <c r="A934">
        <f t="shared" si="57"/>
        <v>8</v>
      </c>
      <c r="B934">
        <v>8</v>
      </c>
      <c r="C934" s="11" t="s">
        <v>60</v>
      </c>
      <c r="D934" t="s">
        <v>33</v>
      </c>
      <c r="E934">
        <v>1</v>
      </c>
      <c r="F934">
        <v>1</v>
      </c>
      <c r="G934">
        <f t="shared" si="60"/>
        <v>3502</v>
      </c>
      <c r="H934" t="str">
        <f>IF(VLOOKUP(G934,[2]Sheet1!$A:$O,15,0)=1,"401}]","101}]")</f>
        <v>401}]</v>
      </c>
      <c r="I934" t="str">
        <f t="shared" si="61"/>
        <v>[{1000,1,1,3502,401}]</v>
      </c>
      <c r="J934">
        <f>VLOOKUP(G934,[2]Sheet1!$A:$O,15,0)</f>
        <v>1</v>
      </c>
      <c r="K934">
        <f>IF(A934="","",IF(J934=1,VLOOKUP(A934,[1]怪物!$R$92:$Z$111,8,0),VLOOKUP(A934,[1]怪物!$R$92:$Z$111,6,0))*10000)</f>
        <v>15000</v>
      </c>
      <c r="L934">
        <f>IF(A934="","",IF(J934=1,VLOOKUP(A934,[1]怪物!$R$92:$Z$111,9,0),VLOOKUP(A934,[1]怪物!$R$92:$Z$111,7,0))*10000)</f>
        <v>15000</v>
      </c>
      <c r="M934">
        <f t="shared" si="58"/>
        <v>15000</v>
      </c>
      <c r="N934">
        <f t="shared" si="59"/>
        <v>15000</v>
      </c>
    </row>
    <row r="935" spans="1:14">
      <c r="A935">
        <f t="shared" si="57"/>
        <v>9</v>
      </c>
      <c r="B935">
        <v>9</v>
      </c>
      <c r="C935" s="11" t="s">
        <v>60</v>
      </c>
      <c r="D935" t="s">
        <v>33</v>
      </c>
      <c r="E935">
        <v>1</v>
      </c>
      <c r="F935">
        <v>1</v>
      </c>
      <c r="G935">
        <f t="shared" si="60"/>
        <v>3501</v>
      </c>
      <c r="H935" t="str">
        <f>IF(VLOOKUP(G935,[2]Sheet1!$A:$O,15,0)=1,"401}]","101}]")</f>
        <v>101}]</v>
      </c>
      <c r="I935" t="str">
        <f t="shared" si="61"/>
        <v>[{1000,1,1,3501,101}]</v>
      </c>
      <c r="J935" t="str">
        <f>VLOOKUP(G935,[2]Sheet1!$A:$O,15,0)</f>
        <v/>
      </c>
      <c r="K935">
        <f>IF(A935="","",IF(J935=1,VLOOKUP(A935,[1]怪物!$R$92:$Z$111,8,0),VLOOKUP(A935,[1]怪物!$R$92:$Z$111,6,0))*10000)</f>
        <v>20000</v>
      </c>
      <c r="L935">
        <f>IF(A935="","",IF(J935=1,VLOOKUP(A935,[1]怪物!$R$92:$Z$111,9,0),VLOOKUP(A935,[1]怪物!$R$92:$Z$111,7,0))*10000)</f>
        <v>20000</v>
      </c>
      <c r="M935">
        <f t="shared" si="58"/>
        <v>20000</v>
      </c>
      <c r="N935">
        <f t="shared" si="59"/>
        <v>20000</v>
      </c>
    </row>
    <row r="936" spans="1:14">
      <c r="A936">
        <f t="shared" si="57"/>
        <v>9</v>
      </c>
      <c r="B936">
        <v>9</v>
      </c>
      <c r="C936" s="11" t="s">
        <v>60</v>
      </c>
      <c r="D936" t="s">
        <v>33</v>
      </c>
      <c r="E936">
        <v>1</v>
      </c>
      <c r="F936">
        <v>1</v>
      </c>
      <c r="G936">
        <f t="shared" si="60"/>
        <v>3502</v>
      </c>
      <c r="H936" t="str">
        <f>IF(VLOOKUP(G936,[2]Sheet1!$A:$O,15,0)=1,"401}]","101}]")</f>
        <v>401}]</v>
      </c>
      <c r="I936" t="str">
        <f t="shared" si="61"/>
        <v>[{1000,1,1,3502,401}]</v>
      </c>
      <c r="J936">
        <f>VLOOKUP(G936,[2]Sheet1!$A:$O,15,0)</f>
        <v>1</v>
      </c>
      <c r="K936">
        <f>IF(A936="","",IF(J936=1,VLOOKUP(A936,[1]怪物!$R$92:$Z$111,8,0),VLOOKUP(A936,[1]怪物!$R$92:$Z$111,6,0))*10000)</f>
        <v>15000</v>
      </c>
      <c r="L936">
        <f>IF(A936="","",IF(J936=1,VLOOKUP(A936,[1]怪物!$R$92:$Z$111,9,0),VLOOKUP(A936,[1]怪物!$R$92:$Z$111,7,0))*10000)</f>
        <v>15000</v>
      </c>
      <c r="M936">
        <f t="shared" si="58"/>
        <v>15000</v>
      </c>
      <c r="N936">
        <f t="shared" si="59"/>
        <v>15000</v>
      </c>
    </row>
    <row r="937" spans="1:14">
      <c r="A937">
        <f t="shared" si="57"/>
        <v>10</v>
      </c>
      <c r="B937">
        <v>10</v>
      </c>
      <c r="C937" s="11" t="s">
        <v>60</v>
      </c>
      <c r="D937" t="s">
        <v>33</v>
      </c>
      <c r="E937">
        <v>1</v>
      </c>
      <c r="F937">
        <v>1</v>
      </c>
      <c r="G937">
        <f t="shared" si="60"/>
        <v>3501</v>
      </c>
      <c r="H937" t="str">
        <f>IF(VLOOKUP(G937,[2]Sheet1!$A:$O,15,0)=1,"401}]","101}]")</f>
        <v>101}]</v>
      </c>
      <c r="I937" t="str">
        <f t="shared" si="61"/>
        <v>[{1000,1,1,3501,101}]</v>
      </c>
      <c r="J937" t="str">
        <f>VLOOKUP(G937,[2]Sheet1!$A:$O,15,0)</f>
        <v/>
      </c>
      <c r="K937">
        <f>IF(A937="","",IF(J937=1,VLOOKUP(A937,[1]怪物!$R$92:$Z$111,8,0),VLOOKUP(A937,[1]怪物!$R$92:$Z$111,6,0))*10000)</f>
        <v>20000</v>
      </c>
      <c r="L937">
        <f>IF(A937="","",IF(J937=1,VLOOKUP(A937,[1]怪物!$R$92:$Z$111,9,0),VLOOKUP(A937,[1]怪物!$R$92:$Z$111,7,0))*10000)</f>
        <v>20000</v>
      </c>
      <c r="M937">
        <f t="shared" si="58"/>
        <v>20000</v>
      </c>
      <c r="N937">
        <f t="shared" si="59"/>
        <v>20000</v>
      </c>
    </row>
    <row r="938" spans="1:14">
      <c r="A938">
        <f t="shared" si="57"/>
        <v>10</v>
      </c>
      <c r="B938">
        <v>10</v>
      </c>
      <c r="C938" s="11" t="s">
        <v>60</v>
      </c>
      <c r="D938" t="s">
        <v>33</v>
      </c>
      <c r="E938">
        <v>1</v>
      </c>
      <c r="F938">
        <v>1</v>
      </c>
      <c r="G938">
        <f t="shared" si="60"/>
        <v>3502</v>
      </c>
      <c r="H938" t="str">
        <f>IF(VLOOKUP(G938,[2]Sheet1!$A:$O,15,0)=1,"401}]","101}]")</f>
        <v>401}]</v>
      </c>
      <c r="I938" t="str">
        <f t="shared" si="61"/>
        <v>[{1000,1,1,3502,401}]</v>
      </c>
      <c r="J938">
        <f>VLOOKUP(G938,[2]Sheet1!$A:$O,15,0)</f>
        <v>1</v>
      </c>
      <c r="K938">
        <f>IF(A938="","",IF(J938=1,VLOOKUP(A938,[1]怪物!$R$92:$Z$111,8,0),VLOOKUP(A938,[1]怪物!$R$92:$Z$111,6,0))*10000)</f>
        <v>15000</v>
      </c>
      <c r="L938">
        <f>IF(A938="","",IF(J938=1,VLOOKUP(A938,[1]怪物!$R$92:$Z$111,9,0),VLOOKUP(A938,[1]怪物!$R$92:$Z$111,7,0))*10000)</f>
        <v>15000</v>
      </c>
      <c r="M938">
        <f t="shared" si="58"/>
        <v>15000</v>
      </c>
      <c r="N938">
        <f t="shared" si="59"/>
        <v>15000</v>
      </c>
    </row>
    <row r="939" spans="1:14">
      <c r="A939" t="str">
        <f t="shared" si="57"/>
        <v/>
      </c>
      <c r="B939">
        <v>10</v>
      </c>
      <c r="C939" s="11" t="s">
        <v>60</v>
      </c>
      <c r="D939" s="11" t="s">
        <v>28</v>
      </c>
      <c r="G939" t="str">
        <f t="shared" si="60"/>
        <v/>
      </c>
      <c r="I939" t="str">
        <f t="shared" si="61"/>
        <v>[]</v>
      </c>
      <c r="K939" t="str">
        <f>IF(A939="","",IF(J939=1,VLOOKUP(A939,[1]怪物!$R$92:$Z$111,8,0),VLOOKUP(A939,[1]怪物!$R$92:$Z$111,6,0))*10000)</f>
        <v/>
      </c>
      <c r="L939" t="str">
        <f>IF(A939="","",IF(J939=1,VLOOKUP(A939,[1]怪物!$R$92:$Z$111,9,0),VLOOKUP(A939,[1]怪物!$R$92:$Z$111,7,0))*10000)</f>
        <v/>
      </c>
      <c r="M939" t="str">
        <f t="shared" si="58"/>
        <v/>
      </c>
      <c r="N939" t="str">
        <f t="shared" si="59"/>
        <v/>
      </c>
    </row>
    <row r="940" spans="1:14">
      <c r="A940">
        <f t="shared" si="57"/>
        <v>10</v>
      </c>
      <c r="B940">
        <v>10</v>
      </c>
      <c r="C940" s="11" t="s">
        <v>60</v>
      </c>
      <c r="D940" t="s">
        <v>33</v>
      </c>
      <c r="E940">
        <v>1</v>
      </c>
      <c r="F940">
        <v>0</v>
      </c>
      <c r="G940">
        <f t="shared" si="60"/>
        <v>3521</v>
      </c>
      <c r="H940" s="11" t="s">
        <v>36</v>
      </c>
      <c r="I940" t="str">
        <f t="shared" si="61"/>
        <v>[{1000,1,0,3521,41}]</v>
      </c>
      <c r="J940" t="str">
        <f>VLOOKUP(G940,[2]Sheet1!$A:$O,15,0)</f>
        <v/>
      </c>
      <c r="K940">
        <f>IF(A940="","",IF(J940=1,VLOOKUP(A940,[1]怪物!$R$92:$Z$111,8,0),VLOOKUP(A940,[1]怪物!$R$92:$Z$111,6,0))*10000)</f>
        <v>20000</v>
      </c>
      <c r="L940">
        <f>IF(A940="","",IF(J940=1,VLOOKUP(A940,[1]怪物!$R$92:$Z$111,9,0),VLOOKUP(A940,[1]怪物!$R$92:$Z$111,7,0))*10000)</f>
        <v>20000</v>
      </c>
      <c r="M940">
        <f t="shared" si="58"/>
        <v>10000</v>
      </c>
      <c r="N940">
        <f t="shared" si="59"/>
        <v>10000</v>
      </c>
    </row>
    <row r="941" spans="1:14">
      <c r="A941">
        <f t="shared" si="57"/>
        <v>11</v>
      </c>
      <c r="B941">
        <v>11</v>
      </c>
      <c r="C941" s="11" t="s">
        <v>60</v>
      </c>
      <c r="D941" t="s">
        <v>33</v>
      </c>
      <c r="E941">
        <v>1</v>
      </c>
      <c r="F941">
        <v>1</v>
      </c>
      <c r="G941">
        <f t="shared" si="60"/>
        <v>3501</v>
      </c>
      <c r="H941" t="str">
        <f>IF(VLOOKUP(G941,[2]Sheet1!$A:$O,15,0)=1,"401}]","101}]")</f>
        <v>101}]</v>
      </c>
      <c r="I941" t="str">
        <f t="shared" si="61"/>
        <v>[{1000,1,1,3501,101}]</v>
      </c>
      <c r="J941" t="str">
        <f>VLOOKUP(G941,[2]Sheet1!$A:$O,15,0)</f>
        <v/>
      </c>
      <c r="K941">
        <f>IF(A941="","",IF(J941=1,VLOOKUP(A941,[1]怪物!$R$92:$Z$111,8,0),VLOOKUP(A941,[1]怪物!$R$92:$Z$111,6,0))*10000)</f>
        <v>40000</v>
      </c>
      <c r="L941">
        <f>IF(A941="","",IF(J941=1,VLOOKUP(A941,[1]怪物!$R$92:$Z$111,9,0),VLOOKUP(A941,[1]怪物!$R$92:$Z$111,7,0))*10000)</f>
        <v>30000</v>
      </c>
      <c r="M941">
        <f t="shared" si="58"/>
        <v>40000</v>
      </c>
      <c r="N941">
        <f t="shared" si="59"/>
        <v>30000</v>
      </c>
    </row>
    <row r="942" spans="1:14">
      <c r="A942">
        <f t="shared" si="57"/>
        <v>11</v>
      </c>
      <c r="B942">
        <v>11</v>
      </c>
      <c r="C942" s="11" t="s">
        <v>60</v>
      </c>
      <c r="D942" t="s">
        <v>33</v>
      </c>
      <c r="E942">
        <v>1</v>
      </c>
      <c r="F942">
        <v>1</v>
      </c>
      <c r="G942">
        <f t="shared" si="60"/>
        <v>3502</v>
      </c>
      <c r="H942" t="str">
        <f>IF(VLOOKUP(G942,[2]Sheet1!$A:$O,15,0)=1,"401}]","101}]")</f>
        <v>401}]</v>
      </c>
      <c r="I942" t="str">
        <f t="shared" si="61"/>
        <v>[{1000,1,1,3502,401}]</v>
      </c>
      <c r="J942">
        <f>VLOOKUP(G942,[2]Sheet1!$A:$O,15,0)</f>
        <v>1</v>
      </c>
      <c r="K942">
        <f>IF(A942="","",IF(J942=1,VLOOKUP(A942,[1]怪物!$R$92:$Z$111,8,0),VLOOKUP(A942,[1]怪物!$R$92:$Z$111,6,0))*10000)</f>
        <v>40000</v>
      </c>
      <c r="L942">
        <f>IF(A942="","",IF(J942=1,VLOOKUP(A942,[1]怪物!$R$92:$Z$111,9,0),VLOOKUP(A942,[1]怪物!$R$92:$Z$111,7,0))*10000)</f>
        <v>30000</v>
      </c>
      <c r="M942">
        <f t="shared" si="58"/>
        <v>40000</v>
      </c>
      <c r="N942">
        <f t="shared" si="59"/>
        <v>30000</v>
      </c>
    </row>
    <row r="943" spans="1:14">
      <c r="A943">
        <f t="shared" si="57"/>
        <v>12</v>
      </c>
      <c r="B943">
        <v>12</v>
      </c>
      <c r="C943" s="11" t="s">
        <v>60</v>
      </c>
      <c r="D943" t="s">
        <v>33</v>
      </c>
      <c r="E943">
        <v>1</v>
      </c>
      <c r="F943">
        <v>1</v>
      </c>
      <c r="G943">
        <f t="shared" si="60"/>
        <v>3501</v>
      </c>
      <c r="H943" t="str">
        <f>IF(VLOOKUP(G943,[2]Sheet1!$A:$O,15,0)=1,"401}]","101}]")</f>
        <v>101}]</v>
      </c>
      <c r="I943" t="str">
        <f t="shared" si="61"/>
        <v>[{1000,1,1,3501,101}]</v>
      </c>
      <c r="J943" t="str">
        <f>VLOOKUP(G943,[2]Sheet1!$A:$O,15,0)</f>
        <v/>
      </c>
      <c r="K943">
        <f>IF(A943="","",IF(J943=1,VLOOKUP(A943,[1]怪物!$R$92:$Z$111,8,0),VLOOKUP(A943,[1]怪物!$R$92:$Z$111,6,0))*10000)</f>
        <v>40000</v>
      </c>
      <c r="L943">
        <f>IF(A943="","",IF(J943=1,VLOOKUP(A943,[1]怪物!$R$92:$Z$111,9,0),VLOOKUP(A943,[1]怪物!$R$92:$Z$111,7,0))*10000)</f>
        <v>30000</v>
      </c>
      <c r="M943">
        <f t="shared" si="58"/>
        <v>40000</v>
      </c>
      <c r="N943">
        <f t="shared" si="59"/>
        <v>30000</v>
      </c>
    </row>
    <row r="944" spans="1:14">
      <c r="A944">
        <f t="shared" ref="A944:A969" si="62">IF(E944="","",B944)</f>
        <v>12</v>
      </c>
      <c r="B944">
        <v>12</v>
      </c>
      <c r="C944" s="11" t="s">
        <v>60</v>
      </c>
      <c r="D944" t="s">
        <v>33</v>
      </c>
      <c r="E944">
        <v>1</v>
      </c>
      <c r="F944">
        <v>1</v>
      </c>
      <c r="G944">
        <f t="shared" si="60"/>
        <v>3502</v>
      </c>
      <c r="H944" t="str">
        <f>IF(VLOOKUP(G944,[2]Sheet1!$A:$O,15,0)=1,"401}]","101}]")</f>
        <v>401}]</v>
      </c>
      <c r="I944" t="str">
        <f t="shared" si="61"/>
        <v>[{1000,1,1,3502,401}]</v>
      </c>
      <c r="J944">
        <f>VLOOKUP(G944,[2]Sheet1!$A:$O,15,0)</f>
        <v>1</v>
      </c>
      <c r="K944">
        <f>IF(A944="","",IF(J944=1,VLOOKUP(A944,[1]怪物!$R$92:$Z$111,8,0),VLOOKUP(A944,[1]怪物!$R$92:$Z$111,6,0))*10000)</f>
        <v>40000</v>
      </c>
      <c r="L944">
        <f>IF(A944="","",IF(J944=1,VLOOKUP(A944,[1]怪物!$R$92:$Z$111,9,0),VLOOKUP(A944,[1]怪物!$R$92:$Z$111,7,0))*10000)</f>
        <v>30000</v>
      </c>
      <c r="M944">
        <f t="shared" ref="M944:M969" si="63">IF(F944="","",IF(F944=0,10000,K944))</f>
        <v>40000</v>
      </c>
      <c r="N944">
        <f t="shared" ref="N944:N969" si="64">IF(F944="","",IF(F944=0,10000,L944))</f>
        <v>30000</v>
      </c>
    </row>
    <row r="945" spans="1:14">
      <c r="A945">
        <f t="shared" si="62"/>
        <v>13</v>
      </c>
      <c r="B945">
        <v>13</v>
      </c>
      <c r="C945" s="11" t="s">
        <v>60</v>
      </c>
      <c r="D945" t="s">
        <v>33</v>
      </c>
      <c r="E945">
        <v>1</v>
      </c>
      <c r="F945">
        <v>1</v>
      </c>
      <c r="G945">
        <f t="shared" ref="G945:G969" si="65">IF(G900="","",G900+100)</f>
        <v>3501</v>
      </c>
      <c r="H945" t="str">
        <f>IF(VLOOKUP(G945,[2]Sheet1!$A:$O,15,0)=1,"401}]","101}]")</f>
        <v>101}]</v>
      </c>
      <c r="I945" t="str">
        <f t="shared" si="61"/>
        <v>[{1000,1,1,3501,101}]</v>
      </c>
      <c r="J945" t="str">
        <f>VLOOKUP(G945,[2]Sheet1!$A:$O,15,0)</f>
        <v/>
      </c>
      <c r="K945">
        <f>IF(A945="","",IF(J945=1,VLOOKUP(A945,[1]怪物!$R$92:$Z$111,8,0),VLOOKUP(A945,[1]怪物!$R$92:$Z$111,6,0))*10000)</f>
        <v>40000</v>
      </c>
      <c r="L945">
        <f>IF(A945="","",IF(J945=1,VLOOKUP(A945,[1]怪物!$R$92:$Z$111,9,0),VLOOKUP(A945,[1]怪物!$R$92:$Z$111,7,0))*10000)</f>
        <v>30000</v>
      </c>
      <c r="M945">
        <f t="shared" si="63"/>
        <v>40000</v>
      </c>
      <c r="N945">
        <f t="shared" si="64"/>
        <v>30000</v>
      </c>
    </row>
    <row r="946" spans="1:14">
      <c r="A946">
        <f t="shared" si="62"/>
        <v>13</v>
      </c>
      <c r="B946">
        <v>13</v>
      </c>
      <c r="C946" s="11" t="s">
        <v>60</v>
      </c>
      <c r="D946" t="s">
        <v>33</v>
      </c>
      <c r="E946">
        <v>1</v>
      </c>
      <c r="F946">
        <v>1</v>
      </c>
      <c r="G946">
        <f t="shared" si="65"/>
        <v>3502</v>
      </c>
      <c r="H946" t="str">
        <f>IF(VLOOKUP(G946,[2]Sheet1!$A:$O,15,0)=1,"401}]","101}]")</f>
        <v>401}]</v>
      </c>
      <c r="I946" t="str">
        <f t="shared" si="61"/>
        <v>[{1000,1,1,3502,401}]</v>
      </c>
      <c r="J946">
        <f>VLOOKUP(G946,[2]Sheet1!$A:$O,15,0)</f>
        <v>1</v>
      </c>
      <c r="K946">
        <f>IF(A946="","",IF(J946=1,VLOOKUP(A946,[1]怪物!$R$92:$Z$111,8,0),VLOOKUP(A946,[1]怪物!$R$92:$Z$111,6,0))*10000)</f>
        <v>40000</v>
      </c>
      <c r="L946">
        <f>IF(A946="","",IF(J946=1,VLOOKUP(A946,[1]怪物!$R$92:$Z$111,9,0),VLOOKUP(A946,[1]怪物!$R$92:$Z$111,7,0))*10000)</f>
        <v>30000</v>
      </c>
      <c r="M946">
        <f t="shared" si="63"/>
        <v>40000</v>
      </c>
      <c r="N946">
        <f t="shared" si="64"/>
        <v>30000</v>
      </c>
    </row>
    <row r="947" spans="1:14">
      <c r="A947">
        <f t="shared" si="62"/>
        <v>14</v>
      </c>
      <c r="B947">
        <v>14</v>
      </c>
      <c r="C947" s="11" t="s">
        <v>60</v>
      </c>
      <c r="D947" t="s">
        <v>33</v>
      </c>
      <c r="E947">
        <v>1</v>
      </c>
      <c r="F947">
        <v>1</v>
      </c>
      <c r="G947">
        <f t="shared" si="65"/>
        <v>3501</v>
      </c>
      <c r="H947" t="str">
        <f>IF(VLOOKUP(G947,[2]Sheet1!$A:$O,15,0)=1,"401}]","101}]")</f>
        <v>101}]</v>
      </c>
      <c r="I947" t="str">
        <f t="shared" si="61"/>
        <v>[{1000,1,1,3501,101}]</v>
      </c>
      <c r="J947" t="str">
        <f>VLOOKUP(G947,[2]Sheet1!$A:$O,15,0)</f>
        <v/>
      </c>
      <c r="K947">
        <f>IF(A947="","",IF(J947=1,VLOOKUP(A947,[1]怪物!$R$92:$Z$111,8,0),VLOOKUP(A947,[1]怪物!$R$92:$Z$111,6,0))*10000)</f>
        <v>40000</v>
      </c>
      <c r="L947">
        <f>IF(A947="","",IF(J947=1,VLOOKUP(A947,[1]怪物!$R$92:$Z$111,9,0),VLOOKUP(A947,[1]怪物!$R$92:$Z$111,7,0))*10000)</f>
        <v>30000</v>
      </c>
      <c r="M947">
        <f t="shared" si="63"/>
        <v>40000</v>
      </c>
      <c r="N947">
        <f t="shared" si="64"/>
        <v>30000</v>
      </c>
    </row>
    <row r="948" spans="1:14">
      <c r="A948">
        <f t="shared" si="62"/>
        <v>14</v>
      </c>
      <c r="B948">
        <v>14</v>
      </c>
      <c r="C948" s="11" t="s">
        <v>60</v>
      </c>
      <c r="D948" t="s">
        <v>33</v>
      </c>
      <c r="E948">
        <v>1</v>
      </c>
      <c r="F948">
        <v>1</v>
      </c>
      <c r="G948">
        <f t="shared" si="65"/>
        <v>3502</v>
      </c>
      <c r="H948" t="str">
        <f>IF(VLOOKUP(G948,[2]Sheet1!$A:$O,15,0)=1,"401}]","101}]")</f>
        <v>401}]</v>
      </c>
      <c r="I948" t="str">
        <f t="shared" si="61"/>
        <v>[{1000,1,1,3502,401}]</v>
      </c>
      <c r="J948">
        <f>VLOOKUP(G948,[2]Sheet1!$A:$O,15,0)</f>
        <v>1</v>
      </c>
      <c r="K948">
        <f>IF(A948="","",IF(J948=1,VLOOKUP(A948,[1]怪物!$R$92:$Z$111,8,0),VLOOKUP(A948,[1]怪物!$R$92:$Z$111,6,0))*10000)</f>
        <v>40000</v>
      </c>
      <c r="L948">
        <f>IF(A948="","",IF(J948=1,VLOOKUP(A948,[1]怪物!$R$92:$Z$111,9,0),VLOOKUP(A948,[1]怪物!$R$92:$Z$111,7,0))*10000)</f>
        <v>30000</v>
      </c>
      <c r="M948">
        <f t="shared" si="63"/>
        <v>40000</v>
      </c>
      <c r="N948">
        <f t="shared" si="64"/>
        <v>30000</v>
      </c>
    </row>
    <row r="949" spans="1:14">
      <c r="A949">
        <f t="shared" si="62"/>
        <v>14</v>
      </c>
      <c r="B949">
        <v>14</v>
      </c>
      <c r="C949" s="11" t="s">
        <v>60</v>
      </c>
      <c r="D949" t="s">
        <v>33</v>
      </c>
      <c r="E949">
        <v>1</v>
      </c>
      <c r="F949">
        <v>1</v>
      </c>
      <c r="G949">
        <f t="shared" si="65"/>
        <v>3503</v>
      </c>
      <c r="H949" t="str">
        <f>IF(VLOOKUP(G949,[2]Sheet1!$A:$O,15,0)=1,"401}]","101}]")</f>
        <v>401}]</v>
      </c>
      <c r="I949" t="str">
        <f t="shared" si="61"/>
        <v>[{1000,1,1,3503,401}]</v>
      </c>
      <c r="J949">
        <f>VLOOKUP(G949,[2]Sheet1!$A:$O,15,0)</f>
        <v>1</v>
      </c>
      <c r="K949">
        <f>IF(A949="","",IF(J949=1,VLOOKUP(A949,[1]怪物!$R$92:$Z$111,8,0),VLOOKUP(A949,[1]怪物!$R$92:$Z$111,6,0))*10000)</f>
        <v>40000</v>
      </c>
      <c r="L949">
        <f>IF(A949="","",IF(J949=1,VLOOKUP(A949,[1]怪物!$R$92:$Z$111,9,0),VLOOKUP(A949,[1]怪物!$R$92:$Z$111,7,0))*10000)</f>
        <v>30000</v>
      </c>
      <c r="M949">
        <f t="shared" si="63"/>
        <v>40000</v>
      </c>
      <c r="N949">
        <f t="shared" si="64"/>
        <v>30000</v>
      </c>
    </row>
    <row r="950" spans="1:14">
      <c r="A950">
        <f t="shared" si="62"/>
        <v>15</v>
      </c>
      <c r="B950">
        <v>15</v>
      </c>
      <c r="C950" s="11" t="s">
        <v>60</v>
      </c>
      <c r="D950" t="s">
        <v>33</v>
      </c>
      <c r="E950">
        <v>1</v>
      </c>
      <c r="F950">
        <v>1</v>
      </c>
      <c r="G950">
        <f t="shared" si="65"/>
        <v>3501</v>
      </c>
      <c r="H950" t="str">
        <f>IF(VLOOKUP(G950,[2]Sheet1!$A:$O,15,0)=1,"401}]","101}]")</f>
        <v>101}]</v>
      </c>
      <c r="I950" t="str">
        <f t="shared" si="61"/>
        <v>[{1000,1,1,3501,101}]</v>
      </c>
      <c r="J950" t="str">
        <f>VLOOKUP(G950,[2]Sheet1!$A:$O,15,0)</f>
        <v/>
      </c>
      <c r="K950">
        <f>IF(A950="","",IF(J950=1,VLOOKUP(A950,[1]怪物!$R$92:$Z$111,8,0),VLOOKUP(A950,[1]怪物!$R$92:$Z$111,6,0))*10000)</f>
        <v>40000</v>
      </c>
      <c r="L950">
        <f>IF(A950="","",IF(J950=1,VLOOKUP(A950,[1]怪物!$R$92:$Z$111,9,0),VLOOKUP(A950,[1]怪物!$R$92:$Z$111,7,0))*10000)</f>
        <v>30000</v>
      </c>
      <c r="M950">
        <f t="shared" si="63"/>
        <v>40000</v>
      </c>
      <c r="N950">
        <f t="shared" si="64"/>
        <v>30000</v>
      </c>
    </row>
    <row r="951" spans="1:14">
      <c r="A951">
        <f t="shared" si="62"/>
        <v>15</v>
      </c>
      <c r="B951">
        <v>15</v>
      </c>
      <c r="C951" s="11" t="s">
        <v>60</v>
      </c>
      <c r="D951" t="s">
        <v>33</v>
      </c>
      <c r="E951">
        <v>1</v>
      </c>
      <c r="F951">
        <v>1</v>
      </c>
      <c r="G951">
        <f t="shared" si="65"/>
        <v>3502</v>
      </c>
      <c r="H951" t="str">
        <f>IF(VLOOKUP(G951,[2]Sheet1!$A:$O,15,0)=1,"401}]","101}]")</f>
        <v>401}]</v>
      </c>
      <c r="I951" t="str">
        <f t="shared" si="61"/>
        <v>[{1000,1,1,3502,401}]</v>
      </c>
      <c r="J951">
        <f>VLOOKUP(G951,[2]Sheet1!$A:$O,15,0)</f>
        <v>1</v>
      </c>
      <c r="K951">
        <f>IF(A951="","",IF(J951=1,VLOOKUP(A951,[1]怪物!$R$92:$Z$111,8,0),VLOOKUP(A951,[1]怪物!$R$92:$Z$111,6,0))*10000)</f>
        <v>40000</v>
      </c>
      <c r="L951">
        <f>IF(A951="","",IF(J951=1,VLOOKUP(A951,[1]怪物!$R$92:$Z$111,9,0),VLOOKUP(A951,[1]怪物!$R$92:$Z$111,7,0))*10000)</f>
        <v>30000</v>
      </c>
      <c r="M951">
        <f t="shared" si="63"/>
        <v>40000</v>
      </c>
      <c r="N951">
        <f t="shared" si="64"/>
        <v>30000</v>
      </c>
    </row>
    <row r="952" spans="1:14">
      <c r="A952">
        <f t="shared" si="62"/>
        <v>15</v>
      </c>
      <c r="B952">
        <v>15</v>
      </c>
      <c r="C952" s="11" t="s">
        <v>60</v>
      </c>
      <c r="D952" t="s">
        <v>33</v>
      </c>
      <c r="E952">
        <v>1</v>
      </c>
      <c r="F952">
        <v>1</v>
      </c>
      <c r="G952">
        <f t="shared" si="65"/>
        <v>3503</v>
      </c>
      <c r="H952" t="str">
        <f>IF(VLOOKUP(G952,[2]Sheet1!$A:$O,15,0)=1,"401}]","101}]")</f>
        <v>401}]</v>
      </c>
      <c r="I952" t="str">
        <f t="shared" si="61"/>
        <v>[{1000,1,1,3503,401}]</v>
      </c>
      <c r="J952">
        <f>VLOOKUP(G952,[2]Sheet1!$A:$O,15,0)</f>
        <v>1</v>
      </c>
      <c r="K952">
        <f>IF(A952="","",IF(J952=1,VLOOKUP(A952,[1]怪物!$R$92:$Z$111,8,0),VLOOKUP(A952,[1]怪物!$R$92:$Z$111,6,0))*10000)</f>
        <v>40000</v>
      </c>
      <c r="L952">
        <f>IF(A952="","",IF(J952=1,VLOOKUP(A952,[1]怪物!$R$92:$Z$111,9,0),VLOOKUP(A952,[1]怪物!$R$92:$Z$111,7,0))*10000)</f>
        <v>30000</v>
      </c>
      <c r="M952">
        <f t="shared" si="63"/>
        <v>40000</v>
      </c>
      <c r="N952">
        <f t="shared" si="64"/>
        <v>30000</v>
      </c>
    </row>
    <row r="953" spans="1:14">
      <c r="A953">
        <f t="shared" si="62"/>
        <v>16</v>
      </c>
      <c r="B953">
        <v>16</v>
      </c>
      <c r="C953" s="11" t="s">
        <v>60</v>
      </c>
      <c r="D953" t="s">
        <v>33</v>
      </c>
      <c r="E953">
        <v>1</v>
      </c>
      <c r="F953">
        <v>1</v>
      </c>
      <c r="G953">
        <f t="shared" si="65"/>
        <v>3501</v>
      </c>
      <c r="H953" t="str">
        <f>IF(VLOOKUP(G953,[2]Sheet1!$A:$O,15,0)=1,"401}]","101}]")</f>
        <v>101}]</v>
      </c>
      <c r="I953" t="str">
        <f t="shared" si="61"/>
        <v>[{1000,1,1,3501,101}]</v>
      </c>
      <c r="J953" t="str">
        <f>VLOOKUP(G953,[2]Sheet1!$A:$O,15,0)</f>
        <v/>
      </c>
      <c r="K953">
        <f>IF(A953="","",IF(J953=1,VLOOKUP(A953,[1]怪物!$R$92:$Z$111,8,0),VLOOKUP(A953,[1]怪物!$R$92:$Z$111,6,0))*10000)</f>
        <v>90000</v>
      </c>
      <c r="L953">
        <f>IF(A953="","",IF(J953=1,VLOOKUP(A953,[1]怪物!$R$92:$Z$111,9,0),VLOOKUP(A953,[1]怪物!$R$92:$Z$111,7,0))*10000)</f>
        <v>60000</v>
      </c>
      <c r="M953">
        <f t="shared" si="63"/>
        <v>90000</v>
      </c>
      <c r="N953">
        <f t="shared" si="64"/>
        <v>60000</v>
      </c>
    </row>
    <row r="954" spans="1:14">
      <c r="A954">
        <f t="shared" si="62"/>
        <v>16</v>
      </c>
      <c r="B954">
        <v>16</v>
      </c>
      <c r="C954" s="11" t="s">
        <v>60</v>
      </c>
      <c r="D954" t="s">
        <v>33</v>
      </c>
      <c r="E954">
        <v>1</v>
      </c>
      <c r="F954">
        <v>1</v>
      </c>
      <c r="G954">
        <f t="shared" si="65"/>
        <v>3502</v>
      </c>
      <c r="H954" t="str">
        <f>IF(VLOOKUP(G954,[2]Sheet1!$A:$O,15,0)=1,"401}]","101}]")</f>
        <v>401}]</v>
      </c>
      <c r="I954" t="str">
        <f t="shared" si="61"/>
        <v>[{1000,1,1,3502,401}]</v>
      </c>
      <c r="J954">
        <f>VLOOKUP(G954,[2]Sheet1!$A:$O,15,0)</f>
        <v>1</v>
      </c>
      <c r="K954">
        <f>IF(A954="","",IF(J954=1,VLOOKUP(A954,[1]怪物!$R$92:$Z$111,8,0),VLOOKUP(A954,[1]怪物!$R$92:$Z$111,6,0))*10000)</f>
        <v>70000</v>
      </c>
      <c r="L954">
        <f>IF(A954="","",IF(J954=1,VLOOKUP(A954,[1]怪物!$R$92:$Z$111,9,0),VLOOKUP(A954,[1]怪物!$R$92:$Z$111,7,0))*10000)</f>
        <v>50000</v>
      </c>
      <c r="M954">
        <f t="shared" si="63"/>
        <v>70000</v>
      </c>
      <c r="N954">
        <f t="shared" si="64"/>
        <v>50000</v>
      </c>
    </row>
    <row r="955" spans="1:14">
      <c r="A955">
        <f t="shared" si="62"/>
        <v>16</v>
      </c>
      <c r="B955">
        <v>16</v>
      </c>
      <c r="C955" s="11" t="s">
        <v>60</v>
      </c>
      <c r="D955" t="s">
        <v>33</v>
      </c>
      <c r="E955">
        <v>1</v>
      </c>
      <c r="F955">
        <v>1</v>
      </c>
      <c r="G955">
        <f t="shared" si="65"/>
        <v>3503</v>
      </c>
      <c r="H955" t="str">
        <f>IF(VLOOKUP(G955,[2]Sheet1!$A:$O,15,0)=1,"401}]","101}]")</f>
        <v>401}]</v>
      </c>
      <c r="I955" t="str">
        <f t="shared" si="61"/>
        <v>[{1000,1,1,3503,401}]</v>
      </c>
      <c r="J955">
        <f>VLOOKUP(G955,[2]Sheet1!$A:$O,15,0)</f>
        <v>1</v>
      </c>
      <c r="K955">
        <f>IF(A955="","",IF(J955=1,VLOOKUP(A955,[1]怪物!$R$92:$Z$111,8,0),VLOOKUP(A955,[1]怪物!$R$92:$Z$111,6,0))*10000)</f>
        <v>70000</v>
      </c>
      <c r="L955">
        <f>IF(A955="","",IF(J955=1,VLOOKUP(A955,[1]怪物!$R$92:$Z$111,9,0),VLOOKUP(A955,[1]怪物!$R$92:$Z$111,7,0))*10000)</f>
        <v>50000</v>
      </c>
      <c r="M955">
        <f t="shared" si="63"/>
        <v>70000</v>
      </c>
      <c r="N955">
        <f t="shared" si="64"/>
        <v>50000</v>
      </c>
    </row>
    <row r="956" spans="1:14">
      <c r="A956">
        <f t="shared" si="62"/>
        <v>17</v>
      </c>
      <c r="B956">
        <v>17</v>
      </c>
      <c r="C956" s="11" t="s">
        <v>60</v>
      </c>
      <c r="D956" t="s">
        <v>33</v>
      </c>
      <c r="E956">
        <v>1</v>
      </c>
      <c r="F956">
        <v>1</v>
      </c>
      <c r="G956">
        <f t="shared" si="65"/>
        <v>3501</v>
      </c>
      <c r="H956" t="str">
        <f>IF(VLOOKUP(G956,[2]Sheet1!$A:$O,15,0)=1,"401}]","101}]")</f>
        <v>101}]</v>
      </c>
      <c r="I956" t="str">
        <f t="shared" si="61"/>
        <v>[{1000,1,1,3501,101}]</v>
      </c>
      <c r="J956" t="str">
        <f>VLOOKUP(G956,[2]Sheet1!$A:$O,15,0)</f>
        <v/>
      </c>
      <c r="K956">
        <f>IF(A956="","",IF(J956=1,VLOOKUP(A956,[1]怪物!$R$92:$Z$111,8,0),VLOOKUP(A956,[1]怪物!$R$92:$Z$111,6,0))*10000)</f>
        <v>90000</v>
      </c>
      <c r="L956">
        <f>IF(A956="","",IF(J956=1,VLOOKUP(A956,[1]怪物!$R$92:$Z$111,9,0),VLOOKUP(A956,[1]怪物!$R$92:$Z$111,7,0))*10000)</f>
        <v>60000</v>
      </c>
      <c r="M956">
        <f t="shared" si="63"/>
        <v>90000</v>
      </c>
      <c r="N956">
        <f t="shared" si="64"/>
        <v>60000</v>
      </c>
    </row>
    <row r="957" spans="1:14">
      <c r="A957">
        <f t="shared" si="62"/>
        <v>17</v>
      </c>
      <c r="B957">
        <v>17</v>
      </c>
      <c r="C957" s="11" t="s">
        <v>60</v>
      </c>
      <c r="D957" t="s">
        <v>33</v>
      </c>
      <c r="E957">
        <v>1</v>
      </c>
      <c r="F957">
        <v>1</v>
      </c>
      <c r="G957">
        <f t="shared" si="65"/>
        <v>3502</v>
      </c>
      <c r="H957" t="str">
        <f>IF(VLOOKUP(G957,[2]Sheet1!$A:$O,15,0)=1,"401}]","101}]")</f>
        <v>401}]</v>
      </c>
      <c r="I957" t="str">
        <f t="shared" si="61"/>
        <v>[{1000,1,1,3502,401}]</v>
      </c>
      <c r="J957">
        <f>VLOOKUP(G957,[2]Sheet1!$A:$O,15,0)</f>
        <v>1</v>
      </c>
      <c r="K957">
        <f>IF(A957="","",IF(J957=1,VLOOKUP(A957,[1]怪物!$R$92:$Z$111,8,0),VLOOKUP(A957,[1]怪物!$R$92:$Z$111,6,0))*10000)</f>
        <v>70000</v>
      </c>
      <c r="L957">
        <f>IF(A957="","",IF(J957=1,VLOOKUP(A957,[1]怪物!$R$92:$Z$111,9,0),VLOOKUP(A957,[1]怪物!$R$92:$Z$111,7,0))*10000)</f>
        <v>50000</v>
      </c>
      <c r="M957">
        <f t="shared" si="63"/>
        <v>70000</v>
      </c>
      <c r="N957">
        <f t="shared" si="64"/>
        <v>50000</v>
      </c>
    </row>
    <row r="958" spans="1:14">
      <c r="A958">
        <f t="shared" si="62"/>
        <v>17</v>
      </c>
      <c r="B958">
        <v>17</v>
      </c>
      <c r="C958" s="11" t="s">
        <v>60</v>
      </c>
      <c r="D958" t="s">
        <v>33</v>
      </c>
      <c r="E958">
        <v>1</v>
      </c>
      <c r="F958">
        <v>1</v>
      </c>
      <c r="G958">
        <f t="shared" si="65"/>
        <v>3503</v>
      </c>
      <c r="H958" t="str">
        <f>IF(VLOOKUP(G958,[2]Sheet1!$A:$O,15,0)=1,"401}]","101}]")</f>
        <v>401}]</v>
      </c>
      <c r="I958" t="str">
        <f t="shared" si="61"/>
        <v>[{1000,1,1,3503,401}]</v>
      </c>
      <c r="J958">
        <f>VLOOKUP(G958,[2]Sheet1!$A:$O,15,0)</f>
        <v>1</v>
      </c>
      <c r="K958">
        <f>IF(A958="","",IF(J958=1,VLOOKUP(A958,[1]怪物!$R$92:$Z$111,8,0),VLOOKUP(A958,[1]怪物!$R$92:$Z$111,6,0))*10000)</f>
        <v>70000</v>
      </c>
      <c r="L958">
        <f>IF(A958="","",IF(J958=1,VLOOKUP(A958,[1]怪物!$R$92:$Z$111,9,0),VLOOKUP(A958,[1]怪物!$R$92:$Z$111,7,0))*10000)</f>
        <v>50000</v>
      </c>
      <c r="M958">
        <f t="shared" si="63"/>
        <v>70000</v>
      </c>
      <c r="N958">
        <f t="shared" si="64"/>
        <v>50000</v>
      </c>
    </row>
    <row r="959" spans="1:14">
      <c r="A959">
        <f t="shared" si="62"/>
        <v>18</v>
      </c>
      <c r="B959">
        <v>18</v>
      </c>
      <c r="C959" s="11" t="s">
        <v>60</v>
      </c>
      <c r="D959" t="s">
        <v>33</v>
      </c>
      <c r="E959">
        <v>1</v>
      </c>
      <c r="F959">
        <v>1</v>
      </c>
      <c r="G959">
        <f t="shared" si="65"/>
        <v>3501</v>
      </c>
      <c r="H959" t="str">
        <f>IF(VLOOKUP(G959,[2]Sheet1!$A:$O,15,0)=1,"401}]","101}]")</f>
        <v>101}]</v>
      </c>
      <c r="I959" t="str">
        <f t="shared" si="61"/>
        <v>[{1000,1,1,3501,101}]</v>
      </c>
      <c r="J959" t="str">
        <f>VLOOKUP(G959,[2]Sheet1!$A:$O,15,0)</f>
        <v/>
      </c>
      <c r="K959">
        <f>IF(A959="","",IF(J959=1,VLOOKUP(A959,[1]怪物!$R$92:$Z$111,8,0),VLOOKUP(A959,[1]怪物!$R$92:$Z$111,6,0))*10000)</f>
        <v>90000</v>
      </c>
      <c r="L959">
        <f>IF(A959="","",IF(J959=1,VLOOKUP(A959,[1]怪物!$R$92:$Z$111,9,0),VLOOKUP(A959,[1]怪物!$R$92:$Z$111,7,0))*10000)</f>
        <v>60000</v>
      </c>
      <c r="M959">
        <f t="shared" si="63"/>
        <v>90000</v>
      </c>
      <c r="N959">
        <f t="shared" si="64"/>
        <v>60000</v>
      </c>
    </row>
    <row r="960" spans="1:14">
      <c r="A960">
        <f t="shared" si="62"/>
        <v>18</v>
      </c>
      <c r="B960">
        <v>18</v>
      </c>
      <c r="C960" s="11" t="s">
        <v>60</v>
      </c>
      <c r="D960" t="s">
        <v>33</v>
      </c>
      <c r="E960">
        <v>1</v>
      </c>
      <c r="F960">
        <v>1</v>
      </c>
      <c r="G960">
        <f t="shared" si="65"/>
        <v>3502</v>
      </c>
      <c r="H960" t="str">
        <f>IF(VLOOKUP(G960,[2]Sheet1!$A:$O,15,0)=1,"401}]","101}]")</f>
        <v>401}]</v>
      </c>
      <c r="I960" t="str">
        <f t="shared" si="61"/>
        <v>[{1000,1,1,3502,401}]</v>
      </c>
      <c r="J960">
        <f>VLOOKUP(G960,[2]Sheet1!$A:$O,15,0)</f>
        <v>1</v>
      </c>
      <c r="K960">
        <f>IF(A960="","",IF(J960=1,VLOOKUP(A960,[1]怪物!$R$92:$Z$111,8,0),VLOOKUP(A960,[1]怪物!$R$92:$Z$111,6,0))*10000)</f>
        <v>70000</v>
      </c>
      <c r="L960">
        <f>IF(A960="","",IF(J960=1,VLOOKUP(A960,[1]怪物!$R$92:$Z$111,9,0),VLOOKUP(A960,[1]怪物!$R$92:$Z$111,7,0))*10000)</f>
        <v>50000</v>
      </c>
      <c r="M960">
        <f t="shared" si="63"/>
        <v>70000</v>
      </c>
      <c r="N960">
        <f t="shared" si="64"/>
        <v>50000</v>
      </c>
    </row>
    <row r="961" spans="1:14">
      <c r="A961">
        <f t="shared" si="62"/>
        <v>18</v>
      </c>
      <c r="B961">
        <v>18</v>
      </c>
      <c r="C961" s="11" t="s">
        <v>60</v>
      </c>
      <c r="D961" t="s">
        <v>33</v>
      </c>
      <c r="E961">
        <v>1</v>
      </c>
      <c r="F961">
        <v>1</v>
      </c>
      <c r="G961">
        <f t="shared" si="65"/>
        <v>3503</v>
      </c>
      <c r="H961" t="str">
        <f>IF(VLOOKUP(G961,[2]Sheet1!$A:$O,15,0)=1,"401}]","101}]")</f>
        <v>401}]</v>
      </c>
      <c r="I961" t="str">
        <f t="shared" si="61"/>
        <v>[{1000,1,1,3503,401}]</v>
      </c>
      <c r="J961">
        <f>VLOOKUP(G961,[2]Sheet1!$A:$O,15,0)</f>
        <v>1</v>
      </c>
      <c r="K961">
        <f>IF(A961="","",IF(J961=1,VLOOKUP(A961,[1]怪物!$R$92:$Z$111,8,0),VLOOKUP(A961,[1]怪物!$R$92:$Z$111,6,0))*10000)</f>
        <v>70000</v>
      </c>
      <c r="L961">
        <f>IF(A961="","",IF(J961=1,VLOOKUP(A961,[1]怪物!$R$92:$Z$111,9,0),VLOOKUP(A961,[1]怪物!$R$92:$Z$111,7,0))*10000)</f>
        <v>50000</v>
      </c>
      <c r="M961">
        <f t="shared" si="63"/>
        <v>70000</v>
      </c>
      <c r="N961">
        <f t="shared" si="64"/>
        <v>50000</v>
      </c>
    </row>
    <row r="962" spans="1:14">
      <c r="A962">
        <f t="shared" si="62"/>
        <v>19</v>
      </c>
      <c r="B962">
        <v>19</v>
      </c>
      <c r="C962" s="11" t="s">
        <v>60</v>
      </c>
      <c r="D962" t="s">
        <v>33</v>
      </c>
      <c r="E962">
        <v>1</v>
      </c>
      <c r="F962">
        <v>1</v>
      </c>
      <c r="G962">
        <f t="shared" si="65"/>
        <v>3501</v>
      </c>
      <c r="H962" t="str">
        <f>IF(VLOOKUP(G962,[2]Sheet1!$A:$O,15,0)=1,"401}]","101}]")</f>
        <v>101}]</v>
      </c>
      <c r="I962" t="str">
        <f t="shared" ref="I962:I969" si="66">_xlfn.TEXTJOIN(",",1,D962:H962)</f>
        <v>[{1000,1,1,3501,101}]</v>
      </c>
      <c r="J962" t="str">
        <f>VLOOKUP(G962,[2]Sheet1!$A:$O,15,0)</f>
        <v/>
      </c>
      <c r="K962">
        <f>IF(A962="","",IF(J962=1,VLOOKUP(A962,[1]怪物!$R$92:$Z$111,8,0),VLOOKUP(A962,[1]怪物!$R$92:$Z$111,6,0))*10000)</f>
        <v>90000</v>
      </c>
      <c r="L962">
        <f>IF(A962="","",IF(J962=1,VLOOKUP(A962,[1]怪物!$R$92:$Z$111,9,0),VLOOKUP(A962,[1]怪物!$R$92:$Z$111,7,0))*10000)</f>
        <v>60000</v>
      </c>
      <c r="M962">
        <f t="shared" si="63"/>
        <v>90000</v>
      </c>
      <c r="N962">
        <f t="shared" si="64"/>
        <v>60000</v>
      </c>
    </row>
    <row r="963" spans="1:14">
      <c r="A963">
        <f t="shared" si="62"/>
        <v>19</v>
      </c>
      <c r="B963">
        <v>19</v>
      </c>
      <c r="C963" s="11" t="s">
        <v>60</v>
      </c>
      <c r="D963" t="s">
        <v>33</v>
      </c>
      <c r="E963">
        <v>1</v>
      </c>
      <c r="F963">
        <v>1</v>
      </c>
      <c r="G963">
        <f t="shared" si="65"/>
        <v>3502</v>
      </c>
      <c r="H963" t="str">
        <f>IF(VLOOKUP(G963,[2]Sheet1!$A:$O,15,0)=1,"401}]","101}]")</f>
        <v>401}]</v>
      </c>
      <c r="I963" t="str">
        <f t="shared" si="66"/>
        <v>[{1000,1,1,3502,401}]</v>
      </c>
      <c r="J963">
        <f>VLOOKUP(G963,[2]Sheet1!$A:$O,15,0)</f>
        <v>1</v>
      </c>
      <c r="K963">
        <f>IF(A963="","",IF(J963=1,VLOOKUP(A963,[1]怪物!$R$92:$Z$111,8,0),VLOOKUP(A963,[1]怪物!$R$92:$Z$111,6,0))*10000)</f>
        <v>70000</v>
      </c>
      <c r="L963">
        <f>IF(A963="","",IF(J963=1,VLOOKUP(A963,[1]怪物!$R$92:$Z$111,9,0),VLOOKUP(A963,[1]怪物!$R$92:$Z$111,7,0))*10000)</f>
        <v>50000</v>
      </c>
      <c r="M963">
        <f t="shared" si="63"/>
        <v>70000</v>
      </c>
      <c r="N963">
        <f t="shared" si="64"/>
        <v>50000</v>
      </c>
    </row>
    <row r="964" spans="1:14">
      <c r="A964">
        <f t="shared" si="62"/>
        <v>19</v>
      </c>
      <c r="B964">
        <v>19</v>
      </c>
      <c r="C964" s="11" t="s">
        <v>60</v>
      </c>
      <c r="D964" t="s">
        <v>33</v>
      </c>
      <c r="E964">
        <v>1</v>
      </c>
      <c r="F964">
        <v>1</v>
      </c>
      <c r="G964">
        <f t="shared" si="65"/>
        <v>3503</v>
      </c>
      <c r="H964" t="str">
        <f>IF(VLOOKUP(G964,[2]Sheet1!$A:$O,15,0)=1,"401}]","101}]")</f>
        <v>401}]</v>
      </c>
      <c r="I964" t="str">
        <f t="shared" si="66"/>
        <v>[{1000,1,1,3503,401}]</v>
      </c>
      <c r="J964">
        <f>VLOOKUP(G964,[2]Sheet1!$A:$O,15,0)</f>
        <v>1</v>
      </c>
      <c r="K964">
        <f>IF(A964="","",IF(J964=1,VLOOKUP(A964,[1]怪物!$R$92:$Z$111,8,0),VLOOKUP(A964,[1]怪物!$R$92:$Z$111,6,0))*10000)</f>
        <v>70000</v>
      </c>
      <c r="L964">
        <f>IF(A964="","",IF(J964=1,VLOOKUP(A964,[1]怪物!$R$92:$Z$111,9,0),VLOOKUP(A964,[1]怪物!$R$92:$Z$111,7,0))*10000)</f>
        <v>50000</v>
      </c>
      <c r="M964">
        <f t="shared" si="63"/>
        <v>70000</v>
      </c>
      <c r="N964">
        <f t="shared" si="64"/>
        <v>50000</v>
      </c>
    </row>
    <row r="965" spans="1:14">
      <c r="A965">
        <f t="shared" si="62"/>
        <v>20</v>
      </c>
      <c r="B965">
        <v>20</v>
      </c>
      <c r="C965" s="11" t="s">
        <v>60</v>
      </c>
      <c r="D965" t="s">
        <v>33</v>
      </c>
      <c r="E965">
        <v>1</v>
      </c>
      <c r="F965">
        <v>1</v>
      </c>
      <c r="G965">
        <f t="shared" si="65"/>
        <v>3501</v>
      </c>
      <c r="H965" t="str">
        <f>IF(VLOOKUP(G965,[2]Sheet1!$A:$O,15,0)=1,"401}]","101}]")</f>
        <v>101}]</v>
      </c>
      <c r="I965" t="str">
        <f t="shared" si="66"/>
        <v>[{1000,1,1,3501,101}]</v>
      </c>
      <c r="J965" t="str">
        <f>VLOOKUP(G965,[2]Sheet1!$A:$O,15,0)</f>
        <v/>
      </c>
      <c r="K965">
        <f>IF(A965="","",IF(J965=1,VLOOKUP(A965,[1]怪物!$R$92:$Z$111,8,0),VLOOKUP(A965,[1]怪物!$R$92:$Z$111,6,0))*10000)</f>
        <v>90000</v>
      </c>
      <c r="L965">
        <f>IF(A965="","",IF(J965=1,VLOOKUP(A965,[1]怪物!$R$92:$Z$111,9,0),VLOOKUP(A965,[1]怪物!$R$92:$Z$111,7,0))*10000)</f>
        <v>60000</v>
      </c>
      <c r="M965">
        <f t="shared" si="63"/>
        <v>90000</v>
      </c>
      <c r="N965">
        <f t="shared" si="64"/>
        <v>60000</v>
      </c>
    </row>
    <row r="966" spans="1:14">
      <c r="A966">
        <f t="shared" si="62"/>
        <v>20</v>
      </c>
      <c r="B966">
        <v>20</v>
      </c>
      <c r="C966" s="11" t="s">
        <v>60</v>
      </c>
      <c r="D966" t="s">
        <v>33</v>
      </c>
      <c r="E966">
        <v>1</v>
      </c>
      <c r="F966">
        <v>1</v>
      </c>
      <c r="G966">
        <f t="shared" si="65"/>
        <v>3502</v>
      </c>
      <c r="H966" t="str">
        <f>IF(VLOOKUP(G966,[2]Sheet1!$A:$O,15,0)=1,"401}]","101}]")</f>
        <v>401}]</v>
      </c>
      <c r="I966" t="str">
        <f t="shared" si="66"/>
        <v>[{1000,1,1,3502,401}]</v>
      </c>
      <c r="J966">
        <f>VLOOKUP(G966,[2]Sheet1!$A:$O,15,0)</f>
        <v>1</v>
      </c>
      <c r="K966">
        <f>IF(A966="","",IF(J966=1,VLOOKUP(A966,[1]怪物!$R$92:$Z$111,8,0),VLOOKUP(A966,[1]怪物!$R$92:$Z$111,6,0))*10000)</f>
        <v>70000</v>
      </c>
      <c r="L966">
        <f>IF(A966="","",IF(J966=1,VLOOKUP(A966,[1]怪物!$R$92:$Z$111,9,0),VLOOKUP(A966,[1]怪物!$R$92:$Z$111,7,0))*10000)</f>
        <v>50000</v>
      </c>
      <c r="M966">
        <f t="shared" si="63"/>
        <v>70000</v>
      </c>
      <c r="N966">
        <f t="shared" si="64"/>
        <v>50000</v>
      </c>
    </row>
    <row r="967" spans="1:14">
      <c r="A967">
        <f t="shared" si="62"/>
        <v>20</v>
      </c>
      <c r="B967">
        <v>20</v>
      </c>
      <c r="C967" s="11" t="s">
        <v>60</v>
      </c>
      <c r="D967" s="11" t="s">
        <v>33</v>
      </c>
      <c r="E967">
        <v>1</v>
      </c>
      <c r="F967">
        <v>1</v>
      </c>
      <c r="G967">
        <f t="shared" si="65"/>
        <v>3503</v>
      </c>
      <c r="H967" t="str">
        <f>IF(VLOOKUP(G967,[2]Sheet1!$A:$O,15,0)=1,"401}]","101}]")</f>
        <v>401}]</v>
      </c>
      <c r="I967" t="str">
        <f t="shared" si="66"/>
        <v>[{1000,1,1,3503,401}]</v>
      </c>
      <c r="J967">
        <f>VLOOKUP(G967,[2]Sheet1!$A:$O,15,0)</f>
        <v>1</v>
      </c>
      <c r="K967">
        <f>IF(A967="","",IF(J967=1,VLOOKUP(A967,[1]怪物!$R$92:$Z$111,8,0),VLOOKUP(A967,[1]怪物!$R$92:$Z$111,6,0))*10000)</f>
        <v>70000</v>
      </c>
      <c r="L967">
        <f>IF(A967="","",IF(J967=1,VLOOKUP(A967,[1]怪物!$R$92:$Z$111,9,0),VLOOKUP(A967,[1]怪物!$R$92:$Z$111,7,0))*10000)</f>
        <v>50000</v>
      </c>
      <c r="M967">
        <f t="shared" si="63"/>
        <v>70000</v>
      </c>
      <c r="N967">
        <f t="shared" si="64"/>
        <v>50000</v>
      </c>
    </row>
    <row r="968" spans="1:14">
      <c r="A968" t="str">
        <f t="shared" si="62"/>
        <v/>
      </c>
      <c r="B968">
        <v>20</v>
      </c>
      <c r="C968" s="11" t="s">
        <v>60</v>
      </c>
      <c r="D968" s="11" t="s">
        <v>28</v>
      </c>
      <c r="G968" t="str">
        <f t="shared" si="65"/>
        <v/>
      </c>
      <c r="I968" t="str">
        <f t="shared" si="66"/>
        <v>[]</v>
      </c>
      <c r="K968" t="str">
        <f>IF(A968="","",IF(J968=1,VLOOKUP(A968,[1]怪物!$R$92:$Z$111,8,0),VLOOKUP(A968,[1]怪物!$R$92:$Z$111,6,0))*10000)</f>
        <v/>
      </c>
      <c r="L968" t="str">
        <f>IF(A968="","",IF(J968=1,VLOOKUP(A968,[1]怪物!$R$92:$Z$111,9,0),VLOOKUP(A968,[1]怪物!$R$92:$Z$111,7,0))*10000)</f>
        <v/>
      </c>
      <c r="M968" t="str">
        <f t="shared" si="63"/>
        <v/>
      </c>
      <c r="N968" t="str">
        <f t="shared" si="64"/>
        <v/>
      </c>
    </row>
    <row r="969" spans="1:14">
      <c r="A969">
        <f t="shared" si="62"/>
        <v>20</v>
      </c>
      <c r="B969">
        <v>20</v>
      </c>
      <c r="C969" s="11" t="s">
        <v>60</v>
      </c>
      <c r="D969" s="11" t="s">
        <v>33</v>
      </c>
      <c r="E969">
        <v>1</v>
      </c>
      <c r="F969">
        <v>0</v>
      </c>
      <c r="G969">
        <f t="shared" si="65"/>
        <v>3531</v>
      </c>
      <c r="H969" s="11" t="s">
        <v>36</v>
      </c>
      <c r="I969" t="str">
        <f t="shared" si="66"/>
        <v>[{1000,1,0,3531,41}]</v>
      </c>
      <c r="J969" t="str">
        <f>VLOOKUP(G969,[2]Sheet1!$A:$O,15,0)</f>
        <v/>
      </c>
      <c r="K969">
        <f>IF(A969="","",IF(J969=1,VLOOKUP(A969,[1]怪物!$R$92:$Z$111,8,0),VLOOKUP(A969,[1]怪物!$R$92:$Z$111,6,0))*10000)</f>
        <v>90000</v>
      </c>
      <c r="L969">
        <f>IF(A969="","",IF(J969=1,VLOOKUP(A969,[1]怪物!$R$92:$Z$111,9,0),VLOOKUP(A969,[1]怪物!$R$92:$Z$111,7,0))*10000)</f>
        <v>60000</v>
      </c>
      <c r="M969">
        <f t="shared" si="63"/>
        <v>10000</v>
      </c>
      <c r="N969">
        <f t="shared" si="64"/>
        <v>10000</v>
      </c>
    </row>
    <row r="970" spans="1:9">
      <c r="A970">
        <f t="shared" ref="A970:A1033" si="67">IF(E970="","",B970)</f>
        <v>1</v>
      </c>
      <c r="B970">
        <v>1</v>
      </c>
      <c r="C970" t="s">
        <v>61</v>
      </c>
      <c r="D970" t="s">
        <v>33</v>
      </c>
      <c r="E970">
        <v>1</v>
      </c>
      <c r="F970">
        <v>1</v>
      </c>
      <c r="G970">
        <f t="shared" ref="G970:G1014" si="68">IF(G925="","",G925+100)</f>
        <v>3601</v>
      </c>
      <c r="H970" t="str">
        <f>IF(VLOOKUP(G970,[2]Sheet1!$A:$O,15,0)=1,"401}]","101}]")</f>
        <v>101}]</v>
      </c>
      <c r="I970" t="str">
        <f t="shared" ref="I970:I1033" si="69">_xlfn.TEXTJOIN(",",1,D970:H970)</f>
        <v>[{1000,1,1,3601,101}]</v>
      </c>
    </row>
    <row r="971" spans="1:9">
      <c r="A971">
        <f t="shared" si="67"/>
        <v>2</v>
      </c>
      <c r="B971">
        <v>2</v>
      </c>
      <c r="C971" t="s">
        <v>61</v>
      </c>
      <c r="D971" t="s">
        <v>33</v>
      </c>
      <c r="E971">
        <v>1</v>
      </c>
      <c r="F971">
        <v>1</v>
      </c>
      <c r="G971">
        <f t="shared" si="68"/>
        <v>3601</v>
      </c>
      <c r="H971" t="str">
        <f>IF(VLOOKUP(G971,[2]Sheet1!$A:$O,15,0)=1,"401}]","101}]")</f>
        <v>101}]</v>
      </c>
      <c r="I971" t="str">
        <f t="shared" si="69"/>
        <v>[{1000,1,1,3601,101}]</v>
      </c>
    </row>
    <row r="972" spans="1:9">
      <c r="A972">
        <f t="shared" si="67"/>
        <v>3</v>
      </c>
      <c r="B972">
        <v>3</v>
      </c>
      <c r="C972" t="s">
        <v>61</v>
      </c>
      <c r="D972" t="s">
        <v>33</v>
      </c>
      <c r="E972">
        <v>1</v>
      </c>
      <c r="F972">
        <v>1</v>
      </c>
      <c r="G972">
        <f t="shared" si="68"/>
        <v>3601</v>
      </c>
      <c r="H972" t="str">
        <f>IF(VLOOKUP(G972,[2]Sheet1!$A:$O,15,0)=1,"401}]","101}]")</f>
        <v>101}]</v>
      </c>
      <c r="I972" t="str">
        <f t="shared" si="69"/>
        <v>[{1000,1,1,3601,101}]</v>
      </c>
    </row>
    <row r="973" spans="1:9">
      <c r="A973">
        <f t="shared" si="67"/>
        <v>4</v>
      </c>
      <c r="B973">
        <v>4</v>
      </c>
      <c r="C973" t="s">
        <v>61</v>
      </c>
      <c r="D973" t="s">
        <v>33</v>
      </c>
      <c r="E973">
        <v>1</v>
      </c>
      <c r="F973">
        <v>1</v>
      </c>
      <c r="G973">
        <f t="shared" si="68"/>
        <v>3601</v>
      </c>
      <c r="H973" t="str">
        <f>IF(VLOOKUP(G973,[2]Sheet1!$A:$O,15,0)=1,"401}]","101}]")</f>
        <v>101}]</v>
      </c>
      <c r="I973" t="str">
        <f t="shared" si="69"/>
        <v>[{1000,1,1,3601,101}]</v>
      </c>
    </row>
    <row r="974" spans="1:9">
      <c r="A974">
        <f t="shared" si="67"/>
        <v>5</v>
      </c>
      <c r="B974">
        <v>5</v>
      </c>
      <c r="C974" t="s">
        <v>61</v>
      </c>
      <c r="D974" t="s">
        <v>33</v>
      </c>
      <c r="E974">
        <v>1</v>
      </c>
      <c r="F974">
        <v>1</v>
      </c>
      <c r="G974">
        <f t="shared" si="68"/>
        <v>3601</v>
      </c>
      <c r="H974" t="str">
        <f>IF(VLOOKUP(G974,[2]Sheet1!$A:$O,15,0)=1,"401}]","101}]")</f>
        <v>101}]</v>
      </c>
      <c r="I974" t="str">
        <f t="shared" si="69"/>
        <v>[{1000,1,1,3601,101}]</v>
      </c>
    </row>
    <row r="975" spans="1:9">
      <c r="A975">
        <f t="shared" si="67"/>
        <v>6</v>
      </c>
      <c r="B975">
        <v>6</v>
      </c>
      <c r="C975" t="s">
        <v>61</v>
      </c>
      <c r="D975" t="s">
        <v>33</v>
      </c>
      <c r="E975">
        <v>1</v>
      </c>
      <c r="F975">
        <v>1</v>
      </c>
      <c r="G975">
        <f t="shared" si="68"/>
        <v>3601</v>
      </c>
      <c r="H975" t="str">
        <f>IF(VLOOKUP(G975,[2]Sheet1!$A:$O,15,0)=1,"401}]","101}]")</f>
        <v>101}]</v>
      </c>
      <c r="I975" t="str">
        <f t="shared" si="69"/>
        <v>[{1000,1,1,3601,101}]</v>
      </c>
    </row>
    <row r="976" spans="1:9">
      <c r="A976">
        <f t="shared" si="67"/>
        <v>7</v>
      </c>
      <c r="B976">
        <v>7</v>
      </c>
      <c r="C976" t="s">
        <v>61</v>
      </c>
      <c r="D976" t="s">
        <v>33</v>
      </c>
      <c r="E976">
        <v>1</v>
      </c>
      <c r="F976">
        <v>1</v>
      </c>
      <c r="G976">
        <f t="shared" si="68"/>
        <v>3601</v>
      </c>
      <c r="H976" t="str">
        <f>IF(VLOOKUP(G976,[2]Sheet1!$A:$O,15,0)=1,"401}]","101}]")</f>
        <v>101}]</v>
      </c>
      <c r="I976" t="str">
        <f t="shared" si="69"/>
        <v>[{1000,1,1,3601,101}]</v>
      </c>
    </row>
    <row r="977" spans="1:9">
      <c r="A977">
        <f t="shared" si="67"/>
        <v>7</v>
      </c>
      <c r="B977">
        <v>7</v>
      </c>
      <c r="C977" t="s">
        <v>61</v>
      </c>
      <c r="D977" t="s">
        <v>33</v>
      </c>
      <c r="E977">
        <v>1</v>
      </c>
      <c r="F977">
        <v>1</v>
      </c>
      <c r="G977">
        <f t="shared" si="68"/>
        <v>3602</v>
      </c>
      <c r="H977" t="str">
        <f>IF(VLOOKUP(G977,[2]Sheet1!$A:$O,15,0)=1,"401}]","101}]")</f>
        <v>401}]</v>
      </c>
      <c r="I977" t="str">
        <f t="shared" si="69"/>
        <v>[{1000,1,1,3602,401}]</v>
      </c>
    </row>
    <row r="978" spans="1:9">
      <c r="A978">
        <f t="shared" si="67"/>
        <v>8</v>
      </c>
      <c r="B978">
        <v>8</v>
      </c>
      <c r="C978" t="s">
        <v>61</v>
      </c>
      <c r="D978" t="s">
        <v>33</v>
      </c>
      <c r="E978">
        <v>1</v>
      </c>
      <c r="F978">
        <v>1</v>
      </c>
      <c r="G978">
        <f t="shared" si="68"/>
        <v>3601</v>
      </c>
      <c r="H978" t="str">
        <f>IF(VLOOKUP(G978,[2]Sheet1!$A:$O,15,0)=1,"401}]","101}]")</f>
        <v>101}]</v>
      </c>
      <c r="I978" t="str">
        <f t="shared" si="69"/>
        <v>[{1000,1,1,3601,101}]</v>
      </c>
    </row>
    <row r="979" spans="1:9">
      <c r="A979">
        <f t="shared" si="67"/>
        <v>8</v>
      </c>
      <c r="B979">
        <v>8</v>
      </c>
      <c r="C979" t="s">
        <v>61</v>
      </c>
      <c r="D979" t="s">
        <v>33</v>
      </c>
      <c r="E979">
        <v>1</v>
      </c>
      <c r="F979">
        <v>1</v>
      </c>
      <c r="G979">
        <f t="shared" si="68"/>
        <v>3602</v>
      </c>
      <c r="H979" t="str">
        <f>IF(VLOOKUP(G979,[2]Sheet1!$A:$O,15,0)=1,"401}]","101}]")</f>
        <v>401}]</v>
      </c>
      <c r="I979" t="str">
        <f t="shared" si="69"/>
        <v>[{1000,1,1,3602,401}]</v>
      </c>
    </row>
    <row r="980" spans="1:9">
      <c r="A980">
        <f t="shared" si="67"/>
        <v>9</v>
      </c>
      <c r="B980">
        <v>9</v>
      </c>
      <c r="C980" t="s">
        <v>61</v>
      </c>
      <c r="D980" t="s">
        <v>33</v>
      </c>
      <c r="E980">
        <v>1</v>
      </c>
      <c r="F980">
        <v>1</v>
      </c>
      <c r="G980">
        <f t="shared" si="68"/>
        <v>3601</v>
      </c>
      <c r="H980" t="str">
        <f>IF(VLOOKUP(G980,[2]Sheet1!$A:$O,15,0)=1,"401}]","101}]")</f>
        <v>101}]</v>
      </c>
      <c r="I980" t="str">
        <f t="shared" si="69"/>
        <v>[{1000,1,1,3601,101}]</v>
      </c>
    </row>
    <row r="981" spans="1:9">
      <c r="A981">
        <f t="shared" si="67"/>
        <v>9</v>
      </c>
      <c r="B981">
        <v>9</v>
      </c>
      <c r="C981" t="s">
        <v>61</v>
      </c>
      <c r="D981" t="s">
        <v>33</v>
      </c>
      <c r="E981">
        <v>1</v>
      </c>
      <c r="F981">
        <v>1</v>
      </c>
      <c r="G981">
        <f t="shared" si="68"/>
        <v>3602</v>
      </c>
      <c r="H981" t="str">
        <f>IF(VLOOKUP(G981,[2]Sheet1!$A:$O,15,0)=1,"401}]","101}]")</f>
        <v>401}]</v>
      </c>
      <c r="I981" t="str">
        <f t="shared" si="69"/>
        <v>[{1000,1,1,3602,401}]</v>
      </c>
    </row>
    <row r="982" spans="1:9">
      <c r="A982">
        <f t="shared" si="67"/>
        <v>10</v>
      </c>
      <c r="B982">
        <v>10</v>
      </c>
      <c r="C982" t="s">
        <v>61</v>
      </c>
      <c r="D982" t="s">
        <v>33</v>
      </c>
      <c r="E982">
        <v>1</v>
      </c>
      <c r="F982">
        <v>1</v>
      </c>
      <c r="G982">
        <f t="shared" si="68"/>
        <v>3601</v>
      </c>
      <c r="H982" t="str">
        <f>IF(VLOOKUP(G982,[2]Sheet1!$A:$O,15,0)=1,"401}]","101}]")</f>
        <v>101}]</v>
      </c>
      <c r="I982" t="str">
        <f t="shared" si="69"/>
        <v>[{1000,1,1,3601,101}]</v>
      </c>
    </row>
    <row r="983" spans="1:9">
      <c r="A983">
        <f t="shared" si="67"/>
        <v>10</v>
      </c>
      <c r="B983">
        <v>10</v>
      </c>
      <c r="C983" t="s">
        <v>61</v>
      </c>
      <c r="D983" t="s">
        <v>33</v>
      </c>
      <c r="E983">
        <v>1</v>
      </c>
      <c r="F983">
        <v>1</v>
      </c>
      <c r="G983">
        <f t="shared" si="68"/>
        <v>3602</v>
      </c>
      <c r="H983" t="str">
        <f>IF(VLOOKUP(G983,[2]Sheet1!$A:$O,15,0)=1,"401}]","101}]")</f>
        <v>401}]</v>
      </c>
      <c r="I983" t="str">
        <f t="shared" si="69"/>
        <v>[{1000,1,1,3602,401}]</v>
      </c>
    </row>
    <row r="984" spans="1:9">
      <c r="A984" t="str">
        <f t="shared" si="67"/>
        <v/>
      </c>
      <c r="B984">
        <v>10</v>
      </c>
      <c r="C984" t="s">
        <v>61</v>
      </c>
      <c r="D984" s="11" t="s">
        <v>28</v>
      </c>
      <c r="G984" t="str">
        <f t="shared" si="68"/>
        <v/>
      </c>
      <c r="I984" t="str">
        <f t="shared" si="69"/>
        <v>[]</v>
      </c>
    </row>
    <row r="985" spans="1:9">
      <c r="A985">
        <f t="shared" si="67"/>
        <v>10</v>
      </c>
      <c r="B985">
        <v>10</v>
      </c>
      <c r="C985" t="s">
        <v>61</v>
      </c>
      <c r="D985" t="s">
        <v>33</v>
      </c>
      <c r="E985">
        <v>1</v>
      </c>
      <c r="F985">
        <v>0</v>
      </c>
      <c r="G985">
        <f t="shared" si="68"/>
        <v>3621</v>
      </c>
      <c r="H985" t="str">
        <f>IF(VLOOKUP(G985,[2]Sheet1!$A:$O,15,0)=1,"401}]","101}]")</f>
        <v>401}]</v>
      </c>
      <c r="I985" t="str">
        <f t="shared" si="69"/>
        <v>[{1000,1,0,3621,401}]</v>
      </c>
    </row>
    <row r="986" spans="1:9">
      <c r="A986">
        <f t="shared" si="67"/>
        <v>11</v>
      </c>
      <c r="B986">
        <v>11</v>
      </c>
      <c r="C986" t="s">
        <v>61</v>
      </c>
      <c r="D986" t="s">
        <v>33</v>
      </c>
      <c r="E986">
        <v>1</v>
      </c>
      <c r="F986">
        <v>1</v>
      </c>
      <c r="G986">
        <f t="shared" si="68"/>
        <v>3601</v>
      </c>
      <c r="H986" t="str">
        <f>IF(VLOOKUP(G986,[2]Sheet1!$A:$O,15,0)=1,"401}]","101}]")</f>
        <v>101}]</v>
      </c>
      <c r="I986" t="str">
        <f t="shared" si="69"/>
        <v>[{1000,1,1,3601,101}]</v>
      </c>
    </row>
    <row r="987" spans="1:9">
      <c r="A987">
        <f t="shared" si="67"/>
        <v>11</v>
      </c>
      <c r="B987">
        <v>11</v>
      </c>
      <c r="C987" t="s">
        <v>61</v>
      </c>
      <c r="D987" t="s">
        <v>33</v>
      </c>
      <c r="E987">
        <v>1</v>
      </c>
      <c r="F987">
        <v>1</v>
      </c>
      <c r="G987">
        <f t="shared" si="68"/>
        <v>3602</v>
      </c>
      <c r="H987" t="str">
        <f>IF(VLOOKUP(G987,[2]Sheet1!$A:$O,15,0)=1,"401}]","101}]")</f>
        <v>401}]</v>
      </c>
      <c r="I987" t="str">
        <f t="shared" si="69"/>
        <v>[{1000,1,1,3602,401}]</v>
      </c>
    </row>
    <row r="988" spans="1:9">
      <c r="A988">
        <f t="shared" si="67"/>
        <v>12</v>
      </c>
      <c r="B988">
        <v>12</v>
      </c>
      <c r="C988" t="s">
        <v>61</v>
      </c>
      <c r="D988" t="s">
        <v>33</v>
      </c>
      <c r="E988">
        <v>1</v>
      </c>
      <c r="F988">
        <v>1</v>
      </c>
      <c r="G988">
        <f t="shared" si="68"/>
        <v>3601</v>
      </c>
      <c r="H988" t="str">
        <f>IF(VLOOKUP(G988,[2]Sheet1!$A:$O,15,0)=1,"401}]","101}]")</f>
        <v>101}]</v>
      </c>
      <c r="I988" t="str">
        <f t="shared" si="69"/>
        <v>[{1000,1,1,3601,101}]</v>
      </c>
    </row>
    <row r="989" spans="1:9">
      <c r="A989">
        <f t="shared" si="67"/>
        <v>12</v>
      </c>
      <c r="B989">
        <v>12</v>
      </c>
      <c r="C989" t="s">
        <v>61</v>
      </c>
      <c r="D989" t="s">
        <v>33</v>
      </c>
      <c r="E989">
        <v>1</v>
      </c>
      <c r="F989">
        <v>1</v>
      </c>
      <c r="G989">
        <f t="shared" si="68"/>
        <v>3602</v>
      </c>
      <c r="H989" t="str">
        <f>IF(VLOOKUP(G989,[2]Sheet1!$A:$O,15,0)=1,"401}]","101}]")</f>
        <v>401}]</v>
      </c>
      <c r="I989" t="str">
        <f t="shared" si="69"/>
        <v>[{1000,1,1,3602,401}]</v>
      </c>
    </row>
    <row r="990" spans="1:9">
      <c r="A990">
        <f t="shared" si="67"/>
        <v>13</v>
      </c>
      <c r="B990">
        <v>13</v>
      </c>
      <c r="C990" t="s">
        <v>61</v>
      </c>
      <c r="D990" t="s">
        <v>33</v>
      </c>
      <c r="E990">
        <v>1</v>
      </c>
      <c r="F990">
        <v>1</v>
      </c>
      <c r="G990">
        <f t="shared" si="68"/>
        <v>3601</v>
      </c>
      <c r="H990" t="str">
        <f>IF(VLOOKUP(G990,[2]Sheet1!$A:$O,15,0)=1,"401}]","101}]")</f>
        <v>101}]</v>
      </c>
      <c r="I990" t="str">
        <f t="shared" si="69"/>
        <v>[{1000,1,1,3601,101}]</v>
      </c>
    </row>
    <row r="991" spans="1:9">
      <c r="A991">
        <f t="shared" si="67"/>
        <v>13</v>
      </c>
      <c r="B991">
        <v>13</v>
      </c>
      <c r="C991" t="s">
        <v>61</v>
      </c>
      <c r="D991" t="s">
        <v>33</v>
      </c>
      <c r="E991">
        <v>1</v>
      </c>
      <c r="F991">
        <v>1</v>
      </c>
      <c r="G991">
        <f t="shared" si="68"/>
        <v>3602</v>
      </c>
      <c r="H991" t="str">
        <f>IF(VLOOKUP(G991,[2]Sheet1!$A:$O,15,0)=1,"401}]","101}]")</f>
        <v>401}]</v>
      </c>
      <c r="I991" t="str">
        <f t="shared" si="69"/>
        <v>[{1000,1,1,3602,401}]</v>
      </c>
    </row>
    <row r="992" spans="1:9">
      <c r="A992">
        <f t="shared" si="67"/>
        <v>14</v>
      </c>
      <c r="B992">
        <v>14</v>
      </c>
      <c r="C992" t="s">
        <v>61</v>
      </c>
      <c r="D992" t="s">
        <v>33</v>
      </c>
      <c r="E992">
        <v>1</v>
      </c>
      <c r="F992">
        <v>1</v>
      </c>
      <c r="G992">
        <f t="shared" si="68"/>
        <v>3601</v>
      </c>
      <c r="H992" t="str">
        <f>IF(VLOOKUP(G992,[2]Sheet1!$A:$O,15,0)=1,"401}]","101}]")</f>
        <v>101}]</v>
      </c>
      <c r="I992" t="str">
        <f t="shared" si="69"/>
        <v>[{1000,1,1,3601,101}]</v>
      </c>
    </row>
    <row r="993" spans="1:9">
      <c r="A993">
        <f t="shared" si="67"/>
        <v>14</v>
      </c>
      <c r="B993">
        <v>14</v>
      </c>
      <c r="C993" t="s">
        <v>61</v>
      </c>
      <c r="D993" t="s">
        <v>33</v>
      </c>
      <c r="E993">
        <v>1</v>
      </c>
      <c r="F993">
        <v>1</v>
      </c>
      <c r="G993">
        <f t="shared" si="68"/>
        <v>3602</v>
      </c>
      <c r="H993" t="str">
        <f>IF(VLOOKUP(G993,[2]Sheet1!$A:$O,15,0)=1,"401}]","101}]")</f>
        <v>401}]</v>
      </c>
      <c r="I993" t="str">
        <f t="shared" si="69"/>
        <v>[{1000,1,1,3602,401}]</v>
      </c>
    </row>
    <row r="994" spans="1:9">
      <c r="A994">
        <f t="shared" si="67"/>
        <v>14</v>
      </c>
      <c r="B994">
        <v>14</v>
      </c>
      <c r="C994" t="s">
        <v>61</v>
      </c>
      <c r="D994" t="s">
        <v>33</v>
      </c>
      <c r="E994">
        <v>1</v>
      </c>
      <c r="F994">
        <v>1</v>
      </c>
      <c r="G994">
        <f t="shared" si="68"/>
        <v>3603</v>
      </c>
      <c r="H994" t="str">
        <f>IF(VLOOKUP(G994,[2]Sheet1!$A:$O,15,0)=1,"401}]","101}]")</f>
        <v>401}]</v>
      </c>
      <c r="I994" t="str">
        <f t="shared" si="69"/>
        <v>[{1000,1,1,3603,401}]</v>
      </c>
    </row>
    <row r="995" spans="1:9">
      <c r="A995">
        <f t="shared" si="67"/>
        <v>15</v>
      </c>
      <c r="B995">
        <v>15</v>
      </c>
      <c r="C995" t="s">
        <v>61</v>
      </c>
      <c r="D995" t="s">
        <v>33</v>
      </c>
      <c r="E995">
        <v>1</v>
      </c>
      <c r="F995">
        <v>1</v>
      </c>
      <c r="G995">
        <f t="shared" si="68"/>
        <v>3601</v>
      </c>
      <c r="H995" t="str">
        <f>IF(VLOOKUP(G995,[2]Sheet1!$A:$O,15,0)=1,"401}]","101}]")</f>
        <v>101}]</v>
      </c>
      <c r="I995" t="str">
        <f t="shared" si="69"/>
        <v>[{1000,1,1,3601,101}]</v>
      </c>
    </row>
    <row r="996" spans="1:9">
      <c r="A996">
        <f t="shared" si="67"/>
        <v>15</v>
      </c>
      <c r="B996">
        <v>15</v>
      </c>
      <c r="C996" t="s">
        <v>61</v>
      </c>
      <c r="D996" t="s">
        <v>33</v>
      </c>
      <c r="E996">
        <v>1</v>
      </c>
      <c r="F996">
        <v>1</v>
      </c>
      <c r="G996">
        <f t="shared" si="68"/>
        <v>3602</v>
      </c>
      <c r="H996" t="str">
        <f>IF(VLOOKUP(G996,[2]Sheet1!$A:$O,15,0)=1,"401}]","101}]")</f>
        <v>401}]</v>
      </c>
      <c r="I996" t="str">
        <f t="shared" si="69"/>
        <v>[{1000,1,1,3602,401}]</v>
      </c>
    </row>
    <row r="997" spans="1:9">
      <c r="A997">
        <f t="shared" si="67"/>
        <v>15</v>
      </c>
      <c r="B997">
        <v>15</v>
      </c>
      <c r="C997" t="s">
        <v>61</v>
      </c>
      <c r="D997" t="s">
        <v>33</v>
      </c>
      <c r="E997">
        <v>1</v>
      </c>
      <c r="F997">
        <v>1</v>
      </c>
      <c r="G997">
        <f t="shared" si="68"/>
        <v>3603</v>
      </c>
      <c r="H997" t="str">
        <f>IF(VLOOKUP(G997,[2]Sheet1!$A:$O,15,0)=1,"401}]","101}]")</f>
        <v>401}]</v>
      </c>
      <c r="I997" t="str">
        <f t="shared" si="69"/>
        <v>[{1000,1,1,3603,401}]</v>
      </c>
    </row>
    <row r="998" spans="1:9">
      <c r="A998">
        <f t="shared" si="67"/>
        <v>16</v>
      </c>
      <c r="B998">
        <v>16</v>
      </c>
      <c r="C998" t="s">
        <v>61</v>
      </c>
      <c r="D998" t="s">
        <v>33</v>
      </c>
      <c r="E998">
        <v>1</v>
      </c>
      <c r="F998">
        <v>1</v>
      </c>
      <c r="G998">
        <f t="shared" si="68"/>
        <v>3601</v>
      </c>
      <c r="H998" t="str">
        <f>IF(VLOOKUP(G998,[2]Sheet1!$A:$O,15,0)=1,"401}]","101}]")</f>
        <v>101}]</v>
      </c>
      <c r="I998" t="str">
        <f t="shared" si="69"/>
        <v>[{1000,1,1,3601,101}]</v>
      </c>
    </row>
    <row r="999" spans="1:9">
      <c r="A999">
        <f t="shared" si="67"/>
        <v>16</v>
      </c>
      <c r="B999">
        <v>16</v>
      </c>
      <c r="C999" t="s">
        <v>61</v>
      </c>
      <c r="D999" t="s">
        <v>33</v>
      </c>
      <c r="E999">
        <v>1</v>
      </c>
      <c r="F999">
        <v>1</v>
      </c>
      <c r="G999">
        <f t="shared" si="68"/>
        <v>3602</v>
      </c>
      <c r="H999" t="str">
        <f>IF(VLOOKUP(G999,[2]Sheet1!$A:$O,15,0)=1,"401}]","101}]")</f>
        <v>401}]</v>
      </c>
      <c r="I999" t="str">
        <f t="shared" si="69"/>
        <v>[{1000,1,1,3602,401}]</v>
      </c>
    </row>
    <row r="1000" spans="1:9">
      <c r="A1000">
        <f t="shared" si="67"/>
        <v>16</v>
      </c>
      <c r="B1000">
        <v>16</v>
      </c>
      <c r="C1000" t="s">
        <v>61</v>
      </c>
      <c r="D1000" t="s">
        <v>33</v>
      </c>
      <c r="E1000">
        <v>1</v>
      </c>
      <c r="F1000">
        <v>1</v>
      </c>
      <c r="G1000">
        <f t="shared" si="68"/>
        <v>3603</v>
      </c>
      <c r="H1000" t="str">
        <f>IF(VLOOKUP(G1000,[2]Sheet1!$A:$O,15,0)=1,"401}]","101}]")</f>
        <v>401}]</v>
      </c>
      <c r="I1000" t="str">
        <f t="shared" si="69"/>
        <v>[{1000,1,1,3603,401}]</v>
      </c>
    </row>
    <row r="1001" spans="1:9">
      <c r="A1001">
        <f t="shared" si="67"/>
        <v>17</v>
      </c>
      <c r="B1001">
        <v>17</v>
      </c>
      <c r="C1001" t="s">
        <v>61</v>
      </c>
      <c r="D1001" t="s">
        <v>33</v>
      </c>
      <c r="E1001">
        <v>1</v>
      </c>
      <c r="F1001">
        <v>1</v>
      </c>
      <c r="G1001">
        <f t="shared" si="68"/>
        <v>3601</v>
      </c>
      <c r="H1001" t="str">
        <f>IF(VLOOKUP(G1001,[2]Sheet1!$A:$O,15,0)=1,"401}]","101}]")</f>
        <v>101}]</v>
      </c>
      <c r="I1001" t="str">
        <f t="shared" si="69"/>
        <v>[{1000,1,1,3601,101}]</v>
      </c>
    </row>
    <row r="1002" spans="1:9">
      <c r="A1002">
        <f t="shared" si="67"/>
        <v>17</v>
      </c>
      <c r="B1002">
        <v>17</v>
      </c>
      <c r="C1002" t="s">
        <v>61</v>
      </c>
      <c r="D1002" t="s">
        <v>33</v>
      </c>
      <c r="E1002">
        <v>1</v>
      </c>
      <c r="F1002">
        <v>1</v>
      </c>
      <c r="G1002">
        <f t="shared" si="68"/>
        <v>3602</v>
      </c>
      <c r="H1002" t="str">
        <f>IF(VLOOKUP(G1002,[2]Sheet1!$A:$O,15,0)=1,"401}]","101}]")</f>
        <v>401}]</v>
      </c>
      <c r="I1002" t="str">
        <f t="shared" si="69"/>
        <v>[{1000,1,1,3602,401}]</v>
      </c>
    </row>
    <row r="1003" spans="1:9">
      <c r="A1003">
        <f t="shared" si="67"/>
        <v>17</v>
      </c>
      <c r="B1003">
        <v>17</v>
      </c>
      <c r="C1003" t="s">
        <v>61</v>
      </c>
      <c r="D1003" t="s">
        <v>33</v>
      </c>
      <c r="E1003">
        <v>1</v>
      </c>
      <c r="F1003">
        <v>1</v>
      </c>
      <c r="G1003">
        <f t="shared" si="68"/>
        <v>3603</v>
      </c>
      <c r="H1003" t="str">
        <f>IF(VLOOKUP(G1003,[2]Sheet1!$A:$O,15,0)=1,"401}]","101}]")</f>
        <v>401}]</v>
      </c>
      <c r="I1003" t="str">
        <f t="shared" si="69"/>
        <v>[{1000,1,1,3603,401}]</v>
      </c>
    </row>
    <row r="1004" spans="1:9">
      <c r="A1004">
        <f t="shared" si="67"/>
        <v>18</v>
      </c>
      <c r="B1004">
        <v>18</v>
      </c>
      <c r="C1004" t="s">
        <v>61</v>
      </c>
      <c r="D1004" t="s">
        <v>33</v>
      </c>
      <c r="E1004">
        <v>1</v>
      </c>
      <c r="F1004">
        <v>1</v>
      </c>
      <c r="G1004">
        <f t="shared" si="68"/>
        <v>3601</v>
      </c>
      <c r="H1004" t="str">
        <f>IF(VLOOKUP(G1004,[2]Sheet1!$A:$O,15,0)=1,"401}]","101}]")</f>
        <v>101}]</v>
      </c>
      <c r="I1004" t="str">
        <f t="shared" si="69"/>
        <v>[{1000,1,1,3601,101}]</v>
      </c>
    </row>
    <row r="1005" spans="1:9">
      <c r="A1005">
        <f t="shared" si="67"/>
        <v>18</v>
      </c>
      <c r="B1005">
        <v>18</v>
      </c>
      <c r="C1005" t="s">
        <v>61</v>
      </c>
      <c r="D1005" t="s">
        <v>33</v>
      </c>
      <c r="E1005">
        <v>1</v>
      </c>
      <c r="F1005">
        <v>1</v>
      </c>
      <c r="G1005">
        <f t="shared" si="68"/>
        <v>3602</v>
      </c>
      <c r="H1005" t="str">
        <f>IF(VLOOKUP(G1005,[2]Sheet1!$A:$O,15,0)=1,"401}]","101}]")</f>
        <v>401}]</v>
      </c>
      <c r="I1005" t="str">
        <f t="shared" si="69"/>
        <v>[{1000,1,1,3602,401}]</v>
      </c>
    </row>
    <row r="1006" spans="1:9">
      <c r="A1006">
        <f t="shared" si="67"/>
        <v>18</v>
      </c>
      <c r="B1006">
        <v>18</v>
      </c>
      <c r="C1006" t="s">
        <v>61</v>
      </c>
      <c r="D1006" t="s">
        <v>33</v>
      </c>
      <c r="E1006">
        <v>1</v>
      </c>
      <c r="F1006">
        <v>1</v>
      </c>
      <c r="G1006">
        <f t="shared" si="68"/>
        <v>3603</v>
      </c>
      <c r="H1006" t="str">
        <f>IF(VLOOKUP(G1006,[2]Sheet1!$A:$O,15,0)=1,"401}]","101}]")</f>
        <v>401}]</v>
      </c>
      <c r="I1006" t="str">
        <f t="shared" si="69"/>
        <v>[{1000,1,1,3603,401}]</v>
      </c>
    </row>
    <row r="1007" spans="1:9">
      <c r="A1007">
        <f t="shared" si="67"/>
        <v>19</v>
      </c>
      <c r="B1007">
        <v>19</v>
      </c>
      <c r="C1007" t="s">
        <v>61</v>
      </c>
      <c r="D1007" t="s">
        <v>33</v>
      </c>
      <c r="E1007">
        <v>1</v>
      </c>
      <c r="F1007">
        <v>1</v>
      </c>
      <c r="G1007">
        <f t="shared" si="68"/>
        <v>3601</v>
      </c>
      <c r="H1007" t="str">
        <f>IF(VLOOKUP(G1007,[2]Sheet1!$A:$O,15,0)=1,"401}]","101}]")</f>
        <v>101}]</v>
      </c>
      <c r="I1007" t="str">
        <f t="shared" si="69"/>
        <v>[{1000,1,1,3601,101}]</v>
      </c>
    </row>
    <row r="1008" spans="1:9">
      <c r="A1008">
        <f t="shared" si="67"/>
        <v>19</v>
      </c>
      <c r="B1008">
        <v>19</v>
      </c>
      <c r="C1008" t="s">
        <v>61</v>
      </c>
      <c r="D1008" t="s">
        <v>33</v>
      </c>
      <c r="E1008">
        <v>1</v>
      </c>
      <c r="F1008">
        <v>1</v>
      </c>
      <c r="G1008">
        <f t="shared" si="68"/>
        <v>3602</v>
      </c>
      <c r="H1008" t="str">
        <f>IF(VLOOKUP(G1008,[2]Sheet1!$A:$O,15,0)=1,"401}]","101}]")</f>
        <v>401}]</v>
      </c>
      <c r="I1008" t="str">
        <f t="shared" si="69"/>
        <v>[{1000,1,1,3602,401}]</v>
      </c>
    </row>
    <row r="1009" spans="1:9">
      <c r="A1009">
        <f t="shared" si="67"/>
        <v>19</v>
      </c>
      <c r="B1009">
        <v>19</v>
      </c>
      <c r="C1009" t="s">
        <v>61</v>
      </c>
      <c r="D1009" t="s">
        <v>33</v>
      </c>
      <c r="E1009">
        <v>1</v>
      </c>
      <c r="F1009">
        <v>1</v>
      </c>
      <c r="G1009">
        <f t="shared" si="68"/>
        <v>3603</v>
      </c>
      <c r="H1009" t="str">
        <f>IF(VLOOKUP(G1009,[2]Sheet1!$A:$O,15,0)=1,"401}]","101}]")</f>
        <v>401}]</v>
      </c>
      <c r="I1009" t="str">
        <f t="shared" si="69"/>
        <v>[{1000,1,1,3603,401}]</v>
      </c>
    </row>
    <row r="1010" spans="1:9">
      <c r="A1010">
        <f t="shared" si="67"/>
        <v>20</v>
      </c>
      <c r="B1010">
        <v>20</v>
      </c>
      <c r="C1010" t="s">
        <v>61</v>
      </c>
      <c r="D1010" t="s">
        <v>33</v>
      </c>
      <c r="E1010">
        <v>1</v>
      </c>
      <c r="F1010">
        <v>1</v>
      </c>
      <c r="G1010">
        <f t="shared" si="68"/>
        <v>3601</v>
      </c>
      <c r="H1010" t="str">
        <f>IF(VLOOKUP(G1010,[2]Sheet1!$A:$O,15,0)=1,"401}]","101}]")</f>
        <v>101}]</v>
      </c>
      <c r="I1010" t="str">
        <f t="shared" si="69"/>
        <v>[{1000,1,1,3601,101}]</v>
      </c>
    </row>
    <row r="1011" spans="1:9">
      <c r="A1011">
        <f t="shared" si="67"/>
        <v>20</v>
      </c>
      <c r="B1011">
        <v>20</v>
      </c>
      <c r="C1011" t="s">
        <v>61</v>
      </c>
      <c r="D1011" t="s">
        <v>33</v>
      </c>
      <c r="E1011">
        <v>1</v>
      </c>
      <c r="F1011">
        <v>1</v>
      </c>
      <c r="G1011">
        <f t="shared" si="68"/>
        <v>3602</v>
      </c>
      <c r="H1011" t="str">
        <f>IF(VLOOKUP(G1011,[2]Sheet1!$A:$O,15,0)=1,"401}]","101}]")</f>
        <v>401}]</v>
      </c>
      <c r="I1011" t="str">
        <f t="shared" si="69"/>
        <v>[{1000,1,1,3602,401}]</v>
      </c>
    </row>
    <row r="1012" spans="1:9">
      <c r="A1012">
        <f t="shared" si="67"/>
        <v>20</v>
      </c>
      <c r="B1012">
        <v>20</v>
      </c>
      <c r="C1012" t="s">
        <v>61</v>
      </c>
      <c r="D1012" s="11" t="s">
        <v>33</v>
      </c>
      <c r="E1012">
        <v>1</v>
      </c>
      <c r="F1012">
        <v>1</v>
      </c>
      <c r="G1012">
        <f t="shared" si="68"/>
        <v>3603</v>
      </c>
      <c r="H1012" t="str">
        <f>IF(VLOOKUP(G1012,[2]Sheet1!$A:$O,15,0)=1,"401}]","101}]")</f>
        <v>401}]</v>
      </c>
      <c r="I1012" t="str">
        <f t="shared" si="69"/>
        <v>[{1000,1,1,3603,401}]</v>
      </c>
    </row>
    <row r="1013" spans="1:9">
      <c r="A1013" t="str">
        <f t="shared" si="67"/>
        <v/>
      </c>
      <c r="B1013">
        <v>20</v>
      </c>
      <c r="C1013" t="s">
        <v>61</v>
      </c>
      <c r="D1013" s="11" t="s">
        <v>28</v>
      </c>
      <c r="G1013" t="str">
        <f t="shared" si="68"/>
        <v/>
      </c>
      <c r="I1013" t="str">
        <f t="shared" si="69"/>
        <v>[]</v>
      </c>
    </row>
    <row r="1014" spans="1:9">
      <c r="A1014">
        <f t="shared" si="67"/>
        <v>20</v>
      </c>
      <c r="B1014">
        <v>20</v>
      </c>
      <c r="C1014" t="s">
        <v>61</v>
      </c>
      <c r="D1014" s="11" t="s">
        <v>33</v>
      </c>
      <c r="E1014">
        <v>1</v>
      </c>
      <c r="F1014">
        <v>0</v>
      </c>
      <c r="G1014">
        <f t="shared" si="68"/>
        <v>3631</v>
      </c>
      <c r="H1014" t="str">
        <f>IF(VLOOKUP(G1014,[2]Sheet1!$A:$O,15,0)=1,"401}]","101}]")</f>
        <v>401}]</v>
      </c>
      <c r="I1014" t="str">
        <f t="shared" si="69"/>
        <v>[{1000,1,0,3631,401}]</v>
      </c>
    </row>
    <row r="1015" spans="1:9">
      <c r="A1015">
        <f t="shared" si="67"/>
        <v>1</v>
      </c>
      <c r="B1015">
        <v>1</v>
      </c>
      <c r="C1015" t="s">
        <v>62</v>
      </c>
      <c r="D1015" t="s">
        <v>33</v>
      </c>
      <c r="E1015">
        <v>1</v>
      </c>
      <c r="F1015">
        <v>1</v>
      </c>
      <c r="G1015">
        <v>3701</v>
      </c>
      <c r="H1015" t="str">
        <f>IF(VLOOKUP(G1015,[2]Sheet1!$A:$O,15,0)=1,"401}]","101}]")</f>
        <v>101}]</v>
      </c>
      <c r="I1015" t="str">
        <f t="shared" si="69"/>
        <v>[{1000,1,1,3701,101}]</v>
      </c>
    </row>
    <row r="1016" spans="1:9">
      <c r="A1016">
        <f t="shared" si="67"/>
        <v>2</v>
      </c>
      <c r="B1016">
        <v>2</v>
      </c>
      <c r="C1016" t="s">
        <v>62</v>
      </c>
      <c r="D1016" t="s">
        <v>33</v>
      </c>
      <c r="E1016">
        <v>1</v>
      </c>
      <c r="F1016">
        <v>1</v>
      </c>
      <c r="G1016">
        <v>3701</v>
      </c>
      <c r="H1016" t="str">
        <f>IF(VLOOKUP(G1016,[2]Sheet1!$A:$O,15,0)=1,"401}]","101}]")</f>
        <v>101}]</v>
      </c>
      <c r="I1016" t="str">
        <f t="shared" si="69"/>
        <v>[{1000,1,1,3701,101}]</v>
      </c>
    </row>
    <row r="1017" spans="1:9">
      <c r="A1017">
        <f t="shared" si="67"/>
        <v>3</v>
      </c>
      <c r="B1017">
        <v>3</v>
      </c>
      <c r="C1017" t="s">
        <v>62</v>
      </c>
      <c r="D1017" t="s">
        <v>33</v>
      </c>
      <c r="E1017">
        <v>1</v>
      </c>
      <c r="F1017">
        <v>1</v>
      </c>
      <c r="G1017">
        <v>3701</v>
      </c>
      <c r="H1017" t="str">
        <f>IF(VLOOKUP(G1017,[2]Sheet1!$A:$O,15,0)=1,"401}]","101}]")</f>
        <v>101}]</v>
      </c>
      <c r="I1017" t="str">
        <f t="shared" si="69"/>
        <v>[{1000,1,1,3701,101}]</v>
      </c>
    </row>
    <row r="1018" spans="1:9">
      <c r="A1018">
        <f t="shared" si="67"/>
        <v>4</v>
      </c>
      <c r="B1018">
        <v>4</v>
      </c>
      <c r="C1018" t="s">
        <v>62</v>
      </c>
      <c r="D1018" t="s">
        <v>33</v>
      </c>
      <c r="E1018">
        <v>1</v>
      </c>
      <c r="F1018">
        <v>1</v>
      </c>
      <c r="G1018">
        <v>3701</v>
      </c>
      <c r="H1018" t="str">
        <f>IF(VLOOKUP(G1018,[2]Sheet1!$A:$O,15,0)=1,"401}]","101}]")</f>
        <v>101}]</v>
      </c>
      <c r="I1018" t="str">
        <f t="shared" si="69"/>
        <v>[{1000,1,1,3701,101}]</v>
      </c>
    </row>
    <row r="1019" spans="1:9">
      <c r="A1019">
        <f t="shared" si="67"/>
        <v>5</v>
      </c>
      <c r="B1019">
        <v>5</v>
      </c>
      <c r="C1019" t="s">
        <v>62</v>
      </c>
      <c r="D1019" t="s">
        <v>33</v>
      </c>
      <c r="E1019">
        <v>1</v>
      </c>
      <c r="F1019">
        <v>1</v>
      </c>
      <c r="G1019">
        <v>3701</v>
      </c>
      <c r="H1019" t="str">
        <f>IF(VLOOKUP(G1019,[2]Sheet1!$A:$O,15,0)=1,"401}]","101}]")</f>
        <v>101}]</v>
      </c>
      <c r="I1019" t="str">
        <f t="shared" si="69"/>
        <v>[{1000,1,1,3701,101}]</v>
      </c>
    </row>
    <row r="1020" spans="1:9">
      <c r="A1020">
        <f t="shared" si="67"/>
        <v>6</v>
      </c>
      <c r="B1020">
        <v>6</v>
      </c>
      <c r="C1020" t="s">
        <v>62</v>
      </c>
      <c r="D1020" t="s">
        <v>33</v>
      </c>
      <c r="E1020">
        <v>1</v>
      </c>
      <c r="F1020">
        <v>1</v>
      </c>
      <c r="G1020">
        <v>3701</v>
      </c>
      <c r="H1020" t="str">
        <f>IF(VLOOKUP(G1020,[2]Sheet1!$A:$O,15,0)=1,"401}]","101}]")</f>
        <v>101}]</v>
      </c>
      <c r="I1020" t="str">
        <f t="shared" si="69"/>
        <v>[{1000,1,1,3701,101}]</v>
      </c>
    </row>
    <row r="1021" spans="1:9">
      <c r="A1021">
        <f t="shared" si="67"/>
        <v>7</v>
      </c>
      <c r="B1021">
        <v>7</v>
      </c>
      <c r="C1021" t="s">
        <v>62</v>
      </c>
      <c r="D1021" t="s">
        <v>33</v>
      </c>
      <c r="E1021">
        <v>1</v>
      </c>
      <c r="F1021">
        <v>1</v>
      </c>
      <c r="G1021">
        <v>3701</v>
      </c>
      <c r="H1021" t="str">
        <f>IF(VLOOKUP(G1021,[2]Sheet1!$A:$O,15,0)=1,"401}]","101}]")</f>
        <v>101}]</v>
      </c>
      <c r="I1021" t="str">
        <f t="shared" si="69"/>
        <v>[{1000,1,1,3701,101}]</v>
      </c>
    </row>
    <row r="1022" spans="1:9">
      <c r="A1022">
        <f t="shared" si="67"/>
        <v>7</v>
      </c>
      <c r="B1022">
        <v>7</v>
      </c>
      <c r="C1022" t="s">
        <v>62</v>
      </c>
      <c r="D1022" t="s">
        <v>33</v>
      </c>
      <c r="E1022">
        <v>1</v>
      </c>
      <c r="F1022">
        <v>1</v>
      </c>
      <c r="G1022">
        <v>3703</v>
      </c>
      <c r="H1022" t="str">
        <f>IF(VLOOKUP(G1022,[2]Sheet1!$A:$O,15,0)=1,"401}]","101}]")</f>
        <v>401}]</v>
      </c>
      <c r="I1022" t="str">
        <f t="shared" si="69"/>
        <v>[{1000,1,1,3703,401}]</v>
      </c>
    </row>
    <row r="1023" spans="1:9">
      <c r="A1023">
        <f t="shared" si="67"/>
        <v>8</v>
      </c>
      <c r="B1023">
        <v>8</v>
      </c>
      <c r="C1023" t="s">
        <v>62</v>
      </c>
      <c r="D1023" t="s">
        <v>33</v>
      </c>
      <c r="E1023">
        <v>1</v>
      </c>
      <c r="F1023">
        <v>1</v>
      </c>
      <c r="G1023">
        <v>3701</v>
      </c>
      <c r="H1023" t="str">
        <f>IF(VLOOKUP(G1023,[2]Sheet1!$A:$O,15,0)=1,"401}]","101}]")</f>
        <v>101}]</v>
      </c>
      <c r="I1023" t="str">
        <f t="shared" si="69"/>
        <v>[{1000,1,1,3701,101}]</v>
      </c>
    </row>
    <row r="1024" spans="1:9">
      <c r="A1024">
        <f t="shared" si="67"/>
        <v>8</v>
      </c>
      <c r="B1024">
        <v>8</v>
      </c>
      <c r="C1024" t="s">
        <v>62</v>
      </c>
      <c r="D1024" t="s">
        <v>33</v>
      </c>
      <c r="E1024">
        <v>1</v>
      </c>
      <c r="F1024">
        <v>1</v>
      </c>
      <c r="G1024">
        <v>3703</v>
      </c>
      <c r="H1024" t="str">
        <f>IF(VLOOKUP(G1024,[2]Sheet1!$A:$O,15,0)=1,"401}]","101}]")</f>
        <v>401}]</v>
      </c>
      <c r="I1024" t="str">
        <f t="shared" si="69"/>
        <v>[{1000,1,1,3703,401}]</v>
      </c>
    </row>
    <row r="1025" spans="1:9">
      <c r="A1025">
        <f t="shared" si="67"/>
        <v>9</v>
      </c>
      <c r="B1025">
        <v>9</v>
      </c>
      <c r="C1025" t="s">
        <v>62</v>
      </c>
      <c r="D1025" t="s">
        <v>33</v>
      </c>
      <c r="E1025">
        <v>1</v>
      </c>
      <c r="F1025">
        <v>1</v>
      </c>
      <c r="G1025">
        <v>3701</v>
      </c>
      <c r="H1025" t="str">
        <f>IF(VLOOKUP(G1025,[2]Sheet1!$A:$O,15,0)=1,"401}]","101}]")</f>
        <v>101}]</v>
      </c>
      <c r="I1025" t="str">
        <f t="shared" si="69"/>
        <v>[{1000,1,1,3701,101}]</v>
      </c>
    </row>
    <row r="1026" spans="1:9">
      <c r="A1026">
        <f t="shared" si="67"/>
        <v>9</v>
      </c>
      <c r="B1026">
        <v>9</v>
      </c>
      <c r="C1026" t="s">
        <v>62</v>
      </c>
      <c r="D1026" t="s">
        <v>33</v>
      </c>
      <c r="E1026">
        <v>1</v>
      </c>
      <c r="F1026">
        <v>1</v>
      </c>
      <c r="G1026">
        <v>3703</v>
      </c>
      <c r="H1026" t="str">
        <f>IF(VLOOKUP(G1026,[2]Sheet1!$A:$O,15,0)=1,"401}]","101}]")</f>
        <v>401}]</v>
      </c>
      <c r="I1026" t="str">
        <f t="shared" si="69"/>
        <v>[{1000,1,1,3703,401}]</v>
      </c>
    </row>
    <row r="1027" spans="1:9">
      <c r="A1027">
        <f t="shared" si="67"/>
        <v>10</v>
      </c>
      <c r="B1027">
        <v>10</v>
      </c>
      <c r="C1027" t="s">
        <v>62</v>
      </c>
      <c r="D1027" t="s">
        <v>33</v>
      </c>
      <c r="E1027">
        <v>1</v>
      </c>
      <c r="F1027">
        <v>1</v>
      </c>
      <c r="G1027">
        <v>3701</v>
      </c>
      <c r="H1027" t="str">
        <f>IF(VLOOKUP(G1027,[2]Sheet1!$A:$O,15,0)=1,"401}]","101}]")</f>
        <v>101}]</v>
      </c>
      <c r="I1027" t="str">
        <f t="shared" si="69"/>
        <v>[{1000,1,1,3701,101}]</v>
      </c>
    </row>
    <row r="1028" spans="1:9">
      <c r="A1028">
        <f t="shared" si="67"/>
        <v>10</v>
      </c>
      <c r="B1028">
        <v>10</v>
      </c>
      <c r="C1028" t="s">
        <v>62</v>
      </c>
      <c r="D1028" t="s">
        <v>33</v>
      </c>
      <c r="E1028">
        <v>1</v>
      </c>
      <c r="F1028">
        <v>1</v>
      </c>
      <c r="G1028">
        <v>3703</v>
      </c>
      <c r="H1028" t="str">
        <f>IF(VLOOKUP(G1028,[2]Sheet1!$A:$O,15,0)=1,"401}]","101}]")</f>
        <v>401}]</v>
      </c>
      <c r="I1028" t="str">
        <f t="shared" si="69"/>
        <v>[{1000,1,1,3703,401}]</v>
      </c>
    </row>
    <row r="1029" spans="1:9">
      <c r="A1029" t="str">
        <f t="shared" si="67"/>
        <v/>
      </c>
      <c r="B1029">
        <v>10</v>
      </c>
      <c r="C1029" t="s">
        <v>62</v>
      </c>
      <c r="D1029" t="s">
        <v>28</v>
      </c>
      <c r="I1029" t="str">
        <f t="shared" si="69"/>
        <v>[]</v>
      </c>
    </row>
    <row r="1030" spans="1:9">
      <c r="A1030">
        <f t="shared" si="67"/>
        <v>10</v>
      </c>
      <c r="B1030">
        <v>10</v>
      </c>
      <c r="C1030" t="s">
        <v>62</v>
      </c>
      <c r="D1030" t="s">
        <v>33</v>
      </c>
      <c r="E1030">
        <v>1</v>
      </c>
      <c r="F1030">
        <v>0</v>
      </c>
      <c r="G1030">
        <v>3721</v>
      </c>
      <c r="H1030" s="11" t="s">
        <v>45</v>
      </c>
      <c r="I1030" t="str">
        <f t="shared" si="69"/>
        <v>[{1000,1,0,3721,42}]</v>
      </c>
    </row>
    <row r="1031" spans="1:9">
      <c r="A1031">
        <f t="shared" si="67"/>
        <v>11</v>
      </c>
      <c r="B1031">
        <v>11</v>
      </c>
      <c r="C1031" t="s">
        <v>62</v>
      </c>
      <c r="D1031" t="s">
        <v>33</v>
      </c>
      <c r="E1031">
        <v>1</v>
      </c>
      <c r="F1031">
        <v>1</v>
      </c>
      <c r="G1031">
        <v>3701</v>
      </c>
      <c r="H1031" t="str">
        <f>IF(VLOOKUP(G1031,[2]Sheet1!$A:$O,15,0)=1,"401}]","101}]")</f>
        <v>101}]</v>
      </c>
      <c r="I1031" t="str">
        <f t="shared" si="69"/>
        <v>[{1000,1,1,3701,101}]</v>
      </c>
    </row>
    <row r="1032" spans="1:9">
      <c r="A1032">
        <f t="shared" si="67"/>
        <v>11</v>
      </c>
      <c r="B1032">
        <v>11</v>
      </c>
      <c r="C1032" t="s">
        <v>62</v>
      </c>
      <c r="D1032" t="s">
        <v>33</v>
      </c>
      <c r="E1032">
        <v>1</v>
      </c>
      <c r="F1032">
        <v>1</v>
      </c>
      <c r="G1032">
        <v>3703</v>
      </c>
      <c r="H1032" t="str">
        <f>IF(VLOOKUP(G1032,[2]Sheet1!$A:$O,15,0)=1,"401}]","101}]")</f>
        <v>401}]</v>
      </c>
      <c r="I1032" t="str">
        <f t="shared" si="69"/>
        <v>[{1000,1,1,3703,401}]</v>
      </c>
    </row>
    <row r="1033" spans="1:9">
      <c r="A1033">
        <f t="shared" si="67"/>
        <v>12</v>
      </c>
      <c r="B1033">
        <v>12</v>
      </c>
      <c r="C1033" t="s">
        <v>62</v>
      </c>
      <c r="D1033" t="s">
        <v>33</v>
      </c>
      <c r="E1033">
        <v>1</v>
      </c>
      <c r="F1033">
        <v>1</v>
      </c>
      <c r="G1033">
        <v>3701</v>
      </c>
      <c r="H1033" t="str">
        <f>IF(VLOOKUP(G1033,[2]Sheet1!$A:$O,15,0)=1,"401}]","101}]")</f>
        <v>101}]</v>
      </c>
      <c r="I1033" t="str">
        <f t="shared" si="69"/>
        <v>[{1000,1,1,3701,101}]</v>
      </c>
    </row>
    <row r="1034" spans="1:9">
      <c r="A1034">
        <f t="shared" ref="A1034:A1097" si="70">IF(E1034="","",B1034)</f>
        <v>12</v>
      </c>
      <c r="B1034">
        <v>12</v>
      </c>
      <c r="C1034" t="s">
        <v>62</v>
      </c>
      <c r="D1034" t="s">
        <v>33</v>
      </c>
      <c r="E1034">
        <v>1</v>
      </c>
      <c r="F1034">
        <v>1</v>
      </c>
      <c r="G1034">
        <v>3703</v>
      </c>
      <c r="H1034" t="str">
        <f>IF(VLOOKUP(G1034,[2]Sheet1!$A:$O,15,0)=1,"401}]","101}]")</f>
        <v>401}]</v>
      </c>
      <c r="I1034" t="str">
        <f t="shared" ref="I1034:I1097" si="71">_xlfn.TEXTJOIN(",",1,D1034:H1034)</f>
        <v>[{1000,1,1,3703,401}]</v>
      </c>
    </row>
    <row r="1035" spans="1:9">
      <c r="A1035">
        <f t="shared" si="70"/>
        <v>13</v>
      </c>
      <c r="B1035">
        <v>13</v>
      </c>
      <c r="C1035" t="s">
        <v>62</v>
      </c>
      <c r="D1035" t="s">
        <v>33</v>
      </c>
      <c r="E1035">
        <v>1</v>
      </c>
      <c r="F1035">
        <v>1</v>
      </c>
      <c r="G1035">
        <v>3701</v>
      </c>
      <c r="H1035" t="str">
        <f>IF(VLOOKUP(G1035,[2]Sheet1!$A:$O,15,0)=1,"401}]","101}]")</f>
        <v>101}]</v>
      </c>
      <c r="I1035" t="str">
        <f t="shared" si="71"/>
        <v>[{1000,1,1,3701,101}]</v>
      </c>
    </row>
    <row r="1036" spans="1:9">
      <c r="A1036">
        <f t="shared" si="70"/>
        <v>13</v>
      </c>
      <c r="B1036">
        <v>13</v>
      </c>
      <c r="C1036" t="s">
        <v>62</v>
      </c>
      <c r="D1036" t="s">
        <v>33</v>
      </c>
      <c r="E1036">
        <v>1</v>
      </c>
      <c r="F1036">
        <v>1</v>
      </c>
      <c r="G1036">
        <v>3703</v>
      </c>
      <c r="H1036" t="str">
        <f>IF(VLOOKUP(G1036,[2]Sheet1!$A:$O,15,0)=1,"401}]","101}]")</f>
        <v>401}]</v>
      </c>
      <c r="I1036" t="str">
        <f t="shared" si="71"/>
        <v>[{1000,1,1,3703,401}]</v>
      </c>
    </row>
    <row r="1037" spans="1:9">
      <c r="A1037">
        <f t="shared" si="70"/>
        <v>14</v>
      </c>
      <c r="B1037">
        <v>14</v>
      </c>
      <c r="C1037" t="s">
        <v>62</v>
      </c>
      <c r="D1037" t="s">
        <v>33</v>
      </c>
      <c r="E1037">
        <v>1</v>
      </c>
      <c r="F1037">
        <v>1</v>
      </c>
      <c r="G1037">
        <v>3701</v>
      </c>
      <c r="H1037" t="str">
        <f>IF(VLOOKUP(G1037,[2]Sheet1!$A:$O,15,0)=1,"401}]","101}]")</f>
        <v>101}]</v>
      </c>
      <c r="I1037" t="str">
        <f t="shared" si="71"/>
        <v>[{1000,1,1,3701,101}]</v>
      </c>
    </row>
    <row r="1038" spans="1:9">
      <c r="A1038">
        <f t="shared" si="70"/>
        <v>14</v>
      </c>
      <c r="B1038">
        <v>14</v>
      </c>
      <c r="C1038" t="s">
        <v>62</v>
      </c>
      <c r="D1038" t="s">
        <v>33</v>
      </c>
      <c r="E1038">
        <v>1</v>
      </c>
      <c r="F1038">
        <v>1</v>
      </c>
      <c r="G1038">
        <v>3703</v>
      </c>
      <c r="H1038" t="str">
        <f>IF(VLOOKUP(G1038,[2]Sheet1!$A:$O,15,0)=1,"401}]","101}]")</f>
        <v>401}]</v>
      </c>
      <c r="I1038" t="str">
        <f t="shared" si="71"/>
        <v>[{1000,1,1,3703,401}]</v>
      </c>
    </row>
    <row r="1039" spans="1:9">
      <c r="A1039">
        <f t="shared" si="70"/>
        <v>15</v>
      </c>
      <c r="B1039">
        <v>15</v>
      </c>
      <c r="C1039" t="s">
        <v>62</v>
      </c>
      <c r="D1039" t="s">
        <v>33</v>
      </c>
      <c r="E1039">
        <v>1</v>
      </c>
      <c r="F1039">
        <v>1</v>
      </c>
      <c r="G1039">
        <v>3701</v>
      </c>
      <c r="H1039" t="str">
        <f>IF(VLOOKUP(G1039,[2]Sheet1!$A:$O,15,0)=1,"401}]","101}]")</f>
        <v>101}]</v>
      </c>
      <c r="I1039" t="str">
        <f t="shared" si="71"/>
        <v>[{1000,1,1,3701,101}]</v>
      </c>
    </row>
    <row r="1040" spans="1:9">
      <c r="A1040">
        <f t="shared" si="70"/>
        <v>15</v>
      </c>
      <c r="B1040">
        <v>15</v>
      </c>
      <c r="C1040" t="s">
        <v>62</v>
      </c>
      <c r="D1040" t="s">
        <v>33</v>
      </c>
      <c r="E1040">
        <v>1</v>
      </c>
      <c r="F1040">
        <v>1</v>
      </c>
      <c r="G1040">
        <v>3703</v>
      </c>
      <c r="H1040" t="str">
        <f>IF(VLOOKUP(G1040,[2]Sheet1!$A:$O,15,0)=1,"401}]","101}]")</f>
        <v>401}]</v>
      </c>
      <c r="I1040" t="str">
        <f t="shared" si="71"/>
        <v>[{1000,1,1,3703,401}]</v>
      </c>
    </row>
    <row r="1041" spans="1:9">
      <c r="A1041">
        <f t="shared" si="70"/>
        <v>16</v>
      </c>
      <c r="B1041">
        <v>16</v>
      </c>
      <c r="C1041" t="s">
        <v>62</v>
      </c>
      <c r="D1041" t="s">
        <v>33</v>
      </c>
      <c r="E1041">
        <v>1</v>
      </c>
      <c r="F1041">
        <v>1</v>
      </c>
      <c r="G1041">
        <v>3701</v>
      </c>
      <c r="H1041" t="str">
        <f>IF(VLOOKUP(G1041,[2]Sheet1!$A:$O,15,0)=1,"401}]","101}]")</f>
        <v>101}]</v>
      </c>
      <c r="I1041" t="str">
        <f t="shared" si="71"/>
        <v>[{1000,1,1,3701,101}]</v>
      </c>
    </row>
    <row r="1042" spans="1:9">
      <c r="A1042">
        <f t="shared" si="70"/>
        <v>16</v>
      </c>
      <c r="B1042">
        <v>16</v>
      </c>
      <c r="C1042" t="s">
        <v>62</v>
      </c>
      <c r="D1042" t="s">
        <v>33</v>
      </c>
      <c r="E1042">
        <v>1</v>
      </c>
      <c r="F1042">
        <v>1</v>
      </c>
      <c r="G1042">
        <v>3703</v>
      </c>
      <c r="H1042" t="str">
        <f>IF(VLOOKUP(G1042,[2]Sheet1!$A:$O,15,0)=1,"401}]","101}]")</f>
        <v>401}]</v>
      </c>
      <c r="I1042" t="str">
        <f t="shared" si="71"/>
        <v>[{1000,1,1,3703,401}]</v>
      </c>
    </row>
    <row r="1043" spans="1:9">
      <c r="A1043">
        <f t="shared" si="70"/>
        <v>17</v>
      </c>
      <c r="B1043">
        <v>17</v>
      </c>
      <c r="C1043" t="s">
        <v>62</v>
      </c>
      <c r="D1043" t="s">
        <v>33</v>
      </c>
      <c r="E1043">
        <v>1</v>
      </c>
      <c r="F1043">
        <v>1</v>
      </c>
      <c r="G1043">
        <v>3701</v>
      </c>
      <c r="H1043" t="str">
        <f>IF(VLOOKUP(G1043,[2]Sheet1!$A:$O,15,0)=1,"401}]","101}]")</f>
        <v>101}]</v>
      </c>
      <c r="I1043" t="str">
        <f t="shared" si="71"/>
        <v>[{1000,1,1,3701,101}]</v>
      </c>
    </row>
    <row r="1044" spans="1:9">
      <c r="A1044">
        <f t="shared" si="70"/>
        <v>17</v>
      </c>
      <c r="B1044">
        <v>17</v>
      </c>
      <c r="C1044" t="s">
        <v>62</v>
      </c>
      <c r="D1044" t="s">
        <v>33</v>
      </c>
      <c r="E1044">
        <v>1</v>
      </c>
      <c r="F1044">
        <v>1</v>
      </c>
      <c r="G1044">
        <v>3703</v>
      </c>
      <c r="H1044" t="str">
        <f>IF(VLOOKUP(G1044,[2]Sheet1!$A:$O,15,0)=1,"401}]","101}]")</f>
        <v>401}]</v>
      </c>
      <c r="I1044" t="str">
        <f t="shared" si="71"/>
        <v>[{1000,1,1,3703,401}]</v>
      </c>
    </row>
    <row r="1045" spans="1:9">
      <c r="A1045">
        <f t="shared" si="70"/>
        <v>18</v>
      </c>
      <c r="B1045">
        <v>18</v>
      </c>
      <c r="C1045" t="s">
        <v>62</v>
      </c>
      <c r="D1045" t="s">
        <v>33</v>
      </c>
      <c r="E1045">
        <v>1</v>
      </c>
      <c r="F1045">
        <v>1</v>
      </c>
      <c r="G1045">
        <v>3701</v>
      </c>
      <c r="H1045" t="str">
        <f>IF(VLOOKUP(G1045,[2]Sheet1!$A:$O,15,0)=1,"401}]","101}]")</f>
        <v>101}]</v>
      </c>
      <c r="I1045" t="str">
        <f t="shared" si="71"/>
        <v>[{1000,1,1,3701,101}]</v>
      </c>
    </row>
    <row r="1046" spans="1:9">
      <c r="A1046">
        <f t="shared" si="70"/>
        <v>18</v>
      </c>
      <c r="B1046">
        <v>18</v>
      </c>
      <c r="C1046" t="s">
        <v>62</v>
      </c>
      <c r="D1046" t="s">
        <v>33</v>
      </c>
      <c r="E1046">
        <v>1</v>
      </c>
      <c r="F1046">
        <v>1</v>
      </c>
      <c r="G1046">
        <v>3703</v>
      </c>
      <c r="H1046" t="str">
        <f>IF(VLOOKUP(G1046,[2]Sheet1!$A:$O,15,0)=1,"401}]","101}]")</f>
        <v>401}]</v>
      </c>
      <c r="I1046" t="str">
        <f t="shared" si="71"/>
        <v>[{1000,1,1,3703,401}]</v>
      </c>
    </row>
    <row r="1047" spans="1:9">
      <c r="A1047">
        <f t="shared" si="70"/>
        <v>19</v>
      </c>
      <c r="B1047">
        <v>19</v>
      </c>
      <c r="C1047" t="s">
        <v>62</v>
      </c>
      <c r="D1047" t="s">
        <v>33</v>
      </c>
      <c r="E1047">
        <v>1</v>
      </c>
      <c r="F1047">
        <v>1</v>
      </c>
      <c r="G1047">
        <v>3701</v>
      </c>
      <c r="H1047" t="str">
        <f>IF(VLOOKUP(G1047,[2]Sheet1!$A:$O,15,0)=1,"401}]","101}]")</f>
        <v>101}]</v>
      </c>
      <c r="I1047" t="str">
        <f t="shared" si="71"/>
        <v>[{1000,1,1,3701,101}]</v>
      </c>
    </row>
    <row r="1048" spans="1:9">
      <c r="A1048">
        <f t="shared" si="70"/>
        <v>19</v>
      </c>
      <c r="B1048">
        <v>19</v>
      </c>
      <c r="C1048" t="s">
        <v>62</v>
      </c>
      <c r="D1048" t="s">
        <v>33</v>
      </c>
      <c r="E1048">
        <v>1</v>
      </c>
      <c r="F1048">
        <v>1</v>
      </c>
      <c r="G1048">
        <v>3703</v>
      </c>
      <c r="H1048" t="str">
        <f>IF(VLOOKUP(G1048,[2]Sheet1!$A:$O,15,0)=1,"401}]","101}]")</f>
        <v>401}]</v>
      </c>
      <c r="I1048" t="str">
        <f t="shared" si="71"/>
        <v>[{1000,1,1,3703,401}]</v>
      </c>
    </row>
    <row r="1049" spans="1:9">
      <c r="A1049">
        <f t="shared" si="70"/>
        <v>20</v>
      </c>
      <c r="B1049">
        <v>20</v>
      </c>
      <c r="C1049" t="s">
        <v>62</v>
      </c>
      <c r="D1049" t="s">
        <v>33</v>
      </c>
      <c r="E1049">
        <v>1</v>
      </c>
      <c r="F1049">
        <v>1</v>
      </c>
      <c r="G1049">
        <v>3701</v>
      </c>
      <c r="H1049" t="str">
        <f>IF(VLOOKUP(G1049,[2]Sheet1!$A:$O,15,0)=1,"401}]","101}]")</f>
        <v>101}]</v>
      </c>
      <c r="I1049" t="str">
        <f t="shared" si="71"/>
        <v>[{1000,1,1,3701,101}]</v>
      </c>
    </row>
    <row r="1050" spans="1:9">
      <c r="A1050">
        <f t="shared" si="70"/>
        <v>20</v>
      </c>
      <c r="B1050">
        <v>20</v>
      </c>
      <c r="C1050" t="s">
        <v>62</v>
      </c>
      <c r="D1050" t="s">
        <v>33</v>
      </c>
      <c r="E1050">
        <v>1</v>
      </c>
      <c r="F1050">
        <v>1</v>
      </c>
      <c r="G1050">
        <v>3703</v>
      </c>
      <c r="H1050" t="str">
        <f>IF(VLOOKUP(G1050,[2]Sheet1!$A:$O,15,0)=1,"401}]","101}]")</f>
        <v>401}]</v>
      </c>
      <c r="I1050" t="str">
        <f t="shared" si="71"/>
        <v>[{1000,1,1,3703,401}]</v>
      </c>
    </row>
    <row r="1051" spans="1:9">
      <c r="A1051" t="str">
        <f t="shared" si="70"/>
        <v/>
      </c>
      <c r="B1051">
        <v>20</v>
      </c>
      <c r="C1051" t="s">
        <v>62</v>
      </c>
      <c r="D1051" t="s">
        <v>28</v>
      </c>
      <c r="I1051" t="str">
        <f t="shared" si="71"/>
        <v>[]</v>
      </c>
    </row>
    <row r="1052" spans="1:9">
      <c r="A1052">
        <f t="shared" si="70"/>
        <v>20</v>
      </c>
      <c r="B1052">
        <v>20</v>
      </c>
      <c r="C1052" t="s">
        <v>62</v>
      </c>
      <c r="D1052" t="s">
        <v>33</v>
      </c>
      <c r="E1052">
        <v>1</v>
      </c>
      <c r="F1052">
        <v>0</v>
      </c>
      <c r="G1052">
        <v>3731</v>
      </c>
      <c r="H1052" s="11" t="s">
        <v>45</v>
      </c>
      <c r="I1052" t="str">
        <f t="shared" si="71"/>
        <v>[{1000,1,0,3731,42}]</v>
      </c>
    </row>
    <row r="1053" spans="1:9">
      <c r="A1053">
        <f t="shared" si="70"/>
        <v>1</v>
      </c>
      <c r="B1053">
        <v>1</v>
      </c>
      <c r="C1053" t="s">
        <v>63</v>
      </c>
      <c r="D1053" t="s">
        <v>33</v>
      </c>
      <c r="E1053">
        <v>1</v>
      </c>
      <c r="F1053">
        <v>1</v>
      </c>
      <c r="G1053">
        <v>3801</v>
      </c>
      <c r="H1053" t="str">
        <f>IF(VLOOKUP(G1053,[2]Sheet1!$A:$O,15,0)=1,"401}]","101}]")</f>
        <v>101}]</v>
      </c>
      <c r="I1053" t="str">
        <f t="shared" si="71"/>
        <v>[{1000,1,1,3801,101}]</v>
      </c>
    </row>
    <row r="1054" spans="1:9">
      <c r="A1054">
        <f t="shared" si="70"/>
        <v>2</v>
      </c>
      <c r="B1054">
        <v>2</v>
      </c>
      <c r="C1054" t="s">
        <v>63</v>
      </c>
      <c r="D1054" t="s">
        <v>33</v>
      </c>
      <c r="E1054">
        <v>1</v>
      </c>
      <c r="F1054">
        <v>1</v>
      </c>
      <c r="G1054">
        <v>3801</v>
      </c>
      <c r="H1054" t="str">
        <f>IF(VLOOKUP(G1054,[2]Sheet1!$A:$O,15,0)=1,"401}]","101}]")</f>
        <v>101}]</v>
      </c>
      <c r="I1054" t="str">
        <f t="shared" si="71"/>
        <v>[{1000,1,1,3801,101}]</v>
      </c>
    </row>
    <row r="1055" spans="1:9">
      <c r="A1055">
        <f t="shared" si="70"/>
        <v>3</v>
      </c>
      <c r="B1055">
        <v>3</v>
      </c>
      <c r="C1055" t="s">
        <v>63</v>
      </c>
      <c r="D1055" t="s">
        <v>33</v>
      </c>
      <c r="E1055">
        <v>1</v>
      </c>
      <c r="F1055">
        <v>1</v>
      </c>
      <c r="G1055">
        <v>3801</v>
      </c>
      <c r="H1055" t="str">
        <f>IF(VLOOKUP(G1055,[2]Sheet1!$A:$O,15,0)=1,"401}]","101}]")</f>
        <v>101}]</v>
      </c>
      <c r="I1055" t="str">
        <f t="shared" si="71"/>
        <v>[{1000,1,1,3801,101}]</v>
      </c>
    </row>
    <row r="1056" spans="1:9">
      <c r="A1056">
        <f t="shared" si="70"/>
        <v>4</v>
      </c>
      <c r="B1056">
        <v>4</v>
      </c>
      <c r="C1056" t="s">
        <v>63</v>
      </c>
      <c r="D1056" t="s">
        <v>33</v>
      </c>
      <c r="E1056">
        <v>1</v>
      </c>
      <c r="F1056">
        <v>1</v>
      </c>
      <c r="G1056">
        <v>3801</v>
      </c>
      <c r="H1056" t="str">
        <f>IF(VLOOKUP(G1056,[2]Sheet1!$A:$O,15,0)=1,"401}]","101}]")</f>
        <v>101}]</v>
      </c>
      <c r="I1056" t="str">
        <f t="shared" si="71"/>
        <v>[{1000,1,1,3801,101}]</v>
      </c>
    </row>
    <row r="1057" spans="1:9">
      <c r="A1057">
        <f t="shared" si="70"/>
        <v>5</v>
      </c>
      <c r="B1057">
        <v>5</v>
      </c>
      <c r="C1057" t="s">
        <v>63</v>
      </c>
      <c r="D1057" t="s">
        <v>33</v>
      </c>
      <c r="E1057">
        <v>1</v>
      </c>
      <c r="F1057">
        <v>1</v>
      </c>
      <c r="G1057">
        <v>3801</v>
      </c>
      <c r="H1057" t="str">
        <f>IF(VLOOKUP(G1057,[2]Sheet1!$A:$O,15,0)=1,"401}]","101}]")</f>
        <v>101}]</v>
      </c>
      <c r="I1057" t="str">
        <f t="shared" si="71"/>
        <v>[{1000,1,1,3801,101}]</v>
      </c>
    </row>
    <row r="1058" spans="1:9">
      <c r="A1058">
        <f t="shared" si="70"/>
        <v>6</v>
      </c>
      <c r="B1058">
        <v>6</v>
      </c>
      <c r="C1058" t="s">
        <v>63</v>
      </c>
      <c r="D1058" t="s">
        <v>33</v>
      </c>
      <c r="E1058">
        <v>1</v>
      </c>
      <c r="F1058">
        <v>1</v>
      </c>
      <c r="G1058">
        <v>3801</v>
      </c>
      <c r="H1058" t="str">
        <f>IF(VLOOKUP(G1058,[2]Sheet1!$A:$O,15,0)=1,"401}]","101}]")</f>
        <v>101}]</v>
      </c>
      <c r="I1058" t="str">
        <f t="shared" si="71"/>
        <v>[{1000,1,1,3801,101}]</v>
      </c>
    </row>
    <row r="1059" spans="1:9">
      <c r="A1059">
        <f t="shared" si="70"/>
        <v>7</v>
      </c>
      <c r="B1059">
        <v>7</v>
      </c>
      <c r="C1059" t="s">
        <v>63</v>
      </c>
      <c r="D1059" t="s">
        <v>33</v>
      </c>
      <c r="E1059">
        <v>1</v>
      </c>
      <c r="F1059">
        <v>1</v>
      </c>
      <c r="G1059">
        <v>3801</v>
      </c>
      <c r="H1059" t="str">
        <f>IF(VLOOKUP(G1059,[2]Sheet1!$A:$O,15,0)=1,"401}]","101}]")</f>
        <v>101}]</v>
      </c>
      <c r="I1059" t="str">
        <f t="shared" si="71"/>
        <v>[{1000,1,1,3801,101}]</v>
      </c>
    </row>
    <row r="1060" spans="1:9">
      <c r="A1060">
        <f t="shared" si="70"/>
        <v>7</v>
      </c>
      <c r="B1060">
        <v>7</v>
      </c>
      <c r="C1060" t="s">
        <v>63</v>
      </c>
      <c r="D1060" t="s">
        <v>33</v>
      </c>
      <c r="E1060">
        <v>1</v>
      </c>
      <c r="F1060">
        <v>1</v>
      </c>
      <c r="G1060">
        <v>3802</v>
      </c>
      <c r="H1060" t="str">
        <f>IF(VLOOKUP(G1060,[2]Sheet1!$A:$O,15,0)=1,"401}]","101}]")</f>
        <v>401}]</v>
      </c>
      <c r="I1060" t="str">
        <f t="shared" si="71"/>
        <v>[{1000,1,1,3802,401}]</v>
      </c>
    </row>
    <row r="1061" spans="1:9">
      <c r="A1061">
        <f t="shared" si="70"/>
        <v>8</v>
      </c>
      <c r="B1061">
        <v>8</v>
      </c>
      <c r="C1061" t="s">
        <v>63</v>
      </c>
      <c r="D1061" t="s">
        <v>33</v>
      </c>
      <c r="E1061">
        <v>1</v>
      </c>
      <c r="F1061">
        <v>1</v>
      </c>
      <c r="G1061">
        <v>3801</v>
      </c>
      <c r="H1061" t="str">
        <f>IF(VLOOKUP(G1061,[2]Sheet1!$A:$O,15,0)=1,"401}]","101}]")</f>
        <v>101}]</v>
      </c>
      <c r="I1061" t="str">
        <f t="shared" si="71"/>
        <v>[{1000,1,1,3801,101}]</v>
      </c>
    </row>
    <row r="1062" spans="1:9">
      <c r="A1062">
        <f t="shared" si="70"/>
        <v>8</v>
      </c>
      <c r="B1062">
        <v>8</v>
      </c>
      <c r="C1062" t="s">
        <v>63</v>
      </c>
      <c r="D1062" t="s">
        <v>33</v>
      </c>
      <c r="E1062">
        <v>1</v>
      </c>
      <c r="F1062">
        <v>1</v>
      </c>
      <c r="G1062">
        <v>3802</v>
      </c>
      <c r="H1062" t="str">
        <f>IF(VLOOKUP(G1062,[2]Sheet1!$A:$O,15,0)=1,"401}]","101}]")</f>
        <v>401}]</v>
      </c>
      <c r="I1062" t="str">
        <f t="shared" si="71"/>
        <v>[{1000,1,1,3802,401}]</v>
      </c>
    </row>
    <row r="1063" spans="1:9">
      <c r="A1063">
        <f t="shared" si="70"/>
        <v>9</v>
      </c>
      <c r="B1063">
        <v>9</v>
      </c>
      <c r="C1063" t="s">
        <v>63</v>
      </c>
      <c r="D1063" t="s">
        <v>33</v>
      </c>
      <c r="E1063">
        <v>1</v>
      </c>
      <c r="F1063">
        <v>1</v>
      </c>
      <c r="G1063">
        <v>3801</v>
      </c>
      <c r="H1063" t="str">
        <f>IF(VLOOKUP(G1063,[2]Sheet1!$A:$O,15,0)=1,"401}]","101}]")</f>
        <v>101}]</v>
      </c>
      <c r="I1063" t="str">
        <f t="shared" si="71"/>
        <v>[{1000,1,1,3801,101}]</v>
      </c>
    </row>
    <row r="1064" spans="1:9">
      <c r="A1064">
        <f t="shared" si="70"/>
        <v>9</v>
      </c>
      <c r="B1064">
        <v>9</v>
      </c>
      <c r="C1064" t="s">
        <v>63</v>
      </c>
      <c r="D1064" t="s">
        <v>33</v>
      </c>
      <c r="E1064">
        <v>1</v>
      </c>
      <c r="F1064">
        <v>1</v>
      </c>
      <c r="G1064">
        <v>3802</v>
      </c>
      <c r="H1064" t="str">
        <f>IF(VLOOKUP(G1064,[2]Sheet1!$A:$O,15,0)=1,"401}]","101}]")</f>
        <v>401}]</v>
      </c>
      <c r="I1064" t="str">
        <f t="shared" si="71"/>
        <v>[{1000,1,1,3802,401}]</v>
      </c>
    </row>
    <row r="1065" spans="1:9">
      <c r="A1065">
        <f t="shared" si="70"/>
        <v>10</v>
      </c>
      <c r="B1065">
        <v>10</v>
      </c>
      <c r="C1065" t="s">
        <v>63</v>
      </c>
      <c r="D1065" t="s">
        <v>33</v>
      </c>
      <c r="E1065">
        <v>1</v>
      </c>
      <c r="F1065">
        <v>1</v>
      </c>
      <c r="G1065">
        <v>3801</v>
      </c>
      <c r="H1065" t="str">
        <f>IF(VLOOKUP(G1065,[2]Sheet1!$A:$O,15,0)=1,"401}]","101}]")</f>
        <v>101}]</v>
      </c>
      <c r="I1065" t="str">
        <f t="shared" si="71"/>
        <v>[{1000,1,1,3801,101}]</v>
      </c>
    </row>
    <row r="1066" spans="1:9">
      <c r="A1066">
        <f t="shared" si="70"/>
        <v>10</v>
      </c>
      <c r="B1066">
        <v>10</v>
      </c>
      <c r="C1066" t="s">
        <v>63</v>
      </c>
      <c r="D1066" t="s">
        <v>33</v>
      </c>
      <c r="E1066">
        <v>1</v>
      </c>
      <c r="F1066">
        <v>1</v>
      </c>
      <c r="G1066">
        <v>3802</v>
      </c>
      <c r="H1066" t="str">
        <f>IF(VLOOKUP(G1066,[2]Sheet1!$A:$O,15,0)=1,"401}]","101}]")</f>
        <v>401}]</v>
      </c>
      <c r="I1066" t="str">
        <f t="shared" si="71"/>
        <v>[{1000,1,1,3802,401}]</v>
      </c>
    </row>
    <row r="1067" spans="1:9">
      <c r="A1067" t="str">
        <f t="shared" si="70"/>
        <v/>
      </c>
      <c r="B1067">
        <v>10</v>
      </c>
      <c r="C1067" t="s">
        <v>63</v>
      </c>
      <c r="D1067" s="11" t="s">
        <v>28</v>
      </c>
      <c r="I1067" t="str">
        <f t="shared" si="71"/>
        <v>[]</v>
      </c>
    </row>
    <row r="1068" spans="1:9">
      <c r="A1068">
        <f t="shared" si="70"/>
        <v>10</v>
      </c>
      <c r="B1068">
        <v>10</v>
      </c>
      <c r="C1068" t="s">
        <v>63</v>
      </c>
      <c r="D1068" t="s">
        <v>33</v>
      </c>
      <c r="E1068">
        <v>1</v>
      </c>
      <c r="F1068">
        <v>0</v>
      </c>
      <c r="G1068">
        <v>3821</v>
      </c>
      <c r="H1068" t="str">
        <f>IF(VLOOKUP(G1068,[2]Sheet1!$A:$O,15,0)=1,"401}]","101}]")</f>
        <v>401}]</v>
      </c>
      <c r="I1068" t="str">
        <f t="shared" si="71"/>
        <v>[{1000,1,0,3821,401}]</v>
      </c>
    </row>
    <row r="1069" spans="1:9">
      <c r="A1069">
        <f t="shared" si="70"/>
        <v>11</v>
      </c>
      <c r="B1069">
        <v>11</v>
      </c>
      <c r="C1069" t="s">
        <v>63</v>
      </c>
      <c r="D1069" t="s">
        <v>33</v>
      </c>
      <c r="E1069">
        <v>1</v>
      </c>
      <c r="F1069">
        <v>1</v>
      </c>
      <c r="G1069">
        <v>3801</v>
      </c>
      <c r="H1069" t="str">
        <f>IF(VLOOKUP(G1069,[2]Sheet1!$A:$O,15,0)=1,"401}]","101}]")</f>
        <v>101}]</v>
      </c>
      <c r="I1069" t="str">
        <f t="shared" si="71"/>
        <v>[{1000,1,1,3801,101}]</v>
      </c>
    </row>
    <row r="1070" spans="1:9">
      <c r="A1070">
        <f t="shared" si="70"/>
        <v>11</v>
      </c>
      <c r="B1070">
        <v>11</v>
      </c>
      <c r="C1070" t="s">
        <v>63</v>
      </c>
      <c r="D1070" t="s">
        <v>33</v>
      </c>
      <c r="E1070">
        <v>1</v>
      </c>
      <c r="F1070">
        <v>1</v>
      </c>
      <c r="G1070">
        <v>3802</v>
      </c>
      <c r="H1070" t="str">
        <f>IF(VLOOKUP(G1070,[2]Sheet1!$A:$O,15,0)=1,"401}]","101}]")</f>
        <v>401}]</v>
      </c>
      <c r="I1070" t="str">
        <f t="shared" si="71"/>
        <v>[{1000,1,1,3802,401}]</v>
      </c>
    </row>
    <row r="1071" spans="1:9">
      <c r="A1071">
        <f t="shared" si="70"/>
        <v>12</v>
      </c>
      <c r="B1071">
        <v>12</v>
      </c>
      <c r="C1071" t="s">
        <v>63</v>
      </c>
      <c r="D1071" t="s">
        <v>33</v>
      </c>
      <c r="E1071">
        <v>1</v>
      </c>
      <c r="F1071">
        <v>1</v>
      </c>
      <c r="G1071">
        <v>3801</v>
      </c>
      <c r="H1071" t="str">
        <f>IF(VLOOKUP(G1071,[2]Sheet1!$A:$O,15,0)=1,"401}]","101}]")</f>
        <v>101}]</v>
      </c>
      <c r="I1071" t="str">
        <f t="shared" si="71"/>
        <v>[{1000,1,1,3801,101}]</v>
      </c>
    </row>
    <row r="1072" spans="1:9">
      <c r="A1072">
        <f t="shared" si="70"/>
        <v>12</v>
      </c>
      <c r="B1072">
        <v>12</v>
      </c>
      <c r="C1072" t="s">
        <v>63</v>
      </c>
      <c r="D1072" t="s">
        <v>33</v>
      </c>
      <c r="E1072">
        <v>1</v>
      </c>
      <c r="F1072">
        <v>1</v>
      </c>
      <c r="G1072">
        <v>3802</v>
      </c>
      <c r="H1072" t="str">
        <f>IF(VLOOKUP(G1072,[2]Sheet1!$A:$O,15,0)=1,"401}]","101}]")</f>
        <v>401}]</v>
      </c>
      <c r="I1072" t="str">
        <f t="shared" si="71"/>
        <v>[{1000,1,1,3802,401}]</v>
      </c>
    </row>
    <row r="1073" spans="1:9">
      <c r="A1073">
        <f t="shared" si="70"/>
        <v>13</v>
      </c>
      <c r="B1073">
        <v>13</v>
      </c>
      <c r="C1073" t="s">
        <v>63</v>
      </c>
      <c r="D1073" t="s">
        <v>33</v>
      </c>
      <c r="E1073">
        <v>1</v>
      </c>
      <c r="F1073">
        <v>1</v>
      </c>
      <c r="G1073">
        <v>3801</v>
      </c>
      <c r="H1073" t="str">
        <f>IF(VLOOKUP(G1073,[2]Sheet1!$A:$O,15,0)=1,"401}]","101}]")</f>
        <v>101}]</v>
      </c>
      <c r="I1073" t="str">
        <f t="shared" si="71"/>
        <v>[{1000,1,1,3801,101}]</v>
      </c>
    </row>
    <row r="1074" spans="1:9">
      <c r="A1074">
        <f t="shared" si="70"/>
        <v>13</v>
      </c>
      <c r="B1074">
        <v>13</v>
      </c>
      <c r="C1074" t="s">
        <v>63</v>
      </c>
      <c r="D1074" t="s">
        <v>33</v>
      </c>
      <c r="E1074">
        <v>1</v>
      </c>
      <c r="F1074">
        <v>1</v>
      </c>
      <c r="G1074">
        <v>3802</v>
      </c>
      <c r="H1074" t="str">
        <f>IF(VLOOKUP(G1074,[2]Sheet1!$A:$O,15,0)=1,"401}]","101}]")</f>
        <v>401}]</v>
      </c>
      <c r="I1074" t="str">
        <f t="shared" si="71"/>
        <v>[{1000,1,1,3802,401}]</v>
      </c>
    </row>
    <row r="1075" spans="1:9">
      <c r="A1075">
        <f t="shared" si="70"/>
        <v>14</v>
      </c>
      <c r="B1075">
        <v>14</v>
      </c>
      <c r="C1075" t="s">
        <v>63</v>
      </c>
      <c r="D1075" t="s">
        <v>33</v>
      </c>
      <c r="E1075">
        <v>1</v>
      </c>
      <c r="F1075">
        <v>1</v>
      </c>
      <c r="G1075">
        <v>3801</v>
      </c>
      <c r="H1075" t="str">
        <f>IF(VLOOKUP(G1075,[2]Sheet1!$A:$O,15,0)=1,"401}]","101}]")</f>
        <v>101}]</v>
      </c>
      <c r="I1075" t="str">
        <f t="shared" si="71"/>
        <v>[{1000,1,1,3801,101}]</v>
      </c>
    </row>
    <row r="1076" spans="1:9">
      <c r="A1076">
        <f t="shared" si="70"/>
        <v>14</v>
      </c>
      <c r="B1076">
        <v>14</v>
      </c>
      <c r="C1076" t="s">
        <v>63</v>
      </c>
      <c r="D1076" t="s">
        <v>33</v>
      </c>
      <c r="E1076">
        <v>1</v>
      </c>
      <c r="F1076">
        <v>1</v>
      </c>
      <c r="G1076">
        <v>3802</v>
      </c>
      <c r="H1076" t="str">
        <f>IF(VLOOKUP(G1076,[2]Sheet1!$A:$O,15,0)=1,"401}]","101}]")</f>
        <v>401}]</v>
      </c>
      <c r="I1076" t="str">
        <f t="shared" si="71"/>
        <v>[{1000,1,1,3802,401}]</v>
      </c>
    </row>
    <row r="1077" spans="1:9">
      <c r="A1077">
        <f t="shared" si="70"/>
        <v>14</v>
      </c>
      <c r="B1077">
        <v>14</v>
      </c>
      <c r="C1077" t="s">
        <v>63</v>
      </c>
      <c r="D1077" t="s">
        <v>33</v>
      </c>
      <c r="E1077">
        <v>1</v>
      </c>
      <c r="F1077">
        <v>1</v>
      </c>
      <c r="G1077">
        <v>3803</v>
      </c>
      <c r="H1077" t="str">
        <f>IF(VLOOKUP(G1077,[2]Sheet1!$A:$O,15,0)=1,"401}]","101}]")</f>
        <v>101}]</v>
      </c>
      <c r="I1077" t="str">
        <f t="shared" si="71"/>
        <v>[{1000,1,1,3803,101}]</v>
      </c>
    </row>
    <row r="1078" spans="1:9">
      <c r="A1078">
        <f t="shared" si="70"/>
        <v>15</v>
      </c>
      <c r="B1078">
        <v>15</v>
      </c>
      <c r="C1078" t="s">
        <v>63</v>
      </c>
      <c r="D1078" t="s">
        <v>33</v>
      </c>
      <c r="E1078">
        <v>1</v>
      </c>
      <c r="F1078">
        <v>1</v>
      </c>
      <c r="G1078">
        <v>3801</v>
      </c>
      <c r="H1078" t="str">
        <f>IF(VLOOKUP(G1078,[2]Sheet1!$A:$O,15,0)=1,"401}]","101}]")</f>
        <v>101}]</v>
      </c>
      <c r="I1078" t="str">
        <f t="shared" si="71"/>
        <v>[{1000,1,1,3801,101}]</v>
      </c>
    </row>
    <row r="1079" spans="1:9">
      <c r="A1079">
        <f t="shared" si="70"/>
        <v>15</v>
      </c>
      <c r="B1079">
        <v>15</v>
      </c>
      <c r="C1079" t="s">
        <v>63</v>
      </c>
      <c r="D1079" t="s">
        <v>33</v>
      </c>
      <c r="E1079">
        <v>1</v>
      </c>
      <c r="F1079">
        <v>1</v>
      </c>
      <c r="G1079">
        <v>3802</v>
      </c>
      <c r="H1079" t="str">
        <f>IF(VLOOKUP(G1079,[2]Sheet1!$A:$O,15,0)=1,"401}]","101}]")</f>
        <v>401}]</v>
      </c>
      <c r="I1079" t="str">
        <f t="shared" si="71"/>
        <v>[{1000,1,1,3802,401}]</v>
      </c>
    </row>
    <row r="1080" spans="1:9">
      <c r="A1080">
        <f t="shared" si="70"/>
        <v>15</v>
      </c>
      <c r="B1080">
        <v>15</v>
      </c>
      <c r="C1080" t="s">
        <v>63</v>
      </c>
      <c r="D1080" t="s">
        <v>33</v>
      </c>
      <c r="E1080">
        <v>1</v>
      </c>
      <c r="F1080">
        <v>1</v>
      </c>
      <c r="G1080">
        <v>3803</v>
      </c>
      <c r="H1080" t="str">
        <f>IF(VLOOKUP(G1080,[2]Sheet1!$A:$O,15,0)=1,"401}]","101}]")</f>
        <v>101}]</v>
      </c>
      <c r="I1080" t="str">
        <f t="shared" si="71"/>
        <v>[{1000,1,1,3803,101}]</v>
      </c>
    </row>
    <row r="1081" spans="1:9">
      <c r="A1081">
        <f t="shared" si="70"/>
        <v>16</v>
      </c>
      <c r="B1081">
        <v>16</v>
      </c>
      <c r="C1081" t="s">
        <v>63</v>
      </c>
      <c r="D1081" t="s">
        <v>33</v>
      </c>
      <c r="E1081">
        <v>1</v>
      </c>
      <c r="F1081">
        <v>1</v>
      </c>
      <c r="G1081">
        <v>3801</v>
      </c>
      <c r="H1081" t="str">
        <f>IF(VLOOKUP(G1081,[2]Sheet1!$A:$O,15,0)=1,"401}]","101}]")</f>
        <v>101}]</v>
      </c>
      <c r="I1081" t="str">
        <f t="shared" si="71"/>
        <v>[{1000,1,1,3801,101}]</v>
      </c>
    </row>
    <row r="1082" spans="1:9">
      <c r="A1082">
        <f t="shared" si="70"/>
        <v>16</v>
      </c>
      <c r="B1082">
        <v>16</v>
      </c>
      <c r="C1082" t="s">
        <v>63</v>
      </c>
      <c r="D1082" t="s">
        <v>33</v>
      </c>
      <c r="E1082">
        <v>1</v>
      </c>
      <c r="F1082">
        <v>1</v>
      </c>
      <c r="G1082">
        <v>3802</v>
      </c>
      <c r="H1082" t="str">
        <f>IF(VLOOKUP(G1082,[2]Sheet1!$A:$O,15,0)=1,"401}]","101}]")</f>
        <v>401}]</v>
      </c>
      <c r="I1082" t="str">
        <f t="shared" si="71"/>
        <v>[{1000,1,1,3802,401}]</v>
      </c>
    </row>
    <row r="1083" spans="1:9">
      <c r="A1083">
        <f t="shared" si="70"/>
        <v>16</v>
      </c>
      <c r="B1083">
        <v>16</v>
      </c>
      <c r="C1083" t="s">
        <v>63</v>
      </c>
      <c r="D1083" t="s">
        <v>33</v>
      </c>
      <c r="E1083">
        <v>1</v>
      </c>
      <c r="F1083">
        <v>1</v>
      </c>
      <c r="G1083">
        <v>3803</v>
      </c>
      <c r="H1083" t="str">
        <f>IF(VLOOKUP(G1083,[2]Sheet1!$A:$O,15,0)=1,"401}]","101}]")</f>
        <v>101}]</v>
      </c>
      <c r="I1083" t="str">
        <f t="shared" si="71"/>
        <v>[{1000,1,1,3803,101}]</v>
      </c>
    </row>
    <row r="1084" spans="1:9">
      <c r="A1084">
        <f t="shared" si="70"/>
        <v>17</v>
      </c>
      <c r="B1084">
        <v>17</v>
      </c>
      <c r="C1084" t="s">
        <v>63</v>
      </c>
      <c r="D1084" t="s">
        <v>33</v>
      </c>
      <c r="E1084">
        <v>1</v>
      </c>
      <c r="F1084">
        <v>1</v>
      </c>
      <c r="G1084">
        <v>3801</v>
      </c>
      <c r="H1084" t="str">
        <f>IF(VLOOKUP(G1084,[2]Sheet1!$A:$O,15,0)=1,"401}]","101}]")</f>
        <v>101}]</v>
      </c>
      <c r="I1084" t="str">
        <f t="shared" si="71"/>
        <v>[{1000,1,1,3801,101}]</v>
      </c>
    </row>
    <row r="1085" spans="1:9">
      <c r="A1085">
        <f t="shared" si="70"/>
        <v>17</v>
      </c>
      <c r="B1085">
        <v>17</v>
      </c>
      <c r="C1085" t="s">
        <v>63</v>
      </c>
      <c r="D1085" t="s">
        <v>33</v>
      </c>
      <c r="E1085">
        <v>1</v>
      </c>
      <c r="F1085">
        <v>1</v>
      </c>
      <c r="G1085">
        <v>3802</v>
      </c>
      <c r="H1085" t="str">
        <f>IF(VLOOKUP(G1085,[2]Sheet1!$A:$O,15,0)=1,"401}]","101}]")</f>
        <v>401}]</v>
      </c>
      <c r="I1085" t="str">
        <f t="shared" si="71"/>
        <v>[{1000,1,1,3802,401}]</v>
      </c>
    </row>
    <row r="1086" spans="1:9">
      <c r="A1086">
        <f t="shared" si="70"/>
        <v>17</v>
      </c>
      <c r="B1086">
        <v>17</v>
      </c>
      <c r="C1086" t="s">
        <v>63</v>
      </c>
      <c r="D1086" t="s">
        <v>33</v>
      </c>
      <c r="E1086">
        <v>1</v>
      </c>
      <c r="F1086">
        <v>1</v>
      </c>
      <c r="G1086">
        <v>3803</v>
      </c>
      <c r="H1086" t="str">
        <f>IF(VLOOKUP(G1086,[2]Sheet1!$A:$O,15,0)=1,"401}]","101}]")</f>
        <v>101}]</v>
      </c>
      <c r="I1086" t="str">
        <f t="shared" si="71"/>
        <v>[{1000,1,1,3803,101}]</v>
      </c>
    </row>
    <row r="1087" spans="1:9">
      <c r="A1087">
        <f t="shared" si="70"/>
        <v>18</v>
      </c>
      <c r="B1087">
        <v>18</v>
      </c>
      <c r="C1087" t="s">
        <v>63</v>
      </c>
      <c r="D1087" t="s">
        <v>33</v>
      </c>
      <c r="E1087">
        <v>1</v>
      </c>
      <c r="F1087">
        <v>1</v>
      </c>
      <c r="G1087">
        <v>3801</v>
      </c>
      <c r="H1087" t="str">
        <f>IF(VLOOKUP(G1087,[2]Sheet1!$A:$O,15,0)=1,"401}]","101}]")</f>
        <v>101}]</v>
      </c>
      <c r="I1087" t="str">
        <f t="shared" si="71"/>
        <v>[{1000,1,1,3801,101}]</v>
      </c>
    </row>
    <row r="1088" spans="1:9">
      <c r="A1088">
        <f t="shared" si="70"/>
        <v>18</v>
      </c>
      <c r="B1088">
        <v>18</v>
      </c>
      <c r="C1088" t="s">
        <v>63</v>
      </c>
      <c r="D1088" t="s">
        <v>33</v>
      </c>
      <c r="E1088">
        <v>1</v>
      </c>
      <c r="F1088">
        <v>1</v>
      </c>
      <c r="G1088">
        <v>3802</v>
      </c>
      <c r="H1088" t="str">
        <f>IF(VLOOKUP(G1088,[2]Sheet1!$A:$O,15,0)=1,"401}]","101}]")</f>
        <v>401}]</v>
      </c>
      <c r="I1088" t="str">
        <f t="shared" si="71"/>
        <v>[{1000,1,1,3802,401}]</v>
      </c>
    </row>
    <row r="1089" spans="1:9">
      <c r="A1089">
        <f t="shared" si="70"/>
        <v>18</v>
      </c>
      <c r="B1089">
        <v>18</v>
      </c>
      <c r="C1089" t="s">
        <v>63</v>
      </c>
      <c r="D1089" t="s">
        <v>33</v>
      </c>
      <c r="E1089">
        <v>1</v>
      </c>
      <c r="F1089">
        <v>1</v>
      </c>
      <c r="G1089">
        <v>3803</v>
      </c>
      <c r="H1089" t="str">
        <f>IF(VLOOKUP(G1089,[2]Sheet1!$A:$O,15,0)=1,"401}]","101}]")</f>
        <v>101}]</v>
      </c>
      <c r="I1089" t="str">
        <f t="shared" si="71"/>
        <v>[{1000,1,1,3803,101}]</v>
      </c>
    </row>
    <row r="1090" spans="1:9">
      <c r="A1090">
        <f t="shared" si="70"/>
        <v>19</v>
      </c>
      <c r="B1090">
        <v>19</v>
      </c>
      <c r="C1090" t="s">
        <v>63</v>
      </c>
      <c r="D1090" t="s">
        <v>33</v>
      </c>
      <c r="E1090">
        <v>1</v>
      </c>
      <c r="F1090">
        <v>1</v>
      </c>
      <c r="G1090">
        <v>3801</v>
      </c>
      <c r="H1090" t="str">
        <f>IF(VLOOKUP(G1090,[2]Sheet1!$A:$O,15,0)=1,"401}]","101}]")</f>
        <v>101}]</v>
      </c>
      <c r="I1090" t="str">
        <f t="shared" si="71"/>
        <v>[{1000,1,1,3801,101}]</v>
      </c>
    </row>
    <row r="1091" spans="1:9">
      <c r="A1091">
        <f t="shared" si="70"/>
        <v>19</v>
      </c>
      <c r="B1091">
        <v>19</v>
      </c>
      <c r="C1091" t="s">
        <v>63</v>
      </c>
      <c r="D1091" t="s">
        <v>33</v>
      </c>
      <c r="E1091">
        <v>1</v>
      </c>
      <c r="F1091">
        <v>1</v>
      </c>
      <c r="G1091">
        <v>3802</v>
      </c>
      <c r="H1091" t="str">
        <f>IF(VLOOKUP(G1091,[2]Sheet1!$A:$O,15,0)=1,"401}]","101}]")</f>
        <v>401}]</v>
      </c>
      <c r="I1091" t="str">
        <f t="shared" si="71"/>
        <v>[{1000,1,1,3802,401}]</v>
      </c>
    </row>
    <row r="1092" spans="1:9">
      <c r="A1092">
        <f t="shared" si="70"/>
        <v>19</v>
      </c>
      <c r="B1092">
        <v>19</v>
      </c>
      <c r="C1092" t="s">
        <v>63</v>
      </c>
      <c r="D1092" t="s">
        <v>33</v>
      </c>
      <c r="E1092">
        <v>1</v>
      </c>
      <c r="F1092">
        <v>1</v>
      </c>
      <c r="G1092">
        <v>3803</v>
      </c>
      <c r="H1092" t="str">
        <f>IF(VLOOKUP(G1092,[2]Sheet1!$A:$O,15,0)=1,"401}]","101}]")</f>
        <v>101}]</v>
      </c>
      <c r="I1092" t="str">
        <f t="shared" si="71"/>
        <v>[{1000,1,1,3803,101}]</v>
      </c>
    </row>
    <row r="1093" spans="1:9">
      <c r="A1093">
        <f t="shared" si="70"/>
        <v>20</v>
      </c>
      <c r="B1093">
        <v>20</v>
      </c>
      <c r="C1093" t="s">
        <v>63</v>
      </c>
      <c r="D1093" t="s">
        <v>33</v>
      </c>
      <c r="E1093">
        <v>1</v>
      </c>
      <c r="F1093">
        <v>1</v>
      </c>
      <c r="G1093">
        <v>3801</v>
      </c>
      <c r="H1093" t="str">
        <f>IF(VLOOKUP(G1093,[2]Sheet1!$A:$O,15,0)=1,"401}]","101}]")</f>
        <v>101}]</v>
      </c>
      <c r="I1093" t="str">
        <f t="shared" si="71"/>
        <v>[{1000,1,1,3801,101}]</v>
      </c>
    </row>
    <row r="1094" spans="1:9">
      <c r="A1094">
        <f t="shared" si="70"/>
        <v>20</v>
      </c>
      <c r="B1094">
        <v>20</v>
      </c>
      <c r="C1094" t="s">
        <v>63</v>
      </c>
      <c r="D1094" t="s">
        <v>33</v>
      </c>
      <c r="E1094">
        <v>1</v>
      </c>
      <c r="F1094">
        <v>1</v>
      </c>
      <c r="G1094">
        <v>3802</v>
      </c>
      <c r="H1094" t="str">
        <f>IF(VLOOKUP(G1094,[2]Sheet1!$A:$O,15,0)=1,"401}]","101}]")</f>
        <v>401}]</v>
      </c>
      <c r="I1094" t="str">
        <f t="shared" si="71"/>
        <v>[{1000,1,1,3802,401}]</v>
      </c>
    </row>
    <row r="1095" spans="1:9">
      <c r="A1095">
        <f t="shared" si="70"/>
        <v>20</v>
      </c>
      <c r="B1095">
        <v>20</v>
      </c>
      <c r="C1095" t="s">
        <v>63</v>
      </c>
      <c r="D1095" s="11" t="s">
        <v>33</v>
      </c>
      <c r="E1095">
        <v>1</v>
      </c>
      <c r="F1095">
        <v>1</v>
      </c>
      <c r="G1095">
        <v>3803</v>
      </c>
      <c r="H1095" t="str">
        <f>IF(VLOOKUP(G1095,[2]Sheet1!$A:$O,15,0)=1,"401}]","101}]")</f>
        <v>101}]</v>
      </c>
      <c r="I1095" t="str">
        <f t="shared" si="71"/>
        <v>[{1000,1,1,3803,101}]</v>
      </c>
    </row>
    <row r="1096" spans="1:9">
      <c r="A1096" t="str">
        <f t="shared" si="70"/>
        <v/>
      </c>
      <c r="B1096">
        <v>20</v>
      </c>
      <c r="C1096" t="s">
        <v>63</v>
      </c>
      <c r="D1096" s="11" t="s">
        <v>28</v>
      </c>
      <c r="I1096" t="str">
        <f t="shared" si="71"/>
        <v>[]</v>
      </c>
    </row>
    <row r="1097" spans="1:9">
      <c r="A1097">
        <f t="shared" si="70"/>
        <v>20</v>
      </c>
      <c r="B1097">
        <v>20</v>
      </c>
      <c r="C1097" t="s">
        <v>63</v>
      </c>
      <c r="D1097" s="11" t="s">
        <v>33</v>
      </c>
      <c r="E1097">
        <v>1</v>
      </c>
      <c r="F1097">
        <v>0</v>
      </c>
      <c r="G1097">
        <v>3831</v>
      </c>
      <c r="H1097" t="str">
        <f>IF(VLOOKUP(G1097,[2]Sheet1!$A:$O,15,0)=1,"401}]","101}]")</f>
        <v>401}]</v>
      </c>
      <c r="I1097" t="str">
        <f t="shared" si="71"/>
        <v>[{1000,1,0,3831,401}]</v>
      </c>
    </row>
    <row r="1098" spans="1:9">
      <c r="A1098">
        <f t="shared" ref="A1098:A1161" si="72">IF(E1098="","",B1098)</f>
        <v>1</v>
      </c>
      <c r="B1098">
        <v>1</v>
      </c>
      <c r="C1098" t="s">
        <v>64</v>
      </c>
      <c r="D1098" t="s">
        <v>33</v>
      </c>
      <c r="E1098">
        <v>1</v>
      </c>
      <c r="F1098">
        <v>1</v>
      </c>
      <c r="G1098">
        <f t="shared" ref="G1098:G1161" si="73">IF(G1053="","",G1053+100)</f>
        <v>3901</v>
      </c>
      <c r="H1098" t="str">
        <f>IF(VLOOKUP(G1098,[2]Sheet1!$A:$O,15,0)=1,"401}]","101}]")</f>
        <v>101}]</v>
      </c>
      <c r="I1098" t="str">
        <f t="shared" ref="I1098:I1161" si="74">_xlfn.TEXTJOIN(",",1,D1098:H1098)</f>
        <v>[{1000,1,1,3901,101}]</v>
      </c>
    </row>
    <row r="1099" spans="1:9">
      <c r="A1099">
        <f t="shared" si="72"/>
        <v>2</v>
      </c>
      <c r="B1099">
        <v>2</v>
      </c>
      <c r="C1099" t="s">
        <v>64</v>
      </c>
      <c r="D1099" t="s">
        <v>33</v>
      </c>
      <c r="E1099">
        <v>1</v>
      </c>
      <c r="F1099">
        <v>1</v>
      </c>
      <c r="G1099">
        <f t="shared" si="73"/>
        <v>3901</v>
      </c>
      <c r="H1099" t="str">
        <f>IF(VLOOKUP(G1099,[2]Sheet1!$A:$O,15,0)=1,"401}]","101}]")</f>
        <v>101}]</v>
      </c>
      <c r="I1099" t="str">
        <f t="shared" si="74"/>
        <v>[{1000,1,1,3901,101}]</v>
      </c>
    </row>
    <row r="1100" spans="1:9">
      <c r="A1100">
        <f t="shared" si="72"/>
        <v>3</v>
      </c>
      <c r="B1100">
        <v>3</v>
      </c>
      <c r="C1100" t="s">
        <v>64</v>
      </c>
      <c r="D1100" t="s">
        <v>33</v>
      </c>
      <c r="E1100">
        <v>1</v>
      </c>
      <c r="F1100">
        <v>1</v>
      </c>
      <c r="G1100">
        <f t="shared" si="73"/>
        <v>3901</v>
      </c>
      <c r="H1100" t="str">
        <f>IF(VLOOKUP(G1100,[2]Sheet1!$A:$O,15,0)=1,"401}]","101}]")</f>
        <v>101}]</v>
      </c>
      <c r="I1100" t="str">
        <f t="shared" si="74"/>
        <v>[{1000,1,1,3901,101}]</v>
      </c>
    </row>
    <row r="1101" spans="1:9">
      <c r="A1101">
        <f t="shared" si="72"/>
        <v>4</v>
      </c>
      <c r="B1101">
        <v>4</v>
      </c>
      <c r="C1101" t="s">
        <v>64</v>
      </c>
      <c r="D1101" t="s">
        <v>33</v>
      </c>
      <c r="E1101">
        <v>1</v>
      </c>
      <c r="F1101">
        <v>1</v>
      </c>
      <c r="G1101">
        <f t="shared" si="73"/>
        <v>3901</v>
      </c>
      <c r="H1101" t="str">
        <f>IF(VLOOKUP(G1101,[2]Sheet1!$A:$O,15,0)=1,"401}]","101}]")</f>
        <v>101}]</v>
      </c>
      <c r="I1101" t="str">
        <f t="shared" si="74"/>
        <v>[{1000,1,1,3901,101}]</v>
      </c>
    </row>
    <row r="1102" spans="1:9">
      <c r="A1102">
        <f t="shared" si="72"/>
        <v>5</v>
      </c>
      <c r="B1102">
        <v>5</v>
      </c>
      <c r="C1102" t="s">
        <v>64</v>
      </c>
      <c r="D1102" t="s">
        <v>33</v>
      </c>
      <c r="E1102">
        <v>1</v>
      </c>
      <c r="F1102">
        <v>1</v>
      </c>
      <c r="G1102">
        <f t="shared" si="73"/>
        <v>3901</v>
      </c>
      <c r="H1102" t="str">
        <f>IF(VLOOKUP(G1102,[2]Sheet1!$A:$O,15,0)=1,"401}]","101}]")</f>
        <v>101}]</v>
      </c>
      <c r="I1102" t="str">
        <f t="shared" si="74"/>
        <v>[{1000,1,1,3901,101}]</v>
      </c>
    </row>
    <row r="1103" spans="1:9">
      <c r="A1103">
        <f t="shared" si="72"/>
        <v>6</v>
      </c>
      <c r="B1103">
        <v>6</v>
      </c>
      <c r="C1103" t="s">
        <v>64</v>
      </c>
      <c r="D1103" t="s">
        <v>33</v>
      </c>
      <c r="E1103">
        <v>1</v>
      </c>
      <c r="F1103">
        <v>1</v>
      </c>
      <c r="G1103">
        <f t="shared" si="73"/>
        <v>3901</v>
      </c>
      <c r="H1103" t="str">
        <f>IF(VLOOKUP(G1103,[2]Sheet1!$A:$O,15,0)=1,"401}]","101}]")</f>
        <v>101}]</v>
      </c>
      <c r="I1103" t="str">
        <f t="shared" si="74"/>
        <v>[{1000,1,1,3901,101}]</v>
      </c>
    </row>
    <row r="1104" spans="1:9">
      <c r="A1104">
        <f t="shared" si="72"/>
        <v>7</v>
      </c>
      <c r="B1104">
        <v>7</v>
      </c>
      <c r="C1104" t="s">
        <v>64</v>
      </c>
      <c r="D1104" t="s">
        <v>33</v>
      </c>
      <c r="E1104">
        <v>1</v>
      </c>
      <c r="F1104">
        <v>1</v>
      </c>
      <c r="G1104">
        <f t="shared" si="73"/>
        <v>3901</v>
      </c>
      <c r="H1104" t="str">
        <f>IF(VLOOKUP(G1104,[2]Sheet1!$A:$O,15,0)=1,"401}]","101}]")</f>
        <v>101}]</v>
      </c>
      <c r="I1104" t="str">
        <f t="shared" si="74"/>
        <v>[{1000,1,1,3901,101}]</v>
      </c>
    </row>
    <row r="1105" spans="1:9">
      <c r="A1105">
        <f t="shared" si="72"/>
        <v>7</v>
      </c>
      <c r="B1105">
        <v>7</v>
      </c>
      <c r="C1105" t="s">
        <v>64</v>
      </c>
      <c r="D1105" t="s">
        <v>33</v>
      </c>
      <c r="E1105">
        <v>1</v>
      </c>
      <c r="F1105">
        <v>1</v>
      </c>
      <c r="G1105">
        <f t="shared" si="73"/>
        <v>3902</v>
      </c>
      <c r="H1105" t="str">
        <f>IF(VLOOKUP(G1105,[2]Sheet1!$A:$O,15,0)=1,"401}]","101}]")</f>
        <v>401}]</v>
      </c>
      <c r="I1105" t="str">
        <f t="shared" si="74"/>
        <v>[{1000,1,1,3902,401}]</v>
      </c>
    </row>
    <row r="1106" spans="1:9">
      <c r="A1106">
        <f t="shared" si="72"/>
        <v>8</v>
      </c>
      <c r="B1106">
        <v>8</v>
      </c>
      <c r="C1106" t="s">
        <v>64</v>
      </c>
      <c r="D1106" t="s">
        <v>33</v>
      </c>
      <c r="E1106">
        <v>1</v>
      </c>
      <c r="F1106">
        <v>1</v>
      </c>
      <c r="G1106">
        <f t="shared" si="73"/>
        <v>3901</v>
      </c>
      <c r="H1106" t="str">
        <f>IF(VLOOKUP(G1106,[2]Sheet1!$A:$O,15,0)=1,"401}]","101}]")</f>
        <v>101}]</v>
      </c>
      <c r="I1106" t="str">
        <f t="shared" si="74"/>
        <v>[{1000,1,1,3901,101}]</v>
      </c>
    </row>
    <row r="1107" spans="1:9">
      <c r="A1107">
        <f t="shared" si="72"/>
        <v>8</v>
      </c>
      <c r="B1107">
        <v>8</v>
      </c>
      <c r="C1107" t="s">
        <v>64</v>
      </c>
      <c r="D1107" t="s">
        <v>33</v>
      </c>
      <c r="E1107">
        <v>1</v>
      </c>
      <c r="F1107">
        <v>1</v>
      </c>
      <c r="G1107">
        <f t="shared" si="73"/>
        <v>3902</v>
      </c>
      <c r="H1107" t="str">
        <f>IF(VLOOKUP(G1107,[2]Sheet1!$A:$O,15,0)=1,"401}]","101}]")</f>
        <v>401}]</v>
      </c>
      <c r="I1107" t="str">
        <f t="shared" si="74"/>
        <v>[{1000,1,1,3902,401}]</v>
      </c>
    </row>
    <row r="1108" spans="1:9">
      <c r="A1108">
        <f t="shared" si="72"/>
        <v>9</v>
      </c>
      <c r="B1108">
        <v>9</v>
      </c>
      <c r="C1108" t="s">
        <v>64</v>
      </c>
      <c r="D1108" t="s">
        <v>33</v>
      </c>
      <c r="E1108">
        <v>1</v>
      </c>
      <c r="F1108">
        <v>1</v>
      </c>
      <c r="G1108">
        <f t="shared" si="73"/>
        <v>3901</v>
      </c>
      <c r="H1108" t="str">
        <f>IF(VLOOKUP(G1108,[2]Sheet1!$A:$O,15,0)=1,"401}]","101}]")</f>
        <v>101}]</v>
      </c>
      <c r="I1108" t="str">
        <f t="shared" si="74"/>
        <v>[{1000,1,1,3901,101}]</v>
      </c>
    </row>
    <row r="1109" spans="1:9">
      <c r="A1109">
        <f t="shared" si="72"/>
        <v>9</v>
      </c>
      <c r="B1109">
        <v>9</v>
      </c>
      <c r="C1109" t="s">
        <v>64</v>
      </c>
      <c r="D1109" t="s">
        <v>33</v>
      </c>
      <c r="E1109">
        <v>1</v>
      </c>
      <c r="F1109">
        <v>1</v>
      </c>
      <c r="G1109">
        <f t="shared" si="73"/>
        <v>3902</v>
      </c>
      <c r="H1109" t="str">
        <f>IF(VLOOKUP(G1109,[2]Sheet1!$A:$O,15,0)=1,"401}]","101}]")</f>
        <v>401}]</v>
      </c>
      <c r="I1109" t="str">
        <f t="shared" si="74"/>
        <v>[{1000,1,1,3902,401}]</v>
      </c>
    </row>
    <row r="1110" spans="1:9">
      <c r="A1110">
        <f t="shared" si="72"/>
        <v>10</v>
      </c>
      <c r="B1110">
        <v>10</v>
      </c>
      <c r="C1110" t="s">
        <v>64</v>
      </c>
      <c r="D1110" t="s">
        <v>33</v>
      </c>
      <c r="E1110">
        <v>1</v>
      </c>
      <c r="F1110">
        <v>1</v>
      </c>
      <c r="G1110">
        <f t="shared" si="73"/>
        <v>3901</v>
      </c>
      <c r="H1110" t="str">
        <f>IF(VLOOKUP(G1110,[2]Sheet1!$A:$O,15,0)=1,"401}]","101}]")</f>
        <v>101}]</v>
      </c>
      <c r="I1110" t="str">
        <f t="shared" si="74"/>
        <v>[{1000,1,1,3901,101}]</v>
      </c>
    </row>
    <row r="1111" spans="1:9">
      <c r="A1111">
        <f t="shared" si="72"/>
        <v>10</v>
      </c>
      <c r="B1111">
        <v>10</v>
      </c>
      <c r="C1111" t="s">
        <v>64</v>
      </c>
      <c r="D1111" t="s">
        <v>33</v>
      </c>
      <c r="E1111">
        <v>1</v>
      </c>
      <c r="F1111">
        <v>1</v>
      </c>
      <c r="G1111">
        <f t="shared" si="73"/>
        <v>3902</v>
      </c>
      <c r="H1111" t="str">
        <f>IF(VLOOKUP(G1111,[2]Sheet1!$A:$O,15,0)=1,"401}]","101}]")</f>
        <v>401}]</v>
      </c>
      <c r="I1111" t="str">
        <f t="shared" si="74"/>
        <v>[{1000,1,1,3902,401}]</v>
      </c>
    </row>
    <row r="1112" spans="1:9">
      <c r="A1112" t="str">
        <f t="shared" si="72"/>
        <v/>
      </c>
      <c r="B1112">
        <v>10</v>
      </c>
      <c r="C1112" t="s">
        <v>64</v>
      </c>
      <c r="D1112" s="11" t="s">
        <v>28</v>
      </c>
      <c r="G1112" t="str">
        <f t="shared" si="73"/>
        <v/>
      </c>
      <c r="I1112" t="str">
        <f t="shared" si="74"/>
        <v>[]</v>
      </c>
    </row>
    <row r="1113" spans="1:9">
      <c r="A1113">
        <f t="shared" si="72"/>
        <v>10</v>
      </c>
      <c r="B1113">
        <v>10</v>
      </c>
      <c r="C1113" t="s">
        <v>64</v>
      </c>
      <c r="D1113" t="s">
        <v>33</v>
      </c>
      <c r="E1113">
        <v>1</v>
      </c>
      <c r="F1113">
        <v>0</v>
      </c>
      <c r="G1113">
        <f t="shared" si="73"/>
        <v>3921</v>
      </c>
      <c r="H1113" s="11" t="s">
        <v>36</v>
      </c>
      <c r="I1113" t="str">
        <f t="shared" si="74"/>
        <v>[{1000,1,0,3921,41}]</v>
      </c>
    </row>
    <row r="1114" spans="1:9">
      <c r="A1114">
        <f t="shared" si="72"/>
        <v>11</v>
      </c>
      <c r="B1114">
        <v>11</v>
      </c>
      <c r="C1114" t="s">
        <v>64</v>
      </c>
      <c r="D1114" t="s">
        <v>33</v>
      </c>
      <c r="E1114">
        <v>1</v>
      </c>
      <c r="F1114">
        <v>1</v>
      </c>
      <c r="G1114">
        <f t="shared" si="73"/>
        <v>3901</v>
      </c>
      <c r="H1114" t="str">
        <f>IF(VLOOKUP(G1114,[2]Sheet1!$A:$O,15,0)=1,"401}]","101}]")</f>
        <v>101}]</v>
      </c>
      <c r="I1114" t="str">
        <f t="shared" si="74"/>
        <v>[{1000,1,1,3901,101}]</v>
      </c>
    </row>
    <row r="1115" spans="1:9">
      <c r="A1115">
        <f t="shared" si="72"/>
        <v>11</v>
      </c>
      <c r="B1115">
        <v>11</v>
      </c>
      <c r="C1115" t="s">
        <v>64</v>
      </c>
      <c r="D1115" t="s">
        <v>33</v>
      </c>
      <c r="E1115">
        <v>1</v>
      </c>
      <c r="F1115">
        <v>1</v>
      </c>
      <c r="G1115">
        <f t="shared" si="73"/>
        <v>3902</v>
      </c>
      <c r="H1115" t="str">
        <f>IF(VLOOKUP(G1115,[2]Sheet1!$A:$O,15,0)=1,"401}]","101}]")</f>
        <v>401}]</v>
      </c>
      <c r="I1115" t="str">
        <f t="shared" si="74"/>
        <v>[{1000,1,1,3902,401}]</v>
      </c>
    </row>
    <row r="1116" spans="1:9">
      <c r="A1116">
        <f t="shared" si="72"/>
        <v>12</v>
      </c>
      <c r="B1116">
        <v>12</v>
      </c>
      <c r="C1116" t="s">
        <v>64</v>
      </c>
      <c r="D1116" t="s">
        <v>33</v>
      </c>
      <c r="E1116">
        <v>1</v>
      </c>
      <c r="F1116">
        <v>1</v>
      </c>
      <c r="G1116">
        <f t="shared" si="73"/>
        <v>3901</v>
      </c>
      <c r="H1116" t="str">
        <f>IF(VLOOKUP(G1116,[2]Sheet1!$A:$O,15,0)=1,"401}]","101}]")</f>
        <v>101}]</v>
      </c>
      <c r="I1116" t="str">
        <f t="shared" si="74"/>
        <v>[{1000,1,1,3901,101}]</v>
      </c>
    </row>
    <row r="1117" spans="1:9">
      <c r="A1117">
        <f t="shared" si="72"/>
        <v>12</v>
      </c>
      <c r="B1117">
        <v>12</v>
      </c>
      <c r="C1117" t="s">
        <v>64</v>
      </c>
      <c r="D1117" t="s">
        <v>33</v>
      </c>
      <c r="E1117">
        <v>1</v>
      </c>
      <c r="F1117">
        <v>1</v>
      </c>
      <c r="G1117">
        <f t="shared" si="73"/>
        <v>3902</v>
      </c>
      <c r="H1117" t="str">
        <f>IF(VLOOKUP(G1117,[2]Sheet1!$A:$O,15,0)=1,"401}]","101}]")</f>
        <v>401}]</v>
      </c>
      <c r="I1117" t="str">
        <f t="shared" si="74"/>
        <v>[{1000,1,1,3902,401}]</v>
      </c>
    </row>
    <row r="1118" spans="1:9">
      <c r="A1118">
        <f t="shared" si="72"/>
        <v>13</v>
      </c>
      <c r="B1118">
        <v>13</v>
      </c>
      <c r="C1118" t="s">
        <v>64</v>
      </c>
      <c r="D1118" t="s">
        <v>33</v>
      </c>
      <c r="E1118">
        <v>1</v>
      </c>
      <c r="F1118">
        <v>1</v>
      </c>
      <c r="G1118">
        <f t="shared" si="73"/>
        <v>3901</v>
      </c>
      <c r="H1118" t="str">
        <f>IF(VLOOKUP(G1118,[2]Sheet1!$A:$O,15,0)=1,"401}]","101}]")</f>
        <v>101}]</v>
      </c>
      <c r="I1118" t="str">
        <f t="shared" si="74"/>
        <v>[{1000,1,1,3901,101}]</v>
      </c>
    </row>
    <row r="1119" spans="1:9">
      <c r="A1119">
        <f t="shared" si="72"/>
        <v>13</v>
      </c>
      <c r="B1119">
        <v>13</v>
      </c>
      <c r="C1119" t="s">
        <v>64</v>
      </c>
      <c r="D1119" t="s">
        <v>33</v>
      </c>
      <c r="E1119">
        <v>1</v>
      </c>
      <c r="F1119">
        <v>1</v>
      </c>
      <c r="G1119">
        <f t="shared" si="73"/>
        <v>3902</v>
      </c>
      <c r="H1119" t="str">
        <f>IF(VLOOKUP(G1119,[2]Sheet1!$A:$O,15,0)=1,"401}]","101}]")</f>
        <v>401}]</v>
      </c>
      <c r="I1119" t="str">
        <f t="shared" si="74"/>
        <v>[{1000,1,1,3902,401}]</v>
      </c>
    </row>
    <row r="1120" spans="1:9">
      <c r="A1120">
        <f t="shared" si="72"/>
        <v>14</v>
      </c>
      <c r="B1120">
        <v>14</v>
      </c>
      <c r="C1120" t="s">
        <v>64</v>
      </c>
      <c r="D1120" t="s">
        <v>33</v>
      </c>
      <c r="E1120">
        <v>1</v>
      </c>
      <c r="F1120">
        <v>1</v>
      </c>
      <c r="G1120">
        <f t="shared" si="73"/>
        <v>3901</v>
      </c>
      <c r="H1120" t="str">
        <f>IF(VLOOKUP(G1120,[2]Sheet1!$A:$O,15,0)=1,"401}]","101}]")</f>
        <v>101}]</v>
      </c>
      <c r="I1120" t="str">
        <f t="shared" si="74"/>
        <v>[{1000,1,1,3901,101}]</v>
      </c>
    </row>
    <row r="1121" spans="1:9">
      <c r="A1121">
        <f t="shared" si="72"/>
        <v>14</v>
      </c>
      <c r="B1121">
        <v>14</v>
      </c>
      <c r="C1121" t="s">
        <v>64</v>
      </c>
      <c r="D1121" t="s">
        <v>33</v>
      </c>
      <c r="E1121">
        <v>1</v>
      </c>
      <c r="F1121">
        <v>1</v>
      </c>
      <c r="G1121">
        <f t="shared" si="73"/>
        <v>3902</v>
      </c>
      <c r="H1121" t="str">
        <f>IF(VLOOKUP(G1121,[2]Sheet1!$A:$O,15,0)=1,"401}]","101}]")</f>
        <v>401}]</v>
      </c>
      <c r="I1121" t="str">
        <f t="shared" si="74"/>
        <v>[{1000,1,1,3902,401}]</v>
      </c>
    </row>
    <row r="1122" spans="1:9">
      <c r="A1122">
        <f t="shared" si="72"/>
        <v>14</v>
      </c>
      <c r="B1122">
        <v>14</v>
      </c>
      <c r="C1122" t="s">
        <v>64</v>
      </c>
      <c r="D1122" t="s">
        <v>33</v>
      </c>
      <c r="E1122">
        <v>1</v>
      </c>
      <c r="F1122">
        <v>1</v>
      </c>
      <c r="G1122">
        <f t="shared" si="73"/>
        <v>3903</v>
      </c>
      <c r="H1122" t="str">
        <f>IF(VLOOKUP(G1122,[2]Sheet1!$A:$O,15,0)=1,"401}]","101}]")</f>
        <v>401}]</v>
      </c>
      <c r="I1122" t="str">
        <f t="shared" si="74"/>
        <v>[{1000,1,1,3903,401}]</v>
      </c>
    </row>
    <row r="1123" spans="1:9">
      <c r="A1123">
        <f t="shared" si="72"/>
        <v>15</v>
      </c>
      <c r="B1123">
        <v>15</v>
      </c>
      <c r="C1123" t="s">
        <v>64</v>
      </c>
      <c r="D1123" t="s">
        <v>33</v>
      </c>
      <c r="E1123">
        <v>1</v>
      </c>
      <c r="F1123">
        <v>1</v>
      </c>
      <c r="G1123">
        <f t="shared" si="73"/>
        <v>3901</v>
      </c>
      <c r="H1123" t="str">
        <f>IF(VLOOKUP(G1123,[2]Sheet1!$A:$O,15,0)=1,"401}]","101}]")</f>
        <v>101}]</v>
      </c>
      <c r="I1123" t="str">
        <f t="shared" si="74"/>
        <v>[{1000,1,1,3901,101}]</v>
      </c>
    </row>
    <row r="1124" spans="1:9">
      <c r="A1124">
        <f t="shared" si="72"/>
        <v>15</v>
      </c>
      <c r="B1124">
        <v>15</v>
      </c>
      <c r="C1124" t="s">
        <v>64</v>
      </c>
      <c r="D1124" t="s">
        <v>33</v>
      </c>
      <c r="E1124">
        <v>1</v>
      </c>
      <c r="F1124">
        <v>1</v>
      </c>
      <c r="G1124">
        <f t="shared" si="73"/>
        <v>3902</v>
      </c>
      <c r="H1124" t="str">
        <f>IF(VLOOKUP(G1124,[2]Sheet1!$A:$O,15,0)=1,"401}]","101}]")</f>
        <v>401}]</v>
      </c>
      <c r="I1124" t="str">
        <f t="shared" si="74"/>
        <v>[{1000,1,1,3902,401}]</v>
      </c>
    </row>
    <row r="1125" spans="1:9">
      <c r="A1125">
        <f t="shared" si="72"/>
        <v>15</v>
      </c>
      <c r="B1125">
        <v>15</v>
      </c>
      <c r="C1125" t="s">
        <v>64</v>
      </c>
      <c r="D1125" t="s">
        <v>33</v>
      </c>
      <c r="E1125">
        <v>1</v>
      </c>
      <c r="F1125">
        <v>1</v>
      </c>
      <c r="G1125">
        <f t="shared" si="73"/>
        <v>3903</v>
      </c>
      <c r="H1125" t="str">
        <f>IF(VLOOKUP(G1125,[2]Sheet1!$A:$O,15,0)=1,"401}]","101}]")</f>
        <v>401}]</v>
      </c>
      <c r="I1125" t="str">
        <f t="shared" si="74"/>
        <v>[{1000,1,1,3903,401}]</v>
      </c>
    </row>
    <row r="1126" spans="1:9">
      <c r="A1126">
        <f t="shared" si="72"/>
        <v>16</v>
      </c>
      <c r="B1126">
        <v>16</v>
      </c>
      <c r="C1126" t="s">
        <v>64</v>
      </c>
      <c r="D1126" t="s">
        <v>33</v>
      </c>
      <c r="E1126">
        <v>1</v>
      </c>
      <c r="F1126">
        <v>1</v>
      </c>
      <c r="G1126">
        <f t="shared" si="73"/>
        <v>3901</v>
      </c>
      <c r="H1126" t="str">
        <f>IF(VLOOKUP(G1126,[2]Sheet1!$A:$O,15,0)=1,"401}]","101}]")</f>
        <v>101}]</v>
      </c>
      <c r="I1126" t="str">
        <f t="shared" si="74"/>
        <v>[{1000,1,1,3901,101}]</v>
      </c>
    </row>
    <row r="1127" spans="1:9">
      <c r="A1127">
        <f t="shared" si="72"/>
        <v>16</v>
      </c>
      <c r="B1127">
        <v>16</v>
      </c>
      <c r="C1127" t="s">
        <v>64</v>
      </c>
      <c r="D1127" t="s">
        <v>33</v>
      </c>
      <c r="E1127">
        <v>1</v>
      </c>
      <c r="F1127">
        <v>1</v>
      </c>
      <c r="G1127">
        <f t="shared" si="73"/>
        <v>3902</v>
      </c>
      <c r="H1127" t="str">
        <f>IF(VLOOKUP(G1127,[2]Sheet1!$A:$O,15,0)=1,"401}]","101}]")</f>
        <v>401}]</v>
      </c>
      <c r="I1127" t="str">
        <f t="shared" si="74"/>
        <v>[{1000,1,1,3902,401}]</v>
      </c>
    </row>
    <row r="1128" spans="1:9">
      <c r="A1128">
        <f t="shared" si="72"/>
        <v>16</v>
      </c>
      <c r="B1128">
        <v>16</v>
      </c>
      <c r="C1128" t="s">
        <v>64</v>
      </c>
      <c r="D1128" t="s">
        <v>33</v>
      </c>
      <c r="E1128">
        <v>1</v>
      </c>
      <c r="F1128">
        <v>1</v>
      </c>
      <c r="G1128">
        <f t="shared" si="73"/>
        <v>3903</v>
      </c>
      <c r="H1128" t="str">
        <f>IF(VLOOKUP(G1128,[2]Sheet1!$A:$O,15,0)=1,"401}]","101}]")</f>
        <v>401}]</v>
      </c>
      <c r="I1128" t="str">
        <f t="shared" si="74"/>
        <v>[{1000,1,1,3903,401}]</v>
      </c>
    </row>
    <row r="1129" spans="1:9">
      <c r="A1129">
        <f t="shared" si="72"/>
        <v>17</v>
      </c>
      <c r="B1129">
        <v>17</v>
      </c>
      <c r="C1129" t="s">
        <v>64</v>
      </c>
      <c r="D1129" t="s">
        <v>33</v>
      </c>
      <c r="E1129">
        <v>1</v>
      </c>
      <c r="F1129">
        <v>1</v>
      </c>
      <c r="G1129">
        <f t="shared" si="73"/>
        <v>3901</v>
      </c>
      <c r="H1129" t="str">
        <f>IF(VLOOKUP(G1129,[2]Sheet1!$A:$O,15,0)=1,"401}]","101}]")</f>
        <v>101}]</v>
      </c>
      <c r="I1129" t="str">
        <f t="shared" si="74"/>
        <v>[{1000,1,1,3901,101}]</v>
      </c>
    </row>
    <row r="1130" spans="1:9">
      <c r="A1130">
        <f t="shared" si="72"/>
        <v>17</v>
      </c>
      <c r="B1130">
        <v>17</v>
      </c>
      <c r="C1130" t="s">
        <v>64</v>
      </c>
      <c r="D1130" t="s">
        <v>33</v>
      </c>
      <c r="E1130">
        <v>1</v>
      </c>
      <c r="F1130">
        <v>1</v>
      </c>
      <c r="G1130">
        <f t="shared" si="73"/>
        <v>3902</v>
      </c>
      <c r="H1130" t="str">
        <f>IF(VLOOKUP(G1130,[2]Sheet1!$A:$O,15,0)=1,"401}]","101}]")</f>
        <v>401}]</v>
      </c>
      <c r="I1130" t="str">
        <f t="shared" si="74"/>
        <v>[{1000,1,1,3902,401}]</v>
      </c>
    </row>
    <row r="1131" spans="1:9">
      <c r="A1131">
        <f t="shared" si="72"/>
        <v>17</v>
      </c>
      <c r="B1131">
        <v>17</v>
      </c>
      <c r="C1131" t="s">
        <v>64</v>
      </c>
      <c r="D1131" t="s">
        <v>33</v>
      </c>
      <c r="E1131">
        <v>1</v>
      </c>
      <c r="F1131">
        <v>1</v>
      </c>
      <c r="G1131">
        <f t="shared" si="73"/>
        <v>3903</v>
      </c>
      <c r="H1131" t="str">
        <f>IF(VLOOKUP(G1131,[2]Sheet1!$A:$O,15,0)=1,"401}]","101}]")</f>
        <v>401}]</v>
      </c>
      <c r="I1131" t="str">
        <f t="shared" si="74"/>
        <v>[{1000,1,1,3903,401}]</v>
      </c>
    </row>
    <row r="1132" spans="1:9">
      <c r="A1132">
        <f t="shared" si="72"/>
        <v>18</v>
      </c>
      <c r="B1132">
        <v>18</v>
      </c>
      <c r="C1132" t="s">
        <v>64</v>
      </c>
      <c r="D1132" t="s">
        <v>33</v>
      </c>
      <c r="E1132">
        <v>1</v>
      </c>
      <c r="F1132">
        <v>1</v>
      </c>
      <c r="G1132">
        <f t="shared" si="73"/>
        <v>3901</v>
      </c>
      <c r="H1132" t="str">
        <f>IF(VLOOKUP(G1132,[2]Sheet1!$A:$O,15,0)=1,"401}]","101}]")</f>
        <v>101}]</v>
      </c>
      <c r="I1132" t="str">
        <f t="shared" si="74"/>
        <v>[{1000,1,1,3901,101}]</v>
      </c>
    </row>
    <row r="1133" spans="1:9">
      <c r="A1133">
        <f t="shared" si="72"/>
        <v>18</v>
      </c>
      <c r="B1133">
        <v>18</v>
      </c>
      <c r="C1133" t="s">
        <v>64</v>
      </c>
      <c r="D1133" t="s">
        <v>33</v>
      </c>
      <c r="E1133">
        <v>1</v>
      </c>
      <c r="F1133">
        <v>1</v>
      </c>
      <c r="G1133">
        <f t="shared" si="73"/>
        <v>3902</v>
      </c>
      <c r="H1133" t="str">
        <f>IF(VLOOKUP(G1133,[2]Sheet1!$A:$O,15,0)=1,"401}]","101}]")</f>
        <v>401}]</v>
      </c>
      <c r="I1133" t="str">
        <f t="shared" si="74"/>
        <v>[{1000,1,1,3902,401}]</v>
      </c>
    </row>
    <row r="1134" spans="1:9">
      <c r="A1134">
        <f t="shared" si="72"/>
        <v>18</v>
      </c>
      <c r="B1134">
        <v>18</v>
      </c>
      <c r="C1134" t="s">
        <v>64</v>
      </c>
      <c r="D1134" t="s">
        <v>33</v>
      </c>
      <c r="E1134">
        <v>1</v>
      </c>
      <c r="F1134">
        <v>1</v>
      </c>
      <c r="G1134">
        <f t="shared" si="73"/>
        <v>3903</v>
      </c>
      <c r="H1134" t="str">
        <f>IF(VLOOKUP(G1134,[2]Sheet1!$A:$O,15,0)=1,"401}]","101}]")</f>
        <v>401}]</v>
      </c>
      <c r="I1134" t="str">
        <f t="shared" si="74"/>
        <v>[{1000,1,1,3903,401}]</v>
      </c>
    </row>
    <row r="1135" spans="1:9">
      <c r="A1135">
        <f t="shared" si="72"/>
        <v>19</v>
      </c>
      <c r="B1135">
        <v>19</v>
      </c>
      <c r="C1135" t="s">
        <v>64</v>
      </c>
      <c r="D1135" t="s">
        <v>33</v>
      </c>
      <c r="E1135">
        <v>1</v>
      </c>
      <c r="F1135">
        <v>1</v>
      </c>
      <c r="G1135">
        <f t="shared" si="73"/>
        <v>3901</v>
      </c>
      <c r="H1135" t="str">
        <f>IF(VLOOKUP(G1135,[2]Sheet1!$A:$O,15,0)=1,"401}]","101}]")</f>
        <v>101}]</v>
      </c>
      <c r="I1135" t="str">
        <f t="shared" si="74"/>
        <v>[{1000,1,1,3901,101}]</v>
      </c>
    </row>
    <row r="1136" spans="1:9">
      <c r="A1136">
        <f t="shared" si="72"/>
        <v>19</v>
      </c>
      <c r="B1136">
        <v>19</v>
      </c>
      <c r="C1136" t="s">
        <v>64</v>
      </c>
      <c r="D1136" t="s">
        <v>33</v>
      </c>
      <c r="E1136">
        <v>1</v>
      </c>
      <c r="F1136">
        <v>1</v>
      </c>
      <c r="G1136">
        <f t="shared" si="73"/>
        <v>3902</v>
      </c>
      <c r="H1136" t="str">
        <f>IF(VLOOKUP(G1136,[2]Sheet1!$A:$O,15,0)=1,"401}]","101}]")</f>
        <v>401}]</v>
      </c>
      <c r="I1136" t="str">
        <f t="shared" si="74"/>
        <v>[{1000,1,1,3902,401}]</v>
      </c>
    </row>
    <row r="1137" spans="1:9">
      <c r="A1137">
        <f t="shared" si="72"/>
        <v>19</v>
      </c>
      <c r="B1137">
        <v>19</v>
      </c>
      <c r="C1137" t="s">
        <v>64</v>
      </c>
      <c r="D1137" t="s">
        <v>33</v>
      </c>
      <c r="E1137">
        <v>1</v>
      </c>
      <c r="F1137">
        <v>1</v>
      </c>
      <c r="G1137">
        <f t="shared" si="73"/>
        <v>3903</v>
      </c>
      <c r="H1137" t="str">
        <f>IF(VLOOKUP(G1137,[2]Sheet1!$A:$O,15,0)=1,"401}]","101}]")</f>
        <v>401}]</v>
      </c>
      <c r="I1137" t="str">
        <f t="shared" si="74"/>
        <v>[{1000,1,1,3903,401}]</v>
      </c>
    </row>
    <row r="1138" spans="1:9">
      <c r="A1138">
        <f t="shared" si="72"/>
        <v>20</v>
      </c>
      <c r="B1138">
        <v>20</v>
      </c>
      <c r="C1138" t="s">
        <v>64</v>
      </c>
      <c r="D1138" t="s">
        <v>33</v>
      </c>
      <c r="E1138">
        <v>1</v>
      </c>
      <c r="F1138">
        <v>1</v>
      </c>
      <c r="G1138">
        <f t="shared" si="73"/>
        <v>3901</v>
      </c>
      <c r="H1138" t="str">
        <f>IF(VLOOKUP(G1138,[2]Sheet1!$A:$O,15,0)=1,"401}]","101}]")</f>
        <v>101}]</v>
      </c>
      <c r="I1138" t="str">
        <f t="shared" si="74"/>
        <v>[{1000,1,1,3901,101}]</v>
      </c>
    </row>
    <row r="1139" spans="1:9">
      <c r="A1139">
        <f t="shared" si="72"/>
        <v>20</v>
      </c>
      <c r="B1139">
        <v>20</v>
      </c>
      <c r="C1139" t="s">
        <v>64</v>
      </c>
      <c r="D1139" t="s">
        <v>33</v>
      </c>
      <c r="E1139">
        <v>1</v>
      </c>
      <c r="F1139">
        <v>1</v>
      </c>
      <c r="G1139">
        <f t="shared" si="73"/>
        <v>3902</v>
      </c>
      <c r="H1139" t="str">
        <f>IF(VLOOKUP(G1139,[2]Sheet1!$A:$O,15,0)=1,"401}]","101}]")</f>
        <v>401}]</v>
      </c>
      <c r="I1139" t="str">
        <f t="shared" si="74"/>
        <v>[{1000,1,1,3902,401}]</v>
      </c>
    </row>
    <row r="1140" spans="1:9">
      <c r="A1140">
        <f t="shared" si="72"/>
        <v>20</v>
      </c>
      <c r="B1140">
        <v>20</v>
      </c>
      <c r="C1140" t="s">
        <v>64</v>
      </c>
      <c r="D1140" s="11" t="s">
        <v>33</v>
      </c>
      <c r="E1140">
        <v>1</v>
      </c>
      <c r="F1140">
        <v>1</v>
      </c>
      <c r="G1140">
        <f t="shared" si="73"/>
        <v>3903</v>
      </c>
      <c r="H1140" t="str">
        <f>IF(VLOOKUP(G1140,[2]Sheet1!$A:$O,15,0)=1,"401}]","101}]")</f>
        <v>401}]</v>
      </c>
      <c r="I1140" t="str">
        <f t="shared" si="74"/>
        <v>[{1000,1,1,3903,401}]</v>
      </c>
    </row>
    <row r="1141" spans="1:9">
      <c r="A1141" t="str">
        <f t="shared" si="72"/>
        <v/>
      </c>
      <c r="B1141">
        <v>20</v>
      </c>
      <c r="C1141" t="s">
        <v>64</v>
      </c>
      <c r="D1141" s="11" t="s">
        <v>28</v>
      </c>
      <c r="G1141" t="str">
        <f t="shared" si="73"/>
        <v/>
      </c>
      <c r="I1141" t="str">
        <f t="shared" si="74"/>
        <v>[]</v>
      </c>
    </row>
    <row r="1142" spans="1:9">
      <c r="A1142">
        <f t="shared" si="72"/>
        <v>20</v>
      </c>
      <c r="B1142">
        <v>20</v>
      </c>
      <c r="C1142" t="s">
        <v>64</v>
      </c>
      <c r="D1142" s="11" t="s">
        <v>33</v>
      </c>
      <c r="E1142">
        <v>1</v>
      </c>
      <c r="F1142">
        <v>0</v>
      </c>
      <c r="G1142">
        <f t="shared" si="73"/>
        <v>3931</v>
      </c>
      <c r="H1142" s="11" t="s">
        <v>36</v>
      </c>
      <c r="I1142" t="str">
        <f t="shared" si="74"/>
        <v>[{1000,1,0,3931,41}]</v>
      </c>
    </row>
    <row r="1143" spans="1:9">
      <c r="A1143">
        <f t="shared" si="72"/>
        <v>1</v>
      </c>
      <c r="B1143">
        <v>1</v>
      </c>
      <c r="C1143" t="s">
        <v>65</v>
      </c>
      <c r="D1143" t="s">
        <v>33</v>
      </c>
      <c r="E1143">
        <v>1</v>
      </c>
      <c r="F1143">
        <v>1</v>
      </c>
      <c r="G1143">
        <f t="shared" si="73"/>
        <v>4001</v>
      </c>
      <c r="H1143" t="str">
        <f>IF(VLOOKUP(G1143,[2]Sheet1!$A:$O,15,0)=1,"401}]","101}]")</f>
        <v>101}]</v>
      </c>
      <c r="I1143" t="str">
        <f t="shared" si="74"/>
        <v>[{1000,1,1,4001,101}]</v>
      </c>
    </row>
    <row r="1144" spans="1:9">
      <c r="A1144">
        <f t="shared" si="72"/>
        <v>2</v>
      </c>
      <c r="B1144">
        <v>2</v>
      </c>
      <c r="C1144" t="s">
        <v>65</v>
      </c>
      <c r="D1144" t="s">
        <v>33</v>
      </c>
      <c r="E1144">
        <v>1</v>
      </c>
      <c r="F1144">
        <v>1</v>
      </c>
      <c r="G1144">
        <f t="shared" si="73"/>
        <v>4001</v>
      </c>
      <c r="H1144" t="str">
        <f>IF(VLOOKUP(G1144,[2]Sheet1!$A:$O,15,0)=1,"401}]","101}]")</f>
        <v>101}]</v>
      </c>
      <c r="I1144" t="str">
        <f t="shared" si="74"/>
        <v>[{1000,1,1,4001,101}]</v>
      </c>
    </row>
    <row r="1145" spans="1:9">
      <c r="A1145">
        <f t="shared" si="72"/>
        <v>3</v>
      </c>
      <c r="B1145">
        <v>3</v>
      </c>
      <c r="C1145" t="s">
        <v>65</v>
      </c>
      <c r="D1145" t="s">
        <v>33</v>
      </c>
      <c r="E1145">
        <v>1</v>
      </c>
      <c r="F1145">
        <v>1</v>
      </c>
      <c r="G1145">
        <f t="shared" si="73"/>
        <v>4001</v>
      </c>
      <c r="H1145" t="str">
        <f>IF(VLOOKUP(G1145,[2]Sheet1!$A:$O,15,0)=1,"401}]","101}]")</f>
        <v>101}]</v>
      </c>
      <c r="I1145" t="str">
        <f t="shared" si="74"/>
        <v>[{1000,1,1,4001,101}]</v>
      </c>
    </row>
    <row r="1146" spans="1:9">
      <c r="A1146">
        <f t="shared" si="72"/>
        <v>4</v>
      </c>
      <c r="B1146">
        <v>4</v>
      </c>
      <c r="C1146" t="s">
        <v>65</v>
      </c>
      <c r="D1146" t="s">
        <v>33</v>
      </c>
      <c r="E1146">
        <v>1</v>
      </c>
      <c r="F1146">
        <v>1</v>
      </c>
      <c r="G1146">
        <f t="shared" si="73"/>
        <v>4001</v>
      </c>
      <c r="H1146" t="str">
        <f>IF(VLOOKUP(G1146,[2]Sheet1!$A:$O,15,0)=1,"401}]","101}]")</f>
        <v>101}]</v>
      </c>
      <c r="I1146" t="str">
        <f t="shared" si="74"/>
        <v>[{1000,1,1,4001,101}]</v>
      </c>
    </row>
    <row r="1147" spans="1:9">
      <c r="A1147">
        <f t="shared" si="72"/>
        <v>5</v>
      </c>
      <c r="B1147">
        <v>5</v>
      </c>
      <c r="C1147" t="s">
        <v>65</v>
      </c>
      <c r="D1147" t="s">
        <v>33</v>
      </c>
      <c r="E1147">
        <v>1</v>
      </c>
      <c r="F1147">
        <v>1</v>
      </c>
      <c r="G1147">
        <f t="shared" si="73"/>
        <v>4001</v>
      </c>
      <c r="H1147" t="str">
        <f>IF(VLOOKUP(G1147,[2]Sheet1!$A:$O,15,0)=1,"401}]","101}]")</f>
        <v>101}]</v>
      </c>
      <c r="I1147" t="str">
        <f t="shared" si="74"/>
        <v>[{1000,1,1,4001,101}]</v>
      </c>
    </row>
    <row r="1148" spans="1:9">
      <c r="A1148">
        <f t="shared" si="72"/>
        <v>6</v>
      </c>
      <c r="B1148">
        <v>6</v>
      </c>
      <c r="C1148" t="s">
        <v>65</v>
      </c>
      <c r="D1148" t="s">
        <v>33</v>
      </c>
      <c r="E1148">
        <v>1</v>
      </c>
      <c r="F1148">
        <v>1</v>
      </c>
      <c r="G1148">
        <f t="shared" si="73"/>
        <v>4001</v>
      </c>
      <c r="H1148" t="str">
        <f>IF(VLOOKUP(G1148,[2]Sheet1!$A:$O,15,0)=1,"401}]","101}]")</f>
        <v>101}]</v>
      </c>
      <c r="I1148" t="str">
        <f t="shared" si="74"/>
        <v>[{1000,1,1,4001,101}]</v>
      </c>
    </row>
    <row r="1149" spans="1:9">
      <c r="A1149">
        <f t="shared" si="72"/>
        <v>7</v>
      </c>
      <c r="B1149">
        <v>7</v>
      </c>
      <c r="C1149" t="s">
        <v>65</v>
      </c>
      <c r="D1149" t="s">
        <v>33</v>
      </c>
      <c r="E1149">
        <v>1</v>
      </c>
      <c r="F1149">
        <v>1</v>
      </c>
      <c r="G1149">
        <f t="shared" si="73"/>
        <v>4001</v>
      </c>
      <c r="H1149" t="str">
        <f>IF(VLOOKUP(G1149,[2]Sheet1!$A:$O,15,0)=1,"401}]","101}]")</f>
        <v>101}]</v>
      </c>
      <c r="I1149" t="str">
        <f t="shared" si="74"/>
        <v>[{1000,1,1,4001,101}]</v>
      </c>
    </row>
    <row r="1150" spans="1:9">
      <c r="A1150">
        <f t="shared" si="72"/>
        <v>7</v>
      </c>
      <c r="B1150">
        <v>7</v>
      </c>
      <c r="C1150" t="s">
        <v>65</v>
      </c>
      <c r="D1150" t="s">
        <v>33</v>
      </c>
      <c r="E1150">
        <v>1</v>
      </c>
      <c r="F1150">
        <v>1</v>
      </c>
      <c r="G1150">
        <f t="shared" si="73"/>
        <v>4002</v>
      </c>
      <c r="H1150" t="str">
        <f>IF(VLOOKUP(G1150,[2]Sheet1!$A:$O,15,0)=1,"401}]","101}]")</f>
        <v>401}]</v>
      </c>
      <c r="I1150" t="str">
        <f t="shared" si="74"/>
        <v>[{1000,1,1,4002,401}]</v>
      </c>
    </row>
    <row r="1151" spans="1:9">
      <c r="A1151">
        <f t="shared" si="72"/>
        <v>8</v>
      </c>
      <c r="B1151">
        <v>8</v>
      </c>
      <c r="C1151" t="s">
        <v>65</v>
      </c>
      <c r="D1151" t="s">
        <v>33</v>
      </c>
      <c r="E1151">
        <v>1</v>
      </c>
      <c r="F1151">
        <v>1</v>
      </c>
      <c r="G1151">
        <f t="shared" si="73"/>
        <v>4001</v>
      </c>
      <c r="H1151" t="str">
        <f>IF(VLOOKUP(G1151,[2]Sheet1!$A:$O,15,0)=1,"401}]","101}]")</f>
        <v>101}]</v>
      </c>
      <c r="I1151" t="str">
        <f t="shared" si="74"/>
        <v>[{1000,1,1,4001,101}]</v>
      </c>
    </row>
    <row r="1152" spans="1:9">
      <c r="A1152">
        <f t="shared" si="72"/>
        <v>8</v>
      </c>
      <c r="B1152">
        <v>8</v>
      </c>
      <c r="C1152" t="s">
        <v>65</v>
      </c>
      <c r="D1152" t="s">
        <v>33</v>
      </c>
      <c r="E1152">
        <v>1</v>
      </c>
      <c r="F1152">
        <v>1</v>
      </c>
      <c r="G1152">
        <f t="shared" si="73"/>
        <v>4002</v>
      </c>
      <c r="H1152" t="str">
        <f>IF(VLOOKUP(G1152,[2]Sheet1!$A:$O,15,0)=1,"401}]","101}]")</f>
        <v>401}]</v>
      </c>
      <c r="I1152" t="str">
        <f t="shared" si="74"/>
        <v>[{1000,1,1,4002,401}]</v>
      </c>
    </row>
    <row r="1153" spans="1:9">
      <c r="A1153">
        <f t="shared" si="72"/>
        <v>9</v>
      </c>
      <c r="B1153">
        <v>9</v>
      </c>
      <c r="C1153" t="s">
        <v>65</v>
      </c>
      <c r="D1153" t="s">
        <v>33</v>
      </c>
      <c r="E1153">
        <v>1</v>
      </c>
      <c r="F1153">
        <v>1</v>
      </c>
      <c r="G1153">
        <f t="shared" si="73"/>
        <v>4001</v>
      </c>
      <c r="H1153" t="str">
        <f>IF(VLOOKUP(G1153,[2]Sheet1!$A:$O,15,0)=1,"401}]","101}]")</f>
        <v>101}]</v>
      </c>
      <c r="I1153" t="str">
        <f t="shared" si="74"/>
        <v>[{1000,1,1,4001,101}]</v>
      </c>
    </row>
    <row r="1154" spans="1:9">
      <c r="A1154">
        <f t="shared" si="72"/>
        <v>9</v>
      </c>
      <c r="B1154">
        <v>9</v>
      </c>
      <c r="C1154" t="s">
        <v>65</v>
      </c>
      <c r="D1154" t="s">
        <v>33</v>
      </c>
      <c r="E1154">
        <v>1</v>
      </c>
      <c r="F1154">
        <v>1</v>
      </c>
      <c r="G1154">
        <f t="shared" si="73"/>
        <v>4002</v>
      </c>
      <c r="H1154" t="str">
        <f>IF(VLOOKUP(G1154,[2]Sheet1!$A:$O,15,0)=1,"401}]","101}]")</f>
        <v>401}]</v>
      </c>
      <c r="I1154" t="str">
        <f t="shared" si="74"/>
        <v>[{1000,1,1,4002,401}]</v>
      </c>
    </row>
    <row r="1155" spans="1:9">
      <c r="A1155">
        <f t="shared" si="72"/>
        <v>10</v>
      </c>
      <c r="B1155">
        <v>10</v>
      </c>
      <c r="C1155" t="s">
        <v>65</v>
      </c>
      <c r="D1155" t="s">
        <v>33</v>
      </c>
      <c r="E1155">
        <v>1</v>
      </c>
      <c r="F1155">
        <v>1</v>
      </c>
      <c r="G1155">
        <f t="shared" si="73"/>
        <v>4001</v>
      </c>
      <c r="H1155" t="str">
        <f>IF(VLOOKUP(G1155,[2]Sheet1!$A:$O,15,0)=1,"401}]","101}]")</f>
        <v>101}]</v>
      </c>
      <c r="I1155" t="str">
        <f t="shared" si="74"/>
        <v>[{1000,1,1,4001,101}]</v>
      </c>
    </row>
    <row r="1156" spans="1:9">
      <c r="A1156">
        <f t="shared" si="72"/>
        <v>10</v>
      </c>
      <c r="B1156">
        <v>10</v>
      </c>
      <c r="C1156" t="s">
        <v>65</v>
      </c>
      <c r="D1156" t="s">
        <v>33</v>
      </c>
      <c r="E1156">
        <v>1</v>
      </c>
      <c r="F1156">
        <v>1</v>
      </c>
      <c r="G1156">
        <f t="shared" si="73"/>
        <v>4002</v>
      </c>
      <c r="H1156" t="str">
        <f>IF(VLOOKUP(G1156,[2]Sheet1!$A:$O,15,0)=1,"401}]","101}]")</f>
        <v>401}]</v>
      </c>
      <c r="I1156" t="str">
        <f t="shared" si="74"/>
        <v>[{1000,1,1,4002,401}]</v>
      </c>
    </row>
    <row r="1157" spans="1:9">
      <c r="A1157" t="str">
        <f t="shared" si="72"/>
        <v/>
      </c>
      <c r="B1157">
        <v>10</v>
      </c>
      <c r="C1157" t="s">
        <v>65</v>
      </c>
      <c r="D1157" s="11" t="s">
        <v>28</v>
      </c>
      <c r="G1157" t="str">
        <f t="shared" si="73"/>
        <v/>
      </c>
      <c r="I1157" t="str">
        <f t="shared" si="74"/>
        <v>[]</v>
      </c>
    </row>
    <row r="1158" spans="1:9">
      <c r="A1158">
        <f t="shared" si="72"/>
        <v>10</v>
      </c>
      <c r="B1158">
        <v>10</v>
      </c>
      <c r="C1158" t="s">
        <v>65</v>
      </c>
      <c r="D1158" t="s">
        <v>33</v>
      </c>
      <c r="E1158">
        <v>1</v>
      </c>
      <c r="F1158">
        <v>0</v>
      </c>
      <c r="G1158">
        <f t="shared" si="73"/>
        <v>4021</v>
      </c>
      <c r="H1158" t="str">
        <f>IF(VLOOKUP(G1158,[2]Sheet1!$A:$O,15,0)=1,"401}]","101}]")</f>
        <v>401}]</v>
      </c>
      <c r="I1158" t="str">
        <f t="shared" si="74"/>
        <v>[{1000,1,0,4021,401}]</v>
      </c>
    </row>
    <row r="1159" spans="1:9">
      <c r="A1159">
        <f t="shared" si="72"/>
        <v>11</v>
      </c>
      <c r="B1159">
        <v>11</v>
      </c>
      <c r="C1159" t="s">
        <v>65</v>
      </c>
      <c r="D1159" t="s">
        <v>33</v>
      </c>
      <c r="E1159">
        <v>1</v>
      </c>
      <c r="F1159">
        <v>1</v>
      </c>
      <c r="G1159">
        <f t="shared" si="73"/>
        <v>4001</v>
      </c>
      <c r="H1159" t="str">
        <f>IF(VLOOKUP(G1159,[2]Sheet1!$A:$O,15,0)=1,"401}]","101}]")</f>
        <v>101}]</v>
      </c>
      <c r="I1159" t="str">
        <f t="shared" si="74"/>
        <v>[{1000,1,1,4001,101}]</v>
      </c>
    </row>
    <row r="1160" spans="1:9">
      <c r="A1160">
        <f t="shared" si="72"/>
        <v>11</v>
      </c>
      <c r="B1160">
        <v>11</v>
      </c>
      <c r="C1160" t="s">
        <v>65</v>
      </c>
      <c r="D1160" t="s">
        <v>33</v>
      </c>
      <c r="E1160">
        <v>1</v>
      </c>
      <c r="F1160">
        <v>1</v>
      </c>
      <c r="G1160">
        <f t="shared" si="73"/>
        <v>4002</v>
      </c>
      <c r="H1160" t="str">
        <f>IF(VLOOKUP(G1160,[2]Sheet1!$A:$O,15,0)=1,"401}]","101}]")</f>
        <v>401}]</v>
      </c>
      <c r="I1160" t="str">
        <f t="shared" si="74"/>
        <v>[{1000,1,1,4002,401}]</v>
      </c>
    </row>
    <row r="1161" spans="1:9">
      <c r="A1161">
        <f t="shared" si="72"/>
        <v>12</v>
      </c>
      <c r="B1161">
        <v>12</v>
      </c>
      <c r="C1161" t="s">
        <v>65</v>
      </c>
      <c r="D1161" t="s">
        <v>33</v>
      </c>
      <c r="E1161">
        <v>1</v>
      </c>
      <c r="F1161">
        <v>1</v>
      </c>
      <c r="G1161">
        <f t="shared" si="73"/>
        <v>4001</v>
      </c>
      <c r="H1161" t="str">
        <f>IF(VLOOKUP(G1161,[2]Sheet1!$A:$O,15,0)=1,"401}]","101}]")</f>
        <v>101}]</v>
      </c>
      <c r="I1161" t="str">
        <f t="shared" si="74"/>
        <v>[{1000,1,1,4001,101}]</v>
      </c>
    </row>
    <row r="1162" spans="1:9">
      <c r="A1162">
        <f t="shared" ref="A1162:A1187" si="75">IF(E1162="","",B1162)</f>
        <v>12</v>
      </c>
      <c r="B1162">
        <v>12</v>
      </c>
      <c r="C1162" t="s">
        <v>65</v>
      </c>
      <c r="D1162" t="s">
        <v>33</v>
      </c>
      <c r="E1162">
        <v>1</v>
      </c>
      <c r="F1162">
        <v>1</v>
      </c>
      <c r="G1162">
        <f t="shared" ref="G1162:G1187" si="76">IF(G1117="","",G1117+100)</f>
        <v>4002</v>
      </c>
      <c r="H1162" t="str">
        <f>IF(VLOOKUP(G1162,[2]Sheet1!$A:$O,15,0)=1,"401}]","101}]")</f>
        <v>401}]</v>
      </c>
      <c r="I1162" t="str">
        <f t="shared" ref="I1162:I1225" si="77">_xlfn.TEXTJOIN(",",1,D1162:H1162)</f>
        <v>[{1000,1,1,4002,401}]</v>
      </c>
    </row>
    <row r="1163" spans="1:9">
      <c r="A1163">
        <f t="shared" si="75"/>
        <v>13</v>
      </c>
      <c r="B1163">
        <v>13</v>
      </c>
      <c r="C1163" t="s">
        <v>65</v>
      </c>
      <c r="D1163" t="s">
        <v>33</v>
      </c>
      <c r="E1163">
        <v>1</v>
      </c>
      <c r="F1163">
        <v>1</v>
      </c>
      <c r="G1163">
        <f t="shared" si="76"/>
        <v>4001</v>
      </c>
      <c r="H1163" t="str">
        <f>IF(VLOOKUP(G1163,[2]Sheet1!$A:$O,15,0)=1,"401}]","101}]")</f>
        <v>101}]</v>
      </c>
      <c r="I1163" t="str">
        <f t="shared" si="77"/>
        <v>[{1000,1,1,4001,101}]</v>
      </c>
    </row>
    <row r="1164" spans="1:9">
      <c r="A1164">
        <f t="shared" si="75"/>
        <v>13</v>
      </c>
      <c r="B1164">
        <v>13</v>
      </c>
      <c r="C1164" t="s">
        <v>65</v>
      </c>
      <c r="D1164" t="s">
        <v>33</v>
      </c>
      <c r="E1164">
        <v>1</v>
      </c>
      <c r="F1164">
        <v>1</v>
      </c>
      <c r="G1164">
        <f t="shared" si="76"/>
        <v>4002</v>
      </c>
      <c r="H1164" t="str">
        <f>IF(VLOOKUP(G1164,[2]Sheet1!$A:$O,15,0)=1,"401}]","101}]")</f>
        <v>401}]</v>
      </c>
      <c r="I1164" t="str">
        <f t="shared" si="77"/>
        <v>[{1000,1,1,4002,401}]</v>
      </c>
    </row>
    <row r="1165" spans="1:9">
      <c r="A1165">
        <f t="shared" si="75"/>
        <v>14</v>
      </c>
      <c r="B1165">
        <v>14</v>
      </c>
      <c r="C1165" t="s">
        <v>65</v>
      </c>
      <c r="D1165" t="s">
        <v>33</v>
      </c>
      <c r="E1165">
        <v>1</v>
      </c>
      <c r="F1165">
        <v>1</v>
      </c>
      <c r="G1165">
        <f t="shared" si="76"/>
        <v>4001</v>
      </c>
      <c r="H1165" t="str">
        <f>IF(VLOOKUP(G1165,[2]Sheet1!$A:$O,15,0)=1,"401}]","101}]")</f>
        <v>101}]</v>
      </c>
      <c r="I1165" t="str">
        <f t="shared" si="77"/>
        <v>[{1000,1,1,4001,101}]</v>
      </c>
    </row>
    <row r="1166" spans="1:9">
      <c r="A1166">
        <f t="shared" si="75"/>
        <v>14</v>
      </c>
      <c r="B1166">
        <v>14</v>
      </c>
      <c r="C1166" t="s">
        <v>65</v>
      </c>
      <c r="D1166" t="s">
        <v>33</v>
      </c>
      <c r="E1166">
        <v>1</v>
      </c>
      <c r="F1166">
        <v>1</v>
      </c>
      <c r="G1166">
        <f t="shared" si="76"/>
        <v>4002</v>
      </c>
      <c r="H1166" t="str">
        <f>IF(VLOOKUP(G1166,[2]Sheet1!$A:$O,15,0)=1,"401}]","101}]")</f>
        <v>401}]</v>
      </c>
      <c r="I1166" t="str">
        <f t="shared" si="77"/>
        <v>[{1000,1,1,4002,401}]</v>
      </c>
    </row>
    <row r="1167" spans="1:9">
      <c r="A1167">
        <f t="shared" si="75"/>
        <v>14</v>
      </c>
      <c r="B1167">
        <v>14</v>
      </c>
      <c r="C1167" t="s">
        <v>65</v>
      </c>
      <c r="D1167" t="s">
        <v>33</v>
      </c>
      <c r="E1167">
        <v>1</v>
      </c>
      <c r="F1167">
        <v>1</v>
      </c>
      <c r="G1167">
        <f t="shared" si="76"/>
        <v>4003</v>
      </c>
      <c r="H1167" t="str">
        <f>IF(VLOOKUP(G1167,[2]Sheet1!$A:$O,15,0)=1,"401}]","101}]")</f>
        <v>101}]</v>
      </c>
      <c r="I1167" t="str">
        <f t="shared" si="77"/>
        <v>[{1000,1,1,4003,101}]</v>
      </c>
    </row>
    <row r="1168" spans="1:9">
      <c r="A1168">
        <f t="shared" si="75"/>
        <v>15</v>
      </c>
      <c r="B1168">
        <v>15</v>
      </c>
      <c r="C1168" t="s">
        <v>65</v>
      </c>
      <c r="D1168" t="s">
        <v>33</v>
      </c>
      <c r="E1168">
        <v>1</v>
      </c>
      <c r="F1168">
        <v>1</v>
      </c>
      <c r="G1168">
        <f t="shared" si="76"/>
        <v>4001</v>
      </c>
      <c r="H1168" t="str">
        <f>IF(VLOOKUP(G1168,[2]Sheet1!$A:$O,15,0)=1,"401}]","101}]")</f>
        <v>101}]</v>
      </c>
      <c r="I1168" t="str">
        <f t="shared" si="77"/>
        <v>[{1000,1,1,4001,101}]</v>
      </c>
    </row>
    <row r="1169" spans="1:9">
      <c r="A1169">
        <f t="shared" si="75"/>
        <v>15</v>
      </c>
      <c r="B1169">
        <v>15</v>
      </c>
      <c r="C1169" t="s">
        <v>65</v>
      </c>
      <c r="D1169" t="s">
        <v>33</v>
      </c>
      <c r="E1169">
        <v>1</v>
      </c>
      <c r="F1169">
        <v>1</v>
      </c>
      <c r="G1169">
        <f t="shared" si="76"/>
        <v>4002</v>
      </c>
      <c r="H1169" t="str">
        <f>IF(VLOOKUP(G1169,[2]Sheet1!$A:$O,15,0)=1,"401}]","101}]")</f>
        <v>401}]</v>
      </c>
      <c r="I1169" t="str">
        <f t="shared" si="77"/>
        <v>[{1000,1,1,4002,401}]</v>
      </c>
    </row>
    <row r="1170" spans="1:9">
      <c r="A1170">
        <f t="shared" si="75"/>
        <v>15</v>
      </c>
      <c r="B1170">
        <v>15</v>
      </c>
      <c r="C1170" t="s">
        <v>65</v>
      </c>
      <c r="D1170" t="s">
        <v>33</v>
      </c>
      <c r="E1170">
        <v>1</v>
      </c>
      <c r="F1170">
        <v>1</v>
      </c>
      <c r="G1170">
        <f t="shared" si="76"/>
        <v>4003</v>
      </c>
      <c r="H1170" t="str">
        <f>IF(VLOOKUP(G1170,[2]Sheet1!$A:$O,15,0)=1,"401}]","101}]")</f>
        <v>101}]</v>
      </c>
      <c r="I1170" t="str">
        <f t="shared" si="77"/>
        <v>[{1000,1,1,4003,101}]</v>
      </c>
    </row>
    <row r="1171" spans="1:9">
      <c r="A1171">
        <f t="shared" si="75"/>
        <v>16</v>
      </c>
      <c r="B1171">
        <v>16</v>
      </c>
      <c r="C1171" t="s">
        <v>65</v>
      </c>
      <c r="D1171" t="s">
        <v>33</v>
      </c>
      <c r="E1171">
        <v>1</v>
      </c>
      <c r="F1171">
        <v>1</v>
      </c>
      <c r="G1171">
        <f t="shared" si="76"/>
        <v>4001</v>
      </c>
      <c r="H1171" t="str">
        <f>IF(VLOOKUP(G1171,[2]Sheet1!$A:$O,15,0)=1,"401}]","101}]")</f>
        <v>101}]</v>
      </c>
      <c r="I1171" t="str">
        <f t="shared" si="77"/>
        <v>[{1000,1,1,4001,101}]</v>
      </c>
    </row>
    <row r="1172" spans="1:9">
      <c r="A1172">
        <f t="shared" si="75"/>
        <v>16</v>
      </c>
      <c r="B1172">
        <v>16</v>
      </c>
      <c r="C1172" t="s">
        <v>65</v>
      </c>
      <c r="D1172" t="s">
        <v>33</v>
      </c>
      <c r="E1172">
        <v>1</v>
      </c>
      <c r="F1172">
        <v>1</v>
      </c>
      <c r="G1172">
        <f t="shared" si="76"/>
        <v>4002</v>
      </c>
      <c r="H1172" t="str">
        <f>IF(VLOOKUP(G1172,[2]Sheet1!$A:$O,15,0)=1,"401}]","101}]")</f>
        <v>401}]</v>
      </c>
      <c r="I1172" t="str">
        <f t="shared" si="77"/>
        <v>[{1000,1,1,4002,401}]</v>
      </c>
    </row>
    <row r="1173" spans="1:9">
      <c r="A1173">
        <f t="shared" si="75"/>
        <v>16</v>
      </c>
      <c r="B1173">
        <v>16</v>
      </c>
      <c r="C1173" t="s">
        <v>65</v>
      </c>
      <c r="D1173" t="s">
        <v>33</v>
      </c>
      <c r="E1173">
        <v>1</v>
      </c>
      <c r="F1173">
        <v>1</v>
      </c>
      <c r="G1173">
        <f t="shared" si="76"/>
        <v>4003</v>
      </c>
      <c r="H1173" t="str">
        <f>IF(VLOOKUP(G1173,[2]Sheet1!$A:$O,15,0)=1,"401}]","101}]")</f>
        <v>101}]</v>
      </c>
      <c r="I1173" t="str">
        <f t="shared" si="77"/>
        <v>[{1000,1,1,4003,101}]</v>
      </c>
    </row>
    <row r="1174" spans="1:9">
      <c r="A1174">
        <f t="shared" si="75"/>
        <v>17</v>
      </c>
      <c r="B1174">
        <v>17</v>
      </c>
      <c r="C1174" t="s">
        <v>65</v>
      </c>
      <c r="D1174" t="s">
        <v>33</v>
      </c>
      <c r="E1174">
        <v>1</v>
      </c>
      <c r="F1174">
        <v>1</v>
      </c>
      <c r="G1174">
        <f t="shared" si="76"/>
        <v>4001</v>
      </c>
      <c r="H1174" t="str">
        <f>IF(VLOOKUP(G1174,[2]Sheet1!$A:$O,15,0)=1,"401}]","101}]")</f>
        <v>101}]</v>
      </c>
      <c r="I1174" t="str">
        <f t="shared" si="77"/>
        <v>[{1000,1,1,4001,101}]</v>
      </c>
    </row>
    <row r="1175" spans="1:9">
      <c r="A1175">
        <f t="shared" si="75"/>
        <v>17</v>
      </c>
      <c r="B1175">
        <v>17</v>
      </c>
      <c r="C1175" t="s">
        <v>65</v>
      </c>
      <c r="D1175" t="s">
        <v>33</v>
      </c>
      <c r="E1175">
        <v>1</v>
      </c>
      <c r="F1175">
        <v>1</v>
      </c>
      <c r="G1175">
        <f t="shared" si="76"/>
        <v>4002</v>
      </c>
      <c r="H1175" t="str">
        <f>IF(VLOOKUP(G1175,[2]Sheet1!$A:$O,15,0)=1,"401}]","101}]")</f>
        <v>401}]</v>
      </c>
      <c r="I1175" t="str">
        <f t="shared" si="77"/>
        <v>[{1000,1,1,4002,401}]</v>
      </c>
    </row>
    <row r="1176" spans="1:9">
      <c r="A1176">
        <f t="shared" si="75"/>
        <v>17</v>
      </c>
      <c r="B1176">
        <v>17</v>
      </c>
      <c r="C1176" t="s">
        <v>65</v>
      </c>
      <c r="D1176" t="s">
        <v>33</v>
      </c>
      <c r="E1176">
        <v>1</v>
      </c>
      <c r="F1176">
        <v>1</v>
      </c>
      <c r="G1176">
        <f t="shared" si="76"/>
        <v>4003</v>
      </c>
      <c r="H1176" t="str">
        <f>IF(VLOOKUP(G1176,[2]Sheet1!$A:$O,15,0)=1,"401}]","101}]")</f>
        <v>101}]</v>
      </c>
      <c r="I1176" t="str">
        <f t="shared" si="77"/>
        <v>[{1000,1,1,4003,101}]</v>
      </c>
    </row>
    <row r="1177" spans="1:9">
      <c r="A1177">
        <f t="shared" si="75"/>
        <v>18</v>
      </c>
      <c r="B1177">
        <v>18</v>
      </c>
      <c r="C1177" t="s">
        <v>65</v>
      </c>
      <c r="D1177" t="s">
        <v>33</v>
      </c>
      <c r="E1177">
        <v>1</v>
      </c>
      <c r="F1177">
        <v>1</v>
      </c>
      <c r="G1177">
        <f t="shared" si="76"/>
        <v>4001</v>
      </c>
      <c r="H1177" t="str">
        <f>IF(VLOOKUP(G1177,[2]Sheet1!$A:$O,15,0)=1,"401}]","101}]")</f>
        <v>101}]</v>
      </c>
      <c r="I1177" t="str">
        <f t="shared" si="77"/>
        <v>[{1000,1,1,4001,101}]</v>
      </c>
    </row>
    <row r="1178" spans="1:9">
      <c r="A1178">
        <f t="shared" si="75"/>
        <v>18</v>
      </c>
      <c r="B1178">
        <v>18</v>
      </c>
      <c r="C1178" t="s">
        <v>65</v>
      </c>
      <c r="D1178" t="s">
        <v>33</v>
      </c>
      <c r="E1178">
        <v>1</v>
      </c>
      <c r="F1178">
        <v>1</v>
      </c>
      <c r="G1178">
        <f t="shared" si="76"/>
        <v>4002</v>
      </c>
      <c r="H1178" t="str">
        <f>IF(VLOOKUP(G1178,[2]Sheet1!$A:$O,15,0)=1,"401}]","101}]")</f>
        <v>401}]</v>
      </c>
      <c r="I1178" t="str">
        <f t="shared" si="77"/>
        <v>[{1000,1,1,4002,401}]</v>
      </c>
    </row>
    <row r="1179" spans="1:9">
      <c r="A1179">
        <f t="shared" si="75"/>
        <v>18</v>
      </c>
      <c r="B1179">
        <v>18</v>
      </c>
      <c r="C1179" t="s">
        <v>65</v>
      </c>
      <c r="D1179" t="s">
        <v>33</v>
      </c>
      <c r="E1179">
        <v>1</v>
      </c>
      <c r="F1179">
        <v>1</v>
      </c>
      <c r="G1179">
        <f t="shared" si="76"/>
        <v>4003</v>
      </c>
      <c r="H1179" t="str">
        <f>IF(VLOOKUP(G1179,[2]Sheet1!$A:$O,15,0)=1,"401}]","101}]")</f>
        <v>101}]</v>
      </c>
      <c r="I1179" t="str">
        <f t="shared" si="77"/>
        <v>[{1000,1,1,4003,101}]</v>
      </c>
    </row>
    <row r="1180" spans="1:9">
      <c r="A1180">
        <f t="shared" si="75"/>
        <v>19</v>
      </c>
      <c r="B1180">
        <v>19</v>
      </c>
      <c r="C1180" t="s">
        <v>65</v>
      </c>
      <c r="D1180" t="s">
        <v>33</v>
      </c>
      <c r="E1180">
        <v>1</v>
      </c>
      <c r="F1180">
        <v>1</v>
      </c>
      <c r="G1180">
        <f t="shared" si="76"/>
        <v>4001</v>
      </c>
      <c r="H1180" t="str">
        <f>IF(VLOOKUP(G1180,[2]Sheet1!$A:$O,15,0)=1,"401}]","101}]")</f>
        <v>101}]</v>
      </c>
      <c r="I1180" t="str">
        <f t="shared" si="77"/>
        <v>[{1000,1,1,4001,101}]</v>
      </c>
    </row>
    <row r="1181" spans="1:9">
      <c r="A1181">
        <f t="shared" si="75"/>
        <v>19</v>
      </c>
      <c r="B1181">
        <v>19</v>
      </c>
      <c r="C1181" t="s">
        <v>65</v>
      </c>
      <c r="D1181" t="s">
        <v>33</v>
      </c>
      <c r="E1181">
        <v>1</v>
      </c>
      <c r="F1181">
        <v>1</v>
      </c>
      <c r="G1181">
        <f t="shared" si="76"/>
        <v>4002</v>
      </c>
      <c r="H1181" t="str">
        <f>IF(VLOOKUP(G1181,[2]Sheet1!$A:$O,15,0)=1,"401}]","101}]")</f>
        <v>401}]</v>
      </c>
      <c r="I1181" t="str">
        <f t="shared" si="77"/>
        <v>[{1000,1,1,4002,401}]</v>
      </c>
    </row>
    <row r="1182" spans="1:9">
      <c r="A1182">
        <f t="shared" si="75"/>
        <v>19</v>
      </c>
      <c r="B1182">
        <v>19</v>
      </c>
      <c r="C1182" t="s">
        <v>65</v>
      </c>
      <c r="D1182" t="s">
        <v>33</v>
      </c>
      <c r="E1182">
        <v>1</v>
      </c>
      <c r="F1182">
        <v>1</v>
      </c>
      <c r="G1182">
        <f t="shared" si="76"/>
        <v>4003</v>
      </c>
      <c r="H1182" t="str">
        <f>IF(VLOOKUP(G1182,[2]Sheet1!$A:$O,15,0)=1,"401}]","101}]")</f>
        <v>101}]</v>
      </c>
      <c r="I1182" t="str">
        <f t="shared" si="77"/>
        <v>[{1000,1,1,4003,101}]</v>
      </c>
    </row>
    <row r="1183" spans="1:9">
      <c r="A1183">
        <f t="shared" si="75"/>
        <v>20</v>
      </c>
      <c r="B1183">
        <v>20</v>
      </c>
      <c r="C1183" t="s">
        <v>65</v>
      </c>
      <c r="D1183" t="s">
        <v>33</v>
      </c>
      <c r="E1183">
        <v>1</v>
      </c>
      <c r="F1183">
        <v>1</v>
      </c>
      <c r="G1183">
        <f t="shared" si="76"/>
        <v>4001</v>
      </c>
      <c r="H1183" t="str">
        <f>IF(VLOOKUP(G1183,[2]Sheet1!$A:$O,15,0)=1,"401}]","101}]")</f>
        <v>101}]</v>
      </c>
      <c r="I1183" t="str">
        <f t="shared" si="77"/>
        <v>[{1000,1,1,4001,101}]</v>
      </c>
    </row>
    <row r="1184" spans="1:9">
      <c r="A1184">
        <f t="shared" si="75"/>
        <v>20</v>
      </c>
      <c r="B1184">
        <v>20</v>
      </c>
      <c r="C1184" t="s">
        <v>65</v>
      </c>
      <c r="D1184" t="s">
        <v>33</v>
      </c>
      <c r="E1184">
        <v>1</v>
      </c>
      <c r="F1184">
        <v>1</v>
      </c>
      <c r="G1184">
        <f t="shared" si="76"/>
        <v>4002</v>
      </c>
      <c r="H1184" t="str">
        <f>IF(VLOOKUP(G1184,[2]Sheet1!$A:$O,15,0)=1,"401}]","101}]")</f>
        <v>401}]</v>
      </c>
      <c r="I1184" t="str">
        <f t="shared" si="77"/>
        <v>[{1000,1,1,4002,401}]</v>
      </c>
    </row>
    <row r="1185" spans="1:9">
      <c r="A1185">
        <f t="shared" si="75"/>
        <v>20</v>
      </c>
      <c r="B1185">
        <v>20</v>
      </c>
      <c r="C1185" t="s">
        <v>65</v>
      </c>
      <c r="D1185" s="11" t="s">
        <v>33</v>
      </c>
      <c r="E1185">
        <v>1</v>
      </c>
      <c r="F1185">
        <v>1</v>
      </c>
      <c r="G1185">
        <f t="shared" si="76"/>
        <v>4003</v>
      </c>
      <c r="H1185" t="str">
        <f>IF(VLOOKUP(G1185,[2]Sheet1!$A:$O,15,0)=1,"401}]","101}]")</f>
        <v>101}]</v>
      </c>
      <c r="I1185" t="str">
        <f t="shared" si="77"/>
        <v>[{1000,1,1,4003,101}]</v>
      </c>
    </row>
    <row r="1186" spans="1:9">
      <c r="A1186" t="str">
        <f t="shared" si="75"/>
        <v/>
      </c>
      <c r="B1186">
        <v>20</v>
      </c>
      <c r="C1186" t="s">
        <v>65</v>
      </c>
      <c r="D1186" s="11" t="s">
        <v>28</v>
      </c>
      <c r="G1186" t="str">
        <f t="shared" si="76"/>
        <v/>
      </c>
      <c r="I1186" t="str">
        <f t="shared" si="77"/>
        <v>[]</v>
      </c>
    </row>
    <row r="1187" spans="1:9">
      <c r="A1187">
        <f t="shared" si="75"/>
        <v>20</v>
      </c>
      <c r="B1187">
        <v>20</v>
      </c>
      <c r="C1187" t="s">
        <v>65</v>
      </c>
      <c r="D1187" s="11" t="s">
        <v>33</v>
      </c>
      <c r="E1187">
        <v>1</v>
      </c>
      <c r="F1187">
        <v>0</v>
      </c>
      <c r="G1187">
        <f t="shared" si="76"/>
        <v>4031</v>
      </c>
      <c r="H1187" t="str">
        <f>IF(VLOOKUP(G1187,[2]Sheet1!$A:$O,15,0)=1,"401}]","101}]")</f>
        <v>401}]</v>
      </c>
      <c r="I1187" t="str">
        <f t="shared" si="77"/>
        <v>[{1000,1,0,4031,401}]</v>
      </c>
    </row>
    <row r="1188" spans="1:9">
      <c r="A1188">
        <f t="shared" ref="A1188:A1251" si="78">IF(E1188="","",B1188)</f>
        <v>1</v>
      </c>
      <c r="B1188">
        <v>1</v>
      </c>
      <c r="C1188" t="s">
        <v>66</v>
      </c>
      <c r="D1188" t="s">
        <v>33</v>
      </c>
      <c r="E1188">
        <f>IF(D1188="[]","",1)</f>
        <v>1</v>
      </c>
      <c r="F1188">
        <v>1</v>
      </c>
      <c r="G1188">
        <f t="shared" ref="G1188:G1251" si="79">IF(G1143="","",G1143+100)</f>
        <v>4101</v>
      </c>
      <c r="H1188" t="s">
        <v>34</v>
      </c>
      <c r="I1188" t="str">
        <f t="shared" si="77"/>
        <v>[{1000,1,1,4101,101}]</v>
      </c>
    </row>
    <row r="1189" spans="1:9">
      <c r="A1189">
        <f t="shared" si="78"/>
        <v>2</v>
      </c>
      <c r="B1189">
        <v>2</v>
      </c>
      <c r="C1189" t="s">
        <v>66</v>
      </c>
      <c r="D1189" t="s">
        <v>33</v>
      </c>
      <c r="E1189">
        <f t="shared" ref="E1189:E1252" si="80">IF(D1189="[]","",1)</f>
        <v>1</v>
      </c>
      <c r="F1189">
        <v>1</v>
      </c>
      <c r="G1189">
        <f t="shared" si="79"/>
        <v>4101</v>
      </c>
      <c r="H1189" t="s">
        <v>34</v>
      </c>
      <c r="I1189" t="str">
        <f t="shared" si="77"/>
        <v>[{1000,1,1,4101,101}]</v>
      </c>
    </row>
    <row r="1190" spans="1:9">
      <c r="A1190">
        <f t="shared" si="78"/>
        <v>3</v>
      </c>
      <c r="B1190">
        <v>3</v>
      </c>
      <c r="C1190" t="s">
        <v>66</v>
      </c>
      <c r="D1190" t="s">
        <v>33</v>
      </c>
      <c r="E1190">
        <f t="shared" si="80"/>
        <v>1</v>
      </c>
      <c r="F1190">
        <v>1</v>
      </c>
      <c r="G1190">
        <f t="shared" si="79"/>
        <v>4101</v>
      </c>
      <c r="H1190" t="s">
        <v>34</v>
      </c>
      <c r="I1190" t="str">
        <f t="shared" si="77"/>
        <v>[{1000,1,1,4101,101}]</v>
      </c>
    </row>
    <row r="1191" spans="1:9">
      <c r="A1191">
        <f t="shared" si="78"/>
        <v>4</v>
      </c>
      <c r="B1191">
        <v>4</v>
      </c>
      <c r="C1191" t="s">
        <v>66</v>
      </c>
      <c r="D1191" t="s">
        <v>33</v>
      </c>
      <c r="E1191">
        <f t="shared" si="80"/>
        <v>1</v>
      </c>
      <c r="F1191">
        <v>1</v>
      </c>
      <c r="G1191">
        <f t="shared" si="79"/>
        <v>4101</v>
      </c>
      <c r="H1191" t="s">
        <v>34</v>
      </c>
      <c r="I1191" t="str">
        <f t="shared" si="77"/>
        <v>[{1000,1,1,4101,101}]</v>
      </c>
    </row>
    <row r="1192" spans="1:9">
      <c r="A1192">
        <f t="shared" si="78"/>
        <v>5</v>
      </c>
      <c r="B1192">
        <v>5</v>
      </c>
      <c r="C1192" t="s">
        <v>66</v>
      </c>
      <c r="D1192" t="s">
        <v>33</v>
      </c>
      <c r="E1192">
        <f t="shared" si="80"/>
        <v>1</v>
      </c>
      <c r="F1192">
        <v>1</v>
      </c>
      <c r="G1192">
        <f t="shared" si="79"/>
        <v>4101</v>
      </c>
      <c r="H1192" t="s">
        <v>34</v>
      </c>
      <c r="I1192" t="str">
        <f t="shared" si="77"/>
        <v>[{1000,1,1,4101,101}]</v>
      </c>
    </row>
    <row r="1193" spans="1:9">
      <c r="A1193">
        <f t="shared" si="78"/>
        <v>6</v>
      </c>
      <c r="B1193">
        <v>6</v>
      </c>
      <c r="C1193" t="s">
        <v>66</v>
      </c>
      <c r="D1193" t="s">
        <v>33</v>
      </c>
      <c r="E1193">
        <f t="shared" si="80"/>
        <v>1</v>
      </c>
      <c r="F1193">
        <v>1</v>
      </c>
      <c r="G1193">
        <f t="shared" si="79"/>
        <v>4101</v>
      </c>
      <c r="H1193" t="s">
        <v>34</v>
      </c>
      <c r="I1193" t="str">
        <f t="shared" si="77"/>
        <v>[{1000,1,1,4101,101}]</v>
      </c>
    </row>
    <row r="1194" spans="1:9">
      <c r="A1194">
        <f t="shared" si="78"/>
        <v>7</v>
      </c>
      <c r="B1194">
        <v>7</v>
      </c>
      <c r="C1194" t="s">
        <v>66</v>
      </c>
      <c r="D1194" t="s">
        <v>33</v>
      </c>
      <c r="E1194">
        <f t="shared" si="80"/>
        <v>1</v>
      </c>
      <c r="F1194">
        <v>1</v>
      </c>
      <c r="G1194">
        <f t="shared" si="79"/>
        <v>4101</v>
      </c>
      <c r="H1194" t="s">
        <v>34</v>
      </c>
      <c r="I1194" t="str">
        <f t="shared" si="77"/>
        <v>[{1000,1,1,4101,101}]</v>
      </c>
    </row>
    <row r="1195" spans="1:9">
      <c r="A1195">
        <f t="shared" si="78"/>
        <v>7</v>
      </c>
      <c r="B1195">
        <v>7</v>
      </c>
      <c r="C1195" t="s">
        <v>66</v>
      </c>
      <c r="D1195" t="s">
        <v>33</v>
      </c>
      <c r="E1195">
        <f t="shared" si="80"/>
        <v>1</v>
      </c>
      <c r="F1195">
        <v>1</v>
      </c>
      <c r="G1195">
        <f t="shared" si="79"/>
        <v>4102</v>
      </c>
      <c r="H1195" t="s">
        <v>34</v>
      </c>
      <c r="I1195" t="str">
        <f t="shared" si="77"/>
        <v>[{1000,1,1,4102,101}]</v>
      </c>
    </row>
    <row r="1196" spans="1:9">
      <c r="A1196">
        <f t="shared" si="78"/>
        <v>8</v>
      </c>
      <c r="B1196">
        <v>8</v>
      </c>
      <c r="C1196" t="s">
        <v>66</v>
      </c>
      <c r="D1196" t="s">
        <v>33</v>
      </c>
      <c r="E1196">
        <f t="shared" si="80"/>
        <v>1</v>
      </c>
      <c r="F1196">
        <v>1</v>
      </c>
      <c r="G1196">
        <f t="shared" si="79"/>
        <v>4101</v>
      </c>
      <c r="H1196" t="s">
        <v>34</v>
      </c>
      <c r="I1196" t="str">
        <f t="shared" si="77"/>
        <v>[{1000,1,1,4101,101}]</v>
      </c>
    </row>
    <row r="1197" spans="1:9">
      <c r="A1197">
        <f t="shared" si="78"/>
        <v>8</v>
      </c>
      <c r="B1197">
        <v>8</v>
      </c>
      <c r="C1197" t="s">
        <v>66</v>
      </c>
      <c r="D1197" t="s">
        <v>33</v>
      </c>
      <c r="E1197">
        <f t="shared" si="80"/>
        <v>1</v>
      </c>
      <c r="F1197">
        <v>1</v>
      </c>
      <c r="G1197">
        <f t="shared" si="79"/>
        <v>4102</v>
      </c>
      <c r="H1197" t="s">
        <v>34</v>
      </c>
      <c r="I1197" t="str">
        <f t="shared" si="77"/>
        <v>[{1000,1,1,4102,101}]</v>
      </c>
    </row>
    <row r="1198" spans="1:9">
      <c r="A1198">
        <f t="shared" si="78"/>
        <v>9</v>
      </c>
      <c r="B1198">
        <v>9</v>
      </c>
      <c r="C1198" t="s">
        <v>66</v>
      </c>
      <c r="D1198" t="s">
        <v>33</v>
      </c>
      <c r="E1198">
        <f t="shared" si="80"/>
        <v>1</v>
      </c>
      <c r="F1198">
        <v>1</v>
      </c>
      <c r="G1198">
        <f t="shared" si="79"/>
        <v>4101</v>
      </c>
      <c r="H1198" t="s">
        <v>34</v>
      </c>
      <c r="I1198" t="str">
        <f t="shared" si="77"/>
        <v>[{1000,1,1,4101,101}]</v>
      </c>
    </row>
    <row r="1199" spans="1:9">
      <c r="A1199">
        <f t="shared" si="78"/>
        <v>9</v>
      </c>
      <c r="B1199">
        <v>9</v>
      </c>
      <c r="C1199" t="s">
        <v>66</v>
      </c>
      <c r="D1199" t="s">
        <v>33</v>
      </c>
      <c r="E1199">
        <f t="shared" si="80"/>
        <v>1</v>
      </c>
      <c r="F1199">
        <v>1</v>
      </c>
      <c r="G1199">
        <f t="shared" si="79"/>
        <v>4102</v>
      </c>
      <c r="H1199" t="s">
        <v>34</v>
      </c>
      <c r="I1199" t="str">
        <f t="shared" si="77"/>
        <v>[{1000,1,1,4102,101}]</v>
      </c>
    </row>
    <row r="1200" spans="1:9">
      <c r="A1200">
        <f t="shared" si="78"/>
        <v>10</v>
      </c>
      <c r="B1200">
        <v>10</v>
      </c>
      <c r="C1200" t="s">
        <v>66</v>
      </c>
      <c r="D1200" t="s">
        <v>33</v>
      </c>
      <c r="E1200">
        <f t="shared" si="80"/>
        <v>1</v>
      </c>
      <c r="F1200">
        <v>1</v>
      </c>
      <c r="G1200">
        <f t="shared" si="79"/>
        <v>4101</v>
      </c>
      <c r="H1200" t="s">
        <v>34</v>
      </c>
      <c r="I1200" t="str">
        <f t="shared" si="77"/>
        <v>[{1000,1,1,4101,101}]</v>
      </c>
    </row>
    <row r="1201" spans="1:9">
      <c r="A1201">
        <f t="shared" si="78"/>
        <v>10</v>
      </c>
      <c r="B1201">
        <v>10</v>
      </c>
      <c r="C1201" t="s">
        <v>66</v>
      </c>
      <c r="D1201" t="s">
        <v>33</v>
      </c>
      <c r="E1201">
        <f t="shared" si="80"/>
        <v>1</v>
      </c>
      <c r="F1201">
        <v>1</v>
      </c>
      <c r="G1201">
        <f t="shared" si="79"/>
        <v>4102</v>
      </c>
      <c r="H1201" t="s">
        <v>34</v>
      </c>
      <c r="I1201" t="str">
        <f t="shared" si="77"/>
        <v>[{1000,1,1,4102,101}]</v>
      </c>
    </row>
    <row r="1202" spans="1:9">
      <c r="A1202" t="str">
        <f t="shared" si="78"/>
        <v/>
      </c>
      <c r="B1202">
        <v>10</v>
      </c>
      <c r="C1202" t="s">
        <v>66</v>
      </c>
      <c r="D1202" s="11" t="s">
        <v>28</v>
      </c>
      <c r="E1202" t="str">
        <f t="shared" si="80"/>
        <v/>
      </c>
      <c r="G1202" t="str">
        <f t="shared" si="79"/>
        <v/>
      </c>
      <c r="I1202" t="str">
        <f t="shared" si="77"/>
        <v>[]</v>
      </c>
    </row>
    <row r="1203" spans="1:9">
      <c r="A1203">
        <f t="shared" si="78"/>
        <v>10</v>
      </c>
      <c r="B1203">
        <v>10</v>
      </c>
      <c r="C1203" t="s">
        <v>66</v>
      </c>
      <c r="D1203" t="s">
        <v>33</v>
      </c>
      <c r="E1203">
        <f t="shared" si="80"/>
        <v>1</v>
      </c>
      <c r="F1203">
        <v>0</v>
      </c>
      <c r="G1203">
        <f t="shared" si="79"/>
        <v>4121</v>
      </c>
      <c r="H1203" t="s">
        <v>36</v>
      </c>
      <c r="I1203" t="str">
        <f t="shared" si="77"/>
        <v>[{1000,1,0,4121,41}]</v>
      </c>
    </row>
    <row r="1204" spans="1:9">
      <c r="A1204">
        <f t="shared" si="78"/>
        <v>11</v>
      </c>
      <c r="B1204">
        <v>11</v>
      </c>
      <c r="C1204" t="s">
        <v>66</v>
      </c>
      <c r="D1204" t="s">
        <v>33</v>
      </c>
      <c r="E1204">
        <f t="shared" si="80"/>
        <v>1</v>
      </c>
      <c r="F1204">
        <v>1</v>
      </c>
      <c r="G1204">
        <f t="shared" si="79"/>
        <v>4101</v>
      </c>
      <c r="H1204" t="s">
        <v>34</v>
      </c>
      <c r="I1204" t="str">
        <f t="shared" si="77"/>
        <v>[{1000,1,1,4101,101}]</v>
      </c>
    </row>
    <row r="1205" spans="1:9">
      <c r="A1205">
        <f t="shared" si="78"/>
        <v>11</v>
      </c>
      <c r="B1205">
        <v>11</v>
      </c>
      <c r="C1205" t="s">
        <v>66</v>
      </c>
      <c r="D1205" t="s">
        <v>33</v>
      </c>
      <c r="E1205">
        <f t="shared" si="80"/>
        <v>1</v>
      </c>
      <c r="F1205">
        <v>1</v>
      </c>
      <c r="G1205">
        <f t="shared" si="79"/>
        <v>4102</v>
      </c>
      <c r="H1205" t="s">
        <v>34</v>
      </c>
      <c r="I1205" t="str">
        <f t="shared" si="77"/>
        <v>[{1000,1,1,4102,101}]</v>
      </c>
    </row>
    <row r="1206" spans="1:9">
      <c r="A1206">
        <f t="shared" si="78"/>
        <v>12</v>
      </c>
      <c r="B1206">
        <v>12</v>
      </c>
      <c r="C1206" t="s">
        <v>66</v>
      </c>
      <c r="D1206" t="s">
        <v>33</v>
      </c>
      <c r="E1206">
        <f t="shared" si="80"/>
        <v>1</v>
      </c>
      <c r="F1206">
        <v>1</v>
      </c>
      <c r="G1206">
        <f t="shared" si="79"/>
        <v>4101</v>
      </c>
      <c r="H1206" t="s">
        <v>34</v>
      </c>
      <c r="I1206" t="str">
        <f t="shared" si="77"/>
        <v>[{1000,1,1,4101,101}]</v>
      </c>
    </row>
    <row r="1207" spans="1:9">
      <c r="A1207">
        <f t="shared" si="78"/>
        <v>12</v>
      </c>
      <c r="B1207">
        <v>12</v>
      </c>
      <c r="C1207" t="s">
        <v>66</v>
      </c>
      <c r="D1207" t="s">
        <v>33</v>
      </c>
      <c r="E1207">
        <f t="shared" si="80"/>
        <v>1</v>
      </c>
      <c r="F1207">
        <v>1</v>
      </c>
      <c r="G1207">
        <f t="shared" si="79"/>
        <v>4102</v>
      </c>
      <c r="H1207" t="s">
        <v>34</v>
      </c>
      <c r="I1207" t="str">
        <f t="shared" si="77"/>
        <v>[{1000,1,1,4102,101}]</v>
      </c>
    </row>
    <row r="1208" spans="1:9">
      <c r="A1208">
        <f t="shared" si="78"/>
        <v>13</v>
      </c>
      <c r="B1208">
        <v>13</v>
      </c>
      <c r="C1208" t="s">
        <v>66</v>
      </c>
      <c r="D1208" t="s">
        <v>33</v>
      </c>
      <c r="E1208">
        <f t="shared" si="80"/>
        <v>1</v>
      </c>
      <c r="F1208">
        <v>1</v>
      </c>
      <c r="G1208">
        <f t="shared" si="79"/>
        <v>4101</v>
      </c>
      <c r="H1208" t="s">
        <v>34</v>
      </c>
      <c r="I1208" t="str">
        <f t="shared" si="77"/>
        <v>[{1000,1,1,4101,101}]</v>
      </c>
    </row>
    <row r="1209" spans="1:9">
      <c r="A1209">
        <f t="shared" si="78"/>
        <v>13</v>
      </c>
      <c r="B1209">
        <v>13</v>
      </c>
      <c r="C1209" t="s">
        <v>66</v>
      </c>
      <c r="D1209" t="s">
        <v>33</v>
      </c>
      <c r="E1209">
        <f t="shared" si="80"/>
        <v>1</v>
      </c>
      <c r="F1209">
        <v>1</v>
      </c>
      <c r="G1209">
        <f t="shared" si="79"/>
        <v>4102</v>
      </c>
      <c r="H1209" t="s">
        <v>34</v>
      </c>
      <c r="I1209" t="str">
        <f t="shared" si="77"/>
        <v>[{1000,1,1,4102,101}]</v>
      </c>
    </row>
    <row r="1210" spans="1:9">
      <c r="A1210">
        <f t="shared" si="78"/>
        <v>14</v>
      </c>
      <c r="B1210">
        <v>14</v>
      </c>
      <c r="C1210" t="s">
        <v>66</v>
      </c>
      <c r="D1210" t="s">
        <v>33</v>
      </c>
      <c r="E1210">
        <f t="shared" si="80"/>
        <v>1</v>
      </c>
      <c r="F1210">
        <v>1</v>
      </c>
      <c r="G1210">
        <f t="shared" si="79"/>
        <v>4101</v>
      </c>
      <c r="H1210" t="s">
        <v>34</v>
      </c>
      <c r="I1210" t="str">
        <f t="shared" si="77"/>
        <v>[{1000,1,1,4101,101}]</v>
      </c>
    </row>
    <row r="1211" spans="1:9">
      <c r="A1211">
        <f t="shared" si="78"/>
        <v>14</v>
      </c>
      <c r="B1211">
        <v>14</v>
      </c>
      <c r="C1211" t="s">
        <v>66</v>
      </c>
      <c r="D1211" t="s">
        <v>33</v>
      </c>
      <c r="E1211">
        <f t="shared" si="80"/>
        <v>1</v>
      </c>
      <c r="F1211">
        <v>1</v>
      </c>
      <c r="G1211">
        <f t="shared" si="79"/>
        <v>4102</v>
      </c>
      <c r="H1211" t="s">
        <v>34</v>
      </c>
      <c r="I1211" t="str">
        <f t="shared" si="77"/>
        <v>[{1000,1,1,4102,101}]</v>
      </c>
    </row>
    <row r="1212" spans="1:9">
      <c r="A1212">
        <f t="shared" si="78"/>
        <v>14</v>
      </c>
      <c r="B1212">
        <v>14</v>
      </c>
      <c r="C1212" t="s">
        <v>66</v>
      </c>
      <c r="D1212" t="s">
        <v>33</v>
      </c>
      <c r="E1212">
        <f t="shared" si="80"/>
        <v>1</v>
      </c>
      <c r="F1212">
        <v>1</v>
      </c>
      <c r="G1212">
        <f t="shared" si="79"/>
        <v>4103</v>
      </c>
      <c r="H1212" t="s">
        <v>37</v>
      </c>
      <c r="I1212" t="str">
        <f t="shared" si="77"/>
        <v>[{1000,1,1,4103,401}]</v>
      </c>
    </row>
    <row r="1213" spans="1:9">
      <c r="A1213">
        <f t="shared" si="78"/>
        <v>15</v>
      </c>
      <c r="B1213">
        <v>15</v>
      </c>
      <c r="C1213" t="s">
        <v>66</v>
      </c>
      <c r="D1213" t="s">
        <v>33</v>
      </c>
      <c r="E1213">
        <f t="shared" si="80"/>
        <v>1</v>
      </c>
      <c r="F1213">
        <v>1</v>
      </c>
      <c r="G1213">
        <f t="shared" si="79"/>
        <v>4101</v>
      </c>
      <c r="H1213" t="s">
        <v>34</v>
      </c>
      <c r="I1213" t="str">
        <f t="shared" si="77"/>
        <v>[{1000,1,1,4101,101}]</v>
      </c>
    </row>
    <row r="1214" spans="1:9">
      <c r="A1214">
        <f t="shared" si="78"/>
        <v>15</v>
      </c>
      <c r="B1214">
        <v>15</v>
      </c>
      <c r="C1214" t="s">
        <v>66</v>
      </c>
      <c r="D1214" t="s">
        <v>33</v>
      </c>
      <c r="E1214">
        <f t="shared" si="80"/>
        <v>1</v>
      </c>
      <c r="F1214">
        <v>1</v>
      </c>
      <c r="G1214">
        <f t="shared" si="79"/>
        <v>4102</v>
      </c>
      <c r="H1214" t="s">
        <v>34</v>
      </c>
      <c r="I1214" t="str">
        <f t="shared" si="77"/>
        <v>[{1000,1,1,4102,101}]</v>
      </c>
    </row>
    <row r="1215" spans="1:9">
      <c r="A1215">
        <f t="shared" si="78"/>
        <v>15</v>
      </c>
      <c r="B1215">
        <v>15</v>
      </c>
      <c r="C1215" t="s">
        <v>66</v>
      </c>
      <c r="D1215" t="s">
        <v>33</v>
      </c>
      <c r="E1215">
        <f t="shared" si="80"/>
        <v>1</v>
      </c>
      <c r="F1215">
        <v>1</v>
      </c>
      <c r="G1215">
        <f t="shared" si="79"/>
        <v>4103</v>
      </c>
      <c r="H1215" t="s">
        <v>37</v>
      </c>
      <c r="I1215" t="str">
        <f t="shared" si="77"/>
        <v>[{1000,1,1,4103,401}]</v>
      </c>
    </row>
    <row r="1216" spans="1:9">
      <c r="A1216">
        <f t="shared" si="78"/>
        <v>16</v>
      </c>
      <c r="B1216">
        <v>16</v>
      </c>
      <c r="C1216" t="s">
        <v>66</v>
      </c>
      <c r="D1216" t="s">
        <v>33</v>
      </c>
      <c r="E1216">
        <f t="shared" si="80"/>
        <v>1</v>
      </c>
      <c r="F1216">
        <v>1</v>
      </c>
      <c r="G1216">
        <f t="shared" si="79"/>
        <v>4101</v>
      </c>
      <c r="H1216" t="s">
        <v>34</v>
      </c>
      <c r="I1216" t="str">
        <f t="shared" si="77"/>
        <v>[{1000,1,1,4101,101}]</v>
      </c>
    </row>
    <row r="1217" spans="1:9">
      <c r="A1217">
        <f t="shared" si="78"/>
        <v>16</v>
      </c>
      <c r="B1217">
        <v>16</v>
      </c>
      <c r="C1217" t="s">
        <v>66</v>
      </c>
      <c r="D1217" t="s">
        <v>33</v>
      </c>
      <c r="E1217">
        <f t="shared" si="80"/>
        <v>1</v>
      </c>
      <c r="F1217">
        <v>1</v>
      </c>
      <c r="G1217">
        <f t="shared" si="79"/>
        <v>4102</v>
      </c>
      <c r="H1217" t="s">
        <v>34</v>
      </c>
      <c r="I1217" t="str">
        <f t="shared" si="77"/>
        <v>[{1000,1,1,4102,101}]</v>
      </c>
    </row>
    <row r="1218" spans="1:9">
      <c r="A1218">
        <f t="shared" si="78"/>
        <v>16</v>
      </c>
      <c r="B1218">
        <v>16</v>
      </c>
      <c r="C1218" t="s">
        <v>66</v>
      </c>
      <c r="D1218" t="s">
        <v>33</v>
      </c>
      <c r="E1218">
        <f t="shared" si="80"/>
        <v>1</v>
      </c>
      <c r="F1218">
        <v>1</v>
      </c>
      <c r="G1218">
        <f t="shared" si="79"/>
        <v>4103</v>
      </c>
      <c r="H1218" t="s">
        <v>37</v>
      </c>
      <c r="I1218" t="str">
        <f t="shared" si="77"/>
        <v>[{1000,1,1,4103,401}]</v>
      </c>
    </row>
    <row r="1219" spans="1:9">
      <c r="A1219">
        <f t="shared" si="78"/>
        <v>17</v>
      </c>
      <c r="B1219">
        <v>17</v>
      </c>
      <c r="C1219" t="s">
        <v>66</v>
      </c>
      <c r="D1219" t="s">
        <v>33</v>
      </c>
      <c r="E1219">
        <f t="shared" si="80"/>
        <v>1</v>
      </c>
      <c r="F1219">
        <v>1</v>
      </c>
      <c r="G1219">
        <f t="shared" si="79"/>
        <v>4101</v>
      </c>
      <c r="H1219" t="s">
        <v>34</v>
      </c>
      <c r="I1219" t="str">
        <f t="shared" si="77"/>
        <v>[{1000,1,1,4101,101}]</v>
      </c>
    </row>
    <row r="1220" spans="1:9">
      <c r="A1220">
        <f t="shared" si="78"/>
        <v>17</v>
      </c>
      <c r="B1220">
        <v>17</v>
      </c>
      <c r="C1220" t="s">
        <v>66</v>
      </c>
      <c r="D1220" t="s">
        <v>33</v>
      </c>
      <c r="E1220">
        <f t="shared" si="80"/>
        <v>1</v>
      </c>
      <c r="F1220">
        <v>1</v>
      </c>
      <c r="G1220">
        <f t="shared" si="79"/>
        <v>4102</v>
      </c>
      <c r="H1220" t="s">
        <v>34</v>
      </c>
      <c r="I1220" t="str">
        <f t="shared" si="77"/>
        <v>[{1000,1,1,4102,101}]</v>
      </c>
    </row>
    <row r="1221" spans="1:9">
      <c r="A1221">
        <f t="shared" si="78"/>
        <v>17</v>
      </c>
      <c r="B1221">
        <v>17</v>
      </c>
      <c r="C1221" t="s">
        <v>66</v>
      </c>
      <c r="D1221" t="s">
        <v>33</v>
      </c>
      <c r="E1221">
        <f t="shared" si="80"/>
        <v>1</v>
      </c>
      <c r="F1221">
        <v>1</v>
      </c>
      <c r="G1221">
        <f t="shared" si="79"/>
        <v>4103</v>
      </c>
      <c r="H1221" t="s">
        <v>37</v>
      </c>
      <c r="I1221" t="str">
        <f t="shared" si="77"/>
        <v>[{1000,1,1,4103,401}]</v>
      </c>
    </row>
    <row r="1222" spans="1:9">
      <c r="A1222">
        <f t="shared" si="78"/>
        <v>18</v>
      </c>
      <c r="B1222">
        <v>18</v>
      </c>
      <c r="C1222" t="s">
        <v>66</v>
      </c>
      <c r="D1222" t="s">
        <v>33</v>
      </c>
      <c r="E1222">
        <f t="shared" si="80"/>
        <v>1</v>
      </c>
      <c r="F1222">
        <v>1</v>
      </c>
      <c r="G1222">
        <f t="shared" si="79"/>
        <v>4101</v>
      </c>
      <c r="H1222" t="s">
        <v>34</v>
      </c>
      <c r="I1222" t="str">
        <f t="shared" si="77"/>
        <v>[{1000,1,1,4101,101}]</v>
      </c>
    </row>
    <row r="1223" spans="1:9">
      <c r="A1223">
        <f t="shared" si="78"/>
        <v>18</v>
      </c>
      <c r="B1223">
        <v>18</v>
      </c>
      <c r="C1223" t="s">
        <v>66</v>
      </c>
      <c r="D1223" t="s">
        <v>33</v>
      </c>
      <c r="E1223">
        <f t="shared" si="80"/>
        <v>1</v>
      </c>
      <c r="F1223">
        <v>1</v>
      </c>
      <c r="G1223">
        <f t="shared" si="79"/>
        <v>4102</v>
      </c>
      <c r="H1223" t="s">
        <v>34</v>
      </c>
      <c r="I1223" t="str">
        <f t="shared" si="77"/>
        <v>[{1000,1,1,4102,101}]</v>
      </c>
    </row>
    <row r="1224" spans="1:9">
      <c r="A1224">
        <f t="shared" si="78"/>
        <v>18</v>
      </c>
      <c r="B1224">
        <v>18</v>
      </c>
      <c r="C1224" t="s">
        <v>66</v>
      </c>
      <c r="D1224" t="s">
        <v>33</v>
      </c>
      <c r="E1224">
        <f t="shared" si="80"/>
        <v>1</v>
      </c>
      <c r="F1224">
        <v>1</v>
      </c>
      <c r="G1224">
        <f t="shared" si="79"/>
        <v>4103</v>
      </c>
      <c r="H1224" t="s">
        <v>37</v>
      </c>
      <c r="I1224" t="str">
        <f t="shared" si="77"/>
        <v>[{1000,1,1,4103,401}]</v>
      </c>
    </row>
    <row r="1225" spans="1:9">
      <c r="A1225">
        <f t="shared" si="78"/>
        <v>19</v>
      </c>
      <c r="B1225">
        <v>19</v>
      </c>
      <c r="C1225" t="s">
        <v>66</v>
      </c>
      <c r="D1225" t="s">
        <v>33</v>
      </c>
      <c r="E1225">
        <f t="shared" si="80"/>
        <v>1</v>
      </c>
      <c r="F1225">
        <v>1</v>
      </c>
      <c r="G1225">
        <f t="shared" si="79"/>
        <v>4101</v>
      </c>
      <c r="H1225" t="s">
        <v>34</v>
      </c>
      <c r="I1225" t="str">
        <f t="shared" si="77"/>
        <v>[{1000,1,1,4101,101}]</v>
      </c>
    </row>
    <row r="1226" spans="1:9">
      <c r="A1226">
        <f t="shared" si="78"/>
        <v>19</v>
      </c>
      <c r="B1226">
        <v>19</v>
      </c>
      <c r="C1226" t="s">
        <v>66</v>
      </c>
      <c r="D1226" t="s">
        <v>33</v>
      </c>
      <c r="E1226">
        <f t="shared" si="80"/>
        <v>1</v>
      </c>
      <c r="F1226">
        <v>1</v>
      </c>
      <c r="G1226">
        <f t="shared" si="79"/>
        <v>4102</v>
      </c>
      <c r="H1226" t="s">
        <v>34</v>
      </c>
      <c r="I1226" t="str">
        <f t="shared" ref="I1226:I1289" si="81">_xlfn.TEXTJOIN(",",1,D1226:H1226)</f>
        <v>[{1000,1,1,4102,101}]</v>
      </c>
    </row>
    <row r="1227" spans="1:9">
      <c r="A1227">
        <f t="shared" si="78"/>
        <v>19</v>
      </c>
      <c r="B1227">
        <v>19</v>
      </c>
      <c r="C1227" t="s">
        <v>66</v>
      </c>
      <c r="D1227" t="s">
        <v>33</v>
      </c>
      <c r="E1227">
        <f t="shared" si="80"/>
        <v>1</v>
      </c>
      <c r="F1227">
        <v>1</v>
      </c>
      <c r="G1227">
        <f t="shared" si="79"/>
        <v>4103</v>
      </c>
      <c r="H1227" t="s">
        <v>37</v>
      </c>
      <c r="I1227" t="str">
        <f t="shared" si="81"/>
        <v>[{1000,1,1,4103,401}]</v>
      </c>
    </row>
    <row r="1228" spans="1:9">
      <c r="A1228">
        <f t="shared" si="78"/>
        <v>20</v>
      </c>
      <c r="B1228">
        <v>20</v>
      </c>
      <c r="C1228" t="s">
        <v>66</v>
      </c>
      <c r="D1228" t="s">
        <v>33</v>
      </c>
      <c r="E1228">
        <f t="shared" si="80"/>
        <v>1</v>
      </c>
      <c r="F1228">
        <v>1</v>
      </c>
      <c r="G1228">
        <f t="shared" si="79"/>
        <v>4101</v>
      </c>
      <c r="H1228" t="s">
        <v>34</v>
      </c>
      <c r="I1228" t="str">
        <f t="shared" si="81"/>
        <v>[{1000,1,1,4101,101}]</v>
      </c>
    </row>
    <row r="1229" spans="1:9">
      <c r="A1229">
        <f t="shared" si="78"/>
        <v>20</v>
      </c>
      <c r="B1229">
        <v>20</v>
      </c>
      <c r="C1229" t="s">
        <v>66</v>
      </c>
      <c r="D1229" t="s">
        <v>33</v>
      </c>
      <c r="E1229">
        <f t="shared" si="80"/>
        <v>1</v>
      </c>
      <c r="F1229">
        <v>1</v>
      </c>
      <c r="G1229">
        <f t="shared" si="79"/>
        <v>4102</v>
      </c>
      <c r="H1229" t="s">
        <v>34</v>
      </c>
      <c r="I1229" t="str">
        <f t="shared" si="81"/>
        <v>[{1000,1,1,4102,101}]</v>
      </c>
    </row>
    <row r="1230" spans="1:9">
      <c r="A1230">
        <f t="shared" si="78"/>
        <v>20</v>
      </c>
      <c r="B1230">
        <v>20</v>
      </c>
      <c r="C1230" t="s">
        <v>66</v>
      </c>
      <c r="D1230" s="11" t="s">
        <v>33</v>
      </c>
      <c r="E1230">
        <f t="shared" si="80"/>
        <v>1</v>
      </c>
      <c r="F1230">
        <v>1</v>
      </c>
      <c r="G1230">
        <f t="shared" si="79"/>
        <v>4103</v>
      </c>
      <c r="H1230" t="s">
        <v>37</v>
      </c>
      <c r="I1230" t="str">
        <f t="shared" si="81"/>
        <v>[{1000,1,1,4103,401}]</v>
      </c>
    </row>
    <row r="1231" spans="1:9">
      <c r="A1231" t="str">
        <f t="shared" si="78"/>
        <v/>
      </c>
      <c r="B1231">
        <v>20</v>
      </c>
      <c r="C1231" t="s">
        <v>66</v>
      </c>
      <c r="D1231" s="11" t="s">
        <v>28</v>
      </c>
      <c r="E1231" t="str">
        <f t="shared" si="80"/>
        <v/>
      </c>
      <c r="G1231" t="str">
        <f t="shared" si="79"/>
        <v/>
      </c>
      <c r="I1231" t="str">
        <f t="shared" si="81"/>
        <v>[]</v>
      </c>
    </row>
    <row r="1232" spans="1:9">
      <c r="A1232">
        <f t="shared" si="78"/>
        <v>20</v>
      </c>
      <c r="B1232">
        <v>20</v>
      </c>
      <c r="C1232" t="s">
        <v>66</v>
      </c>
      <c r="D1232" s="11" t="s">
        <v>33</v>
      </c>
      <c r="E1232">
        <f t="shared" si="80"/>
        <v>1</v>
      </c>
      <c r="F1232">
        <v>0</v>
      </c>
      <c r="G1232">
        <f t="shared" si="79"/>
        <v>4131</v>
      </c>
      <c r="H1232" t="s">
        <v>36</v>
      </c>
      <c r="I1232" t="str">
        <f t="shared" si="81"/>
        <v>[{1000,1,0,4131,41}]</v>
      </c>
    </row>
    <row r="1233" spans="1:9">
      <c r="A1233">
        <f t="shared" si="78"/>
        <v>1</v>
      </c>
      <c r="B1233">
        <v>1</v>
      </c>
      <c r="C1233" t="s">
        <v>67</v>
      </c>
      <c r="D1233" t="s">
        <v>33</v>
      </c>
      <c r="E1233">
        <f t="shared" si="80"/>
        <v>1</v>
      </c>
      <c r="F1233">
        <v>1</v>
      </c>
      <c r="G1233">
        <f t="shared" si="79"/>
        <v>4201</v>
      </c>
      <c r="H1233" t="s">
        <v>34</v>
      </c>
      <c r="I1233" t="str">
        <f t="shared" si="81"/>
        <v>[{1000,1,1,4201,101}]</v>
      </c>
    </row>
    <row r="1234" spans="1:9">
      <c r="A1234">
        <f t="shared" si="78"/>
        <v>2</v>
      </c>
      <c r="B1234">
        <v>2</v>
      </c>
      <c r="C1234" t="s">
        <v>67</v>
      </c>
      <c r="D1234" t="s">
        <v>33</v>
      </c>
      <c r="E1234">
        <f t="shared" si="80"/>
        <v>1</v>
      </c>
      <c r="F1234">
        <v>1</v>
      </c>
      <c r="G1234">
        <f t="shared" si="79"/>
        <v>4201</v>
      </c>
      <c r="H1234" t="s">
        <v>34</v>
      </c>
      <c r="I1234" t="str">
        <f t="shared" si="81"/>
        <v>[{1000,1,1,4201,101}]</v>
      </c>
    </row>
    <row r="1235" spans="1:9">
      <c r="A1235">
        <f t="shared" si="78"/>
        <v>3</v>
      </c>
      <c r="B1235">
        <v>3</v>
      </c>
      <c r="C1235" t="s">
        <v>67</v>
      </c>
      <c r="D1235" t="s">
        <v>33</v>
      </c>
      <c r="E1235">
        <f t="shared" si="80"/>
        <v>1</v>
      </c>
      <c r="F1235">
        <v>1</v>
      </c>
      <c r="G1235">
        <f t="shared" si="79"/>
        <v>4201</v>
      </c>
      <c r="H1235" t="s">
        <v>34</v>
      </c>
      <c r="I1235" t="str">
        <f t="shared" si="81"/>
        <v>[{1000,1,1,4201,101}]</v>
      </c>
    </row>
    <row r="1236" spans="1:9">
      <c r="A1236">
        <f t="shared" si="78"/>
        <v>4</v>
      </c>
      <c r="B1236">
        <v>4</v>
      </c>
      <c r="C1236" t="s">
        <v>67</v>
      </c>
      <c r="D1236" t="s">
        <v>33</v>
      </c>
      <c r="E1236">
        <f t="shared" si="80"/>
        <v>1</v>
      </c>
      <c r="F1236">
        <v>1</v>
      </c>
      <c r="G1236">
        <f t="shared" si="79"/>
        <v>4201</v>
      </c>
      <c r="H1236" t="s">
        <v>34</v>
      </c>
      <c r="I1236" t="str">
        <f t="shared" si="81"/>
        <v>[{1000,1,1,4201,101}]</v>
      </c>
    </row>
    <row r="1237" spans="1:9">
      <c r="A1237">
        <f t="shared" si="78"/>
        <v>5</v>
      </c>
      <c r="B1237">
        <v>5</v>
      </c>
      <c r="C1237" t="s">
        <v>67</v>
      </c>
      <c r="D1237" t="s">
        <v>33</v>
      </c>
      <c r="E1237">
        <f t="shared" si="80"/>
        <v>1</v>
      </c>
      <c r="F1237">
        <v>1</v>
      </c>
      <c r="G1237">
        <f t="shared" si="79"/>
        <v>4201</v>
      </c>
      <c r="H1237" t="s">
        <v>34</v>
      </c>
      <c r="I1237" t="str">
        <f t="shared" si="81"/>
        <v>[{1000,1,1,4201,101}]</v>
      </c>
    </row>
    <row r="1238" spans="1:9">
      <c r="A1238">
        <f t="shared" si="78"/>
        <v>6</v>
      </c>
      <c r="B1238">
        <v>6</v>
      </c>
      <c r="C1238" t="s">
        <v>67</v>
      </c>
      <c r="D1238" t="s">
        <v>33</v>
      </c>
      <c r="E1238">
        <f t="shared" si="80"/>
        <v>1</v>
      </c>
      <c r="F1238">
        <v>1</v>
      </c>
      <c r="G1238">
        <f t="shared" si="79"/>
        <v>4201</v>
      </c>
      <c r="H1238" t="s">
        <v>34</v>
      </c>
      <c r="I1238" t="str">
        <f t="shared" si="81"/>
        <v>[{1000,1,1,4201,101}]</v>
      </c>
    </row>
    <row r="1239" spans="1:9">
      <c r="A1239">
        <f t="shared" si="78"/>
        <v>7</v>
      </c>
      <c r="B1239">
        <v>7</v>
      </c>
      <c r="C1239" t="s">
        <v>67</v>
      </c>
      <c r="D1239" t="s">
        <v>33</v>
      </c>
      <c r="E1239">
        <f t="shared" si="80"/>
        <v>1</v>
      </c>
      <c r="F1239">
        <v>1</v>
      </c>
      <c r="G1239">
        <f t="shared" si="79"/>
        <v>4201</v>
      </c>
      <c r="H1239" t="s">
        <v>34</v>
      </c>
      <c r="I1239" t="str">
        <f t="shared" si="81"/>
        <v>[{1000,1,1,4201,101}]</v>
      </c>
    </row>
    <row r="1240" spans="1:9">
      <c r="A1240">
        <f t="shared" si="78"/>
        <v>7</v>
      </c>
      <c r="B1240">
        <v>7</v>
      </c>
      <c r="C1240" t="s">
        <v>67</v>
      </c>
      <c r="D1240" t="s">
        <v>33</v>
      </c>
      <c r="E1240">
        <f t="shared" si="80"/>
        <v>1</v>
      </c>
      <c r="F1240">
        <v>1</v>
      </c>
      <c r="G1240">
        <f t="shared" si="79"/>
        <v>4202</v>
      </c>
      <c r="H1240" t="s">
        <v>34</v>
      </c>
      <c r="I1240" t="str">
        <f t="shared" si="81"/>
        <v>[{1000,1,1,4202,101}]</v>
      </c>
    </row>
    <row r="1241" spans="1:9">
      <c r="A1241">
        <f t="shared" si="78"/>
        <v>8</v>
      </c>
      <c r="B1241">
        <v>8</v>
      </c>
      <c r="C1241" t="s">
        <v>67</v>
      </c>
      <c r="D1241" t="s">
        <v>33</v>
      </c>
      <c r="E1241">
        <f t="shared" si="80"/>
        <v>1</v>
      </c>
      <c r="F1241">
        <v>1</v>
      </c>
      <c r="G1241">
        <f t="shared" si="79"/>
        <v>4201</v>
      </c>
      <c r="H1241" t="s">
        <v>34</v>
      </c>
      <c r="I1241" t="str">
        <f t="shared" si="81"/>
        <v>[{1000,1,1,4201,101}]</v>
      </c>
    </row>
    <row r="1242" spans="1:9">
      <c r="A1242">
        <f t="shared" si="78"/>
        <v>8</v>
      </c>
      <c r="B1242">
        <v>8</v>
      </c>
      <c r="C1242" t="s">
        <v>67</v>
      </c>
      <c r="D1242" t="s">
        <v>33</v>
      </c>
      <c r="E1242">
        <f t="shared" si="80"/>
        <v>1</v>
      </c>
      <c r="F1242">
        <v>1</v>
      </c>
      <c r="G1242">
        <f t="shared" si="79"/>
        <v>4202</v>
      </c>
      <c r="H1242" t="s">
        <v>34</v>
      </c>
      <c r="I1242" t="str">
        <f t="shared" si="81"/>
        <v>[{1000,1,1,4202,101}]</v>
      </c>
    </row>
    <row r="1243" spans="1:9">
      <c r="A1243">
        <f t="shared" si="78"/>
        <v>9</v>
      </c>
      <c r="B1243">
        <v>9</v>
      </c>
      <c r="C1243" t="s">
        <v>67</v>
      </c>
      <c r="D1243" t="s">
        <v>33</v>
      </c>
      <c r="E1243">
        <f t="shared" si="80"/>
        <v>1</v>
      </c>
      <c r="F1243">
        <v>1</v>
      </c>
      <c r="G1243">
        <f t="shared" si="79"/>
        <v>4201</v>
      </c>
      <c r="H1243" t="s">
        <v>34</v>
      </c>
      <c r="I1243" t="str">
        <f t="shared" si="81"/>
        <v>[{1000,1,1,4201,101}]</v>
      </c>
    </row>
    <row r="1244" spans="1:9">
      <c r="A1244">
        <f t="shared" si="78"/>
        <v>9</v>
      </c>
      <c r="B1244">
        <v>9</v>
      </c>
      <c r="C1244" t="s">
        <v>67</v>
      </c>
      <c r="D1244" t="s">
        <v>33</v>
      </c>
      <c r="E1244">
        <f t="shared" si="80"/>
        <v>1</v>
      </c>
      <c r="F1244">
        <v>1</v>
      </c>
      <c r="G1244">
        <f t="shared" si="79"/>
        <v>4202</v>
      </c>
      <c r="H1244" t="s">
        <v>34</v>
      </c>
      <c r="I1244" t="str">
        <f t="shared" si="81"/>
        <v>[{1000,1,1,4202,101}]</v>
      </c>
    </row>
    <row r="1245" spans="1:9">
      <c r="A1245">
        <f t="shared" si="78"/>
        <v>10</v>
      </c>
      <c r="B1245">
        <v>10</v>
      </c>
      <c r="C1245" t="s">
        <v>67</v>
      </c>
      <c r="D1245" t="s">
        <v>33</v>
      </c>
      <c r="E1245">
        <f t="shared" si="80"/>
        <v>1</v>
      </c>
      <c r="F1245">
        <v>1</v>
      </c>
      <c r="G1245">
        <f t="shared" si="79"/>
        <v>4201</v>
      </c>
      <c r="H1245" t="s">
        <v>34</v>
      </c>
      <c r="I1245" t="str">
        <f t="shared" si="81"/>
        <v>[{1000,1,1,4201,101}]</v>
      </c>
    </row>
    <row r="1246" spans="1:9">
      <c r="A1246">
        <f t="shared" si="78"/>
        <v>10</v>
      </c>
      <c r="B1246">
        <v>10</v>
      </c>
      <c r="C1246" t="s">
        <v>67</v>
      </c>
      <c r="D1246" t="s">
        <v>33</v>
      </c>
      <c r="E1246">
        <f t="shared" si="80"/>
        <v>1</v>
      </c>
      <c r="F1246">
        <v>1</v>
      </c>
      <c r="G1246">
        <f t="shared" si="79"/>
        <v>4202</v>
      </c>
      <c r="H1246" t="s">
        <v>34</v>
      </c>
      <c r="I1246" t="str">
        <f t="shared" si="81"/>
        <v>[{1000,1,1,4202,101}]</v>
      </c>
    </row>
    <row r="1247" spans="1:9">
      <c r="A1247" t="str">
        <f t="shared" si="78"/>
        <v/>
      </c>
      <c r="B1247">
        <v>10</v>
      </c>
      <c r="C1247" t="s">
        <v>67</v>
      </c>
      <c r="D1247" s="11" t="s">
        <v>28</v>
      </c>
      <c r="E1247" t="str">
        <f t="shared" si="80"/>
        <v/>
      </c>
      <c r="G1247" t="str">
        <f t="shared" si="79"/>
        <v/>
      </c>
      <c r="I1247" t="str">
        <f t="shared" si="81"/>
        <v>[]</v>
      </c>
    </row>
    <row r="1248" spans="1:9">
      <c r="A1248">
        <f t="shared" si="78"/>
        <v>10</v>
      </c>
      <c r="B1248">
        <v>10</v>
      </c>
      <c r="C1248" t="s">
        <v>67</v>
      </c>
      <c r="D1248" t="s">
        <v>33</v>
      </c>
      <c r="E1248">
        <f t="shared" si="80"/>
        <v>1</v>
      </c>
      <c r="F1248">
        <v>0</v>
      </c>
      <c r="G1248">
        <f t="shared" si="79"/>
        <v>4221</v>
      </c>
      <c r="H1248" t="s">
        <v>37</v>
      </c>
      <c r="I1248" t="str">
        <f t="shared" si="81"/>
        <v>[{1000,1,0,4221,401}]</v>
      </c>
    </row>
    <row r="1249" spans="1:9">
      <c r="A1249">
        <f t="shared" si="78"/>
        <v>11</v>
      </c>
      <c r="B1249">
        <v>11</v>
      </c>
      <c r="C1249" t="s">
        <v>67</v>
      </c>
      <c r="D1249" t="s">
        <v>33</v>
      </c>
      <c r="E1249">
        <f t="shared" si="80"/>
        <v>1</v>
      </c>
      <c r="F1249">
        <v>1</v>
      </c>
      <c r="G1249">
        <f t="shared" si="79"/>
        <v>4201</v>
      </c>
      <c r="H1249" t="s">
        <v>34</v>
      </c>
      <c r="I1249" t="str">
        <f t="shared" si="81"/>
        <v>[{1000,1,1,4201,101}]</v>
      </c>
    </row>
    <row r="1250" spans="1:9">
      <c r="A1250">
        <f t="shared" si="78"/>
        <v>11</v>
      </c>
      <c r="B1250">
        <v>11</v>
      </c>
      <c r="C1250" t="s">
        <v>67</v>
      </c>
      <c r="D1250" t="s">
        <v>33</v>
      </c>
      <c r="E1250">
        <f t="shared" si="80"/>
        <v>1</v>
      </c>
      <c r="F1250">
        <v>1</v>
      </c>
      <c r="G1250">
        <f t="shared" si="79"/>
        <v>4202</v>
      </c>
      <c r="H1250" t="s">
        <v>34</v>
      </c>
      <c r="I1250" t="str">
        <f t="shared" si="81"/>
        <v>[{1000,1,1,4202,101}]</v>
      </c>
    </row>
    <row r="1251" spans="1:9">
      <c r="A1251">
        <f t="shared" si="78"/>
        <v>12</v>
      </c>
      <c r="B1251">
        <v>12</v>
      </c>
      <c r="C1251" t="s">
        <v>67</v>
      </c>
      <c r="D1251" t="s">
        <v>33</v>
      </c>
      <c r="E1251">
        <f t="shared" si="80"/>
        <v>1</v>
      </c>
      <c r="F1251">
        <v>1</v>
      </c>
      <c r="G1251">
        <f t="shared" si="79"/>
        <v>4201</v>
      </c>
      <c r="H1251" t="s">
        <v>34</v>
      </c>
      <c r="I1251" t="str">
        <f t="shared" si="81"/>
        <v>[{1000,1,1,4201,101}]</v>
      </c>
    </row>
    <row r="1252" spans="1:9">
      <c r="A1252">
        <f t="shared" ref="A1252:A1315" si="82">IF(E1252="","",B1252)</f>
        <v>12</v>
      </c>
      <c r="B1252">
        <v>12</v>
      </c>
      <c r="C1252" t="s">
        <v>67</v>
      </c>
      <c r="D1252" t="s">
        <v>33</v>
      </c>
      <c r="E1252">
        <f t="shared" si="80"/>
        <v>1</v>
      </c>
      <c r="F1252">
        <v>1</v>
      </c>
      <c r="G1252">
        <f t="shared" ref="G1252:G1277" si="83">IF(G1207="","",G1207+100)</f>
        <v>4202</v>
      </c>
      <c r="H1252" t="s">
        <v>34</v>
      </c>
      <c r="I1252" t="str">
        <f t="shared" si="81"/>
        <v>[{1000,1,1,4202,101}]</v>
      </c>
    </row>
    <row r="1253" spans="1:9">
      <c r="A1253">
        <f t="shared" si="82"/>
        <v>13</v>
      </c>
      <c r="B1253">
        <v>13</v>
      </c>
      <c r="C1253" t="s">
        <v>67</v>
      </c>
      <c r="D1253" t="s">
        <v>33</v>
      </c>
      <c r="E1253">
        <f t="shared" ref="E1253:E1316" si="84">IF(D1253="[]","",1)</f>
        <v>1</v>
      </c>
      <c r="F1253">
        <v>1</v>
      </c>
      <c r="G1253">
        <f t="shared" si="83"/>
        <v>4201</v>
      </c>
      <c r="H1253" t="s">
        <v>34</v>
      </c>
      <c r="I1253" t="str">
        <f t="shared" si="81"/>
        <v>[{1000,1,1,4201,101}]</v>
      </c>
    </row>
    <row r="1254" spans="1:9">
      <c r="A1254">
        <f t="shared" si="82"/>
        <v>13</v>
      </c>
      <c r="B1254">
        <v>13</v>
      </c>
      <c r="C1254" t="s">
        <v>67</v>
      </c>
      <c r="D1254" t="s">
        <v>33</v>
      </c>
      <c r="E1254">
        <f t="shared" si="84"/>
        <v>1</v>
      </c>
      <c r="F1254">
        <v>1</v>
      </c>
      <c r="G1254">
        <f t="shared" si="83"/>
        <v>4202</v>
      </c>
      <c r="H1254" t="s">
        <v>34</v>
      </c>
      <c r="I1254" t="str">
        <f t="shared" si="81"/>
        <v>[{1000,1,1,4202,101}]</v>
      </c>
    </row>
    <row r="1255" spans="1:9">
      <c r="A1255">
        <f t="shared" si="82"/>
        <v>14</v>
      </c>
      <c r="B1255">
        <v>14</v>
      </c>
      <c r="C1255" t="s">
        <v>67</v>
      </c>
      <c r="D1255" t="s">
        <v>33</v>
      </c>
      <c r="E1255">
        <f t="shared" si="84"/>
        <v>1</v>
      </c>
      <c r="F1255">
        <v>1</v>
      </c>
      <c r="G1255">
        <f t="shared" si="83"/>
        <v>4201</v>
      </c>
      <c r="H1255" t="s">
        <v>34</v>
      </c>
      <c r="I1255" t="str">
        <f t="shared" si="81"/>
        <v>[{1000,1,1,4201,101}]</v>
      </c>
    </row>
    <row r="1256" spans="1:9">
      <c r="A1256">
        <f t="shared" si="82"/>
        <v>14</v>
      </c>
      <c r="B1256">
        <v>14</v>
      </c>
      <c r="C1256" t="s">
        <v>67</v>
      </c>
      <c r="D1256" t="s">
        <v>33</v>
      </c>
      <c r="E1256">
        <f t="shared" si="84"/>
        <v>1</v>
      </c>
      <c r="F1256">
        <v>1</v>
      </c>
      <c r="G1256">
        <f t="shared" si="83"/>
        <v>4202</v>
      </c>
      <c r="H1256" t="s">
        <v>34</v>
      </c>
      <c r="I1256" t="str">
        <f t="shared" si="81"/>
        <v>[{1000,1,1,4202,101}]</v>
      </c>
    </row>
    <row r="1257" spans="1:9">
      <c r="A1257">
        <f t="shared" si="82"/>
        <v>14</v>
      </c>
      <c r="B1257">
        <v>14</v>
      </c>
      <c r="C1257" t="s">
        <v>67</v>
      </c>
      <c r="D1257" t="s">
        <v>33</v>
      </c>
      <c r="E1257">
        <f t="shared" si="84"/>
        <v>1</v>
      </c>
      <c r="F1257">
        <v>1</v>
      </c>
      <c r="G1257">
        <f t="shared" si="83"/>
        <v>4203</v>
      </c>
      <c r="H1257" t="s">
        <v>37</v>
      </c>
      <c r="I1257" t="str">
        <f t="shared" si="81"/>
        <v>[{1000,1,1,4203,401}]</v>
      </c>
    </row>
    <row r="1258" spans="1:9">
      <c r="A1258">
        <f t="shared" si="82"/>
        <v>15</v>
      </c>
      <c r="B1258">
        <v>15</v>
      </c>
      <c r="C1258" t="s">
        <v>67</v>
      </c>
      <c r="D1258" t="s">
        <v>33</v>
      </c>
      <c r="E1258">
        <f t="shared" si="84"/>
        <v>1</v>
      </c>
      <c r="F1258">
        <v>1</v>
      </c>
      <c r="G1258">
        <f t="shared" si="83"/>
        <v>4201</v>
      </c>
      <c r="H1258" t="s">
        <v>34</v>
      </c>
      <c r="I1258" t="str">
        <f t="shared" si="81"/>
        <v>[{1000,1,1,4201,101}]</v>
      </c>
    </row>
    <row r="1259" spans="1:9">
      <c r="A1259">
        <f t="shared" si="82"/>
        <v>15</v>
      </c>
      <c r="B1259">
        <v>15</v>
      </c>
      <c r="C1259" t="s">
        <v>67</v>
      </c>
      <c r="D1259" t="s">
        <v>33</v>
      </c>
      <c r="E1259">
        <f t="shared" si="84"/>
        <v>1</v>
      </c>
      <c r="F1259">
        <v>1</v>
      </c>
      <c r="G1259">
        <f t="shared" si="83"/>
        <v>4202</v>
      </c>
      <c r="H1259" t="s">
        <v>34</v>
      </c>
      <c r="I1259" t="str">
        <f t="shared" si="81"/>
        <v>[{1000,1,1,4202,101}]</v>
      </c>
    </row>
    <row r="1260" spans="1:9">
      <c r="A1260">
        <f t="shared" si="82"/>
        <v>15</v>
      </c>
      <c r="B1260">
        <v>15</v>
      </c>
      <c r="C1260" t="s">
        <v>67</v>
      </c>
      <c r="D1260" t="s">
        <v>33</v>
      </c>
      <c r="E1260">
        <f t="shared" si="84"/>
        <v>1</v>
      </c>
      <c r="F1260">
        <v>1</v>
      </c>
      <c r="G1260">
        <f t="shared" si="83"/>
        <v>4203</v>
      </c>
      <c r="H1260" t="s">
        <v>37</v>
      </c>
      <c r="I1260" t="str">
        <f t="shared" si="81"/>
        <v>[{1000,1,1,4203,401}]</v>
      </c>
    </row>
    <row r="1261" spans="1:9">
      <c r="A1261">
        <f t="shared" si="82"/>
        <v>16</v>
      </c>
      <c r="B1261">
        <v>16</v>
      </c>
      <c r="C1261" t="s">
        <v>67</v>
      </c>
      <c r="D1261" t="s">
        <v>33</v>
      </c>
      <c r="E1261">
        <f t="shared" si="84"/>
        <v>1</v>
      </c>
      <c r="F1261">
        <v>1</v>
      </c>
      <c r="G1261">
        <f t="shared" si="83"/>
        <v>4201</v>
      </c>
      <c r="H1261" t="s">
        <v>34</v>
      </c>
      <c r="I1261" t="str">
        <f t="shared" si="81"/>
        <v>[{1000,1,1,4201,101}]</v>
      </c>
    </row>
    <row r="1262" spans="1:9">
      <c r="A1262">
        <f t="shared" si="82"/>
        <v>16</v>
      </c>
      <c r="B1262">
        <v>16</v>
      </c>
      <c r="C1262" t="s">
        <v>67</v>
      </c>
      <c r="D1262" t="s">
        <v>33</v>
      </c>
      <c r="E1262">
        <f t="shared" si="84"/>
        <v>1</v>
      </c>
      <c r="F1262">
        <v>1</v>
      </c>
      <c r="G1262">
        <f t="shared" si="83"/>
        <v>4202</v>
      </c>
      <c r="H1262" t="s">
        <v>34</v>
      </c>
      <c r="I1262" t="str">
        <f t="shared" si="81"/>
        <v>[{1000,1,1,4202,101}]</v>
      </c>
    </row>
    <row r="1263" spans="1:9">
      <c r="A1263">
        <f t="shared" si="82"/>
        <v>16</v>
      </c>
      <c r="B1263">
        <v>16</v>
      </c>
      <c r="C1263" t="s">
        <v>67</v>
      </c>
      <c r="D1263" t="s">
        <v>33</v>
      </c>
      <c r="E1263">
        <f t="shared" si="84"/>
        <v>1</v>
      </c>
      <c r="F1263">
        <v>1</v>
      </c>
      <c r="G1263">
        <f t="shared" si="83"/>
        <v>4203</v>
      </c>
      <c r="H1263" t="s">
        <v>37</v>
      </c>
      <c r="I1263" t="str">
        <f t="shared" si="81"/>
        <v>[{1000,1,1,4203,401}]</v>
      </c>
    </row>
    <row r="1264" spans="1:9">
      <c r="A1264">
        <f t="shared" si="82"/>
        <v>17</v>
      </c>
      <c r="B1264">
        <v>17</v>
      </c>
      <c r="C1264" t="s">
        <v>67</v>
      </c>
      <c r="D1264" t="s">
        <v>33</v>
      </c>
      <c r="E1264">
        <f t="shared" si="84"/>
        <v>1</v>
      </c>
      <c r="F1264">
        <v>1</v>
      </c>
      <c r="G1264">
        <f t="shared" si="83"/>
        <v>4201</v>
      </c>
      <c r="H1264" t="s">
        <v>34</v>
      </c>
      <c r="I1264" t="str">
        <f t="shared" si="81"/>
        <v>[{1000,1,1,4201,101}]</v>
      </c>
    </row>
    <row r="1265" spans="1:9">
      <c r="A1265">
        <f t="shared" si="82"/>
        <v>17</v>
      </c>
      <c r="B1265">
        <v>17</v>
      </c>
      <c r="C1265" t="s">
        <v>67</v>
      </c>
      <c r="D1265" t="s">
        <v>33</v>
      </c>
      <c r="E1265">
        <f t="shared" si="84"/>
        <v>1</v>
      </c>
      <c r="F1265">
        <v>1</v>
      </c>
      <c r="G1265">
        <f t="shared" si="83"/>
        <v>4202</v>
      </c>
      <c r="H1265" t="s">
        <v>34</v>
      </c>
      <c r="I1265" t="str">
        <f t="shared" si="81"/>
        <v>[{1000,1,1,4202,101}]</v>
      </c>
    </row>
    <row r="1266" spans="1:9">
      <c r="A1266">
        <f t="shared" si="82"/>
        <v>17</v>
      </c>
      <c r="B1266">
        <v>17</v>
      </c>
      <c r="C1266" t="s">
        <v>67</v>
      </c>
      <c r="D1266" t="s">
        <v>33</v>
      </c>
      <c r="E1266">
        <f t="shared" si="84"/>
        <v>1</v>
      </c>
      <c r="F1266">
        <v>1</v>
      </c>
      <c r="G1266">
        <f t="shared" si="83"/>
        <v>4203</v>
      </c>
      <c r="H1266" t="s">
        <v>37</v>
      </c>
      <c r="I1266" t="str">
        <f t="shared" si="81"/>
        <v>[{1000,1,1,4203,401}]</v>
      </c>
    </row>
    <row r="1267" spans="1:9">
      <c r="A1267">
        <f t="shared" si="82"/>
        <v>18</v>
      </c>
      <c r="B1267">
        <v>18</v>
      </c>
      <c r="C1267" t="s">
        <v>67</v>
      </c>
      <c r="D1267" t="s">
        <v>33</v>
      </c>
      <c r="E1267">
        <f t="shared" si="84"/>
        <v>1</v>
      </c>
      <c r="F1267">
        <v>1</v>
      </c>
      <c r="G1267">
        <f t="shared" si="83"/>
        <v>4201</v>
      </c>
      <c r="H1267" t="s">
        <v>34</v>
      </c>
      <c r="I1267" t="str">
        <f t="shared" si="81"/>
        <v>[{1000,1,1,4201,101}]</v>
      </c>
    </row>
    <row r="1268" spans="1:9">
      <c r="A1268">
        <f t="shared" si="82"/>
        <v>18</v>
      </c>
      <c r="B1268">
        <v>18</v>
      </c>
      <c r="C1268" t="s">
        <v>67</v>
      </c>
      <c r="D1268" t="s">
        <v>33</v>
      </c>
      <c r="E1268">
        <f t="shared" si="84"/>
        <v>1</v>
      </c>
      <c r="F1268">
        <v>1</v>
      </c>
      <c r="G1268">
        <f t="shared" si="83"/>
        <v>4202</v>
      </c>
      <c r="H1268" t="s">
        <v>34</v>
      </c>
      <c r="I1268" t="str">
        <f t="shared" si="81"/>
        <v>[{1000,1,1,4202,101}]</v>
      </c>
    </row>
    <row r="1269" spans="1:9">
      <c r="A1269">
        <f t="shared" si="82"/>
        <v>18</v>
      </c>
      <c r="B1269">
        <v>18</v>
      </c>
      <c r="C1269" t="s">
        <v>67</v>
      </c>
      <c r="D1269" t="s">
        <v>33</v>
      </c>
      <c r="E1269">
        <f t="shared" si="84"/>
        <v>1</v>
      </c>
      <c r="F1269">
        <v>1</v>
      </c>
      <c r="G1269">
        <f t="shared" si="83"/>
        <v>4203</v>
      </c>
      <c r="H1269" t="s">
        <v>37</v>
      </c>
      <c r="I1269" t="str">
        <f t="shared" si="81"/>
        <v>[{1000,1,1,4203,401}]</v>
      </c>
    </row>
    <row r="1270" spans="1:9">
      <c r="A1270">
        <f t="shared" si="82"/>
        <v>19</v>
      </c>
      <c r="B1270">
        <v>19</v>
      </c>
      <c r="C1270" t="s">
        <v>67</v>
      </c>
      <c r="D1270" t="s">
        <v>33</v>
      </c>
      <c r="E1270">
        <f t="shared" si="84"/>
        <v>1</v>
      </c>
      <c r="F1270">
        <v>1</v>
      </c>
      <c r="G1270">
        <f t="shared" si="83"/>
        <v>4201</v>
      </c>
      <c r="H1270" t="s">
        <v>34</v>
      </c>
      <c r="I1270" t="str">
        <f t="shared" si="81"/>
        <v>[{1000,1,1,4201,101}]</v>
      </c>
    </row>
    <row r="1271" spans="1:9">
      <c r="A1271">
        <f t="shared" si="82"/>
        <v>19</v>
      </c>
      <c r="B1271">
        <v>19</v>
      </c>
      <c r="C1271" t="s">
        <v>67</v>
      </c>
      <c r="D1271" t="s">
        <v>33</v>
      </c>
      <c r="E1271">
        <f t="shared" si="84"/>
        <v>1</v>
      </c>
      <c r="F1271">
        <v>1</v>
      </c>
      <c r="G1271">
        <f t="shared" si="83"/>
        <v>4202</v>
      </c>
      <c r="H1271" t="s">
        <v>34</v>
      </c>
      <c r="I1271" t="str">
        <f t="shared" si="81"/>
        <v>[{1000,1,1,4202,101}]</v>
      </c>
    </row>
    <row r="1272" spans="1:9">
      <c r="A1272">
        <f t="shared" si="82"/>
        <v>19</v>
      </c>
      <c r="B1272">
        <v>19</v>
      </c>
      <c r="C1272" t="s">
        <v>67</v>
      </c>
      <c r="D1272" t="s">
        <v>33</v>
      </c>
      <c r="E1272">
        <f t="shared" si="84"/>
        <v>1</v>
      </c>
      <c r="F1272">
        <v>1</v>
      </c>
      <c r="G1272">
        <f t="shared" si="83"/>
        <v>4203</v>
      </c>
      <c r="H1272" t="s">
        <v>37</v>
      </c>
      <c r="I1272" t="str">
        <f t="shared" si="81"/>
        <v>[{1000,1,1,4203,401}]</v>
      </c>
    </row>
    <row r="1273" spans="1:9">
      <c r="A1273">
        <f t="shared" si="82"/>
        <v>20</v>
      </c>
      <c r="B1273">
        <v>20</v>
      </c>
      <c r="C1273" t="s">
        <v>67</v>
      </c>
      <c r="D1273" t="s">
        <v>33</v>
      </c>
      <c r="E1273">
        <f t="shared" si="84"/>
        <v>1</v>
      </c>
      <c r="F1273">
        <v>1</v>
      </c>
      <c r="G1273">
        <f t="shared" si="83"/>
        <v>4201</v>
      </c>
      <c r="H1273" t="s">
        <v>34</v>
      </c>
      <c r="I1273" t="str">
        <f t="shared" si="81"/>
        <v>[{1000,1,1,4201,101}]</v>
      </c>
    </row>
    <row r="1274" spans="1:9">
      <c r="A1274">
        <f t="shared" si="82"/>
        <v>20</v>
      </c>
      <c r="B1274">
        <v>20</v>
      </c>
      <c r="C1274" t="s">
        <v>67</v>
      </c>
      <c r="D1274" t="s">
        <v>33</v>
      </c>
      <c r="E1274">
        <f t="shared" si="84"/>
        <v>1</v>
      </c>
      <c r="F1274">
        <v>1</v>
      </c>
      <c r="G1274">
        <f t="shared" si="83"/>
        <v>4202</v>
      </c>
      <c r="H1274" t="s">
        <v>34</v>
      </c>
      <c r="I1274" t="str">
        <f t="shared" si="81"/>
        <v>[{1000,1,1,4202,101}]</v>
      </c>
    </row>
    <row r="1275" spans="1:9">
      <c r="A1275">
        <f t="shared" si="82"/>
        <v>20</v>
      </c>
      <c r="B1275">
        <v>20</v>
      </c>
      <c r="C1275" t="s">
        <v>67</v>
      </c>
      <c r="D1275" s="11" t="s">
        <v>33</v>
      </c>
      <c r="E1275">
        <f t="shared" si="84"/>
        <v>1</v>
      </c>
      <c r="F1275">
        <v>1</v>
      </c>
      <c r="G1275">
        <f t="shared" si="83"/>
        <v>4203</v>
      </c>
      <c r="H1275" t="s">
        <v>37</v>
      </c>
      <c r="I1275" t="str">
        <f t="shared" si="81"/>
        <v>[{1000,1,1,4203,401}]</v>
      </c>
    </row>
    <row r="1276" spans="1:9">
      <c r="A1276" t="str">
        <f t="shared" si="82"/>
        <v/>
      </c>
      <c r="B1276">
        <v>20</v>
      </c>
      <c r="C1276" t="s">
        <v>67</v>
      </c>
      <c r="D1276" s="11" t="s">
        <v>28</v>
      </c>
      <c r="E1276" t="str">
        <f t="shared" si="84"/>
        <v/>
      </c>
      <c r="G1276" t="str">
        <f t="shared" si="83"/>
        <v/>
      </c>
      <c r="I1276" t="str">
        <f t="shared" si="81"/>
        <v>[]</v>
      </c>
    </row>
    <row r="1277" spans="1:9">
      <c r="A1277">
        <f t="shared" si="82"/>
        <v>20</v>
      </c>
      <c r="B1277">
        <v>20</v>
      </c>
      <c r="C1277" t="s">
        <v>67</v>
      </c>
      <c r="D1277" s="11" t="s">
        <v>33</v>
      </c>
      <c r="E1277">
        <f t="shared" si="84"/>
        <v>1</v>
      </c>
      <c r="F1277">
        <v>0</v>
      </c>
      <c r="G1277">
        <f t="shared" si="83"/>
        <v>4231</v>
      </c>
      <c r="H1277" t="s">
        <v>37</v>
      </c>
      <c r="I1277" t="str">
        <f t="shared" si="81"/>
        <v>[{1000,1,0,4231,401}]</v>
      </c>
    </row>
    <row r="1278" spans="1:9">
      <c r="A1278">
        <f t="shared" si="82"/>
        <v>1</v>
      </c>
      <c r="B1278">
        <v>1</v>
      </c>
      <c r="C1278" t="s">
        <v>68</v>
      </c>
      <c r="D1278" t="s">
        <v>33</v>
      </c>
      <c r="E1278">
        <f t="shared" si="84"/>
        <v>1</v>
      </c>
      <c r="F1278">
        <v>1</v>
      </c>
      <c r="G1278">
        <v>4301</v>
      </c>
      <c r="H1278" t="s">
        <v>34</v>
      </c>
      <c r="I1278" t="str">
        <f t="shared" si="81"/>
        <v>[{1000,1,1,4301,101}]</v>
      </c>
    </row>
    <row r="1279" spans="1:9">
      <c r="A1279">
        <f t="shared" si="82"/>
        <v>2</v>
      </c>
      <c r="B1279">
        <v>2</v>
      </c>
      <c r="C1279" t="s">
        <v>68</v>
      </c>
      <c r="D1279" t="s">
        <v>33</v>
      </c>
      <c r="E1279">
        <f t="shared" si="84"/>
        <v>1</v>
      </c>
      <c r="F1279">
        <v>1</v>
      </c>
      <c r="G1279">
        <v>4301</v>
      </c>
      <c r="H1279" t="s">
        <v>34</v>
      </c>
      <c r="I1279" t="str">
        <f t="shared" si="81"/>
        <v>[{1000,1,1,4301,101}]</v>
      </c>
    </row>
    <row r="1280" spans="1:9">
      <c r="A1280">
        <f t="shared" si="82"/>
        <v>3</v>
      </c>
      <c r="B1280">
        <v>3</v>
      </c>
      <c r="C1280" t="s">
        <v>68</v>
      </c>
      <c r="D1280" t="s">
        <v>33</v>
      </c>
      <c r="E1280">
        <f t="shared" si="84"/>
        <v>1</v>
      </c>
      <c r="F1280">
        <v>1</v>
      </c>
      <c r="G1280">
        <v>4301</v>
      </c>
      <c r="H1280" t="s">
        <v>34</v>
      </c>
      <c r="I1280" t="str">
        <f t="shared" si="81"/>
        <v>[{1000,1,1,4301,101}]</v>
      </c>
    </row>
    <row r="1281" spans="1:9">
      <c r="A1281">
        <f t="shared" si="82"/>
        <v>4</v>
      </c>
      <c r="B1281">
        <v>4</v>
      </c>
      <c r="C1281" t="s">
        <v>68</v>
      </c>
      <c r="D1281" t="s">
        <v>33</v>
      </c>
      <c r="E1281">
        <f t="shared" si="84"/>
        <v>1</v>
      </c>
      <c r="F1281">
        <v>1</v>
      </c>
      <c r="G1281">
        <v>4301</v>
      </c>
      <c r="H1281" t="s">
        <v>34</v>
      </c>
      <c r="I1281" t="str">
        <f t="shared" si="81"/>
        <v>[{1000,1,1,4301,101}]</v>
      </c>
    </row>
    <row r="1282" spans="1:9">
      <c r="A1282">
        <f t="shared" si="82"/>
        <v>5</v>
      </c>
      <c r="B1282">
        <v>5</v>
      </c>
      <c r="C1282" t="s">
        <v>68</v>
      </c>
      <c r="D1282" t="s">
        <v>33</v>
      </c>
      <c r="E1282">
        <f t="shared" si="84"/>
        <v>1</v>
      </c>
      <c r="F1282">
        <v>1</v>
      </c>
      <c r="G1282">
        <v>4301</v>
      </c>
      <c r="H1282" t="s">
        <v>34</v>
      </c>
      <c r="I1282" t="str">
        <f t="shared" si="81"/>
        <v>[{1000,1,1,4301,101}]</v>
      </c>
    </row>
    <row r="1283" spans="1:9">
      <c r="A1283">
        <f t="shared" si="82"/>
        <v>6</v>
      </c>
      <c r="B1283">
        <v>6</v>
      </c>
      <c r="C1283" t="s">
        <v>68</v>
      </c>
      <c r="D1283" t="s">
        <v>33</v>
      </c>
      <c r="E1283">
        <f t="shared" si="84"/>
        <v>1</v>
      </c>
      <c r="F1283">
        <v>1</v>
      </c>
      <c r="G1283">
        <v>4301</v>
      </c>
      <c r="H1283" t="s">
        <v>34</v>
      </c>
      <c r="I1283" t="str">
        <f t="shared" si="81"/>
        <v>[{1000,1,1,4301,101}]</v>
      </c>
    </row>
    <row r="1284" spans="1:9">
      <c r="A1284">
        <f t="shared" si="82"/>
        <v>7</v>
      </c>
      <c r="B1284">
        <v>7</v>
      </c>
      <c r="C1284" t="s">
        <v>68</v>
      </c>
      <c r="D1284" t="s">
        <v>33</v>
      </c>
      <c r="E1284">
        <f t="shared" si="84"/>
        <v>1</v>
      </c>
      <c r="F1284">
        <v>1</v>
      </c>
      <c r="G1284">
        <v>4301</v>
      </c>
      <c r="H1284" t="s">
        <v>34</v>
      </c>
      <c r="I1284" t="str">
        <f t="shared" si="81"/>
        <v>[{1000,1,1,4301,101}]</v>
      </c>
    </row>
    <row r="1285" spans="1:9">
      <c r="A1285">
        <f t="shared" si="82"/>
        <v>7</v>
      </c>
      <c r="B1285">
        <v>7</v>
      </c>
      <c r="C1285" t="s">
        <v>68</v>
      </c>
      <c r="D1285" t="s">
        <v>33</v>
      </c>
      <c r="E1285">
        <f t="shared" si="84"/>
        <v>1</v>
      </c>
      <c r="F1285">
        <v>1</v>
      </c>
      <c r="G1285">
        <v>4303</v>
      </c>
      <c r="H1285" t="s">
        <v>34</v>
      </c>
      <c r="I1285" t="str">
        <f t="shared" si="81"/>
        <v>[{1000,1,1,4303,101}]</v>
      </c>
    </row>
    <row r="1286" spans="1:9">
      <c r="A1286">
        <f t="shared" si="82"/>
        <v>8</v>
      </c>
      <c r="B1286">
        <v>8</v>
      </c>
      <c r="C1286" t="s">
        <v>68</v>
      </c>
      <c r="D1286" t="s">
        <v>33</v>
      </c>
      <c r="E1286">
        <f t="shared" si="84"/>
        <v>1</v>
      </c>
      <c r="F1286">
        <v>1</v>
      </c>
      <c r="G1286">
        <v>4301</v>
      </c>
      <c r="H1286" t="s">
        <v>34</v>
      </c>
      <c r="I1286" t="str">
        <f t="shared" si="81"/>
        <v>[{1000,1,1,4301,101}]</v>
      </c>
    </row>
    <row r="1287" spans="1:9">
      <c r="A1287">
        <f t="shared" si="82"/>
        <v>8</v>
      </c>
      <c r="B1287">
        <v>8</v>
      </c>
      <c r="C1287" t="s">
        <v>68</v>
      </c>
      <c r="D1287" t="s">
        <v>33</v>
      </c>
      <c r="E1287">
        <f t="shared" si="84"/>
        <v>1</v>
      </c>
      <c r="F1287">
        <v>1</v>
      </c>
      <c r="G1287">
        <v>4303</v>
      </c>
      <c r="H1287" t="s">
        <v>34</v>
      </c>
      <c r="I1287" t="str">
        <f t="shared" si="81"/>
        <v>[{1000,1,1,4303,101}]</v>
      </c>
    </row>
    <row r="1288" spans="1:9">
      <c r="A1288">
        <f t="shared" si="82"/>
        <v>9</v>
      </c>
      <c r="B1288">
        <v>9</v>
      </c>
      <c r="C1288" t="s">
        <v>68</v>
      </c>
      <c r="D1288" t="s">
        <v>33</v>
      </c>
      <c r="E1288">
        <f t="shared" si="84"/>
        <v>1</v>
      </c>
      <c r="F1288">
        <v>1</v>
      </c>
      <c r="G1288">
        <v>4301</v>
      </c>
      <c r="H1288" t="s">
        <v>34</v>
      </c>
      <c r="I1288" t="str">
        <f t="shared" si="81"/>
        <v>[{1000,1,1,4301,101}]</v>
      </c>
    </row>
    <row r="1289" spans="1:9">
      <c r="A1289">
        <f t="shared" si="82"/>
        <v>9</v>
      </c>
      <c r="B1289">
        <v>9</v>
      </c>
      <c r="C1289" t="s">
        <v>68</v>
      </c>
      <c r="D1289" t="s">
        <v>33</v>
      </c>
      <c r="E1289">
        <f t="shared" si="84"/>
        <v>1</v>
      </c>
      <c r="F1289">
        <v>1</v>
      </c>
      <c r="G1289">
        <v>4303</v>
      </c>
      <c r="H1289" t="s">
        <v>34</v>
      </c>
      <c r="I1289" t="str">
        <f t="shared" si="81"/>
        <v>[{1000,1,1,4303,101}]</v>
      </c>
    </row>
    <row r="1290" spans="1:9">
      <c r="A1290">
        <f t="shared" si="82"/>
        <v>10</v>
      </c>
      <c r="B1290">
        <v>10</v>
      </c>
      <c r="C1290" t="s">
        <v>68</v>
      </c>
      <c r="D1290" t="s">
        <v>33</v>
      </c>
      <c r="E1290">
        <f t="shared" si="84"/>
        <v>1</v>
      </c>
      <c r="F1290">
        <v>1</v>
      </c>
      <c r="G1290">
        <v>4301</v>
      </c>
      <c r="H1290" t="s">
        <v>34</v>
      </c>
      <c r="I1290" t="str">
        <f t="shared" ref="I1290:I1353" si="85">_xlfn.TEXTJOIN(",",1,D1290:H1290)</f>
        <v>[{1000,1,1,4301,101}]</v>
      </c>
    </row>
    <row r="1291" spans="1:9">
      <c r="A1291">
        <f t="shared" si="82"/>
        <v>10</v>
      </c>
      <c r="B1291">
        <v>10</v>
      </c>
      <c r="C1291" t="s">
        <v>68</v>
      </c>
      <c r="D1291" t="s">
        <v>33</v>
      </c>
      <c r="E1291">
        <f t="shared" si="84"/>
        <v>1</v>
      </c>
      <c r="F1291">
        <v>1</v>
      </c>
      <c r="G1291">
        <v>4303</v>
      </c>
      <c r="H1291" t="s">
        <v>34</v>
      </c>
      <c r="I1291" t="str">
        <f t="shared" si="85"/>
        <v>[{1000,1,1,4303,101}]</v>
      </c>
    </row>
    <row r="1292" spans="1:9">
      <c r="A1292" t="str">
        <f t="shared" si="82"/>
        <v/>
      </c>
      <c r="B1292">
        <v>10</v>
      </c>
      <c r="C1292" t="s">
        <v>68</v>
      </c>
      <c r="D1292" t="s">
        <v>28</v>
      </c>
      <c r="E1292" t="str">
        <f t="shared" si="84"/>
        <v/>
      </c>
      <c r="I1292" t="str">
        <f t="shared" si="85"/>
        <v>[]</v>
      </c>
    </row>
    <row r="1293" spans="1:9">
      <c r="A1293">
        <f t="shared" si="82"/>
        <v>10</v>
      </c>
      <c r="B1293">
        <v>10</v>
      </c>
      <c r="C1293" t="s">
        <v>68</v>
      </c>
      <c r="D1293" t="s">
        <v>33</v>
      </c>
      <c r="E1293">
        <f t="shared" si="84"/>
        <v>1</v>
      </c>
      <c r="F1293">
        <v>0</v>
      </c>
      <c r="G1293">
        <v>4321</v>
      </c>
      <c r="H1293" t="s">
        <v>36</v>
      </c>
      <c r="I1293" t="str">
        <f t="shared" si="85"/>
        <v>[{1000,1,0,4321,41}]</v>
      </c>
    </row>
    <row r="1294" spans="1:9">
      <c r="A1294">
        <f t="shared" si="82"/>
        <v>11</v>
      </c>
      <c r="B1294">
        <v>11</v>
      </c>
      <c r="C1294" t="s">
        <v>68</v>
      </c>
      <c r="D1294" t="s">
        <v>33</v>
      </c>
      <c r="E1294">
        <f t="shared" si="84"/>
        <v>1</v>
      </c>
      <c r="F1294">
        <v>1</v>
      </c>
      <c r="G1294">
        <v>4301</v>
      </c>
      <c r="H1294" t="s">
        <v>34</v>
      </c>
      <c r="I1294" t="str">
        <f t="shared" si="85"/>
        <v>[{1000,1,1,4301,101}]</v>
      </c>
    </row>
    <row r="1295" spans="1:9">
      <c r="A1295">
        <f t="shared" si="82"/>
        <v>11</v>
      </c>
      <c r="B1295">
        <v>11</v>
      </c>
      <c r="C1295" t="s">
        <v>68</v>
      </c>
      <c r="D1295" t="s">
        <v>33</v>
      </c>
      <c r="E1295">
        <f t="shared" si="84"/>
        <v>1</v>
      </c>
      <c r="F1295">
        <v>1</v>
      </c>
      <c r="G1295">
        <v>4303</v>
      </c>
      <c r="H1295" t="s">
        <v>34</v>
      </c>
      <c r="I1295" t="str">
        <f t="shared" si="85"/>
        <v>[{1000,1,1,4303,101}]</v>
      </c>
    </row>
    <row r="1296" spans="1:9">
      <c r="A1296">
        <f t="shared" si="82"/>
        <v>12</v>
      </c>
      <c r="B1296">
        <v>12</v>
      </c>
      <c r="C1296" t="s">
        <v>68</v>
      </c>
      <c r="D1296" t="s">
        <v>33</v>
      </c>
      <c r="E1296">
        <f t="shared" si="84"/>
        <v>1</v>
      </c>
      <c r="F1296">
        <v>1</v>
      </c>
      <c r="G1296">
        <v>4301</v>
      </c>
      <c r="H1296" t="s">
        <v>34</v>
      </c>
      <c r="I1296" t="str">
        <f t="shared" si="85"/>
        <v>[{1000,1,1,4301,101}]</v>
      </c>
    </row>
    <row r="1297" spans="1:9">
      <c r="A1297">
        <f t="shared" si="82"/>
        <v>12</v>
      </c>
      <c r="B1297">
        <v>12</v>
      </c>
      <c r="C1297" t="s">
        <v>68</v>
      </c>
      <c r="D1297" t="s">
        <v>33</v>
      </c>
      <c r="E1297">
        <f t="shared" si="84"/>
        <v>1</v>
      </c>
      <c r="F1297">
        <v>1</v>
      </c>
      <c r="G1297">
        <v>4303</v>
      </c>
      <c r="H1297" t="s">
        <v>34</v>
      </c>
      <c r="I1297" t="str">
        <f t="shared" si="85"/>
        <v>[{1000,1,1,4303,101}]</v>
      </c>
    </row>
    <row r="1298" spans="1:9">
      <c r="A1298">
        <f t="shared" si="82"/>
        <v>13</v>
      </c>
      <c r="B1298">
        <v>13</v>
      </c>
      <c r="C1298" t="s">
        <v>68</v>
      </c>
      <c r="D1298" t="s">
        <v>33</v>
      </c>
      <c r="E1298">
        <f t="shared" si="84"/>
        <v>1</v>
      </c>
      <c r="F1298">
        <v>1</v>
      </c>
      <c r="G1298">
        <v>4301</v>
      </c>
      <c r="H1298" t="s">
        <v>34</v>
      </c>
      <c r="I1298" t="str">
        <f t="shared" si="85"/>
        <v>[{1000,1,1,4301,101}]</v>
      </c>
    </row>
    <row r="1299" spans="1:9">
      <c r="A1299">
        <f t="shared" si="82"/>
        <v>13</v>
      </c>
      <c r="B1299">
        <v>13</v>
      </c>
      <c r="C1299" t="s">
        <v>68</v>
      </c>
      <c r="D1299" t="s">
        <v>33</v>
      </c>
      <c r="E1299">
        <f t="shared" si="84"/>
        <v>1</v>
      </c>
      <c r="F1299">
        <v>1</v>
      </c>
      <c r="G1299">
        <v>4303</v>
      </c>
      <c r="H1299" t="s">
        <v>34</v>
      </c>
      <c r="I1299" t="str">
        <f t="shared" si="85"/>
        <v>[{1000,1,1,4303,101}]</v>
      </c>
    </row>
    <row r="1300" spans="1:9">
      <c r="A1300">
        <f t="shared" si="82"/>
        <v>14</v>
      </c>
      <c r="B1300">
        <v>14</v>
      </c>
      <c r="C1300" t="s">
        <v>68</v>
      </c>
      <c r="D1300" t="s">
        <v>33</v>
      </c>
      <c r="E1300">
        <f t="shared" si="84"/>
        <v>1</v>
      </c>
      <c r="F1300">
        <v>1</v>
      </c>
      <c r="G1300">
        <v>4301</v>
      </c>
      <c r="H1300" t="s">
        <v>34</v>
      </c>
      <c r="I1300" t="str">
        <f t="shared" si="85"/>
        <v>[{1000,1,1,4301,101}]</v>
      </c>
    </row>
    <row r="1301" spans="1:9">
      <c r="A1301">
        <f t="shared" si="82"/>
        <v>14</v>
      </c>
      <c r="B1301">
        <v>14</v>
      </c>
      <c r="C1301" t="s">
        <v>68</v>
      </c>
      <c r="D1301" t="s">
        <v>33</v>
      </c>
      <c r="E1301">
        <f t="shared" si="84"/>
        <v>1</v>
      </c>
      <c r="F1301">
        <v>1</v>
      </c>
      <c r="G1301">
        <v>4303</v>
      </c>
      <c r="H1301" t="s">
        <v>34</v>
      </c>
      <c r="I1301" t="str">
        <f t="shared" si="85"/>
        <v>[{1000,1,1,4303,101}]</v>
      </c>
    </row>
    <row r="1302" spans="1:9">
      <c r="A1302">
        <f t="shared" si="82"/>
        <v>15</v>
      </c>
      <c r="B1302">
        <v>15</v>
      </c>
      <c r="C1302" t="s">
        <v>68</v>
      </c>
      <c r="D1302" t="s">
        <v>33</v>
      </c>
      <c r="E1302">
        <f t="shared" si="84"/>
        <v>1</v>
      </c>
      <c r="F1302">
        <v>1</v>
      </c>
      <c r="G1302">
        <v>4301</v>
      </c>
      <c r="H1302" t="s">
        <v>34</v>
      </c>
      <c r="I1302" t="str">
        <f t="shared" si="85"/>
        <v>[{1000,1,1,4301,101}]</v>
      </c>
    </row>
    <row r="1303" spans="1:9">
      <c r="A1303">
        <f t="shared" si="82"/>
        <v>15</v>
      </c>
      <c r="B1303">
        <v>15</v>
      </c>
      <c r="C1303" t="s">
        <v>68</v>
      </c>
      <c r="D1303" t="s">
        <v>33</v>
      </c>
      <c r="E1303">
        <f t="shared" si="84"/>
        <v>1</v>
      </c>
      <c r="F1303">
        <v>1</v>
      </c>
      <c r="G1303">
        <v>4303</v>
      </c>
      <c r="H1303" t="s">
        <v>34</v>
      </c>
      <c r="I1303" t="str">
        <f t="shared" si="85"/>
        <v>[{1000,1,1,4303,101}]</v>
      </c>
    </row>
    <row r="1304" spans="1:9">
      <c r="A1304">
        <f t="shared" si="82"/>
        <v>16</v>
      </c>
      <c r="B1304">
        <v>16</v>
      </c>
      <c r="C1304" t="s">
        <v>68</v>
      </c>
      <c r="D1304" t="s">
        <v>33</v>
      </c>
      <c r="E1304">
        <f t="shared" si="84"/>
        <v>1</v>
      </c>
      <c r="F1304">
        <v>1</v>
      </c>
      <c r="G1304">
        <v>4301</v>
      </c>
      <c r="H1304" t="s">
        <v>34</v>
      </c>
      <c r="I1304" t="str">
        <f t="shared" si="85"/>
        <v>[{1000,1,1,4301,101}]</v>
      </c>
    </row>
    <row r="1305" spans="1:9">
      <c r="A1305">
        <f t="shared" si="82"/>
        <v>16</v>
      </c>
      <c r="B1305">
        <v>16</v>
      </c>
      <c r="C1305" t="s">
        <v>68</v>
      </c>
      <c r="D1305" t="s">
        <v>33</v>
      </c>
      <c r="E1305">
        <f t="shared" si="84"/>
        <v>1</v>
      </c>
      <c r="F1305">
        <v>1</v>
      </c>
      <c r="G1305">
        <v>4303</v>
      </c>
      <c r="H1305" t="s">
        <v>34</v>
      </c>
      <c r="I1305" t="str">
        <f t="shared" si="85"/>
        <v>[{1000,1,1,4303,101}]</v>
      </c>
    </row>
    <row r="1306" spans="1:9">
      <c r="A1306">
        <f t="shared" si="82"/>
        <v>17</v>
      </c>
      <c r="B1306">
        <v>17</v>
      </c>
      <c r="C1306" t="s">
        <v>68</v>
      </c>
      <c r="D1306" t="s">
        <v>33</v>
      </c>
      <c r="E1306">
        <f t="shared" si="84"/>
        <v>1</v>
      </c>
      <c r="F1306">
        <v>1</v>
      </c>
      <c r="G1306">
        <v>4301</v>
      </c>
      <c r="H1306" t="s">
        <v>34</v>
      </c>
      <c r="I1306" t="str">
        <f t="shared" si="85"/>
        <v>[{1000,1,1,4301,101}]</v>
      </c>
    </row>
    <row r="1307" spans="1:9">
      <c r="A1307">
        <f t="shared" si="82"/>
        <v>17</v>
      </c>
      <c r="B1307">
        <v>17</v>
      </c>
      <c r="C1307" t="s">
        <v>68</v>
      </c>
      <c r="D1307" t="s">
        <v>33</v>
      </c>
      <c r="E1307">
        <f t="shared" si="84"/>
        <v>1</v>
      </c>
      <c r="F1307">
        <v>1</v>
      </c>
      <c r="G1307">
        <v>4303</v>
      </c>
      <c r="H1307" t="s">
        <v>34</v>
      </c>
      <c r="I1307" t="str">
        <f t="shared" si="85"/>
        <v>[{1000,1,1,4303,101}]</v>
      </c>
    </row>
    <row r="1308" spans="1:9">
      <c r="A1308">
        <f t="shared" si="82"/>
        <v>18</v>
      </c>
      <c r="B1308">
        <v>18</v>
      </c>
      <c r="C1308" t="s">
        <v>68</v>
      </c>
      <c r="D1308" t="s">
        <v>33</v>
      </c>
      <c r="E1308">
        <f t="shared" si="84"/>
        <v>1</v>
      </c>
      <c r="F1308">
        <v>1</v>
      </c>
      <c r="G1308">
        <v>4301</v>
      </c>
      <c r="H1308" t="s">
        <v>34</v>
      </c>
      <c r="I1308" t="str">
        <f t="shared" si="85"/>
        <v>[{1000,1,1,4301,101}]</v>
      </c>
    </row>
    <row r="1309" spans="1:9">
      <c r="A1309">
        <f t="shared" si="82"/>
        <v>18</v>
      </c>
      <c r="B1309">
        <v>18</v>
      </c>
      <c r="C1309" t="s">
        <v>68</v>
      </c>
      <c r="D1309" t="s">
        <v>33</v>
      </c>
      <c r="E1309">
        <f t="shared" si="84"/>
        <v>1</v>
      </c>
      <c r="F1309">
        <v>1</v>
      </c>
      <c r="G1309">
        <v>4303</v>
      </c>
      <c r="H1309" t="s">
        <v>34</v>
      </c>
      <c r="I1309" t="str">
        <f t="shared" si="85"/>
        <v>[{1000,1,1,4303,101}]</v>
      </c>
    </row>
    <row r="1310" spans="1:9">
      <c r="A1310">
        <f t="shared" si="82"/>
        <v>19</v>
      </c>
      <c r="B1310">
        <v>19</v>
      </c>
      <c r="C1310" t="s">
        <v>68</v>
      </c>
      <c r="D1310" t="s">
        <v>33</v>
      </c>
      <c r="E1310">
        <f t="shared" si="84"/>
        <v>1</v>
      </c>
      <c r="F1310">
        <v>1</v>
      </c>
      <c r="G1310">
        <v>4301</v>
      </c>
      <c r="H1310" t="s">
        <v>34</v>
      </c>
      <c r="I1310" t="str">
        <f t="shared" si="85"/>
        <v>[{1000,1,1,4301,101}]</v>
      </c>
    </row>
    <row r="1311" spans="1:9">
      <c r="A1311">
        <f t="shared" si="82"/>
        <v>19</v>
      </c>
      <c r="B1311">
        <v>19</v>
      </c>
      <c r="C1311" t="s">
        <v>68</v>
      </c>
      <c r="D1311" t="s">
        <v>33</v>
      </c>
      <c r="E1311">
        <f t="shared" si="84"/>
        <v>1</v>
      </c>
      <c r="F1311">
        <v>1</v>
      </c>
      <c r="G1311">
        <v>4303</v>
      </c>
      <c r="H1311" t="s">
        <v>34</v>
      </c>
      <c r="I1311" t="str">
        <f t="shared" si="85"/>
        <v>[{1000,1,1,4303,101}]</v>
      </c>
    </row>
    <row r="1312" spans="1:9">
      <c r="A1312">
        <f t="shared" si="82"/>
        <v>20</v>
      </c>
      <c r="B1312">
        <v>20</v>
      </c>
      <c r="C1312" t="s">
        <v>68</v>
      </c>
      <c r="D1312" t="s">
        <v>33</v>
      </c>
      <c r="E1312">
        <f t="shared" si="84"/>
        <v>1</v>
      </c>
      <c r="F1312">
        <v>1</v>
      </c>
      <c r="G1312">
        <v>4301</v>
      </c>
      <c r="H1312" t="s">
        <v>34</v>
      </c>
      <c r="I1312" t="str">
        <f t="shared" si="85"/>
        <v>[{1000,1,1,4301,101}]</v>
      </c>
    </row>
    <row r="1313" spans="1:9">
      <c r="A1313">
        <f t="shared" si="82"/>
        <v>20</v>
      </c>
      <c r="B1313">
        <v>20</v>
      </c>
      <c r="C1313" t="s">
        <v>68</v>
      </c>
      <c r="D1313" t="s">
        <v>33</v>
      </c>
      <c r="E1313">
        <f t="shared" si="84"/>
        <v>1</v>
      </c>
      <c r="F1313">
        <v>1</v>
      </c>
      <c r="G1313">
        <v>4303</v>
      </c>
      <c r="H1313" t="s">
        <v>34</v>
      </c>
      <c r="I1313" t="str">
        <f t="shared" si="85"/>
        <v>[{1000,1,1,4303,101}]</v>
      </c>
    </row>
    <row r="1314" spans="1:9">
      <c r="A1314" t="str">
        <f t="shared" si="82"/>
        <v/>
      </c>
      <c r="B1314">
        <v>20</v>
      </c>
      <c r="C1314" t="s">
        <v>68</v>
      </c>
      <c r="D1314" t="s">
        <v>28</v>
      </c>
      <c r="E1314" t="str">
        <f t="shared" si="84"/>
        <v/>
      </c>
      <c r="I1314" t="str">
        <f t="shared" si="85"/>
        <v>[]</v>
      </c>
    </row>
    <row r="1315" spans="1:9">
      <c r="A1315">
        <f t="shared" si="82"/>
        <v>20</v>
      </c>
      <c r="B1315">
        <v>20</v>
      </c>
      <c r="C1315" t="s">
        <v>68</v>
      </c>
      <c r="D1315" t="s">
        <v>33</v>
      </c>
      <c r="E1315">
        <f t="shared" si="84"/>
        <v>1</v>
      </c>
      <c r="F1315">
        <v>0</v>
      </c>
      <c r="G1315">
        <v>4331</v>
      </c>
      <c r="H1315" t="s">
        <v>36</v>
      </c>
      <c r="I1315" t="str">
        <f t="shared" si="85"/>
        <v>[{1000,1,0,4331,41}]</v>
      </c>
    </row>
    <row r="1316" spans="1:9">
      <c r="A1316">
        <f t="shared" ref="A1316:A1379" si="86">IF(E1316="","",B1316)</f>
        <v>1</v>
      </c>
      <c r="B1316">
        <v>1</v>
      </c>
      <c r="C1316" t="s">
        <v>69</v>
      </c>
      <c r="D1316" t="s">
        <v>33</v>
      </c>
      <c r="E1316">
        <f t="shared" si="84"/>
        <v>1</v>
      </c>
      <c r="F1316">
        <v>1</v>
      </c>
      <c r="G1316">
        <v>4401</v>
      </c>
      <c r="H1316" t="s">
        <v>34</v>
      </c>
      <c r="I1316" t="str">
        <f t="shared" si="85"/>
        <v>[{1000,1,1,4401,101}]</v>
      </c>
    </row>
    <row r="1317" spans="1:9">
      <c r="A1317">
        <f t="shared" si="86"/>
        <v>2</v>
      </c>
      <c r="B1317">
        <v>2</v>
      </c>
      <c r="C1317" t="s">
        <v>69</v>
      </c>
      <c r="D1317" t="s">
        <v>33</v>
      </c>
      <c r="E1317">
        <f t="shared" ref="E1317:E1380" si="87">IF(D1317="[]","",1)</f>
        <v>1</v>
      </c>
      <c r="F1317">
        <v>1</v>
      </c>
      <c r="G1317">
        <v>4401</v>
      </c>
      <c r="H1317" t="s">
        <v>34</v>
      </c>
      <c r="I1317" t="str">
        <f t="shared" si="85"/>
        <v>[{1000,1,1,4401,101}]</v>
      </c>
    </row>
    <row r="1318" spans="1:9">
      <c r="A1318">
        <f t="shared" si="86"/>
        <v>3</v>
      </c>
      <c r="B1318">
        <v>3</v>
      </c>
      <c r="C1318" t="s">
        <v>69</v>
      </c>
      <c r="D1318" t="s">
        <v>33</v>
      </c>
      <c r="E1318">
        <f t="shared" si="87"/>
        <v>1</v>
      </c>
      <c r="F1318">
        <v>1</v>
      </c>
      <c r="G1318">
        <v>4401</v>
      </c>
      <c r="H1318" t="s">
        <v>34</v>
      </c>
      <c r="I1318" t="str">
        <f t="shared" si="85"/>
        <v>[{1000,1,1,4401,101}]</v>
      </c>
    </row>
    <row r="1319" spans="1:9">
      <c r="A1319">
        <f t="shared" si="86"/>
        <v>4</v>
      </c>
      <c r="B1319">
        <v>4</v>
      </c>
      <c r="C1319" t="s">
        <v>69</v>
      </c>
      <c r="D1319" t="s">
        <v>33</v>
      </c>
      <c r="E1319">
        <f t="shared" si="87"/>
        <v>1</v>
      </c>
      <c r="F1319">
        <v>1</v>
      </c>
      <c r="G1319">
        <v>4401</v>
      </c>
      <c r="H1319" t="s">
        <v>34</v>
      </c>
      <c r="I1319" t="str">
        <f t="shared" si="85"/>
        <v>[{1000,1,1,4401,101}]</v>
      </c>
    </row>
    <row r="1320" spans="1:9">
      <c r="A1320">
        <f t="shared" si="86"/>
        <v>5</v>
      </c>
      <c r="B1320">
        <v>5</v>
      </c>
      <c r="C1320" t="s">
        <v>69</v>
      </c>
      <c r="D1320" t="s">
        <v>33</v>
      </c>
      <c r="E1320">
        <f t="shared" si="87"/>
        <v>1</v>
      </c>
      <c r="F1320">
        <v>1</v>
      </c>
      <c r="G1320">
        <v>4401</v>
      </c>
      <c r="H1320" t="s">
        <v>34</v>
      </c>
      <c r="I1320" t="str">
        <f t="shared" si="85"/>
        <v>[{1000,1,1,4401,101}]</v>
      </c>
    </row>
    <row r="1321" spans="1:9">
      <c r="A1321">
        <f t="shared" si="86"/>
        <v>6</v>
      </c>
      <c r="B1321">
        <v>6</v>
      </c>
      <c r="C1321" t="s">
        <v>69</v>
      </c>
      <c r="D1321" t="s">
        <v>33</v>
      </c>
      <c r="E1321">
        <f t="shared" si="87"/>
        <v>1</v>
      </c>
      <c r="F1321">
        <v>1</v>
      </c>
      <c r="G1321">
        <v>4401</v>
      </c>
      <c r="H1321" t="s">
        <v>34</v>
      </c>
      <c r="I1321" t="str">
        <f t="shared" si="85"/>
        <v>[{1000,1,1,4401,101}]</v>
      </c>
    </row>
    <row r="1322" spans="1:9">
      <c r="A1322">
        <f t="shared" si="86"/>
        <v>7</v>
      </c>
      <c r="B1322">
        <v>7</v>
      </c>
      <c r="C1322" t="s">
        <v>69</v>
      </c>
      <c r="D1322" t="s">
        <v>33</v>
      </c>
      <c r="E1322">
        <f t="shared" si="87"/>
        <v>1</v>
      </c>
      <c r="F1322">
        <v>1</v>
      </c>
      <c r="G1322">
        <v>4401</v>
      </c>
      <c r="H1322" t="s">
        <v>34</v>
      </c>
      <c r="I1322" t="str">
        <f t="shared" si="85"/>
        <v>[{1000,1,1,4401,101}]</v>
      </c>
    </row>
    <row r="1323" spans="1:9">
      <c r="A1323">
        <f t="shared" si="86"/>
        <v>7</v>
      </c>
      <c r="B1323">
        <v>7</v>
      </c>
      <c r="C1323" t="s">
        <v>69</v>
      </c>
      <c r="D1323" t="s">
        <v>33</v>
      </c>
      <c r="E1323">
        <f t="shared" si="87"/>
        <v>1</v>
      </c>
      <c r="F1323">
        <v>1</v>
      </c>
      <c r="G1323">
        <v>4402</v>
      </c>
      <c r="H1323" t="s">
        <v>34</v>
      </c>
      <c r="I1323" t="str">
        <f t="shared" si="85"/>
        <v>[{1000,1,1,4402,101}]</v>
      </c>
    </row>
    <row r="1324" spans="1:9">
      <c r="A1324">
        <f t="shared" si="86"/>
        <v>8</v>
      </c>
      <c r="B1324">
        <v>8</v>
      </c>
      <c r="C1324" t="s">
        <v>69</v>
      </c>
      <c r="D1324" t="s">
        <v>33</v>
      </c>
      <c r="E1324">
        <f t="shared" si="87"/>
        <v>1</v>
      </c>
      <c r="F1324">
        <v>1</v>
      </c>
      <c r="G1324">
        <v>4401</v>
      </c>
      <c r="H1324" t="s">
        <v>34</v>
      </c>
      <c r="I1324" t="str">
        <f t="shared" si="85"/>
        <v>[{1000,1,1,4401,101}]</v>
      </c>
    </row>
    <row r="1325" spans="1:9">
      <c r="A1325">
        <f t="shared" si="86"/>
        <v>8</v>
      </c>
      <c r="B1325">
        <v>8</v>
      </c>
      <c r="C1325" t="s">
        <v>69</v>
      </c>
      <c r="D1325" t="s">
        <v>33</v>
      </c>
      <c r="E1325">
        <f t="shared" si="87"/>
        <v>1</v>
      </c>
      <c r="F1325">
        <v>1</v>
      </c>
      <c r="G1325">
        <v>4402</v>
      </c>
      <c r="H1325" t="s">
        <v>34</v>
      </c>
      <c r="I1325" t="str">
        <f t="shared" si="85"/>
        <v>[{1000,1,1,4402,101}]</v>
      </c>
    </row>
    <row r="1326" spans="1:9">
      <c r="A1326">
        <f t="shared" si="86"/>
        <v>9</v>
      </c>
      <c r="B1326">
        <v>9</v>
      </c>
      <c r="C1326" t="s">
        <v>69</v>
      </c>
      <c r="D1326" t="s">
        <v>33</v>
      </c>
      <c r="E1326">
        <f t="shared" si="87"/>
        <v>1</v>
      </c>
      <c r="F1326">
        <v>1</v>
      </c>
      <c r="G1326">
        <v>4401</v>
      </c>
      <c r="H1326" t="s">
        <v>34</v>
      </c>
      <c r="I1326" t="str">
        <f t="shared" si="85"/>
        <v>[{1000,1,1,4401,101}]</v>
      </c>
    </row>
    <row r="1327" spans="1:9">
      <c r="A1327">
        <f t="shared" si="86"/>
        <v>9</v>
      </c>
      <c r="B1327">
        <v>9</v>
      </c>
      <c r="C1327" t="s">
        <v>69</v>
      </c>
      <c r="D1327" t="s">
        <v>33</v>
      </c>
      <c r="E1327">
        <f t="shared" si="87"/>
        <v>1</v>
      </c>
      <c r="F1327">
        <v>1</v>
      </c>
      <c r="G1327">
        <v>4402</v>
      </c>
      <c r="H1327" t="s">
        <v>34</v>
      </c>
      <c r="I1327" t="str">
        <f t="shared" si="85"/>
        <v>[{1000,1,1,4402,101}]</v>
      </c>
    </row>
    <row r="1328" spans="1:9">
      <c r="A1328">
        <f t="shared" si="86"/>
        <v>10</v>
      </c>
      <c r="B1328">
        <v>10</v>
      </c>
      <c r="C1328" t="s">
        <v>69</v>
      </c>
      <c r="D1328" t="s">
        <v>33</v>
      </c>
      <c r="E1328">
        <f t="shared" si="87"/>
        <v>1</v>
      </c>
      <c r="F1328">
        <v>1</v>
      </c>
      <c r="G1328">
        <v>4401</v>
      </c>
      <c r="H1328" t="s">
        <v>34</v>
      </c>
      <c r="I1328" t="str">
        <f t="shared" si="85"/>
        <v>[{1000,1,1,4401,101}]</v>
      </c>
    </row>
    <row r="1329" spans="1:9">
      <c r="A1329">
        <f t="shared" si="86"/>
        <v>10</v>
      </c>
      <c r="B1329">
        <v>10</v>
      </c>
      <c r="C1329" t="s">
        <v>69</v>
      </c>
      <c r="D1329" t="s">
        <v>33</v>
      </c>
      <c r="E1329">
        <f t="shared" si="87"/>
        <v>1</v>
      </c>
      <c r="F1329">
        <v>1</v>
      </c>
      <c r="G1329">
        <v>4402</v>
      </c>
      <c r="H1329" t="s">
        <v>34</v>
      </c>
      <c r="I1329" t="str">
        <f t="shared" si="85"/>
        <v>[{1000,1,1,4402,101}]</v>
      </c>
    </row>
    <row r="1330" spans="1:9">
      <c r="A1330" t="str">
        <f t="shared" si="86"/>
        <v/>
      </c>
      <c r="B1330">
        <v>10</v>
      </c>
      <c r="C1330" t="s">
        <v>69</v>
      </c>
      <c r="D1330" s="11" t="s">
        <v>28</v>
      </c>
      <c r="E1330" t="str">
        <f t="shared" si="87"/>
        <v/>
      </c>
      <c r="I1330" t="str">
        <f t="shared" si="85"/>
        <v>[]</v>
      </c>
    </row>
    <row r="1331" spans="1:9">
      <c r="A1331">
        <f t="shared" si="86"/>
        <v>10</v>
      </c>
      <c r="B1331">
        <v>10</v>
      </c>
      <c r="C1331" t="s">
        <v>69</v>
      </c>
      <c r="D1331" t="s">
        <v>33</v>
      </c>
      <c r="E1331">
        <f t="shared" si="87"/>
        <v>1</v>
      </c>
      <c r="F1331">
        <v>0</v>
      </c>
      <c r="G1331">
        <v>4421</v>
      </c>
      <c r="H1331" t="s">
        <v>36</v>
      </c>
      <c r="I1331" t="str">
        <f t="shared" si="85"/>
        <v>[{1000,1,0,4421,41}]</v>
      </c>
    </row>
    <row r="1332" spans="1:9">
      <c r="A1332">
        <f t="shared" si="86"/>
        <v>11</v>
      </c>
      <c r="B1332">
        <v>11</v>
      </c>
      <c r="C1332" t="s">
        <v>69</v>
      </c>
      <c r="D1332" t="s">
        <v>33</v>
      </c>
      <c r="E1332">
        <f t="shared" si="87"/>
        <v>1</v>
      </c>
      <c r="F1332">
        <v>1</v>
      </c>
      <c r="G1332">
        <v>4401</v>
      </c>
      <c r="H1332" t="s">
        <v>34</v>
      </c>
      <c r="I1332" t="str">
        <f t="shared" si="85"/>
        <v>[{1000,1,1,4401,101}]</v>
      </c>
    </row>
    <row r="1333" spans="1:9">
      <c r="A1333">
        <f t="shared" si="86"/>
        <v>11</v>
      </c>
      <c r="B1333">
        <v>11</v>
      </c>
      <c r="C1333" t="s">
        <v>69</v>
      </c>
      <c r="D1333" t="s">
        <v>33</v>
      </c>
      <c r="E1333">
        <f t="shared" si="87"/>
        <v>1</v>
      </c>
      <c r="F1333">
        <v>1</v>
      </c>
      <c r="G1333">
        <v>4402</v>
      </c>
      <c r="H1333" t="s">
        <v>34</v>
      </c>
      <c r="I1333" t="str">
        <f t="shared" si="85"/>
        <v>[{1000,1,1,4402,101}]</v>
      </c>
    </row>
    <row r="1334" spans="1:9">
      <c r="A1334">
        <f t="shared" si="86"/>
        <v>12</v>
      </c>
      <c r="B1334">
        <v>12</v>
      </c>
      <c r="C1334" t="s">
        <v>69</v>
      </c>
      <c r="D1334" t="s">
        <v>33</v>
      </c>
      <c r="E1334">
        <f t="shared" si="87"/>
        <v>1</v>
      </c>
      <c r="F1334">
        <v>1</v>
      </c>
      <c r="G1334">
        <v>4401</v>
      </c>
      <c r="H1334" t="s">
        <v>34</v>
      </c>
      <c r="I1334" t="str">
        <f t="shared" si="85"/>
        <v>[{1000,1,1,4401,101}]</v>
      </c>
    </row>
    <row r="1335" spans="1:9">
      <c r="A1335">
        <f t="shared" si="86"/>
        <v>12</v>
      </c>
      <c r="B1335">
        <v>12</v>
      </c>
      <c r="C1335" t="s">
        <v>69</v>
      </c>
      <c r="D1335" t="s">
        <v>33</v>
      </c>
      <c r="E1335">
        <f t="shared" si="87"/>
        <v>1</v>
      </c>
      <c r="F1335">
        <v>1</v>
      </c>
      <c r="G1335">
        <v>4402</v>
      </c>
      <c r="H1335" t="s">
        <v>34</v>
      </c>
      <c r="I1335" t="str">
        <f t="shared" si="85"/>
        <v>[{1000,1,1,4402,101}]</v>
      </c>
    </row>
    <row r="1336" spans="1:9">
      <c r="A1336">
        <f t="shared" si="86"/>
        <v>13</v>
      </c>
      <c r="B1336">
        <v>13</v>
      </c>
      <c r="C1336" t="s">
        <v>69</v>
      </c>
      <c r="D1336" t="s">
        <v>33</v>
      </c>
      <c r="E1336">
        <f t="shared" si="87"/>
        <v>1</v>
      </c>
      <c r="F1336">
        <v>1</v>
      </c>
      <c r="G1336">
        <v>4401</v>
      </c>
      <c r="H1336" t="s">
        <v>34</v>
      </c>
      <c r="I1336" t="str">
        <f t="shared" si="85"/>
        <v>[{1000,1,1,4401,101}]</v>
      </c>
    </row>
    <row r="1337" spans="1:9">
      <c r="A1337">
        <f t="shared" si="86"/>
        <v>13</v>
      </c>
      <c r="B1337">
        <v>13</v>
      </c>
      <c r="C1337" t="s">
        <v>69</v>
      </c>
      <c r="D1337" t="s">
        <v>33</v>
      </c>
      <c r="E1337">
        <f t="shared" si="87"/>
        <v>1</v>
      </c>
      <c r="F1337">
        <v>1</v>
      </c>
      <c r="G1337">
        <v>4402</v>
      </c>
      <c r="H1337" t="s">
        <v>34</v>
      </c>
      <c r="I1337" t="str">
        <f t="shared" si="85"/>
        <v>[{1000,1,1,4402,101}]</v>
      </c>
    </row>
    <row r="1338" spans="1:9">
      <c r="A1338">
        <f t="shared" si="86"/>
        <v>14</v>
      </c>
      <c r="B1338">
        <v>14</v>
      </c>
      <c r="C1338" t="s">
        <v>69</v>
      </c>
      <c r="D1338" t="s">
        <v>33</v>
      </c>
      <c r="E1338">
        <f t="shared" si="87"/>
        <v>1</v>
      </c>
      <c r="F1338">
        <v>1</v>
      </c>
      <c r="G1338">
        <v>4401</v>
      </c>
      <c r="H1338" t="s">
        <v>34</v>
      </c>
      <c r="I1338" t="str">
        <f t="shared" si="85"/>
        <v>[{1000,1,1,4401,101}]</v>
      </c>
    </row>
    <row r="1339" spans="1:9">
      <c r="A1339">
        <f t="shared" si="86"/>
        <v>14</v>
      </c>
      <c r="B1339">
        <v>14</v>
      </c>
      <c r="C1339" t="s">
        <v>69</v>
      </c>
      <c r="D1339" t="s">
        <v>33</v>
      </c>
      <c r="E1339">
        <f t="shared" si="87"/>
        <v>1</v>
      </c>
      <c r="F1339">
        <v>1</v>
      </c>
      <c r="G1339">
        <v>4402</v>
      </c>
      <c r="H1339" t="s">
        <v>34</v>
      </c>
      <c r="I1339" t="str">
        <f t="shared" si="85"/>
        <v>[{1000,1,1,4402,101}]</v>
      </c>
    </row>
    <row r="1340" spans="1:9">
      <c r="A1340">
        <f t="shared" si="86"/>
        <v>14</v>
      </c>
      <c r="B1340">
        <v>14</v>
      </c>
      <c r="C1340" t="s">
        <v>69</v>
      </c>
      <c r="D1340" t="s">
        <v>33</v>
      </c>
      <c r="E1340">
        <f t="shared" si="87"/>
        <v>1</v>
      </c>
      <c r="F1340">
        <v>1</v>
      </c>
      <c r="G1340">
        <v>4403</v>
      </c>
      <c r="H1340" t="s">
        <v>37</v>
      </c>
      <c r="I1340" t="str">
        <f t="shared" si="85"/>
        <v>[{1000,1,1,4403,401}]</v>
      </c>
    </row>
    <row r="1341" spans="1:9">
      <c r="A1341">
        <f t="shared" si="86"/>
        <v>15</v>
      </c>
      <c r="B1341">
        <v>15</v>
      </c>
      <c r="C1341" t="s">
        <v>69</v>
      </c>
      <c r="D1341" t="s">
        <v>33</v>
      </c>
      <c r="E1341">
        <f t="shared" si="87"/>
        <v>1</v>
      </c>
      <c r="F1341">
        <v>1</v>
      </c>
      <c r="G1341">
        <v>4401</v>
      </c>
      <c r="H1341" t="s">
        <v>34</v>
      </c>
      <c r="I1341" t="str">
        <f t="shared" si="85"/>
        <v>[{1000,1,1,4401,101}]</v>
      </c>
    </row>
    <row r="1342" spans="1:9">
      <c r="A1342">
        <f t="shared" si="86"/>
        <v>15</v>
      </c>
      <c r="B1342">
        <v>15</v>
      </c>
      <c r="C1342" t="s">
        <v>69</v>
      </c>
      <c r="D1342" t="s">
        <v>33</v>
      </c>
      <c r="E1342">
        <f t="shared" si="87"/>
        <v>1</v>
      </c>
      <c r="F1342">
        <v>1</v>
      </c>
      <c r="G1342">
        <v>4402</v>
      </c>
      <c r="H1342" t="s">
        <v>34</v>
      </c>
      <c r="I1342" t="str">
        <f t="shared" si="85"/>
        <v>[{1000,1,1,4402,101}]</v>
      </c>
    </row>
    <row r="1343" spans="1:9">
      <c r="A1343">
        <f t="shared" si="86"/>
        <v>15</v>
      </c>
      <c r="B1343">
        <v>15</v>
      </c>
      <c r="C1343" t="s">
        <v>69</v>
      </c>
      <c r="D1343" t="s">
        <v>33</v>
      </c>
      <c r="E1343">
        <f t="shared" si="87"/>
        <v>1</v>
      </c>
      <c r="F1343">
        <v>1</v>
      </c>
      <c r="G1343">
        <v>4403</v>
      </c>
      <c r="H1343" t="s">
        <v>37</v>
      </c>
      <c r="I1343" t="str">
        <f t="shared" si="85"/>
        <v>[{1000,1,1,4403,401}]</v>
      </c>
    </row>
    <row r="1344" spans="1:9">
      <c r="A1344">
        <f t="shared" si="86"/>
        <v>16</v>
      </c>
      <c r="B1344">
        <v>16</v>
      </c>
      <c r="C1344" t="s">
        <v>69</v>
      </c>
      <c r="D1344" t="s">
        <v>33</v>
      </c>
      <c r="E1344">
        <f t="shared" si="87"/>
        <v>1</v>
      </c>
      <c r="F1344">
        <v>1</v>
      </c>
      <c r="G1344">
        <v>4401</v>
      </c>
      <c r="H1344" t="s">
        <v>34</v>
      </c>
      <c r="I1344" t="str">
        <f t="shared" si="85"/>
        <v>[{1000,1,1,4401,101}]</v>
      </c>
    </row>
    <row r="1345" spans="1:9">
      <c r="A1345">
        <f t="shared" si="86"/>
        <v>16</v>
      </c>
      <c r="B1345">
        <v>16</v>
      </c>
      <c r="C1345" t="s">
        <v>69</v>
      </c>
      <c r="D1345" t="s">
        <v>33</v>
      </c>
      <c r="E1345">
        <f t="shared" si="87"/>
        <v>1</v>
      </c>
      <c r="F1345">
        <v>1</v>
      </c>
      <c r="G1345">
        <v>4402</v>
      </c>
      <c r="H1345" t="s">
        <v>34</v>
      </c>
      <c r="I1345" t="str">
        <f t="shared" si="85"/>
        <v>[{1000,1,1,4402,101}]</v>
      </c>
    </row>
    <row r="1346" spans="1:9">
      <c r="A1346">
        <f t="shared" si="86"/>
        <v>16</v>
      </c>
      <c r="B1346">
        <v>16</v>
      </c>
      <c r="C1346" t="s">
        <v>69</v>
      </c>
      <c r="D1346" t="s">
        <v>33</v>
      </c>
      <c r="E1346">
        <f t="shared" si="87"/>
        <v>1</v>
      </c>
      <c r="F1346">
        <v>1</v>
      </c>
      <c r="G1346">
        <v>4403</v>
      </c>
      <c r="H1346" t="s">
        <v>37</v>
      </c>
      <c r="I1346" t="str">
        <f t="shared" si="85"/>
        <v>[{1000,1,1,4403,401}]</v>
      </c>
    </row>
    <row r="1347" spans="1:9">
      <c r="A1347">
        <f t="shared" si="86"/>
        <v>17</v>
      </c>
      <c r="B1347">
        <v>17</v>
      </c>
      <c r="C1347" t="s">
        <v>69</v>
      </c>
      <c r="D1347" t="s">
        <v>33</v>
      </c>
      <c r="E1347">
        <f t="shared" si="87"/>
        <v>1</v>
      </c>
      <c r="F1347">
        <v>1</v>
      </c>
      <c r="G1347">
        <v>4401</v>
      </c>
      <c r="H1347" t="s">
        <v>34</v>
      </c>
      <c r="I1347" t="str">
        <f t="shared" si="85"/>
        <v>[{1000,1,1,4401,101}]</v>
      </c>
    </row>
    <row r="1348" spans="1:9">
      <c r="A1348">
        <f t="shared" si="86"/>
        <v>17</v>
      </c>
      <c r="B1348">
        <v>17</v>
      </c>
      <c r="C1348" t="s">
        <v>69</v>
      </c>
      <c r="D1348" t="s">
        <v>33</v>
      </c>
      <c r="E1348">
        <f t="shared" si="87"/>
        <v>1</v>
      </c>
      <c r="F1348">
        <v>1</v>
      </c>
      <c r="G1348">
        <v>4402</v>
      </c>
      <c r="H1348" t="s">
        <v>34</v>
      </c>
      <c r="I1348" t="str">
        <f t="shared" si="85"/>
        <v>[{1000,1,1,4402,101}]</v>
      </c>
    </row>
    <row r="1349" spans="1:9">
      <c r="A1349">
        <f t="shared" si="86"/>
        <v>17</v>
      </c>
      <c r="B1349">
        <v>17</v>
      </c>
      <c r="C1349" t="s">
        <v>69</v>
      </c>
      <c r="D1349" t="s">
        <v>33</v>
      </c>
      <c r="E1349">
        <f t="shared" si="87"/>
        <v>1</v>
      </c>
      <c r="F1349">
        <v>1</v>
      </c>
      <c r="G1349">
        <v>4403</v>
      </c>
      <c r="H1349" t="s">
        <v>37</v>
      </c>
      <c r="I1349" t="str">
        <f t="shared" si="85"/>
        <v>[{1000,1,1,4403,401}]</v>
      </c>
    </row>
    <row r="1350" spans="1:9">
      <c r="A1350">
        <f t="shared" si="86"/>
        <v>18</v>
      </c>
      <c r="B1350">
        <v>18</v>
      </c>
      <c r="C1350" t="s">
        <v>69</v>
      </c>
      <c r="D1350" t="s">
        <v>33</v>
      </c>
      <c r="E1350">
        <f t="shared" si="87"/>
        <v>1</v>
      </c>
      <c r="F1350">
        <v>1</v>
      </c>
      <c r="G1350">
        <v>4401</v>
      </c>
      <c r="H1350" t="s">
        <v>34</v>
      </c>
      <c r="I1350" t="str">
        <f t="shared" si="85"/>
        <v>[{1000,1,1,4401,101}]</v>
      </c>
    </row>
    <row r="1351" spans="1:9">
      <c r="A1351">
        <f t="shared" si="86"/>
        <v>18</v>
      </c>
      <c r="B1351">
        <v>18</v>
      </c>
      <c r="C1351" t="s">
        <v>69</v>
      </c>
      <c r="D1351" t="s">
        <v>33</v>
      </c>
      <c r="E1351">
        <f t="shared" si="87"/>
        <v>1</v>
      </c>
      <c r="F1351">
        <v>1</v>
      </c>
      <c r="G1351">
        <v>4402</v>
      </c>
      <c r="H1351" t="s">
        <v>34</v>
      </c>
      <c r="I1351" t="str">
        <f t="shared" si="85"/>
        <v>[{1000,1,1,4402,101}]</v>
      </c>
    </row>
    <row r="1352" spans="1:9">
      <c r="A1352">
        <f t="shared" si="86"/>
        <v>18</v>
      </c>
      <c r="B1352">
        <v>18</v>
      </c>
      <c r="C1352" t="s">
        <v>69</v>
      </c>
      <c r="D1352" t="s">
        <v>33</v>
      </c>
      <c r="E1352">
        <f t="shared" si="87"/>
        <v>1</v>
      </c>
      <c r="F1352">
        <v>1</v>
      </c>
      <c r="G1352">
        <v>4403</v>
      </c>
      <c r="H1352" t="s">
        <v>37</v>
      </c>
      <c r="I1352" t="str">
        <f t="shared" si="85"/>
        <v>[{1000,1,1,4403,401}]</v>
      </c>
    </row>
    <row r="1353" spans="1:9">
      <c r="A1353">
        <f t="shared" si="86"/>
        <v>19</v>
      </c>
      <c r="B1353">
        <v>19</v>
      </c>
      <c r="C1353" t="s">
        <v>69</v>
      </c>
      <c r="D1353" t="s">
        <v>33</v>
      </c>
      <c r="E1353">
        <f t="shared" si="87"/>
        <v>1</v>
      </c>
      <c r="F1353">
        <v>1</v>
      </c>
      <c r="G1353">
        <v>4401</v>
      </c>
      <c r="H1353" t="s">
        <v>34</v>
      </c>
      <c r="I1353" t="str">
        <f t="shared" si="85"/>
        <v>[{1000,1,1,4401,101}]</v>
      </c>
    </row>
    <row r="1354" spans="1:9">
      <c r="A1354">
        <f t="shared" si="86"/>
        <v>19</v>
      </c>
      <c r="B1354">
        <v>19</v>
      </c>
      <c r="C1354" t="s">
        <v>69</v>
      </c>
      <c r="D1354" t="s">
        <v>33</v>
      </c>
      <c r="E1354">
        <f t="shared" si="87"/>
        <v>1</v>
      </c>
      <c r="F1354">
        <v>1</v>
      </c>
      <c r="G1354">
        <v>4402</v>
      </c>
      <c r="H1354" t="s">
        <v>34</v>
      </c>
      <c r="I1354" t="str">
        <f t="shared" ref="I1354:I1405" si="88">_xlfn.TEXTJOIN(",",1,D1354:H1354)</f>
        <v>[{1000,1,1,4402,101}]</v>
      </c>
    </row>
    <row r="1355" spans="1:9">
      <c r="A1355">
        <f t="shared" si="86"/>
        <v>19</v>
      </c>
      <c r="B1355">
        <v>19</v>
      </c>
      <c r="C1355" t="s">
        <v>69</v>
      </c>
      <c r="D1355" t="s">
        <v>33</v>
      </c>
      <c r="E1355">
        <f t="shared" si="87"/>
        <v>1</v>
      </c>
      <c r="F1355">
        <v>1</v>
      </c>
      <c r="G1355">
        <v>4403</v>
      </c>
      <c r="H1355" t="s">
        <v>37</v>
      </c>
      <c r="I1355" t="str">
        <f t="shared" si="88"/>
        <v>[{1000,1,1,4403,401}]</v>
      </c>
    </row>
    <row r="1356" spans="1:9">
      <c r="A1356">
        <f t="shared" si="86"/>
        <v>20</v>
      </c>
      <c r="B1356">
        <v>20</v>
      </c>
      <c r="C1356" t="s">
        <v>69</v>
      </c>
      <c r="D1356" t="s">
        <v>33</v>
      </c>
      <c r="E1356">
        <f t="shared" si="87"/>
        <v>1</v>
      </c>
      <c r="F1356">
        <v>1</v>
      </c>
      <c r="G1356">
        <v>4401</v>
      </c>
      <c r="H1356" t="s">
        <v>34</v>
      </c>
      <c r="I1356" t="str">
        <f t="shared" si="88"/>
        <v>[{1000,1,1,4401,101}]</v>
      </c>
    </row>
    <row r="1357" spans="1:9">
      <c r="A1357">
        <f t="shared" si="86"/>
        <v>20</v>
      </c>
      <c r="B1357">
        <v>20</v>
      </c>
      <c r="C1357" t="s">
        <v>69</v>
      </c>
      <c r="D1357" t="s">
        <v>33</v>
      </c>
      <c r="E1357">
        <f t="shared" si="87"/>
        <v>1</v>
      </c>
      <c r="F1357">
        <v>1</v>
      </c>
      <c r="G1357">
        <v>4402</v>
      </c>
      <c r="H1357" t="s">
        <v>34</v>
      </c>
      <c r="I1357" t="str">
        <f t="shared" si="88"/>
        <v>[{1000,1,1,4402,101}]</v>
      </c>
    </row>
    <row r="1358" spans="1:9">
      <c r="A1358">
        <f t="shared" si="86"/>
        <v>20</v>
      </c>
      <c r="B1358">
        <v>20</v>
      </c>
      <c r="C1358" t="s">
        <v>69</v>
      </c>
      <c r="D1358" s="11" t="s">
        <v>33</v>
      </c>
      <c r="E1358">
        <f t="shared" si="87"/>
        <v>1</v>
      </c>
      <c r="F1358">
        <v>1</v>
      </c>
      <c r="G1358">
        <v>4403</v>
      </c>
      <c r="H1358" t="s">
        <v>37</v>
      </c>
      <c r="I1358" t="str">
        <f t="shared" si="88"/>
        <v>[{1000,1,1,4403,401}]</v>
      </c>
    </row>
    <row r="1359" spans="1:9">
      <c r="A1359" t="str">
        <f t="shared" si="86"/>
        <v/>
      </c>
      <c r="B1359">
        <v>20</v>
      </c>
      <c r="C1359" t="s">
        <v>69</v>
      </c>
      <c r="D1359" s="11" t="s">
        <v>28</v>
      </c>
      <c r="E1359" t="str">
        <f t="shared" si="87"/>
        <v/>
      </c>
      <c r="I1359" t="str">
        <f t="shared" si="88"/>
        <v>[]</v>
      </c>
    </row>
    <row r="1360" spans="1:9">
      <c r="A1360">
        <f t="shared" si="86"/>
        <v>20</v>
      </c>
      <c r="B1360">
        <v>20</v>
      </c>
      <c r="C1360" t="s">
        <v>69</v>
      </c>
      <c r="D1360" s="11" t="s">
        <v>33</v>
      </c>
      <c r="E1360">
        <f t="shared" si="87"/>
        <v>1</v>
      </c>
      <c r="F1360">
        <v>0</v>
      </c>
      <c r="G1360">
        <v>4431</v>
      </c>
      <c r="H1360" t="s">
        <v>36</v>
      </c>
      <c r="I1360" t="str">
        <f t="shared" si="88"/>
        <v>[{1000,1,0,4431,41}]</v>
      </c>
    </row>
    <row r="1361" spans="1:9">
      <c r="A1361">
        <f t="shared" si="86"/>
        <v>1</v>
      </c>
      <c r="B1361">
        <v>1</v>
      </c>
      <c r="C1361" t="s">
        <v>70</v>
      </c>
      <c r="D1361" t="s">
        <v>33</v>
      </c>
      <c r="E1361">
        <f t="shared" si="87"/>
        <v>1</v>
      </c>
      <c r="F1361">
        <v>1</v>
      </c>
      <c r="G1361">
        <f t="shared" ref="G1361:G1405" si="89">IF(G1316="","",G1316+100)</f>
        <v>4501</v>
      </c>
      <c r="H1361" t="s">
        <v>34</v>
      </c>
      <c r="I1361" t="str">
        <f t="shared" si="88"/>
        <v>[{1000,1,1,4501,101}]</v>
      </c>
    </row>
    <row r="1362" spans="1:9">
      <c r="A1362">
        <f t="shared" si="86"/>
        <v>2</v>
      </c>
      <c r="B1362">
        <v>2</v>
      </c>
      <c r="C1362" t="s">
        <v>70</v>
      </c>
      <c r="D1362" t="s">
        <v>33</v>
      </c>
      <c r="E1362">
        <f t="shared" si="87"/>
        <v>1</v>
      </c>
      <c r="F1362">
        <v>1</v>
      </c>
      <c r="G1362">
        <f t="shared" si="89"/>
        <v>4501</v>
      </c>
      <c r="H1362" t="s">
        <v>34</v>
      </c>
      <c r="I1362" t="str">
        <f t="shared" si="88"/>
        <v>[{1000,1,1,4501,101}]</v>
      </c>
    </row>
    <row r="1363" spans="1:9">
      <c r="A1363">
        <f t="shared" si="86"/>
        <v>3</v>
      </c>
      <c r="B1363">
        <v>3</v>
      </c>
      <c r="C1363" t="s">
        <v>70</v>
      </c>
      <c r="D1363" t="s">
        <v>33</v>
      </c>
      <c r="E1363">
        <f t="shared" si="87"/>
        <v>1</v>
      </c>
      <c r="F1363">
        <v>1</v>
      </c>
      <c r="G1363">
        <f t="shared" si="89"/>
        <v>4501</v>
      </c>
      <c r="H1363" t="s">
        <v>34</v>
      </c>
      <c r="I1363" t="str">
        <f t="shared" si="88"/>
        <v>[{1000,1,1,4501,101}]</v>
      </c>
    </row>
    <row r="1364" spans="1:9">
      <c r="A1364">
        <f t="shared" si="86"/>
        <v>4</v>
      </c>
      <c r="B1364">
        <v>4</v>
      </c>
      <c r="C1364" t="s">
        <v>70</v>
      </c>
      <c r="D1364" t="s">
        <v>33</v>
      </c>
      <c r="E1364">
        <f t="shared" si="87"/>
        <v>1</v>
      </c>
      <c r="F1364">
        <v>1</v>
      </c>
      <c r="G1364">
        <f t="shared" si="89"/>
        <v>4501</v>
      </c>
      <c r="H1364" t="s">
        <v>34</v>
      </c>
      <c r="I1364" t="str">
        <f t="shared" si="88"/>
        <v>[{1000,1,1,4501,101}]</v>
      </c>
    </row>
    <row r="1365" spans="1:9">
      <c r="A1365">
        <f t="shared" si="86"/>
        <v>5</v>
      </c>
      <c r="B1365">
        <v>5</v>
      </c>
      <c r="C1365" t="s">
        <v>70</v>
      </c>
      <c r="D1365" t="s">
        <v>33</v>
      </c>
      <c r="E1365">
        <f t="shared" si="87"/>
        <v>1</v>
      </c>
      <c r="F1365">
        <v>1</v>
      </c>
      <c r="G1365">
        <f t="shared" si="89"/>
        <v>4501</v>
      </c>
      <c r="H1365" t="s">
        <v>34</v>
      </c>
      <c r="I1365" t="str">
        <f t="shared" si="88"/>
        <v>[{1000,1,1,4501,101}]</v>
      </c>
    </row>
    <row r="1366" spans="1:9">
      <c r="A1366">
        <f t="shared" si="86"/>
        <v>6</v>
      </c>
      <c r="B1366">
        <v>6</v>
      </c>
      <c r="C1366" t="s">
        <v>70</v>
      </c>
      <c r="D1366" t="s">
        <v>33</v>
      </c>
      <c r="E1366">
        <f t="shared" si="87"/>
        <v>1</v>
      </c>
      <c r="F1366">
        <v>1</v>
      </c>
      <c r="G1366">
        <f t="shared" si="89"/>
        <v>4501</v>
      </c>
      <c r="H1366" t="s">
        <v>34</v>
      </c>
      <c r="I1366" t="str">
        <f t="shared" si="88"/>
        <v>[{1000,1,1,4501,101}]</v>
      </c>
    </row>
    <row r="1367" spans="1:9">
      <c r="A1367">
        <f t="shared" si="86"/>
        <v>7</v>
      </c>
      <c r="B1367">
        <v>7</v>
      </c>
      <c r="C1367" t="s">
        <v>70</v>
      </c>
      <c r="D1367" t="s">
        <v>33</v>
      </c>
      <c r="E1367">
        <f t="shared" si="87"/>
        <v>1</v>
      </c>
      <c r="F1367">
        <v>1</v>
      </c>
      <c r="G1367">
        <f t="shared" si="89"/>
        <v>4501</v>
      </c>
      <c r="H1367" t="s">
        <v>34</v>
      </c>
      <c r="I1367" t="str">
        <f t="shared" si="88"/>
        <v>[{1000,1,1,4501,101}]</v>
      </c>
    </row>
    <row r="1368" spans="1:9">
      <c r="A1368">
        <f t="shared" si="86"/>
        <v>7</v>
      </c>
      <c r="B1368">
        <v>7</v>
      </c>
      <c r="C1368" t="s">
        <v>70</v>
      </c>
      <c r="D1368" t="s">
        <v>33</v>
      </c>
      <c r="E1368">
        <f t="shared" si="87"/>
        <v>1</v>
      </c>
      <c r="F1368">
        <v>1</v>
      </c>
      <c r="G1368">
        <f t="shared" si="89"/>
        <v>4502</v>
      </c>
      <c r="H1368" t="s">
        <v>34</v>
      </c>
      <c r="I1368" t="str">
        <f t="shared" si="88"/>
        <v>[{1000,1,1,4502,101}]</v>
      </c>
    </row>
    <row r="1369" spans="1:9">
      <c r="A1369">
        <f t="shared" si="86"/>
        <v>8</v>
      </c>
      <c r="B1369">
        <v>8</v>
      </c>
      <c r="C1369" t="s">
        <v>70</v>
      </c>
      <c r="D1369" t="s">
        <v>33</v>
      </c>
      <c r="E1369">
        <f t="shared" si="87"/>
        <v>1</v>
      </c>
      <c r="F1369">
        <v>1</v>
      </c>
      <c r="G1369">
        <f t="shared" si="89"/>
        <v>4501</v>
      </c>
      <c r="H1369" t="s">
        <v>34</v>
      </c>
      <c r="I1369" t="str">
        <f t="shared" si="88"/>
        <v>[{1000,1,1,4501,101}]</v>
      </c>
    </row>
    <row r="1370" spans="1:9">
      <c r="A1370">
        <f t="shared" si="86"/>
        <v>8</v>
      </c>
      <c r="B1370">
        <v>8</v>
      </c>
      <c r="C1370" t="s">
        <v>70</v>
      </c>
      <c r="D1370" t="s">
        <v>33</v>
      </c>
      <c r="E1370">
        <f t="shared" si="87"/>
        <v>1</v>
      </c>
      <c r="F1370">
        <v>1</v>
      </c>
      <c r="G1370">
        <f t="shared" si="89"/>
        <v>4502</v>
      </c>
      <c r="H1370" t="s">
        <v>34</v>
      </c>
      <c r="I1370" t="str">
        <f t="shared" si="88"/>
        <v>[{1000,1,1,4502,101}]</v>
      </c>
    </row>
    <row r="1371" spans="1:9">
      <c r="A1371">
        <f t="shared" si="86"/>
        <v>9</v>
      </c>
      <c r="B1371">
        <v>9</v>
      </c>
      <c r="C1371" t="s">
        <v>70</v>
      </c>
      <c r="D1371" t="s">
        <v>33</v>
      </c>
      <c r="E1371">
        <f t="shared" si="87"/>
        <v>1</v>
      </c>
      <c r="F1371">
        <v>1</v>
      </c>
      <c r="G1371">
        <f t="shared" si="89"/>
        <v>4501</v>
      </c>
      <c r="H1371" t="s">
        <v>34</v>
      </c>
      <c r="I1371" t="str">
        <f t="shared" si="88"/>
        <v>[{1000,1,1,4501,101}]</v>
      </c>
    </row>
    <row r="1372" spans="1:9">
      <c r="A1372">
        <f t="shared" si="86"/>
        <v>9</v>
      </c>
      <c r="B1372">
        <v>9</v>
      </c>
      <c r="C1372" t="s">
        <v>70</v>
      </c>
      <c r="D1372" t="s">
        <v>33</v>
      </c>
      <c r="E1372">
        <f t="shared" si="87"/>
        <v>1</v>
      </c>
      <c r="F1372">
        <v>1</v>
      </c>
      <c r="G1372">
        <f t="shared" si="89"/>
        <v>4502</v>
      </c>
      <c r="H1372" t="s">
        <v>34</v>
      </c>
      <c r="I1372" t="str">
        <f t="shared" si="88"/>
        <v>[{1000,1,1,4502,101}]</v>
      </c>
    </row>
    <row r="1373" spans="1:9">
      <c r="A1373">
        <f t="shared" si="86"/>
        <v>10</v>
      </c>
      <c r="B1373">
        <v>10</v>
      </c>
      <c r="C1373" t="s">
        <v>70</v>
      </c>
      <c r="D1373" t="s">
        <v>33</v>
      </c>
      <c r="E1373">
        <f t="shared" si="87"/>
        <v>1</v>
      </c>
      <c r="F1373">
        <v>1</v>
      </c>
      <c r="G1373">
        <f t="shared" si="89"/>
        <v>4501</v>
      </c>
      <c r="H1373" t="s">
        <v>34</v>
      </c>
      <c r="I1373" t="str">
        <f t="shared" si="88"/>
        <v>[{1000,1,1,4501,101}]</v>
      </c>
    </row>
    <row r="1374" spans="1:9">
      <c r="A1374">
        <f t="shared" si="86"/>
        <v>10</v>
      </c>
      <c r="B1374">
        <v>10</v>
      </c>
      <c r="C1374" t="s">
        <v>70</v>
      </c>
      <c r="D1374" t="s">
        <v>33</v>
      </c>
      <c r="E1374">
        <f t="shared" si="87"/>
        <v>1</v>
      </c>
      <c r="F1374">
        <v>1</v>
      </c>
      <c r="G1374">
        <f t="shared" si="89"/>
        <v>4502</v>
      </c>
      <c r="H1374" t="s">
        <v>34</v>
      </c>
      <c r="I1374" t="str">
        <f t="shared" si="88"/>
        <v>[{1000,1,1,4502,101}]</v>
      </c>
    </row>
    <row r="1375" spans="1:9">
      <c r="A1375" t="str">
        <f t="shared" si="86"/>
        <v/>
      </c>
      <c r="B1375">
        <v>10</v>
      </c>
      <c r="C1375" t="s">
        <v>70</v>
      </c>
      <c r="D1375" s="11" t="s">
        <v>28</v>
      </c>
      <c r="E1375" t="str">
        <f t="shared" si="87"/>
        <v/>
      </c>
      <c r="G1375" t="str">
        <f t="shared" si="89"/>
        <v/>
      </c>
      <c r="I1375" t="str">
        <f t="shared" si="88"/>
        <v>[]</v>
      </c>
    </row>
    <row r="1376" spans="1:9">
      <c r="A1376">
        <f t="shared" si="86"/>
        <v>10</v>
      </c>
      <c r="B1376">
        <v>10</v>
      </c>
      <c r="C1376" t="s">
        <v>70</v>
      </c>
      <c r="D1376" t="s">
        <v>33</v>
      </c>
      <c r="E1376">
        <f t="shared" si="87"/>
        <v>1</v>
      </c>
      <c r="F1376">
        <v>0</v>
      </c>
      <c r="G1376">
        <f t="shared" si="89"/>
        <v>4521</v>
      </c>
      <c r="H1376" t="s">
        <v>36</v>
      </c>
      <c r="I1376" t="str">
        <f t="shared" si="88"/>
        <v>[{1000,1,0,4521,41}]</v>
      </c>
    </row>
    <row r="1377" spans="1:9">
      <c r="A1377">
        <f t="shared" si="86"/>
        <v>11</v>
      </c>
      <c r="B1377">
        <v>11</v>
      </c>
      <c r="C1377" t="s">
        <v>70</v>
      </c>
      <c r="D1377" t="s">
        <v>33</v>
      </c>
      <c r="E1377">
        <f t="shared" si="87"/>
        <v>1</v>
      </c>
      <c r="F1377">
        <v>1</v>
      </c>
      <c r="G1377">
        <f t="shared" si="89"/>
        <v>4501</v>
      </c>
      <c r="H1377" t="s">
        <v>34</v>
      </c>
      <c r="I1377" t="str">
        <f t="shared" si="88"/>
        <v>[{1000,1,1,4501,101}]</v>
      </c>
    </row>
    <row r="1378" spans="1:9">
      <c r="A1378">
        <f t="shared" si="86"/>
        <v>11</v>
      </c>
      <c r="B1378">
        <v>11</v>
      </c>
      <c r="C1378" t="s">
        <v>70</v>
      </c>
      <c r="D1378" t="s">
        <v>33</v>
      </c>
      <c r="E1378">
        <f t="shared" si="87"/>
        <v>1</v>
      </c>
      <c r="F1378">
        <v>1</v>
      </c>
      <c r="G1378">
        <f t="shared" si="89"/>
        <v>4502</v>
      </c>
      <c r="H1378" t="s">
        <v>34</v>
      </c>
      <c r="I1378" t="str">
        <f t="shared" si="88"/>
        <v>[{1000,1,1,4502,101}]</v>
      </c>
    </row>
    <row r="1379" spans="1:9">
      <c r="A1379">
        <f t="shared" si="86"/>
        <v>12</v>
      </c>
      <c r="B1379">
        <v>12</v>
      </c>
      <c r="C1379" t="s">
        <v>70</v>
      </c>
      <c r="D1379" t="s">
        <v>33</v>
      </c>
      <c r="E1379">
        <f t="shared" si="87"/>
        <v>1</v>
      </c>
      <c r="F1379">
        <v>1</v>
      </c>
      <c r="G1379">
        <f t="shared" si="89"/>
        <v>4501</v>
      </c>
      <c r="H1379" t="s">
        <v>34</v>
      </c>
      <c r="I1379" t="str">
        <f t="shared" si="88"/>
        <v>[{1000,1,1,4501,101}]</v>
      </c>
    </row>
    <row r="1380" spans="1:9">
      <c r="A1380">
        <f t="shared" ref="A1380:A1405" si="90">IF(E1380="","",B1380)</f>
        <v>12</v>
      </c>
      <c r="B1380">
        <v>12</v>
      </c>
      <c r="C1380" t="s">
        <v>70</v>
      </c>
      <c r="D1380" t="s">
        <v>33</v>
      </c>
      <c r="E1380">
        <f t="shared" si="87"/>
        <v>1</v>
      </c>
      <c r="F1380">
        <v>1</v>
      </c>
      <c r="G1380">
        <f t="shared" si="89"/>
        <v>4502</v>
      </c>
      <c r="H1380" t="s">
        <v>34</v>
      </c>
      <c r="I1380" t="str">
        <f t="shared" si="88"/>
        <v>[{1000,1,1,4502,101}]</v>
      </c>
    </row>
    <row r="1381" spans="1:9">
      <c r="A1381">
        <f t="shared" si="90"/>
        <v>13</v>
      </c>
      <c r="B1381">
        <v>13</v>
      </c>
      <c r="C1381" t="s">
        <v>70</v>
      </c>
      <c r="D1381" t="s">
        <v>33</v>
      </c>
      <c r="E1381">
        <f t="shared" ref="E1381:E1405" si="91">IF(D1381="[]","",1)</f>
        <v>1</v>
      </c>
      <c r="F1381">
        <v>1</v>
      </c>
      <c r="G1381">
        <f t="shared" si="89"/>
        <v>4501</v>
      </c>
      <c r="H1381" t="s">
        <v>34</v>
      </c>
      <c r="I1381" t="str">
        <f t="shared" si="88"/>
        <v>[{1000,1,1,4501,101}]</v>
      </c>
    </row>
    <row r="1382" spans="1:9">
      <c r="A1382">
        <f t="shared" si="90"/>
        <v>13</v>
      </c>
      <c r="B1382">
        <v>13</v>
      </c>
      <c r="C1382" t="s">
        <v>70</v>
      </c>
      <c r="D1382" t="s">
        <v>33</v>
      </c>
      <c r="E1382">
        <f t="shared" si="91"/>
        <v>1</v>
      </c>
      <c r="F1382">
        <v>1</v>
      </c>
      <c r="G1382">
        <f t="shared" si="89"/>
        <v>4502</v>
      </c>
      <c r="H1382" t="s">
        <v>34</v>
      </c>
      <c r="I1382" t="str">
        <f t="shared" si="88"/>
        <v>[{1000,1,1,4502,101}]</v>
      </c>
    </row>
    <row r="1383" spans="1:9">
      <c r="A1383">
        <f t="shared" si="90"/>
        <v>14</v>
      </c>
      <c r="B1383">
        <v>14</v>
      </c>
      <c r="C1383" t="s">
        <v>70</v>
      </c>
      <c r="D1383" t="s">
        <v>33</v>
      </c>
      <c r="E1383">
        <f t="shared" si="91"/>
        <v>1</v>
      </c>
      <c r="F1383">
        <v>1</v>
      </c>
      <c r="G1383">
        <f t="shared" si="89"/>
        <v>4501</v>
      </c>
      <c r="H1383" t="s">
        <v>34</v>
      </c>
      <c r="I1383" t="str">
        <f t="shared" si="88"/>
        <v>[{1000,1,1,4501,101}]</v>
      </c>
    </row>
    <row r="1384" spans="1:9">
      <c r="A1384">
        <f t="shared" si="90"/>
        <v>14</v>
      </c>
      <c r="B1384">
        <v>14</v>
      </c>
      <c r="C1384" t="s">
        <v>70</v>
      </c>
      <c r="D1384" t="s">
        <v>33</v>
      </c>
      <c r="E1384">
        <f t="shared" si="91"/>
        <v>1</v>
      </c>
      <c r="F1384">
        <v>1</v>
      </c>
      <c r="G1384">
        <f t="shared" si="89"/>
        <v>4502</v>
      </c>
      <c r="H1384" t="s">
        <v>34</v>
      </c>
      <c r="I1384" t="str">
        <f t="shared" si="88"/>
        <v>[{1000,1,1,4502,101}]</v>
      </c>
    </row>
    <row r="1385" spans="1:9">
      <c r="A1385">
        <f t="shared" si="90"/>
        <v>14</v>
      </c>
      <c r="B1385">
        <v>14</v>
      </c>
      <c r="C1385" t="s">
        <v>70</v>
      </c>
      <c r="D1385" t="s">
        <v>33</v>
      </c>
      <c r="E1385">
        <f t="shared" si="91"/>
        <v>1</v>
      </c>
      <c r="F1385">
        <v>1</v>
      </c>
      <c r="G1385">
        <f t="shared" si="89"/>
        <v>4503</v>
      </c>
      <c r="H1385" t="s">
        <v>34</v>
      </c>
      <c r="I1385" t="str">
        <f t="shared" si="88"/>
        <v>[{1000,1,1,4503,101}]</v>
      </c>
    </row>
    <row r="1386" spans="1:9">
      <c r="A1386">
        <f t="shared" si="90"/>
        <v>15</v>
      </c>
      <c r="B1386">
        <v>15</v>
      </c>
      <c r="C1386" t="s">
        <v>70</v>
      </c>
      <c r="D1386" t="s">
        <v>33</v>
      </c>
      <c r="E1386">
        <f t="shared" si="91"/>
        <v>1</v>
      </c>
      <c r="F1386">
        <v>1</v>
      </c>
      <c r="G1386">
        <f t="shared" si="89"/>
        <v>4501</v>
      </c>
      <c r="H1386" t="s">
        <v>34</v>
      </c>
      <c r="I1386" t="str">
        <f t="shared" si="88"/>
        <v>[{1000,1,1,4501,101}]</v>
      </c>
    </row>
    <row r="1387" spans="1:9">
      <c r="A1387">
        <f t="shared" si="90"/>
        <v>15</v>
      </c>
      <c r="B1387">
        <v>15</v>
      </c>
      <c r="C1387" t="s">
        <v>70</v>
      </c>
      <c r="D1387" t="s">
        <v>33</v>
      </c>
      <c r="E1387">
        <f t="shared" si="91"/>
        <v>1</v>
      </c>
      <c r="F1387">
        <v>1</v>
      </c>
      <c r="G1387">
        <f t="shared" si="89"/>
        <v>4502</v>
      </c>
      <c r="H1387" t="s">
        <v>34</v>
      </c>
      <c r="I1387" t="str">
        <f t="shared" si="88"/>
        <v>[{1000,1,1,4502,101}]</v>
      </c>
    </row>
    <row r="1388" spans="1:9">
      <c r="A1388">
        <f t="shared" si="90"/>
        <v>15</v>
      </c>
      <c r="B1388">
        <v>15</v>
      </c>
      <c r="C1388" t="s">
        <v>70</v>
      </c>
      <c r="D1388" t="s">
        <v>33</v>
      </c>
      <c r="E1388">
        <f t="shared" si="91"/>
        <v>1</v>
      </c>
      <c r="F1388">
        <v>1</v>
      </c>
      <c r="G1388">
        <f t="shared" si="89"/>
        <v>4503</v>
      </c>
      <c r="H1388" t="s">
        <v>34</v>
      </c>
      <c r="I1388" t="str">
        <f t="shared" si="88"/>
        <v>[{1000,1,1,4503,101}]</v>
      </c>
    </row>
    <row r="1389" spans="1:9">
      <c r="A1389">
        <f t="shared" si="90"/>
        <v>16</v>
      </c>
      <c r="B1389">
        <v>16</v>
      </c>
      <c r="C1389" t="s">
        <v>70</v>
      </c>
      <c r="D1389" t="s">
        <v>33</v>
      </c>
      <c r="E1389">
        <f t="shared" si="91"/>
        <v>1</v>
      </c>
      <c r="F1389">
        <v>1</v>
      </c>
      <c r="G1389">
        <f t="shared" si="89"/>
        <v>4501</v>
      </c>
      <c r="H1389" t="s">
        <v>34</v>
      </c>
      <c r="I1389" t="str">
        <f t="shared" si="88"/>
        <v>[{1000,1,1,4501,101}]</v>
      </c>
    </row>
    <row r="1390" spans="1:9">
      <c r="A1390">
        <f t="shared" si="90"/>
        <v>16</v>
      </c>
      <c r="B1390">
        <v>16</v>
      </c>
      <c r="C1390" t="s">
        <v>70</v>
      </c>
      <c r="D1390" t="s">
        <v>33</v>
      </c>
      <c r="E1390">
        <f t="shared" si="91"/>
        <v>1</v>
      </c>
      <c r="F1390">
        <v>1</v>
      </c>
      <c r="G1390">
        <f t="shared" si="89"/>
        <v>4502</v>
      </c>
      <c r="H1390" t="s">
        <v>34</v>
      </c>
      <c r="I1390" t="str">
        <f t="shared" si="88"/>
        <v>[{1000,1,1,4502,101}]</v>
      </c>
    </row>
    <row r="1391" spans="1:9">
      <c r="A1391">
        <f t="shared" si="90"/>
        <v>16</v>
      </c>
      <c r="B1391">
        <v>16</v>
      </c>
      <c r="C1391" t="s">
        <v>70</v>
      </c>
      <c r="D1391" t="s">
        <v>33</v>
      </c>
      <c r="E1391">
        <f t="shared" si="91"/>
        <v>1</v>
      </c>
      <c r="F1391">
        <v>1</v>
      </c>
      <c r="G1391">
        <f t="shared" si="89"/>
        <v>4503</v>
      </c>
      <c r="H1391" t="s">
        <v>34</v>
      </c>
      <c r="I1391" t="str">
        <f t="shared" si="88"/>
        <v>[{1000,1,1,4503,101}]</v>
      </c>
    </row>
    <row r="1392" spans="1:9">
      <c r="A1392">
        <f t="shared" si="90"/>
        <v>17</v>
      </c>
      <c r="B1392">
        <v>17</v>
      </c>
      <c r="C1392" t="s">
        <v>70</v>
      </c>
      <c r="D1392" t="s">
        <v>33</v>
      </c>
      <c r="E1392">
        <f t="shared" si="91"/>
        <v>1</v>
      </c>
      <c r="F1392">
        <v>1</v>
      </c>
      <c r="G1392">
        <f t="shared" si="89"/>
        <v>4501</v>
      </c>
      <c r="H1392" t="s">
        <v>34</v>
      </c>
      <c r="I1392" t="str">
        <f t="shared" si="88"/>
        <v>[{1000,1,1,4501,101}]</v>
      </c>
    </row>
    <row r="1393" spans="1:9">
      <c r="A1393">
        <f t="shared" si="90"/>
        <v>17</v>
      </c>
      <c r="B1393">
        <v>17</v>
      </c>
      <c r="C1393" t="s">
        <v>70</v>
      </c>
      <c r="D1393" t="s">
        <v>33</v>
      </c>
      <c r="E1393">
        <f t="shared" si="91"/>
        <v>1</v>
      </c>
      <c r="F1393">
        <v>1</v>
      </c>
      <c r="G1393">
        <f t="shared" si="89"/>
        <v>4502</v>
      </c>
      <c r="H1393" t="s">
        <v>34</v>
      </c>
      <c r="I1393" t="str">
        <f t="shared" si="88"/>
        <v>[{1000,1,1,4502,101}]</v>
      </c>
    </row>
    <row r="1394" spans="1:9">
      <c r="A1394">
        <f t="shared" si="90"/>
        <v>17</v>
      </c>
      <c r="B1394">
        <v>17</v>
      </c>
      <c r="C1394" t="s">
        <v>70</v>
      </c>
      <c r="D1394" t="s">
        <v>33</v>
      </c>
      <c r="E1394">
        <f t="shared" si="91"/>
        <v>1</v>
      </c>
      <c r="F1394">
        <v>1</v>
      </c>
      <c r="G1394">
        <f t="shared" si="89"/>
        <v>4503</v>
      </c>
      <c r="H1394" t="s">
        <v>34</v>
      </c>
      <c r="I1394" t="str">
        <f t="shared" si="88"/>
        <v>[{1000,1,1,4503,101}]</v>
      </c>
    </row>
    <row r="1395" spans="1:9">
      <c r="A1395">
        <f t="shared" si="90"/>
        <v>18</v>
      </c>
      <c r="B1395">
        <v>18</v>
      </c>
      <c r="C1395" t="s">
        <v>70</v>
      </c>
      <c r="D1395" t="s">
        <v>33</v>
      </c>
      <c r="E1395">
        <f t="shared" si="91"/>
        <v>1</v>
      </c>
      <c r="F1395">
        <v>1</v>
      </c>
      <c r="G1395">
        <f t="shared" si="89"/>
        <v>4501</v>
      </c>
      <c r="H1395" t="s">
        <v>34</v>
      </c>
      <c r="I1395" t="str">
        <f t="shared" si="88"/>
        <v>[{1000,1,1,4501,101}]</v>
      </c>
    </row>
    <row r="1396" spans="1:9">
      <c r="A1396">
        <f t="shared" si="90"/>
        <v>18</v>
      </c>
      <c r="B1396">
        <v>18</v>
      </c>
      <c r="C1396" t="s">
        <v>70</v>
      </c>
      <c r="D1396" t="s">
        <v>33</v>
      </c>
      <c r="E1396">
        <f t="shared" si="91"/>
        <v>1</v>
      </c>
      <c r="F1396">
        <v>1</v>
      </c>
      <c r="G1396">
        <f t="shared" si="89"/>
        <v>4502</v>
      </c>
      <c r="H1396" t="s">
        <v>34</v>
      </c>
      <c r="I1396" t="str">
        <f t="shared" si="88"/>
        <v>[{1000,1,1,4502,101}]</v>
      </c>
    </row>
    <row r="1397" spans="1:9">
      <c r="A1397">
        <f t="shared" si="90"/>
        <v>18</v>
      </c>
      <c r="B1397">
        <v>18</v>
      </c>
      <c r="C1397" t="s">
        <v>70</v>
      </c>
      <c r="D1397" t="s">
        <v>33</v>
      </c>
      <c r="E1397">
        <f t="shared" si="91"/>
        <v>1</v>
      </c>
      <c r="F1397">
        <v>1</v>
      </c>
      <c r="G1397">
        <f t="shared" si="89"/>
        <v>4503</v>
      </c>
      <c r="H1397" t="s">
        <v>34</v>
      </c>
      <c r="I1397" t="str">
        <f t="shared" si="88"/>
        <v>[{1000,1,1,4503,101}]</v>
      </c>
    </row>
    <row r="1398" spans="1:9">
      <c r="A1398">
        <f t="shared" si="90"/>
        <v>19</v>
      </c>
      <c r="B1398">
        <v>19</v>
      </c>
      <c r="C1398" t="s">
        <v>70</v>
      </c>
      <c r="D1398" t="s">
        <v>33</v>
      </c>
      <c r="E1398">
        <f t="shared" si="91"/>
        <v>1</v>
      </c>
      <c r="F1398">
        <v>1</v>
      </c>
      <c r="G1398">
        <f t="shared" si="89"/>
        <v>4501</v>
      </c>
      <c r="H1398" t="s">
        <v>34</v>
      </c>
      <c r="I1398" t="str">
        <f t="shared" si="88"/>
        <v>[{1000,1,1,4501,101}]</v>
      </c>
    </row>
    <row r="1399" spans="1:9">
      <c r="A1399">
        <f t="shared" si="90"/>
        <v>19</v>
      </c>
      <c r="B1399">
        <v>19</v>
      </c>
      <c r="C1399" t="s">
        <v>70</v>
      </c>
      <c r="D1399" t="s">
        <v>33</v>
      </c>
      <c r="E1399">
        <f t="shared" si="91"/>
        <v>1</v>
      </c>
      <c r="F1399">
        <v>1</v>
      </c>
      <c r="G1399">
        <f t="shared" si="89"/>
        <v>4502</v>
      </c>
      <c r="H1399" t="s">
        <v>34</v>
      </c>
      <c r="I1399" t="str">
        <f t="shared" si="88"/>
        <v>[{1000,1,1,4502,101}]</v>
      </c>
    </row>
    <row r="1400" spans="1:9">
      <c r="A1400">
        <f t="shared" si="90"/>
        <v>19</v>
      </c>
      <c r="B1400">
        <v>19</v>
      </c>
      <c r="C1400" t="s">
        <v>70</v>
      </c>
      <c r="D1400" t="s">
        <v>33</v>
      </c>
      <c r="E1400">
        <f t="shared" si="91"/>
        <v>1</v>
      </c>
      <c r="F1400">
        <v>1</v>
      </c>
      <c r="G1400">
        <f t="shared" si="89"/>
        <v>4503</v>
      </c>
      <c r="H1400" t="s">
        <v>34</v>
      </c>
      <c r="I1400" t="str">
        <f t="shared" si="88"/>
        <v>[{1000,1,1,4503,101}]</v>
      </c>
    </row>
    <row r="1401" spans="1:9">
      <c r="A1401">
        <f t="shared" si="90"/>
        <v>20</v>
      </c>
      <c r="B1401">
        <v>20</v>
      </c>
      <c r="C1401" t="s">
        <v>70</v>
      </c>
      <c r="D1401" t="s">
        <v>33</v>
      </c>
      <c r="E1401">
        <f t="shared" si="91"/>
        <v>1</v>
      </c>
      <c r="F1401">
        <v>1</v>
      </c>
      <c r="G1401">
        <f t="shared" si="89"/>
        <v>4501</v>
      </c>
      <c r="H1401" t="s">
        <v>34</v>
      </c>
      <c r="I1401" t="str">
        <f t="shared" si="88"/>
        <v>[{1000,1,1,4501,101}]</v>
      </c>
    </row>
    <row r="1402" spans="1:9">
      <c r="A1402">
        <f t="shared" si="90"/>
        <v>20</v>
      </c>
      <c r="B1402">
        <v>20</v>
      </c>
      <c r="C1402" t="s">
        <v>70</v>
      </c>
      <c r="D1402" t="s">
        <v>33</v>
      </c>
      <c r="E1402">
        <f t="shared" si="91"/>
        <v>1</v>
      </c>
      <c r="F1402">
        <v>1</v>
      </c>
      <c r="G1402">
        <f t="shared" si="89"/>
        <v>4502</v>
      </c>
      <c r="H1402" t="s">
        <v>34</v>
      </c>
      <c r="I1402" t="str">
        <f t="shared" si="88"/>
        <v>[{1000,1,1,4502,101}]</v>
      </c>
    </row>
    <row r="1403" spans="1:9">
      <c r="A1403">
        <f t="shared" si="90"/>
        <v>20</v>
      </c>
      <c r="B1403">
        <v>20</v>
      </c>
      <c r="C1403" t="s">
        <v>70</v>
      </c>
      <c r="D1403" s="11" t="s">
        <v>33</v>
      </c>
      <c r="E1403">
        <f t="shared" si="91"/>
        <v>1</v>
      </c>
      <c r="F1403">
        <v>1</v>
      </c>
      <c r="G1403">
        <f t="shared" si="89"/>
        <v>4503</v>
      </c>
      <c r="H1403" t="s">
        <v>34</v>
      </c>
      <c r="I1403" t="str">
        <f t="shared" si="88"/>
        <v>[{1000,1,1,4503,101}]</v>
      </c>
    </row>
    <row r="1404" spans="1:9">
      <c r="A1404" t="str">
        <f t="shared" si="90"/>
        <v/>
      </c>
      <c r="B1404">
        <v>20</v>
      </c>
      <c r="C1404" t="s">
        <v>70</v>
      </c>
      <c r="D1404" s="11" t="s">
        <v>28</v>
      </c>
      <c r="E1404" t="str">
        <f t="shared" si="91"/>
        <v/>
      </c>
      <c r="G1404" t="str">
        <f t="shared" si="89"/>
        <v/>
      </c>
      <c r="I1404" t="str">
        <f t="shared" si="88"/>
        <v>[]</v>
      </c>
    </row>
    <row r="1405" spans="1:9">
      <c r="A1405">
        <f t="shared" si="90"/>
        <v>20</v>
      </c>
      <c r="B1405">
        <v>20</v>
      </c>
      <c r="C1405" t="s">
        <v>70</v>
      </c>
      <c r="D1405" s="11" t="s">
        <v>33</v>
      </c>
      <c r="E1405">
        <f t="shared" si="91"/>
        <v>1</v>
      </c>
      <c r="F1405">
        <v>0</v>
      </c>
      <c r="G1405">
        <f t="shared" si="89"/>
        <v>4531</v>
      </c>
      <c r="H1405" t="s">
        <v>36</v>
      </c>
      <c r="I1405" t="str">
        <f t="shared" si="88"/>
        <v>[{1000,1,0,4531,41}]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83"/>
  <sheetViews>
    <sheetView topLeftCell="A13" workbookViewId="0">
      <selection activeCell="J39" sqref="J39"/>
    </sheetView>
  </sheetViews>
  <sheetFormatPr defaultColWidth="9" defaultRowHeight="13.5"/>
  <sheetData>
    <row r="1" spans="2:6">
      <c r="B1">
        <v>1</v>
      </c>
      <c r="C1">
        <v>5201</v>
      </c>
      <c r="D1">
        <f>IF(COUNTIF(B1:B1,B1)&gt;1,"",B1)</f>
        <v>1</v>
      </c>
      <c r="E1">
        <f>IF(D1="","",C1)</f>
        <v>5201</v>
      </c>
      <c r="F1" t="str">
        <f>"["&amp;_xlfn.TEXTJOIN(",",1,E1:E38)&amp;"]"</f>
        <v>[5201,5202,5203,5204,5205,5206,5207,5209,5211,5213,5217,5219,5221,5223,5225,5227,5229,5231,5233,5235]</v>
      </c>
    </row>
    <row r="2" spans="2:5">
      <c r="B2">
        <v>2</v>
      </c>
      <c r="C2">
        <v>5202</v>
      </c>
      <c r="D2">
        <f>IF(COUNTIF(B1:B2,B2)&gt;1,"",B2)</f>
        <v>2</v>
      </c>
      <c r="E2">
        <f t="shared" ref="E2:E17" si="0">IF(D2="","",C2)</f>
        <v>5202</v>
      </c>
    </row>
    <row r="3" spans="2:5">
      <c r="B3">
        <v>3</v>
      </c>
      <c r="C3">
        <v>5203</v>
      </c>
      <c r="D3">
        <f>IF(COUNTIF(B1:B3,B3)&gt;1,"",B3)</f>
        <v>3</v>
      </c>
      <c r="E3">
        <f t="shared" si="0"/>
        <v>5203</v>
      </c>
    </row>
    <row r="4" spans="2:5">
      <c r="B4">
        <v>4</v>
      </c>
      <c r="C4">
        <v>5204</v>
      </c>
      <c r="D4">
        <f>IF(COUNTIF(B1:B4,B4)&gt;1,"",B4)</f>
        <v>4</v>
      </c>
      <c r="E4">
        <f t="shared" si="0"/>
        <v>5204</v>
      </c>
    </row>
    <row r="5" spans="2:5">
      <c r="B5">
        <v>5</v>
      </c>
      <c r="C5">
        <v>5205</v>
      </c>
      <c r="D5">
        <f>IF(COUNTIF(B1:B5,B5)&gt;1,"",B5)</f>
        <v>5</v>
      </c>
      <c r="E5">
        <f t="shared" si="0"/>
        <v>5205</v>
      </c>
    </row>
    <row r="6" spans="2:5">
      <c r="B6">
        <v>6</v>
      </c>
      <c r="C6">
        <v>5206</v>
      </c>
      <c r="D6">
        <f>IF(COUNTIF(B1:B6,B6)&gt;1,"",B6)</f>
        <v>6</v>
      </c>
      <c r="E6">
        <f t="shared" si="0"/>
        <v>5206</v>
      </c>
    </row>
    <row r="7" spans="2:5">
      <c r="B7">
        <v>7</v>
      </c>
      <c r="C7">
        <v>5207</v>
      </c>
      <c r="D7">
        <f>IF(COUNTIF(B1:B7,B7)&gt;1,"",B7)</f>
        <v>7</v>
      </c>
      <c r="E7">
        <f t="shared" si="0"/>
        <v>5207</v>
      </c>
    </row>
    <row r="8" spans="2:5">
      <c r="B8">
        <v>7</v>
      </c>
      <c r="C8">
        <v>5208</v>
      </c>
      <c r="D8" t="str">
        <f>IF(COUNTIF(B1:B8,B8)&gt;1,"",B8)</f>
        <v/>
      </c>
      <c r="E8" t="str">
        <f t="shared" si="0"/>
        <v/>
      </c>
    </row>
    <row r="9" spans="2:5">
      <c r="B9">
        <v>8</v>
      </c>
      <c r="C9">
        <v>5209</v>
      </c>
      <c r="D9">
        <f>IF(COUNTIF(B1:B9,B9)&gt;1,"",B9)</f>
        <v>8</v>
      </c>
      <c r="E9">
        <f t="shared" si="0"/>
        <v>5209</v>
      </c>
    </row>
    <row r="10" spans="2:5">
      <c r="B10">
        <v>8</v>
      </c>
      <c r="C10">
        <v>5210</v>
      </c>
      <c r="D10" t="str">
        <f>IF(COUNTIF(B1:B10,B10)&gt;1,"",B10)</f>
        <v/>
      </c>
      <c r="E10" t="str">
        <f t="shared" si="0"/>
        <v/>
      </c>
    </row>
    <row r="11" spans="2:5">
      <c r="B11">
        <v>9</v>
      </c>
      <c r="C11">
        <v>5211</v>
      </c>
      <c r="D11">
        <f>IF(COUNTIF(B1:B11,B11)&gt;1,"",B11)</f>
        <v>9</v>
      </c>
      <c r="E11">
        <f t="shared" si="0"/>
        <v>5211</v>
      </c>
    </row>
    <row r="12" spans="2:5">
      <c r="B12">
        <v>9</v>
      </c>
      <c r="C12">
        <v>5212</v>
      </c>
      <c r="D12" t="str">
        <f>IF(COUNTIF(B1:B12,B12)&gt;1,"",B12)</f>
        <v/>
      </c>
      <c r="E12" t="str">
        <f t="shared" si="0"/>
        <v/>
      </c>
    </row>
    <row r="13" spans="2:5">
      <c r="B13">
        <v>10</v>
      </c>
      <c r="C13">
        <v>5213</v>
      </c>
      <c r="D13">
        <f>IF(COUNTIF(B1:B13,B13)&gt;1,"",B13)</f>
        <v>10</v>
      </c>
      <c r="E13">
        <f t="shared" si="0"/>
        <v>5213</v>
      </c>
    </row>
    <row r="14" spans="2:5">
      <c r="B14">
        <v>10</v>
      </c>
      <c r="C14">
        <v>5214</v>
      </c>
      <c r="D14" t="str">
        <f>IF(COUNTIF(B1:B14,B14)&gt;1,"",B14)</f>
        <v/>
      </c>
      <c r="E14" t="str">
        <f t="shared" si="0"/>
        <v/>
      </c>
    </row>
    <row r="15" spans="2:5">
      <c r="B15">
        <v>10</v>
      </c>
      <c r="C15">
        <v>5215</v>
      </c>
      <c r="D15" t="str">
        <f>IF(COUNTIF(B1:B15,B15)&gt;1,"",B15)</f>
        <v/>
      </c>
      <c r="E15" t="str">
        <f t="shared" si="0"/>
        <v/>
      </c>
    </row>
    <row r="16" spans="2:5">
      <c r="B16">
        <v>10</v>
      </c>
      <c r="C16">
        <v>5216</v>
      </c>
      <c r="D16" t="str">
        <f>IF(COUNTIF(B1:B16,B16)&gt;1,"",B16)</f>
        <v/>
      </c>
      <c r="E16" t="str">
        <f t="shared" si="0"/>
        <v/>
      </c>
    </row>
    <row r="17" spans="2:5">
      <c r="B17">
        <v>11</v>
      </c>
      <c r="C17">
        <v>5217</v>
      </c>
      <c r="D17">
        <f>IF(COUNTIF(B1:B17,B17)&gt;1,"",B17)</f>
        <v>11</v>
      </c>
      <c r="E17">
        <f t="shared" si="0"/>
        <v>5217</v>
      </c>
    </row>
    <row r="18" spans="2:5">
      <c r="B18">
        <v>11</v>
      </c>
      <c r="C18">
        <v>5218</v>
      </c>
      <c r="D18" t="str">
        <f>IF(COUNTIF(B1:B18,B18)&gt;1,"",B18)</f>
        <v/>
      </c>
      <c r="E18" t="str">
        <f t="shared" ref="E18:E38" si="1">IF(D18="","",C18)</f>
        <v/>
      </c>
    </row>
    <row r="19" spans="2:5">
      <c r="B19">
        <v>12</v>
      </c>
      <c r="C19">
        <v>5219</v>
      </c>
      <c r="D19">
        <f>IF(COUNTIF(B1:B19,B19)&gt;1,"",B19)</f>
        <v>12</v>
      </c>
      <c r="E19">
        <f t="shared" si="1"/>
        <v>5219</v>
      </c>
    </row>
    <row r="20" spans="2:5">
      <c r="B20">
        <v>12</v>
      </c>
      <c r="C20">
        <v>5220</v>
      </c>
      <c r="D20" t="str">
        <f>IF(COUNTIF(B1:B20,B20)&gt;1,"",B20)</f>
        <v/>
      </c>
      <c r="E20" t="str">
        <f t="shared" si="1"/>
        <v/>
      </c>
    </row>
    <row r="21" spans="2:5">
      <c r="B21">
        <v>13</v>
      </c>
      <c r="C21">
        <v>5221</v>
      </c>
      <c r="D21">
        <f>IF(COUNTIF(B1:B21,B21)&gt;1,"",B21)</f>
        <v>13</v>
      </c>
      <c r="E21">
        <f t="shared" si="1"/>
        <v>5221</v>
      </c>
    </row>
    <row r="22" spans="2:5">
      <c r="B22">
        <v>13</v>
      </c>
      <c r="C22">
        <v>5222</v>
      </c>
      <c r="D22" t="str">
        <f>IF(COUNTIF(B1:B22,B22)&gt;1,"",B22)</f>
        <v/>
      </c>
      <c r="E22" t="str">
        <f t="shared" si="1"/>
        <v/>
      </c>
    </row>
    <row r="23" spans="2:5">
      <c r="B23">
        <v>14</v>
      </c>
      <c r="C23">
        <v>5223</v>
      </c>
      <c r="D23">
        <f>IF(COUNTIF(B1:B23,B23)&gt;1,"",B23)</f>
        <v>14</v>
      </c>
      <c r="E23">
        <f t="shared" si="1"/>
        <v>5223</v>
      </c>
    </row>
    <row r="24" spans="2:5">
      <c r="B24">
        <v>14</v>
      </c>
      <c r="C24">
        <v>5224</v>
      </c>
      <c r="D24" t="str">
        <f>IF(COUNTIF(B1:B24,B24)&gt;1,"",B24)</f>
        <v/>
      </c>
      <c r="E24" t="str">
        <f t="shared" si="1"/>
        <v/>
      </c>
    </row>
    <row r="25" spans="2:5">
      <c r="B25">
        <v>15</v>
      </c>
      <c r="C25">
        <v>5225</v>
      </c>
      <c r="D25">
        <f>IF(COUNTIF(B1:B25,B25)&gt;1,"",B25)</f>
        <v>15</v>
      </c>
      <c r="E25">
        <f t="shared" si="1"/>
        <v>5225</v>
      </c>
    </row>
    <row r="26" spans="2:5">
      <c r="B26">
        <v>15</v>
      </c>
      <c r="C26">
        <v>5226</v>
      </c>
      <c r="D26" t="str">
        <f>IF(COUNTIF(B1:B26,B26)&gt;1,"",B26)</f>
        <v/>
      </c>
      <c r="E26" t="str">
        <f t="shared" si="1"/>
        <v/>
      </c>
    </row>
    <row r="27" spans="2:5">
      <c r="B27">
        <v>16</v>
      </c>
      <c r="C27">
        <v>5227</v>
      </c>
      <c r="D27">
        <f>IF(COUNTIF(B1:B27,B27)&gt;1,"",B27)</f>
        <v>16</v>
      </c>
      <c r="E27">
        <f t="shared" si="1"/>
        <v>5227</v>
      </c>
    </row>
    <row r="28" spans="2:5">
      <c r="B28">
        <v>16</v>
      </c>
      <c r="C28">
        <v>5228</v>
      </c>
      <c r="D28" t="str">
        <f>IF(COUNTIF(B1:B28,B28)&gt;1,"",B28)</f>
        <v/>
      </c>
      <c r="E28" t="str">
        <f t="shared" si="1"/>
        <v/>
      </c>
    </row>
    <row r="29" spans="2:5">
      <c r="B29">
        <v>17</v>
      </c>
      <c r="C29">
        <v>5229</v>
      </c>
      <c r="D29">
        <f>IF(COUNTIF(B1:B29,B29)&gt;1,"",B29)</f>
        <v>17</v>
      </c>
      <c r="E29">
        <f t="shared" si="1"/>
        <v>5229</v>
      </c>
    </row>
    <row r="30" spans="2:5">
      <c r="B30">
        <v>17</v>
      </c>
      <c r="C30">
        <v>5230</v>
      </c>
      <c r="D30" t="str">
        <f>IF(COUNTIF(B1:B30,B30)&gt;1,"",B30)</f>
        <v/>
      </c>
      <c r="E30" t="str">
        <f t="shared" si="1"/>
        <v/>
      </c>
    </row>
    <row r="31" spans="2:5">
      <c r="B31">
        <v>18</v>
      </c>
      <c r="C31">
        <v>5231</v>
      </c>
      <c r="D31">
        <f>IF(COUNTIF(B1:B31,B31)&gt;1,"",B31)</f>
        <v>18</v>
      </c>
      <c r="E31">
        <f t="shared" si="1"/>
        <v>5231</v>
      </c>
    </row>
    <row r="32" spans="2:5">
      <c r="B32">
        <v>18</v>
      </c>
      <c r="C32">
        <v>5232</v>
      </c>
      <c r="D32" t="str">
        <f>IF(COUNTIF(B1:B32,B32)&gt;1,"",B32)</f>
        <v/>
      </c>
      <c r="E32" t="str">
        <f t="shared" si="1"/>
        <v/>
      </c>
    </row>
    <row r="33" spans="2:5">
      <c r="B33">
        <v>19</v>
      </c>
      <c r="C33">
        <v>5233</v>
      </c>
      <c r="D33">
        <f>IF(COUNTIF(B1:B33,B33)&gt;1,"",B33)</f>
        <v>19</v>
      </c>
      <c r="E33">
        <f t="shared" si="1"/>
        <v>5233</v>
      </c>
    </row>
    <row r="34" spans="2:5">
      <c r="B34">
        <v>19</v>
      </c>
      <c r="C34">
        <v>5234</v>
      </c>
      <c r="D34" t="str">
        <f>IF(COUNTIF(B1:B34,B34)&gt;1,"",B34)</f>
        <v/>
      </c>
      <c r="E34" t="str">
        <f t="shared" si="1"/>
        <v/>
      </c>
    </row>
    <row r="35" spans="2:5">
      <c r="B35">
        <v>20</v>
      </c>
      <c r="C35">
        <v>5235</v>
      </c>
      <c r="D35">
        <f>IF(COUNTIF(B1:B35,B35)&gt;1,"",B35)</f>
        <v>20</v>
      </c>
      <c r="E35">
        <f t="shared" si="1"/>
        <v>5235</v>
      </c>
    </row>
    <row r="36" spans="2:5">
      <c r="B36">
        <v>20</v>
      </c>
      <c r="C36">
        <v>5236</v>
      </c>
      <c r="D36" t="str">
        <f>IF(COUNTIF(B1:B36,B36)&gt;1,"",B36)</f>
        <v/>
      </c>
      <c r="E36" t="str">
        <f t="shared" si="1"/>
        <v/>
      </c>
    </row>
    <row r="37" spans="2:5">
      <c r="B37">
        <v>20</v>
      </c>
      <c r="C37">
        <v>5237</v>
      </c>
      <c r="D37" t="str">
        <f>IF(COUNTIF(B1:B37,B37)&gt;1,"",B37)</f>
        <v/>
      </c>
      <c r="E37" t="str">
        <f t="shared" si="1"/>
        <v/>
      </c>
    </row>
    <row r="38" spans="2:5">
      <c r="B38">
        <v>20</v>
      </c>
      <c r="C38">
        <v>5238</v>
      </c>
      <c r="D38" t="str">
        <f>IF(COUNTIF(B1:B38,B38)&gt;1,"",B38)</f>
        <v/>
      </c>
      <c r="E38" t="str">
        <f t="shared" si="1"/>
        <v/>
      </c>
    </row>
    <row r="39" spans="6:10">
      <c r="F39">
        <v>1</v>
      </c>
      <c r="G39">
        <v>5401</v>
      </c>
      <c r="H39">
        <f>IF(COUNTIF(F39:F39,F39)&gt;1,"",F39)</f>
        <v>1</v>
      </c>
      <c r="I39">
        <f>IF(H39="","",G39)</f>
        <v>5401</v>
      </c>
      <c r="J39" t="str">
        <f>"["&amp;_xlfn.TEXTJOIN(",",1,I39:I80)&amp;"]"</f>
        <v>[5401,5402,5403,5404,5405,5406,5407,5409,5411,5413,5417,5419,5421,5423,5426,5429,5432,5435,5438,5441]</v>
      </c>
    </row>
    <row r="40" spans="6:9">
      <c r="F40">
        <v>2</v>
      </c>
      <c r="G40">
        <v>5402</v>
      </c>
      <c r="H40">
        <f>IF(COUNTIF(F39:F40,F40)&gt;1,"",F40)</f>
        <v>2</v>
      </c>
      <c r="I40">
        <f t="shared" ref="I40:I55" si="2">IF(H40="","",G40)</f>
        <v>5402</v>
      </c>
    </row>
    <row r="41" spans="6:9">
      <c r="F41">
        <v>3</v>
      </c>
      <c r="G41">
        <v>5403</v>
      </c>
      <c r="H41">
        <f>IF(COUNTIF(F39:F41,F41)&gt;1,"",F41)</f>
        <v>3</v>
      </c>
      <c r="I41">
        <f t="shared" si="2"/>
        <v>5403</v>
      </c>
    </row>
    <row r="42" spans="6:9">
      <c r="F42">
        <v>4</v>
      </c>
      <c r="G42">
        <v>5404</v>
      </c>
      <c r="H42">
        <f>IF(COUNTIF(F39:F42,F42)&gt;1,"",F42)</f>
        <v>4</v>
      </c>
      <c r="I42">
        <f t="shared" si="2"/>
        <v>5404</v>
      </c>
    </row>
    <row r="43" spans="6:9">
      <c r="F43">
        <v>5</v>
      </c>
      <c r="G43">
        <v>5405</v>
      </c>
      <c r="H43">
        <f>IF(COUNTIF(F39:F43,F43)&gt;1,"",F43)</f>
        <v>5</v>
      </c>
      <c r="I43">
        <f t="shared" si="2"/>
        <v>5405</v>
      </c>
    </row>
    <row r="44" spans="6:9">
      <c r="F44">
        <v>6</v>
      </c>
      <c r="G44">
        <v>5406</v>
      </c>
      <c r="H44">
        <f>IF(COUNTIF(F39:F44,F44)&gt;1,"",F44)</f>
        <v>6</v>
      </c>
      <c r="I44">
        <f t="shared" si="2"/>
        <v>5406</v>
      </c>
    </row>
    <row r="45" spans="6:9">
      <c r="F45">
        <v>7</v>
      </c>
      <c r="G45">
        <v>5407</v>
      </c>
      <c r="H45">
        <f>IF(COUNTIF(F39:F45,F45)&gt;1,"",F45)</f>
        <v>7</v>
      </c>
      <c r="I45">
        <f t="shared" si="2"/>
        <v>5407</v>
      </c>
    </row>
    <row r="46" spans="6:9">
      <c r="F46">
        <v>7</v>
      </c>
      <c r="G46">
        <v>5408</v>
      </c>
      <c r="H46" t="str">
        <f>IF(COUNTIF(F39:F46,F46)&gt;1,"",F46)</f>
        <v/>
      </c>
      <c r="I46" t="str">
        <f t="shared" si="2"/>
        <v/>
      </c>
    </row>
    <row r="47" spans="6:9">
      <c r="F47">
        <v>8</v>
      </c>
      <c r="G47">
        <v>5409</v>
      </c>
      <c r="H47">
        <f>IF(COUNTIF(F39:F47,F47)&gt;1,"",F47)</f>
        <v>8</v>
      </c>
      <c r="I47">
        <f t="shared" si="2"/>
        <v>5409</v>
      </c>
    </row>
    <row r="48" spans="6:9">
      <c r="F48">
        <v>8</v>
      </c>
      <c r="G48">
        <v>5410</v>
      </c>
      <c r="H48" t="str">
        <f>IF(COUNTIF(F39:F48,F48)&gt;1,"",F48)</f>
        <v/>
      </c>
      <c r="I48" t="str">
        <f t="shared" si="2"/>
        <v/>
      </c>
    </row>
    <row r="49" spans="6:9">
      <c r="F49">
        <v>9</v>
      </c>
      <c r="G49">
        <v>5411</v>
      </c>
      <c r="H49">
        <f>IF(COUNTIF(F39:F49,F49)&gt;1,"",F49)</f>
        <v>9</v>
      </c>
      <c r="I49">
        <f t="shared" si="2"/>
        <v>5411</v>
      </c>
    </row>
    <row r="50" spans="6:9">
      <c r="F50">
        <v>9</v>
      </c>
      <c r="G50">
        <v>5412</v>
      </c>
      <c r="H50" t="str">
        <f>IF(COUNTIF(F39:F50,F50)&gt;1,"",F50)</f>
        <v/>
      </c>
      <c r="I50" t="str">
        <f t="shared" si="2"/>
        <v/>
      </c>
    </row>
    <row r="51" spans="6:9">
      <c r="F51">
        <v>10</v>
      </c>
      <c r="G51">
        <v>5413</v>
      </c>
      <c r="H51">
        <f>IF(COUNTIF(F39:F51,F51)&gt;1,"",F51)</f>
        <v>10</v>
      </c>
      <c r="I51">
        <f t="shared" si="2"/>
        <v>5413</v>
      </c>
    </row>
    <row r="52" spans="6:9">
      <c r="F52">
        <v>10</v>
      </c>
      <c r="G52">
        <v>5414</v>
      </c>
      <c r="H52" t="str">
        <f>IF(COUNTIF(F39:F52,F52)&gt;1,"",F52)</f>
        <v/>
      </c>
      <c r="I52" t="str">
        <f t="shared" si="2"/>
        <v/>
      </c>
    </row>
    <row r="53" spans="6:9">
      <c r="F53">
        <v>10</v>
      </c>
      <c r="G53">
        <v>5415</v>
      </c>
      <c r="H53" t="str">
        <f>IF(COUNTIF(F39:F53,F53)&gt;1,"",F53)</f>
        <v/>
      </c>
      <c r="I53" t="str">
        <f t="shared" si="2"/>
        <v/>
      </c>
    </row>
    <row r="54" spans="6:9">
      <c r="F54">
        <v>10</v>
      </c>
      <c r="G54">
        <v>5416</v>
      </c>
      <c r="H54" t="str">
        <f>IF(COUNTIF(F39:F54,F54)&gt;1,"",F54)</f>
        <v/>
      </c>
      <c r="I54" t="str">
        <f t="shared" si="2"/>
        <v/>
      </c>
    </row>
    <row r="55" spans="6:9">
      <c r="F55">
        <v>11</v>
      </c>
      <c r="G55">
        <v>5417</v>
      </c>
      <c r="H55">
        <f>IF(COUNTIF(F39:F55,F55)&gt;1,"",F55)</f>
        <v>11</v>
      </c>
      <c r="I55">
        <f t="shared" si="2"/>
        <v>5417</v>
      </c>
    </row>
    <row r="56" spans="6:9">
      <c r="F56">
        <v>11</v>
      </c>
      <c r="G56">
        <v>5418</v>
      </c>
      <c r="H56" t="str">
        <f>IF(COUNTIF(F39:F56,F56)&gt;1,"",F56)</f>
        <v/>
      </c>
      <c r="I56" t="str">
        <f t="shared" ref="I56:I83" si="3">IF(H56="","",G56)</f>
        <v/>
      </c>
    </row>
    <row r="57" spans="6:9">
      <c r="F57">
        <v>12</v>
      </c>
      <c r="G57">
        <v>5419</v>
      </c>
      <c r="H57">
        <f>IF(COUNTIF(F39:F57,F57)&gt;1,"",F57)</f>
        <v>12</v>
      </c>
      <c r="I57">
        <f t="shared" si="3"/>
        <v>5419</v>
      </c>
    </row>
    <row r="58" spans="6:9">
      <c r="F58">
        <v>12</v>
      </c>
      <c r="G58">
        <v>5420</v>
      </c>
      <c r="H58" t="str">
        <f>IF(COUNTIF(F39:F58,F58)&gt;1,"",F58)</f>
        <v/>
      </c>
      <c r="I58" t="str">
        <f t="shared" si="3"/>
        <v/>
      </c>
    </row>
    <row r="59" spans="6:9">
      <c r="F59">
        <v>13</v>
      </c>
      <c r="G59">
        <v>5421</v>
      </c>
      <c r="H59">
        <f>IF(COUNTIF(F39:F59,F59)&gt;1,"",F59)</f>
        <v>13</v>
      </c>
      <c r="I59">
        <f t="shared" si="3"/>
        <v>5421</v>
      </c>
    </row>
    <row r="60" spans="6:9">
      <c r="F60">
        <v>13</v>
      </c>
      <c r="G60">
        <v>5422</v>
      </c>
      <c r="H60" t="str">
        <f>IF(COUNTIF(F39:F60,F60)&gt;1,"",F60)</f>
        <v/>
      </c>
      <c r="I60" t="str">
        <f t="shared" si="3"/>
        <v/>
      </c>
    </row>
    <row r="61" spans="6:9">
      <c r="F61">
        <v>14</v>
      </c>
      <c r="G61">
        <v>5423</v>
      </c>
      <c r="H61">
        <f>IF(COUNTIF(F39:F61,F61)&gt;1,"",F61)</f>
        <v>14</v>
      </c>
      <c r="I61">
        <f t="shared" si="3"/>
        <v>5423</v>
      </c>
    </row>
    <row r="62" spans="6:9">
      <c r="F62">
        <v>14</v>
      </c>
      <c r="G62">
        <v>5424</v>
      </c>
      <c r="H62" t="str">
        <f>IF(COUNTIF(F39:F62,F62)&gt;1,"",F62)</f>
        <v/>
      </c>
      <c r="I62" t="str">
        <f t="shared" si="3"/>
        <v/>
      </c>
    </row>
    <row r="63" spans="6:9">
      <c r="F63">
        <v>14</v>
      </c>
      <c r="G63">
        <v>5425</v>
      </c>
      <c r="H63" t="str">
        <f>IF(COUNTIF(F39:F63,F63)&gt;1,"",F63)</f>
        <v/>
      </c>
      <c r="I63" t="str">
        <f t="shared" si="3"/>
        <v/>
      </c>
    </row>
    <row r="64" spans="6:9">
      <c r="F64">
        <v>15</v>
      </c>
      <c r="G64">
        <v>5426</v>
      </c>
      <c r="H64">
        <f>IF(COUNTIF(F39:F64,F64)&gt;1,"",F64)</f>
        <v>15</v>
      </c>
      <c r="I64">
        <f t="shared" si="3"/>
        <v>5426</v>
      </c>
    </row>
    <row r="65" spans="6:9">
      <c r="F65">
        <v>15</v>
      </c>
      <c r="G65">
        <v>5427</v>
      </c>
      <c r="H65" t="str">
        <f>IF(COUNTIF(F39:F65,F65)&gt;1,"",F65)</f>
        <v/>
      </c>
      <c r="I65" t="str">
        <f t="shared" si="3"/>
        <v/>
      </c>
    </row>
    <row r="66" spans="6:9">
      <c r="F66">
        <v>15</v>
      </c>
      <c r="G66">
        <v>5428</v>
      </c>
      <c r="H66" t="str">
        <f>IF(COUNTIF(F39:F66,F66)&gt;1,"",F66)</f>
        <v/>
      </c>
      <c r="I66" t="str">
        <f t="shared" si="3"/>
        <v/>
      </c>
    </row>
    <row r="67" spans="6:9">
      <c r="F67">
        <v>16</v>
      </c>
      <c r="G67">
        <v>5429</v>
      </c>
      <c r="H67">
        <f>IF(COUNTIF(F39:F67,F67)&gt;1,"",F67)</f>
        <v>16</v>
      </c>
      <c r="I67">
        <f t="shared" si="3"/>
        <v>5429</v>
      </c>
    </row>
    <row r="68" spans="6:9">
      <c r="F68">
        <v>16</v>
      </c>
      <c r="G68">
        <v>5430</v>
      </c>
      <c r="H68" t="str">
        <f>IF(COUNTIF(F39:F68,F68)&gt;1,"",F68)</f>
        <v/>
      </c>
      <c r="I68" t="str">
        <f t="shared" si="3"/>
        <v/>
      </c>
    </row>
    <row r="69" spans="6:9">
      <c r="F69">
        <v>16</v>
      </c>
      <c r="G69">
        <v>5431</v>
      </c>
      <c r="H69" t="str">
        <f>IF(COUNTIF(F39:F69,F69)&gt;1,"",F69)</f>
        <v/>
      </c>
      <c r="I69" t="str">
        <f t="shared" si="3"/>
        <v/>
      </c>
    </row>
    <row r="70" spans="6:9">
      <c r="F70">
        <v>17</v>
      </c>
      <c r="G70">
        <v>5432</v>
      </c>
      <c r="H70">
        <f>IF(COUNTIF(F39:F70,F70)&gt;1,"",F70)</f>
        <v>17</v>
      </c>
      <c r="I70">
        <f t="shared" si="3"/>
        <v>5432</v>
      </c>
    </row>
    <row r="71" spans="6:9">
      <c r="F71">
        <v>17</v>
      </c>
      <c r="G71">
        <v>5433</v>
      </c>
      <c r="H71" t="str">
        <f>IF(COUNTIF(F39:F71,F71)&gt;1,"",F71)</f>
        <v/>
      </c>
      <c r="I71" t="str">
        <f t="shared" si="3"/>
        <v/>
      </c>
    </row>
    <row r="72" spans="6:9">
      <c r="F72">
        <v>17</v>
      </c>
      <c r="G72">
        <v>5434</v>
      </c>
      <c r="H72" t="str">
        <f>IF(COUNTIF(F39:F72,F72)&gt;1,"",F72)</f>
        <v/>
      </c>
      <c r="I72" t="str">
        <f t="shared" si="3"/>
        <v/>
      </c>
    </row>
    <row r="73" spans="6:9">
      <c r="F73">
        <v>18</v>
      </c>
      <c r="G73">
        <v>5435</v>
      </c>
      <c r="H73">
        <f>IF(COUNTIF(F39:F73,F73)&gt;1,"",F73)</f>
        <v>18</v>
      </c>
      <c r="I73">
        <f t="shared" si="3"/>
        <v>5435</v>
      </c>
    </row>
    <row r="74" spans="6:9">
      <c r="F74">
        <v>18</v>
      </c>
      <c r="G74">
        <v>5436</v>
      </c>
      <c r="H74" t="str">
        <f>IF(COUNTIF(F39:F74,F74)&gt;1,"",F74)</f>
        <v/>
      </c>
      <c r="I74" t="str">
        <f t="shared" si="3"/>
        <v/>
      </c>
    </row>
    <row r="75" spans="6:9">
      <c r="F75">
        <v>18</v>
      </c>
      <c r="G75">
        <v>5437</v>
      </c>
      <c r="H75" t="str">
        <f>IF(COUNTIF(F39:F75,F75)&gt;1,"",F75)</f>
        <v/>
      </c>
      <c r="I75" t="str">
        <f t="shared" si="3"/>
        <v/>
      </c>
    </row>
    <row r="76" spans="6:9">
      <c r="F76">
        <v>19</v>
      </c>
      <c r="G76">
        <v>5438</v>
      </c>
      <c r="H76">
        <f>IF(COUNTIF(F39:F76,F76)&gt;1,"",F76)</f>
        <v>19</v>
      </c>
      <c r="I76">
        <f t="shared" si="3"/>
        <v>5438</v>
      </c>
    </row>
    <row r="77" spans="6:9">
      <c r="F77">
        <v>19</v>
      </c>
      <c r="G77">
        <v>5439</v>
      </c>
      <c r="H77" t="str">
        <f>IF(COUNTIF(F39:F77,F77)&gt;1,"",F77)</f>
        <v/>
      </c>
      <c r="I77" t="str">
        <f t="shared" si="3"/>
        <v/>
      </c>
    </row>
    <row r="78" spans="6:9">
      <c r="F78">
        <v>19</v>
      </c>
      <c r="G78">
        <v>5440</v>
      </c>
      <c r="H78" t="str">
        <f>IF(COUNTIF(F39:F78,F78)&gt;1,"",F78)</f>
        <v/>
      </c>
      <c r="I78" t="str">
        <f t="shared" si="3"/>
        <v/>
      </c>
    </row>
    <row r="79" spans="6:9">
      <c r="F79">
        <v>20</v>
      </c>
      <c r="G79">
        <v>5441</v>
      </c>
      <c r="H79">
        <f>IF(COUNTIF(F39:F79,F79)&gt;1,"",F79)</f>
        <v>20</v>
      </c>
      <c r="I79">
        <f t="shared" si="3"/>
        <v>5441</v>
      </c>
    </row>
    <row r="80" spans="6:9">
      <c r="F80">
        <v>20</v>
      </c>
      <c r="G80">
        <v>5442</v>
      </c>
      <c r="H80" t="str">
        <f>IF(COUNTIF(F39:F80,F80)&gt;1,"",F80)</f>
        <v/>
      </c>
      <c r="I80" t="str">
        <f t="shared" si="3"/>
        <v/>
      </c>
    </row>
    <row r="81" spans="6:9">
      <c r="F81">
        <v>20</v>
      </c>
      <c r="G81">
        <v>5443</v>
      </c>
      <c r="H81" t="str">
        <f>IF(COUNTIF(F39:F81,F81)&gt;1,"",F81)</f>
        <v/>
      </c>
      <c r="I81" t="str">
        <f t="shared" si="3"/>
        <v/>
      </c>
    </row>
    <row r="82" spans="6:9">
      <c r="F82">
        <v>20</v>
      </c>
      <c r="G82">
        <v>5444</v>
      </c>
      <c r="H82" t="str">
        <f>IF(COUNTIF(F39:F82,F82)&gt;1,"",F82)</f>
        <v/>
      </c>
      <c r="I82" t="str">
        <f t="shared" si="3"/>
        <v/>
      </c>
    </row>
    <row r="83" spans="6:9">
      <c r="F83">
        <v>20</v>
      </c>
      <c r="G83">
        <v>5445</v>
      </c>
      <c r="H83" t="str">
        <f>IF(COUNTIF(F39:F83,F83)&gt;1,"",F83)</f>
        <v/>
      </c>
      <c r="I83" t="str">
        <f t="shared" si="3"/>
        <v/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W795"/>
  <sheetViews>
    <sheetView workbookViewId="0">
      <pane xSplit="9" ySplit="4" topLeftCell="K32" activePane="bottomRight" state="frozen"/>
      <selection/>
      <selection pane="topRight"/>
      <selection pane="bottomLeft"/>
      <selection pane="bottomRight" activeCell="E185" sqref="E185"/>
    </sheetView>
  </sheetViews>
  <sheetFormatPr defaultColWidth="9" defaultRowHeight="13.5"/>
  <cols>
    <col min="10" max="10" width="9" hidden="1" customWidth="1"/>
    <col min="12" max="15" width="9" customWidth="1"/>
    <col min="17" max="17" width="9" hidden="1" customWidth="1"/>
    <col min="18" max="21" width="9" customWidth="1"/>
    <col min="23" max="23" width="9" hidden="1" customWidth="1"/>
    <col min="24" max="27" width="9" customWidth="1"/>
    <col min="29" max="29" width="9" hidden="1" customWidth="1"/>
    <col min="30" max="33" width="9" customWidth="1"/>
    <col min="35" max="35" width="9" hidden="1" customWidth="1"/>
    <col min="36" max="36" width="9" customWidth="1"/>
    <col min="42" max="42" width="15.5" customWidth="1"/>
    <col min="43" max="44" width="15.25" customWidth="1"/>
  </cols>
  <sheetData>
    <row r="1" spans="7:44">
      <c r="G1" s="3" t="s">
        <v>71</v>
      </c>
      <c r="H1" s="3" t="s">
        <v>72</v>
      </c>
      <c r="I1" s="3" t="s">
        <v>73</v>
      </c>
      <c r="J1" s="3" t="s">
        <v>74</v>
      </c>
      <c r="K1" s="3" t="s">
        <v>74</v>
      </c>
      <c r="L1" s="3" t="s">
        <v>75</v>
      </c>
      <c r="M1" s="4" t="s">
        <v>71</v>
      </c>
      <c r="N1" s="4" t="s">
        <v>72</v>
      </c>
      <c r="O1" s="4" t="s">
        <v>73</v>
      </c>
      <c r="P1" s="4" t="s">
        <v>74</v>
      </c>
      <c r="Q1" s="4" t="s">
        <v>75</v>
      </c>
      <c r="R1" s="4" t="s">
        <v>75</v>
      </c>
      <c r="S1" s="6" t="s">
        <v>71</v>
      </c>
      <c r="T1" s="6" t="s">
        <v>72</v>
      </c>
      <c r="U1" s="6" t="s">
        <v>73</v>
      </c>
      <c r="V1" s="6" t="s">
        <v>74</v>
      </c>
      <c r="W1" s="6" t="s">
        <v>75</v>
      </c>
      <c r="X1" s="6" t="s">
        <v>75</v>
      </c>
      <c r="Y1" s="8" t="s">
        <v>71</v>
      </c>
      <c r="Z1" s="8" t="s">
        <v>72</v>
      </c>
      <c r="AA1" s="8" t="s">
        <v>73</v>
      </c>
      <c r="AB1" s="8" t="s">
        <v>74</v>
      </c>
      <c r="AC1" s="8" t="s">
        <v>75</v>
      </c>
      <c r="AD1" s="8" t="s">
        <v>75</v>
      </c>
      <c r="AE1" s="9" t="s">
        <v>71</v>
      </c>
      <c r="AF1" s="9" t="s">
        <v>72</v>
      </c>
      <c r="AG1" s="9" t="s">
        <v>73</v>
      </c>
      <c r="AH1" s="9" t="s">
        <v>74</v>
      </c>
      <c r="AI1" s="9" t="s">
        <v>75</v>
      </c>
      <c r="AJ1" s="9" t="s">
        <v>75</v>
      </c>
      <c r="AK1" s="10" t="s">
        <v>71</v>
      </c>
      <c r="AL1" s="10" t="s">
        <v>72</v>
      </c>
      <c r="AM1" s="10" t="s">
        <v>73</v>
      </c>
      <c r="AN1" s="10" t="s">
        <v>74</v>
      </c>
      <c r="AO1" s="10" t="s">
        <v>75</v>
      </c>
      <c r="AP1" s="10"/>
      <c r="AQ1" s="10" t="s">
        <v>76</v>
      </c>
      <c r="AR1" s="10" t="s">
        <v>77</v>
      </c>
    </row>
    <row r="2" spans="2:49">
      <c r="B2">
        <v>1011</v>
      </c>
      <c r="C2" t="s">
        <v>78</v>
      </c>
      <c r="D2" s="4" t="str">
        <f>RIGHT(C2,1)</f>
        <v>1</v>
      </c>
      <c r="E2" s="4"/>
      <c r="F2">
        <v>1</v>
      </c>
      <c r="G2">
        <v>5000</v>
      </c>
      <c r="H2">
        <v>1</v>
      </c>
      <c r="I2">
        <v>1</v>
      </c>
      <c r="J2">
        <v>1</v>
      </c>
      <c r="K2">
        <v>1</v>
      </c>
      <c r="L2">
        <v>101</v>
      </c>
      <c r="M2">
        <v>5000</v>
      </c>
      <c r="N2">
        <f t="shared" ref="N2:N36" si="0">H2</f>
        <v>1</v>
      </c>
      <c r="O2">
        <v>1</v>
      </c>
      <c r="P2">
        <v>1</v>
      </c>
      <c r="Q2">
        <v>55</v>
      </c>
      <c r="R2" s="7">
        <v>102</v>
      </c>
      <c r="S2">
        <v>5000</v>
      </c>
      <c r="T2">
        <f>N2</f>
        <v>1</v>
      </c>
      <c r="U2">
        <v>1</v>
      </c>
      <c r="V2">
        <v>1</v>
      </c>
      <c r="W2">
        <v>60</v>
      </c>
      <c r="X2">
        <v>103</v>
      </c>
      <c r="Y2">
        <v>5000</v>
      </c>
      <c r="Z2">
        <f>T2</f>
        <v>1</v>
      </c>
      <c r="AA2">
        <v>1</v>
      </c>
      <c r="AB2">
        <v>1</v>
      </c>
      <c r="AC2">
        <v>71</v>
      </c>
      <c r="AD2">
        <v>113</v>
      </c>
      <c r="AE2">
        <v>5000</v>
      </c>
      <c r="AF2">
        <f>Z2</f>
        <v>1</v>
      </c>
      <c r="AG2">
        <v>1</v>
      </c>
      <c r="AH2">
        <v>1</v>
      </c>
      <c r="AI2">
        <v>76</v>
      </c>
      <c r="AJ2">
        <v>111</v>
      </c>
      <c r="AP2" t="str">
        <f>IF(G2="","",$AQ$1&amp;_xlfn.TEXTJOIN(",",1,G2:I2,K2,L2)&amp;$AR$1)</f>
        <v>{5000,1,1,1,101}</v>
      </c>
      <c r="AQ2" t="str">
        <f>IF(G2="","",$AQ$1&amp;_xlfn.TEXTJOIN(",",1,M2:P2,R2)&amp;$AR$1)</f>
        <v>{5000,1,1,1,102}</v>
      </c>
      <c r="AR2" t="str">
        <f>IF(G2="","",$AQ$1&amp;_xlfn.TEXTJOIN(",",1,S2:V2,X2)&amp;$AR$1)</f>
        <v>{5000,1,1,1,103}</v>
      </c>
      <c r="AS2" t="str">
        <f>IF(G2="","",$AQ$1&amp;_xlfn.TEXTJOIN(",",1,Y2:AB2,AD2)&amp;$AR$1)</f>
        <v>{5000,1,1,1,113}</v>
      </c>
      <c r="AT2" t="str">
        <f>IF(G2="","",$AQ$1&amp;_xlfn.TEXTJOIN(",",1,AE2:AH2,AJ2)&amp;$AR$1)</f>
        <v>{5000,1,1,1,111}</v>
      </c>
      <c r="AU2" t="str">
        <f>IF(AK2="","",IF(G2="","",$AQ$1&amp;_xlfn.TEXTJOIN(",",1,AK2:AO2)&amp;$AR$1))</f>
        <v/>
      </c>
      <c r="AV2">
        <v>1011</v>
      </c>
      <c r="AW2" t="str">
        <f t="shared" ref="AW2:AW36" si="1">IF(AU2="","["&amp;_xlfn.TEXTJOIN(",",1,AP2:AT2)&amp;"]","["&amp;_xlfn.TEXTJOIN(",",1,AP2:AU2)&amp;"]")</f>
        <v>[{5000,1,1,1,101},{5000,1,1,1,102},{5000,1,1,1,103},{5000,1,1,1,113},{5000,1,1,1,111}]</v>
      </c>
    </row>
    <row r="3" spans="2:49">
      <c r="B3">
        <v>1012</v>
      </c>
      <c r="C3" t="s">
        <v>78</v>
      </c>
      <c r="D3" t="str">
        <f t="shared" ref="D3:D66" si="2">RIGHT(C3,1)</f>
        <v>1</v>
      </c>
      <c r="F3">
        <v>16</v>
      </c>
      <c r="G3">
        <v>5000</v>
      </c>
      <c r="H3">
        <v>1</v>
      </c>
      <c r="I3">
        <v>1</v>
      </c>
      <c r="J3">
        <v>1</v>
      </c>
      <c r="K3">
        <v>1</v>
      </c>
      <c r="L3">
        <v>101</v>
      </c>
      <c r="M3">
        <v>5000</v>
      </c>
      <c r="N3">
        <f t="shared" si="0"/>
        <v>1</v>
      </c>
      <c r="O3">
        <v>1</v>
      </c>
      <c r="P3">
        <v>1</v>
      </c>
      <c r="Q3">
        <v>55</v>
      </c>
      <c r="R3" s="7">
        <v>103</v>
      </c>
      <c r="S3">
        <v>5000</v>
      </c>
      <c r="T3">
        <f t="shared" ref="T3:T66" si="3">N3</f>
        <v>1</v>
      </c>
      <c r="U3">
        <v>1</v>
      </c>
      <c r="V3">
        <v>1</v>
      </c>
      <c r="W3">
        <v>75</v>
      </c>
      <c r="X3">
        <v>111</v>
      </c>
      <c r="Y3">
        <v>5000</v>
      </c>
      <c r="Z3">
        <f t="shared" ref="Z3:Z66" si="4">T3</f>
        <v>1</v>
      </c>
      <c r="AA3">
        <v>1</v>
      </c>
      <c r="AB3">
        <v>1</v>
      </c>
      <c r="AC3">
        <v>73</v>
      </c>
      <c r="AD3">
        <v>112</v>
      </c>
      <c r="AE3">
        <v>5000</v>
      </c>
      <c r="AF3">
        <f t="shared" ref="AF3:AF66" si="5">Z3</f>
        <v>1</v>
      </c>
      <c r="AG3">
        <v>1</v>
      </c>
      <c r="AH3">
        <v>1</v>
      </c>
      <c r="AI3">
        <v>78</v>
      </c>
      <c r="AJ3">
        <v>113</v>
      </c>
      <c r="AP3" t="str">
        <f t="shared" ref="AP3:AP66" si="6">IF(G3="","",$AQ$1&amp;_xlfn.TEXTJOIN(",",1,G3:I3,K3,L3)&amp;$AR$1)</f>
        <v>{5000,1,1,1,101}</v>
      </c>
      <c r="AQ3" t="str">
        <f t="shared" ref="AQ3:AQ66" si="7">IF(G3="","",$AQ$1&amp;_xlfn.TEXTJOIN(",",1,M3:P3,R3)&amp;$AR$1)</f>
        <v>{5000,1,1,1,103}</v>
      </c>
      <c r="AR3" t="str">
        <f t="shared" ref="AR3:AR66" si="8">IF(G3="","",$AQ$1&amp;_xlfn.TEXTJOIN(",",1,S3:V3,X3)&amp;$AR$1)</f>
        <v>{5000,1,1,1,111}</v>
      </c>
      <c r="AS3" t="str">
        <f t="shared" ref="AS3:AS66" si="9">IF(G3="","",$AQ$1&amp;_xlfn.TEXTJOIN(",",1,Y3:AB3,AD3)&amp;$AR$1)</f>
        <v>{5000,1,1,1,112}</v>
      </c>
      <c r="AT3" t="str">
        <f t="shared" ref="AT3:AT66" si="10">IF(G3="","",$AQ$1&amp;_xlfn.TEXTJOIN(",",1,AE3:AH3,AJ3)&amp;$AR$1)</f>
        <v>{5000,1,1,1,113}</v>
      </c>
      <c r="AU3" t="str">
        <f t="shared" ref="AU3:AU66" si="11">IF(AK3="","",IF(G3="","",$AQ$1&amp;_xlfn.TEXTJOIN(",",1,AK3:AO3)&amp;$AR$1))</f>
        <v/>
      </c>
      <c r="AV3">
        <v>1012</v>
      </c>
      <c r="AW3" t="str">
        <f t="shared" si="1"/>
        <v>[{5000,1,1,1,101},{5000,1,1,1,103},{5000,1,1,1,111},{5000,1,1,1,112},{5000,1,1,1,113}]</v>
      </c>
    </row>
    <row r="4" spans="2:49">
      <c r="B4">
        <v>1013</v>
      </c>
      <c r="C4" t="s">
        <v>78</v>
      </c>
      <c r="D4" t="str">
        <f t="shared" si="2"/>
        <v>1</v>
      </c>
      <c r="F4">
        <v>31</v>
      </c>
      <c r="G4">
        <v>5000</v>
      </c>
      <c r="H4">
        <v>2</v>
      </c>
      <c r="I4">
        <v>1</v>
      </c>
      <c r="J4">
        <v>1</v>
      </c>
      <c r="K4">
        <v>1</v>
      </c>
      <c r="L4">
        <f>L2</f>
        <v>101</v>
      </c>
      <c r="M4">
        <v>5000</v>
      </c>
      <c r="N4">
        <f t="shared" si="0"/>
        <v>2</v>
      </c>
      <c r="O4">
        <v>1</v>
      </c>
      <c r="P4">
        <v>1</v>
      </c>
      <c r="Q4">
        <v>55</v>
      </c>
      <c r="R4" s="7">
        <f>R2</f>
        <v>102</v>
      </c>
      <c r="S4">
        <v>5000</v>
      </c>
      <c r="T4">
        <f t="shared" si="3"/>
        <v>2</v>
      </c>
      <c r="U4">
        <v>1</v>
      </c>
      <c r="V4">
        <v>1</v>
      </c>
      <c r="W4">
        <v>58</v>
      </c>
      <c r="X4">
        <f>X2</f>
        <v>103</v>
      </c>
      <c r="Y4">
        <v>5000</v>
      </c>
      <c r="Z4">
        <f t="shared" si="4"/>
        <v>2</v>
      </c>
      <c r="AA4">
        <v>1</v>
      </c>
      <c r="AB4">
        <v>1</v>
      </c>
      <c r="AC4">
        <v>76</v>
      </c>
      <c r="AD4">
        <f>AD2</f>
        <v>113</v>
      </c>
      <c r="AE4">
        <v>5000</v>
      </c>
      <c r="AF4">
        <f t="shared" si="5"/>
        <v>2</v>
      </c>
      <c r="AG4">
        <v>1</v>
      </c>
      <c r="AH4">
        <v>1</v>
      </c>
      <c r="AI4">
        <v>79</v>
      </c>
      <c r="AJ4">
        <f>AJ2</f>
        <v>111</v>
      </c>
      <c r="AP4" t="str">
        <f t="shared" si="6"/>
        <v>{5000,2,1,1,101}</v>
      </c>
      <c r="AQ4" t="str">
        <f t="shared" si="7"/>
        <v>{5000,2,1,1,102}</v>
      </c>
      <c r="AR4" t="str">
        <f t="shared" si="8"/>
        <v>{5000,2,1,1,103}</v>
      </c>
      <c r="AS4" t="str">
        <f t="shared" si="9"/>
        <v>{5000,2,1,1,113}</v>
      </c>
      <c r="AT4" t="str">
        <f t="shared" si="10"/>
        <v>{5000,2,1,1,111}</v>
      </c>
      <c r="AU4" t="str">
        <f t="shared" si="11"/>
        <v/>
      </c>
      <c r="AV4">
        <v>1013</v>
      </c>
      <c r="AW4" t="str">
        <f t="shared" si="1"/>
        <v>[{5000,2,1,1,101},{5000,2,1,1,102},{5000,2,1,1,103},{5000,2,1,1,113},{5000,2,1,1,111}]</v>
      </c>
    </row>
    <row r="5" spans="2:49">
      <c r="B5">
        <v>1014</v>
      </c>
      <c r="C5" t="s">
        <v>78</v>
      </c>
      <c r="D5" t="str">
        <f t="shared" si="2"/>
        <v>1</v>
      </c>
      <c r="F5">
        <v>46</v>
      </c>
      <c r="G5">
        <v>5000</v>
      </c>
      <c r="H5">
        <v>2</v>
      </c>
      <c r="I5">
        <v>1</v>
      </c>
      <c r="J5">
        <v>1</v>
      </c>
      <c r="K5">
        <v>1</v>
      </c>
      <c r="L5">
        <f t="shared" ref="L5:L22" si="12">L3</f>
        <v>101</v>
      </c>
      <c r="M5">
        <v>5000</v>
      </c>
      <c r="N5">
        <f t="shared" si="0"/>
        <v>2</v>
      </c>
      <c r="O5">
        <v>1</v>
      </c>
      <c r="P5">
        <v>1</v>
      </c>
      <c r="Q5">
        <v>55</v>
      </c>
      <c r="R5" s="7">
        <f t="shared" ref="R5:R22" si="13">R3</f>
        <v>103</v>
      </c>
      <c r="S5">
        <v>5000</v>
      </c>
      <c r="T5">
        <f t="shared" si="3"/>
        <v>2</v>
      </c>
      <c r="U5">
        <v>1</v>
      </c>
      <c r="V5">
        <v>2</v>
      </c>
      <c r="W5">
        <v>76</v>
      </c>
      <c r="X5">
        <f t="shared" ref="X5:X22" si="14">X3</f>
        <v>111</v>
      </c>
      <c r="Y5">
        <v>5000</v>
      </c>
      <c r="Z5">
        <f t="shared" si="4"/>
        <v>2</v>
      </c>
      <c r="AA5">
        <v>1</v>
      </c>
      <c r="AB5">
        <v>1</v>
      </c>
      <c r="AC5">
        <v>71</v>
      </c>
      <c r="AD5">
        <f t="shared" ref="AD5:AD22" si="15">AD3</f>
        <v>112</v>
      </c>
      <c r="AE5">
        <v>5000</v>
      </c>
      <c r="AF5">
        <f t="shared" si="5"/>
        <v>2</v>
      </c>
      <c r="AG5">
        <v>1</v>
      </c>
      <c r="AH5">
        <v>1</v>
      </c>
      <c r="AI5">
        <v>71</v>
      </c>
      <c r="AJ5">
        <f t="shared" ref="AJ5:AJ22" si="16">AJ3</f>
        <v>113</v>
      </c>
      <c r="AP5" t="str">
        <f t="shared" si="6"/>
        <v>{5000,2,1,1,101}</v>
      </c>
      <c r="AQ5" t="str">
        <f t="shared" si="7"/>
        <v>{5000,2,1,1,103}</v>
      </c>
      <c r="AR5" t="str">
        <f t="shared" si="8"/>
        <v>{5000,2,1,2,111}</v>
      </c>
      <c r="AS5" t="str">
        <f t="shared" si="9"/>
        <v>{5000,2,1,1,112}</v>
      </c>
      <c r="AT5" t="str">
        <f t="shared" si="10"/>
        <v>{5000,2,1,1,113}</v>
      </c>
      <c r="AU5" t="str">
        <f t="shared" si="11"/>
        <v/>
      </c>
      <c r="AV5">
        <v>1014</v>
      </c>
      <c r="AW5" t="str">
        <f t="shared" si="1"/>
        <v>[{5000,2,1,1,101},{5000,2,1,1,103},{5000,2,1,2,111},{5000,2,1,1,112},{5000,2,1,1,113}]</v>
      </c>
    </row>
    <row r="6" spans="2:49">
      <c r="B6">
        <v>1015</v>
      </c>
      <c r="C6" t="s">
        <v>78</v>
      </c>
      <c r="D6" t="str">
        <f t="shared" si="2"/>
        <v>1</v>
      </c>
      <c r="F6">
        <v>61</v>
      </c>
      <c r="G6">
        <v>5000</v>
      </c>
      <c r="H6">
        <v>2</v>
      </c>
      <c r="I6">
        <v>1</v>
      </c>
      <c r="J6">
        <v>3</v>
      </c>
      <c r="K6">
        <v>3</v>
      </c>
      <c r="L6">
        <f t="shared" si="12"/>
        <v>101</v>
      </c>
      <c r="M6">
        <v>5000</v>
      </c>
      <c r="N6">
        <f t="shared" si="0"/>
        <v>2</v>
      </c>
      <c r="O6">
        <v>1</v>
      </c>
      <c r="P6">
        <v>3</v>
      </c>
      <c r="Q6">
        <v>56</v>
      </c>
      <c r="R6" s="7">
        <f t="shared" si="13"/>
        <v>102</v>
      </c>
      <c r="S6">
        <v>5000</v>
      </c>
      <c r="T6">
        <f t="shared" si="3"/>
        <v>2</v>
      </c>
      <c r="U6">
        <v>1</v>
      </c>
      <c r="V6">
        <v>3</v>
      </c>
      <c r="W6">
        <v>57</v>
      </c>
      <c r="X6">
        <f t="shared" si="14"/>
        <v>103</v>
      </c>
      <c r="Y6">
        <v>5000</v>
      </c>
      <c r="Z6">
        <f t="shared" si="4"/>
        <v>2</v>
      </c>
      <c r="AA6">
        <v>1</v>
      </c>
      <c r="AB6">
        <v>3</v>
      </c>
      <c r="AC6">
        <v>72</v>
      </c>
      <c r="AD6">
        <f t="shared" si="15"/>
        <v>113</v>
      </c>
      <c r="AE6">
        <v>5000</v>
      </c>
      <c r="AF6">
        <f t="shared" si="5"/>
        <v>2</v>
      </c>
      <c r="AG6">
        <v>1</v>
      </c>
      <c r="AH6">
        <v>3</v>
      </c>
      <c r="AI6">
        <v>71</v>
      </c>
      <c r="AJ6">
        <f t="shared" si="16"/>
        <v>111</v>
      </c>
      <c r="AP6" t="str">
        <f t="shared" si="6"/>
        <v>{5000,2,1,3,101}</v>
      </c>
      <c r="AQ6" t="str">
        <f t="shared" si="7"/>
        <v>{5000,2,1,3,102}</v>
      </c>
      <c r="AR6" t="str">
        <f t="shared" si="8"/>
        <v>{5000,2,1,3,103}</v>
      </c>
      <c r="AS6" t="str">
        <f t="shared" si="9"/>
        <v>{5000,2,1,3,113}</v>
      </c>
      <c r="AT6" t="str">
        <f t="shared" si="10"/>
        <v>{5000,2,1,3,111}</v>
      </c>
      <c r="AU6" t="str">
        <f t="shared" si="11"/>
        <v/>
      </c>
      <c r="AV6">
        <v>1015</v>
      </c>
      <c r="AW6" t="str">
        <f t="shared" si="1"/>
        <v>[{5000,2,1,3,101},{5000,2,1,3,102},{5000,2,1,3,103},{5000,2,1,3,113},{5000,2,1,3,111}]</v>
      </c>
    </row>
    <row r="7" spans="2:49">
      <c r="B7">
        <v>1016</v>
      </c>
      <c r="C7" t="s">
        <v>78</v>
      </c>
      <c r="D7" t="str">
        <f t="shared" si="2"/>
        <v>1</v>
      </c>
      <c r="F7">
        <v>76</v>
      </c>
      <c r="G7">
        <v>5000</v>
      </c>
      <c r="H7">
        <v>2</v>
      </c>
      <c r="I7">
        <v>1</v>
      </c>
      <c r="J7">
        <v>1</v>
      </c>
      <c r="K7">
        <v>1</v>
      </c>
      <c r="L7">
        <f t="shared" si="12"/>
        <v>101</v>
      </c>
      <c r="M7">
        <v>5000</v>
      </c>
      <c r="N7">
        <f t="shared" si="0"/>
        <v>2</v>
      </c>
      <c r="O7">
        <v>1</v>
      </c>
      <c r="P7">
        <v>1</v>
      </c>
      <c r="Q7">
        <v>59</v>
      </c>
      <c r="R7" s="7">
        <f t="shared" si="13"/>
        <v>103</v>
      </c>
      <c r="S7">
        <v>5000</v>
      </c>
      <c r="T7">
        <f t="shared" si="3"/>
        <v>2</v>
      </c>
      <c r="U7">
        <v>1</v>
      </c>
      <c r="V7">
        <v>2</v>
      </c>
      <c r="W7">
        <v>71</v>
      </c>
      <c r="X7">
        <f t="shared" si="14"/>
        <v>111</v>
      </c>
      <c r="Y7">
        <v>5000</v>
      </c>
      <c r="Z7">
        <f t="shared" si="4"/>
        <v>2</v>
      </c>
      <c r="AA7">
        <v>1</v>
      </c>
      <c r="AB7">
        <v>1</v>
      </c>
      <c r="AC7">
        <v>71</v>
      </c>
      <c r="AD7">
        <f t="shared" si="15"/>
        <v>112</v>
      </c>
      <c r="AE7">
        <v>5000</v>
      </c>
      <c r="AF7">
        <f t="shared" si="5"/>
        <v>2</v>
      </c>
      <c r="AG7">
        <v>1</v>
      </c>
      <c r="AH7">
        <v>1</v>
      </c>
      <c r="AI7">
        <v>79</v>
      </c>
      <c r="AJ7">
        <f t="shared" si="16"/>
        <v>113</v>
      </c>
      <c r="AP7" t="str">
        <f t="shared" si="6"/>
        <v>{5000,2,1,1,101}</v>
      </c>
      <c r="AQ7" t="str">
        <f t="shared" si="7"/>
        <v>{5000,2,1,1,103}</v>
      </c>
      <c r="AR7" t="str">
        <f t="shared" si="8"/>
        <v>{5000,2,1,2,111}</v>
      </c>
      <c r="AS7" t="str">
        <f t="shared" si="9"/>
        <v>{5000,2,1,1,112}</v>
      </c>
      <c r="AT7" t="str">
        <f t="shared" si="10"/>
        <v>{5000,2,1,1,113}</v>
      </c>
      <c r="AU7" t="str">
        <f t="shared" si="11"/>
        <v/>
      </c>
      <c r="AV7">
        <v>1016</v>
      </c>
      <c r="AW7" t="str">
        <f t="shared" si="1"/>
        <v>[{5000,2,1,1,101},{5000,2,1,1,103},{5000,2,1,2,111},{5000,2,1,1,112},{5000,2,1,1,113}]</v>
      </c>
    </row>
    <row r="8" spans="2:49">
      <c r="B8">
        <v>1017</v>
      </c>
      <c r="C8" t="s">
        <v>78</v>
      </c>
      <c r="D8" t="str">
        <f t="shared" si="2"/>
        <v>1</v>
      </c>
      <c r="F8">
        <v>91</v>
      </c>
      <c r="G8">
        <v>5000</v>
      </c>
      <c r="H8">
        <v>2</v>
      </c>
      <c r="I8">
        <v>1</v>
      </c>
      <c r="J8">
        <v>1</v>
      </c>
      <c r="K8">
        <v>1</v>
      </c>
      <c r="L8">
        <f t="shared" si="12"/>
        <v>101</v>
      </c>
      <c r="M8">
        <v>5000</v>
      </c>
      <c r="N8">
        <f t="shared" si="0"/>
        <v>2</v>
      </c>
      <c r="O8">
        <v>1</v>
      </c>
      <c r="P8">
        <v>1</v>
      </c>
      <c r="Q8">
        <v>54</v>
      </c>
      <c r="R8" s="7">
        <f t="shared" si="13"/>
        <v>102</v>
      </c>
      <c r="S8">
        <v>5000</v>
      </c>
      <c r="T8">
        <f t="shared" si="3"/>
        <v>2</v>
      </c>
      <c r="U8">
        <v>1</v>
      </c>
      <c r="V8">
        <v>2</v>
      </c>
      <c r="W8">
        <v>51</v>
      </c>
      <c r="X8">
        <f t="shared" si="14"/>
        <v>103</v>
      </c>
      <c r="Y8">
        <v>5000</v>
      </c>
      <c r="Z8">
        <f t="shared" si="4"/>
        <v>2</v>
      </c>
      <c r="AA8">
        <v>1</v>
      </c>
      <c r="AB8">
        <v>1</v>
      </c>
      <c r="AC8">
        <v>71</v>
      </c>
      <c r="AD8">
        <f t="shared" si="15"/>
        <v>113</v>
      </c>
      <c r="AE8">
        <v>5000</v>
      </c>
      <c r="AF8">
        <f t="shared" si="5"/>
        <v>2</v>
      </c>
      <c r="AG8">
        <v>1</v>
      </c>
      <c r="AH8">
        <v>2</v>
      </c>
      <c r="AI8">
        <v>77</v>
      </c>
      <c r="AJ8">
        <f t="shared" si="16"/>
        <v>111</v>
      </c>
      <c r="AP8" t="str">
        <f t="shared" si="6"/>
        <v>{5000,2,1,1,101}</v>
      </c>
      <c r="AQ8" t="str">
        <f t="shared" si="7"/>
        <v>{5000,2,1,1,102}</v>
      </c>
      <c r="AR8" t="str">
        <f t="shared" si="8"/>
        <v>{5000,2,1,2,103}</v>
      </c>
      <c r="AS8" t="str">
        <f t="shared" si="9"/>
        <v>{5000,2,1,1,113}</v>
      </c>
      <c r="AT8" t="str">
        <f t="shared" si="10"/>
        <v>{5000,2,1,2,111}</v>
      </c>
      <c r="AU8" t="str">
        <f t="shared" si="11"/>
        <v/>
      </c>
      <c r="AV8">
        <v>1017</v>
      </c>
      <c r="AW8" t="str">
        <f t="shared" si="1"/>
        <v>[{5000,2,1,1,101},{5000,2,1,1,102},{5000,2,1,2,103},{5000,2,1,1,113},{5000,2,1,2,111}]</v>
      </c>
    </row>
    <row r="9" spans="2:49">
      <c r="B9">
        <v>1018</v>
      </c>
      <c r="C9" t="s">
        <v>78</v>
      </c>
      <c r="D9" t="str">
        <f t="shared" si="2"/>
        <v>1</v>
      </c>
      <c r="F9">
        <v>106</v>
      </c>
      <c r="G9">
        <v>5000</v>
      </c>
      <c r="H9">
        <v>2</v>
      </c>
      <c r="I9">
        <v>1</v>
      </c>
      <c r="J9">
        <v>1</v>
      </c>
      <c r="K9">
        <v>1</v>
      </c>
      <c r="L9">
        <f t="shared" si="12"/>
        <v>101</v>
      </c>
      <c r="M9">
        <v>5000</v>
      </c>
      <c r="N9">
        <f t="shared" si="0"/>
        <v>2</v>
      </c>
      <c r="O9">
        <v>1</v>
      </c>
      <c r="P9">
        <v>1</v>
      </c>
      <c r="Q9">
        <v>55</v>
      </c>
      <c r="R9" s="7">
        <f t="shared" si="13"/>
        <v>103</v>
      </c>
      <c r="S9">
        <v>5000</v>
      </c>
      <c r="T9">
        <f t="shared" si="3"/>
        <v>2</v>
      </c>
      <c r="U9">
        <v>1</v>
      </c>
      <c r="V9">
        <v>2</v>
      </c>
      <c r="W9">
        <v>73</v>
      </c>
      <c r="X9">
        <f t="shared" si="14"/>
        <v>111</v>
      </c>
      <c r="Y9">
        <v>5000</v>
      </c>
      <c r="Z9">
        <f t="shared" si="4"/>
        <v>2</v>
      </c>
      <c r="AA9">
        <v>1</v>
      </c>
      <c r="AB9">
        <v>1</v>
      </c>
      <c r="AC9">
        <v>78</v>
      </c>
      <c r="AD9">
        <f t="shared" si="15"/>
        <v>112</v>
      </c>
      <c r="AE9">
        <v>5000</v>
      </c>
      <c r="AF9">
        <f t="shared" si="5"/>
        <v>2</v>
      </c>
      <c r="AG9">
        <v>1</v>
      </c>
      <c r="AH9">
        <v>2</v>
      </c>
      <c r="AI9">
        <v>71</v>
      </c>
      <c r="AJ9">
        <f t="shared" si="16"/>
        <v>113</v>
      </c>
      <c r="AP9" t="str">
        <f t="shared" si="6"/>
        <v>{5000,2,1,1,101}</v>
      </c>
      <c r="AQ9" t="str">
        <f t="shared" si="7"/>
        <v>{5000,2,1,1,103}</v>
      </c>
      <c r="AR9" t="str">
        <f t="shared" si="8"/>
        <v>{5000,2,1,2,111}</v>
      </c>
      <c r="AS9" t="str">
        <f t="shared" si="9"/>
        <v>{5000,2,1,1,112}</v>
      </c>
      <c r="AT9" t="str">
        <f t="shared" si="10"/>
        <v>{5000,2,1,2,113}</v>
      </c>
      <c r="AU9" t="str">
        <f t="shared" si="11"/>
        <v/>
      </c>
      <c r="AV9">
        <v>1018</v>
      </c>
      <c r="AW9" t="str">
        <f t="shared" si="1"/>
        <v>[{5000,2,1,1,101},{5000,2,1,1,103},{5000,2,1,2,111},{5000,2,1,1,112},{5000,2,1,2,113}]</v>
      </c>
    </row>
    <row r="10" spans="2:49">
      <c r="B10">
        <v>1019</v>
      </c>
      <c r="C10" t="s">
        <v>78</v>
      </c>
      <c r="D10" t="str">
        <f t="shared" si="2"/>
        <v>1</v>
      </c>
      <c r="F10">
        <v>121</v>
      </c>
      <c r="G10">
        <v>5000</v>
      </c>
      <c r="H10">
        <v>3</v>
      </c>
      <c r="I10">
        <v>1</v>
      </c>
      <c r="J10">
        <v>3</v>
      </c>
      <c r="K10">
        <v>3</v>
      </c>
      <c r="L10">
        <f t="shared" si="12"/>
        <v>101</v>
      </c>
      <c r="M10">
        <v>5000</v>
      </c>
      <c r="N10">
        <f t="shared" si="0"/>
        <v>3</v>
      </c>
      <c r="O10">
        <v>1</v>
      </c>
      <c r="P10">
        <v>3</v>
      </c>
      <c r="Q10">
        <v>54</v>
      </c>
      <c r="R10" s="7">
        <f t="shared" si="13"/>
        <v>102</v>
      </c>
      <c r="S10">
        <v>5000</v>
      </c>
      <c r="T10">
        <f t="shared" si="3"/>
        <v>3</v>
      </c>
      <c r="U10">
        <v>1</v>
      </c>
      <c r="V10">
        <v>3</v>
      </c>
      <c r="W10">
        <v>51</v>
      </c>
      <c r="X10">
        <f t="shared" si="14"/>
        <v>103</v>
      </c>
      <c r="Y10">
        <v>5000</v>
      </c>
      <c r="Z10">
        <f t="shared" si="4"/>
        <v>3</v>
      </c>
      <c r="AA10">
        <v>1</v>
      </c>
      <c r="AB10">
        <v>3</v>
      </c>
      <c r="AC10">
        <v>71</v>
      </c>
      <c r="AD10">
        <f t="shared" si="15"/>
        <v>113</v>
      </c>
      <c r="AE10">
        <v>5000</v>
      </c>
      <c r="AF10">
        <f t="shared" si="5"/>
        <v>3</v>
      </c>
      <c r="AG10">
        <v>1</v>
      </c>
      <c r="AH10">
        <v>3</v>
      </c>
      <c r="AI10">
        <v>79</v>
      </c>
      <c r="AJ10">
        <f t="shared" si="16"/>
        <v>111</v>
      </c>
      <c r="AP10" t="str">
        <f t="shared" si="6"/>
        <v>{5000,3,1,3,101}</v>
      </c>
      <c r="AQ10" t="str">
        <f t="shared" si="7"/>
        <v>{5000,3,1,3,102}</v>
      </c>
      <c r="AR10" t="str">
        <f t="shared" si="8"/>
        <v>{5000,3,1,3,103}</v>
      </c>
      <c r="AS10" t="str">
        <f t="shared" si="9"/>
        <v>{5000,3,1,3,113}</v>
      </c>
      <c r="AT10" t="str">
        <f t="shared" si="10"/>
        <v>{5000,3,1,3,111}</v>
      </c>
      <c r="AU10" t="str">
        <f t="shared" si="11"/>
        <v/>
      </c>
      <c r="AV10">
        <v>1019</v>
      </c>
      <c r="AW10" t="str">
        <f t="shared" si="1"/>
        <v>[{5000,3,1,3,101},{5000,3,1,3,102},{5000,3,1,3,103},{5000,3,1,3,113},{5000,3,1,3,111}]</v>
      </c>
    </row>
    <row r="11" spans="2:49">
      <c r="B11">
        <v>1020</v>
      </c>
      <c r="C11" t="s">
        <v>78</v>
      </c>
      <c r="D11" t="str">
        <f t="shared" si="2"/>
        <v>1</v>
      </c>
      <c r="F11">
        <v>136</v>
      </c>
      <c r="G11">
        <v>5000</v>
      </c>
      <c r="H11">
        <v>3</v>
      </c>
      <c r="I11">
        <v>1</v>
      </c>
      <c r="J11">
        <v>1</v>
      </c>
      <c r="K11">
        <v>1</v>
      </c>
      <c r="L11">
        <f t="shared" si="12"/>
        <v>101</v>
      </c>
      <c r="M11">
        <v>5000</v>
      </c>
      <c r="N11">
        <f t="shared" si="0"/>
        <v>3</v>
      </c>
      <c r="O11">
        <v>1</v>
      </c>
      <c r="P11">
        <v>1</v>
      </c>
      <c r="Q11">
        <v>54</v>
      </c>
      <c r="R11" s="7">
        <f t="shared" si="13"/>
        <v>103</v>
      </c>
      <c r="S11">
        <v>5000</v>
      </c>
      <c r="T11">
        <f t="shared" si="3"/>
        <v>3</v>
      </c>
      <c r="U11">
        <v>1</v>
      </c>
      <c r="V11">
        <v>2</v>
      </c>
      <c r="W11">
        <v>76</v>
      </c>
      <c r="X11">
        <f t="shared" si="14"/>
        <v>111</v>
      </c>
      <c r="Y11">
        <v>5000</v>
      </c>
      <c r="Z11">
        <f t="shared" si="4"/>
        <v>3</v>
      </c>
      <c r="AA11">
        <v>1</v>
      </c>
      <c r="AB11">
        <v>1</v>
      </c>
      <c r="AC11">
        <v>72</v>
      </c>
      <c r="AD11">
        <f t="shared" si="15"/>
        <v>112</v>
      </c>
      <c r="AE11">
        <v>5000</v>
      </c>
      <c r="AF11">
        <f t="shared" si="5"/>
        <v>3</v>
      </c>
      <c r="AG11">
        <v>1</v>
      </c>
      <c r="AH11">
        <v>2</v>
      </c>
      <c r="AI11">
        <v>74</v>
      </c>
      <c r="AJ11">
        <f t="shared" si="16"/>
        <v>113</v>
      </c>
      <c r="AP11" t="str">
        <f t="shared" si="6"/>
        <v>{5000,3,1,1,101}</v>
      </c>
      <c r="AQ11" t="str">
        <f t="shared" si="7"/>
        <v>{5000,3,1,1,103}</v>
      </c>
      <c r="AR11" t="str">
        <f t="shared" si="8"/>
        <v>{5000,3,1,2,111}</v>
      </c>
      <c r="AS11" t="str">
        <f t="shared" si="9"/>
        <v>{5000,3,1,1,112}</v>
      </c>
      <c r="AT11" t="str">
        <f t="shared" si="10"/>
        <v>{5000,3,1,2,113}</v>
      </c>
      <c r="AU11" t="str">
        <f t="shared" si="11"/>
        <v/>
      </c>
      <c r="AV11">
        <v>1020</v>
      </c>
      <c r="AW11" t="str">
        <f t="shared" si="1"/>
        <v>[{5000,3,1,1,101},{5000,3,1,1,103},{5000,3,1,2,111},{5000,3,1,1,112},{5000,3,1,2,113}]</v>
      </c>
    </row>
    <row r="12" spans="2:49">
      <c r="B12">
        <v>1021</v>
      </c>
      <c r="C12" t="s">
        <v>78</v>
      </c>
      <c r="D12" t="str">
        <f t="shared" si="2"/>
        <v>1</v>
      </c>
      <c r="F12">
        <v>151</v>
      </c>
      <c r="G12">
        <v>5000</v>
      </c>
      <c r="H12">
        <v>3</v>
      </c>
      <c r="I12">
        <v>1</v>
      </c>
      <c r="J12">
        <v>1</v>
      </c>
      <c r="K12">
        <v>1</v>
      </c>
      <c r="L12">
        <f t="shared" si="12"/>
        <v>101</v>
      </c>
      <c r="M12">
        <v>5000</v>
      </c>
      <c r="N12">
        <f t="shared" si="0"/>
        <v>3</v>
      </c>
      <c r="O12">
        <v>1</v>
      </c>
      <c r="P12">
        <v>1</v>
      </c>
      <c r="Q12">
        <v>54</v>
      </c>
      <c r="R12" s="7">
        <f t="shared" si="13"/>
        <v>102</v>
      </c>
      <c r="S12">
        <v>5000</v>
      </c>
      <c r="T12">
        <f t="shared" si="3"/>
        <v>3</v>
      </c>
      <c r="U12">
        <v>1</v>
      </c>
      <c r="V12">
        <v>2</v>
      </c>
      <c r="W12">
        <v>56</v>
      </c>
      <c r="X12">
        <f t="shared" si="14"/>
        <v>103</v>
      </c>
      <c r="Y12">
        <v>5000</v>
      </c>
      <c r="Z12">
        <f t="shared" si="4"/>
        <v>3</v>
      </c>
      <c r="AA12">
        <v>1</v>
      </c>
      <c r="AB12">
        <v>1</v>
      </c>
      <c r="AC12">
        <v>72</v>
      </c>
      <c r="AD12">
        <f t="shared" si="15"/>
        <v>113</v>
      </c>
      <c r="AE12">
        <v>5000</v>
      </c>
      <c r="AF12">
        <f t="shared" si="5"/>
        <v>3</v>
      </c>
      <c r="AG12">
        <v>1</v>
      </c>
      <c r="AH12">
        <v>2</v>
      </c>
      <c r="AI12">
        <v>74</v>
      </c>
      <c r="AJ12">
        <f t="shared" si="16"/>
        <v>111</v>
      </c>
      <c r="AP12" t="str">
        <f t="shared" si="6"/>
        <v>{5000,3,1,1,101}</v>
      </c>
      <c r="AQ12" t="str">
        <f t="shared" si="7"/>
        <v>{5000,3,1,1,102}</v>
      </c>
      <c r="AR12" t="str">
        <f t="shared" si="8"/>
        <v>{5000,3,1,2,103}</v>
      </c>
      <c r="AS12" t="str">
        <f t="shared" si="9"/>
        <v>{5000,3,1,1,113}</v>
      </c>
      <c r="AT12" t="str">
        <f t="shared" si="10"/>
        <v>{5000,3,1,2,111}</v>
      </c>
      <c r="AU12" t="str">
        <f t="shared" si="11"/>
        <v/>
      </c>
      <c r="AV12">
        <v>1021</v>
      </c>
      <c r="AW12" t="str">
        <f t="shared" si="1"/>
        <v>[{5000,3,1,1,101},{5000,3,1,1,102},{5000,3,1,2,103},{5000,3,1,1,113},{5000,3,1,2,111}]</v>
      </c>
    </row>
    <row r="13" spans="2:49">
      <c r="B13">
        <v>1022</v>
      </c>
      <c r="C13" t="s">
        <v>78</v>
      </c>
      <c r="D13" t="str">
        <f t="shared" si="2"/>
        <v>1</v>
      </c>
      <c r="F13">
        <v>166</v>
      </c>
      <c r="G13">
        <v>5000</v>
      </c>
      <c r="H13">
        <v>3</v>
      </c>
      <c r="I13">
        <v>1</v>
      </c>
      <c r="J13">
        <v>1</v>
      </c>
      <c r="K13">
        <v>1</v>
      </c>
      <c r="L13">
        <f t="shared" si="12"/>
        <v>101</v>
      </c>
      <c r="M13">
        <v>5000</v>
      </c>
      <c r="N13">
        <f t="shared" si="0"/>
        <v>3</v>
      </c>
      <c r="O13">
        <v>1</v>
      </c>
      <c r="P13">
        <v>1</v>
      </c>
      <c r="Q13">
        <v>59</v>
      </c>
      <c r="R13" s="7">
        <f t="shared" si="13"/>
        <v>103</v>
      </c>
      <c r="S13">
        <v>5000</v>
      </c>
      <c r="T13">
        <f t="shared" si="3"/>
        <v>3</v>
      </c>
      <c r="U13">
        <v>1</v>
      </c>
      <c r="V13">
        <v>2</v>
      </c>
      <c r="W13">
        <v>79</v>
      </c>
      <c r="X13">
        <f t="shared" si="14"/>
        <v>111</v>
      </c>
      <c r="Y13">
        <v>5000</v>
      </c>
      <c r="Z13">
        <f t="shared" si="4"/>
        <v>3</v>
      </c>
      <c r="AA13">
        <v>1</v>
      </c>
      <c r="AB13">
        <v>1</v>
      </c>
      <c r="AC13">
        <v>71</v>
      </c>
      <c r="AD13">
        <f t="shared" si="15"/>
        <v>112</v>
      </c>
      <c r="AE13">
        <v>5000</v>
      </c>
      <c r="AF13">
        <f t="shared" si="5"/>
        <v>3</v>
      </c>
      <c r="AG13">
        <v>1</v>
      </c>
      <c r="AH13">
        <v>2</v>
      </c>
      <c r="AI13">
        <v>74</v>
      </c>
      <c r="AJ13">
        <f t="shared" si="16"/>
        <v>113</v>
      </c>
      <c r="AP13" t="str">
        <f t="shared" si="6"/>
        <v>{5000,3,1,1,101}</v>
      </c>
      <c r="AQ13" t="str">
        <f t="shared" si="7"/>
        <v>{5000,3,1,1,103}</v>
      </c>
      <c r="AR13" t="str">
        <f t="shared" si="8"/>
        <v>{5000,3,1,2,111}</v>
      </c>
      <c r="AS13" t="str">
        <f t="shared" si="9"/>
        <v>{5000,3,1,1,112}</v>
      </c>
      <c r="AT13" t="str">
        <f t="shared" si="10"/>
        <v>{5000,3,1,2,113}</v>
      </c>
      <c r="AU13" t="str">
        <f t="shared" si="11"/>
        <v/>
      </c>
      <c r="AV13">
        <v>1022</v>
      </c>
      <c r="AW13" t="str">
        <f t="shared" si="1"/>
        <v>[{5000,3,1,1,101},{5000,3,1,1,103},{5000,3,1,2,111},{5000,3,1,1,112},{5000,3,1,2,113}]</v>
      </c>
    </row>
    <row r="14" spans="2:49">
      <c r="B14">
        <v>1023</v>
      </c>
      <c r="C14" t="s">
        <v>78</v>
      </c>
      <c r="D14" t="str">
        <f t="shared" si="2"/>
        <v>1</v>
      </c>
      <c r="F14">
        <v>181</v>
      </c>
      <c r="G14">
        <v>5000</v>
      </c>
      <c r="H14">
        <v>4</v>
      </c>
      <c r="I14">
        <v>1</v>
      </c>
      <c r="J14">
        <v>3</v>
      </c>
      <c r="K14">
        <v>3</v>
      </c>
      <c r="L14">
        <f t="shared" si="12"/>
        <v>101</v>
      </c>
      <c r="M14">
        <v>5000</v>
      </c>
      <c r="N14">
        <f t="shared" si="0"/>
        <v>4</v>
      </c>
      <c r="O14">
        <v>1</v>
      </c>
      <c r="P14">
        <v>3</v>
      </c>
      <c r="Q14">
        <v>53</v>
      </c>
      <c r="R14" s="7">
        <f t="shared" si="13"/>
        <v>102</v>
      </c>
      <c r="S14">
        <v>5000</v>
      </c>
      <c r="T14">
        <f t="shared" si="3"/>
        <v>4</v>
      </c>
      <c r="U14">
        <v>1</v>
      </c>
      <c r="V14">
        <v>3</v>
      </c>
      <c r="W14">
        <v>56</v>
      </c>
      <c r="X14">
        <f t="shared" si="14"/>
        <v>103</v>
      </c>
      <c r="Y14">
        <v>5000</v>
      </c>
      <c r="Z14">
        <f t="shared" si="4"/>
        <v>4</v>
      </c>
      <c r="AA14">
        <v>1</v>
      </c>
      <c r="AB14">
        <v>3</v>
      </c>
      <c r="AC14">
        <v>75</v>
      </c>
      <c r="AD14">
        <f t="shared" si="15"/>
        <v>113</v>
      </c>
      <c r="AE14">
        <v>5000</v>
      </c>
      <c r="AF14">
        <f t="shared" si="5"/>
        <v>4</v>
      </c>
      <c r="AG14">
        <v>1</v>
      </c>
      <c r="AH14">
        <v>3</v>
      </c>
      <c r="AI14">
        <v>78</v>
      </c>
      <c r="AJ14">
        <f t="shared" si="16"/>
        <v>111</v>
      </c>
      <c r="AP14" t="str">
        <f t="shared" si="6"/>
        <v>{5000,4,1,3,101}</v>
      </c>
      <c r="AQ14" t="str">
        <f t="shared" si="7"/>
        <v>{5000,4,1,3,102}</v>
      </c>
      <c r="AR14" t="str">
        <f t="shared" si="8"/>
        <v>{5000,4,1,3,103}</v>
      </c>
      <c r="AS14" t="str">
        <f t="shared" si="9"/>
        <v>{5000,4,1,3,113}</v>
      </c>
      <c r="AT14" t="str">
        <f t="shared" si="10"/>
        <v>{5000,4,1,3,111}</v>
      </c>
      <c r="AU14" t="str">
        <f t="shared" si="11"/>
        <v/>
      </c>
      <c r="AV14">
        <v>1023</v>
      </c>
      <c r="AW14" t="str">
        <f t="shared" si="1"/>
        <v>[{5000,4,1,3,101},{5000,4,1,3,102},{5000,4,1,3,103},{5000,4,1,3,113},{5000,4,1,3,111}]</v>
      </c>
    </row>
    <row r="15" spans="2:49">
      <c r="B15">
        <v>1024</v>
      </c>
      <c r="C15" t="s">
        <v>78</v>
      </c>
      <c r="D15" t="str">
        <f t="shared" si="2"/>
        <v>1</v>
      </c>
      <c r="F15">
        <v>196</v>
      </c>
      <c r="G15">
        <v>5000</v>
      </c>
      <c r="H15">
        <v>3</v>
      </c>
      <c r="I15">
        <v>1</v>
      </c>
      <c r="J15">
        <v>2</v>
      </c>
      <c r="K15">
        <v>2</v>
      </c>
      <c r="L15">
        <f t="shared" si="12"/>
        <v>101</v>
      </c>
      <c r="M15">
        <v>5000</v>
      </c>
      <c r="N15">
        <f t="shared" si="0"/>
        <v>3</v>
      </c>
      <c r="O15">
        <v>1</v>
      </c>
      <c r="P15">
        <v>1</v>
      </c>
      <c r="Q15">
        <v>54</v>
      </c>
      <c r="R15" s="7">
        <f t="shared" si="13"/>
        <v>103</v>
      </c>
      <c r="S15">
        <v>5000</v>
      </c>
      <c r="T15">
        <f t="shared" si="3"/>
        <v>3</v>
      </c>
      <c r="U15">
        <v>1</v>
      </c>
      <c r="V15">
        <v>2</v>
      </c>
      <c r="W15">
        <v>77</v>
      </c>
      <c r="X15">
        <f t="shared" si="14"/>
        <v>111</v>
      </c>
      <c r="Y15">
        <v>5000</v>
      </c>
      <c r="Z15">
        <f t="shared" si="4"/>
        <v>3</v>
      </c>
      <c r="AA15">
        <v>1</v>
      </c>
      <c r="AB15">
        <v>1</v>
      </c>
      <c r="AC15">
        <v>72</v>
      </c>
      <c r="AD15">
        <f t="shared" si="15"/>
        <v>112</v>
      </c>
      <c r="AE15">
        <v>5000</v>
      </c>
      <c r="AF15">
        <f t="shared" si="5"/>
        <v>3</v>
      </c>
      <c r="AG15">
        <v>1</v>
      </c>
      <c r="AH15">
        <v>2</v>
      </c>
      <c r="AI15">
        <v>74</v>
      </c>
      <c r="AJ15">
        <f t="shared" si="16"/>
        <v>113</v>
      </c>
      <c r="AP15" t="str">
        <f t="shared" si="6"/>
        <v>{5000,3,1,2,101}</v>
      </c>
      <c r="AQ15" t="str">
        <f t="shared" si="7"/>
        <v>{5000,3,1,1,103}</v>
      </c>
      <c r="AR15" t="str">
        <f t="shared" si="8"/>
        <v>{5000,3,1,2,111}</v>
      </c>
      <c r="AS15" t="str">
        <f t="shared" si="9"/>
        <v>{5000,3,1,1,112}</v>
      </c>
      <c r="AT15" t="str">
        <f t="shared" si="10"/>
        <v>{5000,3,1,2,113}</v>
      </c>
      <c r="AU15" t="str">
        <f t="shared" si="11"/>
        <v/>
      </c>
      <c r="AV15">
        <v>1024</v>
      </c>
      <c r="AW15" t="str">
        <f t="shared" si="1"/>
        <v>[{5000,3,1,2,101},{5000,3,1,1,103},{5000,3,1,2,111},{5000,3,1,1,112},{5000,3,1,2,113}]</v>
      </c>
    </row>
    <row r="16" spans="2:49">
      <c r="B16">
        <v>1025</v>
      </c>
      <c r="C16" t="s">
        <v>78</v>
      </c>
      <c r="D16" t="str">
        <f t="shared" si="2"/>
        <v>1</v>
      </c>
      <c r="F16">
        <v>211</v>
      </c>
      <c r="G16">
        <v>5000</v>
      </c>
      <c r="H16">
        <v>4</v>
      </c>
      <c r="I16">
        <v>1</v>
      </c>
      <c r="J16">
        <v>2</v>
      </c>
      <c r="K16">
        <v>2</v>
      </c>
      <c r="L16">
        <f t="shared" si="12"/>
        <v>101</v>
      </c>
      <c r="M16">
        <v>5000</v>
      </c>
      <c r="N16">
        <f t="shared" si="0"/>
        <v>4</v>
      </c>
      <c r="O16">
        <v>1</v>
      </c>
      <c r="P16">
        <v>1</v>
      </c>
      <c r="Q16">
        <v>51</v>
      </c>
      <c r="R16" s="7">
        <f t="shared" si="13"/>
        <v>102</v>
      </c>
      <c r="S16">
        <v>5000</v>
      </c>
      <c r="T16">
        <f t="shared" si="3"/>
        <v>4</v>
      </c>
      <c r="U16">
        <v>1</v>
      </c>
      <c r="V16">
        <v>2</v>
      </c>
      <c r="W16">
        <v>57</v>
      </c>
      <c r="X16">
        <f t="shared" si="14"/>
        <v>103</v>
      </c>
      <c r="Y16">
        <v>5000</v>
      </c>
      <c r="Z16">
        <f t="shared" si="4"/>
        <v>4</v>
      </c>
      <c r="AA16">
        <v>1</v>
      </c>
      <c r="AB16">
        <v>1</v>
      </c>
      <c r="AC16">
        <v>79</v>
      </c>
      <c r="AD16">
        <f t="shared" si="15"/>
        <v>113</v>
      </c>
      <c r="AE16">
        <v>5000</v>
      </c>
      <c r="AF16">
        <f t="shared" si="5"/>
        <v>4</v>
      </c>
      <c r="AG16">
        <v>1</v>
      </c>
      <c r="AH16">
        <v>2</v>
      </c>
      <c r="AI16">
        <v>72</v>
      </c>
      <c r="AJ16">
        <f t="shared" si="16"/>
        <v>111</v>
      </c>
      <c r="AP16" t="str">
        <f t="shared" si="6"/>
        <v>{5000,4,1,2,101}</v>
      </c>
      <c r="AQ16" t="str">
        <f t="shared" si="7"/>
        <v>{5000,4,1,1,102}</v>
      </c>
      <c r="AR16" t="str">
        <f t="shared" si="8"/>
        <v>{5000,4,1,2,103}</v>
      </c>
      <c r="AS16" t="str">
        <f t="shared" si="9"/>
        <v>{5000,4,1,1,113}</v>
      </c>
      <c r="AT16" t="str">
        <f t="shared" si="10"/>
        <v>{5000,4,1,2,111}</v>
      </c>
      <c r="AU16" t="str">
        <f t="shared" si="11"/>
        <v/>
      </c>
      <c r="AV16">
        <v>1025</v>
      </c>
      <c r="AW16" t="str">
        <f t="shared" si="1"/>
        <v>[{5000,4,1,2,101},{5000,4,1,1,102},{5000,4,1,2,103},{5000,4,1,1,113},{5000,4,1,2,111}]</v>
      </c>
    </row>
    <row r="17" spans="2:49">
      <c r="B17">
        <v>1026</v>
      </c>
      <c r="C17" t="s">
        <v>78</v>
      </c>
      <c r="D17" t="str">
        <f t="shared" si="2"/>
        <v>1</v>
      </c>
      <c r="F17">
        <v>226</v>
      </c>
      <c r="G17">
        <v>5000</v>
      </c>
      <c r="H17">
        <v>4</v>
      </c>
      <c r="I17">
        <v>1</v>
      </c>
      <c r="J17">
        <v>2</v>
      </c>
      <c r="K17">
        <v>2</v>
      </c>
      <c r="L17">
        <f t="shared" si="12"/>
        <v>101</v>
      </c>
      <c r="M17">
        <v>5000</v>
      </c>
      <c r="N17">
        <f t="shared" si="0"/>
        <v>4</v>
      </c>
      <c r="O17">
        <v>1</v>
      </c>
      <c r="P17">
        <v>1</v>
      </c>
      <c r="Q17">
        <v>51</v>
      </c>
      <c r="R17" s="7">
        <f t="shared" si="13"/>
        <v>103</v>
      </c>
      <c r="S17">
        <v>5000</v>
      </c>
      <c r="T17">
        <f t="shared" si="3"/>
        <v>4</v>
      </c>
      <c r="U17">
        <v>1</v>
      </c>
      <c r="V17">
        <v>2</v>
      </c>
      <c r="W17">
        <v>75</v>
      </c>
      <c r="X17">
        <f t="shared" si="14"/>
        <v>111</v>
      </c>
      <c r="Y17">
        <v>5000</v>
      </c>
      <c r="Z17">
        <f t="shared" si="4"/>
        <v>4</v>
      </c>
      <c r="AA17">
        <v>1</v>
      </c>
      <c r="AB17">
        <v>1</v>
      </c>
      <c r="AC17">
        <v>71</v>
      </c>
      <c r="AD17">
        <f t="shared" si="15"/>
        <v>112</v>
      </c>
      <c r="AE17">
        <v>5000</v>
      </c>
      <c r="AF17">
        <f t="shared" si="5"/>
        <v>4</v>
      </c>
      <c r="AG17">
        <v>1</v>
      </c>
      <c r="AH17">
        <v>2</v>
      </c>
      <c r="AI17">
        <v>77</v>
      </c>
      <c r="AJ17">
        <f t="shared" si="16"/>
        <v>113</v>
      </c>
      <c r="AP17" t="str">
        <f t="shared" si="6"/>
        <v>{5000,4,1,2,101}</v>
      </c>
      <c r="AQ17" t="str">
        <f t="shared" si="7"/>
        <v>{5000,4,1,1,103}</v>
      </c>
      <c r="AR17" t="str">
        <f t="shared" si="8"/>
        <v>{5000,4,1,2,111}</v>
      </c>
      <c r="AS17" t="str">
        <f t="shared" si="9"/>
        <v>{5000,4,1,1,112}</v>
      </c>
      <c r="AT17" t="str">
        <f t="shared" si="10"/>
        <v>{5000,4,1,2,113}</v>
      </c>
      <c r="AU17" t="str">
        <f t="shared" si="11"/>
        <v/>
      </c>
      <c r="AV17">
        <v>1026</v>
      </c>
      <c r="AW17" t="str">
        <f t="shared" si="1"/>
        <v>[{5000,4,1,2,101},{5000,4,1,1,103},{5000,4,1,2,111},{5000,4,1,1,112},{5000,4,1,2,113}]</v>
      </c>
    </row>
    <row r="18" spans="2:49">
      <c r="B18">
        <v>1027</v>
      </c>
      <c r="C18" t="s">
        <v>78</v>
      </c>
      <c r="D18" t="str">
        <f t="shared" si="2"/>
        <v>1</v>
      </c>
      <c r="F18">
        <v>241</v>
      </c>
      <c r="G18">
        <v>5000</v>
      </c>
      <c r="H18">
        <v>5</v>
      </c>
      <c r="I18">
        <v>1</v>
      </c>
      <c r="J18">
        <v>3</v>
      </c>
      <c r="K18">
        <v>3</v>
      </c>
      <c r="L18">
        <f t="shared" si="12"/>
        <v>101</v>
      </c>
      <c r="M18">
        <v>5000</v>
      </c>
      <c r="N18">
        <f t="shared" si="0"/>
        <v>5</v>
      </c>
      <c r="O18">
        <v>1</v>
      </c>
      <c r="P18">
        <v>3</v>
      </c>
      <c r="Q18">
        <v>53</v>
      </c>
      <c r="R18" s="7">
        <f t="shared" si="13"/>
        <v>102</v>
      </c>
      <c r="S18">
        <v>5000</v>
      </c>
      <c r="T18">
        <f t="shared" si="3"/>
        <v>5</v>
      </c>
      <c r="U18">
        <v>1</v>
      </c>
      <c r="V18">
        <v>3</v>
      </c>
      <c r="W18">
        <v>56</v>
      </c>
      <c r="X18">
        <f t="shared" si="14"/>
        <v>103</v>
      </c>
      <c r="Y18">
        <v>5000</v>
      </c>
      <c r="Z18">
        <f t="shared" si="4"/>
        <v>5</v>
      </c>
      <c r="AA18">
        <v>1</v>
      </c>
      <c r="AB18">
        <v>3</v>
      </c>
      <c r="AC18">
        <v>74</v>
      </c>
      <c r="AD18">
        <f t="shared" si="15"/>
        <v>113</v>
      </c>
      <c r="AE18">
        <v>5000</v>
      </c>
      <c r="AF18">
        <f t="shared" si="5"/>
        <v>5</v>
      </c>
      <c r="AG18">
        <v>1</v>
      </c>
      <c r="AH18">
        <v>3</v>
      </c>
      <c r="AI18">
        <v>78</v>
      </c>
      <c r="AJ18">
        <f t="shared" si="16"/>
        <v>111</v>
      </c>
      <c r="AP18" t="str">
        <f t="shared" si="6"/>
        <v>{5000,5,1,3,101}</v>
      </c>
      <c r="AQ18" t="str">
        <f t="shared" si="7"/>
        <v>{5000,5,1,3,102}</v>
      </c>
      <c r="AR18" t="str">
        <f t="shared" si="8"/>
        <v>{5000,5,1,3,103}</v>
      </c>
      <c r="AS18" t="str">
        <f t="shared" si="9"/>
        <v>{5000,5,1,3,113}</v>
      </c>
      <c r="AT18" t="str">
        <f t="shared" si="10"/>
        <v>{5000,5,1,3,111}</v>
      </c>
      <c r="AU18" t="str">
        <f t="shared" si="11"/>
        <v/>
      </c>
      <c r="AV18">
        <v>1027</v>
      </c>
      <c r="AW18" t="str">
        <f t="shared" si="1"/>
        <v>[{5000,5,1,3,101},{5000,5,1,3,102},{5000,5,1,3,103},{5000,5,1,3,113},{5000,5,1,3,111}]</v>
      </c>
    </row>
    <row r="19" spans="2:49">
      <c r="B19">
        <v>1028</v>
      </c>
      <c r="C19" t="s">
        <v>78</v>
      </c>
      <c r="D19" t="str">
        <f t="shared" si="2"/>
        <v>1</v>
      </c>
      <c r="F19">
        <v>256</v>
      </c>
      <c r="G19">
        <v>5000</v>
      </c>
      <c r="H19">
        <v>4</v>
      </c>
      <c r="I19">
        <v>1</v>
      </c>
      <c r="J19">
        <v>2</v>
      </c>
      <c r="K19">
        <v>2</v>
      </c>
      <c r="L19">
        <f t="shared" si="12"/>
        <v>101</v>
      </c>
      <c r="M19">
        <v>5000</v>
      </c>
      <c r="N19">
        <f t="shared" si="0"/>
        <v>4</v>
      </c>
      <c r="O19">
        <v>1</v>
      </c>
      <c r="P19">
        <v>2</v>
      </c>
      <c r="Q19">
        <v>59</v>
      </c>
      <c r="R19" s="7">
        <f t="shared" si="13"/>
        <v>103</v>
      </c>
      <c r="S19">
        <v>5000</v>
      </c>
      <c r="T19">
        <f t="shared" si="3"/>
        <v>4</v>
      </c>
      <c r="U19">
        <v>1</v>
      </c>
      <c r="V19">
        <v>2</v>
      </c>
      <c r="W19">
        <v>79</v>
      </c>
      <c r="X19">
        <f t="shared" si="14"/>
        <v>111</v>
      </c>
      <c r="Y19">
        <v>5000</v>
      </c>
      <c r="Z19">
        <f t="shared" si="4"/>
        <v>4</v>
      </c>
      <c r="AA19">
        <v>1</v>
      </c>
      <c r="AB19">
        <v>1</v>
      </c>
      <c r="AC19">
        <v>72</v>
      </c>
      <c r="AD19">
        <f t="shared" si="15"/>
        <v>112</v>
      </c>
      <c r="AE19">
        <v>5000</v>
      </c>
      <c r="AF19">
        <f t="shared" si="5"/>
        <v>4</v>
      </c>
      <c r="AG19">
        <v>1</v>
      </c>
      <c r="AH19">
        <v>2</v>
      </c>
      <c r="AI19">
        <v>74</v>
      </c>
      <c r="AJ19">
        <f t="shared" si="16"/>
        <v>113</v>
      </c>
      <c r="AP19" t="str">
        <f t="shared" si="6"/>
        <v>{5000,4,1,2,101}</v>
      </c>
      <c r="AQ19" t="str">
        <f t="shared" si="7"/>
        <v>{5000,4,1,2,103}</v>
      </c>
      <c r="AR19" t="str">
        <f t="shared" si="8"/>
        <v>{5000,4,1,2,111}</v>
      </c>
      <c r="AS19" t="str">
        <f t="shared" si="9"/>
        <v>{5000,4,1,1,112}</v>
      </c>
      <c r="AT19" t="str">
        <f t="shared" si="10"/>
        <v>{5000,4,1,2,113}</v>
      </c>
      <c r="AU19" t="str">
        <f t="shared" si="11"/>
        <v/>
      </c>
      <c r="AV19">
        <v>1028</v>
      </c>
      <c r="AW19" t="str">
        <f t="shared" si="1"/>
        <v>[{5000,4,1,2,101},{5000,4,1,2,103},{5000,4,1,2,111},{5000,4,1,1,112},{5000,4,1,2,113}]</v>
      </c>
    </row>
    <row r="20" spans="2:49">
      <c r="B20">
        <v>1029</v>
      </c>
      <c r="C20" t="s">
        <v>78</v>
      </c>
      <c r="D20" t="str">
        <f t="shared" si="2"/>
        <v>1</v>
      </c>
      <c r="F20">
        <v>271</v>
      </c>
      <c r="G20">
        <v>5000</v>
      </c>
      <c r="H20">
        <v>4</v>
      </c>
      <c r="I20">
        <v>1</v>
      </c>
      <c r="J20">
        <v>2</v>
      </c>
      <c r="K20">
        <v>2</v>
      </c>
      <c r="L20">
        <f t="shared" si="12"/>
        <v>101</v>
      </c>
      <c r="M20">
        <v>5000</v>
      </c>
      <c r="N20">
        <f t="shared" si="0"/>
        <v>4</v>
      </c>
      <c r="O20">
        <v>1</v>
      </c>
      <c r="P20">
        <v>2</v>
      </c>
      <c r="Q20">
        <v>54</v>
      </c>
      <c r="R20" s="7">
        <f t="shared" si="13"/>
        <v>102</v>
      </c>
      <c r="S20">
        <v>5000</v>
      </c>
      <c r="T20">
        <f t="shared" si="3"/>
        <v>4</v>
      </c>
      <c r="U20">
        <v>1</v>
      </c>
      <c r="V20">
        <v>2</v>
      </c>
      <c r="W20">
        <v>56</v>
      </c>
      <c r="X20">
        <f t="shared" si="14"/>
        <v>103</v>
      </c>
      <c r="Y20">
        <v>5000</v>
      </c>
      <c r="Z20">
        <f t="shared" si="4"/>
        <v>4</v>
      </c>
      <c r="AA20">
        <v>1</v>
      </c>
      <c r="AB20">
        <v>2</v>
      </c>
      <c r="AC20">
        <v>73</v>
      </c>
      <c r="AD20">
        <f t="shared" si="15"/>
        <v>113</v>
      </c>
      <c r="AE20">
        <v>5000</v>
      </c>
      <c r="AF20">
        <f t="shared" si="5"/>
        <v>4</v>
      </c>
      <c r="AG20">
        <v>1</v>
      </c>
      <c r="AH20">
        <v>2</v>
      </c>
      <c r="AI20">
        <v>75</v>
      </c>
      <c r="AJ20">
        <f t="shared" si="16"/>
        <v>111</v>
      </c>
      <c r="AP20" t="str">
        <f t="shared" si="6"/>
        <v>{5000,4,1,2,101}</v>
      </c>
      <c r="AQ20" t="str">
        <f t="shared" si="7"/>
        <v>{5000,4,1,2,102}</v>
      </c>
      <c r="AR20" t="str">
        <f t="shared" si="8"/>
        <v>{5000,4,1,2,103}</v>
      </c>
      <c r="AS20" t="str">
        <f t="shared" si="9"/>
        <v>{5000,4,1,2,113}</v>
      </c>
      <c r="AT20" t="str">
        <f t="shared" si="10"/>
        <v>{5000,4,1,2,111}</v>
      </c>
      <c r="AU20" t="str">
        <f t="shared" si="11"/>
        <v/>
      </c>
      <c r="AV20">
        <v>1029</v>
      </c>
      <c r="AW20" t="str">
        <f t="shared" si="1"/>
        <v>[{5000,4,1,2,101},{5000,4,1,2,102},{5000,4,1,2,103},{5000,4,1,2,113},{5000,4,1,2,111}]</v>
      </c>
    </row>
    <row r="21" spans="2:49">
      <c r="B21">
        <v>1030</v>
      </c>
      <c r="C21" t="s">
        <v>78</v>
      </c>
      <c r="D21" t="str">
        <f t="shared" si="2"/>
        <v>1</v>
      </c>
      <c r="F21">
        <v>286</v>
      </c>
      <c r="G21">
        <v>5000</v>
      </c>
      <c r="H21">
        <v>4</v>
      </c>
      <c r="I21">
        <v>1</v>
      </c>
      <c r="J21">
        <v>2</v>
      </c>
      <c r="K21">
        <v>2</v>
      </c>
      <c r="L21">
        <f t="shared" si="12"/>
        <v>101</v>
      </c>
      <c r="M21">
        <v>5000</v>
      </c>
      <c r="N21">
        <f t="shared" si="0"/>
        <v>4</v>
      </c>
      <c r="O21">
        <v>1</v>
      </c>
      <c r="P21">
        <v>2</v>
      </c>
      <c r="Q21">
        <v>53</v>
      </c>
      <c r="R21" s="7">
        <f t="shared" si="13"/>
        <v>103</v>
      </c>
      <c r="S21">
        <v>5000</v>
      </c>
      <c r="T21">
        <f t="shared" si="3"/>
        <v>4</v>
      </c>
      <c r="U21">
        <v>1</v>
      </c>
      <c r="V21">
        <v>2</v>
      </c>
      <c r="W21">
        <v>59</v>
      </c>
      <c r="X21">
        <f t="shared" si="14"/>
        <v>111</v>
      </c>
      <c r="Y21">
        <v>5000</v>
      </c>
      <c r="Z21">
        <f t="shared" si="4"/>
        <v>4</v>
      </c>
      <c r="AA21">
        <v>1</v>
      </c>
      <c r="AB21">
        <v>2</v>
      </c>
      <c r="AC21">
        <v>71</v>
      </c>
      <c r="AD21">
        <f t="shared" si="15"/>
        <v>112</v>
      </c>
      <c r="AE21">
        <v>5000</v>
      </c>
      <c r="AF21">
        <f t="shared" si="5"/>
        <v>4</v>
      </c>
      <c r="AG21">
        <v>1</v>
      </c>
      <c r="AH21">
        <v>2</v>
      </c>
      <c r="AI21">
        <v>77</v>
      </c>
      <c r="AJ21">
        <f t="shared" si="16"/>
        <v>113</v>
      </c>
      <c r="AP21" t="str">
        <f t="shared" si="6"/>
        <v>{5000,4,1,2,101}</v>
      </c>
      <c r="AQ21" t="str">
        <f t="shared" si="7"/>
        <v>{5000,4,1,2,103}</v>
      </c>
      <c r="AR21" t="str">
        <f t="shared" si="8"/>
        <v>{5000,4,1,2,111}</v>
      </c>
      <c r="AS21" t="str">
        <f t="shared" si="9"/>
        <v>{5000,4,1,2,112}</v>
      </c>
      <c r="AT21" t="str">
        <f t="shared" si="10"/>
        <v>{5000,4,1,2,113}</v>
      </c>
      <c r="AU21" t="str">
        <f t="shared" si="11"/>
        <v/>
      </c>
      <c r="AV21">
        <v>1030</v>
      </c>
      <c r="AW21" t="str">
        <f t="shared" si="1"/>
        <v>[{5000,4,1,2,101},{5000,4,1,2,103},{5000,4,1,2,111},{5000,4,1,2,112},{5000,4,1,2,113}]</v>
      </c>
    </row>
    <row r="22" spans="2:49">
      <c r="B22">
        <v>1031</v>
      </c>
      <c r="C22" t="s">
        <v>78</v>
      </c>
      <c r="D22" t="str">
        <f t="shared" si="2"/>
        <v>1</v>
      </c>
      <c r="F22">
        <v>290</v>
      </c>
      <c r="G22">
        <v>5000</v>
      </c>
      <c r="H22">
        <v>4</v>
      </c>
      <c r="I22">
        <v>1</v>
      </c>
      <c r="J22">
        <v>2</v>
      </c>
      <c r="K22">
        <v>2</v>
      </c>
      <c r="L22">
        <f t="shared" si="12"/>
        <v>101</v>
      </c>
      <c r="M22">
        <v>5000</v>
      </c>
      <c r="N22">
        <f t="shared" si="0"/>
        <v>4</v>
      </c>
      <c r="O22">
        <v>1</v>
      </c>
      <c r="P22">
        <v>2</v>
      </c>
      <c r="Q22">
        <v>56</v>
      </c>
      <c r="R22" s="7">
        <f t="shared" si="13"/>
        <v>102</v>
      </c>
      <c r="S22">
        <v>5000</v>
      </c>
      <c r="T22">
        <f t="shared" si="3"/>
        <v>4</v>
      </c>
      <c r="U22">
        <v>1</v>
      </c>
      <c r="V22">
        <v>1</v>
      </c>
      <c r="W22">
        <v>77</v>
      </c>
      <c r="X22">
        <f t="shared" si="14"/>
        <v>103</v>
      </c>
      <c r="Y22">
        <v>5000</v>
      </c>
      <c r="Z22">
        <f t="shared" si="4"/>
        <v>4</v>
      </c>
      <c r="AA22">
        <v>1</v>
      </c>
      <c r="AB22">
        <v>2</v>
      </c>
      <c r="AC22">
        <v>72</v>
      </c>
      <c r="AD22">
        <f t="shared" si="15"/>
        <v>113</v>
      </c>
      <c r="AE22">
        <v>5000</v>
      </c>
      <c r="AF22">
        <f t="shared" si="5"/>
        <v>4</v>
      </c>
      <c r="AG22">
        <v>1</v>
      </c>
      <c r="AH22">
        <v>2</v>
      </c>
      <c r="AI22">
        <v>74</v>
      </c>
      <c r="AJ22">
        <f t="shared" si="16"/>
        <v>111</v>
      </c>
      <c r="AP22" t="str">
        <f t="shared" si="6"/>
        <v>{5000,4,1,2,101}</v>
      </c>
      <c r="AQ22" t="str">
        <f t="shared" si="7"/>
        <v>{5000,4,1,2,102}</v>
      </c>
      <c r="AR22" t="str">
        <f t="shared" si="8"/>
        <v>{5000,4,1,1,103}</v>
      </c>
      <c r="AS22" t="str">
        <f t="shared" si="9"/>
        <v>{5000,4,1,2,113}</v>
      </c>
      <c r="AT22" t="str">
        <f t="shared" si="10"/>
        <v>{5000,4,1,2,111}</v>
      </c>
      <c r="AU22" t="str">
        <f t="shared" si="11"/>
        <v/>
      </c>
      <c r="AV22">
        <v>1031</v>
      </c>
      <c r="AW22" t="str">
        <f t="shared" si="1"/>
        <v>[{5000,4,1,2,101},{5000,4,1,2,102},{5000,4,1,1,103},{5000,4,1,2,113},{5000,4,1,2,111}]</v>
      </c>
    </row>
    <row r="23" spans="2:49">
      <c r="B23">
        <v>1111</v>
      </c>
      <c r="C23" t="s">
        <v>79</v>
      </c>
      <c r="D23" s="5" t="str">
        <f t="shared" si="2"/>
        <v>2</v>
      </c>
      <c r="E23" s="5"/>
      <c r="F23">
        <v>1</v>
      </c>
      <c r="G23">
        <v>5000</v>
      </c>
      <c r="H23">
        <v>1</v>
      </c>
      <c r="I23">
        <v>1</v>
      </c>
      <c r="J23">
        <v>1</v>
      </c>
      <c r="K23">
        <f>IF($J23="","",K2+100)</f>
        <v>101</v>
      </c>
      <c r="L23">
        <f>IF(L2="","",L2)</f>
        <v>101</v>
      </c>
      <c r="M23">
        <v>5000</v>
      </c>
      <c r="N23">
        <f t="shared" si="0"/>
        <v>1</v>
      </c>
      <c r="O23">
        <v>1</v>
      </c>
      <c r="P23">
        <f>IF($J23="","",P2+100)</f>
        <v>101</v>
      </c>
      <c r="Q23">
        <v>55</v>
      </c>
      <c r="R23">
        <f>IF(R2="","",R2)</f>
        <v>102</v>
      </c>
      <c r="S23">
        <v>5000</v>
      </c>
      <c r="T23">
        <f t="shared" si="3"/>
        <v>1</v>
      </c>
      <c r="U23">
        <v>1</v>
      </c>
      <c r="V23">
        <f>IF($J23="","",V2+100)</f>
        <v>101</v>
      </c>
      <c r="W23">
        <v>60</v>
      </c>
      <c r="X23">
        <f>IF(X2="","",X2)</f>
        <v>103</v>
      </c>
      <c r="Y23">
        <v>5000</v>
      </c>
      <c r="Z23">
        <f t="shared" si="4"/>
        <v>1</v>
      </c>
      <c r="AA23">
        <v>1</v>
      </c>
      <c r="AB23">
        <f>IF($J23="","",AB2+100)</f>
        <v>101</v>
      </c>
      <c r="AC23">
        <v>71</v>
      </c>
      <c r="AD23">
        <f>IF(AD2="","",AD2)</f>
        <v>113</v>
      </c>
      <c r="AE23">
        <v>5000</v>
      </c>
      <c r="AF23">
        <f t="shared" si="5"/>
        <v>1</v>
      </c>
      <c r="AG23">
        <v>1</v>
      </c>
      <c r="AH23">
        <f>IF($J23="","",AH2+100)</f>
        <v>101</v>
      </c>
      <c r="AI23">
        <v>76</v>
      </c>
      <c r="AJ23">
        <f>IF(AJ2="","",AJ2)</f>
        <v>111</v>
      </c>
      <c r="AP23" t="str">
        <f t="shared" si="6"/>
        <v>{5000,1,1,101,101}</v>
      </c>
      <c r="AQ23" t="str">
        <f t="shared" si="7"/>
        <v>{5000,1,1,101,102}</v>
      </c>
      <c r="AR23" t="str">
        <f t="shared" si="8"/>
        <v>{5000,1,1,101,103}</v>
      </c>
      <c r="AS23" t="str">
        <f t="shared" si="9"/>
        <v>{5000,1,1,101,113}</v>
      </c>
      <c r="AT23" t="str">
        <f t="shared" si="10"/>
        <v>{5000,1,1,101,111}</v>
      </c>
      <c r="AU23" t="str">
        <f t="shared" si="11"/>
        <v/>
      </c>
      <c r="AV23">
        <v>1111</v>
      </c>
      <c r="AW23" t="str">
        <f t="shared" si="1"/>
        <v>[{5000,1,1,101,101},{5000,1,1,101,102},{5000,1,1,101,103},{5000,1,1,101,113},{5000,1,1,101,111}]</v>
      </c>
    </row>
    <row r="24" spans="2:49">
      <c r="B24">
        <v>1112</v>
      </c>
      <c r="C24" t="s">
        <v>79</v>
      </c>
      <c r="D24" t="str">
        <f t="shared" si="2"/>
        <v>2</v>
      </c>
      <c r="F24">
        <v>16</v>
      </c>
      <c r="G24">
        <v>5000</v>
      </c>
      <c r="H24">
        <v>1</v>
      </c>
      <c r="I24">
        <v>1</v>
      </c>
      <c r="J24">
        <v>1</v>
      </c>
      <c r="K24">
        <f t="shared" ref="K24:K37" si="17">IF($J24="","",K3+100)</f>
        <v>101</v>
      </c>
      <c r="L24">
        <f t="shared" ref="L24:L36" si="18">IF(L3="","",L3)</f>
        <v>101</v>
      </c>
      <c r="M24">
        <v>5000</v>
      </c>
      <c r="N24">
        <f t="shared" si="0"/>
        <v>1</v>
      </c>
      <c r="O24">
        <v>1</v>
      </c>
      <c r="P24">
        <f t="shared" ref="P24:P37" si="19">IF($J24="","",P3+100)</f>
        <v>101</v>
      </c>
      <c r="Q24">
        <v>55</v>
      </c>
      <c r="R24">
        <f t="shared" ref="R24:R36" si="20">IF(R3="","",R3)</f>
        <v>103</v>
      </c>
      <c r="S24">
        <v>5000</v>
      </c>
      <c r="T24">
        <f t="shared" si="3"/>
        <v>1</v>
      </c>
      <c r="U24">
        <v>1</v>
      </c>
      <c r="V24">
        <f t="shared" ref="V24:V37" si="21">IF($J24="","",V3+100)</f>
        <v>101</v>
      </c>
      <c r="W24">
        <v>75</v>
      </c>
      <c r="X24">
        <f t="shared" ref="X24:X36" si="22">IF(X3="","",X3)</f>
        <v>111</v>
      </c>
      <c r="Y24">
        <v>5000</v>
      </c>
      <c r="Z24">
        <f t="shared" si="4"/>
        <v>1</v>
      </c>
      <c r="AA24">
        <v>1</v>
      </c>
      <c r="AB24">
        <f t="shared" ref="AB24:AB37" si="23">IF($J24="","",AB3+100)</f>
        <v>101</v>
      </c>
      <c r="AC24">
        <v>73</v>
      </c>
      <c r="AD24">
        <f t="shared" ref="AD24:AD36" si="24">IF(AD3="","",AD3)</f>
        <v>112</v>
      </c>
      <c r="AE24">
        <v>5000</v>
      </c>
      <c r="AF24">
        <f t="shared" si="5"/>
        <v>1</v>
      </c>
      <c r="AG24">
        <v>1</v>
      </c>
      <c r="AH24">
        <f t="shared" ref="AH24:AH37" si="25">IF($J24="","",AH3+100)</f>
        <v>101</v>
      </c>
      <c r="AI24">
        <v>78</v>
      </c>
      <c r="AJ24">
        <f t="shared" ref="AJ24:AJ36" si="26">IF(AJ3="","",AJ3)</f>
        <v>113</v>
      </c>
      <c r="AP24" t="str">
        <f>IF(G24="","",$AQ$1&amp;_xlfn.TEXTJOIN(",",1,G24:I24,K24,L24)&amp;$AR$1)</f>
        <v>{5000,1,1,101,101}</v>
      </c>
      <c r="AQ24" t="str">
        <f>IF(G24="","",$AQ$1&amp;_xlfn.TEXTJOIN(",",1,M24:P24,R24)&amp;$AR$1)</f>
        <v>{5000,1,1,101,103}</v>
      </c>
      <c r="AR24" t="str">
        <f t="shared" si="8"/>
        <v>{5000,1,1,101,111}</v>
      </c>
      <c r="AS24" t="str">
        <f t="shared" si="9"/>
        <v>{5000,1,1,101,112}</v>
      </c>
      <c r="AT24" t="str">
        <f t="shared" si="10"/>
        <v>{5000,1,1,101,113}</v>
      </c>
      <c r="AU24" t="str">
        <f t="shared" si="11"/>
        <v/>
      </c>
      <c r="AV24">
        <v>1112</v>
      </c>
      <c r="AW24" t="str">
        <f t="shared" si="1"/>
        <v>[{5000,1,1,101,101},{5000,1,1,101,103},{5000,1,1,101,111},{5000,1,1,101,112},{5000,1,1,101,113}]</v>
      </c>
    </row>
    <row r="25" spans="2:49">
      <c r="B25">
        <v>1113</v>
      </c>
      <c r="C25" t="s">
        <v>79</v>
      </c>
      <c r="D25" t="str">
        <f t="shared" si="2"/>
        <v>2</v>
      </c>
      <c r="F25">
        <v>31</v>
      </c>
      <c r="G25">
        <v>5000</v>
      </c>
      <c r="H25">
        <v>2</v>
      </c>
      <c r="I25">
        <v>1</v>
      </c>
      <c r="J25">
        <v>1</v>
      </c>
      <c r="K25">
        <f t="shared" si="17"/>
        <v>101</v>
      </c>
      <c r="L25">
        <f t="shared" si="18"/>
        <v>101</v>
      </c>
      <c r="M25">
        <v>5000</v>
      </c>
      <c r="N25">
        <f t="shared" si="0"/>
        <v>2</v>
      </c>
      <c r="O25">
        <v>1</v>
      </c>
      <c r="P25">
        <f t="shared" si="19"/>
        <v>101</v>
      </c>
      <c r="Q25">
        <v>55</v>
      </c>
      <c r="R25">
        <f t="shared" si="20"/>
        <v>102</v>
      </c>
      <c r="S25">
        <v>5000</v>
      </c>
      <c r="T25">
        <f t="shared" si="3"/>
        <v>2</v>
      </c>
      <c r="U25">
        <v>1</v>
      </c>
      <c r="V25">
        <f t="shared" si="21"/>
        <v>101</v>
      </c>
      <c r="W25">
        <v>58</v>
      </c>
      <c r="X25">
        <f t="shared" si="22"/>
        <v>103</v>
      </c>
      <c r="Y25">
        <v>5000</v>
      </c>
      <c r="Z25">
        <f t="shared" si="4"/>
        <v>2</v>
      </c>
      <c r="AA25">
        <v>1</v>
      </c>
      <c r="AB25">
        <f t="shared" si="23"/>
        <v>101</v>
      </c>
      <c r="AC25">
        <v>76</v>
      </c>
      <c r="AD25">
        <f t="shared" si="24"/>
        <v>113</v>
      </c>
      <c r="AE25">
        <v>5000</v>
      </c>
      <c r="AF25">
        <f t="shared" si="5"/>
        <v>2</v>
      </c>
      <c r="AG25">
        <v>1</v>
      </c>
      <c r="AH25">
        <f t="shared" si="25"/>
        <v>101</v>
      </c>
      <c r="AI25">
        <v>79</v>
      </c>
      <c r="AJ25">
        <f t="shared" si="26"/>
        <v>111</v>
      </c>
      <c r="AP25" t="str">
        <f t="shared" si="6"/>
        <v>{5000,2,1,101,101}</v>
      </c>
      <c r="AQ25" t="str">
        <f t="shared" si="7"/>
        <v>{5000,2,1,101,102}</v>
      </c>
      <c r="AR25" t="str">
        <f>IF(G25="","",$AQ$1&amp;_xlfn.TEXTJOIN(",",1,S25:V25,X25)&amp;$AR$1)</f>
        <v>{5000,2,1,101,103}</v>
      </c>
      <c r="AS25" t="str">
        <f t="shared" si="9"/>
        <v>{5000,2,1,101,113}</v>
      </c>
      <c r="AT25" t="str">
        <f t="shared" si="10"/>
        <v>{5000,2,1,101,111}</v>
      </c>
      <c r="AU25" t="str">
        <f t="shared" si="11"/>
        <v/>
      </c>
      <c r="AV25">
        <v>1113</v>
      </c>
      <c r="AW25" t="str">
        <f t="shared" si="1"/>
        <v>[{5000,2,1,101,101},{5000,2,1,101,102},{5000,2,1,101,103},{5000,2,1,101,113},{5000,2,1,101,111}]</v>
      </c>
    </row>
    <row r="26" spans="2:49">
      <c r="B26">
        <v>1114</v>
      </c>
      <c r="C26" t="s">
        <v>79</v>
      </c>
      <c r="D26" t="str">
        <f t="shared" si="2"/>
        <v>2</v>
      </c>
      <c r="F26">
        <v>46</v>
      </c>
      <c r="G26">
        <v>5000</v>
      </c>
      <c r="H26">
        <v>2</v>
      </c>
      <c r="I26">
        <v>1</v>
      </c>
      <c r="J26">
        <v>1</v>
      </c>
      <c r="K26">
        <f t="shared" si="17"/>
        <v>101</v>
      </c>
      <c r="L26">
        <f t="shared" si="18"/>
        <v>101</v>
      </c>
      <c r="M26">
        <v>5000</v>
      </c>
      <c r="N26">
        <f t="shared" si="0"/>
        <v>2</v>
      </c>
      <c r="O26">
        <v>1</v>
      </c>
      <c r="P26">
        <f t="shared" si="19"/>
        <v>101</v>
      </c>
      <c r="Q26">
        <v>55</v>
      </c>
      <c r="R26">
        <f t="shared" si="20"/>
        <v>103</v>
      </c>
      <c r="S26">
        <v>5000</v>
      </c>
      <c r="T26">
        <f t="shared" si="3"/>
        <v>2</v>
      </c>
      <c r="U26">
        <v>1</v>
      </c>
      <c r="V26">
        <f t="shared" si="21"/>
        <v>102</v>
      </c>
      <c r="W26">
        <v>76</v>
      </c>
      <c r="X26">
        <f t="shared" si="22"/>
        <v>111</v>
      </c>
      <c r="Y26">
        <v>5000</v>
      </c>
      <c r="Z26">
        <f t="shared" si="4"/>
        <v>2</v>
      </c>
      <c r="AA26">
        <v>1</v>
      </c>
      <c r="AB26">
        <f t="shared" si="23"/>
        <v>101</v>
      </c>
      <c r="AC26">
        <v>71</v>
      </c>
      <c r="AD26">
        <f t="shared" si="24"/>
        <v>112</v>
      </c>
      <c r="AE26">
        <v>5000</v>
      </c>
      <c r="AF26">
        <f t="shared" si="5"/>
        <v>2</v>
      </c>
      <c r="AG26">
        <v>1</v>
      </c>
      <c r="AH26">
        <f t="shared" si="25"/>
        <v>101</v>
      </c>
      <c r="AI26">
        <v>71</v>
      </c>
      <c r="AJ26">
        <f t="shared" si="26"/>
        <v>113</v>
      </c>
      <c r="AP26" t="str">
        <f t="shared" si="6"/>
        <v>{5000,2,1,101,101}</v>
      </c>
      <c r="AQ26" t="str">
        <f t="shared" si="7"/>
        <v>{5000,2,1,101,103}</v>
      </c>
      <c r="AR26" t="str">
        <f t="shared" si="8"/>
        <v>{5000,2,1,102,111}</v>
      </c>
      <c r="AS26" t="str">
        <f t="shared" si="9"/>
        <v>{5000,2,1,101,112}</v>
      </c>
      <c r="AT26" t="str">
        <f t="shared" si="10"/>
        <v>{5000,2,1,101,113}</v>
      </c>
      <c r="AU26" t="str">
        <f t="shared" si="11"/>
        <v/>
      </c>
      <c r="AV26">
        <v>1114</v>
      </c>
      <c r="AW26" t="str">
        <f t="shared" si="1"/>
        <v>[{5000,2,1,101,101},{5000,2,1,101,103},{5000,2,1,102,111},{5000,2,1,101,112},{5000,2,1,101,113}]</v>
      </c>
    </row>
    <row r="27" spans="2:49">
      <c r="B27">
        <v>1115</v>
      </c>
      <c r="C27" t="s">
        <v>79</v>
      </c>
      <c r="D27" t="str">
        <f t="shared" si="2"/>
        <v>2</v>
      </c>
      <c r="F27">
        <v>61</v>
      </c>
      <c r="G27">
        <v>5000</v>
      </c>
      <c r="H27">
        <v>2</v>
      </c>
      <c r="I27">
        <v>1</v>
      </c>
      <c r="J27">
        <v>3</v>
      </c>
      <c r="K27">
        <f t="shared" si="17"/>
        <v>103</v>
      </c>
      <c r="L27">
        <f t="shared" si="18"/>
        <v>101</v>
      </c>
      <c r="M27">
        <v>5000</v>
      </c>
      <c r="N27">
        <f t="shared" si="0"/>
        <v>2</v>
      </c>
      <c r="O27">
        <v>1</v>
      </c>
      <c r="P27">
        <f t="shared" si="19"/>
        <v>103</v>
      </c>
      <c r="Q27">
        <v>1</v>
      </c>
      <c r="R27">
        <f t="shared" si="20"/>
        <v>102</v>
      </c>
      <c r="S27">
        <v>5000</v>
      </c>
      <c r="T27">
        <f t="shared" si="3"/>
        <v>2</v>
      </c>
      <c r="U27">
        <v>1</v>
      </c>
      <c r="V27">
        <f t="shared" si="21"/>
        <v>103</v>
      </c>
      <c r="W27">
        <v>1</v>
      </c>
      <c r="X27">
        <f t="shared" si="22"/>
        <v>103</v>
      </c>
      <c r="Y27">
        <v>5000</v>
      </c>
      <c r="Z27">
        <f t="shared" si="4"/>
        <v>2</v>
      </c>
      <c r="AA27">
        <v>1</v>
      </c>
      <c r="AB27">
        <f t="shared" si="23"/>
        <v>103</v>
      </c>
      <c r="AC27">
        <v>1</v>
      </c>
      <c r="AD27">
        <f t="shared" si="24"/>
        <v>113</v>
      </c>
      <c r="AE27">
        <v>5000</v>
      </c>
      <c r="AF27">
        <f t="shared" si="5"/>
        <v>2</v>
      </c>
      <c r="AG27">
        <v>1</v>
      </c>
      <c r="AH27">
        <f t="shared" si="25"/>
        <v>103</v>
      </c>
      <c r="AI27">
        <v>1</v>
      </c>
      <c r="AJ27">
        <f t="shared" si="26"/>
        <v>111</v>
      </c>
      <c r="AP27" t="str">
        <f t="shared" si="6"/>
        <v>{5000,2,1,103,101}</v>
      </c>
      <c r="AQ27" t="str">
        <f t="shared" si="7"/>
        <v>{5000,2,1,103,102}</v>
      </c>
      <c r="AR27" t="str">
        <f t="shared" si="8"/>
        <v>{5000,2,1,103,103}</v>
      </c>
      <c r="AS27" t="str">
        <f t="shared" si="9"/>
        <v>{5000,2,1,103,113}</v>
      </c>
      <c r="AT27" t="str">
        <f t="shared" si="10"/>
        <v>{5000,2,1,103,111}</v>
      </c>
      <c r="AU27" t="str">
        <f t="shared" si="11"/>
        <v/>
      </c>
      <c r="AV27">
        <v>1115</v>
      </c>
      <c r="AW27" t="str">
        <f t="shared" si="1"/>
        <v>[{5000,2,1,103,101},{5000,2,1,103,102},{5000,2,1,103,103},{5000,2,1,103,113},{5000,2,1,103,111}]</v>
      </c>
    </row>
    <row r="28" spans="2:49">
      <c r="B28">
        <v>1116</v>
      </c>
      <c r="C28" t="s">
        <v>79</v>
      </c>
      <c r="D28" t="str">
        <f t="shared" si="2"/>
        <v>2</v>
      </c>
      <c r="F28">
        <v>76</v>
      </c>
      <c r="G28">
        <v>5000</v>
      </c>
      <c r="H28">
        <v>2</v>
      </c>
      <c r="I28">
        <v>1</v>
      </c>
      <c r="J28">
        <v>1</v>
      </c>
      <c r="K28">
        <f t="shared" si="17"/>
        <v>101</v>
      </c>
      <c r="L28">
        <f t="shared" si="18"/>
        <v>101</v>
      </c>
      <c r="M28">
        <v>5000</v>
      </c>
      <c r="N28">
        <f t="shared" si="0"/>
        <v>2</v>
      </c>
      <c r="O28">
        <v>1</v>
      </c>
      <c r="P28">
        <f t="shared" si="19"/>
        <v>101</v>
      </c>
      <c r="Q28">
        <v>59</v>
      </c>
      <c r="R28">
        <f t="shared" si="20"/>
        <v>103</v>
      </c>
      <c r="S28">
        <v>5000</v>
      </c>
      <c r="T28">
        <f t="shared" si="3"/>
        <v>2</v>
      </c>
      <c r="U28">
        <v>1</v>
      </c>
      <c r="V28">
        <f t="shared" si="21"/>
        <v>102</v>
      </c>
      <c r="W28">
        <v>71</v>
      </c>
      <c r="X28">
        <f t="shared" si="22"/>
        <v>111</v>
      </c>
      <c r="Y28">
        <v>5000</v>
      </c>
      <c r="Z28">
        <f t="shared" si="4"/>
        <v>2</v>
      </c>
      <c r="AA28">
        <v>1</v>
      </c>
      <c r="AB28">
        <f t="shared" si="23"/>
        <v>101</v>
      </c>
      <c r="AC28">
        <v>71</v>
      </c>
      <c r="AD28">
        <f t="shared" si="24"/>
        <v>112</v>
      </c>
      <c r="AE28">
        <v>5000</v>
      </c>
      <c r="AF28">
        <f t="shared" si="5"/>
        <v>2</v>
      </c>
      <c r="AG28">
        <v>1</v>
      </c>
      <c r="AH28">
        <f t="shared" si="25"/>
        <v>101</v>
      </c>
      <c r="AI28">
        <v>79</v>
      </c>
      <c r="AJ28">
        <f t="shared" si="26"/>
        <v>113</v>
      </c>
      <c r="AP28" t="str">
        <f t="shared" si="6"/>
        <v>{5000,2,1,101,101}</v>
      </c>
      <c r="AQ28" t="str">
        <f t="shared" si="7"/>
        <v>{5000,2,1,101,103}</v>
      </c>
      <c r="AR28" t="str">
        <f t="shared" si="8"/>
        <v>{5000,2,1,102,111}</v>
      </c>
      <c r="AS28" t="str">
        <f t="shared" si="9"/>
        <v>{5000,2,1,101,112}</v>
      </c>
      <c r="AT28" t="str">
        <f t="shared" si="10"/>
        <v>{5000,2,1,101,113}</v>
      </c>
      <c r="AU28" t="str">
        <f t="shared" si="11"/>
        <v/>
      </c>
      <c r="AV28">
        <v>1116</v>
      </c>
      <c r="AW28" t="str">
        <f t="shared" si="1"/>
        <v>[{5000,2,1,101,101},{5000,2,1,101,103},{5000,2,1,102,111},{5000,2,1,101,112},{5000,2,1,101,113}]</v>
      </c>
    </row>
    <row r="29" spans="2:49">
      <c r="B29">
        <v>1117</v>
      </c>
      <c r="C29" t="s">
        <v>79</v>
      </c>
      <c r="D29" t="str">
        <f t="shared" si="2"/>
        <v>2</v>
      </c>
      <c r="F29">
        <v>91</v>
      </c>
      <c r="G29">
        <v>5000</v>
      </c>
      <c r="H29">
        <v>2</v>
      </c>
      <c r="I29">
        <v>1</v>
      </c>
      <c r="J29">
        <v>1</v>
      </c>
      <c r="K29">
        <f t="shared" si="17"/>
        <v>101</v>
      </c>
      <c r="L29">
        <f t="shared" si="18"/>
        <v>101</v>
      </c>
      <c r="M29">
        <v>5000</v>
      </c>
      <c r="N29">
        <f t="shared" si="0"/>
        <v>2</v>
      </c>
      <c r="O29">
        <v>1</v>
      </c>
      <c r="P29">
        <f t="shared" si="19"/>
        <v>101</v>
      </c>
      <c r="Q29">
        <v>54</v>
      </c>
      <c r="R29">
        <f t="shared" si="20"/>
        <v>102</v>
      </c>
      <c r="S29">
        <v>5000</v>
      </c>
      <c r="T29">
        <f t="shared" si="3"/>
        <v>2</v>
      </c>
      <c r="U29">
        <v>1</v>
      </c>
      <c r="V29">
        <f t="shared" si="21"/>
        <v>102</v>
      </c>
      <c r="W29">
        <v>51</v>
      </c>
      <c r="X29">
        <f t="shared" si="22"/>
        <v>103</v>
      </c>
      <c r="Y29">
        <v>5000</v>
      </c>
      <c r="Z29">
        <f t="shared" si="4"/>
        <v>2</v>
      </c>
      <c r="AA29">
        <v>1</v>
      </c>
      <c r="AB29">
        <f t="shared" si="23"/>
        <v>101</v>
      </c>
      <c r="AC29">
        <v>71</v>
      </c>
      <c r="AD29">
        <f t="shared" si="24"/>
        <v>113</v>
      </c>
      <c r="AE29">
        <v>5000</v>
      </c>
      <c r="AF29">
        <f t="shared" si="5"/>
        <v>2</v>
      </c>
      <c r="AG29">
        <v>1</v>
      </c>
      <c r="AH29">
        <f t="shared" si="25"/>
        <v>102</v>
      </c>
      <c r="AI29">
        <v>77</v>
      </c>
      <c r="AJ29">
        <f t="shared" si="26"/>
        <v>111</v>
      </c>
      <c r="AP29" t="str">
        <f t="shared" si="6"/>
        <v>{5000,2,1,101,101}</v>
      </c>
      <c r="AQ29" t="str">
        <f t="shared" si="7"/>
        <v>{5000,2,1,101,102}</v>
      </c>
      <c r="AR29" t="str">
        <f t="shared" si="8"/>
        <v>{5000,2,1,102,103}</v>
      </c>
      <c r="AS29" t="str">
        <f t="shared" si="9"/>
        <v>{5000,2,1,101,113}</v>
      </c>
      <c r="AT29" t="str">
        <f t="shared" si="10"/>
        <v>{5000,2,1,102,111}</v>
      </c>
      <c r="AU29" t="str">
        <f t="shared" si="11"/>
        <v/>
      </c>
      <c r="AV29">
        <v>1117</v>
      </c>
      <c r="AW29" t="str">
        <f t="shared" si="1"/>
        <v>[{5000,2,1,101,101},{5000,2,1,101,102},{5000,2,1,102,103},{5000,2,1,101,113},{5000,2,1,102,111}]</v>
      </c>
    </row>
    <row r="30" spans="2:49">
      <c r="B30">
        <v>1118</v>
      </c>
      <c r="C30" t="s">
        <v>79</v>
      </c>
      <c r="D30" t="str">
        <f t="shared" si="2"/>
        <v>2</v>
      </c>
      <c r="F30">
        <v>106</v>
      </c>
      <c r="G30">
        <v>5000</v>
      </c>
      <c r="H30">
        <v>2</v>
      </c>
      <c r="I30">
        <v>1</v>
      </c>
      <c r="J30">
        <v>1</v>
      </c>
      <c r="K30">
        <f t="shared" si="17"/>
        <v>101</v>
      </c>
      <c r="L30">
        <f t="shared" si="18"/>
        <v>101</v>
      </c>
      <c r="M30">
        <v>5000</v>
      </c>
      <c r="N30">
        <f t="shared" si="0"/>
        <v>2</v>
      </c>
      <c r="O30">
        <v>1</v>
      </c>
      <c r="P30">
        <f t="shared" si="19"/>
        <v>101</v>
      </c>
      <c r="Q30">
        <v>55</v>
      </c>
      <c r="R30">
        <f t="shared" si="20"/>
        <v>103</v>
      </c>
      <c r="S30">
        <v>5000</v>
      </c>
      <c r="T30">
        <f t="shared" si="3"/>
        <v>2</v>
      </c>
      <c r="U30">
        <v>1</v>
      </c>
      <c r="V30">
        <f t="shared" si="21"/>
        <v>102</v>
      </c>
      <c r="W30">
        <v>73</v>
      </c>
      <c r="X30">
        <f t="shared" si="22"/>
        <v>111</v>
      </c>
      <c r="Y30">
        <v>5000</v>
      </c>
      <c r="Z30">
        <f t="shared" si="4"/>
        <v>2</v>
      </c>
      <c r="AA30">
        <v>1</v>
      </c>
      <c r="AB30">
        <f t="shared" si="23"/>
        <v>101</v>
      </c>
      <c r="AC30">
        <v>78</v>
      </c>
      <c r="AD30">
        <f t="shared" si="24"/>
        <v>112</v>
      </c>
      <c r="AE30">
        <v>5000</v>
      </c>
      <c r="AF30">
        <f t="shared" si="5"/>
        <v>2</v>
      </c>
      <c r="AG30">
        <v>1</v>
      </c>
      <c r="AH30">
        <f t="shared" si="25"/>
        <v>102</v>
      </c>
      <c r="AI30">
        <v>71</v>
      </c>
      <c r="AJ30">
        <f t="shared" si="26"/>
        <v>113</v>
      </c>
      <c r="AP30" t="str">
        <f t="shared" si="6"/>
        <v>{5000,2,1,101,101}</v>
      </c>
      <c r="AQ30" t="str">
        <f t="shared" si="7"/>
        <v>{5000,2,1,101,103}</v>
      </c>
      <c r="AR30" t="str">
        <f t="shared" si="8"/>
        <v>{5000,2,1,102,111}</v>
      </c>
      <c r="AS30" t="str">
        <f t="shared" si="9"/>
        <v>{5000,2,1,101,112}</v>
      </c>
      <c r="AT30" t="str">
        <f t="shared" si="10"/>
        <v>{5000,2,1,102,113}</v>
      </c>
      <c r="AU30" t="str">
        <f t="shared" si="11"/>
        <v/>
      </c>
      <c r="AV30">
        <v>1118</v>
      </c>
      <c r="AW30" t="str">
        <f t="shared" si="1"/>
        <v>[{5000,2,1,101,101},{5000,2,1,101,103},{5000,2,1,102,111},{5000,2,1,101,112},{5000,2,1,102,113}]</v>
      </c>
    </row>
    <row r="31" spans="2:49">
      <c r="B31">
        <v>1119</v>
      </c>
      <c r="C31" t="s">
        <v>79</v>
      </c>
      <c r="D31" t="str">
        <f t="shared" si="2"/>
        <v>2</v>
      </c>
      <c r="F31">
        <v>121</v>
      </c>
      <c r="G31">
        <v>5000</v>
      </c>
      <c r="H31">
        <v>3</v>
      </c>
      <c r="I31">
        <v>1</v>
      </c>
      <c r="J31">
        <v>3</v>
      </c>
      <c r="K31">
        <f t="shared" si="17"/>
        <v>103</v>
      </c>
      <c r="L31">
        <f t="shared" si="18"/>
        <v>101</v>
      </c>
      <c r="M31">
        <v>5000</v>
      </c>
      <c r="N31">
        <f t="shared" si="0"/>
        <v>3</v>
      </c>
      <c r="O31">
        <v>1</v>
      </c>
      <c r="P31">
        <f t="shared" si="19"/>
        <v>103</v>
      </c>
      <c r="Q31">
        <v>54</v>
      </c>
      <c r="R31">
        <f t="shared" si="20"/>
        <v>102</v>
      </c>
      <c r="S31">
        <v>5000</v>
      </c>
      <c r="T31">
        <f t="shared" si="3"/>
        <v>3</v>
      </c>
      <c r="U31">
        <v>1</v>
      </c>
      <c r="V31">
        <f t="shared" si="21"/>
        <v>103</v>
      </c>
      <c r="W31">
        <v>51</v>
      </c>
      <c r="X31">
        <f t="shared" si="22"/>
        <v>103</v>
      </c>
      <c r="Y31">
        <v>5000</v>
      </c>
      <c r="Z31">
        <f t="shared" si="4"/>
        <v>3</v>
      </c>
      <c r="AA31">
        <v>1</v>
      </c>
      <c r="AB31">
        <f t="shared" si="23"/>
        <v>103</v>
      </c>
      <c r="AC31">
        <v>71</v>
      </c>
      <c r="AD31">
        <f t="shared" si="24"/>
        <v>113</v>
      </c>
      <c r="AE31">
        <v>5000</v>
      </c>
      <c r="AF31">
        <f t="shared" si="5"/>
        <v>3</v>
      </c>
      <c r="AG31">
        <v>1</v>
      </c>
      <c r="AH31">
        <f t="shared" si="25"/>
        <v>103</v>
      </c>
      <c r="AI31">
        <v>79</v>
      </c>
      <c r="AJ31">
        <f t="shared" si="26"/>
        <v>111</v>
      </c>
      <c r="AP31" t="str">
        <f t="shared" si="6"/>
        <v>{5000,3,1,103,101}</v>
      </c>
      <c r="AQ31" t="str">
        <f t="shared" si="7"/>
        <v>{5000,3,1,103,102}</v>
      </c>
      <c r="AR31" t="str">
        <f t="shared" si="8"/>
        <v>{5000,3,1,103,103}</v>
      </c>
      <c r="AS31" t="str">
        <f t="shared" si="9"/>
        <v>{5000,3,1,103,113}</v>
      </c>
      <c r="AT31" t="str">
        <f t="shared" si="10"/>
        <v>{5000,3,1,103,111}</v>
      </c>
      <c r="AU31" t="str">
        <f t="shared" si="11"/>
        <v/>
      </c>
      <c r="AV31">
        <v>1119</v>
      </c>
      <c r="AW31" t="str">
        <f t="shared" si="1"/>
        <v>[{5000,3,1,103,101},{5000,3,1,103,102},{5000,3,1,103,103},{5000,3,1,103,113},{5000,3,1,103,111}]</v>
      </c>
    </row>
    <row r="32" spans="2:49">
      <c r="B32">
        <v>1120</v>
      </c>
      <c r="C32" t="s">
        <v>79</v>
      </c>
      <c r="D32" t="str">
        <f t="shared" si="2"/>
        <v>2</v>
      </c>
      <c r="F32">
        <v>136</v>
      </c>
      <c r="G32">
        <v>5000</v>
      </c>
      <c r="H32">
        <v>3</v>
      </c>
      <c r="I32">
        <v>1</v>
      </c>
      <c r="J32">
        <v>1</v>
      </c>
      <c r="K32">
        <f t="shared" si="17"/>
        <v>101</v>
      </c>
      <c r="L32">
        <f t="shared" si="18"/>
        <v>101</v>
      </c>
      <c r="M32">
        <v>5000</v>
      </c>
      <c r="N32">
        <f t="shared" si="0"/>
        <v>3</v>
      </c>
      <c r="O32">
        <v>1</v>
      </c>
      <c r="P32">
        <f t="shared" si="19"/>
        <v>101</v>
      </c>
      <c r="Q32">
        <v>54</v>
      </c>
      <c r="R32">
        <f t="shared" si="20"/>
        <v>103</v>
      </c>
      <c r="S32">
        <v>5000</v>
      </c>
      <c r="T32">
        <f t="shared" si="3"/>
        <v>3</v>
      </c>
      <c r="U32">
        <v>1</v>
      </c>
      <c r="V32">
        <f t="shared" si="21"/>
        <v>102</v>
      </c>
      <c r="W32">
        <v>76</v>
      </c>
      <c r="X32">
        <f t="shared" si="22"/>
        <v>111</v>
      </c>
      <c r="Y32">
        <v>5000</v>
      </c>
      <c r="Z32">
        <f t="shared" si="4"/>
        <v>3</v>
      </c>
      <c r="AA32">
        <v>1</v>
      </c>
      <c r="AB32">
        <f t="shared" si="23"/>
        <v>101</v>
      </c>
      <c r="AC32">
        <v>72</v>
      </c>
      <c r="AD32">
        <f t="shared" si="24"/>
        <v>112</v>
      </c>
      <c r="AE32">
        <v>5000</v>
      </c>
      <c r="AF32">
        <f t="shared" si="5"/>
        <v>3</v>
      </c>
      <c r="AG32">
        <v>1</v>
      </c>
      <c r="AH32">
        <f t="shared" si="25"/>
        <v>102</v>
      </c>
      <c r="AI32">
        <v>74</v>
      </c>
      <c r="AJ32">
        <f t="shared" si="26"/>
        <v>113</v>
      </c>
      <c r="AP32" t="str">
        <f t="shared" si="6"/>
        <v>{5000,3,1,101,101}</v>
      </c>
      <c r="AQ32" t="str">
        <f t="shared" si="7"/>
        <v>{5000,3,1,101,103}</v>
      </c>
      <c r="AR32" t="str">
        <f t="shared" si="8"/>
        <v>{5000,3,1,102,111}</v>
      </c>
      <c r="AS32" t="str">
        <f t="shared" si="9"/>
        <v>{5000,3,1,101,112}</v>
      </c>
      <c r="AT32" t="str">
        <f t="shared" si="10"/>
        <v>{5000,3,1,102,113}</v>
      </c>
      <c r="AU32" t="str">
        <f t="shared" si="11"/>
        <v/>
      </c>
      <c r="AV32">
        <v>1120</v>
      </c>
      <c r="AW32" t="str">
        <f t="shared" si="1"/>
        <v>[{5000,3,1,101,101},{5000,3,1,101,103},{5000,3,1,102,111},{5000,3,1,101,112},{5000,3,1,102,113}]</v>
      </c>
    </row>
    <row r="33" spans="2:49">
      <c r="B33">
        <v>1121</v>
      </c>
      <c r="C33" t="s">
        <v>79</v>
      </c>
      <c r="D33" t="str">
        <f t="shared" si="2"/>
        <v>2</v>
      </c>
      <c r="F33">
        <v>151</v>
      </c>
      <c r="G33">
        <v>5000</v>
      </c>
      <c r="H33">
        <v>3</v>
      </c>
      <c r="I33">
        <v>1</v>
      </c>
      <c r="J33">
        <v>1</v>
      </c>
      <c r="K33">
        <f t="shared" si="17"/>
        <v>101</v>
      </c>
      <c r="L33">
        <f t="shared" si="18"/>
        <v>101</v>
      </c>
      <c r="M33">
        <v>5000</v>
      </c>
      <c r="N33">
        <f t="shared" si="0"/>
        <v>3</v>
      </c>
      <c r="O33">
        <v>1</v>
      </c>
      <c r="P33">
        <f t="shared" si="19"/>
        <v>101</v>
      </c>
      <c r="Q33">
        <v>54</v>
      </c>
      <c r="R33">
        <f t="shared" si="20"/>
        <v>102</v>
      </c>
      <c r="S33">
        <v>5000</v>
      </c>
      <c r="T33">
        <f t="shared" si="3"/>
        <v>3</v>
      </c>
      <c r="U33">
        <v>1</v>
      </c>
      <c r="V33">
        <f t="shared" si="21"/>
        <v>102</v>
      </c>
      <c r="W33">
        <v>56</v>
      </c>
      <c r="X33">
        <f t="shared" si="22"/>
        <v>103</v>
      </c>
      <c r="Y33">
        <v>5000</v>
      </c>
      <c r="Z33">
        <f t="shared" si="4"/>
        <v>3</v>
      </c>
      <c r="AA33">
        <v>1</v>
      </c>
      <c r="AB33">
        <f t="shared" si="23"/>
        <v>101</v>
      </c>
      <c r="AC33">
        <v>72</v>
      </c>
      <c r="AD33">
        <f t="shared" si="24"/>
        <v>113</v>
      </c>
      <c r="AE33">
        <v>5000</v>
      </c>
      <c r="AF33">
        <f t="shared" si="5"/>
        <v>3</v>
      </c>
      <c r="AG33">
        <v>1</v>
      </c>
      <c r="AH33">
        <f t="shared" si="25"/>
        <v>102</v>
      </c>
      <c r="AI33">
        <v>74</v>
      </c>
      <c r="AJ33">
        <f t="shared" si="26"/>
        <v>111</v>
      </c>
      <c r="AP33" t="str">
        <f t="shared" si="6"/>
        <v>{5000,3,1,101,101}</v>
      </c>
      <c r="AQ33" t="str">
        <f t="shared" si="7"/>
        <v>{5000,3,1,101,102}</v>
      </c>
      <c r="AR33" t="str">
        <f t="shared" si="8"/>
        <v>{5000,3,1,102,103}</v>
      </c>
      <c r="AS33" t="str">
        <f t="shared" si="9"/>
        <v>{5000,3,1,101,113}</v>
      </c>
      <c r="AT33" t="str">
        <f t="shared" si="10"/>
        <v>{5000,3,1,102,111}</v>
      </c>
      <c r="AU33" t="str">
        <f t="shared" si="11"/>
        <v/>
      </c>
      <c r="AV33">
        <v>1121</v>
      </c>
      <c r="AW33" t="str">
        <f t="shared" si="1"/>
        <v>[{5000,3,1,101,101},{5000,3,1,101,102},{5000,3,1,102,103},{5000,3,1,101,113},{5000,3,1,102,111}]</v>
      </c>
    </row>
    <row r="34" spans="2:49">
      <c r="B34">
        <v>1122</v>
      </c>
      <c r="C34" t="s">
        <v>79</v>
      </c>
      <c r="D34" t="str">
        <f t="shared" si="2"/>
        <v>2</v>
      </c>
      <c r="F34">
        <v>166</v>
      </c>
      <c r="G34">
        <v>5000</v>
      </c>
      <c r="H34">
        <v>3</v>
      </c>
      <c r="I34">
        <v>1</v>
      </c>
      <c r="J34">
        <v>1</v>
      </c>
      <c r="K34">
        <f t="shared" si="17"/>
        <v>101</v>
      </c>
      <c r="L34">
        <f t="shared" si="18"/>
        <v>101</v>
      </c>
      <c r="M34">
        <v>5000</v>
      </c>
      <c r="N34">
        <f t="shared" si="0"/>
        <v>3</v>
      </c>
      <c r="O34">
        <v>1</v>
      </c>
      <c r="P34">
        <f t="shared" si="19"/>
        <v>101</v>
      </c>
      <c r="Q34">
        <v>59</v>
      </c>
      <c r="R34">
        <f t="shared" si="20"/>
        <v>103</v>
      </c>
      <c r="S34">
        <v>5000</v>
      </c>
      <c r="T34">
        <f t="shared" si="3"/>
        <v>3</v>
      </c>
      <c r="U34">
        <v>1</v>
      </c>
      <c r="V34">
        <f t="shared" si="21"/>
        <v>102</v>
      </c>
      <c r="W34">
        <v>79</v>
      </c>
      <c r="X34">
        <f t="shared" si="22"/>
        <v>111</v>
      </c>
      <c r="Y34">
        <v>5000</v>
      </c>
      <c r="Z34">
        <f t="shared" si="4"/>
        <v>3</v>
      </c>
      <c r="AA34">
        <v>1</v>
      </c>
      <c r="AB34">
        <f t="shared" si="23"/>
        <v>101</v>
      </c>
      <c r="AC34">
        <v>71</v>
      </c>
      <c r="AD34">
        <f t="shared" si="24"/>
        <v>112</v>
      </c>
      <c r="AE34">
        <v>5000</v>
      </c>
      <c r="AF34">
        <f t="shared" si="5"/>
        <v>3</v>
      </c>
      <c r="AG34">
        <v>1</v>
      </c>
      <c r="AH34">
        <f t="shared" si="25"/>
        <v>102</v>
      </c>
      <c r="AI34">
        <v>74</v>
      </c>
      <c r="AJ34">
        <f t="shared" si="26"/>
        <v>113</v>
      </c>
      <c r="AP34" t="str">
        <f t="shared" si="6"/>
        <v>{5000,3,1,101,101}</v>
      </c>
      <c r="AQ34" t="str">
        <f t="shared" si="7"/>
        <v>{5000,3,1,101,103}</v>
      </c>
      <c r="AR34" t="str">
        <f t="shared" si="8"/>
        <v>{5000,3,1,102,111}</v>
      </c>
      <c r="AS34" t="str">
        <f t="shared" si="9"/>
        <v>{5000,3,1,101,112}</v>
      </c>
      <c r="AT34" t="str">
        <f t="shared" si="10"/>
        <v>{5000,3,1,102,113}</v>
      </c>
      <c r="AU34" t="str">
        <f t="shared" si="11"/>
        <v/>
      </c>
      <c r="AV34">
        <v>1122</v>
      </c>
      <c r="AW34" t="str">
        <f t="shared" si="1"/>
        <v>[{5000,3,1,101,101},{5000,3,1,101,103},{5000,3,1,102,111},{5000,3,1,101,112},{5000,3,1,102,113}]</v>
      </c>
    </row>
    <row r="35" spans="2:49">
      <c r="B35">
        <v>1123</v>
      </c>
      <c r="C35" t="s">
        <v>79</v>
      </c>
      <c r="D35" t="str">
        <f t="shared" si="2"/>
        <v>2</v>
      </c>
      <c r="F35">
        <v>181</v>
      </c>
      <c r="G35">
        <v>5000</v>
      </c>
      <c r="H35">
        <v>4</v>
      </c>
      <c r="I35">
        <v>1</v>
      </c>
      <c r="J35">
        <v>3</v>
      </c>
      <c r="K35">
        <f t="shared" si="17"/>
        <v>103</v>
      </c>
      <c r="L35">
        <f t="shared" si="18"/>
        <v>101</v>
      </c>
      <c r="M35">
        <v>5000</v>
      </c>
      <c r="N35">
        <f t="shared" si="0"/>
        <v>4</v>
      </c>
      <c r="O35">
        <v>1</v>
      </c>
      <c r="P35">
        <f t="shared" si="19"/>
        <v>103</v>
      </c>
      <c r="Q35">
        <v>1</v>
      </c>
      <c r="R35">
        <f t="shared" si="20"/>
        <v>102</v>
      </c>
      <c r="S35">
        <v>5000</v>
      </c>
      <c r="T35">
        <f t="shared" si="3"/>
        <v>4</v>
      </c>
      <c r="U35">
        <v>1</v>
      </c>
      <c r="V35">
        <f t="shared" si="21"/>
        <v>103</v>
      </c>
      <c r="W35">
        <v>1</v>
      </c>
      <c r="X35">
        <f t="shared" si="22"/>
        <v>103</v>
      </c>
      <c r="Y35">
        <v>5000</v>
      </c>
      <c r="Z35">
        <f t="shared" si="4"/>
        <v>4</v>
      </c>
      <c r="AA35">
        <v>1</v>
      </c>
      <c r="AB35">
        <f t="shared" si="23"/>
        <v>103</v>
      </c>
      <c r="AC35">
        <v>1</v>
      </c>
      <c r="AD35">
        <f t="shared" si="24"/>
        <v>113</v>
      </c>
      <c r="AE35">
        <v>5000</v>
      </c>
      <c r="AF35">
        <f t="shared" si="5"/>
        <v>4</v>
      </c>
      <c r="AG35">
        <v>1</v>
      </c>
      <c r="AH35">
        <f t="shared" si="25"/>
        <v>103</v>
      </c>
      <c r="AI35">
        <v>1</v>
      </c>
      <c r="AJ35">
        <f t="shared" si="26"/>
        <v>111</v>
      </c>
      <c r="AP35" t="str">
        <f t="shared" si="6"/>
        <v>{5000,4,1,103,101}</v>
      </c>
      <c r="AQ35" t="str">
        <f t="shared" si="7"/>
        <v>{5000,4,1,103,102}</v>
      </c>
      <c r="AR35" t="str">
        <f t="shared" si="8"/>
        <v>{5000,4,1,103,103}</v>
      </c>
      <c r="AS35" t="str">
        <f t="shared" si="9"/>
        <v>{5000,4,1,103,113}</v>
      </c>
      <c r="AT35" t="str">
        <f t="shared" si="10"/>
        <v>{5000,4,1,103,111}</v>
      </c>
      <c r="AU35" t="str">
        <f t="shared" si="11"/>
        <v/>
      </c>
      <c r="AV35">
        <v>1123</v>
      </c>
      <c r="AW35" t="str">
        <f t="shared" si="1"/>
        <v>[{5000,4,1,103,101},{5000,4,1,103,102},{5000,4,1,103,103},{5000,4,1,103,113},{5000,4,1,103,111}]</v>
      </c>
    </row>
    <row r="36" spans="2:49">
      <c r="B36">
        <v>1124</v>
      </c>
      <c r="C36" t="s">
        <v>79</v>
      </c>
      <c r="D36" t="str">
        <f t="shared" si="2"/>
        <v>2</v>
      </c>
      <c r="F36">
        <v>196</v>
      </c>
      <c r="G36">
        <v>5000</v>
      </c>
      <c r="H36">
        <v>3</v>
      </c>
      <c r="I36">
        <v>1</v>
      </c>
      <c r="J36">
        <v>2</v>
      </c>
      <c r="K36">
        <f t="shared" si="17"/>
        <v>102</v>
      </c>
      <c r="L36">
        <f t="shared" si="18"/>
        <v>101</v>
      </c>
      <c r="M36">
        <v>5000</v>
      </c>
      <c r="N36">
        <f t="shared" si="0"/>
        <v>3</v>
      </c>
      <c r="O36">
        <v>1</v>
      </c>
      <c r="P36">
        <f t="shared" si="19"/>
        <v>101</v>
      </c>
      <c r="Q36">
        <v>54</v>
      </c>
      <c r="R36">
        <f t="shared" si="20"/>
        <v>103</v>
      </c>
      <c r="S36">
        <v>5000</v>
      </c>
      <c r="T36">
        <f t="shared" si="3"/>
        <v>3</v>
      </c>
      <c r="U36">
        <v>1</v>
      </c>
      <c r="V36">
        <f t="shared" si="21"/>
        <v>102</v>
      </c>
      <c r="W36">
        <v>77</v>
      </c>
      <c r="X36">
        <f t="shared" si="22"/>
        <v>111</v>
      </c>
      <c r="Y36">
        <v>5000</v>
      </c>
      <c r="Z36">
        <f t="shared" si="4"/>
        <v>3</v>
      </c>
      <c r="AA36">
        <v>1</v>
      </c>
      <c r="AB36">
        <f t="shared" si="23"/>
        <v>101</v>
      </c>
      <c r="AC36">
        <v>72</v>
      </c>
      <c r="AD36">
        <f t="shared" si="24"/>
        <v>112</v>
      </c>
      <c r="AE36">
        <v>5000</v>
      </c>
      <c r="AF36">
        <f t="shared" si="5"/>
        <v>3</v>
      </c>
      <c r="AG36">
        <v>1</v>
      </c>
      <c r="AH36">
        <f t="shared" si="25"/>
        <v>102</v>
      </c>
      <c r="AI36">
        <v>74</v>
      </c>
      <c r="AJ36">
        <f t="shared" si="26"/>
        <v>113</v>
      </c>
      <c r="AP36" t="str">
        <f t="shared" si="6"/>
        <v>{5000,3,1,102,101}</v>
      </c>
      <c r="AQ36" t="str">
        <f t="shared" si="7"/>
        <v>{5000,3,1,101,103}</v>
      </c>
      <c r="AR36" t="str">
        <f t="shared" si="8"/>
        <v>{5000,3,1,102,111}</v>
      </c>
      <c r="AS36" t="str">
        <f t="shared" si="9"/>
        <v>{5000,3,1,101,112}</v>
      </c>
      <c r="AT36" t="str">
        <f t="shared" si="10"/>
        <v>{5000,3,1,102,113}</v>
      </c>
      <c r="AU36" t="str">
        <f t="shared" si="11"/>
        <v/>
      </c>
      <c r="AV36">
        <v>1124</v>
      </c>
      <c r="AW36" t="str">
        <f t="shared" si="1"/>
        <v>[{5000,3,1,102,101},{5000,3,1,101,103},{5000,3,1,102,111},{5000,3,1,101,112},{5000,3,1,102,113}]</v>
      </c>
    </row>
    <row r="37" spans="2:48">
      <c r="B37">
        <v>1125</v>
      </c>
      <c r="C37" t="s">
        <v>79</v>
      </c>
      <c r="D37" t="str">
        <f t="shared" si="2"/>
        <v>2</v>
      </c>
      <c r="F37">
        <v>209</v>
      </c>
      <c r="K37" t="str">
        <f t="shared" si="17"/>
        <v/>
      </c>
      <c r="P37" t="str">
        <f t="shared" si="19"/>
        <v/>
      </c>
      <c r="T37">
        <f t="shared" si="3"/>
        <v>0</v>
      </c>
      <c r="V37" t="str">
        <f t="shared" si="21"/>
        <v/>
      </c>
      <c r="Z37">
        <f t="shared" si="4"/>
        <v>0</v>
      </c>
      <c r="AB37" t="str">
        <f t="shared" si="23"/>
        <v/>
      </c>
      <c r="AF37">
        <f t="shared" si="5"/>
        <v>0</v>
      </c>
      <c r="AH37" t="str">
        <f t="shared" si="25"/>
        <v/>
      </c>
      <c r="AP37" t="str">
        <f t="shared" si="6"/>
        <v/>
      </c>
      <c r="AQ37" t="str">
        <f t="shared" si="7"/>
        <v/>
      </c>
      <c r="AR37" t="str">
        <f t="shared" si="8"/>
        <v/>
      </c>
      <c r="AS37" t="str">
        <f t="shared" si="9"/>
        <v/>
      </c>
      <c r="AT37" t="str">
        <f t="shared" si="10"/>
        <v/>
      </c>
      <c r="AU37" t="str">
        <f t="shared" si="11"/>
        <v/>
      </c>
      <c r="AV37">
        <v>1125</v>
      </c>
    </row>
    <row r="38" spans="2:49">
      <c r="B38">
        <v>1126</v>
      </c>
      <c r="C38" t="s">
        <v>79</v>
      </c>
      <c r="D38" t="str">
        <f t="shared" si="2"/>
        <v>2</v>
      </c>
      <c r="F38">
        <v>211</v>
      </c>
      <c r="G38">
        <v>5000</v>
      </c>
      <c r="H38">
        <v>4</v>
      </c>
      <c r="I38">
        <v>1</v>
      </c>
      <c r="J38">
        <v>2</v>
      </c>
      <c r="K38">
        <f>IF($J38="","",K16+100)</f>
        <v>102</v>
      </c>
      <c r="L38">
        <f>IF(L16="","",L16)</f>
        <v>101</v>
      </c>
      <c r="M38">
        <v>5000</v>
      </c>
      <c r="N38">
        <f t="shared" ref="N38:N101" si="27">H38</f>
        <v>4</v>
      </c>
      <c r="O38">
        <v>1</v>
      </c>
      <c r="P38">
        <f>IF($J38="","",P16+100)</f>
        <v>101</v>
      </c>
      <c r="Q38">
        <v>51</v>
      </c>
      <c r="R38">
        <f>IF(R16="","",R16)</f>
        <v>102</v>
      </c>
      <c r="S38">
        <v>5000</v>
      </c>
      <c r="T38">
        <f t="shared" si="3"/>
        <v>4</v>
      </c>
      <c r="U38">
        <v>1</v>
      </c>
      <c r="V38">
        <f>IF($J38="","",V16+100)</f>
        <v>102</v>
      </c>
      <c r="W38">
        <v>57</v>
      </c>
      <c r="X38">
        <f>IF(X16="","",X16)</f>
        <v>103</v>
      </c>
      <c r="Y38">
        <v>5000</v>
      </c>
      <c r="Z38">
        <f t="shared" si="4"/>
        <v>4</v>
      </c>
      <c r="AA38">
        <v>1</v>
      </c>
      <c r="AB38">
        <f>IF($J38="","",AB16+100)</f>
        <v>101</v>
      </c>
      <c r="AC38">
        <v>79</v>
      </c>
      <c r="AD38">
        <f>IF(AD16="","",AD16)</f>
        <v>113</v>
      </c>
      <c r="AE38">
        <v>5000</v>
      </c>
      <c r="AF38">
        <f t="shared" si="5"/>
        <v>4</v>
      </c>
      <c r="AG38">
        <v>1</v>
      </c>
      <c r="AH38">
        <f>IF($J38="","",AH16+100)</f>
        <v>102</v>
      </c>
      <c r="AI38">
        <v>72</v>
      </c>
      <c r="AJ38">
        <f>IF(AJ16="","",AJ16)</f>
        <v>111</v>
      </c>
      <c r="AK38">
        <v>1000</v>
      </c>
      <c r="AL38">
        <v>1</v>
      </c>
      <c r="AM38">
        <v>0</v>
      </c>
      <c r="AN38">
        <v>131</v>
      </c>
      <c r="AO38">
        <v>4</v>
      </c>
      <c r="AP38" t="str">
        <f t="shared" si="6"/>
        <v>{5000,4,1,102,101}</v>
      </c>
      <c r="AQ38" t="str">
        <f t="shared" si="7"/>
        <v>{5000,4,1,101,102}</v>
      </c>
      <c r="AR38" t="str">
        <f t="shared" si="8"/>
        <v>{5000,4,1,102,103}</v>
      </c>
      <c r="AS38" t="str">
        <f t="shared" si="9"/>
        <v>{5000,4,1,101,113}</v>
      </c>
      <c r="AT38" t="str">
        <f t="shared" si="10"/>
        <v>{5000,4,1,102,111}</v>
      </c>
      <c r="AU38" t="str">
        <f t="shared" si="11"/>
        <v>{1000,1,0,131,4}</v>
      </c>
      <c r="AV38">
        <v>1126</v>
      </c>
      <c r="AW38" t="str">
        <f t="shared" ref="AW38:AW58" si="28">IF(AU38="","["&amp;_xlfn.TEXTJOIN(",",1,AP38:AT38)&amp;"]","["&amp;_xlfn.TEXTJOIN(",",1,AP38:AU38)&amp;"]")</f>
        <v>[{5000,4,1,102,101},{5000,4,1,101,102},{5000,4,1,102,103},{5000,4,1,101,113},{5000,4,1,102,111},{1000,1,0,131,4}]</v>
      </c>
    </row>
    <row r="39" spans="2:49">
      <c r="B39">
        <v>1127</v>
      </c>
      <c r="C39" t="s">
        <v>79</v>
      </c>
      <c r="D39" t="str">
        <f t="shared" si="2"/>
        <v>2</v>
      </c>
      <c r="F39">
        <v>226</v>
      </c>
      <c r="G39">
        <v>5000</v>
      </c>
      <c r="H39">
        <v>4</v>
      </c>
      <c r="I39">
        <v>1</v>
      </c>
      <c r="J39">
        <v>2</v>
      </c>
      <c r="K39">
        <f t="shared" ref="K39:K45" si="29">IF($J39="","",K17+100)</f>
        <v>102</v>
      </c>
      <c r="L39">
        <f t="shared" ref="L39:L44" si="30">IF(L17="","",L17)</f>
        <v>101</v>
      </c>
      <c r="M39">
        <v>5000</v>
      </c>
      <c r="N39">
        <f t="shared" si="27"/>
        <v>4</v>
      </c>
      <c r="O39">
        <v>1</v>
      </c>
      <c r="P39">
        <f t="shared" ref="P39:P45" si="31">IF($J39="","",P17+100)</f>
        <v>101</v>
      </c>
      <c r="Q39">
        <v>51</v>
      </c>
      <c r="R39">
        <f t="shared" ref="R39:R44" si="32">IF(R17="","",R17)</f>
        <v>103</v>
      </c>
      <c r="S39">
        <v>5000</v>
      </c>
      <c r="T39">
        <f t="shared" si="3"/>
        <v>4</v>
      </c>
      <c r="U39">
        <v>1</v>
      </c>
      <c r="V39">
        <f t="shared" ref="V39:V45" si="33">IF($J39="","",V17+100)</f>
        <v>102</v>
      </c>
      <c r="W39">
        <v>75</v>
      </c>
      <c r="X39">
        <f t="shared" ref="X39:X44" si="34">IF(X17="","",X17)</f>
        <v>111</v>
      </c>
      <c r="Y39">
        <v>5000</v>
      </c>
      <c r="Z39">
        <f t="shared" si="4"/>
        <v>4</v>
      </c>
      <c r="AA39">
        <v>1</v>
      </c>
      <c r="AB39">
        <f t="shared" ref="AB39:AB45" si="35">IF($J39="","",AB17+100)</f>
        <v>101</v>
      </c>
      <c r="AC39">
        <v>71</v>
      </c>
      <c r="AD39">
        <f t="shared" ref="AD39:AD44" si="36">IF(AD17="","",AD17)</f>
        <v>112</v>
      </c>
      <c r="AE39">
        <v>5000</v>
      </c>
      <c r="AF39">
        <f t="shared" si="5"/>
        <v>4</v>
      </c>
      <c r="AG39">
        <v>1</v>
      </c>
      <c r="AH39">
        <f t="shared" ref="AH39:AH45" si="37">IF($J39="","",AH17+100)</f>
        <v>102</v>
      </c>
      <c r="AI39">
        <v>77</v>
      </c>
      <c r="AJ39">
        <f t="shared" ref="AJ39:AJ44" si="38">IF(AJ17="","",AJ17)</f>
        <v>113</v>
      </c>
      <c r="AP39" t="str">
        <f t="shared" si="6"/>
        <v>{5000,4,1,102,101}</v>
      </c>
      <c r="AQ39" t="str">
        <f t="shared" si="7"/>
        <v>{5000,4,1,101,103}</v>
      </c>
      <c r="AR39" t="str">
        <f t="shared" si="8"/>
        <v>{5000,4,1,102,111}</v>
      </c>
      <c r="AS39" t="str">
        <f t="shared" si="9"/>
        <v>{5000,4,1,101,112}</v>
      </c>
      <c r="AT39" t="str">
        <f t="shared" si="10"/>
        <v>{5000,4,1,102,113}</v>
      </c>
      <c r="AU39" t="str">
        <f t="shared" si="11"/>
        <v/>
      </c>
      <c r="AV39">
        <v>1127</v>
      </c>
      <c r="AW39" t="str">
        <f t="shared" si="28"/>
        <v>[{5000,4,1,102,101},{5000,4,1,101,103},{5000,4,1,102,111},{5000,4,1,101,112},{5000,4,1,102,113}]</v>
      </c>
    </row>
    <row r="40" spans="2:49">
      <c r="B40">
        <v>1128</v>
      </c>
      <c r="C40" t="s">
        <v>79</v>
      </c>
      <c r="D40" t="str">
        <f t="shared" si="2"/>
        <v>2</v>
      </c>
      <c r="F40">
        <v>241</v>
      </c>
      <c r="G40">
        <v>5000</v>
      </c>
      <c r="H40">
        <v>5</v>
      </c>
      <c r="I40">
        <v>1</v>
      </c>
      <c r="J40">
        <v>3</v>
      </c>
      <c r="K40">
        <f t="shared" si="29"/>
        <v>103</v>
      </c>
      <c r="L40">
        <f t="shared" si="30"/>
        <v>101</v>
      </c>
      <c r="M40">
        <v>5000</v>
      </c>
      <c r="N40">
        <f t="shared" si="27"/>
        <v>5</v>
      </c>
      <c r="O40">
        <v>1</v>
      </c>
      <c r="P40">
        <f t="shared" si="31"/>
        <v>103</v>
      </c>
      <c r="Q40">
        <v>1</v>
      </c>
      <c r="R40">
        <f t="shared" si="32"/>
        <v>102</v>
      </c>
      <c r="S40">
        <v>5000</v>
      </c>
      <c r="T40">
        <f t="shared" si="3"/>
        <v>5</v>
      </c>
      <c r="U40">
        <v>1</v>
      </c>
      <c r="V40">
        <f t="shared" si="33"/>
        <v>103</v>
      </c>
      <c r="W40">
        <v>1</v>
      </c>
      <c r="X40">
        <f t="shared" si="34"/>
        <v>103</v>
      </c>
      <c r="Y40">
        <v>5000</v>
      </c>
      <c r="Z40">
        <f t="shared" si="4"/>
        <v>5</v>
      </c>
      <c r="AA40">
        <v>1</v>
      </c>
      <c r="AB40">
        <f t="shared" si="35"/>
        <v>103</v>
      </c>
      <c r="AC40">
        <v>1</v>
      </c>
      <c r="AD40">
        <f t="shared" si="36"/>
        <v>113</v>
      </c>
      <c r="AE40">
        <v>5000</v>
      </c>
      <c r="AF40">
        <f t="shared" si="5"/>
        <v>5</v>
      </c>
      <c r="AG40">
        <v>1</v>
      </c>
      <c r="AH40">
        <f t="shared" si="37"/>
        <v>103</v>
      </c>
      <c r="AI40">
        <v>1</v>
      </c>
      <c r="AJ40">
        <f t="shared" si="38"/>
        <v>111</v>
      </c>
      <c r="AP40" t="str">
        <f t="shared" si="6"/>
        <v>{5000,5,1,103,101}</v>
      </c>
      <c r="AQ40" t="str">
        <f t="shared" si="7"/>
        <v>{5000,5,1,103,102}</v>
      </c>
      <c r="AR40" t="str">
        <f t="shared" si="8"/>
        <v>{5000,5,1,103,103}</v>
      </c>
      <c r="AS40" t="str">
        <f t="shared" si="9"/>
        <v>{5000,5,1,103,113}</v>
      </c>
      <c r="AT40" t="str">
        <f t="shared" si="10"/>
        <v>{5000,5,1,103,111}</v>
      </c>
      <c r="AU40" t="str">
        <f t="shared" si="11"/>
        <v/>
      </c>
      <c r="AV40">
        <v>1128</v>
      </c>
      <c r="AW40" t="str">
        <f t="shared" si="28"/>
        <v>[{5000,5,1,103,101},{5000,5,1,103,102},{5000,5,1,103,103},{5000,5,1,103,113},{5000,5,1,103,111}]</v>
      </c>
    </row>
    <row r="41" spans="2:49">
      <c r="B41">
        <v>1129</v>
      </c>
      <c r="C41" t="s">
        <v>79</v>
      </c>
      <c r="D41" t="str">
        <f t="shared" si="2"/>
        <v>2</v>
      </c>
      <c r="F41">
        <v>256</v>
      </c>
      <c r="G41">
        <v>5000</v>
      </c>
      <c r="H41">
        <v>4</v>
      </c>
      <c r="I41">
        <v>1</v>
      </c>
      <c r="J41">
        <v>2</v>
      </c>
      <c r="K41">
        <f t="shared" si="29"/>
        <v>102</v>
      </c>
      <c r="L41">
        <f t="shared" si="30"/>
        <v>101</v>
      </c>
      <c r="M41">
        <v>5000</v>
      </c>
      <c r="N41">
        <f t="shared" si="27"/>
        <v>4</v>
      </c>
      <c r="O41">
        <v>1</v>
      </c>
      <c r="P41">
        <f t="shared" si="31"/>
        <v>102</v>
      </c>
      <c r="Q41">
        <v>59</v>
      </c>
      <c r="R41">
        <f t="shared" si="32"/>
        <v>103</v>
      </c>
      <c r="S41">
        <v>5000</v>
      </c>
      <c r="T41">
        <f t="shared" si="3"/>
        <v>4</v>
      </c>
      <c r="U41">
        <v>1</v>
      </c>
      <c r="V41">
        <f t="shared" si="33"/>
        <v>102</v>
      </c>
      <c r="W41">
        <v>79</v>
      </c>
      <c r="X41">
        <f t="shared" si="34"/>
        <v>111</v>
      </c>
      <c r="Y41">
        <v>5000</v>
      </c>
      <c r="Z41">
        <f t="shared" si="4"/>
        <v>4</v>
      </c>
      <c r="AA41">
        <v>1</v>
      </c>
      <c r="AB41">
        <f t="shared" si="35"/>
        <v>101</v>
      </c>
      <c r="AC41">
        <v>72</v>
      </c>
      <c r="AD41">
        <f t="shared" si="36"/>
        <v>112</v>
      </c>
      <c r="AE41">
        <v>5000</v>
      </c>
      <c r="AF41">
        <f t="shared" si="5"/>
        <v>4</v>
      </c>
      <c r="AG41">
        <v>1</v>
      </c>
      <c r="AH41">
        <f t="shared" si="37"/>
        <v>102</v>
      </c>
      <c r="AI41">
        <v>74</v>
      </c>
      <c r="AJ41">
        <f t="shared" si="38"/>
        <v>113</v>
      </c>
      <c r="AP41" t="str">
        <f t="shared" si="6"/>
        <v>{5000,4,1,102,101}</v>
      </c>
      <c r="AQ41" t="str">
        <f t="shared" si="7"/>
        <v>{5000,4,1,102,103}</v>
      </c>
      <c r="AR41" t="str">
        <f t="shared" si="8"/>
        <v>{5000,4,1,102,111}</v>
      </c>
      <c r="AS41" t="str">
        <f t="shared" si="9"/>
        <v>{5000,4,1,101,112}</v>
      </c>
      <c r="AT41" t="str">
        <f t="shared" si="10"/>
        <v>{5000,4,1,102,113}</v>
      </c>
      <c r="AU41" t="str">
        <f t="shared" si="11"/>
        <v/>
      </c>
      <c r="AV41">
        <v>1129</v>
      </c>
      <c r="AW41" t="str">
        <f t="shared" si="28"/>
        <v>[{5000,4,1,102,101},{5000,4,1,102,103},{5000,4,1,102,111},{5000,4,1,101,112},{5000,4,1,102,113}]</v>
      </c>
    </row>
    <row r="42" spans="2:49">
      <c r="B42">
        <v>1130</v>
      </c>
      <c r="C42" t="s">
        <v>79</v>
      </c>
      <c r="D42" t="str">
        <f t="shared" si="2"/>
        <v>2</v>
      </c>
      <c r="F42">
        <v>271</v>
      </c>
      <c r="G42">
        <v>5000</v>
      </c>
      <c r="H42">
        <v>4</v>
      </c>
      <c r="I42">
        <v>1</v>
      </c>
      <c r="J42">
        <v>2</v>
      </c>
      <c r="K42">
        <f t="shared" si="29"/>
        <v>102</v>
      </c>
      <c r="L42">
        <f t="shared" si="30"/>
        <v>101</v>
      </c>
      <c r="M42">
        <v>5000</v>
      </c>
      <c r="N42">
        <f t="shared" si="27"/>
        <v>4</v>
      </c>
      <c r="O42">
        <v>1</v>
      </c>
      <c r="P42">
        <f t="shared" si="31"/>
        <v>102</v>
      </c>
      <c r="Q42">
        <v>54</v>
      </c>
      <c r="R42">
        <f t="shared" si="32"/>
        <v>102</v>
      </c>
      <c r="S42">
        <v>5000</v>
      </c>
      <c r="T42">
        <f t="shared" si="3"/>
        <v>4</v>
      </c>
      <c r="U42">
        <v>1</v>
      </c>
      <c r="V42">
        <f t="shared" si="33"/>
        <v>102</v>
      </c>
      <c r="W42">
        <v>56</v>
      </c>
      <c r="X42">
        <f t="shared" si="34"/>
        <v>103</v>
      </c>
      <c r="Y42">
        <v>5000</v>
      </c>
      <c r="Z42">
        <f t="shared" si="4"/>
        <v>4</v>
      </c>
      <c r="AA42">
        <v>1</v>
      </c>
      <c r="AB42">
        <f t="shared" si="35"/>
        <v>102</v>
      </c>
      <c r="AC42">
        <v>73</v>
      </c>
      <c r="AD42">
        <f t="shared" si="36"/>
        <v>113</v>
      </c>
      <c r="AE42">
        <v>5000</v>
      </c>
      <c r="AF42">
        <f t="shared" si="5"/>
        <v>4</v>
      </c>
      <c r="AG42">
        <v>1</v>
      </c>
      <c r="AH42">
        <f t="shared" si="37"/>
        <v>102</v>
      </c>
      <c r="AI42">
        <v>75</v>
      </c>
      <c r="AJ42">
        <f t="shared" si="38"/>
        <v>111</v>
      </c>
      <c r="AP42" t="str">
        <f t="shared" si="6"/>
        <v>{5000,4,1,102,101}</v>
      </c>
      <c r="AQ42" t="str">
        <f t="shared" si="7"/>
        <v>{5000,4,1,102,102}</v>
      </c>
      <c r="AR42" t="str">
        <f t="shared" si="8"/>
        <v>{5000,4,1,102,103}</v>
      </c>
      <c r="AS42" t="str">
        <f t="shared" si="9"/>
        <v>{5000,4,1,102,113}</v>
      </c>
      <c r="AT42" t="str">
        <f t="shared" si="10"/>
        <v>{5000,4,1,102,111}</v>
      </c>
      <c r="AU42" t="str">
        <f t="shared" si="11"/>
        <v/>
      </c>
      <c r="AV42">
        <v>1130</v>
      </c>
      <c r="AW42" t="str">
        <f t="shared" si="28"/>
        <v>[{5000,4,1,102,101},{5000,4,1,102,102},{5000,4,1,102,103},{5000,4,1,102,113},{5000,4,1,102,111}]</v>
      </c>
    </row>
    <row r="43" spans="2:49">
      <c r="B43">
        <v>1131</v>
      </c>
      <c r="C43" t="s">
        <v>79</v>
      </c>
      <c r="D43" t="str">
        <f t="shared" si="2"/>
        <v>2</v>
      </c>
      <c r="F43">
        <v>286</v>
      </c>
      <c r="G43">
        <v>5000</v>
      </c>
      <c r="H43">
        <v>4</v>
      </c>
      <c r="I43">
        <v>1</v>
      </c>
      <c r="J43">
        <v>2</v>
      </c>
      <c r="K43">
        <f t="shared" si="29"/>
        <v>102</v>
      </c>
      <c r="L43">
        <f t="shared" si="30"/>
        <v>101</v>
      </c>
      <c r="M43">
        <v>5000</v>
      </c>
      <c r="N43">
        <f t="shared" si="27"/>
        <v>4</v>
      </c>
      <c r="O43">
        <v>1</v>
      </c>
      <c r="P43">
        <f t="shared" si="31"/>
        <v>102</v>
      </c>
      <c r="Q43">
        <v>53</v>
      </c>
      <c r="R43">
        <f t="shared" si="32"/>
        <v>103</v>
      </c>
      <c r="S43">
        <v>5000</v>
      </c>
      <c r="T43">
        <f t="shared" si="3"/>
        <v>4</v>
      </c>
      <c r="U43">
        <v>1</v>
      </c>
      <c r="V43">
        <f t="shared" si="33"/>
        <v>102</v>
      </c>
      <c r="W43">
        <v>59</v>
      </c>
      <c r="X43">
        <f t="shared" si="34"/>
        <v>111</v>
      </c>
      <c r="Y43">
        <v>5000</v>
      </c>
      <c r="Z43">
        <f t="shared" si="4"/>
        <v>4</v>
      </c>
      <c r="AA43">
        <v>1</v>
      </c>
      <c r="AB43">
        <f t="shared" si="35"/>
        <v>102</v>
      </c>
      <c r="AC43">
        <v>71</v>
      </c>
      <c r="AD43">
        <f t="shared" si="36"/>
        <v>112</v>
      </c>
      <c r="AE43">
        <v>5000</v>
      </c>
      <c r="AF43">
        <f t="shared" si="5"/>
        <v>4</v>
      </c>
      <c r="AG43">
        <v>1</v>
      </c>
      <c r="AH43">
        <f t="shared" si="37"/>
        <v>102</v>
      </c>
      <c r="AI43">
        <v>77</v>
      </c>
      <c r="AJ43">
        <f t="shared" si="38"/>
        <v>113</v>
      </c>
      <c r="AP43" t="str">
        <f t="shared" si="6"/>
        <v>{5000,4,1,102,101}</v>
      </c>
      <c r="AQ43" t="str">
        <f t="shared" si="7"/>
        <v>{5000,4,1,102,103}</v>
      </c>
      <c r="AR43" t="str">
        <f t="shared" si="8"/>
        <v>{5000,4,1,102,111}</v>
      </c>
      <c r="AS43" t="str">
        <f t="shared" si="9"/>
        <v>{5000,4,1,102,112}</v>
      </c>
      <c r="AT43" t="str">
        <f t="shared" si="10"/>
        <v>{5000,4,1,102,113}</v>
      </c>
      <c r="AU43" t="str">
        <f t="shared" si="11"/>
        <v/>
      </c>
      <c r="AV43">
        <v>1131</v>
      </c>
      <c r="AW43" t="str">
        <f t="shared" si="28"/>
        <v>[{5000,4,1,102,101},{5000,4,1,102,103},{5000,4,1,102,111},{5000,4,1,102,112},{5000,4,1,102,113}]</v>
      </c>
    </row>
    <row r="44" spans="2:49">
      <c r="B44">
        <v>1132</v>
      </c>
      <c r="C44" t="s">
        <v>79</v>
      </c>
      <c r="D44" t="str">
        <f t="shared" si="2"/>
        <v>2</v>
      </c>
      <c r="F44">
        <v>290</v>
      </c>
      <c r="G44">
        <v>5000</v>
      </c>
      <c r="H44">
        <v>4</v>
      </c>
      <c r="I44">
        <v>1</v>
      </c>
      <c r="J44">
        <v>2</v>
      </c>
      <c r="K44">
        <f t="shared" si="29"/>
        <v>102</v>
      </c>
      <c r="L44">
        <f t="shared" si="30"/>
        <v>101</v>
      </c>
      <c r="M44">
        <v>5000</v>
      </c>
      <c r="N44">
        <f t="shared" si="27"/>
        <v>4</v>
      </c>
      <c r="O44">
        <v>1</v>
      </c>
      <c r="P44">
        <f t="shared" si="31"/>
        <v>102</v>
      </c>
      <c r="Q44">
        <v>56</v>
      </c>
      <c r="R44">
        <f t="shared" si="32"/>
        <v>102</v>
      </c>
      <c r="S44">
        <v>5000</v>
      </c>
      <c r="T44">
        <f t="shared" si="3"/>
        <v>4</v>
      </c>
      <c r="U44">
        <v>1</v>
      </c>
      <c r="V44">
        <f t="shared" si="33"/>
        <v>101</v>
      </c>
      <c r="W44">
        <v>77</v>
      </c>
      <c r="X44">
        <f t="shared" si="34"/>
        <v>103</v>
      </c>
      <c r="Y44">
        <v>5000</v>
      </c>
      <c r="Z44">
        <f t="shared" si="4"/>
        <v>4</v>
      </c>
      <c r="AA44">
        <v>1</v>
      </c>
      <c r="AB44">
        <f t="shared" si="35"/>
        <v>102</v>
      </c>
      <c r="AC44">
        <v>72</v>
      </c>
      <c r="AD44">
        <f t="shared" si="36"/>
        <v>113</v>
      </c>
      <c r="AE44">
        <v>5000</v>
      </c>
      <c r="AF44">
        <f t="shared" si="5"/>
        <v>4</v>
      </c>
      <c r="AG44">
        <v>1</v>
      </c>
      <c r="AH44">
        <f t="shared" si="37"/>
        <v>102</v>
      </c>
      <c r="AI44">
        <v>74</v>
      </c>
      <c r="AJ44">
        <f t="shared" si="38"/>
        <v>111</v>
      </c>
      <c r="AP44" t="str">
        <f t="shared" si="6"/>
        <v>{5000,4,1,102,101}</v>
      </c>
      <c r="AQ44" t="str">
        <f t="shared" si="7"/>
        <v>{5000,4,1,102,102}</v>
      </c>
      <c r="AR44" t="str">
        <f t="shared" si="8"/>
        <v>{5000,4,1,101,103}</v>
      </c>
      <c r="AS44" t="str">
        <f t="shared" si="9"/>
        <v>{5000,4,1,102,113}</v>
      </c>
      <c r="AT44" t="str">
        <f t="shared" si="10"/>
        <v>{5000,4,1,102,111}</v>
      </c>
      <c r="AU44" t="str">
        <f t="shared" si="11"/>
        <v/>
      </c>
      <c r="AV44">
        <v>1132</v>
      </c>
      <c r="AW44" t="str">
        <f t="shared" si="28"/>
        <v>[{5000,4,1,102,101},{5000,4,1,102,102},{5000,4,1,101,103},{5000,4,1,102,113},{5000,4,1,102,111}]</v>
      </c>
    </row>
    <row r="45" spans="2:49">
      <c r="B45">
        <v>1211</v>
      </c>
      <c r="C45" t="s">
        <v>80</v>
      </c>
      <c r="D45" s="5" t="str">
        <f t="shared" si="2"/>
        <v>3</v>
      </c>
      <c r="E45" s="5"/>
      <c r="F45">
        <v>1</v>
      </c>
      <c r="G45">
        <v>5000</v>
      </c>
      <c r="H45">
        <v>1</v>
      </c>
      <c r="I45">
        <v>1</v>
      </c>
      <c r="J45">
        <v>1</v>
      </c>
      <c r="K45">
        <f t="shared" si="29"/>
        <v>201</v>
      </c>
      <c r="L45">
        <f t="shared" ref="L45:L108" si="39">IF(L23="","",L23)</f>
        <v>101</v>
      </c>
      <c r="M45">
        <v>5000</v>
      </c>
      <c r="N45">
        <f t="shared" si="27"/>
        <v>1</v>
      </c>
      <c r="O45">
        <v>1</v>
      </c>
      <c r="P45">
        <f t="shared" si="31"/>
        <v>201</v>
      </c>
      <c r="Q45">
        <v>55</v>
      </c>
      <c r="R45">
        <f t="shared" ref="R45:R108" si="40">IF(R23="","",R23)</f>
        <v>102</v>
      </c>
      <c r="S45">
        <v>5000</v>
      </c>
      <c r="T45">
        <f t="shared" si="3"/>
        <v>1</v>
      </c>
      <c r="U45">
        <v>1</v>
      </c>
      <c r="V45">
        <f t="shared" si="33"/>
        <v>201</v>
      </c>
      <c r="W45">
        <v>60</v>
      </c>
      <c r="X45">
        <f t="shared" ref="X45:X108" si="41">IF(X23="","",X23)</f>
        <v>103</v>
      </c>
      <c r="Y45">
        <v>5000</v>
      </c>
      <c r="Z45">
        <f t="shared" si="4"/>
        <v>1</v>
      </c>
      <c r="AA45">
        <v>1</v>
      </c>
      <c r="AB45">
        <f t="shared" si="35"/>
        <v>201</v>
      </c>
      <c r="AC45">
        <v>71</v>
      </c>
      <c r="AD45">
        <f t="shared" ref="AD45:AD108" si="42">IF(AD23="","",AD23)</f>
        <v>113</v>
      </c>
      <c r="AE45">
        <v>5000</v>
      </c>
      <c r="AF45">
        <f t="shared" si="5"/>
        <v>1</v>
      </c>
      <c r="AG45">
        <v>1</v>
      </c>
      <c r="AH45">
        <f t="shared" si="37"/>
        <v>201</v>
      </c>
      <c r="AI45">
        <v>76</v>
      </c>
      <c r="AJ45">
        <f t="shared" ref="AJ45:AJ108" si="43">IF(AJ23="","",AJ23)</f>
        <v>111</v>
      </c>
      <c r="AP45" t="str">
        <f t="shared" si="6"/>
        <v>{5000,1,1,201,101}</v>
      </c>
      <c r="AQ45" t="str">
        <f t="shared" si="7"/>
        <v>{5000,1,1,201,102}</v>
      </c>
      <c r="AR45" t="str">
        <f t="shared" si="8"/>
        <v>{5000,1,1,201,103}</v>
      </c>
      <c r="AS45" t="str">
        <f t="shared" si="9"/>
        <v>{5000,1,1,201,113}</v>
      </c>
      <c r="AT45" t="str">
        <f t="shared" si="10"/>
        <v>{5000,1,1,201,111}</v>
      </c>
      <c r="AU45" t="str">
        <f t="shared" si="11"/>
        <v/>
      </c>
      <c r="AV45">
        <v>1211</v>
      </c>
      <c r="AW45" t="str">
        <f t="shared" si="28"/>
        <v>[{5000,1,1,201,101},{5000,1,1,201,102},{5000,1,1,201,103},{5000,1,1,201,113},{5000,1,1,201,111}]</v>
      </c>
    </row>
    <row r="46" spans="2:49">
      <c r="B46">
        <v>1212</v>
      </c>
      <c r="C46" t="s">
        <v>80</v>
      </c>
      <c r="D46" t="str">
        <f t="shared" si="2"/>
        <v>3</v>
      </c>
      <c r="F46">
        <v>16</v>
      </c>
      <c r="G46">
        <v>5000</v>
      </c>
      <c r="H46">
        <v>1</v>
      </c>
      <c r="I46">
        <v>1</v>
      </c>
      <c r="J46">
        <v>1</v>
      </c>
      <c r="K46">
        <f t="shared" ref="K46:K109" si="44">IF($J46="","",K24+100)</f>
        <v>201</v>
      </c>
      <c r="L46">
        <f t="shared" si="39"/>
        <v>101</v>
      </c>
      <c r="M46">
        <v>5000</v>
      </c>
      <c r="N46">
        <f t="shared" si="27"/>
        <v>1</v>
      </c>
      <c r="O46">
        <v>1</v>
      </c>
      <c r="P46">
        <f t="shared" ref="P46:P109" si="45">IF($J46="","",P24+100)</f>
        <v>201</v>
      </c>
      <c r="Q46">
        <v>55</v>
      </c>
      <c r="R46">
        <f t="shared" si="40"/>
        <v>103</v>
      </c>
      <c r="S46">
        <v>5000</v>
      </c>
      <c r="T46">
        <f t="shared" si="3"/>
        <v>1</v>
      </c>
      <c r="U46">
        <v>1</v>
      </c>
      <c r="V46">
        <f t="shared" ref="V46:V109" si="46">IF($J46="","",V24+100)</f>
        <v>201</v>
      </c>
      <c r="W46">
        <v>75</v>
      </c>
      <c r="X46">
        <f t="shared" si="41"/>
        <v>111</v>
      </c>
      <c r="Y46">
        <v>5000</v>
      </c>
      <c r="Z46">
        <f t="shared" si="4"/>
        <v>1</v>
      </c>
      <c r="AA46">
        <v>1</v>
      </c>
      <c r="AB46">
        <f t="shared" ref="AB46:AB109" si="47">IF($J46="","",AB24+100)</f>
        <v>201</v>
      </c>
      <c r="AC46">
        <v>73</v>
      </c>
      <c r="AD46">
        <f t="shared" si="42"/>
        <v>112</v>
      </c>
      <c r="AE46">
        <v>5000</v>
      </c>
      <c r="AF46">
        <f t="shared" si="5"/>
        <v>1</v>
      </c>
      <c r="AG46">
        <v>1</v>
      </c>
      <c r="AH46">
        <f t="shared" ref="AH46:AH109" si="48">IF($J46="","",AH24+100)</f>
        <v>201</v>
      </c>
      <c r="AI46">
        <v>78</v>
      </c>
      <c r="AJ46">
        <f t="shared" si="43"/>
        <v>113</v>
      </c>
      <c r="AP46" t="str">
        <f t="shared" si="6"/>
        <v>{5000,1,1,201,101}</v>
      </c>
      <c r="AQ46" t="str">
        <f t="shared" si="7"/>
        <v>{5000,1,1,201,103}</v>
      </c>
      <c r="AR46" t="str">
        <f t="shared" si="8"/>
        <v>{5000,1,1,201,111}</v>
      </c>
      <c r="AS46" t="str">
        <f t="shared" si="9"/>
        <v>{5000,1,1,201,112}</v>
      </c>
      <c r="AT46" t="str">
        <f t="shared" si="10"/>
        <v>{5000,1,1,201,113}</v>
      </c>
      <c r="AU46" t="str">
        <f t="shared" si="11"/>
        <v/>
      </c>
      <c r="AV46">
        <v>1212</v>
      </c>
      <c r="AW46" t="str">
        <f t="shared" si="28"/>
        <v>[{5000,1,1,201,101},{5000,1,1,201,103},{5000,1,1,201,111},{5000,1,1,201,112},{5000,1,1,201,113}]</v>
      </c>
    </row>
    <row r="47" spans="2:49">
      <c r="B47">
        <v>1213</v>
      </c>
      <c r="C47" t="s">
        <v>80</v>
      </c>
      <c r="D47" t="str">
        <f t="shared" si="2"/>
        <v>3</v>
      </c>
      <c r="F47">
        <v>31</v>
      </c>
      <c r="G47">
        <v>5000</v>
      </c>
      <c r="H47">
        <v>2</v>
      </c>
      <c r="I47">
        <v>1</v>
      </c>
      <c r="J47">
        <v>1</v>
      </c>
      <c r="K47">
        <f t="shared" si="44"/>
        <v>201</v>
      </c>
      <c r="L47">
        <f t="shared" si="39"/>
        <v>101</v>
      </c>
      <c r="M47">
        <v>5000</v>
      </c>
      <c r="N47">
        <f t="shared" si="27"/>
        <v>2</v>
      </c>
      <c r="O47">
        <v>1</v>
      </c>
      <c r="P47">
        <f t="shared" si="45"/>
        <v>201</v>
      </c>
      <c r="Q47">
        <v>55</v>
      </c>
      <c r="R47">
        <f t="shared" si="40"/>
        <v>102</v>
      </c>
      <c r="S47">
        <v>5000</v>
      </c>
      <c r="T47">
        <f t="shared" si="3"/>
        <v>2</v>
      </c>
      <c r="U47">
        <v>1</v>
      </c>
      <c r="V47">
        <f t="shared" si="46"/>
        <v>201</v>
      </c>
      <c r="W47">
        <v>58</v>
      </c>
      <c r="X47">
        <f t="shared" si="41"/>
        <v>103</v>
      </c>
      <c r="Y47">
        <v>5000</v>
      </c>
      <c r="Z47">
        <f t="shared" si="4"/>
        <v>2</v>
      </c>
      <c r="AA47">
        <v>1</v>
      </c>
      <c r="AB47">
        <f t="shared" si="47"/>
        <v>201</v>
      </c>
      <c r="AC47">
        <v>76</v>
      </c>
      <c r="AD47">
        <f t="shared" si="42"/>
        <v>113</v>
      </c>
      <c r="AE47">
        <v>5000</v>
      </c>
      <c r="AF47">
        <f t="shared" si="5"/>
        <v>2</v>
      </c>
      <c r="AG47">
        <v>1</v>
      </c>
      <c r="AH47">
        <f t="shared" si="48"/>
        <v>201</v>
      </c>
      <c r="AI47">
        <v>79</v>
      </c>
      <c r="AJ47">
        <f t="shared" si="43"/>
        <v>111</v>
      </c>
      <c r="AP47" t="str">
        <f t="shared" si="6"/>
        <v>{5000,2,1,201,101}</v>
      </c>
      <c r="AQ47" t="str">
        <f t="shared" si="7"/>
        <v>{5000,2,1,201,102}</v>
      </c>
      <c r="AR47" t="str">
        <f t="shared" si="8"/>
        <v>{5000,2,1,201,103}</v>
      </c>
      <c r="AS47" t="str">
        <f t="shared" si="9"/>
        <v>{5000,2,1,201,113}</v>
      </c>
      <c r="AT47" t="str">
        <f t="shared" si="10"/>
        <v>{5000,2,1,201,111}</v>
      </c>
      <c r="AU47" t="str">
        <f t="shared" si="11"/>
        <v/>
      </c>
      <c r="AV47">
        <v>1213</v>
      </c>
      <c r="AW47" t="str">
        <f t="shared" si="28"/>
        <v>[{5000,2,1,201,101},{5000,2,1,201,102},{5000,2,1,201,103},{5000,2,1,201,113},{5000,2,1,201,111}]</v>
      </c>
    </row>
    <row r="48" spans="2:49">
      <c r="B48">
        <v>1214</v>
      </c>
      <c r="C48" t="s">
        <v>80</v>
      </c>
      <c r="D48" t="str">
        <f t="shared" si="2"/>
        <v>3</v>
      </c>
      <c r="F48">
        <v>46</v>
      </c>
      <c r="G48">
        <v>5000</v>
      </c>
      <c r="H48">
        <v>2</v>
      </c>
      <c r="I48">
        <v>1</v>
      </c>
      <c r="J48">
        <v>1</v>
      </c>
      <c r="K48">
        <f t="shared" si="44"/>
        <v>201</v>
      </c>
      <c r="L48">
        <f t="shared" si="39"/>
        <v>101</v>
      </c>
      <c r="M48">
        <v>5000</v>
      </c>
      <c r="N48">
        <f t="shared" si="27"/>
        <v>2</v>
      </c>
      <c r="O48">
        <v>1</v>
      </c>
      <c r="P48">
        <f t="shared" si="45"/>
        <v>201</v>
      </c>
      <c r="Q48">
        <v>55</v>
      </c>
      <c r="R48">
        <f t="shared" si="40"/>
        <v>103</v>
      </c>
      <c r="S48">
        <v>5000</v>
      </c>
      <c r="T48">
        <f t="shared" si="3"/>
        <v>2</v>
      </c>
      <c r="U48">
        <v>1</v>
      </c>
      <c r="V48">
        <f t="shared" si="46"/>
        <v>202</v>
      </c>
      <c r="W48">
        <v>76</v>
      </c>
      <c r="X48">
        <f t="shared" si="41"/>
        <v>111</v>
      </c>
      <c r="Y48">
        <v>5000</v>
      </c>
      <c r="Z48">
        <f t="shared" si="4"/>
        <v>2</v>
      </c>
      <c r="AA48">
        <v>1</v>
      </c>
      <c r="AB48">
        <f t="shared" si="47"/>
        <v>201</v>
      </c>
      <c r="AC48">
        <v>71</v>
      </c>
      <c r="AD48">
        <f t="shared" si="42"/>
        <v>112</v>
      </c>
      <c r="AE48">
        <v>5000</v>
      </c>
      <c r="AF48">
        <f t="shared" si="5"/>
        <v>2</v>
      </c>
      <c r="AG48">
        <v>1</v>
      </c>
      <c r="AH48">
        <f t="shared" si="48"/>
        <v>201</v>
      </c>
      <c r="AI48">
        <v>71</v>
      </c>
      <c r="AJ48">
        <f t="shared" si="43"/>
        <v>113</v>
      </c>
      <c r="AP48" t="str">
        <f t="shared" si="6"/>
        <v>{5000,2,1,201,101}</v>
      </c>
      <c r="AQ48" t="str">
        <f t="shared" si="7"/>
        <v>{5000,2,1,201,103}</v>
      </c>
      <c r="AR48" t="str">
        <f t="shared" si="8"/>
        <v>{5000,2,1,202,111}</v>
      </c>
      <c r="AS48" t="str">
        <f t="shared" si="9"/>
        <v>{5000,2,1,201,112}</v>
      </c>
      <c r="AT48" t="str">
        <f t="shared" si="10"/>
        <v>{5000,2,1,201,113}</v>
      </c>
      <c r="AU48" t="str">
        <f t="shared" si="11"/>
        <v/>
      </c>
      <c r="AV48">
        <v>1214</v>
      </c>
      <c r="AW48" t="str">
        <f t="shared" si="28"/>
        <v>[{5000,2,1,201,101},{5000,2,1,201,103},{5000,2,1,202,111},{5000,2,1,201,112},{5000,2,1,201,113}]</v>
      </c>
    </row>
    <row r="49" spans="2:49">
      <c r="B49">
        <v>1215</v>
      </c>
      <c r="C49" t="s">
        <v>80</v>
      </c>
      <c r="D49" t="str">
        <f t="shared" si="2"/>
        <v>3</v>
      </c>
      <c r="F49">
        <v>61</v>
      </c>
      <c r="G49">
        <v>5000</v>
      </c>
      <c r="H49">
        <v>2</v>
      </c>
      <c r="I49">
        <v>1</v>
      </c>
      <c r="J49">
        <v>3</v>
      </c>
      <c r="K49">
        <f t="shared" si="44"/>
        <v>203</v>
      </c>
      <c r="L49">
        <f t="shared" si="39"/>
        <v>101</v>
      </c>
      <c r="M49">
        <v>5000</v>
      </c>
      <c r="N49">
        <f t="shared" si="27"/>
        <v>2</v>
      </c>
      <c r="O49">
        <v>1</v>
      </c>
      <c r="P49">
        <f t="shared" si="45"/>
        <v>203</v>
      </c>
      <c r="Q49">
        <v>1</v>
      </c>
      <c r="R49">
        <f t="shared" si="40"/>
        <v>102</v>
      </c>
      <c r="S49">
        <v>5000</v>
      </c>
      <c r="T49">
        <f t="shared" si="3"/>
        <v>2</v>
      </c>
      <c r="U49">
        <v>1</v>
      </c>
      <c r="V49">
        <f t="shared" si="46"/>
        <v>203</v>
      </c>
      <c r="W49">
        <v>1</v>
      </c>
      <c r="X49">
        <f t="shared" si="41"/>
        <v>103</v>
      </c>
      <c r="Y49">
        <v>5000</v>
      </c>
      <c r="Z49">
        <f t="shared" si="4"/>
        <v>2</v>
      </c>
      <c r="AA49">
        <v>1</v>
      </c>
      <c r="AB49">
        <f t="shared" si="47"/>
        <v>203</v>
      </c>
      <c r="AC49">
        <v>1</v>
      </c>
      <c r="AD49">
        <f t="shared" si="42"/>
        <v>113</v>
      </c>
      <c r="AE49">
        <v>5000</v>
      </c>
      <c r="AF49">
        <f t="shared" si="5"/>
        <v>2</v>
      </c>
      <c r="AG49">
        <v>1</v>
      </c>
      <c r="AH49">
        <f t="shared" si="48"/>
        <v>203</v>
      </c>
      <c r="AI49">
        <v>1</v>
      </c>
      <c r="AJ49">
        <f t="shared" si="43"/>
        <v>111</v>
      </c>
      <c r="AP49" t="str">
        <f t="shared" si="6"/>
        <v>{5000,2,1,203,101}</v>
      </c>
      <c r="AQ49" t="str">
        <f t="shared" si="7"/>
        <v>{5000,2,1,203,102}</v>
      </c>
      <c r="AR49" t="str">
        <f t="shared" si="8"/>
        <v>{5000,2,1,203,103}</v>
      </c>
      <c r="AS49" t="str">
        <f t="shared" si="9"/>
        <v>{5000,2,1,203,113}</v>
      </c>
      <c r="AT49" t="str">
        <f t="shared" si="10"/>
        <v>{5000,2,1,203,111}</v>
      </c>
      <c r="AU49" t="str">
        <f t="shared" si="11"/>
        <v/>
      </c>
      <c r="AV49">
        <v>1215</v>
      </c>
      <c r="AW49" t="str">
        <f t="shared" si="28"/>
        <v>[{5000,2,1,203,101},{5000,2,1,203,102},{5000,2,1,203,103},{5000,2,1,203,113},{5000,2,1,203,111}]</v>
      </c>
    </row>
    <row r="50" spans="2:49">
      <c r="B50">
        <v>1216</v>
      </c>
      <c r="C50" t="s">
        <v>80</v>
      </c>
      <c r="D50" t="str">
        <f t="shared" si="2"/>
        <v>3</v>
      </c>
      <c r="F50">
        <v>76</v>
      </c>
      <c r="G50">
        <v>5000</v>
      </c>
      <c r="H50">
        <v>2</v>
      </c>
      <c r="I50">
        <v>1</v>
      </c>
      <c r="J50">
        <v>1</v>
      </c>
      <c r="K50">
        <f t="shared" si="44"/>
        <v>201</v>
      </c>
      <c r="L50">
        <f t="shared" si="39"/>
        <v>101</v>
      </c>
      <c r="M50">
        <v>5000</v>
      </c>
      <c r="N50">
        <f t="shared" si="27"/>
        <v>2</v>
      </c>
      <c r="O50">
        <v>1</v>
      </c>
      <c r="P50">
        <f t="shared" si="45"/>
        <v>201</v>
      </c>
      <c r="Q50">
        <v>59</v>
      </c>
      <c r="R50">
        <f t="shared" si="40"/>
        <v>103</v>
      </c>
      <c r="S50">
        <v>5000</v>
      </c>
      <c r="T50">
        <f t="shared" si="3"/>
        <v>2</v>
      </c>
      <c r="U50">
        <v>1</v>
      </c>
      <c r="V50">
        <f t="shared" si="46"/>
        <v>202</v>
      </c>
      <c r="W50">
        <v>71</v>
      </c>
      <c r="X50">
        <f t="shared" si="41"/>
        <v>111</v>
      </c>
      <c r="Y50">
        <v>5000</v>
      </c>
      <c r="Z50">
        <f t="shared" si="4"/>
        <v>2</v>
      </c>
      <c r="AA50">
        <v>1</v>
      </c>
      <c r="AB50">
        <f t="shared" si="47"/>
        <v>201</v>
      </c>
      <c r="AC50">
        <v>71</v>
      </c>
      <c r="AD50">
        <f t="shared" si="42"/>
        <v>112</v>
      </c>
      <c r="AE50">
        <v>5000</v>
      </c>
      <c r="AF50">
        <f t="shared" si="5"/>
        <v>2</v>
      </c>
      <c r="AG50">
        <v>1</v>
      </c>
      <c r="AH50">
        <f t="shared" si="48"/>
        <v>201</v>
      </c>
      <c r="AI50">
        <v>79</v>
      </c>
      <c r="AJ50">
        <f t="shared" si="43"/>
        <v>113</v>
      </c>
      <c r="AP50" t="str">
        <f t="shared" si="6"/>
        <v>{5000,2,1,201,101}</v>
      </c>
      <c r="AQ50" t="str">
        <f t="shared" si="7"/>
        <v>{5000,2,1,201,103}</v>
      </c>
      <c r="AR50" t="str">
        <f t="shared" si="8"/>
        <v>{5000,2,1,202,111}</v>
      </c>
      <c r="AS50" t="str">
        <f t="shared" si="9"/>
        <v>{5000,2,1,201,112}</v>
      </c>
      <c r="AT50" t="str">
        <f t="shared" si="10"/>
        <v>{5000,2,1,201,113}</v>
      </c>
      <c r="AU50" t="str">
        <f t="shared" si="11"/>
        <v/>
      </c>
      <c r="AV50">
        <v>1216</v>
      </c>
      <c r="AW50" t="str">
        <f t="shared" si="28"/>
        <v>[{5000,2,1,201,101},{5000,2,1,201,103},{5000,2,1,202,111},{5000,2,1,201,112},{5000,2,1,201,113}]</v>
      </c>
    </row>
    <row r="51" spans="2:49">
      <c r="B51">
        <v>1217</v>
      </c>
      <c r="C51" t="s">
        <v>80</v>
      </c>
      <c r="D51" t="str">
        <f t="shared" si="2"/>
        <v>3</v>
      </c>
      <c r="F51">
        <v>91</v>
      </c>
      <c r="G51">
        <v>5000</v>
      </c>
      <c r="H51">
        <v>2</v>
      </c>
      <c r="I51">
        <v>1</v>
      </c>
      <c r="J51">
        <v>1</v>
      </c>
      <c r="K51">
        <f t="shared" si="44"/>
        <v>201</v>
      </c>
      <c r="L51">
        <f t="shared" si="39"/>
        <v>101</v>
      </c>
      <c r="M51">
        <v>5000</v>
      </c>
      <c r="N51">
        <f t="shared" si="27"/>
        <v>2</v>
      </c>
      <c r="O51">
        <v>1</v>
      </c>
      <c r="P51">
        <f t="shared" si="45"/>
        <v>201</v>
      </c>
      <c r="Q51">
        <v>54</v>
      </c>
      <c r="R51">
        <f t="shared" si="40"/>
        <v>102</v>
      </c>
      <c r="S51">
        <v>5000</v>
      </c>
      <c r="T51">
        <f t="shared" si="3"/>
        <v>2</v>
      </c>
      <c r="U51">
        <v>1</v>
      </c>
      <c r="V51">
        <f t="shared" si="46"/>
        <v>202</v>
      </c>
      <c r="W51">
        <v>51</v>
      </c>
      <c r="X51">
        <f t="shared" si="41"/>
        <v>103</v>
      </c>
      <c r="Y51">
        <v>5000</v>
      </c>
      <c r="Z51">
        <f t="shared" si="4"/>
        <v>2</v>
      </c>
      <c r="AA51">
        <v>1</v>
      </c>
      <c r="AB51">
        <f t="shared" si="47"/>
        <v>201</v>
      </c>
      <c r="AC51">
        <v>71</v>
      </c>
      <c r="AD51">
        <f t="shared" si="42"/>
        <v>113</v>
      </c>
      <c r="AE51">
        <v>5000</v>
      </c>
      <c r="AF51">
        <f t="shared" si="5"/>
        <v>2</v>
      </c>
      <c r="AG51">
        <v>1</v>
      </c>
      <c r="AH51">
        <f t="shared" si="48"/>
        <v>202</v>
      </c>
      <c r="AI51">
        <v>77</v>
      </c>
      <c r="AJ51">
        <f t="shared" si="43"/>
        <v>111</v>
      </c>
      <c r="AP51" t="str">
        <f t="shared" si="6"/>
        <v>{5000,2,1,201,101}</v>
      </c>
      <c r="AQ51" t="str">
        <f t="shared" si="7"/>
        <v>{5000,2,1,201,102}</v>
      </c>
      <c r="AR51" t="str">
        <f t="shared" si="8"/>
        <v>{5000,2,1,202,103}</v>
      </c>
      <c r="AS51" t="str">
        <f t="shared" si="9"/>
        <v>{5000,2,1,201,113}</v>
      </c>
      <c r="AT51" t="str">
        <f t="shared" si="10"/>
        <v>{5000,2,1,202,111}</v>
      </c>
      <c r="AU51" t="str">
        <f t="shared" si="11"/>
        <v/>
      </c>
      <c r="AV51">
        <v>1217</v>
      </c>
      <c r="AW51" t="str">
        <f t="shared" si="28"/>
        <v>[{5000,2,1,201,101},{5000,2,1,201,102},{5000,2,1,202,103},{5000,2,1,201,113},{5000,2,1,202,111}]</v>
      </c>
    </row>
    <row r="52" spans="2:49">
      <c r="B52">
        <v>1218</v>
      </c>
      <c r="C52" t="s">
        <v>80</v>
      </c>
      <c r="D52" t="str">
        <f t="shared" si="2"/>
        <v>3</v>
      </c>
      <c r="F52">
        <v>106</v>
      </c>
      <c r="G52">
        <v>5000</v>
      </c>
      <c r="H52">
        <v>2</v>
      </c>
      <c r="I52">
        <v>1</v>
      </c>
      <c r="J52">
        <v>1</v>
      </c>
      <c r="K52">
        <f t="shared" si="44"/>
        <v>201</v>
      </c>
      <c r="L52">
        <f t="shared" si="39"/>
        <v>101</v>
      </c>
      <c r="M52">
        <v>5000</v>
      </c>
      <c r="N52">
        <f t="shared" si="27"/>
        <v>2</v>
      </c>
      <c r="O52">
        <v>1</v>
      </c>
      <c r="P52">
        <f t="shared" si="45"/>
        <v>201</v>
      </c>
      <c r="Q52">
        <v>55</v>
      </c>
      <c r="R52">
        <f t="shared" si="40"/>
        <v>103</v>
      </c>
      <c r="S52">
        <v>5000</v>
      </c>
      <c r="T52">
        <f t="shared" si="3"/>
        <v>2</v>
      </c>
      <c r="U52">
        <v>1</v>
      </c>
      <c r="V52">
        <f t="shared" si="46"/>
        <v>202</v>
      </c>
      <c r="W52">
        <v>73</v>
      </c>
      <c r="X52">
        <f t="shared" si="41"/>
        <v>111</v>
      </c>
      <c r="Y52">
        <v>5000</v>
      </c>
      <c r="Z52">
        <f t="shared" si="4"/>
        <v>2</v>
      </c>
      <c r="AA52">
        <v>1</v>
      </c>
      <c r="AB52">
        <f t="shared" si="47"/>
        <v>201</v>
      </c>
      <c r="AC52">
        <v>78</v>
      </c>
      <c r="AD52">
        <f t="shared" si="42"/>
        <v>112</v>
      </c>
      <c r="AE52">
        <v>5000</v>
      </c>
      <c r="AF52">
        <f t="shared" si="5"/>
        <v>2</v>
      </c>
      <c r="AG52">
        <v>1</v>
      </c>
      <c r="AH52">
        <f t="shared" si="48"/>
        <v>202</v>
      </c>
      <c r="AI52">
        <v>71</v>
      </c>
      <c r="AJ52">
        <f t="shared" si="43"/>
        <v>113</v>
      </c>
      <c r="AP52" t="str">
        <f t="shared" si="6"/>
        <v>{5000,2,1,201,101}</v>
      </c>
      <c r="AQ52" t="str">
        <f t="shared" si="7"/>
        <v>{5000,2,1,201,103}</v>
      </c>
      <c r="AR52" t="str">
        <f t="shared" si="8"/>
        <v>{5000,2,1,202,111}</v>
      </c>
      <c r="AS52" t="str">
        <f t="shared" si="9"/>
        <v>{5000,2,1,201,112}</v>
      </c>
      <c r="AT52" t="str">
        <f t="shared" si="10"/>
        <v>{5000,2,1,202,113}</v>
      </c>
      <c r="AU52" t="str">
        <f t="shared" si="11"/>
        <v/>
      </c>
      <c r="AV52">
        <v>1218</v>
      </c>
      <c r="AW52" t="str">
        <f t="shared" si="28"/>
        <v>[{5000,2,1,201,101},{5000,2,1,201,103},{5000,2,1,202,111},{5000,2,1,201,112},{5000,2,1,202,113}]</v>
      </c>
    </row>
    <row r="53" spans="2:49">
      <c r="B53">
        <v>1219</v>
      </c>
      <c r="C53" t="s">
        <v>80</v>
      </c>
      <c r="D53" t="str">
        <f t="shared" si="2"/>
        <v>3</v>
      </c>
      <c r="F53">
        <v>121</v>
      </c>
      <c r="G53">
        <v>5000</v>
      </c>
      <c r="H53">
        <v>3</v>
      </c>
      <c r="I53">
        <v>1</v>
      </c>
      <c r="J53">
        <v>1</v>
      </c>
      <c r="K53">
        <f t="shared" si="44"/>
        <v>203</v>
      </c>
      <c r="L53">
        <f t="shared" si="39"/>
        <v>101</v>
      </c>
      <c r="M53">
        <v>5000</v>
      </c>
      <c r="N53">
        <f t="shared" si="27"/>
        <v>3</v>
      </c>
      <c r="O53">
        <v>1</v>
      </c>
      <c r="P53">
        <f t="shared" si="45"/>
        <v>203</v>
      </c>
      <c r="Q53">
        <v>54</v>
      </c>
      <c r="R53">
        <f t="shared" si="40"/>
        <v>102</v>
      </c>
      <c r="S53">
        <v>5000</v>
      </c>
      <c r="T53">
        <f t="shared" si="3"/>
        <v>3</v>
      </c>
      <c r="U53">
        <v>1</v>
      </c>
      <c r="V53">
        <f t="shared" si="46"/>
        <v>203</v>
      </c>
      <c r="W53">
        <v>51</v>
      </c>
      <c r="X53">
        <f t="shared" si="41"/>
        <v>103</v>
      </c>
      <c r="Y53">
        <v>5000</v>
      </c>
      <c r="Z53">
        <f t="shared" si="4"/>
        <v>3</v>
      </c>
      <c r="AA53">
        <v>1</v>
      </c>
      <c r="AB53">
        <f t="shared" si="47"/>
        <v>203</v>
      </c>
      <c r="AC53">
        <v>71</v>
      </c>
      <c r="AD53">
        <f t="shared" si="42"/>
        <v>113</v>
      </c>
      <c r="AE53">
        <v>5000</v>
      </c>
      <c r="AF53">
        <f t="shared" si="5"/>
        <v>3</v>
      </c>
      <c r="AG53">
        <v>1</v>
      </c>
      <c r="AH53">
        <f t="shared" si="48"/>
        <v>203</v>
      </c>
      <c r="AI53">
        <v>79</v>
      </c>
      <c r="AJ53">
        <f t="shared" si="43"/>
        <v>111</v>
      </c>
      <c r="AP53" t="str">
        <f t="shared" si="6"/>
        <v>{5000,3,1,203,101}</v>
      </c>
      <c r="AQ53" t="str">
        <f t="shared" si="7"/>
        <v>{5000,3,1,203,102}</v>
      </c>
      <c r="AR53" t="str">
        <f t="shared" si="8"/>
        <v>{5000,3,1,203,103}</v>
      </c>
      <c r="AS53" t="str">
        <f t="shared" si="9"/>
        <v>{5000,3,1,203,113}</v>
      </c>
      <c r="AT53" t="str">
        <f t="shared" si="10"/>
        <v>{5000,3,1,203,111}</v>
      </c>
      <c r="AU53" t="str">
        <f t="shared" si="11"/>
        <v/>
      </c>
      <c r="AV53">
        <v>1219</v>
      </c>
      <c r="AW53" t="str">
        <f t="shared" si="28"/>
        <v>[{5000,3,1,203,101},{5000,3,1,203,102},{5000,3,1,203,103},{5000,3,1,203,113},{5000,3,1,203,111}]</v>
      </c>
    </row>
    <row r="54" spans="2:49">
      <c r="B54">
        <v>1220</v>
      </c>
      <c r="C54" t="s">
        <v>80</v>
      </c>
      <c r="D54" t="str">
        <f t="shared" si="2"/>
        <v>3</v>
      </c>
      <c r="F54">
        <v>136</v>
      </c>
      <c r="G54">
        <v>5000</v>
      </c>
      <c r="H54">
        <v>3</v>
      </c>
      <c r="I54">
        <v>1</v>
      </c>
      <c r="J54">
        <v>1</v>
      </c>
      <c r="K54">
        <f t="shared" si="44"/>
        <v>201</v>
      </c>
      <c r="L54">
        <f t="shared" si="39"/>
        <v>101</v>
      </c>
      <c r="M54">
        <v>5000</v>
      </c>
      <c r="N54">
        <f t="shared" si="27"/>
        <v>3</v>
      </c>
      <c r="O54">
        <v>1</v>
      </c>
      <c r="P54">
        <f t="shared" si="45"/>
        <v>201</v>
      </c>
      <c r="Q54">
        <v>54</v>
      </c>
      <c r="R54">
        <f t="shared" si="40"/>
        <v>103</v>
      </c>
      <c r="S54">
        <v>5000</v>
      </c>
      <c r="T54">
        <f t="shared" si="3"/>
        <v>3</v>
      </c>
      <c r="U54">
        <v>1</v>
      </c>
      <c r="V54">
        <f t="shared" si="46"/>
        <v>202</v>
      </c>
      <c r="W54">
        <v>76</v>
      </c>
      <c r="X54">
        <f t="shared" si="41"/>
        <v>111</v>
      </c>
      <c r="Y54">
        <v>5000</v>
      </c>
      <c r="Z54">
        <f t="shared" si="4"/>
        <v>3</v>
      </c>
      <c r="AA54">
        <v>1</v>
      </c>
      <c r="AB54">
        <f t="shared" si="47"/>
        <v>201</v>
      </c>
      <c r="AC54">
        <v>72</v>
      </c>
      <c r="AD54">
        <f t="shared" si="42"/>
        <v>112</v>
      </c>
      <c r="AE54">
        <v>5000</v>
      </c>
      <c r="AF54">
        <f t="shared" si="5"/>
        <v>3</v>
      </c>
      <c r="AG54">
        <v>1</v>
      </c>
      <c r="AH54">
        <f t="shared" si="48"/>
        <v>202</v>
      </c>
      <c r="AI54">
        <v>74</v>
      </c>
      <c r="AJ54">
        <f t="shared" si="43"/>
        <v>113</v>
      </c>
      <c r="AP54" t="str">
        <f t="shared" si="6"/>
        <v>{5000,3,1,201,101}</v>
      </c>
      <c r="AQ54" t="str">
        <f t="shared" si="7"/>
        <v>{5000,3,1,201,103}</v>
      </c>
      <c r="AR54" t="str">
        <f t="shared" si="8"/>
        <v>{5000,3,1,202,111}</v>
      </c>
      <c r="AS54" t="str">
        <f t="shared" si="9"/>
        <v>{5000,3,1,201,112}</v>
      </c>
      <c r="AT54" t="str">
        <f t="shared" si="10"/>
        <v>{5000,3,1,202,113}</v>
      </c>
      <c r="AU54" t="str">
        <f t="shared" si="11"/>
        <v/>
      </c>
      <c r="AV54">
        <v>1220</v>
      </c>
      <c r="AW54" t="str">
        <f t="shared" si="28"/>
        <v>[{5000,3,1,201,101},{5000,3,1,201,103},{5000,3,1,202,111},{5000,3,1,201,112},{5000,3,1,202,113}]</v>
      </c>
    </row>
    <row r="55" spans="2:49">
      <c r="B55">
        <v>1221</v>
      </c>
      <c r="C55" t="s">
        <v>80</v>
      </c>
      <c r="D55" t="str">
        <f t="shared" si="2"/>
        <v>3</v>
      </c>
      <c r="F55">
        <v>151</v>
      </c>
      <c r="G55">
        <v>5000</v>
      </c>
      <c r="H55">
        <v>3</v>
      </c>
      <c r="I55">
        <v>1</v>
      </c>
      <c r="J55">
        <v>1</v>
      </c>
      <c r="K55">
        <f t="shared" si="44"/>
        <v>201</v>
      </c>
      <c r="L55">
        <f t="shared" si="39"/>
        <v>101</v>
      </c>
      <c r="M55">
        <v>5000</v>
      </c>
      <c r="N55">
        <f t="shared" si="27"/>
        <v>3</v>
      </c>
      <c r="O55">
        <v>1</v>
      </c>
      <c r="P55">
        <f t="shared" si="45"/>
        <v>201</v>
      </c>
      <c r="Q55">
        <v>54</v>
      </c>
      <c r="R55">
        <f t="shared" si="40"/>
        <v>102</v>
      </c>
      <c r="S55">
        <v>5000</v>
      </c>
      <c r="T55">
        <f t="shared" si="3"/>
        <v>3</v>
      </c>
      <c r="U55">
        <v>1</v>
      </c>
      <c r="V55">
        <f t="shared" si="46"/>
        <v>202</v>
      </c>
      <c r="W55">
        <v>56</v>
      </c>
      <c r="X55">
        <f t="shared" si="41"/>
        <v>103</v>
      </c>
      <c r="Y55">
        <v>5000</v>
      </c>
      <c r="Z55">
        <f t="shared" si="4"/>
        <v>3</v>
      </c>
      <c r="AA55">
        <v>1</v>
      </c>
      <c r="AB55">
        <f t="shared" si="47"/>
        <v>201</v>
      </c>
      <c r="AC55">
        <v>72</v>
      </c>
      <c r="AD55">
        <f t="shared" si="42"/>
        <v>113</v>
      </c>
      <c r="AE55">
        <v>5000</v>
      </c>
      <c r="AF55">
        <f t="shared" si="5"/>
        <v>3</v>
      </c>
      <c r="AG55">
        <v>1</v>
      </c>
      <c r="AH55">
        <f t="shared" si="48"/>
        <v>202</v>
      </c>
      <c r="AI55">
        <v>74</v>
      </c>
      <c r="AJ55">
        <f t="shared" si="43"/>
        <v>111</v>
      </c>
      <c r="AP55" t="str">
        <f t="shared" si="6"/>
        <v>{5000,3,1,201,101}</v>
      </c>
      <c r="AQ55" t="str">
        <f t="shared" si="7"/>
        <v>{5000,3,1,201,102}</v>
      </c>
      <c r="AR55" t="str">
        <f t="shared" si="8"/>
        <v>{5000,3,1,202,103}</v>
      </c>
      <c r="AS55" t="str">
        <f t="shared" si="9"/>
        <v>{5000,3,1,201,113}</v>
      </c>
      <c r="AT55" t="str">
        <f t="shared" si="10"/>
        <v>{5000,3,1,202,111}</v>
      </c>
      <c r="AU55" t="str">
        <f t="shared" si="11"/>
        <v/>
      </c>
      <c r="AV55">
        <v>1221</v>
      </c>
      <c r="AW55" t="str">
        <f t="shared" si="28"/>
        <v>[{5000,3,1,201,101},{5000,3,1,201,102},{5000,3,1,202,103},{5000,3,1,201,113},{5000,3,1,202,111}]</v>
      </c>
    </row>
    <row r="56" spans="2:49">
      <c r="B56">
        <v>1222</v>
      </c>
      <c r="C56" t="s">
        <v>80</v>
      </c>
      <c r="D56" t="str">
        <f t="shared" si="2"/>
        <v>3</v>
      </c>
      <c r="F56">
        <v>166</v>
      </c>
      <c r="G56">
        <v>5000</v>
      </c>
      <c r="H56">
        <v>3</v>
      </c>
      <c r="I56">
        <v>1</v>
      </c>
      <c r="J56">
        <v>1</v>
      </c>
      <c r="K56">
        <f t="shared" si="44"/>
        <v>201</v>
      </c>
      <c r="L56">
        <f t="shared" si="39"/>
        <v>101</v>
      </c>
      <c r="M56">
        <v>5000</v>
      </c>
      <c r="N56">
        <f t="shared" si="27"/>
        <v>3</v>
      </c>
      <c r="O56">
        <v>1</v>
      </c>
      <c r="P56">
        <f t="shared" si="45"/>
        <v>201</v>
      </c>
      <c r="Q56">
        <v>59</v>
      </c>
      <c r="R56">
        <f t="shared" si="40"/>
        <v>103</v>
      </c>
      <c r="S56">
        <v>5000</v>
      </c>
      <c r="T56">
        <f t="shared" si="3"/>
        <v>3</v>
      </c>
      <c r="U56">
        <v>1</v>
      </c>
      <c r="V56">
        <f t="shared" si="46"/>
        <v>202</v>
      </c>
      <c r="W56">
        <v>79</v>
      </c>
      <c r="X56">
        <f t="shared" si="41"/>
        <v>111</v>
      </c>
      <c r="Y56">
        <v>5000</v>
      </c>
      <c r="Z56">
        <f t="shared" si="4"/>
        <v>3</v>
      </c>
      <c r="AA56">
        <v>1</v>
      </c>
      <c r="AB56">
        <f t="shared" si="47"/>
        <v>201</v>
      </c>
      <c r="AC56">
        <v>71</v>
      </c>
      <c r="AD56">
        <f t="shared" si="42"/>
        <v>112</v>
      </c>
      <c r="AE56">
        <v>5000</v>
      </c>
      <c r="AF56">
        <f t="shared" si="5"/>
        <v>3</v>
      </c>
      <c r="AG56">
        <v>1</v>
      </c>
      <c r="AH56">
        <f t="shared" si="48"/>
        <v>202</v>
      </c>
      <c r="AI56">
        <v>74</v>
      </c>
      <c r="AJ56">
        <f t="shared" si="43"/>
        <v>113</v>
      </c>
      <c r="AP56" t="str">
        <f t="shared" si="6"/>
        <v>{5000,3,1,201,101}</v>
      </c>
      <c r="AQ56" t="str">
        <f t="shared" si="7"/>
        <v>{5000,3,1,201,103}</v>
      </c>
      <c r="AR56" t="str">
        <f t="shared" si="8"/>
        <v>{5000,3,1,202,111}</v>
      </c>
      <c r="AS56" t="str">
        <f t="shared" si="9"/>
        <v>{5000,3,1,201,112}</v>
      </c>
      <c r="AT56" t="str">
        <f t="shared" si="10"/>
        <v>{5000,3,1,202,113}</v>
      </c>
      <c r="AU56" t="str">
        <f t="shared" si="11"/>
        <v/>
      </c>
      <c r="AV56">
        <v>1222</v>
      </c>
      <c r="AW56" t="str">
        <f t="shared" si="28"/>
        <v>[{5000,3,1,201,101},{5000,3,1,201,103},{5000,3,1,202,111},{5000,3,1,201,112},{5000,3,1,202,113}]</v>
      </c>
    </row>
    <row r="57" spans="2:49">
      <c r="B57">
        <v>1223</v>
      </c>
      <c r="C57" t="s">
        <v>80</v>
      </c>
      <c r="D57" t="str">
        <f t="shared" si="2"/>
        <v>3</v>
      </c>
      <c r="F57">
        <v>181</v>
      </c>
      <c r="G57">
        <v>5000</v>
      </c>
      <c r="H57">
        <v>4</v>
      </c>
      <c r="I57">
        <v>1</v>
      </c>
      <c r="J57">
        <v>3</v>
      </c>
      <c r="K57">
        <f t="shared" si="44"/>
        <v>203</v>
      </c>
      <c r="L57">
        <f t="shared" si="39"/>
        <v>101</v>
      </c>
      <c r="M57">
        <v>5000</v>
      </c>
      <c r="N57">
        <f t="shared" si="27"/>
        <v>4</v>
      </c>
      <c r="O57">
        <v>1</v>
      </c>
      <c r="P57">
        <f t="shared" si="45"/>
        <v>203</v>
      </c>
      <c r="Q57">
        <v>1</v>
      </c>
      <c r="R57">
        <f t="shared" si="40"/>
        <v>102</v>
      </c>
      <c r="S57">
        <v>5000</v>
      </c>
      <c r="T57">
        <f t="shared" si="3"/>
        <v>4</v>
      </c>
      <c r="U57">
        <v>1</v>
      </c>
      <c r="V57">
        <f t="shared" si="46"/>
        <v>203</v>
      </c>
      <c r="W57">
        <v>1</v>
      </c>
      <c r="X57">
        <f t="shared" si="41"/>
        <v>103</v>
      </c>
      <c r="Y57">
        <v>5000</v>
      </c>
      <c r="Z57">
        <f t="shared" si="4"/>
        <v>4</v>
      </c>
      <c r="AA57">
        <v>1</v>
      </c>
      <c r="AB57">
        <f t="shared" si="47"/>
        <v>203</v>
      </c>
      <c r="AC57">
        <v>1</v>
      </c>
      <c r="AD57">
        <f t="shared" si="42"/>
        <v>113</v>
      </c>
      <c r="AE57">
        <v>5000</v>
      </c>
      <c r="AF57">
        <f t="shared" si="5"/>
        <v>4</v>
      </c>
      <c r="AG57">
        <v>1</v>
      </c>
      <c r="AH57">
        <f t="shared" si="48"/>
        <v>203</v>
      </c>
      <c r="AI57">
        <v>1</v>
      </c>
      <c r="AJ57">
        <f t="shared" si="43"/>
        <v>111</v>
      </c>
      <c r="AP57" t="str">
        <f t="shared" si="6"/>
        <v>{5000,4,1,203,101}</v>
      </c>
      <c r="AQ57" t="str">
        <f t="shared" si="7"/>
        <v>{5000,4,1,203,102}</v>
      </c>
      <c r="AR57" t="str">
        <f t="shared" si="8"/>
        <v>{5000,4,1,203,103}</v>
      </c>
      <c r="AS57" t="str">
        <f t="shared" si="9"/>
        <v>{5000,4,1,203,113}</v>
      </c>
      <c r="AT57" t="str">
        <f t="shared" si="10"/>
        <v>{5000,4,1,203,111}</v>
      </c>
      <c r="AU57" t="str">
        <f t="shared" si="11"/>
        <v/>
      </c>
      <c r="AV57">
        <v>1223</v>
      </c>
      <c r="AW57" t="str">
        <f t="shared" si="28"/>
        <v>[{5000,4,1,203,101},{5000,4,1,203,102},{5000,4,1,203,103},{5000,4,1,203,113},{5000,4,1,203,111}]</v>
      </c>
    </row>
    <row r="58" spans="2:49">
      <c r="B58">
        <v>1224</v>
      </c>
      <c r="C58" t="s">
        <v>80</v>
      </c>
      <c r="D58" t="str">
        <f t="shared" si="2"/>
        <v>3</v>
      </c>
      <c r="F58">
        <v>196</v>
      </c>
      <c r="G58">
        <v>5000</v>
      </c>
      <c r="H58">
        <v>3</v>
      </c>
      <c r="I58">
        <v>1</v>
      </c>
      <c r="J58">
        <v>2</v>
      </c>
      <c r="K58">
        <f t="shared" si="44"/>
        <v>202</v>
      </c>
      <c r="L58">
        <f t="shared" si="39"/>
        <v>101</v>
      </c>
      <c r="M58">
        <v>5000</v>
      </c>
      <c r="N58">
        <f t="shared" si="27"/>
        <v>3</v>
      </c>
      <c r="O58">
        <v>1</v>
      </c>
      <c r="P58">
        <f t="shared" si="45"/>
        <v>201</v>
      </c>
      <c r="Q58">
        <v>54</v>
      </c>
      <c r="R58">
        <f t="shared" si="40"/>
        <v>103</v>
      </c>
      <c r="S58">
        <v>5000</v>
      </c>
      <c r="T58">
        <f t="shared" si="3"/>
        <v>3</v>
      </c>
      <c r="U58">
        <v>1</v>
      </c>
      <c r="V58">
        <f t="shared" si="46"/>
        <v>202</v>
      </c>
      <c r="W58">
        <v>77</v>
      </c>
      <c r="X58">
        <f t="shared" si="41"/>
        <v>111</v>
      </c>
      <c r="Y58">
        <v>5000</v>
      </c>
      <c r="Z58">
        <f t="shared" si="4"/>
        <v>3</v>
      </c>
      <c r="AA58">
        <v>1</v>
      </c>
      <c r="AB58">
        <f t="shared" si="47"/>
        <v>201</v>
      </c>
      <c r="AC58">
        <v>72</v>
      </c>
      <c r="AD58">
        <f t="shared" si="42"/>
        <v>112</v>
      </c>
      <c r="AE58">
        <v>5000</v>
      </c>
      <c r="AF58">
        <f t="shared" si="5"/>
        <v>3</v>
      </c>
      <c r="AG58">
        <v>1</v>
      </c>
      <c r="AH58">
        <f t="shared" si="48"/>
        <v>202</v>
      </c>
      <c r="AI58">
        <v>74</v>
      </c>
      <c r="AJ58">
        <f t="shared" si="43"/>
        <v>113</v>
      </c>
      <c r="AP58" t="str">
        <f t="shared" si="6"/>
        <v>{5000,3,1,202,101}</v>
      </c>
      <c r="AQ58" t="str">
        <f t="shared" si="7"/>
        <v>{5000,3,1,201,103}</v>
      </c>
      <c r="AR58" t="str">
        <f t="shared" si="8"/>
        <v>{5000,3,1,202,111}</v>
      </c>
      <c r="AS58" t="str">
        <f t="shared" si="9"/>
        <v>{5000,3,1,201,112}</v>
      </c>
      <c r="AT58" t="str">
        <f t="shared" si="10"/>
        <v>{5000,3,1,202,113}</v>
      </c>
      <c r="AU58" t="str">
        <f t="shared" si="11"/>
        <v/>
      </c>
      <c r="AV58">
        <v>1224</v>
      </c>
      <c r="AW58" t="str">
        <f t="shared" si="28"/>
        <v>[{5000,3,1,202,101},{5000,3,1,201,103},{5000,3,1,202,111},{5000,3,1,201,112},{5000,3,1,202,113}]</v>
      </c>
    </row>
    <row r="59" spans="2:48">
      <c r="B59">
        <v>1225</v>
      </c>
      <c r="C59" t="s">
        <v>80</v>
      </c>
      <c r="D59" t="str">
        <f t="shared" si="2"/>
        <v>3</v>
      </c>
      <c r="F59">
        <v>209</v>
      </c>
      <c r="K59" t="str">
        <f t="shared" si="44"/>
        <v/>
      </c>
      <c r="L59" t="str">
        <f t="shared" si="39"/>
        <v/>
      </c>
      <c r="N59">
        <f t="shared" si="27"/>
        <v>0</v>
      </c>
      <c r="P59" t="str">
        <f t="shared" si="45"/>
        <v/>
      </c>
      <c r="R59" t="str">
        <f t="shared" si="40"/>
        <v/>
      </c>
      <c r="T59">
        <f t="shared" si="3"/>
        <v>0</v>
      </c>
      <c r="V59" t="str">
        <f t="shared" si="46"/>
        <v/>
      </c>
      <c r="X59" t="str">
        <f t="shared" si="41"/>
        <v/>
      </c>
      <c r="Z59">
        <f t="shared" si="4"/>
        <v>0</v>
      </c>
      <c r="AB59" t="str">
        <f t="shared" si="47"/>
        <v/>
      </c>
      <c r="AD59" t="str">
        <f t="shared" si="42"/>
        <v/>
      </c>
      <c r="AF59">
        <f t="shared" si="5"/>
        <v>0</v>
      </c>
      <c r="AH59" t="str">
        <f t="shared" si="48"/>
        <v/>
      </c>
      <c r="AJ59" t="str">
        <f t="shared" si="43"/>
        <v/>
      </c>
      <c r="AP59" t="str">
        <f t="shared" si="6"/>
        <v/>
      </c>
      <c r="AQ59" t="str">
        <f t="shared" si="7"/>
        <v/>
      </c>
      <c r="AR59" t="str">
        <f t="shared" si="8"/>
        <v/>
      </c>
      <c r="AS59" t="str">
        <f t="shared" si="9"/>
        <v/>
      </c>
      <c r="AT59" t="str">
        <f t="shared" si="10"/>
        <v/>
      </c>
      <c r="AU59" t="str">
        <f t="shared" si="11"/>
        <v/>
      </c>
      <c r="AV59">
        <v>1225</v>
      </c>
    </row>
    <row r="60" spans="2:49">
      <c r="B60">
        <v>1226</v>
      </c>
      <c r="C60" t="s">
        <v>80</v>
      </c>
      <c r="D60" t="str">
        <f t="shared" si="2"/>
        <v>3</v>
      </c>
      <c r="F60">
        <v>211</v>
      </c>
      <c r="G60">
        <v>5000</v>
      </c>
      <c r="H60">
        <v>4</v>
      </c>
      <c r="I60">
        <v>1</v>
      </c>
      <c r="J60">
        <v>2</v>
      </c>
      <c r="K60">
        <f t="shared" si="44"/>
        <v>202</v>
      </c>
      <c r="L60">
        <f t="shared" si="39"/>
        <v>101</v>
      </c>
      <c r="M60">
        <v>5000</v>
      </c>
      <c r="N60">
        <f t="shared" si="27"/>
        <v>4</v>
      </c>
      <c r="O60">
        <v>1</v>
      </c>
      <c r="P60">
        <f t="shared" si="45"/>
        <v>201</v>
      </c>
      <c r="Q60">
        <v>51</v>
      </c>
      <c r="R60">
        <f t="shared" si="40"/>
        <v>102</v>
      </c>
      <c r="S60">
        <v>5000</v>
      </c>
      <c r="T60">
        <f t="shared" si="3"/>
        <v>4</v>
      </c>
      <c r="U60">
        <v>1</v>
      </c>
      <c r="V60">
        <f t="shared" si="46"/>
        <v>202</v>
      </c>
      <c r="W60">
        <v>57</v>
      </c>
      <c r="X60">
        <f t="shared" si="41"/>
        <v>103</v>
      </c>
      <c r="Y60">
        <v>5000</v>
      </c>
      <c r="Z60">
        <f t="shared" si="4"/>
        <v>4</v>
      </c>
      <c r="AA60">
        <v>1</v>
      </c>
      <c r="AB60">
        <f t="shared" si="47"/>
        <v>201</v>
      </c>
      <c r="AC60">
        <v>79</v>
      </c>
      <c r="AD60">
        <f t="shared" si="42"/>
        <v>113</v>
      </c>
      <c r="AE60">
        <v>5000</v>
      </c>
      <c r="AF60">
        <f t="shared" si="5"/>
        <v>4</v>
      </c>
      <c r="AG60">
        <v>1</v>
      </c>
      <c r="AH60">
        <f t="shared" si="48"/>
        <v>202</v>
      </c>
      <c r="AI60">
        <v>72</v>
      </c>
      <c r="AJ60">
        <f t="shared" si="43"/>
        <v>111</v>
      </c>
      <c r="AK60">
        <v>1000</v>
      </c>
      <c r="AL60">
        <v>1</v>
      </c>
      <c r="AM60">
        <v>0</v>
      </c>
      <c r="AN60">
        <v>231</v>
      </c>
      <c r="AO60">
        <v>4</v>
      </c>
      <c r="AP60" t="str">
        <f t="shared" si="6"/>
        <v>{5000,4,1,202,101}</v>
      </c>
      <c r="AQ60" t="str">
        <f t="shared" si="7"/>
        <v>{5000,4,1,201,102}</v>
      </c>
      <c r="AR60" t="str">
        <f t="shared" si="8"/>
        <v>{5000,4,1,202,103}</v>
      </c>
      <c r="AS60" t="str">
        <f t="shared" si="9"/>
        <v>{5000,4,1,201,113}</v>
      </c>
      <c r="AT60" t="str">
        <f t="shared" si="10"/>
        <v>{5000,4,1,202,111}</v>
      </c>
      <c r="AU60" t="str">
        <f t="shared" si="11"/>
        <v>{1000,1,0,231,4}</v>
      </c>
      <c r="AV60">
        <v>1226</v>
      </c>
      <c r="AW60" t="str">
        <f t="shared" ref="AW60:AW80" si="49">IF(AU60="","["&amp;_xlfn.TEXTJOIN(",",1,AP60:AT60)&amp;"]","["&amp;_xlfn.TEXTJOIN(",",1,AP60:AU60)&amp;"]")</f>
        <v>[{5000,4,1,202,101},{5000,4,1,201,102},{5000,4,1,202,103},{5000,4,1,201,113},{5000,4,1,202,111},{1000,1,0,231,4}]</v>
      </c>
    </row>
    <row r="61" spans="2:49">
      <c r="B61">
        <v>1227</v>
      </c>
      <c r="C61" t="s">
        <v>80</v>
      </c>
      <c r="D61" t="str">
        <f t="shared" si="2"/>
        <v>3</v>
      </c>
      <c r="F61">
        <v>226</v>
      </c>
      <c r="G61">
        <v>5000</v>
      </c>
      <c r="H61">
        <v>4</v>
      </c>
      <c r="I61">
        <v>1</v>
      </c>
      <c r="J61">
        <v>2</v>
      </c>
      <c r="K61">
        <f t="shared" si="44"/>
        <v>202</v>
      </c>
      <c r="L61">
        <f t="shared" si="39"/>
        <v>101</v>
      </c>
      <c r="M61">
        <v>5000</v>
      </c>
      <c r="N61">
        <f t="shared" si="27"/>
        <v>4</v>
      </c>
      <c r="O61">
        <v>1</v>
      </c>
      <c r="P61">
        <f t="shared" si="45"/>
        <v>201</v>
      </c>
      <c r="Q61">
        <v>51</v>
      </c>
      <c r="R61">
        <f t="shared" si="40"/>
        <v>103</v>
      </c>
      <c r="S61">
        <v>5000</v>
      </c>
      <c r="T61">
        <f t="shared" si="3"/>
        <v>4</v>
      </c>
      <c r="U61">
        <v>1</v>
      </c>
      <c r="V61">
        <f t="shared" si="46"/>
        <v>202</v>
      </c>
      <c r="W61">
        <v>75</v>
      </c>
      <c r="X61">
        <f t="shared" si="41"/>
        <v>111</v>
      </c>
      <c r="Y61">
        <v>5000</v>
      </c>
      <c r="Z61">
        <f t="shared" si="4"/>
        <v>4</v>
      </c>
      <c r="AA61">
        <v>1</v>
      </c>
      <c r="AB61">
        <f t="shared" si="47"/>
        <v>201</v>
      </c>
      <c r="AC61">
        <v>71</v>
      </c>
      <c r="AD61">
        <f t="shared" si="42"/>
        <v>112</v>
      </c>
      <c r="AE61">
        <v>5000</v>
      </c>
      <c r="AF61">
        <f t="shared" si="5"/>
        <v>4</v>
      </c>
      <c r="AG61">
        <v>1</v>
      </c>
      <c r="AH61">
        <f t="shared" si="48"/>
        <v>202</v>
      </c>
      <c r="AI61">
        <v>77</v>
      </c>
      <c r="AJ61">
        <f t="shared" si="43"/>
        <v>113</v>
      </c>
      <c r="AP61" t="str">
        <f t="shared" si="6"/>
        <v>{5000,4,1,202,101}</v>
      </c>
      <c r="AQ61" t="str">
        <f t="shared" si="7"/>
        <v>{5000,4,1,201,103}</v>
      </c>
      <c r="AR61" t="str">
        <f t="shared" si="8"/>
        <v>{5000,4,1,202,111}</v>
      </c>
      <c r="AS61" t="str">
        <f t="shared" si="9"/>
        <v>{5000,4,1,201,112}</v>
      </c>
      <c r="AT61" t="str">
        <f t="shared" si="10"/>
        <v>{5000,4,1,202,113}</v>
      </c>
      <c r="AU61" t="str">
        <f t="shared" si="11"/>
        <v/>
      </c>
      <c r="AV61">
        <v>1227</v>
      </c>
      <c r="AW61" t="str">
        <f t="shared" si="49"/>
        <v>[{5000,4,1,202,101},{5000,4,1,201,103},{5000,4,1,202,111},{5000,4,1,201,112},{5000,4,1,202,113}]</v>
      </c>
    </row>
    <row r="62" spans="2:49">
      <c r="B62">
        <v>1228</v>
      </c>
      <c r="C62" t="s">
        <v>80</v>
      </c>
      <c r="D62" t="str">
        <f t="shared" si="2"/>
        <v>3</v>
      </c>
      <c r="F62">
        <v>241</v>
      </c>
      <c r="G62">
        <v>5000</v>
      </c>
      <c r="H62">
        <v>5</v>
      </c>
      <c r="I62">
        <v>1</v>
      </c>
      <c r="J62">
        <v>3</v>
      </c>
      <c r="K62">
        <f t="shared" si="44"/>
        <v>203</v>
      </c>
      <c r="L62">
        <f t="shared" si="39"/>
        <v>101</v>
      </c>
      <c r="M62">
        <v>5000</v>
      </c>
      <c r="N62">
        <f t="shared" si="27"/>
        <v>5</v>
      </c>
      <c r="O62">
        <v>1</v>
      </c>
      <c r="P62">
        <f t="shared" si="45"/>
        <v>203</v>
      </c>
      <c r="Q62">
        <v>1</v>
      </c>
      <c r="R62">
        <f t="shared" si="40"/>
        <v>102</v>
      </c>
      <c r="S62">
        <v>5000</v>
      </c>
      <c r="T62">
        <f t="shared" si="3"/>
        <v>5</v>
      </c>
      <c r="U62">
        <v>1</v>
      </c>
      <c r="V62">
        <f t="shared" si="46"/>
        <v>203</v>
      </c>
      <c r="W62">
        <v>1</v>
      </c>
      <c r="X62">
        <f t="shared" si="41"/>
        <v>103</v>
      </c>
      <c r="Y62">
        <v>5000</v>
      </c>
      <c r="Z62">
        <f t="shared" si="4"/>
        <v>5</v>
      </c>
      <c r="AA62">
        <v>1</v>
      </c>
      <c r="AB62">
        <f t="shared" si="47"/>
        <v>203</v>
      </c>
      <c r="AC62">
        <v>1</v>
      </c>
      <c r="AD62">
        <f t="shared" si="42"/>
        <v>113</v>
      </c>
      <c r="AE62">
        <v>5000</v>
      </c>
      <c r="AF62">
        <f t="shared" si="5"/>
        <v>5</v>
      </c>
      <c r="AG62">
        <v>1</v>
      </c>
      <c r="AH62">
        <f t="shared" si="48"/>
        <v>203</v>
      </c>
      <c r="AI62">
        <v>1</v>
      </c>
      <c r="AJ62">
        <f t="shared" si="43"/>
        <v>111</v>
      </c>
      <c r="AP62" t="str">
        <f t="shared" si="6"/>
        <v>{5000,5,1,203,101}</v>
      </c>
      <c r="AQ62" t="str">
        <f t="shared" si="7"/>
        <v>{5000,5,1,203,102}</v>
      </c>
      <c r="AR62" t="str">
        <f t="shared" si="8"/>
        <v>{5000,5,1,203,103}</v>
      </c>
      <c r="AS62" t="str">
        <f t="shared" si="9"/>
        <v>{5000,5,1,203,113}</v>
      </c>
      <c r="AT62" t="str">
        <f t="shared" si="10"/>
        <v>{5000,5,1,203,111}</v>
      </c>
      <c r="AU62" t="str">
        <f t="shared" si="11"/>
        <v/>
      </c>
      <c r="AV62">
        <v>1228</v>
      </c>
      <c r="AW62" t="str">
        <f t="shared" si="49"/>
        <v>[{5000,5,1,203,101},{5000,5,1,203,102},{5000,5,1,203,103},{5000,5,1,203,113},{5000,5,1,203,111}]</v>
      </c>
    </row>
    <row r="63" spans="2:49">
      <c r="B63">
        <v>1229</v>
      </c>
      <c r="C63" t="s">
        <v>80</v>
      </c>
      <c r="D63" t="str">
        <f t="shared" si="2"/>
        <v>3</v>
      </c>
      <c r="F63">
        <v>256</v>
      </c>
      <c r="G63">
        <v>5000</v>
      </c>
      <c r="H63">
        <v>4</v>
      </c>
      <c r="I63">
        <v>1</v>
      </c>
      <c r="J63">
        <v>2</v>
      </c>
      <c r="K63">
        <f t="shared" si="44"/>
        <v>202</v>
      </c>
      <c r="L63">
        <f t="shared" si="39"/>
        <v>101</v>
      </c>
      <c r="M63">
        <v>5000</v>
      </c>
      <c r="N63">
        <f t="shared" si="27"/>
        <v>4</v>
      </c>
      <c r="O63">
        <v>1</v>
      </c>
      <c r="P63">
        <f t="shared" si="45"/>
        <v>202</v>
      </c>
      <c r="Q63">
        <v>59</v>
      </c>
      <c r="R63">
        <f t="shared" si="40"/>
        <v>103</v>
      </c>
      <c r="S63">
        <v>5000</v>
      </c>
      <c r="T63">
        <f t="shared" si="3"/>
        <v>4</v>
      </c>
      <c r="U63">
        <v>1</v>
      </c>
      <c r="V63">
        <f t="shared" si="46"/>
        <v>202</v>
      </c>
      <c r="W63">
        <v>79</v>
      </c>
      <c r="X63">
        <f t="shared" si="41"/>
        <v>111</v>
      </c>
      <c r="Y63">
        <v>5000</v>
      </c>
      <c r="Z63">
        <f t="shared" si="4"/>
        <v>4</v>
      </c>
      <c r="AA63">
        <v>1</v>
      </c>
      <c r="AB63">
        <f t="shared" si="47"/>
        <v>201</v>
      </c>
      <c r="AC63">
        <v>72</v>
      </c>
      <c r="AD63">
        <f t="shared" si="42"/>
        <v>112</v>
      </c>
      <c r="AE63">
        <v>5000</v>
      </c>
      <c r="AF63">
        <f t="shared" si="5"/>
        <v>4</v>
      </c>
      <c r="AG63">
        <v>1</v>
      </c>
      <c r="AH63">
        <f t="shared" si="48"/>
        <v>202</v>
      </c>
      <c r="AI63">
        <v>74</v>
      </c>
      <c r="AJ63">
        <f t="shared" si="43"/>
        <v>113</v>
      </c>
      <c r="AP63" t="str">
        <f t="shared" si="6"/>
        <v>{5000,4,1,202,101}</v>
      </c>
      <c r="AQ63" t="str">
        <f t="shared" si="7"/>
        <v>{5000,4,1,202,103}</v>
      </c>
      <c r="AR63" t="str">
        <f t="shared" si="8"/>
        <v>{5000,4,1,202,111}</v>
      </c>
      <c r="AS63" t="str">
        <f t="shared" si="9"/>
        <v>{5000,4,1,201,112}</v>
      </c>
      <c r="AT63" t="str">
        <f t="shared" si="10"/>
        <v>{5000,4,1,202,113}</v>
      </c>
      <c r="AU63" t="str">
        <f t="shared" si="11"/>
        <v/>
      </c>
      <c r="AV63">
        <v>1229</v>
      </c>
      <c r="AW63" t="str">
        <f t="shared" si="49"/>
        <v>[{5000,4,1,202,101},{5000,4,1,202,103},{5000,4,1,202,111},{5000,4,1,201,112},{5000,4,1,202,113}]</v>
      </c>
    </row>
    <row r="64" spans="2:49">
      <c r="B64">
        <v>1230</v>
      </c>
      <c r="C64" t="s">
        <v>80</v>
      </c>
      <c r="D64" t="str">
        <f t="shared" si="2"/>
        <v>3</v>
      </c>
      <c r="F64">
        <v>271</v>
      </c>
      <c r="G64">
        <v>5000</v>
      </c>
      <c r="H64">
        <v>4</v>
      </c>
      <c r="I64">
        <v>1</v>
      </c>
      <c r="J64">
        <v>2</v>
      </c>
      <c r="K64">
        <f t="shared" si="44"/>
        <v>202</v>
      </c>
      <c r="L64">
        <f t="shared" si="39"/>
        <v>101</v>
      </c>
      <c r="M64">
        <v>5000</v>
      </c>
      <c r="N64">
        <f t="shared" si="27"/>
        <v>4</v>
      </c>
      <c r="O64">
        <v>1</v>
      </c>
      <c r="P64">
        <f t="shared" si="45"/>
        <v>202</v>
      </c>
      <c r="Q64">
        <v>54</v>
      </c>
      <c r="R64">
        <f t="shared" si="40"/>
        <v>102</v>
      </c>
      <c r="S64">
        <v>5000</v>
      </c>
      <c r="T64">
        <f t="shared" si="3"/>
        <v>4</v>
      </c>
      <c r="U64">
        <v>1</v>
      </c>
      <c r="V64">
        <f t="shared" si="46"/>
        <v>202</v>
      </c>
      <c r="W64">
        <v>56</v>
      </c>
      <c r="X64">
        <f t="shared" si="41"/>
        <v>103</v>
      </c>
      <c r="Y64">
        <v>5000</v>
      </c>
      <c r="Z64">
        <f t="shared" si="4"/>
        <v>4</v>
      </c>
      <c r="AA64">
        <v>1</v>
      </c>
      <c r="AB64">
        <f t="shared" si="47"/>
        <v>202</v>
      </c>
      <c r="AC64">
        <v>73</v>
      </c>
      <c r="AD64">
        <f t="shared" si="42"/>
        <v>113</v>
      </c>
      <c r="AE64">
        <v>5000</v>
      </c>
      <c r="AF64">
        <f t="shared" si="5"/>
        <v>4</v>
      </c>
      <c r="AG64">
        <v>1</v>
      </c>
      <c r="AH64">
        <f t="shared" si="48"/>
        <v>202</v>
      </c>
      <c r="AI64">
        <v>75</v>
      </c>
      <c r="AJ64">
        <f t="shared" si="43"/>
        <v>111</v>
      </c>
      <c r="AP64" t="str">
        <f t="shared" si="6"/>
        <v>{5000,4,1,202,101}</v>
      </c>
      <c r="AQ64" t="str">
        <f t="shared" si="7"/>
        <v>{5000,4,1,202,102}</v>
      </c>
      <c r="AR64" t="str">
        <f t="shared" si="8"/>
        <v>{5000,4,1,202,103}</v>
      </c>
      <c r="AS64" t="str">
        <f t="shared" si="9"/>
        <v>{5000,4,1,202,113}</v>
      </c>
      <c r="AT64" t="str">
        <f t="shared" si="10"/>
        <v>{5000,4,1,202,111}</v>
      </c>
      <c r="AU64" t="str">
        <f t="shared" si="11"/>
        <v/>
      </c>
      <c r="AV64">
        <v>1230</v>
      </c>
      <c r="AW64" t="str">
        <f t="shared" si="49"/>
        <v>[{5000,4,1,202,101},{5000,4,1,202,102},{5000,4,1,202,103},{5000,4,1,202,113},{5000,4,1,202,111}]</v>
      </c>
    </row>
    <row r="65" spans="2:49">
      <c r="B65">
        <v>1231</v>
      </c>
      <c r="C65" t="s">
        <v>80</v>
      </c>
      <c r="D65" t="str">
        <f t="shared" si="2"/>
        <v>3</v>
      </c>
      <c r="F65">
        <v>286</v>
      </c>
      <c r="G65">
        <v>5000</v>
      </c>
      <c r="H65">
        <v>4</v>
      </c>
      <c r="I65">
        <v>1</v>
      </c>
      <c r="J65">
        <v>2</v>
      </c>
      <c r="K65">
        <f t="shared" si="44"/>
        <v>202</v>
      </c>
      <c r="L65">
        <f t="shared" si="39"/>
        <v>101</v>
      </c>
      <c r="M65">
        <v>5000</v>
      </c>
      <c r="N65">
        <f t="shared" si="27"/>
        <v>4</v>
      </c>
      <c r="O65">
        <v>1</v>
      </c>
      <c r="P65">
        <f t="shared" si="45"/>
        <v>202</v>
      </c>
      <c r="Q65">
        <v>53</v>
      </c>
      <c r="R65">
        <f t="shared" si="40"/>
        <v>103</v>
      </c>
      <c r="S65">
        <v>5000</v>
      </c>
      <c r="T65">
        <f t="shared" si="3"/>
        <v>4</v>
      </c>
      <c r="U65">
        <v>1</v>
      </c>
      <c r="V65">
        <f t="shared" si="46"/>
        <v>202</v>
      </c>
      <c r="W65">
        <v>59</v>
      </c>
      <c r="X65">
        <f t="shared" si="41"/>
        <v>111</v>
      </c>
      <c r="Y65">
        <v>5000</v>
      </c>
      <c r="Z65">
        <f t="shared" si="4"/>
        <v>4</v>
      </c>
      <c r="AA65">
        <v>1</v>
      </c>
      <c r="AB65">
        <f t="shared" si="47"/>
        <v>202</v>
      </c>
      <c r="AC65">
        <v>71</v>
      </c>
      <c r="AD65">
        <f t="shared" si="42"/>
        <v>112</v>
      </c>
      <c r="AE65">
        <v>5000</v>
      </c>
      <c r="AF65">
        <f t="shared" si="5"/>
        <v>4</v>
      </c>
      <c r="AG65">
        <v>1</v>
      </c>
      <c r="AH65">
        <f t="shared" si="48"/>
        <v>202</v>
      </c>
      <c r="AI65">
        <v>77</v>
      </c>
      <c r="AJ65">
        <f t="shared" si="43"/>
        <v>113</v>
      </c>
      <c r="AP65" t="str">
        <f t="shared" si="6"/>
        <v>{5000,4,1,202,101}</v>
      </c>
      <c r="AQ65" t="str">
        <f t="shared" si="7"/>
        <v>{5000,4,1,202,103}</v>
      </c>
      <c r="AR65" t="str">
        <f t="shared" si="8"/>
        <v>{5000,4,1,202,111}</v>
      </c>
      <c r="AS65" t="str">
        <f t="shared" si="9"/>
        <v>{5000,4,1,202,112}</v>
      </c>
      <c r="AT65" t="str">
        <f t="shared" si="10"/>
        <v>{5000,4,1,202,113}</v>
      </c>
      <c r="AU65" t="str">
        <f t="shared" si="11"/>
        <v/>
      </c>
      <c r="AV65">
        <v>1231</v>
      </c>
      <c r="AW65" t="str">
        <f t="shared" si="49"/>
        <v>[{5000,4,1,202,101},{5000,4,1,202,103},{5000,4,1,202,111},{5000,4,1,202,112},{5000,4,1,202,113}]</v>
      </c>
    </row>
    <row r="66" spans="2:49">
      <c r="B66">
        <v>1232</v>
      </c>
      <c r="C66" t="s">
        <v>80</v>
      </c>
      <c r="D66" t="str">
        <f t="shared" si="2"/>
        <v>3</v>
      </c>
      <c r="F66">
        <v>290</v>
      </c>
      <c r="G66">
        <v>5000</v>
      </c>
      <c r="H66">
        <v>4</v>
      </c>
      <c r="I66">
        <v>1</v>
      </c>
      <c r="J66">
        <v>2</v>
      </c>
      <c r="K66">
        <f t="shared" si="44"/>
        <v>202</v>
      </c>
      <c r="L66">
        <f t="shared" si="39"/>
        <v>101</v>
      </c>
      <c r="M66">
        <v>5000</v>
      </c>
      <c r="N66">
        <f t="shared" si="27"/>
        <v>4</v>
      </c>
      <c r="O66">
        <v>1</v>
      </c>
      <c r="P66">
        <f t="shared" si="45"/>
        <v>202</v>
      </c>
      <c r="Q66">
        <v>56</v>
      </c>
      <c r="R66">
        <f t="shared" si="40"/>
        <v>102</v>
      </c>
      <c r="S66">
        <v>5000</v>
      </c>
      <c r="T66">
        <f t="shared" si="3"/>
        <v>4</v>
      </c>
      <c r="U66">
        <v>1</v>
      </c>
      <c r="V66">
        <f t="shared" si="46"/>
        <v>201</v>
      </c>
      <c r="W66">
        <v>77</v>
      </c>
      <c r="X66">
        <f t="shared" si="41"/>
        <v>103</v>
      </c>
      <c r="Y66">
        <v>5000</v>
      </c>
      <c r="Z66">
        <f t="shared" si="4"/>
        <v>4</v>
      </c>
      <c r="AA66">
        <v>1</v>
      </c>
      <c r="AB66">
        <f t="shared" si="47"/>
        <v>202</v>
      </c>
      <c r="AC66">
        <v>72</v>
      </c>
      <c r="AD66">
        <f t="shared" si="42"/>
        <v>113</v>
      </c>
      <c r="AE66">
        <v>5000</v>
      </c>
      <c r="AF66">
        <f t="shared" si="5"/>
        <v>4</v>
      </c>
      <c r="AG66">
        <v>1</v>
      </c>
      <c r="AH66">
        <f t="shared" si="48"/>
        <v>202</v>
      </c>
      <c r="AI66">
        <v>74</v>
      </c>
      <c r="AJ66">
        <f t="shared" si="43"/>
        <v>111</v>
      </c>
      <c r="AP66" t="str">
        <f t="shared" si="6"/>
        <v>{5000,4,1,202,101}</v>
      </c>
      <c r="AQ66" t="str">
        <f t="shared" si="7"/>
        <v>{5000,4,1,202,102}</v>
      </c>
      <c r="AR66" t="str">
        <f t="shared" si="8"/>
        <v>{5000,4,1,201,103}</v>
      </c>
      <c r="AS66" t="str">
        <f t="shared" si="9"/>
        <v>{5000,4,1,202,113}</v>
      </c>
      <c r="AT66" t="str">
        <f t="shared" si="10"/>
        <v>{5000,4,1,202,111}</v>
      </c>
      <c r="AU66" t="str">
        <f t="shared" si="11"/>
        <v/>
      </c>
      <c r="AV66">
        <v>1232</v>
      </c>
      <c r="AW66" t="str">
        <f t="shared" si="49"/>
        <v>[{5000,4,1,202,101},{5000,4,1,202,102},{5000,4,1,201,103},{5000,4,1,202,113},{5000,4,1,202,111}]</v>
      </c>
    </row>
    <row r="67" spans="2:49">
      <c r="B67">
        <v>1311</v>
      </c>
      <c r="C67" t="s">
        <v>81</v>
      </c>
      <c r="D67" s="4" t="str">
        <f t="shared" ref="D67:D130" si="50">RIGHT(C67,1)</f>
        <v>4</v>
      </c>
      <c r="E67" s="4"/>
      <c r="F67">
        <v>1</v>
      </c>
      <c r="G67">
        <v>5000</v>
      </c>
      <c r="H67">
        <v>1</v>
      </c>
      <c r="I67">
        <v>1</v>
      </c>
      <c r="J67">
        <v>1</v>
      </c>
      <c r="K67">
        <f t="shared" si="44"/>
        <v>301</v>
      </c>
      <c r="L67">
        <f t="shared" si="39"/>
        <v>101</v>
      </c>
      <c r="M67">
        <v>5000</v>
      </c>
      <c r="N67">
        <f t="shared" si="27"/>
        <v>1</v>
      </c>
      <c r="O67">
        <v>1</v>
      </c>
      <c r="P67">
        <f t="shared" si="45"/>
        <v>301</v>
      </c>
      <c r="Q67">
        <v>55</v>
      </c>
      <c r="R67">
        <f t="shared" si="40"/>
        <v>102</v>
      </c>
      <c r="S67">
        <v>5000</v>
      </c>
      <c r="T67">
        <f t="shared" ref="T67:T130" si="51">N67</f>
        <v>1</v>
      </c>
      <c r="U67">
        <v>1</v>
      </c>
      <c r="V67">
        <f t="shared" si="46"/>
        <v>301</v>
      </c>
      <c r="W67">
        <v>60</v>
      </c>
      <c r="X67">
        <f t="shared" si="41"/>
        <v>103</v>
      </c>
      <c r="Y67">
        <v>5000</v>
      </c>
      <c r="Z67">
        <f t="shared" ref="Z67:Z130" si="52">T67</f>
        <v>1</v>
      </c>
      <c r="AA67">
        <v>1</v>
      </c>
      <c r="AB67">
        <f t="shared" si="47"/>
        <v>301</v>
      </c>
      <c r="AC67">
        <v>71</v>
      </c>
      <c r="AD67">
        <f t="shared" si="42"/>
        <v>113</v>
      </c>
      <c r="AE67">
        <v>5000</v>
      </c>
      <c r="AF67">
        <f t="shared" ref="AF67:AF130" si="53">Z67</f>
        <v>1</v>
      </c>
      <c r="AG67">
        <v>1</v>
      </c>
      <c r="AH67">
        <f t="shared" si="48"/>
        <v>301</v>
      </c>
      <c r="AI67">
        <v>76</v>
      </c>
      <c r="AJ67">
        <f t="shared" si="43"/>
        <v>111</v>
      </c>
      <c r="AP67" t="str">
        <f t="shared" ref="AP67:AP130" si="54">IF(G67="","",$AQ$1&amp;_xlfn.TEXTJOIN(",",1,G67:I67,K67,L67)&amp;$AR$1)</f>
        <v>{5000,1,1,301,101}</v>
      </c>
      <c r="AQ67" t="str">
        <f t="shared" ref="AQ67:AQ130" si="55">IF(G67="","",$AQ$1&amp;_xlfn.TEXTJOIN(",",1,M67:P67,R67)&amp;$AR$1)</f>
        <v>{5000,1,1,301,102}</v>
      </c>
      <c r="AR67" t="str">
        <f t="shared" ref="AR67:AR130" si="56">IF(G67="","",$AQ$1&amp;_xlfn.TEXTJOIN(",",1,S67:V67,X67)&amp;$AR$1)</f>
        <v>{5000,1,1,301,103}</v>
      </c>
      <c r="AS67" t="str">
        <f t="shared" ref="AS67:AS130" si="57">IF(G67="","",$AQ$1&amp;_xlfn.TEXTJOIN(",",1,Y67:AB67,AD67)&amp;$AR$1)</f>
        <v>{5000,1,1,301,113}</v>
      </c>
      <c r="AT67" t="str">
        <f t="shared" ref="AT67:AT130" si="58">IF(G67="","",$AQ$1&amp;_xlfn.TEXTJOIN(",",1,AE67:AH67,AJ67)&amp;$AR$1)</f>
        <v>{5000,1,1,301,111}</v>
      </c>
      <c r="AU67" t="str">
        <f t="shared" ref="AU67:AU130" si="59">IF(AK67="","",IF(G67="","",$AQ$1&amp;_xlfn.TEXTJOIN(",",1,AK67:AO67)&amp;$AR$1))</f>
        <v/>
      </c>
      <c r="AV67">
        <v>1311</v>
      </c>
      <c r="AW67" t="str">
        <f t="shared" si="49"/>
        <v>[{5000,1,1,301,101},{5000,1,1,301,102},{5000,1,1,301,103},{5000,1,1,301,113},{5000,1,1,301,111}]</v>
      </c>
    </row>
    <row r="68" spans="2:49">
      <c r="B68">
        <v>1312</v>
      </c>
      <c r="C68" t="s">
        <v>81</v>
      </c>
      <c r="D68" t="str">
        <f t="shared" si="50"/>
        <v>4</v>
      </c>
      <c r="F68">
        <v>16</v>
      </c>
      <c r="G68">
        <v>5000</v>
      </c>
      <c r="H68">
        <v>1</v>
      </c>
      <c r="I68">
        <v>1</v>
      </c>
      <c r="J68">
        <v>1</v>
      </c>
      <c r="K68">
        <f t="shared" si="44"/>
        <v>301</v>
      </c>
      <c r="L68">
        <f t="shared" si="39"/>
        <v>101</v>
      </c>
      <c r="M68">
        <v>5000</v>
      </c>
      <c r="N68">
        <f t="shared" si="27"/>
        <v>1</v>
      </c>
      <c r="O68">
        <v>1</v>
      </c>
      <c r="P68">
        <f t="shared" si="45"/>
        <v>301</v>
      </c>
      <c r="Q68">
        <v>55</v>
      </c>
      <c r="R68">
        <f t="shared" si="40"/>
        <v>103</v>
      </c>
      <c r="S68">
        <v>5000</v>
      </c>
      <c r="T68">
        <f t="shared" si="51"/>
        <v>1</v>
      </c>
      <c r="U68">
        <v>1</v>
      </c>
      <c r="V68">
        <f t="shared" si="46"/>
        <v>301</v>
      </c>
      <c r="W68">
        <v>75</v>
      </c>
      <c r="X68">
        <f t="shared" si="41"/>
        <v>111</v>
      </c>
      <c r="Y68">
        <v>5000</v>
      </c>
      <c r="Z68">
        <f t="shared" si="52"/>
        <v>1</v>
      </c>
      <c r="AA68">
        <v>1</v>
      </c>
      <c r="AB68">
        <f t="shared" si="47"/>
        <v>301</v>
      </c>
      <c r="AC68">
        <v>73</v>
      </c>
      <c r="AD68">
        <f t="shared" si="42"/>
        <v>112</v>
      </c>
      <c r="AE68">
        <v>5000</v>
      </c>
      <c r="AF68">
        <f t="shared" si="53"/>
        <v>1</v>
      </c>
      <c r="AG68">
        <v>1</v>
      </c>
      <c r="AH68">
        <f t="shared" si="48"/>
        <v>301</v>
      </c>
      <c r="AI68">
        <v>78</v>
      </c>
      <c r="AJ68">
        <f t="shared" si="43"/>
        <v>113</v>
      </c>
      <c r="AP68" t="str">
        <f t="shared" si="54"/>
        <v>{5000,1,1,301,101}</v>
      </c>
      <c r="AQ68" t="str">
        <f t="shared" si="55"/>
        <v>{5000,1,1,301,103}</v>
      </c>
      <c r="AR68" t="str">
        <f t="shared" si="56"/>
        <v>{5000,1,1,301,111}</v>
      </c>
      <c r="AS68" t="str">
        <f t="shared" si="57"/>
        <v>{5000,1,1,301,112}</v>
      </c>
      <c r="AT68" t="str">
        <f t="shared" si="58"/>
        <v>{5000,1,1,301,113}</v>
      </c>
      <c r="AU68" t="str">
        <f t="shared" si="59"/>
        <v/>
      </c>
      <c r="AV68">
        <v>1312</v>
      </c>
      <c r="AW68" t="str">
        <f t="shared" si="49"/>
        <v>[{5000,1,1,301,101},{5000,1,1,301,103},{5000,1,1,301,111},{5000,1,1,301,112},{5000,1,1,301,113}]</v>
      </c>
    </row>
    <row r="69" spans="2:49">
      <c r="B69">
        <v>1313</v>
      </c>
      <c r="C69" t="s">
        <v>81</v>
      </c>
      <c r="D69" t="str">
        <f t="shared" si="50"/>
        <v>4</v>
      </c>
      <c r="F69">
        <v>31</v>
      </c>
      <c r="G69">
        <v>5000</v>
      </c>
      <c r="H69">
        <v>2</v>
      </c>
      <c r="I69">
        <v>1</v>
      </c>
      <c r="J69">
        <v>1</v>
      </c>
      <c r="K69">
        <f t="shared" si="44"/>
        <v>301</v>
      </c>
      <c r="L69">
        <f t="shared" si="39"/>
        <v>101</v>
      </c>
      <c r="M69">
        <v>5000</v>
      </c>
      <c r="N69">
        <f t="shared" si="27"/>
        <v>2</v>
      </c>
      <c r="O69">
        <v>1</v>
      </c>
      <c r="P69">
        <f t="shared" si="45"/>
        <v>301</v>
      </c>
      <c r="Q69">
        <v>55</v>
      </c>
      <c r="R69">
        <f t="shared" si="40"/>
        <v>102</v>
      </c>
      <c r="S69">
        <v>5000</v>
      </c>
      <c r="T69">
        <f t="shared" si="51"/>
        <v>2</v>
      </c>
      <c r="U69">
        <v>1</v>
      </c>
      <c r="V69">
        <f t="shared" si="46"/>
        <v>301</v>
      </c>
      <c r="W69">
        <v>58</v>
      </c>
      <c r="X69">
        <f t="shared" si="41"/>
        <v>103</v>
      </c>
      <c r="Y69">
        <v>5000</v>
      </c>
      <c r="Z69">
        <f t="shared" si="52"/>
        <v>2</v>
      </c>
      <c r="AA69">
        <v>1</v>
      </c>
      <c r="AB69">
        <f t="shared" si="47"/>
        <v>301</v>
      </c>
      <c r="AC69">
        <v>76</v>
      </c>
      <c r="AD69">
        <f t="shared" si="42"/>
        <v>113</v>
      </c>
      <c r="AE69">
        <v>5000</v>
      </c>
      <c r="AF69">
        <f t="shared" si="53"/>
        <v>2</v>
      </c>
      <c r="AG69">
        <v>1</v>
      </c>
      <c r="AH69">
        <f t="shared" si="48"/>
        <v>301</v>
      </c>
      <c r="AI69">
        <v>79</v>
      </c>
      <c r="AJ69">
        <f t="shared" si="43"/>
        <v>111</v>
      </c>
      <c r="AP69" t="str">
        <f t="shared" si="54"/>
        <v>{5000,2,1,301,101}</v>
      </c>
      <c r="AQ69" t="str">
        <f t="shared" si="55"/>
        <v>{5000,2,1,301,102}</v>
      </c>
      <c r="AR69" t="str">
        <f t="shared" si="56"/>
        <v>{5000,2,1,301,103}</v>
      </c>
      <c r="AS69" t="str">
        <f t="shared" si="57"/>
        <v>{5000,2,1,301,113}</v>
      </c>
      <c r="AT69" t="str">
        <f t="shared" si="58"/>
        <v>{5000,2,1,301,111}</v>
      </c>
      <c r="AU69" t="str">
        <f t="shared" si="59"/>
        <v/>
      </c>
      <c r="AV69">
        <v>1313</v>
      </c>
      <c r="AW69" t="str">
        <f t="shared" si="49"/>
        <v>[{5000,2,1,301,101},{5000,2,1,301,102},{5000,2,1,301,103},{5000,2,1,301,113},{5000,2,1,301,111}]</v>
      </c>
    </row>
    <row r="70" spans="2:49">
      <c r="B70">
        <v>1314</v>
      </c>
      <c r="C70" t="s">
        <v>81</v>
      </c>
      <c r="D70" t="str">
        <f t="shared" si="50"/>
        <v>4</v>
      </c>
      <c r="F70">
        <v>46</v>
      </c>
      <c r="G70">
        <v>5000</v>
      </c>
      <c r="H70">
        <v>2</v>
      </c>
      <c r="I70">
        <v>1</v>
      </c>
      <c r="J70">
        <v>1</v>
      </c>
      <c r="K70">
        <f t="shared" si="44"/>
        <v>301</v>
      </c>
      <c r="L70">
        <f t="shared" si="39"/>
        <v>101</v>
      </c>
      <c r="M70">
        <v>5000</v>
      </c>
      <c r="N70">
        <f t="shared" si="27"/>
        <v>2</v>
      </c>
      <c r="O70">
        <v>1</v>
      </c>
      <c r="P70">
        <f t="shared" si="45"/>
        <v>301</v>
      </c>
      <c r="Q70">
        <v>55</v>
      </c>
      <c r="R70">
        <f t="shared" si="40"/>
        <v>103</v>
      </c>
      <c r="S70">
        <v>5000</v>
      </c>
      <c r="T70">
        <f t="shared" si="51"/>
        <v>2</v>
      </c>
      <c r="U70">
        <v>1</v>
      </c>
      <c r="V70">
        <f t="shared" si="46"/>
        <v>302</v>
      </c>
      <c r="W70">
        <v>76</v>
      </c>
      <c r="X70">
        <f t="shared" si="41"/>
        <v>111</v>
      </c>
      <c r="Y70">
        <v>5000</v>
      </c>
      <c r="Z70">
        <f t="shared" si="52"/>
        <v>2</v>
      </c>
      <c r="AA70">
        <v>1</v>
      </c>
      <c r="AB70">
        <f t="shared" si="47"/>
        <v>301</v>
      </c>
      <c r="AC70">
        <v>71</v>
      </c>
      <c r="AD70">
        <f t="shared" si="42"/>
        <v>112</v>
      </c>
      <c r="AE70">
        <v>5000</v>
      </c>
      <c r="AF70">
        <f t="shared" si="53"/>
        <v>2</v>
      </c>
      <c r="AG70">
        <v>1</v>
      </c>
      <c r="AH70">
        <f t="shared" si="48"/>
        <v>301</v>
      </c>
      <c r="AI70">
        <v>71</v>
      </c>
      <c r="AJ70">
        <f t="shared" si="43"/>
        <v>113</v>
      </c>
      <c r="AP70" t="str">
        <f t="shared" si="54"/>
        <v>{5000,2,1,301,101}</v>
      </c>
      <c r="AQ70" t="str">
        <f t="shared" si="55"/>
        <v>{5000,2,1,301,103}</v>
      </c>
      <c r="AR70" t="str">
        <f t="shared" si="56"/>
        <v>{5000,2,1,302,111}</v>
      </c>
      <c r="AS70" t="str">
        <f t="shared" si="57"/>
        <v>{5000,2,1,301,112}</v>
      </c>
      <c r="AT70" t="str">
        <f t="shared" si="58"/>
        <v>{5000,2,1,301,113}</v>
      </c>
      <c r="AU70" t="str">
        <f t="shared" si="59"/>
        <v/>
      </c>
      <c r="AV70">
        <v>1314</v>
      </c>
      <c r="AW70" t="str">
        <f t="shared" si="49"/>
        <v>[{5000,2,1,301,101},{5000,2,1,301,103},{5000,2,1,302,111},{5000,2,1,301,112},{5000,2,1,301,113}]</v>
      </c>
    </row>
    <row r="71" spans="2:49">
      <c r="B71">
        <v>1315</v>
      </c>
      <c r="C71" t="s">
        <v>81</v>
      </c>
      <c r="D71" t="str">
        <f t="shared" si="50"/>
        <v>4</v>
      </c>
      <c r="F71">
        <v>61</v>
      </c>
      <c r="G71">
        <v>5000</v>
      </c>
      <c r="H71">
        <v>2</v>
      </c>
      <c r="I71">
        <v>1</v>
      </c>
      <c r="J71">
        <v>3</v>
      </c>
      <c r="K71">
        <f t="shared" si="44"/>
        <v>303</v>
      </c>
      <c r="L71">
        <f t="shared" si="39"/>
        <v>101</v>
      </c>
      <c r="M71">
        <v>5000</v>
      </c>
      <c r="N71">
        <f t="shared" si="27"/>
        <v>2</v>
      </c>
      <c r="O71">
        <v>1</v>
      </c>
      <c r="P71">
        <f t="shared" si="45"/>
        <v>303</v>
      </c>
      <c r="Q71">
        <v>56</v>
      </c>
      <c r="R71">
        <f t="shared" si="40"/>
        <v>102</v>
      </c>
      <c r="S71">
        <v>5000</v>
      </c>
      <c r="T71">
        <f t="shared" si="51"/>
        <v>2</v>
      </c>
      <c r="U71">
        <v>1</v>
      </c>
      <c r="V71">
        <f t="shared" si="46"/>
        <v>303</v>
      </c>
      <c r="W71">
        <v>57</v>
      </c>
      <c r="X71">
        <f t="shared" si="41"/>
        <v>103</v>
      </c>
      <c r="Y71">
        <v>5000</v>
      </c>
      <c r="Z71">
        <f t="shared" si="52"/>
        <v>2</v>
      </c>
      <c r="AA71">
        <v>1</v>
      </c>
      <c r="AB71">
        <f t="shared" si="47"/>
        <v>303</v>
      </c>
      <c r="AC71">
        <v>72</v>
      </c>
      <c r="AD71">
        <f t="shared" si="42"/>
        <v>113</v>
      </c>
      <c r="AE71">
        <v>5000</v>
      </c>
      <c r="AF71">
        <f t="shared" si="53"/>
        <v>2</v>
      </c>
      <c r="AG71">
        <v>1</v>
      </c>
      <c r="AH71">
        <f t="shared" si="48"/>
        <v>303</v>
      </c>
      <c r="AI71">
        <v>71</v>
      </c>
      <c r="AJ71">
        <f t="shared" si="43"/>
        <v>111</v>
      </c>
      <c r="AP71" t="str">
        <f t="shared" si="54"/>
        <v>{5000,2,1,303,101}</v>
      </c>
      <c r="AQ71" t="str">
        <f t="shared" si="55"/>
        <v>{5000,2,1,303,102}</v>
      </c>
      <c r="AR71" t="str">
        <f t="shared" si="56"/>
        <v>{5000,2,1,303,103}</v>
      </c>
      <c r="AS71" t="str">
        <f t="shared" si="57"/>
        <v>{5000,2,1,303,113}</v>
      </c>
      <c r="AT71" t="str">
        <f t="shared" si="58"/>
        <v>{5000,2,1,303,111}</v>
      </c>
      <c r="AU71" t="str">
        <f t="shared" si="59"/>
        <v/>
      </c>
      <c r="AV71">
        <v>1315</v>
      </c>
      <c r="AW71" t="str">
        <f t="shared" si="49"/>
        <v>[{5000,2,1,303,101},{5000,2,1,303,102},{5000,2,1,303,103},{5000,2,1,303,113},{5000,2,1,303,111}]</v>
      </c>
    </row>
    <row r="72" spans="2:49">
      <c r="B72">
        <v>1316</v>
      </c>
      <c r="C72" t="s">
        <v>81</v>
      </c>
      <c r="D72" t="str">
        <f t="shared" si="50"/>
        <v>4</v>
      </c>
      <c r="F72">
        <v>76</v>
      </c>
      <c r="G72">
        <v>5000</v>
      </c>
      <c r="H72">
        <v>2</v>
      </c>
      <c r="I72">
        <v>1</v>
      </c>
      <c r="J72">
        <v>1</v>
      </c>
      <c r="K72">
        <f t="shared" si="44"/>
        <v>301</v>
      </c>
      <c r="L72">
        <f t="shared" si="39"/>
        <v>101</v>
      </c>
      <c r="M72">
        <v>5000</v>
      </c>
      <c r="N72">
        <f t="shared" si="27"/>
        <v>2</v>
      </c>
      <c r="O72">
        <v>1</v>
      </c>
      <c r="P72">
        <f t="shared" si="45"/>
        <v>301</v>
      </c>
      <c r="Q72">
        <v>59</v>
      </c>
      <c r="R72">
        <f t="shared" si="40"/>
        <v>103</v>
      </c>
      <c r="S72">
        <v>5000</v>
      </c>
      <c r="T72">
        <f t="shared" si="51"/>
        <v>2</v>
      </c>
      <c r="U72">
        <v>1</v>
      </c>
      <c r="V72">
        <f t="shared" si="46"/>
        <v>302</v>
      </c>
      <c r="W72">
        <v>71</v>
      </c>
      <c r="X72">
        <f t="shared" si="41"/>
        <v>111</v>
      </c>
      <c r="Y72">
        <v>5000</v>
      </c>
      <c r="Z72">
        <f t="shared" si="52"/>
        <v>2</v>
      </c>
      <c r="AA72">
        <v>1</v>
      </c>
      <c r="AB72">
        <f t="shared" si="47"/>
        <v>301</v>
      </c>
      <c r="AC72">
        <v>71</v>
      </c>
      <c r="AD72">
        <f t="shared" si="42"/>
        <v>112</v>
      </c>
      <c r="AE72">
        <v>5000</v>
      </c>
      <c r="AF72">
        <f t="shared" si="53"/>
        <v>2</v>
      </c>
      <c r="AG72">
        <v>1</v>
      </c>
      <c r="AH72">
        <f t="shared" si="48"/>
        <v>301</v>
      </c>
      <c r="AI72">
        <v>79</v>
      </c>
      <c r="AJ72">
        <f t="shared" si="43"/>
        <v>113</v>
      </c>
      <c r="AP72" t="str">
        <f t="shared" si="54"/>
        <v>{5000,2,1,301,101}</v>
      </c>
      <c r="AQ72" t="str">
        <f t="shared" si="55"/>
        <v>{5000,2,1,301,103}</v>
      </c>
      <c r="AR72" t="str">
        <f t="shared" si="56"/>
        <v>{5000,2,1,302,111}</v>
      </c>
      <c r="AS72" t="str">
        <f t="shared" si="57"/>
        <v>{5000,2,1,301,112}</v>
      </c>
      <c r="AT72" t="str">
        <f t="shared" si="58"/>
        <v>{5000,2,1,301,113}</v>
      </c>
      <c r="AU72" t="str">
        <f t="shared" si="59"/>
        <v/>
      </c>
      <c r="AV72">
        <v>1316</v>
      </c>
      <c r="AW72" t="str">
        <f t="shared" si="49"/>
        <v>[{5000,2,1,301,101},{5000,2,1,301,103},{5000,2,1,302,111},{5000,2,1,301,112},{5000,2,1,301,113}]</v>
      </c>
    </row>
    <row r="73" spans="2:49">
      <c r="B73">
        <v>1317</v>
      </c>
      <c r="C73" t="s">
        <v>81</v>
      </c>
      <c r="D73" t="str">
        <f t="shared" si="50"/>
        <v>4</v>
      </c>
      <c r="F73">
        <v>91</v>
      </c>
      <c r="G73">
        <v>5000</v>
      </c>
      <c r="H73">
        <v>2</v>
      </c>
      <c r="I73">
        <v>1</v>
      </c>
      <c r="J73">
        <v>1</v>
      </c>
      <c r="K73">
        <f t="shared" si="44"/>
        <v>301</v>
      </c>
      <c r="L73">
        <f t="shared" si="39"/>
        <v>101</v>
      </c>
      <c r="M73">
        <v>5000</v>
      </c>
      <c r="N73">
        <f t="shared" si="27"/>
        <v>2</v>
      </c>
      <c r="O73">
        <v>1</v>
      </c>
      <c r="P73">
        <f t="shared" si="45"/>
        <v>301</v>
      </c>
      <c r="Q73">
        <v>54</v>
      </c>
      <c r="R73">
        <f t="shared" si="40"/>
        <v>102</v>
      </c>
      <c r="S73">
        <v>5000</v>
      </c>
      <c r="T73">
        <f t="shared" si="51"/>
        <v>2</v>
      </c>
      <c r="U73">
        <v>1</v>
      </c>
      <c r="V73">
        <f t="shared" si="46"/>
        <v>302</v>
      </c>
      <c r="W73">
        <v>51</v>
      </c>
      <c r="X73">
        <f t="shared" si="41"/>
        <v>103</v>
      </c>
      <c r="Y73">
        <v>5000</v>
      </c>
      <c r="Z73">
        <f t="shared" si="52"/>
        <v>2</v>
      </c>
      <c r="AA73">
        <v>1</v>
      </c>
      <c r="AB73">
        <f t="shared" si="47"/>
        <v>301</v>
      </c>
      <c r="AC73">
        <v>71</v>
      </c>
      <c r="AD73">
        <f t="shared" si="42"/>
        <v>113</v>
      </c>
      <c r="AE73">
        <v>5000</v>
      </c>
      <c r="AF73">
        <f t="shared" si="53"/>
        <v>2</v>
      </c>
      <c r="AG73">
        <v>1</v>
      </c>
      <c r="AH73">
        <f t="shared" si="48"/>
        <v>302</v>
      </c>
      <c r="AI73">
        <v>77</v>
      </c>
      <c r="AJ73">
        <f t="shared" si="43"/>
        <v>111</v>
      </c>
      <c r="AP73" t="str">
        <f t="shared" si="54"/>
        <v>{5000,2,1,301,101}</v>
      </c>
      <c r="AQ73" t="str">
        <f t="shared" si="55"/>
        <v>{5000,2,1,301,102}</v>
      </c>
      <c r="AR73" t="str">
        <f t="shared" si="56"/>
        <v>{5000,2,1,302,103}</v>
      </c>
      <c r="AS73" t="str">
        <f t="shared" si="57"/>
        <v>{5000,2,1,301,113}</v>
      </c>
      <c r="AT73" t="str">
        <f t="shared" si="58"/>
        <v>{5000,2,1,302,111}</v>
      </c>
      <c r="AU73" t="str">
        <f t="shared" si="59"/>
        <v/>
      </c>
      <c r="AV73">
        <v>1317</v>
      </c>
      <c r="AW73" t="str">
        <f t="shared" si="49"/>
        <v>[{5000,2,1,301,101},{5000,2,1,301,102},{5000,2,1,302,103},{5000,2,1,301,113},{5000,2,1,302,111}]</v>
      </c>
    </row>
    <row r="74" spans="2:49">
      <c r="B74">
        <v>1318</v>
      </c>
      <c r="C74" t="s">
        <v>81</v>
      </c>
      <c r="D74" t="str">
        <f t="shared" si="50"/>
        <v>4</v>
      </c>
      <c r="F74">
        <v>106</v>
      </c>
      <c r="G74">
        <v>5000</v>
      </c>
      <c r="H74">
        <v>2</v>
      </c>
      <c r="I74">
        <v>1</v>
      </c>
      <c r="J74">
        <v>1</v>
      </c>
      <c r="K74">
        <f t="shared" si="44"/>
        <v>301</v>
      </c>
      <c r="L74">
        <f t="shared" si="39"/>
        <v>101</v>
      </c>
      <c r="M74">
        <v>5000</v>
      </c>
      <c r="N74">
        <f t="shared" si="27"/>
        <v>2</v>
      </c>
      <c r="O74">
        <v>1</v>
      </c>
      <c r="P74">
        <f t="shared" si="45"/>
        <v>301</v>
      </c>
      <c r="Q74">
        <v>55</v>
      </c>
      <c r="R74">
        <f t="shared" si="40"/>
        <v>103</v>
      </c>
      <c r="S74">
        <v>5000</v>
      </c>
      <c r="T74">
        <f t="shared" si="51"/>
        <v>2</v>
      </c>
      <c r="U74">
        <v>1</v>
      </c>
      <c r="V74">
        <f t="shared" si="46"/>
        <v>302</v>
      </c>
      <c r="W74">
        <v>73</v>
      </c>
      <c r="X74">
        <f t="shared" si="41"/>
        <v>111</v>
      </c>
      <c r="Y74">
        <v>5000</v>
      </c>
      <c r="Z74">
        <f t="shared" si="52"/>
        <v>2</v>
      </c>
      <c r="AA74">
        <v>1</v>
      </c>
      <c r="AB74">
        <f t="shared" si="47"/>
        <v>301</v>
      </c>
      <c r="AC74">
        <v>78</v>
      </c>
      <c r="AD74">
        <f t="shared" si="42"/>
        <v>112</v>
      </c>
      <c r="AE74">
        <v>5000</v>
      </c>
      <c r="AF74">
        <f t="shared" si="53"/>
        <v>2</v>
      </c>
      <c r="AG74">
        <v>1</v>
      </c>
      <c r="AH74">
        <f t="shared" si="48"/>
        <v>302</v>
      </c>
      <c r="AI74">
        <v>71</v>
      </c>
      <c r="AJ74">
        <f t="shared" si="43"/>
        <v>113</v>
      </c>
      <c r="AP74" t="str">
        <f t="shared" si="54"/>
        <v>{5000,2,1,301,101}</v>
      </c>
      <c r="AQ74" t="str">
        <f t="shared" si="55"/>
        <v>{5000,2,1,301,103}</v>
      </c>
      <c r="AR74" t="str">
        <f t="shared" si="56"/>
        <v>{5000,2,1,302,111}</v>
      </c>
      <c r="AS74" t="str">
        <f t="shared" si="57"/>
        <v>{5000,2,1,301,112}</v>
      </c>
      <c r="AT74" t="str">
        <f t="shared" si="58"/>
        <v>{5000,2,1,302,113}</v>
      </c>
      <c r="AU74" t="str">
        <f t="shared" si="59"/>
        <v/>
      </c>
      <c r="AV74">
        <v>1318</v>
      </c>
      <c r="AW74" t="str">
        <f t="shared" si="49"/>
        <v>[{5000,2,1,301,101},{5000,2,1,301,103},{5000,2,1,302,111},{5000,2,1,301,112},{5000,2,1,302,113}]</v>
      </c>
    </row>
    <row r="75" spans="2:49">
      <c r="B75">
        <v>1319</v>
      </c>
      <c r="C75" t="s">
        <v>81</v>
      </c>
      <c r="D75" t="str">
        <f t="shared" si="50"/>
        <v>4</v>
      </c>
      <c r="F75">
        <v>121</v>
      </c>
      <c r="G75">
        <v>5000</v>
      </c>
      <c r="H75">
        <v>3</v>
      </c>
      <c r="I75">
        <v>1</v>
      </c>
      <c r="J75">
        <v>3</v>
      </c>
      <c r="K75">
        <f t="shared" si="44"/>
        <v>303</v>
      </c>
      <c r="L75">
        <f t="shared" si="39"/>
        <v>101</v>
      </c>
      <c r="M75">
        <v>5000</v>
      </c>
      <c r="N75">
        <f t="shared" si="27"/>
        <v>3</v>
      </c>
      <c r="O75">
        <v>1</v>
      </c>
      <c r="P75">
        <f t="shared" si="45"/>
        <v>303</v>
      </c>
      <c r="Q75">
        <v>54</v>
      </c>
      <c r="R75">
        <f t="shared" si="40"/>
        <v>102</v>
      </c>
      <c r="S75">
        <v>5000</v>
      </c>
      <c r="T75">
        <f t="shared" si="51"/>
        <v>3</v>
      </c>
      <c r="U75">
        <v>1</v>
      </c>
      <c r="V75">
        <f t="shared" si="46"/>
        <v>303</v>
      </c>
      <c r="W75">
        <v>51</v>
      </c>
      <c r="X75">
        <f t="shared" si="41"/>
        <v>103</v>
      </c>
      <c r="Y75">
        <v>5000</v>
      </c>
      <c r="Z75">
        <f t="shared" si="52"/>
        <v>3</v>
      </c>
      <c r="AA75">
        <v>1</v>
      </c>
      <c r="AB75">
        <f t="shared" si="47"/>
        <v>303</v>
      </c>
      <c r="AC75">
        <v>71</v>
      </c>
      <c r="AD75">
        <f t="shared" si="42"/>
        <v>113</v>
      </c>
      <c r="AE75">
        <v>5000</v>
      </c>
      <c r="AF75">
        <f t="shared" si="53"/>
        <v>3</v>
      </c>
      <c r="AG75">
        <v>1</v>
      </c>
      <c r="AH75">
        <f t="shared" si="48"/>
        <v>303</v>
      </c>
      <c r="AI75">
        <v>79</v>
      </c>
      <c r="AJ75">
        <f t="shared" si="43"/>
        <v>111</v>
      </c>
      <c r="AP75" t="str">
        <f t="shared" si="54"/>
        <v>{5000,3,1,303,101}</v>
      </c>
      <c r="AQ75" t="str">
        <f t="shared" si="55"/>
        <v>{5000,3,1,303,102}</v>
      </c>
      <c r="AR75" t="str">
        <f t="shared" si="56"/>
        <v>{5000,3,1,303,103}</v>
      </c>
      <c r="AS75" t="str">
        <f t="shared" si="57"/>
        <v>{5000,3,1,303,113}</v>
      </c>
      <c r="AT75" t="str">
        <f t="shared" si="58"/>
        <v>{5000,3,1,303,111}</v>
      </c>
      <c r="AU75" t="str">
        <f t="shared" si="59"/>
        <v/>
      </c>
      <c r="AV75">
        <v>1319</v>
      </c>
      <c r="AW75" t="str">
        <f t="shared" si="49"/>
        <v>[{5000,3,1,303,101},{5000,3,1,303,102},{5000,3,1,303,103},{5000,3,1,303,113},{5000,3,1,303,111}]</v>
      </c>
    </row>
    <row r="76" spans="2:49">
      <c r="B76">
        <v>1320</v>
      </c>
      <c r="C76" t="s">
        <v>81</v>
      </c>
      <c r="D76" t="str">
        <f t="shared" si="50"/>
        <v>4</v>
      </c>
      <c r="F76">
        <v>136</v>
      </c>
      <c r="G76">
        <v>5000</v>
      </c>
      <c r="H76">
        <v>3</v>
      </c>
      <c r="I76">
        <v>1</v>
      </c>
      <c r="J76">
        <v>1</v>
      </c>
      <c r="K76">
        <f t="shared" si="44"/>
        <v>301</v>
      </c>
      <c r="L76">
        <f t="shared" si="39"/>
        <v>101</v>
      </c>
      <c r="M76">
        <v>5000</v>
      </c>
      <c r="N76">
        <f t="shared" si="27"/>
        <v>3</v>
      </c>
      <c r="O76">
        <v>1</v>
      </c>
      <c r="P76">
        <f t="shared" si="45"/>
        <v>301</v>
      </c>
      <c r="Q76">
        <v>54</v>
      </c>
      <c r="R76">
        <f t="shared" si="40"/>
        <v>103</v>
      </c>
      <c r="S76">
        <v>5000</v>
      </c>
      <c r="T76">
        <f t="shared" si="51"/>
        <v>3</v>
      </c>
      <c r="U76">
        <v>1</v>
      </c>
      <c r="V76">
        <f t="shared" si="46"/>
        <v>302</v>
      </c>
      <c r="W76">
        <v>76</v>
      </c>
      <c r="X76">
        <f t="shared" si="41"/>
        <v>111</v>
      </c>
      <c r="Y76">
        <v>5000</v>
      </c>
      <c r="Z76">
        <f t="shared" si="52"/>
        <v>3</v>
      </c>
      <c r="AA76">
        <v>1</v>
      </c>
      <c r="AB76">
        <f t="shared" si="47"/>
        <v>301</v>
      </c>
      <c r="AC76">
        <v>72</v>
      </c>
      <c r="AD76">
        <f t="shared" si="42"/>
        <v>112</v>
      </c>
      <c r="AE76">
        <v>5000</v>
      </c>
      <c r="AF76">
        <f t="shared" si="53"/>
        <v>3</v>
      </c>
      <c r="AG76">
        <v>1</v>
      </c>
      <c r="AH76">
        <f t="shared" si="48"/>
        <v>302</v>
      </c>
      <c r="AI76">
        <v>74</v>
      </c>
      <c r="AJ76">
        <f t="shared" si="43"/>
        <v>113</v>
      </c>
      <c r="AP76" t="str">
        <f t="shared" si="54"/>
        <v>{5000,3,1,301,101}</v>
      </c>
      <c r="AQ76" t="str">
        <f t="shared" si="55"/>
        <v>{5000,3,1,301,103}</v>
      </c>
      <c r="AR76" t="str">
        <f t="shared" si="56"/>
        <v>{5000,3,1,302,111}</v>
      </c>
      <c r="AS76" t="str">
        <f t="shared" si="57"/>
        <v>{5000,3,1,301,112}</v>
      </c>
      <c r="AT76" t="str">
        <f t="shared" si="58"/>
        <v>{5000,3,1,302,113}</v>
      </c>
      <c r="AU76" t="str">
        <f t="shared" si="59"/>
        <v/>
      </c>
      <c r="AV76">
        <v>1320</v>
      </c>
      <c r="AW76" t="str">
        <f t="shared" si="49"/>
        <v>[{5000,3,1,301,101},{5000,3,1,301,103},{5000,3,1,302,111},{5000,3,1,301,112},{5000,3,1,302,113}]</v>
      </c>
    </row>
    <row r="77" spans="2:49">
      <c r="B77">
        <v>1321</v>
      </c>
      <c r="C77" t="s">
        <v>81</v>
      </c>
      <c r="D77" t="str">
        <f t="shared" si="50"/>
        <v>4</v>
      </c>
      <c r="F77">
        <v>151</v>
      </c>
      <c r="G77">
        <v>5000</v>
      </c>
      <c r="H77">
        <v>3</v>
      </c>
      <c r="I77">
        <v>1</v>
      </c>
      <c r="J77">
        <v>1</v>
      </c>
      <c r="K77">
        <f t="shared" si="44"/>
        <v>301</v>
      </c>
      <c r="L77">
        <f t="shared" si="39"/>
        <v>101</v>
      </c>
      <c r="M77">
        <v>5000</v>
      </c>
      <c r="N77">
        <f t="shared" si="27"/>
        <v>3</v>
      </c>
      <c r="O77">
        <v>1</v>
      </c>
      <c r="P77">
        <f t="shared" si="45"/>
        <v>301</v>
      </c>
      <c r="Q77">
        <v>54</v>
      </c>
      <c r="R77">
        <f t="shared" si="40"/>
        <v>102</v>
      </c>
      <c r="S77">
        <v>5000</v>
      </c>
      <c r="T77">
        <f t="shared" si="51"/>
        <v>3</v>
      </c>
      <c r="U77">
        <v>1</v>
      </c>
      <c r="V77">
        <f t="shared" si="46"/>
        <v>302</v>
      </c>
      <c r="W77">
        <v>56</v>
      </c>
      <c r="X77">
        <f t="shared" si="41"/>
        <v>103</v>
      </c>
      <c r="Y77">
        <v>5000</v>
      </c>
      <c r="Z77">
        <f t="shared" si="52"/>
        <v>3</v>
      </c>
      <c r="AA77">
        <v>1</v>
      </c>
      <c r="AB77">
        <f t="shared" si="47"/>
        <v>301</v>
      </c>
      <c r="AC77">
        <v>72</v>
      </c>
      <c r="AD77">
        <f t="shared" si="42"/>
        <v>113</v>
      </c>
      <c r="AE77">
        <v>5000</v>
      </c>
      <c r="AF77">
        <f t="shared" si="53"/>
        <v>3</v>
      </c>
      <c r="AG77">
        <v>1</v>
      </c>
      <c r="AH77">
        <f t="shared" si="48"/>
        <v>302</v>
      </c>
      <c r="AI77">
        <v>74</v>
      </c>
      <c r="AJ77">
        <f t="shared" si="43"/>
        <v>111</v>
      </c>
      <c r="AP77" t="str">
        <f t="shared" si="54"/>
        <v>{5000,3,1,301,101}</v>
      </c>
      <c r="AQ77" t="str">
        <f t="shared" si="55"/>
        <v>{5000,3,1,301,102}</v>
      </c>
      <c r="AR77" t="str">
        <f t="shared" si="56"/>
        <v>{5000,3,1,302,103}</v>
      </c>
      <c r="AS77" t="str">
        <f t="shared" si="57"/>
        <v>{5000,3,1,301,113}</v>
      </c>
      <c r="AT77" t="str">
        <f t="shared" si="58"/>
        <v>{5000,3,1,302,111}</v>
      </c>
      <c r="AU77" t="str">
        <f t="shared" si="59"/>
        <v/>
      </c>
      <c r="AV77">
        <v>1321</v>
      </c>
      <c r="AW77" t="str">
        <f t="shared" si="49"/>
        <v>[{5000,3,1,301,101},{5000,3,1,301,102},{5000,3,1,302,103},{5000,3,1,301,113},{5000,3,1,302,111}]</v>
      </c>
    </row>
    <row r="78" spans="2:49">
      <c r="B78">
        <v>1322</v>
      </c>
      <c r="C78" t="s">
        <v>81</v>
      </c>
      <c r="D78" t="str">
        <f t="shared" si="50"/>
        <v>4</v>
      </c>
      <c r="F78">
        <v>166</v>
      </c>
      <c r="G78">
        <v>5000</v>
      </c>
      <c r="H78">
        <v>3</v>
      </c>
      <c r="I78">
        <v>1</v>
      </c>
      <c r="J78">
        <v>1</v>
      </c>
      <c r="K78">
        <f t="shared" si="44"/>
        <v>301</v>
      </c>
      <c r="L78">
        <f t="shared" si="39"/>
        <v>101</v>
      </c>
      <c r="M78">
        <v>5000</v>
      </c>
      <c r="N78">
        <f t="shared" si="27"/>
        <v>3</v>
      </c>
      <c r="O78">
        <v>1</v>
      </c>
      <c r="P78">
        <f t="shared" si="45"/>
        <v>301</v>
      </c>
      <c r="Q78">
        <v>59</v>
      </c>
      <c r="R78">
        <f t="shared" si="40"/>
        <v>103</v>
      </c>
      <c r="S78">
        <v>5000</v>
      </c>
      <c r="T78">
        <f t="shared" si="51"/>
        <v>3</v>
      </c>
      <c r="U78">
        <v>1</v>
      </c>
      <c r="V78">
        <f t="shared" si="46"/>
        <v>302</v>
      </c>
      <c r="W78">
        <v>79</v>
      </c>
      <c r="X78">
        <f t="shared" si="41"/>
        <v>111</v>
      </c>
      <c r="Y78">
        <v>5000</v>
      </c>
      <c r="Z78">
        <f t="shared" si="52"/>
        <v>3</v>
      </c>
      <c r="AA78">
        <v>1</v>
      </c>
      <c r="AB78">
        <f t="shared" si="47"/>
        <v>301</v>
      </c>
      <c r="AC78">
        <v>71</v>
      </c>
      <c r="AD78">
        <f t="shared" si="42"/>
        <v>112</v>
      </c>
      <c r="AE78">
        <v>5000</v>
      </c>
      <c r="AF78">
        <f t="shared" si="53"/>
        <v>3</v>
      </c>
      <c r="AG78">
        <v>1</v>
      </c>
      <c r="AH78">
        <f t="shared" si="48"/>
        <v>302</v>
      </c>
      <c r="AI78">
        <v>74</v>
      </c>
      <c r="AJ78">
        <f t="shared" si="43"/>
        <v>113</v>
      </c>
      <c r="AP78" t="str">
        <f t="shared" si="54"/>
        <v>{5000,3,1,301,101}</v>
      </c>
      <c r="AQ78" t="str">
        <f t="shared" si="55"/>
        <v>{5000,3,1,301,103}</v>
      </c>
      <c r="AR78" t="str">
        <f t="shared" si="56"/>
        <v>{5000,3,1,302,111}</v>
      </c>
      <c r="AS78" t="str">
        <f t="shared" si="57"/>
        <v>{5000,3,1,301,112}</v>
      </c>
      <c r="AT78" t="str">
        <f t="shared" si="58"/>
        <v>{5000,3,1,302,113}</v>
      </c>
      <c r="AU78" t="str">
        <f t="shared" si="59"/>
        <v/>
      </c>
      <c r="AV78">
        <v>1322</v>
      </c>
      <c r="AW78" t="str">
        <f t="shared" si="49"/>
        <v>[{5000,3,1,301,101},{5000,3,1,301,103},{5000,3,1,302,111},{5000,3,1,301,112},{5000,3,1,302,113}]</v>
      </c>
    </row>
    <row r="79" spans="2:49">
      <c r="B79">
        <v>1323</v>
      </c>
      <c r="C79" t="s">
        <v>81</v>
      </c>
      <c r="D79" t="str">
        <f t="shared" si="50"/>
        <v>4</v>
      </c>
      <c r="F79">
        <v>181</v>
      </c>
      <c r="G79">
        <v>5000</v>
      </c>
      <c r="H79">
        <v>4</v>
      </c>
      <c r="I79">
        <v>1</v>
      </c>
      <c r="J79">
        <v>3</v>
      </c>
      <c r="K79">
        <f t="shared" si="44"/>
        <v>303</v>
      </c>
      <c r="L79">
        <f t="shared" si="39"/>
        <v>101</v>
      </c>
      <c r="M79">
        <v>5000</v>
      </c>
      <c r="N79">
        <f t="shared" si="27"/>
        <v>4</v>
      </c>
      <c r="O79">
        <v>1</v>
      </c>
      <c r="P79">
        <f t="shared" si="45"/>
        <v>303</v>
      </c>
      <c r="Q79">
        <v>53</v>
      </c>
      <c r="R79">
        <f t="shared" si="40"/>
        <v>102</v>
      </c>
      <c r="S79">
        <v>5000</v>
      </c>
      <c r="T79">
        <f t="shared" si="51"/>
        <v>4</v>
      </c>
      <c r="U79">
        <v>1</v>
      </c>
      <c r="V79">
        <f t="shared" si="46"/>
        <v>303</v>
      </c>
      <c r="W79">
        <v>56</v>
      </c>
      <c r="X79">
        <f t="shared" si="41"/>
        <v>103</v>
      </c>
      <c r="Y79">
        <v>5000</v>
      </c>
      <c r="Z79">
        <f t="shared" si="52"/>
        <v>4</v>
      </c>
      <c r="AA79">
        <v>1</v>
      </c>
      <c r="AB79">
        <f t="shared" si="47"/>
        <v>303</v>
      </c>
      <c r="AC79">
        <v>75</v>
      </c>
      <c r="AD79">
        <f t="shared" si="42"/>
        <v>113</v>
      </c>
      <c r="AE79">
        <v>5000</v>
      </c>
      <c r="AF79">
        <f t="shared" si="53"/>
        <v>4</v>
      </c>
      <c r="AG79">
        <v>1</v>
      </c>
      <c r="AH79">
        <f t="shared" si="48"/>
        <v>303</v>
      </c>
      <c r="AI79">
        <v>78</v>
      </c>
      <c r="AJ79">
        <f t="shared" si="43"/>
        <v>111</v>
      </c>
      <c r="AP79" t="str">
        <f t="shared" si="54"/>
        <v>{5000,4,1,303,101}</v>
      </c>
      <c r="AQ79" t="str">
        <f t="shared" si="55"/>
        <v>{5000,4,1,303,102}</v>
      </c>
      <c r="AR79" t="str">
        <f t="shared" si="56"/>
        <v>{5000,4,1,303,103}</v>
      </c>
      <c r="AS79" t="str">
        <f t="shared" si="57"/>
        <v>{5000,4,1,303,113}</v>
      </c>
      <c r="AT79" t="str">
        <f t="shared" si="58"/>
        <v>{5000,4,1,303,111}</v>
      </c>
      <c r="AU79" t="str">
        <f t="shared" si="59"/>
        <v/>
      </c>
      <c r="AV79">
        <v>1323</v>
      </c>
      <c r="AW79" t="str">
        <f t="shared" si="49"/>
        <v>[{5000,4,1,303,101},{5000,4,1,303,102},{5000,4,1,303,103},{5000,4,1,303,113},{5000,4,1,303,111}]</v>
      </c>
    </row>
    <row r="80" spans="2:49">
      <c r="B80">
        <v>1324</v>
      </c>
      <c r="C80" t="s">
        <v>81</v>
      </c>
      <c r="D80" t="str">
        <f t="shared" si="50"/>
        <v>4</v>
      </c>
      <c r="F80">
        <v>196</v>
      </c>
      <c r="G80">
        <v>5000</v>
      </c>
      <c r="H80">
        <v>3</v>
      </c>
      <c r="I80">
        <v>1</v>
      </c>
      <c r="J80">
        <v>2</v>
      </c>
      <c r="K80">
        <f t="shared" si="44"/>
        <v>302</v>
      </c>
      <c r="L80">
        <f t="shared" si="39"/>
        <v>101</v>
      </c>
      <c r="M80">
        <v>5000</v>
      </c>
      <c r="N80">
        <f t="shared" si="27"/>
        <v>3</v>
      </c>
      <c r="O80">
        <v>1</v>
      </c>
      <c r="P80">
        <f t="shared" si="45"/>
        <v>301</v>
      </c>
      <c r="Q80">
        <v>54</v>
      </c>
      <c r="R80">
        <f t="shared" si="40"/>
        <v>103</v>
      </c>
      <c r="S80">
        <v>5000</v>
      </c>
      <c r="T80">
        <f t="shared" si="51"/>
        <v>3</v>
      </c>
      <c r="U80">
        <v>1</v>
      </c>
      <c r="V80">
        <f t="shared" si="46"/>
        <v>302</v>
      </c>
      <c r="W80">
        <v>77</v>
      </c>
      <c r="X80">
        <f t="shared" si="41"/>
        <v>111</v>
      </c>
      <c r="Y80">
        <v>5000</v>
      </c>
      <c r="Z80">
        <f t="shared" si="52"/>
        <v>3</v>
      </c>
      <c r="AA80">
        <v>1</v>
      </c>
      <c r="AB80">
        <f t="shared" si="47"/>
        <v>301</v>
      </c>
      <c r="AC80">
        <v>72</v>
      </c>
      <c r="AD80">
        <f t="shared" si="42"/>
        <v>112</v>
      </c>
      <c r="AE80">
        <v>5000</v>
      </c>
      <c r="AF80">
        <f t="shared" si="53"/>
        <v>3</v>
      </c>
      <c r="AG80">
        <v>1</v>
      </c>
      <c r="AH80">
        <f t="shared" si="48"/>
        <v>302</v>
      </c>
      <c r="AI80">
        <v>74</v>
      </c>
      <c r="AJ80">
        <f t="shared" si="43"/>
        <v>113</v>
      </c>
      <c r="AP80" t="str">
        <f t="shared" si="54"/>
        <v>{5000,3,1,302,101}</v>
      </c>
      <c r="AQ80" t="str">
        <f t="shared" si="55"/>
        <v>{5000,3,1,301,103}</v>
      </c>
      <c r="AR80" t="str">
        <f t="shared" si="56"/>
        <v>{5000,3,1,302,111}</v>
      </c>
      <c r="AS80" t="str">
        <f t="shared" si="57"/>
        <v>{5000,3,1,301,112}</v>
      </c>
      <c r="AT80" t="str">
        <f t="shared" si="58"/>
        <v>{5000,3,1,302,113}</v>
      </c>
      <c r="AU80" t="str">
        <f t="shared" si="59"/>
        <v/>
      </c>
      <c r="AV80">
        <v>1324</v>
      </c>
      <c r="AW80" t="str">
        <f t="shared" si="49"/>
        <v>[{5000,3,1,302,101},{5000,3,1,301,103},{5000,3,1,302,111},{5000,3,1,301,112},{5000,3,1,302,113}]</v>
      </c>
    </row>
    <row r="81" spans="2:48">
      <c r="B81">
        <v>1325</v>
      </c>
      <c r="C81" t="s">
        <v>81</v>
      </c>
      <c r="D81" t="str">
        <f t="shared" si="50"/>
        <v>4</v>
      </c>
      <c r="F81">
        <v>209</v>
      </c>
      <c r="K81" t="str">
        <f t="shared" si="44"/>
        <v/>
      </c>
      <c r="L81" t="str">
        <f t="shared" si="39"/>
        <v/>
      </c>
      <c r="N81">
        <f t="shared" si="27"/>
        <v>0</v>
      </c>
      <c r="P81" t="str">
        <f t="shared" si="45"/>
        <v/>
      </c>
      <c r="R81" t="str">
        <f t="shared" si="40"/>
        <v/>
      </c>
      <c r="T81">
        <f t="shared" si="51"/>
        <v>0</v>
      </c>
      <c r="V81" t="str">
        <f t="shared" si="46"/>
        <v/>
      </c>
      <c r="X81" t="str">
        <f t="shared" si="41"/>
        <v/>
      </c>
      <c r="Z81">
        <f t="shared" si="52"/>
        <v>0</v>
      </c>
      <c r="AB81" t="str">
        <f t="shared" si="47"/>
        <v/>
      </c>
      <c r="AD81" t="str">
        <f t="shared" si="42"/>
        <v/>
      </c>
      <c r="AF81">
        <f t="shared" si="53"/>
        <v>0</v>
      </c>
      <c r="AH81" t="str">
        <f t="shared" si="48"/>
        <v/>
      </c>
      <c r="AJ81" t="str">
        <f t="shared" si="43"/>
        <v/>
      </c>
      <c r="AP81" t="str">
        <f t="shared" si="54"/>
        <v/>
      </c>
      <c r="AQ81" t="str">
        <f t="shared" si="55"/>
        <v/>
      </c>
      <c r="AR81" t="str">
        <f t="shared" si="56"/>
        <v/>
      </c>
      <c r="AS81" t="str">
        <f t="shared" si="57"/>
        <v/>
      </c>
      <c r="AT81" t="str">
        <f t="shared" si="58"/>
        <v/>
      </c>
      <c r="AU81" t="str">
        <f t="shared" si="59"/>
        <v/>
      </c>
      <c r="AV81">
        <v>1325</v>
      </c>
    </row>
    <row r="82" spans="2:49">
      <c r="B82">
        <v>1326</v>
      </c>
      <c r="C82" t="s">
        <v>81</v>
      </c>
      <c r="D82" t="str">
        <f t="shared" si="50"/>
        <v>4</v>
      </c>
      <c r="F82">
        <v>211</v>
      </c>
      <c r="G82">
        <v>5000</v>
      </c>
      <c r="H82">
        <v>4</v>
      </c>
      <c r="I82">
        <v>1</v>
      </c>
      <c r="J82">
        <v>2</v>
      </c>
      <c r="K82">
        <f t="shared" si="44"/>
        <v>302</v>
      </c>
      <c r="L82">
        <f t="shared" si="39"/>
        <v>101</v>
      </c>
      <c r="M82">
        <v>5000</v>
      </c>
      <c r="N82">
        <f t="shared" si="27"/>
        <v>4</v>
      </c>
      <c r="O82">
        <v>1</v>
      </c>
      <c r="P82">
        <f t="shared" si="45"/>
        <v>301</v>
      </c>
      <c r="Q82">
        <v>51</v>
      </c>
      <c r="R82">
        <f t="shared" si="40"/>
        <v>102</v>
      </c>
      <c r="S82">
        <v>5000</v>
      </c>
      <c r="T82">
        <f t="shared" si="51"/>
        <v>4</v>
      </c>
      <c r="U82">
        <v>1</v>
      </c>
      <c r="V82">
        <f t="shared" si="46"/>
        <v>302</v>
      </c>
      <c r="W82">
        <v>57</v>
      </c>
      <c r="X82">
        <f t="shared" si="41"/>
        <v>103</v>
      </c>
      <c r="Y82">
        <v>5000</v>
      </c>
      <c r="Z82">
        <f t="shared" si="52"/>
        <v>4</v>
      </c>
      <c r="AA82">
        <v>1</v>
      </c>
      <c r="AB82">
        <f t="shared" si="47"/>
        <v>301</v>
      </c>
      <c r="AC82">
        <v>79</v>
      </c>
      <c r="AD82">
        <f t="shared" si="42"/>
        <v>113</v>
      </c>
      <c r="AE82">
        <v>5000</v>
      </c>
      <c r="AF82">
        <f t="shared" si="53"/>
        <v>4</v>
      </c>
      <c r="AG82">
        <v>1</v>
      </c>
      <c r="AH82">
        <f t="shared" si="48"/>
        <v>302</v>
      </c>
      <c r="AI82">
        <v>72</v>
      </c>
      <c r="AJ82">
        <f t="shared" si="43"/>
        <v>111</v>
      </c>
      <c r="AK82">
        <v>1000</v>
      </c>
      <c r="AL82">
        <v>1</v>
      </c>
      <c r="AM82">
        <v>0</v>
      </c>
      <c r="AN82">
        <v>331</v>
      </c>
      <c r="AO82">
        <v>4</v>
      </c>
      <c r="AP82" t="str">
        <f t="shared" si="54"/>
        <v>{5000,4,1,302,101}</v>
      </c>
      <c r="AQ82" t="str">
        <f t="shared" si="55"/>
        <v>{5000,4,1,301,102}</v>
      </c>
      <c r="AR82" t="str">
        <f t="shared" si="56"/>
        <v>{5000,4,1,302,103}</v>
      </c>
      <c r="AS82" t="str">
        <f t="shared" si="57"/>
        <v>{5000,4,1,301,113}</v>
      </c>
      <c r="AT82" t="str">
        <f t="shared" si="58"/>
        <v>{5000,4,1,302,111}</v>
      </c>
      <c r="AU82" t="str">
        <f t="shared" si="59"/>
        <v>{1000,1,0,331,4}</v>
      </c>
      <c r="AV82">
        <v>1326</v>
      </c>
      <c r="AW82" t="str">
        <f t="shared" ref="AW82:AW102" si="60">IF(AU82="","["&amp;_xlfn.TEXTJOIN(",",1,AP82:AT82)&amp;"]","["&amp;_xlfn.TEXTJOIN(",",1,AP82:AU82)&amp;"]")</f>
        <v>[{5000,4,1,302,101},{5000,4,1,301,102},{5000,4,1,302,103},{5000,4,1,301,113},{5000,4,1,302,111},{1000,1,0,331,4}]</v>
      </c>
    </row>
    <row r="83" spans="2:49">
      <c r="B83">
        <v>1327</v>
      </c>
      <c r="C83" t="s">
        <v>81</v>
      </c>
      <c r="D83" t="str">
        <f t="shared" si="50"/>
        <v>4</v>
      </c>
      <c r="F83">
        <v>226</v>
      </c>
      <c r="G83">
        <v>5000</v>
      </c>
      <c r="H83">
        <v>4</v>
      </c>
      <c r="I83">
        <v>1</v>
      </c>
      <c r="J83">
        <v>2</v>
      </c>
      <c r="K83">
        <f t="shared" si="44"/>
        <v>302</v>
      </c>
      <c r="L83">
        <f t="shared" si="39"/>
        <v>101</v>
      </c>
      <c r="M83">
        <v>5000</v>
      </c>
      <c r="N83">
        <f t="shared" si="27"/>
        <v>4</v>
      </c>
      <c r="O83">
        <v>1</v>
      </c>
      <c r="P83">
        <f t="shared" si="45"/>
        <v>301</v>
      </c>
      <c r="Q83">
        <v>51</v>
      </c>
      <c r="R83">
        <f t="shared" si="40"/>
        <v>103</v>
      </c>
      <c r="S83">
        <v>5000</v>
      </c>
      <c r="T83">
        <f t="shared" si="51"/>
        <v>4</v>
      </c>
      <c r="U83">
        <v>1</v>
      </c>
      <c r="V83">
        <f t="shared" si="46"/>
        <v>302</v>
      </c>
      <c r="W83">
        <v>75</v>
      </c>
      <c r="X83">
        <f t="shared" si="41"/>
        <v>111</v>
      </c>
      <c r="Y83">
        <v>5000</v>
      </c>
      <c r="Z83">
        <f t="shared" si="52"/>
        <v>4</v>
      </c>
      <c r="AA83">
        <v>1</v>
      </c>
      <c r="AB83">
        <f t="shared" si="47"/>
        <v>301</v>
      </c>
      <c r="AC83">
        <v>71</v>
      </c>
      <c r="AD83">
        <f t="shared" si="42"/>
        <v>112</v>
      </c>
      <c r="AE83">
        <v>5000</v>
      </c>
      <c r="AF83">
        <f t="shared" si="53"/>
        <v>4</v>
      </c>
      <c r="AG83">
        <v>1</v>
      </c>
      <c r="AH83">
        <f t="shared" si="48"/>
        <v>302</v>
      </c>
      <c r="AI83">
        <v>77</v>
      </c>
      <c r="AJ83">
        <f t="shared" si="43"/>
        <v>113</v>
      </c>
      <c r="AP83" t="str">
        <f t="shared" si="54"/>
        <v>{5000,4,1,302,101}</v>
      </c>
      <c r="AQ83" t="str">
        <f t="shared" si="55"/>
        <v>{5000,4,1,301,103}</v>
      </c>
      <c r="AR83" t="str">
        <f t="shared" si="56"/>
        <v>{5000,4,1,302,111}</v>
      </c>
      <c r="AS83" t="str">
        <f t="shared" si="57"/>
        <v>{5000,4,1,301,112}</v>
      </c>
      <c r="AT83" t="str">
        <f t="shared" si="58"/>
        <v>{5000,4,1,302,113}</v>
      </c>
      <c r="AU83" t="str">
        <f t="shared" si="59"/>
        <v/>
      </c>
      <c r="AV83">
        <v>1327</v>
      </c>
      <c r="AW83" t="str">
        <f t="shared" si="60"/>
        <v>[{5000,4,1,302,101},{5000,4,1,301,103},{5000,4,1,302,111},{5000,4,1,301,112},{5000,4,1,302,113}]</v>
      </c>
    </row>
    <row r="84" spans="2:49">
      <c r="B84">
        <v>1328</v>
      </c>
      <c r="C84" t="s">
        <v>81</v>
      </c>
      <c r="D84" t="str">
        <f t="shared" si="50"/>
        <v>4</v>
      </c>
      <c r="F84">
        <v>241</v>
      </c>
      <c r="G84">
        <v>5000</v>
      </c>
      <c r="H84">
        <v>5</v>
      </c>
      <c r="I84">
        <v>1</v>
      </c>
      <c r="J84">
        <v>3</v>
      </c>
      <c r="K84">
        <f t="shared" si="44"/>
        <v>303</v>
      </c>
      <c r="L84">
        <f t="shared" si="39"/>
        <v>101</v>
      </c>
      <c r="M84">
        <v>5000</v>
      </c>
      <c r="N84">
        <f t="shared" si="27"/>
        <v>5</v>
      </c>
      <c r="O84">
        <v>1</v>
      </c>
      <c r="P84">
        <f t="shared" si="45"/>
        <v>303</v>
      </c>
      <c r="Q84">
        <v>53</v>
      </c>
      <c r="R84">
        <f t="shared" si="40"/>
        <v>102</v>
      </c>
      <c r="S84">
        <v>5000</v>
      </c>
      <c r="T84">
        <f t="shared" si="51"/>
        <v>5</v>
      </c>
      <c r="U84">
        <v>1</v>
      </c>
      <c r="V84">
        <f t="shared" si="46"/>
        <v>303</v>
      </c>
      <c r="W84">
        <v>56</v>
      </c>
      <c r="X84">
        <f t="shared" si="41"/>
        <v>103</v>
      </c>
      <c r="Y84">
        <v>5000</v>
      </c>
      <c r="Z84">
        <f t="shared" si="52"/>
        <v>5</v>
      </c>
      <c r="AA84">
        <v>1</v>
      </c>
      <c r="AB84">
        <f t="shared" si="47"/>
        <v>303</v>
      </c>
      <c r="AC84">
        <v>74</v>
      </c>
      <c r="AD84">
        <f t="shared" si="42"/>
        <v>113</v>
      </c>
      <c r="AE84">
        <v>5000</v>
      </c>
      <c r="AF84">
        <f t="shared" si="53"/>
        <v>5</v>
      </c>
      <c r="AG84">
        <v>1</v>
      </c>
      <c r="AH84">
        <f t="shared" si="48"/>
        <v>303</v>
      </c>
      <c r="AI84">
        <v>78</v>
      </c>
      <c r="AJ84">
        <f t="shared" si="43"/>
        <v>111</v>
      </c>
      <c r="AP84" t="str">
        <f t="shared" si="54"/>
        <v>{5000,5,1,303,101}</v>
      </c>
      <c r="AQ84" t="str">
        <f t="shared" si="55"/>
        <v>{5000,5,1,303,102}</v>
      </c>
      <c r="AR84" t="str">
        <f t="shared" si="56"/>
        <v>{5000,5,1,303,103}</v>
      </c>
      <c r="AS84" t="str">
        <f t="shared" si="57"/>
        <v>{5000,5,1,303,113}</v>
      </c>
      <c r="AT84" t="str">
        <f t="shared" si="58"/>
        <v>{5000,5,1,303,111}</v>
      </c>
      <c r="AU84" t="str">
        <f t="shared" si="59"/>
        <v/>
      </c>
      <c r="AV84">
        <v>1328</v>
      </c>
      <c r="AW84" t="str">
        <f t="shared" si="60"/>
        <v>[{5000,5,1,303,101},{5000,5,1,303,102},{5000,5,1,303,103},{5000,5,1,303,113},{5000,5,1,303,111}]</v>
      </c>
    </row>
    <row r="85" spans="2:49">
      <c r="B85">
        <v>1329</v>
      </c>
      <c r="C85" t="s">
        <v>81</v>
      </c>
      <c r="D85" t="str">
        <f t="shared" si="50"/>
        <v>4</v>
      </c>
      <c r="F85">
        <v>256</v>
      </c>
      <c r="G85">
        <v>5000</v>
      </c>
      <c r="H85">
        <v>4</v>
      </c>
      <c r="I85">
        <v>1</v>
      </c>
      <c r="J85">
        <v>2</v>
      </c>
      <c r="K85">
        <f t="shared" si="44"/>
        <v>302</v>
      </c>
      <c r="L85">
        <f t="shared" si="39"/>
        <v>101</v>
      </c>
      <c r="M85">
        <v>5000</v>
      </c>
      <c r="N85">
        <f t="shared" si="27"/>
        <v>4</v>
      </c>
      <c r="O85">
        <v>1</v>
      </c>
      <c r="P85">
        <f t="shared" si="45"/>
        <v>302</v>
      </c>
      <c r="Q85">
        <v>59</v>
      </c>
      <c r="R85">
        <f t="shared" si="40"/>
        <v>103</v>
      </c>
      <c r="S85">
        <v>5000</v>
      </c>
      <c r="T85">
        <f t="shared" si="51"/>
        <v>4</v>
      </c>
      <c r="U85">
        <v>1</v>
      </c>
      <c r="V85">
        <f t="shared" si="46"/>
        <v>302</v>
      </c>
      <c r="W85">
        <v>79</v>
      </c>
      <c r="X85">
        <f t="shared" si="41"/>
        <v>111</v>
      </c>
      <c r="Y85">
        <v>5000</v>
      </c>
      <c r="Z85">
        <f t="shared" si="52"/>
        <v>4</v>
      </c>
      <c r="AA85">
        <v>1</v>
      </c>
      <c r="AB85">
        <f t="shared" si="47"/>
        <v>301</v>
      </c>
      <c r="AC85">
        <v>72</v>
      </c>
      <c r="AD85">
        <f t="shared" si="42"/>
        <v>112</v>
      </c>
      <c r="AE85">
        <v>5000</v>
      </c>
      <c r="AF85">
        <f t="shared" si="53"/>
        <v>4</v>
      </c>
      <c r="AG85">
        <v>1</v>
      </c>
      <c r="AH85">
        <f t="shared" si="48"/>
        <v>302</v>
      </c>
      <c r="AI85">
        <v>74</v>
      </c>
      <c r="AJ85">
        <f t="shared" si="43"/>
        <v>113</v>
      </c>
      <c r="AP85" t="str">
        <f t="shared" si="54"/>
        <v>{5000,4,1,302,101}</v>
      </c>
      <c r="AQ85" t="str">
        <f t="shared" si="55"/>
        <v>{5000,4,1,302,103}</v>
      </c>
      <c r="AR85" t="str">
        <f t="shared" si="56"/>
        <v>{5000,4,1,302,111}</v>
      </c>
      <c r="AS85" t="str">
        <f t="shared" si="57"/>
        <v>{5000,4,1,301,112}</v>
      </c>
      <c r="AT85" t="str">
        <f t="shared" si="58"/>
        <v>{5000,4,1,302,113}</v>
      </c>
      <c r="AU85" t="str">
        <f t="shared" si="59"/>
        <v/>
      </c>
      <c r="AV85">
        <v>1329</v>
      </c>
      <c r="AW85" t="str">
        <f t="shared" si="60"/>
        <v>[{5000,4,1,302,101},{5000,4,1,302,103},{5000,4,1,302,111},{5000,4,1,301,112},{5000,4,1,302,113}]</v>
      </c>
    </row>
    <row r="86" spans="2:49">
      <c r="B86">
        <v>1330</v>
      </c>
      <c r="C86" t="s">
        <v>81</v>
      </c>
      <c r="D86" t="str">
        <f t="shared" si="50"/>
        <v>4</v>
      </c>
      <c r="F86">
        <v>271</v>
      </c>
      <c r="G86">
        <v>5000</v>
      </c>
      <c r="H86">
        <v>4</v>
      </c>
      <c r="I86">
        <v>1</v>
      </c>
      <c r="J86">
        <v>2</v>
      </c>
      <c r="K86">
        <f t="shared" si="44"/>
        <v>302</v>
      </c>
      <c r="L86">
        <f t="shared" si="39"/>
        <v>101</v>
      </c>
      <c r="M86">
        <v>5000</v>
      </c>
      <c r="N86">
        <f t="shared" si="27"/>
        <v>4</v>
      </c>
      <c r="O86">
        <v>1</v>
      </c>
      <c r="P86">
        <f t="shared" si="45"/>
        <v>302</v>
      </c>
      <c r="Q86">
        <v>54</v>
      </c>
      <c r="R86">
        <f t="shared" si="40"/>
        <v>102</v>
      </c>
      <c r="S86">
        <v>5000</v>
      </c>
      <c r="T86">
        <f t="shared" si="51"/>
        <v>4</v>
      </c>
      <c r="U86">
        <v>1</v>
      </c>
      <c r="V86">
        <f t="shared" si="46"/>
        <v>302</v>
      </c>
      <c r="W86">
        <v>56</v>
      </c>
      <c r="X86">
        <f t="shared" si="41"/>
        <v>103</v>
      </c>
      <c r="Y86">
        <v>5000</v>
      </c>
      <c r="Z86">
        <f t="shared" si="52"/>
        <v>4</v>
      </c>
      <c r="AA86">
        <v>1</v>
      </c>
      <c r="AB86">
        <f t="shared" si="47"/>
        <v>302</v>
      </c>
      <c r="AC86">
        <v>73</v>
      </c>
      <c r="AD86">
        <f t="shared" si="42"/>
        <v>113</v>
      </c>
      <c r="AE86">
        <v>5000</v>
      </c>
      <c r="AF86">
        <f t="shared" si="53"/>
        <v>4</v>
      </c>
      <c r="AG86">
        <v>1</v>
      </c>
      <c r="AH86">
        <f t="shared" si="48"/>
        <v>302</v>
      </c>
      <c r="AI86">
        <v>75</v>
      </c>
      <c r="AJ86">
        <f t="shared" si="43"/>
        <v>111</v>
      </c>
      <c r="AP86" t="str">
        <f t="shared" si="54"/>
        <v>{5000,4,1,302,101}</v>
      </c>
      <c r="AQ86" t="str">
        <f t="shared" si="55"/>
        <v>{5000,4,1,302,102}</v>
      </c>
      <c r="AR86" t="str">
        <f t="shared" si="56"/>
        <v>{5000,4,1,302,103}</v>
      </c>
      <c r="AS86" t="str">
        <f t="shared" si="57"/>
        <v>{5000,4,1,302,113}</v>
      </c>
      <c r="AT86" t="str">
        <f t="shared" si="58"/>
        <v>{5000,4,1,302,111}</v>
      </c>
      <c r="AU86" t="str">
        <f t="shared" si="59"/>
        <v/>
      </c>
      <c r="AV86">
        <v>1330</v>
      </c>
      <c r="AW86" t="str">
        <f t="shared" si="60"/>
        <v>[{5000,4,1,302,101},{5000,4,1,302,102},{5000,4,1,302,103},{5000,4,1,302,113},{5000,4,1,302,111}]</v>
      </c>
    </row>
    <row r="87" spans="2:49">
      <c r="B87">
        <v>1331</v>
      </c>
      <c r="C87" t="s">
        <v>81</v>
      </c>
      <c r="D87" t="str">
        <f t="shared" si="50"/>
        <v>4</v>
      </c>
      <c r="F87">
        <v>286</v>
      </c>
      <c r="G87">
        <v>5000</v>
      </c>
      <c r="H87">
        <v>4</v>
      </c>
      <c r="I87">
        <v>1</v>
      </c>
      <c r="J87">
        <v>2</v>
      </c>
      <c r="K87">
        <f t="shared" si="44"/>
        <v>302</v>
      </c>
      <c r="L87">
        <f t="shared" si="39"/>
        <v>101</v>
      </c>
      <c r="M87">
        <v>5000</v>
      </c>
      <c r="N87">
        <f t="shared" si="27"/>
        <v>4</v>
      </c>
      <c r="O87">
        <v>1</v>
      </c>
      <c r="P87">
        <f t="shared" si="45"/>
        <v>302</v>
      </c>
      <c r="Q87">
        <v>53</v>
      </c>
      <c r="R87">
        <f t="shared" si="40"/>
        <v>103</v>
      </c>
      <c r="S87">
        <v>5000</v>
      </c>
      <c r="T87">
        <f t="shared" si="51"/>
        <v>4</v>
      </c>
      <c r="U87">
        <v>1</v>
      </c>
      <c r="V87">
        <f t="shared" si="46"/>
        <v>302</v>
      </c>
      <c r="W87">
        <v>59</v>
      </c>
      <c r="X87">
        <f t="shared" si="41"/>
        <v>111</v>
      </c>
      <c r="Y87">
        <v>5000</v>
      </c>
      <c r="Z87">
        <f t="shared" si="52"/>
        <v>4</v>
      </c>
      <c r="AA87">
        <v>1</v>
      </c>
      <c r="AB87">
        <f t="shared" si="47"/>
        <v>302</v>
      </c>
      <c r="AC87">
        <v>71</v>
      </c>
      <c r="AD87">
        <f t="shared" si="42"/>
        <v>112</v>
      </c>
      <c r="AE87">
        <v>5000</v>
      </c>
      <c r="AF87">
        <f t="shared" si="53"/>
        <v>4</v>
      </c>
      <c r="AG87">
        <v>1</v>
      </c>
      <c r="AH87">
        <f t="shared" si="48"/>
        <v>302</v>
      </c>
      <c r="AI87">
        <v>77</v>
      </c>
      <c r="AJ87">
        <f t="shared" si="43"/>
        <v>113</v>
      </c>
      <c r="AP87" t="str">
        <f t="shared" si="54"/>
        <v>{5000,4,1,302,101}</v>
      </c>
      <c r="AQ87" t="str">
        <f t="shared" si="55"/>
        <v>{5000,4,1,302,103}</v>
      </c>
      <c r="AR87" t="str">
        <f t="shared" si="56"/>
        <v>{5000,4,1,302,111}</v>
      </c>
      <c r="AS87" t="str">
        <f t="shared" si="57"/>
        <v>{5000,4,1,302,112}</v>
      </c>
      <c r="AT87" t="str">
        <f t="shared" si="58"/>
        <v>{5000,4,1,302,113}</v>
      </c>
      <c r="AU87" t="str">
        <f t="shared" si="59"/>
        <v/>
      </c>
      <c r="AV87">
        <v>1331</v>
      </c>
      <c r="AW87" t="str">
        <f t="shared" si="60"/>
        <v>[{5000,4,1,302,101},{5000,4,1,302,103},{5000,4,1,302,111},{5000,4,1,302,112},{5000,4,1,302,113}]</v>
      </c>
    </row>
    <row r="88" spans="2:49">
      <c r="B88">
        <v>1332</v>
      </c>
      <c r="C88" t="s">
        <v>81</v>
      </c>
      <c r="D88" t="str">
        <f t="shared" si="50"/>
        <v>4</v>
      </c>
      <c r="F88">
        <v>290</v>
      </c>
      <c r="G88">
        <v>5000</v>
      </c>
      <c r="H88">
        <v>4</v>
      </c>
      <c r="I88">
        <v>1</v>
      </c>
      <c r="J88">
        <v>2</v>
      </c>
      <c r="K88">
        <f t="shared" si="44"/>
        <v>302</v>
      </c>
      <c r="L88">
        <f t="shared" si="39"/>
        <v>101</v>
      </c>
      <c r="M88">
        <v>5000</v>
      </c>
      <c r="N88">
        <f t="shared" si="27"/>
        <v>4</v>
      </c>
      <c r="O88">
        <v>1</v>
      </c>
      <c r="P88">
        <f t="shared" si="45"/>
        <v>302</v>
      </c>
      <c r="Q88">
        <v>56</v>
      </c>
      <c r="R88">
        <f t="shared" si="40"/>
        <v>102</v>
      </c>
      <c r="S88">
        <v>5000</v>
      </c>
      <c r="T88">
        <f t="shared" si="51"/>
        <v>4</v>
      </c>
      <c r="U88">
        <v>1</v>
      </c>
      <c r="V88">
        <f t="shared" si="46"/>
        <v>301</v>
      </c>
      <c r="W88">
        <v>77</v>
      </c>
      <c r="X88">
        <f t="shared" si="41"/>
        <v>103</v>
      </c>
      <c r="Y88">
        <v>5000</v>
      </c>
      <c r="Z88">
        <f t="shared" si="52"/>
        <v>4</v>
      </c>
      <c r="AA88">
        <v>1</v>
      </c>
      <c r="AB88">
        <f t="shared" si="47"/>
        <v>302</v>
      </c>
      <c r="AC88">
        <v>72</v>
      </c>
      <c r="AD88">
        <f t="shared" si="42"/>
        <v>113</v>
      </c>
      <c r="AE88">
        <v>5000</v>
      </c>
      <c r="AF88">
        <f t="shared" si="53"/>
        <v>4</v>
      </c>
      <c r="AG88">
        <v>1</v>
      </c>
      <c r="AH88">
        <f t="shared" si="48"/>
        <v>302</v>
      </c>
      <c r="AI88">
        <v>74</v>
      </c>
      <c r="AJ88">
        <f t="shared" si="43"/>
        <v>111</v>
      </c>
      <c r="AP88" t="str">
        <f t="shared" si="54"/>
        <v>{5000,4,1,302,101}</v>
      </c>
      <c r="AQ88" t="str">
        <f t="shared" si="55"/>
        <v>{5000,4,1,302,102}</v>
      </c>
      <c r="AR88" t="str">
        <f t="shared" si="56"/>
        <v>{5000,4,1,301,103}</v>
      </c>
      <c r="AS88" t="str">
        <f t="shared" si="57"/>
        <v>{5000,4,1,302,113}</v>
      </c>
      <c r="AT88" t="str">
        <f t="shared" si="58"/>
        <v>{5000,4,1,302,111}</v>
      </c>
      <c r="AU88" t="str">
        <f t="shared" si="59"/>
        <v/>
      </c>
      <c r="AV88">
        <v>1332</v>
      </c>
      <c r="AW88" t="str">
        <f t="shared" si="60"/>
        <v>[{5000,4,1,302,101},{5000,4,1,302,102},{5000,4,1,301,103},{5000,4,1,302,113},{5000,4,1,302,111}]</v>
      </c>
    </row>
    <row r="89" spans="2:49">
      <c r="B89">
        <v>1411</v>
      </c>
      <c r="C89" t="s">
        <v>82</v>
      </c>
      <c r="D89" s="4" t="str">
        <f t="shared" si="50"/>
        <v>5</v>
      </c>
      <c r="E89" s="4"/>
      <c r="F89">
        <v>1</v>
      </c>
      <c r="G89">
        <v>5000</v>
      </c>
      <c r="H89">
        <v>1</v>
      </c>
      <c r="I89">
        <v>1</v>
      </c>
      <c r="J89">
        <v>1</v>
      </c>
      <c r="K89">
        <f t="shared" si="44"/>
        <v>401</v>
      </c>
      <c r="L89">
        <f t="shared" si="39"/>
        <v>101</v>
      </c>
      <c r="M89">
        <v>5000</v>
      </c>
      <c r="N89">
        <f t="shared" si="27"/>
        <v>1</v>
      </c>
      <c r="O89">
        <v>1</v>
      </c>
      <c r="P89">
        <f t="shared" si="45"/>
        <v>401</v>
      </c>
      <c r="Q89">
        <v>55</v>
      </c>
      <c r="R89">
        <f t="shared" si="40"/>
        <v>102</v>
      </c>
      <c r="S89">
        <v>5000</v>
      </c>
      <c r="T89">
        <f t="shared" si="51"/>
        <v>1</v>
      </c>
      <c r="U89">
        <v>1</v>
      </c>
      <c r="V89">
        <f t="shared" si="46"/>
        <v>401</v>
      </c>
      <c r="W89">
        <v>60</v>
      </c>
      <c r="X89">
        <f t="shared" si="41"/>
        <v>103</v>
      </c>
      <c r="Y89">
        <v>5000</v>
      </c>
      <c r="Z89">
        <f t="shared" si="52"/>
        <v>1</v>
      </c>
      <c r="AA89">
        <v>1</v>
      </c>
      <c r="AB89">
        <f t="shared" si="47"/>
        <v>401</v>
      </c>
      <c r="AC89">
        <v>71</v>
      </c>
      <c r="AD89">
        <f t="shared" si="42"/>
        <v>113</v>
      </c>
      <c r="AE89">
        <v>5000</v>
      </c>
      <c r="AF89">
        <f t="shared" si="53"/>
        <v>1</v>
      </c>
      <c r="AG89">
        <v>1</v>
      </c>
      <c r="AH89">
        <f t="shared" si="48"/>
        <v>401</v>
      </c>
      <c r="AI89">
        <v>76</v>
      </c>
      <c r="AJ89">
        <f t="shared" si="43"/>
        <v>111</v>
      </c>
      <c r="AP89" t="str">
        <f t="shared" si="54"/>
        <v>{5000,1,1,401,101}</v>
      </c>
      <c r="AQ89" t="str">
        <f t="shared" si="55"/>
        <v>{5000,1,1,401,102}</v>
      </c>
      <c r="AR89" t="str">
        <f t="shared" si="56"/>
        <v>{5000,1,1,401,103}</v>
      </c>
      <c r="AS89" t="str">
        <f t="shared" si="57"/>
        <v>{5000,1,1,401,113}</v>
      </c>
      <c r="AT89" t="str">
        <f t="shared" si="58"/>
        <v>{5000,1,1,401,111}</v>
      </c>
      <c r="AU89" t="str">
        <f t="shared" si="59"/>
        <v/>
      </c>
      <c r="AV89">
        <v>1411</v>
      </c>
      <c r="AW89" t="str">
        <f t="shared" si="60"/>
        <v>[{5000,1,1,401,101},{5000,1,1,401,102},{5000,1,1,401,103},{5000,1,1,401,113},{5000,1,1,401,111}]</v>
      </c>
    </row>
    <row r="90" spans="2:49">
      <c r="B90">
        <v>1412</v>
      </c>
      <c r="C90" t="s">
        <v>82</v>
      </c>
      <c r="D90" t="str">
        <f t="shared" si="50"/>
        <v>5</v>
      </c>
      <c r="F90">
        <v>16</v>
      </c>
      <c r="G90">
        <v>5000</v>
      </c>
      <c r="H90">
        <v>1</v>
      </c>
      <c r="I90">
        <v>1</v>
      </c>
      <c r="J90">
        <v>1</v>
      </c>
      <c r="K90">
        <f t="shared" si="44"/>
        <v>401</v>
      </c>
      <c r="L90">
        <f t="shared" si="39"/>
        <v>101</v>
      </c>
      <c r="M90">
        <v>5000</v>
      </c>
      <c r="N90">
        <f t="shared" si="27"/>
        <v>1</v>
      </c>
      <c r="O90">
        <v>1</v>
      </c>
      <c r="P90">
        <f t="shared" si="45"/>
        <v>401</v>
      </c>
      <c r="Q90">
        <v>55</v>
      </c>
      <c r="R90">
        <f t="shared" si="40"/>
        <v>103</v>
      </c>
      <c r="S90">
        <v>5000</v>
      </c>
      <c r="T90">
        <f t="shared" si="51"/>
        <v>1</v>
      </c>
      <c r="U90">
        <v>1</v>
      </c>
      <c r="V90">
        <f t="shared" si="46"/>
        <v>401</v>
      </c>
      <c r="W90">
        <v>75</v>
      </c>
      <c r="X90">
        <f t="shared" si="41"/>
        <v>111</v>
      </c>
      <c r="Y90">
        <v>5000</v>
      </c>
      <c r="Z90">
        <f t="shared" si="52"/>
        <v>1</v>
      </c>
      <c r="AA90">
        <v>1</v>
      </c>
      <c r="AB90">
        <f t="shared" si="47"/>
        <v>401</v>
      </c>
      <c r="AC90">
        <v>73</v>
      </c>
      <c r="AD90">
        <f t="shared" si="42"/>
        <v>112</v>
      </c>
      <c r="AE90">
        <v>5000</v>
      </c>
      <c r="AF90">
        <f t="shared" si="53"/>
        <v>1</v>
      </c>
      <c r="AG90">
        <v>1</v>
      </c>
      <c r="AH90">
        <f t="shared" si="48"/>
        <v>401</v>
      </c>
      <c r="AI90">
        <v>78</v>
      </c>
      <c r="AJ90">
        <f t="shared" si="43"/>
        <v>113</v>
      </c>
      <c r="AP90" t="str">
        <f t="shared" si="54"/>
        <v>{5000,1,1,401,101}</v>
      </c>
      <c r="AQ90" t="str">
        <f t="shared" si="55"/>
        <v>{5000,1,1,401,103}</v>
      </c>
      <c r="AR90" t="str">
        <f t="shared" si="56"/>
        <v>{5000,1,1,401,111}</v>
      </c>
      <c r="AS90" t="str">
        <f t="shared" si="57"/>
        <v>{5000,1,1,401,112}</v>
      </c>
      <c r="AT90" t="str">
        <f t="shared" si="58"/>
        <v>{5000,1,1,401,113}</v>
      </c>
      <c r="AU90" t="str">
        <f t="shared" si="59"/>
        <v/>
      </c>
      <c r="AV90">
        <v>1412</v>
      </c>
      <c r="AW90" t="str">
        <f t="shared" si="60"/>
        <v>[{5000,1,1,401,101},{5000,1,1,401,103},{5000,1,1,401,111},{5000,1,1,401,112},{5000,1,1,401,113}]</v>
      </c>
    </row>
    <row r="91" spans="2:49">
      <c r="B91">
        <v>1413</v>
      </c>
      <c r="C91" t="s">
        <v>82</v>
      </c>
      <c r="D91" t="str">
        <f t="shared" si="50"/>
        <v>5</v>
      </c>
      <c r="F91">
        <v>31</v>
      </c>
      <c r="G91">
        <v>5000</v>
      </c>
      <c r="H91">
        <v>2</v>
      </c>
      <c r="I91">
        <v>1</v>
      </c>
      <c r="J91">
        <v>1</v>
      </c>
      <c r="K91">
        <f t="shared" si="44"/>
        <v>401</v>
      </c>
      <c r="L91">
        <f t="shared" si="39"/>
        <v>101</v>
      </c>
      <c r="M91">
        <v>5000</v>
      </c>
      <c r="N91">
        <f t="shared" si="27"/>
        <v>2</v>
      </c>
      <c r="O91">
        <v>1</v>
      </c>
      <c r="P91">
        <f t="shared" si="45"/>
        <v>401</v>
      </c>
      <c r="Q91">
        <v>55</v>
      </c>
      <c r="R91">
        <f t="shared" si="40"/>
        <v>102</v>
      </c>
      <c r="S91">
        <v>5000</v>
      </c>
      <c r="T91">
        <f t="shared" si="51"/>
        <v>2</v>
      </c>
      <c r="U91">
        <v>1</v>
      </c>
      <c r="V91">
        <f t="shared" si="46"/>
        <v>401</v>
      </c>
      <c r="W91">
        <v>58</v>
      </c>
      <c r="X91">
        <f t="shared" si="41"/>
        <v>103</v>
      </c>
      <c r="Y91">
        <v>5000</v>
      </c>
      <c r="Z91">
        <f t="shared" si="52"/>
        <v>2</v>
      </c>
      <c r="AA91">
        <v>1</v>
      </c>
      <c r="AB91">
        <f t="shared" si="47"/>
        <v>401</v>
      </c>
      <c r="AC91">
        <v>76</v>
      </c>
      <c r="AD91">
        <f t="shared" si="42"/>
        <v>113</v>
      </c>
      <c r="AE91">
        <v>5000</v>
      </c>
      <c r="AF91">
        <f t="shared" si="53"/>
        <v>2</v>
      </c>
      <c r="AG91">
        <v>1</v>
      </c>
      <c r="AH91">
        <f t="shared" si="48"/>
        <v>401</v>
      </c>
      <c r="AI91">
        <v>79</v>
      </c>
      <c r="AJ91">
        <f t="shared" si="43"/>
        <v>111</v>
      </c>
      <c r="AP91" t="str">
        <f t="shared" si="54"/>
        <v>{5000,2,1,401,101}</v>
      </c>
      <c r="AQ91" t="str">
        <f t="shared" si="55"/>
        <v>{5000,2,1,401,102}</v>
      </c>
      <c r="AR91" t="str">
        <f t="shared" si="56"/>
        <v>{5000,2,1,401,103}</v>
      </c>
      <c r="AS91" t="str">
        <f t="shared" si="57"/>
        <v>{5000,2,1,401,113}</v>
      </c>
      <c r="AT91" t="str">
        <f t="shared" si="58"/>
        <v>{5000,2,1,401,111}</v>
      </c>
      <c r="AU91" t="str">
        <f t="shared" si="59"/>
        <v/>
      </c>
      <c r="AV91">
        <v>1413</v>
      </c>
      <c r="AW91" t="str">
        <f t="shared" si="60"/>
        <v>[{5000,2,1,401,101},{5000,2,1,401,102},{5000,2,1,401,103},{5000,2,1,401,113},{5000,2,1,401,111}]</v>
      </c>
    </row>
    <row r="92" spans="2:49">
      <c r="B92">
        <v>1414</v>
      </c>
      <c r="C92" t="s">
        <v>82</v>
      </c>
      <c r="D92" t="str">
        <f t="shared" si="50"/>
        <v>5</v>
      </c>
      <c r="F92">
        <v>46</v>
      </c>
      <c r="G92">
        <v>5000</v>
      </c>
      <c r="H92">
        <v>2</v>
      </c>
      <c r="I92">
        <v>1</v>
      </c>
      <c r="J92">
        <v>1</v>
      </c>
      <c r="K92">
        <f t="shared" si="44"/>
        <v>401</v>
      </c>
      <c r="L92">
        <f t="shared" si="39"/>
        <v>101</v>
      </c>
      <c r="M92">
        <v>5000</v>
      </c>
      <c r="N92">
        <f t="shared" si="27"/>
        <v>2</v>
      </c>
      <c r="O92">
        <v>1</v>
      </c>
      <c r="P92">
        <f t="shared" si="45"/>
        <v>401</v>
      </c>
      <c r="Q92">
        <v>55</v>
      </c>
      <c r="R92">
        <f t="shared" si="40"/>
        <v>103</v>
      </c>
      <c r="S92">
        <v>5000</v>
      </c>
      <c r="T92">
        <f t="shared" si="51"/>
        <v>2</v>
      </c>
      <c r="U92">
        <v>1</v>
      </c>
      <c r="V92">
        <f t="shared" si="46"/>
        <v>402</v>
      </c>
      <c r="W92">
        <v>76</v>
      </c>
      <c r="X92">
        <f t="shared" si="41"/>
        <v>111</v>
      </c>
      <c r="Y92">
        <v>5000</v>
      </c>
      <c r="Z92">
        <f t="shared" si="52"/>
        <v>2</v>
      </c>
      <c r="AA92">
        <v>1</v>
      </c>
      <c r="AB92">
        <f t="shared" si="47"/>
        <v>401</v>
      </c>
      <c r="AC92">
        <v>71</v>
      </c>
      <c r="AD92">
        <f t="shared" si="42"/>
        <v>112</v>
      </c>
      <c r="AE92">
        <v>5000</v>
      </c>
      <c r="AF92">
        <f t="shared" si="53"/>
        <v>2</v>
      </c>
      <c r="AG92">
        <v>1</v>
      </c>
      <c r="AH92">
        <f t="shared" si="48"/>
        <v>401</v>
      </c>
      <c r="AI92">
        <v>71</v>
      </c>
      <c r="AJ92">
        <f t="shared" si="43"/>
        <v>113</v>
      </c>
      <c r="AP92" t="str">
        <f t="shared" si="54"/>
        <v>{5000,2,1,401,101}</v>
      </c>
      <c r="AQ92" t="str">
        <f t="shared" si="55"/>
        <v>{5000,2,1,401,103}</v>
      </c>
      <c r="AR92" t="str">
        <f t="shared" si="56"/>
        <v>{5000,2,1,402,111}</v>
      </c>
      <c r="AS92" t="str">
        <f t="shared" si="57"/>
        <v>{5000,2,1,401,112}</v>
      </c>
      <c r="AT92" t="str">
        <f t="shared" si="58"/>
        <v>{5000,2,1,401,113}</v>
      </c>
      <c r="AU92" t="str">
        <f t="shared" si="59"/>
        <v/>
      </c>
      <c r="AV92">
        <v>1414</v>
      </c>
      <c r="AW92" t="str">
        <f t="shared" si="60"/>
        <v>[{5000,2,1,401,101},{5000,2,1,401,103},{5000,2,1,402,111},{5000,2,1,401,112},{5000,2,1,401,113}]</v>
      </c>
    </row>
    <row r="93" spans="2:49">
      <c r="B93">
        <v>1415</v>
      </c>
      <c r="C93" t="s">
        <v>82</v>
      </c>
      <c r="D93" t="str">
        <f t="shared" si="50"/>
        <v>5</v>
      </c>
      <c r="F93">
        <v>61</v>
      </c>
      <c r="G93">
        <v>5000</v>
      </c>
      <c r="H93">
        <v>2</v>
      </c>
      <c r="I93">
        <v>1</v>
      </c>
      <c r="J93">
        <v>3</v>
      </c>
      <c r="K93">
        <f t="shared" si="44"/>
        <v>403</v>
      </c>
      <c r="L93">
        <f t="shared" si="39"/>
        <v>101</v>
      </c>
      <c r="M93">
        <v>5000</v>
      </c>
      <c r="N93">
        <f t="shared" si="27"/>
        <v>2</v>
      </c>
      <c r="O93">
        <v>1</v>
      </c>
      <c r="P93">
        <f t="shared" si="45"/>
        <v>403</v>
      </c>
      <c r="Q93">
        <v>56</v>
      </c>
      <c r="R93">
        <f t="shared" si="40"/>
        <v>102</v>
      </c>
      <c r="S93">
        <v>5000</v>
      </c>
      <c r="T93">
        <f t="shared" si="51"/>
        <v>2</v>
      </c>
      <c r="U93">
        <v>1</v>
      </c>
      <c r="V93">
        <f t="shared" si="46"/>
        <v>403</v>
      </c>
      <c r="W93">
        <v>57</v>
      </c>
      <c r="X93">
        <f t="shared" si="41"/>
        <v>103</v>
      </c>
      <c r="Y93">
        <v>5000</v>
      </c>
      <c r="Z93">
        <f t="shared" si="52"/>
        <v>2</v>
      </c>
      <c r="AA93">
        <v>1</v>
      </c>
      <c r="AB93">
        <f t="shared" si="47"/>
        <v>403</v>
      </c>
      <c r="AC93">
        <v>72</v>
      </c>
      <c r="AD93">
        <f t="shared" si="42"/>
        <v>113</v>
      </c>
      <c r="AE93">
        <v>5000</v>
      </c>
      <c r="AF93">
        <f t="shared" si="53"/>
        <v>2</v>
      </c>
      <c r="AG93">
        <v>1</v>
      </c>
      <c r="AH93">
        <f t="shared" si="48"/>
        <v>403</v>
      </c>
      <c r="AI93">
        <v>71</v>
      </c>
      <c r="AJ93">
        <f t="shared" si="43"/>
        <v>111</v>
      </c>
      <c r="AP93" t="str">
        <f t="shared" si="54"/>
        <v>{5000,2,1,403,101}</v>
      </c>
      <c r="AQ93" t="str">
        <f t="shared" si="55"/>
        <v>{5000,2,1,403,102}</v>
      </c>
      <c r="AR93" t="str">
        <f t="shared" si="56"/>
        <v>{5000,2,1,403,103}</v>
      </c>
      <c r="AS93" t="str">
        <f t="shared" si="57"/>
        <v>{5000,2,1,403,113}</v>
      </c>
      <c r="AT93" t="str">
        <f t="shared" si="58"/>
        <v>{5000,2,1,403,111}</v>
      </c>
      <c r="AU93" t="str">
        <f t="shared" si="59"/>
        <v/>
      </c>
      <c r="AV93">
        <v>1415</v>
      </c>
      <c r="AW93" t="str">
        <f t="shared" si="60"/>
        <v>[{5000,2,1,403,101},{5000,2,1,403,102},{5000,2,1,403,103},{5000,2,1,403,113},{5000,2,1,403,111}]</v>
      </c>
    </row>
    <row r="94" spans="2:49">
      <c r="B94">
        <v>1416</v>
      </c>
      <c r="C94" t="s">
        <v>82</v>
      </c>
      <c r="D94" t="str">
        <f t="shared" si="50"/>
        <v>5</v>
      </c>
      <c r="F94">
        <v>76</v>
      </c>
      <c r="G94">
        <v>5000</v>
      </c>
      <c r="H94">
        <v>2</v>
      </c>
      <c r="I94">
        <v>1</v>
      </c>
      <c r="J94">
        <v>1</v>
      </c>
      <c r="K94">
        <f t="shared" si="44"/>
        <v>401</v>
      </c>
      <c r="L94">
        <f t="shared" si="39"/>
        <v>101</v>
      </c>
      <c r="M94">
        <v>5000</v>
      </c>
      <c r="N94">
        <f t="shared" si="27"/>
        <v>2</v>
      </c>
      <c r="O94">
        <v>1</v>
      </c>
      <c r="P94">
        <f t="shared" si="45"/>
        <v>401</v>
      </c>
      <c r="Q94">
        <v>59</v>
      </c>
      <c r="R94">
        <f t="shared" si="40"/>
        <v>103</v>
      </c>
      <c r="S94">
        <v>5000</v>
      </c>
      <c r="T94">
        <f t="shared" si="51"/>
        <v>2</v>
      </c>
      <c r="U94">
        <v>1</v>
      </c>
      <c r="V94">
        <f t="shared" si="46"/>
        <v>402</v>
      </c>
      <c r="W94">
        <v>71</v>
      </c>
      <c r="X94">
        <f t="shared" si="41"/>
        <v>111</v>
      </c>
      <c r="Y94">
        <v>5000</v>
      </c>
      <c r="Z94">
        <f t="shared" si="52"/>
        <v>2</v>
      </c>
      <c r="AA94">
        <v>1</v>
      </c>
      <c r="AB94">
        <f t="shared" si="47"/>
        <v>401</v>
      </c>
      <c r="AC94">
        <v>71</v>
      </c>
      <c r="AD94">
        <f t="shared" si="42"/>
        <v>112</v>
      </c>
      <c r="AE94">
        <v>5000</v>
      </c>
      <c r="AF94">
        <f t="shared" si="53"/>
        <v>2</v>
      </c>
      <c r="AG94">
        <v>1</v>
      </c>
      <c r="AH94">
        <f t="shared" si="48"/>
        <v>401</v>
      </c>
      <c r="AI94">
        <v>79</v>
      </c>
      <c r="AJ94">
        <f t="shared" si="43"/>
        <v>113</v>
      </c>
      <c r="AP94" t="str">
        <f t="shared" si="54"/>
        <v>{5000,2,1,401,101}</v>
      </c>
      <c r="AQ94" t="str">
        <f t="shared" si="55"/>
        <v>{5000,2,1,401,103}</v>
      </c>
      <c r="AR94" t="str">
        <f t="shared" si="56"/>
        <v>{5000,2,1,402,111}</v>
      </c>
      <c r="AS94" t="str">
        <f t="shared" si="57"/>
        <v>{5000,2,1,401,112}</v>
      </c>
      <c r="AT94" t="str">
        <f t="shared" si="58"/>
        <v>{5000,2,1,401,113}</v>
      </c>
      <c r="AU94" t="str">
        <f t="shared" si="59"/>
        <v/>
      </c>
      <c r="AV94">
        <v>1416</v>
      </c>
      <c r="AW94" t="str">
        <f t="shared" si="60"/>
        <v>[{5000,2,1,401,101},{5000,2,1,401,103},{5000,2,1,402,111},{5000,2,1,401,112},{5000,2,1,401,113}]</v>
      </c>
    </row>
    <row r="95" spans="2:49">
      <c r="B95">
        <v>1417</v>
      </c>
      <c r="C95" t="s">
        <v>82</v>
      </c>
      <c r="D95" t="str">
        <f t="shared" si="50"/>
        <v>5</v>
      </c>
      <c r="F95">
        <v>91</v>
      </c>
      <c r="G95">
        <v>5000</v>
      </c>
      <c r="H95">
        <v>2</v>
      </c>
      <c r="I95">
        <v>1</v>
      </c>
      <c r="J95">
        <v>1</v>
      </c>
      <c r="K95">
        <f t="shared" si="44"/>
        <v>401</v>
      </c>
      <c r="L95">
        <f t="shared" si="39"/>
        <v>101</v>
      </c>
      <c r="M95">
        <v>5000</v>
      </c>
      <c r="N95">
        <f t="shared" si="27"/>
        <v>2</v>
      </c>
      <c r="O95">
        <v>1</v>
      </c>
      <c r="P95">
        <f t="shared" si="45"/>
        <v>401</v>
      </c>
      <c r="Q95">
        <v>54</v>
      </c>
      <c r="R95">
        <f t="shared" si="40"/>
        <v>102</v>
      </c>
      <c r="S95">
        <v>5000</v>
      </c>
      <c r="T95">
        <f t="shared" si="51"/>
        <v>2</v>
      </c>
      <c r="U95">
        <v>1</v>
      </c>
      <c r="V95">
        <f t="shared" si="46"/>
        <v>402</v>
      </c>
      <c r="W95">
        <v>51</v>
      </c>
      <c r="X95">
        <f t="shared" si="41"/>
        <v>103</v>
      </c>
      <c r="Y95">
        <v>5000</v>
      </c>
      <c r="Z95">
        <f t="shared" si="52"/>
        <v>2</v>
      </c>
      <c r="AA95">
        <v>1</v>
      </c>
      <c r="AB95">
        <f t="shared" si="47"/>
        <v>401</v>
      </c>
      <c r="AC95">
        <v>71</v>
      </c>
      <c r="AD95">
        <f t="shared" si="42"/>
        <v>113</v>
      </c>
      <c r="AE95">
        <v>5000</v>
      </c>
      <c r="AF95">
        <f t="shared" si="53"/>
        <v>2</v>
      </c>
      <c r="AG95">
        <v>1</v>
      </c>
      <c r="AH95">
        <f t="shared" si="48"/>
        <v>402</v>
      </c>
      <c r="AI95">
        <v>77</v>
      </c>
      <c r="AJ95">
        <f t="shared" si="43"/>
        <v>111</v>
      </c>
      <c r="AP95" t="str">
        <f t="shared" si="54"/>
        <v>{5000,2,1,401,101}</v>
      </c>
      <c r="AQ95" t="str">
        <f t="shared" si="55"/>
        <v>{5000,2,1,401,102}</v>
      </c>
      <c r="AR95" t="str">
        <f t="shared" si="56"/>
        <v>{5000,2,1,402,103}</v>
      </c>
      <c r="AS95" t="str">
        <f t="shared" si="57"/>
        <v>{5000,2,1,401,113}</v>
      </c>
      <c r="AT95" t="str">
        <f t="shared" si="58"/>
        <v>{5000,2,1,402,111}</v>
      </c>
      <c r="AU95" t="str">
        <f t="shared" si="59"/>
        <v/>
      </c>
      <c r="AV95">
        <v>1417</v>
      </c>
      <c r="AW95" t="str">
        <f t="shared" si="60"/>
        <v>[{5000,2,1,401,101},{5000,2,1,401,102},{5000,2,1,402,103},{5000,2,1,401,113},{5000,2,1,402,111}]</v>
      </c>
    </row>
    <row r="96" spans="2:49">
      <c r="B96">
        <v>1418</v>
      </c>
      <c r="C96" t="s">
        <v>82</v>
      </c>
      <c r="D96" t="str">
        <f t="shared" si="50"/>
        <v>5</v>
      </c>
      <c r="F96">
        <v>106</v>
      </c>
      <c r="G96">
        <v>5000</v>
      </c>
      <c r="H96">
        <v>2</v>
      </c>
      <c r="I96">
        <v>1</v>
      </c>
      <c r="J96">
        <v>1</v>
      </c>
      <c r="K96">
        <f t="shared" si="44"/>
        <v>401</v>
      </c>
      <c r="L96">
        <f t="shared" si="39"/>
        <v>101</v>
      </c>
      <c r="M96">
        <v>5000</v>
      </c>
      <c r="N96">
        <f t="shared" si="27"/>
        <v>2</v>
      </c>
      <c r="O96">
        <v>1</v>
      </c>
      <c r="P96">
        <f t="shared" si="45"/>
        <v>401</v>
      </c>
      <c r="Q96">
        <v>55</v>
      </c>
      <c r="R96">
        <f t="shared" si="40"/>
        <v>103</v>
      </c>
      <c r="S96">
        <v>5000</v>
      </c>
      <c r="T96">
        <f t="shared" si="51"/>
        <v>2</v>
      </c>
      <c r="U96">
        <v>1</v>
      </c>
      <c r="V96">
        <f t="shared" si="46"/>
        <v>402</v>
      </c>
      <c r="W96">
        <v>73</v>
      </c>
      <c r="X96">
        <f t="shared" si="41"/>
        <v>111</v>
      </c>
      <c r="Y96">
        <v>5000</v>
      </c>
      <c r="Z96">
        <f t="shared" si="52"/>
        <v>2</v>
      </c>
      <c r="AA96">
        <v>1</v>
      </c>
      <c r="AB96">
        <f t="shared" si="47"/>
        <v>401</v>
      </c>
      <c r="AC96">
        <v>78</v>
      </c>
      <c r="AD96">
        <f t="shared" si="42"/>
        <v>112</v>
      </c>
      <c r="AE96">
        <v>5000</v>
      </c>
      <c r="AF96">
        <f t="shared" si="53"/>
        <v>2</v>
      </c>
      <c r="AG96">
        <v>1</v>
      </c>
      <c r="AH96">
        <f t="shared" si="48"/>
        <v>402</v>
      </c>
      <c r="AI96">
        <v>71</v>
      </c>
      <c r="AJ96">
        <f t="shared" si="43"/>
        <v>113</v>
      </c>
      <c r="AP96" t="str">
        <f t="shared" si="54"/>
        <v>{5000,2,1,401,101}</v>
      </c>
      <c r="AQ96" t="str">
        <f t="shared" si="55"/>
        <v>{5000,2,1,401,103}</v>
      </c>
      <c r="AR96" t="str">
        <f t="shared" si="56"/>
        <v>{5000,2,1,402,111}</v>
      </c>
      <c r="AS96" t="str">
        <f t="shared" si="57"/>
        <v>{5000,2,1,401,112}</v>
      </c>
      <c r="AT96" t="str">
        <f t="shared" si="58"/>
        <v>{5000,2,1,402,113}</v>
      </c>
      <c r="AU96" t="str">
        <f t="shared" si="59"/>
        <v/>
      </c>
      <c r="AV96">
        <v>1418</v>
      </c>
      <c r="AW96" t="str">
        <f t="shared" si="60"/>
        <v>[{5000,2,1,401,101},{5000,2,1,401,103},{5000,2,1,402,111},{5000,2,1,401,112},{5000,2,1,402,113}]</v>
      </c>
    </row>
    <row r="97" spans="2:49">
      <c r="B97">
        <v>1419</v>
      </c>
      <c r="C97" t="s">
        <v>82</v>
      </c>
      <c r="D97" t="str">
        <f t="shared" si="50"/>
        <v>5</v>
      </c>
      <c r="F97">
        <v>121</v>
      </c>
      <c r="G97">
        <v>5000</v>
      </c>
      <c r="H97">
        <v>3</v>
      </c>
      <c r="I97">
        <v>1</v>
      </c>
      <c r="J97">
        <v>3</v>
      </c>
      <c r="K97">
        <f t="shared" si="44"/>
        <v>403</v>
      </c>
      <c r="L97">
        <f t="shared" si="39"/>
        <v>101</v>
      </c>
      <c r="M97">
        <v>5000</v>
      </c>
      <c r="N97">
        <f t="shared" si="27"/>
        <v>3</v>
      </c>
      <c r="O97">
        <v>1</v>
      </c>
      <c r="P97">
        <f t="shared" si="45"/>
        <v>403</v>
      </c>
      <c r="Q97">
        <v>54</v>
      </c>
      <c r="R97">
        <f t="shared" si="40"/>
        <v>102</v>
      </c>
      <c r="S97">
        <v>5000</v>
      </c>
      <c r="T97">
        <f t="shared" si="51"/>
        <v>3</v>
      </c>
      <c r="U97">
        <v>1</v>
      </c>
      <c r="V97">
        <f t="shared" si="46"/>
        <v>403</v>
      </c>
      <c r="W97">
        <v>51</v>
      </c>
      <c r="X97">
        <f t="shared" si="41"/>
        <v>103</v>
      </c>
      <c r="Y97">
        <v>5000</v>
      </c>
      <c r="Z97">
        <f t="shared" si="52"/>
        <v>3</v>
      </c>
      <c r="AA97">
        <v>1</v>
      </c>
      <c r="AB97">
        <f t="shared" si="47"/>
        <v>403</v>
      </c>
      <c r="AC97">
        <v>71</v>
      </c>
      <c r="AD97">
        <f t="shared" si="42"/>
        <v>113</v>
      </c>
      <c r="AE97">
        <v>5000</v>
      </c>
      <c r="AF97">
        <f t="shared" si="53"/>
        <v>3</v>
      </c>
      <c r="AG97">
        <v>1</v>
      </c>
      <c r="AH97">
        <f t="shared" si="48"/>
        <v>403</v>
      </c>
      <c r="AI97">
        <v>79</v>
      </c>
      <c r="AJ97">
        <f t="shared" si="43"/>
        <v>111</v>
      </c>
      <c r="AP97" t="str">
        <f t="shared" si="54"/>
        <v>{5000,3,1,403,101}</v>
      </c>
      <c r="AQ97" t="str">
        <f t="shared" si="55"/>
        <v>{5000,3,1,403,102}</v>
      </c>
      <c r="AR97" t="str">
        <f t="shared" si="56"/>
        <v>{5000,3,1,403,103}</v>
      </c>
      <c r="AS97" t="str">
        <f t="shared" si="57"/>
        <v>{5000,3,1,403,113}</v>
      </c>
      <c r="AT97" t="str">
        <f t="shared" si="58"/>
        <v>{5000,3,1,403,111}</v>
      </c>
      <c r="AU97" t="str">
        <f t="shared" si="59"/>
        <v/>
      </c>
      <c r="AV97">
        <v>1419</v>
      </c>
      <c r="AW97" t="str">
        <f t="shared" si="60"/>
        <v>[{5000,3,1,403,101},{5000,3,1,403,102},{5000,3,1,403,103},{5000,3,1,403,113},{5000,3,1,403,111}]</v>
      </c>
    </row>
    <row r="98" spans="2:49">
      <c r="B98">
        <v>1420</v>
      </c>
      <c r="C98" t="s">
        <v>82</v>
      </c>
      <c r="D98" t="str">
        <f t="shared" si="50"/>
        <v>5</v>
      </c>
      <c r="F98">
        <v>136</v>
      </c>
      <c r="G98">
        <v>5000</v>
      </c>
      <c r="H98">
        <v>3</v>
      </c>
      <c r="I98">
        <v>1</v>
      </c>
      <c r="J98">
        <v>1</v>
      </c>
      <c r="K98">
        <f t="shared" si="44"/>
        <v>401</v>
      </c>
      <c r="L98">
        <f t="shared" si="39"/>
        <v>101</v>
      </c>
      <c r="M98">
        <v>5000</v>
      </c>
      <c r="N98">
        <f t="shared" si="27"/>
        <v>3</v>
      </c>
      <c r="O98">
        <v>1</v>
      </c>
      <c r="P98">
        <f t="shared" si="45"/>
        <v>401</v>
      </c>
      <c r="Q98">
        <v>54</v>
      </c>
      <c r="R98">
        <f t="shared" si="40"/>
        <v>103</v>
      </c>
      <c r="S98">
        <v>5000</v>
      </c>
      <c r="T98">
        <f t="shared" si="51"/>
        <v>3</v>
      </c>
      <c r="U98">
        <v>1</v>
      </c>
      <c r="V98">
        <f t="shared" si="46"/>
        <v>402</v>
      </c>
      <c r="W98">
        <v>76</v>
      </c>
      <c r="X98">
        <f t="shared" si="41"/>
        <v>111</v>
      </c>
      <c r="Y98">
        <v>5000</v>
      </c>
      <c r="Z98">
        <f t="shared" si="52"/>
        <v>3</v>
      </c>
      <c r="AA98">
        <v>1</v>
      </c>
      <c r="AB98">
        <f t="shared" si="47"/>
        <v>401</v>
      </c>
      <c r="AC98">
        <v>72</v>
      </c>
      <c r="AD98">
        <f t="shared" si="42"/>
        <v>112</v>
      </c>
      <c r="AE98">
        <v>5000</v>
      </c>
      <c r="AF98">
        <f t="shared" si="53"/>
        <v>3</v>
      </c>
      <c r="AG98">
        <v>1</v>
      </c>
      <c r="AH98">
        <f t="shared" si="48"/>
        <v>402</v>
      </c>
      <c r="AI98">
        <v>74</v>
      </c>
      <c r="AJ98">
        <f t="shared" si="43"/>
        <v>113</v>
      </c>
      <c r="AP98" t="str">
        <f t="shared" si="54"/>
        <v>{5000,3,1,401,101}</v>
      </c>
      <c r="AQ98" t="str">
        <f t="shared" si="55"/>
        <v>{5000,3,1,401,103}</v>
      </c>
      <c r="AR98" t="str">
        <f t="shared" si="56"/>
        <v>{5000,3,1,402,111}</v>
      </c>
      <c r="AS98" t="str">
        <f t="shared" si="57"/>
        <v>{5000,3,1,401,112}</v>
      </c>
      <c r="AT98" t="str">
        <f t="shared" si="58"/>
        <v>{5000,3,1,402,113}</v>
      </c>
      <c r="AU98" t="str">
        <f t="shared" si="59"/>
        <v/>
      </c>
      <c r="AV98">
        <v>1420</v>
      </c>
      <c r="AW98" t="str">
        <f t="shared" si="60"/>
        <v>[{5000,3,1,401,101},{5000,3,1,401,103},{5000,3,1,402,111},{5000,3,1,401,112},{5000,3,1,402,113}]</v>
      </c>
    </row>
    <row r="99" spans="2:49">
      <c r="B99">
        <v>1421</v>
      </c>
      <c r="C99" t="s">
        <v>82</v>
      </c>
      <c r="D99" t="str">
        <f t="shared" si="50"/>
        <v>5</v>
      </c>
      <c r="F99">
        <v>151</v>
      </c>
      <c r="G99">
        <v>5000</v>
      </c>
      <c r="H99">
        <v>3</v>
      </c>
      <c r="I99">
        <v>1</v>
      </c>
      <c r="J99">
        <v>1</v>
      </c>
      <c r="K99">
        <f t="shared" si="44"/>
        <v>401</v>
      </c>
      <c r="L99">
        <f t="shared" si="39"/>
        <v>101</v>
      </c>
      <c r="M99">
        <v>5000</v>
      </c>
      <c r="N99">
        <f t="shared" si="27"/>
        <v>3</v>
      </c>
      <c r="O99">
        <v>1</v>
      </c>
      <c r="P99">
        <f t="shared" si="45"/>
        <v>401</v>
      </c>
      <c r="Q99">
        <v>54</v>
      </c>
      <c r="R99">
        <f t="shared" si="40"/>
        <v>102</v>
      </c>
      <c r="S99">
        <v>5000</v>
      </c>
      <c r="T99">
        <f t="shared" si="51"/>
        <v>3</v>
      </c>
      <c r="U99">
        <v>1</v>
      </c>
      <c r="V99">
        <f t="shared" si="46"/>
        <v>402</v>
      </c>
      <c r="W99">
        <v>56</v>
      </c>
      <c r="X99">
        <f t="shared" si="41"/>
        <v>103</v>
      </c>
      <c r="Y99">
        <v>5000</v>
      </c>
      <c r="Z99">
        <f t="shared" si="52"/>
        <v>3</v>
      </c>
      <c r="AA99">
        <v>1</v>
      </c>
      <c r="AB99">
        <f t="shared" si="47"/>
        <v>401</v>
      </c>
      <c r="AC99">
        <v>72</v>
      </c>
      <c r="AD99">
        <f t="shared" si="42"/>
        <v>113</v>
      </c>
      <c r="AE99">
        <v>5000</v>
      </c>
      <c r="AF99">
        <f t="shared" si="53"/>
        <v>3</v>
      </c>
      <c r="AG99">
        <v>1</v>
      </c>
      <c r="AH99">
        <f t="shared" si="48"/>
        <v>402</v>
      </c>
      <c r="AI99">
        <v>74</v>
      </c>
      <c r="AJ99">
        <f t="shared" si="43"/>
        <v>111</v>
      </c>
      <c r="AP99" t="str">
        <f t="shared" si="54"/>
        <v>{5000,3,1,401,101}</v>
      </c>
      <c r="AQ99" t="str">
        <f t="shared" si="55"/>
        <v>{5000,3,1,401,102}</v>
      </c>
      <c r="AR99" t="str">
        <f t="shared" si="56"/>
        <v>{5000,3,1,402,103}</v>
      </c>
      <c r="AS99" t="str">
        <f t="shared" si="57"/>
        <v>{5000,3,1,401,113}</v>
      </c>
      <c r="AT99" t="str">
        <f t="shared" si="58"/>
        <v>{5000,3,1,402,111}</v>
      </c>
      <c r="AU99" t="str">
        <f t="shared" si="59"/>
        <v/>
      </c>
      <c r="AV99">
        <v>1421</v>
      </c>
      <c r="AW99" t="str">
        <f t="shared" si="60"/>
        <v>[{5000,3,1,401,101},{5000,3,1,401,102},{5000,3,1,402,103},{5000,3,1,401,113},{5000,3,1,402,111}]</v>
      </c>
    </row>
    <row r="100" spans="2:49">
      <c r="B100">
        <v>1422</v>
      </c>
      <c r="C100" t="s">
        <v>82</v>
      </c>
      <c r="D100" t="str">
        <f t="shared" si="50"/>
        <v>5</v>
      </c>
      <c r="F100">
        <v>166</v>
      </c>
      <c r="G100">
        <v>5000</v>
      </c>
      <c r="H100">
        <v>3</v>
      </c>
      <c r="I100">
        <v>1</v>
      </c>
      <c r="J100">
        <v>1</v>
      </c>
      <c r="K100">
        <f t="shared" si="44"/>
        <v>401</v>
      </c>
      <c r="L100">
        <f t="shared" si="39"/>
        <v>101</v>
      </c>
      <c r="M100">
        <v>5000</v>
      </c>
      <c r="N100">
        <f t="shared" si="27"/>
        <v>3</v>
      </c>
      <c r="O100">
        <v>1</v>
      </c>
      <c r="P100">
        <f t="shared" si="45"/>
        <v>401</v>
      </c>
      <c r="Q100">
        <v>59</v>
      </c>
      <c r="R100">
        <f t="shared" si="40"/>
        <v>103</v>
      </c>
      <c r="S100">
        <v>5000</v>
      </c>
      <c r="T100">
        <f t="shared" si="51"/>
        <v>3</v>
      </c>
      <c r="U100">
        <v>1</v>
      </c>
      <c r="V100">
        <f t="shared" si="46"/>
        <v>402</v>
      </c>
      <c r="W100">
        <v>79</v>
      </c>
      <c r="X100">
        <f t="shared" si="41"/>
        <v>111</v>
      </c>
      <c r="Y100">
        <v>5000</v>
      </c>
      <c r="Z100">
        <f t="shared" si="52"/>
        <v>3</v>
      </c>
      <c r="AA100">
        <v>1</v>
      </c>
      <c r="AB100">
        <f t="shared" si="47"/>
        <v>401</v>
      </c>
      <c r="AC100">
        <v>71</v>
      </c>
      <c r="AD100">
        <f t="shared" si="42"/>
        <v>112</v>
      </c>
      <c r="AE100">
        <v>5000</v>
      </c>
      <c r="AF100">
        <f t="shared" si="53"/>
        <v>3</v>
      </c>
      <c r="AG100">
        <v>1</v>
      </c>
      <c r="AH100">
        <f t="shared" si="48"/>
        <v>402</v>
      </c>
      <c r="AI100">
        <v>74</v>
      </c>
      <c r="AJ100">
        <f t="shared" si="43"/>
        <v>113</v>
      </c>
      <c r="AP100" t="str">
        <f t="shared" si="54"/>
        <v>{5000,3,1,401,101}</v>
      </c>
      <c r="AQ100" t="str">
        <f t="shared" si="55"/>
        <v>{5000,3,1,401,103}</v>
      </c>
      <c r="AR100" t="str">
        <f t="shared" si="56"/>
        <v>{5000,3,1,402,111}</v>
      </c>
      <c r="AS100" t="str">
        <f t="shared" si="57"/>
        <v>{5000,3,1,401,112}</v>
      </c>
      <c r="AT100" t="str">
        <f t="shared" si="58"/>
        <v>{5000,3,1,402,113}</v>
      </c>
      <c r="AU100" t="str">
        <f t="shared" si="59"/>
        <v/>
      </c>
      <c r="AV100">
        <v>1422</v>
      </c>
      <c r="AW100" t="str">
        <f t="shared" si="60"/>
        <v>[{5000,3,1,401,101},{5000,3,1,401,103},{5000,3,1,402,111},{5000,3,1,401,112},{5000,3,1,402,113}]</v>
      </c>
    </row>
    <row r="101" spans="2:49">
      <c r="B101">
        <v>1423</v>
      </c>
      <c r="C101" t="s">
        <v>82</v>
      </c>
      <c r="D101" t="str">
        <f t="shared" si="50"/>
        <v>5</v>
      </c>
      <c r="F101">
        <v>181</v>
      </c>
      <c r="G101">
        <v>5000</v>
      </c>
      <c r="H101">
        <v>4</v>
      </c>
      <c r="I101">
        <v>1</v>
      </c>
      <c r="J101">
        <v>3</v>
      </c>
      <c r="K101">
        <f t="shared" si="44"/>
        <v>403</v>
      </c>
      <c r="L101">
        <f t="shared" si="39"/>
        <v>101</v>
      </c>
      <c r="M101">
        <v>5000</v>
      </c>
      <c r="N101">
        <f t="shared" si="27"/>
        <v>4</v>
      </c>
      <c r="O101">
        <v>1</v>
      </c>
      <c r="P101">
        <f t="shared" si="45"/>
        <v>403</v>
      </c>
      <c r="Q101">
        <v>53</v>
      </c>
      <c r="R101">
        <f t="shared" si="40"/>
        <v>102</v>
      </c>
      <c r="S101">
        <v>5000</v>
      </c>
      <c r="T101">
        <f t="shared" si="51"/>
        <v>4</v>
      </c>
      <c r="U101">
        <v>1</v>
      </c>
      <c r="V101">
        <f t="shared" si="46"/>
        <v>403</v>
      </c>
      <c r="W101">
        <v>56</v>
      </c>
      <c r="X101">
        <f t="shared" si="41"/>
        <v>103</v>
      </c>
      <c r="Y101">
        <v>5000</v>
      </c>
      <c r="Z101">
        <f t="shared" si="52"/>
        <v>4</v>
      </c>
      <c r="AA101">
        <v>1</v>
      </c>
      <c r="AB101">
        <f t="shared" si="47"/>
        <v>403</v>
      </c>
      <c r="AC101">
        <v>75</v>
      </c>
      <c r="AD101">
        <f t="shared" si="42"/>
        <v>113</v>
      </c>
      <c r="AE101">
        <v>5000</v>
      </c>
      <c r="AF101">
        <f t="shared" si="53"/>
        <v>4</v>
      </c>
      <c r="AG101">
        <v>1</v>
      </c>
      <c r="AH101">
        <f t="shared" si="48"/>
        <v>403</v>
      </c>
      <c r="AI101">
        <v>78</v>
      </c>
      <c r="AJ101">
        <f t="shared" si="43"/>
        <v>111</v>
      </c>
      <c r="AP101" t="str">
        <f t="shared" si="54"/>
        <v>{5000,4,1,403,101}</v>
      </c>
      <c r="AQ101" t="str">
        <f t="shared" si="55"/>
        <v>{5000,4,1,403,102}</v>
      </c>
      <c r="AR101" t="str">
        <f t="shared" si="56"/>
        <v>{5000,4,1,403,103}</v>
      </c>
      <c r="AS101" t="str">
        <f t="shared" si="57"/>
        <v>{5000,4,1,403,113}</v>
      </c>
      <c r="AT101" t="str">
        <f t="shared" si="58"/>
        <v>{5000,4,1,403,111}</v>
      </c>
      <c r="AU101" t="str">
        <f t="shared" si="59"/>
        <v/>
      </c>
      <c r="AV101">
        <v>1423</v>
      </c>
      <c r="AW101" t="str">
        <f t="shared" si="60"/>
        <v>[{5000,4,1,403,101},{5000,4,1,403,102},{5000,4,1,403,103},{5000,4,1,403,113},{5000,4,1,403,111}]</v>
      </c>
    </row>
    <row r="102" spans="2:49">
      <c r="B102">
        <v>1424</v>
      </c>
      <c r="C102" t="s">
        <v>82</v>
      </c>
      <c r="D102" t="str">
        <f t="shared" si="50"/>
        <v>5</v>
      </c>
      <c r="F102">
        <v>196</v>
      </c>
      <c r="G102">
        <v>5000</v>
      </c>
      <c r="H102">
        <v>3</v>
      </c>
      <c r="I102">
        <v>1</v>
      </c>
      <c r="J102">
        <v>2</v>
      </c>
      <c r="K102">
        <f t="shared" si="44"/>
        <v>402</v>
      </c>
      <c r="L102">
        <f t="shared" si="39"/>
        <v>101</v>
      </c>
      <c r="M102">
        <v>5000</v>
      </c>
      <c r="N102">
        <f t="shared" ref="N102:N165" si="61">H102</f>
        <v>3</v>
      </c>
      <c r="O102">
        <v>1</v>
      </c>
      <c r="P102">
        <f t="shared" si="45"/>
        <v>401</v>
      </c>
      <c r="Q102">
        <v>54</v>
      </c>
      <c r="R102">
        <f t="shared" si="40"/>
        <v>103</v>
      </c>
      <c r="S102">
        <v>5000</v>
      </c>
      <c r="T102">
        <f t="shared" si="51"/>
        <v>3</v>
      </c>
      <c r="U102">
        <v>1</v>
      </c>
      <c r="V102">
        <f t="shared" si="46"/>
        <v>402</v>
      </c>
      <c r="W102">
        <v>77</v>
      </c>
      <c r="X102">
        <f t="shared" si="41"/>
        <v>111</v>
      </c>
      <c r="Y102">
        <v>5000</v>
      </c>
      <c r="Z102">
        <f t="shared" si="52"/>
        <v>3</v>
      </c>
      <c r="AA102">
        <v>1</v>
      </c>
      <c r="AB102">
        <f t="shared" si="47"/>
        <v>401</v>
      </c>
      <c r="AC102">
        <v>72</v>
      </c>
      <c r="AD102">
        <f t="shared" si="42"/>
        <v>112</v>
      </c>
      <c r="AE102">
        <v>5000</v>
      </c>
      <c r="AF102">
        <f t="shared" si="53"/>
        <v>3</v>
      </c>
      <c r="AG102">
        <v>1</v>
      </c>
      <c r="AH102">
        <f t="shared" si="48"/>
        <v>402</v>
      </c>
      <c r="AI102">
        <v>74</v>
      </c>
      <c r="AJ102">
        <f t="shared" si="43"/>
        <v>113</v>
      </c>
      <c r="AP102" t="str">
        <f t="shared" si="54"/>
        <v>{5000,3,1,402,101}</v>
      </c>
      <c r="AQ102" t="str">
        <f t="shared" si="55"/>
        <v>{5000,3,1,401,103}</v>
      </c>
      <c r="AR102" t="str">
        <f t="shared" si="56"/>
        <v>{5000,3,1,402,111}</v>
      </c>
      <c r="AS102" t="str">
        <f t="shared" si="57"/>
        <v>{5000,3,1,401,112}</v>
      </c>
      <c r="AT102" t="str">
        <f t="shared" si="58"/>
        <v>{5000,3,1,402,113}</v>
      </c>
      <c r="AU102" t="str">
        <f t="shared" si="59"/>
        <v/>
      </c>
      <c r="AV102">
        <v>1424</v>
      </c>
      <c r="AW102" t="str">
        <f t="shared" si="60"/>
        <v>[{5000,3,1,402,101},{5000,3,1,401,103},{5000,3,1,402,111},{5000,3,1,401,112},{5000,3,1,402,113}]</v>
      </c>
    </row>
    <row r="103" spans="2:48">
      <c r="B103">
        <v>1425</v>
      </c>
      <c r="C103" t="s">
        <v>82</v>
      </c>
      <c r="D103" t="str">
        <f t="shared" si="50"/>
        <v>5</v>
      </c>
      <c r="F103">
        <v>209</v>
      </c>
      <c r="K103" t="str">
        <f t="shared" si="44"/>
        <v/>
      </c>
      <c r="L103" t="str">
        <f t="shared" si="39"/>
        <v/>
      </c>
      <c r="N103">
        <f t="shared" si="61"/>
        <v>0</v>
      </c>
      <c r="P103" t="str">
        <f t="shared" si="45"/>
        <v/>
      </c>
      <c r="R103" t="str">
        <f t="shared" si="40"/>
        <v/>
      </c>
      <c r="T103">
        <f t="shared" si="51"/>
        <v>0</v>
      </c>
      <c r="V103" t="str">
        <f t="shared" si="46"/>
        <v/>
      </c>
      <c r="X103" t="str">
        <f t="shared" si="41"/>
        <v/>
      </c>
      <c r="Z103">
        <f t="shared" si="52"/>
        <v>0</v>
      </c>
      <c r="AB103" t="str">
        <f t="shared" si="47"/>
        <v/>
      </c>
      <c r="AD103" t="str">
        <f t="shared" si="42"/>
        <v/>
      </c>
      <c r="AF103">
        <f t="shared" si="53"/>
        <v>0</v>
      </c>
      <c r="AH103" t="str">
        <f t="shared" si="48"/>
        <v/>
      </c>
      <c r="AJ103" t="str">
        <f t="shared" si="43"/>
        <v/>
      </c>
      <c r="AP103" t="str">
        <f t="shared" si="54"/>
        <v/>
      </c>
      <c r="AQ103" t="str">
        <f t="shared" si="55"/>
        <v/>
      </c>
      <c r="AR103" t="str">
        <f t="shared" si="56"/>
        <v/>
      </c>
      <c r="AS103" t="str">
        <f t="shared" si="57"/>
        <v/>
      </c>
      <c r="AT103" t="str">
        <f t="shared" si="58"/>
        <v/>
      </c>
      <c r="AU103" t="str">
        <f t="shared" si="59"/>
        <v/>
      </c>
      <c r="AV103">
        <v>1425</v>
      </c>
    </row>
    <row r="104" spans="2:49">
      <c r="B104">
        <v>1426</v>
      </c>
      <c r="C104" t="s">
        <v>82</v>
      </c>
      <c r="D104" t="str">
        <f t="shared" si="50"/>
        <v>5</v>
      </c>
      <c r="F104">
        <v>211</v>
      </c>
      <c r="G104">
        <v>5000</v>
      </c>
      <c r="H104">
        <v>4</v>
      </c>
      <c r="I104">
        <v>1</v>
      </c>
      <c r="J104">
        <v>2</v>
      </c>
      <c r="K104">
        <f t="shared" si="44"/>
        <v>402</v>
      </c>
      <c r="L104">
        <f t="shared" si="39"/>
        <v>101</v>
      </c>
      <c r="M104">
        <v>5000</v>
      </c>
      <c r="N104">
        <f t="shared" si="61"/>
        <v>4</v>
      </c>
      <c r="O104">
        <v>1</v>
      </c>
      <c r="P104">
        <f t="shared" si="45"/>
        <v>401</v>
      </c>
      <c r="Q104">
        <v>51</v>
      </c>
      <c r="R104">
        <f t="shared" si="40"/>
        <v>102</v>
      </c>
      <c r="S104">
        <v>5000</v>
      </c>
      <c r="T104">
        <f t="shared" si="51"/>
        <v>4</v>
      </c>
      <c r="U104">
        <v>1</v>
      </c>
      <c r="V104">
        <f t="shared" si="46"/>
        <v>402</v>
      </c>
      <c r="W104">
        <v>57</v>
      </c>
      <c r="X104">
        <f t="shared" si="41"/>
        <v>103</v>
      </c>
      <c r="Y104">
        <v>5000</v>
      </c>
      <c r="Z104">
        <f t="shared" si="52"/>
        <v>4</v>
      </c>
      <c r="AA104">
        <v>1</v>
      </c>
      <c r="AB104">
        <f t="shared" si="47"/>
        <v>401</v>
      </c>
      <c r="AC104">
        <v>79</v>
      </c>
      <c r="AD104">
        <f t="shared" si="42"/>
        <v>113</v>
      </c>
      <c r="AE104">
        <v>5000</v>
      </c>
      <c r="AF104">
        <f t="shared" si="53"/>
        <v>4</v>
      </c>
      <c r="AG104">
        <v>1</v>
      </c>
      <c r="AH104">
        <f t="shared" si="48"/>
        <v>402</v>
      </c>
      <c r="AI104">
        <v>72</v>
      </c>
      <c r="AJ104">
        <f t="shared" si="43"/>
        <v>111</v>
      </c>
      <c r="AK104">
        <v>1000</v>
      </c>
      <c r="AL104">
        <v>1</v>
      </c>
      <c r="AM104">
        <v>0</v>
      </c>
      <c r="AN104">
        <v>431</v>
      </c>
      <c r="AO104">
        <v>4</v>
      </c>
      <c r="AP104" t="str">
        <f t="shared" si="54"/>
        <v>{5000,4,1,402,101}</v>
      </c>
      <c r="AQ104" t="str">
        <f t="shared" si="55"/>
        <v>{5000,4,1,401,102}</v>
      </c>
      <c r="AR104" t="str">
        <f t="shared" si="56"/>
        <v>{5000,4,1,402,103}</v>
      </c>
      <c r="AS104" t="str">
        <f t="shared" si="57"/>
        <v>{5000,4,1,401,113}</v>
      </c>
      <c r="AT104" t="str">
        <f t="shared" si="58"/>
        <v>{5000,4,1,402,111}</v>
      </c>
      <c r="AU104" t="str">
        <f t="shared" si="59"/>
        <v>{1000,1,0,431,4}</v>
      </c>
      <c r="AV104">
        <v>1426</v>
      </c>
      <c r="AW104" t="str">
        <f t="shared" ref="AW104:AW124" si="62">IF(AU104="","["&amp;_xlfn.TEXTJOIN(",",1,AP104:AT104)&amp;"]","["&amp;_xlfn.TEXTJOIN(",",1,AP104:AU104)&amp;"]")</f>
        <v>[{5000,4,1,402,101},{5000,4,1,401,102},{5000,4,1,402,103},{5000,4,1,401,113},{5000,4,1,402,111},{1000,1,0,431,4}]</v>
      </c>
    </row>
    <row r="105" spans="2:49">
      <c r="B105">
        <v>1427</v>
      </c>
      <c r="C105" t="s">
        <v>82</v>
      </c>
      <c r="D105" t="str">
        <f t="shared" si="50"/>
        <v>5</v>
      </c>
      <c r="F105">
        <v>226</v>
      </c>
      <c r="G105">
        <v>5000</v>
      </c>
      <c r="H105">
        <v>4</v>
      </c>
      <c r="I105">
        <v>1</v>
      </c>
      <c r="J105">
        <v>2</v>
      </c>
      <c r="K105">
        <f t="shared" si="44"/>
        <v>402</v>
      </c>
      <c r="L105">
        <f t="shared" si="39"/>
        <v>101</v>
      </c>
      <c r="M105">
        <v>5000</v>
      </c>
      <c r="N105">
        <f t="shared" si="61"/>
        <v>4</v>
      </c>
      <c r="O105">
        <v>1</v>
      </c>
      <c r="P105">
        <f t="shared" si="45"/>
        <v>401</v>
      </c>
      <c r="Q105">
        <v>51</v>
      </c>
      <c r="R105">
        <f t="shared" si="40"/>
        <v>103</v>
      </c>
      <c r="S105">
        <v>5000</v>
      </c>
      <c r="T105">
        <f t="shared" si="51"/>
        <v>4</v>
      </c>
      <c r="U105">
        <v>1</v>
      </c>
      <c r="V105">
        <f t="shared" si="46"/>
        <v>402</v>
      </c>
      <c r="W105">
        <v>75</v>
      </c>
      <c r="X105">
        <f t="shared" si="41"/>
        <v>111</v>
      </c>
      <c r="Y105">
        <v>5000</v>
      </c>
      <c r="Z105">
        <f t="shared" si="52"/>
        <v>4</v>
      </c>
      <c r="AA105">
        <v>1</v>
      </c>
      <c r="AB105">
        <f t="shared" si="47"/>
        <v>401</v>
      </c>
      <c r="AC105">
        <v>71</v>
      </c>
      <c r="AD105">
        <f t="shared" si="42"/>
        <v>112</v>
      </c>
      <c r="AE105">
        <v>5000</v>
      </c>
      <c r="AF105">
        <f t="shared" si="53"/>
        <v>4</v>
      </c>
      <c r="AG105">
        <v>1</v>
      </c>
      <c r="AH105">
        <f t="shared" si="48"/>
        <v>402</v>
      </c>
      <c r="AI105">
        <v>77</v>
      </c>
      <c r="AJ105">
        <f t="shared" si="43"/>
        <v>113</v>
      </c>
      <c r="AP105" t="str">
        <f t="shared" si="54"/>
        <v>{5000,4,1,402,101}</v>
      </c>
      <c r="AQ105" t="str">
        <f t="shared" si="55"/>
        <v>{5000,4,1,401,103}</v>
      </c>
      <c r="AR105" t="str">
        <f t="shared" si="56"/>
        <v>{5000,4,1,402,111}</v>
      </c>
      <c r="AS105" t="str">
        <f t="shared" si="57"/>
        <v>{5000,4,1,401,112}</v>
      </c>
      <c r="AT105" t="str">
        <f t="shared" si="58"/>
        <v>{5000,4,1,402,113}</v>
      </c>
      <c r="AU105" t="str">
        <f t="shared" si="59"/>
        <v/>
      </c>
      <c r="AV105">
        <v>1427</v>
      </c>
      <c r="AW105" t="str">
        <f t="shared" si="62"/>
        <v>[{5000,4,1,402,101},{5000,4,1,401,103},{5000,4,1,402,111},{5000,4,1,401,112},{5000,4,1,402,113}]</v>
      </c>
    </row>
    <row r="106" spans="2:49">
      <c r="B106">
        <v>1428</v>
      </c>
      <c r="C106" t="s">
        <v>82</v>
      </c>
      <c r="D106" t="str">
        <f t="shared" si="50"/>
        <v>5</v>
      </c>
      <c r="F106">
        <v>241</v>
      </c>
      <c r="G106">
        <v>5000</v>
      </c>
      <c r="H106">
        <v>5</v>
      </c>
      <c r="I106">
        <v>1</v>
      </c>
      <c r="J106">
        <v>3</v>
      </c>
      <c r="K106">
        <f t="shared" si="44"/>
        <v>403</v>
      </c>
      <c r="L106">
        <f t="shared" si="39"/>
        <v>101</v>
      </c>
      <c r="M106">
        <v>5000</v>
      </c>
      <c r="N106">
        <f t="shared" si="61"/>
        <v>5</v>
      </c>
      <c r="O106">
        <v>1</v>
      </c>
      <c r="P106">
        <f t="shared" si="45"/>
        <v>403</v>
      </c>
      <c r="Q106">
        <v>53</v>
      </c>
      <c r="R106">
        <f t="shared" si="40"/>
        <v>102</v>
      </c>
      <c r="S106">
        <v>5000</v>
      </c>
      <c r="T106">
        <f t="shared" si="51"/>
        <v>5</v>
      </c>
      <c r="U106">
        <v>1</v>
      </c>
      <c r="V106">
        <f t="shared" si="46"/>
        <v>403</v>
      </c>
      <c r="W106">
        <v>56</v>
      </c>
      <c r="X106">
        <f t="shared" si="41"/>
        <v>103</v>
      </c>
      <c r="Y106">
        <v>5000</v>
      </c>
      <c r="Z106">
        <f t="shared" si="52"/>
        <v>5</v>
      </c>
      <c r="AA106">
        <v>1</v>
      </c>
      <c r="AB106">
        <f t="shared" si="47"/>
        <v>403</v>
      </c>
      <c r="AC106">
        <v>74</v>
      </c>
      <c r="AD106">
        <f t="shared" si="42"/>
        <v>113</v>
      </c>
      <c r="AE106">
        <v>5000</v>
      </c>
      <c r="AF106">
        <f t="shared" si="53"/>
        <v>5</v>
      </c>
      <c r="AG106">
        <v>1</v>
      </c>
      <c r="AH106">
        <f t="shared" si="48"/>
        <v>403</v>
      </c>
      <c r="AI106">
        <v>78</v>
      </c>
      <c r="AJ106">
        <f t="shared" si="43"/>
        <v>111</v>
      </c>
      <c r="AP106" t="str">
        <f t="shared" si="54"/>
        <v>{5000,5,1,403,101}</v>
      </c>
      <c r="AQ106" t="str">
        <f t="shared" si="55"/>
        <v>{5000,5,1,403,102}</v>
      </c>
      <c r="AR106" t="str">
        <f t="shared" si="56"/>
        <v>{5000,5,1,403,103}</v>
      </c>
      <c r="AS106" t="str">
        <f t="shared" si="57"/>
        <v>{5000,5,1,403,113}</v>
      </c>
      <c r="AT106" t="str">
        <f t="shared" si="58"/>
        <v>{5000,5,1,403,111}</v>
      </c>
      <c r="AU106" t="str">
        <f t="shared" si="59"/>
        <v/>
      </c>
      <c r="AV106">
        <v>1428</v>
      </c>
      <c r="AW106" t="str">
        <f t="shared" si="62"/>
        <v>[{5000,5,1,403,101},{5000,5,1,403,102},{5000,5,1,403,103},{5000,5,1,403,113},{5000,5,1,403,111}]</v>
      </c>
    </row>
    <row r="107" spans="2:49">
      <c r="B107">
        <v>1429</v>
      </c>
      <c r="C107" t="s">
        <v>82</v>
      </c>
      <c r="D107" t="str">
        <f t="shared" si="50"/>
        <v>5</v>
      </c>
      <c r="F107">
        <v>256</v>
      </c>
      <c r="G107">
        <v>5000</v>
      </c>
      <c r="H107">
        <v>4</v>
      </c>
      <c r="I107">
        <v>1</v>
      </c>
      <c r="J107">
        <v>2</v>
      </c>
      <c r="K107">
        <f t="shared" si="44"/>
        <v>402</v>
      </c>
      <c r="L107">
        <f t="shared" si="39"/>
        <v>101</v>
      </c>
      <c r="M107">
        <v>5000</v>
      </c>
      <c r="N107">
        <f t="shared" si="61"/>
        <v>4</v>
      </c>
      <c r="O107">
        <v>1</v>
      </c>
      <c r="P107">
        <f t="shared" si="45"/>
        <v>402</v>
      </c>
      <c r="Q107">
        <v>59</v>
      </c>
      <c r="R107">
        <f t="shared" si="40"/>
        <v>103</v>
      </c>
      <c r="S107">
        <v>5000</v>
      </c>
      <c r="T107">
        <f t="shared" si="51"/>
        <v>4</v>
      </c>
      <c r="U107">
        <v>1</v>
      </c>
      <c r="V107">
        <f t="shared" si="46"/>
        <v>402</v>
      </c>
      <c r="W107">
        <v>79</v>
      </c>
      <c r="X107">
        <f t="shared" si="41"/>
        <v>111</v>
      </c>
      <c r="Y107">
        <v>5000</v>
      </c>
      <c r="Z107">
        <f t="shared" si="52"/>
        <v>4</v>
      </c>
      <c r="AA107">
        <v>1</v>
      </c>
      <c r="AB107">
        <f t="shared" si="47"/>
        <v>401</v>
      </c>
      <c r="AC107">
        <v>72</v>
      </c>
      <c r="AD107">
        <f t="shared" si="42"/>
        <v>112</v>
      </c>
      <c r="AE107">
        <v>5000</v>
      </c>
      <c r="AF107">
        <f t="shared" si="53"/>
        <v>4</v>
      </c>
      <c r="AG107">
        <v>1</v>
      </c>
      <c r="AH107">
        <f t="shared" si="48"/>
        <v>402</v>
      </c>
      <c r="AI107">
        <v>74</v>
      </c>
      <c r="AJ107">
        <f t="shared" si="43"/>
        <v>113</v>
      </c>
      <c r="AP107" t="str">
        <f t="shared" si="54"/>
        <v>{5000,4,1,402,101}</v>
      </c>
      <c r="AQ107" t="str">
        <f t="shared" si="55"/>
        <v>{5000,4,1,402,103}</v>
      </c>
      <c r="AR107" t="str">
        <f t="shared" si="56"/>
        <v>{5000,4,1,402,111}</v>
      </c>
      <c r="AS107" t="str">
        <f t="shared" si="57"/>
        <v>{5000,4,1,401,112}</v>
      </c>
      <c r="AT107" t="str">
        <f t="shared" si="58"/>
        <v>{5000,4,1,402,113}</v>
      </c>
      <c r="AU107" t="str">
        <f t="shared" si="59"/>
        <v/>
      </c>
      <c r="AV107">
        <v>1429</v>
      </c>
      <c r="AW107" t="str">
        <f t="shared" si="62"/>
        <v>[{5000,4,1,402,101},{5000,4,1,402,103},{5000,4,1,402,111},{5000,4,1,401,112},{5000,4,1,402,113}]</v>
      </c>
    </row>
    <row r="108" spans="2:49">
      <c r="B108">
        <v>1430</v>
      </c>
      <c r="C108" t="s">
        <v>82</v>
      </c>
      <c r="D108" t="str">
        <f t="shared" si="50"/>
        <v>5</v>
      </c>
      <c r="F108">
        <v>271</v>
      </c>
      <c r="G108">
        <v>5000</v>
      </c>
      <c r="H108">
        <v>4</v>
      </c>
      <c r="I108">
        <v>1</v>
      </c>
      <c r="J108">
        <v>2</v>
      </c>
      <c r="K108">
        <f t="shared" si="44"/>
        <v>402</v>
      </c>
      <c r="L108">
        <f t="shared" si="39"/>
        <v>101</v>
      </c>
      <c r="M108">
        <v>5000</v>
      </c>
      <c r="N108">
        <f t="shared" si="61"/>
        <v>4</v>
      </c>
      <c r="O108">
        <v>1</v>
      </c>
      <c r="P108">
        <f t="shared" si="45"/>
        <v>402</v>
      </c>
      <c r="Q108">
        <v>54</v>
      </c>
      <c r="R108">
        <f t="shared" si="40"/>
        <v>102</v>
      </c>
      <c r="S108">
        <v>5000</v>
      </c>
      <c r="T108">
        <f t="shared" si="51"/>
        <v>4</v>
      </c>
      <c r="U108">
        <v>1</v>
      </c>
      <c r="V108">
        <f t="shared" si="46"/>
        <v>402</v>
      </c>
      <c r="W108">
        <v>56</v>
      </c>
      <c r="X108">
        <f t="shared" si="41"/>
        <v>103</v>
      </c>
      <c r="Y108">
        <v>5000</v>
      </c>
      <c r="Z108">
        <f t="shared" si="52"/>
        <v>4</v>
      </c>
      <c r="AA108">
        <v>1</v>
      </c>
      <c r="AB108">
        <f t="shared" si="47"/>
        <v>402</v>
      </c>
      <c r="AC108">
        <v>73</v>
      </c>
      <c r="AD108">
        <f t="shared" si="42"/>
        <v>113</v>
      </c>
      <c r="AE108">
        <v>5000</v>
      </c>
      <c r="AF108">
        <f t="shared" si="53"/>
        <v>4</v>
      </c>
      <c r="AG108">
        <v>1</v>
      </c>
      <c r="AH108">
        <f t="shared" si="48"/>
        <v>402</v>
      </c>
      <c r="AI108">
        <v>75</v>
      </c>
      <c r="AJ108">
        <f t="shared" si="43"/>
        <v>111</v>
      </c>
      <c r="AP108" t="str">
        <f t="shared" si="54"/>
        <v>{5000,4,1,402,101}</v>
      </c>
      <c r="AQ108" t="str">
        <f t="shared" si="55"/>
        <v>{5000,4,1,402,102}</v>
      </c>
      <c r="AR108" t="str">
        <f t="shared" si="56"/>
        <v>{5000,4,1,402,103}</v>
      </c>
      <c r="AS108" t="str">
        <f t="shared" si="57"/>
        <v>{5000,4,1,402,113}</v>
      </c>
      <c r="AT108" t="str">
        <f t="shared" si="58"/>
        <v>{5000,4,1,402,111}</v>
      </c>
      <c r="AU108" t="str">
        <f t="shared" si="59"/>
        <v/>
      </c>
      <c r="AV108">
        <v>1430</v>
      </c>
      <c r="AW108" t="str">
        <f t="shared" si="62"/>
        <v>[{5000,4,1,402,101},{5000,4,1,402,102},{5000,4,1,402,103},{5000,4,1,402,113},{5000,4,1,402,111}]</v>
      </c>
    </row>
    <row r="109" spans="2:49">
      <c r="B109">
        <v>1431</v>
      </c>
      <c r="C109" t="s">
        <v>82</v>
      </c>
      <c r="D109" t="str">
        <f t="shared" si="50"/>
        <v>5</v>
      </c>
      <c r="F109">
        <v>286</v>
      </c>
      <c r="G109">
        <v>5000</v>
      </c>
      <c r="H109">
        <v>4</v>
      </c>
      <c r="I109">
        <v>1</v>
      </c>
      <c r="J109">
        <v>2</v>
      </c>
      <c r="K109">
        <f t="shared" si="44"/>
        <v>402</v>
      </c>
      <c r="L109">
        <f t="shared" ref="L109:L172" si="63">IF(L87="","",L87)</f>
        <v>101</v>
      </c>
      <c r="M109">
        <v>5000</v>
      </c>
      <c r="N109">
        <f t="shared" si="61"/>
        <v>4</v>
      </c>
      <c r="O109">
        <v>1</v>
      </c>
      <c r="P109">
        <f t="shared" si="45"/>
        <v>402</v>
      </c>
      <c r="Q109">
        <v>53</v>
      </c>
      <c r="R109">
        <f t="shared" ref="R109:R172" si="64">IF(R87="","",R87)</f>
        <v>103</v>
      </c>
      <c r="S109">
        <v>5000</v>
      </c>
      <c r="T109">
        <f t="shared" si="51"/>
        <v>4</v>
      </c>
      <c r="U109">
        <v>1</v>
      </c>
      <c r="V109">
        <f t="shared" si="46"/>
        <v>402</v>
      </c>
      <c r="W109">
        <v>59</v>
      </c>
      <c r="X109">
        <f t="shared" ref="X109:X172" si="65">IF(X87="","",X87)</f>
        <v>111</v>
      </c>
      <c r="Y109">
        <v>5000</v>
      </c>
      <c r="Z109">
        <f t="shared" si="52"/>
        <v>4</v>
      </c>
      <c r="AA109">
        <v>1</v>
      </c>
      <c r="AB109">
        <f t="shared" si="47"/>
        <v>402</v>
      </c>
      <c r="AC109">
        <v>71</v>
      </c>
      <c r="AD109">
        <f t="shared" ref="AD109:AD172" si="66">IF(AD87="","",AD87)</f>
        <v>112</v>
      </c>
      <c r="AE109">
        <v>5000</v>
      </c>
      <c r="AF109">
        <f t="shared" si="53"/>
        <v>4</v>
      </c>
      <c r="AG109">
        <v>1</v>
      </c>
      <c r="AH109">
        <f t="shared" si="48"/>
        <v>402</v>
      </c>
      <c r="AI109">
        <v>77</v>
      </c>
      <c r="AJ109">
        <f t="shared" ref="AJ109:AJ172" si="67">IF(AJ87="","",AJ87)</f>
        <v>113</v>
      </c>
      <c r="AP109" t="str">
        <f t="shared" si="54"/>
        <v>{5000,4,1,402,101}</v>
      </c>
      <c r="AQ109" t="str">
        <f t="shared" si="55"/>
        <v>{5000,4,1,402,103}</v>
      </c>
      <c r="AR109" t="str">
        <f t="shared" si="56"/>
        <v>{5000,4,1,402,111}</v>
      </c>
      <c r="AS109" t="str">
        <f t="shared" si="57"/>
        <v>{5000,4,1,402,112}</v>
      </c>
      <c r="AT109" t="str">
        <f t="shared" si="58"/>
        <v>{5000,4,1,402,113}</v>
      </c>
      <c r="AU109" t="str">
        <f t="shared" si="59"/>
        <v/>
      </c>
      <c r="AV109">
        <v>1431</v>
      </c>
      <c r="AW109" t="str">
        <f t="shared" si="62"/>
        <v>[{5000,4,1,402,101},{5000,4,1,402,103},{5000,4,1,402,111},{5000,4,1,402,112},{5000,4,1,402,113}]</v>
      </c>
    </row>
    <row r="110" spans="2:49">
      <c r="B110">
        <v>1432</v>
      </c>
      <c r="C110" t="s">
        <v>82</v>
      </c>
      <c r="D110" t="str">
        <f t="shared" si="50"/>
        <v>5</v>
      </c>
      <c r="F110">
        <v>290</v>
      </c>
      <c r="G110">
        <v>5000</v>
      </c>
      <c r="H110">
        <v>4</v>
      </c>
      <c r="I110">
        <v>1</v>
      </c>
      <c r="J110">
        <v>2</v>
      </c>
      <c r="K110">
        <f t="shared" ref="K110:K111" si="68">IF($J110="","",K88+100)</f>
        <v>402</v>
      </c>
      <c r="L110">
        <f t="shared" si="63"/>
        <v>101</v>
      </c>
      <c r="M110">
        <v>5000</v>
      </c>
      <c r="N110">
        <f t="shared" si="61"/>
        <v>4</v>
      </c>
      <c r="O110">
        <v>1</v>
      </c>
      <c r="P110">
        <f t="shared" ref="P110:P111" si="69">IF($J110="","",P88+100)</f>
        <v>402</v>
      </c>
      <c r="Q110">
        <v>56</v>
      </c>
      <c r="R110">
        <f t="shared" si="64"/>
        <v>102</v>
      </c>
      <c r="S110">
        <v>5000</v>
      </c>
      <c r="T110">
        <f t="shared" si="51"/>
        <v>4</v>
      </c>
      <c r="U110">
        <v>1</v>
      </c>
      <c r="V110">
        <f t="shared" ref="V110:V111" si="70">IF($J110="","",V88+100)</f>
        <v>401</v>
      </c>
      <c r="W110">
        <v>77</v>
      </c>
      <c r="X110">
        <f t="shared" si="65"/>
        <v>103</v>
      </c>
      <c r="Y110">
        <v>5000</v>
      </c>
      <c r="Z110">
        <f t="shared" si="52"/>
        <v>4</v>
      </c>
      <c r="AA110">
        <v>1</v>
      </c>
      <c r="AB110">
        <f t="shared" ref="AB110:AB111" si="71">IF($J110="","",AB88+100)</f>
        <v>402</v>
      </c>
      <c r="AC110">
        <v>72</v>
      </c>
      <c r="AD110">
        <f t="shared" si="66"/>
        <v>113</v>
      </c>
      <c r="AE110">
        <v>5000</v>
      </c>
      <c r="AF110">
        <f t="shared" si="53"/>
        <v>4</v>
      </c>
      <c r="AG110">
        <v>1</v>
      </c>
      <c r="AH110">
        <f t="shared" ref="AH110:AH111" si="72">IF($J110="","",AH88+100)</f>
        <v>402</v>
      </c>
      <c r="AI110">
        <v>74</v>
      </c>
      <c r="AJ110">
        <f t="shared" si="67"/>
        <v>111</v>
      </c>
      <c r="AP110" t="str">
        <f t="shared" si="54"/>
        <v>{5000,4,1,402,101}</v>
      </c>
      <c r="AQ110" t="str">
        <f t="shared" si="55"/>
        <v>{5000,4,1,402,102}</v>
      </c>
      <c r="AR110" t="str">
        <f t="shared" si="56"/>
        <v>{5000,4,1,401,103}</v>
      </c>
      <c r="AS110" t="str">
        <f t="shared" si="57"/>
        <v>{5000,4,1,402,113}</v>
      </c>
      <c r="AT110" t="str">
        <f t="shared" si="58"/>
        <v>{5000,4,1,402,111}</v>
      </c>
      <c r="AU110" t="str">
        <f t="shared" si="59"/>
        <v/>
      </c>
      <c r="AV110">
        <v>1432</v>
      </c>
      <c r="AW110" t="str">
        <f t="shared" si="62"/>
        <v>[{5000,4,1,402,101},{5000,4,1,402,102},{5000,4,1,401,103},{5000,4,1,402,113},{5000,4,1,402,111}]</v>
      </c>
    </row>
    <row r="111" spans="2:49">
      <c r="B111">
        <v>1511</v>
      </c>
      <c r="C111" t="s">
        <v>83</v>
      </c>
      <c r="D111" s="4" t="str">
        <f t="shared" si="50"/>
        <v>6</v>
      </c>
      <c r="E111" s="4"/>
      <c r="F111">
        <v>1</v>
      </c>
      <c r="G111">
        <v>5000</v>
      </c>
      <c r="H111">
        <f>H89</f>
        <v>1</v>
      </c>
      <c r="I111">
        <v>1</v>
      </c>
      <c r="J111">
        <v>1</v>
      </c>
      <c r="K111">
        <f t="shared" si="68"/>
        <v>501</v>
      </c>
      <c r="L111">
        <f t="shared" si="63"/>
        <v>101</v>
      </c>
      <c r="M111">
        <v>5000</v>
      </c>
      <c r="N111">
        <f t="shared" si="61"/>
        <v>1</v>
      </c>
      <c r="O111">
        <v>1</v>
      </c>
      <c r="P111">
        <f t="shared" si="69"/>
        <v>501</v>
      </c>
      <c r="Q111">
        <v>55</v>
      </c>
      <c r="R111">
        <f t="shared" si="64"/>
        <v>102</v>
      </c>
      <c r="S111">
        <v>5000</v>
      </c>
      <c r="T111">
        <f t="shared" si="51"/>
        <v>1</v>
      </c>
      <c r="U111">
        <v>1</v>
      </c>
      <c r="V111">
        <f t="shared" si="70"/>
        <v>501</v>
      </c>
      <c r="W111">
        <v>60</v>
      </c>
      <c r="X111">
        <f t="shared" si="65"/>
        <v>103</v>
      </c>
      <c r="Y111">
        <v>5000</v>
      </c>
      <c r="Z111">
        <f t="shared" si="52"/>
        <v>1</v>
      </c>
      <c r="AA111">
        <v>1</v>
      </c>
      <c r="AB111">
        <f t="shared" si="71"/>
        <v>501</v>
      </c>
      <c r="AC111">
        <v>71</v>
      </c>
      <c r="AD111">
        <f t="shared" si="66"/>
        <v>113</v>
      </c>
      <c r="AE111">
        <v>5000</v>
      </c>
      <c r="AF111">
        <f t="shared" si="53"/>
        <v>1</v>
      </c>
      <c r="AG111">
        <v>1</v>
      </c>
      <c r="AH111">
        <f t="shared" si="72"/>
        <v>501</v>
      </c>
      <c r="AI111">
        <v>76</v>
      </c>
      <c r="AJ111">
        <f t="shared" si="67"/>
        <v>111</v>
      </c>
      <c r="AP111" t="str">
        <f t="shared" si="54"/>
        <v>{5000,1,1,501,101}</v>
      </c>
      <c r="AQ111" t="str">
        <f t="shared" si="55"/>
        <v>{5000,1,1,501,102}</v>
      </c>
      <c r="AR111" t="str">
        <f t="shared" si="56"/>
        <v>{5000,1,1,501,103}</v>
      </c>
      <c r="AS111" t="str">
        <f t="shared" si="57"/>
        <v>{5000,1,1,501,113}</v>
      </c>
      <c r="AT111" t="str">
        <f t="shared" si="58"/>
        <v>{5000,1,1,501,111}</v>
      </c>
      <c r="AU111" t="str">
        <f t="shared" si="59"/>
        <v/>
      </c>
      <c r="AV111">
        <v>1511</v>
      </c>
      <c r="AW111" t="str">
        <f t="shared" si="62"/>
        <v>[{5000,1,1,501,101},{5000,1,1,501,102},{5000,1,1,501,103},{5000,1,1,501,113},{5000,1,1,501,111}]</v>
      </c>
    </row>
    <row r="112" spans="2:49">
      <c r="B112">
        <v>1512</v>
      </c>
      <c r="C112" t="s">
        <v>83</v>
      </c>
      <c r="D112" t="str">
        <f t="shared" si="50"/>
        <v>6</v>
      </c>
      <c r="F112">
        <v>16</v>
      </c>
      <c r="G112">
        <v>5000</v>
      </c>
      <c r="H112">
        <f t="shared" ref="H112:H114" si="73">H90</f>
        <v>1</v>
      </c>
      <c r="I112">
        <v>1</v>
      </c>
      <c r="J112">
        <v>1</v>
      </c>
      <c r="K112">
        <f t="shared" ref="K112:K133" si="74">IF($J112="","",K90+100)</f>
        <v>501</v>
      </c>
      <c r="L112">
        <f t="shared" si="63"/>
        <v>101</v>
      </c>
      <c r="M112">
        <v>5000</v>
      </c>
      <c r="N112">
        <f t="shared" si="61"/>
        <v>1</v>
      </c>
      <c r="O112">
        <v>1</v>
      </c>
      <c r="P112">
        <f t="shared" ref="P112:P133" si="75">IF($J112="","",P90+100)</f>
        <v>501</v>
      </c>
      <c r="Q112">
        <v>55</v>
      </c>
      <c r="R112">
        <f t="shared" si="64"/>
        <v>103</v>
      </c>
      <c r="S112">
        <v>5000</v>
      </c>
      <c r="T112">
        <f t="shared" si="51"/>
        <v>1</v>
      </c>
      <c r="U112">
        <v>1</v>
      </c>
      <c r="V112">
        <f t="shared" ref="V112:V133" si="76">IF($J112="","",V90+100)</f>
        <v>501</v>
      </c>
      <c r="W112">
        <v>75</v>
      </c>
      <c r="X112">
        <f t="shared" si="65"/>
        <v>111</v>
      </c>
      <c r="Y112">
        <v>5000</v>
      </c>
      <c r="Z112">
        <f t="shared" si="52"/>
        <v>1</v>
      </c>
      <c r="AA112">
        <v>1</v>
      </c>
      <c r="AB112">
        <f t="shared" ref="AB112:AB133" si="77">IF($J112="","",AB90+100)</f>
        <v>501</v>
      </c>
      <c r="AC112">
        <v>73</v>
      </c>
      <c r="AD112">
        <f t="shared" si="66"/>
        <v>112</v>
      </c>
      <c r="AE112">
        <v>5000</v>
      </c>
      <c r="AF112">
        <f t="shared" si="53"/>
        <v>1</v>
      </c>
      <c r="AG112">
        <v>1</v>
      </c>
      <c r="AH112">
        <f t="shared" ref="AH112:AH133" si="78">IF($J112="","",AH90+100)</f>
        <v>501</v>
      </c>
      <c r="AI112">
        <v>78</v>
      </c>
      <c r="AJ112">
        <f t="shared" si="67"/>
        <v>113</v>
      </c>
      <c r="AP112" t="str">
        <f t="shared" si="54"/>
        <v>{5000,1,1,501,101}</v>
      </c>
      <c r="AQ112" t="str">
        <f t="shared" si="55"/>
        <v>{5000,1,1,501,103}</v>
      </c>
      <c r="AR112" t="str">
        <f t="shared" si="56"/>
        <v>{5000,1,1,501,111}</v>
      </c>
      <c r="AS112" t="str">
        <f t="shared" si="57"/>
        <v>{5000,1,1,501,112}</v>
      </c>
      <c r="AT112" t="str">
        <f t="shared" si="58"/>
        <v>{5000,1,1,501,113}</v>
      </c>
      <c r="AU112" t="str">
        <f t="shared" si="59"/>
        <v/>
      </c>
      <c r="AV112">
        <v>1512</v>
      </c>
      <c r="AW112" t="str">
        <f t="shared" si="62"/>
        <v>[{5000,1,1,501,101},{5000,1,1,501,103},{5000,1,1,501,111},{5000,1,1,501,112},{5000,1,1,501,113}]</v>
      </c>
    </row>
    <row r="113" spans="2:49">
      <c r="B113">
        <v>1513</v>
      </c>
      <c r="C113" t="s">
        <v>83</v>
      </c>
      <c r="D113" t="str">
        <f t="shared" si="50"/>
        <v>6</v>
      </c>
      <c r="F113">
        <v>31</v>
      </c>
      <c r="G113">
        <v>5000</v>
      </c>
      <c r="H113">
        <f t="shared" si="73"/>
        <v>2</v>
      </c>
      <c r="I113">
        <v>1</v>
      </c>
      <c r="J113">
        <v>1</v>
      </c>
      <c r="K113">
        <f t="shared" si="74"/>
        <v>501</v>
      </c>
      <c r="L113">
        <f t="shared" si="63"/>
        <v>101</v>
      </c>
      <c r="M113">
        <v>5000</v>
      </c>
      <c r="N113">
        <f t="shared" si="61"/>
        <v>2</v>
      </c>
      <c r="O113">
        <v>1</v>
      </c>
      <c r="P113">
        <f t="shared" si="75"/>
        <v>501</v>
      </c>
      <c r="Q113">
        <v>55</v>
      </c>
      <c r="R113">
        <f t="shared" si="64"/>
        <v>102</v>
      </c>
      <c r="S113">
        <v>5000</v>
      </c>
      <c r="T113">
        <f t="shared" si="51"/>
        <v>2</v>
      </c>
      <c r="U113">
        <v>1</v>
      </c>
      <c r="V113">
        <f t="shared" si="76"/>
        <v>501</v>
      </c>
      <c r="W113">
        <v>58</v>
      </c>
      <c r="X113">
        <f t="shared" si="65"/>
        <v>103</v>
      </c>
      <c r="Y113">
        <v>5000</v>
      </c>
      <c r="Z113">
        <f t="shared" si="52"/>
        <v>2</v>
      </c>
      <c r="AA113">
        <v>1</v>
      </c>
      <c r="AB113">
        <f t="shared" si="77"/>
        <v>501</v>
      </c>
      <c r="AC113">
        <v>76</v>
      </c>
      <c r="AD113">
        <f t="shared" si="66"/>
        <v>113</v>
      </c>
      <c r="AE113">
        <v>5000</v>
      </c>
      <c r="AF113">
        <f t="shared" si="53"/>
        <v>2</v>
      </c>
      <c r="AG113">
        <v>1</v>
      </c>
      <c r="AH113">
        <f t="shared" si="78"/>
        <v>501</v>
      </c>
      <c r="AI113">
        <v>79</v>
      </c>
      <c r="AJ113">
        <f t="shared" si="67"/>
        <v>111</v>
      </c>
      <c r="AP113" t="str">
        <f t="shared" si="54"/>
        <v>{5000,2,1,501,101}</v>
      </c>
      <c r="AQ113" t="str">
        <f t="shared" si="55"/>
        <v>{5000,2,1,501,102}</v>
      </c>
      <c r="AR113" t="str">
        <f t="shared" si="56"/>
        <v>{5000,2,1,501,103}</v>
      </c>
      <c r="AS113" t="str">
        <f t="shared" si="57"/>
        <v>{5000,2,1,501,113}</v>
      </c>
      <c r="AT113" t="str">
        <f t="shared" si="58"/>
        <v>{5000,2,1,501,111}</v>
      </c>
      <c r="AU113" t="str">
        <f t="shared" si="59"/>
        <v/>
      </c>
      <c r="AV113">
        <v>1513</v>
      </c>
      <c r="AW113" t="str">
        <f t="shared" si="62"/>
        <v>[{5000,2,1,501,101},{5000,2,1,501,102},{5000,2,1,501,103},{5000,2,1,501,113},{5000,2,1,501,111}]</v>
      </c>
    </row>
    <row r="114" spans="2:49">
      <c r="B114">
        <v>1514</v>
      </c>
      <c r="C114" t="s">
        <v>83</v>
      </c>
      <c r="D114" t="str">
        <f t="shared" si="50"/>
        <v>6</v>
      </c>
      <c r="F114">
        <v>46</v>
      </c>
      <c r="G114">
        <v>5000</v>
      </c>
      <c r="H114">
        <f t="shared" si="73"/>
        <v>2</v>
      </c>
      <c r="I114">
        <v>1</v>
      </c>
      <c r="J114">
        <v>1</v>
      </c>
      <c r="K114">
        <f t="shared" si="74"/>
        <v>501</v>
      </c>
      <c r="L114">
        <f t="shared" si="63"/>
        <v>101</v>
      </c>
      <c r="M114">
        <v>5000</v>
      </c>
      <c r="N114">
        <f t="shared" si="61"/>
        <v>2</v>
      </c>
      <c r="O114">
        <v>1</v>
      </c>
      <c r="P114">
        <f t="shared" si="75"/>
        <v>501</v>
      </c>
      <c r="Q114">
        <v>55</v>
      </c>
      <c r="R114">
        <f t="shared" si="64"/>
        <v>103</v>
      </c>
      <c r="S114">
        <v>5000</v>
      </c>
      <c r="T114">
        <f t="shared" si="51"/>
        <v>2</v>
      </c>
      <c r="U114">
        <v>1</v>
      </c>
      <c r="V114">
        <f t="shared" si="76"/>
        <v>502</v>
      </c>
      <c r="W114">
        <v>76</v>
      </c>
      <c r="X114">
        <f t="shared" si="65"/>
        <v>111</v>
      </c>
      <c r="Y114">
        <v>5000</v>
      </c>
      <c r="Z114">
        <f t="shared" si="52"/>
        <v>2</v>
      </c>
      <c r="AA114">
        <v>1</v>
      </c>
      <c r="AB114">
        <f t="shared" si="77"/>
        <v>501</v>
      </c>
      <c r="AC114">
        <v>71</v>
      </c>
      <c r="AD114">
        <f t="shared" si="66"/>
        <v>112</v>
      </c>
      <c r="AE114">
        <v>5000</v>
      </c>
      <c r="AF114">
        <f t="shared" si="53"/>
        <v>2</v>
      </c>
      <c r="AG114">
        <v>1</v>
      </c>
      <c r="AH114">
        <f t="shared" si="78"/>
        <v>501</v>
      </c>
      <c r="AI114">
        <v>71</v>
      </c>
      <c r="AJ114">
        <f t="shared" si="67"/>
        <v>113</v>
      </c>
      <c r="AP114" t="str">
        <f t="shared" si="54"/>
        <v>{5000,2,1,501,101}</v>
      </c>
      <c r="AQ114" t="str">
        <f t="shared" si="55"/>
        <v>{5000,2,1,501,103}</v>
      </c>
      <c r="AR114" t="str">
        <f t="shared" si="56"/>
        <v>{5000,2,1,502,111}</v>
      </c>
      <c r="AS114" t="str">
        <f t="shared" si="57"/>
        <v>{5000,2,1,501,112}</v>
      </c>
      <c r="AT114" t="str">
        <f t="shared" si="58"/>
        <v>{5000,2,1,501,113}</v>
      </c>
      <c r="AU114" t="str">
        <f t="shared" si="59"/>
        <v/>
      </c>
      <c r="AV114">
        <v>1514</v>
      </c>
      <c r="AW114" t="str">
        <f t="shared" si="62"/>
        <v>[{5000,2,1,501,101},{5000,2,1,501,103},{5000,2,1,502,111},{5000,2,1,501,112},{5000,2,1,501,113}]</v>
      </c>
    </row>
    <row r="115" spans="2:49">
      <c r="B115">
        <v>1515</v>
      </c>
      <c r="C115" t="s">
        <v>83</v>
      </c>
      <c r="D115" t="str">
        <f t="shared" si="50"/>
        <v>6</v>
      </c>
      <c r="F115">
        <v>61</v>
      </c>
      <c r="G115">
        <v>5000</v>
      </c>
      <c r="H115">
        <f>H93+2</f>
        <v>4</v>
      </c>
      <c r="I115">
        <v>1</v>
      </c>
      <c r="J115">
        <v>3</v>
      </c>
      <c r="K115">
        <f t="shared" si="74"/>
        <v>503</v>
      </c>
      <c r="L115">
        <f t="shared" si="63"/>
        <v>101</v>
      </c>
      <c r="M115">
        <v>5000</v>
      </c>
      <c r="N115">
        <f t="shared" si="61"/>
        <v>4</v>
      </c>
      <c r="O115">
        <v>1</v>
      </c>
      <c r="P115">
        <f t="shared" si="75"/>
        <v>503</v>
      </c>
      <c r="Q115">
        <v>56</v>
      </c>
      <c r="R115">
        <f t="shared" si="64"/>
        <v>102</v>
      </c>
      <c r="S115">
        <v>5000</v>
      </c>
      <c r="T115">
        <f t="shared" si="51"/>
        <v>4</v>
      </c>
      <c r="U115">
        <v>1</v>
      </c>
      <c r="V115">
        <f t="shared" si="76"/>
        <v>503</v>
      </c>
      <c r="W115">
        <v>57</v>
      </c>
      <c r="X115">
        <f t="shared" si="65"/>
        <v>103</v>
      </c>
      <c r="Y115">
        <v>5000</v>
      </c>
      <c r="Z115">
        <f t="shared" si="52"/>
        <v>4</v>
      </c>
      <c r="AA115">
        <v>1</v>
      </c>
      <c r="AB115">
        <f t="shared" si="77"/>
        <v>503</v>
      </c>
      <c r="AC115">
        <v>72</v>
      </c>
      <c r="AD115">
        <f t="shared" si="66"/>
        <v>113</v>
      </c>
      <c r="AE115">
        <v>5000</v>
      </c>
      <c r="AF115">
        <f t="shared" si="53"/>
        <v>4</v>
      </c>
      <c r="AG115">
        <v>1</v>
      </c>
      <c r="AH115">
        <f t="shared" si="78"/>
        <v>503</v>
      </c>
      <c r="AI115">
        <v>71</v>
      </c>
      <c r="AJ115">
        <f t="shared" si="67"/>
        <v>111</v>
      </c>
      <c r="AP115" t="str">
        <f t="shared" si="54"/>
        <v>{5000,4,1,503,101}</v>
      </c>
      <c r="AQ115" t="str">
        <f t="shared" si="55"/>
        <v>{5000,4,1,503,102}</v>
      </c>
      <c r="AR115" t="str">
        <f t="shared" si="56"/>
        <v>{5000,4,1,503,103}</v>
      </c>
      <c r="AS115" t="str">
        <f t="shared" si="57"/>
        <v>{5000,4,1,503,113}</v>
      </c>
      <c r="AT115" t="str">
        <f t="shared" si="58"/>
        <v>{5000,4,1,503,111}</v>
      </c>
      <c r="AU115" t="str">
        <f t="shared" si="59"/>
        <v/>
      </c>
      <c r="AV115">
        <v>1515</v>
      </c>
      <c r="AW115" t="str">
        <f t="shared" si="62"/>
        <v>[{5000,4,1,503,101},{5000,4,1,503,102},{5000,4,1,503,103},{5000,4,1,503,113},{5000,4,1,503,111}]</v>
      </c>
    </row>
    <row r="116" spans="2:49">
      <c r="B116">
        <v>1516</v>
      </c>
      <c r="C116" t="s">
        <v>83</v>
      </c>
      <c r="D116" t="str">
        <f t="shared" si="50"/>
        <v>6</v>
      </c>
      <c r="F116">
        <v>76</v>
      </c>
      <c r="G116">
        <v>5000</v>
      </c>
      <c r="H116">
        <f>H94+1</f>
        <v>3</v>
      </c>
      <c r="I116">
        <v>1</v>
      </c>
      <c r="J116">
        <v>1</v>
      </c>
      <c r="K116">
        <f t="shared" si="74"/>
        <v>501</v>
      </c>
      <c r="L116">
        <f t="shared" si="63"/>
        <v>101</v>
      </c>
      <c r="M116">
        <v>5000</v>
      </c>
      <c r="N116">
        <f t="shared" si="61"/>
        <v>3</v>
      </c>
      <c r="O116">
        <v>1</v>
      </c>
      <c r="P116">
        <f t="shared" si="75"/>
        <v>501</v>
      </c>
      <c r="Q116">
        <v>59</v>
      </c>
      <c r="R116">
        <f t="shared" si="64"/>
        <v>103</v>
      </c>
      <c r="S116">
        <v>5000</v>
      </c>
      <c r="T116">
        <f t="shared" si="51"/>
        <v>3</v>
      </c>
      <c r="U116">
        <v>1</v>
      </c>
      <c r="V116">
        <f t="shared" si="76"/>
        <v>502</v>
      </c>
      <c r="W116">
        <v>71</v>
      </c>
      <c r="X116">
        <f t="shared" si="65"/>
        <v>111</v>
      </c>
      <c r="Y116">
        <v>5000</v>
      </c>
      <c r="Z116">
        <f t="shared" si="52"/>
        <v>3</v>
      </c>
      <c r="AA116">
        <v>1</v>
      </c>
      <c r="AB116">
        <f t="shared" si="77"/>
        <v>501</v>
      </c>
      <c r="AC116">
        <v>71</v>
      </c>
      <c r="AD116">
        <f t="shared" si="66"/>
        <v>112</v>
      </c>
      <c r="AE116">
        <v>5000</v>
      </c>
      <c r="AF116">
        <f t="shared" si="53"/>
        <v>3</v>
      </c>
      <c r="AG116">
        <v>1</v>
      </c>
      <c r="AH116">
        <f t="shared" si="78"/>
        <v>501</v>
      </c>
      <c r="AI116">
        <v>79</v>
      </c>
      <c r="AJ116">
        <f t="shared" si="67"/>
        <v>113</v>
      </c>
      <c r="AP116" t="str">
        <f t="shared" si="54"/>
        <v>{5000,3,1,501,101}</v>
      </c>
      <c r="AQ116" t="str">
        <f t="shared" si="55"/>
        <v>{5000,3,1,501,103}</v>
      </c>
      <c r="AR116" t="str">
        <f t="shared" si="56"/>
        <v>{5000,3,1,502,111}</v>
      </c>
      <c r="AS116" t="str">
        <f t="shared" si="57"/>
        <v>{5000,3,1,501,112}</v>
      </c>
      <c r="AT116" t="str">
        <f t="shared" si="58"/>
        <v>{5000,3,1,501,113}</v>
      </c>
      <c r="AU116" t="str">
        <f t="shared" si="59"/>
        <v/>
      </c>
      <c r="AV116">
        <v>1516</v>
      </c>
      <c r="AW116" t="str">
        <f t="shared" si="62"/>
        <v>[{5000,3,1,501,101},{5000,3,1,501,103},{5000,3,1,502,111},{5000,3,1,501,112},{5000,3,1,501,113}]</v>
      </c>
    </row>
    <row r="117" spans="2:49">
      <c r="B117">
        <v>1517</v>
      </c>
      <c r="C117" t="s">
        <v>83</v>
      </c>
      <c r="D117" t="str">
        <f t="shared" si="50"/>
        <v>6</v>
      </c>
      <c r="F117">
        <v>91</v>
      </c>
      <c r="G117">
        <v>5000</v>
      </c>
      <c r="H117">
        <f>H95+1</f>
        <v>3</v>
      </c>
      <c r="I117">
        <v>1</v>
      </c>
      <c r="J117">
        <v>1</v>
      </c>
      <c r="K117">
        <f t="shared" si="74"/>
        <v>501</v>
      </c>
      <c r="L117">
        <f t="shared" si="63"/>
        <v>101</v>
      </c>
      <c r="M117">
        <v>5000</v>
      </c>
      <c r="N117">
        <f t="shared" si="61"/>
        <v>3</v>
      </c>
      <c r="O117">
        <v>1</v>
      </c>
      <c r="P117">
        <f t="shared" si="75"/>
        <v>501</v>
      </c>
      <c r="Q117">
        <v>54</v>
      </c>
      <c r="R117">
        <f t="shared" si="64"/>
        <v>102</v>
      </c>
      <c r="S117">
        <v>5000</v>
      </c>
      <c r="T117">
        <f t="shared" si="51"/>
        <v>3</v>
      </c>
      <c r="U117">
        <v>1</v>
      </c>
      <c r="V117">
        <f t="shared" si="76"/>
        <v>502</v>
      </c>
      <c r="W117">
        <v>51</v>
      </c>
      <c r="X117">
        <f t="shared" si="65"/>
        <v>103</v>
      </c>
      <c r="Y117">
        <v>5000</v>
      </c>
      <c r="Z117">
        <f t="shared" si="52"/>
        <v>3</v>
      </c>
      <c r="AA117">
        <v>1</v>
      </c>
      <c r="AB117">
        <f t="shared" si="77"/>
        <v>501</v>
      </c>
      <c r="AC117">
        <v>71</v>
      </c>
      <c r="AD117">
        <f t="shared" si="66"/>
        <v>113</v>
      </c>
      <c r="AE117">
        <v>5000</v>
      </c>
      <c r="AF117">
        <f t="shared" si="53"/>
        <v>3</v>
      </c>
      <c r="AG117">
        <v>1</v>
      </c>
      <c r="AH117">
        <f t="shared" si="78"/>
        <v>502</v>
      </c>
      <c r="AI117">
        <v>77</v>
      </c>
      <c r="AJ117">
        <f t="shared" si="67"/>
        <v>111</v>
      </c>
      <c r="AP117" t="str">
        <f t="shared" si="54"/>
        <v>{5000,3,1,501,101}</v>
      </c>
      <c r="AQ117" t="str">
        <f t="shared" si="55"/>
        <v>{5000,3,1,501,102}</v>
      </c>
      <c r="AR117" t="str">
        <f t="shared" si="56"/>
        <v>{5000,3,1,502,103}</v>
      </c>
      <c r="AS117" t="str">
        <f t="shared" si="57"/>
        <v>{5000,3,1,501,113}</v>
      </c>
      <c r="AT117" t="str">
        <f t="shared" si="58"/>
        <v>{5000,3,1,502,111}</v>
      </c>
      <c r="AU117" t="str">
        <f t="shared" si="59"/>
        <v/>
      </c>
      <c r="AV117">
        <v>1517</v>
      </c>
      <c r="AW117" t="str">
        <f t="shared" si="62"/>
        <v>[{5000,3,1,501,101},{5000,3,1,501,102},{5000,3,1,502,103},{5000,3,1,501,113},{5000,3,1,502,111}]</v>
      </c>
    </row>
    <row r="118" spans="2:49">
      <c r="B118">
        <v>1518</v>
      </c>
      <c r="C118" t="s">
        <v>83</v>
      </c>
      <c r="D118" t="str">
        <f t="shared" si="50"/>
        <v>6</v>
      </c>
      <c r="F118">
        <v>106</v>
      </c>
      <c r="G118">
        <v>5000</v>
      </c>
      <c r="H118">
        <f>H96+1</f>
        <v>3</v>
      </c>
      <c r="I118">
        <v>1</v>
      </c>
      <c r="J118">
        <v>1</v>
      </c>
      <c r="K118">
        <f t="shared" si="74"/>
        <v>501</v>
      </c>
      <c r="L118">
        <f t="shared" si="63"/>
        <v>101</v>
      </c>
      <c r="M118">
        <v>5000</v>
      </c>
      <c r="N118">
        <f t="shared" si="61"/>
        <v>3</v>
      </c>
      <c r="O118">
        <v>1</v>
      </c>
      <c r="P118">
        <f t="shared" si="75"/>
        <v>501</v>
      </c>
      <c r="Q118">
        <v>55</v>
      </c>
      <c r="R118">
        <f t="shared" si="64"/>
        <v>103</v>
      </c>
      <c r="S118">
        <v>5000</v>
      </c>
      <c r="T118">
        <f t="shared" si="51"/>
        <v>3</v>
      </c>
      <c r="U118">
        <v>1</v>
      </c>
      <c r="V118">
        <f t="shared" si="76"/>
        <v>502</v>
      </c>
      <c r="W118">
        <v>73</v>
      </c>
      <c r="X118">
        <f t="shared" si="65"/>
        <v>111</v>
      </c>
      <c r="Y118">
        <v>5000</v>
      </c>
      <c r="Z118">
        <f t="shared" si="52"/>
        <v>3</v>
      </c>
      <c r="AA118">
        <v>1</v>
      </c>
      <c r="AB118">
        <f t="shared" si="77"/>
        <v>501</v>
      </c>
      <c r="AC118">
        <v>78</v>
      </c>
      <c r="AD118">
        <f t="shared" si="66"/>
        <v>112</v>
      </c>
      <c r="AE118">
        <v>5000</v>
      </c>
      <c r="AF118">
        <f t="shared" si="53"/>
        <v>3</v>
      </c>
      <c r="AG118">
        <v>1</v>
      </c>
      <c r="AH118">
        <f t="shared" si="78"/>
        <v>502</v>
      </c>
      <c r="AI118">
        <v>71</v>
      </c>
      <c r="AJ118">
        <f t="shared" si="67"/>
        <v>113</v>
      </c>
      <c r="AP118" t="str">
        <f t="shared" si="54"/>
        <v>{5000,3,1,501,101}</v>
      </c>
      <c r="AQ118" t="str">
        <f t="shared" si="55"/>
        <v>{5000,3,1,501,103}</v>
      </c>
      <c r="AR118" t="str">
        <f t="shared" si="56"/>
        <v>{5000,3,1,502,111}</v>
      </c>
      <c r="AS118" t="str">
        <f t="shared" si="57"/>
        <v>{5000,3,1,501,112}</v>
      </c>
      <c r="AT118" t="str">
        <f t="shared" si="58"/>
        <v>{5000,3,1,502,113}</v>
      </c>
      <c r="AU118" t="str">
        <f t="shared" si="59"/>
        <v/>
      </c>
      <c r="AV118">
        <v>1518</v>
      </c>
      <c r="AW118" t="str">
        <f t="shared" si="62"/>
        <v>[{5000,3,1,501,101},{5000,3,1,501,103},{5000,3,1,502,111},{5000,3,1,501,112},{5000,3,1,502,113}]</v>
      </c>
    </row>
    <row r="119" spans="2:49">
      <c r="B119">
        <v>1519</v>
      </c>
      <c r="C119" t="s">
        <v>83</v>
      </c>
      <c r="D119" t="str">
        <f t="shared" si="50"/>
        <v>6</v>
      </c>
      <c r="F119">
        <v>121</v>
      </c>
      <c r="G119">
        <v>5000</v>
      </c>
      <c r="H119">
        <f>H97+2</f>
        <v>5</v>
      </c>
      <c r="I119">
        <v>1</v>
      </c>
      <c r="J119">
        <v>3</v>
      </c>
      <c r="K119">
        <f t="shared" si="74"/>
        <v>503</v>
      </c>
      <c r="L119">
        <f t="shared" si="63"/>
        <v>101</v>
      </c>
      <c r="M119">
        <v>5000</v>
      </c>
      <c r="N119">
        <f t="shared" si="61"/>
        <v>5</v>
      </c>
      <c r="O119">
        <v>1</v>
      </c>
      <c r="P119">
        <f t="shared" si="75"/>
        <v>503</v>
      </c>
      <c r="Q119">
        <v>54</v>
      </c>
      <c r="R119">
        <f t="shared" si="64"/>
        <v>102</v>
      </c>
      <c r="S119">
        <v>5000</v>
      </c>
      <c r="T119">
        <f t="shared" si="51"/>
        <v>5</v>
      </c>
      <c r="U119">
        <v>1</v>
      </c>
      <c r="V119">
        <f t="shared" si="76"/>
        <v>503</v>
      </c>
      <c r="W119">
        <v>51</v>
      </c>
      <c r="X119">
        <f t="shared" si="65"/>
        <v>103</v>
      </c>
      <c r="Y119">
        <v>5000</v>
      </c>
      <c r="Z119">
        <f t="shared" si="52"/>
        <v>5</v>
      </c>
      <c r="AA119">
        <v>1</v>
      </c>
      <c r="AB119">
        <f t="shared" si="77"/>
        <v>503</v>
      </c>
      <c r="AC119">
        <v>71</v>
      </c>
      <c r="AD119">
        <f t="shared" si="66"/>
        <v>113</v>
      </c>
      <c r="AE119">
        <v>5000</v>
      </c>
      <c r="AF119">
        <f t="shared" si="53"/>
        <v>5</v>
      </c>
      <c r="AG119">
        <v>1</v>
      </c>
      <c r="AH119">
        <f t="shared" si="78"/>
        <v>503</v>
      </c>
      <c r="AI119">
        <v>79</v>
      </c>
      <c r="AJ119">
        <f t="shared" si="67"/>
        <v>111</v>
      </c>
      <c r="AP119" t="str">
        <f t="shared" si="54"/>
        <v>{5000,5,1,503,101}</v>
      </c>
      <c r="AQ119" t="str">
        <f t="shared" si="55"/>
        <v>{5000,5,1,503,102}</v>
      </c>
      <c r="AR119" t="str">
        <f t="shared" si="56"/>
        <v>{5000,5,1,503,103}</v>
      </c>
      <c r="AS119" t="str">
        <f t="shared" si="57"/>
        <v>{5000,5,1,503,113}</v>
      </c>
      <c r="AT119" t="str">
        <f t="shared" si="58"/>
        <v>{5000,5,1,503,111}</v>
      </c>
      <c r="AU119" t="str">
        <f t="shared" si="59"/>
        <v/>
      </c>
      <c r="AV119">
        <v>1519</v>
      </c>
      <c r="AW119" t="str">
        <f t="shared" si="62"/>
        <v>[{5000,5,1,503,101},{5000,5,1,503,102},{5000,5,1,503,103},{5000,5,1,503,113},{5000,5,1,503,111}]</v>
      </c>
    </row>
    <row r="120" spans="2:49">
      <c r="B120">
        <v>1520</v>
      </c>
      <c r="C120" t="s">
        <v>83</v>
      </c>
      <c r="D120" t="str">
        <f t="shared" si="50"/>
        <v>6</v>
      </c>
      <c r="F120">
        <v>136</v>
      </c>
      <c r="G120">
        <v>5000</v>
      </c>
      <c r="H120">
        <f>H98+1</f>
        <v>4</v>
      </c>
      <c r="I120">
        <v>1</v>
      </c>
      <c r="J120">
        <v>1</v>
      </c>
      <c r="K120">
        <f t="shared" si="74"/>
        <v>501</v>
      </c>
      <c r="L120">
        <f t="shared" si="63"/>
        <v>101</v>
      </c>
      <c r="M120">
        <v>5000</v>
      </c>
      <c r="N120">
        <f t="shared" si="61"/>
        <v>4</v>
      </c>
      <c r="O120">
        <v>1</v>
      </c>
      <c r="P120">
        <f t="shared" si="75"/>
        <v>501</v>
      </c>
      <c r="Q120">
        <v>54</v>
      </c>
      <c r="R120">
        <f t="shared" si="64"/>
        <v>103</v>
      </c>
      <c r="S120">
        <v>5000</v>
      </c>
      <c r="T120">
        <f t="shared" si="51"/>
        <v>4</v>
      </c>
      <c r="U120">
        <v>1</v>
      </c>
      <c r="V120">
        <f t="shared" si="76"/>
        <v>502</v>
      </c>
      <c r="W120">
        <v>76</v>
      </c>
      <c r="X120">
        <f t="shared" si="65"/>
        <v>111</v>
      </c>
      <c r="Y120">
        <v>5000</v>
      </c>
      <c r="Z120">
        <f t="shared" si="52"/>
        <v>4</v>
      </c>
      <c r="AA120">
        <v>1</v>
      </c>
      <c r="AB120">
        <f t="shared" si="77"/>
        <v>501</v>
      </c>
      <c r="AC120">
        <v>72</v>
      </c>
      <c r="AD120">
        <f t="shared" si="66"/>
        <v>112</v>
      </c>
      <c r="AE120">
        <v>5000</v>
      </c>
      <c r="AF120">
        <f t="shared" si="53"/>
        <v>4</v>
      </c>
      <c r="AG120">
        <v>1</v>
      </c>
      <c r="AH120">
        <f t="shared" si="78"/>
        <v>502</v>
      </c>
      <c r="AI120">
        <v>74</v>
      </c>
      <c r="AJ120">
        <f t="shared" si="67"/>
        <v>113</v>
      </c>
      <c r="AP120" t="str">
        <f t="shared" si="54"/>
        <v>{5000,4,1,501,101}</v>
      </c>
      <c r="AQ120" t="str">
        <f t="shared" si="55"/>
        <v>{5000,4,1,501,103}</v>
      </c>
      <c r="AR120" t="str">
        <f t="shared" si="56"/>
        <v>{5000,4,1,502,111}</v>
      </c>
      <c r="AS120" t="str">
        <f t="shared" si="57"/>
        <v>{5000,4,1,501,112}</v>
      </c>
      <c r="AT120" t="str">
        <f t="shared" si="58"/>
        <v>{5000,4,1,502,113}</v>
      </c>
      <c r="AU120" t="str">
        <f t="shared" si="59"/>
        <v/>
      </c>
      <c r="AV120">
        <v>1520</v>
      </c>
      <c r="AW120" t="str">
        <f t="shared" si="62"/>
        <v>[{5000,4,1,501,101},{5000,4,1,501,103},{5000,4,1,502,111},{5000,4,1,501,112},{5000,4,1,502,113}]</v>
      </c>
    </row>
    <row r="121" spans="2:49">
      <c r="B121">
        <v>1521</v>
      </c>
      <c r="C121" t="s">
        <v>83</v>
      </c>
      <c r="D121" t="str">
        <f t="shared" si="50"/>
        <v>6</v>
      </c>
      <c r="F121">
        <v>151</v>
      </c>
      <c r="G121">
        <v>5000</v>
      </c>
      <c r="H121">
        <f>H99+1</f>
        <v>4</v>
      </c>
      <c r="I121">
        <v>1</v>
      </c>
      <c r="J121">
        <v>1</v>
      </c>
      <c r="K121">
        <f t="shared" si="74"/>
        <v>501</v>
      </c>
      <c r="L121">
        <f t="shared" si="63"/>
        <v>101</v>
      </c>
      <c r="M121">
        <v>5000</v>
      </c>
      <c r="N121">
        <f t="shared" si="61"/>
        <v>4</v>
      </c>
      <c r="O121">
        <v>1</v>
      </c>
      <c r="P121">
        <f t="shared" si="75"/>
        <v>501</v>
      </c>
      <c r="Q121">
        <v>54</v>
      </c>
      <c r="R121">
        <f t="shared" si="64"/>
        <v>102</v>
      </c>
      <c r="S121">
        <v>5000</v>
      </c>
      <c r="T121">
        <f t="shared" si="51"/>
        <v>4</v>
      </c>
      <c r="U121">
        <v>1</v>
      </c>
      <c r="V121">
        <f t="shared" si="76"/>
        <v>502</v>
      </c>
      <c r="W121">
        <v>56</v>
      </c>
      <c r="X121">
        <f t="shared" si="65"/>
        <v>103</v>
      </c>
      <c r="Y121">
        <v>5000</v>
      </c>
      <c r="Z121">
        <f t="shared" si="52"/>
        <v>4</v>
      </c>
      <c r="AA121">
        <v>1</v>
      </c>
      <c r="AB121">
        <f t="shared" si="77"/>
        <v>501</v>
      </c>
      <c r="AC121">
        <v>72</v>
      </c>
      <c r="AD121">
        <f t="shared" si="66"/>
        <v>113</v>
      </c>
      <c r="AE121">
        <v>5000</v>
      </c>
      <c r="AF121">
        <f t="shared" si="53"/>
        <v>4</v>
      </c>
      <c r="AG121">
        <v>1</v>
      </c>
      <c r="AH121">
        <f t="shared" si="78"/>
        <v>502</v>
      </c>
      <c r="AI121">
        <v>74</v>
      </c>
      <c r="AJ121">
        <f t="shared" si="67"/>
        <v>111</v>
      </c>
      <c r="AP121" t="str">
        <f t="shared" si="54"/>
        <v>{5000,4,1,501,101}</v>
      </c>
      <c r="AQ121" t="str">
        <f t="shared" si="55"/>
        <v>{5000,4,1,501,102}</v>
      </c>
      <c r="AR121" t="str">
        <f t="shared" si="56"/>
        <v>{5000,4,1,502,103}</v>
      </c>
      <c r="AS121" t="str">
        <f t="shared" si="57"/>
        <v>{5000,4,1,501,113}</v>
      </c>
      <c r="AT121" t="str">
        <f t="shared" si="58"/>
        <v>{5000,4,1,502,111}</v>
      </c>
      <c r="AU121" t="str">
        <f t="shared" si="59"/>
        <v/>
      </c>
      <c r="AV121">
        <v>1521</v>
      </c>
      <c r="AW121" t="str">
        <f t="shared" si="62"/>
        <v>[{5000,4,1,501,101},{5000,4,1,501,102},{5000,4,1,502,103},{5000,4,1,501,113},{5000,4,1,502,111}]</v>
      </c>
    </row>
    <row r="122" spans="2:49">
      <c r="B122">
        <v>1522</v>
      </c>
      <c r="C122" t="s">
        <v>83</v>
      </c>
      <c r="D122" t="str">
        <f t="shared" si="50"/>
        <v>6</v>
      </c>
      <c r="F122">
        <v>166</v>
      </c>
      <c r="G122">
        <v>5000</v>
      </c>
      <c r="H122">
        <f>H100+1</f>
        <v>4</v>
      </c>
      <c r="I122">
        <v>1</v>
      </c>
      <c r="J122">
        <v>1</v>
      </c>
      <c r="K122">
        <f t="shared" si="74"/>
        <v>501</v>
      </c>
      <c r="L122">
        <f t="shared" si="63"/>
        <v>101</v>
      </c>
      <c r="M122">
        <v>5000</v>
      </c>
      <c r="N122">
        <f t="shared" si="61"/>
        <v>4</v>
      </c>
      <c r="O122">
        <v>1</v>
      </c>
      <c r="P122">
        <f t="shared" si="75"/>
        <v>501</v>
      </c>
      <c r="Q122">
        <v>59</v>
      </c>
      <c r="R122">
        <f t="shared" si="64"/>
        <v>103</v>
      </c>
      <c r="S122">
        <v>5000</v>
      </c>
      <c r="T122">
        <f t="shared" si="51"/>
        <v>4</v>
      </c>
      <c r="U122">
        <v>1</v>
      </c>
      <c r="V122">
        <f t="shared" si="76"/>
        <v>502</v>
      </c>
      <c r="W122">
        <v>79</v>
      </c>
      <c r="X122">
        <f t="shared" si="65"/>
        <v>111</v>
      </c>
      <c r="Y122">
        <v>5000</v>
      </c>
      <c r="Z122">
        <f t="shared" si="52"/>
        <v>4</v>
      </c>
      <c r="AA122">
        <v>1</v>
      </c>
      <c r="AB122">
        <f t="shared" si="77"/>
        <v>501</v>
      </c>
      <c r="AC122">
        <v>71</v>
      </c>
      <c r="AD122">
        <f t="shared" si="66"/>
        <v>112</v>
      </c>
      <c r="AE122">
        <v>5000</v>
      </c>
      <c r="AF122">
        <f t="shared" si="53"/>
        <v>4</v>
      </c>
      <c r="AG122">
        <v>1</v>
      </c>
      <c r="AH122">
        <f t="shared" si="78"/>
        <v>502</v>
      </c>
      <c r="AI122">
        <v>74</v>
      </c>
      <c r="AJ122">
        <f t="shared" si="67"/>
        <v>113</v>
      </c>
      <c r="AP122" t="str">
        <f t="shared" si="54"/>
        <v>{5000,4,1,501,101}</v>
      </c>
      <c r="AQ122" t="str">
        <f t="shared" si="55"/>
        <v>{5000,4,1,501,103}</v>
      </c>
      <c r="AR122" t="str">
        <f t="shared" si="56"/>
        <v>{5000,4,1,502,111}</v>
      </c>
      <c r="AS122" t="str">
        <f t="shared" si="57"/>
        <v>{5000,4,1,501,112}</v>
      </c>
      <c r="AT122" t="str">
        <f t="shared" si="58"/>
        <v>{5000,4,1,502,113}</v>
      </c>
      <c r="AU122" t="str">
        <f t="shared" si="59"/>
        <v/>
      </c>
      <c r="AV122">
        <v>1522</v>
      </c>
      <c r="AW122" t="str">
        <f t="shared" si="62"/>
        <v>[{5000,4,1,501,101},{5000,4,1,501,103},{5000,4,1,502,111},{5000,4,1,501,112},{5000,4,1,502,113}]</v>
      </c>
    </row>
    <row r="123" spans="2:49">
      <c r="B123">
        <v>1523</v>
      </c>
      <c r="C123" t="s">
        <v>83</v>
      </c>
      <c r="D123" t="str">
        <f t="shared" si="50"/>
        <v>6</v>
      </c>
      <c r="F123">
        <v>181</v>
      </c>
      <c r="G123">
        <v>5000</v>
      </c>
      <c r="H123">
        <f>H101+2</f>
        <v>6</v>
      </c>
      <c r="I123">
        <v>1</v>
      </c>
      <c r="J123">
        <v>3</v>
      </c>
      <c r="K123">
        <f t="shared" si="74"/>
        <v>503</v>
      </c>
      <c r="L123">
        <f t="shared" si="63"/>
        <v>101</v>
      </c>
      <c r="M123">
        <v>5000</v>
      </c>
      <c r="N123">
        <f t="shared" si="61"/>
        <v>6</v>
      </c>
      <c r="O123">
        <v>1</v>
      </c>
      <c r="P123">
        <f t="shared" si="75"/>
        <v>503</v>
      </c>
      <c r="Q123">
        <v>53</v>
      </c>
      <c r="R123">
        <f t="shared" si="64"/>
        <v>102</v>
      </c>
      <c r="S123">
        <v>5000</v>
      </c>
      <c r="T123">
        <f t="shared" si="51"/>
        <v>6</v>
      </c>
      <c r="U123">
        <v>1</v>
      </c>
      <c r="V123">
        <f t="shared" si="76"/>
        <v>503</v>
      </c>
      <c r="W123">
        <v>56</v>
      </c>
      <c r="X123">
        <f t="shared" si="65"/>
        <v>103</v>
      </c>
      <c r="Y123">
        <v>5000</v>
      </c>
      <c r="Z123">
        <f t="shared" si="52"/>
        <v>6</v>
      </c>
      <c r="AA123">
        <v>1</v>
      </c>
      <c r="AB123">
        <f t="shared" si="77"/>
        <v>503</v>
      </c>
      <c r="AC123">
        <v>75</v>
      </c>
      <c r="AD123">
        <f t="shared" si="66"/>
        <v>113</v>
      </c>
      <c r="AE123">
        <v>5000</v>
      </c>
      <c r="AF123">
        <f t="shared" si="53"/>
        <v>6</v>
      </c>
      <c r="AG123">
        <v>1</v>
      </c>
      <c r="AH123">
        <f t="shared" si="78"/>
        <v>503</v>
      </c>
      <c r="AI123">
        <v>78</v>
      </c>
      <c r="AJ123">
        <f t="shared" si="67"/>
        <v>111</v>
      </c>
      <c r="AP123" t="str">
        <f t="shared" si="54"/>
        <v>{5000,6,1,503,101}</v>
      </c>
      <c r="AQ123" t="str">
        <f t="shared" si="55"/>
        <v>{5000,6,1,503,102}</v>
      </c>
      <c r="AR123" t="str">
        <f t="shared" si="56"/>
        <v>{5000,6,1,503,103}</v>
      </c>
      <c r="AS123" t="str">
        <f t="shared" si="57"/>
        <v>{5000,6,1,503,113}</v>
      </c>
      <c r="AT123" t="str">
        <f t="shared" si="58"/>
        <v>{5000,6,1,503,111}</v>
      </c>
      <c r="AU123" t="str">
        <f t="shared" si="59"/>
        <v/>
      </c>
      <c r="AV123">
        <v>1523</v>
      </c>
      <c r="AW123" t="str">
        <f t="shared" si="62"/>
        <v>[{5000,6,1,503,101},{5000,6,1,503,102},{5000,6,1,503,103},{5000,6,1,503,113},{5000,6,1,503,111}]</v>
      </c>
    </row>
    <row r="124" spans="2:49">
      <c r="B124">
        <v>1524</v>
      </c>
      <c r="C124" t="s">
        <v>83</v>
      </c>
      <c r="D124" t="str">
        <f t="shared" si="50"/>
        <v>6</v>
      </c>
      <c r="F124">
        <v>196</v>
      </c>
      <c r="G124">
        <v>5000</v>
      </c>
      <c r="H124">
        <f>H102+2</f>
        <v>5</v>
      </c>
      <c r="I124">
        <v>1</v>
      </c>
      <c r="J124">
        <v>2</v>
      </c>
      <c r="K124">
        <f t="shared" si="74"/>
        <v>502</v>
      </c>
      <c r="L124">
        <f t="shared" si="63"/>
        <v>101</v>
      </c>
      <c r="M124">
        <v>5000</v>
      </c>
      <c r="N124">
        <f t="shared" si="61"/>
        <v>5</v>
      </c>
      <c r="O124">
        <v>1</v>
      </c>
      <c r="P124">
        <f t="shared" si="75"/>
        <v>501</v>
      </c>
      <c r="Q124">
        <v>54</v>
      </c>
      <c r="R124">
        <f t="shared" si="64"/>
        <v>103</v>
      </c>
      <c r="S124">
        <v>5000</v>
      </c>
      <c r="T124">
        <f t="shared" si="51"/>
        <v>5</v>
      </c>
      <c r="U124">
        <v>1</v>
      </c>
      <c r="V124">
        <f t="shared" si="76"/>
        <v>502</v>
      </c>
      <c r="W124">
        <v>77</v>
      </c>
      <c r="X124">
        <f t="shared" si="65"/>
        <v>111</v>
      </c>
      <c r="Y124">
        <v>5000</v>
      </c>
      <c r="Z124">
        <f t="shared" si="52"/>
        <v>5</v>
      </c>
      <c r="AA124">
        <v>1</v>
      </c>
      <c r="AB124">
        <f t="shared" si="77"/>
        <v>501</v>
      </c>
      <c r="AC124">
        <v>72</v>
      </c>
      <c r="AD124">
        <f t="shared" si="66"/>
        <v>112</v>
      </c>
      <c r="AE124">
        <v>5000</v>
      </c>
      <c r="AF124">
        <f t="shared" si="53"/>
        <v>5</v>
      </c>
      <c r="AG124">
        <v>1</v>
      </c>
      <c r="AH124">
        <f t="shared" si="78"/>
        <v>502</v>
      </c>
      <c r="AI124">
        <v>74</v>
      </c>
      <c r="AJ124">
        <f t="shared" si="67"/>
        <v>113</v>
      </c>
      <c r="AP124" t="str">
        <f t="shared" si="54"/>
        <v>{5000,5,1,502,101}</v>
      </c>
      <c r="AQ124" t="str">
        <f t="shared" si="55"/>
        <v>{5000,5,1,501,103}</v>
      </c>
      <c r="AR124" t="str">
        <f t="shared" si="56"/>
        <v>{5000,5,1,502,111}</v>
      </c>
      <c r="AS124" t="str">
        <f t="shared" si="57"/>
        <v>{5000,5,1,501,112}</v>
      </c>
      <c r="AT124" t="str">
        <f t="shared" si="58"/>
        <v>{5000,5,1,502,113}</v>
      </c>
      <c r="AU124" t="str">
        <f t="shared" si="59"/>
        <v/>
      </c>
      <c r="AV124">
        <v>1524</v>
      </c>
      <c r="AW124" t="str">
        <f t="shared" si="62"/>
        <v>[{5000,5,1,502,101},{5000,5,1,501,103},{5000,5,1,502,111},{5000,5,1,501,112},{5000,5,1,502,113}]</v>
      </c>
    </row>
    <row r="125" spans="2:48">
      <c r="B125">
        <v>1525</v>
      </c>
      <c r="C125" t="s">
        <v>83</v>
      </c>
      <c r="D125" t="str">
        <f t="shared" si="50"/>
        <v>6</v>
      </c>
      <c r="F125">
        <v>209</v>
      </c>
      <c r="K125" t="str">
        <f t="shared" si="74"/>
        <v/>
      </c>
      <c r="L125" t="str">
        <f t="shared" si="63"/>
        <v/>
      </c>
      <c r="N125">
        <f t="shared" si="61"/>
        <v>0</v>
      </c>
      <c r="P125" t="str">
        <f t="shared" si="75"/>
        <v/>
      </c>
      <c r="R125" t="str">
        <f t="shared" si="64"/>
        <v/>
      </c>
      <c r="T125">
        <f t="shared" si="51"/>
        <v>0</v>
      </c>
      <c r="V125" t="str">
        <f t="shared" si="76"/>
        <v/>
      </c>
      <c r="X125" t="str">
        <f t="shared" si="65"/>
        <v/>
      </c>
      <c r="Z125">
        <f t="shared" si="52"/>
        <v>0</v>
      </c>
      <c r="AB125" t="str">
        <f t="shared" si="77"/>
        <v/>
      </c>
      <c r="AD125" t="str">
        <f t="shared" si="66"/>
        <v/>
      </c>
      <c r="AF125">
        <f t="shared" si="53"/>
        <v>0</v>
      </c>
      <c r="AH125" t="str">
        <f t="shared" si="78"/>
        <v/>
      </c>
      <c r="AJ125" t="str">
        <f t="shared" si="67"/>
        <v/>
      </c>
      <c r="AP125" t="str">
        <f t="shared" si="54"/>
        <v/>
      </c>
      <c r="AQ125" t="str">
        <f t="shared" si="55"/>
        <v/>
      </c>
      <c r="AR125" t="str">
        <f t="shared" si="56"/>
        <v/>
      </c>
      <c r="AS125" t="str">
        <f t="shared" si="57"/>
        <v/>
      </c>
      <c r="AT125" t="str">
        <f t="shared" si="58"/>
        <v/>
      </c>
      <c r="AU125" t="str">
        <f t="shared" si="59"/>
        <v/>
      </c>
      <c r="AV125">
        <v>1525</v>
      </c>
    </row>
    <row r="126" spans="2:49">
      <c r="B126">
        <v>1526</v>
      </c>
      <c r="C126" t="s">
        <v>83</v>
      </c>
      <c r="D126" t="str">
        <f t="shared" si="50"/>
        <v>6</v>
      </c>
      <c r="F126">
        <v>211</v>
      </c>
      <c r="G126">
        <v>5000</v>
      </c>
      <c r="H126">
        <f t="shared" ref="H126:H132" si="79">H104+2</f>
        <v>6</v>
      </c>
      <c r="I126">
        <v>1</v>
      </c>
      <c r="J126">
        <v>2</v>
      </c>
      <c r="K126">
        <f t="shared" si="74"/>
        <v>502</v>
      </c>
      <c r="L126">
        <f t="shared" si="63"/>
        <v>101</v>
      </c>
      <c r="M126">
        <v>5000</v>
      </c>
      <c r="N126">
        <f t="shared" si="61"/>
        <v>6</v>
      </c>
      <c r="O126">
        <v>1</v>
      </c>
      <c r="P126">
        <f t="shared" si="75"/>
        <v>501</v>
      </c>
      <c r="Q126">
        <v>51</v>
      </c>
      <c r="R126">
        <f t="shared" si="64"/>
        <v>102</v>
      </c>
      <c r="S126">
        <v>5000</v>
      </c>
      <c r="T126">
        <f t="shared" si="51"/>
        <v>6</v>
      </c>
      <c r="U126">
        <v>1</v>
      </c>
      <c r="V126">
        <f t="shared" si="76"/>
        <v>502</v>
      </c>
      <c r="W126">
        <v>57</v>
      </c>
      <c r="X126">
        <f t="shared" si="65"/>
        <v>103</v>
      </c>
      <c r="Y126">
        <v>5000</v>
      </c>
      <c r="Z126">
        <f t="shared" si="52"/>
        <v>6</v>
      </c>
      <c r="AA126">
        <v>1</v>
      </c>
      <c r="AB126">
        <f t="shared" si="77"/>
        <v>501</v>
      </c>
      <c r="AC126">
        <v>79</v>
      </c>
      <c r="AD126">
        <f t="shared" si="66"/>
        <v>113</v>
      </c>
      <c r="AE126">
        <v>5000</v>
      </c>
      <c r="AF126">
        <f t="shared" si="53"/>
        <v>6</v>
      </c>
      <c r="AG126">
        <v>1</v>
      </c>
      <c r="AH126">
        <f t="shared" si="78"/>
        <v>502</v>
      </c>
      <c r="AI126">
        <v>72</v>
      </c>
      <c r="AJ126">
        <f t="shared" si="67"/>
        <v>111</v>
      </c>
      <c r="AK126">
        <v>1000</v>
      </c>
      <c r="AL126">
        <v>1</v>
      </c>
      <c r="AM126">
        <v>0</v>
      </c>
      <c r="AN126">
        <v>531</v>
      </c>
      <c r="AO126">
        <v>4</v>
      </c>
      <c r="AP126" t="str">
        <f t="shared" si="54"/>
        <v>{5000,6,1,502,101}</v>
      </c>
      <c r="AQ126" t="str">
        <f t="shared" si="55"/>
        <v>{5000,6,1,501,102}</v>
      </c>
      <c r="AR126" t="str">
        <f t="shared" si="56"/>
        <v>{5000,6,1,502,103}</v>
      </c>
      <c r="AS126" t="str">
        <f t="shared" si="57"/>
        <v>{5000,6,1,501,113}</v>
      </c>
      <c r="AT126" t="str">
        <f t="shared" si="58"/>
        <v>{5000,6,1,502,111}</v>
      </c>
      <c r="AU126" t="str">
        <f t="shared" si="59"/>
        <v>{1000,1,0,531,4}</v>
      </c>
      <c r="AV126">
        <v>1526</v>
      </c>
      <c r="AW126" t="str">
        <f t="shared" ref="AW126:AW146" si="80">IF(AU126="","["&amp;_xlfn.TEXTJOIN(",",1,AP126:AT126)&amp;"]","["&amp;_xlfn.TEXTJOIN(",",1,AP126:AU126)&amp;"]")</f>
        <v>[{5000,6,1,502,101},{5000,6,1,501,102},{5000,6,1,502,103},{5000,6,1,501,113},{5000,6,1,502,111},{1000,1,0,531,4}]</v>
      </c>
    </row>
    <row r="127" spans="2:49">
      <c r="B127">
        <v>1527</v>
      </c>
      <c r="C127" t="s">
        <v>83</v>
      </c>
      <c r="D127" t="str">
        <f t="shared" si="50"/>
        <v>6</v>
      </c>
      <c r="F127">
        <v>226</v>
      </c>
      <c r="G127">
        <v>5000</v>
      </c>
      <c r="H127">
        <f t="shared" si="79"/>
        <v>6</v>
      </c>
      <c r="I127">
        <v>1</v>
      </c>
      <c r="J127">
        <v>2</v>
      </c>
      <c r="K127">
        <f t="shared" si="74"/>
        <v>502</v>
      </c>
      <c r="L127">
        <f t="shared" si="63"/>
        <v>101</v>
      </c>
      <c r="M127">
        <v>5000</v>
      </c>
      <c r="N127">
        <f t="shared" si="61"/>
        <v>6</v>
      </c>
      <c r="O127">
        <v>1</v>
      </c>
      <c r="P127">
        <f t="shared" si="75"/>
        <v>501</v>
      </c>
      <c r="Q127">
        <v>51</v>
      </c>
      <c r="R127">
        <f t="shared" si="64"/>
        <v>103</v>
      </c>
      <c r="S127">
        <v>5000</v>
      </c>
      <c r="T127">
        <f t="shared" si="51"/>
        <v>6</v>
      </c>
      <c r="U127">
        <v>1</v>
      </c>
      <c r="V127">
        <f t="shared" si="76"/>
        <v>502</v>
      </c>
      <c r="W127">
        <v>75</v>
      </c>
      <c r="X127">
        <f t="shared" si="65"/>
        <v>111</v>
      </c>
      <c r="Y127">
        <v>5000</v>
      </c>
      <c r="Z127">
        <f t="shared" si="52"/>
        <v>6</v>
      </c>
      <c r="AA127">
        <v>1</v>
      </c>
      <c r="AB127">
        <f t="shared" si="77"/>
        <v>501</v>
      </c>
      <c r="AC127">
        <v>71</v>
      </c>
      <c r="AD127">
        <f t="shared" si="66"/>
        <v>112</v>
      </c>
      <c r="AE127">
        <v>5000</v>
      </c>
      <c r="AF127">
        <f t="shared" si="53"/>
        <v>6</v>
      </c>
      <c r="AG127">
        <v>1</v>
      </c>
      <c r="AH127">
        <f t="shared" si="78"/>
        <v>502</v>
      </c>
      <c r="AI127">
        <v>77</v>
      </c>
      <c r="AJ127">
        <f t="shared" si="67"/>
        <v>113</v>
      </c>
      <c r="AP127" t="str">
        <f t="shared" si="54"/>
        <v>{5000,6,1,502,101}</v>
      </c>
      <c r="AQ127" t="str">
        <f t="shared" si="55"/>
        <v>{5000,6,1,501,103}</v>
      </c>
      <c r="AR127" t="str">
        <f t="shared" si="56"/>
        <v>{5000,6,1,502,111}</v>
      </c>
      <c r="AS127" t="str">
        <f t="shared" si="57"/>
        <v>{5000,6,1,501,112}</v>
      </c>
      <c r="AT127" t="str">
        <f t="shared" si="58"/>
        <v>{5000,6,1,502,113}</v>
      </c>
      <c r="AU127" t="str">
        <f t="shared" si="59"/>
        <v/>
      </c>
      <c r="AV127">
        <v>1527</v>
      </c>
      <c r="AW127" t="str">
        <f t="shared" si="80"/>
        <v>[{5000,6,1,502,101},{5000,6,1,501,103},{5000,6,1,502,111},{5000,6,1,501,112},{5000,6,1,502,113}]</v>
      </c>
    </row>
    <row r="128" spans="2:49">
      <c r="B128">
        <v>1528</v>
      </c>
      <c r="C128" t="s">
        <v>83</v>
      </c>
      <c r="D128" t="str">
        <f t="shared" si="50"/>
        <v>6</v>
      </c>
      <c r="F128">
        <v>241</v>
      </c>
      <c r="G128">
        <v>5000</v>
      </c>
      <c r="H128">
        <f t="shared" si="79"/>
        <v>7</v>
      </c>
      <c r="I128">
        <v>1</v>
      </c>
      <c r="J128">
        <v>3</v>
      </c>
      <c r="K128">
        <f t="shared" si="74"/>
        <v>503</v>
      </c>
      <c r="L128">
        <f t="shared" si="63"/>
        <v>101</v>
      </c>
      <c r="M128">
        <v>5000</v>
      </c>
      <c r="N128">
        <f t="shared" si="61"/>
        <v>7</v>
      </c>
      <c r="O128">
        <v>1</v>
      </c>
      <c r="P128">
        <f t="shared" si="75"/>
        <v>503</v>
      </c>
      <c r="Q128">
        <v>53</v>
      </c>
      <c r="R128">
        <f t="shared" si="64"/>
        <v>102</v>
      </c>
      <c r="S128">
        <v>5000</v>
      </c>
      <c r="T128">
        <f t="shared" si="51"/>
        <v>7</v>
      </c>
      <c r="U128">
        <v>1</v>
      </c>
      <c r="V128">
        <f t="shared" si="76"/>
        <v>503</v>
      </c>
      <c r="W128">
        <v>56</v>
      </c>
      <c r="X128">
        <f t="shared" si="65"/>
        <v>103</v>
      </c>
      <c r="Y128">
        <v>5000</v>
      </c>
      <c r="Z128">
        <f t="shared" si="52"/>
        <v>7</v>
      </c>
      <c r="AA128">
        <v>1</v>
      </c>
      <c r="AB128">
        <f t="shared" si="77"/>
        <v>503</v>
      </c>
      <c r="AC128">
        <v>74</v>
      </c>
      <c r="AD128">
        <f t="shared" si="66"/>
        <v>113</v>
      </c>
      <c r="AE128">
        <v>5000</v>
      </c>
      <c r="AF128">
        <f t="shared" si="53"/>
        <v>7</v>
      </c>
      <c r="AG128">
        <v>1</v>
      </c>
      <c r="AH128">
        <f t="shared" si="78"/>
        <v>503</v>
      </c>
      <c r="AI128">
        <v>78</v>
      </c>
      <c r="AJ128">
        <f t="shared" si="67"/>
        <v>111</v>
      </c>
      <c r="AP128" t="str">
        <f t="shared" si="54"/>
        <v>{5000,7,1,503,101}</v>
      </c>
      <c r="AQ128" t="str">
        <f t="shared" si="55"/>
        <v>{5000,7,1,503,102}</v>
      </c>
      <c r="AR128" t="str">
        <f t="shared" si="56"/>
        <v>{5000,7,1,503,103}</v>
      </c>
      <c r="AS128" t="str">
        <f t="shared" si="57"/>
        <v>{5000,7,1,503,113}</v>
      </c>
      <c r="AT128" t="str">
        <f t="shared" si="58"/>
        <v>{5000,7,1,503,111}</v>
      </c>
      <c r="AU128" t="str">
        <f t="shared" si="59"/>
        <v/>
      </c>
      <c r="AV128">
        <v>1528</v>
      </c>
      <c r="AW128" t="str">
        <f t="shared" si="80"/>
        <v>[{5000,7,1,503,101},{5000,7,1,503,102},{5000,7,1,503,103},{5000,7,1,503,113},{5000,7,1,503,111}]</v>
      </c>
    </row>
    <row r="129" spans="2:49">
      <c r="B129">
        <v>1529</v>
      </c>
      <c r="C129" t="s">
        <v>83</v>
      </c>
      <c r="D129" t="str">
        <f t="shared" si="50"/>
        <v>6</v>
      </c>
      <c r="F129">
        <v>256</v>
      </c>
      <c r="G129">
        <v>5000</v>
      </c>
      <c r="H129">
        <f t="shared" si="79"/>
        <v>6</v>
      </c>
      <c r="I129">
        <v>1</v>
      </c>
      <c r="J129">
        <v>2</v>
      </c>
      <c r="K129">
        <f t="shared" si="74"/>
        <v>502</v>
      </c>
      <c r="L129">
        <f t="shared" si="63"/>
        <v>101</v>
      </c>
      <c r="M129">
        <v>5000</v>
      </c>
      <c r="N129">
        <f t="shared" si="61"/>
        <v>6</v>
      </c>
      <c r="O129">
        <v>1</v>
      </c>
      <c r="P129">
        <f t="shared" si="75"/>
        <v>502</v>
      </c>
      <c r="Q129">
        <v>59</v>
      </c>
      <c r="R129">
        <f t="shared" si="64"/>
        <v>103</v>
      </c>
      <c r="S129">
        <v>5000</v>
      </c>
      <c r="T129">
        <f t="shared" si="51"/>
        <v>6</v>
      </c>
      <c r="U129">
        <v>1</v>
      </c>
      <c r="V129">
        <f t="shared" si="76"/>
        <v>502</v>
      </c>
      <c r="W129">
        <v>79</v>
      </c>
      <c r="X129">
        <f t="shared" si="65"/>
        <v>111</v>
      </c>
      <c r="Y129">
        <v>5000</v>
      </c>
      <c r="Z129">
        <f t="shared" si="52"/>
        <v>6</v>
      </c>
      <c r="AA129">
        <v>1</v>
      </c>
      <c r="AB129">
        <f t="shared" si="77"/>
        <v>501</v>
      </c>
      <c r="AC129">
        <v>72</v>
      </c>
      <c r="AD129">
        <f t="shared" si="66"/>
        <v>112</v>
      </c>
      <c r="AE129">
        <v>5000</v>
      </c>
      <c r="AF129">
        <f t="shared" si="53"/>
        <v>6</v>
      </c>
      <c r="AG129">
        <v>1</v>
      </c>
      <c r="AH129">
        <f t="shared" si="78"/>
        <v>502</v>
      </c>
      <c r="AI129">
        <v>74</v>
      </c>
      <c r="AJ129">
        <f t="shared" si="67"/>
        <v>113</v>
      </c>
      <c r="AP129" t="str">
        <f t="shared" si="54"/>
        <v>{5000,6,1,502,101}</v>
      </c>
      <c r="AQ129" t="str">
        <f t="shared" si="55"/>
        <v>{5000,6,1,502,103}</v>
      </c>
      <c r="AR129" t="str">
        <f t="shared" si="56"/>
        <v>{5000,6,1,502,111}</v>
      </c>
      <c r="AS129" t="str">
        <f t="shared" si="57"/>
        <v>{5000,6,1,501,112}</v>
      </c>
      <c r="AT129" t="str">
        <f t="shared" si="58"/>
        <v>{5000,6,1,502,113}</v>
      </c>
      <c r="AU129" t="str">
        <f t="shared" si="59"/>
        <v/>
      </c>
      <c r="AV129">
        <v>1529</v>
      </c>
      <c r="AW129" t="str">
        <f t="shared" si="80"/>
        <v>[{5000,6,1,502,101},{5000,6,1,502,103},{5000,6,1,502,111},{5000,6,1,501,112},{5000,6,1,502,113}]</v>
      </c>
    </row>
    <row r="130" spans="2:49">
      <c r="B130">
        <v>1530</v>
      </c>
      <c r="C130" t="s">
        <v>83</v>
      </c>
      <c r="D130" t="str">
        <f t="shared" si="50"/>
        <v>6</v>
      </c>
      <c r="F130">
        <v>271</v>
      </c>
      <c r="G130">
        <v>5000</v>
      </c>
      <c r="H130">
        <f t="shared" si="79"/>
        <v>6</v>
      </c>
      <c r="I130">
        <v>1</v>
      </c>
      <c r="J130">
        <v>2</v>
      </c>
      <c r="K130">
        <f t="shared" si="74"/>
        <v>502</v>
      </c>
      <c r="L130">
        <f t="shared" si="63"/>
        <v>101</v>
      </c>
      <c r="M130">
        <v>5000</v>
      </c>
      <c r="N130">
        <f t="shared" si="61"/>
        <v>6</v>
      </c>
      <c r="O130">
        <v>1</v>
      </c>
      <c r="P130">
        <f t="shared" si="75"/>
        <v>502</v>
      </c>
      <c r="Q130">
        <v>54</v>
      </c>
      <c r="R130">
        <f t="shared" si="64"/>
        <v>102</v>
      </c>
      <c r="S130">
        <v>5000</v>
      </c>
      <c r="T130">
        <f t="shared" si="51"/>
        <v>6</v>
      </c>
      <c r="U130">
        <v>1</v>
      </c>
      <c r="V130">
        <f t="shared" si="76"/>
        <v>502</v>
      </c>
      <c r="W130">
        <v>56</v>
      </c>
      <c r="X130">
        <f t="shared" si="65"/>
        <v>103</v>
      </c>
      <c r="Y130">
        <v>5000</v>
      </c>
      <c r="Z130">
        <f t="shared" si="52"/>
        <v>6</v>
      </c>
      <c r="AA130">
        <v>1</v>
      </c>
      <c r="AB130">
        <f t="shared" si="77"/>
        <v>502</v>
      </c>
      <c r="AC130">
        <v>73</v>
      </c>
      <c r="AD130">
        <f t="shared" si="66"/>
        <v>113</v>
      </c>
      <c r="AE130">
        <v>5000</v>
      </c>
      <c r="AF130">
        <f t="shared" si="53"/>
        <v>6</v>
      </c>
      <c r="AG130">
        <v>1</v>
      </c>
      <c r="AH130">
        <f t="shared" si="78"/>
        <v>502</v>
      </c>
      <c r="AI130">
        <v>75</v>
      </c>
      <c r="AJ130">
        <f t="shared" si="67"/>
        <v>111</v>
      </c>
      <c r="AP130" t="str">
        <f t="shared" si="54"/>
        <v>{5000,6,1,502,101}</v>
      </c>
      <c r="AQ130" t="str">
        <f t="shared" si="55"/>
        <v>{5000,6,1,502,102}</v>
      </c>
      <c r="AR130" t="str">
        <f t="shared" si="56"/>
        <v>{5000,6,1,502,103}</v>
      </c>
      <c r="AS130" t="str">
        <f t="shared" si="57"/>
        <v>{5000,6,1,502,113}</v>
      </c>
      <c r="AT130" t="str">
        <f t="shared" si="58"/>
        <v>{5000,6,1,502,111}</v>
      </c>
      <c r="AU130" t="str">
        <f t="shared" si="59"/>
        <v/>
      </c>
      <c r="AV130">
        <v>1530</v>
      </c>
      <c r="AW130" t="str">
        <f t="shared" si="80"/>
        <v>[{5000,6,1,502,101},{5000,6,1,502,102},{5000,6,1,502,103},{5000,6,1,502,113},{5000,6,1,502,111}]</v>
      </c>
    </row>
    <row r="131" spans="2:49">
      <c r="B131">
        <v>1531</v>
      </c>
      <c r="C131" t="s">
        <v>83</v>
      </c>
      <c r="D131" t="str">
        <f t="shared" ref="D131:D194" si="81">RIGHT(C131,1)</f>
        <v>6</v>
      </c>
      <c r="F131">
        <v>286</v>
      </c>
      <c r="G131">
        <v>5000</v>
      </c>
      <c r="H131">
        <f t="shared" si="79"/>
        <v>6</v>
      </c>
      <c r="I131">
        <v>1</v>
      </c>
      <c r="J131">
        <v>2</v>
      </c>
      <c r="K131">
        <f t="shared" si="74"/>
        <v>502</v>
      </c>
      <c r="L131">
        <f t="shared" si="63"/>
        <v>101</v>
      </c>
      <c r="M131">
        <v>5000</v>
      </c>
      <c r="N131">
        <f t="shared" si="61"/>
        <v>6</v>
      </c>
      <c r="O131">
        <v>1</v>
      </c>
      <c r="P131">
        <f t="shared" si="75"/>
        <v>502</v>
      </c>
      <c r="Q131">
        <v>53</v>
      </c>
      <c r="R131">
        <f t="shared" si="64"/>
        <v>103</v>
      </c>
      <c r="S131">
        <v>5000</v>
      </c>
      <c r="T131">
        <f t="shared" ref="T131:T194" si="82">N131</f>
        <v>6</v>
      </c>
      <c r="U131">
        <v>1</v>
      </c>
      <c r="V131">
        <f t="shared" si="76"/>
        <v>502</v>
      </c>
      <c r="W131">
        <v>59</v>
      </c>
      <c r="X131">
        <f t="shared" si="65"/>
        <v>111</v>
      </c>
      <c r="Y131">
        <v>5000</v>
      </c>
      <c r="Z131">
        <f t="shared" ref="Z131:Z194" si="83">T131</f>
        <v>6</v>
      </c>
      <c r="AA131">
        <v>1</v>
      </c>
      <c r="AB131">
        <f t="shared" si="77"/>
        <v>502</v>
      </c>
      <c r="AC131">
        <v>71</v>
      </c>
      <c r="AD131">
        <f t="shared" si="66"/>
        <v>112</v>
      </c>
      <c r="AE131">
        <v>5000</v>
      </c>
      <c r="AF131">
        <f t="shared" ref="AF131:AF194" si="84">Z131</f>
        <v>6</v>
      </c>
      <c r="AG131">
        <v>1</v>
      </c>
      <c r="AH131">
        <f t="shared" si="78"/>
        <v>502</v>
      </c>
      <c r="AI131">
        <v>77</v>
      </c>
      <c r="AJ131">
        <f t="shared" si="67"/>
        <v>113</v>
      </c>
      <c r="AP131" t="str">
        <f t="shared" ref="AP131:AP194" si="85">IF(G131="","",$AQ$1&amp;_xlfn.TEXTJOIN(",",1,G131:I131,K131,L131)&amp;$AR$1)</f>
        <v>{5000,6,1,502,101}</v>
      </c>
      <c r="AQ131" t="str">
        <f t="shared" ref="AQ131:AQ194" si="86">IF(G131="","",$AQ$1&amp;_xlfn.TEXTJOIN(",",1,M131:P131,R131)&amp;$AR$1)</f>
        <v>{5000,6,1,502,103}</v>
      </c>
      <c r="AR131" t="str">
        <f t="shared" ref="AR131:AR194" si="87">IF(G131="","",$AQ$1&amp;_xlfn.TEXTJOIN(",",1,S131:V131,X131)&amp;$AR$1)</f>
        <v>{5000,6,1,502,111}</v>
      </c>
      <c r="AS131" t="str">
        <f t="shared" ref="AS131:AS194" si="88">IF(G131="","",$AQ$1&amp;_xlfn.TEXTJOIN(",",1,Y131:AB131,AD131)&amp;$AR$1)</f>
        <v>{5000,6,1,502,112}</v>
      </c>
      <c r="AT131" t="str">
        <f t="shared" ref="AT131:AT194" si="89">IF(G131="","",$AQ$1&amp;_xlfn.TEXTJOIN(",",1,AE131:AH131,AJ131)&amp;$AR$1)</f>
        <v>{5000,6,1,502,113}</v>
      </c>
      <c r="AU131" t="str">
        <f t="shared" ref="AU131:AU194" si="90">IF(AK131="","",IF(G131="","",$AQ$1&amp;_xlfn.TEXTJOIN(",",1,AK131:AO131)&amp;$AR$1))</f>
        <v/>
      </c>
      <c r="AV131">
        <v>1531</v>
      </c>
      <c r="AW131" t="str">
        <f t="shared" si="80"/>
        <v>[{5000,6,1,502,101},{5000,6,1,502,103},{5000,6,1,502,111},{5000,6,1,502,112},{5000,6,1,502,113}]</v>
      </c>
    </row>
    <row r="132" spans="2:49">
      <c r="B132">
        <v>1532</v>
      </c>
      <c r="C132" t="s">
        <v>83</v>
      </c>
      <c r="D132" t="str">
        <f t="shared" si="81"/>
        <v>6</v>
      </c>
      <c r="F132">
        <v>290</v>
      </c>
      <c r="G132">
        <v>5000</v>
      </c>
      <c r="H132">
        <f t="shared" si="79"/>
        <v>6</v>
      </c>
      <c r="I132">
        <v>1</v>
      </c>
      <c r="J132">
        <v>2</v>
      </c>
      <c r="K132">
        <f t="shared" si="74"/>
        <v>502</v>
      </c>
      <c r="L132">
        <f t="shared" si="63"/>
        <v>101</v>
      </c>
      <c r="M132">
        <v>5000</v>
      </c>
      <c r="N132">
        <f t="shared" si="61"/>
        <v>6</v>
      </c>
      <c r="O132">
        <v>1</v>
      </c>
      <c r="P132">
        <f t="shared" si="75"/>
        <v>502</v>
      </c>
      <c r="Q132">
        <v>56</v>
      </c>
      <c r="R132">
        <f t="shared" si="64"/>
        <v>102</v>
      </c>
      <c r="S132">
        <v>5000</v>
      </c>
      <c r="T132">
        <f t="shared" si="82"/>
        <v>6</v>
      </c>
      <c r="U132">
        <v>1</v>
      </c>
      <c r="V132">
        <f t="shared" si="76"/>
        <v>501</v>
      </c>
      <c r="W132">
        <v>77</v>
      </c>
      <c r="X132">
        <f t="shared" si="65"/>
        <v>103</v>
      </c>
      <c r="Y132">
        <v>5000</v>
      </c>
      <c r="Z132">
        <f t="shared" si="83"/>
        <v>6</v>
      </c>
      <c r="AA132">
        <v>1</v>
      </c>
      <c r="AB132">
        <f t="shared" si="77"/>
        <v>502</v>
      </c>
      <c r="AC132">
        <v>72</v>
      </c>
      <c r="AD132">
        <f t="shared" si="66"/>
        <v>113</v>
      </c>
      <c r="AE132">
        <v>5000</v>
      </c>
      <c r="AF132">
        <f t="shared" si="84"/>
        <v>6</v>
      </c>
      <c r="AG132">
        <v>1</v>
      </c>
      <c r="AH132">
        <f t="shared" si="78"/>
        <v>502</v>
      </c>
      <c r="AI132">
        <v>74</v>
      </c>
      <c r="AJ132">
        <f t="shared" si="67"/>
        <v>111</v>
      </c>
      <c r="AP132" t="str">
        <f t="shared" si="85"/>
        <v>{5000,6,1,502,101}</v>
      </c>
      <c r="AQ132" t="str">
        <f t="shared" si="86"/>
        <v>{5000,6,1,502,102}</v>
      </c>
      <c r="AR132" t="str">
        <f t="shared" si="87"/>
        <v>{5000,6,1,501,103}</v>
      </c>
      <c r="AS132" t="str">
        <f t="shared" si="88"/>
        <v>{5000,6,1,502,113}</v>
      </c>
      <c r="AT132" t="str">
        <f t="shared" si="89"/>
        <v>{5000,6,1,502,111}</v>
      </c>
      <c r="AU132" t="str">
        <f t="shared" si="90"/>
        <v/>
      </c>
      <c r="AV132">
        <v>1532</v>
      </c>
      <c r="AW132" t="str">
        <f t="shared" si="80"/>
        <v>[{5000,6,1,502,101},{5000,6,1,502,102},{5000,6,1,501,103},{5000,6,1,502,113},{5000,6,1,502,111}]</v>
      </c>
    </row>
    <row r="133" spans="2:49">
      <c r="B133">
        <v>1611</v>
      </c>
      <c r="C133" t="s">
        <v>84</v>
      </c>
      <c r="D133" s="5" t="str">
        <f t="shared" si="81"/>
        <v>7</v>
      </c>
      <c r="E133" s="5"/>
      <c r="F133">
        <v>1</v>
      </c>
      <c r="G133">
        <v>5000</v>
      </c>
      <c r="H133">
        <f>H111</f>
        <v>1</v>
      </c>
      <c r="I133">
        <v>1</v>
      </c>
      <c r="J133">
        <v>1</v>
      </c>
      <c r="K133">
        <f t="shared" si="74"/>
        <v>601</v>
      </c>
      <c r="L133">
        <f t="shared" si="63"/>
        <v>101</v>
      </c>
      <c r="M133">
        <v>5000</v>
      </c>
      <c r="N133">
        <f t="shared" si="61"/>
        <v>1</v>
      </c>
      <c r="O133">
        <v>1</v>
      </c>
      <c r="P133">
        <f t="shared" si="75"/>
        <v>601</v>
      </c>
      <c r="Q133">
        <v>55</v>
      </c>
      <c r="R133">
        <f t="shared" si="64"/>
        <v>102</v>
      </c>
      <c r="S133">
        <v>5000</v>
      </c>
      <c r="T133">
        <f t="shared" si="82"/>
        <v>1</v>
      </c>
      <c r="U133">
        <v>1</v>
      </c>
      <c r="V133">
        <f t="shared" si="76"/>
        <v>601</v>
      </c>
      <c r="W133">
        <v>60</v>
      </c>
      <c r="X133">
        <f t="shared" si="65"/>
        <v>103</v>
      </c>
      <c r="Y133">
        <v>5000</v>
      </c>
      <c r="Z133">
        <f t="shared" si="83"/>
        <v>1</v>
      </c>
      <c r="AA133">
        <v>1</v>
      </c>
      <c r="AB133">
        <f t="shared" si="77"/>
        <v>601</v>
      </c>
      <c r="AC133">
        <v>71</v>
      </c>
      <c r="AD133">
        <f t="shared" si="66"/>
        <v>113</v>
      </c>
      <c r="AE133">
        <v>5000</v>
      </c>
      <c r="AF133">
        <f t="shared" si="84"/>
        <v>1</v>
      </c>
      <c r="AG133">
        <v>1</v>
      </c>
      <c r="AH133">
        <f t="shared" si="78"/>
        <v>601</v>
      </c>
      <c r="AI133">
        <v>76</v>
      </c>
      <c r="AJ133">
        <f t="shared" si="67"/>
        <v>111</v>
      </c>
      <c r="AP133" t="str">
        <f t="shared" si="85"/>
        <v>{5000,1,1,601,101}</v>
      </c>
      <c r="AQ133" t="str">
        <f t="shared" si="86"/>
        <v>{5000,1,1,601,102}</v>
      </c>
      <c r="AR133" t="str">
        <f t="shared" si="87"/>
        <v>{5000,1,1,601,103}</v>
      </c>
      <c r="AS133" t="str">
        <f t="shared" si="88"/>
        <v>{5000,1,1,601,113}</v>
      </c>
      <c r="AT133" t="str">
        <f t="shared" si="89"/>
        <v>{5000,1,1,601,111}</v>
      </c>
      <c r="AU133" t="str">
        <f t="shared" si="90"/>
        <v/>
      </c>
      <c r="AV133">
        <v>1611</v>
      </c>
      <c r="AW133" t="str">
        <f t="shared" si="80"/>
        <v>[{5000,1,1,601,101},{5000,1,1,601,102},{5000,1,1,601,103},{5000,1,1,601,113},{5000,1,1,601,111}]</v>
      </c>
    </row>
    <row r="134" spans="2:49">
      <c r="B134">
        <v>1612</v>
      </c>
      <c r="C134" t="s">
        <v>84</v>
      </c>
      <c r="D134" t="str">
        <f t="shared" si="81"/>
        <v>7</v>
      </c>
      <c r="F134">
        <v>16</v>
      </c>
      <c r="G134">
        <v>5000</v>
      </c>
      <c r="H134">
        <f t="shared" ref="H134:H154" si="91">H112</f>
        <v>1</v>
      </c>
      <c r="I134">
        <v>1</v>
      </c>
      <c r="J134">
        <v>1</v>
      </c>
      <c r="K134">
        <f t="shared" ref="K134:K155" si="92">IF($J134="","",K112+100)</f>
        <v>601</v>
      </c>
      <c r="L134">
        <f t="shared" si="63"/>
        <v>101</v>
      </c>
      <c r="M134">
        <v>5000</v>
      </c>
      <c r="N134">
        <f t="shared" si="61"/>
        <v>1</v>
      </c>
      <c r="O134">
        <v>1</v>
      </c>
      <c r="P134">
        <f t="shared" ref="P134:P155" si="93">IF($J134="","",P112+100)</f>
        <v>601</v>
      </c>
      <c r="Q134">
        <v>55</v>
      </c>
      <c r="R134">
        <f t="shared" si="64"/>
        <v>103</v>
      </c>
      <c r="S134">
        <v>5000</v>
      </c>
      <c r="T134">
        <f t="shared" si="82"/>
        <v>1</v>
      </c>
      <c r="U134">
        <v>1</v>
      </c>
      <c r="V134">
        <f t="shared" ref="V134:V155" si="94">IF($J134="","",V112+100)</f>
        <v>601</v>
      </c>
      <c r="W134">
        <v>75</v>
      </c>
      <c r="X134">
        <f t="shared" si="65"/>
        <v>111</v>
      </c>
      <c r="Y134">
        <v>5000</v>
      </c>
      <c r="Z134">
        <f t="shared" si="83"/>
        <v>1</v>
      </c>
      <c r="AA134">
        <v>1</v>
      </c>
      <c r="AB134">
        <f t="shared" ref="AB134:AB155" si="95">IF($J134="","",AB112+100)</f>
        <v>601</v>
      </c>
      <c r="AC134">
        <v>73</v>
      </c>
      <c r="AD134">
        <f t="shared" si="66"/>
        <v>112</v>
      </c>
      <c r="AE134">
        <v>5000</v>
      </c>
      <c r="AF134">
        <f t="shared" si="84"/>
        <v>1</v>
      </c>
      <c r="AG134">
        <v>1</v>
      </c>
      <c r="AH134">
        <f t="shared" ref="AH134:AH155" si="96">IF($J134="","",AH112+100)</f>
        <v>601</v>
      </c>
      <c r="AI134">
        <v>78</v>
      </c>
      <c r="AJ134">
        <f t="shared" si="67"/>
        <v>113</v>
      </c>
      <c r="AP134" t="str">
        <f t="shared" si="85"/>
        <v>{5000,1,1,601,101}</v>
      </c>
      <c r="AQ134" t="str">
        <f t="shared" si="86"/>
        <v>{5000,1,1,601,103}</v>
      </c>
      <c r="AR134" t="str">
        <f t="shared" si="87"/>
        <v>{5000,1,1,601,111}</v>
      </c>
      <c r="AS134" t="str">
        <f t="shared" si="88"/>
        <v>{5000,1,1,601,112}</v>
      </c>
      <c r="AT134" t="str">
        <f t="shared" si="89"/>
        <v>{5000,1,1,601,113}</v>
      </c>
      <c r="AU134" t="str">
        <f t="shared" si="90"/>
        <v/>
      </c>
      <c r="AV134">
        <v>1612</v>
      </c>
      <c r="AW134" t="str">
        <f t="shared" si="80"/>
        <v>[{5000,1,1,601,101},{5000,1,1,601,103},{5000,1,1,601,111},{5000,1,1,601,112},{5000,1,1,601,113}]</v>
      </c>
    </row>
    <row r="135" spans="2:49">
      <c r="B135">
        <v>1613</v>
      </c>
      <c r="C135" t="s">
        <v>84</v>
      </c>
      <c r="D135" t="str">
        <f t="shared" si="81"/>
        <v>7</v>
      </c>
      <c r="F135">
        <v>31</v>
      </c>
      <c r="G135">
        <v>5000</v>
      </c>
      <c r="H135">
        <f t="shared" si="91"/>
        <v>2</v>
      </c>
      <c r="I135">
        <v>1</v>
      </c>
      <c r="J135">
        <v>1</v>
      </c>
      <c r="K135">
        <f t="shared" si="92"/>
        <v>601</v>
      </c>
      <c r="L135">
        <f t="shared" si="63"/>
        <v>101</v>
      </c>
      <c r="M135">
        <v>5000</v>
      </c>
      <c r="N135">
        <f t="shared" si="61"/>
        <v>2</v>
      </c>
      <c r="O135">
        <v>1</v>
      </c>
      <c r="P135">
        <f t="shared" si="93"/>
        <v>601</v>
      </c>
      <c r="Q135">
        <v>55</v>
      </c>
      <c r="R135">
        <f t="shared" si="64"/>
        <v>102</v>
      </c>
      <c r="S135">
        <v>5000</v>
      </c>
      <c r="T135">
        <f t="shared" si="82"/>
        <v>2</v>
      </c>
      <c r="U135">
        <v>1</v>
      </c>
      <c r="V135">
        <f t="shared" si="94"/>
        <v>601</v>
      </c>
      <c r="W135">
        <v>58</v>
      </c>
      <c r="X135">
        <f t="shared" si="65"/>
        <v>103</v>
      </c>
      <c r="Y135">
        <v>5000</v>
      </c>
      <c r="Z135">
        <f t="shared" si="83"/>
        <v>2</v>
      </c>
      <c r="AA135">
        <v>1</v>
      </c>
      <c r="AB135">
        <f t="shared" si="95"/>
        <v>601</v>
      </c>
      <c r="AC135">
        <v>76</v>
      </c>
      <c r="AD135">
        <f t="shared" si="66"/>
        <v>113</v>
      </c>
      <c r="AE135">
        <v>5000</v>
      </c>
      <c r="AF135">
        <f t="shared" si="84"/>
        <v>2</v>
      </c>
      <c r="AG135">
        <v>1</v>
      </c>
      <c r="AH135">
        <f t="shared" si="96"/>
        <v>601</v>
      </c>
      <c r="AI135">
        <v>79</v>
      </c>
      <c r="AJ135">
        <f t="shared" si="67"/>
        <v>111</v>
      </c>
      <c r="AP135" t="str">
        <f t="shared" si="85"/>
        <v>{5000,2,1,601,101}</v>
      </c>
      <c r="AQ135" t="str">
        <f t="shared" si="86"/>
        <v>{5000,2,1,601,102}</v>
      </c>
      <c r="AR135" t="str">
        <f t="shared" si="87"/>
        <v>{5000,2,1,601,103}</v>
      </c>
      <c r="AS135" t="str">
        <f t="shared" si="88"/>
        <v>{5000,2,1,601,113}</v>
      </c>
      <c r="AT135" t="str">
        <f t="shared" si="89"/>
        <v>{5000,2,1,601,111}</v>
      </c>
      <c r="AU135" t="str">
        <f t="shared" si="90"/>
        <v/>
      </c>
      <c r="AV135">
        <v>1613</v>
      </c>
      <c r="AW135" t="str">
        <f t="shared" si="80"/>
        <v>[{5000,2,1,601,101},{5000,2,1,601,102},{5000,2,1,601,103},{5000,2,1,601,113},{5000,2,1,601,111}]</v>
      </c>
    </row>
    <row r="136" spans="2:49">
      <c r="B136">
        <v>1614</v>
      </c>
      <c r="C136" t="s">
        <v>84</v>
      </c>
      <c r="D136" t="str">
        <f t="shared" si="81"/>
        <v>7</v>
      </c>
      <c r="F136">
        <v>46</v>
      </c>
      <c r="G136">
        <v>5000</v>
      </c>
      <c r="H136">
        <f t="shared" si="91"/>
        <v>2</v>
      </c>
      <c r="I136">
        <v>1</v>
      </c>
      <c r="J136">
        <v>1</v>
      </c>
      <c r="K136">
        <f t="shared" si="92"/>
        <v>601</v>
      </c>
      <c r="L136">
        <f t="shared" si="63"/>
        <v>101</v>
      </c>
      <c r="M136">
        <v>5000</v>
      </c>
      <c r="N136">
        <f t="shared" si="61"/>
        <v>2</v>
      </c>
      <c r="O136">
        <v>1</v>
      </c>
      <c r="P136">
        <f t="shared" si="93"/>
        <v>601</v>
      </c>
      <c r="Q136">
        <v>55</v>
      </c>
      <c r="R136">
        <f t="shared" si="64"/>
        <v>103</v>
      </c>
      <c r="S136">
        <v>5000</v>
      </c>
      <c r="T136">
        <f t="shared" si="82"/>
        <v>2</v>
      </c>
      <c r="U136">
        <v>1</v>
      </c>
      <c r="V136">
        <f t="shared" si="94"/>
        <v>602</v>
      </c>
      <c r="W136">
        <v>76</v>
      </c>
      <c r="X136">
        <f t="shared" si="65"/>
        <v>111</v>
      </c>
      <c r="Y136">
        <v>5000</v>
      </c>
      <c r="Z136">
        <f t="shared" si="83"/>
        <v>2</v>
      </c>
      <c r="AA136">
        <v>1</v>
      </c>
      <c r="AB136">
        <f t="shared" si="95"/>
        <v>601</v>
      </c>
      <c r="AC136">
        <v>71</v>
      </c>
      <c r="AD136">
        <f t="shared" si="66"/>
        <v>112</v>
      </c>
      <c r="AE136">
        <v>5000</v>
      </c>
      <c r="AF136">
        <f t="shared" si="84"/>
        <v>2</v>
      </c>
      <c r="AG136">
        <v>1</v>
      </c>
      <c r="AH136">
        <f t="shared" si="96"/>
        <v>601</v>
      </c>
      <c r="AI136">
        <v>71</v>
      </c>
      <c r="AJ136">
        <f t="shared" si="67"/>
        <v>113</v>
      </c>
      <c r="AP136" t="str">
        <f t="shared" si="85"/>
        <v>{5000,2,1,601,101}</v>
      </c>
      <c r="AQ136" t="str">
        <f t="shared" si="86"/>
        <v>{5000,2,1,601,103}</v>
      </c>
      <c r="AR136" t="str">
        <f t="shared" si="87"/>
        <v>{5000,2,1,602,111}</v>
      </c>
      <c r="AS136" t="str">
        <f t="shared" si="88"/>
        <v>{5000,2,1,601,112}</v>
      </c>
      <c r="AT136" t="str">
        <f t="shared" si="89"/>
        <v>{5000,2,1,601,113}</v>
      </c>
      <c r="AU136" t="str">
        <f t="shared" si="90"/>
        <v/>
      </c>
      <c r="AV136">
        <v>1614</v>
      </c>
      <c r="AW136" t="str">
        <f t="shared" si="80"/>
        <v>[{5000,2,1,601,101},{5000,2,1,601,103},{5000,2,1,602,111},{5000,2,1,601,112},{5000,2,1,601,113}]</v>
      </c>
    </row>
    <row r="137" spans="2:49">
      <c r="B137">
        <v>1615</v>
      </c>
      <c r="C137" t="s">
        <v>84</v>
      </c>
      <c r="D137" t="str">
        <f t="shared" si="81"/>
        <v>7</v>
      </c>
      <c r="F137">
        <v>61</v>
      </c>
      <c r="G137">
        <v>5000</v>
      </c>
      <c r="H137">
        <f t="shared" si="91"/>
        <v>4</v>
      </c>
      <c r="I137">
        <v>1</v>
      </c>
      <c r="J137">
        <v>3</v>
      </c>
      <c r="K137">
        <f t="shared" si="92"/>
        <v>603</v>
      </c>
      <c r="L137">
        <f t="shared" si="63"/>
        <v>101</v>
      </c>
      <c r="M137">
        <v>5000</v>
      </c>
      <c r="N137">
        <f t="shared" si="61"/>
        <v>4</v>
      </c>
      <c r="O137">
        <v>1</v>
      </c>
      <c r="P137">
        <f t="shared" si="93"/>
        <v>603</v>
      </c>
      <c r="Q137">
        <v>1</v>
      </c>
      <c r="R137">
        <f t="shared" si="64"/>
        <v>102</v>
      </c>
      <c r="S137">
        <v>5000</v>
      </c>
      <c r="T137">
        <f t="shared" si="82"/>
        <v>4</v>
      </c>
      <c r="U137">
        <v>1</v>
      </c>
      <c r="V137">
        <f t="shared" si="94"/>
        <v>603</v>
      </c>
      <c r="W137">
        <v>1</v>
      </c>
      <c r="X137">
        <f t="shared" si="65"/>
        <v>103</v>
      </c>
      <c r="Y137">
        <v>5000</v>
      </c>
      <c r="Z137">
        <f t="shared" si="83"/>
        <v>4</v>
      </c>
      <c r="AA137">
        <v>1</v>
      </c>
      <c r="AB137">
        <f t="shared" si="95"/>
        <v>603</v>
      </c>
      <c r="AC137">
        <v>1</v>
      </c>
      <c r="AD137">
        <f t="shared" si="66"/>
        <v>113</v>
      </c>
      <c r="AE137">
        <v>5000</v>
      </c>
      <c r="AF137">
        <f t="shared" si="84"/>
        <v>4</v>
      </c>
      <c r="AG137">
        <v>1</v>
      </c>
      <c r="AH137">
        <f t="shared" si="96"/>
        <v>603</v>
      </c>
      <c r="AI137">
        <v>1</v>
      </c>
      <c r="AJ137">
        <f t="shared" si="67"/>
        <v>111</v>
      </c>
      <c r="AP137" t="str">
        <f t="shared" si="85"/>
        <v>{5000,4,1,603,101}</v>
      </c>
      <c r="AQ137" t="str">
        <f t="shared" si="86"/>
        <v>{5000,4,1,603,102}</v>
      </c>
      <c r="AR137" t="str">
        <f t="shared" si="87"/>
        <v>{5000,4,1,603,103}</v>
      </c>
      <c r="AS137" t="str">
        <f t="shared" si="88"/>
        <v>{5000,4,1,603,113}</v>
      </c>
      <c r="AT137" t="str">
        <f t="shared" si="89"/>
        <v>{5000,4,1,603,111}</v>
      </c>
      <c r="AU137" t="str">
        <f t="shared" si="90"/>
        <v/>
      </c>
      <c r="AV137">
        <v>1615</v>
      </c>
      <c r="AW137" t="str">
        <f t="shared" si="80"/>
        <v>[{5000,4,1,603,101},{5000,4,1,603,102},{5000,4,1,603,103},{5000,4,1,603,113},{5000,4,1,603,111}]</v>
      </c>
    </row>
    <row r="138" spans="2:49">
      <c r="B138">
        <v>1616</v>
      </c>
      <c r="C138" t="s">
        <v>84</v>
      </c>
      <c r="D138" t="str">
        <f t="shared" si="81"/>
        <v>7</v>
      </c>
      <c r="F138">
        <v>76</v>
      </c>
      <c r="G138">
        <v>5000</v>
      </c>
      <c r="H138">
        <f t="shared" si="91"/>
        <v>3</v>
      </c>
      <c r="I138">
        <v>1</v>
      </c>
      <c r="J138">
        <v>1</v>
      </c>
      <c r="K138">
        <f t="shared" si="92"/>
        <v>601</v>
      </c>
      <c r="L138">
        <f t="shared" si="63"/>
        <v>101</v>
      </c>
      <c r="M138">
        <v>5000</v>
      </c>
      <c r="N138">
        <f t="shared" si="61"/>
        <v>3</v>
      </c>
      <c r="O138">
        <v>1</v>
      </c>
      <c r="P138">
        <f t="shared" si="93"/>
        <v>601</v>
      </c>
      <c r="Q138">
        <v>59</v>
      </c>
      <c r="R138">
        <f t="shared" si="64"/>
        <v>103</v>
      </c>
      <c r="S138">
        <v>5000</v>
      </c>
      <c r="T138">
        <f t="shared" si="82"/>
        <v>3</v>
      </c>
      <c r="U138">
        <v>1</v>
      </c>
      <c r="V138">
        <f t="shared" si="94"/>
        <v>602</v>
      </c>
      <c r="W138">
        <v>71</v>
      </c>
      <c r="X138">
        <f t="shared" si="65"/>
        <v>111</v>
      </c>
      <c r="Y138">
        <v>5000</v>
      </c>
      <c r="Z138">
        <f t="shared" si="83"/>
        <v>3</v>
      </c>
      <c r="AA138">
        <v>1</v>
      </c>
      <c r="AB138">
        <f t="shared" si="95"/>
        <v>601</v>
      </c>
      <c r="AC138">
        <v>71</v>
      </c>
      <c r="AD138">
        <f t="shared" si="66"/>
        <v>112</v>
      </c>
      <c r="AE138">
        <v>5000</v>
      </c>
      <c r="AF138">
        <f t="shared" si="84"/>
        <v>3</v>
      </c>
      <c r="AG138">
        <v>1</v>
      </c>
      <c r="AH138">
        <f t="shared" si="96"/>
        <v>601</v>
      </c>
      <c r="AI138">
        <v>79</v>
      </c>
      <c r="AJ138">
        <f t="shared" si="67"/>
        <v>113</v>
      </c>
      <c r="AP138" t="str">
        <f t="shared" si="85"/>
        <v>{5000,3,1,601,101}</v>
      </c>
      <c r="AQ138" t="str">
        <f t="shared" si="86"/>
        <v>{5000,3,1,601,103}</v>
      </c>
      <c r="AR138" t="str">
        <f t="shared" si="87"/>
        <v>{5000,3,1,602,111}</v>
      </c>
      <c r="AS138" t="str">
        <f t="shared" si="88"/>
        <v>{5000,3,1,601,112}</v>
      </c>
      <c r="AT138" t="str">
        <f t="shared" si="89"/>
        <v>{5000,3,1,601,113}</v>
      </c>
      <c r="AU138" t="str">
        <f t="shared" si="90"/>
        <v/>
      </c>
      <c r="AV138">
        <v>1616</v>
      </c>
      <c r="AW138" t="str">
        <f t="shared" si="80"/>
        <v>[{5000,3,1,601,101},{5000,3,1,601,103},{5000,3,1,602,111},{5000,3,1,601,112},{5000,3,1,601,113}]</v>
      </c>
    </row>
    <row r="139" spans="2:49">
      <c r="B139">
        <v>1617</v>
      </c>
      <c r="C139" t="s">
        <v>84</v>
      </c>
      <c r="D139" t="str">
        <f t="shared" si="81"/>
        <v>7</v>
      </c>
      <c r="F139">
        <v>91</v>
      </c>
      <c r="G139">
        <v>5000</v>
      </c>
      <c r="H139">
        <f t="shared" si="91"/>
        <v>3</v>
      </c>
      <c r="I139">
        <v>1</v>
      </c>
      <c r="J139">
        <v>1</v>
      </c>
      <c r="K139">
        <f t="shared" si="92"/>
        <v>601</v>
      </c>
      <c r="L139">
        <f t="shared" si="63"/>
        <v>101</v>
      </c>
      <c r="M139">
        <v>5000</v>
      </c>
      <c r="N139">
        <f t="shared" si="61"/>
        <v>3</v>
      </c>
      <c r="O139">
        <v>1</v>
      </c>
      <c r="P139">
        <f t="shared" si="93"/>
        <v>601</v>
      </c>
      <c r="Q139">
        <v>54</v>
      </c>
      <c r="R139">
        <f t="shared" si="64"/>
        <v>102</v>
      </c>
      <c r="S139">
        <v>5000</v>
      </c>
      <c r="T139">
        <f t="shared" si="82"/>
        <v>3</v>
      </c>
      <c r="U139">
        <v>1</v>
      </c>
      <c r="V139">
        <f t="shared" si="94"/>
        <v>602</v>
      </c>
      <c r="W139">
        <v>51</v>
      </c>
      <c r="X139">
        <f t="shared" si="65"/>
        <v>103</v>
      </c>
      <c r="Y139">
        <v>5000</v>
      </c>
      <c r="Z139">
        <f t="shared" si="83"/>
        <v>3</v>
      </c>
      <c r="AA139">
        <v>1</v>
      </c>
      <c r="AB139">
        <f t="shared" si="95"/>
        <v>601</v>
      </c>
      <c r="AC139">
        <v>71</v>
      </c>
      <c r="AD139">
        <f t="shared" si="66"/>
        <v>113</v>
      </c>
      <c r="AE139">
        <v>5000</v>
      </c>
      <c r="AF139">
        <f t="shared" si="84"/>
        <v>3</v>
      </c>
      <c r="AG139">
        <v>1</v>
      </c>
      <c r="AH139">
        <f t="shared" si="96"/>
        <v>602</v>
      </c>
      <c r="AI139">
        <v>77</v>
      </c>
      <c r="AJ139">
        <f t="shared" si="67"/>
        <v>111</v>
      </c>
      <c r="AP139" t="str">
        <f t="shared" si="85"/>
        <v>{5000,3,1,601,101}</v>
      </c>
      <c r="AQ139" t="str">
        <f t="shared" si="86"/>
        <v>{5000,3,1,601,102}</v>
      </c>
      <c r="AR139" t="str">
        <f t="shared" si="87"/>
        <v>{5000,3,1,602,103}</v>
      </c>
      <c r="AS139" t="str">
        <f t="shared" si="88"/>
        <v>{5000,3,1,601,113}</v>
      </c>
      <c r="AT139" t="str">
        <f t="shared" si="89"/>
        <v>{5000,3,1,602,111}</v>
      </c>
      <c r="AU139" t="str">
        <f t="shared" si="90"/>
        <v/>
      </c>
      <c r="AV139">
        <v>1617</v>
      </c>
      <c r="AW139" t="str">
        <f t="shared" si="80"/>
        <v>[{5000,3,1,601,101},{5000,3,1,601,102},{5000,3,1,602,103},{5000,3,1,601,113},{5000,3,1,602,111}]</v>
      </c>
    </row>
    <row r="140" spans="2:49">
      <c r="B140">
        <v>1618</v>
      </c>
      <c r="C140" t="s">
        <v>84</v>
      </c>
      <c r="D140" t="str">
        <f t="shared" si="81"/>
        <v>7</v>
      </c>
      <c r="F140">
        <v>106</v>
      </c>
      <c r="G140">
        <v>5000</v>
      </c>
      <c r="H140">
        <f t="shared" si="91"/>
        <v>3</v>
      </c>
      <c r="I140">
        <v>1</v>
      </c>
      <c r="J140">
        <v>1</v>
      </c>
      <c r="K140">
        <f t="shared" si="92"/>
        <v>601</v>
      </c>
      <c r="L140">
        <f t="shared" si="63"/>
        <v>101</v>
      </c>
      <c r="M140">
        <v>5000</v>
      </c>
      <c r="N140">
        <f t="shared" si="61"/>
        <v>3</v>
      </c>
      <c r="O140">
        <v>1</v>
      </c>
      <c r="P140">
        <f t="shared" si="93"/>
        <v>601</v>
      </c>
      <c r="Q140">
        <v>55</v>
      </c>
      <c r="R140">
        <f t="shared" si="64"/>
        <v>103</v>
      </c>
      <c r="S140">
        <v>5000</v>
      </c>
      <c r="T140">
        <f t="shared" si="82"/>
        <v>3</v>
      </c>
      <c r="U140">
        <v>1</v>
      </c>
      <c r="V140">
        <f t="shared" si="94"/>
        <v>602</v>
      </c>
      <c r="W140">
        <v>73</v>
      </c>
      <c r="X140">
        <f t="shared" si="65"/>
        <v>111</v>
      </c>
      <c r="Y140">
        <v>5000</v>
      </c>
      <c r="Z140">
        <f t="shared" si="83"/>
        <v>3</v>
      </c>
      <c r="AA140">
        <v>1</v>
      </c>
      <c r="AB140">
        <f t="shared" si="95"/>
        <v>601</v>
      </c>
      <c r="AC140">
        <v>78</v>
      </c>
      <c r="AD140">
        <f t="shared" si="66"/>
        <v>112</v>
      </c>
      <c r="AE140">
        <v>5000</v>
      </c>
      <c r="AF140">
        <f t="shared" si="84"/>
        <v>3</v>
      </c>
      <c r="AG140">
        <v>1</v>
      </c>
      <c r="AH140">
        <f t="shared" si="96"/>
        <v>602</v>
      </c>
      <c r="AI140">
        <v>71</v>
      </c>
      <c r="AJ140">
        <f t="shared" si="67"/>
        <v>113</v>
      </c>
      <c r="AP140" t="str">
        <f t="shared" si="85"/>
        <v>{5000,3,1,601,101}</v>
      </c>
      <c r="AQ140" t="str">
        <f t="shared" si="86"/>
        <v>{5000,3,1,601,103}</v>
      </c>
      <c r="AR140" t="str">
        <f t="shared" si="87"/>
        <v>{5000,3,1,602,111}</v>
      </c>
      <c r="AS140" t="str">
        <f t="shared" si="88"/>
        <v>{5000,3,1,601,112}</v>
      </c>
      <c r="AT140" t="str">
        <f t="shared" si="89"/>
        <v>{5000,3,1,602,113}</v>
      </c>
      <c r="AU140" t="str">
        <f t="shared" si="90"/>
        <v/>
      </c>
      <c r="AV140">
        <v>1618</v>
      </c>
      <c r="AW140" t="str">
        <f t="shared" si="80"/>
        <v>[{5000,3,1,601,101},{5000,3,1,601,103},{5000,3,1,602,111},{5000,3,1,601,112},{5000,3,1,602,113}]</v>
      </c>
    </row>
    <row r="141" spans="2:49">
      <c r="B141">
        <v>1619</v>
      </c>
      <c r="C141" t="s">
        <v>84</v>
      </c>
      <c r="D141" t="str">
        <f t="shared" si="81"/>
        <v>7</v>
      </c>
      <c r="F141">
        <v>121</v>
      </c>
      <c r="G141">
        <v>5000</v>
      </c>
      <c r="H141">
        <f t="shared" si="91"/>
        <v>5</v>
      </c>
      <c r="I141">
        <v>1</v>
      </c>
      <c r="J141">
        <v>1</v>
      </c>
      <c r="K141">
        <f t="shared" si="92"/>
        <v>603</v>
      </c>
      <c r="L141">
        <f t="shared" si="63"/>
        <v>101</v>
      </c>
      <c r="M141">
        <v>5000</v>
      </c>
      <c r="N141">
        <f t="shared" si="61"/>
        <v>5</v>
      </c>
      <c r="O141">
        <v>1</v>
      </c>
      <c r="P141">
        <f t="shared" si="93"/>
        <v>603</v>
      </c>
      <c r="Q141">
        <v>54</v>
      </c>
      <c r="R141">
        <f t="shared" si="64"/>
        <v>102</v>
      </c>
      <c r="S141">
        <v>5000</v>
      </c>
      <c r="T141">
        <f t="shared" si="82"/>
        <v>5</v>
      </c>
      <c r="U141">
        <v>1</v>
      </c>
      <c r="V141">
        <f t="shared" si="94"/>
        <v>603</v>
      </c>
      <c r="W141">
        <v>51</v>
      </c>
      <c r="X141">
        <f t="shared" si="65"/>
        <v>103</v>
      </c>
      <c r="Y141">
        <v>5000</v>
      </c>
      <c r="Z141">
        <f t="shared" si="83"/>
        <v>5</v>
      </c>
      <c r="AA141">
        <v>1</v>
      </c>
      <c r="AB141">
        <f t="shared" si="95"/>
        <v>603</v>
      </c>
      <c r="AC141">
        <v>71</v>
      </c>
      <c r="AD141">
        <f t="shared" si="66"/>
        <v>113</v>
      </c>
      <c r="AE141">
        <v>5000</v>
      </c>
      <c r="AF141">
        <f t="shared" si="84"/>
        <v>5</v>
      </c>
      <c r="AG141">
        <v>1</v>
      </c>
      <c r="AH141">
        <f t="shared" si="96"/>
        <v>603</v>
      </c>
      <c r="AI141">
        <v>79</v>
      </c>
      <c r="AJ141">
        <f t="shared" si="67"/>
        <v>111</v>
      </c>
      <c r="AP141" t="str">
        <f t="shared" si="85"/>
        <v>{5000,5,1,603,101}</v>
      </c>
      <c r="AQ141" t="str">
        <f t="shared" si="86"/>
        <v>{5000,5,1,603,102}</v>
      </c>
      <c r="AR141" t="str">
        <f t="shared" si="87"/>
        <v>{5000,5,1,603,103}</v>
      </c>
      <c r="AS141" t="str">
        <f t="shared" si="88"/>
        <v>{5000,5,1,603,113}</v>
      </c>
      <c r="AT141" t="str">
        <f t="shared" si="89"/>
        <v>{5000,5,1,603,111}</v>
      </c>
      <c r="AU141" t="str">
        <f t="shared" si="90"/>
        <v/>
      </c>
      <c r="AV141">
        <v>1619</v>
      </c>
      <c r="AW141" t="str">
        <f t="shared" si="80"/>
        <v>[{5000,5,1,603,101},{5000,5,1,603,102},{5000,5,1,603,103},{5000,5,1,603,113},{5000,5,1,603,111}]</v>
      </c>
    </row>
    <row r="142" spans="2:49">
      <c r="B142">
        <v>1620</v>
      </c>
      <c r="C142" t="s">
        <v>84</v>
      </c>
      <c r="D142" t="str">
        <f t="shared" si="81"/>
        <v>7</v>
      </c>
      <c r="F142">
        <v>136</v>
      </c>
      <c r="G142">
        <v>5000</v>
      </c>
      <c r="H142">
        <f t="shared" si="91"/>
        <v>4</v>
      </c>
      <c r="I142">
        <v>1</v>
      </c>
      <c r="J142">
        <v>1</v>
      </c>
      <c r="K142">
        <f t="shared" si="92"/>
        <v>601</v>
      </c>
      <c r="L142">
        <f t="shared" si="63"/>
        <v>101</v>
      </c>
      <c r="M142">
        <v>5000</v>
      </c>
      <c r="N142">
        <f t="shared" si="61"/>
        <v>4</v>
      </c>
      <c r="O142">
        <v>1</v>
      </c>
      <c r="P142">
        <f t="shared" si="93"/>
        <v>601</v>
      </c>
      <c r="Q142">
        <v>54</v>
      </c>
      <c r="R142">
        <f t="shared" si="64"/>
        <v>103</v>
      </c>
      <c r="S142">
        <v>5000</v>
      </c>
      <c r="T142">
        <f t="shared" si="82"/>
        <v>4</v>
      </c>
      <c r="U142">
        <v>1</v>
      </c>
      <c r="V142">
        <f t="shared" si="94"/>
        <v>602</v>
      </c>
      <c r="W142">
        <v>76</v>
      </c>
      <c r="X142">
        <f t="shared" si="65"/>
        <v>111</v>
      </c>
      <c r="Y142">
        <v>5000</v>
      </c>
      <c r="Z142">
        <f t="shared" si="83"/>
        <v>4</v>
      </c>
      <c r="AA142">
        <v>1</v>
      </c>
      <c r="AB142">
        <f t="shared" si="95"/>
        <v>601</v>
      </c>
      <c r="AC142">
        <v>72</v>
      </c>
      <c r="AD142">
        <f t="shared" si="66"/>
        <v>112</v>
      </c>
      <c r="AE142">
        <v>5000</v>
      </c>
      <c r="AF142">
        <f t="shared" si="84"/>
        <v>4</v>
      </c>
      <c r="AG142">
        <v>1</v>
      </c>
      <c r="AH142">
        <f t="shared" si="96"/>
        <v>602</v>
      </c>
      <c r="AI142">
        <v>74</v>
      </c>
      <c r="AJ142">
        <f t="shared" si="67"/>
        <v>113</v>
      </c>
      <c r="AP142" t="str">
        <f t="shared" si="85"/>
        <v>{5000,4,1,601,101}</v>
      </c>
      <c r="AQ142" t="str">
        <f t="shared" si="86"/>
        <v>{5000,4,1,601,103}</v>
      </c>
      <c r="AR142" t="str">
        <f t="shared" si="87"/>
        <v>{5000,4,1,602,111}</v>
      </c>
      <c r="AS142" t="str">
        <f t="shared" si="88"/>
        <v>{5000,4,1,601,112}</v>
      </c>
      <c r="AT142" t="str">
        <f t="shared" si="89"/>
        <v>{5000,4,1,602,113}</v>
      </c>
      <c r="AU142" t="str">
        <f t="shared" si="90"/>
        <v/>
      </c>
      <c r="AV142">
        <v>1620</v>
      </c>
      <c r="AW142" t="str">
        <f t="shared" si="80"/>
        <v>[{5000,4,1,601,101},{5000,4,1,601,103},{5000,4,1,602,111},{5000,4,1,601,112},{5000,4,1,602,113}]</v>
      </c>
    </row>
    <row r="143" spans="2:49">
      <c r="B143">
        <v>1621</v>
      </c>
      <c r="C143" t="s">
        <v>84</v>
      </c>
      <c r="D143" t="str">
        <f t="shared" si="81"/>
        <v>7</v>
      </c>
      <c r="F143">
        <v>151</v>
      </c>
      <c r="G143">
        <v>5000</v>
      </c>
      <c r="H143">
        <f t="shared" si="91"/>
        <v>4</v>
      </c>
      <c r="I143">
        <v>1</v>
      </c>
      <c r="J143">
        <v>1</v>
      </c>
      <c r="K143">
        <f t="shared" si="92"/>
        <v>601</v>
      </c>
      <c r="L143">
        <f t="shared" si="63"/>
        <v>101</v>
      </c>
      <c r="M143">
        <v>5000</v>
      </c>
      <c r="N143">
        <f t="shared" si="61"/>
        <v>4</v>
      </c>
      <c r="O143">
        <v>1</v>
      </c>
      <c r="P143">
        <f t="shared" si="93"/>
        <v>601</v>
      </c>
      <c r="Q143">
        <v>54</v>
      </c>
      <c r="R143">
        <f t="shared" si="64"/>
        <v>102</v>
      </c>
      <c r="S143">
        <v>5000</v>
      </c>
      <c r="T143">
        <f t="shared" si="82"/>
        <v>4</v>
      </c>
      <c r="U143">
        <v>1</v>
      </c>
      <c r="V143">
        <f t="shared" si="94"/>
        <v>602</v>
      </c>
      <c r="W143">
        <v>56</v>
      </c>
      <c r="X143">
        <f t="shared" si="65"/>
        <v>103</v>
      </c>
      <c r="Y143">
        <v>5000</v>
      </c>
      <c r="Z143">
        <f t="shared" si="83"/>
        <v>4</v>
      </c>
      <c r="AA143">
        <v>1</v>
      </c>
      <c r="AB143">
        <f t="shared" si="95"/>
        <v>601</v>
      </c>
      <c r="AC143">
        <v>72</v>
      </c>
      <c r="AD143">
        <f t="shared" si="66"/>
        <v>113</v>
      </c>
      <c r="AE143">
        <v>5000</v>
      </c>
      <c r="AF143">
        <f t="shared" si="84"/>
        <v>4</v>
      </c>
      <c r="AG143">
        <v>1</v>
      </c>
      <c r="AH143">
        <f t="shared" si="96"/>
        <v>602</v>
      </c>
      <c r="AI143">
        <v>74</v>
      </c>
      <c r="AJ143">
        <f t="shared" si="67"/>
        <v>111</v>
      </c>
      <c r="AP143" t="str">
        <f t="shared" si="85"/>
        <v>{5000,4,1,601,101}</v>
      </c>
      <c r="AQ143" t="str">
        <f t="shared" si="86"/>
        <v>{5000,4,1,601,102}</v>
      </c>
      <c r="AR143" t="str">
        <f t="shared" si="87"/>
        <v>{5000,4,1,602,103}</v>
      </c>
      <c r="AS143" t="str">
        <f t="shared" si="88"/>
        <v>{5000,4,1,601,113}</v>
      </c>
      <c r="AT143" t="str">
        <f t="shared" si="89"/>
        <v>{5000,4,1,602,111}</v>
      </c>
      <c r="AU143" t="str">
        <f t="shared" si="90"/>
        <v/>
      </c>
      <c r="AV143">
        <v>1621</v>
      </c>
      <c r="AW143" t="str">
        <f t="shared" si="80"/>
        <v>[{5000,4,1,601,101},{5000,4,1,601,102},{5000,4,1,602,103},{5000,4,1,601,113},{5000,4,1,602,111}]</v>
      </c>
    </row>
    <row r="144" spans="2:49">
      <c r="B144">
        <v>1622</v>
      </c>
      <c r="C144" t="s">
        <v>84</v>
      </c>
      <c r="D144" t="str">
        <f t="shared" si="81"/>
        <v>7</v>
      </c>
      <c r="F144">
        <v>166</v>
      </c>
      <c r="G144">
        <v>5000</v>
      </c>
      <c r="H144">
        <f t="shared" si="91"/>
        <v>4</v>
      </c>
      <c r="I144">
        <v>1</v>
      </c>
      <c r="J144">
        <v>1</v>
      </c>
      <c r="K144">
        <f t="shared" si="92"/>
        <v>601</v>
      </c>
      <c r="L144">
        <f t="shared" si="63"/>
        <v>101</v>
      </c>
      <c r="M144">
        <v>5000</v>
      </c>
      <c r="N144">
        <f t="shared" si="61"/>
        <v>4</v>
      </c>
      <c r="O144">
        <v>1</v>
      </c>
      <c r="P144">
        <f t="shared" si="93"/>
        <v>601</v>
      </c>
      <c r="Q144">
        <v>59</v>
      </c>
      <c r="R144">
        <f t="shared" si="64"/>
        <v>103</v>
      </c>
      <c r="S144">
        <v>5000</v>
      </c>
      <c r="T144">
        <f t="shared" si="82"/>
        <v>4</v>
      </c>
      <c r="U144">
        <v>1</v>
      </c>
      <c r="V144">
        <f t="shared" si="94"/>
        <v>602</v>
      </c>
      <c r="W144">
        <v>79</v>
      </c>
      <c r="X144">
        <f t="shared" si="65"/>
        <v>111</v>
      </c>
      <c r="Y144">
        <v>5000</v>
      </c>
      <c r="Z144">
        <f t="shared" si="83"/>
        <v>4</v>
      </c>
      <c r="AA144">
        <v>1</v>
      </c>
      <c r="AB144">
        <f t="shared" si="95"/>
        <v>601</v>
      </c>
      <c r="AC144">
        <v>71</v>
      </c>
      <c r="AD144">
        <f t="shared" si="66"/>
        <v>112</v>
      </c>
      <c r="AE144">
        <v>5000</v>
      </c>
      <c r="AF144">
        <f t="shared" si="84"/>
        <v>4</v>
      </c>
      <c r="AG144">
        <v>1</v>
      </c>
      <c r="AH144">
        <f t="shared" si="96"/>
        <v>602</v>
      </c>
      <c r="AI144">
        <v>74</v>
      </c>
      <c r="AJ144">
        <f t="shared" si="67"/>
        <v>113</v>
      </c>
      <c r="AP144" t="str">
        <f t="shared" si="85"/>
        <v>{5000,4,1,601,101}</v>
      </c>
      <c r="AQ144" t="str">
        <f t="shared" si="86"/>
        <v>{5000,4,1,601,103}</v>
      </c>
      <c r="AR144" t="str">
        <f t="shared" si="87"/>
        <v>{5000,4,1,602,111}</v>
      </c>
      <c r="AS144" t="str">
        <f t="shared" si="88"/>
        <v>{5000,4,1,601,112}</v>
      </c>
      <c r="AT144" t="str">
        <f t="shared" si="89"/>
        <v>{5000,4,1,602,113}</v>
      </c>
      <c r="AU144" t="str">
        <f t="shared" si="90"/>
        <v/>
      </c>
      <c r="AV144">
        <v>1622</v>
      </c>
      <c r="AW144" t="str">
        <f t="shared" si="80"/>
        <v>[{5000,4,1,601,101},{5000,4,1,601,103},{5000,4,1,602,111},{5000,4,1,601,112},{5000,4,1,602,113}]</v>
      </c>
    </row>
    <row r="145" spans="2:49">
      <c r="B145">
        <v>1623</v>
      </c>
      <c r="C145" t="s">
        <v>84</v>
      </c>
      <c r="D145" t="str">
        <f t="shared" si="81"/>
        <v>7</v>
      </c>
      <c r="F145">
        <v>181</v>
      </c>
      <c r="G145">
        <v>5000</v>
      </c>
      <c r="H145">
        <f t="shared" si="91"/>
        <v>6</v>
      </c>
      <c r="I145">
        <v>1</v>
      </c>
      <c r="J145">
        <v>3</v>
      </c>
      <c r="K145">
        <f t="shared" si="92"/>
        <v>603</v>
      </c>
      <c r="L145">
        <f t="shared" si="63"/>
        <v>101</v>
      </c>
      <c r="M145">
        <v>5000</v>
      </c>
      <c r="N145">
        <f t="shared" si="61"/>
        <v>6</v>
      </c>
      <c r="O145">
        <v>1</v>
      </c>
      <c r="P145">
        <f t="shared" si="93"/>
        <v>603</v>
      </c>
      <c r="Q145">
        <v>1</v>
      </c>
      <c r="R145">
        <f t="shared" si="64"/>
        <v>102</v>
      </c>
      <c r="S145">
        <v>5000</v>
      </c>
      <c r="T145">
        <f t="shared" si="82"/>
        <v>6</v>
      </c>
      <c r="U145">
        <v>1</v>
      </c>
      <c r="V145">
        <f t="shared" si="94"/>
        <v>603</v>
      </c>
      <c r="W145">
        <v>1</v>
      </c>
      <c r="X145">
        <f t="shared" si="65"/>
        <v>103</v>
      </c>
      <c r="Y145">
        <v>5000</v>
      </c>
      <c r="Z145">
        <f t="shared" si="83"/>
        <v>6</v>
      </c>
      <c r="AA145">
        <v>1</v>
      </c>
      <c r="AB145">
        <f t="shared" si="95"/>
        <v>603</v>
      </c>
      <c r="AC145">
        <v>1</v>
      </c>
      <c r="AD145">
        <f t="shared" si="66"/>
        <v>113</v>
      </c>
      <c r="AE145">
        <v>5000</v>
      </c>
      <c r="AF145">
        <f t="shared" si="84"/>
        <v>6</v>
      </c>
      <c r="AG145">
        <v>1</v>
      </c>
      <c r="AH145">
        <f t="shared" si="96"/>
        <v>603</v>
      </c>
      <c r="AI145">
        <v>1</v>
      </c>
      <c r="AJ145">
        <f t="shared" si="67"/>
        <v>111</v>
      </c>
      <c r="AP145" t="str">
        <f t="shared" si="85"/>
        <v>{5000,6,1,603,101}</v>
      </c>
      <c r="AQ145" t="str">
        <f t="shared" si="86"/>
        <v>{5000,6,1,603,102}</v>
      </c>
      <c r="AR145" t="str">
        <f t="shared" si="87"/>
        <v>{5000,6,1,603,103}</v>
      </c>
      <c r="AS145" t="str">
        <f t="shared" si="88"/>
        <v>{5000,6,1,603,113}</v>
      </c>
      <c r="AT145" t="str">
        <f t="shared" si="89"/>
        <v>{5000,6,1,603,111}</v>
      </c>
      <c r="AU145" t="str">
        <f t="shared" si="90"/>
        <v/>
      </c>
      <c r="AV145">
        <v>1623</v>
      </c>
      <c r="AW145" t="str">
        <f t="shared" si="80"/>
        <v>[{5000,6,1,603,101},{5000,6,1,603,102},{5000,6,1,603,103},{5000,6,1,603,113},{5000,6,1,603,111}]</v>
      </c>
    </row>
    <row r="146" spans="2:49">
      <c r="B146">
        <v>1624</v>
      </c>
      <c r="C146" t="s">
        <v>84</v>
      </c>
      <c r="D146" t="str">
        <f t="shared" si="81"/>
        <v>7</v>
      </c>
      <c r="F146">
        <v>196</v>
      </c>
      <c r="G146">
        <v>5000</v>
      </c>
      <c r="H146">
        <f t="shared" si="91"/>
        <v>5</v>
      </c>
      <c r="I146">
        <v>1</v>
      </c>
      <c r="J146">
        <v>2</v>
      </c>
      <c r="K146">
        <f t="shared" si="92"/>
        <v>602</v>
      </c>
      <c r="L146">
        <f t="shared" si="63"/>
        <v>101</v>
      </c>
      <c r="M146">
        <v>5000</v>
      </c>
      <c r="N146">
        <f t="shared" si="61"/>
        <v>5</v>
      </c>
      <c r="O146">
        <v>1</v>
      </c>
      <c r="P146">
        <f t="shared" si="93"/>
        <v>601</v>
      </c>
      <c r="Q146">
        <v>54</v>
      </c>
      <c r="R146">
        <f t="shared" si="64"/>
        <v>103</v>
      </c>
      <c r="S146">
        <v>5000</v>
      </c>
      <c r="T146">
        <f t="shared" si="82"/>
        <v>5</v>
      </c>
      <c r="U146">
        <v>1</v>
      </c>
      <c r="V146">
        <f t="shared" si="94"/>
        <v>602</v>
      </c>
      <c r="W146">
        <v>77</v>
      </c>
      <c r="X146">
        <f t="shared" si="65"/>
        <v>111</v>
      </c>
      <c r="Y146">
        <v>5000</v>
      </c>
      <c r="Z146">
        <f t="shared" si="83"/>
        <v>5</v>
      </c>
      <c r="AA146">
        <v>1</v>
      </c>
      <c r="AB146">
        <f t="shared" si="95"/>
        <v>601</v>
      </c>
      <c r="AC146">
        <v>72</v>
      </c>
      <c r="AD146">
        <f t="shared" si="66"/>
        <v>112</v>
      </c>
      <c r="AE146">
        <v>5000</v>
      </c>
      <c r="AF146">
        <f t="shared" si="84"/>
        <v>5</v>
      </c>
      <c r="AG146">
        <v>1</v>
      </c>
      <c r="AH146">
        <f t="shared" si="96"/>
        <v>602</v>
      </c>
      <c r="AI146">
        <v>74</v>
      </c>
      <c r="AJ146">
        <f t="shared" si="67"/>
        <v>113</v>
      </c>
      <c r="AP146" t="str">
        <f t="shared" si="85"/>
        <v>{5000,5,1,602,101}</v>
      </c>
      <c r="AQ146" t="str">
        <f t="shared" si="86"/>
        <v>{5000,5,1,601,103}</v>
      </c>
      <c r="AR146" t="str">
        <f t="shared" si="87"/>
        <v>{5000,5,1,602,111}</v>
      </c>
      <c r="AS146" t="str">
        <f t="shared" si="88"/>
        <v>{5000,5,1,601,112}</v>
      </c>
      <c r="AT146" t="str">
        <f t="shared" si="89"/>
        <v>{5000,5,1,602,113}</v>
      </c>
      <c r="AU146" t="str">
        <f t="shared" si="90"/>
        <v/>
      </c>
      <c r="AV146">
        <v>1624</v>
      </c>
      <c r="AW146" t="str">
        <f t="shared" si="80"/>
        <v>[{5000,5,1,602,101},{5000,5,1,601,103},{5000,5,1,602,111},{5000,5,1,601,112},{5000,5,1,602,113}]</v>
      </c>
    </row>
    <row r="147" spans="2:48">
      <c r="B147">
        <v>1625</v>
      </c>
      <c r="C147" t="s">
        <v>84</v>
      </c>
      <c r="D147" t="str">
        <f t="shared" si="81"/>
        <v>7</v>
      </c>
      <c r="F147">
        <v>209</v>
      </c>
      <c r="K147" t="str">
        <f t="shared" si="92"/>
        <v/>
      </c>
      <c r="L147" t="str">
        <f t="shared" si="63"/>
        <v/>
      </c>
      <c r="N147">
        <f t="shared" si="61"/>
        <v>0</v>
      </c>
      <c r="P147" t="str">
        <f t="shared" si="93"/>
        <v/>
      </c>
      <c r="R147" t="str">
        <f t="shared" si="64"/>
        <v/>
      </c>
      <c r="T147">
        <f t="shared" si="82"/>
        <v>0</v>
      </c>
      <c r="V147" t="str">
        <f t="shared" si="94"/>
        <v/>
      </c>
      <c r="X147" t="str">
        <f t="shared" si="65"/>
        <v/>
      </c>
      <c r="Z147">
        <f t="shared" si="83"/>
        <v>0</v>
      </c>
      <c r="AB147" t="str">
        <f t="shared" si="95"/>
        <v/>
      </c>
      <c r="AD147" t="str">
        <f t="shared" si="66"/>
        <v/>
      </c>
      <c r="AF147">
        <f t="shared" si="84"/>
        <v>0</v>
      </c>
      <c r="AH147" t="str">
        <f t="shared" si="96"/>
        <v/>
      </c>
      <c r="AJ147" t="str">
        <f t="shared" si="67"/>
        <v/>
      </c>
      <c r="AP147" t="str">
        <f t="shared" si="85"/>
        <v/>
      </c>
      <c r="AQ147" t="str">
        <f t="shared" si="86"/>
        <v/>
      </c>
      <c r="AR147" t="str">
        <f t="shared" si="87"/>
        <v/>
      </c>
      <c r="AS147" t="str">
        <f t="shared" si="88"/>
        <v/>
      </c>
      <c r="AT147" t="str">
        <f t="shared" si="89"/>
        <v/>
      </c>
      <c r="AU147" t="str">
        <f t="shared" si="90"/>
        <v/>
      </c>
      <c r="AV147">
        <v>1625</v>
      </c>
    </row>
    <row r="148" spans="2:49">
      <c r="B148">
        <v>1626</v>
      </c>
      <c r="C148" t="s">
        <v>84</v>
      </c>
      <c r="D148" t="str">
        <f t="shared" si="81"/>
        <v>7</v>
      </c>
      <c r="F148">
        <v>211</v>
      </c>
      <c r="G148">
        <v>5000</v>
      </c>
      <c r="H148">
        <f t="shared" si="91"/>
        <v>6</v>
      </c>
      <c r="I148">
        <v>1</v>
      </c>
      <c r="J148">
        <v>2</v>
      </c>
      <c r="K148">
        <f t="shared" si="92"/>
        <v>602</v>
      </c>
      <c r="L148">
        <f t="shared" si="63"/>
        <v>101</v>
      </c>
      <c r="M148">
        <v>5000</v>
      </c>
      <c r="N148">
        <f t="shared" si="61"/>
        <v>6</v>
      </c>
      <c r="O148">
        <v>1</v>
      </c>
      <c r="P148">
        <f t="shared" si="93"/>
        <v>601</v>
      </c>
      <c r="Q148">
        <v>51</v>
      </c>
      <c r="R148">
        <f t="shared" si="64"/>
        <v>102</v>
      </c>
      <c r="S148">
        <v>5000</v>
      </c>
      <c r="T148">
        <f t="shared" si="82"/>
        <v>6</v>
      </c>
      <c r="U148">
        <v>1</v>
      </c>
      <c r="V148">
        <f t="shared" si="94"/>
        <v>602</v>
      </c>
      <c r="W148">
        <v>57</v>
      </c>
      <c r="X148">
        <f t="shared" si="65"/>
        <v>103</v>
      </c>
      <c r="Y148">
        <v>5000</v>
      </c>
      <c r="Z148">
        <f t="shared" si="83"/>
        <v>6</v>
      </c>
      <c r="AA148">
        <v>1</v>
      </c>
      <c r="AB148">
        <f t="shared" si="95"/>
        <v>601</v>
      </c>
      <c r="AC148">
        <v>79</v>
      </c>
      <c r="AD148">
        <f t="shared" si="66"/>
        <v>113</v>
      </c>
      <c r="AE148">
        <v>5000</v>
      </c>
      <c r="AF148">
        <f t="shared" si="84"/>
        <v>6</v>
      </c>
      <c r="AG148">
        <v>1</v>
      </c>
      <c r="AH148">
        <f t="shared" si="96"/>
        <v>602</v>
      </c>
      <c r="AI148">
        <v>72</v>
      </c>
      <c r="AJ148">
        <f t="shared" si="67"/>
        <v>111</v>
      </c>
      <c r="AK148">
        <v>1000</v>
      </c>
      <c r="AL148">
        <v>1</v>
      </c>
      <c r="AM148">
        <v>0</v>
      </c>
      <c r="AN148">
        <v>631</v>
      </c>
      <c r="AO148">
        <v>4</v>
      </c>
      <c r="AP148" t="str">
        <f t="shared" si="85"/>
        <v>{5000,6,1,602,101}</v>
      </c>
      <c r="AQ148" t="str">
        <f t="shared" si="86"/>
        <v>{5000,6,1,601,102}</v>
      </c>
      <c r="AR148" t="str">
        <f t="shared" si="87"/>
        <v>{5000,6,1,602,103}</v>
      </c>
      <c r="AS148" t="str">
        <f t="shared" si="88"/>
        <v>{5000,6,1,601,113}</v>
      </c>
      <c r="AT148" t="str">
        <f t="shared" si="89"/>
        <v>{5000,6,1,602,111}</v>
      </c>
      <c r="AU148" t="str">
        <f t="shared" si="90"/>
        <v>{1000,1,0,631,4}</v>
      </c>
      <c r="AV148">
        <v>1626</v>
      </c>
      <c r="AW148" t="str">
        <f t="shared" ref="AW148:AW168" si="97">IF(AU148="","["&amp;_xlfn.TEXTJOIN(",",1,AP148:AT148)&amp;"]","["&amp;_xlfn.TEXTJOIN(",",1,AP148:AU148)&amp;"]")</f>
        <v>[{5000,6,1,602,101},{5000,6,1,601,102},{5000,6,1,602,103},{5000,6,1,601,113},{5000,6,1,602,111},{1000,1,0,631,4}]</v>
      </c>
    </row>
    <row r="149" spans="2:49">
      <c r="B149">
        <v>1627</v>
      </c>
      <c r="C149" t="s">
        <v>84</v>
      </c>
      <c r="D149" t="str">
        <f t="shared" si="81"/>
        <v>7</v>
      </c>
      <c r="F149">
        <v>226</v>
      </c>
      <c r="G149">
        <v>5000</v>
      </c>
      <c r="H149">
        <f t="shared" si="91"/>
        <v>6</v>
      </c>
      <c r="I149">
        <v>1</v>
      </c>
      <c r="J149">
        <v>2</v>
      </c>
      <c r="K149">
        <f t="shared" si="92"/>
        <v>602</v>
      </c>
      <c r="L149">
        <f t="shared" si="63"/>
        <v>101</v>
      </c>
      <c r="M149">
        <v>5000</v>
      </c>
      <c r="N149">
        <f t="shared" si="61"/>
        <v>6</v>
      </c>
      <c r="O149">
        <v>1</v>
      </c>
      <c r="P149">
        <f t="shared" si="93"/>
        <v>601</v>
      </c>
      <c r="Q149">
        <v>51</v>
      </c>
      <c r="R149">
        <f t="shared" si="64"/>
        <v>103</v>
      </c>
      <c r="S149">
        <v>5000</v>
      </c>
      <c r="T149">
        <f t="shared" si="82"/>
        <v>6</v>
      </c>
      <c r="U149">
        <v>1</v>
      </c>
      <c r="V149">
        <f t="shared" si="94"/>
        <v>602</v>
      </c>
      <c r="W149">
        <v>75</v>
      </c>
      <c r="X149">
        <f t="shared" si="65"/>
        <v>111</v>
      </c>
      <c r="Y149">
        <v>5000</v>
      </c>
      <c r="Z149">
        <f t="shared" si="83"/>
        <v>6</v>
      </c>
      <c r="AA149">
        <v>1</v>
      </c>
      <c r="AB149">
        <f t="shared" si="95"/>
        <v>601</v>
      </c>
      <c r="AC149">
        <v>71</v>
      </c>
      <c r="AD149">
        <f t="shared" si="66"/>
        <v>112</v>
      </c>
      <c r="AE149">
        <v>5000</v>
      </c>
      <c r="AF149">
        <f t="shared" si="84"/>
        <v>6</v>
      </c>
      <c r="AG149">
        <v>1</v>
      </c>
      <c r="AH149">
        <f t="shared" si="96"/>
        <v>602</v>
      </c>
      <c r="AI149">
        <v>77</v>
      </c>
      <c r="AJ149">
        <f t="shared" si="67"/>
        <v>113</v>
      </c>
      <c r="AP149" t="str">
        <f t="shared" si="85"/>
        <v>{5000,6,1,602,101}</v>
      </c>
      <c r="AQ149" t="str">
        <f t="shared" si="86"/>
        <v>{5000,6,1,601,103}</v>
      </c>
      <c r="AR149" t="str">
        <f t="shared" si="87"/>
        <v>{5000,6,1,602,111}</v>
      </c>
      <c r="AS149" t="str">
        <f t="shared" si="88"/>
        <v>{5000,6,1,601,112}</v>
      </c>
      <c r="AT149" t="str">
        <f t="shared" si="89"/>
        <v>{5000,6,1,602,113}</v>
      </c>
      <c r="AU149" t="str">
        <f t="shared" si="90"/>
        <v/>
      </c>
      <c r="AV149">
        <v>1627</v>
      </c>
      <c r="AW149" t="str">
        <f t="shared" si="97"/>
        <v>[{5000,6,1,602,101},{5000,6,1,601,103},{5000,6,1,602,111},{5000,6,1,601,112},{5000,6,1,602,113}]</v>
      </c>
    </row>
    <row r="150" spans="2:49">
      <c r="B150">
        <v>1628</v>
      </c>
      <c r="C150" t="s">
        <v>84</v>
      </c>
      <c r="D150" t="str">
        <f t="shared" si="81"/>
        <v>7</v>
      </c>
      <c r="F150">
        <v>241</v>
      </c>
      <c r="G150">
        <v>5000</v>
      </c>
      <c r="H150">
        <f t="shared" si="91"/>
        <v>7</v>
      </c>
      <c r="I150">
        <v>1</v>
      </c>
      <c r="J150">
        <v>3</v>
      </c>
      <c r="K150">
        <f t="shared" si="92"/>
        <v>603</v>
      </c>
      <c r="L150">
        <f t="shared" si="63"/>
        <v>101</v>
      </c>
      <c r="M150">
        <v>5000</v>
      </c>
      <c r="N150">
        <f t="shared" si="61"/>
        <v>7</v>
      </c>
      <c r="O150">
        <v>1</v>
      </c>
      <c r="P150">
        <f t="shared" si="93"/>
        <v>603</v>
      </c>
      <c r="Q150">
        <v>1</v>
      </c>
      <c r="R150">
        <f t="shared" si="64"/>
        <v>102</v>
      </c>
      <c r="S150">
        <v>5000</v>
      </c>
      <c r="T150">
        <f t="shared" si="82"/>
        <v>7</v>
      </c>
      <c r="U150">
        <v>1</v>
      </c>
      <c r="V150">
        <f t="shared" si="94"/>
        <v>603</v>
      </c>
      <c r="W150">
        <v>1</v>
      </c>
      <c r="X150">
        <f t="shared" si="65"/>
        <v>103</v>
      </c>
      <c r="Y150">
        <v>5000</v>
      </c>
      <c r="Z150">
        <f t="shared" si="83"/>
        <v>7</v>
      </c>
      <c r="AA150">
        <v>1</v>
      </c>
      <c r="AB150">
        <f t="shared" si="95"/>
        <v>603</v>
      </c>
      <c r="AC150">
        <v>1</v>
      </c>
      <c r="AD150">
        <f t="shared" si="66"/>
        <v>113</v>
      </c>
      <c r="AE150">
        <v>5000</v>
      </c>
      <c r="AF150">
        <f t="shared" si="84"/>
        <v>7</v>
      </c>
      <c r="AG150">
        <v>1</v>
      </c>
      <c r="AH150">
        <f t="shared" si="96"/>
        <v>603</v>
      </c>
      <c r="AI150">
        <v>1</v>
      </c>
      <c r="AJ150">
        <f t="shared" si="67"/>
        <v>111</v>
      </c>
      <c r="AP150" t="str">
        <f t="shared" si="85"/>
        <v>{5000,7,1,603,101}</v>
      </c>
      <c r="AQ150" t="str">
        <f t="shared" si="86"/>
        <v>{5000,7,1,603,102}</v>
      </c>
      <c r="AR150" t="str">
        <f t="shared" si="87"/>
        <v>{5000,7,1,603,103}</v>
      </c>
      <c r="AS150" t="str">
        <f t="shared" si="88"/>
        <v>{5000,7,1,603,113}</v>
      </c>
      <c r="AT150" t="str">
        <f t="shared" si="89"/>
        <v>{5000,7,1,603,111}</v>
      </c>
      <c r="AU150" t="str">
        <f t="shared" si="90"/>
        <v/>
      </c>
      <c r="AV150">
        <v>1628</v>
      </c>
      <c r="AW150" t="str">
        <f t="shared" si="97"/>
        <v>[{5000,7,1,603,101},{5000,7,1,603,102},{5000,7,1,603,103},{5000,7,1,603,113},{5000,7,1,603,111}]</v>
      </c>
    </row>
    <row r="151" spans="2:49">
      <c r="B151">
        <v>1629</v>
      </c>
      <c r="C151" t="s">
        <v>84</v>
      </c>
      <c r="D151" t="str">
        <f t="shared" si="81"/>
        <v>7</v>
      </c>
      <c r="F151">
        <v>256</v>
      </c>
      <c r="G151">
        <v>5000</v>
      </c>
      <c r="H151">
        <f t="shared" si="91"/>
        <v>6</v>
      </c>
      <c r="I151">
        <v>1</v>
      </c>
      <c r="J151">
        <v>2</v>
      </c>
      <c r="K151">
        <f t="shared" si="92"/>
        <v>602</v>
      </c>
      <c r="L151">
        <f t="shared" si="63"/>
        <v>101</v>
      </c>
      <c r="M151">
        <v>5000</v>
      </c>
      <c r="N151">
        <f t="shared" si="61"/>
        <v>6</v>
      </c>
      <c r="O151">
        <v>1</v>
      </c>
      <c r="P151">
        <f t="shared" si="93"/>
        <v>602</v>
      </c>
      <c r="Q151">
        <v>59</v>
      </c>
      <c r="R151">
        <f t="shared" si="64"/>
        <v>103</v>
      </c>
      <c r="S151">
        <v>5000</v>
      </c>
      <c r="T151">
        <f t="shared" si="82"/>
        <v>6</v>
      </c>
      <c r="U151">
        <v>1</v>
      </c>
      <c r="V151">
        <f t="shared" si="94"/>
        <v>602</v>
      </c>
      <c r="W151">
        <v>79</v>
      </c>
      <c r="X151">
        <f t="shared" si="65"/>
        <v>111</v>
      </c>
      <c r="Y151">
        <v>5000</v>
      </c>
      <c r="Z151">
        <f t="shared" si="83"/>
        <v>6</v>
      </c>
      <c r="AA151">
        <v>1</v>
      </c>
      <c r="AB151">
        <f t="shared" si="95"/>
        <v>601</v>
      </c>
      <c r="AC151">
        <v>72</v>
      </c>
      <c r="AD151">
        <f t="shared" si="66"/>
        <v>112</v>
      </c>
      <c r="AE151">
        <v>5000</v>
      </c>
      <c r="AF151">
        <f t="shared" si="84"/>
        <v>6</v>
      </c>
      <c r="AG151">
        <v>1</v>
      </c>
      <c r="AH151">
        <f t="shared" si="96"/>
        <v>602</v>
      </c>
      <c r="AI151">
        <v>74</v>
      </c>
      <c r="AJ151">
        <f t="shared" si="67"/>
        <v>113</v>
      </c>
      <c r="AP151" t="str">
        <f t="shared" si="85"/>
        <v>{5000,6,1,602,101}</v>
      </c>
      <c r="AQ151" t="str">
        <f t="shared" si="86"/>
        <v>{5000,6,1,602,103}</v>
      </c>
      <c r="AR151" t="str">
        <f t="shared" si="87"/>
        <v>{5000,6,1,602,111}</v>
      </c>
      <c r="AS151" t="str">
        <f t="shared" si="88"/>
        <v>{5000,6,1,601,112}</v>
      </c>
      <c r="AT151" t="str">
        <f t="shared" si="89"/>
        <v>{5000,6,1,602,113}</v>
      </c>
      <c r="AU151" t="str">
        <f t="shared" si="90"/>
        <v/>
      </c>
      <c r="AV151">
        <v>1629</v>
      </c>
      <c r="AW151" t="str">
        <f t="shared" si="97"/>
        <v>[{5000,6,1,602,101},{5000,6,1,602,103},{5000,6,1,602,111},{5000,6,1,601,112},{5000,6,1,602,113}]</v>
      </c>
    </row>
    <row r="152" spans="2:49">
      <c r="B152">
        <v>1630</v>
      </c>
      <c r="C152" t="s">
        <v>84</v>
      </c>
      <c r="D152" t="str">
        <f t="shared" si="81"/>
        <v>7</v>
      </c>
      <c r="F152">
        <v>271</v>
      </c>
      <c r="G152">
        <v>5000</v>
      </c>
      <c r="H152">
        <f t="shared" si="91"/>
        <v>6</v>
      </c>
      <c r="I152">
        <v>1</v>
      </c>
      <c r="J152">
        <v>2</v>
      </c>
      <c r="K152">
        <f t="shared" si="92"/>
        <v>602</v>
      </c>
      <c r="L152">
        <f t="shared" si="63"/>
        <v>101</v>
      </c>
      <c r="M152">
        <v>5000</v>
      </c>
      <c r="N152">
        <f t="shared" si="61"/>
        <v>6</v>
      </c>
      <c r="O152">
        <v>1</v>
      </c>
      <c r="P152">
        <f t="shared" si="93"/>
        <v>602</v>
      </c>
      <c r="Q152">
        <v>54</v>
      </c>
      <c r="R152">
        <f t="shared" si="64"/>
        <v>102</v>
      </c>
      <c r="S152">
        <v>5000</v>
      </c>
      <c r="T152">
        <f t="shared" si="82"/>
        <v>6</v>
      </c>
      <c r="U152">
        <v>1</v>
      </c>
      <c r="V152">
        <f t="shared" si="94"/>
        <v>602</v>
      </c>
      <c r="W152">
        <v>56</v>
      </c>
      <c r="X152">
        <f t="shared" si="65"/>
        <v>103</v>
      </c>
      <c r="Y152">
        <v>5000</v>
      </c>
      <c r="Z152">
        <f t="shared" si="83"/>
        <v>6</v>
      </c>
      <c r="AA152">
        <v>1</v>
      </c>
      <c r="AB152">
        <f t="shared" si="95"/>
        <v>602</v>
      </c>
      <c r="AC152">
        <v>73</v>
      </c>
      <c r="AD152">
        <f t="shared" si="66"/>
        <v>113</v>
      </c>
      <c r="AE152">
        <v>5000</v>
      </c>
      <c r="AF152">
        <f t="shared" si="84"/>
        <v>6</v>
      </c>
      <c r="AG152">
        <v>1</v>
      </c>
      <c r="AH152">
        <f t="shared" si="96"/>
        <v>602</v>
      </c>
      <c r="AI152">
        <v>75</v>
      </c>
      <c r="AJ152">
        <f t="shared" si="67"/>
        <v>111</v>
      </c>
      <c r="AP152" t="str">
        <f t="shared" si="85"/>
        <v>{5000,6,1,602,101}</v>
      </c>
      <c r="AQ152" t="str">
        <f t="shared" si="86"/>
        <v>{5000,6,1,602,102}</v>
      </c>
      <c r="AR152" t="str">
        <f t="shared" si="87"/>
        <v>{5000,6,1,602,103}</v>
      </c>
      <c r="AS152" t="str">
        <f t="shared" si="88"/>
        <v>{5000,6,1,602,113}</v>
      </c>
      <c r="AT152" t="str">
        <f t="shared" si="89"/>
        <v>{5000,6,1,602,111}</v>
      </c>
      <c r="AU152" t="str">
        <f t="shared" si="90"/>
        <v/>
      </c>
      <c r="AV152">
        <v>1630</v>
      </c>
      <c r="AW152" t="str">
        <f t="shared" si="97"/>
        <v>[{5000,6,1,602,101},{5000,6,1,602,102},{5000,6,1,602,103},{5000,6,1,602,113},{5000,6,1,602,111}]</v>
      </c>
    </row>
    <row r="153" spans="2:49">
      <c r="B153">
        <v>1631</v>
      </c>
      <c r="C153" t="s">
        <v>84</v>
      </c>
      <c r="D153" t="str">
        <f t="shared" si="81"/>
        <v>7</v>
      </c>
      <c r="F153">
        <v>286</v>
      </c>
      <c r="G153">
        <v>5000</v>
      </c>
      <c r="H153">
        <f t="shared" si="91"/>
        <v>6</v>
      </c>
      <c r="I153">
        <v>1</v>
      </c>
      <c r="J153">
        <v>2</v>
      </c>
      <c r="K153">
        <f t="shared" si="92"/>
        <v>602</v>
      </c>
      <c r="L153">
        <f t="shared" si="63"/>
        <v>101</v>
      </c>
      <c r="M153">
        <v>5000</v>
      </c>
      <c r="N153">
        <f t="shared" si="61"/>
        <v>6</v>
      </c>
      <c r="O153">
        <v>1</v>
      </c>
      <c r="P153">
        <f t="shared" si="93"/>
        <v>602</v>
      </c>
      <c r="Q153">
        <v>53</v>
      </c>
      <c r="R153">
        <f t="shared" si="64"/>
        <v>103</v>
      </c>
      <c r="S153">
        <v>5000</v>
      </c>
      <c r="T153">
        <f t="shared" si="82"/>
        <v>6</v>
      </c>
      <c r="U153">
        <v>1</v>
      </c>
      <c r="V153">
        <f t="shared" si="94"/>
        <v>602</v>
      </c>
      <c r="W153">
        <v>59</v>
      </c>
      <c r="X153">
        <f t="shared" si="65"/>
        <v>111</v>
      </c>
      <c r="Y153">
        <v>5000</v>
      </c>
      <c r="Z153">
        <f t="shared" si="83"/>
        <v>6</v>
      </c>
      <c r="AA153">
        <v>1</v>
      </c>
      <c r="AB153">
        <f t="shared" si="95"/>
        <v>602</v>
      </c>
      <c r="AC153">
        <v>71</v>
      </c>
      <c r="AD153">
        <f t="shared" si="66"/>
        <v>112</v>
      </c>
      <c r="AE153">
        <v>5000</v>
      </c>
      <c r="AF153">
        <f t="shared" si="84"/>
        <v>6</v>
      </c>
      <c r="AG153">
        <v>1</v>
      </c>
      <c r="AH153">
        <f t="shared" si="96"/>
        <v>602</v>
      </c>
      <c r="AI153">
        <v>77</v>
      </c>
      <c r="AJ153">
        <f t="shared" si="67"/>
        <v>113</v>
      </c>
      <c r="AP153" t="str">
        <f t="shared" si="85"/>
        <v>{5000,6,1,602,101}</v>
      </c>
      <c r="AQ153" t="str">
        <f t="shared" si="86"/>
        <v>{5000,6,1,602,103}</v>
      </c>
      <c r="AR153" t="str">
        <f t="shared" si="87"/>
        <v>{5000,6,1,602,111}</v>
      </c>
      <c r="AS153" t="str">
        <f t="shared" si="88"/>
        <v>{5000,6,1,602,112}</v>
      </c>
      <c r="AT153" t="str">
        <f t="shared" si="89"/>
        <v>{5000,6,1,602,113}</v>
      </c>
      <c r="AU153" t="str">
        <f t="shared" si="90"/>
        <v/>
      </c>
      <c r="AV153">
        <v>1631</v>
      </c>
      <c r="AW153" t="str">
        <f t="shared" si="97"/>
        <v>[{5000,6,1,602,101},{5000,6,1,602,103},{5000,6,1,602,111},{5000,6,1,602,112},{5000,6,1,602,113}]</v>
      </c>
    </row>
    <row r="154" spans="2:49">
      <c r="B154">
        <v>1632</v>
      </c>
      <c r="C154" t="s">
        <v>84</v>
      </c>
      <c r="D154" t="str">
        <f t="shared" si="81"/>
        <v>7</v>
      </c>
      <c r="F154">
        <v>290</v>
      </c>
      <c r="G154">
        <v>5000</v>
      </c>
      <c r="H154">
        <f t="shared" si="91"/>
        <v>6</v>
      </c>
      <c r="I154">
        <v>1</v>
      </c>
      <c r="J154">
        <v>2</v>
      </c>
      <c r="K154">
        <f t="shared" si="92"/>
        <v>602</v>
      </c>
      <c r="L154">
        <f t="shared" si="63"/>
        <v>101</v>
      </c>
      <c r="M154">
        <v>5000</v>
      </c>
      <c r="N154">
        <f t="shared" si="61"/>
        <v>6</v>
      </c>
      <c r="O154">
        <v>1</v>
      </c>
      <c r="P154">
        <f t="shared" si="93"/>
        <v>602</v>
      </c>
      <c r="Q154">
        <v>56</v>
      </c>
      <c r="R154">
        <f t="shared" si="64"/>
        <v>102</v>
      </c>
      <c r="S154">
        <v>5000</v>
      </c>
      <c r="T154">
        <f t="shared" si="82"/>
        <v>6</v>
      </c>
      <c r="U154">
        <v>1</v>
      </c>
      <c r="V154">
        <f t="shared" si="94"/>
        <v>601</v>
      </c>
      <c r="W154">
        <v>77</v>
      </c>
      <c r="X154">
        <f t="shared" si="65"/>
        <v>103</v>
      </c>
      <c r="Y154">
        <v>5000</v>
      </c>
      <c r="Z154">
        <f t="shared" si="83"/>
        <v>6</v>
      </c>
      <c r="AA154">
        <v>1</v>
      </c>
      <c r="AB154">
        <f t="shared" si="95"/>
        <v>602</v>
      </c>
      <c r="AC154">
        <v>72</v>
      </c>
      <c r="AD154">
        <f t="shared" si="66"/>
        <v>113</v>
      </c>
      <c r="AE154">
        <v>5000</v>
      </c>
      <c r="AF154">
        <f t="shared" si="84"/>
        <v>6</v>
      </c>
      <c r="AG154">
        <v>1</v>
      </c>
      <c r="AH154">
        <f t="shared" si="96"/>
        <v>602</v>
      </c>
      <c r="AI154">
        <v>74</v>
      </c>
      <c r="AJ154">
        <f t="shared" si="67"/>
        <v>111</v>
      </c>
      <c r="AP154" t="str">
        <f t="shared" si="85"/>
        <v>{5000,6,1,602,101}</v>
      </c>
      <c r="AQ154" t="str">
        <f t="shared" si="86"/>
        <v>{5000,6,1,602,102}</v>
      </c>
      <c r="AR154" t="str">
        <f t="shared" si="87"/>
        <v>{5000,6,1,601,103}</v>
      </c>
      <c r="AS154" t="str">
        <f t="shared" si="88"/>
        <v>{5000,6,1,602,113}</v>
      </c>
      <c r="AT154" t="str">
        <f t="shared" si="89"/>
        <v>{5000,6,1,602,111}</v>
      </c>
      <c r="AU154" t="str">
        <f t="shared" si="90"/>
        <v/>
      </c>
      <c r="AV154">
        <v>1632</v>
      </c>
      <c r="AW154" t="str">
        <f t="shared" si="97"/>
        <v>[{5000,6,1,602,101},{5000,6,1,602,102},{5000,6,1,601,103},{5000,6,1,602,113},{5000,6,1,602,111}]</v>
      </c>
    </row>
    <row r="155" spans="2:49">
      <c r="B155">
        <v>1711</v>
      </c>
      <c r="C155" t="s">
        <v>85</v>
      </c>
      <c r="D155" s="5" t="str">
        <f t="shared" si="81"/>
        <v>8</v>
      </c>
      <c r="E155" s="5"/>
      <c r="F155">
        <v>1</v>
      </c>
      <c r="G155">
        <v>5000</v>
      </c>
      <c r="H155">
        <f t="shared" ref="H155:H218" si="98">H133</f>
        <v>1</v>
      </c>
      <c r="I155">
        <v>1</v>
      </c>
      <c r="J155">
        <v>1</v>
      </c>
      <c r="K155">
        <f t="shared" si="92"/>
        <v>701</v>
      </c>
      <c r="L155">
        <f t="shared" si="63"/>
        <v>101</v>
      </c>
      <c r="M155">
        <v>5000</v>
      </c>
      <c r="N155">
        <f t="shared" si="61"/>
        <v>1</v>
      </c>
      <c r="O155">
        <v>1</v>
      </c>
      <c r="P155">
        <f t="shared" si="93"/>
        <v>701</v>
      </c>
      <c r="Q155">
        <v>55</v>
      </c>
      <c r="R155">
        <f t="shared" si="64"/>
        <v>102</v>
      </c>
      <c r="S155">
        <v>5000</v>
      </c>
      <c r="T155">
        <f t="shared" si="82"/>
        <v>1</v>
      </c>
      <c r="U155">
        <v>1</v>
      </c>
      <c r="V155">
        <f t="shared" si="94"/>
        <v>701</v>
      </c>
      <c r="W155">
        <v>60</v>
      </c>
      <c r="X155">
        <f t="shared" si="65"/>
        <v>103</v>
      </c>
      <c r="Y155">
        <v>5000</v>
      </c>
      <c r="Z155">
        <f t="shared" si="83"/>
        <v>1</v>
      </c>
      <c r="AA155">
        <v>1</v>
      </c>
      <c r="AB155">
        <f t="shared" si="95"/>
        <v>701</v>
      </c>
      <c r="AC155">
        <v>71</v>
      </c>
      <c r="AD155">
        <f t="shared" si="66"/>
        <v>113</v>
      </c>
      <c r="AE155">
        <v>5000</v>
      </c>
      <c r="AF155">
        <f t="shared" si="84"/>
        <v>1</v>
      </c>
      <c r="AG155">
        <v>1</v>
      </c>
      <c r="AH155">
        <f t="shared" si="96"/>
        <v>701</v>
      </c>
      <c r="AI155">
        <v>76</v>
      </c>
      <c r="AJ155">
        <f t="shared" si="67"/>
        <v>111</v>
      </c>
      <c r="AP155" t="str">
        <f t="shared" si="85"/>
        <v>{5000,1,1,701,101}</v>
      </c>
      <c r="AQ155" t="str">
        <f t="shared" si="86"/>
        <v>{5000,1,1,701,102}</v>
      </c>
      <c r="AR155" t="str">
        <f t="shared" si="87"/>
        <v>{5000,1,1,701,103}</v>
      </c>
      <c r="AS155" t="str">
        <f t="shared" si="88"/>
        <v>{5000,1,1,701,113}</v>
      </c>
      <c r="AT155" t="str">
        <f t="shared" si="89"/>
        <v>{5000,1,1,701,111}</v>
      </c>
      <c r="AU155" t="str">
        <f t="shared" si="90"/>
        <v/>
      </c>
      <c r="AV155">
        <v>1711</v>
      </c>
      <c r="AW155" t="str">
        <f t="shared" si="97"/>
        <v>[{5000,1,1,701,101},{5000,1,1,701,102},{5000,1,1,701,103},{5000,1,1,701,113},{5000,1,1,701,111}]</v>
      </c>
    </row>
    <row r="156" spans="2:49">
      <c r="B156">
        <v>1712</v>
      </c>
      <c r="C156" t="s">
        <v>85</v>
      </c>
      <c r="D156" t="str">
        <f t="shared" si="81"/>
        <v>8</v>
      </c>
      <c r="F156">
        <v>16</v>
      </c>
      <c r="G156">
        <v>5000</v>
      </c>
      <c r="H156">
        <f t="shared" si="98"/>
        <v>1</v>
      </c>
      <c r="I156">
        <v>1</v>
      </c>
      <c r="J156">
        <v>1</v>
      </c>
      <c r="K156">
        <f t="shared" ref="K156:K177" si="99">IF($J156="","",K134+100)</f>
        <v>701</v>
      </c>
      <c r="L156">
        <f t="shared" si="63"/>
        <v>101</v>
      </c>
      <c r="M156">
        <v>5000</v>
      </c>
      <c r="N156">
        <f t="shared" si="61"/>
        <v>1</v>
      </c>
      <c r="O156">
        <v>1</v>
      </c>
      <c r="P156">
        <f t="shared" ref="P156:P177" si="100">IF($J156="","",P134+100)</f>
        <v>701</v>
      </c>
      <c r="Q156">
        <v>55</v>
      </c>
      <c r="R156">
        <f t="shared" si="64"/>
        <v>103</v>
      </c>
      <c r="S156">
        <v>5000</v>
      </c>
      <c r="T156">
        <f t="shared" si="82"/>
        <v>1</v>
      </c>
      <c r="U156">
        <v>1</v>
      </c>
      <c r="V156">
        <f t="shared" ref="V156:V177" si="101">IF($J156="","",V134+100)</f>
        <v>701</v>
      </c>
      <c r="W156">
        <v>75</v>
      </c>
      <c r="X156">
        <f t="shared" si="65"/>
        <v>111</v>
      </c>
      <c r="Y156">
        <v>5000</v>
      </c>
      <c r="Z156">
        <f t="shared" si="83"/>
        <v>1</v>
      </c>
      <c r="AA156">
        <v>1</v>
      </c>
      <c r="AB156">
        <f t="shared" ref="AB156:AB177" si="102">IF($J156="","",AB134+100)</f>
        <v>701</v>
      </c>
      <c r="AC156">
        <v>73</v>
      </c>
      <c r="AD156">
        <f t="shared" si="66"/>
        <v>112</v>
      </c>
      <c r="AE156">
        <v>5000</v>
      </c>
      <c r="AF156">
        <f t="shared" si="84"/>
        <v>1</v>
      </c>
      <c r="AG156">
        <v>1</v>
      </c>
      <c r="AH156">
        <f t="shared" ref="AH156:AH177" si="103">IF($J156="","",AH134+100)</f>
        <v>701</v>
      </c>
      <c r="AI156">
        <v>78</v>
      </c>
      <c r="AJ156">
        <f t="shared" si="67"/>
        <v>113</v>
      </c>
      <c r="AP156" t="str">
        <f t="shared" si="85"/>
        <v>{5000,1,1,701,101}</v>
      </c>
      <c r="AQ156" t="str">
        <f t="shared" si="86"/>
        <v>{5000,1,1,701,103}</v>
      </c>
      <c r="AR156" t="str">
        <f t="shared" si="87"/>
        <v>{5000,1,1,701,111}</v>
      </c>
      <c r="AS156" t="str">
        <f t="shared" si="88"/>
        <v>{5000,1,1,701,112}</v>
      </c>
      <c r="AT156" t="str">
        <f t="shared" si="89"/>
        <v>{5000,1,1,701,113}</v>
      </c>
      <c r="AU156" t="str">
        <f t="shared" si="90"/>
        <v/>
      </c>
      <c r="AV156">
        <v>1712</v>
      </c>
      <c r="AW156" t="str">
        <f t="shared" si="97"/>
        <v>[{5000,1,1,701,101},{5000,1,1,701,103},{5000,1,1,701,111},{5000,1,1,701,112},{5000,1,1,701,113}]</v>
      </c>
    </row>
    <row r="157" spans="2:49">
      <c r="B157">
        <v>1713</v>
      </c>
      <c r="C157" t="s">
        <v>85</v>
      </c>
      <c r="D157" t="str">
        <f t="shared" si="81"/>
        <v>8</v>
      </c>
      <c r="F157">
        <v>31</v>
      </c>
      <c r="G157">
        <v>5000</v>
      </c>
      <c r="H157">
        <f t="shared" si="98"/>
        <v>2</v>
      </c>
      <c r="I157">
        <v>1</v>
      </c>
      <c r="J157">
        <v>1</v>
      </c>
      <c r="K157">
        <f t="shared" si="99"/>
        <v>701</v>
      </c>
      <c r="L157">
        <f t="shared" si="63"/>
        <v>101</v>
      </c>
      <c r="M157">
        <v>5000</v>
      </c>
      <c r="N157">
        <f t="shared" si="61"/>
        <v>2</v>
      </c>
      <c r="O157">
        <v>1</v>
      </c>
      <c r="P157">
        <f t="shared" si="100"/>
        <v>701</v>
      </c>
      <c r="Q157">
        <v>55</v>
      </c>
      <c r="R157">
        <f t="shared" si="64"/>
        <v>102</v>
      </c>
      <c r="S157">
        <v>5000</v>
      </c>
      <c r="T157">
        <f t="shared" si="82"/>
        <v>2</v>
      </c>
      <c r="U157">
        <v>1</v>
      </c>
      <c r="V157">
        <f t="shared" si="101"/>
        <v>701</v>
      </c>
      <c r="W157">
        <v>58</v>
      </c>
      <c r="X157">
        <f t="shared" si="65"/>
        <v>103</v>
      </c>
      <c r="Y157">
        <v>5000</v>
      </c>
      <c r="Z157">
        <f t="shared" si="83"/>
        <v>2</v>
      </c>
      <c r="AA157">
        <v>1</v>
      </c>
      <c r="AB157">
        <f t="shared" si="102"/>
        <v>701</v>
      </c>
      <c r="AC157">
        <v>76</v>
      </c>
      <c r="AD157">
        <f t="shared" si="66"/>
        <v>113</v>
      </c>
      <c r="AE157">
        <v>5000</v>
      </c>
      <c r="AF157">
        <f t="shared" si="84"/>
        <v>2</v>
      </c>
      <c r="AG157">
        <v>1</v>
      </c>
      <c r="AH157">
        <f t="shared" si="103"/>
        <v>701</v>
      </c>
      <c r="AI157">
        <v>79</v>
      </c>
      <c r="AJ157">
        <f t="shared" si="67"/>
        <v>111</v>
      </c>
      <c r="AP157" t="str">
        <f t="shared" si="85"/>
        <v>{5000,2,1,701,101}</v>
      </c>
      <c r="AQ157" t="str">
        <f t="shared" si="86"/>
        <v>{5000,2,1,701,102}</v>
      </c>
      <c r="AR157" t="str">
        <f t="shared" si="87"/>
        <v>{5000,2,1,701,103}</v>
      </c>
      <c r="AS157" t="str">
        <f t="shared" si="88"/>
        <v>{5000,2,1,701,113}</v>
      </c>
      <c r="AT157" t="str">
        <f t="shared" si="89"/>
        <v>{5000,2,1,701,111}</v>
      </c>
      <c r="AU157" t="str">
        <f t="shared" si="90"/>
        <v/>
      </c>
      <c r="AV157">
        <v>1713</v>
      </c>
      <c r="AW157" t="str">
        <f t="shared" si="97"/>
        <v>[{5000,2,1,701,101},{5000,2,1,701,102},{5000,2,1,701,103},{5000,2,1,701,113},{5000,2,1,701,111}]</v>
      </c>
    </row>
    <row r="158" spans="2:49">
      <c r="B158">
        <v>1714</v>
      </c>
      <c r="C158" t="s">
        <v>85</v>
      </c>
      <c r="D158" t="str">
        <f t="shared" si="81"/>
        <v>8</v>
      </c>
      <c r="F158">
        <v>46</v>
      </c>
      <c r="G158">
        <v>5000</v>
      </c>
      <c r="H158">
        <f t="shared" si="98"/>
        <v>2</v>
      </c>
      <c r="I158">
        <v>1</v>
      </c>
      <c r="J158">
        <v>1</v>
      </c>
      <c r="K158">
        <f t="shared" si="99"/>
        <v>701</v>
      </c>
      <c r="L158">
        <f t="shared" si="63"/>
        <v>101</v>
      </c>
      <c r="M158">
        <v>5000</v>
      </c>
      <c r="N158">
        <f t="shared" si="61"/>
        <v>2</v>
      </c>
      <c r="O158">
        <v>1</v>
      </c>
      <c r="P158">
        <f t="shared" si="100"/>
        <v>701</v>
      </c>
      <c r="Q158">
        <v>55</v>
      </c>
      <c r="R158">
        <f t="shared" si="64"/>
        <v>103</v>
      </c>
      <c r="S158">
        <v>5000</v>
      </c>
      <c r="T158">
        <f t="shared" si="82"/>
        <v>2</v>
      </c>
      <c r="U158">
        <v>1</v>
      </c>
      <c r="V158">
        <f t="shared" si="101"/>
        <v>702</v>
      </c>
      <c r="W158">
        <v>76</v>
      </c>
      <c r="X158">
        <f t="shared" si="65"/>
        <v>111</v>
      </c>
      <c r="Y158">
        <v>5000</v>
      </c>
      <c r="Z158">
        <f t="shared" si="83"/>
        <v>2</v>
      </c>
      <c r="AA158">
        <v>1</v>
      </c>
      <c r="AB158">
        <f t="shared" si="102"/>
        <v>701</v>
      </c>
      <c r="AC158">
        <v>71</v>
      </c>
      <c r="AD158">
        <f t="shared" si="66"/>
        <v>112</v>
      </c>
      <c r="AE158">
        <v>5000</v>
      </c>
      <c r="AF158">
        <f t="shared" si="84"/>
        <v>2</v>
      </c>
      <c r="AG158">
        <v>1</v>
      </c>
      <c r="AH158">
        <f t="shared" si="103"/>
        <v>701</v>
      </c>
      <c r="AI158">
        <v>71</v>
      </c>
      <c r="AJ158">
        <f t="shared" si="67"/>
        <v>113</v>
      </c>
      <c r="AP158" t="str">
        <f t="shared" si="85"/>
        <v>{5000,2,1,701,101}</v>
      </c>
      <c r="AQ158" t="str">
        <f t="shared" si="86"/>
        <v>{5000,2,1,701,103}</v>
      </c>
      <c r="AR158" t="str">
        <f t="shared" si="87"/>
        <v>{5000,2,1,702,111}</v>
      </c>
      <c r="AS158" t="str">
        <f t="shared" si="88"/>
        <v>{5000,2,1,701,112}</v>
      </c>
      <c r="AT158" t="str">
        <f t="shared" si="89"/>
        <v>{5000,2,1,701,113}</v>
      </c>
      <c r="AU158" t="str">
        <f t="shared" si="90"/>
        <v/>
      </c>
      <c r="AV158">
        <v>1714</v>
      </c>
      <c r="AW158" t="str">
        <f t="shared" si="97"/>
        <v>[{5000,2,1,701,101},{5000,2,1,701,103},{5000,2,1,702,111},{5000,2,1,701,112},{5000,2,1,701,113}]</v>
      </c>
    </row>
    <row r="159" spans="2:49">
      <c r="B159">
        <v>1715</v>
      </c>
      <c r="C159" t="s">
        <v>85</v>
      </c>
      <c r="D159" t="str">
        <f t="shared" si="81"/>
        <v>8</v>
      </c>
      <c r="F159">
        <v>61</v>
      </c>
      <c r="G159">
        <v>5000</v>
      </c>
      <c r="H159">
        <f t="shared" si="98"/>
        <v>4</v>
      </c>
      <c r="I159">
        <v>1</v>
      </c>
      <c r="J159">
        <v>3</v>
      </c>
      <c r="K159">
        <f t="shared" si="99"/>
        <v>703</v>
      </c>
      <c r="L159">
        <f t="shared" si="63"/>
        <v>101</v>
      </c>
      <c r="M159">
        <v>5000</v>
      </c>
      <c r="N159">
        <f t="shared" si="61"/>
        <v>4</v>
      </c>
      <c r="O159">
        <v>1</v>
      </c>
      <c r="P159">
        <f t="shared" si="100"/>
        <v>703</v>
      </c>
      <c r="Q159">
        <v>1</v>
      </c>
      <c r="R159">
        <f t="shared" si="64"/>
        <v>102</v>
      </c>
      <c r="S159">
        <v>5000</v>
      </c>
      <c r="T159">
        <f t="shared" si="82"/>
        <v>4</v>
      </c>
      <c r="U159">
        <v>1</v>
      </c>
      <c r="V159">
        <f t="shared" si="101"/>
        <v>703</v>
      </c>
      <c r="W159">
        <v>1</v>
      </c>
      <c r="X159">
        <f t="shared" si="65"/>
        <v>103</v>
      </c>
      <c r="Y159">
        <v>5000</v>
      </c>
      <c r="Z159">
        <f t="shared" si="83"/>
        <v>4</v>
      </c>
      <c r="AA159">
        <v>1</v>
      </c>
      <c r="AB159">
        <f t="shared" si="102"/>
        <v>703</v>
      </c>
      <c r="AC159">
        <v>1</v>
      </c>
      <c r="AD159">
        <f t="shared" si="66"/>
        <v>113</v>
      </c>
      <c r="AE159">
        <v>5000</v>
      </c>
      <c r="AF159">
        <f t="shared" si="84"/>
        <v>4</v>
      </c>
      <c r="AG159">
        <v>1</v>
      </c>
      <c r="AH159">
        <f t="shared" si="103"/>
        <v>703</v>
      </c>
      <c r="AI159">
        <v>1</v>
      </c>
      <c r="AJ159">
        <f t="shared" si="67"/>
        <v>111</v>
      </c>
      <c r="AP159" t="str">
        <f t="shared" si="85"/>
        <v>{5000,4,1,703,101}</v>
      </c>
      <c r="AQ159" t="str">
        <f t="shared" si="86"/>
        <v>{5000,4,1,703,102}</v>
      </c>
      <c r="AR159" t="str">
        <f t="shared" si="87"/>
        <v>{5000,4,1,703,103}</v>
      </c>
      <c r="AS159" t="str">
        <f t="shared" si="88"/>
        <v>{5000,4,1,703,113}</v>
      </c>
      <c r="AT159" t="str">
        <f t="shared" si="89"/>
        <v>{5000,4,1,703,111}</v>
      </c>
      <c r="AU159" t="str">
        <f t="shared" si="90"/>
        <v/>
      </c>
      <c r="AV159">
        <v>1715</v>
      </c>
      <c r="AW159" t="str">
        <f t="shared" si="97"/>
        <v>[{5000,4,1,703,101},{5000,4,1,703,102},{5000,4,1,703,103},{5000,4,1,703,113},{5000,4,1,703,111}]</v>
      </c>
    </row>
    <row r="160" spans="2:49">
      <c r="B160">
        <v>1716</v>
      </c>
      <c r="C160" t="s">
        <v>85</v>
      </c>
      <c r="D160" t="str">
        <f t="shared" si="81"/>
        <v>8</v>
      </c>
      <c r="F160">
        <v>76</v>
      </c>
      <c r="G160">
        <v>5000</v>
      </c>
      <c r="H160">
        <f t="shared" si="98"/>
        <v>3</v>
      </c>
      <c r="I160">
        <v>1</v>
      </c>
      <c r="J160">
        <v>1</v>
      </c>
      <c r="K160">
        <f t="shared" si="99"/>
        <v>701</v>
      </c>
      <c r="L160">
        <f t="shared" si="63"/>
        <v>101</v>
      </c>
      <c r="M160">
        <v>5000</v>
      </c>
      <c r="N160">
        <f t="shared" si="61"/>
        <v>3</v>
      </c>
      <c r="O160">
        <v>1</v>
      </c>
      <c r="P160">
        <f t="shared" si="100"/>
        <v>701</v>
      </c>
      <c r="Q160">
        <v>59</v>
      </c>
      <c r="R160">
        <f t="shared" si="64"/>
        <v>103</v>
      </c>
      <c r="S160">
        <v>5000</v>
      </c>
      <c r="T160">
        <f t="shared" si="82"/>
        <v>3</v>
      </c>
      <c r="U160">
        <v>1</v>
      </c>
      <c r="V160">
        <f t="shared" si="101"/>
        <v>702</v>
      </c>
      <c r="W160">
        <v>71</v>
      </c>
      <c r="X160">
        <f t="shared" si="65"/>
        <v>111</v>
      </c>
      <c r="Y160">
        <v>5000</v>
      </c>
      <c r="Z160">
        <f t="shared" si="83"/>
        <v>3</v>
      </c>
      <c r="AA160">
        <v>1</v>
      </c>
      <c r="AB160">
        <f t="shared" si="102"/>
        <v>701</v>
      </c>
      <c r="AC160">
        <v>71</v>
      </c>
      <c r="AD160">
        <f t="shared" si="66"/>
        <v>112</v>
      </c>
      <c r="AE160">
        <v>5000</v>
      </c>
      <c r="AF160">
        <f t="shared" si="84"/>
        <v>3</v>
      </c>
      <c r="AG160">
        <v>1</v>
      </c>
      <c r="AH160">
        <f t="shared" si="103"/>
        <v>701</v>
      </c>
      <c r="AI160">
        <v>79</v>
      </c>
      <c r="AJ160">
        <f t="shared" si="67"/>
        <v>113</v>
      </c>
      <c r="AP160" t="str">
        <f t="shared" si="85"/>
        <v>{5000,3,1,701,101}</v>
      </c>
      <c r="AQ160" t="str">
        <f t="shared" si="86"/>
        <v>{5000,3,1,701,103}</v>
      </c>
      <c r="AR160" t="str">
        <f t="shared" si="87"/>
        <v>{5000,3,1,702,111}</v>
      </c>
      <c r="AS160" t="str">
        <f t="shared" si="88"/>
        <v>{5000,3,1,701,112}</v>
      </c>
      <c r="AT160" t="str">
        <f t="shared" si="89"/>
        <v>{5000,3,1,701,113}</v>
      </c>
      <c r="AU160" t="str">
        <f t="shared" si="90"/>
        <v/>
      </c>
      <c r="AV160">
        <v>1716</v>
      </c>
      <c r="AW160" t="str">
        <f t="shared" si="97"/>
        <v>[{5000,3,1,701,101},{5000,3,1,701,103},{5000,3,1,702,111},{5000,3,1,701,112},{5000,3,1,701,113}]</v>
      </c>
    </row>
    <row r="161" spans="2:49">
      <c r="B161">
        <v>1717</v>
      </c>
      <c r="C161" t="s">
        <v>85</v>
      </c>
      <c r="D161" t="str">
        <f t="shared" si="81"/>
        <v>8</v>
      </c>
      <c r="F161">
        <v>91</v>
      </c>
      <c r="G161">
        <v>5000</v>
      </c>
      <c r="H161">
        <f t="shared" si="98"/>
        <v>3</v>
      </c>
      <c r="I161">
        <v>1</v>
      </c>
      <c r="J161">
        <v>1</v>
      </c>
      <c r="K161">
        <f t="shared" si="99"/>
        <v>701</v>
      </c>
      <c r="L161">
        <f t="shared" si="63"/>
        <v>101</v>
      </c>
      <c r="M161">
        <v>5000</v>
      </c>
      <c r="N161">
        <f t="shared" si="61"/>
        <v>3</v>
      </c>
      <c r="O161">
        <v>1</v>
      </c>
      <c r="P161">
        <f t="shared" si="100"/>
        <v>701</v>
      </c>
      <c r="Q161">
        <v>54</v>
      </c>
      <c r="R161">
        <f t="shared" si="64"/>
        <v>102</v>
      </c>
      <c r="S161">
        <v>5000</v>
      </c>
      <c r="T161">
        <f t="shared" si="82"/>
        <v>3</v>
      </c>
      <c r="U161">
        <v>1</v>
      </c>
      <c r="V161">
        <f t="shared" si="101"/>
        <v>702</v>
      </c>
      <c r="W161">
        <v>51</v>
      </c>
      <c r="X161">
        <f t="shared" si="65"/>
        <v>103</v>
      </c>
      <c r="Y161">
        <v>5000</v>
      </c>
      <c r="Z161">
        <f t="shared" si="83"/>
        <v>3</v>
      </c>
      <c r="AA161">
        <v>1</v>
      </c>
      <c r="AB161">
        <f t="shared" si="102"/>
        <v>701</v>
      </c>
      <c r="AC161">
        <v>71</v>
      </c>
      <c r="AD161">
        <f t="shared" si="66"/>
        <v>113</v>
      </c>
      <c r="AE161">
        <v>5000</v>
      </c>
      <c r="AF161">
        <f t="shared" si="84"/>
        <v>3</v>
      </c>
      <c r="AG161">
        <v>1</v>
      </c>
      <c r="AH161">
        <f t="shared" si="103"/>
        <v>702</v>
      </c>
      <c r="AI161">
        <v>77</v>
      </c>
      <c r="AJ161">
        <f t="shared" si="67"/>
        <v>111</v>
      </c>
      <c r="AP161" t="str">
        <f t="shared" si="85"/>
        <v>{5000,3,1,701,101}</v>
      </c>
      <c r="AQ161" t="str">
        <f t="shared" si="86"/>
        <v>{5000,3,1,701,102}</v>
      </c>
      <c r="AR161" t="str">
        <f t="shared" si="87"/>
        <v>{5000,3,1,702,103}</v>
      </c>
      <c r="AS161" t="str">
        <f t="shared" si="88"/>
        <v>{5000,3,1,701,113}</v>
      </c>
      <c r="AT161" t="str">
        <f t="shared" si="89"/>
        <v>{5000,3,1,702,111}</v>
      </c>
      <c r="AU161" t="str">
        <f t="shared" si="90"/>
        <v/>
      </c>
      <c r="AV161">
        <v>1717</v>
      </c>
      <c r="AW161" t="str">
        <f t="shared" si="97"/>
        <v>[{5000,3,1,701,101},{5000,3,1,701,102},{5000,3,1,702,103},{5000,3,1,701,113},{5000,3,1,702,111}]</v>
      </c>
    </row>
    <row r="162" spans="2:49">
      <c r="B162">
        <v>1718</v>
      </c>
      <c r="C162" t="s">
        <v>85</v>
      </c>
      <c r="D162" t="str">
        <f t="shared" si="81"/>
        <v>8</v>
      </c>
      <c r="F162">
        <v>106</v>
      </c>
      <c r="G162">
        <v>5000</v>
      </c>
      <c r="H162">
        <f t="shared" si="98"/>
        <v>3</v>
      </c>
      <c r="I162">
        <v>1</v>
      </c>
      <c r="J162">
        <v>1</v>
      </c>
      <c r="K162">
        <f t="shared" si="99"/>
        <v>701</v>
      </c>
      <c r="L162">
        <f t="shared" si="63"/>
        <v>101</v>
      </c>
      <c r="M162">
        <v>5000</v>
      </c>
      <c r="N162">
        <f t="shared" si="61"/>
        <v>3</v>
      </c>
      <c r="O162">
        <v>1</v>
      </c>
      <c r="P162">
        <f t="shared" si="100"/>
        <v>701</v>
      </c>
      <c r="Q162">
        <v>55</v>
      </c>
      <c r="R162">
        <f t="shared" si="64"/>
        <v>103</v>
      </c>
      <c r="S162">
        <v>5000</v>
      </c>
      <c r="T162">
        <f t="shared" si="82"/>
        <v>3</v>
      </c>
      <c r="U162">
        <v>1</v>
      </c>
      <c r="V162">
        <f t="shared" si="101"/>
        <v>702</v>
      </c>
      <c r="W162">
        <v>73</v>
      </c>
      <c r="X162">
        <f t="shared" si="65"/>
        <v>111</v>
      </c>
      <c r="Y162">
        <v>5000</v>
      </c>
      <c r="Z162">
        <f t="shared" si="83"/>
        <v>3</v>
      </c>
      <c r="AA162">
        <v>1</v>
      </c>
      <c r="AB162">
        <f t="shared" si="102"/>
        <v>701</v>
      </c>
      <c r="AC162">
        <v>78</v>
      </c>
      <c r="AD162">
        <f t="shared" si="66"/>
        <v>112</v>
      </c>
      <c r="AE162">
        <v>5000</v>
      </c>
      <c r="AF162">
        <f t="shared" si="84"/>
        <v>3</v>
      </c>
      <c r="AG162">
        <v>1</v>
      </c>
      <c r="AH162">
        <f t="shared" si="103"/>
        <v>702</v>
      </c>
      <c r="AI162">
        <v>71</v>
      </c>
      <c r="AJ162">
        <f t="shared" si="67"/>
        <v>113</v>
      </c>
      <c r="AP162" t="str">
        <f t="shared" si="85"/>
        <v>{5000,3,1,701,101}</v>
      </c>
      <c r="AQ162" t="str">
        <f t="shared" si="86"/>
        <v>{5000,3,1,701,103}</v>
      </c>
      <c r="AR162" t="str">
        <f t="shared" si="87"/>
        <v>{5000,3,1,702,111}</v>
      </c>
      <c r="AS162" t="str">
        <f t="shared" si="88"/>
        <v>{5000,3,1,701,112}</v>
      </c>
      <c r="AT162" t="str">
        <f t="shared" si="89"/>
        <v>{5000,3,1,702,113}</v>
      </c>
      <c r="AU162" t="str">
        <f t="shared" si="90"/>
        <v/>
      </c>
      <c r="AV162">
        <v>1718</v>
      </c>
      <c r="AW162" t="str">
        <f t="shared" si="97"/>
        <v>[{5000,3,1,701,101},{5000,3,1,701,103},{5000,3,1,702,111},{5000,3,1,701,112},{5000,3,1,702,113}]</v>
      </c>
    </row>
    <row r="163" spans="2:49">
      <c r="B163">
        <v>1719</v>
      </c>
      <c r="C163" t="s">
        <v>85</v>
      </c>
      <c r="D163" t="str">
        <f t="shared" si="81"/>
        <v>8</v>
      </c>
      <c r="F163">
        <v>121</v>
      </c>
      <c r="G163">
        <v>5000</v>
      </c>
      <c r="H163">
        <f t="shared" si="98"/>
        <v>5</v>
      </c>
      <c r="I163">
        <v>1</v>
      </c>
      <c r="J163">
        <v>1</v>
      </c>
      <c r="K163">
        <f t="shared" si="99"/>
        <v>703</v>
      </c>
      <c r="L163">
        <f t="shared" si="63"/>
        <v>101</v>
      </c>
      <c r="M163">
        <v>5000</v>
      </c>
      <c r="N163">
        <f t="shared" si="61"/>
        <v>5</v>
      </c>
      <c r="O163">
        <v>1</v>
      </c>
      <c r="P163">
        <f t="shared" si="100"/>
        <v>703</v>
      </c>
      <c r="Q163">
        <v>54</v>
      </c>
      <c r="R163">
        <f t="shared" si="64"/>
        <v>102</v>
      </c>
      <c r="S163">
        <v>5000</v>
      </c>
      <c r="T163">
        <f t="shared" si="82"/>
        <v>5</v>
      </c>
      <c r="U163">
        <v>1</v>
      </c>
      <c r="V163">
        <f t="shared" si="101"/>
        <v>703</v>
      </c>
      <c r="W163">
        <v>51</v>
      </c>
      <c r="X163">
        <f t="shared" si="65"/>
        <v>103</v>
      </c>
      <c r="Y163">
        <v>5000</v>
      </c>
      <c r="Z163">
        <f t="shared" si="83"/>
        <v>5</v>
      </c>
      <c r="AA163">
        <v>1</v>
      </c>
      <c r="AB163">
        <f t="shared" si="102"/>
        <v>703</v>
      </c>
      <c r="AC163">
        <v>71</v>
      </c>
      <c r="AD163">
        <f t="shared" si="66"/>
        <v>113</v>
      </c>
      <c r="AE163">
        <v>5000</v>
      </c>
      <c r="AF163">
        <f t="shared" si="84"/>
        <v>5</v>
      </c>
      <c r="AG163">
        <v>1</v>
      </c>
      <c r="AH163">
        <f t="shared" si="103"/>
        <v>703</v>
      </c>
      <c r="AI163">
        <v>79</v>
      </c>
      <c r="AJ163">
        <f t="shared" si="67"/>
        <v>111</v>
      </c>
      <c r="AP163" t="str">
        <f t="shared" si="85"/>
        <v>{5000,5,1,703,101}</v>
      </c>
      <c r="AQ163" t="str">
        <f t="shared" si="86"/>
        <v>{5000,5,1,703,102}</v>
      </c>
      <c r="AR163" t="str">
        <f t="shared" si="87"/>
        <v>{5000,5,1,703,103}</v>
      </c>
      <c r="AS163" t="str">
        <f t="shared" si="88"/>
        <v>{5000,5,1,703,113}</v>
      </c>
      <c r="AT163" t="str">
        <f t="shared" si="89"/>
        <v>{5000,5,1,703,111}</v>
      </c>
      <c r="AU163" t="str">
        <f t="shared" si="90"/>
        <v/>
      </c>
      <c r="AV163">
        <v>1719</v>
      </c>
      <c r="AW163" t="str">
        <f t="shared" si="97"/>
        <v>[{5000,5,1,703,101},{5000,5,1,703,102},{5000,5,1,703,103},{5000,5,1,703,113},{5000,5,1,703,111}]</v>
      </c>
    </row>
    <row r="164" spans="2:49">
      <c r="B164">
        <v>1720</v>
      </c>
      <c r="C164" t="s">
        <v>85</v>
      </c>
      <c r="D164" t="str">
        <f t="shared" si="81"/>
        <v>8</v>
      </c>
      <c r="F164">
        <v>136</v>
      </c>
      <c r="G164">
        <v>5000</v>
      </c>
      <c r="H164">
        <f t="shared" si="98"/>
        <v>4</v>
      </c>
      <c r="I164">
        <v>1</v>
      </c>
      <c r="J164">
        <v>1</v>
      </c>
      <c r="K164">
        <f t="shared" si="99"/>
        <v>701</v>
      </c>
      <c r="L164">
        <f t="shared" si="63"/>
        <v>101</v>
      </c>
      <c r="M164">
        <v>5000</v>
      </c>
      <c r="N164">
        <f t="shared" si="61"/>
        <v>4</v>
      </c>
      <c r="O164">
        <v>1</v>
      </c>
      <c r="P164">
        <f t="shared" si="100"/>
        <v>701</v>
      </c>
      <c r="Q164">
        <v>54</v>
      </c>
      <c r="R164">
        <f t="shared" si="64"/>
        <v>103</v>
      </c>
      <c r="S164">
        <v>5000</v>
      </c>
      <c r="T164">
        <f t="shared" si="82"/>
        <v>4</v>
      </c>
      <c r="U164">
        <v>1</v>
      </c>
      <c r="V164">
        <f t="shared" si="101"/>
        <v>702</v>
      </c>
      <c r="W164">
        <v>76</v>
      </c>
      <c r="X164">
        <f t="shared" si="65"/>
        <v>111</v>
      </c>
      <c r="Y164">
        <v>5000</v>
      </c>
      <c r="Z164">
        <f t="shared" si="83"/>
        <v>4</v>
      </c>
      <c r="AA164">
        <v>1</v>
      </c>
      <c r="AB164">
        <f t="shared" si="102"/>
        <v>701</v>
      </c>
      <c r="AC164">
        <v>72</v>
      </c>
      <c r="AD164">
        <f t="shared" si="66"/>
        <v>112</v>
      </c>
      <c r="AE164">
        <v>5000</v>
      </c>
      <c r="AF164">
        <f t="shared" si="84"/>
        <v>4</v>
      </c>
      <c r="AG164">
        <v>1</v>
      </c>
      <c r="AH164">
        <f t="shared" si="103"/>
        <v>702</v>
      </c>
      <c r="AI164">
        <v>74</v>
      </c>
      <c r="AJ164">
        <f t="shared" si="67"/>
        <v>113</v>
      </c>
      <c r="AP164" t="str">
        <f t="shared" si="85"/>
        <v>{5000,4,1,701,101}</v>
      </c>
      <c r="AQ164" t="str">
        <f t="shared" si="86"/>
        <v>{5000,4,1,701,103}</v>
      </c>
      <c r="AR164" t="str">
        <f t="shared" si="87"/>
        <v>{5000,4,1,702,111}</v>
      </c>
      <c r="AS164" t="str">
        <f t="shared" si="88"/>
        <v>{5000,4,1,701,112}</v>
      </c>
      <c r="AT164" t="str">
        <f t="shared" si="89"/>
        <v>{5000,4,1,702,113}</v>
      </c>
      <c r="AU164" t="str">
        <f t="shared" si="90"/>
        <v/>
      </c>
      <c r="AV164">
        <v>1720</v>
      </c>
      <c r="AW164" t="str">
        <f t="shared" si="97"/>
        <v>[{5000,4,1,701,101},{5000,4,1,701,103},{5000,4,1,702,111},{5000,4,1,701,112},{5000,4,1,702,113}]</v>
      </c>
    </row>
    <row r="165" spans="2:49">
      <c r="B165">
        <v>1721</v>
      </c>
      <c r="C165" t="s">
        <v>85</v>
      </c>
      <c r="D165" t="str">
        <f t="shared" si="81"/>
        <v>8</v>
      </c>
      <c r="F165">
        <v>151</v>
      </c>
      <c r="G165">
        <v>5000</v>
      </c>
      <c r="H165">
        <f t="shared" si="98"/>
        <v>4</v>
      </c>
      <c r="I165">
        <v>1</v>
      </c>
      <c r="J165">
        <v>1</v>
      </c>
      <c r="K165">
        <f t="shared" si="99"/>
        <v>701</v>
      </c>
      <c r="L165">
        <f t="shared" si="63"/>
        <v>101</v>
      </c>
      <c r="M165">
        <v>5000</v>
      </c>
      <c r="N165">
        <f t="shared" si="61"/>
        <v>4</v>
      </c>
      <c r="O165">
        <v>1</v>
      </c>
      <c r="P165">
        <f t="shared" si="100"/>
        <v>701</v>
      </c>
      <c r="Q165">
        <v>54</v>
      </c>
      <c r="R165">
        <f t="shared" si="64"/>
        <v>102</v>
      </c>
      <c r="S165">
        <v>5000</v>
      </c>
      <c r="T165">
        <f t="shared" si="82"/>
        <v>4</v>
      </c>
      <c r="U165">
        <v>1</v>
      </c>
      <c r="V165">
        <f t="shared" si="101"/>
        <v>702</v>
      </c>
      <c r="W165">
        <v>56</v>
      </c>
      <c r="X165">
        <f t="shared" si="65"/>
        <v>103</v>
      </c>
      <c r="Y165">
        <v>5000</v>
      </c>
      <c r="Z165">
        <f t="shared" si="83"/>
        <v>4</v>
      </c>
      <c r="AA165">
        <v>1</v>
      </c>
      <c r="AB165">
        <f t="shared" si="102"/>
        <v>701</v>
      </c>
      <c r="AC165">
        <v>72</v>
      </c>
      <c r="AD165">
        <f t="shared" si="66"/>
        <v>113</v>
      </c>
      <c r="AE165">
        <v>5000</v>
      </c>
      <c r="AF165">
        <f t="shared" si="84"/>
        <v>4</v>
      </c>
      <c r="AG165">
        <v>1</v>
      </c>
      <c r="AH165">
        <f t="shared" si="103"/>
        <v>702</v>
      </c>
      <c r="AI165">
        <v>74</v>
      </c>
      <c r="AJ165">
        <f t="shared" si="67"/>
        <v>111</v>
      </c>
      <c r="AP165" t="str">
        <f t="shared" si="85"/>
        <v>{5000,4,1,701,101}</v>
      </c>
      <c r="AQ165" t="str">
        <f t="shared" si="86"/>
        <v>{5000,4,1,701,102}</v>
      </c>
      <c r="AR165" t="str">
        <f t="shared" si="87"/>
        <v>{5000,4,1,702,103}</v>
      </c>
      <c r="AS165" t="str">
        <f t="shared" si="88"/>
        <v>{5000,4,1,701,113}</v>
      </c>
      <c r="AT165" t="str">
        <f t="shared" si="89"/>
        <v>{5000,4,1,702,111}</v>
      </c>
      <c r="AU165" t="str">
        <f t="shared" si="90"/>
        <v/>
      </c>
      <c r="AV165">
        <v>1721</v>
      </c>
      <c r="AW165" t="str">
        <f t="shared" si="97"/>
        <v>[{5000,4,1,701,101},{5000,4,1,701,102},{5000,4,1,702,103},{5000,4,1,701,113},{5000,4,1,702,111}]</v>
      </c>
    </row>
    <row r="166" spans="2:49">
      <c r="B166">
        <v>1722</v>
      </c>
      <c r="C166" t="s">
        <v>85</v>
      </c>
      <c r="D166" t="str">
        <f t="shared" si="81"/>
        <v>8</v>
      </c>
      <c r="F166">
        <v>166</v>
      </c>
      <c r="G166">
        <v>5000</v>
      </c>
      <c r="H166">
        <f t="shared" si="98"/>
        <v>4</v>
      </c>
      <c r="I166">
        <v>1</v>
      </c>
      <c r="J166">
        <v>1</v>
      </c>
      <c r="K166">
        <f t="shared" si="99"/>
        <v>701</v>
      </c>
      <c r="L166">
        <f t="shared" si="63"/>
        <v>101</v>
      </c>
      <c r="M166">
        <v>5000</v>
      </c>
      <c r="N166">
        <f t="shared" ref="N166:N229" si="104">H166</f>
        <v>4</v>
      </c>
      <c r="O166">
        <v>1</v>
      </c>
      <c r="P166">
        <f t="shared" si="100"/>
        <v>701</v>
      </c>
      <c r="Q166">
        <v>59</v>
      </c>
      <c r="R166">
        <f t="shared" si="64"/>
        <v>103</v>
      </c>
      <c r="S166">
        <v>5000</v>
      </c>
      <c r="T166">
        <f t="shared" si="82"/>
        <v>4</v>
      </c>
      <c r="U166">
        <v>1</v>
      </c>
      <c r="V166">
        <f t="shared" si="101"/>
        <v>702</v>
      </c>
      <c r="W166">
        <v>79</v>
      </c>
      <c r="X166">
        <f t="shared" si="65"/>
        <v>111</v>
      </c>
      <c r="Y166">
        <v>5000</v>
      </c>
      <c r="Z166">
        <f t="shared" si="83"/>
        <v>4</v>
      </c>
      <c r="AA166">
        <v>1</v>
      </c>
      <c r="AB166">
        <f t="shared" si="102"/>
        <v>701</v>
      </c>
      <c r="AC166">
        <v>71</v>
      </c>
      <c r="AD166">
        <f t="shared" si="66"/>
        <v>112</v>
      </c>
      <c r="AE166">
        <v>5000</v>
      </c>
      <c r="AF166">
        <f t="shared" si="84"/>
        <v>4</v>
      </c>
      <c r="AG166">
        <v>1</v>
      </c>
      <c r="AH166">
        <f t="shared" si="103"/>
        <v>702</v>
      </c>
      <c r="AI166">
        <v>74</v>
      </c>
      <c r="AJ166">
        <f t="shared" si="67"/>
        <v>113</v>
      </c>
      <c r="AP166" t="str">
        <f t="shared" si="85"/>
        <v>{5000,4,1,701,101}</v>
      </c>
      <c r="AQ166" t="str">
        <f t="shared" si="86"/>
        <v>{5000,4,1,701,103}</v>
      </c>
      <c r="AR166" t="str">
        <f t="shared" si="87"/>
        <v>{5000,4,1,702,111}</v>
      </c>
      <c r="AS166" t="str">
        <f t="shared" si="88"/>
        <v>{5000,4,1,701,112}</v>
      </c>
      <c r="AT166" t="str">
        <f t="shared" si="89"/>
        <v>{5000,4,1,702,113}</v>
      </c>
      <c r="AU166" t="str">
        <f t="shared" si="90"/>
        <v/>
      </c>
      <c r="AV166">
        <v>1722</v>
      </c>
      <c r="AW166" t="str">
        <f t="shared" si="97"/>
        <v>[{5000,4,1,701,101},{5000,4,1,701,103},{5000,4,1,702,111},{5000,4,1,701,112},{5000,4,1,702,113}]</v>
      </c>
    </row>
    <row r="167" spans="2:49">
      <c r="B167">
        <v>1723</v>
      </c>
      <c r="C167" t="s">
        <v>85</v>
      </c>
      <c r="D167" t="str">
        <f t="shared" si="81"/>
        <v>8</v>
      </c>
      <c r="F167">
        <v>181</v>
      </c>
      <c r="G167">
        <v>5000</v>
      </c>
      <c r="H167">
        <f t="shared" si="98"/>
        <v>6</v>
      </c>
      <c r="I167">
        <v>1</v>
      </c>
      <c r="J167">
        <v>3</v>
      </c>
      <c r="K167">
        <f t="shared" si="99"/>
        <v>703</v>
      </c>
      <c r="L167">
        <f t="shared" si="63"/>
        <v>101</v>
      </c>
      <c r="M167">
        <v>5000</v>
      </c>
      <c r="N167">
        <f t="shared" si="104"/>
        <v>6</v>
      </c>
      <c r="O167">
        <v>1</v>
      </c>
      <c r="P167">
        <f t="shared" si="100"/>
        <v>703</v>
      </c>
      <c r="Q167">
        <v>1</v>
      </c>
      <c r="R167">
        <f t="shared" si="64"/>
        <v>102</v>
      </c>
      <c r="S167">
        <v>5000</v>
      </c>
      <c r="T167">
        <f t="shared" si="82"/>
        <v>6</v>
      </c>
      <c r="U167">
        <v>1</v>
      </c>
      <c r="V167">
        <f t="shared" si="101"/>
        <v>703</v>
      </c>
      <c r="W167">
        <v>1</v>
      </c>
      <c r="X167">
        <f t="shared" si="65"/>
        <v>103</v>
      </c>
      <c r="Y167">
        <v>5000</v>
      </c>
      <c r="Z167">
        <f t="shared" si="83"/>
        <v>6</v>
      </c>
      <c r="AA167">
        <v>1</v>
      </c>
      <c r="AB167">
        <f t="shared" si="102"/>
        <v>703</v>
      </c>
      <c r="AC167">
        <v>1</v>
      </c>
      <c r="AD167">
        <f t="shared" si="66"/>
        <v>113</v>
      </c>
      <c r="AE167">
        <v>5000</v>
      </c>
      <c r="AF167">
        <f t="shared" si="84"/>
        <v>6</v>
      </c>
      <c r="AG167">
        <v>1</v>
      </c>
      <c r="AH167">
        <f t="shared" si="103"/>
        <v>703</v>
      </c>
      <c r="AI167">
        <v>1</v>
      </c>
      <c r="AJ167">
        <f t="shared" si="67"/>
        <v>111</v>
      </c>
      <c r="AP167" t="str">
        <f t="shared" si="85"/>
        <v>{5000,6,1,703,101}</v>
      </c>
      <c r="AQ167" t="str">
        <f t="shared" si="86"/>
        <v>{5000,6,1,703,102}</v>
      </c>
      <c r="AR167" t="str">
        <f t="shared" si="87"/>
        <v>{5000,6,1,703,103}</v>
      </c>
      <c r="AS167" t="str">
        <f t="shared" si="88"/>
        <v>{5000,6,1,703,113}</v>
      </c>
      <c r="AT167" t="str">
        <f t="shared" si="89"/>
        <v>{5000,6,1,703,111}</v>
      </c>
      <c r="AU167" t="str">
        <f t="shared" si="90"/>
        <v/>
      </c>
      <c r="AV167">
        <v>1723</v>
      </c>
      <c r="AW167" t="str">
        <f t="shared" si="97"/>
        <v>[{5000,6,1,703,101},{5000,6,1,703,102},{5000,6,1,703,103},{5000,6,1,703,113},{5000,6,1,703,111}]</v>
      </c>
    </row>
    <row r="168" spans="2:49">
      <c r="B168">
        <v>1724</v>
      </c>
      <c r="C168" t="s">
        <v>85</v>
      </c>
      <c r="D168" t="str">
        <f t="shared" si="81"/>
        <v>8</v>
      </c>
      <c r="F168">
        <v>196</v>
      </c>
      <c r="G168">
        <v>5000</v>
      </c>
      <c r="H168">
        <f t="shared" si="98"/>
        <v>5</v>
      </c>
      <c r="I168">
        <v>1</v>
      </c>
      <c r="J168">
        <v>2</v>
      </c>
      <c r="K168">
        <f t="shared" si="99"/>
        <v>702</v>
      </c>
      <c r="L168">
        <f t="shared" si="63"/>
        <v>101</v>
      </c>
      <c r="M168">
        <v>5000</v>
      </c>
      <c r="N168">
        <f t="shared" si="104"/>
        <v>5</v>
      </c>
      <c r="O168">
        <v>1</v>
      </c>
      <c r="P168">
        <f t="shared" si="100"/>
        <v>701</v>
      </c>
      <c r="Q168">
        <v>54</v>
      </c>
      <c r="R168">
        <f t="shared" si="64"/>
        <v>103</v>
      </c>
      <c r="S168">
        <v>5000</v>
      </c>
      <c r="T168">
        <f t="shared" si="82"/>
        <v>5</v>
      </c>
      <c r="U168">
        <v>1</v>
      </c>
      <c r="V168">
        <f t="shared" si="101"/>
        <v>702</v>
      </c>
      <c r="W168">
        <v>77</v>
      </c>
      <c r="X168">
        <f t="shared" si="65"/>
        <v>111</v>
      </c>
      <c r="Y168">
        <v>5000</v>
      </c>
      <c r="Z168">
        <f t="shared" si="83"/>
        <v>5</v>
      </c>
      <c r="AA168">
        <v>1</v>
      </c>
      <c r="AB168">
        <f t="shared" si="102"/>
        <v>701</v>
      </c>
      <c r="AC168">
        <v>72</v>
      </c>
      <c r="AD168">
        <f t="shared" si="66"/>
        <v>112</v>
      </c>
      <c r="AE168">
        <v>5000</v>
      </c>
      <c r="AF168">
        <f t="shared" si="84"/>
        <v>5</v>
      </c>
      <c r="AG168">
        <v>1</v>
      </c>
      <c r="AH168">
        <f t="shared" si="103"/>
        <v>702</v>
      </c>
      <c r="AI168">
        <v>74</v>
      </c>
      <c r="AJ168">
        <f t="shared" si="67"/>
        <v>113</v>
      </c>
      <c r="AP168" t="str">
        <f t="shared" si="85"/>
        <v>{5000,5,1,702,101}</v>
      </c>
      <c r="AQ168" t="str">
        <f t="shared" si="86"/>
        <v>{5000,5,1,701,103}</v>
      </c>
      <c r="AR168" t="str">
        <f t="shared" si="87"/>
        <v>{5000,5,1,702,111}</v>
      </c>
      <c r="AS168" t="str">
        <f t="shared" si="88"/>
        <v>{5000,5,1,701,112}</v>
      </c>
      <c r="AT168" t="str">
        <f t="shared" si="89"/>
        <v>{5000,5,1,702,113}</v>
      </c>
      <c r="AU168" t="str">
        <f t="shared" si="90"/>
        <v/>
      </c>
      <c r="AV168">
        <v>1724</v>
      </c>
      <c r="AW168" t="str">
        <f t="shared" si="97"/>
        <v>[{5000,5,1,702,101},{5000,5,1,701,103},{5000,5,1,702,111},{5000,5,1,701,112},{5000,5,1,702,113}]</v>
      </c>
    </row>
    <row r="169" spans="2:48">
      <c r="B169">
        <v>1725</v>
      </c>
      <c r="C169" t="s">
        <v>85</v>
      </c>
      <c r="D169" t="str">
        <f t="shared" si="81"/>
        <v>8</v>
      </c>
      <c r="F169">
        <v>209</v>
      </c>
      <c r="K169" t="str">
        <f t="shared" si="99"/>
        <v/>
      </c>
      <c r="L169" t="str">
        <f t="shared" si="63"/>
        <v/>
      </c>
      <c r="N169">
        <f t="shared" si="104"/>
        <v>0</v>
      </c>
      <c r="P169" t="str">
        <f t="shared" si="100"/>
        <v/>
      </c>
      <c r="R169" t="str">
        <f t="shared" si="64"/>
        <v/>
      </c>
      <c r="T169">
        <f t="shared" si="82"/>
        <v>0</v>
      </c>
      <c r="V169" t="str">
        <f t="shared" si="101"/>
        <v/>
      </c>
      <c r="X169" t="str">
        <f t="shared" si="65"/>
        <v/>
      </c>
      <c r="Z169">
        <f t="shared" si="83"/>
        <v>0</v>
      </c>
      <c r="AB169" t="str">
        <f t="shared" si="102"/>
        <v/>
      </c>
      <c r="AD169" t="str">
        <f t="shared" si="66"/>
        <v/>
      </c>
      <c r="AF169">
        <f t="shared" si="84"/>
        <v>0</v>
      </c>
      <c r="AH169" t="str">
        <f t="shared" si="103"/>
        <v/>
      </c>
      <c r="AJ169" t="str">
        <f t="shared" si="67"/>
        <v/>
      </c>
      <c r="AP169" t="str">
        <f t="shared" si="85"/>
        <v/>
      </c>
      <c r="AQ169" t="str">
        <f t="shared" si="86"/>
        <v/>
      </c>
      <c r="AR169" t="str">
        <f t="shared" si="87"/>
        <v/>
      </c>
      <c r="AS169" t="str">
        <f t="shared" si="88"/>
        <v/>
      </c>
      <c r="AT169" t="str">
        <f t="shared" si="89"/>
        <v/>
      </c>
      <c r="AU169" t="str">
        <f t="shared" si="90"/>
        <v/>
      </c>
      <c r="AV169">
        <v>1725</v>
      </c>
    </row>
    <row r="170" spans="2:49">
      <c r="B170">
        <v>1726</v>
      </c>
      <c r="C170" t="s">
        <v>85</v>
      </c>
      <c r="D170" t="str">
        <f t="shared" si="81"/>
        <v>8</v>
      </c>
      <c r="F170">
        <v>211</v>
      </c>
      <c r="G170">
        <v>5000</v>
      </c>
      <c r="H170">
        <f t="shared" si="98"/>
        <v>6</v>
      </c>
      <c r="I170">
        <v>1</v>
      </c>
      <c r="J170">
        <v>2</v>
      </c>
      <c r="K170">
        <f t="shared" si="99"/>
        <v>702</v>
      </c>
      <c r="L170">
        <f t="shared" si="63"/>
        <v>101</v>
      </c>
      <c r="M170">
        <v>5000</v>
      </c>
      <c r="N170">
        <f t="shared" si="104"/>
        <v>6</v>
      </c>
      <c r="O170">
        <v>1</v>
      </c>
      <c r="P170">
        <f t="shared" si="100"/>
        <v>701</v>
      </c>
      <c r="Q170">
        <v>51</v>
      </c>
      <c r="R170">
        <f t="shared" si="64"/>
        <v>102</v>
      </c>
      <c r="S170">
        <v>5000</v>
      </c>
      <c r="T170">
        <f t="shared" si="82"/>
        <v>6</v>
      </c>
      <c r="U170">
        <v>1</v>
      </c>
      <c r="V170">
        <f t="shared" si="101"/>
        <v>702</v>
      </c>
      <c r="W170">
        <v>57</v>
      </c>
      <c r="X170">
        <f t="shared" si="65"/>
        <v>103</v>
      </c>
      <c r="Y170">
        <v>5000</v>
      </c>
      <c r="Z170">
        <f t="shared" si="83"/>
        <v>6</v>
      </c>
      <c r="AA170">
        <v>1</v>
      </c>
      <c r="AB170">
        <f t="shared" si="102"/>
        <v>701</v>
      </c>
      <c r="AC170">
        <v>79</v>
      </c>
      <c r="AD170">
        <f t="shared" si="66"/>
        <v>113</v>
      </c>
      <c r="AE170">
        <v>5000</v>
      </c>
      <c r="AF170">
        <f t="shared" si="84"/>
        <v>6</v>
      </c>
      <c r="AG170">
        <v>1</v>
      </c>
      <c r="AH170">
        <f t="shared" si="103"/>
        <v>702</v>
      </c>
      <c r="AI170">
        <v>72</v>
      </c>
      <c r="AJ170">
        <f t="shared" si="67"/>
        <v>111</v>
      </c>
      <c r="AK170">
        <v>1000</v>
      </c>
      <c r="AL170">
        <v>1</v>
      </c>
      <c r="AM170">
        <v>0</v>
      </c>
      <c r="AN170">
        <v>731</v>
      </c>
      <c r="AO170">
        <v>4</v>
      </c>
      <c r="AP170" t="str">
        <f t="shared" si="85"/>
        <v>{5000,6,1,702,101}</v>
      </c>
      <c r="AQ170" t="str">
        <f t="shared" si="86"/>
        <v>{5000,6,1,701,102}</v>
      </c>
      <c r="AR170" t="str">
        <f t="shared" si="87"/>
        <v>{5000,6,1,702,103}</v>
      </c>
      <c r="AS170" t="str">
        <f t="shared" si="88"/>
        <v>{5000,6,1,701,113}</v>
      </c>
      <c r="AT170" t="str">
        <f t="shared" si="89"/>
        <v>{5000,6,1,702,111}</v>
      </c>
      <c r="AU170" t="str">
        <f t="shared" si="90"/>
        <v>{1000,1,0,731,4}</v>
      </c>
      <c r="AV170">
        <v>1726</v>
      </c>
      <c r="AW170" t="str">
        <f t="shared" ref="AW170:AW190" si="105">IF(AU170="","["&amp;_xlfn.TEXTJOIN(",",1,AP170:AT170)&amp;"]","["&amp;_xlfn.TEXTJOIN(",",1,AP170:AU170)&amp;"]")</f>
        <v>[{5000,6,1,702,101},{5000,6,1,701,102},{5000,6,1,702,103},{5000,6,1,701,113},{5000,6,1,702,111},{1000,1,0,731,4}]</v>
      </c>
    </row>
    <row r="171" spans="2:49">
      <c r="B171">
        <v>1727</v>
      </c>
      <c r="C171" t="s">
        <v>85</v>
      </c>
      <c r="D171" t="str">
        <f t="shared" si="81"/>
        <v>8</v>
      </c>
      <c r="F171">
        <v>226</v>
      </c>
      <c r="G171">
        <v>5000</v>
      </c>
      <c r="H171">
        <f t="shared" si="98"/>
        <v>6</v>
      </c>
      <c r="I171">
        <v>1</v>
      </c>
      <c r="J171">
        <v>2</v>
      </c>
      <c r="K171">
        <f t="shared" si="99"/>
        <v>702</v>
      </c>
      <c r="L171">
        <f t="shared" si="63"/>
        <v>101</v>
      </c>
      <c r="M171">
        <v>5000</v>
      </c>
      <c r="N171">
        <f t="shared" si="104"/>
        <v>6</v>
      </c>
      <c r="O171">
        <v>1</v>
      </c>
      <c r="P171">
        <f t="shared" si="100"/>
        <v>701</v>
      </c>
      <c r="Q171">
        <v>51</v>
      </c>
      <c r="R171">
        <f t="shared" si="64"/>
        <v>103</v>
      </c>
      <c r="S171">
        <v>5000</v>
      </c>
      <c r="T171">
        <f t="shared" si="82"/>
        <v>6</v>
      </c>
      <c r="U171">
        <v>1</v>
      </c>
      <c r="V171">
        <f t="shared" si="101"/>
        <v>702</v>
      </c>
      <c r="W171">
        <v>75</v>
      </c>
      <c r="X171">
        <f t="shared" si="65"/>
        <v>111</v>
      </c>
      <c r="Y171">
        <v>5000</v>
      </c>
      <c r="Z171">
        <f t="shared" si="83"/>
        <v>6</v>
      </c>
      <c r="AA171">
        <v>1</v>
      </c>
      <c r="AB171">
        <f t="shared" si="102"/>
        <v>701</v>
      </c>
      <c r="AC171">
        <v>71</v>
      </c>
      <c r="AD171">
        <f t="shared" si="66"/>
        <v>112</v>
      </c>
      <c r="AE171">
        <v>5000</v>
      </c>
      <c r="AF171">
        <f t="shared" si="84"/>
        <v>6</v>
      </c>
      <c r="AG171">
        <v>1</v>
      </c>
      <c r="AH171">
        <f t="shared" si="103"/>
        <v>702</v>
      </c>
      <c r="AI171">
        <v>77</v>
      </c>
      <c r="AJ171">
        <f t="shared" si="67"/>
        <v>113</v>
      </c>
      <c r="AP171" t="str">
        <f t="shared" si="85"/>
        <v>{5000,6,1,702,101}</v>
      </c>
      <c r="AQ171" t="str">
        <f t="shared" si="86"/>
        <v>{5000,6,1,701,103}</v>
      </c>
      <c r="AR171" t="str">
        <f t="shared" si="87"/>
        <v>{5000,6,1,702,111}</v>
      </c>
      <c r="AS171" t="str">
        <f t="shared" si="88"/>
        <v>{5000,6,1,701,112}</v>
      </c>
      <c r="AT171" t="str">
        <f t="shared" si="89"/>
        <v>{5000,6,1,702,113}</v>
      </c>
      <c r="AU171" t="str">
        <f t="shared" si="90"/>
        <v/>
      </c>
      <c r="AV171">
        <v>1727</v>
      </c>
      <c r="AW171" t="str">
        <f t="shared" si="105"/>
        <v>[{5000,6,1,702,101},{5000,6,1,701,103},{5000,6,1,702,111},{5000,6,1,701,112},{5000,6,1,702,113}]</v>
      </c>
    </row>
    <row r="172" spans="2:49">
      <c r="B172">
        <v>1728</v>
      </c>
      <c r="C172" t="s">
        <v>85</v>
      </c>
      <c r="D172" t="str">
        <f t="shared" si="81"/>
        <v>8</v>
      </c>
      <c r="F172">
        <v>241</v>
      </c>
      <c r="G172">
        <v>5000</v>
      </c>
      <c r="H172">
        <f t="shared" si="98"/>
        <v>7</v>
      </c>
      <c r="I172">
        <v>1</v>
      </c>
      <c r="J172">
        <v>3</v>
      </c>
      <c r="K172">
        <f t="shared" si="99"/>
        <v>703</v>
      </c>
      <c r="L172">
        <f t="shared" si="63"/>
        <v>101</v>
      </c>
      <c r="M172">
        <v>5000</v>
      </c>
      <c r="N172">
        <f t="shared" si="104"/>
        <v>7</v>
      </c>
      <c r="O172">
        <v>1</v>
      </c>
      <c r="P172">
        <f t="shared" si="100"/>
        <v>703</v>
      </c>
      <c r="Q172">
        <v>1</v>
      </c>
      <c r="R172">
        <f t="shared" si="64"/>
        <v>102</v>
      </c>
      <c r="S172">
        <v>5000</v>
      </c>
      <c r="T172">
        <f t="shared" si="82"/>
        <v>7</v>
      </c>
      <c r="U172">
        <v>1</v>
      </c>
      <c r="V172">
        <f t="shared" si="101"/>
        <v>703</v>
      </c>
      <c r="W172">
        <v>1</v>
      </c>
      <c r="X172">
        <f t="shared" si="65"/>
        <v>103</v>
      </c>
      <c r="Y172">
        <v>5000</v>
      </c>
      <c r="Z172">
        <f t="shared" si="83"/>
        <v>7</v>
      </c>
      <c r="AA172">
        <v>1</v>
      </c>
      <c r="AB172">
        <f t="shared" si="102"/>
        <v>703</v>
      </c>
      <c r="AC172">
        <v>1</v>
      </c>
      <c r="AD172">
        <f t="shared" si="66"/>
        <v>113</v>
      </c>
      <c r="AE172">
        <v>5000</v>
      </c>
      <c r="AF172">
        <f t="shared" si="84"/>
        <v>7</v>
      </c>
      <c r="AG172">
        <v>1</v>
      </c>
      <c r="AH172">
        <f t="shared" si="103"/>
        <v>703</v>
      </c>
      <c r="AI172">
        <v>1</v>
      </c>
      <c r="AJ172">
        <f t="shared" si="67"/>
        <v>111</v>
      </c>
      <c r="AP172" t="str">
        <f t="shared" si="85"/>
        <v>{5000,7,1,703,101}</v>
      </c>
      <c r="AQ172" t="str">
        <f t="shared" si="86"/>
        <v>{5000,7,1,703,102}</v>
      </c>
      <c r="AR172" t="str">
        <f t="shared" si="87"/>
        <v>{5000,7,1,703,103}</v>
      </c>
      <c r="AS172" t="str">
        <f t="shared" si="88"/>
        <v>{5000,7,1,703,113}</v>
      </c>
      <c r="AT172" t="str">
        <f t="shared" si="89"/>
        <v>{5000,7,1,703,111}</v>
      </c>
      <c r="AU172" t="str">
        <f t="shared" si="90"/>
        <v/>
      </c>
      <c r="AV172">
        <v>1728</v>
      </c>
      <c r="AW172" t="str">
        <f t="shared" si="105"/>
        <v>[{5000,7,1,703,101},{5000,7,1,703,102},{5000,7,1,703,103},{5000,7,1,703,113},{5000,7,1,703,111}]</v>
      </c>
    </row>
    <row r="173" spans="2:49">
      <c r="B173">
        <v>1729</v>
      </c>
      <c r="C173" t="s">
        <v>85</v>
      </c>
      <c r="D173" t="str">
        <f t="shared" si="81"/>
        <v>8</v>
      </c>
      <c r="F173">
        <v>256</v>
      </c>
      <c r="G173">
        <v>5000</v>
      </c>
      <c r="H173">
        <f t="shared" si="98"/>
        <v>6</v>
      </c>
      <c r="I173">
        <v>1</v>
      </c>
      <c r="J173">
        <v>2</v>
      </c>
      <c r="K173">
        <f t="shared" si="99"/>
        <v>702</v>
      </c>
      <c r="L173">
        <f t="shared" ref="L173:L221" si="106">IF(L151="","",L151)</f>
        <v>101</v>
      </c>
      <c r="M173">
        <v>5000</v>
      </c>
      <c r="N173">
        <f t="shared" si="104"/>
        <v>6</v>
      </c>
      <c r="O173">
        <v>1</v>
      </c>
      <c r="P173">
        <f t="shared" si="100"/>
        <v>702</v>
      </c>
      <c r="Q173">
        <v>59</v>
      </c>
      <c r="R173">
        <f t="shared" ref="R173:R221" si="107">IF(R151="","",R151)</f>
        <v>103</v>
      </c>
      <c r="S173">
        <v>5000</v>
      </c>
      <c r="T173">
        <f t="shared" si="82"/>
        <v>6</v>
      </c>
      <c r="U173">
        <v>1</v>
      </c>
      <c r="V173">
        <f t="shared" si="101"/>
        <v>702</v>
      </c>
      <c r="W173">
        <v>79</v>
      </c>
      <c r="X173">
        <f t="shared" ref="X173:X221" si="108">IF(X151="","",X151)</f>
        <v>111</v>
      </c>
      <c r="Y173">
        <v>5000</v>
      </c>
      <c r="Z173">
        <f t="shared" si="83"/>
        <v>6</v>
      </c>
      <c r="AA173">
        <v>1</v>
      </c>
      <c r="AB173">
        <f t="shared" si="102"/>
        <v>701</v>
      </c>
      <c r="AC173">
        <v>72</v>
      </c>
      <c r="AD173">
        <f t="shared" ref="AD173:AD221" si="109">IF(AD151="","",AD151)</f>
        <v>112</v>
      </c>
      <c r="AE173">
        <v>5000</v>
      </c>
      <c r="AF173">
        <f t="shared" si="84"/>
        <v>6</v>
      </c>
      <c r="AG173">
        <v>1</v>
      </c>
      <c r="AH173">
        <f t="shared" si="103"/>
        <v>702</v>
      </c>
      <c r="AI173">
        <v>74</v>
      </c>
      <c r="AJ173">
        <f t="shared" ref="AJ173:AJ221" si="110">IF(AJ151="","",AJ151)</f>
        <v>113</v>
      </c>
      <c r="AP173" t="str">
        <f t="shared" si="85"/>
        <v>{5000,6,1,702,101}</v>
      </c>
      <c r="AQ173" t="str">
        <f t="shared" si="86"/>
        <v>{5000,6,1,702,103}</v>
      </c>
      <c r="AR173" t="str">
        <f t="shared" si="87"/>
        <v>{5000,6,1,702,111}</v>
      </c>
      <c r="AS173" t="str">
        <f t="shared" si="88"/>
        <v>{5000,6,1,701,112}</v>
      </c>
      <c r="AT173" t="str">
        <f t="shared" si="89"/>
        <v>{5000,6,1,702,113}</v>
      </c>
      <c r="AU173" t="str">
        <f t="shared" si="90"/>
        <v/>
      </c>
      <c r="AV173">
        <v>1729</v>
      </c>
      <c r="AW173" t="str">
        <f t="shared" si="105"/>
        <v>[{5000,6,1,702,101},{5000,6,1,702,103},{5000,6,1,702,111},{5000,6,1,701,112},{5000,6,1,702,113}]</v>
      </c>
    </row>
    <row r="174" spans="2:49">
      <c r="B174">
        <v>1730</v>
      </c>
      <c r="C174" t="s">
        <v>85</v>
      </c>
      <c r="D174" t="str">
        <f t="shared" si="81"/>
        <v>8</v>
      </c>
      <c r="F174">
        <v>271</v>
      </c>
      <c r="G174">
        <v>5000</v>
      </c>
      <c r="H174">
        <f t="shared" si="98"/>
        <v>6</v>
      </c>
      <c r="I174">
        <v>1</v>
      </c>
      <c r="J174">
        <v>2</v>
      </c>
      <c r="K174">
        <f t="shared" si="99"/>
        <v>702</v>
      </c>
      <c r="L174">
        <f t="shared" si="106"/>
        <v>101</v>
      </c>
      <c r="M174">
        <v>5000</v>
      </c>
      <c r="N174">
        <f t="shared" si="104"/>
        <v>6</v>
      </c>
      <c r="O174">
        <v>1</v>
      </c>
      <c r="P174">
        <f t="shared" si="100"/>
        <v>702</v>
      </c>
      <c r="Q174">
        <v>54</v>
      </c>
      <c r="R174">
        <f t="shared" si="107"/>
        <v>102</v>
      </c>
      <c r="S174">
        <v>5000</v>
      </c>
      <c r="T174">
        <f t="shared" si="82"/>
        <v>6</v>
      </c>
      <c r="U174">
        <v>1</v>
      </c>
      <c r="V174">
        <f t="shared" si="101"/>
        <v>702</v>
      </c>
      <c r="W174">
        <v>56</v>
      </c>
      <c r="X174">
        <f t="shared" si="108"/>
        <v>103</v>
      </c>
      <c r="Y174">
        <v>5000</v>
      </c>
      <c r="Z174">
        <f t="shared" si="83"/>
        <v>6</v>
      </c>
      <c r="AA174">
        <v>1</v>
      </c>
      <c r="AB174">
        <f t="shared" si="102"/>
        <v>702</v>
      </c>
      <c r="AC174">
        <v>73</v>
      </c>
      <c r="AD174">
        <f t="shared" si="109"/>
        <v>113</v>
      </c>
      <c r="AE174">
        <v>5000</v>
      </c>
      <c r="AF174">
        <f t="shared" si="84"/>
        <v>6</v>
      </c>
      <c r="AG174">
        <v>1</v>
      </c>
      <c r="AH174">
        <f t="shared" si="103"/>
        <v>702</v>
      </c>
      <c r="AI174">
        <v>75</v>
      </c>
      <c r="AJ174">
        <f t="shared" si="110"/>
        <v>111</v>
      </c>
      <c r="AP174" t="str">
        <f t="shared" si="85"/>
        <v>{5000,6,1,702,101}</v>
      </c>
      <c r="AQ174" t="str">
        <f t="shared" si="86"/>
        <v>{5000,6,1,702,102}</v>
      </c>
      <c r="AR174" t="str">
        <f t="shared" si="87"/>
        <v>{5000,6,1,702,103}</v>
      </c>
      <c r="AS174" t="str">
        <f t="shared" si="88"/>
        <v>{5000,6,1,702,113}</v>
      </c>
      <c r="AT174" t="str">
        <f t="shared" si="89"/>
        <v>{5000,6,1,702,111}</v>
      </c>
      <c r="AU174" t="str">
        <f t="shared" si="90"/>
        <v/>
      </c>
      <c r="AV174">
        <v>1730</v>
      </c>
      <c r="AW174" t="str">
        <f t="shared" si="105"/>
        <v>[{5000,6,1,702,101},{5000,6,1,702,102},{5000,6,1,702,103},{5000,6,1,702,113},{5000,6,1,702,111}]</v>
      </c>
    </row>
    <row r="175" spans="2:49">
      <c r="B175">
        <v>1731</v>
      </c>
      <c r="C175" t="s">
        <v>85</v>
      </c>
      <c r="D175" t="str">
        <f t="shared" si="81"/>
        <v>8</v>
      </c>
      <c r="F175">
        <v>286</v>
      </c>
      <c r="G175">
        <v>5000</v>
      </c>
      <c r="H175">
        <f t="shared" si="98"/>
        <v>6</v>
      </c>
      <c r="I175">
        <v>1</v>
      </c>
      <c r="J175">
        <v>2</v>
      </c>
      <c r="K175">
        <f t="shared" si="99"/>
        <v>702</v>
      </c>
      <c r="L175">
        <f t="shared" si="106"/>
        <v>101</v>
      </c>
      <c r="M175">
        <v>5000</v>
      </c>
      <c r="N175">
        <f t="shared" si="104"/>
        <v>6</v>
      </c>
      <c r="O175">
        <v>1</v>
      </c>
      <c r="P175">
        <f t="shared" si="100"/>
        <v>702</v>
      </c>
      <c r="Q175">
        <v>53</v>
      </c>
      <c r="R175">
        <f t="shared" si="107"/>
        <v>103</v>
      </c>
      <c r="S175">
        <v>5000</v>
      </c>
      <c r="T175">
        <f t="shared" si="82"/>
        <v>6</v>
      </c>
      <c r="U175">
        <v>1</v>
      </c>
      <c r="V175">
        <f t="shared" si="101"/>
        <v>702</v>
      </c>
      <c r="W175">
        <v>59</v>
      </c>
      <c r="X175">
        <f t="shared" si="108"/>
        <v>111</v>
      </c>
      <c r="Y175">
        <v>5000</v>
      </c>
      <c r="Z175">
        <f t="shared" si="83"/>
        <v>6</v>
      </c>
      <c r="AA175">
        <v>1</v>
      </c>
      <c r="AB175">
        <f t="shared" si="102"/>
        <v>702</v>
      </c>
      <c r="AC175">
        <v>71</v>
      </c>
      <c r="AD175">
        <f t="shared" si="109"/>
        <v>112</v>
      </c>
      <c r="AE175">
        <v>5000</v>
      </c>
      <c r="AF175">
        <f t="shared" si="84"/>
        <v>6</v>
      </c>
      <c r="AG175">
        <v>1</v>
      </c>
      <c r="AH175">
        <f t="shared" si="103"/>
        <v>702</v>
      </c>
      <c r="AI175">
        <v>77</v>
      </c>
      <c r="AJ175">
        <f t="shared" si="110"/>
        <v>113</v>
      </c>
      <c r="AP175" t="str">
        <f t="shared" si="85"/>
        <v>{5000,6,1,702,101}</v>
      </c>
      <c r="AQ175" t="str">
        <f t="shared" si="86"/>
        <v>{5000,6,1,702,103}</v>
      </c>
      <c r="AR175" t="str">
        <f t="shared" si="87"/>
        <v>{5000,6,1,702,111}</v>
      </c>
      <c r="AS175" t="str">
        <f t="shared" si="88"/>
        <v>{5000,6,1,702,112}</v>
      </c>
      <c r="AT175" t="str">
        <f t="shared" si="89"/>
        <v>{5000,6,1,702,113}</v>
      </c>
      <c r="AU175" t="str">
        <f t="shared" si="90"/>
        <v/>
      </c>
      <c r="AV175">
        <v>1731</v>
      </c>
      <c r="AW175" t="str">
        <f t="shared" si="105"/>
        <v>[{5000,6,1,702,101},{5000,6,1,702,103},{5000,6,1,702,111},{5000,6,1,702,112},{5000,6,1,702,113}]</v>
      </c>
    </row>
    <row r="176" spans="2:49">
      <c r="B176">
        <v>1732</v>
      </c>
      <c r="C176" t="s">
        <v>85</v>
      </c>
      <c r="D176" t="str">
        <f t="shared" si="81"/>
        <v>8</v>
      </c>
      <c r="F176">
        <v>290</v>
      </c>
      <c r="G176">
        <v>5000</v>
      </c>
      <c r="H176">
        <f t="shared" si="98"/>
        <v>6</v>
      </c>
      <c r="I176">
        <v>1</v>
      </c>
      <c r="J176">
        <v>2</v>
      </c>
      <c r="K176">
        <f t="shared" si="99"/>
        <v>702</v>
      </c>
      <c r="L176">
        <f t="shared" si="106"/>
        <v>101</v>
      </c>
      <c r="M176">
        <v>5000</v>
      </c>
      <c r="N176">
        <f t="shared" si="104"/>
        <v>6</v>
      </c>
      <c r="O176">
        <v>1</v>
      </c>
      <c r="P176">
        <f t="shared" si="100"/>
        <v>702</v>
      </c>
      <c r="Q176">
        <v>56</v>
      </c>
      <c r="R176">
        <f t="shared" si="107"/>
        <v>102</v>
      </c>
      <c r="S176">
        <v>5000</v>
      </c>
      <c r="T176">
        <f t="shared" si="82"/>
        <v>6</v>
      </c>
      <c r="U176">
        <v>1</v>
      </c>
      <c r="V176">
        <f t="shared" si="101"/>
        <v>701</v>
      </c>
      <c r="W176">
        <v>77</v>
      </c>
      <c r="X176">
        <f t="shared" si="108"/>
        <v>103</v>
      </c>
      <c r="Y176">
        <v>5000</v>
      </c>
      <c r="Z176">
        <f t="shared" si="83"/>
        <v>6</v>
      </c>
      <c r="AA176">
        <v>1</v>
      </c>
      <c r="AB176">
        <f t="shared" si="102"/>
        <v>702</v>
      </c>
      <c r="AC176">
        <v>72</v>
      </c>
      <c r="AD176">
        <f t="shared" si="109"/>
        <v>113</v>
      </c>
      <c r="AE176">
        <v>5000</v>
      </c>
      <c r="AF176">
        <f t="shared" si="84"/>
        <v>6</v>
      </c>
      <c r="AG176">
        <v>1</v>
      </c>
      <c r="AH176">
        <f t="shared" si="103"/>
        <v>702</v>
      </c>
      <c r="AI176">
        <v>74</v>
      </c>
      <c r="AJ176">
        <f t="shared" si="110"/>
        <v>111</v>
      </c>
      <c r="AP176" t="str">
        <f t="shared" si="85"/>
        <v>{5000,6,1,702,101}</v>
      </c>
      <c r="AQ176" t="str">
        <f t="shared" si="86"/>
        <v>{5000,6,1,702,102}</v>
      </c>
      <c r="AR176" t="str">
        <f t="shared" si="87"/>
        <v>{5000,6,1,701,103}</v>
      </c>
      <c r="AS176" t="str">
        <f t="shared" si="88"/>
        <v>{5000,6,1,702,113}</v>
      </c>
      <c r="AT176" t="str">
        <f t="shared" si="89"/>
        <v>{5000,6,1,702,111}</v>
      </c>
      <c r="AU176" t="str">
        <f t="shared" si="90"/>
        <v/>
      </c>
      <c r="AV176">
        <v>1732</v>
      </c>
      <c r="AW176" t="str">
        <f t="shared" si="105"/>
        <v>[{5000,6,1,702,101},{5000,6,1,702,102},{5000,6,1,701,103},{5000,6,1,702,113},{5000,6,1,702,111}]</v>
      </c>
    </row>
    <row r="177" spans="2:49">
      <c r="B177">
        <v>1811</v>
      </c>
      <c r="C177" t="s">
        <v>86</v>
      </c>
      <c r="D177" s="4" t="str">
        <f t="shared" si="81"/>
        <v>9</v>
      </c>
      <c r="E177" s="4"/>
      <c r="F177">
        <v>1</v>
      </c>
      <c r="G177">
        <v>5000</v>
      </c>
      <c r="H177">
        <f t="shared" si="98"/>
        <v>1</v>
      </c>
      <c r="I177">
        <v>1</v>
      </c>
      <c r="J177">
        <v>1</v>
      </c>
      <c r="K177">
        <f t="shared" si="99"/>
        <v>801</v>
      </c>
      <c r="L177">
        <f t="shared" si="106"/>
        <v>101</v>
      </c>
      <c r="M177">
        <v>5000</v>
      </c>
      <c r="N177">
        <f t="shared" si="104"/>
        <v>1</v>
      </c>
      <c r="O177">
        <v>1</v>
      </c>
      <c r="P177">
        <f t="shared" si="100"/>
        <v>801</v>
      </c>
      <c r="Q177">
        <v>55</v>
      </c>
      <c r="R177">
        <f t="shared" si="107"/>
        <v>102</v>
      </c>
      <c r="S177">
        <v>5000</v>
      </c>
      <c r="T177">
        <f t="shared" si="82"/>
        <v>1</v>
      </c>
      <c r="U177">
        <v>1</v>
      </c>
      <c r="V177">
        <f t="shared" si="101"/>
        <v>801</v>
      </c>
      <c r="W177">
        <v>60</v>
      </c>
      <c r="X177">
        <f t="shared" si="108"/>
        <v>103</v>
      </c>
      <c r="Y177">
        <v>5000</v>
      </c>
      <c r="Z177">
        <f t="shared" si="83"/>
        <v>1</v>
      </c>
      <c r="AA177">
        <v>1</v>
      </c>
      <c r="AB177">
        <f t="shared" si="102"/>
        <v>801</v>
      </c>
      <c r="AC177">
        <v>71</v>
      </c>
      <c r="AD177">
        <f t="shared" si="109"/>
        <v>113</v>
      </c>
      <c r="AE177">
        <v>5000</v>
      </c>
      <c r="AF177">
        <f t="shared" si="84"/>
        <v>1</v>
      </c>
      <c r="AG177">
        <v>1</v>
      </c>
      <c r="AH177">
        <f t="shared" si="103"/>
        <v>801</v>
      </c>
      <c r="AI177">
        <v>76</v>
      </c>
      <c r="AJ177">
        <f t="shared" si="110"/>
        <v>111</v>
      </c>
      <c r="AP177" t="str">
        <f t="shared" si="85"/>
        <v>{5000,1,1,801,101}</v>
      </c>
      <c r="AQ177" t="str">
        <f t="shared" si="86"/>
        <v>{5000,1,1,801,102}</v>
      </c>
      <c r="AR177" t="str">
        <f t="shared" si="87"/>
        <v>{5000,1,1,801,103}</v>
      </c>
      <c r="AS177" t="str">
        <f t="shared" si="88"/>
        <v>{5000,1,1,801,113}</v>
      </c>
      <c r="AT177" t="str">
        <f t="shared" si="89"/>
        <v>{5000,1,1,801,111}</v>
      </c>
      <c r="AU177" t="str">
        <f t="shared" si="90"/>
        <v/>
      </c>
      <c r="AV177">
        <v>1811</v>
      </c>
      <c r="AW177" t="str">
        <f t="shared" si="105"/>
        <v>[{5000,1,1,801,101},{5000,1,1,801,102},{5000,1,1,801,103},{5000,1,1,801,113},{5000,1,1,801,111}]</v>
      </c>
    </row>
    <row r="178" spans="2:49">
      <c r="B178">
        <v>1812</v>
      </c>
      <c r="C178" t="s">
        <v>86</v>
      </c>
      <c r="D178" t="str">
        <f t="shared" si="81"/>
        <v>9</v>
      </c>
      <c r="F178">
        <v>16</v>
      </c>
      <c r="G178">
        <v>5000</v>
      </c>
      <c r="H178">
        <f t="shared" si="98"/>
        <v>1</v>
      </c>
      <c r="I178">
        <v>1</v>
      </c>
      <c r="J178">
        <v>1</v>
      </c>
      <c r="K178">
        <f t="shared" ref="K178:K199" si="111">IF($J178="","",K156+100)</f>
        <v>801</v>
      </c>
      <c r="L178">
        <f t="shared" si="106"/>
        <v>101</v>
      </c>
      <c r="M178">
        <v>5000</v>
      </c>
      <c r="N178">
        <f t="shared" si="104"/>
        <v>1</v>
      </c>
      <c r="O178">
        <v>1</v>
      </c>
      <c r="P178">
        <f t="shared" ref="P178:P199" si="112">IF($J178="","",P156+100)</f>
        <v>801</v>
      </c>
      <c r="Q178">
        <v>55</v>
      </c>
      <c r="R178">
        <f t="shared" si="107"/>
        <v>103</v>
      </c>
      <c r="S178">
        <v>5000</v>
      </c>
      <c r="T178">
        <f t="shared" si="82"/>
        <v>1</v>
      </c>
      <c r="U178">
        <v>1</v>
      </c>
      <c r="V178">
        <f t="shared" ref="V178:V199" si="113">IF($J178="","",V156+100)</f>
        <v>801</v>
      </c>
      <c r="W178">
        <v>75</v>
      </c>
      <c r="X178">
        <f t="shared" si="108"/>
        <v>111</v>
      </c>
      <c r="Y178">
        <v>5000</v>
      </c>
      <c r="Z178">
        <f t="shared" si="83"/>
        <v>1</v>
      </c>
      <c r="AA178">
        <v>1</v>
      </c>
      <c r="AB178">
        <f t="shared" ref="AB178:AB199" si="114">IF($J178="","",AB156+100)</f>
        <v>801</v>
      </c>
      <c r="AC178">
        <v>73</v>
      </c>
      <c r="AD178">
        <f t="shared" si="109"/>
        <v>112</v>
      </c>
      <c r="AE178">
        <v>5000</v>
      </c>
      <c r="AF178">
        <f t="shared" si="84"/>
        <v>1</v>
      </c>
      <c r="AG178">
        <v>1</v>
      </c>
      <c r="AH178">
        <f t="shared" ref="AH178:AH199" si="115">IF($J178="","",AH156+100)</f>
        <v>801</v>
      </c>
      <c r="AI178">
        <v>78</v>
      </c>
      <c r="AJ178">
        <f t="shared" si="110"/>
        <v>113</v>
      </c>
      <c r="AP178" t="str">
        <f t="shared" si="85"/>
        <v>{5000,1,1,801,101}</v>
      </c>
      <c r="AQ178" t="str">
        <f t="shared" si="86"/>
        <v>{5000,1,1,801,103}</v>
      </c>
      <c r="AR178" t="str">
        <f t="shared" si="87"/>
        <v>{5000,1,1,801,111}</v>
      </c>
      <c r="AS178" t="str">
        <f t="shared" si="88"/>
        <v>{5000,1,1,801,112}</v>
      </c>
      <c r="AT178" t="str">
        <f t="shared" si="89"/>
        <v>{5000,1,1,801,113}</v>
      </c>
      <c r="AU178" t="str">
        <f t="shared" si="90"/>
        <v/>
      </c>
      <c r="AV178">
        <v>1812</v>
      </c>
      <c r="AW178" t="str">
        <f t="shared" si="105"/>
        <v>[{5000,1,1,801,101},{5000,1,1,801,103},{5000,1,1,801,111},{5000,1,1,801,112},{5000,1,1,801,113}]</v>
      </c>
    </row>
    <row r="179" spans="2:49">
      <c r="B179">
        <v>1813</v>
      </c>
      <c r="C179" t="s">
        <v>86</v>
      </c>
      <c r="D179" t="str">
        <f t="shared" si="81"/>
        <v>9</v>
      </c>
      <c r="F179">
        <v>31</v>
      </c>
      <c r="G179">
        <v>5000</v>
      </c>
      <c r="H179">
        <f t="shared" si="98"/>
        <v>2</v>
      </c>
      <c r="I179">
        <v>1</v>
      </c>
      <c r="J179">
        <v>1</v>
      </c>
      <c r="K179">
        <f t="shared" si="111"/>
        <v>801</v>
      </c>
      <c r="L179">
        <f t="shared" si="106"/>
        <v>101</v>
      </c>
      <c r="M179">
        <v>5000</v>
      </c>
      <c r="N179">
        <f t="shared" si="104"/>
        <v>2</v>
      </c>
      <c r="O179">
        <v>1</v>
      </c>
      <c r="P179">
        <f t="shared" si="112"/>
        <v>801</v>
      </c>
      <c r="Q179">
        <v>55</v>
      </c>
      <c r="R179">
        <f t="shared" si="107"/>
        <v>102</v>
      </c>
      <c r="S179">
        <v>5000</v>
      </c>
      <c r="T179">
        <f t="shared" si="82"/>
        <v>2</v>
      </c>
      <c r="U179">
        <v>1</v>
      </c>
      <c r="V179">
        <f t="shared" si="113"/>
        <v>801</v>
      </c>
      <c r="W179">
        <v>58</v>
      </c>
      <c r="X179">
        <f t="shared" si="108"/>
        <v>103</v>
      </c>
      <c r="Y179">
        <v>5000</v>
      </c>
      <c r="Z179">
        <f t="shared" si="83"/>
        <v>2</v>
      </c>
      <c r="AA179">
        <v>1</v>
      </c>
      <c r="AB179">
        <f t="shared" si="114"/>
        <v>801</v>
      </c>
      <c r="AC179">
        <v>76</v>
      </c>
      <c r="AD179">
        <f t="shared" si="109"/>
        <v>113</v>
      </c>
      <c r="AE179">
        <v>5000</v>
      </c>
      <c r="AF179">
        <f t="shared" si="84"/>
        <v>2</v>
      </c>
      <c r="AG179">
        <v>1</v>
      </c>
      <c r="AH179">
        <f t="shared" si="115"/>
        <v>801</v>
      </c>
      <c r="AI179">
        <v>79</v>
      </c>
      <c r="AJ179">
        <f t="shared" si="110"/>
        <v>111</v>
      </c>
      <c r="AP179" t="str">
        <f t="shared" si="85"/>
        <v>{5000,2,1,801,101}</v>
      </c>
      <c r="AQ179" t="str">
        <f t="shared" si="86"/>
        <v>{5000,2,1,801,102}</v>
      </c>
      <c r="AR179" t="str">
        <f t="shared" si="87"/>
        <v>{5000,2,1,801,103}</v>
      </c>
      <c r="AS179" t="str">
        <f t="shared" si="88"/>
        <v>{5000,2,1,801,113}</v>
      </c>
      <c r="AT179" t="str">
        <f t="shared" si="89"/>
        <v>{5000,2,1,801,111}</v>
      </c>
      <c r="AU179" t="str">
        <f t="shared" si="90"/>
        <v/>
      </c>
      <c r="AV179">
        <v>1813</v>
      </c>
      <c r="AW179" t="str">
        <f t="shared" si="105"/>
        <v>[{5000,2,1,801,101},{5000,2,1,801,102},{5000,2,1,801,103},{5000,2,1,801,113},{5000,2,1,801,111}]</v>
      </c>
    </row>
    <row r="180" spans="2:49">
      <c r="B180">
        <v>1814</v>
      </c>
      <c r="C180" t="s">
        <v>86</v>
      </c>
      <c r="D180" t="str">
        <f t="shared" si="81"/>
        <v>9</v>
      </c>
      <c r="F180">
        <v>46</v>
      </c>
      <c r="G180">
        <v>5000</v>
      </c>
      <c r="H180">
        <f t="shared" si="98"/>
        <v>2</v>
      </c>
      <c r="I180">
        <v>1</v>
      </c>
      <c r="J180">
        <v>1</v>
      </c>
      <c r="K180">
        <f t="shared" si="111"/>
        <v>801</v>
      </c>
      <c r="L180">
        <f t="shared" si="106"/>
        <v>101</v>
      </c>
      <c r="M180">
        <v>5000</v>
      </c>
      <c r="N180">
        <f t="shared" si="104"/>
        <v>2</v>
      </c>
      <c r="O180">
        <v>1</v>
      </c>
      <c r="P180">
        <f t="shared" si="112"/>
        <v>801</v>
      </c>
      <c r="Q180">
        <v>55</v>
      </c>
      <c r="R180">
        <f t="shared" si="107"/>
        <v>103</v>
      </c>
      <c r="S180">
        <v>5000</v>
      </c>
      <c r="T180">
        <f t="shared" si="82"/>
        <v>2</v>
      </c>
      <c r="U180">
        <v>1</v>
      </c>
      <c r="V180">
        <f t="shared" si="113"/>
        <v>802</v>
      </c>
      <c r="W180">
        <v>76</v>
      </c>
      <c r="X180">
        <f t="shared" si="108"/>
        <v>111</v>
      </c>
      <c r="Y180">
        <v>5000</v>
      </c>
      <c r="Z180">
        <f t="shared" si="83"/>
        <v>2</v>
      </c>
      <c r="AA180">
        <v>1</v>
      </c>
      <c r="AB180">
        <f t="shared" si="114"/>
        <v>801</v>
      </c>
      <c r="AC180">
        <v>71</v>
      </c>
      <c r="AD180">
        <f t="shared" si="109"/>
        <v>112</v>
      </c>
      <c r="AE180">
        <v>5000</v>
      </c>
      <c r="AF180">
        <f t="shared" si="84"/>
        <v>2</v>
      </c>
      <c r="AG180">
        <v>1</v>
      </c>
      <c r="AH180">
        <f t="shared" si="115"/>
        <v>801</v>
      </c>
      <c r="AI180">
        <v>71</v>
      </c>
      <c r="AJ180">
        <f t="shared" si="110"/>
        <v>113</v>
      </c>
      <c r="AP180" t="str">
        <f t="shared" si="85"/>
        <v>{5000,2,1,801,101}</v>
      </c>
      <c r="AQ180" t="str">
        <f t="shared" si="86"/>
        <v>{5000,2,1,801,103}</v>
      </c>
      <c r="AR180" t="str">
        <f t="shared" si="87"/>
        <v>{5000,2,1,802,111}</v>
      </c>
      <c r="AS180" t="str">
        <f t="shared" si="88"/>
        <v>{5000,2,1,801,112}</v>
      </c>
      <c r="AT180" t="str">
        <f t="shared" si="89"/>
        <v>{5000,2,1,801,113}</v>
      </c>
      <c r="AU180" t="str">
        <f t="shared" si="90"/>
        <v/>
      </c>
      <c r="AV180">
        <v>1814</v>
      </c>
      <c r="AW180" t="str">
        <f t="shared" si="105"/>
        <v>[{5000,2,1,801,101},{5000,2,1,801,103},{5000,2,1,802,111},{5000,2,1,801,112},{5000,2,1,801,113}]</v>
      </c>
    </row>
    <row r="181" spans="2:49">
      <c r="B181">
        <v>1815</v>
      </c>
      <c r="C181" t="s">
        <v>86</v>
      </c>
      <c r="D181" t="str">
        <f t="shared" si="81"/>
        <v>9</v>
      </c>
      <c r="F181">
        <v>61</v>
      </c>
      <c r="G181">
        <v>5000</v>
      </c>
      <c r="H181">
        <f t="shared" si="98"/>
        <v>4</v>
      </c>
      <c r="I181">
        <v>1</v>
      </c>
      <c r="J181">
        <v>3</v>
      </c>
      <c r="K181">
        <f t="shared" si="111"/>
        <v>803</v>
      </c>
      <c r="L181">
        <f t="shared" si="106"/>
        <v>101</v>
      </c>
      <c r="M181">
        <v>5000</v>
      </c>
      <c r="N181">
        <f t="shared" si="104"/>
        <v>4</v>
      </c>
      <c r="O181">
        <v>1</v>
      </c>
      <c r="P181">
        <f t="shared" si="112"/>
        <v>803</v>
      </c>
      <c r="Q181">
        <v>56</v>
      </c>
      <c r="R181">
        <f t="shared" si="107"/>
        <v>102</v>
      </c>
      <c r="S181">
        <v>5000</v>
      </c>
      <c r="T181">
        <f t="shared" si="82"/>
        <v>4</v>
      </c>
      <c r="U181">
        <v>1</v>
      </c>
      <c r="V181">
        <f t="shared" si="113"/>
        <v>803</v>
      </c>
      <c r="W181">
        <v>57</v>
      </c>
      <c r="X181">
        <f t="shared" si="108"/>
        <v>103</v>
      </c>
      <c r="Y181">
        <v>5000</v>
      </c>
      <c r="Z181">
        <f t="shared" si="83"/>
        <v>4</v>
      </c>
      <c r="AA181">
        <v>1</v>
      </c>
      <c r="AB181">
        <f t="shared" si="114"/>
        <v>803</v>
      </c>
      <c r="AC181">
        <v>72</v>
      </c>
      <c r="AD181">
        <f t="shared" si="109"/>
        <v>113</v>
      </c>
      <c r="AE181">
        <v>5000</v>
      </c>
      <c r="AF181">
        <f t="shared" si="84"/>
        <v>4</v>
      </c>
      <c r="AG181">
        <v>1</v>
      </c>
      <c r="AH181">
        <f t="shared" si="115"/>
        <v>803</v>
      </c>
      <c r="AI181">
        <v>71</v>
      </c>
      <c r="AJ181">
        <f t="shared" si="110"/>
        <v>111</v>
      </c>
      <c r="AP181" t="str">
        <f t="shared" si="85"/>
        <v>{5000,4,1,803,101}</v>
      </c>
      <c r="AQ181" t="str">
        <f t="shared" si="86"/>
        <v>{5000,4,1,803,102}</v>
      </c>
      <c r="AR181" t="str">
        <f t="shared" si="87"/>
        <v>{5000,4,1,803,103}</v>
      </c>
      <c r="AS181" t="str">
        <f t="shared" si="88"/>
        <v>{5000,4,1,803,113}</v>
      </c>
      <c r="AT181" t="str">
        <f t="shared" si="89"/>
        <v>{5000,4,1,803,111}</v>
      </c>
      <c r="AU181" t="str">
        <f t="shared" si="90"/>
        <v/>
      </c>
      <c r="AV181">
        <v>1815</v>
      </c>
      <c r="AW181" t="str">
        <f t="shared" si="105"/>
        <v>[{5000,4,1,803,101},{5000,4,1,803,102},{5000,4,1,803,103},{5000,4,1,803,113},{5000,4,1,803,111}]</v>
      </c>
    </row>
    <row r="182" spans="2:49">
      <c r="B182">
        <v>1816</v>
      </c>
      <c r="C182" t="s">
        <v>86</v>
      </c>
      <c r="D182" t="str">
        <f t="shared" si="81"/>
        <v>9</v>
      </c>
      <c r="F182">
        <v>76</v>
      </c>
      <c r="G182">
        <v>5000</v>
      </c>
      <c r="H182">
        <f t="shared" si="98"/>
        <v>3</v>
      </c>
      <c r="I182">
        <v>1</v>
      </c>
      <c r="J182">
        <v>1</v>
      </c>
      <c r="K182">
        <f t="shared" si="111"/>
        <v>801</v>
      </c>
      <c r="L182">
        <f t="shared" si="106"/>
        <v>101</v>
      </c>
      <c r="M182">
        <v>5000</v>
      </c>
      <c r="N182">
        <f t="shared" si="104"/>
        <v>3</v>
      </c>
      <c r="O182">
        <v>1</v>
      </c>
      <c r="P182">
        <f t="shared" si="112"/>
        <v>801</v>
      </c>
      <c r="Q182">
        <v>59</v>
      </c>
      <c r="R182">
        <f t="shared" si="107"/>
        <v>103</v>
      </c>
      <c r="S182">
        <v>5000</v>
      </c>
      <c r="T182">
        <f t="shared" si="82"/>
        <v>3</v>
      </c>
      <c r="U182">
        <v>1</v>
      </c>
      <c r="V182">
        <f t="shared" si="113"/>
        <v>802</v>
      </c>
      <c r="W182">
        <v>71</v>
      </c>
      <c r="X182">
        <f t="shared" si="108"/>
        <v>111</v>
      </c>
      <c r="Y182">
        <v>5000</v>
      </c>
      <c r="Z182">
        <f t="shared" si="83"/>
        <v>3</v>
      </c>
      <c r="AA182">
        <v>1</v>
      </c>
      <c r="AB182">
        <f t="shared" si="114"/>
        <v>801</v>
      </c>
      <c r="AC182">
        <v>71</v>
      </c>
      <c r="AD182">
        <f t="shared" si="109"/>
        <v>112</v>
      </c>
      <c r="AE182">
        <v>5000</v>
      </c>
      <c r="AF182">
        <f t="shared" si="84"/>
        <v>3</v>
      </c>
      <c r="AG182">
        <v>1</v>
      </c>
      <c r="AH182">
        <f t="shared" si="115"/>
        <v>801</v>
      </c>
      <c r="AI182">
        <v>79</v>
      </c>
      <c r="AJ182">
        <f t="shared" si="110"/>
        <v>113</v>
      </c>
      <c r="AP182" t="str">
        <f t="shared" si="85"/>
        <v>{5000,3,1,801,101}</v>
      </c>
      <c r="AQ182" t="str">
        <f t="shared" si="86"/>
        <v>{5000,3,1,801,103}</v>
      </c>
      <c r="AR182" t="str">
        <f t="shared" si="87"/>
        <v>{5000,3,1,802,111}</v>
      </c>
      <c r="AS182" t="str">
        <f t="shared" si="88"/>
        <v>{5000,3,1,801,112}</v>
      </c>
      <c r="AT182" t="str">
        <f t="shared" si="89"/>
        <v>{5000,3,1,801,113}</v>
      </c>
      <c r="AU182" t="str">
        <f t="shared" si="90"/>
        <v/>
      </c>
      <c r="AV182">
        <v>1816</v>
      </c>
      <c r="AW182" t="str">
        <f t="shared" si="105"/>
        <v>[{5000,3,1,801,101},{5000,3,1,801,103},{5000,3,1,802,111},{5000,3,1,801,112},{5000,3,1,801,113}]</v>
      </c>
    </row>
    <row r="183" spans="2:49">
      <c r="B183">
        <v>1817</v>
      </c>
      <c r="C183" t="s">
        <v>86</v>
      </c>
      <c r="D183" t="str">
        <f t="shared" si="81"/>
        <v>9</v>
      </c>
      <c r="F183">
        <v>91</v>
      </c>
      <c r="G183">
        <v>5000</v>
      </c>
      <c r="H183">
        <f t="shared" si="98"/>
        <v>3</v>
      </c>
      <c r="I183">
        <v>1</v>
      </c>
      <c r="J183">
        <v>1</v>
      </c>
      <c r="K183">
        <f t="shared" si="111"/>
        <v>801</v>
      </c>
      <c r="L183">
        <f t="shared" si="106"/>
        <v>101</v>
      </c>
      <c r="M183">
        <v>5000</v>
      </c>
      <c r="N183">
        <f t="shared" si="104"/>
        <v>3</v>
      </c>
      <c r="O183">
        <v>1</v>
      </c>
      <c r="P183">
        <f t="shared" si="112"/>
        <v>801</v>
      </c>
      <c r="Q183">
        <v>54</v>
      </c>
      <c r="R183">
        <f t="shared" si="107"/>
        <v>102</v>
      </c>
      <c r="S183">
        <v>5000</v>
      </c>
      <c r="T183">
        <f t="shared" si="82"/>
        <v>3</v>
      </c>
      <c r="U183">
        <v>1</v>
      </c>
      <c r="V183">
        <f t="shared" si="113"/>
        <v>802</v>
      </c>
      <c r="W183">
        <v>51</v>
      </c>
      <c r="X183">
        <f t="shared" si="108"/>
        <v>103</v>
      </c>
      <c r="Y183">
        <v>5000</v>
      </c>
      <c r="Z183">
        <f t="shared" si="83"/>
        <v>3</v>
      </c>
      <c r="AA183">
        <v>1</v>
      </c>
      <c r="AB183">
        <f t="shared" si="114"/>
        <v>801</v>
      </c>
      <c r="AC183">
        <v>71</v>
      </c>
      <c r="AD183">
        <f t="shared" si="109"/>
        <v>113</v>
      </c>
      <c r="AE183">
        <v>5000</v>
      </c>
      <c r="AF183">
        <f t="shared" si="84"/>
        <v>3</v>
      </c>
      <c r="AG183">
        <v>1</v>
      </c>
      <c r="AH183">
        <f t="shared" si="115"/>
        <v>802</v>
      </c>
      <c r="AI183">
        <v>77</v>
      </c>
      <c r="AJ183">
        <f t="shared" si="110"/>
        <v>111</v>
      </c>
      <c r="AP183" t="str">
        <f t="shared" si="85"/>
        <v>{5000,3,1,801,101}</v>
      </c>
      <c r="AQ183" t="str">
        <f t="shared" si="86"/>
        <v>{5000,3,1,801,102}</v>
      </c>
      <c r="AR183" t="str">
        <f t="shared" si="87"/>
        <v>{5000,3,1,802,103}</v>
      </c>
      <c r="AS183" t="str">
        <f t="shared" si="88"/>
        <v>{5000,3,1,801,113}</v>
      </c>
      <c r="AT183" t="str">
        <f t="shared" si="89"/>
        <v>{5000,3,1,802,111}</v>
      </c>
      <c r="AU183" t="str">
        <f t="shared" si="90"/>
        <v/>
      </c>
      <c r="AV183">
        <v>1817</v>
      </c>
      <c r="AW183" t="str">
        <f t="shared" si="105"/>
        <v>[{5000,3,1,801,101},{5000,3,1,801,102},{5000,3,1,802,103},{5000,3,1,801,113},{5000,3,1,802,111}]</v>
      </c>
    </row>
    <row r="184" spans="2:49">
      <c r="B184">
        <v>1818</v>
      </c>
      <c r="C184" t="s">
        <v>86</v>
      </c>
      <c r="D184" t="str">
        <f t="shared" si="81"/>
        <v>9</v>
      </c>
      <c r="F184">
        <v>106</v>
      </c>
      <c r="G184">
        <v>5000</v>
      </c>
      <c r="H184">
        <f t="shared" si="98"/>
        <v>3</v>
      </c>
      <c r="I184">
        <v>1</v>
      </c>
      <c r="J184">
        <v>1</v>
      </c>
      <c r="K184">
        <f t="shared" si="111"/>
        <v>801</v>
      </c>
      <c r="L184">
        <f t="shared" si="106"/>
        <v>101</v>
      </c>
      <c r="M184">
        <v>5000</v>
      </c>
      <c r="N184">
        <f t="shared" si="104"/>
        <v>3</v>
      </c>
      <c r="O184">
        <v>1</v>
      </c>
      <c r="P184">
        <f t="shared" si="112"/>
        <v>801</v>
      </c>
      <c r="Q184">
        <v>55</v>
      </c>
      <c r="R184">
        <f t="shared" si="107"/>
        <v>103</v>
      </c>
      <c r="S184">
        <v>5000</v>
      </c>
      <c r="T184">
        <f t="shared" si="82"/>
        <v>3</v>
      </c>
      <c r="U184">
        <v>1</v>
      </c>
      <c r="V184">
        <f t="shared" si="113"/>
        <v>802</v>
      </c>
      <c r="W184">
        <v>73</v>
      </c>
      <c r="X184">
        <f t="shared" si="108"/>
        <v>111</v>
      </c>
      <c r="Y184">
        <v>5000</v>
      </c>
      <c r="Z184">
        <f t="shared" si="83"/>
        <v>3</v>
      </c>
      <c r="AA184">
        <v>1</v>
      </c>
      <c r="AB184">
        <f t="shared" si="114"/>
        <v>801</v>
      </c>
      <c r="AC184">
        <v>78</v>
      </c>
      <c r="AD184">
        <f t="shared" si="109"/>
        <v>112</v>
      </c>
      <c r="AE184">
        <v>5000</v>
      </c>
      <c r="AF184">
        <f t="shared" si="84"/>
        <v>3</v>
      </c>
      <c r="AG184">
        <v>1</v>
      </c>
      <c r="AH184">
        <f t="shared" si="115"/>
        <v>802</v>
      </c>
      <c r="AI184">
        <v>71</v>
      </c>
      <c r="AJ184">
        <f t="shared" si="110"/>
        <v>113</v>
      </c>
      <c r="AP184" t="str">
        <f t="shared" si="85"/>
        <v>{5000,3,1,801,101}</v>
      </c>
      <c r="AQ184" t="str">
        <f t="shared" si="86"/>
        <v>{5000,3,1,801,103}</v>
      </c>
      <c r="AR184" t="str">
        <f t="shared" si="87"/>
        <v>{5000,3,1,802,111}</v>
      </c>
      <c r="AS184" t="str">
        <f t="shared" si="88"/>
        <v>{5000,3,1,801,112}</v>
      </c>
      <c r="AT184" t="str">
        <f t="shared" si="89"/>
        <v>{5000,3,1,802,113}</v>
      </c>
      <c r="AU184" t="str">
        <f t="shared" si="90"/>
        <v/>
      </c>
      <c r="AV184">
        <v>1818</v>
      </c>
      <c r="AW184" t="str">
        <f t="shared" si="105"/>
        <v>[{5000,3,1,801,101},{5000,3,1,801,103},{5000,3,1,802,111},{5000,3,1,801,112},{5000,3,1,802,113}]</v>
      </c>
    </row>
    <row r="185" spans="2:49">
      <c r="B185">
        <v>1819</v>
      </c>
      <c r="C185" t="s">
        <v>86</v>
      </c>
      <c r="D185" t="str">
        <f t="shared" si="81"/>
        <v>9</v>
      </c>
      <c r="F185">
        <v>121</v>
      </c>
      <c r="G185">
        <v>5000</v>
      </c>
      <c r="H185">
        <f t="shared" si="98"/>
        <v>5</v>
      </c>
      <c r="I185">
        <v>1</v>
      </c>
      <c r="J185">
        <v>3</v>
      </c>
      <c r="K185">
        <f t="shared" si="111"/>
        <v>803</v>
      </c>
      <c r="L185">
        <f t="shared" si="106"/>
        <v>101</v>
      </c>
      <c r="M185">
        <v>5000</v>
      </c>
      <c r="N185">
        <f t="shared" si="104"/>
        <v>5</v>
      </c>
      <c r="O185">
        <v>1</v>
      </c>
      <c r="P185">
        <f t="shared" si="112"/>
        <v>803</v>
      </c>
      <c r="Q185">
        <v>54</v>
      </c>
      <c r="R185">
        <f t="shared" si="107"/>
        <v>102</v>
      </c>
      <c r="S185">
        <v>5000</v>
      </c>
      <c r="T185">
        <f t="shared" si="82"/>
        <v>5</v>
      </c>
      <c r="U185">
        <v>1</v>
      </c>
      <c r="V185">
        <f t="shared" si="113"/>
        <v>803</v>
      </c>
      <c r="W185">
        <v>51</v>
      </c>
      <c r="X185">
        <f t="shared" si="108"/>
        <v>103</v>
      </c>
      <c r="Y185">
        <v>5000</v>
      </c>
      <c r="Z185">
        <f t="shared" si="83"/>
        <v>5</v>
      </c>
      <c r="AA185">
        <v>1</v>
      </c>
      <c r="AB185">
        <f t="shared" si="114"/>
        <v>803</v>
      </c>
      <c r="AC185">
        <v>71</v>
      </c>
      <c r="AD185">
        <f t="shared" si="109"/>
        <v>113</v>
      </c>
      <c r="AE185">
        <v>5000</v>
      </c>
      <c r="AF185">
        <f t="shared" si="84"/>
        <v>5</v>
      </c>
      <c r="AG185">
        <v>1</v>
      </c>
      <c r="AH185">
        <f t="shared" si="115"/>
        <v>803</v>
      </c>
      <c r="AI185">
        <v>79</v>
      </c>
      <c r="AJ185">
        <f t="shared" si="110"/>
        <v>111</v>
      </c>
      <c r="AP185" t="str">
        <f t="shared" si="85"/>
        <v>{5000,5,1,803,101}</v>
      </c>
      <c r="AQ185" t="str">
        <f t="shared" si="86"/>
        <v>{5000,5,1,803,102}</v>
      </c>
      <c r="AR185" t="str">
        <f t="shared" si="87"/>
        <v>{5000,5,1,803,103}</v>
      </c>
      <c r="AS185" t="str">
        <f t="shared" si="88"/>
        <v>{5000,5,1,803,113}</v>
      </c>
      <c r="AT185" t="str">
        <f t="shared" si="89"/>
        <v>{5000,5,1,803,111}</v>
      </c>
      <c r="AU185" t="str">
        <f t="shared" si="90"/>
        <v/>
      </c>
      <c r="AV185">
        <v>1819</v>
      </c>
      <c r="AW185" t="str">
        <f t="shared" si="105"/>
        <v>[{5000,5,1,803,101},{5000,5,1,803,102},{5000,5,1,803,103},{5000,5,1,803,113},{5000,5,1,803,111}]</v>
      </c>
    </row>
    <row r="186" spans="2:49">
      <c r="B186">
        <v>1820</v>
      </c>
      <c r="C186" t="s">
        <v>86</v>
      </c>
      <c r="D186" t="str">
        <f t="shared" si="81"/>
        <v>9</v>
      </c>
      <c r="F186">
        <v>136</v>
      </c>
      <c r="G186">
        <v>5000</v>
      </c>
      <c r="H186">
        <f t="shared" si="98"/>
        <v>4</v>
      </c>
      <c r="I186">
        <v>1</v>
      </c>
      <c r="J186">
        <v>1</v>
      </c>
      <c r="K186">
        <f t="shared" si="111"/>
        <v>801</v>
      </c>
      <c r="L186">
        <f t="shared" si="106"/>
        <v>101</v>
      </c>
      <c r="M186">
        <v>5000</v>
      </c>
      <c r="N186">
        <f t="shared" si="104"/>
        <v>4</v>
      </c>
      <c r="O186">
        <v>1</v>
      </c>
      <c r="P186">
        <f t="shared" si="112"/>
        <v>801</v>
      </c>
      <c r="Q186">
        <v>54</v>
      </c>
      <c r="R186">
        <f t="shared" si="107"/>
        <v>103</v>
      </c>
      <c r="S186">
        <v>5000</v>
      </c>
      <c r="T186">
        <f t="shared" si="82"/>
        <v>4</v>
      </c>
      <c r="U186">
        <v>1</v>
      </c>
      <c r="V186">
        <f t="shared" si="113"/>
        <v>802</v>
      </c>
      <c r="W186">
        <v>76</v>
      </c>
      <c r="X186">
        <f t="shared" si="108"/>
        <v>111</v>
      </c>
      <c r="Y186">
        <v>5000</v>
      </c>
      <c r="Z186">
        <f t="shared" si="83"/>
        <v>4</v>
      </c>
      <c r="AA186">
        <v>1</v>
      </c>
      <c r="AB186">
        <f t="shared" si="114"/>
        <v>801</v>
      </c>
      <c r="AC186">
        <v>72</v>
      </c>
      <c r="AD186">
        <f t="shared" si="109"/>
        <v>112</v>
      </c>
      <c r="AE186">
        <v>5000</v>
      </c>
      <c r="AF186">
        <f t="shared" si="84"/>
        <v>4</v>
      </c>
      <c r="AG186">
        <v>1</v>
      </c>
      <c r="AH186">
        <f t="shared" si="115"/>
        <v>802</v>
      </c>
      <c r="AI186">
        <v>74</v>
      </c>
      <c r="AJ186">
        <f t="shared" si="110"/>
        <v>113</v>
      </c>
      <c r="AP186" t="str">
        <f t="shared" si="85"/>
        <v>{5000,4,1,801,101}</v>
      </c>
      <c r="AQ186" t="str">
        <f t="shared" si="86"/>
        <v>{5000,4,1,801,103}</v>
      </c>
      <c r="AR186" t="str">
        <f t="shared" si="87"/>
        <v>{5000,4,1,802,111}</v>
      </c>
      <c r="AS186" t="str">
        <f t="shared" si="88"/>
        <v>{5000,4,1,801,112}</v>
      </c>
      <c r="AT186" t="str">
        <f t="shared" si="89"/>
        <v>{5000,4,1,802,113}</v>
      </c>
      <c r="AU186" t="str">
        <f t="shared" si="90"/>
        <v/>
      </c>
      <c r="AV186">
        <v>1820</v>
      </c>
      <c r="AW186" t="str">
        <f t="shared" si="105"/>
        <v>[{5000,4,1,801,101},{5000,4,1,801,103},{5000,4,1,802,111},{5000,4,1,801,112},{5000,4,1,802,113}]</v>
      </c>
    </row>
    <row r="187" spans="2:49">
      <c r="B187">
        <v>1821</v>
      </c>
      <c r="C187" t="s">
        <v>86</v>
      </c>
      <c r="D187" t="str">
        <f t="shared" si="81"/>
        <v>9</v>
      </c>
      <c r="F187">
        <v>151</v>
      </c>
      <c r="G187">
        <v>5000</v>
      </c>
      <c r="H187">
        <f t="shared" si="98"/>
        <v>4</v>
      </c>
      <c r="I187">
        <v>1</v>
      </c>
      <c r="J187">
        <v>1</v>
      </c>
      <c r="K187">
        <f t="shared" si="111"/>
        <v>801</v>
      </c>
      <c r="L187">
        <f t="shared" si="106"/>
        <v>101</v>
      </c>
      <c r="M187">
        <v>5000</v>
      </c>
      <c r="N187">
        <f t="shared" si="104"/>
        <v>4</v>
      </c>
      <c r="O187">
        <v>1</v>
      </c>
      <c r="P187">
        <f t="shared" si="112"/>
        <v>801</v>
      </c>
      <c r="Q187">
        <v>54</v>
      </c>
      <c r="R187">
        <f t="shared" si="107"/>
        <v>102</v>
      </c>
      <c r="S187">
        <v>5000</v>
      </c>
      <c r="T187">
        <f t="shared" si="82"/>
        <v>4</v>
      </c>
      <c r="U187">
        <v>1</v>
      </c>
      <c r="V187">
        <f t="shared" si="113"/>
        <v>802</v>
      </c>
      <c r="W187">
        <v>56</v>
      </c>
      <c r="X187">
        <f t="shared" si="108"/>
        <v>103</v>
      </c>
      <c r="Y187">
        <v>5000</v>
      </c>
      <c r="Z187">
        <f t="shared" si="83"/>
        <v>4</v>
      </c>
      <c r="AA187">
        <v>1</v>
      </c>
      <c r="AB187">
        <f t="shared" si="114"/>
        <v>801</v>
      </c>
      <c r="AC187">
        <v>72</v>
      </c>
      <c r="AD187">
        <f t="shared" si="109"/>
        <v>113</v>
      </c>
      <c r="AE187">
        <v>5000</v>
      </c>
      <c r="AF187">
        <f t="shared" si="84"/>
        <v>4</v>
      </c>
      <c r="AG187">
        <v>1</v>
      </c>
      <c r="AH187">
        <f t="shared" si="115"/>
        <v>802</v>
      </c>
      <c r="AI187">
        <v>74</v>
      </c>
      <c r="AJ187">
        <f t="shared" si="110"/>
        <v>111</v>
      </c>
      <c r="AP187" t="str">
        <f t="shared" si="85"/>
        <v>{5000,4,1,801,101}</v>
      </c>
      <c r="AQ187" t="str">
        <f t="shared" si="86"/>
        <v>{5000,4,1,801,102}</v>
      </c>
      <c r="AR187" t="str">
        <f t="shared" si="87"/>
        <v>{5000,4,1,802,103}</v>
      </c>
      <c r="AS187" t="str">
        <f t="shared" si="88"/>
        <v>{5000,4,1,801,113}</v>
      </c>
      <c r="AT187" t="str">
        <f t="shared" si="89"/>
        <v>{5000,4,1,802,111}</v>
      </c>
      <c r="AU187" t="str">
        <f t="shared" si="90"/>
        <v/>
      </c>
      <c r="AV187">
        <v>1821</v>
      </c>
      <c r="AW187" t="str">
        <f t="shared" si="105"/>
        <v>[{5000,4,1,801,101},{5000,4,1,801,102},{5000,4,1,802,103},{5000,4,1,801,113},{5000,4,1,802,111}]</v>
      </c>
    </row>
    <row r="188" spans="2:49">
      <c r="B188">
        <v>1822</v>
      </c>
      <c r="C188" t="s">
        <v>86</v>
      </c>
      <c r="D188" t="str">
        <f t="shared" si="81"/>
        <v>9</v>
      </c>
      <c r="F188">
        <v>166</v>
      </c>
      <c r="G188">
        <v>5000</v>
      </c>
      <c r="H188">
        <f t="shared" si="98"/>
        <v>4</v>
      </c>
      <c r="I188">
        <v>1</v>
      </c>
      <c r="J188">
        <v>1</v>
      </c>
      <c r="K188">
        <f t="shared" si="111"/>
        <v>801</v>
      </c>
      <c r="L188">
        <f t="shared" si="106"/>
        <v>101</v>
      </c>
      <c r="M188">
        <v>5000</v>
      </c>
      <c r="N188">
        <f t="shared" si="104"/>
        <v>4</v>
      </c>
      <c r="O188">
        <v>1</v>
      </c>
      <c r="P188">
        <f t="shared" si="112"/>
        <v>801</v>
      </c>
      <c r="Q188">
        <v>59</v>
      </c>
      <c r="R188">
        <f t="shared" si="107"/>
        <v>103</v>
      </c>
      <c r="S188">
        <v>5000</v>
      </c>
      <c r="T188">
        <f t="shared" si="82"/>
        <v>4</v>
      </c>
      <c r="U188">
        <v>1</v>
      </c>
      <c r="V188">
        <f t="shared" si="113"/>
        <v>802</v>
      </c>
      <c r="W188">
        <v>79</v>
      </c>
      <c r="X188">
        <f t="shared" si="108"/>
        <v>111</v>
      </c>
      <c r="Y188">
        <v>5000</v>
      </c>
      <c r="Z188">
        <f t="shared" si="83"/>
        <v>4</v>
      </c>
      <c r="AA188">
        <v>1</v>
      </c>
      <c r="AB188">
        <f t="shared" si="114"/>
        <v>801</v>
      </c>
      <c r="AC188">
        <v>71</v>
      </c>
      <c r="AD188">
        <f t="shared" si="109"/>
        <v>112</v>
      </c>
      <c r="AE188">
        <v>5000</v>
      </c>
      <c r="AF188">
        <f t="shared" si="84"/>
        <v>4</v>
      </c>
      <c r="AG188">
        <v>1</v>
      </c>
      <c r="AH188">
        <f t="shared" si="115"/>
        <v>802</v>
      </c>
      <c r="AI188">
        <v>74</v>
      </c>
      <c r="AJ188">
        <f t="shared" si="110"/>
        <v>113</v>
      </c>
      <c r="AP188" t="str">
        <f t="shared" si="85"/>
        <v>{5000,4,1,801,101}</v>
      </c>
      <c r="AQ188" t="str">
        <f t="shared" si="86"/>
        <v>{5000,4,1,801,103}</v>
      </c>
      <c r="AR188" t="str">
        <f t="shared" si="87"/>
        <v>{5000,4,1,802,111}</v>
      </c>
      <c r="AS188" t="str">
        <f t="shared" si="88"/>
        <v>{5000,4,1,801,112}</v>
      </c>
      <c r="AT188" t="str">
        <f t="shared" si="89"/>
        <v>{5000,4,1,802,113}</v>
      </c>
      <c r="AU188" t="str">
        <f t="shared" si="90"/>
        <v/>
      </c>
      <c r="AV188">
        <v>1822</v>
      </c>
      <c r="AW188" t="str">
        <f t="shared" si="105"/>
        <v>[{5000,4,1,801,101},{5000,4,1,801,103},{5000,4,1,802,111},{5000,4,1,801,112},{5000,4,1,802,113}]</v>
      </c>
    </row>
    <row r="189" spans="2:49">
      <c r="B189">
        <v>1823</v>
      </c>
      <c r="C189" t="s">
        <v>86</v>
      </c>
      <c r="D189" t="str">
        <f t="shared" si="81"/>
        <v>9</v>
      </c>
      <c r="F189">
        <v>181</v>
      </c>
      <c r="G189">
        <v>5000</v>
      </c>
      <c r="H189">
        <f t="shared" si="98"/>
        <v>6</v>
      </c>
      <c r="I189">
        <v>1</v>
      </c>
      <c r="J189">
        <v>3</v>
      </c>
      <c r="K189">
        <f t="shared" si="111"/>
        <v>803</v>
      </c>
      <c r="L189">
        <f t="shared" si="106"/>
        <v>101</v>
      </c>
      <c r="M189">
        <v>5000</v>
      </c>
      <c r="N189">
        <f t="shared" si="104"/>
        <v>6</v>
      </c>
      <c r="O189">
        <v>1</v>
      </c>
      <c r="P189">
        <f t="shared" si="112"/>
        <v>803</v>
      </c>
      <c r="Q189">
        <v>53</v>
      </c>
      <c r="R189">
        <f t="shared" si="107"/>
        <v>102</v>
      </c>
      <c r="S189">
        <v>5000</v>
      </c>
      <c r="T189">
        <f t="shared" si="82"/>
        <v>6</v>
      </c>
      <c r="U189">
        <v>1</v>
      </c>
      <c r="V189">
        <f t="shared" si="113"/>
        <v>803</v>
      </c>
      <c r="W189">
        <v>56</v>
      </c>
      <c r="X189">
        <f t="shared" si="108"/>
        <v>103</v>
      </c>
      <c r="Y189">
        <v>5000</v>
      </c>
      <c r="Z189">
        <f t="shared" si="83"/>
        <v>6</v>
      </c>
      <c r="AA189">
        <v>1</v>
      </c>
      <c r="AB189">
        <f t="shared" si="114"/>
        <v>803</v>
      </c>
      <c r="AC189">
        <v>75</v>
      </c>
      <c r="AD189">
        <f t="shared" si="109"/>
        <v>113</v>
      </c>
      <c r="AE189">
        <v>5000</v>
      </c>
      <c r="AF189">
        <f t="shared" si="84"/>
        <v>6</v>
      </c>
      <c r="AG189">
        <v>1</v>
      </c>
      <c r="AH189">
        <f t="shared" si="115"/>
        <v>803</v>
      </c>
      <c r="AI189">
        <v>78</v>
      </c>
      <c r="AJ189">
        <f t="shared" si="110"/>
        <v>111</v>
      </c>
      <c r="AP189" t="str">
        <f t="shared" si="85"/>
        <v>{5000,6,1,803,101}</v>
      </c>
      <c r="AQ189" t="str">
        <f t="shared" si="86"/>
        <v>{5000,6,1,803,102}</v>
      </c>
      <c r="AR189" t="str">
        <f t="shared" si="87"/>
        <v>{5000,6,1,803,103}</v>
      </c>
      <c r="AS189" t="str">
        <f t="shared" si="88"/>
        <v>{5000,6,1,803,113}</v>
      </c>
      <c r="AT189" t="str">
        <f t="shared" si="89"/>
        <v>{5000,6,1,803,111}</v>
      </c>
      <c r="AU189" t="str">
        <f t="shared" si="90"/>
        <v/>
      </c>
      <c r="AV189">
        <v>1823</v>
      </c>
      <c r="AW189" t="str">
        <f t="shared" si="105"/>
        <v>[{5000,6,1,803,101},{5000,6,1,803,102},{5000,6,1,803,103},{5000,6,1,803,113},{5000,6,1,803,111}]</v>
      </c>
    </row>
    <row r="190" spans="2:49">
      <c r="B190">
        <v>1824</v>
      </c>
      <c r="C190" t="s">
        <v>86</v>
      </c>
      <c r="D190" t="str">
        <f t="shared" si="81"/>
        <v>9</v>
      </c>
      <c r="F190">
        <v>196</v>
      </c>
      <c r="G190">
        <v>5000</v>
      </c>
      <c r="H190">
        <f t="shared" si="98"/>
        <v>5</v>
      </c>
      <c r="I190">
        <v>1</v>
      </c>
      <c r="J190">
        <v>2</v>
      </c>
      <c r="K190">
        <f t="shared" si="111"/>
        <v>802</v>
      </c>
      <c r="L190">
        <f t="shared" si="106"/>
        <v>101</v>
      </c>
      <c r="M190">
        <v>5000</v>
      </c>
      <c r="N190">
        <f t="shared" si="104"/>
        <v>5</v>
      </c>
      <c r="O190">
        <v>1</v>
      </c>
      <c r="P190">
        <f t="shared" si="112"/>
        <v>801</v>
      </c>
      <c r="Q190">
        <v>54</v>
      </c>
      <c r="R190">
        <f t="shared" si="107"/>
        <v>103</v>
      </c>
      <c r="S190">
        <v>5000</v>
      </c>
      <c r="T190">
        <f t="shared" si="82"/>
        <v>5</v>
      </c>
      <c r="U190">
        <v>1</v>
      </c>
      <c r="V190">
        <f t="shared" si="113"/>
        <v>802</v>
      </c>
      <c r="W190">
        <v>77</v>
      </c>
      <c r="X190">
        <f t="shared" si="108"/>
        <v>111</v>
      </c>
      <c r="Y190">
        <v>5000</v>
      </c>
      <c r="Z190">
        <f t="shared" si="83"/>
        <v>5</v>
      </c>
      <c r="AA190">
        <v>1</v>
      </c>
      <c r="AB190">
        <f t="shared" si="114"/>
        <v>801</v>
      </c>
      <c r="AC190">
        <v>72</v>
      </c>
      <c r="AD190">
        <f t="shared" si="109"/>
        <v>112</v>
      </c>
      <c r="AE190">
        <v>5000</v>
      </c>
      <c r="AF190">
        <f t="shared" si="84"/>
        <v>5</v>
      </c>
      <c r="AG190">
        <v>1</v>
      </c>
      <c r="AH190">
        <f t="shared" si="115"/>
        <v>802</v>
      </c>
      <c r="AI190">
        <v>74</v>
      </c>
      <c r="AJ190">
        <f t="shared" si="110"/>
        <v>113</v>
      </c>
      <c r="AP190" t="str">
        <f t="shared" si="85"/>
        <v>{5000,5,1,802,101}</v>
      </c>
      <c r="AQ190" t="str">
        <f t="shared" si="86"/>
        <v>{5000,5,1,801,103}</v>
      </c>
      <c r="AR190" t="str">
        <f t="shared" si="87"/>
        <v>{5000,5,1,802,111}</v>
      </c>
      <c r="AS190" t="str">
        <f t="shared" si="88"/>
        <v>{5000,5,1,801,112}</v>
      </c>
      <c r="AT190" t="str">
        <f t="shared" si="89"/>
        <v>{5000,5,1,802,113}</v>
      </c>
      <c r="AU190" t="str">
        <f t="shared" si="90"/>
        <v/>
      </c>
      <c r="AV190">
        <v>1824</v>
      </c>
      <c r="AW190" t="str">
        <f t="shared" si="105"/>
        <v>[{5000,5,1,802,101},{5000,5,1,801,103},{5000,5,1,802,111},{5000,5,1,801,112},{5000,5,1,802,113}]</v>
      </c>
    </row>
    <row r="191" spans="2:48">
      <c r="B191">
        <v>1825</v>
      </c>
      <c r="C191" t="s">
        <v>86</v>
      </c>
      <c r="D191" t="str">
        <f t="shared" si="81"/>
        <v>9</v>
      </c>
      <c r="F191">
        <v>209</v>
      </c>
      <c r="K191" t="str">
        <f t="shared" si="111"/>
        <v/>
      </c>
      <c r="L191" t="str">
        <f t="shared" si="106"/>
        <v/>
      </c>
      <c r="N191">
        <f t="shared" si="104"/>
        <v>0</v>
      </c>
      <c r="P191" t="str">
        <f t="shared" si="112"/>
        <v/>
      </c>
      <c r="R191" t="str">
        <f t="shared" si="107"/>
        <v/>
      </c>
      <c r="T191">
        <f t="shared" si="82"/>
        <v>0</v>
      </c>
      <c r="V191" t="str">
        <f t="shared" si="113"/>
        <v/>
      </c>
      <c r="X191" t="str">
        <f t="shared" si="108"/>
        <v/>
      </c>
      <c r="Z191">
        <f t="shared" si="83"/>
        <v>0</v>
      </c>
      <c r="AB191" t="str">
        <f t="shared" si="114"/>
        <v/>
      </c>
      <c r="AD191" t="str">
        <f t="shared" si="109"/>
        <v/>
      </c>
      <c r="AF191">
        <f t="shared" si="84"/>
        <v>0</v>
      </c>
      <c r="AH191" t="str">
        <f t="shared" si="115"/>
        <v/>
      </c>
      <c r="AJ191" t="str">
        <f t="shared" si="110"/>
        <v/>
      </c>
      <c r="AP191" t="str">
        <f t="shared" si="85"/>
        <v/>
      </c>
      <c r="AQ191" t="str">
        <f t="shared" si="86"/>
        <v/>
      </c>
      <c r="AR191" t="str">
        <f t="shared" si="87"/>
        <v/>
      </c>
      <c r="AS191" t="str">
        <f t="shared" si="88"/>
        <v/>
      </c>
      <c r="AT191" t="str">
        <f t="shared" si="89"/>
        <v/>
      </c>
      <c r="AU191" t="str">
        <f t="shared" si="90"/>
        <v/>
      </c>
      <c r="AV191">
        <v>1825</v>
      </c>
    </row>
    <row r="192" spans="2:49">
      <c r="B192">
        <v>1826</v>
      </c>
      <c r="C192" t="s">
        <v>86</v>
      </c>
      <c r="D192" t="str">
        <f t="shared" si="81"/>
        <v>9</v>
      </c>
      <c r="F192">
        <v>211</v>
      </c>
      <c r="G192">
        <v>5000</v>
      </c>
      <c r="H192">
        <f t="shared" si="98"/>
        <v>6</v>
      </c>
      <c r="I192">
        <v>1</v>
      </c>
      <c r="J192">
        <v>2</v>
      </c>
      <c r="K192">
        <f t="shared" si="111"/>
        <v>802</v>
      </c>
      <c r="L192">
        <f t="shared" si="106"/>
        <v>101</v>
      </c>
      <c r="M192">
        <v>5000</v>
      </c>
      <c r="N192">
        <f t="shared" si="104"/>
        <v>6</v>
      </c>
      <c r="O192">
        <v>1</v>
      </c>
      <c r="P192">
        <f t="shared" si="112"/>
        <v>801</v>
      </c>
      <c r="Q192">
        <v>51</v>
      </c>
      <c r="R192">
        <f t="shared" si="107"/>
        <v>102</v>
      </c>
      <c r="S192">
        <v>5000</v>
      </c>
      <c r="T192">
        <f t="shared" si="82"/>
        <v>6</v>
      </c>
      <c r="U192">
        <v>1</v>
      </c>
      <c r="V192">
        <f t="shared" si="113"/>
        <v>802</v>
      </c>
      <c r="W192">
        <v>57</v>
      </c>
      <c r="X192">
        <f t="shared" si="108"/>
        <v>103</v>
      </c>
      <c r="Y192">
        <v>5000</v>
      </c>
      <c r="Z192">
        <f t="shared" si="83"/>
        <v>6</v>
      </c>
      <c r="AA192">
        <v>1</v>
      </c>
      <c r="AB192">
        <f t="shared" si="114"/>
        <v>801</v>
      </c>
      <c r="AC192">
        <v>79</v>
      </c>
      <c r="AD192">
        <f t="shared" si="109"/>
        <v>113</v>
      </c>
      <c r="AE192">
        <v>5000</v>
      </c>
      <c r="AF192">
        <f t="shared" si="84"/>
        <v>6</v>
      </c>
      <c r="AG192">
        <v>1</v>
      </c>
      <c r="AH192">
        <f t="shared" si="115"/>
        <v>802</v>
      </c>
      <c r="AI192">
        <v>72</v>
      </c>
      <c r="AJ192">
        <f t="shared" si="110"/>
        <v>111</v>
      </c>
      <c r="AK192">
        <v>1000</v>
      </c>
      <c r="AL192">
        <v>1</v>
      </c>
      <c r="AM192">
        <v>0</v>
      </c>
      <c r="AN192">
        <v>831</v>
      </c>
      <c r="AO192">
        <v>4</v>
      </c>
      <c r="AP192" t="str">
        <f t="shared" si="85"/>
        <v>{5000,6,1,802,101}</v>
      </c>
      <c r="AQ192" t="str">
        <f t="shared" si="86"/>
        <v>{5000,6,1,801,102}</v>
      </c>
      <c r="AR192" t="str">
        <f t="shared" si="87"/>
        <v>{5000,6,1,802,103}</v>
      </c>
      <c r="AS192" t="str">
        <f t="shared" si="88"/>
        <v>{5000,6,1,801,113}</v>
      </c>
      <c r="AT192" t="str">
        <f t="shared" si="89"/>
        <v>{5000,6,1,802,111}</v>
      </c>
      <c r="AU192" t="str">
        <f t="shared" si="90"/>
        <v>{1000,1,0,831,4}</v>
      </c>
      <c r="AV192">
        <v>1826</v>
      </c>
      <c r="AW192" t="str">
        <f t="shared" ref="AW192:AW212" si="116">IF(AU192="","["&amp;_xlfn.TEXTJOIN(",",1,AP192:AT192)&amp;"]","["&amp;_xlfn.TEXTJOIN(",",1,AP192:AU192)&amp;"]")</f>
        <v>[{5000,6,1,802,101},{5000,6,1,801,102},{5000,6,1,802,103},{5000,6,1,801,113},{5000,6,1,802,111},{1000,1,0,831,4}]</v>
      </c>
    </row>
    <row r="193" spans="2:49">
      <c r="B193">
        <v>1827</v>
      </c>
      <c r="C193" t="s">
        <v>86</v>
      </c>
      <c r="D193" t="str">
        <f t="shared" si="81"/>
        <v>9</v>
      </c>
      <c r="F193">
        <v>226</v>
      </c>
      <c r="G193">
        <v>5000</v>
      </c>
      <c r="H193">
        <f t="shared" si="98"/>
        <v>6</v>
      </c>
      <c r="I193">
        <v>1</v>
      </c>
      <c r="J193">
        <v>2</v>
      </c>
      <c r="K193">
        <f t="shared" si="111"/>
        <v>802</v>
      </c>
      <c r="L193">
        <f t="shared" si="106"/>
        <v>101</v>
      </c>
      <c r="M193">
        <v>5000</v>
      </c>
      <c r="N193">
        <f t="shared" si="104"/>
        <v>6</v>
      </c>
      <c r="O193">
        <v>1</v>
      </c>
      <c r="P193">
        <f t="shared" si="112"/>
        <v>801</v>
      </c>
      <c r="Q193">
        <v>51</v>
      </c>
      <c r="R193">
        <f t="shared" si="107"/>
        <v>103</v>
      </c>
      <c r="S193">
        <v>5000</v>
      </c>
      <c r="T193">
        <f t="shared" si="82"/>
        <v>6</v>
      </c>
      <c r="U193">
        <v>1</v>
      </c>
      <c r="V193">
        <f t="shared" si="113"/>
        <v>802</v>
      </c>
      <c r="W193">
        <v>75</v>
      </c>
      <c r="X193">
        <f t="shared" si="108"/>
        <v>111</v>
      </c>
      <c r="Y193">
        <v>5000</v>
      </c>
      <c r="Z193">
        <f t="shared" si="83"/>
        <v>6</v>
      </c>
      <c r="AA193">
        <v>1</v>
      </c>
      <c r="AB193">
        <f t="shared" si="114"/>
        <v>801</v>
      </c>
      <c r="AC193">
        <v>71</v>
      </c>
      <c r="AD193">
        <f t="shared" si="109"/>
        <v>112</v>
      </c>
      <c r="AE193">
        <v>5000</v>
      </c>
      <c r="AF193">
        <f t="shared" si="84"/>
        <v>6</v>
      </c>
      <c r="AG193">
        <v>1</v>
      </c>
      <c r="AH193">
        <f t="shared" si="115"/>
        <v>802</v>
      </c>
      <c r="AI193">
        <v>77</v>
      </c>
      <c r="AJ193">
        <f t="shared" si="110"/>
        <v>113</v>
      </c>
      <c r="AP193" t="str">
        <f t="shared" si="85"/>
        <v>{5000,6,1,802,101}</v>
      </c>
      <c r="AQ193" t="str">
        <f t="shared" si="86"/>
        <v>{5000,6,1,801,103}</v>
      </c>
      <c r="AR193" t="str">
        <f t="shared" si="87"/>
        <v>{5000,6,1,802,111}</v>
      </c>
      <c r="AS193" t="str">
        <f t="shared" si="88"/>
        <v>{5000,6,1,801,112}</v>
      </c>
      <c r="AT193" t="str">
        <f t="shared" si="89"/>
        <v>{5000,6,1,802,113}</v>
      </c>
      <c r="AU193" t="str">
        <f t="shared" si="90"/>
        <v/>
      </c>
      <c r="AV193">
        <v>1827</v>
      </c>
      <c r="AW193" t="str">
        <f t="shared" si="116"/>
        <v>[{5000,6,1,802,101},{5000,6,1,801,103},{5000,6,1,802,111},{5000,6,1,801,112},{5000,6,1,802,113}]</v>
      </c>
    </row>
    <row r="194" spans="2:49">
      <c r="B194">
        <v>1828</v>
      </c>
      <c r="C194" t="s">
        <v>86</v>
      </c>
      <c r="D194" t="str">
        <f t="shared" si="81"/>
        <v>9</v>
      </c>
      <c r="F194">
        <v>241</v>
      </c>
      <c r="G194">
        <v>5000</v>
      </c>
      <c r="H194">
        <f t="shared" si="98"/>
        <v>7</v>
      </c>
      <c r="I194">
        <v>1</v>
      </c>
      <c r="J194">
        <v>3</v>
      </c>
      <c r="K194">
        <f t="shared" si="111"/>
        <v>803</v>
      </c>
      <c r="L194">
        <f t="shared" si="106"/>
        <v>101</v>
      </c>
      <c r="M194">
        <v>5000</v>
      </c>
      <c r="N194">
        <f t="shared" si="104"/>
        <v>7</v>
      </c>
      <c r="O194">
        <v>1</v>
      </c>
      <c r="P194">
        <f t="shared" si="112"/>
        <v>803</v>
      </c>
      <c r="Q194">
        <v>53</v>
      </c>
      <c r="R194">
        <f t="shared" si="107"/>
        <v>102</v>
      </c>
      <c r="S194">
        <v>5000</v>
      </c>
      <c r="T194">
        <f t="shared" si="82"/>
        <v>7</v>
      </c>
      <c r="U194">
        <v>1</v>
      </c>
      <c r="V194">
        <f t="shared" si="113"/>
        <v>803</v>
      </c>
      <c r="W194">
        <v>56</v>
      </c>
      <c r="X194">
        <f t="shared" si="108"/>
        <v>103</v>
      </c>
      <c r="Y194">
        <v>5000</v>
      </c>
      <c r="Z194">
        <f t="shared" si="83"/>
        <v>7</v>
      </c>
      <c r="AA194">
        <v>1</v>
      </c>
      <c r="AB194">
        <f t="shared" si="114"/>
        <v>803</v>
      </c>
      <c r="AC194">
        <v>74</v>
      </c>
      <c r="AD194">
        <f t="shared" si="109"/>
        <v>113</v>
      </c>
      <c r="AE194">
        <v>5000</v>
      </c>
      <c r="AF194">
        <f t="shared" si="84"/>
        <v>7</v>
      </c>
      <c r="AG194">
        <v>1</v>
      </c>
      <c r="AH194">
        <f t="shared" si="115"/>
        <v>803</v>
      </c>
      <c r="AI194">
        <v>78</v>
      </c>
      <c r="AJ194">
        <f t="shared" si="110"/>
        <v>111</v>
      </c>
      <c r="AP194" t="str">
        <f t="shared" si="85"/>
        <v>{5000,7,1,803,101}</v>
      </c>
      <c r="AQ194" t="str">
        <f t="shared" si="86"/>
        <v>{5000,7,1,803,102}</v>
      </c>
      <c r="AR194" t="str">
        <f t="shared" si="87"/>
        <v>{5000,7,1,803,103}</v>
      </c>
      <c r="AS194" t="str">
        <f t="shared" si="88"/>
        <v>{5000,7,1,803,113}</v>
      </c>
      <c r="AT194" t="str">
        <f t="shared" si="89"/>
        <v>{5000,7,1,803,111}</v>
      </c>
      <c r="AU194" t="str">
        <f t="shared" si="90"/>
        <v/>
      </c>
      <c r="AV194">
        <v>1828</v>
      </c>
      <c r="AW194" t="str">
        <f t="shared" si="116"/>
        <v>[{5000,7,1,803,101},{5000,7,1,803,102},{5000,7,1,803,103},{5000,7,1,803,113},{5000,7,1,803,111}]</v>
      </c>
    </row>
    <row r="195" spans="2:49">
      <c r="B195">
        <v>1829</v>
      </c>
      <c r="C195" t="s">
        <v>86</v>
      </c>
      <c r="D195" t="str">
        <f t="shared" ref="D195:D198" si="117">RIGHT(C195,1)</f>
        <v>9</v>
      </c>
      <c r="F195">
        <v>256</v>
      </c>
      <c r="G195">
        <v>5000</v>
      </c>
      <c r="H195">
        <f t="shared" si="98"/>
        <v>6</v>
      </c>
      <c r="I195">
        <v>1</v>
      </c>
      <c r="J195">
        <v>2</v>
      </c>
      <c r="K195">
        <f t="shared" si="111"/>
        <v>802</v>
      </c>
      <c r="L195">
        <f t="shared" si="106"/>
        <v>101</v>
      </c>
      <c r="M195">
        <v>5000</v>
      </c>
      <c r="N195">
        <f t="shared" si="104"/>
        <v>6</v>
      </c>
      <c r="O195">
        <v>1</v>
      </c>
      <c r="P195">
        <f t="shared" si="112"/>
        <v>802</v>
      </c>
      <c r="Q195">
        <v>59</v>
      </c>
      <c r="R195">
        <f t="shared" si="107"/>
        <v>103</v>
      </c>
      <c r="S195">
        <v>5000</v>
      </c>
      <c r="T195">
        <f t="shared" ref="T195:T258" si="118">N195</f>
        <v>6</v>
      </c>
      <c r="U195">
        <v>1</v>
      </c>
      <c r="V195">
        <f t="shared" si="113"/>
        <v>802</v>
      </c>
      <c r="W195">
        <v>79</v>
      </c>
      <c r="X195">
        <f t="shared" si="108"/>
        <v>111</v>
      </c>
      <c r="Y195">
        <v>5000</v>
      </c>
      <c r="Z195">
        <f t="shared" ref="Z195:Z258" si="119">T195</f>
        <v>6</v>
      </c>
      <c r="AA195">
        <v>1</v>
      </c>
      <c r="AB195">
        <f t="shared" si="114"/>
        <v>801</v>
      </c>
      <c r="AC195">
        <v>72</v>
      </c>
      <c r="AD195">
        <f t="shared" si="109"/>
        <v>112</v>
      </c>
      <c r="AE195">
        <v>5000</v>
      </c>
      <c r="AF195">
        <f t="shared" ref="AF195:AF258" si="120">Z195</f>
        <v>6</v>
      </c>
      <c r="AG195">
        <v>1</v>
      </c>
      <c r="AH195">
        <f t="shared" si="115"/>
        <v>802</v>
      </c>
      <c r="AI195">
        <v>74</v>
      </c>
      <c r="AJ195">
        <f t="shared" si="110"/>
        <v>113</v>
      </c>
      <c r="AP195" t="str">
        <f t="shared" ref="AP195:AP258" si="121">IF(G195="","",$AQ$1&amp;_xlfn.TEXTJOIN(",",1,G195:I195,K195,L195)&amp;$AR$1)</f>
        <v>{5000,6,1,802,101}</v>
      </c>
      <c r="AQ195" t="str">
        <f t="shared" ref="AQ195:AQ258" si="122">IF(G195="","",$AQ$1&amp;_xlfn.TEXTJOIN(",",1,M195:P195,R195)&amp;$AR$1)</f>
        <v>{5000,6,1,802,103}</v>
      </c>
      <c r="AR195" t="str">
        <f t="shared" ref="AR195:AR258" si="123">IF(G195="","",$AQ$1&amp;_xlfn.TEXTJOIN(",",1,S195:V195,X195)&amp;$AR$1)</f>
        <v>{5000,6,1,802,111}</v>
      </c>
      <c r="AS195" t="str">
        <f t="shared" ref="AS195:AS258" si="124">IF(G195="","",$AQ$1&amp;_xlfn.TEXTJOIN(",",1,Y195:AB195,AD195)&amp;$AR$1)</f>
        <v>{5000,6,1,801,112}</v>
      </c>
      <c r="AT195" t="str">
        <f t="shared" ref="AT195:AT258" si="125">IF(G195="","",$AQ$1&amp;_xlfn.TEXTJOIN(",",1,AE195:AH195,AJ195)&amp;$AR$1)</f>
        <v>{5000,6,1,802,113}</v>
      </c>
      <c r="AU195" t="str">
        <f t="shared" ref="AU195:AU258" si="126">IF(AK195="","",IF(G195="","",$AQ$1&amp;_xlfn.TEXTJOIN(",",1,AK195:AO195)&amp;$AR$1))</f>
        <v/>
      </c>
      <c r="AV195">
        <v>1829</v>
      </c>
      <c r="AW195" t="str">
        <f t="shared" si="116"/>
        <v>[{5000,6,1,802,101},{5000,6,1,802,103},{5000,6,1,802,111},{5000,6,1,801,112},{5000,6,1,802,113}]</v>
      </c>
    </row>
    <row r="196" spans="2:49">
      <c r="B196">
        <v>1830</v>
      </c>
      <c r="C196" t="s">
        <v>86</v>
      </c>
      <c r="D196" t="str">
        <f t="shared" si="117"/>
        <v>9</v>
      </c>
      <c r="F196">
        <v>271</v>
      </c>
      <c r="G196">
        <v>5000</v>
      </c>
      <c r="H196">
        <f t="shared" si="98"/>
        <v>6</v>
      </c>
      <c r="I196">
        <v>1</v>
      </c>
      <c r="J196">
        <v>2</v>
      </c>
      <c r="K196">
        <f t="shared" si="111"/>
        <v>802</v>
      </c>
      <c r="L196">
        <f t="shared" si="106"/>
        <v>101</v>
      </c>
      <c r="M196">
        <v>5000</v>
      </c>
      <c r="N196">
        <f t="shared" si="104"/>
        <v>6</v>
      </c>
      <c r="O196">
        <v>1</v>
      </c>
      <c r="P196">
        <f t="shared" si="112"/>
        <v>802</v>
      </c>
      <c r="Q196">
        <v>54</v>
      </c>
      <c r="R196">
        <f t="shared" si="107"/>
        <v>102</v>
      </c>
      <c r="S196">
        <v>5000</v>
      </c>
      <c r="T196">
        <f t="shared" si="118"/>
        <v>6</v>
      </c>
      <c r="U196">
        <v>1</v>
      </c>
      <c r="V196">
        <f t="shared" si="113"/>
        <v>802</v>
      </c>
      <c r="W196">
        <v>56</v>
      </c>
      <c r="X196">
        <f t="shared" si="108"/>
        <v>103</v>
      </c>
      <c r="Y196">
        <v>5000</v>
      </c>
      <c r="Z196">
        <f t="shared" si="119"/>
        <v>6</v>
      </c>
      <c r="AA196">
        <v>1</v>
      </c>
      <c r="AB196">
        <f t="shared" si="114"/>
        <v>802</v>
      </c>
      <c r="AC196">
        <v>73</v>
      </c>
      <c r="AD196">
        <f t="shared" si="109"/>
        <v>113</v>
      </c>
      <c r="AE196">
        <v>5000</v>
      </c>
      <c r="AF196">
        <f t="shared" si="120"/>
        <v>6</v>
      </c>
      <c r="AG196">
        <v>1</v>
      </c>
      <c r="AH196">
        <f t="shared" si="115"/>
        <v>802</v>
      </c>
      <c r="AI196">
        <v>75</v>
      </c>
      <c r="AJ196">
        <f t="shared" si="110"/>
        <v>111</v>
      </c>
      <c r="AP196" t="str">
        <f t="shared" si="121"/>
        <v>{5000,6,1,802,101}</v>
      </c>
      <c r="AQ196" t="str">
        <f t="shared" si="122"/>
        <v>{5000,6,1,802,102}</v>
      </c>
      <c r="AR196" t="str">
        <f t="shared" si="123"/>
        <v>{5000,6,1,802,103}</v>
      </c>
      <c r="AS196" t="str">
        <f t="shared" si="124"/>
        <v>{5000,6,1,802,113}</v>
      </c>
      <c r="AT196" t="str">
        <f t="shared" si="125"/>
        <v>{5000,6,1,802,111}</v>
      </c>
      <c r="AU196" t="str">
        <f t="shared" si="126"/>
        <v/>
      </c>
      <c r="AV196">
        <v>1830</v>
      </c>
      <c r="AW196" t="str">
        <f t="shared" si="116"/>
        <v>[{5000,6,1,802,101},{5000,6,1,802,102},{5000,6,1,802,103},{5000,6,1,802,113},{5000,6,1,802,111}]</v>
      </c>
    </row>
    <row r="197" spans="2:49">
      <c r="B197">
        <v>1831</v>
      </c>
      <c r="C197" t="s">
        <v>86</v>
      </c>
      <c r="D197" t="str">
        <f t="shared" si="117"/>
        <v>9</v>
      </c>
      <c r="F197">
        <v>286</v>
      </c>
      <c r="G197">
        <v>5000</v>
      </c>
      <c r="H197">
        <f t="shared" si="98"/>
        <v>6</v>
      </c>
      <c r="I197">
        <v>1</v>
      </c>
      <c r="J197">
        <v>2</v>
      </c>
      <c r="K197">
        <f t="shared" si="111"/>
        <v>802</v>
      </c>
      <c r="L197">
        <f t="shared" si="106"/>
        <v>101</v>
      </c>
      <c r="M197">
        <v>5000</v>
      </c>
      <c r="N197">
        <f t="shared" si="104"/>
        <v>6</v>
      </c>
      <c r="O197">
        <v>1</v>
      </c>
      <c r="P197">
        <f t="shared" si="112"/>
        <v>802</v>
      </c>
      <c r="Q197">
        <v>53</v>
      </c>
      <c r="R197">
        <f t="shared" si="107"/>
        <v>103</v>
      </c>
      <c r="S197">
        <v>5000</v>
      </c>
      <c r="T197">
        <f t="shared" si="118"/>
        <v>6</v>
      </c>
      <c r="U197">
        <v>1</v>
      </c>
      <c r="V197">
        <f t="shared" si="113"/>
        <v>802</v>
      </c>
      <c r="W197">
        <v>59</v>
      </c>
      <c r="X197">
        <f t="shared" si="108"/>
        <v>111</v>
      </c>
      <c r="Y197">
        <v>5000</v>
      </c>
      <c r="Z197">
        <f t="shared" si="119"/>
        <v>6</v>
      </c>
      <c r="AA197">
        <v>1</v>
      </c>
      <c r="AB197">
        <f t="shared" si="114"/>
        <v>802</v>
      </c>
      <c r="AC197">
        <v>71</v>
      </c>
      <c r="AD197">
        <f t="shared" si="109"/>
        <v>112</v>
      </c>
      <c r="AE197">
        <v>5000</v>
      </c>
      <c r="AF197">
        <f t="shared" si="120"/>
        <v>6</v>
      </c>
      <c r="AG197">
        <v>1</v>
      </c>
      <c r="AH197">
        <f t="shared" si="115"/>
        <v>802</v>
      </c>
      <c r="AI197">
        <v>77</v>
      </c>
      <c r="AJ197">
        <f t="shared" si="110"/>
        <v>113</v>
      </c>
      <c r="AP197" t="str">
        <f t="shared" si="121"/>
        <v>{5000,6,1,802,101}</v>
      </c>
      <c r="AQ197" t="str">
        <f t="shared" si="122"/>
        <v>{5000,6,1,802,103}</v>
      </c>
      <c r="AR197" t="str">
        <f t="shared" si="123"/>
        <v>{5000,6,1,802,111}</v>
      </c>
      <c r="AS197" t="str">
        <f t="shared" si="124"/>
        <v>{5000,6,1,802,112}</v>
      </c>
      <c r="AT197" t="str">
        <f t="shared" si="125"/>
        <v>{5000,6,1,802,113}</v>
      </c>
      <c r="AU197" t="str">
        <f t="shared" si="126"/>
        <v/>
      </c>
      <c r="AV197">
        <v>1831</v>
      </c>
      <c r="AW197" t="str">
        <f t="shared" si="116"/>
        <v>[{5000,6,1,802,101},{5000,6,1,802,103},{5000,6,1,802,111},{5000,6,1,802,112},{5000,6,1,802,113}]</v>
      </c>
    </row>
    <row r="198" spans="2:49">
      <c r="B198">
        <v>1832</v>
      </c>
      <c r="C198" t="s">
        <v>86</v>
      </c>
      <c r="D198" t="str">
        <f t="shared" si="117"/>
        <v>9</v>
      </c>
      <c r="F198">
        <v>290</v>
      </c>
      <c r="G198">
        <v>5000</v>
      </c>
      <c r="H198">
        <f t="shared" si="98"/>
        <v>6</v>
      </c>
      <c r="I198">
        <v>1</v>
      </c>
      <c r="J198">
        <v>2</v>
      </c>
      <c r="K198">
        <f t="shared" si="111"/>
        <v>802</v>
      </c>
      <c r="L198">
        <f t="shared" si="106"/>
        <v>101</v>
      </c>
      <c r="M198">
        <v>5000</v>
      </c>
      <c r="N198">
        <f t="shared" si="104"/>
        <v>6</v>
      </c>
      <c r="O198">
        <v>1</v>
      </c>
      <c r="P198">
        <f t="shared" si="112"/>
        <v>802</v>
      </c>
      <c r="Q198">
        <v>56</v>
      </c>
      <c r="R198">
        <f t="shared" si="107"/>
        <v>102</v>
      </c>
      <c r="S198">
        <v>5000</v>
      </c>
      <c r="T198">
        <f t="shared" si="118"/>
        <v>6</v>
      </c>
      <c r="U198">
        <v>1</v>
      </c>
      <c r="V198">
        <f t="shared" si="113"/>
        <v>801</v>
      </c>
      <c r="W198">
        <v>77</v>
      </c>
      <c r="X198">
        <f t="shared" si="108"/>
        <v>103</v>
      </c>
      <c r="Y198">
        <v>5000</v>
      </c>
      <c r="Z198">
        <f t="shared" si="119"/>
        <v>6</v>
      </c>
      <c r="AA198">
        <v>1</v>
      </c>
      <c r="AB198">
        <f t="shared" si="114"/>
        <v>802</v>
      </c>
      <c r="AC198">
        <v>72</v>
      </c>
      <c r="AD198">
        <f t="shared" si="109"/>
        <v>113</v>
      </c>
      <c r="AE198">
        <v>5000</v>
      </c>
      <c r="AF198">
        <f t="shared" si="120"/>
        <v>6</v>
      </c>
      <c r="AG198">
        <v>1</v>
      </c>
      <c r="AH198">
        <f t="shared" si="115"/>
        <v>802</v>
      </c>
      <c r="AI198">
        <v>74</v>
      </c>
      <c r="AJ198">
        <f t="shared" si="110"/>
        <v>111</v>
      </c>
      <c r="AP198" t="str">
        <f t="shared" si="121"/>
        <v>{5000,6,1,802,101}</v>
      </c>
      <c r="AQ198" t="str">
        <f t="shared" si="122"/>
        <v>{5000,6,1,802,102}</v>
      </c>
      <c r="AR198" t="str">
        <f t="shared" si="123"/>
        <v>{5000,6,1,801,103}</v>
      </c>
      <c r="AS198" t="str">
        <f t="shared" si="124"/>
        <v>{5000,6,1,802,113}</v>
      </c>
      <c r="AT198" t="str">
        <f t="shared" si="125"/>
        <v>{5000,6,1,802,111}</v>
      </c>
      <c r="AU198" t="str">
        <f t="shared" si="126"/>
        <v/>
      </c>
      <c r="AV198">
        <v>1832</v>
      </c>
      <c r="AW198" t="str">
        <f t="shared" si="116"/>
        <v>[{5000,6,1,802,101},{5000,6,1,802,102},{5000,6,1,801,103},{5000,6,1,802,113},{5000,6,1,802,111}]</v>
      </c>
    </row>
    <row r="199" spans="2:49">
      <c r="B199">
        <v>1911</v>
      </c>
      <c r="C199" t="s">
        <v>87</v>
      </c>
      <c r="D199" s="4" t="str">
        <f>RIGHT(C199,2)</f>
        <v>10</v>
      </c>
      <c r="E199" s="4"/>
      <c r="F199">
        <v>1</v>
      </c>
      <c r="G199">
        <v>5000</v>
      </c>
      <c r="H199">
        <f t="shared" si="98"/>
        <v>1</v>
      </c>
      <c r="I199">
        <v>1</v>
      </c>
      <c r="J199">
        <v>1</v>
      </c>
      <c r="K199">
        <f t="shared" si="111"/>
        <v>901</v>
      </c>
      <c r="L199">
        <f t="shared" si="106"/>
        <v>101</v>
      </c>
      <c r="M199">
        <v>5000</v>
      </c>
      <c r="N199">
        <f t="shared" si="104"/>
        <v>1</v>
      </c>
      <c r="O199">
        <v>1</v>
      </c>
      <c r="P199">
        <f t="shared" si="112"/>
        <v>901</v>
      </c>
      <c r="Q199">
        <v>55</v>
      </c>
      <c r="R199">
        <f t="shared" si="107"/>
        <v>102</v>
      </c>
      <c r="S199">
        <v>5000</v>
      </c>
      <c r="T199">
        <f t="shared" si="118"/>
        <v>1</v>
      </c>
      <c r="U199">
        <v>1</v>
      </c>
      <c r="V199">
        <f t="shared" si="113"/>
        <v>901</v>
      </c>
      <c r="W199">
        <v>60</v>
      </c>
      <c r="X199">
        <f t="shared" si="108"/>
        <v>103</v>
      </c>
      <c r="Y199">
        <v>5000</v>
      </c>
      <c r="Z199">
        <f t="shared" si="119"/>
        <v>1</v>
      </c>
      <c r="AA199">
        <v>1</v>
      </c>
      <c r="AB199">
        <f t="shared" si="114"/>
        <v>901</v>
      </c>
      <c r="AC199">
        <v>71</v>
      </c>
      <c r="AD199">
        <f t="shared" si="109"/>
        <v>113</v>
      </c>
      <c r="AE199">
        <v>5000</v>
      </c>
      <c r="AF199">
        <f t="shared" si="120"/>
        <v>1</v>
      </c>
      <c r="AG199">
        <v>1</v>
      </c>
      <c r="AH199">
        <f t="shared" si="115"/>
        <v>901</v>
      </c>
      <c r="AI199">
        <v>76</v>
      </c>
      <c r="AJ199">
        <f t="shared" si="110"/>
        <v>111</v>
      </c>
      <c r="AP199" t="str">
        <f t="shared" si="121"/>
        <v>{5000,1,1,901,101}</v>
      </c>
      <c r="AQ199" t="str">
        <f t="shared" si="122"/>
        <v>{5000,1,1,901,102}</v>
      </c>
      <c r="AR199" t="str">
        <f t="shared" si="123"/>
        <v>{5000,1,1,901,103}</v>
      </c>
      <c r="AS199" t="str">
        <f t="shared" si="124"/>
        <v>{5000,1,1,901,113}</v>
      </c>
      <c r="AT199" t="str">
        <f t="shared" si="125"/>
        <v>{5000,1,1,901,111}</v>
      </c>
      <c r="AU199" t="str">
        <f t="shared" si="126"/>
        <v/>
      </c>
      <c r="AV199">
        <v>1911</v>
      </c>
      <c r="AW199" t="str">
        <f t="shared" si="116"/>
        <v>[{5000,1,1,901,101},{5000,1,1,901,102},{5000,1,1,901,103},{5000,1,1,901,113},{5000,1,1,901,111}]</v>
      </c>
    </row>
    <row r="200" spans="2:49">
      <c r="B200">
        <v>1912</v>
      </c>
      <c r="C200" t="s">
        <v>87</v>
      </c>
      <c r="D200" t="str">
        <f t="shared" ref="D200:D263" si="127">RIGHT(C200,2)</f>
        <v>10</v>
      </c>
      <c r="F200">
        <v>16</v>
      </c>
      <c r="G200">
        <v>5000</v>
      </c>
      <c r="H200">
        <f t="shared" si="98"/>
        <v>1</v>
      </c>
      <c r="I200">
        <v>1</v>
      </c>
      <c r="J200">
        <v>1</v>
      </c>
      <c r="K200">
        <f t="shared" ref="K200:K221" si="128">IF($J200="","",K178+100)</f>
        <v>901</v>
      </c>
      <c r="L200">
        <f t="shared" si="106"/>
        <v>101</v>
      </c>
      <c r="M200">
        <v>5000</v>
      </c>
      <c r="N200">
        <f t="shared" si="104"/>
        <v>1</v>
      </c>
      <c r="O200">
        <v>1</v>
      </c>
      <c r="P200">
        <f t="shared" ref="P200:P221" si="129">IF($J200="","",P178+100)</f>
        <v>901</v>
      </c>
      <c r="Q200">
        <v>55</v>
      </c>
      <c r="R200">
        <f t="shared" si="107"/>
        <v>103</v>
      </c>
      <c r="S200">
        <v>5000</v>
      </c>
      <c r="T200">
        <f t="shared" si="118"/>
        <v>1</v>
      </c>
      <c r="U200">
        <v>1</v>
      </c>
      <c r="V200">
        <f t="shared" ref="V200:V221" si="130">IF($J200="","",V178+100)</f>
        <v>901</v>
      </c>
      <c r="W200">
        <v>75</v>
      </c>
      <c r="X200">
        <f t="shared" si="108"/>
        <v>111</v>
      </c>
      <c r="Y200">
        <v>5000</v>
      </c>
      <c r="Z200">
        <f t="shared" si="119"/>
        <v>1</v>
      </c>
      <c r="AA200">
        <v>1</v>
      </c>
      <c r="AB200">
        <f t="shared" ref="AB200:AB221" si="131">IF($J200="","",AB178+100)</f>
        <v>901</v>
      </c>
      <c r="AC200">
        <v>73</v>
      </c>
      <c r="AD200">
        <f t="shared" si="109"/>
        <v>112</v>
      </c>
      <c r="AE200">
        <v>5000</v>
      </c>
      <c r="AF200">
        <f t="shared" si="120"/>
        <v>1</v>
      </c>
      <c r="AG200">
        <v>1</v>
      </c>
      <c r="AH200">
        <f t="shared" ref="AH200:AH221" si="132">IF($J200="","",AH178+100)</f>
        <v>901</v>
      </c>
      <c r="AI200">
        <v>78</v>
      </c>
      <c r="AJ200">
        <f t="shared" si="110"/>
        <v>113</v>
      </c>
      <c r="AP200" t="str">
        <f t="shared" si="121"/>
        <v>{5000,1,1,901,101}</v>
      </c>
      <c r="AQ200" t="str">
        <f t="shared" si="122"/>
        <v>{5000,1,1,901,103}</v>
      </c>
      <c r="AR200" t="str">
        <f t="shared" si="123"/>
        <v>{5000,1,1,901,111}</v>
      </c>
      <c r="AS200" t="str">
        <f t="shared" si="124"/>
        <v>{5000,1,1,901,112}</v>
      </c>
      <c r="AT200" t="str">
        <f t="shared" si="125"/>
        <v>{5000,1,1,901,113}</v>
      </c>
      <c r="AU200" t="str">
        <f t="shared" si="126"/>
        <v/>
      </c>
      <c r="AV200">
        <v>1912</v>
      </c>
      <c r="AW200" t="str">
        <f t="shared" si="116"/>
        <v>[{5000,1,1,901,101},{5000,1,1,901,103},{5000,1,1,901,111},{5000,1,1,901,112},{5000,1,1,901,113}]</v>
      </c>
    </row>
    <row r="201" spans="2:49">
      <c r="B201">
        <v>1913</v>
      </c>
      <c r="C201" t="s">
        <v>87</v>
      </c>
      <c r="D201" t="str">
        <f t="shared" si="127"/>
        <v>10</v>
      </c>
      <c r="F201">
        <v>31</v>
      </c>
      <c r="G201">
        <v>5000</v>
      </c>
      <c r="H201">
        <f t="shared" si="98"/>
        <v>2</v>
      </c>
      <c r="I201">
        <v>1</v>
      </c>
      <c r="J201">
        <v>1</v>
      </c>
      <c r="K201">
        <f t="shared" si="128"/>
        <v>901</v>
      </c>
      <c r="L201">
        <f t="shared" si="106"/>
        <v>101</v>
      </c>
      <c r="M201">
        <v>5000</v>
      </c>
      <c r="N201">
        <f t="shared" si="104"/>
        <v>2</v>
      </c>
      <c r="O201">
        <v>1</v>
      </c>
      <c r="P201">
        <f t="shared" si="129"/>
        <v>901</v>
      </c>
      <c r="Q201">
        <v>55</v>
      </c>
      <c r="R201">
        <f t="shared" si="107"/>
        <v>102</v>
      </c>
      <c r="S201">
        <v>5000</v>
      </c>
      <c r="T201">
        <f t="shared" si="118"/>
        <v>2</v>
      </c>
      <c r="U201">
        <v>1</v>
      </c>
      <c r="V201">
        <f t="shared" si="130"/>
        <v>901</v>
      </c>
      <c r="W201">
        <v>58</v>
      </c>
      <c r="X201">
        <f t="shared" si="108"/>
        <v>103</v>
      </c>
      <c r="Y201">
        <v>5000</v>
      </c>
      <c r="Z201">
        <f t="shared" si="119"/>
        <v>2</v>
      </c>
      <c r="AA201">
        <v>1</v>
      </c>
      <c r="AB201">
        <f t="shared" si="131"/>
        <v>901</v>
      </c>
      <c r="AC201">
        <v>76</v>
      </c>
      <c r="AD201">
        <f t="shared" si="109"/>
        <v>113</v>
      </c>
      <c r="AE201">
        <v>5000</v>
      </c>
      <c r="AF201">
        <f t="shared" si="120"/>
        <v>2</v>
      </c>
      <c r="AG201">
        <v>1</v>
      </c>
      <c r="AH201">
        <f t="shared" si="132"/>
        <v>901</v>
      </c>
      <c r="AI201">
        <v>79</v>
      </c>
      <c r="AJ201">
        <f t="shared" si="110"/>
        <v>111</v>
      </c>
      <c r="AP201" t="str">
        <f t="shared" si="121"/>
        <v>{5000,2,1,901,101}</v>
      </c>
      <c r="AQ201" t="str">
        <f t="shared" si="122"/>
        <v>{5000,2,1,901,102}</v>
      </c>
      <c r="AR201" t="str">
        <f t="shared" si="123"/>
        <v>{5000,2,1,901,103}</v>
      </c>
      <c r="AS201" t="str">
        <f t="shared" si="124"/>
        <v>{5000,2,1,901,113}</v>
      </c>
      <c r="AT201" t="str">
        <f t="shared" si="125"/>
        <v>{5000,2,1,901,111}</v>
      </c>
      <c r="AU201" t="str">
        <f t="shared" si="126"/>
        <v/>
      </c>
      <c r="AV201">
        <v>1913</v>
      </c>
      <c r="AW201" t="str">
        <f t="shared" si="116"/>
        <v>[{5000,2,1,901,101},{5000,2,1,901,102},{5000,2,1,901,103},{5000,2,1,901,113},{5000,2,1,901,111}]</v>
      </c>
    </row>
    <row r="202" spans="2:49">
      <c r="B202">
        <v>1914</v>
      </c>
      <c r="C202" t="s">
        <v>87</v>
      </c>
      <c r="D202" t="str">
        <f t="shared" si="127"/>
        <v>10</v>
      </c>
      <c r="F202">
        <v>46</v>
      </c>
      <c r="G202">
        <v>5000</v>
      </c>
      <c r="H202">
        <f t="shared" si="98"/>
        <v>2</v>
      </c>
      <c r="I202">
        <v>1</v>
      </c>
      <c r="J202">
        <v>1</v>
      </c>
      <c r="K202">
        <f t="shared" si="128"/>
        <v>901</v>
      </c>
      <c r="L202">
        <f t="shared" si="106"/>
        <v>101</v>
      </c>
      <c r="M202">
        <v>5000</v>
      </c>
      <c r="N202">
        <f t="shared" si="104"/>
        <v>2</v>
      </c>
      <c r="O202">
        <v>1</v>
      </c>
      <c r="P202">
        <f t="shared" si="129"/>
        <v>901</v>
      </c>
      <c r="Q202">
        <v>55</v>
      </c>
      <c r="R202">
        <f t="shared" si="107"/>
        <v>103</v>
      </c>
      <c r="S202">
        <v>5000</v>
      </c>
      <c r="T202">
        <f t="shared" si="118"/>
        <v>2</v>
      </c>
      <c r="U202">
        <v>1</v>
      </c>
      <c r="V202">
        <f t="shared" si="130"/>
        <v>902</v>
      </c>
      <c r="W202">
        <v>76</v>
      </c>
      <c r="X202">
        <f t="shared" si="108"/>
        <v>111</v>
      </c>
      <c r="Y202">
        <v>5000</v>
      </c>
      <c r="Z202">
        <f t="shared" si="119"/>
        <v>2</v>
      </c>
      <c r="AA202">
        <v>1</v>
      </c>
      <c r="AB202">
        <f t="shared" si="131"/>
        <v>901</v>
      </c>
      <c r="AC202">
        <v>71</v>
      </c>
      <c r="AD202">
        <f t="shared" si="109"/>
        <v>112</v>
      </c>
      <c r="AE202">
        <v>5000</v>
      </c>
      <c r="AF202">
        <f t="shared" si="120"/>
        <v>2</v>
      </c>
      <c r="AG202">
        <v>1</v>
      </c>
      <c r="AH202">
        <f t="shared" si="132"/>
        <v>901</v>
      </c>
      <c r="AI202">
        <v>71</v>
      </c>
      <c r="AJ202">
        <f t="shared" si="110"/>
        <v>113</v>
      </c>
      <c r="AP202" t="str">
        <f t="shared" si="121"/>
        <v>{5000,2,1,901,101}</v>
      </c>
      <c r="AQ202" t="str">
        <f t="shared" si="122"/>
        <v>{5000,2,1,901,103}</v>
      </c>
      <c r="AR202" t="str">
        <f t="shared" si="123"/>
        <v>{5000,2,1,902,111}</v>
      </c>
      <c r="AS202" t="str">
        <f t="shared" si="124"/>
        <v>{5000,2,1,901,112}</v>
      </c>
      <c r="AT202" t="str">
        <f t="shared" si="125"/>
        <v>{5000,2,1,901,113}</v>
      </c>
      <c r="AU202" t="str">
        <f t="shared" si="126"/>
        <v/>
      </c>
      <c r="AV202">
        <v>1914</v>
      </c>
      <c r="AW202" t="str">
        <f t="shared" si="116"/>
        <v>[{5000,2,1,901,101},{5000,2,1,901,103},{5000,2,1,902,111},{5000,2,1,901,112},{5000,2,1,901,113}]</v>
      </c>
    </row>
    <row r="203" spans="2:49">
      <c r="B203">
        <v>1915</v>
      </c>
      <c r="C203" t="s">
        <v>87</v>
      </c>
      <c r="D203" t="str">
        <f t="shared" si="127"/>
        <v>10</v>
      </c>
      <c r="F203">
        <v>61</v>
      </c>
      <c r="G203">
        <v>5000</v>
      </c>
      <c r="H203">
        <f t="shared" si="98"/>
        <v>4</v>
      </c>
      <c r="I203">
        <v>1</v>
      </c>
      <c r="J203">
        <v>3</v>
      </c>
      <c r="K203">
        <f t="shared" si="128"/>
        <v>903</v>
      </c>
      <c r="L203">
        <f t="shared" si="106"/>
        <v>101</v>
      </c>
      <c r="M203">
        <v>5000</v>
      </c>
      <c r="N203">
        <f t="shared" si="104"/>
        <v>4</v>
      </c>
      <c r="O203">
        <v>1</v>
      </c>
      <c r="P203">
        <f t="shared" si="129"/>
        <v>903</v>
      </c>
      <c r="Q203">
        <v>56</v>
      </c>
      <c r="R203">
        <f t="shared" si="107"/>
        <v>102</v>
      </c>
      <c r="S203">
        <v>5000</v>
      </c>
      <c r="T203">
        <f t="shared" si="118"/>
        <v>4</v>
      </c>
      <c r="U203">
        <v>1</v>
      </c>
      <c r="V203">
        <f t="shared" si="130"/>
        <v>903</v>
      </c>
      <c r="W203">
        <v>57</v>
      </c>
      <c r="X203">
        <f t="shared" si="108"/>
        <v>103</v>
      </c>
      <c r="Y203">
        <v>5000</v>
      </c>
      <c r="Z203">
        <f t="shared" si="119"/>
        <v>4</v>
      </c>
      <c r="AA203">
        <v>1</v>
      </c>
      <c r="AB203">
        <f t="shared" si="131"/>
        <v>903</v>
      </c>
      <c r="AC203">
        <v>72</v>
      </c>
      <c r="AD203">
        <f t="shared" si="109"/>
        <v>113</v>
      </c>
      <c r="AE203">
        <v>5000</v>
      </c>
      <c r="AF203">
        <f t="shared" si="120"/>
        <v>4</v>
      </c>
      <c r="AG203">
        <v>1</v>
      </c>
      <c r="AH203">
        <f t="shared" si="132"/>
        <v>903</v>
      </c>
      <c r="AI203">
        <v>71</v>
      </c>
      <c r="AJ203">
        <f t="shared" si="110"/>
        <v>111</v>
      </c>
      <c r="AP203" t="str">
        <f t="shared" si="121"/>
        <v>{5000,4,1,903,101}</v>
      </c>
      <c r="AQ203" t="str">
        <f t="shared" si="122"/>
        <v>{5000,4,1,903,102}</v>
      </c>
      <c r="AR203" t="str">
        <f t="shared" si="123"/>
        <v>{5000,4,1,903,103}</v>
      </c>
      <c r="AS203" t="str">
        <f t="shared" si="124"/>
        <v>{5000,4,1,903,113}</v>
      </c>
      <c r="AT203" t="str">
        <f t="shared" si="125"/>
        <v>{5000,4,1,903,111}</v>
      </c>
      <c r="AU203" t="str">
        <f t="shared" si="126"/>
        <v/>
      </c>
      <c r="AV203">
        <v>1915</v>
      </c>
      <c r="AW203" t="str">
        <f t="shared" si="116"/>
        <v>[{5000,4,1,903,101},{5000,4,1,903,102},{5000,4,1,903,103},{5000,4,1,903,113},{5000,4,1,903,111}]</v>
      </c>
    </row>
    <row r="204" spans="2:49">
      <c r="B204">
        <v>1916</v>
      </c>
      <c r="C204" t="s">
        <v>87</v>
      </c>
      <c r="D204" t="str">
        <f t="shared" si="127"/>
        <v>10</v>
      </c>
      <c r="F204">
        <v>76</v>
      </c>
      <c r="G204">
        <v>5000</v>
      </c>
      <c r="H204">
        <f t="shared" si="98"/>
        <v>3</v>
      </c>
      <c r="I204">
        <v>1</v>
      </c>
      <c r="J204">
        <v>1</v>
      </c>
      <c r="K204">
        <f t="shared" si="128"/>
        <v>901</v>
      </c>
      <c r="L204">
        <f t="shared" si="106"/>
        <v>101</v>
      </c>
      <c r="M204">
        <v>5000</v>
      </c>
      <c r="N204">
        <f t="shared" si="104"/>
        <v>3</v>
      </c>
      <c r="O204">
        <v>1</v>
      </c>
      <c r="P204">
        <f t="shared" si="129"/>
        <v>901</v>
      </c>
      <c r="Q204">
        <v>59</v>
      </c>
      <c r="R204">
        <f t="shared" si="107"/>
        <v>103</v>
      </c>
      <c r="S204">
        <v>5000</v>
      </c>
      <c r="T204">
        <f t="shared" si="118"/>
        <v>3</v>
      </c>
      <c r="U204">
        <v>1</v>
      </c>
      <c r="V204">
        <f t="shared" si="130"/>
        <v>902</v>
      </c>
      <c r="W204">
        <v>71</v>
      </c>
      <c r="X204">
        <f t="shared" si="108"/>
        <v>111</v>
      </c>
      <c r="Y204">
        <v>5000</v>
      </c>
      <c r="Z204">
        <f t="shared" si="119"/>
        <v>3</v>
      </c>
      <c r="AA204">
        <v>1</v>
      </c>
      <c r="AB204">
        <f t="shared" si="131"/>
        <v>901</v>
      </c>
      <c r="AC204">
        <v>71</v>
      </c>
      <c r="AD204">
        <f t="shared" si="109"/>
        <v>112</v>
      </c>
      <c r="AE204">
        <v>5000</v>
      </c>
      <c r="AF204">
        <f t="shared" si="120"/>
        <v>3</v>
      </c>
      <c r="AG204">
        <v>1</v>
      </c>
      <c r="AH204">
        <f t="shared" si="132"/>
        <v>901</v>
      </c>
      <c r="AI204">
        <v>79</v>
      </c>
      <c r="AJ204">
        <f t="shared" si="110"/>
        <v>113</v>
      </c>
      <c r="AP204" t="str">
        <f t="shared" si="121"/>
        <v>{5000,3,1,901,101}</v>
      </c>
      <c r="AQ204" t="str">
        <f t="shared" si="122"/>
        <v>{5000,3,1,901,103}</v>
      </c>
      <c r="AR204" t="str">
        <f t="shared" si="123"/>
        <v>{5000,3,1,902,111}</v>
      </c>
      <c r="AS204" t="str">
        <f t="shared" si="124"/>
        <v>{5000,3,1,901,112}</v>
      </c>
      <c r="AT204" t="str">
        <f t="shared" si="125"/>
        <v>{5000,3,1,901,113}</v>
      </c>
      <c r="AU204" t="str">
        <f t="shared" si="126"/>
        <v/>
      </c>
      <c r="AV204">
        <v>1916</v>
      </c>
      <c r="AW204" t="str">
        <f t="shared" si="116"/>
        <v>[{5000,3,1,901,101},{5000,3,1,901,103},{5000,3,1,902,111},{5000,3,1,901,112},{5000,3,1,901,113}]</v>
      </c>
    </row>
    <row r="205" spans="2:49">
      <c r="B205">
        <v>1917</v>
      </c>
      <c r="C205" t="s">
        <v>87</v>
      </c>
      <c r="D205" t="str">
        <f t="shared" si="127"/>
        <v>10</v>
      </c>
      <c r="F205">
        <v>91</v>
      </c>
      <c r="G205">
        <v>5000</v>
      </c>
      <c r="H205">
        <f t="shared" si="98"/>
        <v>3</v>
      </c>
      <c r="I205">
        <v>1</v>
      </c>
      <c r="J205">
        <v>1</v>
      </c>
      <c r="K205">
        <f t="shared" si="128"/>
        <v>901</v>
      </c>
      <c r="L205">
        <f t="shared" si="106"/>
        <v>101</v>
      </c>
      <c r="M205">
        <v>5000</v>
      </c>
      <c r="N205">
        <f t="shared" si="104"/>
        <v>3</v>
      </c>
      <c r="O205">
        <v>1</v>
      </c>
      <c r="P205">
        <f t="shared" si="129"/>
        <v>901</v>
      </c>
      <c r="Q205">
        <v>54</v>
      </c>
      <c r="R205">
        <f t="shared" si="107"/>
        <v>102</v>
      </c>
      <c r="S205">
        <v>5000</v>
      </c>
      <c r="T205">
        <f t="shared" si="118"/>
        <v>3</v>
      </c>
      <c r="U205">
        <v>1</v>
      </c>
      <c r="V205">
        <f t="shared" si="130"/>
        <v>902</v>
      </c>
      <c r="W205">
        <v>51</v>
      </c>
      <c r="X205">
        <f t="shared" si="108"/>
        <v>103</v>
      </c>
      <c r="Y205">
        <v>5000</v>
      </c>
      <c r="Z205">
        <f t="shared" si="119"/>
        <v>3</v>
      </c>
      <c r="AA205">
        <v>1</v>
      </c>
      <c r="AB205">
        <f t="shared" si="131"/>
        <v>901</v>
      </c>
      <c r="AC205">
        <v>71</v>
      </c>
      <c r="AD205">
        <f t="shared" si="109"/>
        <v>113</v>
      </c>
      <c r="AE205">
        <v>5000</v>
      </c>
      <c r="AF205">
        <f t="shared" si="120"/>
        <v>3</v>
      </c>
      <c r="AG205">
        <v>1</v>
      </c>
      <c r="AH205">
        <f t="shared" si="132"/>
        <v>902</v>
      </c>
      <c r="AI205">
        <v>77</v>
      </c>
      <c r="AJ205">
        <f t="shared" si="110"/>
        <v>111</v>
      </c>
      <c r="AP205" t="str">
        <f t="shared" si="121"/>
        <v>{5000,3,1,901,101}</v>
      </c>
      <c r="AQ205" t="str">
        <f t="shared" si="122"/>
        <v>{5000,3,1,901,102}</v>
      </c>
      <c r="AR205" t="str">
        <f t="shared" si="123"/>
        <v>{5000,3,1,902,103}</v>
      </c>
      <c r="AS205" t="str">
        <f t="shared" si="124"/>
        <v>{5000,3,1,901,113}</v>
      </c>
      <c r="AT205" t="str">
        <f t="shared" si="125"/>
        <v>{5000,3,1,902,111}</v>
      </c>
      <c r="AU205" t="str">
        <f t="shared" si="126"/>
        <v/>
      </c>
      <c r="AV205">
        <v>1917</v>
      </c>
      <c r="AW205" t="str">
        <f t="shared" si="116"/>
        <v>[{5000,3,1,901,101},{5000,3,1,901,102},{5000,3,1,902,103},{5000,3,1,901,113},{5000,3,1,902,111}]</v>
      </c>
    </row>
    <row r="206" spans="2:49">
      <c r="B206">
        <v>1918</v>
      </c>
      <c r="C206" t="s">
        <v>87</v>
      </c>
      <c r="D206" t="str">
        <f t="shared" si="127"/>
        <v>10</v>
      </c>
      <c r="F206">
        <v>106</v>
      </c>
      <c r="G206">
        <v>5000</v>
      </c>
      <c r="H206">
        <f t="shared" si="98"/>
        <v>3</v>
      </c>
      <c r="I206">
        <v>1</v>
      </c>
      <c r="J206">
        <v>1</v>
      </c>
      <c r="K206">
        <f t="shared" si="128"/>
        <v>901</v>
      </c>
      <c r="L206">
        <f t="shared" si="106"/>
        <v>101</v>
      </c>
      <c r="M206">
        <v>5000</v>
      </c>
      <c r="N206">
        <f t="shared" si="104"/>
        <v>3</v>
      </c>
      <c r="O206">
        <v>1</v>
      </c>
      <c r="P206">
        <f t="shared" si="129"/>
        <v>901</v>
      </c>
      <c r="Q206">
        <v>55</v>
      </c>
      <c r="R206">
        <f t="shared" si="107"/>
        <v>103</v>
      </c>
      <c r="S206">
        <v>5000</v>
      </c>
      <c r="T206">
        <f t="shared" si="118"/>
        <v>3</v>
      </c>
      <c r="U206">
        <v>1</v>
      </c>
      <c r="V206">
        <f t="shared" si="130"/>
        <v>902</v>
      </c>
      <c r="W206">
        <v>73</v>
      </c>
      <c r="X206">
        <f t="shared" si="108"/>
        <v>111</v>
      </c>
      <c r="Y206">
        <v>5000</v>
      </c>
      <c r="Z206">
        <f t="shared" si="119"/>
        <v>3</v>
      </c>
      <c r="AA206">
        <v>1</v>
      </c>
      <c r="AB206">
        <f t="shared" si="131"/>
        <v>901</v>
      </c>
      <c r="AC206">
        <v>78</v>
      </c>
      <c r="AD206">
        <f t="shared" si="109"/>
        <v>112</v>
      </c>
      <c r="AE206">
        <v>5000</v>
      </c>
      <c r="AF206">
        <f t="shared" si="120"/>
        <v>3</v>
      </c>
      <c r="AG206">
        <v>1</v>
      </c>
      <c r="AH206">
        <f t="shared" si="132"/>
        <v>902</v>
      </c>
      <c r="AI206">
        <v>71</v>
      </c>
      <c r="AJ206">
        <f t="shared" si="110"/>
        <v>113</v>
      </c>
      <c r="AP206" t="str">
        <f t="shared" si="121"/>
        <v>{5000,3,1,901,101}</v>
      </c>
      <c r="AQ206" t="str">
        <f t="shared" si="122"/>
        <v>{5000,3,1,901,103}</v>
      </c>
      <c r="AR206" t="str">
        <f t="shared" si="123"/>
        <v>{5000,3,1,902,111}</v>
      </c>
      <c r="AS206" t="str">
        <f t="shared" si="124"/>
        <v>{5000,3,1,901,112}</v>
      </c>
      <c r="AT206" t="str">
        <f t="shared" si="125"/>
        <v>{5000,3,1,902,113}</v>
      </c>
      <c r="AU206" t="str">
        <f t="shared" si="126"/>
        <v/>
      </c>
      <c r="AV206">
        <v>1918</v>
      </c>
      <c r="AW206" t="str">
        <f t="shared" si="116"/>
        <v>[{5000,3,1,901,101},{5000,3,1,901,103},{5000,3,1,902,111},{5000,3,1,901,112},{5000,3,1,902,113}]</v>
      </c>
    </row>
    <row r="207" spans="2:49">
      <c r="B207">
        <v>1919</v>
      </c>
      <c r="C207" t="s">
        <v>87</v>
      </c>
      <c r="D207" t="str">
        <f t="shared" si="127"/>
        <v>10</v>
      </c>
      <c r="F207">
        <v>121</v>
      </c>
      <c r="G207">
        <v>5000</v>
      </c>
      <c r="H207">
        <f t="shared" si="98"/>
        <v>5</v>
      </c>
      <c r="I207">
        <v>1</v>
      </c>
      <c r="J207">
        <v>3</v>
      </c>
      <c r="K207">
        <f t="shared" si="128"/>
        <v>903</v>
      </c>
      <c r="L207">
        <f t="shared" si="106"/>
        <v>101</v>
      </c>
      <c r="M207">
        <v>5000</v>
      </c>
      <c r="N207">
        <f t="shared" si="104"/>
        <v>5</v>
      </c>
      <c r="O207">
        <v>1</v>
      </c>
      <c r="P207">
        <f t="shared" si="129"/>
        <v>903</v>
      </c>
      <c r="Q207">
        <v>54</v>
      </c>
      <c r="R207">
        <f t="shared" si="107"/>
        <v>102</v>
      </c>
      <c r="S207">
        <v>5000</v>
      </c>
      <c r="T207">
        <f t="shared" si="118"/>
        <v>5</v>
      </c>
      <c r="U207">
        <v>1</v>
      </c>
      <c r="V207">
        <f t="shared" si="130"/>
        <v>903</v>
      </c>
      <c r="W207">
        <v>51</v>
      </c>
      <c r="X207">
        <f t="shared" si="108"/>
        <v>103</v>
      </c>
      <c r="Y207">
        <v>5000</v>
      </c>
      <c r="Z207">
        <f t="shared" si="119"/>
        <v>5</v>
      </c>
      <c r="AA207">
        <v>1</v>
      </c>
      <c r="AB207">
        <f t="shared" si="131"/>
        <v>903</v>
      </c>
      <c r="AC207">
        <v>71</v>
      </c>
      <c r="AD207">
        <f t="shared" si="109"/>
        <v>113</v>
      </c>
      <c r="AE207">
        <v>5000</v>
      </c>
      <c r="AF207">
        <f t="shared" si="120"/>
        <v>5</v>
      </c>
      <c r="AG207">
        <v>1</v>
      </c>
      <c r="AH207">
        <f t="shared" si="132"/>
        <v>903</v>
      </c>
      <c r="AI207">
        <v>79</v>
      </c>
      <c r="AJ207">
        <f t="shared" si="110"/>
        <v>111</v>
      </c>
      <c r="AP207" t="str">
        <f t="shared" si="121"/>
        <v>{5000,5,1,903,101}</v>
      </c>
      <c r="AQ207" t="str">
        <f t="shared" si="122"/>
        <v>{5000,5,1,903,102}</v>
      </c>
      <c r="AR207" t="str">
        <f t="shared" si="123"/>
        <v>{5000,5,1,903,103}</v>
      </c>
      <c r="AS207" t="str">
        <f t="shared" si="124"/>
        <v>{5000,5,1,903,113}</v>
      </c>
      <c r="AT207" t="str">
        <f t="shared" si="125"/>
        <v>{5000,5,1,903,111}</v>
      </c>
      <c r="AU207" t="str">
        <f t="shared" si="126"/>
        <v/>
      </c>
      <c r="AV207">
        <v>1919</v>
      </c>
      <c r="AW207" t="str">
        <f t="shared" si="116"/>
        <v>[{5000,5,1,903,101},{5000,5,1,903,102},{5000,5,1,903,103},{5000,5,1,903,113},{5000,5,1,903,111}]</v>
      </c>
    </row>
    <row r="208" spans="2:49">
      <c r="B208">
        <v>1920</v>
      </c>
      <c r="C208" t="s">
        <v>87</v>
      </c>
      <c r="D208" t="str">
        <f t="shared" si="127"/>
        <v>10</v>
      </c>
      <c r="F208">
        <v>136</v>
      </c>
      <c r="G208">
        <v>5000</v>
      </c>
      <c r="H208">
        <f t="shared" si="98"/>
        <v>4</v>
      </c>
      <c r="I208">
        <v>1</v>
      </c>
      <c r="J208">
        <v>1</v>
      </c>
      <c r="K208">
        <f t="shared" si="128"/>
        <v>901</v>
      </c>
      <c r="L208">
        <f t="shared" si="106"/>
        <v>101</v>
      </c>
      <c r="M208">
        <v>5000</v>
      </c>
      <c r="N208">
        <f t="shared" si="104"/>
        <v>4</v>
      </c>
      <c r="O208">
        <v>1</v>
      </c>
      <c r="P208">
        <f t="shared" si="129"/>
        <v>901</v>
      </c>
      <c r="Q208">
        <v>54</v>
      </c>
      <c r="R208">
        <f t="shared" si="107"/>
        <v>103</v>
      </c>
      <c r="S208">
        <v>5000</v>
      </c>
      <c r="T208">
        <f t="shared" si="118"/>
        <v>4</v>
      </c>
      <c r="U208">
        <v>1</v>
      </c>
      <c r="V208">
        <f t="shared" si="130"/>
        <v>902</v>
      </c>
      <c r="W208">
        <v>76</v>
      </c>
      <c r="X208">
        <f t="shared" si="108"/>
        <v>111</v>
      </c>
      <c r="Y208">
        <v>5000</v>
      </c>
      <c r="Z208">
        <f t="shared" si="119"/>
        <v>4</v>
      </c>
      <c r="AA208">
        <v>1</v>
      </c>
      <c r="AB208">
        <f t="shared" si="131"/>
        <v>901</v>
      </c>
      <c r="AC208">
        <v>72</v>
      </c>
      <c r="AD208">
        <f t="shared" si="109"/>
        <v>112</v>
      </c>
      <c r="AE208">
        <v>5000</v>
      </c>
      <c r="AF208">
        <f t="shared" si="120"/>
        <v>4</v>
      </c>
      <c r="AG208">
        <v>1</v>
      </c>
      <c r="AH208">
        <f t="shared" si="132"/>
        <v>902</v>
      </c>
      <c r="AI208">
        <v>74</v>
      </c>
      <c r="AJ208">
        <f t="shared" si="110"/>
        <v>113</v>
      </c>
      <c r="AP208" t="str">
        <f t="shared" si="121"/>
        <v>{5000,4,1,901,101}</v>
      </c>
      <c r="AQ208" t="str">
        <f t="shared" si="122"/>
        <v>{5000,4,1,901,103}</v>
      </c>
      <c r="AR208" t="str">
        <f t="shared" si="123"/>
        <v>{5000,4,1,902,111}</v>
      </c>
      <c r="AS208" t="str">
        <f t="shared" si="124"/>
        <v>{5000,4,1,901,112}</v>
      </c>
      <c r="AT208" t="str">
        <f t="shared" si="125"/>
        <v>{5000,4,1,902,113}</v>
      </c>
      <c r="AU208" t="str">
        <f t="shared" si="126"/>
        <v/>
      </c>
      <c r="AV208">
        <v>1920</v>
      </c>
      <c r="AW208" t="str">
        <f t="shared" si="116"/>
        <v>[{5000,4,1,901,101},{5000,4,1,901,103},{5000,4,1,902,111},{5000,4,1,901,112},{5000,4,1,902,113}]</v>
      </c>
    </row>
    <row r="209" spans="2:49">
      <c r="B209">
        <v>1921</v>
      </c>
      <c r="C209" t="s">
        <v>87</v>
      </c>
      <c r="D209" t="str">
        <f t="shared" si="127"/>
        <v>10</v>
      </c>
      <c r="F209">
        <v>151</v>
      </c>
      <c r="G209">
        <v>5000</v>
      </c>
      <c r="H209">
        <f t="shared" si="98"/>
        <v>4</v>
      </c>
      <c r="I209">
        <v>1</v>
      </c>
      <c r="J209">
        <v>1</v>
      </c>
      <c r="K209">
        <f t="shared" si="128"/>
        <v>901</v>
      </c>
      <c r="L209">
        <f t="shared" si="106"/>
        <v>101</v>
      </c>
      <c r="M209">
        <v>5000</v>
      </c>
      <c r="N209">
        <f t="shared" si="104"/>
        <v>4</v>
      </c>
      <c r="O209">
        <v>1</v>
      </c>
      <c r="P209">
        <f t="shared" si="129"/>
        <v>901</v>
      </c>
      <c r="Q209">
        <v>54</v>
      </c>
      <c r="R209">
        <f t="shared" si="107"/>
        <v>102</v>
      </c>
      <c r="S209">
        <v>5000</v>
      </c>
      <c r="T209">
        <f t="shared" si="118"/>
        <v>4</v>
      </c>
      <c r="U209">
        <v>1</v>
      </c>
      <c r="V209">
        <f t="shared" si="130"/>
        <v>902</v>
      </c>
      <c r="W209">
        <v>56</v>
      </c>
      <c r="X209">
        <f t="shared" si="108"/>
        <v>103</v>
      </c>
      <c r="Y209">
        <v>5000</v>
      </c>
      <c r="Z209">
        <f t="shared" si="119"/>
        <v>4</v>
      </c>
      <c r="AA209">
        <v>1</v>
      </c>
      <c r="AB209">
        <f t="shared" si="131"/>
        <v>901</v>
      </c>
      <c r="AC209">
        <v>72</v>
      </c>
      <c r="AD209">
        <f t="shared" si="109"/>
        <v>113</v>
      </c>
      <c r="AE209">
        <v>5000</v>
      </c>
      <c r="AF209">
        <f t="shared" si="120"/>
        <v>4</v>
      </c>
      <c r="AG209">
        <v>1</v>
      </c>
      <c r="AH209">
        <f t="shared" si="132"/>
        <v>902</v>
      </c>
      <c r="AI209">
        <v>74</v>
      </c>
      <c r="AJ209">
        <f t="shared" si="110"/>
        <v>111</v>
      </c>
      <c r="AP209" t="str">
        <f t="shared" si="121"/>
        <v>{5000,4,1,901,101}</v>
      </c>
      <c r="AQ209" t="str">
        <f t="shared" si="122"/>
        <v>{5000,4,1,901,102}</v>
      </c>
      <c r="AR209" t="str">
        <f t="shared" si="123"/>
        <v>{5000,4,1,902,103}</v>
      </c>
      <c r="AS209" t="str">
        <f t="shared" si="124"/>
        <v>{5000,4,1,901,113}</v>
      </c>
      <c r="AT209" t="str">
        <f t="shared" si="125"/>
        <v>{5000,4,1,902,111}</v>
      </c>
      <c r="AU209" t="str">
        <f t="shared" si="126"/>
        <v/>
      </c>
      <c r="AV209">
        <v>1921</v>
      </c>
      <c r="AW209" t="str">
        <f t="shared" si="116"/>
        <v>[{5000,4,1,901,101},{5000,4,1,901,102},{5000,4,1,902,103},{5000,4,1,901,113},{5000,4,1,902,111}]</v>
      </c>
    </row>
    <row r="210" spans="2:49">
      <c r="B210">
        <v>1922</v>
      </c>
      <c r="C210" t="s">
        <v>87</v>
      </c>
      <c r="D210" t="str">
        <f t="shared" si="127"/>
        <v>10</v>
      </c>
      <c r="F210">
        <v>166</v>
      </c>
      <c r="G210">
        <v>5000</v>
      </c>
      <c r="H210">
        <f t="shared" si="98"/>
        <v>4</v>
      </c>
      <c r="I210">
        <v>1</v>
      </c>
      <c r="J210">
        <v>1</v>
      </c>
      <c r="K210">
        <f t="shared" si="128"/>
        <v>901</v>
      </c>
      <c r="L210">
        <f t="shared" si="106"/>
        <v>101</v>
      </c>
      <c r="M210">
        <v>5000</v>
      </c>
      <c r="N210">
        <f t="shared" si="104"/>
        <v>4</v>
      </c>
      <c r="O210">
        <v>1</v>
      </c>
      <c r="P210">
        <f t="shared" si="129"/>
        <v>901</v>
      </c>
      <c r="Q210">
        <v>59</v>
      </c>
      <c r="R210">
        <f t="shared" si="107"/>
        <v>103</v>
      </c>
      <c r="S210">
        <v>5000</v>
      </c>
      <c r="T210">
        <f t="shared" si="118"/>
        <v>4</v>
      </c>
      <c r="U210">
        <v>1</v>
      </c>
      <c r="V210">
        <f t="shared" si="130"/>
        <v>902</v>
      </c>
      <c r="W210">
        <v>79</v>
      </c>
      <c r="X210">
        <f t="shared" si="108"/>
        <v>111</v>
      </c>
      <c r="Y210">
        <v>5000</v>
      </c>
      <c r="Z210">
        <f t="shared" si="119"/>
        <v>4</v>
      </c>
      <c r="AA210">
        <v>1</v>
      </c>
      <c r="AB210">
        <f t="shared" si="131"/>
        <v>901</v>
      </c>
      <c r="AC210">
        <v>71</v>
      </c>
      <c r="AD210">
        <f t="shared" si="109"/>
        <v>112</v>
      </c>
      <c r="AE210">
        <v>5000</v>
      </c>
      <c r="AF210">
        <f t="shared" si="120"/>
        <v>4</v>
      </c>
      <c r="AG210">
        <v>1</v>
      </c>
      <c r="AH210">
        <f t="shared" si="132"/>
        <v>902</v>
      </c>
      <c r="AI210">
        <v>74</v>
      </c>
      <c r="AJ210">
        <f t="shared" si="110"/>
        <v>113</v>
      </c>
      <c r="AP210" t="str">
        <f t="shared" si="121"/>
        <v>{5000,4,1,901,101}</v>
      </c>
      <c r="AQ210" t="str">
        <f t="shared" si="122"/>
        <v>{5000,4,1,901,103}</v>
      </c>
      <c r="AR210" t="str">
        <f t="shared" si="123"/>
        <v>{5000,4,1,902,111}</v>
      </c>
      <c r="AS210" t="str">
        <f t="shared" si="124"/>
        <v>{5000,4,1,901,112}</v>
      </c>
      <c r="AT210" t="str">
        <f t="shared" si="125"/>
        <v>{5000,4,1,902,113}</v>
      </c>
      <c r="AU210" t="str">
        <f t="shared" si="126"/>
        <v/>
      </c>
      <c r="AV210">
        <v>1922</v>
      </c>
      <c r="AW210" t="str">
        <f t="shared" si="116"/>
        <v>[{5000,4,1,901,101},{5000,4,1,901,103},{5000,4,1,902,111},{5000,4,1,901,112},{5000,4,1,902,113}]</v>
      </c>
    </row>
    <row r="211" spans="2:49">
      <c r="B211">
        <v>1923</v>
      </c>
      <c r="C211" t="s">
        <v>87</v>
      </c>
      <c r="D211" t="str">
        <f t="shared" si="127"/>
        <v>10</v>
      </c>
      <c r="F211">
        <v>181</v>
      </c>
      <c r="G211">
        <v>5000</v>
      </c>
      <c r="H211">
        <f t="shared" si="98"/>
        <v>6</v>
      </c>
      <c r="I211">
        <v>1</v>
      </c>
      <c r="J211">
        <v>3</v>
      </c>
      <c r="K211">
        <f t="shared" si="128"/>
        <v>903</v>
      </c>
      <c r="L211">
        <f t="shared" si="106"/>
        <v>101</v>
      </c>
      <c r="M211">
        <v>5000</v>
      </c>
      <c r="N211">
        <f t="shared" si="104"/>
        <v>6</v>
      </c>
      <c r="O211">
        <v>1</v>
      </c>
      <c r="P211">
        <f t="shared" si="129"/>
        <v>903</v>
      </c>
      <c r="Q211">
        <v>53</v>
      </c>
      <c r="R211">
        <f t="shared" si="107"/>
        <v>102</v>
      </c>
      <c r="S211">
        <v>5000</v>
      </c>
      <c r="T211">
        <f t="shared" si="118"/>
        <v>6</v>
      </c>
      <c r="U211">
        <v>1</v>
      </c>
      <c r="V211">
        <f t="shared" si="130"/>
        <v>903</v>
      </c>
      <c r="W211">
        <v>56</v>
      </c>
      <c r="X211">
        <f t="shared" si="108"/>
        <v>103</v>
      </c>
      <c r="Y211">
        <v>5000</v>
      </c>
      <c r="Z211">
        <f t="shared" si="119"/>
        <v>6</v>
      </c>
      <c r="AA211">
        <v>1</v>
      </c>
      <c r="AB211">
        <f t="shared" si="131"/>
        <v>903</v>
      </c>
      <c r="AC211">
        <v>75</v>
      </c>
      <c r="AD211">
        <f t="shared" si="109"/>
        <v>113</v>
      </c>
      <c r="AE211">
        <v>5000</v>
      </c>
      <c r="AF211">
        <f t="shared" si="120"/>
        <v>6</v>
      </c>
      <c r="AG211">
        <v>1</v>
      </c>
      <c r="AH211">
        <f t="shared" si="132"/>
        <v>903</v>
      </c>
      <c r="AI211">
        <v>78</v>
      </c>
      <c r="AJ211">
        <f t="shared" si="110"/>
        <v>111</v>
      </c>
      <c r="AP211" t="str">
        <f t="shared" si="121"/>
        <v>{5000,6,1,903,101}</v>
      </c>
      <c r="AQ211" t="str">
        <f t="shared" si="122"/>
        <v>{5000,6,1,903,102}</v>
      </c>
      <c r="AR211" t="str">
        <f t="shared" si="123"/>
        <v>{5000,6,1,903,103}</v>
      </c>
      <c r="AS211" t="str">
        <f t="shared" si="124"/>
        <v>{5000,6,1,903,113}</v>
      </c>
      <c r="AT211" t="str">
        <f t="shared" si="125"/>
        <v>{5000,6,1,903,111}</v>
      </c>
      <c r="AU211" t="str">
        <f t="shared" si="126"/>
        <v/>
      </c>
      <c r="AV211">
        <v>1923</v>
      </c>
      <c r="AW211" t="str">
        <f t="shared" si="116"/>
        <v>[{5000,6,1,903,101},{5000,6,1,903,102},{5000,6,1,903,103},{5000,6,1,903,113},{5000,6,1,903,111}]</v>
      </c>
    </row>
    <row r="212" spans="2:49">
      <c r="B212">
        <v>1924</v>
      </c>
      <c r="C212" t="s">
        <v>87</v>
      </c>
      <c r="D212" t="str">
        <f t="shared" si="127"/>
        <v>10</v>
      </c>
      <c r="F212">
        <v>196</v>
      </c>
      <c r="G212">
        <v>5000</v>
      </c>
      <c r="H212">
        <f t="shared" si="98"/>
        <v>5</v>
      </c>
      <c r="I212">
        <v>1</v>
      </c>
      <c r="J212">
        <v>2</v>
      </c>
      <c r="K212">
        <f t="shared" si="128"/>
        <v>902</v>
      </c>
      <c r="L212">
        <f t="shared" si="106"/>
        <v>101</v>
      </c>
      <c r="M212">
        <v>5000</v>
      </c>
      <c r="N212">
        <f t="shared" si="104"/>
        <v>5</v>
      </c>
      <c r="O212">
        <v>1</v>
      </c>
      <c r="P212">
        <f t="shared" si="129"/>
        <v>901</v>
      </c>
      <c r="Q212">
        <v>54</v>
      </c>
      <c r="R212">
        <f t="shared" si="107"/>
        <v>103</v>
      </c>
      <c r="S212">
        <v>5000</v>
      </c>
      <c r="T212">
        <f t="shared" si="118"/>
        <v>5</v>
      </c>
      <c r="U212">
        <v>1</v>
      </c>
      <c r="V212">
        <f t="shared" si="130"/>
        <v>902</v>
      </c>
      <c r="W212">
        <v>77</v>
      </c>
      <c r="X212">
        <f t="shared" si="108"/>
        <v>111</v>
      </c>
      <c r="Y212">
        <v>5000</v>
      </c>
      <c r="Z212">
        <f t="shared" si="119"/>
        <v>5</v>
      </c>
      <c r="AA212">
        <v>1</v>
      </c>
      <c r="AB212">
        <f t="shared" si="131"/>
        <v>901</v>
      </c>
      <c r="AC212">
        <v>72</v>
      </c>
      <c r="AD212">
        <f t="shared" si="109"/>
        <v>112</v>
      </c>
      <c r="AE212">
        <v>5000</v>
      </c>
      <c r="AF212">
        <f t="shared" si="120"/>
        <v>5</v>
      </c>
      <c r="AG212">
        <v>1</v>
      </c>
      <c r="AH212">
        <f t="shared" si="132"/>
        <v>902</v>
      </c>
      <c r="AI212">
        <v>74</v>
      </c>
      <c r="AJ212">
        <f t="shared" si="110"/>
        <v>113</v>
      </c>
      <c r="AP212" t="str">
        <f t="shared" si="121"/>
        <v>{5000,5,1,902,101}</v>
      </c>
      <c r="AQ212" t="str">
        <f t="shared" si="122"/>
        <v>{5000,5,1,901,103}</v>
      </c>
      <c r="AR212" t="str">
        <f t="shared" si="123"/>
        <v>{5000,5,1,902,111}</v>
      </c>
      <c r="AS212" t="str">
        <f t="shared" si="124"/>
        <v>{5000,5,1,901,112}</v>
      </c>
      <c r="AT212" t="str">
        <f t="shared" si="125"/>
        <v>{5000,5,1,902,113}</v>
      </c>
      <c r="AU212" t="str">
        <f t="shared" si="126"/>
        <v/>
      </c>
      <c r="AV212">
        <v>1924</v>
      </c>
      <c r="AW212" t="str">
        <f t="shared" si="116"/>
        <v>[{5000,5,1,902,101},{5000,5,1,901,103},{5000,5,1,902,111},{5000,5,1,901,112},{5000,5,1,902,113}]</v>
      </c>
    </row>
    <row r="213" spans="2:48">
      <c r="B213">
        <v>1925</v>
      </c>
      <c r="C213" t="s">
        <v>87</v>
      </c>
      <c r="D213" t="str">
        <f t="shared" si="127"/>
        <v>10</v>
      </c>
      <c r="F213">
        <v>209</v>
      </c>
      <c r="K213" t="str">
        <f t="shared" si="128"/>
        <v/>
      </c>
      <c r="L213" t="str">
        <f t="shared" si="106"/>
        <v/>
      </c>
      <c r="N213">
        <f t="shared" si="104"/>
        <v>0</v>
      </c>
      <c r="P213" t="str">
        <f t="shared" si="129"/>
        <v/>
      </c>
      <c r="R213" t="str">
        <f t="shared" si="107"/>
        <v/>
      </c>
      <c r="T213">
        <f t="shared" si="118"/>
        <v>0</v>
      </c>
      <c r="V213" t="str">
        <f t="shared" si="130"/>
        <v/>
      </c>
      <c r="X213" t="str">
        <f t="shared" si="108"/>
        <v/>
      </c>
      <c r="Z213">
        <f t="shared" si="119"/>
        <v>0</v>
      </c>
      <c r="AB213" t="str">
        <f t="shared" si="131"/>
        <v/>
      </c>
      <c r="AD213" t="str">
        <f t="shared" si="109"/>
        <v/>
      </c>
      <c r="AF213">
        <f t="shared" si="120"/>
        <v>0</v>
      </c>
      <c r="AH213" t="str">
        <f t="shared" si="132"/>
        <v/>
      </c>
      <c r="AJ213" t="str">
        <f t="shared" si="110"/>
        <v/>
      </c>
      <c r="AP213" t="str">
        <f t="shared" si="121"/>
        <v/>
      </c>
      <c r="AQ213" t="str">
        <f t="shared" si="122"/>
        <v/>
      </c>
      <c r="AR213" t="str">
        <f t="shared" si="123"/>
        <v/>
      </c>
      <c r="AS213" t="str">
        <f t="shared" si="124"/>
        <v/>
      </c>
      <c r="AT213" t="str">
        <f t="shared" si="125"/>
        <v/>
      </c>
      <c r="AU213" t="str">
        <f t="shared" si="126"/>
        <v/>
      </c>
      <c r="AV213">
        <v>1925</v>
      </c>
    </row>
    <row r="214" spans="2:49">
      <c r="B214">
        <v>1926</v>
      </c>
      <c r="C214" t="s">
        <v>87</v>
      </c>
      <c r="D214" t="str">
        <f t="shared" si="127"/>
        <v>10</v>
      </c>
      <c r="F214">
        <v>211</v>
      </c>
      <c r="G214">
        <v>5000</v>
      </c>
      <c r="H214">
        <f t="shared" si="98"/>
        <v>6</v>
      </c>
      <c r="I214">
        <v>1</v>
      </c>
      <c r="J214">
        <v>2</v>
      </c>
      <c r="K214">
        <f t="shared" si="128"/>
        <v>902</v>
      </c>
      <c r="L214">
        <f t="shared" si="106"/>
        <v>101</v>
      </c>
      <c r="M214">
        <v>5000</v>
      </c>
      <c r="N214">
        <f t="shared" si="104"/>
        <v>6</v>
      </c>
      <c r="O214">
        <v>1</v>
      </c>
      <c r="P214">
        <f t="shared" si="129"/>
        <v>901</v>
      </c>
      <c r="Q214">
        <v>51</v>
      </c>
      <c r="R214">
        <f t="shared" si="107"/>
        <v>102</v>
      </c>
      <c r="S214">
        <v>5000</v>
      </c>
      <c r="T214">
        <f t="shared" si="118"/>
        <v>6</v>
      </c>
      <c r="U214">
        <v>1</v>
      </c>
      <c r="V214">
        <f t="shared" si="130"/>
        <v>902</v>
      </c>
      <c r="W214">
        <v>57</v>
      </c>
      <c r="X214">
        <f t="shared" si="108"/>
        <v>103</v>
      </c>
      <c r="Y214">
        <v>5000</v>
      </c>
      <c r="Z214">
        <f t="shared" si="119"/>
        <v>6</v>
      </c>
      <c r="AA214">
        <v>1</v>
      </c>
      <c r="AB214">
        <f t="shared" si="131"/>
        <v>901</v>
      </c>
      <c r="AC214">
        <v>79</v>
      </c>
      <c r="AD214">
        <f t="shared" si="109"/>
        <v>113</v>
      </c>
      <c r="AE214">
        <v>5000</v>
      </c>
      <c r="AF214">
        <f t="shared" si="120"/>
        <v>6</v>
      </c>
      <c r="AG214">
        <v>1</v>
      </c>
      <c r="AH214">
        <f t="shared" si="132"/>
        <v>902</v>
      </c>
      <c r="AI214">
        <v>72</v>
      </c>
      <c r="AJ214">
        <f t="shared" si="110"/>
        <v>111</v>
      </c>
      <c r="AK214">
        <v>1000</v>
      </c>
      <c r="AL214">
        <v>1</v>
      </c>
      <c r="AM214">
        <v>0</v>
      </c>
      <c r="AN214">
        <v>931</v>
      </c>
      <c r="AO214">
        <v>4</v>
      </c>
      <c r="AP214" t="str">
        <f t="shared" si="121"/>
        <v>{5000,6,1,902,101}</v>
      </c>
      <c r="AQ214" t="str">
        <f t="shared" si="122"/>
        <v>{5000,6,1,901,102}</v>
      </c>
      <c r="AR214" t="str">
        <f t="shared" si="123"/>
        <v>{5000,6,1,902,103}</v>
      </c>
      <c r="AS214" t="str">
        <f t="shared" si="124"/>
        <v>{5000,6,1,901,113}</v>
      </c>
      <c r="AT214" t="str">
        <f t="shared" si="125"/>
        <v>{5000,6,1,902,111}</v>
      </c>
      <c r="AU214" t="str">
        <f t="shared" si="126"/>
        <v>{1000,1,0,931,4}</v>
      </c>
      <c r="AV214">
        <v>1926</v>
      </c>
      <c r="AW214" t="str">
        <f t="shared" ref="AW214:AW228" si="133">IF(AU214="","["&amp;_xlfn.TEXTJOIN(",",1,AP214:AT214)&amp;"]","["&amp;_xlfn.TEXTJOIN(",",1,AP214:AU214)&amp;"]")</f>
        <v>[{5000,6,1,902,101},{5000,6,1,901,102},{5000,6,1,902,103},{5000,6,1,901,113},{5000,6,1,902,111},{1000,1,0,931,4}]</v>
      </c>
    </row>
    <row r="215" spans="2:49">
      <c r="B215">
        <v>1927</v>
      </c>
      <c r="C215" t="s">
        <v>87</v>
      </c>
      <c r="D215" t="str">
        <f t="shared" si="127"/>
        <v>10</v>
      </c>
      <c r="F215">
        <v>226</v>
      </c>
      <c r="G215">
        <v>5000</v>
      </c>
      <c r="H215">
        <f t="shared" si="98"/>
        <v>6</v>
      </c>
      <c r="I215">
        <v>1</v>
      </c>
      <c r="J215">
        <v>2</v>
      </c>
      <c r="K215">
        <f t="shared" si="128"/>
        <v>902</v>
      </c>
      <c r="L215">
        <f t="shared" si="106"/>
        <v>101</v>
      </c>
      <c r="M215">
        <v>5000</v>
      </c>
      <c r="N215">
        <f t="shared" si="104"/>
        <v>6</v>
      </c>
      <c r="O215">
        <v>1</v>
      </c>
      <c r="P215">
        <f t="shared" si="129"/>
        <v>901</v>
      </c>
      <c r="Q215">
        <v>51</v>
      </c>
      <c r="R215">
        <f t="shared" si="107"/>
        <v>103</v>
      </c>
      <c r="S215">
        <v>5000</v>
      </c>
      <c r="T215">
        <f t="shared" si="118"/>
        <v>6</v>
      </c>
      <c r="U215">
        <v>1</v>
      </c>
      <c r="V215">
        <f t="shared" si="130"/>
        <v>902</v>
      </c>
      <c r="W215">
        <v>75</v>
      </c>
      <c r="X215">
        <f t="shared" si="108"/>
        <v>111</v>
      </c>
      <c r="Y215">
        <v>5000</v>
      </c>
      <c r="Z215">
        <f t="shared" si="119"/>
        <v>6</v>
      </c>
      <c r="AA215">
        <v>1</v>
      </c>
      <c r="AB215">
        <f t="shared" si="131"/>
        <v>901</v>
      </c>
      <c r="AC215">
        <v>71</v>
      </c>
      <c r="AD215">
        <f t="shared" si="109"/>
        <v>112</v>
      </c>
      <c r="AE215">
        <v>5000</v>
      </c>
      <c r="AF215">
        <f t="shared" si="120"/>
        <v>6</v>
      </c>
      <c r="AG215">
        <v>1</v>
      </c>
      <c r="AH215">
        <f t="shared" si="132"/>
        <v>902</v>
      </c>
      <c r="AI215">
        <v>77</v>
      </c>
      <c r="AJ215">
        <f t="shared" si="110"/>
        <v>113</v>
      </c>
      <c r="AP215" t="str">
        <f t="shared" si="121"/>
        <v>{5000,6,1,902,101}</v>
      </c>
      <c r="AQ215" t="str">
        <f t="shared" si="122"/>
        <v>{5000,6,1,901,103}</v>
      </c>
      <c r="AR215" t="str">
        <f t="shared" si="123"/>
        <v>{5000,6,1,902,111}</v>
      </c>
      <c r="AS215" t="str">
        <f t="shared" si="124"/>
        <v>{5000,6,1,901,112}</v>
      </c>
      <c r="AT215" t="str">
        <f t="shared" si="125"/>
        <v>{5000,6,1,902,113}</v>
      </c>
      <c r="AU215" t="str">
        <f t="shared" si="126"/>
        <v/>
      </c>
      <c r="AV215">
        <v>1927</v>
      </c>
      <c r="AW215" t="str">
        <f t="shared" si="133"/>
        <v>[{5000,6,1,902,101},{5000,6,1,901,103},{5000,6,1,902,111},{5000,6,1,901,112},{5000,6,1,902,113}]</v>
      </c>
    </row>
    <row r="216" spans="2:49">
      <c r="B216">
        <v>1928</v>
      </c>
      <c r="C216" t="s">
        <v>87</v>
      </c>
      <c r="D216" t="str">
        <f t="shared" si="127"/>
        <v>10</v>
      </c>
      <c r="F216">
        <v>241</v>
      </c>
      <c r="G216">
        <v>5000</v>
      </c>
      <c r="H216">
        <f t="shared" si="98"/>
        <v>7</v>
      </c>
      <c r="I216">
        <v>1</v>
      </c>
      <c r="J216">
        <v>3</v>
      </c>
      <c r="K216">
        <f t="shared" si="128"/>
        <v>903</v>
      </c>
      <c r="L216">
        <f t="shared" si="106"/>
        <v>101</v>
      </c>
      <c r="M216">
        <v>5000</v>
      </c>
      <c r="N216">
        <f t="shared" si="104"/>
        <v>7</v>
      </c>
      <c r="O216">
        <v>1</v>
      </c>
      <c r="P216">
        <f t="shared" si="129"/>
        <v>903</v>
      </c>
      <c r="Q216">
        <v>53</v>
      </c>
      <c r="R216">
        <f t="shared" si="107"/>
        <v>102</v>
      </c>
      <c r="S216">
        <v>5000</v>
      </c>
      <c r="T216">
        <f t="shared" si="118"/>
        <v>7</v>
      </c>
      <c r="U216">
        <v>1</v>
      </c>
      <c r="V216">
        <f t="shared" si="130"/>
        <v>903</v>
      </c>
      <c r="W216">
        <v>56</v>
      </c>
      <c r="X216">
        <f t="shared" si="108"/>
        <v>103</v>
      </c>
      <c r="Y216">
        <v>5000</v>
      </c>
      <c r="Z216">
        <f t="shared" si="119"/>
        <v>7</v>
      </c>
      <c r="AA216">
        <v>1</v>
      </c>
      <c r="AB216">
        <f t="shared" si="131"/>
        <v>903</v>
      </c>
      <c r="AC216">
        <v>74</v>
      </c>
      <c r="AD216">
        <f t="shared" si="109"/>
        <v>113</v>
      </c>
      <c r="AE216">
        <v>5000</v>
      </c>
      <c r="AF216">
        <f t="shared" si="120"/>
        <v>7</v>
      </c>
      <c r="AG216">
        <v>1</v>
      </c>
      <c r="AH216">
        <f t="shared" si="132"/>
        <v>903</v>
      </c>
      <c r="AI216">
        <v>78</v>
      </c>
      <c r="AJ216">
        <f t="shared" si="110"/>
        <v>111</v>
      </c>
      <c r="AP216" t="str">
        <f t="shared" si="121"/>
        <v>{5000,7,1,903,101}</v>
      </c>
      <c r="AQ216" t="str">
        <f t="shared" si="122"/>
        <v>{5000,7,1,903,102}</v>
      </c>
      <c r="AR216" t="str">
        <f t="shared" si="123"/>
        <v>{5000,7,1,903,103}</v>
      </c>
      <c r="AS216" t="str">
        <f t="shared" si="124"/>
        <v>{5000,7,1,903,113}</v>
      </c>
      <c r="AT216" t="str">
        <f t="shared" si="125"/>
        <v>{5000,7,1,903,111}</v>
      </c>
      <c r="AU216" t="str">
        <f t="shared" si="126"/>
        <v/>
      </c>
      <c r="AV216">
        <v>1928</v>
      </c>
      <c r="AW216" t="str">
        <f t="shared" si="133"/>
        <v>[{5000,7,1,903,101},{5000,7,1,903,102},{5000,7,1,903,103},{5000,7,1,903,113},{5000,7,1,903,111}]</v>
      </c>
    </row>
    <row r="217" spans="2:49">
      <c r="B217">
        <v>1929</v>
      </c>
      <c r="C217" t="s">
        <v>87</v>
      </c>
      <c r="D217" t="str">
        <f t="shared" si="127"/>
        <v>10</v>
      </c>
      <c r="F217">
        <v>256</v>
      </c>
      <c r="G217">
        <v>5000</v>
      </c>
      <c r="H217">
        <f t="shared" si="98"/>
        <v>6</v>
      </c>
      <c r="I217">
        <v>1</v>
      </c>
      <c r="J217">
        <v>2</v>
      </c>
      <c r="K217">
        <f t="shared" si="128"/>
        <v>902</v>
      </c>
      <c r="L217">
        <f t="shared" si="106"/>
        <v>101</v>
      </c>
      <c r="M217">
        <v>5000</v>
      </c>
      <c r="N217">
        <f t="shared" si="104"/>
        <v>6</v>
      </c>
      <c r="O217">
        <v>1</v>
      </c>
      <c r="P217">
        <f t="shared" si="129"/>
        <v>902</v>
      </c>
      <c r="Q217">
        <v>59</v>
      </c>
      <c r="R217">
        <f t="shared" si="107"/>
        <v>103</v>
      </c>
      <c r="S217">
        <v>5000</v>
      </c>
      <c r="T217">
        <f t="shared" si="118"/>
        <v>6</v>
      </c>
      <c r="U217">
        <v>1</v>
      </c>
      <c r="V217">
        <f t="shared" si="130"/>
        <v>902</v>
      </c>
      <c r="W217">
        <v>79</v>
      </c>
      <c r="X217">
        <f t="shared" si="108"/>
        <v>111</v>
      </c>
      <c r="Y217">
        <v>5000</v>
      </c>
      <c r="Z217">
        <f t="shared" si="119"/>
        <v>6</v>
      </c>
      <c r="AA217">
        <v>1</v>
      </c>
      <c r="AB217">
        <f t="shared" si="131"/>
        <v>901</v>
      </c>
      <c r="AC217">
        <v>72</v>
      </c>
      <c r="AD217">
        <f t="shared" si="109"/>
        <v>112</v>
      </c>
      <c r="AE217">
        <v>5000</v>
      </c>
      <c r="AF217">
        <f t="shared" si="120"/>
        <v>6</v>
      </c>
      <c r="AG217">
        <v>1</v>
      </c>
      <c r="AH217">
        <f t="shared" si="132"/>
        <v>902</v>
      </c>
      <c r="AI217">
        <v>74</v>
      </c>
      <c r="AJ217">
        <f t="shared" si="110"/>
        <v>113</v>
      </c>
      <c r="AP217" t="str">
        <f t="shared" si="121"/>
        <v>{5000,6,1,902,101}</v>
      </c>
      <c r="AQ217" t="str">
        <f t="shared" si="122"/>
        <v>{5000,6,1,902,103}</v>
      </c>
      <c r="AR217" t="str">
        <f t="shared" si="123"/>
        <v>{5000,6,1,902,111}</v>
      </c>
      <c r="AS217" t="str">
        <f t="shared" si="124"/>
        <v>{5000,6,1,901,112}</v>
      </c>
      <c r="AT217" t="str">
        <f t="shared" si="125"/>
        <v>{5000,6,1,902,113}</v>
      </c>
      <c r="AU217" t="str">
        <f t="shared" si="126"/>
        <v/>
      </c>
      <c r="AV217">
        <v>1929</v>
      </c>
      <c r="AW217" t="str">
        <f t="shared" si="133"/>
        <v>[{5000,6,1,902,101},{5000,6,1,902,103},{5000,6,1,902,111},{5000,6,1,901,112},{5000,6,1,902,113}]</v>
      </c>
    </row>
    <row r="218" spans="2:49">
      <c r="B218">
        <v>1930</v>
      </c>
      <c r="C218" t="s">
        <v>87</v>
      </c>
      <c r="D218" t="str">
        <f t="shared" si="127"/>
        <v>10</v>
      </c>
      <c r="F218">
        <v>271</v>
      </c>
      <c r="G218">
        <v>5000</v>
      </c>
      <c r="H218">
        <f t="shared" si="98"/>
        <v>6</v>
      </c>
      <c r="I218">
        <v>1</v>
      </c>
      <c r="J218">
        <v>2</v>
      </c>
      <c r="K218">
        <f t="shared" si="128"/>
        <v>902</v>
      </c>
      <c r="L218">
        <f t="shared" si="106"/>
        <v>101</v>
      </c>
      <c r="M218">
        <v>5000</v>
      </c>
      <c r="N218">
        <f t="shared" si="104"/>
        <v>6</v>
      </c>
      <c r="O218">
        <v>1</v>
      </c>
      <c r="P218">
        <f t="shared" si="129"/>
        <v>902</v>
      </c>
      <c r="Q218">
        <v>54</v>
      </c>
      <c r="R218">
        <f t="shared" si="107"/>
        <v>102</v>
      </c>
      <c r="S218">
        <v>5000</v>
      </c>
      <c r="T218">
        <f t="shared" si="118"/>
        <v>6</v>
      </c>
      <c r="U218">
        <v>1</v>
      </c>
      <c r="V218">
        <f t="shared" si="130"/>
        <v>902</v>
      </c>
      <c r="W218">
        <v>56</v>
      </c>
      <c r="X218">
        <f t="shared" si="108"/>
        <v>103</v>
      </c>
      <c r="Y218">
        <v>5000</v>
      </c>
      <c r="Z218">
        <f t="shared" si="119"/>
        <v>6</v>
      </c>
      <c r="AA218">
        <v>1</v>
      </c>
      <c r="AB218">
        <f t="shared" si="131"/>
        <v>902</v>
      </c>
      <c r="AC218">
        <v>73</v>
      </c>
      <c r="AD218">
        <f t="shared" si="109"/>
        <v>113</v>
      </c>
      <c r="AE218">
        <v>5000</v>
      </c>
      <c r="AF218">
        <f t="shared" si="120"/>
        <v>6</v>
      </c>
      <c r="AG218">
        <v>1</v>
      </c>
      <c r="AH218">
        <f t="shared" si="132"/>
        <v>902</v>
      </c>
      <c r="AI218">
        <v>75</v>
      </c>
      <c r="AJ218">
        <f t="shared" si="110"/>
        <v>111</v>
      </c>
      <c r="AP218" t="str">
        <f t="shared" si="121"/>
        <v>{5000,6,1,902,101}</v>
      </c>
      <c r="AQ218" t="str">
        <f t="shared" si="122"/>
        <v>{5000,6,1,902,102}</v>
      </c>
      <c r="AR218" t="str">
        <f t="shared" si="123"/>
        <v>{5000,6,1,902,103}</v>
      </c>
      <c r="AS218" t="str">
        <f t="shared" si="124"/>
        <v>{5000,6,1,902,113}</v>
      </c>
      <c r="AT218" t="str">
        <f t="shared" si="125"/>
        <v>{5000,6,1,902,111}</v>
      </c>
      <c r="AU218" t="str">
        <f t="shared" si="126"/>
        <v/>
      </c>
      <c r="AV218">
        <v>1930</v>
      </c>
      <c r="AW218" t="str">
        <f t="shared" si="133"/>
        <v>[{5000,6,1,902,101},{5000,6,1,902,102},{5000,6,1,902,103},{5000,6,1,902,113},{5000,6,1,902,111}]</v>
      </c>
    </row>
    <row r="219" spans="2:49">
      <c r="B219">
        <v>1931</v>
      </c>
      <c r="C219" t="s">
        <v>87</v>
      </c>
      <c r="D219" t="str">
        <f t="shared" si="127"/>
        <v>10</v>
      </c>
      <c r="F219">
        <v>286</v>
      </c>
      <c r="G219">
        <v>5000</v>
      </c>
      <c r="H219">
        <f t="shared" ref="H219:H220" si="134">H197</f>
        <v>6</v>
      </c>
      <c r="I219">
        <v>1</v>
      </c>
      <c r="J219">
        <v>2</v>
      </c>
      <c r="K219">
        <f t="shared" si="128"/>
        <v>902</v>
      </c>
      <c r="L219">
        <f t="shared" si="106"/>
        <v>101</v>
      </c>
      <c r="M219">
        <v>5000</v>
      </c>
      <c r="N219">
        <f t="shared" si="104"/>
        <v>6</v>
      </c>
      <c r="O219">
        <v>1</v>
      </c>
      <c r="P219">
        <f t="shared" si="129"/>
        <v>902</v>
      </c>
      <c r="Q219">
        <v>53</v>
      </c>
      <c r="R219">
        <f t="shared" si="107"/>
        <v>103</v>
      </c>
      <c r="S219">
        <v>5000</v>
      </c>
      <c r="T219">
        <f t="shared" si="118"/>
        <v>6</v>
      </c>
      <c r="U219">
        <v>1</v>
      </c>
      <c r="V219">
        <f t="shared" si="130"/>
        <v>902</v>
      </c>
      <c r="W219">
        <v>59</v>
      </c>
      <c r="X219">
        <f t="shared" si="108"/>
        <v>111</v>
      </c>
      <c r="Y219">
        <v>5000</v>
      </c>
      <c r="Z219">
        <f t="shared" si="119"/>
        <v>6</v>
      </c>
      <c r="AA219">
        <v>1</v>
      </c>
      <c r="AB219">
        <f t="shared" si="131"/>
        <v>902</v>
      </c>
      <c r="AC219">
        <v>71</v>
      </c>
      <c r="AD219">
        <f t="shared" si="109"/>
        <v>112</v>
      </c>
      <c r="AE219">
        <v>5000</v>
      </c>
      <c r="AF219">
        <f t="shared" si="120"/>
        <v>6</v>
      </c>
      <c r="AG219">
        <v>1</v>
      </c>
      <c r="AH219">
        <f t="shared" si="132"/>
        <v>902</v>
      </c>
      <c r="AI219">
        <v>77</v>
      </c>
      <c r="AJ219">
        <f t="shared" si="110"/>
        <v>113</v>
      </c>
      <c r="AP219" t="str">
        <f t="shared" si="121"/>
        <v>{5000,6,1,902,101}</v>
      </c>
      <c r="AQ219" t="str">
        <f t="shared" si="122"/>
        <v>{5000,6,1,902,103}</v>
      </c>
      <c r="AR219" t="str">
        <f t="shared" si="123"/>
        <v>{5000,6,1,902,111}</v>
      </c>
      <c r="AS219" t="str">
        <f t="shared" si="124"/>
        <v>{5000,6,1,902,112}</v>
      </c>
      <c r="AT219" t="str">
        <f t="shared" si="125"/>
        <v>{5000,6,1,902,113}</v>
      </c>
      <c r="AU219" t="str">
        <f t="shared" si="126"/>
        <v/>
      </c>
      <c r="AV219">
        <v>1931</v>
      </c>
      <c r="AW219" t="str">
        <f t="shared" si="133"/>
        <v>[{5000,6,1,902,101},{5000,6,1,902,103},{5000,6,1,902,111},{5000,6,1,902,112},{5000,6,1,902,113}]</v>
      </c>
    </row>
    <row r="220" spans="2:49">
      <c r="B220">
        <v>1932</v>
      </c>
      <c r="C220" t="s">
        <v>87</v>
      </c>
      <c r="D220" t="str">
        <f t="shared" si="127"/>
        <v>10</v>
      </c>
      <c r="F220">
        <v>290</v>
      </c>
      <c r="G220">
        <v>5000</v>
      </c>
      <c r="H220">
        <f t="shared" si="134"/>
        <v>6</v>
      </c>
      <c r="I220">
        <v>1</v>
      </c>
      <c r="J220">
        <v>2</v>
      </c>
      <c r="K220">
        <f t="shared" si="128"/>
        <v>902</v>
      </c>
      <c r="L220">
        <f t="shared" si="106"/>
        <v>101</v>
      </c>
      <c r="M220">
        <v>5000</v>
      </c>
      <c r="N220">
        <f t="shared" si="104"/>
        <v>6</v>
      </c>
      <c r="O220">
        <v>1</v>
      </c>
      <c r="P220">
        <f t="shared" si="129"/>
        <v>902</v>
      </c>
      <c r="Q220">
        <v>56</v>
      </c>
      <c r="R220">
        <f t="shared" si="107"/>
        <v>102</v>
      </c>
      <c r="S220">
        <v>5000</v>
      </c>
      <c r="T220">
        <f t="shared" si="118"/>
        <v>6</v>
      </c>
      <c r="U220">
        <v>1</v>
      </c>
      <c r="V220">
        <f t="shared" si="130"/>
        <v>901</v>
      </c>
      <c r="W220">
        <v>77</v>
      </c>
      <c r="X220">
        <f t="shared" si="108"/>
        <v>103</v>
      </c>
      <c r="Y220">
        <v>5000</v>
      </c>
      <c r="Z220">
        <f t="shared" si="119"/>
        <v>6</v>
      </c>
      <c r="AA220">
        <v>1</v>
      </c>
      <c r="AB220">
        <f t="shared" si="131"/>
        <v>902</v>
      </c>
      <c r="AC220">
        <v>72</v>
      </c>
      <c r="AD220">
        <f t="shared" si="109"/>
        <v>113</v>
      </c>
      <c r="AE220">
        <v>5000</v>
      </c>
      <c r="AF220">
        <f t="shared" si="120"/>
        <v>6</v>
      </c>
      <c r="AG220">
        <v>1</v>
      </c>
      <c r="AH220">
        <f t="shared" si="132"/>
        <v>902</v>
      </c>
      <c r="AI220">
        <v>74</v>
      </c>
      <c r="AJ220">
        <f t="shared" si="110"/>
        <v>111</v>
      </c>
      <c r="AP220" t="str">
        <f t="shared" si="121"/>
        <v>{5000,6,1,902,101}</v>
      </c>
      <c r="AQ220" t="str">
        <f t="shared" si="122"/>
        <v>{5000,6,1,902,102}</v>
      </c>
      <c r="AR220" t="str">
        <f t="shared" si="123"/>
        <v>{5000,6,1,901,103}</v>
      </c>
      <c r="AS220" t="str">
        <f t="shared" si="124"/>
        <v>{5000,6,1,902,113}</v>
      </c>
      <c r="AT220" t="str">
        <f t="shared" si="125"/>
        <v>{5000,6,1,902,111}</v>
      </c>
      <c r="AU220" t="str">
        <f t="shared" si="126"/>
        <v/>
      </c>
      <c r="AV220">
        <v>1932</v>
      </c>
      <c r="AW220" t="str">
        <f t="shared" si="133"/>
        <v>[{5000,6,1,902,101},{5000,6,1,902,102},{5000,6,1,901,103},{5000,6,1,902,113},{5000,6,1,902,111}]</v>
      </c>
    </row>
    <row r="221" spans="2:49">
      <c r="B221">
        <v>2011</v>
      </c>
      <c r="C221" t="s">
        <v>88</v>
      </c>
      <c r="D221" s="5" t="str">
        <f t="shared" si="127"/>
        <v>11</v>
      </c>
      <c r="E221" s="5"/>
      <c r="F221">
        <v>1</v>
      </c>
      <c r="G221">
        <v>5000</v>
      </c>
      <c r="H221">
        <f>H199+1</f>
        <v>2</v>
      </c>
      <c r="I221">
        <v>1</v>
      </c>
      <c r="J221">
        <v>1</v>
      </c>
      <c r="K221">
        <f t="shared" si="128"/>
        <v>1001</v>
      </c>
      <c r="L221">
        <f t="shared" si="106"/>
        <v>101</v>
      </c>
      <c r="M221">
        <v>5000</v>
      </c>
      <c r="N221">
        <f t="shared" si="104"/>
        <v>2</v>
      </c>
      <c r="O221">
        <v>1</v>
      </c>
      <c r="P221">
        <f t="shared" si="129"/>
        <v>1001</v>
      </c>
      <c r="Q221">
        <v>55</v>
      </c>
      <c r="R221">
        <f t="shared" si="107"/>
        <v>102</v>
      </c>
      <c r="S221">
        <v>5000</v>
      </c>
      <c r="T221">
        <f t="shared" si="118"/>
        <v>2</v>
      </c>
      <c r="U221">
        <v>1</v>
      </c>
      <c r="V221">
        <f t="shared" si="130"/>
        <v>1001</v>
      </c>
      <c r="W221">
        <v>60</v>
      </c>
      <c r="X221">
        <f t="shared" si="108"/>
        <v>103</v>
      </c>
      <c r="Y221">
        <v>5000</v>
      </c>
      <c r="Z221">
        <f t="shared" si="119"/>
        <v>2</v>
      </c>
      <c r="AA221">
        <v>1</v>
      </c>
      <c r="AB221">
        <f t="shared" si="131"/>
        <v>1001</v>
      </c>
      <c r="AC221">
        <v>71</v>
      </c>
      <c r="AD221">
        <f t="shared" si="109"/>
        <v>113</v>
      </c>
      <c r="AE221">
        <v>5000</v>
      </c>
      <c r="AF221">
        <f t="shared" si="120"/>
        <v>2</v>
      </c>
      <c r="AG221">
        <v>1</v>
      </c>
      <c r="AH221">
        <f t="shared" si="132"/>
        <v>1001</v>
      </c>
      <c r="AI221">
        <v>76</v>
      </c>
      <c r="AJ221">
        <f t="shared" si="110"/>
        <v>111</v>
      </c>
      <c r="AP221" t="str">
        <f t="shared" si="121"/>
        <v>{5000,2,1,1001,101}</v>
      </c>
      <c r="AQ221" t="str">
        <f t="shared" si="122"/>
        <v>{5000,2,1,1001,102}</v>
      </c>
      <c r="AR221" t="str">
        <f t="shared" si="123"/>
        <v>{5000,2,1,1001,103}</v>
      </c>
      <c r="AS221" t="str">
        <f t="shared" si="124"/>
        <v>{5000,2,1,1001,113}</v>
      </c>
      <c r="AT221" t="str">
        <f t="shared" si="125"/>
        <v>{5000,2,1,1001,111}</v>
      </c>
      <c r="AU221" t="str">
        <f t="shared" si="126"/>
        <v/>
      </c>
      <c r="AV221">
        <v>2011</v>
      </c>
      <c r="AW221" t="str">
        <f t="shared" si="133"/>
        <v>[{5000,2,1,1001,101},{5000,2,1,1001,102},{5000,2,1,1001,103},{5000,2,1,1001,113},{5000,2,1,1001,111}]</v>
      </c>
    </row>
    <row r="222" spans="2:49">
      <c r="B222">
        <v>2012</v>
      </c>
      <c r="C222" t="s">
        <v>88</v>
      </c>
      <c r="D222" t="str">
        <f t="shared" si="127"/>
        <v>11</v>
      </c>
      <c r="F222">
        <v>16</v>
      </c>
      <c r="G222">
        <v>5000</v>
      </c>
      <c r="H222">
        <f>H200+1</f>
        <v>2</v>
      </c>
      <c r="I222">
        <v>1</v>
      </c>
      <c r="J222">
        <v>1</v>
      </c>
      <c r="K222">
        <f t="shared" ref="K222:K236" si="135">IF($J222="","",K200+100)</f>
        <v>1001</v>
      </c>
      <c r="L222">
        <f t="shared" ref="L222:L228" si="136">IF(L200="","",L200)</f>
        <v>101</v>
      </c>
      <c r="M222">
        <v>5000</v>
      </c>
      <c r="N222">
        <f t="shared" si="104"/>
        <v>2</v>
      </c>
      <c r="O222">
        <v>1</v>
      </c>
      <c r="P222">
        <f t="shared" ref="P222:P236" si="137">IF($J222="","",P200+100)</f>
        <v>1001</v>
      </c>
      <c r="Q222">
        <v>55</v>
      </c>
      <c r="R222">
        <f t="shared" ref="R222:R228" si="138">IF(R200="","",R200)</f>
        <v>103</v>
      </c>
      <c r="S222">
        <v>5000</v>
      </c>
      <c r="T222">
        <f t="shared" si="118"/>
        <v>2</v>
      </c>
      <c r="U222">
        <v>1</v>
      </c>
      <c r="V222">
        <f t="shared" ref="V222:V236" si="139">IF($J222="","",V200+100)</f>
        <v>1001</v>
      </c>
      <c r="W222">
        <v>75</v>
      </c>
      <c r="X222">
        <f t="shared" ref="X222:X228" si="140">IF(X200="","",X200)</f>
        <v>111</v>
      </c>
      <c r="Y222">
        <v>5000</v>
      </c>
      <c r="Z222">
        <f t="shared" si="119"/>
        <v>2</v>
      </c>
      <c r="AA222">
        <v>1</v>
      </c>
      <c r="AB222">
        <f t="shared" ref="AB222:AB236" si="141">IF($J222="","",AB200+100)</f>
        <v>1001</v>
      </c>
      <c r="AC222">
        <v>73</v>
      </c>
      <c r="AD222">
        <f t="shared" ref="AD222:AD228" si="142">IF(AD200="","",AD200)</f>
        <v>112</v>
      </c>
      <c r="AE222">
        <v>5000</v>
      </c>
      <c r="AF222">
        <f t="shared" si="120"/>
        <v>2</v>
      </c>
      <c r="AG222">
        <v>1</v>
      </c>
      <c r="AH222">
        <f t="shared" ref="AH222:AH236" si="143">IF($J222="","",AH200+100)</f>
        <v>1001</v>
      </c>
      <c r="AI222">
        <v>78</v>
      </c>
      <c r="AJ222">
        <f t="shared" ref="AJ222:AJ228" si="144">IF(AJ200="","",AJ200)</f>
        <v>113</v>
      </c>
      <c r="AP222" t="str">
        <f t="shared" si="121"/>
        <v>{5000,2,1,1001,101}</v>
      </c>
      <c r="AQ222" t="str">
        <f t="shared" si="122"/>
        <v>{5000,2,1,1001,103}</v>
      </c>
      <c r="AR222" t="str">
        <f t="shared" si="123"/>
        <v>{5000,2,1,1001,111}</v>
      </c>
      <c r="AS222" t="str">
        <f t="shared" si="124"/>
        <v>{5000,2,1,1001,112}</v>
      </c>
      <c r="AT222" t="str">
        <f t="shared" si="125"/>
        <v>{5000,2,1,1001,113}</v>
      </c>
      <c r="AU222" t="str">
        <f t="shared" si="126"/>
        <v/>
      </c>
      <c r="AV222">
        <v>2012</v>
      </c>
      <c r="AW222" t="str">
        <f t="shared" si="133"/>
        <v>[{5000,2,1,1001,101},{5000,2,1,1001,103},{5000,2,1,1001,111},{5000,2,1,1001,112},{5000,2,1,1001,113}]</v>
      </c>
    </row>
    <row r="223" spans="2:49">
      <c r="B223">
        <v>2013</v>
      </c>
      <c r="C223" t="s">
        <v>88</v>
      </c>
      <c r="D223" t="str">
        <f t="shared" si="127"/>
        <v>11</v>
      </c>
      <c r="F223">
        <v>31</v>
      </c>
      <c r="G223">
        <v>5000</v>
      </c>
      <c r="H223">
        <f>H201+1</f>
        <v>3</v>
      </c>
      <c r="I223">
        <v>1</v>
      </c>
      <c r="J223">
        <v>1</v>
      </c>
      <c r="K223">
        <f t="shared" si="135"/>
        <v>1001</v>
      </c>
      <c r="L223">
        <f t="shared" si="136"/>
        <v>101</v>
      </c>
      <c r="M223">
        <v>5000</v>
      </c>
      <c r="N223">
        <f t="shared" si="104"/>
        <v>3</v>
      </c>
      <c r="O223">
        <v>1</v>
      </c>
      <c r="P223">
        <f t="shared" si="137"/>
        <v>1001</v>
      </c>
      <c r="Q223">
        <v>55</v>
      </c>
      <c r="R223">
        <f t="shared" si="138"/>
        <v>102</v>
      </c>
      <c r="S223">
        <v>5000</v>
      </c>
      <c r="T223">
        <f t="shared" si="118"/>
        <v>3</v>
      </c>
      <c r="U223">
        <v>1</v>
      </c>
      <c r="V223">
        <f t="shared" si="139"/>
        <v>1001</v>
      </c>
      <c r="W223">
        <v>58</v>
      </c>
      <c r="X223">
        <f t="shared" si="140"/>
        <v>103</v>
      </c>
      <c r="Y223">
        <v>5000</v>
      </c>
      <c r="Z223">
        <f t="shared" si="119"/>
        <v>3</v>
      </c>
      <c r="AA223">
        <v>1</v>
      </c>
      <c r="AB223">
        <f t="shared" si="141"/>
        <v>1001</v>
      </c>
      <c r="AC223">
        <v>76</v>
      </c>
      <c r="AD223">
        <f t="shared" si="142"/>
        <v>113</v>
      </c>
      <c r="AE223">
        <v>5000</v>
      </c>
      <c r="AF223">
        <f t="shared" si="120"/>
        <v>3</v>
      </c>
      <c r="AG223">
        <v>1</v>
      </c>
      <c r="AH223">
        <f t="shared" si="143"/>
        <v>1001</v>
      </c>
      <c r="AI223">
        <v>79</v>
      </c>
      <c r="AJ223">
        <f t="shared" si="144"/>
        <v>111</v>
      </c>
      <c r="AP223" t="str">
        <f t="shared" si="121"/>
        <v>{5000,3,1,1001,101}</v>
      </c>
      <c r="AQ223" t="str">
        <f t="shared" si="122"/>
        <v>{5000,3,1,1001,102}</v>
      </c>
      <c r="AR223" t="str">
        <f t="shared" si="123"/>
        <v>{5000,3,1,1001,103}</v>
      </c>
      <c r="AS223" t="str">
        <f t="shared" si="124"/>
        <v>{5000,3,1,1001,113}</v>
      </c>
      <c r="AT223" t="str">
        <f t="shared" si="125"/>
        <v>{5000,3,1,1001,111}</v>
      </c>
      <c r="AU223" t="str">
        <f t="shared" si="126"/>
        <v/>
      </c>
      <c r="AV223">
        <v>2013</v>
      </c>
      <c r="AW223" t="str">
        <f t="shared" si="133"/>
        <v>[{5000,3,1,1001,101},{5000,3,1,1001,102},{5000,3,1,1001,103},{5000,3,1,1001,113},{5000,3,1,1001,111}]</v>
      </c>
    </row>
    <row r="224" spans="2:49">
      <c r="B224">
        <v>2014</v>
      </c>
      <c r="C224" t="s">
        <v>88</v>
      </c>
      <c r="D224" t="str">
        <f t="shared" si="127"/>
        <v>11</v>
      </c>
      <c r="F224">
        <v>46</v>
      </c>
      <c r="G224">
        <v>5000</v>
      </c>
      <c r="H224">
        <f>H202+1</f>
        <v>3</v>
      </c>
      <c r="I224">
        <v>1</v>
      </c>
      <c r="J224">
        <v>1</v>
      </c>
      <c r="K224">
        <f t="shared" si="135"/>
        <v>1001</v>
      </c>
      <c r="L224">
        <f t="shared" si="136"/>
        <v>101</v>
      </c>
      <c r="M224">
        <v>5000</v>
      </c>
      <c r="N224">
        <f t="shared" si="104"/>
        <v>3</v>
      </c>
      <c r="O224">
        <v>1</v>
      </c>
      <c r="P224">
        <f t="shared" si="137"/>
        <v>1001</v>
      </c>
      <c r="Q224">
        <v>55</v>
      </c>
      <c r="R224">
        <f t="shared" si="138"/>
        <v>103</v>
      </c>
      <c r="S224">
        <v>5000</v>
      </c>
      <c r="T224">
        <f t="shared" si="118"/>
        <v>3</v>
      </c>
      <c r="U224">
        <v>1</v>
      </c>
      <c r="V224">
        <f t="shared" si="139"/>
        <v>1002</v>
      </c>
      <c r="W224">
        <v>76</v>
      </c>
      <c r="X224">
        <f t="shared" si="140"/>
        <v>111</v>
      </c>
      <c r="Y224">
        <v>5000</v>
      </c>
      <c r="Z224">
        <f t="shared" si="119"/>
        <v>3</v>
      </c>
      <c r="AA224">
        <v>1</v>
      </c>
      <c r="AB224">
        <f t="shared" si="141"/>
        <v>1001</v>
      </c>
      <c r="AC224">
        <v>71</v>
      </c>
      <c r="AD224">
        <f t="shared" si="142"/>
        <v>112</v>
      </c>
      <c r="AE224">
        <v>5000</v>
      </c>
      <c r="AF224">
        <f t="shared" si="120"/>
        <v>3</v>
      </c>
      <c r="AG224">
        <v>1</v>
      </c>
      <c r="AH224">
        <f t="shared" si="143"/>
        <v>1001</v>
      </c>
      <c r="AI224">
        <v>71</v>
      </c>
      <c r="AJ224">
        <f t="shared" si="144"/>
        <v>113</v>
      </c>
      <c r="AP224" t="str">
        <f t="shared" si="121"/>
        <v>{5000,3,1,1001,101}</v>
      </c>
      <c r="AQ224" t="str">
        <f t="shared" si="122"/>
        <v>{5000,3,1,1001,103}</v>
      </c>
      <c r="AR224" t="str">
        <f t="shared" si="123"/>
        <v>{5000,3,1,1002,111}</v>
      </c>
      <c r="AS224" t="str">
        <f t="shared" si="124"/>
        <v>{5000,3,1,1001,112}</v>
      </c>
      <c r="AT224" t="str">
        <f t="shared" si="125"/>
        <v>{5000,3,1,1001,113}</v>
      </c>
      <c r="AU224" t="str">
        <f t="shared" si="126"/>
        <v/>
      </c>
      <c r="AV224">
        <v>2014</v>
      </c>
      <c r="AW224" t="str">
        <f t="shared" si="133"/>
        <v>[{5000,3,1,1001,101},{5000,3,1,1001,103},{5000,3,1,1002,111},{5000,3,1,1001,112},{5000,3,1,1001,113}]</v>
      </c>
    </row>
    <row r="225" spans="2:49">
      <c r="B225">
        <v>2015</v>
      </c>
      <c r="C225" t="s">
        <v>88</v>
      </c>
      <c r="D225" t="str">
        <f t="shared" si="127"/>
        <v>11</v>
      </c>
      <c r="F225">
        <v>61</v>
      </c>
      <c r="G225">
        <v>5000</v>
      </c>
      <c r="H225">
        <f>H203+1</f>
        <v>5</v>
      </c>
      <c r="I225">
        <v>1</v>
      </c>
      <c r="J225">
        <v>3</v>
      </c>
      <c r="K225">
        <f t="shared" si="135"/>
        <v>1003</v>
      </c>
      <c r="L225">
        <f t="shared" si="136"/>
        <v>101</v>
      </c>
      <c r="M225">
        <v>5000</v>
      </c>
      <c r="N225">
        <f t="shared" si="104"/>
        <v>5</v>
      </c>
      <c r="O225">
        <v>1</v>
      </c>
      <c r="P225">
        <f t="shared" si="137"/>
        <v>1003</v>
      </c>
      <c r="Q225">
        <v>56</v>
      </c>
      <c r="R225">
        <f t="shared" si="138"/>
        <v>102</v>
      </c>
      <c r="S225">
        <v>5000</v>
      </c>
      <c r="T225">
        <f t="shared" si="118"/>
        <v>5</v>
      </c>
      <c r="U225">
        <v>1</v>
      </c>
      <c r="V225">
        <f t="shared" si="139"/>
        <v>1003</v>
      </c>
      <c r="W225">
        <v>57</v>
      </c>
      <c r="X225">
        <f t="shared" si="140"/>
        <v>103</v>
      </c>
      <c r="Y225">
        <v>5000</v>
      </c>
      <c r="Z225">
        <f t="shared" si="119"/>
        <v>5</v>
      </c>
      <c r="AA225">
        <v>1</v>
      </c>
      <c r="AB225">
        <f t="shared" si="141"/>
        <v>1003</v>
      </c>
      <c r="AC225">
        <v>72</v>
      </c>
      <c r="AD225">
        <f t="shared" si="142"/>
        <v>113</v>
      </c>
      <c r="AE225">
        <v>5000</v>
      </c>
      <c r="AF225">
        <f t="shared" si="120"/>
        <v>5</v>
      </c>
      <c r="AG225">
        <v>1</v>
      </c>
      <c r="AH225">
        <f t="shared" si="143"/>
        <v>1003</v>
      </c>
      <c r="AI225">
        <v>71</v>
      </c>
      <c r="AJ225">
        <f t="shared" si="144"/>
        <v>111</v>
      </c>
      <c r="AP225" t="str">
        <f t="shared" si="121"/>
        <v>{5000,5,1,1003,101}</v>
      </c>
      <c r="AQ225" t="str">
        <f t="shared" si="122"/>
        <v>{5000,5,1,1003,102}</v>
      </c>
      <c r="AR225" t="str">
        <f t="shared" si="123"/>
        <v>{5000,5,1,1003,103}</v>
      </c>
      <c r="AS225" t="str">
        <f t="shared" si="124"/>
        <v>{5000,5,1,1003,113}</v>
      </c>
      <c r="AT225" t="str">
        <f t="shared" si="125"/>
        <v>{5000,5,1,1003,111}</v>
      </c>
      <c r="AU225" t="str">
        <f t="shared" si="126"/>
        <v/>
      </c>
      <c r="AV225">
        <v>2015</v>
      </c>
      <c r="AW225" t="str">
        <f t="shared" si="133"/>
        <v>[{5000,5,1,1003,101},{5000,5,1,1003,102},{5000,5,1,1003,103},{5000,5,1,1003,113},{5000,5,1,1003,111}]</v>
      </c>
    </row>
    <row r="226" spans="2:49">
      <c r="B226">
        <v>2016</v>
      </c>
      <c r="C226" t="s">
        <v>88</v>
      </c>
      <c r="D226" t="str">
        <f t="shared" si="127"/>
        <v>11</v>
      </c>
      <c r="F226">
        <v>76</v>
      </c>
      <c r="G226">
        <v>5000</v>
      </c>
      <c r="H226">
        <f>H204+2</f>
        <v>5</v>
      </c>
      <c r="I226">
        <v>1</v>
      </c>
      <c r="J226">
        <v>1</v>
      </c>
      <c r="K226">
        <f t="shared" si="135"/>
        <v>1001</v>
      </c>
      <c r="L226">
        <f t="shared" si="136"/>
        <v>101</v>
      </c>
      <c r="M226">
        <v>5000</v>
      </c>
      <c r="N226">
        <f t="shared" si="104"/>
        <v>5</v>
      </c>
      <c r="O226">
        <v>1</v>
      </c>
      <c r="P226">
        <f t="shared" si="137"/>
        <v>1001</v>
      </c>
      <c r="Q226">
        <v>59</v>
      </c>
      <c r="R226">
        <f t="shared" si="138"/>
        <v>103</v>
      </c>
      <c r="S226">
        <v>5000</v>
      </c>
      <c r="T226">
        <f t="shared" si="118"/>
        <v>5</v>
      </c>
      <c r="U226">
        <v>1</v>
      </c>
      <c r="V226">
        <f t="shared" si="139"/>
        <v>1002</v>
      </c>
      <c r="W226">
        <v>71</v>
      </c>
      <c r="X226">
        <f t="shared" si="140"/>
        <v>111</v>
      </c>
      <c r="Y226">
        <v>5000</v>
      </c>
      <c r="Z226">
        <f t="shared" si="119"/>
        <v>5</v>
      </c>
      <c r="AA226">
        <v>1</v>
      </c>
      <c r="AB226">
        <f t="shared" si="141"/>
        <v>1001</v>
      </c>
      <c r="AC226">
        <v>71</v>
      </c>
      <c r="AD226">
        <f t="shared" si="142"/>
        <v>112</v>
      </c>
      <c r="AE226">
        <v>5000</v>
      </c>
      <c r="AF226">
        <f t="shared" si="120"/>
        <v>5</v>
      </c>
      <c r="AG226">
        <v>1</v>
      </c>
      <c r="AH226">
        <f t="shared" si="143"/>
        <v>1001</v>
      </c>
      <c r="AI226">
        <v>79</v>
      </c>
      <c r="AJ226">
        <f t="shared" si="144"/>
        <v>113</v>
      </c>
      <c r="AP226" t="str">
        <f t="shared" si="121"/>
        <v>{5000,5,1,1001,101}</v>
      </c>
      <c r="AQ226" t="str">
        <f t="shared" si="122"/>
        <v>{5000,5,1,1001,103}</v>
      </c>
      <c r="AR226" t="str">
        <f t="shared" si="123"/>
        <v>{5000,5,1,1002,111}</v>
      </c>
      <c r="AS226" t="str">
        <f t="shared" si="124"/>
        <v>{5000,5,1,1001,112}</v>
      </c>
      <c r="AT226" t="str">
        <f t="shared" si="125"/>
        <v>{5000,5,1,1001,113}</v>
      </c>
      <c r="AU226" t="str">
        <f t="shared" si="126"/>
        <v/>
      </c>
      <c r="AV226">
        <v>2016</v>
      </c>
      <c r="AW226" t="str">
        <f t="shared" si="133"/>
        <v>[{5000,5,1,1001,101},{5000,5,1,1001,103},{5000,5,1,1002,111},{5000,5,1,1001,112},{5000,5,1,1001,113}]</v>
      </c>
    </row>
    <row r="227" spans="2:49">
      <c r="B227">
        <v>2017</v>
      </c>
      <c r="C227" t="s">
        <v>88</v>
      </c>
      <c r="D227" t="str">
        <f t="shared" si="127"/>
        <v>11</v>
      </c>
      <c r="F227">
        <v>91</v>
      </c>
      <c r="G227">
        <v>5000</v>
      </c>
      <c r="H227">
        <f>H205+1</f>
        <v>4</v>
      </c>
      <c r="I227">
        <v>1</v>
      </c>
      <c r="J227">
        <v>1</v>
      </c>
      <c r="K227">
        <f t="shared" si="135"/>
        <v>1001</v>
      </c>
      <c r="L227">
        <f t="shared" si="136"/>
        <v>101</v>
      </c>
      <c r="M227">
        <v>5000</v>
      </c>
      <c r="N227">
        <f t="shared" si="104"/>
        <v>4</v>
      </c>
      <c r="O227">
        <v>1</v>
      </c>
      <c r="P227">
        <f t="shared" si="137"/>
        <v>1001</v>
      </c>
      <c r="Q227">
        <v>54</v>
      </c>
      <c r="R227">
        <f t="shared" si="138"/>
        <v>102</v>
      </c>
      <c r="S227">
        <v>5000</v>
      </c>
      <c r="T227">
        <f t="shared" si="118"/>
        <v>4</v>
      </c>
      <c r="U227">
        <v>1</v>
      </c>
      <c r="V227">
        <f t="shared" si="139"/>
        <v>1002</v>
      </c>
      <c r="W227">
        <v>51</v>
      </c>
      <c r="X227">
        <f t="shared" si="140"/>
        <v>103</v>
      </c>
      <c r="Y227">
        <v>5000</v>
      </c>
      <c r="Z227">
        <f t="shared" si="119"/>
        <v>4</v>
      </c>
      <c r="AA227">
        <v>1</v>
      </c>
      <c r="AB227">
        <f t="shared" si="141"/>
        <v>1001</v>
      </c>
      <c r="AC227">
        <v>71</v>
      </c>
      <c r="AD227">
        <f t="shared" si="142"/>
        <v>113</v>
      </c>
      <c r="AE227">
        <v>5000</v>
      </c>
      <c r="AF227">
        <f t="shared" si="120"/>
        <v>4</v>
      </c>
      <c r="AG227">
        <v>1</v>
      </c>
      <c r="AH227">
        <f t="shared" si="143"/>
        <v>1002</v>
      </c>
      <c r="AI227">
        <v>77</v>
      </c>
      <c r="AJ227">
        <f t="shared" si="144"/>
        <v>111</v>
      </c>
      <c r="AP227" t="str">
        <f t="shared" si="121"/>
        <v>{5000,4,1,1001,101}</v>
      </c>
      <c r="AQ227" t="str">
        <f t="shared" si="122"/>
        <v>{5000,4,1,1001,102}</v>
      </c>
      <c r="AR227" t="str">
        <f t="shared" si="123"/>
        <v>{5000,4,1,1002,103}</v>
      </c>
      <c r="AS227" t="str">
        <f t="shared" si="124"/>
        <v>{5000,4,1,1001,113}</v>
      </c>
      <c r="AT227" t="str">
        <f t="shared" si="125"/>
        <v>{5000,4,1,1002,111}</v>
      </c>
      <c r="AU227" t="str">
        <f t="shared" si="126"/>
        <v/>
      </c>
      <c r="AV227">
        <v>2017</v>
      </c>
      <c r="AW227" t="str">
        <f t="shared" si="133"/>
        <v>[{5000,4,1,1001,101},{5000,4,1,1001,102},{5000,4,1,1002,103},{5000,4,1,1001,113},{5000,4,1,1002,111}]</v>
      </c>
    </row>
    <row r="228" spans="2:49">
      <c r="B228">
        <v>2018</v>
      </c>
      <c r="C228" t="s">
        <v>88</v>
      </c>
      <c r="D228" t="str">
        <f t="shared" si="127"/>
        <v>11</v>
      </c>
      <c r="F228">
        <v>106</v>
      </c>
      <c r="G228">
        <v>5000</v>
      </c>
      <c r="H228">
        <f>H206+1</f>
        <v>4</v>
      </c>
      <c r="I228">
        <v>1</v>
      </c>
      <c r="J228">
        <v>1</v>
      </c>
      <c r="K228">
        <f t="shared" si="135"/>
        <v>1001</v>
      </c>
      <c r="L228">
        <f t="shared" si="136"/>
        <v>101</v>
      </c>
      <c r="M228">
        <v>5000</v>
      </c>
      <c r="N228">
        <f t="shared" si="104"/>
        <v>4</v>
      </c>
      <c r="O228">
        <v>1</v>
      </c>
      <c r="P228">
        <f t="shared" si="137"/>
        <v>1001</v>
      </c>
      <c r="Q228">
        <v>55</v>
      </c>
      <c r="R228">
        <f t="shared" si="138"/>
        <v>103</v>
      </c>
      <c r="S228">
        <v>5000</v>
      </c>
      <c r="T228">
        <f t="shared" si="118"/>
        <v>4</v>
      </c>
      <c r="U228">
        <v>1</v>
      </c>
      <c r="V228">
        <f t="shared" si="139"/>
        <v>1002</v>
      </c>
      <c r="W228">
        <v>73</v>
      </c>
      <c r="X228">
        <f t="shared" si="140"/>
        <v>111</v>
      </c>
      <c r="Y228">
        <v>5000</v>
      </c>
      <c r="Z228">
        <f t="shared" si="119"/>
        <v>4</v>
      </c>
      <c r="AA228">
        <v>1</v>
      </c>
      <c r="AB228">
        <f t="shared" si="141"/>
        <v>1001</v>
      </c>
      <c r="AC228">
        <v>78</v>
      </c>
      <c r="AD228">
        <f t="shared" si="142"/>
        <v>112</v>
      </c>
      <c r="AE228">
        <v>5000</v>
      </c>
      <c r="AF228">
        <f t="shared" si="120"/>
        <v>4</v>
      </c>
      <c r="AG228">
        <v>1</v>
      </c>
      <c r="AH228">
        <f t="shared" si="143"/>
        <v>1002</v>
      </c>
      <c r="AI228">
        <v>71</v>
      </c>
      <c r="AJ228">
        <f t="shared" si="144"/>
        <v>113</v>
      </c>
      <c r="AP228" t="str">
        <f t="shared" si="121"/>
        <v>{5000,4,1,1001,101}</v>
      </c>
      <c r="AQ228" t="str">
        <f t="shared" si="122"/>
        <v>{5000,4,1,1001,103}</v>
      </c>
      <c r="AR228" t="str">
        <f t="shared" si="123"/>
        <v>{5000,4,1,1002,111}</v>
      </c>
      <c r="AS228" t="str">
        <f t="shared" si="124"/>
        <v>{5000,4,1,1001,112}</v>
      </c>
      <c r="AT228" t="str">
        <f t="shared" si="125"/>
        <v>{5000,4,1,1002,113}</v>
      </c>
      <c r="AU228" t="str">
        <f t="shared" si="126"/>
        <v/>
      </c>
      <c r="AV228">
        <v>2018</v>
      </c>
      <c r="AW228" t="str">
        <f t="shared" si="133"/>
        <v>[{5000,4,1,1001,101},{5000,4,1,1001,103},{5000,4,1,1002,111},{5000,4,1,1001,112},{5000,4,1,1002,113}]</v>
      </c>
    </row>
    <row r="229" spans="2:48">
      <c r="B229">
        <v>2019</v>
      </c>
      <c r="C229" t="s">
        <v>88</v>
      </c>
      <c r="D229" t="str">
        <f t="shared" si="127"/>
        <v>11</v>
      </c>
      <c r="F229">
        <v>119</v>
      </c>
      <c r="K229" t="str">
        <f t="shared" si="135"/>
        <v/>
      </c>
      <c r="N229">
        <f t="shared" si="104"/>
        <v>0</v>
      </c>
      <c r="P229" t="str">
        <f t="shared" si="137"/>
        <v/>
      </c>
      <c r="T229">
        <f t="shared" si="118"/>
        <v>0</v>
      </c>
      <c r="V229" t="str">
        <f t="shared" si="139"/>
        <v/>
      </c>
      <c r="Z229">
        <f t="shared" si="119"/>
        <v>0</v>
      </c>
      <c r="AB229" t="str">
        <f t="shared" si="141"/>
        <v/>
      </c>
      <c r="AF229">
        <f t="shared" si="120"/>
        <v>0</v>
      </c>
      <c r="AH229" t="str">
        <f t="shared" si="143"/>
        <v/>
      </c>
      <c r="AP229" t="str">
        <f t="shared" si="121"/>
        <v/>
      </c>
      <c r="AQ229" t="str">
        <f t="shared" si="122"/>
        <v/>
      </c>
      <c r="AR229" t="str">
        <f t="shared" si="123"/>
        <v/>
      </c>
      <c r="AS229" t="str">
        <f t="shared" si="124"/>
        <v/>
      </c>
      <c r="AT229" t="str">
        <f t="shared" si="125"/>
        <v/>
      </c>
      <c r="AU229" t="str">
        <f t="shared" si="126"/>
        <v/>
      </c>
      <c r="AV229">
        <v>2019</v>
      </c>
    </row>
    <row r="230" spans="2:49">
      <c r="B230">
        <v>2020</v>
      </c>
      <c r="C230" t="s">
        <v>88</v>
      </c>
      <c r="D230" t="str">
        <f t="shared" si="127"/>
        <v>11</v>
      </c>
      <c r="F230">
        <v>121</v>
      </c>
      <c r="G230">
        <v>5000</v>
      </c>
      <c r="H230">
        <f>H208+2</f>
        <v>6</v>
      </c>
      <c r="I230">
        <v>1</v>
      </c>
      <c r="J230">
        <v>3</v>
      </c>
      <c r="K230">
        <f>IF($J230="","",K207+100)</f>
        <v>1003</v>
      </c>
      <c r="L230">
        <f>IF(L207="","",L207)</f>
        <v>101</v>
      </c>
      <c r="M230">
        <v>5000</v>
      </c>
      <c r="N230">
        <f t="shared" ref="N230:N293" si="145">H230</f>
        <v>6</v>
      </c>
      <c r="O230">
        <v>1</v>
      </c>
      <c r="P230">
        <f>IF($J230="","",P207+100)</f>
        <v>1003</v>
      </c>
      <c r="Q230">
        <v>54</v>
      </c>
      <c r="R230">
        <f>IF(R207="","",R207)</f>
        <v>102</v>
      </c>
      <c r="S230">
        <v>5000</v>
      </c>
      <c r="T230">
        <f t="shared" si="118"/>
        <v>6</v>
      </c>
      <c r="U230">
        <v>1</v>
      </c>
      <c r="V230">
        <f>IF($J230="","",V207+100)</f>
        <v>1003</v>
      </c>
      <c r="W230">
        <v>51</v>
      </c>
      <c r="X230">
        <f>IF(X207="","",X207)</f>
        <v>103</v>
      </c>
      <c r="Y230">
        <v>5000</v>
      </c>
      <c r="Z230">
        <f t="shared" si="119"/>
        <v>6</v>
      </c>
      <c r="AA230">
        <v>1</v>
      </c>
      <c r="AB230">
        <f>IF($J230="","",AB207+100)</f>
        <v>1003</v>
      </c>
      <c r="AC230">
        <v>71</v>
      </c>
      <c r="AD230">
        <f>IF(AD207="","",AD207)</f>
        <v>113</v>
      </c>
      <c r="AE230">
        <v>5000</v>
      </c>
      <c r="AF230">
        <f t="shared" si="120"/>
        <v>6</v>
      </c>
      <c r="AG230">
        <v>1</v>
      </c>
      <c r="AH230">
        <f>IF($J230="","",AH207+100)</f>
        <v>1003</v>
      </c>
      <c r="AI230">
        <v>79</v>
      </c>
      <c r="AJ230">
        <f>IF(AJ207="","",AJ207)</f>
        <v>111</v>
      </c>
      <c r="AK230">
        <v>1000</v>
      </c>
      <c r="AL230">
        <v>1</v>
      </c>
      <c r="AM230">
        <v>0</v>
      </c>
      <c r="AN230">
        <v>1021</v>
      </c>
      <c r="AO230">
        <v>4</v>
      </c>
      <c r="AP230" t="str">
        <f t="shared" si="121"/>
        <v>{5000,6,1,1003,101}</v>
      </c>
      <c r="AQ230" t="str">
        <f t="shared" si="122"/>
        <v>{5000,6,1,1003,102}</v>
      </c>
      <c r="AR230" t="str">
        <f t="shared" si="123"/>
        <v>{5000,6,1,1003,103}</v>
      </c>
      <c r="AS230" t="str">
        <f t="shared" si="124"/>
        <v>{5000,6,1,1003,113}</v>
      </c>
      <c r="AT230" t="str">
        <f t="shared" si="125"/>
        <v>{5000,6,1,1003,111}</v>
      </c>
      <c r="AU230" t="str">
        <f t="shared" si="126"/>
        <v>{1000,1,0,1021,4}</v>
      </c>
      <c r="AV230">
        <v>2020</v>
      </c>
      <c r="AW230" t="str">
        <f t="shared" ref="AW230:AW235" si="146">IF(AU230="","["&amp;_xlfn.TEXTJOIN(",",1,AP230:AT230)&amp;"]","["&amp;_xlfn.TEXTJOIN(",",1,AP230:AU230)&amp;"]")</f>
        <v>[{5000,6,1,1003,101},{5000,6,1,1003,102},{5000,6,1,1003,103},{5000,6,1,1003,113},{5000,6,1,1003,111},{1000,1,0,1021,4}]</v>
      </c>
    </row>
    <row r="231" spans="2:49">
      <c r="B231">
        <v>2021</v>
      </c>
      <c r="C231" t="s">
        <v>88</v>
      </c>
      <c r="D231" t="str">
        <f t="shared" si="127"/>
        <v>11</v>
      </c>
      <c r="F231">
        <v>136</v>
      </c>
      <c r="G231">
        <v>5000</v>
      </c>
      <c r="H231">
        <f>H209+1</f>
        <v>5</v>
      </c>
      <c r="I231">
        <v>1</v>
      </c>
      <c r="J231">
        <v>1</v>
      </c>
      <c r="K231">
        <f t="shared" ref="K231:K235" si="147">IF($J231="","",K208+100)</f>
        <v>1001</v>
      </c>
      <c r="L231">
        <f t="shared" ref="L231:L294" si="148">IF(L208="","",L208)</f>
        <v>101</v>
      </c>
      <c r="M231">
        <v>5000</v>
      </c>
      <c r="N231">
        <f t="shared" si="145"/>
        <v>5</v>
      </c>
      <c r="O231">
        <v>1</v>
      </c>
      <c r="P231">
        <f t="shared" ref="P231:P235" si="149">IF($J231="","",P208+100)</f>
        <v>1001</v>
      </c>
      <c r="Q231">
        <v>54</v>
      </c>
      <c r="R231">
        <f t="shared" ref="R231:R294" si="150">IF(R208="","",R208)</f>
        <v>103</v>
      </c>
      <c r="S231">
        <v>5000</v>
      </c>
      <c r="T231">
        <f t="shared" si="118"/>
        <v>5</v>
      </c>
      <c r="U231">
        <v>1</v>
      </c>
      <c r="V231">
        <f t="shared" ref="V231:V235" si="151">IF($J231="","",V208+100)</f>
        <v>1002</v>
      </c>
      <c r="W231">
        <v>76</v>
      </c>
      <c r="X231">
        <f t="shared" ref="X231:X294" si="152">IF(X208="","",X208)</f>
        <v>111</v>
      </c>
      <c r="Y231">
        <v>5000</v>
      </c>
      <c r="Z231">
        <f t="shared" si="119"/>
        <v>5</v>
      </c>
      <c r="AA231">
        <v>1</v>
      </c>
      <c r="AB231">
        <f t="shared" ref="AB231:AB235" si="153">IF($J231="","",AB208+100)</f>
        <v>1001</v>
      </c>
      <c r="AC231">
        <v>72</v>
      </c>
      <c r="AD231">
        <f t="shared" ref="AD231:AD294" si="154">IF(AD208="","",AD208)</f>
        <v>112</v>
      </c>
      <c r="AE231">
        <v>5000</v>
      </c>
      <c r="AF231">
        <f t="shared" si="120"/>
        <v>5</v>
      </c>
      <c r="AG231">
        <v>1</v>
      </c>
      <c r="AH231">
        <f t="shared" ref="AH231:AH235" si="155">IF($J231="","",AH208+100)</f>
        <v>1002</v>
      </c>
      <c r="AI231">
        <v>74</v>
      </c>
      <c r="AJ231">
        <f t="shared" ref="AJ231:AJ294" si="156">IF(AJ208="","",AJ208)</f>
        <v>113</v>
      </c>
      <c r="AP231" t="str">
        <f t="shared" si="121"/>
        <v>{5000,5,1,1001,101}</v>
      </c>
      <c r="AQ231" t="str">
        <f t="shared" si="122"/>
        <v>{5000,5,1,1001,103}</v>
      </c>
      <c r="AR231" t="str">
        <f t="shared" si="123"/>
        <v>{5000,5,1,1002,111}</v>
      </c>
      <c r="AS231" t="str">
        <f t="shared" si="124"/>
        <v>{5000,5,1,1001,112}</v>
      </c>
      <c r="AT231" t="str">
        <f t="shared" si="125"/>
        <v>{5000,5,1,1002,113}</v>
      </c>
      <c r="AU231" t="str">
        <f t="shared" si="126"/>
        <v/>
      </c>
      <c r="AV231">
        <v>2021</v>
      </c>
      <c r="AW231" t="str">
        <f t="shared" si="146"/>
        <v>[{5000,5,1,1001,101},{5000,5,1,1001,103},{5000,5,1,1002,111},{5000,5,1,1001,112},{5000,5,1,1002,113}]</v>
      </c>
    </row>
    <row r="232" spans="2:49">
      <c r="B232">
        <v>2022</v>
      </c>
      <c r="C232" t="s">
        <v>88</v>
      </c>
      <c r="D232" t="str">
        <f t="shared" si="127"/>
        <v>11</v>
      </c>
      <c r="F232">
        <v>151</v>
      </c>
      <c r="G232">
        <v>5000</v>
      </c>
      <c r="H232">
        <f>H210+1</f>
        <v>5</v>
      </c>
      <c r="I232">
        <v>1</v>
      </c>
      <c r="J232">
        <v>1</v>
      </c>
      <c r="K232">
        <f t="shared" si="147"/>
        <v>1001</v>
      </c>
      <c r="L232">
        <f t="shared" si="148"/>
        <v>101</v>
      </c>
      <c r="M232">
        <v>5000</v>
      </c>
      <c r="N232">
        <f t="shared" si="145"/>
        <v>5</v>
      </c>
      <c r="O232">
        <v>1</v>
      </c>
      <c r="P232">
        <f t="shared" si="149"/>
        <v>1001</v>
      </c>
      <c r="Q232">
        <v>54</v>
      </c>
      <c r="R232">
        <f t="shared" si="150"/>
        <v>102</v>
      </c>
      <c r="S232">
        <v>5000</v>
      </c>
      <c r="T232">
        <f t="shared" si="118"/>
        <v>5</v>
      </c>
      <c r="U232">
        <v>1</v>
      </c>
      <c r="V232">
        <f t="shared" si="151"/>
        <v>1002</v>
      </c>
      <c r="W232">
        <v>56</v>
      </c>
      <c r="X232">
        <f t="shared" si="152"/>
        <v>103</v>
      </c>
      <c r="Y232">
        <v>5000</v>
      </c>
      <c r="Z232">
        <f t="shared" si="119"/>
        <v>5</v>
      </c>
      <c r="AA232">
        <v>1</v>
      </c>
      <c r="AB232">
        <f t="shared" si="153"/>
        <v>1001</v>
      </c>
      <c r="AC232">
        <v>72</v>
      </c>
      <c r="AD232">
        <f t="shared" si="154"/>
        <v>113</v>
      </c>
      <c r="AE232">
        <v>5000</v>
      </c>
      <c r="AF232">
        <f t="shared" si="120"/>
        <v>5</v>
      </c>
      <c r="AG232">
        <v>1</v>
      </c>
      <c r="AH232">
        <f t="shared" si="155"/>
        <v>1002</v>
      </c>
      <c r="AI232">
        <v>74</v>
      </c>
      <c r="AJ232">
        <f t="shared" si="156"/>
        <v>111</v>
      </c>
      <c r="AP232" t="str">
        <f t="shared" si="121"/>
        <v>{5000,5,1,1001,101}</v>
      </c>
      <c r="AQ232" t="str">
        <f t="shared" si="122"/>
        <v>{5000,5,1,1001,102}</v>
      </c>
      <c r="AR232" t="str">
        <f t="shared" si="123"/>
        <v>{5000,5,1,1002,103}</v>
      </c>
      <c r="AS232" t="str">
        <f t="shared" si="124"/>
        <v>{5000,5,1,1001,113}</v>
      </c>
      <c r="AT232" t="str">
        <f t="shared" si="125"/>
        <v>{5000,5,1,1002,111}</v>
      </c>
      <c r="AU232" t="str">
        <f t="shared" si="126"/>
        <v/>
      </c>
      <c r="AV232">
        <v>2022</v>
      </c>
      <c r="AW232" t="str">
        <f t="shared" si="146"/>
        <v>[{5000,5,1,1001,101},{5000,5,1,1001,102},{5000,5,1,1002,103},{5000,5,1,1001,113},{5000,5,1,1002,111}]</v>
      </c>
    </row>
    <row r="233" spans="2:49">
      <c r="B233">
        <v>2023</v>
      </c>
      <c r="C233" t="s">
        <v>88</v>
      </c>
      <c r="D233" t="str">
        <f t="shared" si="127"/>
        <v>11</v>
      </c>
      <c r="F233">
        <v>166</v>
      </c>
      <c r="G233">
        <v>5000</v>
      </c>
      <c r="H233">
        <f>H211+1</f>
        <v>7</v>
      </c>
      <c r="I233">
        <v>1</v>
      </c>
      <c r="J233">
        <v>1</v>
      </c>
      <c r="K233">
        <f t="shared" si="147"/>
        <v>1001</v>
      </c>
      <c r="L233">
        <f t="shared" si="148"/>
        <v>101</v>
      </c>
      <c r="M233">
        <v>5000</v>
      </c>
      <c r="N233">
        <f t="shared" si="145"/>
        <v>7</v>
      </c>
      <c r="O233">
        <v>1</v>
      </c>
      <c r="P233">
        <f t="shared" si="149"/>
        <v>1001</v>
      </c>
      <c r="Q233">
        <v>59</v>
      </c>
      <c r="R233">
        <f t="shared" si="150"/>
        <v>103</v>
      </c>
      <c r="S233">
        <v>5000</v>
      </c>
      <c r="T233">
        <f t="shared" si="118"/>
        <v>7</v>
      </c>
      <c r="U233">
        <v>1</v>
      </c>
      <c r="V233">
        <f t="shared" si="151"/>
        <v>1002</v>
      </c>
      <c r="W233">
        <v>79</v>
      </c>
      <c r="X233">
        <f t="shared" si="152"/>
        <v>111</v>
      </c>
      <c r="Y233">
        <v>5000</v>
      </c>
      <c r="Z233">
        <f t="shared" si="119"/>
        <v>7</v>
      </c>
      <c r="AA233">
        <v>1</v>
      </c>
      <c r="AB233">
        <f t="shared" si="153"/>
        <v>1001</v>
      </c>
      <c r="AC233">
        <v>71</v>
      </c>
      <c r="AD233">
        <f t="shared" si="154"/>
        <v>112</v>
      </c>
      <c r="AE233">
        <v>5000</v>
      </c>
      <c r="AF233">
        <f t="shared" si="120"/>
        <v>7</v>
      </c>
      <c r="AG233">
        <v>1</v>
      </c>
      <c r="AH233">
        <f t="shared" si="155"/>
        <v>1002</v>
      </c>
      <c r="AI233">
        <v>74</v>
      </c>
      <c r="AJ233">
        <f t="shared" si="156"/>
        <v>113</v>
      </c>
      <c r="AP233" t="str">
        <f t="shared" si="121"/>
        <v>{5000,7,1,1001,101}</v>
      </c>
      <c r="AQ233" t="str">
        <f t="shared" si="122"/>
        <v>{5000,7,1,1001,103}</v>
      </c>
      <c r="AR233" t="str">
        <f t="shared" si="123"/>
        <v>{5000,7,1,1002,111}</v>
      </c>
      <c r="AS233" t="str">
        <f t="shared" si="124"/>
        <v>{5000,7,1,1001,112}</v>
      </c>
      <c r="AT233" t="str">
        <f t="shared" si="125"/>
        <v>{5000,7,1,1002,113}</v>
      </c>
      <c r="AU233" t="str">
        <f t="shared" si="126"/>
        <v/>
      </c>
      <c r="AV233">
        <v>2023</v>
      </c>
      <c r="AW233" t="str">
        <f t="shared" si="146"/>
        <v>[{5000,7,1,1001,101},{5000,7,1,1001,103},{5000,7,1,1002,111},{5000,7,1,1001,112},{5000,7,1,1002,113}]</v>
      </c>
    </row>
    <row r="234" spans="2:49">
      <c r="B234">
        <v>2024</v>
      </c>
      <c r="C234" t="s">
        <v>88</v>
      </c>
      <c r="D234" t="str">
        <f t="shared" si="127"/>
        <v>11</v>
      </c>
      <c r="F234">
        <v>181</v>
      </c>
      <c r="G234">
        <v>5000</v>
      </c>
      <c r="H234">
        <f t="shared" ref="H234" si="157">H212+2</f>
        <v>7</v>
      </c>
      <c r="I234">
        <v>1</v>
      </c>
      <c r="J234">
        <v>3</v>
      </c>
      <c r="K234">
        <f t="shared" si="147"/>
        <v>1003</v>
      </c>
      <c r="L234">
        <f t="shared" si="148"/>
        <v>101</v>
      </c>
      <c r="M234">
        <v>5000</v>
      </c>
      <c r="N234">
        <f t="shared" si="145"/>
        <v>7</v>
      </c>
      <c r="O234">
        <v>1</v>
      </c>
      <c r="P234">
        <f t="shared" si="149"/>
        <v>1003</v>
      </c>
      <c r="Q234">
        <v>53</v>
      </c>
      <c r="R234">
        <f t="shared" si="150"/>
        <v>102</v>
      </c>
      <c r="S234">
        <v>5000</v>
      </c>
      <c r="T234">
        <f t="shared" si="118"/>
        <v>7</v>
      </c>
      <c r="U234">
        <v>1</v>
      </c>
      <c r="V234">
        <f t="shared" si="151"/>
        <v>1003</v>
      </c>
      <c r="W234">
        <v>56</v>
      </c>
      <c r="X234">
        <f t="shared" si="152"/>
        <v>103</v>
      </c>
      <c r="Y234">
        <v>5000</v>
      </c>
      <c r="Z234">
        <f t="shared" si="119"/>
        <v>7</v>
      </c>
      <c r="AA234">
        <v>1</v>
      </c>
      <c r="AB234">
        <f t="shared" si="153"/>
        <v>1003</v>
      </c>
      <c r="AC234">
        <v>75</v>
      </c>
      <c r="AD234">
        <f t="shared" si="154"/>
        <v>113</v>
      </c>
      <c r="AE234">
        <v>5000</v>
      </c>
      <c r="AF234">
        <f t="shared" si="120"/>
        <v>7</v>
      </c>
      <c r="AG234">
        <v>1</v>
      </c>
      <c r="AH234">
        <f t="shared" si="155"/>
        <v>1003</v>
      </c>
      <c r="AI234">
        <v>78</v>
      </c>
      <c r="AJ234">
        <f t="shared" si="156"/>
        <v>111</v>
      </c>
      <c r="AP234" t="str">
        <f t="shared" si="121"/>
        <v>{5000,7,1,1003,101}</v>
      </c>
      <c r="AQ234" t="str">
        <f t="shared" si="122"/>
        <v>{5000,7,1,1003,102}</v>
      </c>
      <c r="AR234" t="str">
        <f t="shared" si="123"/>
        <v>{5000,7,1,1003,103}</v>
      </c>
      <c r="AS234" t="str">
        <f t="shared" si="124"/>
        <v>{5000,7,1,1003,113}</v>
      </c>
      <c r="AT234" t="str">
        <f t="shared" si="125"/>
        <v>{5000,7,1,1003,111}</v>
      </c>
      <c r="AU234" t="str">
        <f t="shared" si="126"/>
        <v/>
      </c>
      <c r="AV234">
        <v>2024</v>
      </c>
      <c r="AW234" t="str">
        <f t="shared" si="146"/>
        <v>[{5000,7,1,1003,101},{5000,7,1,1003,102},{5000,7,1,1003,103},{5000,7,1,1003,113},{5000,7,1,1003,111}]</v>
      </c>
    </row>
    <row r="235" spans="2:49">
      <c r="B235">
        <v>2025</v>
      </c>
      <c r="C235" t="s">
        <v>88</v>
      </c>
      <c r="D235" t="str">
        <f t="shared" si="127"/>
        <v>11</v>
      </c>
      <c r="F235">
        <v>196</v>
      </c>
      <c r="G235">
        <v>5000</v>
      </c>
      <c r="H235">
        <f>H212+2</f>
        <v>7</v>
      </c>
      <c r="I235">
        <v>1</v>
      </c>
      <c r="J235">
        <v>2</v>
      </c>
      <c r="K235">
        <f t="shared" si="147"/>
        <v>1002</v>
      </c>
      <c r="L235">
        <f t="shared" si="148"/>
        <v>101</v>
      </c>
      <c r="M235">
        <v>5000</v>
      </c>
      <c r="N235">
        <f t="shared" si="145"/>
        <v>7</v>
      </c>
      <c r="O235">
        <v>1</v>
      </c>
      <c r="P235">
        <f t="shared" si="149"/>
        <v>1001</v>
      </c>
      <c r="Q235">
        <v>54</v>
      </c>
      <c r="R235">
        <f t="shared" si="150"/>
        <v>103</v>
      </c>
      <c r="S235">
        <v>5000</v>
      </c>
      <c r="T235">
        <f t="shared" si="118"/>
        <v>7</v>
      </c>
      <c r="U235">
        <v>1</v>
      </c>
      <c r="V235">
        <f t="shared" si="151"/>
        <v>1002</v>
      </c>
      <c r="W235">
        <v>77</v>
      </c>
      <c r="X235">
        <f t="shared" si="152"/>
        <v>111</v>
      </c>
      <c r="Y235">
        <v>5000</v>
      </c>
      <c r="Z235">
        <f t="shared" si="119"/>
        <v>7</v>
      </c>
      <c r="AA235">
        <v>1</v>
      </c>
      <c r="AB235">
        <f t="shared" si="153"/>
        <v>1001</v>
      </c>
      <c r="AC235">
        <v>72</v>
      </c>
      <c r="AD235">
        <f t="shared" si="154"/>
        <v>112</v>
      </c>
      <c r="AE235">
        <v>5000</v>
      </c>
      <c r="AF235">
        <f t="shared" si="120"/>
        <v>7</v>
      </c>
      <c r="AG235">
        <v>1</v>
      </c>
      <c r="AH235">
        <f t="shared" si="155"/>
        <v>1002</v>
      </c>
      <c r="AI235">
        <v>74</v>
      </c>
      <c r="AJ235">
        <f t="shared" si="156"/>
        <v>113</v>
      </c>
      <c r="AP235" t="str">
        <f t="shared" si="121"/>
        <v>{5000,7,1,1002,101}</v>
      </c>
      <c r="AQ235" t="str">
        <f t="shared" si="122"/>
        <v>{5000,7,1,1001,103}</v>
      </c>
      <c r="AR235" t="str">
        <f t="shared" si="123"/>
        <v>{5000,7,1,1002,111}</v>
      </c>
      <c r="AS235" t="str">
        <f t="shared" si="124"/>
        <v>{5000,7,1,1001,112}</v>
      </c>
      <c r="AT235" t="str">
        <f t="shared" si="125"/>
        <v>{5000,7,1,1002,113}</v>
      </c>
      <c r="AU235" t="str">
        <f t="shared" si="126"/>
        <v/>
      </c>
      <c r="AV235">
        <v>2025</v>
      </c>
      <c r="AW235" t="str">
        <f t="shared" si="146"/>
        <v>[{5000,7,1,1002,101},{5000,7,1,1001,103},{5000,7,1,1002,111},{5000,7,1,1001,112},{5000,7,1,1002,113}]</v>
      </c>
    </row>
    <row r="236" spans="2:48">
      <c r="B236">
        <v>2026</v>
      </c>
      <c r="C236" t="s">
        <v>88</v>
      </c>
      <c r="D236" t="str">
        <f t="shared" si="127"/>
        <v>11</v>
      </c>
      <c r="F236">
        <v>209</v>
      </c>
      <c r="K236" t="str">
        <f t="shared" si="135"/>
        <v/>
      </c>
      <c r="L236" t="str">
        <f t="shared" si="148"/>
        <v/>
      </c>
      <c r="N236">
        <f t="shared" si="145"/>
        <v>0</v>
      </c>
      <c r="P236" t="str">
        <f t="shared" si="137"/>
        <v/>
      </c>
      <c r="R236" t="str">
        <f t="shared" si="150"/>
        <v/>
      </c>
      <c r="T236">
        <f t="shared" si="118"/>
        <v>0</v>
      </c>
      <c r="V236" t="str">
        <f t="shared" si="139"/>
        <v/>
      </c>
      <c r="X236" t="str">
        <f t="shared" si="152"/>
        <v/>
      </c>
      <c r="Z236">
        <f t="shared" si="119"/>
        <v>0</v>
      </c>
      <c r="AB236" t="str">
        <f t="shared" si="141"/>
        <v/>
      </c>
      <c r="AD236" t="str">
        <f t="shared" si="154"/>
        <v/>
      </c>
      <c r="AF236">
        <f t="shared" si="120"/>
        <v>0</v>
      </c>
      <c r="AH236" t="str">
        <f t="shared" si="143"/>
        <v/>
      </c>
      <c r="AJ236" t="str">
        <f t="shared" si="156"/>
        <v/>
      </c>
      <c r="AP236" t="str">
        <f t="shared" si="121"/>
        <v/>
      </c>
      <c r="AQ236" t="str">
        <f t="shared" si="122"/>
        <v/>
      </c>
      <c r="AR236" t="str">
        <f t="shared" si="123"/>
        <v/>
      </c>
      <c r="AS236" t="str">
        <f t="shared" si="124"/>
        <v/>
      </c>
      <c r="AT236" t="str">
        <f t="shared" si="125"/>
        <v/>
      </c>
      <c r="AU236" t="str">
        <f t="shared" si="126"/>
        <v/>
      </c>
      <c r="AV236">
        <v>2026</v>
      </c>
    </row>
    <row r="237" spans="2:49">
      <c r="B237">
        <v>2027</v>
      </c>
      <c r="C237" t="s">
        <v>88</v>
      </c>
      <c r="D237" t="str">
        <f t="shared" si="127"/>
        <v>11</v>
      </c>
      <c r="F237">
        <v>211</v>
      </c>
      <c r="G237">
        <v>5000</v>
      </c>
      <c r="H237">
        <f>H214+1</f>
        <v>7</v>
      </c>
      <c r="I237">
        <v>1</v>
      </c>
      <c r="J237">
        <v>2</v>
      </c>
      <c r="K237">
        <f>IF($J237="","",K214+100)</f>
        <v>1002</v>
      </c>
      <c r="L237">
        <f t="shared" si="148"/>
        <v>101</v>
      </c>
      <c r="M237">
        <v>5000</v>
      </c>
      <c r="N237">
        <f t="shared" si="145"/>
        <v>7</v>
      </c>
      <c r="O237">
        <v>1</v>
      </c>
      <c r="P237">
        <f>IF($J237="","",P214+100)</f>
        <v>1001</v>
      </c>
      <c r="Q237">
        <v>51</v>
      </c>
      <c r="R237">
        <f t="shared" si="150"/>
        <v>102</v>
      </c>
      <c r="S237">
        <v>5000</v>
      </c>
      <c r="T237">
        <f t="shared" si="118"/>
        <v>7</v>
      </c>
      <c r="U237">
        <v>1</v>
      </c>
      <c r="V237">
        <f>IF($J237="","",V214+100)</f>
        <v>1002</v>
      </c>
      <c r="W237">
        <v>57</v>
      </c>
      <c r="X237">
        <f t="shared" si="152"/>
        <v>103</v>
      </c>
      <c r="Y237">
        <v>5000</v>
      </c>
      <c r="Z237">
        <f t="shared" si="119"/>
        <v>7</v>
      </c>
      <c r="AA237">
        <v>1</v>
      </c>
      <c r="AB237">
        <f>IF($J237="","",AB214+100)</f>
        <v>1001</v>
      </c>
      <c r="AC237">
        <v>79</v>
      </c>
      <c r="AD237">
        <f t="shared" si="154"/>
        <v>113</v>
      </c>
      <c r="AE237">
        <v>5000</v>
      </c>
      <c r="AF237">
        <f t="shared" si="120"/>
        <v>7</v>
      </c>
      <c r="AG237">
        <v>1</v>
      </c>
      <c r="AH237">
        <f>IF($J237="","",AH214+100)</f>
        <v>1002</v>
      </c>
      <c r="AI237">
        <v>72</v>
      </c>
      <c r="AJ237">
        <f t="shared" si="156"/>
        <v>111</v>
      </c>
      <c r="AK237">
        <v>1000</v>
      </c>
      <c r="AL237">
        <v>1</v>
      </c>
      <c r="AM237">
        <v>0</v>
      </c>
      <c r="AN237">
        <v>1031</v>
      </c>
      <c r="AO237">
        <v>4</v>
      </c>
      <c r="AP237" t="str">
        <f t="shared" si="121"/>
        <v>{5000,7,1,1002,101}</v>
      </c>
      <c r="AQ237" t="str">
        <f t="shared" si="122"/>
        <v>{5000,7,1,1001,102}</v>
      </c>
      <c r="AR237" t="str">
        <f t="shared" si="123"/>
        <v>{5000,7,1,1002,103}</v>
      </c>
      <c r="AS237" t="str">
        <f t="shared" si="124"/>
        <v>{5000,7,1,1001,113}</v>
      </c>
      <c r="AT237" t="str">
        <f t="shared" si="125"/>
        <v>{5000,7,1,1002,111}</v>
      </c>
      <c r="AU237" t="str">
        <f t="shared" si="126"/>
        <v>{1000,1,0,1031,4}</v>
      </c>
      <c r="AV237">
        <v>2027</v>
      </c>
      <c r="AW237" t="str">
        <f t="shared" ref="AW237:AW251" si="158">IF(AU237="","["&amp;_xlfn.TEXTJOIN(",",1,AP237:AT237)&amp;"]","["&amp;_xlfn.TEXTJOIN(",",1,AP237:AU237)&amp;"]")</f>
        <v>[{5000,7,1,1002,101},{5000,7,1,1001,102},{5000,7,1,1002,103},{5000,7,1,1001,113},{5000,7,1,1002,111},{1000,1,0,1031,4}]</v>
      </c>
    </row>
    <row r="238" spans="2:49">
      <c r="B238">
        <v>2028</v>
      </c>
      <c r="C238" t="s">
        <v>88</v>
      </c>
      <c r="D238" t="str">
        <f t="shared" si="127"/>
        <v>11</v>
      </c>
      <c r="F238">
        <v>226</v>
      </c>
      <c r="G238">
        <v>5000</v>
      </c>
      <c r="H238">
        <f>H215+1</f>
        <v>7</v>
      </c>
      <c r="I238">
        <v>1</v>
      </c>
      <c r="J238">
        <v>2</v>
      </c>
      <c r="K238">
        <f t="shared" ref="K238:K244" si="159">IF($J238="","",K215+100)</f>
        <v>1002</v>
      </c>
      <c r="L238">
        <f t="shared" si="148"/>
        <v>101</v>
      </c>
      <c r="M238">
        <v>5000</v>
      </c>
      <c r="N238">
        <f t="shared" si="145"/>
        <v>7</v>
      </c>
      <c r="O238">
        <v>1</v>
      </c>
      <c r="P238">
        <f t="shared" ref="P238:P244" si="160">IF($J238="","",P215+100)</f>
        <v>1001</v>
      </c>
      <c r="Q238">
        <v>51</v>
      </c>
      <c r="R238">
        <f t="shared" si="150"/>
        <v>103</v>
      </c>
      <c r="S238">
        <v>5000</v>
      </c>
      <c r="T238">
        <f t="shared" si="118"/>
        <v>7</v>
      </c>
      <c r="U238">
        <v>1</v>
      </c>
      <c r="V238">
        <f t="shared" ref="V238:V244" si="161">IF($J238="","",V215+100)</f>
        <v>1002</v>
      </c>
      <c r="W238">
        <v>75</v>
      </c>
      <c r="X238">
        <f t="shared" si="152"/>
        <v>111</v>
      </c>
      <c r="Y238">
        <v>5000</v>
      </c>
      <c r="Z238">
        <f t="shared" si="119"/>
        <v>7</v>
      </c>
      <c r="AA238">
        <v>1</v>
      </c>
      <c r="AB238">
        <f t="shared" ref="AB238:AB244" si="162">IF($J238="","",AB215+100)</f>
        <v>1001</v>
      </c>
      <c r="AC238">
        <v>71</v>
      </c>
      <c r="AD238">
        <f t="shared" si="154"/>
        <v>112</v>
      </c>
      <c r="AE238">
        <v>5000</v>
      </c>
      <c r="AF238">
        <f t="shared" si="120"/>
        <v>7</v>
      </c>
      <c r="AG238">
        <v>1</v>
      </c>
      <c r="AH238">
        <f t="shared" ref="AH238:AH244" si="163">IF($J238="","",AH215+100)</f>
        <v>1002</v>
      </c>
      <c r="AI238">
        <v>77</v>
      </c>
      <c r="AJ238">
        <f t="shared" si="156"/>
        <v>113</v>
      </c>
      <c r="AP238" t="str">
        <f t="shared" si="121"/>
        <v>{5000,7,1,1002,101}</v>
      </c>
      <c r="AQ238" t="str">
        <f t="shared" si="122"/>
        <v>{5000,7,1,1001,103}</v>
      </c>
      <c r="AR238" t="str">
        <f t="shared" si="123"/>
        <v>{5000,7,1,1002,111}</v>
      </c>
      <c r="AS238" t="str">
        <f t="shared" si="124"/>
        <v>{5000,7,1,1001,112}</v>
      </c>
      <c r="AT238" t="str">
        <f t="shared" si="125"/>
        <v>{5000,7,1,1002,113}</v>
      </c>
      <c r="AU238" t="str">
        <f t="shared" si="126"/>
        <v/>
      </c>
      <c r="AV238">
        <v>2028</v>
      </c>
      <c r="AW238" t="str">
        <f t="shared" si="158"/>
        <v>[{5000,7,1,1002,101},{5000,7,1,1001,103},{5000,7,1,1002,111},{5000,7,1,1001,112},{5000,7,1,1002,113}]</v>
      </c>
    </row>
    <row r="239" spans="2:49">
      <c r="B239">
        <v>2029</v>
      </c>
      <c r="C239" t="s">
        <v>88</v>
      </c>
      <c r="D239" t="str">
        <f t="shared" si="127"/>
        <v>11</v>
      </c>
      <c r="F239">
        <v>241</v>
      </c>
      <c r="G239">
        <v>5000</v>
      </c>
      <c r="H239">
        <f t="shared" ref="H239:H243" si="164">H216+2</f>
        <v>9</v>
      </c>
      <c r="I239">
        <v>1</v>
      </c>
      <c r="J239">
        <v>3</v>
      </c>
      <c r="K239">
        <f t="shared" si="159"/>
        <v>1003</v>
      </c>
      <c r="L239">
        <f t="shared" si="148"/>
        <v>101</v>
      </c>
      <c r="M239">
        <v>5000</v>
      </c>
      <c r="N239">
        <f t="shared" si="145"/>
        <v>9</v>
      </c>
      <c r="O239">
        <v>1</v>
      </c>
      <c r="P239">
        <f t="shared" si="160"/>
        <v>1003</v>
      </c>
      <c r="Q239">
        <v>53</v>
      </c>
      <c r="R239">
        <f t="shared" si="150"/>
        <v>102</v>
      </c>
      <c r="S239">
        <v>5000</v>
      </c>
      <c r="T239">
        <f t="shared" si="118"/>
        <v>9</v>
      </c>
      <c r="U239">
        <v>1</v>
      </c>
      <c r="V239">
        <f t="shared" si="161"/>
        <v>1003</v>
      </c>
      <c r="W239">
        <v>56</v>
      </c>
      <c r="X239">
        <f t="shared" si="152"/>
        <v>103</v>
      </c>
      <c r="Y239">
        <v>5000</v>
      </c>
      <c r="Z239">
        <f t="shared" si="119"/>
        <v>9</v>
      </c>
      <c r="AA239">
        <v>1</v>
      </c>
      <c r="AB239">
        <f t="shared" si="162"/>
        <v>1003</v>
      </c>
      <c r="AC239">
        <v>74</v>
      </c>
      <c r="AD239">
        <f t="shared" si="154"/>
        <v>113</v>
      </c>
      <c r="AE239">
        <v>5000</v>
      </c>
      <c r="AF239">
        <f t="shared" si="120"/>
        <v>9</v>
      </c>
      <c r="AG239">
        <v>1</v>
      </c>
      <c r="AH239">
        <f t="shared" si="163"/>
        <v>1003</v>
      </c>
      <c r="AI239">
        <v>78</v>
      </c>
      <c r="AJ239">
        <f t="shared" si="156"/>
        <v>111</v>
      </c>
      <c r="AP239" t="str">
        <f t="shared" si="121"/>
        <v>{5000,9,1,1003,101}</v>
      </c>
      <c r="AQ239" t="str">
        <f t="shared" si="122"/>
        <v>{5000,9,1,1003,102}</v>
      </c>
      <c r="AR239" t="str">
        <f t="shared" si="123"/>
        <v>{5000,9,1,1003,103}</v>
      </c>
      <c r="AS239" t="str">
        <f t="shared" si="124"/>
        <v>{5000,9,1,1003,113}</v>
      </c>
      <c r="AT239" t="str">
        <f t="shared" si="125"/>
        <v>{5000,9,1,1003,111}</v>
      </c>
      <c r="AU239" t="str">
        <f t="shared" si="126"/>
        <v/>
      </c>
      <c r="AV239">
        <v>2029</v>
      </c>
      <c r="AW239" t="str">
        <f t="shared" si="158"/>
        <v>[{5000,9,1,1003,101},{5000,9,1,1003,102},{5000,9,1,1003,103},{5000,9,1,1003,113},{5000,9,1,1003,111}]</v>
      </c>
    </row>
    <row r="240" spans="2:49">
      <c r="B240">
        <v>2030</v>
      </c>
      <c r="C240" t="s">
        <v>88</v>
      </c>
      <c r="D240" t="str">
        <f t="shared" si="127"/>
        <v>11</v>
      </c>
      <c r="F240">
        <v>256</v>
      </c>
      <c r="G240">
        <v>5000</v>
      </c>
      <c r="H240">
        <f t="shared" si="164"/>
        <v>8</v>
      </c>
      <c r="I240">
        <v>1</v>
      </c>
      <c r="J240">
        <v>2</v>
      </c>
      <c r="K240">
        <f t="shared" si="159"/>
        <v>1002</v>
      </c>
      <c r="L240">
        <f t="shared" si="148"/>
        <v>101</v>
      </c>
      <c r="M240">
        <v>5000</v>
      </c>
      <c r="N240">
        <f t="shared" si="145"/>
        <v>8</v>
      </c>
      <c r="O240">
        <v>1</v>
      </c>
      <c r="P240">
        <f t="shared" si="160"/>
        <v>1002</v>
      </c>
      <c r="Q240">
        <v>59</v>
      </c>
      <c r="R240">
        <f t="shared" si="150"/>
        <v>103</v>
      </c>
      <c r="S240">
        <v>5000</v>
      </c>
      <c r="T240">
        <f t="shared" si="118"/>
        <v>8</v>
      </c>
      <c r="U240">
        <v>1</v>
      </c>
      <c r="V240">
        <f t="shared" si="161"/>
        <v>1002</v>
      </c>
      <c r="W240">
        <v>79</v>
      </c>
      <c r="X240">
        <f t="shared" si="152"/>
        <v>111</v>
      </c>
      <c r="Y240">
        <v>5000</v>
      </c>
      <c r="Z240">
        <f t="shared" si="119"/>
        <v>8</v>
      </c>
      <c r="AA240">
        <v>1</v>
      </c>
      <c r="AB240">
        <f t="shared" si="162"/>
        <v>1001</v>
      </c>
      <c r="AC240">
        <v>72</v>
      </c>
      <c r="AD240">
        <f t="shared" si="154"/>
        <v>112</v>
      </c>
      <c r="AE240">
        <v>5000</v>
      </c>
      <c r="AF240">
        <f t="shared" si="120"/>
        <v>8</v>
      </c>
      <c r="AG240">
        <v>1</v>
      </c>
      <c r="AH240">
        <f t="shared" si="163"/>
        <v>1002</v>
      </c>
      <c r="AI240">
        <v>74</v>
      </c>
      <c r="AJ240">
        <f t="shared" si="156"/>
        <v>113</v>
      </c>
      <c r="AP240" t="str">
        <f t="shared" si="121"/>
        <v>{5000,8,1,1002,101}</v>
      </c>
      <c r="AQ240" t="str">
        <f t="shared" si="122"/>
        <v>{5000,8,1,1002,103}</v>
      </c>
      <c r="AR240" t="str">
        <f t="shared" si="123"/>
        <v>{5000,8,1,1002,111}</v>
      </c>
      <c r="AS240" t="str">
        <f t="shared" si="124"/>
        <v>{5000,8,1,1001,112}</v>
      </c>
      <c r="AT240" t="str">
        <f t="shared" si="125"/>
        <v>{5000,8,1,1002,113}</v>
      </c>
      <c r="AU240" t="str">
        <f t="shared" si="126"/>
        <v/>
      </c>
      <c r="AV240">
        <v>2030</v>
      </c>
      <c r="AW240" t="str">
        <f t="shared" si="158"/>
        <v>[{5000,8,1,1002,101},{5000,8,1,1002,103},{5000,8,1,1002,111},{5000,8,1,1001,112},{5000,8,1,1002,113}]</v>
      </c>
    </row>
    <row r="241" spans="2:49">
      <c r="B241">
        <v>2031</v>
      </c>
      <c r="C241" t="s">
        <v>88</v>
      </c>
      <c r="D241" t="str">
        <f t="shared" si="127"/>
        <v>11</v>
      </c>
      <c r="F241">
        <v>271</v>
      </c>
      <c r="G241">
        <v>5000</v>
      </c>
      <c r="H241">
        <f t="shared" si="164"/>
        <v>8</v>
      </c>
      <c r="I241">
        <v>1</v>
      </c>
      <c r="J241">
        <v>2</v>
      </c>
      <c r="K241">
        <f t="shared" si="159"/>
        <v>1002</v>
      </c>
      <c r="L241">
        <f t="shared" si="148"/>
        <v>101</v>
      </c>
      <c r="M241">
        <v>5000</v>
      </c>
      <c r="N241">
        <f t="shared" si="145"/>
        <v>8</v>
      </c>
      <c r="O241">
        <v>1</v>
      </c>
      <c r="P241">
        <f t="shared" si="160"/>
        <v>1002</v>
      </c>
      <c r="Q241">
        <v>54</v>
      </c>
      <c r="R241">
        <f t="shared" si="150"/>
        <v>102</v>
      </c>
      <c r="S241">
        <v>5000</v>
      </c>
      <c r="T241">
        <f t="shared" si="118"/>
        <v>8</v>
      </c>
      <c r="U241">
        <v>1</v>
      </c>
      <c r="V241">
        <f t="shared" si="161"/>
        <v>1002</v>
      </c>
      <c r="W241">
        <v>56</v>
      </c>
      <c r="X241">
        <f t="shared" si="152"/>
        <v>103</v>
      </c>
      <c r="Y241">
        <v>5000</v>
      </c>
      <c r="Z241">
        <f t="shared" si="119"/>
        <v>8</v>
      </c>
      <c r="AA241">
        <v>1</v>
      </c>
      <c r="AB241">
        <f t="shared" si="162"/>
        <v>1002</v>
      </c>
      <c r="AC241">
        <v>73</v>
      </c>
      <c r="AD241">
        <f t="shared" si="154"/>
        <v>113</v>
      </c>
      <c r="AE241">
        <v>5000</v>
      </c>
      <c r="AF241">
        <f t="shared" si="120"/>
        <v>8</v>
      </c>
      <c r="AG241">
        <v>1</v>
      </c>
      <c r="AH241">
        <f t="shared" si="163"/>
        <v>1002</v>
      </c>
      <c r="AI241">
        <v>75</v>
      </c>
      <c r="AJ241">
        <f t="shared" si="156"/>
        <v>111</v>
      </c>
      <c r="AP241" t="str">
        <f t="shared" si="121"/>
        <v>{5000,8,1,1002,101}</v>
      </c>
      <c r="AQ241" t="str">
        <f t="shared" si="122"/>
        <v>{5000,8,1,1002,102}</v>
      </c>
      <c r="AR241" t="str">
        <f t="shared" si="123"/>
        <v>{5000,8,1,1002,103}</v>
      </c>
      <c r="AS241" t="str">
        <f t="shared" si="124"/>
        <v>{5000,8,1,1002,113}</v>
      </c>
      <c r="AT241" t="str">
        <f t="shared" si="125"/>
        <v>{5000,8,1,1002,111}</v>
      </c>
      <c r="AU241" t="str">
        <f t="shared" si="126"/>
        <v/>
      </c>
      <c r="AV241">
        <v>2031</v>
      </c>
      <c r="AW241" t="str">
        <f t="shared" si="158"/>
        <v>[{5000,8,1,1002,101},{5000,8,1,1002,102},{5000,8,1,1002,103},{5000,8,1,1002,113},{5000,8,1,1002,111}]</v>
      </c>
    </row>
    <row r="242" spans="2:49">
      <c r="B242">
        <v>2032</v>
      </c>
      <c r="C242" t="s">
        <v>88</v>
      </c>
      <c r="D242" t="str">
        <f t="shared" si="127"/>
        <v>11</v>
      </c>
      <c r="F242">
        <v>286</v>
      </c>
      <c r="G242">
        <v>5000</v>
      </c>
      <c r="H242">
        <f t="shared" si="164"/>
        <v>8</v>
      </c>
      <c r="I242">
        <v>1</v>
      </c>
      <c r="J242">
        <v>2</v>
      </c>
      <c r="K242">
        <f t="shared" si="159"/>
        <v>1002</v>
      </c>
      <c r="L242">
        <f t="shared" si="148"/>
        <v>101</v>
      </c>
      <c r="M242">
        <v>5000</v>
      </c>
      <c r="N242">
        <f t="shared" si="145"/>
        <v>8</v>
      </c>
      <c r="O242">
        <v>1</v>
      </c>
      <c r="P242">
        <f t="shared" si="160"/>
        <v>1002</v>
      </c>
      <c r="Q242">
        <v>53</v>
      </c>
      <c r="R242">
        <f t="shared" si="150"/>
        <v>103</v>
      </c>
      <c r="S242">
        <v>5000</v>
      </c>
      <c r="T242">
        <f t="shared" si="118"/>
        <v>8</v>
      </c>
      <c r="U242">
        <v>1</v>
      </c>
      <c r="V242">
        <f t="shared" si="161"/>
        <v>1002</v>
      </c>
      <c r="W242">
        <v>59</v>
      </c>
      <c r="X242">
        <f t="shared" si="152"/>
        <v>111</v>
      </c>
      <c r="Y242">
        <v>5000</v>
      </c>
      <c r="Z242">
        <f t="shared" si="119"/>
        <v>8</v>
      </c>
      <c r="AA242">
        <v>1</v>
      </c>
      <c r="AB242">
        <f t="shared" si="162"/>
        <v>1002</v>
      </c>
      <c r="AC242">
        <v>71</v>
      </c>
      <c r="AD242">
        <f t="shared" si="154"/>
        <v>112</v>
      </c>
      <c r="AE242">
        <v>5000</v>
      </c>
      <c r="AF242">
        <f t="shared" si="120"/>
        <v>8</v>
      </c>
      <c r="AG242">
        <v>1</v>
      </c>
      <c r="AH242">
        <f t="shared" si="163"/>
        <v>1002</v>
      </c>
      <c r="AI242">
        <v>77</v>
      </c>
      <c r="AJ242">
        <f t="shared" si="156"/>
        <v>113</v>
      </c>
      <c r="AP242" t="str">
        <f t="shared" si="121"/>
        <v>{5000,8,1,1002,101}</v>
      </c>
      <c r="AQ242" t="str">
        <f t="shared" si="122"/>
        <v>{5000,8,1,1002,103}</v>
      </c>
      <c r="AR242" t="str">
        <f t="shared" si="123"/>
        <v>{5000,8,1,1002,111}</v>
      </c>
      <c r="AS242" t="str">
        <f t="shared" si="124"/>
        <v>{5000,8,1,1002,112}</v>
      </c>
      <c r="AT242" t="str">
        <f t="shared" si="125"/>
        <v>{5000,8,1,1002,113}</v>
      </c>
      <c r="AU242" t="str">
        <f t="shared" si="126"/>
        <v/>
      </c>
      <c r="AV242">
        <v>2032</v>
      </c>
      <c r="AW242" t="str">
        <f t="shared" si="158"/>
        <v>[{5000,8,1,1002,101},{5000,8,1,1002,103},{5000,8,1,1002,111},{5000,8,1,1002,112},{5000,8,1,1002,113}]</v>
      </c>
    </row>
    <row r="243" spans="2:49">
      <c r="B243">
        <v>2033</v>
      </c>
      <c r="C243" t="s">
        <v>88</v>
      </c>
      <c r="D243" t="str">
        <f t="shared" si="127"/>
        <v>11</v>
      </c>
      <c r="F243">
        <v>290</v>
      </c>
      <c r="G243">
        <v>5000</v>
      </c>
      <c r="H243">
        <f t="shared" si="164"/>
        <v>8</v>
      </c>
      <c r="I243">
        <v>1</v>
      </c>
      <c r="J243">
        <v>2</v>
      </c>
      <c r="K243">
        <f t="shared" si="159"/>
        <v>1002</v>
      </c>
      <c r="L243">
        <f t="shared" si="148"/>
        <v>101</v>
      </c>
      <c r="M243">
        <v>5000</v>
      </c>
      <c r="N243">
        <f t="shared" si="145"/>
        <v>8</v>
      </c>
      <c r="O243">
        <v>1</v>
      </c>
      <c r="P243">
        <f t="shared" si="160"/>
        <v>1002</v>
      </c>
      <c r="Q243">
        <v>56</v>
      </c>
      <c r="R243">
        <f t="shared" si="150"/>
        <v>102</v>
      </c>
      <c r="S243">
        <v>5000</v>
      </c>
      <c r="T243">
        <f t="shared" si="118"/>
        <v>8</v>
      </c>
      <c r="U243">
        <v>1</v>
      </c>
      <c r="V243">
        <f t="shared" si="161"/>
        <v>1001</v>
      </c>
      <c r="W243">
        <v>77</v>
      </c>
      <c r="X243">
        <f t="shared" si="152"/>
        <v>103</v>
      </c>
      <c r="Y243">
        <v>5000</v>
      </c>
      <c r="Z243">
        <f t="shared" si="119"/>
        <v>8</v>
      </c>
      <c r="AA243">
        <v>1</v>
      </c>
      <c r="AB243">
        <f t="shared" si="162"/>
        <v>1002</v>
      </c>
      <c r="AC243">
        <v>72</v>
      </c>
      <c r="AD243">
        <f t="shared" si="154"/>
        <v>113</v>
      </c>
      <c r="AE243">
        <v>5000</v>
      </c>
      <c r="AF243">
        <f t="shared" si="120"/>
        <v>8</v>
      </c>
      <c r="AG243">
        <v>1</v>
      </c>
      <c r="AH243">
        <f t="shared" si="163"/>
        <v>1002</v>
      </c>
      <c r="AI243">
        <v>74</v>
      </c>
      <c r="AJ243">
        <f t="shared" si="156"/>
        <v>111</v>
      </c>
      <c r="AP243" t="str">
        <f t="shared" si="121"/>
        <v>{5000,8,1,1002,101}</v>
      </c>
      <c r="AQ243" t="str">
        <f t="shared" si="122"/>
        <v>{5000,8,1,1002,102}</v>
      </c>
      <c r="AR243" t="str">
        <f t="shared" si="123"/>
        <v>{5000,8,1,1001,103}</v>
      </c>
      <c r="AS243" t="str">
        <f t="shared" si="124"/>
        <v>{5000,8,1,1002,113}</v>
      </c>
      <c r="AT243" t="str">
        <f t="shared" si="125"/>
        <v>{5000,8,1,1002,111}</v>
      </c>
      <c r="AU243" t="str">
        <f t="shared" si="126"/>
        <v/>
      </c>
      <c r="AV243">
        <v>2033</v>
      </c>
      <c r="AW243" t="str">
        <f t="shared" si="158"/>
        <v>[{5000,8,1,1002,101},{5000,8,1,1002,102},{5000,8,1,1001,103},{5000,8,1,1002,113},{5000,8,1,1002,111}]</v>
      </c>
    </row>
    <row r="244" spans="2:49">
      <c r="B244">
        <v>2111</v>
      </c>
      <c r="C244" t="s">
        <v>89</v>
      </c>
      <c r="D244" s="5" t="str">
        <f t="shared" si="127"/>
        <v>12</v>
      </c>
      <c r="E244" s="5"/>
      <c r="F244">
        <v>1</v>
      </c>
      <c r="G244">
        <v>5000</v>
      </c>
      <c r="H244">
        <f>H221</f>
        <v>2</v>
      </c>
      <c r="I244">
        <v>1</v>
      </c>
      <c r="J244">
        <v>1</v>
      </c>
      <c r="K244">
        <f t="shared" si="159"/>
        <v>1101</v>
      </c>
      <c r="L244">
        <f t="shared" si="148"/>
        <v>101</v>
      </c>
      <c r="M244">
        <v>5000</v>
      </c>
      <c r="N244">
        <f t="shared" si="145"/>
        <v>2</v>
      </c>
      <c r="O244">
        <v>1</v>
      </c>
      <c r="P244">
        <f t="shared" si="160"/>
        <v>1101</v>
      </c>
      <c r="Q244">
        <v>55</v>
      </c>
      <c r="R244">
        <f t="shared" si="150"/>
        <v>102</v>
      </c>
      <c r="S244">
        <v>5000</v>
      </c>
      <c r="T244">
        <f t="shared" si="118"/>
        <v>2</v>
      </c>
      <c r="U244">
        <v>1</v>
      </c>
      <c r="V244">
        <f t="shared" si="161"/>
        <v>1101</v>
      </c>
      <c r="W244">
        <v>60</v>
      </c>
      <c r="X244">
        <f t="shared" si="152"/>
        <v>103</v>
      </c>
      <c r="Y244">
        <v>5000</v>
      </c>
      <c r="Z244">
        <f t="shared" si="119"/>
        <v>2</v>
      </c>
      <c r="AA244">
        <v>1</v>
      </c>
      <c r="AB244">
        <f t="shared" si="162"/>
        <v>1101</v>
      </c>
      <c r="AC244">
        <v>71</v>
      </c>
      <c r="AD244">
        <f t="shared" si="154"/>
        <v>113</v>
      </c>
      <c r="AE244">
        <v>5000</v>
      </c>
      <c r="AF244">
        <f t="shared" si="120"/>
        <v>2</v>
      </c>
      <c r="AG244">
        <v>1</v>
      </c>
      <c r="AH244">
        <f t="shared" si="163"/>
        <v>1101</v>
      </c>
      <c r="AI244">
        <v>76</v>
      </c>
      <c r="AJ244">
        <f t="shared" si="156"/>
        <v>111</v>
      </c>
      <c r="AP244" t="str">
        <f t="shared" si="121"/>
        <v>{5000,2,1,1101,101}</v>
      </c>
      <c r="AQ244" t="str">
        <f t="shared" si="122"/>
        <v>{5000,2,1,1101,102}</v>
      </c>
      <c r="AR244" t="str">
        <f t="shared" si="123"/>
        <v>{5000,2,1,1101,103}</v>
      </c>
      <c r="AS244" t="str">
        <f t="shared" si="124"/>
        <v>{5000,2,1,1101,113}</v>
      </c>
      <c r="AT244" t="str">
        <f t="shared" si="125"/>
        <v>{5000,2,1,1101,111}</v>
      </c>
      <c r="AU244" t="str">
        <f t="shared" si="126"/>
        <v/>
      </c>
      <c r="AV244">
        <v>2111</v>
      </c>
      <c r="AW244" t="str">
        <f t="shared" si="158"/>
        <v>[{5000,2,1,1101,101},{5000,2,1,1101,102},{5000,2,1,1101,103},{5000,2,1,1101,113},{5000,2,1,1101,111}]</v>
      </c>
    </row>
    <row r="245" spans="2:49">
      <c r="B245">
        <v>2112</v>
      </c>
      <c r="C245" t="s">
        <v>89</v>
      </c>
      <c r="D245" t="str">
        <f t="shared" si="127"/>
        <v>12</v>
      </c>
      <c r="F245">
        <v>16</v>
      </c>
      <c r="G245">
        <v>5000</v>
      </c>
      <c r="H245">
        <f t="shared" ref="H245:H308" si="165">H222</f>
        <v>2</v>
      </c>
      <c r="I245">
        <v>1</v>
      </c>
      <c r="J245">
        <v>1</v>
      </c>
      <c r="K245">
        <f t="shared" ref="K245:K308" si="166">IF($J245="","",K222+100)</f>
        <v>1101</v>
      </c>
      <c r="L245">
        <f t="shared" si="148"/>
        <v>101</v>
      </c>
      <c r="M245">
        <v>5000</v>
      </c>
      <c r="N245">
        <f t="shared" si="145"/>
        <v>2</v>
      </c>
      <c r="O245">
        <v>1</v>
      </c>
      <c r="P245">
        <f t="shared" ref="P245:P308" si="167">IF($J245="","",P222+100)</f>
        <v>1101</v>
      </c>
      <c r="Q245">
        <v>55</v>
      </c>
      <c r="R245">
        <f t="shared" si="150"/>
        <v>103</v>
      </c>
      <c r="S245">
        <v>5000</v>
      </c>
      <c r="T245">
        <f t="shared" si="118"/>
        <v>2</v>
      </c>
      <c r="U245">
        <v>1</v>
      </c>
      <c r="V245">
        <f t="shared" ref="V245:V308" si="168">IF($J245="","",V222+100)</f>
        <v>1101</v>
      </c>
      <c r="W245">
        <v>75</v>
      </c>
      <c r="X245">
        <f t="shared" si="152"/>
        <v>111</v>
      </c>
      <c r="Y245">
        <v>5000</v>
      </c>
      <c r="Z245">
        <f t="shared" si="119"/>
        <v>2</v>
      </c>
      <c r="AA245">
        <v>1</v>
      </c>
      <c r="AB245">
        <f t="shared" ref="AB245:AB308" si="169">IF($J245="","",AB222+100)</f>
        <v>1101</v>
      </c>
      <c r="AC245">
        <v>73</v>
      </c>
      <c r="AD245">
        <f t="shared" si="154"/>
        <v>112</v>
      </c>
      <c r="AE245">
        <v>5000</v>
      </c>
      <c r="AF245">
        <f t="shared" si="120"/>
        <v>2</v>
      </c>
      <c r="AG245">
        <v>1</v>
      </c>
      <c r="AH245">
        <f t="shared" ref="AH245:AH308" si="170">IF($J245="","",AH222+100)</f>
        <v>1101</v>
      </c>
      <c r="AI245">
        <v>78</v>
      </c>
      <c r="AJ245">
        <f t="shared" si="156"/>
        <v>113</v>
      </c>
      <c r="AP245" t="str">
        <f t="shared" si="121"/>
        <v>{5000,2,1,1101,101}</v>
      </c>
      <c r="AQ245" t="str">
        <f t="shared" si="122"/>
        <v>{5000,2,1,1101,103}</v>
      </c>
      <c r="AR245" t="str">
        <f t="shared" si="123"/>
        <v>{5000,2,1,1101,111}</v>
      </c>
      <c r="AS245" t="str">
        <f t="shared" si="124"/>
        <v>{5000,2,1,1101,112}</v>
      </c>
      <c r="AT245" t="str">
        <f t="shared" si="125"/>
        <v>{5000,2,1,1101,113}</v>
      </c>
      <c r="AU245" t="str">
        <f t="shared" si="126"/>
        <v/>
      </c>
      <c r="AV245">
        <v>2112</v>
      </c>
      <c r="AW245" t="str">
        <f t="shared" si="158"/>
        <v>[{5000,2,1,1101,101},{5000,2,1,1101,103},{5000,2,1,1101,111},{5000,2,1,1101,112},{5000,2,1,1101,113}]</v>
      </c>
    </row>
    <row r="246" spans="2:49">
      <c r="B246">
        <v>2113</v>
      </c>
      <c r="C246" t="s">
        <v>89</v>
      </c>
      <c r="D246" t="str">
        <f t="shared" si="127"/>
        <v>12</v>
      </c>
      <c r="F246">
        <v>31</v>
      </c>
      <c r="G246">
        <v>5000</v>
      </c>
      <c r="H246">
        <f t="shared" si="165"/>
        <v>3</v>
      </c>
      <c r="I246">
        <v>1</v>
      </c>
      <c r="J246">
        <v>1</v>
      </c>
      <c r="K246">
        <f t="shared" si="166"/>
        <v>1101</v>
      </c>
      <c r="L246">
        <f t="shared" si="148"/>
        <v>101</v>
      </c>
      <c r="M246">
        <v>5000</v>
      </c>
      <c r="N246">
        <f t="shared" si="145"/>
        <v>3</v>
      </c>
      <c r="O246">
        <v>1</v>
      </c>
      <c r="P246">
        <f t="shared" si="167"/>
        <v>1101</v>
      </c>
      <c r="Q246">
        <v>55</v>
      </c>
      <c r="R246">
        <f t="shared" si="150"/>
        <v>102</v>
      </c>
      <c r="S246">
        <v>5000</v>
      </c>
      <c r="T246">
        <f t="shared" si="118"/>
        <v>3</v>
      </c>
      <c r="U246">
        <v>1</v>
      </c>
      <c r="V246">
        <f t="shared" si="168"/>
        <v>1101</v>
      </c>
      <c r="W246">
        <v>58</v>
      </c>
      <c r="X246">
        <f t="shared" si="152"/>
        <v>103</v>
      </c>
      <c r="Y246">
        <v>5000</v>
      </c>
      <c r="Z246">
        <f t="shared" si="119"/>
        <v>3</v>
      </c>
      <c r="AA246">
        <v>1</v>
      </c>
      <c r="AB246">
        <f t="shared" si="169"/>
        <v>1101</v>
      </c>
      <c r="AC246">
        <v>76</v>
      </c>
      <c r="AD246">
        <f t="shared" si="154"/>
        <v>113</v>
      </c>
      <c r="AE246">
        <v>5000</v>
      </c>
      <c r="AF246">
        <f t="shared" si="120"/>
        <v>3</v>
      </c>
      <c r="AG246">
        <v>1</v>
      </c>
      <c r="AH246">
        <f t="shared" si="170"/>
        <v>1101</v>
      </c>
      <c r="AI246">
        <v>79</v>
      </c>
      <c r="AJ246">
        <f t="shared" si="156"/>
        <v>111</v>
      </c>
      <c r="AP246" t="str">
        <f t="shared" si="121"/>
        <v>{5000,3,1,1101,101}</v>
      </c>
      <c r="AQ246" t="str">
        <f t="shared" si="122"/>
        <v>{5000,3,1,1101,102}</v>
      </c>
      <c r="AR246" t="str">
        <f t="shared" si="123"/>
        <v>{5000,3,1,1101,103}</v>
      </c>
      <c r="AS246" t="str">
        <f t="shared" si="124"/>
        <v>{5000,3,1,1101,113}</v>
      </c>
      <c r="AT246" t="str">
        <f t="shared" si="125"/>
        <v>{5000,3,1,1101,111}</v>
      </c>
      <c r="AU246" t="str">
        <f t="shared" si="126"/>
        <v/>
      </c>
      <c r="AV246">
        <v>2113</v>
      </c>
      <c r="AW246" t="str">
        <f t="shared" si="158"/>
        <v>[{5000,3,1,1101,101},{5000,3,1,1101,102},{5000,3,1,1101,103},{5000,3,1,1101,113},{5000,3,1,1101,111}]</v>
      </c>
    </row>
    <row r="247" spans="2:49">
      <c r="B247">
        <v>2114</v>
      </c>
      <c r="C247" t="s">
        <v>89</v>
      </c>
      <c r="D247" t="str">
        <f t="shared" si="127"/>
        <v>12</v>
      </c>
      <c r="F247">
        <v>46</v>
      </c>
      <c r="G247">
        <v>5000</v>
      </c>
      <c r="H247">
        <f t="shared" si="165"/>
        <v>3</v>
      </c>
      <c r="I247">
        <v>1</v>
      </c>
      <c r="J247">
        <v>1</v>
      </c>
      <c r="K247">
        <f t="shared" si="166"/>
        <v>1101</v>
      </c>
      <c r="L247">
        <f t="shared" si="148"/>
        <v>101</v>
      </c>
      <c r="M247">
        <v>5000</v>
      </c>
      <c r="N247">
        <f t="shared" si="145"/>
        <v>3</v>
      </c>
      <c r="O247">
        <v>1</v>
      </c>
      <c r="P247">
        <f t="shared" si="167"/>
        <v>1101</v>
      </c>
      <c r="Q247">
        <v>55</v>
      </c>
      <c r="R247">
        <f t="shared" si="150"/>
        <v>103</v>
      </c>
      <c r="S247">
        <v>5000</v>
      </c>
      <c r="T247">
        <f t="shared" si="118"/>
        <v>3</v>
      </c>
      <c r="U247">
        <v>1</v>
      </c>
      <c r="V247">
        <f t="shared" si="168"/>
        <v>1102</v>
      </c>
      <c r="W247">
        <v>76</v>
      </c>
      <c r="X247">
        <f t="shared" si="152"/>
        <v>111</v>
      </c>
      <c r="Y247">
        <v>5000</v>
      </c>
      <c r="Z247">
        <f t="shared" si="119"/>
        <v>3</v>
      </c>
      <c r="AA247">
        <v>1</v>
      </c>
      <c r="AB247">
        <f t="shared" si="169"/>
        <v>1101</v>
      </c>
      <c r="AC247">
        <v>71</v>
      </c>
      <c r="AD247">
        <f t="shared" si="154"/>
        <v>112</v>
      </c>
      <c r="AE247">
        <v>5000</v>
      </c>
      <c r="AF247">
        <f t="shared" si="120"/>
        <v>3</v>
      </c>
      <c r="AG247">
        <v>1</v>
      </c>
      <c r="AH247">
        <f t="shared" si="170"/>
        <v>1101</v>
      </c>
      <c r="AI247">
        <v>71</v>
      </c>
      <c r="AJ247">
        <f t="shared" si="156"/>
        <v>113</v>
      </c>
      <c r="AP247" t="str">
        <f t="shared" si="121"/>
        <v>{5000,3,1,1101,101}</v>
      </c>
      <c r="AQ247" t="str">
        <f t="shared" si="122"/>
        <v>{5000,3,1,1101,103}</v>
      </c>
      <c r="AR247" t="str">
        <f t="shared" si="123"/>
        <v>{5000,3,1,1102,111}</v>
      </c>
      <c r="AS247" t="str">
        <f t="shared" si="124"/>
        <v>{5000,3,1,1101,112}</v>
      </c>
      <c r="AT247" t="str">
        <f t="shared" si="125"/>
        <v>{5000,3,1,1101,113}</v>
      </c>
      <c r="AU247" t="str">
        <f t="shared" si="126"/>
        <v/>
      </c>
      <c r="AV247">
        <v>2114</v>
      </c>
      <c r="AW247" t="str">
        <f t="shared" si="158"/>
        <v>[{5000,3,1,1101,101},{5000,3,1,1101,103},{5000,3,1,1102,111},{5000,3,1,1101,112},{5000,3,1,1101,113}]</v>
      </c>
    </row>
    <row r="248" spans="2:49">
      <c r="B248">
        <v>2115</v>
      </c>
      <c r="C248" t="s">
        <v>89</v>
      </c>
      <c r="D248" t="str">
        <f t="shared" si="127"/>
        <v>12</v>
      </c>
      <c r="F248">
        <v>61</v>
      </c>
      <c r="G248">
        <v>5000</v>
      </c>
      <c r="H248">
        <f t="shared" si="165"/>
        <v>5</v>
      </c>
      <c r="I248">
        <v>1</v>
      </c>
      <c r="J248">
        <v>3</v>
      </c>
      <c r="K248">
        <f t="shared" si="166"/>
        <v>1103</v>
      </c>
      <c r="L248">
        <f t="shared" si="148"/>
        <v>101</v>
      </c>
      <c r="M248">
        <v>5000</v>
      </c>
      <c r="N248">
        <f t="shared" si="145"/>
        <v>5</v>
      </c>
      <c r="O248">
        <v>1</v>
      </c>
      <c r="P248">
        <f t="shared" si="167"/>
        <v>1103</v>
      </c>
      <c r="Q248">
        <v>56</v>
      </c>
      <c r="R248">
        <f t="shared" si="150"/>
        <v>102</v>
      </c>
      <c r="S248">
        <v>5000</v>
      </c>
      <c r="T248">
        <f t="shared" si="118"/>
        <v>5</v>
      </c>
      <c r="U248">
        <v>1</v>
      </c>
      <c r="V248">
        <f t="shared" si="168"/>
        <v>1103</v>
      </c>
      <c r="W248">
        <v>57</v>
      </c>
      <c r="X248">
        <f t="shared" si="152"/>
        <v>103</v>
      </c>
      <c r="Y248">
        <v>5000</v>
      </c>
      <c r="Z248">
        <f t="shared" si="119"/>
        <v>5</v>
      </c>
      <c r="AA248">
        <v>1</v>
      </c>
      <c r="AB248">
        <f t="shared" si="169"/>
        <v>1103</v>
      </c>
      <c r="AC248">
        <v>72</v>
      </c>
      <c r="AD248">
        <f t="shared" si="154"/>
        <v>113</v>
      </c>
      <c r="AE248">
        <v>5000</v>
      </c>
      <c r="AF248">
        <f t="shared" si="120"/>
        <v>5</v>
      </c>
      <c r="AG248">
        <v>1</v>
      </c>
      <c r="AH248">
        <f t="shared" si="170"/>
        <v>1103</v>
      </c>
      <c r="AI248">
        <v>71</v>
      </c>
      <c r="AJ248">
        <f t="shared" si="156"/>
        <v>111</v>
      </c>
      <c r="AP248" t="str">
        <f t="shared" si="121"/>
        <v>{5000,5,1,1103,101}</v>
      </c>
      <c r="AQ248" t="str">
        <f t="shared" si="122"/>
        <v>{5000,5,1,1103,102}</v>
      </c>
      <c r="AR248" t="str">
        <f t="shared" si="123"/>
        <v>{5000,5,1,1103,103}</v>
      </c>
      <c r="AS248" t="str">
        <f t="shared" si="124"/>
        <v>{5000,5,1,1103,113}</v>
      </c>
      <c r="AT248" t="str">
        <f t="shared" si="125"/>
        <v>{5000,5,1,1103,111}</v>
      </c>
      <c r="AU248" t="str">
        <f t="shared" si="126"/>
        <v/>
      </c>
      <c r="AV248">
        <v>2115</v>
      </c>
      <c r="AW248" t="str">
        <f t="shared" si="158"/>
        <v>[{5000,5,1,1103,101},{5000,5,1,1103,102},{5000,5,1,1103,103},{5000,5,1,1103,113},{5000,5,1,1103,111}]</v>
      </c>
    </row>
    <row r="249" spans="2:49">
      <c r="B249">
        <v>2116</v>
      </c>
      <c r="C249" t="s">
        <v>89</v>
      </c>
      <c r="D249" t="str">
        <f t="shared" si="127"/>
        <v>12</v>
      </c>
      <c r="F249">
        <v>76</v>
      </c>
      <c r="G249">
        <v>5000</v>
      </c>
      <c r="H249">
        <f t="shared" si="165"/>
        <v>5</v>
      </c>
      <c r="I249">
        <v>1</v>
      </c>
      <c r="J249">
        <v>1</v>
      </c>
      <c r="K249">
        <f t="shared" si="166"/>
        <v>1101</v>
      </c>
      <c r="L249">
        <f t="shared" si="148"/>
        <v>101</v>
      </c>
      <c r="M249">
        <v>5000</v>
      </c>
      <c r="N249">
        <f t="shared" si="145"/>
        <v>5</v>
      </c>
      <c r="O249">
        <v>1</v>
      </c>
      <c r="P249">
        <f t="shared" si="167"/>
        <v>1101</v>
      </c>
      <c r="Q249">
        <v>59</v>
      </c>
      <c r="R249">
        <f t="shared" si="150"/>
        <v>103</v>
      </c>
      <c r="S249">
        <v>5000</v>
      </c>
      <c r="T249">
        <f t="shared" si="118"/>
        <v>5</v>
      </c>
      <c r="U249">
        <v>1</v>
      </c>
      <c r="V249">
        <f t="shared" si="168"/>
        <v>1102</v>
      </c>
      <c r="W249">
        <v>71</v>
      </c>
      <c r="X249">
        <f t="shared" si="152"/>
        <v>111</v>
      </c>
      <c r="Y249">
        <v>5000</v>
      </c>
      <c r="Z249">
        <f t="shared" si="119"/>
        <v>5</v>
      </c>
      <c r="AA249">
        <v>1</v>
      </c>
      <c r="AB249">
        <f t="shared" si="169"/>
        <v>1101</v>
      </c>
      <c r="AC249">
        <v>71</v>
      </c>
      <c r="AD249">
        <f t="shared" si="154"/>
        <v>112</v>
      </c>
      <c r="AE249">
        <v>5000</v>
      </c>
      <c r="AF249">
        <f t="shared" si="120"/>
        <v>5</v>
      </c>
      <c r="AG249">
        <v>1</v>
      </c>
      <c r="AH249">
        <f t="shared" si="170"/>
        <v>1101</v>
      </c>
      <c r="AI249">
        <v>79</v>
      </c>
      <c r="AJ249">
        <f t="shared" si="156"/>
        <v>113</v>
      </c>
      <c r="AP249" t="str">
        <f t="shared" si="121"/>
        <v>{5000,5,1,1101,101}</v>
      </c>
      <c r="AQ249" t="str">
        <f t="shared" si="122"/>
        <v>{5000,5,1,1101,103}</v>
      </c>
      <c r="AR249" t="str">
        <f t="shared" si="123"/>
        <v>{5000,5,1,1102,111}</v>
      </c>
      <c r="AS249" t="str">
        <f t="shared" si="124"/>
        <v>{5000,5,1,1101,112}</v>
      </c>
      <c r="AT249" t="str">
        <f t="shared" si="125"/>
        <v>{5000,5,1,1101,113}</v>
      </c>
      <c r="AU249" t="str">
        <f t="shared" si="126"/>
        <v/>
      </c>
      <c r="AV249">
        <v>2116</v>
      </c>
      <c r="AW249" t="str">
        <f t="shared" si="158"/>
        <v>[{5000,5,1,1101,101},{5000,5,1,1101,103},{5000,5,1,1102,111},{5000,5,1,1101,112},{5000,5,1,1101,113}]</v>
      </c>
    </row>
    <row r="250" spans="2:49">
      <c r="B250">
        <v>2117</v>
      </c>
      <c r="C250" t="s">
        <v>89</v>
      </c>
      <c r="D250" t="str">
        <f t="shared" si="127"/>
        <v>12</v>
      </c>
      <c r="F250">
        <v>91</v>
      </c>
      <c r="G250">
        <v>5000</v>
      </c>
      <c r="H250">
        <f t="shared" si="165"/>
        <v>4</v>
      </c>
      <c r="I250">
        <v>1</v>
      </c>
      <c r="J250">
        <v>1</v>
      </c>
      <c r="K250">
        <f t="shared" si="166"/>
        <v>1101</v>
      </c>
      <c r="L250">
        <f t="shared" si="148"/>
        <v>101</v>
      </c>
      <c r="M250">
        <v>5000</v>
      </c>
      <c r="N250">
        <f t="shared" si="145"/>
        <v>4</v>
      </c>
      <c r="O250">
        <v>1</v>
      </c>
      <c r="P250">
        <f t="shared" si="167"/>
        <v>1101</v>
      </c>
      <c r="Q250">
        <v>54</v>
      </c>
      <c r="R250">
        <f t="shared" si="150"/>
        <v>102</v>
      </c>
      <c r="S250">
        <v>5000</v>
      </c>
      <c r="T250">
        <f t="shared" si="118"/>
        <v>4</v>
      </c>
      <c r="U250">
        <v>1</v>
      </c>
      <c r="V250">
        <f t="shared" si="168"/>
        <v>1102</v>
      </c>
      <c r="W250">
        <v>51</v>
      </c>
      <c r="X250">
        <f t="shared" si="152"/>
        <v>103</v>
      </c>
      <c r="Y250">
        <v>5000</v>
      </c>
      <c r="Z250">
        <f t="shared" si="119"/>
        <v>4</v>
      </c>
      <c r="AA250">
        <v>1</v>
      </c>
      <c r="AB250">
        <f t="shared" si="169"/>
        <v>1101</v>
      </c>
      <c r="AC250">
        <v>71</v>
      </c>
      <c r="AD250">
        <f t="shared" si="154"/>
        <v>113</v>
      </c>
      <c r="AE250">
        <v>5000</v>
      </c>
      <c r="AF250">
        <f t="shared" si="120"/>
        <v>4</v>
      </c>
      <c r="AG250">
        <v>1</v>
      </c>
      <c r="AH250">
        <f t="shared" si="170"/>
        <v>1102</v>
      </c>
      <c r="AI250">
        <v>77</v>
      </c>
      <c r="AJ250">
        <f t="shared" si="156"/>
        <v>111</v>
      </c>
      <c r="AP250" t="str">
        <f t="shared" si="121"/>
        <v>{5000,4,1,1101,101}</v>
      </c>
      <c r="AQ250" t="str">
        <f t="shared" si="122"/>
        <v>{5000,4,1,1101,102}</v>
      </c>
      <c r="AR250" t="str">
        <f t="shared" si="123"/>
        <v>{5000,4,1,1102,103}</v>
      </c>
      <c r="AS250" t="str">
        <f t="shared" si="124"/>
        <v>{5000,4,1,1101,113}</v>
      </c>
      <c r="AT250" t="str">
        <f t="shared" si="125"/>
        <v>{5000,4,1,1102,111}</v>
      </c>
      <c r="AU250" t="str">
        <f t="shared" si="126"/>
        <v/>
      </c>
      <c r="AV250">
        <v>2117</v>
      </c>
      <c r="AW250" t="str">
        <f t="shared" si="158"/>
        <v>[{5000,4,1,1101,101},{5000,4,1,1101,102},{5000,4,1,1102,103},{5000,4,1,1101,113},{5000,4,1,1102,111}]</v>
      </c>
    </row>
    <row r="251" spans="2:49">
      <c r="B251">
        <v>2118</v>
      </c>
      <c r="C251" t="s">
        <v>89</v>
      </c>
      <c r="D251" t="str">
        <f t="shared" si="127"/>
        <v>12</v>
      </c>
      <c r="F251">
        <v>106</v>
      </c>
      <c r="G251">
        <v>5000</v>
      </c>
      <c r="H251">
        <f t="shared" si="165"/>
        <v>4</v>
      </c>
      <c r="I251">
        <v>1</v>
      </c>
      <c r="J251">
        <v>1</v>
      </c>
      <c r="K251">
        <f t="shared" si="166"/>
        <v>1101</v>
      </c>
      <c r="L251">
        <f t="shared" si="148"/>
        <v>101</v>
      </c>
      <c r="M251">
        <v>5000</v>
      </c>
      <c r="N251">
        <f t="shared" si="145"/>
        <v>4</v>
      </c>
      <c r="O251">
        <v>1</v>
      </c>
      <c r="P251">
        <f t="shared" si="167"/>
        <v>1101</v>
      </c>
      <c r="Q251">
        <v>55</v>
      </c>
      <c r="R251">
        <f t="shared" si="150"/>
        <v>103</v>
      </c>
      <c r="S251">
        <v>5000</v>
      </c>
      <c r="T251">
        <f t="shared" si="118"/>
        <v>4</v>
      </c>
      <c r="U251">
        <v>1</v>
      </c>
      <c r="V251">
        <f t="shared" si="168"/>
        <v>1102</v>
      </c>
      <c r="W251">
        <v>73</v>
      </c>
      <c r="X251">
        <f t="shared" si="152"/>
        <v>111</v>
      </c>
      <c r="Y251">
        <v>5000</v>
      </c>
      <c r="Z251">
        <f t="shared" si="119"/>
        <v>4</v>
      </c>
      <c r="AA251">
        <v>1</v>
      </c>
      <c r="AB251">
        <f t="shared" si="169"/>
        <v>1101</v>
      </c>
      <c r="AC251">
        <v>78</v>
      </c>
      <c r="AD251">
        <f t="shared" si="154"/>
        <v>112</v>
      </c>
      <c r="AE251">
        <v>5000</v>
      </c>
      <c r="AF251">
        <f t="shared" si="120"/>
        <v>4</v>
      </c>
      <c r="AG251">
        <v>1</v>
      </c>
      <c r="AH251">
        <f t="shared" si="170"/>
        <v>1102</v>
      </c>
      <c r="AI251">
        <v>71</v>
      </c>
      <c r="AJ251">
        <f t="shared" si="156"/>
        <v>113</v>
      </c>
      <c r="AP251" t="str">
        <f t="shared" si="121"/>
        <v>{5000,4,1,1101,101}</v>
      </c>
      <c r="AQ251" t="str">
        <f t="shared" si="122"/>
        <v>{5000,4,1,1101,103}</v>
      </c>
      <c r="AR251" t="str">
        <f t="shared" si="123"/>
        <v>{5000,4,1,1102,111}</v>
      </c>
      <c r="AS251" t="str">
        <f t="shared" si="124"/>
        <v>{5000,4,1,1101,112}</v>
      </c>
      <c r="AT251" t="str">
        <f t="shared" si="125"/>
        <v>{5000,4,1,1102,113}</v>
      </c>
      <c r="AU251" t="str">
        <f t="shared" si="126"/>
        <v/>
      </c>
      <c r="AV251">
        <v>2118</v>
      </c>
      <c r="AW251" t="str">
        <f t="shared" si="158"/>
        <v>[{5000,4,1,1101,101},{5000,4,1,1101,103},{5000,4,1,1102,111},{5000,4,1,1101,112},{5000,4,1,1102,113}]</v>
      </c>
    </row>
    <row r="252" spans="2:48">
      <c r="B252">
        <v>2119</v>
      </c>
      <c r="C252" t="s">
        <v>89</v>
      </c>
      <c r="D252" t="str">
        <f t="shared" si="127"/>
        <v>12</v>
      </c>
      <c r="F252">
        <v>119</v>
      </c>
      <c r="H252">
        <f t="shared" si="165"/>
        <v>0</v>
      </c>
      <c r="K252" t="str">
        <f t="shared" si="166"/>
        <v/>
      </c>
      <c r="L252" t="str">
        <f t="shared" si="148"/>
        <v/>
      </c>
      <c r="N252">
        <f t="shared" si="145"/>
        <v>0</v>
      </c>
      <c r="P252" t="str">
        <f t="shared" si="167"/>
        <v/>
      </c>
      <c r="R252" t="str">
        <f t="shared" si="150"/>
        <v/>
      </c>
      <c r="T252">
        <f t="shared" si="118"/>
        <v>0</v>
      </c>
      <c r="V252" t="str">
        <f t="shared" si="168"/>
        <v/>
      </c>
      <c r="X252" t="str">
        <f t="shared" si="152"/>
        <v/>
      </c>
      <c r="Z252">
        <f t="shared" si="119"/>
        <v>0</v>
      </c>
      <c r="AB252" t="str">
        <f t="shared" si="169"/>
        <v/>
      </c>
      <c r="AD252" t="str">
        <f t="shared" si="154"/>
        <v/>
      </c>
      <c r="AF252">
        <f t="shared" si="120"/>
        <v>0</v>
      </c>
      <c r="AH252" t="str">
        <f t="shared" si="170"/>
        <v/>
      </c>
      <c r="AJ252" t="str">
        <f t="shared" si="156"/>
        <v/>
      </c>
      <c r="AP252" t="str">
        <f t="shared" si="121"/>
        <v/>
      </c>
      <c r="AQ252" t="str">
        <f t="shared" si="122"/>
        <v/>
      </c>
      <c r="AR252" t="str">
        <f t="shared" si="123"/>
        <v/>
      </c>
      <c r="AS252" t="str">
        <f t="shared" si="124"/>
        <v/>
      </c>
      <c r="AT252" t="str">
        <f t="shared" si="125"/>
        <v/>
      </c>
      <c r="AU252" t="str">
        <f t="shared" si="126"/>
        <v/>
      </c>
      <c r="AV252">
        <v>2119</v>
      </c>
    </row>
    <row r="253" spans="2:49">
      <c r="B253">
        <v>2120</v>
      </c>
      <c r="C253" t="s">
        <v>89</v>
      </c>
      <c r="D253" t="str">
        <f t="shared" si="127"/>
        <v>12</v>
      </c>
      <c r="F253">
        <v>121</v>
      </c>
      <c r="G253">
        <v>5000</v>
      </c>
      <c r="H253">
        <f t="shared" si="165"/>
        <v>6</v>
      </c>
      <c r="I253">
        <v>1</v>
      </c>
      <c r="J253">
        <v>3</v>
      </c>
      <c r="K253">
        <f t="shared" si="166"/>
        <v>1103</v>
      </c>
      <c r="L253">
        <f t="shared" si="148"/>
        <v>101</v>
      </c>
      <c r="M253">
        <v>5000</v>
      </c>
      <c r="N253">
        <f t="shared" si="145"/>
        <v>6</v>
      </c>
      <c r="O253">
        <v>1</v>
      </c>
      <c r="P253">
        <f t="shared" si="167"/>
        <v>1103</v>
      </c>
      <c r="Q253">
        <v>54</v>
      </c>
      <c r="R253">
        <f t="shared" si="150"/>
        <v>102</v>
      </c>
      <c r="S253">
        <v>5000</v>
      </c>
      <c r="T253">
        <f t="shared" si="118"/>
        <v>6</v>
      </c>
      <c r="U253">
        <v>1</v>
      </c>
      <c r="V253">
        <f t="shared" si="168"/>
        <v>1103</v>
      </c>
      <c r="W253">
        <v>51</v>
      </c>
      <c r="X253">
        <f t="shared" si="152"/>
        <v>103</v>
      </c>
      <c r="Y253">
        <v>5000</v>
      </c>
      <c r="Z253">
        <f t="shared" si="119"/>
        <v>6</v>
      </c>
      <c r="AA253">
        <v>1</v>
      </c>
      <c r="AB253">
        <f t="shared" si="169"/>
        <v>1103</v>
      </c>
      <c r="AC253">
        <v>71</v>
      </c>
      <c r="AD253">
        <f t="shared" si="154"/>
        <v>113</v>
      </c>
      <c r="AE253">
        <v>5000</v>
      </c>
      <c r="AF253">
        <f t="shared" si="120"/>
        <v>6</v>
      </c>
      <c r="AG253">
        <v>1</v>
      </c>
      <c r="AH253">
        <f t="shared" si="170"/>
        <v>1103</v>
      </c>
      <c r="AI253">
        <v>79</v>
      </c>
      <c r="AJ253">
        <f t="shared" si="156"/>
        <v>111</v>
      </c>
      <c r="AK253">
        <v>1000</v>
      </c>
      <c r="AL253">
        <v>1</v>
      </c>
      <c r="AM253">
        <v>0</v>
      </c>
      <c r="AN253">
        <f>AN230+100</f>
        <v>1121</v>
      </c>
      <c r="AO253">
        <v>4</v>
      </c>
      <c r="AP253" t="str">
        <f t="shared" si="121"/>
        <v>{5000,6,1,1103,101}</v>
      </c>
      <c r="AQ253" t="str">
        <f t="shared" si="122"/>
        <v>{5000,6,1,1103,102}</v>
      </c>
      <c r="AR253" t="str">
        <f t="shared" si="123"/>
        <v>{5000,6,1,1103,103}</v>
      </c>
      <c r="AS253" t="str">
        <f t="shared" si="124"/>
        <v>{5000,6,1,1103,113}</v>
      </c>
      <c r="AT253" t="str">
        <f t="shared" si="125"/>
        <v>{5000,6,1,1103,111}</v>
      </c>
      <c r="AU253" t="str">
        <f t="shared" si="126"/>
        <v>{1000,1,0,1121,4}</v>
      </c>
      <c r="AV253">
        <v>2120</v>
      </c>
      <c r="AW253" t="str">
        <f t="shared" ref="AW253:AW258" si="171">IF(AU253="","["&amp;_xlfn.TEXTJOIN(",",1,AP253:AT253)&amp;"]","["&amp;_xlfn.TEXTJOIN(",",1,AP253:AU253)&amp;"]")</f>
        <v>[{5000,6,1,1103,101},{5000,6,1,1103,102},{5000,6,1,1103,103},{5000,6,1,1103,113},{5000,6,1,1103,111},{1000,1,0,1121,4}]</v>
      </c>
    </row>
    <row r="254" spans="2:49">
      <c r="B254">
        <v>2121</v>
      </c>
      <c r="C254" t="s">
        <v>89</v>
      </c>
      <c r="D254" t="str">
        <f t="shared" si="127"/>
        <v>12</v>
      </c>
      <c r="F254">
        <v>136</v>
      </c>
      <c r="G254">
        <v>5000</v>
      </c>
      <c r="H254">
        <f t="shared" si="165"/>
        <v>5</v>
      </c>
      <c r="I254">
        <v>1</v>
      </c>
      <c r="J254">
        <v>1</v>
      </c>
      <c r="K254">
        <f t="shared" si="166"/>
        <v>1101</v>
      </c>
      <c r="L254">
        <f t="shared" si="148"/>
        <v>101</v>
      </c>
      <c r="M254">
        <v>5000</v>
      </c>
      <c r="N254">
        <f t="shared" si="145"/>
        <v>5</v>
      </c>
      <c r="O254">
        <v>1</v>
      </c>
      <c r="P254">
        <f t="shared" si="167"/>
        <v>1101</v>
      </c>
      <c r="Q254">
        <v>54</v>
      </c>
      <c r="R254">
        <f t="shared" si="150"/>
        <v>103</v>
      </c>
      <c r="S254">
        <v>5000</v>
      </c>
      <c r="T254">
        <f t="shared" si="118"/>
        <v>5</v>
      </c>
      <c r="U254">
        <v>1</v>
      </c>
      <c r="V254">
        <f t="shared" si="168"/>
        <v>1102</v>
      </c>
      <c r="W254">
        <v>76</v>
      </c>
      <c r="X254">
        <f t="shared" si="152"/>
        <v>111</v>
      </c>
      <c r="Y254">
        <v>5000</v>
      </c>
      <c r="Z254">
        <f t="shared" si="119"/>
        <v>5</v>
      </c>
      <c r="AA254">
        <v>1</v>
      </c>
      <c r="AB254">
        <f t="shared" si="169"/>
        <v>1101</v>
      </c>
      <c r="AC254">
        <v>72</v>
      </c>
      <c r="AD254">
        <f t="shared" si="154"/>
        <v>112</v>
      </c>
      <c r="AE254">
        <v>5000</v>
      </c>
      <c r="AF254">
        <f t="shared" si="120"/>
        <v>5</v>
      </c>
      <c r="AG254">
        <v>1</v>
      </c>
      <c r="AH254">
        <f t="shared" si="170"/>
        <v>1102</v>
      </c>
      <c r="AI254">
        <v>74</v>
      </c>
      <c r="AJ254">
        <f t="shared" si="156"/>
        <v>113</v>
      </c>
      <c r="AP254" t="str">
        <f t="shared" si="121"/>
        <v>{5000,5,1,1101,101}</v>
      </c>
      <c r="AQ254" t="str">
        <f t="shared" si="122"/>
        <v>{5000,5,1,1101,103}</v>
      </c>
      <c r="AR254" t="str">
        <f t="shared" si="123"/>
        <v>{5000,5,1,1102,111}</v>
      </c>
      <c r="AS254" t="str">
        <f t="shared" si="124"/>
        <v>{5000,5,1,1101,112}</v>
      </c>
      <c r="AT254" t="str">
        <f t="shared" si="125"/>
        <v>{5000,5,1,1102,113}</v>
      </c>
      <c r="AU254" t="str">
        <f t="shared" si="126"/>
        <v/>
      </c>
      <c r="AV254">
        <v>2121</v>
      </c>
      <c r="AW254" t="str">
        <f t="shared" si="171"/>
        <v>[{5000,5,1,1101,101},{5000,5,1,1101,103},{5000,5,1,1102,111},{5000,5,1,1101,112},{5000,5,1,1102,113}]</v>
      </c>
    </row>
    <row r="255" spans="2:49">
      <c r="B255">
        <v>2122</v>
      </c>
      <c r="C255" t="s">
        <v>89</v>
      </c>
      <c r="D255" t="str">
        <f t="shared" si="127"/>
        <v>12</v>
      </c>
      <c r="F255">
        <v>151</v>
      </c>
      <c r="G255">
        <v>5000</v>
      </c>
      <c r="H255">
        <f t="shared" si="165"/>
        <v>5</v>
      </c>
      <c r="I255">
        <v>1</v>
      </c>
      <c r="J255">
        <v>1</v>
      </c>
      <c r="K255">
        <f t="shared" si="166"/>
        <v>1101</v>
      </c>
      <c r="L255">
        <f t="shared" si="148"/>
        <v>101</v>
      </c>
      <c r="M255">
        <v>5000</v>
      </c>
      <c r="N255">
        <f t="shared" si="145"/>
        <v>5</v>
      </c>
      <c r="O255">
        <v>1</v>
      </c>
      <c r="P255">
        <f t="shared" si="167"/>
        <v>1101</v>
      </c>
      <c r="Q255">
        <v>54</v>
      </c>
      <c r="R255">
        <f t="shared" si="150"/>
        <v>102</v>
      </c>
      <c r="S255">
        <v>5000</v>
      </c>
      <c r="T255">
        <f t="shared" si="118"/>
        <v>5</v>
      </c>
      <c r="U255">
        <v>1</v>
      </c>
      <c r="V255">
        <f t="shared" si="168"/>
        <v>1102</v>
      </c>
      <c r="W255">
        <v>56</v>
      </c>
      <c r="X255">
        <f t="shared" si="152"/>
        <v>103</v>
      </c>
      <c r="Y255">
        <v>5000</v>
      </c>
      <c r="Z255">
        <f t="shared" si="119"/>
        <v>5</v>
      </c>
      <c r="AA255">
        <v>1</v>
      </c>
      <c r="AB255">
        <f t="shared" si="169"/>
        <v>1101</v>
      </c>
      <c r="AC255">
        <v>72</v>
      </c>
      <c r="AD255">
        <f t="shared" si="154"/>
        <v>113</v>
      </c>
      <c r="AE255">
        <v>5000</v>
      </c>
      <c r="AF255">
        <f t="shared" si="120"/>
        <v>5</v>
      </c>
      <c r="AG255">
        <v>1</v>
      </c>
      <c r="AH255">
        <f t="shared" si="170"/>
        <v>1102</v>
      </c>
      <c r="AI255">
        <v>74</v>
      </c>
      <c r="AJ255">
        <f t="shared" si="156"/>
        <v>111</v>
      </c>
      <c r="AP255" t="str">
        <f t="shared" si="121"/>
        <v>{5000,5,1,1101,101}</v>
      </c>
      <c r="AQ255" t="str">
        <f t="shared" si="122"/>
        <v>{5000,5,1,1101,102}</v>
      </c>
      <c r="AR255" t="str">
        <f t="shared" si="123"/>
        <v>{5000,5,1,1102,103}</v>
      </c>
      <c r="AS255" t="str">
        <f t="shared" si="124"/>
        <v>{5000,5,1,1101,113}</v>
      </c>
      <c r="AT255" t="str">
        <f t="shared" si="125"/>
        <v>{5000,5,1,1102,111}</v>
      </c>
      <c r="AU255" t="str">
        <f t="shared" si="126"/>
        <v/>
      </c>
      <c r="AV255">
        <v>2122</v>
      </c>
      <c r="AW255" t="str">
        <f t="shared" si="171"/>
        <v>[{5000,5,1,1101,101},{5000,5,1,1101,102},{5000,5,1,1102,103},{5000,5,1,1101,113},{5000,5,1,1102,111}]</v>
      </c>
    </row>
    <row r="256" spans="2:49">
      <c r="B256">
        <v>2123</v>
      </c>
      <c r="C256" t="s">
        <v>89</v>
      </c>
      <c r="D256" t="str">
        <f t="shared" si="127"/>
        <v>12</v>
      </c>
      <c r="F256">
        <v>166</v>
      </c>
      <c r="G256">
        <v>5000</v>
      </c>
      <c r="H256">
        <f t="shared" si="165"/>
        <v>7</v>
      </c>
      <c r="I256">
        <v>1</v>
      </c>
      <c r="J256">
        <v>1</v>
      </c>
      <c r="K256">
        <f t="shared" si="166"/>
        <v>1101</v>
      </c>
      <c r="L256">
        <f t="shared" si="148"/>
        <v>101</v>
      </c>
      <c r="M256">
        <v>5000</v>
      </c>
      <c r="N256">
        <f t="shared" si="145"/>
        <v>7</v>
      </c>
      <c r="O256">
        <v>1</v>
      </c>
      <c r="P256">
        <f t="shared" si="167"/>
        <v>1101</v>
      </c>
      <c r="Q256">
        <v>59</v>
      </c>
      <c r="R256">
        <f t="shared" si="150"/>
        <v>103</v>
      </c>
      <c r="S256">
        <v>5000</v>
      </c>
      <c r="T256">
        <f t="shared" si="118"/>
        <v>7</v>
      </c>
      <c r="U256">
        <v>1</v>
      </c>
      <c r="V256">
        <f t="shared" si="168"/>
        <v>1102</v>
      </c>
      <c r="W256">
        <v>79</v>
      </c>
      <c r="X256">
        <f t="shared" si="152"/>
        <v>111</v>
      </c>
      <c r="Y256">
        <v>5000</v>
      </c>
      <c r="Z256">
        <f t="shared" si="119"/>
        <v>7</v>
      </c>
      <c r="AA256">
        <v>1</v>
      </c>
      <c r="AB256">
        <f t="shared" si="169"/>
        <v>1101</v>
      </c>
      <c r="AC256">
        <v>71</v>
      </c>
      <c r="AD256">
        <f t="shared" si="154"/>
        <v>112</v>
      </c>
      <c r="AE256">
        <v>5000</v>
      </c>
      <c r="AF256">
        <f t="shared" si="120"/>
        <v>7</v>
      </c>
      <c r="AG256">
        <v>1</v>
      </c>
      <c r="AH256">
        <f t="shared" si="170"/>
        <v>1102</v>
      </c>
      <c r="AI256">
        <v>74</v>
      </c>
      <c r="AJ256">
        <f t="shared" si="156"/>
        <v>113</v>
      </c>
      <c r="AP256" t="str">
        <f t="shared" si="121"/>
        <v>{5000,7,1,1101,101}</v>
      </c>
      <c r="AQ256" t="str">
        <f t="shared" si="122"/>
        <v>{5000,7,1,1101,103}</v>
      </c>
      <c r="AR256" t="str">
        <f t="shared" si="123"/>
        <v>{5000,7,1,1102,111}</v>
      </c>
      <c r="AS256" t="str">
        <f t="shared" si="124"/>
        <v>{5000,7,1,1101,112}</v>
      </c>
      <c r="AT256" t="str">
        <f t="shared" si="125"/>
        <v>{5000,7,1,1102,113}</v>
      </c>
      <c r="AU256" t="str">
        <f t="shared" si="126"/>
        <v/>
      </c>
      <c r="AV256">
        <v>2123</v>
      </c>
      <c r="AW256" t="str">
        <f t="shared" si="171"/>
        <v>[{5000,7,1,1101,101},{5000,7,1,1101,103},{5000,7,1,1102,111},{5000,7,1,1101,112},{5000,7,1,1102,113}]</v>
      </c>
    </row>
    <row r="257" spans="2:49">
      <c r="B257">
        <v>2124</v>
      </c>
      <c r="C257" t="s">
        <v>89</v>
      </c>
      <c r="D257" t="str">
        <f t="shared" si="127"/>
        <v>12</v>
      </c>
      <c r="F257">
        <v>181</v>
      </c>
      <c r="G257">
        <v>5000</v>
      </c>
      <c r="H257">
        <f t="shared" si="165"/>
        <v>7</v>
      </c>
      <c r="I257">
        <v>1</v>
      </c>
      <c r="J257">
        <v>3</v>
      </c>
      <c r="K257">
        <f t="shared" si="166"/>
        <v>1103</v>
      </c>
      <c r="L257">
        <f t="shared" si="148"/>
        <v>101</v>
      </c>
      <c r="M257">
        <v>5000</v>
      </c>
      <c r="N257">
        <f t="shared" si="145"/>
        <v>7</v>
      </c>
      <c r="O257">
        <v>1</v>
      </c>
      <c r="P257">
        <f t="shared" si="167"/>
        <v>1103</v>
      </c>
      <c r="Q257">
        <v>53</v>
      </c>
      <c r="R257">
        <f t="shared" si="150"/>
        <v>102</v>
      </c>
      <c r="S257">
        <v>5000</v>
      </c>
      <c r="T257">
        <f t="shared" si="118"/>
        <v>7</v>
      </c>
      <c r="U257">
        <v>1</v>
      </c>
      <c r="V257">
        <f t="shared" si="168"/>
        <v>1103</v>
      </c>
      <c r="W257">
        <v>56</v>
      </c>
      <c r="X257">
        <f t="shared" si="152"/>
        <v>103</v>
      </c>
      <c r="Y257">
        <v>5000</v>
      </c>
      <c r="Z257">
        <f t="shared" si="119"/>
        <v>7</v>
      </c>
      <c r="AA257">
        <v>1</v>
      </c>
      <c r="AB257">
        <f t="shared" si="169"/>
        <v>1103</v>
      </c>
      <c r="AC257">
        <v>75</v>
      </c>
      <c r="AD257">
        <f t="shared" si="154"/>
        <v>113</v>
      </c>
      <c r="AE257">
        <v>5000</v>
      </c>
      <c r="AF257">
        <f t="shared" si="120"/>
        <v>7</v>
      </c>
      <c r="AG257">
        <v>1</v>
      </c>
      <c r="AH257">
        <f t="shared" si="170"/>
        <v>1103</v>
      </c>
      <c r="AI257">
        <v>78</v>
      </c>
      <c r="AJ257">
        <f t="shared" si="156"/>
        <v>111</v>
      </c>
      <c r="AP257" t="str">
        <f t="shared" si="121"/>
        <v>{5000,7,1,1103,101}</v>
      </c>
      <c r="AQ257" t="str">
        <f t="shared" si="122"/>
        <v>{5000,7,1,1103,102}</v>
      </c>
      <c r="AR257" t="str">
        <f t="shared" si="123"/>
        <v>{5000,7,1,1103,103}</v>
      </c>
      <c r="AS257" t="str">
        <f t="shared" si="124"/>
        <v>{5000,7,1,1103,113}</v>
      </c>
      <c r="AT257" t="str">
        <f t="shared" si="125"/>
        <v>{5000,7,1,1103,111}</v>
      </c>
      <c r="AU257" t="str">
        <f t="shared" si="126"/>
        <v/>
      </c>
      <c r="AV257">
        <v>2124</v>
      </c>
      <c r="AW257" t="str">
        <f t="shared" si="171"/>
        <v>[{5000,7,1,1103,101},{5000,7,1,1103,102},{5000,7,1,1103,103},{5000,7,1,1103,113},{5000,7,1,1103,111}]</v>
      </c>
    </row>
    <row r="258" spans="2:49">
      <c r="B258">
        <v>2125</v>
      </c>
      <c r="C258" t="s">
        <v>89</v>
      </c>
      <c r="D258" t="str">
        <f t="shared" si="127"/>
        <v>12</v>
      </c>
      <c r="F258">
        <v>196</v>
      </c>
      <c r="G258">
        <v>5000</v>
      </c>
      <c r="H258">
        <f t="shared" si="165"/>
        <v>7</v>
      </c>
      <c r="I258">
        <v>1</v>
      </c>
      <c r="J258">
        <v>2</v>
      </c>
      <c r="K258">
        <f t="shared" si="166"/>
        <v>1102</v>
      </c>
      <c r="L258">
        <f t="shared" si="148"/>
        <v>101</v>
      </c>
      <c r="M258">
        <v>5000</v>
      </c>
      <c r="N258">
        <f t="shared" si="145"/>
        <v>7</v>
      </c>
      <c r="O258">
        <v>1</v>
      </c>
      <c r="P258">
        <f t="shared" si="167"/>
        <v>1101</v>
      </c>
      <c r="Q258">
        <v>54</v>
      </c>
      <c r="R258">
        <f t="shared" si="150"/>
        <v>103</v>
      </c>
      <c r="S258">
        <v>5000</v>
      </c>
      <c r="T258">
        <f t="shared" si="118"/>
        <v>7</v>
      </c>
      <c r="U258">
        <v>1</v>
      </c>
      <c r="V258">
        <f t="shared" si="168"/>
        <v>1102</v>
      </c>
      <c r="W258">
        <v>77</v>
      </c>
      <c r="X258">
        <f t="shared" si="152"/>
        <v>111</v>
      </c>
      <c r="Y258">
        <v>5000</v>
      </c>
      <c r="Z258">
        <f t="shared" si="119"/>
        <v>7</v>
      </c>
      <c r="AA258">
        <v>1</v>
      </c>
      <c r="AB258">
        <f t="shared" si="169"/>
        <v>1101</v>
      </c>
      <c r="AC258">
        <v>72</v>
      </c>
      <c r="AD258">
        <f t="shared" si="154"/>
        <v>112</v>
      </c>
      <c r="AE258">
        <v>5000</v>
      </c>
      <c r="AF258">
        <f t="shared" si="120"/>
        <v>7</v>
      </c>
      <c r="AG258">
        <v>1</v>
      </c>
      <c r="AH258">
        <f t="shared" si="170"/>
        <v>1102</v>
      </c>
      <c r="AI258">
        <v>74</v>
      </c>
      <c r="AJ258">
        <f t="shared" si="156"/>
        <v>113</v>
      </c>
      <c r="AP258" t="str">
        <f t="shared" si="121"/>
        <v>{5000,7,1,1102,101}</v>
      </c>
      <c r="AQ258" t="str">
        <f t="shared" si="122"/>
        <v>{5000,7,1,1101,103}</v>
      </c>
      <c r="AR258" t="str">
        <f t="shared" si="123"/>
        <v>{5000,7,1,1102,111}</v>
      </c>
      <c r="AS258" t="str">
        <f t="shared" si="124"/>
        <v>{5000,7,1,1101,112}</v>
      </c>
      <c r="AT258" t="str">
        <f t="shared" si="125"/>
        <v>{5000,7,1,1102,113}</v>
      </c>
      <c r="AU258" t="str">
        <f t="shared" si="126"/>
        <v/>
      </c>
      <c r="AV258">
        <v>2125</v>
      </c>
      <c r="AW258" t="str">
        <f t="shared" si="171"/>
        <v>[{5000,7,1,1102,101},{5000,7,1,1101,103},{5000,7,1,1102,111},{5000,7,1,1101,112},{5000,7,1,1102,113}]</v>
      </c>
    </row>
    <row r="259" spans="2:48">
      <c r="B259">
        <v>2126</v>
      </c>
      <c r="C259" t="s">
        <v>89</v>
      </c>
      <c r="D259" t="str">
        <f t="shared" si="127"/>
        <v>12</v>
      </c>
      <c r="F259">
        <v>209</v>
      </c>
      <c r="H259">
        <f t="shared" si="165"/>
        <v>0</v>
      </c>
      <c r="K259" t="str">
        <f t="shared" si="166"/>
        <v/>
      </c>
      <c r="L259" t="str">
        <f t="shared" si="148"/>
        <v/>
      </c>
      <c r="N259">
        <f t="shared" si="145"/>
        <v>0</v>
      </c>
      <c r="P259" t="str">
        <f t="shared" si="167"/>
        <v/>
      </c>
      <c r="R259" t="str">
        <f t="shared" si="150"/>
        <v/>
      </c>
      <c r="T259">
        <f t="shared" ref="T259:T322" si="172">N259</f>
        <v>0</v>
      </c>
      <c r="V259" t="str">
        <f t="shared" si="168"/>
        <v/>
      </c>
      <c r="X259" t="str">
        <f t="shared" si="152"/>
        <v/>
      </c>
      <c r="Z259">
        <f t="shared" ref="Z259:Z322" si="173">T259</f>
        <v>0</v>
      </c>
      <c r="AB259" t="str">
        <f t="shared" si="169"/>
        <v/>
      </c>
      <c r="AD259" t="str">
        <f t="shared" si="154"/>
        <v/>
      </c>
      <c r="AF259">
        <f t="shared" ref="AF259:AF322" si="174">Z259</f>
        <v>0</v>
      </c>
      <c r="AH259" t="str">
        <f t="shared" si="170"/>
        <v/>
      </c>
      <c r="AJ259" t="str">
        <f t="shared" si="156"/>
        <v/>
      </c>
      <c r="AP259" t="str">
        <f t="shared" ref="AP259:AP322" si="175">IF(G259="","",$AQ$1&amp;_xlfn.TEXTJOIN(",",1,G259:I259,K259,L259)&amp;$AR$1)</f>
        <v/>
      </c>
      <c r="AQ259" t="str">
        <f t="shared" ref="AQ259:AQ322" si="176">IF(G259="","",$AQ$1&amp;_xlfn.TEXTJOIN(",",1,M259:P259,R259)&amp;$AR$1)</f>
        <v/>
      </c>
      <c r="AR259" t="str">
        <f t="shared" ref="AR259:AR322" si="177">IF(G259="","",$AQ$1&amp;_xlfn.TEXTJOIN(",",1,S259:V259,X259)&amp;$AR$1)</f>
        <v/>
      </c>
      <c r="AS259" t="str">
        <f t="shared" ref="AS259:AS322" si="178">IF(G259="","",$AQ$1&amp;_xlfn.TEXTJOIN(",",1,Y259:AB259,AD259)&amp;$AR$1)</f>
        <v/>
      </c>
      <c r="AT259" t="str">
        <f t="shared" ref="AT259:AT322" si="179">IF(G259="","",$AQ$1&amp;_xlfn.TEXTJOIN(",",1,AE259:AH259,AJ259)&amp;$AR$1)</f>
        <v/>
      </c>
      <c r="AU259" t="str">
        <f t="shared" ref="AU259:AU322" si="180">IF(AK259="","",IF(G259="","",$AQ$1&amp;_xlfn.TEXTJOIN(",",1,AK259:AO259)&amp;$AR$1))</f>
        <v/>
      </c>
      <c r="AV259">
        <v>2126</v>
      </c>
    </row>
    <row r="260" spans="2:49">
      <c r="B260">
        <v>2127</v>
      </c>
      <c r="C260" t="s">
        <v>89</v>
      </c>
      <c r="D260" t="str">
        <f t="shared" si="127"/>
        <v>12</v>
      </c>
      <c r="F260">
        <v>211</v>
      </c>
      <c r="G260">
        <v>5000</v>
      </c>
      <c r="H260">
        <f t="shared" si="165"/>
        <v>7</v>
      </c>
      <c r="I260">
        <v>1</v>
      </c>
      <c r="J260">
        <v>2</v>
      </c>
      <c r="K260">
        <f t="shared" si="166"/>
        <v>1102</v>
      </c>
      <c r="L260">
        <f t="shared" si="148"/>
        <v>101</v>
      </c>
      <c r="M260">
        <v>5000</v>
      </c>
      <c r="N260">
        <f t="shared" si="145"/>
        <v>7</v>
      </c>
      <c r="O260">
        <v>1</v>
      </c>
      <c r="P260">
        <f t="shared" si="167"/>
        <v>1101</v>
      </c>
      <c r="Q260">
        <v>51</v>
      </c>
      <c r="R260">
        <f t="shared" si="150"/>
        <v>102</v>
      </c>
      <c r="S260">
        <v>5000</v>
      </c>
      <c r="T260">
        <f t="shared" si="172"/>
        <v>7</v>
      </c>
      <c r="U260">
        <v>1</v>
      </c>
      <c r="V260">
        <f t="shared" si="168"/>
        <v>1102</v>
      </c>
      <c r="W260">
        <v>57</v>
      </c>
      <c r="X260">
        <f t="shared" si="152"/>
        <v>103</v>
      </c>
      <c r="Y260">
        <v>5000</v>
      </c>
      <c r="Z260">
        <f t="shared" si="173"/>
        <v>7</v>
      </c>
      <c r="AA260">
        <v>1</v>
      </c>
      <c r="AB260">
        <f t="shared" si="169"/>
        <v>1101</v>
      </c>
      <c r="AC260">
        <v>79</v>
      </c>
      <c r="AD260">
        <f t="shared" si="154"/>
        <v>113</v>
      </c>
      <c r="AE260">
        <v>5000</v>
      </c>
      <c r="AF260">
        <f t="shared" si="174"/>
        <v>7</v>
      </c>
      <c r="AG260">
        <v>1</v>
      </c>
      <c r="AH260">
        <f t="shared" si="170"/>
        <v>1102</v>
      </c>
      <c r="AI260">
        <v>72</v>
      </c>
      <c r="AJ260">
        <f t="shared" si="156"/>
        <v>111</v>
      </c>
      <c r="AK260">
        <v>1000</v>
      </c>
      <c r="AL260">
        <v>1</v>
      </c>
      <c r="AM260">
        <v>0</v>
      </c>
      <c r="AN260">
        <f>AN237+100</f>
        <v>1131</v>
      </c>
      <c r="AO260">
        <v>4</v>
      </c>
      <c r="AP260" t="str">
        <f t="shared" si="175"/>
        <v>{5000,7,1,1102,101}</v>
      </c>
      <c r="AQ260" t="str">
        <f t="shared" si="176"/>
        <v>{5000,7,1,1101,102}</v>
      </c>
      <c r="AR260" t="str">
        <f t="shared" si="177"/>
        <v>{5000,7,1,1102,103}</v>
      </c>
      <c r="AS260" t="str">
        <f t="shared" si="178"/>
        <v>{5000,7,1,1101,113}</v>
      </c>
      <c r="AT260" t="str">
        <f t="shared" si="179"/>
        <v>{5000,7,1,1102,111}</v>
      </c>
      <c r="AU260" t="str">
        <f t="shared" si="180"/>
        <v>{1000,1,0,1131,4}</v>
      </c>
      <c r="AV260">
        <v>2127</v>
      </c>
      <c r="AW260" t="str">
        <f t="shared" ref="AW260:AW274" si="181">IF(AU260="","["&amp;_xlfn.TEXTJOIN(",",1,AP260:AT260)&amp;"]","["&amp;_xlfn.TEXTJOIN(",",1,AP260:AU260)&amp;"]")</f>
        <v>[{5000,7,1,1102,101},{5000,7,1,1101,102},{5000,7,1,1102,103},{5000,7,1,1101,113},{5000,7,1,1102,111},{1000,1,0,1131,4}]</v>
      </c>
    </row>
    <row r="261" spans="2:49">
      <c r="B261">
        <v>2128</v>
      </c>
      <c r="C261" t="s">
        <v>89</v>
      </c>
      <c r="D261" t="str">
        <f t="shared" si="127"/>
        <v>12</v>
      </c>
      <c r="F261">
        <v>226</v>
      </c>
      <c r="G261">
        <v>5000</v>
      </c>
      <c r="H261">
        <f t="shared" si="165"/>
        <v>7</v>
      </c>
      <c r="I261">
        <v>1</v>
      </c>
      <c r="J261">
        <v>2</v>
      </c>
      <c r="K261">
        <f t="shared" si="166"/>
        <v>1102</v>
      </c>
      <c r="L261">
        <f t="shared" si="148"/>
        <v>101</v>
      </c>
      <c r="M261">
        <v>5000</v>
      </c>
      <c r="N261">
        <f t="shared" si="145"/>
        <v>7</v>
      </c>
      <c r="O261">
        <v>1</v>
      </c>
      <c r="P261">
        <f t="shared" si="167"/>
        <v>1101</v>
      </c>
      <c r="Q261">
        <v>51</v>
      </c>
      <c r="R261">
        <f t="shared" si="150"/>
        <v>103</v>
      </c>
      <c r="S261">
        <v>5000</v>
      </c>
      <c r="T261">
        <f t="shared" si="172"/>
        <v>7</v>
      </c>
      <c r="U261">
        <v>1</v>
      </c>
      <c r="V261">
        <f t="shared" si="168"/>
        <v>1102</v>
      </c>
      <c r="W261">
        <v>75</v>
      </c>
      <c r="X261">
        <f t="shared" si="152"/>
        <v>111</v>
      </c>
      <c r="Y261">
        <v>5000</v>
      </c>
      <c r="Z261">
        <f t="shared" si="173"/>
        <v>7</v>
      </c>
      <c r="AA261">
        <v>1</v>
      </c>
      <c r="AB261">
        <f t="shared" si="169"/>
        <v>1101</v>
      </c>
      <c r="AC261">
        <v>71</v>
      </c>
      <c r="AD261">
        <f t="shared" si="154"/>
        <v>112</v>
      </c>
      <c r="AE261">
        <v>5000</v>
      </c>
      <c r="AF261">
        <f t="shared" si="174"/>
        <v>7</v>
      </c>
      <c r="AG261">
        <v>1</v>
      </c>
      <c r="AH261">
        <f t="shared" si="170"/>
        <v>1102</v>
      </c>
      <c r="AI261">
        <v>77</v>
      </c>
      <c r="AJ261">
        <f t="shared" si="156"/>
        <v>113</v>
      </c>
      <c r="AP261" t="str">
        <f t="shared" si="175"/>
        <v>{5000,7,1,1102,101}</v>
      </c>
      <c r="AQ261" t="str">
        <f t="shared" si="176"/>
        <v>{5000,7,1,1101,103}</v>
      </c>
      <c r="AR261" t="str">
        <f t="shared" si="177"/>
        <v>{5000,7,1,1102,111}</v>
      </c>
      <c r="AS261" t="str">
        <f t="shared" si="178"/>
        <v>{5000,7,1,1101,112}</v>
      </c>
      <c r="AT261" t="str">
        <f t="shared" si="179"/>
        <v>{5000,7,1,1102,113}</v>
      </c>
      <c r="AU261" t="str">
        <f t="shared" si="180"/>
        <v/>
      </c>
      <c r="AV261">
        <v>2128</v>
      </c>
      <c r="AW261" t="str">
        <f t="shared" si="181"/>
        <v>[{5000,7,1,1102,101},{5000,7,1,1101,103},{5000,7,1,1102,111},{5000,7,1,1101,112},{5000,7,1,1102,113}]</v>
      </c>
    </row>
    <row r="262" spans="2:49">
      <c r="B262">
        <v>2129</v>
      </c>
      <c r="C262" t="s">
        <v>89</v>
      </c>
      <c r="D262" t="str">
        <f t="shared" si="127"/>
        <v>12</v>
      </c>
      <c r="F262">
        <v>241</v>
      </c>
      <c r="G262">
        <v>5000</v>
      </c>
      <c r="H262">
        <f t="shared" si="165"/>
        <v>9</v>
      </c>
      <c r="I262">
        <v>1</v>
      </c>
      <c r="J262">
        <v>3</v>
      </c>
      <c r="K262">
        <f t="shared" si="166"/>
        <v>1103</v>
      </c>
      <c r="L262">
        <f t="shared" si="148"/>
        <v>101</v>
      </c>
      <c r="M262">
        <v>5000</v>
      </c>
      <c r="N262">
        <f t="shared" si="145"/>
        <v>9</v>
      </c>
      <c r="O262">
        <v>1</v>
      </c>
      <c r="P262">
        <f t="shared" si="167"/>
        <v>1103</v>
      </c>
      <c r="Q262">
        <v>53</v>
      </c>
      <c r="R262">
        <f t="shared" si="150"/>
        <v>102</v>
      </c>
      <c r="S262">
        <v>5000</v>
      </c>
      <c r="T262">
        <f t="shared" si="172"/>
        <v>9</v>
      </c>
      <c r="U262">
        <v>1</v>
      </c>
      <c r="V262">
        <f t="shared" si="168"/>
        <v>1103</v>
      </c>
      <c r="W262">
        <v>56</v>
      </c>
      <c r="X262">
        <f t="shared" si="152"/>
        <v>103</v>
      </c>
      <c r="Y262">
        <v>5000</v>
      </c>
      <c r="Z262">
        <f t="shared" si="173"/>
        <v>9</v>
      </c>
      <c r="AA262">
        <v>1</v>
      </c>
      <c r="AB262">
        <f t="shared" si="169"/>
        <v>1103</v>
      </c>
      <c r="AC262">
        <v>74</v>
      </c>
      <c r="AD262">
        <f t="shared" si="154"/>
        <v>113</v>
      </c>
      <c r="AE262">
        <v>5000</v>
      </c>
      <c r="AF262">
        <f t="shared" si="174"/>
        <v>9</v>
      </c>
      <c r="AG262">
        <v>1</v>
      </c>
      <c r="AH262">
        <f t="shared" si="170"/>
        <v>1103</v>
      </c>
      <c r="AI262">
        <v>78</v>
      </c>
      <c r="AJ262">
        <f t="shared" si="156"/>
        <v>111</v>
      </c>
      <c r="AP262" t="str">
        <f t="shared" si="175"/>
        <v>{5000,9,1,1103,101}</v>
      </c>
      <c r="AQ262" t="str">
        <f t="shared" si="176"/>
        <v>{5000,9,1,1103,102}</v>
      </c>
      <c r="AR262" t="str">
        <f t="shared" si="177"/>
        <v>{5000,9,1,1103,103}</v>
      </c>
      <c r="AS262" t="str">
        <f t="shared" si="178"/>
        <v>{5000,9,1,1103,113}</v>
      </c>
      <c r="AT262" t="str">
        <f t="shared" si="179"/>
        <v>{5000,9,1,1103,111}</v>
      </c>
      <c r="AU262" t="str">
        <f t="shared" si="180"/>
        <v/>
      </c>
      <c r="AV262">
        <v>2129</v>
      </c>
      <c r="AW262" t="str">
        <f t="shared" si="181"/>
        <v>[{5000,9,1,1103,101},{5000,9,1,1103,102},{5000,9,1,1103,103},{5000,9,1,1103,113},{5000,9,1,1103,111}]</v>
      </c>
    </row>
    <row r="263" spans="2:49">
      <c r="B263">
        <v>2130</v>
      </c>
      <c r="C263" t="s">
        <v>89</v>
      </c>
      <c r="D263" t="str">
        <f t="shared" si="127"/>
        <v>12</v>
      </c>
      <c r="F263">
        <v>256</v>
      </c>
      <c r="G263">
        <v>5000</v>
      </c>
      <c r="H263">
        <f t="shared" si="165"/>
        <v>8</v>
      </c>
      <c r="I263">
        <v>1</v>
      </c>
      <c r="J263">
        <v>2</v>
      </c>
      <c r="K263">
        <f t="shared" si="166"/>
        <v>1102</v>
      </c>
      <c r="L263">
        <f t="shared" si="148"/>
        <v>101</v>
      </c>
      <c r="M263">
        <v>5000</v>
      </c>
      <c r="N263">
        <f t="shared" si="145"/>
        <v>8</v>
      </c>
      <c r="O263">
        <v>1</v>
      </c>
      <c r="P263">
        <f t="shared" si="167"/>
        <v>1102</v>
      </c>
      <c r="Q263">
        <v>59</v>
      </c>
      <c r="R263">
        <f t="shared" si="150"/>
        <v>103</v>
      </c>
      <c r="S263">
        <v>5000</v>
      </c>
      <c r="T263">
        <f t="shared" si="172"/>
        <v>8</v>
      </c>
      <c r="U263">
        <v>1</v>
      </c>
      <c r="V263">
        <f t="shared" si="168"/>
        <v>1102</v>
      </c>
      <c r="W263">
        <v>79</v>
      </c>
      <c r="X263">
        <f t="shared" si="152"/>
        <v>111</v>
      </c>
      <c r="Y263">
        <v>5000</v>
      </c>
      <c r="Z263">
        <f t="shared" si="173"/>
        <v>8</v>
      </c>
      <c r="AA263">
        <v>1</v>
      </c>
      <c r="AB263">
        <f t="shared" si="169"/>
        <v>1101</v>
      </c>
      <c r="AC263">
        <v>72</v>
      </c>
      <c r="AD263">
        <f t="shared" si="154"/>
        <v>112</v>
      </c>
      <c r="AE263">
        <v>5000</v>
      </c>
      <c r="AF263">
        <f t="shared" si="174"/>
        <v>8</v>
      </c>
      <c r="AG263">
        <v>1</v>
      </c>
      <c r="AH263">
        <f t="shared" si="170"/>
        <v>1102</v>
      </c>
      <c r="AI263">
        <v>74</v>
      </c>
      <c r="AJ263">
        <f t="shared" si="156"/>
        <v>113</v>
      </c>
      <c r="AP263" t="str">
        <f t="shared" si="175"/>
        <v>{5000,8,1,1102,101}</v>
      </c>
      <c r="AQ263" t="str">
        <f t="shared" si="176"/>
        <v>{5000,8,1,1102,103}</v>
      </c>
      <c r="AR263" t="str">
        <f t="shared" si="177"/>
        <v>{5000,8,1,1102,111}</v>
      </c>
      <c r="AS263" t="str">
        <f t="shared" si="178"/>
        <v>{5000,8,1,1101,112}</v>
      </c>
      <c r="AT263" t="str">
        <f t="shared" si="179"/>
        <v>{5000,8,1,1102,113}</v>
      </c>
      <c r="AU263" t="str">
        <f t="shared" si="180"/>
        <v/>
      </c>
      <c r="AV263">
        <v>2130</v>
      </c>
      <c r="AW263" t="str">
        <f t="shared" si="181"/>
        <v>[{5000,8,1,1102,101},{5000,8,1,1102,103},{5000,8,1,1102,111},{5000,8,1,1101,112},{5000,8,1,1102,113}]</v>
      </c>
    </row>
    <row r="264" spans="2:49">
      <c r="B264">
        <v>2131</v>
      </c>
      <c r="C264" t="s">
        <v>89</v>
      </c>
      <c r="D264" t="str">
        <f t="shared" ref="D264:D327" si="182">RIGHT(C264,2)</f>
        <v>12</v>
      </c>
      <c r="F264">
        <v>271</v>
      </c>
      <c r="G264">
        <v>5000</v>
      </c>
      <c r="H264">
        <f t="shared" si="165"/>
        <v>8</v>
      </c>
      <c r="I264">
        <v>1</v>
      </c>
      <c r="J264">
        <v>2</v>
      </c>
      <c r="K264">
        <f t="shared" si="166"/>
        <v>1102</v>
      </c>
      <c r="L264">
        <f t="shared" si="148"/>
        <v>101</v>
      </c>
      <c r="M264">
        <v>5000</v>
      </c>
      <c r="N264">
        <f t="shared" si="145"/>
        <v>8</v>
      </c>
      <c r="O264">
        <v>1</v>
      </c>
      <c r="P264">
        <f t="shared" si="167"/>
        <v>1102</v>
      </c>
      <c r="Q264">
        <v>54</v>
      </c>
      <c r="R264">
        <f t="shared" si="150"/>
        <v>102</v>
      </c>
      <c r="S264">
        <v>5000</v>
      </c>
      <c r="T264">
        <f t="shared" si="172"/>
        <v>8</v>
      </c>
      <c r="U264">
        <v>1</v>
      </c>
      <c r="V264">
        <f t="shared" si="168"/>
        <v>1102</v>
      </c>
      <c r="W264">
        <v>56</v>
      </c>
      <c r="X264">
        <f t="shared" si="152"/>
        <v>103</v>
      </c>
      <c r="Y264">
        <v>5000</v>
      </c>
      <c r="Z264">
        <f t="shared" si="173"/>
        <v>8</v>
      </c>
      <c r="AA264">
        <v>1</v>
      </c>
      <c r="AB264">
        <f t="shared" si="169"/>
        <v>1102</v>
      </c>
      <c r="AC264">
        <v>73</v>
      </c>
      <c r="AD264">
        <f t="shared" si="154"/>
        <v>113</v>
      </c>
      <c r="AE264">
        <v>5000</v>
      </c>
      <c r="AF264">
        <f t="shared" si="174"/>
        <v>8</v>
      </c>
      <c r="AG264">
        <v>1</v>
      </c>
      <c r="AH264">
        <f t="shared" si="170"/>
        <v>1102</v>
      </c>
      <c r="AI264">
        <v>75</v>
      </c>
      <c r="AJ264">
        <f t="shared" si="156"/>
        <v>111</v>
      </c>
      <c r="AP264" t="str">
        <f t="shared" si="175"/>
        <v>{5000,8,1,1102,101}</v>
      </c>
      <c r="AQ264" t="str">
        <f t="shared" si="176"/>
        <v>{5000,8,1,1102,102}</v>
      </c>
      <c r="AR264" t="str">
        <f t="shared" si="177"/>
        <v>{5000,8,1,1102,103}</v>
      </c>
      <c r="AS264" t="str">
        <f t="shared" si="178"/>
        <v>{5000,8,1,1102,113}</v>
      </c>
      <c r="AT264" t="str">
        <f t="shared" si="179"/>
        <v>{5000,8,1,1102,111}</v>
      </c>
      <c r="AU264" t="str">
        <f t="shared" si="180"/>
        <v/>
      </c>
      <c r="AV264">
        <v>2131</v>
      </c>
      <c r="AW264" t="str">
        <f t="shared" si="181"/>
        <v>[{5000,8,1,1102,101},{5000,8,1,1102,102},{5000,8,1,1102,103},{5000,8,1,1102,113},{5000,8,1,1102,111}]</v>
      </c>
    </row>
    <row r="265" spans="2:49">
      <c r="B265">
        <v>2132</v>
      </c>
      <c r="C265" t="s">
        <v>89</v>
      </c>
      <c r="D265" t="str">
        <f t="shared" si="182"/>
        <v>12</v>
      </c>
      <c r="F265">
        <v>286</v>
      </c>
      <c r="G265">
        <v>5000</v>
      </c>
      <c r="H265">
        <f t="shared" si="165"/>
        <v>8</v>
      </c>
      <c r="I265">
        <v>1</v>
      </c>
      <c r="J265">
        <v>2</v>
      </c>
      <c r="K265">
        <f t="shared" si="166"/>
        <v>1102</v>
      </c>
      <c r="L265">
        <f t="shared" si="148"/>
        <v>101</v>
      </c>
      <c r="M265">
        <v>5000</v>
      </c>
      <c r="N265">
        <f t="shared" si="145"/>
        <v>8</v>
      </c>
      <c r="O265">
        <v>1</v>
      </c>
      <c r="P265">
        <f t="shared" si="167"/>
        <v>1102</v>
      </c>
      <c r="Q265">
        <v>53</v>
      </c>
      <c r="R265">
        <f t="shared" si="150"/>
        <v>103</v>
      </c>
      <c r="S265">
        <v>5000</v>
      </c>
      <c r="T265">
        <f t="shared" si="172"/>
        <v>8</v>
      </c>
      <c r="U265">
        <v>1</v>
      </c>
      <c r="V265">
        <f t="shared" si="168"/>
        <v>1102</v>
      </c>
      <c r="W265">
        <v>59</v>
      </c>
      <c r="X265">
        <f t="shared" si="152"/>
        <v>111</v>
      </c>
      <c r="Y265">
        <v>5000</v>
      </c>
      <c r="Z265">
        <f t="shared" si="173"/>
        <v>8</v>
      </c>
      <c r="AA265">
        <v>1</v>
      </c>
      <c r="AB265">
        <f t="shared" si="169"/>
        <v>1102</v>
      </c>
      <c r="AC265">
        <v>71</v>
      </c>
      <c r="AD265">
        <f t="shared" si="154"/>
        <v>112</v>
      </c>
      <c r="AE265">
        <v>5000</v>
      </c>
      <c r="AF265">
        <f t="shared" si="174"/>
        <v>8</v>
      </c>
      <c r="AG265">
        <v>1</v>
      </c>
      <c r="AH265">
        <f t="shared" si="170"/>
        <v>1102</v>
      </c>
      <c r="AI265">
        <v>77</v>
      </c>
      <c r="AJ265">
        <f t="shared" si="156"/>
        <v>113</v>
      </c>
      <c r="AP265" t="str">
        <f t="shared" si="175"/>
        <v>{5000,8,1,1102,101}</v>
      </c>
      <c r="AQ265" t="str">
        <f t="shared" si="176"/>
        <v>{5000,8,1,1102,103}</v>
      </c>
      <c r="AR265" t="str">
        <f t="shared" si="177"/>
        <v>{5000,8,1,1102,111}</v>
      </c>
      <c r="AS265" t="str">
        <f t="shared" si="178"/>
        <v>{5000,8,1,1102,112}</v>
      </c>
      <c r="AT265" t="str">
        <f t="shared" si="179"/>
        <v>{5000,8,1,1102,113}</v>
      </c>
      <c r="AU265" t="str">
        <f t="shared" si="180"/>
        <v/>
      </c>
      <c r="AV265">
        <v>2132</v>
      </c>
      <c r="AW265" t="str">
        <f t="shared" si="181"/>
        <v>[{5000,8,1,1102,101},{5000,8,1,1102,103},{5000,8,1,1102,111},{5000,8,1,1102,112},{5000,8,1,1102,113}]</v>
      </c>
    </row>
    <row r="266" spans="2:49">
      <c r="B266">
        <v>2133</v>
      </c>
      <c r="C266" t="s">
        <v>89</v>
      </c>
      <c r="D266" t="str">
        <f t="shared" si="182"/>
        <v>12</v>
      </c>
      <c r="F266">
        <v>290</v>
      </c>
      <c r="G266">
        <v>5000</v>
      </c>
      <c r="H266">
        <f t="shared" si="165"/>
        <v>8</v>
      </c>
      <c r="I266">
        <v>1</v>
      </c>
      <c r="J266">
        <v>2</v>
      </c>
      <c r="K266">
        <f t="shared" si="166"/>
        <v>1102</v>
      </c>
      <c r="L266">
        <f t="shared" si="148"/>
        <v>101</v>
      </c>
      <c r="M266">
        <v>5000</v>
      </c>
      <c r="N266">
        <f t="shared" si="145"/>
        <v>8</v>
      </c>
      <c r="O266">
        <v>1</v>
      </c>
      <c r="P266">
        <f t="shared" si="167"/>
        <v>1102</v>
      </c>
      <c r="Q266">
        <v>56</v>
      </c>
      <c r="R266">
        <f t="shared" si="150"/>
        <v>102</v>
      </c>
      <c r="S266">
        <v>5000</v>
      </c>
      <c r="T266">
        <f t="shared" si="172"/>
        <v>8</v>
      </c>
      <c r="U266">
        <v>1</v>
      </c>
      <c r="V266">
        <f t="shared" si="168"/>
        <v>1101</v>
      </c>
      <c r="W266">
        <v>77</v>
      </c>
      <c r="X266">
        <f t="shared" si="152"/>
        <v>103</v>
      </c>
      <c r="Y266">
        <v>5000</v>
      </c>
      <c r="Z266">
        <f t="shared" si="173"/>
        <v>8</v>
      </c>
      <c r="AA266">
        <v>1</v>
      </c>
      <c r="AB266">
        <f t="shared" si="169"/>
        <v>1102</v>
      </c>
      <c r="AC266">
        <v>72</v>
      </c>
      <c r="AD266">
        <f t="shared" si="154"/>
        <v>113</v>
      </c>
      <c r="AE266">
        <v>5000</v>
      </c>
      <c r="AF266">
        <f t="shared" si="174"/>
        <v>8</v>
      </c>
      <c r="AG266">
        <v>1</v>
      </c>
      <c r="AH266">
        <f t="shared" si="170"/>
        <v>1102</v>
      </c>
      <c r="AI266">
        <v>74</v>
      </c>
      <c r="AJ266">
        <f t="shared" si="156"/>
        <v>111</v>
      </c>
      <c r="AP266" t="str">
        <f t="shared" si="175"/>
        <v>{5000,8,1,1102,101}</v>
      </c>
      <c r="AQ266" t="str">
        <f t="shared" si="176"/>
        <v>{5000,8,1,1102,102}</v>
      </c>
      <c r="AR266" t="str">
        <f t="shared" si="177"/>
        <v>{5000,8,1,1101,103}</v>
      </c>
      <c r="AS266" t="str">
        <f t="shared" si="178"/>
        <v>{5000,8,1,1102,113}</v>
      </c>
      <c r="AT266" t="str">
        <f t="shared" si="179"/>
        <v>{5000,8,1,1102,111}</v>
      </c>
      <c r="AU266" t="str">
        <f t="shared" si="180"/>
        <v/>
      </c>
      <c r="AV266">
        <v>2133</v>
      </c>
      <c r="AW266" t="str">
        <f t="shared" si="181"/>
        <v>[{5000,8,1,1102,101},{5000,8,1,1102,102},{5000,8,1,1101,103},{5000,8,1,1102,113},{5000,8,1,1102,111}]</v>
      </c>
    </row>
    <row r="267" spans="2:49">
      <c r="B267">
        <v>2211</v>
      </c>
      <c r="C267" t="s">
        <v>90</v>
      </c>
      <c r="D267" s="5" t="str">
        <f t="shared" si="182"/>
        <v>13</v>
      </c>
      <c r="E267" s="5"/>
      <c r="F267">
        <v>1</v>
      </c>
      <c r="G267">
        <v>5000</v>
      </c>
      <c r="H267">
        <f t="shared" si="165"/>
        <v>2</v>
      </c>
      <c r="I267">
        <v>1</v>
      </c>
      <c r="J267">
        <v>1</v>
      </c>
      <c r="K267">
        <f t="shared" si="166"/>
        <v>1201</v>
      </c>
      <c r="L267">
        <f t="shared" si="148"/>
        <v>101</v>
      </c>
      <c r="M267">
        <v>5000</v>
      </c>
      <c r="N267">
        <f t="shared" si="145"/>
        <v>2</v>
      </c>
      <c r="O267">
        <v>1</v>
      </c>
      <c r="P267">
        <f t="shared" si="167"/>
        <v>1201</v>
      </c>
      <c r="Q267">
        <v>55</v>
      </c>
      <c r="R267">
        <f t="shared" si="150"/>
        <v>102</v>
      </c>
      <c r="S267">
        <v>5000</v>
      </c>
      <c r="T267">
        <f t="shared" si="172"/>
        <v>2</v>
      </c>
      <c r="U267">
        <v>1</v>
      </c>
      <c r="V267">
        <f t="shared" si="168"/>
        <v>1201</v>
      </c>
      <c r="W267">
        <v>60</v>
      </c>
      <c r="X267">
        <f t="shared" si="152"/>
        <v>103</v>
      </c>
      <c r="Y267">
        <v>5000</v>
      </c>
      <c r="Z267">
        <f t="shared" si="173"/>
        <v>2</v>
      </c>
      <c r="AA267">
        <v>1</v>
      </c>
      <c r="AB267">
        <f t="shared" si="169"/>
        <v>1201</v>
      </c>
      <c r="AC267">
        <v>71</v>
      </c>
      <c r="AD267">
        <f t="shared" si="154"/>
        <v>113</v>
      </c>
      <c r="AE267">
        <v>5000</v>
      </c>
      <c r="AF267">
        <f t="shared" si="174"/>
        <v>2</v>
      </c>
      <c r="AG267">
        <v>1</v>
      </c>
      <c r="AH267">
        <f t="shared" si="170"/>
        <v>1201</v>
      </c>
      <c r="AI267">
        <v>76</v>
      </c>
      <c r="AJ267">
        <f t="shared" si="156"/>
        <v>111</v>
      </c>
      <c r="AP267" t="str">
        <f t="shared" si="175"/>
        <v>{5000,2,1,1201,101}</v>
      </c>
      <c r="AQ267" t="str">
        <f t="shared" si="176"/>
        <v>{5000,2,1,1201,102}</v>
      </c>
      <c r="AR267" t="str">
        <f t="shared" si="177"/>
        <v>{5000,2,1,1201,103}</v>
      </c>
      <c r="AS267" t="str">
        <f t="shared" si="178"/>
        <v>{5000,2,1,1201,113}</v>
      </c>
      <c r="AT267" t="str">
        <f t="shared" si="179"/>
        <v>{5000,2,1,1201,111}</v>
      </c>
      <c r="AU267" t="str">
        <f t="shared" si="180"/>
        <v/>
      </c>
      <c r="AV267">
        <v>2211</v>
      </c>
      <c r="AW267" t="str">
        <f t="shared" si="181"/>
        <v>[{5000,2,1,1201,101},{5000,2,1,1201,102},{5000,2,1,1201,103},{5000,2,1,1201,113},{5000,2,1,1201,111}]</v>
      </c>
    </row>
    <row r="268" spans="2:49">
      <c r="B268">
        <v>2212</v>
      </c>
      <c r="C268" t="s">
        <v>90</v>
      </c>
      <c r="D268" t="str">
        <f t="shared" si="182"/>
        <v>13</v>
      </c>
      <c r="F268">
        <v>16</v>
      </c>
      <c r="G268">
        <v>5000</v>
      </c>
      <c r="H268">
        <f t="shared" si="165"/>
        <v>2</v>
      </c>
      <c r="I268">
        <v>1</v>
      </c>
      <c r="J268">
        <v>1</v>
      </c>
      <c r="K268">
        <f t="shared" si="166"/>
        <v>1201</v>
      </c>
      <c r="L268">
        <f t="shared" si="148"/>
        <v>101</v>
      </c>
      <c r="M268">
        <v>5000</v>
      </c>
      <c r="N268">
        <f t="shared" si="145"/>
        <v>2</v>
      </c>
      <c r="O268">
        <v>1</v>
      </c>
      <c r="P268">
        <f t="shared" si="167"/>
        <v>1201</v>
      </c>
      <c r="Q268">
        <v>55</v>
      </c>
      <c r="R268">
        <f t="shared" si="150"/>
        <v>103</v>
      </c>
      <c r="S268">
        <v>5000</v>
      </c>
      <c r="T268">
        <f t="shared" si="172"/>
        <v>2</v>
      </c>
      <c r="U268">
        <v>1</v>
      </c>
      <c r="V268">
        <f t="shared" si="168"/>
        <v>1201</v>
      </c>
      <c r="W268">
        <v>75</v>
      </c>
      <c r="X268">
        <f t="shared" si="152"/>
        <v>111</v>
      </c>
      <c r="Y268">
        <v>5000</v>
      </c>
      <c r="Z268">
        <f t="shared" si="173"/>
        <v>2</v>
      </c>
      <c r="AA268">
        <v>1</v>
      </c>
      <c r="AB268">
        <f t="shared" si="169"/>
        <v>1201</v>
      </c>
      <c r="AC268">
        <v>73</v>
      </c>
      <c r="AD268">
        <f t="shared" si="154"/>
        <v>112</v>
      </c>
      <c r="AE268">
        <v>5000</v>
      </c>
      <c r="AF268">
        <f t="shared" si="174"/>
        <v>2</v>
      </c>
      <c r="AG268">
        <v>1</v>
      </c>
      <c r="AH268">
        <f t="shared" si="170"/>
        <v>1201</v>
      </c>
      <c r="AI268">
        <v>78</v>
      </c>
      <c r="AJ268">
        <f t="shared" si="156"/>
        <v>113</v>
      </c>
      <c r="AP268" t="str">
        <f t="shared" si="175"/>
        <v>{5000,2,1,1201,101}</v>
      </c>
      <c r="AQ268" t="str">
        <f t="shared" si="176"/>
        <v>{5000,2,1,1201,103}</v>
      </c>
      <c r="AR268" t="str">
        <f t="shared" si="177"/>
        <v>{5000,2,1,1201,111}</v>
      </c>
      <c r="AS268" t="str">
        <f t="shared" si="178"/>
        <v>{5000,2,1,1201,112}</v>
      </c>
      <c r="AT268" t="str">
        <f t="shared" si="179"/>
        <v>{5000,2,1,1201,113}</v>
      </c>
      <c r="AU268" t="str">
        <f t="shared" si="180"/>
        <v/>
      </c>
      <c r="AV268">
        <v>2212</v>
      </c>
      <c r="AW268" t="str">
        <f t="shared" si="181"/>
        <v>[{5000,2,1,1201,101},{5000,2,1,1201,103},{5000,2,1,1201,111},{5000,2,1,1201,112},{5000,2,1,1201,113}]</v>
      </c>
    </row>
    <row r="269" spans="2:49">
      <c r="B269">
        <v>2213</v>
      </c>
      <c r="C269" t="s">
        <v>90</v>
      </c>
      <c r="D269" t="str">
        <f t="shared" si="182"/>
        <v>13</v>
      </c>
      <c r="F269">
        <v>31</v>
      </c>
      <c r="G269">
        <v>5000</v>
      </c>
      <c r="H269">
        <f t="shared" si="165"/>
        <v>3</v>
      </c>
      <c r="I269">
        <v>1</v>
      </c>
      <c r="J269">
        <v>1</v>
      </c>
      <c r="K269">
        <f t="shared" si="166"/>
        <v>1201</v>
      </c>
      <c r="L269">
        <f t="shared" si="148"/>
        <v>101</v>
      </c>
      <c r="M269">
        <v>5000</v>
      </c>
      <c r="N269">
        <f t="shared" si="145"/>
        <v>3</v>
      </c>
      <c r="O269">
        <v>1</v>
      </c>
      <c r="P269">
        <f t="shared" si="167"/>
        <v>1201</v>
      </c>
      <c r="Q269">
        <v>55</v>
      </c>
      <c r="R269">
        <f t="shared" si="150"/>
        <v>102</v>
      </c>
      <c r="S269">
        <v>5000</v>
      </c>
      <c r="T269">
        <f t="shared" si="172"/>
        <v>3</v>
      </c>
      <c r="U269">
        <v>1</v>
      </c>
      <c r="V269">
        <f t="shared" si="168"/>
        <v>1201</v>
      </c>
      <c r="W269">
        <v>58</v>
      </c>
      <c r="X269">
        <f t="shared" si="152"/>
        <v>103</v>
      </c>
      <c r="Y269">
        <v>5000</v>
      </c>
      <c r="Z269">
        <f t="shared" si="173"/>
        <v>3</v>
      </c>
      <c r="AA269">
        <v>1</v>
      </c>
      <c r="AB269">
        <f t="shared" si="169"/>
        <v>1201</v>
      </c>
      <c r="AC269">
        <v>76</v>
      </c>
      <c r="AD269">
        <f t="shared" si="154"/>
        <v>113</v>
      </c>
      <c r="AE269">
        <v>5000</v>
      </c>
      <c r="AF269">
        <f t="shared" si="174"/>
        <v>3</v>
      </c>
      <c r="AG269">
        <v>1</v>
      </c>
      <c r="AH269">
        <f t="shared" si="170"/>
        <v>1201</v>
      </c>
      <c r="AI269">
        <v>79</v>
      </c>
      <c r="AJ269">
        <f t="shared" si="156"/>
        <v>111</v>
      </c>
      <c r="AP269" t="str">
        <f t="shared" si="175"/>
        <v>{5000,3,1,1201,101}</v>
      </c>
      <c r="AQ269" t="str">
        <f t="shared" si="176"/>
        <v>{5000,3,1,1201,102}</v>
      </c>
      <c r="AR269" t="str">
        <f t="shared" si="177"/>
        <v>{5000,3,1,1201,103}</v>
      </c>
      <c r="AS269" t="str">
        <f t="shared" si="178"/>
        <v>{5000,3,1,1201,113}</v>
      </c>
      <c r="AT269" t="str">
        <f t="shared" si="179"/>
        <v>{5000,3,1,1201,111}</v>
      </c>
      <c r="AU269" t="str">
        <f t="shared" si="180"/>
        <v/>
      </c>
      <c r="AV269">
        <v>2213</v>
      </c>
      <c r="AW269" t="str">
        <f t="shared" si="181"/>
        <v>[{5000,3,1,1201,101},{5000,3,1,1201,102},{5000,3,1,1201,103},{5000,3,1,1201,113},{5000,3,1,1201,111}]</v>
      </c>
    </row>
    <row r="270" spans="2:49">
      <c r="B270">
        <v>2214</v>
      </c>
      <c r="C270" t="s">
        <v>90</v>
      </c>
      <c r="D270" t="str">
        <f t="shared" si="182"/>
        <v>13</v>
      </c>
      <c r="F270">
        <v>46</v>
      </c>
      <c r="G270">
        <v>5000</v>
      </c>
      <c r="H270">
        <f t="shared" si="165"/>
        <v>3</v>
      </c>
      <c r="I270">
        <v>1</v>
      </c>
      <c r="J270">
        <v>1</v>
      </c>
      <c r="K270">
        <f t="shared" si="166"/>
        <v>1201</v>
      </c>
      <c r="L270">
        <f t="shared" si="148"/>
        <v>101</v>
      </c>
      <c r="M270">
        <v>5000</v>
      </c>
      <c r="N270">
        <f t="shared" si="145"/>
        <v>3</v>
      </c>
      <c r="O270">
        <v>1</v>
      </c>
      <c r="P270">
        <f t="shared" si="167"/>
        <v>1201</v>
      </c>
      <c r="Q270">
        <v>55</v>
      </c>
      <c r="R270">
        <f t="shared" si="150"/>
        <v>103</v>
      </c>
      <c r="S270">
        <v>5000</v>
      </c>
      <c r="T270">
        <f t="shared" si="172"/>
        <v>3</v>
      </c>
      <c r="U270">
        <v>1</v>
      </c>
      <c r="V270">
        <f t="shared" si="168"/>
        <v>1202</v>
      </c>
      <c r="W270">
        <v>76</v>
      </c>
      <c r="X270">
        <f t="shared" si="152"/>
        <v>111</v>
      </c>
      <c r="Y270">
        <v>5000</v>
      </c>
      <c r="Z270">
        <f t="shared" si="173"/>
        <v>3</v>
      </c>
      <c r="AA270">
        <v>1</v>
      </c>
      <c r="AB270">
        <f t="shared" si="169"/>
        <v>1201</v>
      </c>
      <c r="AC270">
        <v>71</v>
      </c>
      <c r="AD270">
        <f t="shared" si="154"/>
        <v>112</v>
      </c>
      <c r="AE270">
        <v>5000</v>
      </c>
      <c r="AF270">
        <f t="shared" si="174"/>
        <v>3</v>
      </c>
      <c r="AG270">
        <v>1</v>
      </c>
      <c r="AH270">
        <f t="shared" si="170"/>
        <v>1201</v>
      </c>
      <c r="AI270">
        <v>71</v>
      </c>
      <c r="AJ270">
        <f t="shared" si="156"/>
        <v>113</v>
      </c>
      <c r="AP270" t="str">
        <f t="shared" si="175"/>
        <v>{5000,3,1,1201,101}</v>
      </c>
      <c r="AQ270" t="str">
        <f t="shared" si="176"/>
        <v>{5000,3,1,1201,103}</v>
      </c>
      <c r="AR270" t="str">
        <f t="shared" si="177"/>
        <v>{5000,3,1,1202,111}</v>
      </c>
      <c r="AS270" t="str">
        <f t="shared" si="178"/>
        <v>{5000,3,1,1201,112}</v>
      </c>
      <c r="AT270" t="str">
        <f t="shared" si="179"/>
        <v>{5000,3,1,1201,113}</v>
      </c>
      <c r="AU270" t="str">
        <f t="shared" si="180"/>
        <v/>
      </c>
      <c r="AV270">
        <v>2214</v>
      </c>
      <c r="AW270" t="str">
        <f t="shared" si="181"/>
        <v>[{5000,3,1,1201,101},{5000,3,1,1201,103},{5000,3,1,1202,111},{5000,3,1,1201,112},{5000,3,1,1201,113}]</v>
      </c>
    </row>
    <row r="271" spans="2:49">
      <c r="B271">
        <v>2215</v>
      </c>
      <c r="C271" t="s">
        <v>90</v>
      </c>
      <c r="D271" t="str">
        <f t="shared" si="182"/>
        <v>13</v>
      </c>
      <c r="F271">
        <v>61</v>
      </c>
      <c r="G271">
        <v>5000</v>
      </c>
      <c r="H271">
        <f t="shared" si="165"/>
        <v>5</v>
      </c>
      <c r="I271">
        <v>1</v>
      </c>
      <c r="J271">
        <v>3</v>
      </c>
      <c r="K271">
        <f t="shared" si="166"/>
        <v>1203</v>
      </c>
      <c r="L271">
        <f t="shared" si="148"/>
        <v>101</v>
      </c>
      <c r="M271">
        <v>5000</v>
      </c>
      <c r="N271">
        <f t="shared" si="145"/>
        <v>5</v>
      </c>
      <c r="O271">
        <v>1</v>
      </c>
      <c r="P271">
        <f t="shared" si="167"/>
        <v>1203</v>
      </c>
      <c r="Q271">
        <v>56</v>
      </c>
      <c r="R271">
        <f t="shared" si="150"/>
        <v>102</v>
      </c>
      <c r="S271">
        <v>5000</v>
      </c>
      <c r="T271">
        <f t="shared" si="172"/>
        <v>5</v>
      </c>
      <c r="U271">
        <v>1</v>
      </c>
      <c r="V271">
        <f t="shared" si="168"/>
        <v>1203</v>
      </c>
      <c r="W271">
        <v>57</v>
      </c>
      <c r="X271">
        <f t="shared" si="152"/>
        <v>103</v>
      </c>
      <c r="Y271">
        <v>5000</v>
      </c>
      <c r="Z271">
        <f t="shared" si="173"/>
        <v>5</v>
      </c>
      <c r="AA271">
        <v>1</v>
      </c>
      <c r="AB271">
        <f t="shared" si="169"/>
        <v>1203</v>
      </c>
      <c r="AC271">
        <v>72</v>
      </c>
      <c r="AD271">
        <f t="shared" si="154"/>
        <v>113</v>
      </c>
      <c r="AE271">
        <v>5000</v>
      </c>
      <c r="AF271">
        <f t="shared" si="174"/>
        <v>5</v>
      </c>
      <c r="AG271">
        <v>1</v>
      </c>
      <c r="AH271">
        <f t="shared" si="170"/>
        <v>1203</v>
      </c>
      <c r="AI271">
        <v>71</v>
      </c>
      <c r="AJ271">
        <f t="shared" si="156"/>
        <v>111</v>
      </c>
      <c r="AP271" t="str">
        <f t="shared" si="175"/>
        <v>{5000,5,1,1203,101}</v>
      </c>
      <c r="AQ271" t="str">
        <f t="shared" si="176"/>
        <v>{5000,5,1,1203,102}</v>
      </c>
      <c r="AR271" t="str">
        <f t="shared" si="177"/>
        <v>{5000,5,1,1203,103}</v>
      </c>
      <c r="AS271" t="str">
        <f t="shared" si="178"/>
        <v>{5000,5,1,1203,113}</v>
      </c>
      <c r="AT271" t="str">
        <f t="shared" si="179"/>
        <v>{5000,5,1,1203,111}</v>
      </c>
      <c r="AU271" t="str">
        <f t="shared" si="180"/>
        <v/>
      </c>
      <c r="AV271">
        <v>2215</v>
      </c>
      <c r="AW271" t="str">
        <f t="shared" si="181"/>
        <v>[{5000,5,1,1203,101},{5000,5,1,1203,102},{5000,5,1,1203,103},{5000,5,1,1203,113},{5000,5,1,1203,111}]</v>
      </c>
    </row>
    <row r="272" spans="2:49">
      <c r="B272">
        <v>2216</v>
      </c>
      <c r="C272" t="s">
        <v>90</v>
      </c>
      <c r="D272" t="str">
        <f t="shared" si="182"/>
        <v>13</v>
      </c>
      <c r="F272">
        <v>76</v>
      </c>
      <c r="G272">
        <v>5000</v>
      </c>
      <c r="H272">
        <f t="shared" si="165"/>
        <v>5</v>
      </c>
      <c r="I272">
        <v>1</v>
      </c>
      <c r="J272">
        <v>1</v>
      </c>
      <c r="K272">
        <f t="shared" si="166"/>
        <v>1201</v>
      </c>
      <c r="L272">
        <f t="shared" si="148"/>
        <v>101</v>
      </c>
      <c r="M272">
        <v>5000</v>
      </c>
      <c r="N272">
        <f t="shared" si="145"/>
        <v>5</v>
      </c>
      <c r="O272">
        <v>1</v>
      </c>
      <c r="P272">
        <f t="shared" si="167"/>
        <v>1201</v>
      </c>
      <c r="Q272">
        <v>59</v>
      </c>
      <c r="R272">
        <f t="shared" si="150"/>
        <v>103</v>
      </c>
      <c r="S272">
        <v>5000</v>
      </c>
      <c r="T272">
        <f t="shared" si="172"/>
        <v>5</v>
      </c>
      <c r="U272">
        <v>1</v>
      </c>
      <c r="V272">
        <f t="shared" si="168"/>
        <v>1202</v>
      </c>
      <c r="W272">
        <v>71</v>
      </c>
      <c r="X272">
        <f t="shared" si="152"/>
        <v>111</v>
      </c>
      <c r="Y272">
        <v>5000</v>
      </c>
      <c r="Z272">
        <f t="shared" si="173"/>
        <v>5</v>
      </c>
      <c r="AA272">
        <v>1</v>
      </c>
      <c r="AB272">
        <f t="shared" si="169"/>
        <v>1201</v>
      </c>
      <c r="AC272">
        <v>71</v>
      </c>
      <c r="AD272">
        <f t="shared" si="154"/>
        <v>112</v>
      </c>
      <c r="AE272">
        <v>5000</v>
      </c>
      <c r="AF272">
        <f t="shared" si="174"/>
        <v>5</v>
      </c>
      <c r="AG272">
        <v>1</v>
      </c>
      <c r="AH272">
        <f t="shared" si="170"/>
        <v>1201</v>
      </c>
      <c r="AI272">
        <v>79</v>
      </c>
      <c r="AJ272">
        <f t="shared" si="156"/>
        <v>113</v>
      </c>
      <c r="AP272" t="str">
        <f t="shared" si="175"/>
        <v>{5000,5,1,1201,101}</v>
      </c>
      <c r="AQ272" t="str">
        <f t="shared" si="176"/>
        <v>{5000,5,1,1201,103}</v>
      </c>
      <c r="AR272" t="str">
        <f t="shared" si="177"/>
        <v>{5000,5,1,1202,111}</v>
      </c>
      <c r="AS272" t="str">
        <f t="shared" si="178"/>
        <v>{5000,5,1,1201,112}</v>
      </c>
      <c r="AT272" t="str">
        <f t="shared" si="179"/>
        <v>{5000,5,1,1201,113}</v>
      </c>
      <c r="AU272" t="str">
        <f t="shared" si="180"/>
        <v/>
      </c>
      <c r="AV272">
        <v>2216</v>
      </c>
      <c r="AW272" t="str">
        <f t="shared" si="181"/>
        <v>[{5000,5,1,1201,101},{5000,5,1,1201,103},{5000,5,1,1202,111},{5000,5,1,1201,112},{5000,5,1,1201,113}]</v>
      </c>
    </row>
    <row r="273" spans="2:49">
      <c r="B273">
        <v>2217</v>
      </c>
      <c r="C273" t="s">
        <v>90</v>
      </c>
      <c r="D273" t="str">
        <f t="shared" si="182"/>
        <v>13</v>
      </c>
      <c r="F273">
        <v>91</v>
      </c>
      <c r="G273">
        <v>5000</v>
      </c>
      <c r="H273">
        <f t="shared" si="165"/>
        <v>4</v>
      </c>
      <c r="I273">
        <v>1</v>
      </c>
      <c r="J273">
        <v>1</v>
      </c>
      <c r="K273">
        <f t="shared" si="166"/>
        <v>1201</v>
      </c>
      <c r="L273">
        <f t="shared" si="148"/>
        <v>101</v>
      </c>
      <c r="M273">
        <v>5000</v>
      </c>
      <c r="N273">
        <f t="shared" si="145"/>
        <v>4</v>
      </c>
      <c r="O273">
        <v>1</v>
      </c>
      <c r="P273">
        <f t="shared" si="167"/>
        <v>1201</v>
      </c>
      <c r="Q273">
        <v>54</v>
      </c>
      <c r="R273">
        <f t="shared" si="150"/>
        <v>102</v>
      </c>
      <c r="S273">
        <v>5000</v>
      </c>
      <c r="T273">
        <f t="shared" si="172"/>
        <v>4</v>
      </c>
      <c r="U273">
        <v>1</v>
      </c>
      <c r="V273">
        <f t="shared" si="168"/>
        <v>1202</v>
      </c>
      <c r="W273">
        <v>51</v>
      </c>
      <c r="X273">
        <f t="shared" si="152"/>
        <v>103</v>
      </c>
      <c r="Y273">
        <v>5000</v>
      </c>
      <c r="Z273">
        <f t="shared" si="173"/>
        <v>4</v>
      </c>
      <c r="AA273">
        <v>1</v>
      </c>
      <c r="AB273">
        <f t="shared" si="169"/>
        <v>1201</v>
      </c>
      <c r="AC273">
        <v>71</v>
      </c>
      <c r="AD273">
        <f t="shared" si="154"/>
        <v>113</v>
      </c>
      <c r="AE273">
        <v>5000</v>
      </c>
      <c r="AF273">
        <f t="shared" si="174"/>
        <v>4</v>
      </c>
      <c r="AG273">
        <v>1</v>
      </c>
      <c r="AH273">
        <f t="shared" si="170"/>
        <v>1202</v>
      </c>
      <c r="AI273">
        <v>77</v>
      </c>
      <c r="AJ273">
        <f t="shared" si="156"/>
        <v>111</v>
      </c>
      <c r="AP273" t="str">
        <f t="shared" si="175"/>
        <v>{5000,4,1,1201,101}</v>
      </c>
      <c r="AQ273" t="str">
        <f t="shared" si="176"/>
        <v>{5000,4,1,1201,102}</v>
      </c>
      <c r="AR273" t="str">
        <f t="shared" si="177"/>
        <v>{5000,4,1,1202,103}</v>
      </c>
      <c r="AS273" t="str">
        <f t="shared" si="178"/>
        <v>{5000,4,1,1201,113}</v>
      </c>
      <c r="AT273" t="str">
        <f t="shared" si="179"/>
        <v>{5000,4,1,1202,111}</v>
      </c>
      <c r="AU273" t="str">
        <f t="shared" si="180"/>
        <v/>
      </c>
      <c r="AV273">
        <v>2217</v>
      </c>
      <c r="AW273" t="str">
        <f t="shared" si="181"/>
        <v>[{5000,4,1,1201,101},{5000,4,1,1201,102},{5000,4,1,1202,103},{5000,4,1,1201,113},{5000,4,1,1202,111}]</v>
      </c>
    </row>
    <row r="274" spans="2:49">
      <c r="B274">
        <v>2218</v>
      </c>
      <c r="C274" t="s">
        <v>90</v>
      </c>
      <c r="D274" t="str">
        <f t="shared" si="182"/>
        <v>13</v>
      </c>
      <c r="F274">
        <v>106</v>
      </c>
      <c r="G274">
        <v>5000</v>
      </c>
      <c r="H274">
        <f t="shared" si="165"/>
        <v>4</v>
      </c>
      <c r="I274">
        <v>1</v>
      </c>
      <c r="J274">
        <v>1</v>
      </c>
      <c r="K274">
        <f t="shared" si="166"/>
        <v>1201</v>
      </c>
      <c r="L274">
        <f t="shared" si="148"/>
        <v>101</v>
      </c>
      <c r="M274">
        <v>5000</v>
      </c>
      <c r="N274">
        <f t="shared" si="145"/>
        <v>4</v>
      </c>
      <c r="O274">
        <v>1</v>
      </c>
      <c r="P274">
        <f t="shared" si="167"/>
        <v>1201</v>
      </c>
      <c r="Q274">
        <v>55</v>
      </c>
      <c r="R274">
        <f t="shared" si="150"/>
        <v>103</v>
      </c>
      <c r="S274">
        <v>5000</v>
      </c>
      <c r="T274">
        <f t="shared" si="172"/>
        <v>4</v>
      </c>
      <c r="U274">
        <v>1</v>
      </c>
      <c r="V274">
        <f t="shared" si="168"/>
        <v>1202</v>
      </c>
      <c r="W274">
        <v>73</v>
      </c>
      <c r="X274">
        <f t="shared" si="152"/>
        <v>111</v>
      </c>
      <c r="Y274">
        <v>5000</v>
      </c>
      <c r="Z274">
        <f t="shared" si="173"/>
        <v>4</v>
      </c>
      <c r="AA274">
        <v>1</v>
      </c>
      <c r="AB274">
        <f t="shared" si="169"/>
        <v>1201</v>
      </c>
      <c r="AC274">
        <v>78</v>
      </c>
      <c r="AD274">
        <f t="shared" si="154"/>
        <v>112</v>
      </c>
      <c r="AE274">
        <v>5000</v>
      </c>
      <c r="AF274">
        <f t="shared" si="174"/>
        <v>4</v>
      </c>
      <c r="AG274">
        <v>1</v>
      </c>
      <c r="AH274">
        <f t="shared" si="170"/>
        <v>1202</v>
      </c>
      <c r="AI274">
        <v>71</v>
      </c>
      <c r="AJ274">
        <f t="shared" si="156"/>
        <v>113</v>
      </c>
      <c r="AP274" t="str">
        <f t="shared" si="175"/>
        <v>{5000,4,1,1201,101}</v>
      </c>
      <c r="AQ274" t="str">
        <f t="shared" si="176"/>
        <v>{5000,4,1,1201,103}</v>
      </c>
      <c r="AR274" t="str">
        <f t="shared" si="177"/>
        <v>{5000,4,1,1202,111}</v>
      </c>
      <c r="AS274" t="str">
        <f t="shared" si="178"/>
        <v>{5000,4,1,1201,112}</v>
      </c>
      <c r="AT274" t="str">
        <f t="shared" si="179"/>
        <v>{5000,4,1,1202,113}</v>
      </c>
      <c r="AU274" t="str">
        <f t="shared" si="180"/>
        <v/>
      </c>
      <c r="AV274">
        <v>2218</v>
      </c>
      <c r="AW274" t="str">
        <f t="shared" si="181"/>
        <v>[{5000,4,1,1201,101},{5000,4,1,1201,103},{5000,4,1,1202,111},{5000,4,1,1201,112},{5000,4,1,1202,113}]</v>
      </c>
    </row>
    <row r="275" spans="2:48">
      <c r="B275">
        <v>2219</v>
      </c>
      <c r="C275" t="s">
        <v>90</v>
      </c>
      <c r="D275" t="str">
        <f t="shared" si="182"/>
        <v>13</v>
      </c>
      <c r="F275">
        <v>119</v>
      </c>
      <c r="H275">
        <f t="shared" si="165"/>
        <v>0</v>
      </c>
      <c r="K275" t="str">
        <f t="shared" si="166"/>
        <v/>
      </c>
      <c r="L275" t="str">
        <f t="shared" si="148"/>
        <v/>
      </c>
      <c r="N275">
        <f t="shared" si="145"/>
        <v>0</v>
      </c>
      <c r="P275" t="str">
        <f t="shared" si="167"/>
        <v/>
      </c>
      <c r="R275" t="str">
        <f t="shared" si="150"/>
        <v/>
      </c>
      <c r="T275">
        <f t="shared" si="172"/>
        <v>0</v>
      </c>
      <c r="V275" t="str">
        <f t="shared" si="168"/>
        <v/>
      </c>
      <c r="X275" t="str">
        <f t="shared" si="152"/>
        <v/>
      </c>
      <c r="Z275">
        <f t="shared" si="173"/>
        <v>0</v>
      </c>
      <c r="AB275" t="str">
        <f t="shared" si="169"/>
        <v/>
      </c>
      <c r="AD275" t="str">
        <f t="shared" si="154"/>
        <v/>
      </c>
      <c r="AF275">
        <f t="shared" si="174"/>
        <v>0</v>
      </c>
      <c r="AH275" t="str">
        <f t="shared" si="170"/>
        <v/>
      </c>
      <c r="AJ275" t="str">
        <f t="shared" si="156"/>
        <v/>
      </c>
      <c r="AP275" t="str">
        <f t="shared" si="175"/>
        <v/>
      </c>
      <c r="AQ275" t="str">
        <f t="shared" si="176"/>
        <v/>
      </c>
      <c r="AR275" t="str">
        <f t="shared" si="177"/>
        <v/>
      </c>
      <c r="AS275" t="str">
        <f t="shared" si="178"/>
        <v/>
      </c>
      <c r="AT275" t="str">
        <f t="shared" si="179"/>
        <v/>
      </c>
      <c r="AU275" t="str">
        <f t="shared" si="180"/>
        <v/>
      </c>
      <c r="AV275">
        <v>2219</v>
      </c>
    </row>
    <row r="276" spans="2:49">
      <c r="B276">
        <v>2220</v>
      </c>
      <c r="C276" t="s">
        <v>90</v>
      </c>
      <c r="D276" t="str">
        <f t="shared" si="182"/>
        <v>13</v>
      </c>
      <c r="F276">
        <v>121</v>
      </c>
      <c r="G276">
        <v>5000</v>
      </c>
      <c r="H276">
        <f t="shared" si="165"/>
        <v>6</v>
      </c>
      <c r="I276">
        <v>1</v>
      </c>
      <c r="J276">
        <v>3</v>
      </c>
      <c r="K276">
        <f t="shared" si="166"/>
        <v>1203</v>
      </c>
      <c r="L276">
        <f t="shared" si="148"/>
        <v>101</v>
      </c>
      <c r="M276">
        <v>5000</v>
      </c>
      <c r="N276">
        <f t="shared" si="145"/>
        <v>6</v>
      </c>
      <c r="O276">
        <v>1</v>
      </c>
      <c r="P276">
        <f t="shared" si="167"/>
        <v>1203</v>
      </c>
      <c r="Q276">
        <v>54</v>
      </c>
      <c r="R276">
        <f t="shared" si="150"/>
        <v>102</v>
      </c>
      <c r="S276">
        <v>5000</v>
      </c>
      <c r="T276">
        <f t="shared" si="172"/>
        <v>6</v>
      </c>
      <c r="U276">
        <v>1</v>
      </c>
      <c r="V276">
        <f t="shared" si="168"/>
        <v>1203</v>
      </c>
      <c r="W276">
        <v>51</v>
      </c>
      <c r="X276">
        <f t="shared" si="152"/>
        <v>103</v>
      </c>
      <c r="Y276">
        <v>5000</v>
      </c>
      <c r="Z276">
        <f t="shared" si="173"/>
        <v>6</v>
      </c>
      <c r="AA276">
        <v>1</v>
      </c>
      <c r="AB276">
        <f t="shared" si="169"/>
        <v>1203</v>
      </c>
      <c r="AC276">
        <v>71</v>
      </c>
      <c r="AD276">
        <f t="shared" si="154"/>
        <v>113</v>
      </c>
      <c r="AE276">
        <v>5000</v>
      </c>
      <c r="AF276">
        <f t="shared" si="174"/>
        <v>6</v>
      </c>
      <c r="AG276">
        <v>1</v>
      </c>
      <c r="AH276">
        <f t="shared" si="170"/>
        <v>1203</v>
      </c>
      <c r="AI276">
        <v>79</v>
      </c>
      <c r="AJ276">
        <f t="shared" si="156"/>
        <v>111</v>
      </c>
      <c r="AK276">
        <v>1000</v>
      </c>
      <c r="AL276">
        <v>1</v>
      </c>
      <c r="AM276">
        <v>0</v>
      </c>
      <c r="AN276">
        <f t="shared" ref="AN276" si="183">AN253+100</f>
        <v>1221</v>
      </c>
      <c r="AO276">
        <v>4</v>
      </c>
      <c r="AP276" t="str">
        <f t="shared" si="175"/>
        <v>{5000,6,1,1203,101}</v>
      </c>
      <c r="AQ276" t="str">
        <f t="shared" si="176"/>
        <v>{5000,6,1,1203,102}</v>
      </c>
      <c r="AR276" t="str">
        <f t="shared" si="177"/>
        <v>{5000,6,1,1203,103}</v>
      </c>
      <c r="AS276" t="str">
        <f t="shared" si="178"/>
        <v>{5000,6,1,1203,113}</v>
      </c>
      <c r="AT276" t="str">
        <f t="shared" si="179"/>
        <v>{5000,6,1,1203,111}</v>
      </c>
      <c r="AU276" t="str">
        <f t="shared" si="180"/>
        <v>{1000,1,0,1221,4}</v>
      </c>
      <c r="AV276">
        <v>2220</v>
      </c>
      <c r="AW276" t="str">
        <f t="shared" ref="AW276:AW281" si="184">IF(AU276="","["&amp;_xlfn.TEXTJOIN(",",1,AP276:AT276)&amp;"]","["&amp;_xlfn.TEXTJOIN(",",1,AP276:AU276)&amp;"]")</f>
        <v>[{5000,6,1,1203,101},{5000,6,1,1203,102},{5000,6,1,1203,103},{5000,6,1,1203,113},{5000,6,1,1203,111},{1000,1,0,1221,4}]</v>
      </c>
    </row>
    <row r="277" spans="2:49">
      <c r="B277">
        <v>2221</v>
      </c>
      <c r="C277" t="s">
        <v>90</v>
      </c>
      <c r="D277" t="str">
        <f t="shared" si="182"/>
        <v>13</v>
      </c>
      <c r="F277">
        <v>136</v>
      </c>
      <c r="G277">
        <v>5000</v>
      </c>
      <c r="H277">
        <f t="shared" si="165"/>
        <v>5</v>
      </c>
      <c r="I277">
        <v>1</v>
      </c>
      <c r="J277">
        <v>1</v>
      </c>
      <c r="K277">
        <f t="shared" si="166"/>
        <v>1201</v>
      </c>
      <c r="L277">
        <f t="shared" si="148"/>
        <v>101</v>
      </c>
      <c r="M277">
        <v>5000</v>
      </c>
      <c r="N277">
        <f t="shared" si="145"/>
        <v>5</v>
      </c>
      <c r="O277">
        <v>1</v>
      </c>
      <c r="P277">
        <f t="shared" si="167"/>
        <v>1201</v>
      </c>
      <c r="Q277">
        <v>54</v>
      </c>
      <c r="R277">
        <f t="shared" si="150"/>
        <v>103</v>
      </c>
      <c r="S277">
        <v>5000</v>
      </c>
      <c r="T277">
        <f t="shared" si="172"/>
        <v>5</v>
      </c>
      <c r="U277">
        <v>1</v>
      </c>
      <c r="V277">
        <f t="shared" si="168"/>
        <v>1202</v>
      </c>
      <c r="W277">
        <v>76</v>
      </c>
      <c r="X277">
        <f t="shared" si="152"/>
        <v>111</v>
      </c>
      <c r="Y277">
        <v>5000</v>
      </c>
      <c r="Z277">
        <f t="shared" si="173"/>
        <v>5</v>
      </c>
      <c r="AA277">
        <v>1</v>
      </c>
      <c r="AB277">
        <f t="shared" si="169"/>
        <v>1201</v>
      </c>
      <c r="AC277">
        <v>72</v>
      </c>
      <c r="AD277">
        <f t="shared" si="154"/>
        <v>112</v>
      </c>
      <c r="AE277">
        <v>5000</v>
      </c>
      <c r="AF277">
        <f t="shared" si="174"/>
        <v>5</v>
      </c>
      <c r="AG277">
        <v>1</v>
      </c>
      <c r="AH277">
        <f t="shared" si="170"/>
        <v>1202</v>
      </c>
      <c r="AI277">
        <v>74</v>
      </c>
      <c r="AJ277">
        <f t="shared" si="156"/>
        <v>113</v>
      </c>
      <c r="AP277" t="str">
        <f t="shared" si="175"/>
        <v>{5000,5,1,1201,101}</v>
      </c>
      <c r="AQ277" t="str">
        <f t="shared" si="176"/>
        <v>{5000,5,1,1201,103}</v>
      </c>
      <c r="AR277" t="str">
        <f t="shared" si="177"/>
        <v>{5000,5,1,1202,111}</v>
      </c>
      <c r="AS277" t="str">
        <f t="shared" si="178"/>
        <v>{5000,5,1,1201,112}</v>
      </c>
      <c r="AT277" t="str">
        <f t="shared" si="179"/>
        <v>{5000,5,1,1202,113}</v>
      </c>
      <c r="AU277" t="str">
        <f t="shared" si="180"/>
        <v/>
      </c>
      <c r="AV277">
        <v>2221</v>
      </c>
      <c r="AW277" t="str">
        <f t="shared" si="184"/>
        <v>[{5000,5,1,1201,101},{5000,5,1,1201,103},{5000,5,1,1202,111},{5000,5,1,1201,112},{5000,5,1,1202,113}]</v>
      </c>
    </row>
    <row r="278" spans="2:49">
      <c r="B278">
        <v>2222</v>
      </c>
      <c r="C278" t="s">
        <v>90</v>
      </c>
      <c r="D278" t="str">
        <f t="shared" si="182"/>
        <v>13</v>
      </c>
      <c r="F278">
        <v>151</v>
      </c>
      <c r="G278">
        <v>5000</v>
      </c>
      <c r="H278">
        <f t="shared" si="165"/>
        <v>5</v>
      </c>
      <c r="I278">
        <v>1</v>
      </c>
      <c r="J278">
        <v>1</v>
      </c>
      <c r="K278">
        <f t="shared" si="166"/>
        <v>1201</v>
      </c>
      <c r="L278">
        <f t="shared" si="148"/>
        <v>101</v>
      </c>
      <c r="M278">
        <v>5000</v>
      </c>
      <c r="N278">
        <f t="shared" si="145"/>
        <v>5</v>
      </c>
      <c r="O278">
        <v>1</v>
      </c>
      <c r="P278">
        <f t="shared" si="167"/>
        <v>1201</v>
      </c>
      <c r="Q278">
        <v>54</v>
      </c>
      <c r="R278">
        <f t="shared" si="150"/>
        <v>102</v>
      </c>
      <c r="S278">
        <v>5000</v>
      </c>
      <c r="T278">
        <f t="shared" si="172"/>
        <v>5</v>
      </c>
      <c r="U278">
        <v>1</v>
      </c>
      <c r="V278">
        <f t="shared" si="168"/>
        <v>1202</v>
      </c>
      <c r="W278">
        <v>56</v>
      </c>
      <c r="X278">
        <f t="shared" si="152"/>
        <v>103</v>
      </c>
      <c r="Y278">
        <v>5000</v>
      </c>
      <c r="Z278">
        <f t="shared" si="173"/>
        <v>5</v>
      </c>
      <c r="AA278">
        <v>1</v>
      </c>
      <c r="AB278">
        <f t="shared" si="169"/>
        <v>1201</v>
      </c>
      <c r="AC278">
        <v>72</v>
      </c>
      <c r="AD278">
        <f t="shared" si="154"/>
        <v>113</v>
      </c>
      <c r="AE278">
        <v>5000</v>
      </c>
      <c r="AF278">
        <f t="shared" si="174"/>
        <v>5</v>
      </c>
      <c r="AG278">
        <v>1</v>
      </c>
      <c r="AH278">
        <f t="shared" si="170"/>
        <v>1202</v>
      </c>
      <c r="AI278">
        <v>74</v>
      </c>
      <c r="AJ278">
        <f t="shared" si="156"/>
        <v>111</v>
      </c>
      <c r="AP278" t="str">
        <f t="shared" si="175"/>
        <v>{5000,5,1,1201,101}</v>
      </c>
      <c r="AQ278" t="str">
        <f t="shared" si="176"/>
        <v>{5000,5,1,1201,102}</v>
      </c>
      <c r="AR278" t="str">
        <f t="shared" si="177"/>
        <v>{5000,5,1,1202,103}</v>
      </c>
      <c r="AS278" t="str">
        <f t="shared" si="178"/>
        <v>{5000,5,1,1201,113}</v>
      </c>
      <c r="AT278" t="str">
        <f t="shared" si="179"/>
        <v>{5000,5,1,1202,111}</v>
      </c>
      <c r="AU278" t="str">
        <f t="shared" si="180"/>
        <v/>
      </c>
      <c r="AV278">
        <v>2222</v>
      </c>
      <c r="AW278" t="str">
        <f t="shared" si="184"/>
        <v>[{5000,5,1,1201,101},{5000,5,1,1201,102},{5000,5,1,1202,103},{5000,5,1,1201,113},{5000,5,1,1202,111}]</v>
      </c>
    </row>
    <row r="279" spans="2:49">
      <c r="B279">
        <v>2223</v>
      </c>
      <c r="C279" t="s">
        <v>90</v>
      </c>
      <c r="D279" t="str">
        <f t="shared" si="182"/>
        <v>13</v>
      </c>
      <c r="F279">
        <v>166</v>
      </c>
      <c r="G279">
        <v>5000</v>
      </c>
      <c r="H279">
        <f t="shared" si="165"/>
        <v>7</v>
      </c>
      <c r="I279">
        <v>1</v>
      </c>
      <c r="J279">
        <v>1</v>
      </c>
      <c r="K279">
        <f t="shared" si="166"/>
        <v>1201</v>
      </c>
      <c r="L279">
        <f t="shared" si="148"/>
        <v>101</v>
      </c>
      <c r="M279">
        <v>5000</v>
      </c>
      <c r="N279">
        <f t="shared" si="145"/>
        <v>7</v>
      </c>
      <c r="O279">
        <v>1</v>
      </c>
      <c r="P279">
        <f t="shared" si="167"/>
        <v>1201</v>
      </c>
      <c r="Q279">
        <v>59</v>
      </c>
      <c r="R279">
        <f t="shared" si="150"/>
        <v>103</v>
      </c>
      <c r="S279">
        <v>5000</v>
      </c>
      <c r="T279">
        <f t="shared" si="172"/>
        <v>7</v>
      </c>
      <c r="U279">
        <v>1</v>
      </c>
      <c r="V279">
        <f t="shared" si="168"/>
        <v>1202</v>
      </c>
      <c r="W279">
        <v>79</v>
      </c>
      <c r="X279">
        <f t="shared" si="152"/>
        <v>111</v>
      </c>
      <c r="Y279">
        <v>5000</v>
      </c>
      <c r="Z279">
        <f t="shared" si="173"/>
        <v>7</v>
      </c>
      <c r="AA279">
        <v>1</v>
      </c>
      <c r="AB279">
        <f t="shared" si="169"/>
        <v>1201</v>
      </c>
      <c r="AC279">
        <v>71</v>
      </c>
      <c r="AD279">
        <f t="shared" si="154"/>
        <v>112</v>
      </c>
      <c r="AE279">
        <v>5000</v>
      </c>
      <c r="AF279">
        <f t="shared" si="174"/>
        <v>7</v>
      </c>
      <c r="AG279">
        <v>1</v>
      </c>
      <c r="AH279">
        <f t="shared" si="170"/>
        <v>1202</v>
      </c>
      <c r="AI279">
        <v>74</v>
      </c>
      <c r="AJ279">
        <f t="shared" si="156"/>
        <v>113</v>
      </c>
      <c r="AP279" t="str">
        <f t="shared" si="175"/>
        <v>{5000,7,1,1201,101}</v>
      </c>
      <c r="AQ279" t="str">
        <f t="shared" si="176"/>
        <v>{5000,7,1,1201,103}</v>
      </c>
      <c r="AR279" t="str">
        <f t="shared" si="177"/>
        <v>{5000,7,1,1202,111}</v>
      </c>
      <c r="AS279" t="str">
        <f t="shared" si="178"/>
        <v>{5000,7,1,1201,112}</v>
      </c>
      <c r="AT279" t="str">
        <f t="shared" si="179"/>
        <v>{5000,7,1,1202,113}</v>
      </c>
      <c r="AU279" t="str">
        <f t="shared" si="180"/>
        <v/>
      </c>
      <c r="AV279">
        <v>2223</v>
      </c>
      <c r="AW279" t="str">
        <f t="shared" si="184"/>
        <v>[{5000,7,1,1201,101},{5000,7,1,1201,103},{5000,7,1,1202,111},{5000,7,1,1201,112},{5000,7,1,1202,113}]</v>
      </c>
    </row>
    <row r="280" spans="2:49">
      <c r="B280">
        <v>2224</v>
      </c>
      <c r="C280" t="s">
        <v>90</v>
      </c>
      <c r="D280" t="str">
        <f t="shared" si="182"/>
        <v>13</v>
      </c>
      <c r="F280">
        <v>181</v>
      </c>
      <c r="G280">
        <v>5000</v>
      </c>
      <c r="H280">
        <f t="shared" si="165"/>
        <v>7</v>
      </c>
      <c r="I280">
        <v>1</v>
      </c>
      <c r="J280">
        <v>3</v>
      </c>
      <c r="K280">
        <f t="shared" si="166"/>
        <v>1203</v>
      </c>
      <c r="L280">
        <f t="shared" si="148"/>
        <v>101</v>
      </c>
      <c r="M280">
        <v>5000</v>
      </c>
      <c r="N280">
        <f t="shared" si="145"/>
        <v>7</v>
      </c>
      <c r="O280">
        <v>1</v>
      </c>
      <c r="P280">
        <f t="shared" si="167"/>
        <v>1203</v>
      </c>
      <c r="Q280">
        <v>53</v>
      </c>
      <c r="R280">
        <f t="shared" si="150"/>
        <v>102</v>
      </c>
      <c r="S280">
        <v>5000</v>
      </c>
      <c r="T280">
        <f t="shared" si="172"/>
        <v>7</v>
      </c>
      <c r="U280">
        <v>1</v>
      </c>
      <c r="V280">
        <f t="shared" si="168"/>
        <v>1203</v>
      </c>
      <c r="W280">
        <v>56</v>
      </c>
      <c r="X280">
        <f t="shared" si="152"/>
        <v>103</v>
      </c>
      <c r="Y280">
        <v>5000</v>
      </c>
      <c r="Z280">
        <f t="shared" si="173"/>
        <v>7</v>
      </c>
      <c r="AA280">
        <v>1</v>
      </c>
      <c r="AB280">
        <f t="shared" si="169"/>
        <v>1203</v>
      </c>
      <c r="AC280">
        <v>75</v>
      </c>
      <c r="AD280">
        <f t="shared" si="154"/>
        <v>113</v>
      </c>
      <c r="AE280">
        <v>5000</v>
      </c>
      <c r="AF280">
        <f t="shared" si="174"/>
        <v>7</v>
      </c>
      <c r="AG280">
        <v>1</v>
      </c>
      <c r="AH280">
        <f t="shared" si="170"/>
        <v>1203</v>
      </c>
      <c r="AI280">
        <v>78</v>
      </c>
      <c r="AJ280">
        <f t="shared" si="156"/>
        <v>111</v>
      </c>
      <c r="AP280" t="str">
        <f t="shared" si="175"/>
        <v>{5000,7,1,1203,101}</v>
      </c>
      <c r="AQ280" t="str">
        <f t="shared" si="176"/>
        <v>{5000,7,1,1203,102}</v>
      </c>
      <c r="AR280" t="str">
        <f t="shared" si="177"/>
        <v>{5000,7,1,1203,103}</v>
      </c>
      <c r="AS280" t="str">
        <f t="shared" si="178"/>
        <v>{5000,7,1,1203,113}</v>
      </c>
      <c r="AT280" t="str">
        <f t="shared" si="179"/>
        <v>{5000,7,1,1203,111}</v>
      </c>
      <c r="AU280" t="str">
        <f t="shared" si="180"/>
        <v/>
      </c>
      <c r="AV280">
        <v>2224</v>
      </c>
      <c r="AW280" t="str">
        <f t="shared" si="184"/>
        <v>[{5000,7,1,1203,101},{5000,7,1,1203,102},{5000,7,1,1203,103},{5000,7,1,1203,113},{5000,7,1,1203,111}]</v>
      </c>
    </row>
    <row r="281" spans="2:49">
      <c r="B281">
        <v>2225</v>
      </c>
      <c r="C281" t="s">
        <v>90</v>
      </c>
      <c r="D281" t="str">
        <f t="shared" si="182"/>
        <v>13</v>
      </c>
      <c r="F281">
        <v>196</v>
      </c>
      <c r="G281">
        <v>5000</v>
      </c>
      <c r="H281">
        <f t="shared" si="165"/>
        <v>7</v>
      </c>
      <c r="I281">
        <v>1</v>
      </c>
      <c r="J281">
        <v>2</v>
      </c>
      <c r="K281">
        <f t="shared" si="166"/>
        <v>1202</v>
      </c>
      <c r="L281">
        <f t="shared" si="148"/>
        <v>101</v>
      </c>
      <c r="M281">
        <v>5000</v>
      </c>
      <c r="N281">
        <f t="shared" si="145"/>
        <v>7</v>
      </c>
      <c r="O281">
        <v>1</v>
      </c>
      <c r="P281">
        <f t="shared" si="167"/>
        <v>1201</v>
      </c>
      <c r="Q281">
        <v>54</v>
      </c>
      <c r="R281">
        <f t="shared" si="150"/>
        <v>103</v>
      </c>
      <c r="S281">
        <v>5000</v>
      </c>
      <c r="T281">
        <f t="shared" si="172"/>
        <v>7</v>
      </c>
      <c r="U281">
        <v>1</v>
      </c>
      <c r="V281">
        <f t="shared" si="168"/>
        <v>1202</v>
      </c>
      <c r="W281">
        <v>77</v>
      </c>
      <c r="X281">
        <f t="shared" si="152"/>
        <v>111</v>
      </c>
      <c r="Y281">
        <v>5000</v>
      </c>
      <c r="Z281">
        <f t="shared" si="173"/>
        <v>7</v>
      </c>
      <c r="AA281">
        <v>1</v>
      </c>
      <c r="AB281">
        <f t="shared" si="169"/>
        <v>1201</v>
      </c>
      <c r="AC281">
        <v>72</v>
      </c>
      <c r="AD281">
        <f t="shared" si="154"/>
        <v>112</v>
      </c>
      <c r="AE281">
        <v>5000</v>
      </c>
      <c r="AF281">
        <f t="shared" si="174"/>
        <v>7</v>
      </c>
      <c r="AG281">
        <v>1</v>
      </c>
      <c r="AH281">
        <f t="shared" si="170"/>
        <v>1202</v>
      </c>
      <c r="AI281">
        <v>74</v>
      </c>
      <c r="AJ281">
        <f t="shared" si="156"/>
        <v>113</v>
      </c>
      <c r="AP281" t="str">
        <f t="shared" si="175"/>
        <v>{5000,7,1,1202,101}</v>
      </c>
      <c r="AQ281" t="str">
        <f t="shared" si="176"/>
        <v>{5000,7,1,1201,103}</v>
      </c>
      <c r="AR281" t="str">
        <f t="shared" si="177"/>
        <v>{5000,7,1,1202,111}</v>
      </c>
      <c r="AS281" t="str">
        <f t="shared" si="178"/>
        <v>{5000,7,1,1201,112}</v>
      </c>
      <c r="AT281" t="str">
        <f t="shared" si="179"/>
        <v>{5000,7,1,1202,113}</v>
      </c>
      <c r="AU281" t="str">
        <f t="shared" si="180"/>
        <v/>
      </c>
      <c r="AV281">
        <v>2225</v>
      </c>
      <c r="AW281" t="str">
        <f t="shared" si="184"/>
        <v>[{5000,7,1,1202,101},{5000,7,1,1201,103},{5000,7,1,1202,111},{5000,7,1,1201,112},{5000,7,1,1202,113}]</v>
      </c>
    </row>
    <row r="282" spans="2:48">
      <c r="B282">
        <v>2226</v>
      </c>
      <c r="C282" t="s">
        <v>90</v>
      </c>
      <c r="D282" t="str">
        <f t="shared" si="182"/>
        <v>13</v>
      </c>
      <c r="F282">
        <v>209</v>
      </c>
      <c r="H282">
        <f t="shared" si="165"/>
        <v>0</v>
      </c>
      <c r="K282" t="str">
        <f t="shared" si="166"/>
        <v/>
      </c>
      <c r="L282" t="str">
        <f t="shared" si="148"/>
        <v/>
      </c>
      <c r="N282">
        <f t="shared" si="145"/>
        <v>0</v>
      </c>
      <c r="P282" t="str">
        <f t="shared" si="167"/>
        <v/>
      </c>
      <c r="R282" t="str">
        <f t="shared" si="150"/>
        <v/>
      </c>
      <c r="T282">
        <f t="shared" si="172"/>
        <v>0</v>
      </c>
      <c r="V282" t="str">
        <f t="shared" si="168"/>
        <v/>
      </c>
      <c r="X282" t="str">
        <f t="shared" si="152"/>
        <v/>
      </c>
      <c r="Z282">
        <f t="shared" si="173"/>
        <v>0</v>
      </c>
      <c r="AB282" t="str">
        <f t="shared" si="169"/>
        <v/>
      </c>
      <c r="AD282" t="str">
        <f t="shared" si="154"/>
        <v/>
      </c>
      <c r="AF282">
        <f t="shared" si="174"/>
        <v>0</v>
      </c>
      <c r="AH282" t="str">
        <f t="shared" si="170"/>
        <v/>
      </c>
      <c r="AJ282" t="str">
        <f t="shared" si="156"/>
        <v/>
      </c>
      <c r="AP282" t="str">
        <f t="shared" si="175"/>
        <v/>
      </c>
      <c r="AQ282" t="str">
        <f t="shared" si="176"/>
        <v/>
      </c>
      <c r="AR282" t="str">
        <f t="shared" si="177"/>
        <v/>
      </c>
      <c r="AS282" t="str">
        <f t="shared" si="178"/>
        <v/>
      </c>
      <c r="AT282" t="str">
        <f t="shared" si="179"/>
        <v/>
      </c>
      <c r="AU282" t="str">
        <f t="shared" si="180"/>
        <v/>
      </c>
      <c r="AV282">
        <v>2226</v>
      </c>
    </row>
    <row r="283" spans="2:49">
      <c r="B283">
        <v>2227</v>
      </c>
      <c r="C283" t="s">
        <v>90</v>
      </c>
      <c r="D283" t="str">
        <f t="shared" si="182"/>
        <v>13</v>
      </c>
      <c r="F283">
        <v>211</v>
      </c>
      <c r="G283">
        <v>5000</v>
      </c>
      <c r="H283">
        <f t="shared" si="165"/>
        <v>7</v>
      </c>
      <c r="I283">
        <v>1</v>
      </c>
      <c r="J283">
        <v>2</v>
      </c>
      <c r="K283">
        <f t="shared" si="166"/>
        <v>1202</v>
      </c>
      <c r="L283">
        <f t="shared" si="148"/>
        <v>101</v>
      </c>
      <c r="M283">
        <v>5000</v>
      </c>
      <c r="N283">
        <f t="shared" si="145"/>
        <v>7</v>
      </c>
      <c r="O283">
        <v>1</v>
      </c>
      <c r="P283">
        <f t="shared" si="167"/>
        <v>1201</v>
      </c>
      <c r="Q283">
        <v>51</v>
      </c>
      <c r="R283">
        <f t="shared" si="150"/>
        <v>102</v>
      </c>
      <c r="S283">
        <v>5000</v>
      </c>
      <c r="T283">
        <f t="shared" si="172"/>
        <v>7</v>
      </c>
      <c r="U283">
        <v>1</v>
      </c>
      <c r="V283">
        <f t="shared" si="168"/>
        <v>1202</v>
      </c>
      <c r="W283">
        <v>57</v>
      </c>
      <c r="X283">
        <f t="shared" si="152"/>
        <v>103</v>
      </c>
      <c r="Y283">
        <v>5000</v>
      </c>
      <c r="Z283">
        <f t="shared" si="173"/>
        <v>7</v>
      </c>
      <c r="AA283">
        <v>1</v>
      </c>
      <c r="AB283">
        <f t="shared" si="169"/>
        <v>1201</v>
      </c>
      <c r="AC283">
        <v>79</v>
      </c>
      <c r="AD283">
        <f t="shared" si="154"/>
        <v>113</v>
      </c>
      <c r="AE283">
        <v>5000</v>
      </c>
      <c r="AF283">
        <f t="shared" si="174"/>
        <v>7</v>
      </c>
      <c r="AG283">
        <v>1</v>
      </c>
      <c r="AH283">
        <f t="shared" si="170"/>
        <v>1202</v>
      </c>
      <c r="AI283">
        <v>72</v>
      </c>
      <c r="AJ283">
        <f t="shared" si="156"/>
        <v>111</v>
      </c>
      <c r="AK283">
        <v>1000</v>
      </c>
      <c r="AL283">
        <v>1</v>
      </c>
      <c r="AM283">
        <v>0</v>
      </c>
      <c r="AN283">
        <f t="shared" ref="AN283" si="185">AN260+100</f>
        <v>1231</v>
      </c>
      <c r="AO283">
        <v>4</v>
      </c>
      <c r="AP283" t="str">
        <f t="shared" si="175"/>
        <v>{5000,7,1,1202,101}</v>
      </c>
      <c r="AQ283" t="str">
        <f t="shared" si="176"/>
        <v>{5000,7,1,1201,102}</v>
      </c>
      <c r="AR283" t="str">
        <f t="shared" si="177"/>
        <v>{5000,7,1,1202,103}</v>
      </c>
      <c r="AS283" t="str">
        <f t="shared" si="178"/>
        <v>{5000,7,1,1201,113}</v>
      </c>
      <c r="AT283" t="str">
        <f t="shared" si="179"/>
        <v>{5000,7,1,1202,111}</v>
      </c>
      <c r="AU283" t="str">
        <f t="shared" si="180"/>
        <v>{1000,1,0,1231,4}</v>
      </c>
      <c r="AV283">
        <v>2227</v>
      </c>
      <c r="AW283" t="str">
        <f t="shared" ref="AW283:AW297" si="186">IF(AU283="","["&amp;_xlfn.TEXTJOIN(",",1,AP283:AT283)&amp;"]","["&amp;_xlfn.TEXTJOIN(",",1,AP283:AU283)&amp;"]")</f>
        <v>[{5000,7,1,1202,101},{5000,7,1,1201,102},{5000,7,1,1202,103},{5000,7,1,1201,113},{5000,7,1,1202,111},{1000,1,0,1231,4}]</v>
      </c>
    </row>
    <row r="284" spans="2:49">
      <c r="B284">
        <v>2228</v>
      </c>
      <c r="C284" t="s">
        <v>90</v>
      </c>
      <c r="D284" t="str">
        <f t="shared" si="182"/>
        <v>13</v>
      </c>
      <c r="F284">
        <v>226</v>
      </c>
      <c r="G284">
        <v>5000</v>
      </c>
      <c r="H284">
        <f t="shared" si="165"/>
        <v>7</v>
      </c>
      <c r="I284">
        <v>1</v>
      </c>
      <c r="J284">
        <v>2</v>
      </c>
      <c r="K284">
        <f t="shared" si="166"/>
        <v>1202</v>
      </c>
      <c r="L284">
        <f t="shared" si="148"/>
        <v>101</v>
      </c>
      <c r="M284">
        <v>5000</v>
      </c>
      <c r="N284">
        <f t="shared" si="145"/>
        <v>7</v>
      </c>
      <c r="O284">
        <v>1</v>
      </c>
      <c r="P284">
        <f t="shared" si="167"/>
        <v>1201</v>
      </c>
      <c r="Q284">
        <v>51</v>
      </c>
      <c r="R284">
        <f t="shared" si="150"/>
        <v>103</v>
      </c>
      <c r="S284">
        <v>5000</v>
      </c>
      <c r="T284">
        <f t="shared" si="172"/>
        <v>7</v>
      </c>
      <c r="U284">
        <v>1</v>
      </c>
      <c r="V284">
        <f t="shared" si="168"/>
        <v>1202</v>
      </c>
      <c r="W284">
        <v>75</v>
      </c>
      <c r="X284">
        <f t="shared" si="152"/>
        <v>111</v>
      </c>
      <c r="Y284">
        <v>5000</v>
      </c>
      <c r="Z284">
        <f t="shared" si="173"/>
        <v>7</v>
      </c>
      <c r="AA284">
        <v>1</v>
      </c>
      <c r="AB284">
        <f t="shared" si="169"/>
        <v>1201</v>
      </c>
      <c r="AC284">
        <v>71</v>
      </c>
      <c r="AD284">
        <f t="shared" si="154"/>
        <v>112</v>
      </c>
      <c r="AE284">
        <v>5000</v>
      </c>
      <c r="AF284">
        <f t="shared" si="174"/>
        <v>7</v>
      </c>
      <c r="AG284">
        <v>1</v>
      </c>
      <c r="AH284">
        <f t="shared" si="170"/>
        <v>1202</v>
      </c>
      <c r="AI284">
        <v>77</v>
      </c>
      <c r="AJ284">
        <f t="shared" si="156"/>
        <v>113</v>
      </c>
      <c r="AP284" t="str">
        <f t="shared" si="175"/>
        <v>{5000,7,1,1202,101}</v>
      </c>
      <c r="AQ284" t="str">
        <f t="shared" si="176"/>
        <v>{5000,7,1,1201,103}</v>
      </c>
      <c r="AR284" t="str">
        <f t="shared" si="177"/>
        <v>{5000,7,1,1202,111}</v>
      </c>
      <c r="AS284" t="str">
        <f t="shared" si="178"/>
        <v>{5000,7,1,1201,112}</v>
      </c>
      <c r="AT284" t="str">
        <f t="shared" si="179"/>
        <v>{5000,7,1,1202,113}</v>
      </c>
      <c r="AU284" t="str">
        <f t="shared" si="180"/>
        <v/>
      </c>
      <c r="AV284">
        <v>2228</v>
      </c>
      <c r="AW284" t="str">
        <f t="shared" si="186"/>
        <v>[{5000,7,1,1202,101},{5000,7,1,1201,103},{5000,7,1,1202,111},{5000,7,1,1201,112},{5000,7,1,1202,113}]</v>
      </c>
    </row>
    <row r="285" spans="2:49">
      <c r="B285">
        <v>2229</v>
      </c>
      <c r="C285" t="s">
        <v>90</v>
      </c>
      <c r="D285" t="str">
        <f t="shared" si="182"/>
        <v>13</v>
      </c>
      <c r="F285">
        <v>241</v>
      </c>
      <c r="G285">
        <v>5000</v>
      </c>
      <c r="H285">
        <f t="shared" si="165"/>
        <v>9</v>
      </c>
      <c r="I285">
        <v>1</v>
      </c>
      <c r="J285">
        <v>3</v>
      </c>
      <c r="K285">
        <f t="shared" si="166"/>
        <v>1203</v>
      </c>
      <c r="L285">
        <f t="shared" si="148"/>
        <v>101</v>
      </c>
      <c r="M285">
        <v>5000</v>
      </c>
      <c r="N285">
        <f t="shared" si="145"/>
        <v>9</v>
      </c>
      <c r="O285">
        <v>1</v>
      </c>
      <c r="P285">
        <f t="shared" si="167"/>
        <v>1203</v>
      </c>
      <c r="Q285">
        <v>53</v>
      </c>
      <c r="R285">
        <f t="shared" si="150"/>
        <v>102</v>
      </c>
      <c r="S285">
        <v>5000</v>
      </c>
      <c r="T285">
        <f t="shared" si="172"/>
        <v>9</v>
      </c>
      <c r="U285">
        <v>1</v>
      </c>
      <c r="V285">
        <f t="shared" si="168"/>
        <v>1203</v>
      </c>
      <c r="W285">
        <v>56</v>
      </c>
      <c r="X285">
        <f t="shared" si="152"/>
        <v>103</v>
      </c>
      <c r="Y285">
        <v>5000</v>
      </c>
      <c r="Z285">
        <f t="shared" si="173"/>
        <v>9</v>
      </c>
      <c r="AA285">
        <v>1</v>
      </c>
      <c r="AB285">
        <f t="shared" si="169"/>
        <v>1203</v>
      </c>
      <c r="AC285">
        <v>74</v>
      </c>
      <c r="AD285">
        <f t="shared" si="154"/>
        <v>113</v>
      </c>
      <c r="AE285">
        <v>5000</v>
      </c>
      <c r="AF285">
        <f t="shared" si="174"/>
        <v>9</v>
      </c>
      <c r="AG285">
        <v>1</v>
      </c>
      <c r="AH285">
        <f t="shared" si="170"/>
        <v>1203</v>
      </c>
      <c r="AI285">
        <v>78</v>
      </c>
      <c r="AJ285">
        <f t="shared" si="156"/>
        <v>111</v>
      </c>
      <c r="AP285" t="str">
        <f t="shared" si="175"/>
        <v>{5000,9,1,1203,101}</v>
      </c>
      <c r="AQ285" t="str">
        <f t="shared" si="176"/>
        <v>{5000,9,1,1203,102}</v>
      </c>
      <c r="AR285" t="str">
        <f t="shared" si="177"/>
        <v>{5000,9,1,1203,103}</v>
      </c>
      <c r="AS285" t="str">
        <f t="shared" si="178"/>
        <v>{5000,9,1,1203,113}</v>
      </c>
      <c r="AT285" t="str">
        <f t="shared" si="179"/>
        <v>{5000,9,1,1203,111}</v>
      </c>
      <c r="AU285" t="str">
        <f t="shared" si="180"/>
        <v/>
      </c>
      <c r="AV285">
        <v>2229</v>
      </c>
      <c r="AW285" t="str">
        <f t="shared" si="186"/>
        <v>[{5000,9,1,1203,101},{5000,9,1,1203,102},{5000,9,1,1203,103},{5000,9,1,1203,113},{5000,9,1,1203,111}]</v>
      </c>
    </row>
    <row r="286" spans="2:49">
      <c r="B286">
        <v>2230</v>
      </c>
      <c r="C286" t="s">
        <v>90</v>
      </c>
      <c r="D286" t="str">
        <f t="shared" si="182"/>
        <v>13</v>
      </c>
      <c r="F286">
        <v>256</v>
      </c>
      <c r="G286">
        <v>5000</v>
      </c>
      <c r="H286">
        <f t="shared" si="165"/>
        <v>8</v>
      </c>
      <c r="I286">
        <v>1</v>
      </c>
      <c r="J286">
        <v>2</v>
      </c>
      <c r="K286">
        <f t="shared" si="166"/>
        <v>1202</v>
      </c>
      <c r="L286">
        <f t="shared" si="148"/>
        <v>101</v>
      </c>
      <c r="M286">
        <v>5000</v>
      </c>
      <c r="N286">
        <f t="shared" si="145"/>
        <v>8</v>
      </c>
      <c r="O286">
        <v>1</v>
      </c>
      <c r="P286">
        <f t="shared" si="167"/>
        <v>1202</v>
      </c>
      <c r="Q286">
        <v>59</v>
      </c>
      <c r="R286">
        <f t="shared" si="150"/>
        <v>103</v>
      </c>
      <c r="S286">
        <v>5000</v>
      </c>
      <c r="T286">
        <f t="shared" si="172"/>
        <v>8</v>
      </c>
      <c r="U286">
        <v>1</v>
      </c>
      <c r="V286">
        <f t="shared" si="168"/>
        <v>1202</v>
      </c>
      <c r="W286">
        <v>79</v>
      </c>
      <c r="X286">
        <f t="shared" si="152"/>
        <v>111</v>
      </c>
      <c r="Y286">
        <v>5000</v>
      </c>
      <c r="Z286">
        <f t="shared" si="173"/>
        <v>8</v>
      </c>
      <c r="AA286">
        <v>1</v>
      </c>
      <c r="AB286">
        <f t="shared" si="169"/>
        <v>1201</v>
      </c>
      <c r="AC286">
        <v>72</v>
      </c>
      <c r="AD286">
        <f t="shared" si="154"/>
        <v>112</v>
      </c>
      <c r="AE286">
        <v>5000</v>
      </c>
      <c r="AF286">
        <f t="shared" si="174"/>
        <v>8</v>
      </c>
      <c r="AG286">
        <v>1</v>
      </c>
      <c r="AH286">
        <f t="shared" si="170"/>
        <v>1202</v>
      </c>
      <c r="AI286">
        <v>74</v>
      </c>
      <c r="AJ286">
        <f t="shared" si="156"/>
        <v>113</v>
      </c>
      <c r="AP286" t="str">
        <f t="shared" si="175"/>
        <v>{5000,8,1,1202,101}</v>
      </c>
      <c r="AQ286" t="str">
        <f t="shared" si="176"/>
        <v>{5000,8,1,1202,103}</v>
      </c>
      <c r="AR286" t="str">
        <f t="shared" si="177"/>
        <v>{5000,8,1,1202,111}</v>
      </c>
      <c r="AS286" t="str">
        <f t="shared" si="178"/>
        <v>{5000,8,1,1201,112}</v>
      </c>
      <c r="AT286" t="str">
        <f t="shared" si="179"/>
        <v>{5000,8,1,1202,113}</v>
      </c>
      <c r="AU286" t="str">
        <f t="shared" si="180"/>
        <v/>
      </c>
      <c r="AV286">
        <v>2230</v>
      </c>
      <c r="AW286" t="str">
        <f t="shared" si="186"/>
        <v>[{5000,8,1,1202,101},{5000,8,1,1202,103},{5000,8,1,1202,111},{5000,8,1,1201,112},{5000,8,1,1202,113}]</v>
      </c>
    </row>
    <row r="287" spans="2:49">
      <c r="B287">
        <v>2231</v>
      </c>
      <c r="C287" t="s">
        <v>90</v>
      </c>
      <c r="D287" t="str">
        <f t="shared" si="182"/>
        <v>13</v>
      </c>
      <c r="F287">
        <v>271</v>
      </c>
      <c r="G287">
        <v>5000</v>
      </c>
      <c r="H287">
        <f t="shared" si="165"/>
        <v>8</v>
      </c>
      <c r="I287">
        <v>1</v>
      </c>
      <c r="J287">
        <v>2</v>
      </c>
      <c r="K287">
        <f t="shared" si="166"/>
        <v>1202</v>
      </c>
      <c r="L287">
        <f t="shared" si="148"/>
        <v>101</v>
      </c>
      <c r="M287">
        <v>5000</v>
      </c>
      <c r="N287">
        <f t="shared" si="145"/>
        <v>8</v>
      </c>
      <c r="O287">
        <v>1</v>
      </c>
      <c r="P287">
        <f t="shared" si="167"/>
        <v>1202</v>
      </c>
      <c r="Q287">
        <v>54</v>
      </c>
      <c r="R287">
        <f t="shared" si="150"/>
        <v>102</v>
      </c>
      <c r="S287">
        <v>5000</v>
      </c>
      <c r="T287">
        <f t="shared" si="172"/>
        <v>8</v>
      </c>
      <c r="U287">
        <v>1</v>
      </c>
      <c r="V287">
        <f t="shared" si="168"/>
        <v>1202</v>
      </c>
      <c r="W287">
        <v>56</v>
      </c>
      <c r="X287">
        <f t="shared" si="152"/>
        <v>103</v>
      </c>
      <c r="Y287">
        <v>5000</v>
      </c>
      <c r="Z287">
        <f t="shared" si="173"/>
        <v>8</v>
      </c>
      <c r="AA287">
        <v>1</v>
      </c>
      <c r="AB287">
        <f t="shared" si="169"/>
        <v>1202</v>
      </c>
      <c r="AC287">
        <v>73</v>
      </c>
      <c r="AD287">
        <f t="shared" si="154"/>
        <v>113</v>
      </c>
      <c r="AE287">
        <v>5000</v>
      </c>
      <c r="AF287">
        <f t="shared" si="174"/>
        <v>8</v>
      </c>
      <c r="AG287">
        <v>1</v>
      </c>
      <c r="AH287">
        <f t="shared" si="170"/>
        <v>1202</v>
      </c>
      <c r="AI287">
        <v>75</v>
      </c>
      <c r="AJ287">
        <f t="shared" si="156"/>
        <v>111</v>
      </c>
      <c r="AP287" t="str">
        <f t="shared" si="175"/>
        <v>{5000,8,1,1202,101}</v>
      </c>
      <c r="AQ287" t="str">
        <f t="shared" si="176"/>
        <v>{5000,8,1,1202,102}</v>
      </c>
      <c r="AR287" t="str">
        <f t="shared" si="177"/>
        <v>{5000,8,1,1202,103}</v>
      </c>
      <c r="AS287" t="str">
        <f t="shared" si="178"/>
        <v>{5000,8,1,1202,113}</v>
      </c>
      <c r="AT287" t="str">
        <f t="shared" si="179"/>
        <v>{5000,8,1,1202,111}</v>
      </c>
      <c r="AU287" t="str">
        <f t="shared" si="180"/>
        <v/>
      </c>
      <c r="AV287">
        <v>2231</v>
      </c>
      <c r="AW287" t="str">
        <f t="shared" si="186"/>
        <v>[{5000,8,1,1202,101},{5000,8,1,1202,102},{5000,8,1,1202,103},{5000,8,1,1202,113},{5000,8,1,1202,111}]</v>
      </c>
    </row>
    <row r="288" spans="2:49">
      <c r="B288">
        <v>2232</v>
      </c>
      <c r="C288" t="s">
        <v>90</v>
      </c>
      <c r="D288" t="str">
        <f t="shared" si="182"/>
        <v>13</v>
      </c>
      <c r="F288">
        <v>286</v>
      </c>
      <c r="G288">
        <v>5000</v>
      </c>
      <c r="H288">
        <f t="shared" si="165"/>
        <v>8</v>
      </c>
      <c r="I288">
        <v>1</v>
      </c>
      <c r="J288">
        <v>2</v>
      </c>
      <c r="K288">
        <f t="shared" si="166"/>
        <v>1202</v>
      </c>
      <c r="L288">
        <f t="shared" si="148"/>
        <v>101</v>
      </c>
      <c r="M288">
        <v>5000</v>
      </c>
      <c r="N288">
        <f t="shared" si="145"/>
        <v>8</v>
      </c>
      <c r="O288">
        <v>1</v>
      </c>
      <c r="P288">
        <f t="shared" si="167"/>
        <v>1202</v>
      </c>
      <c r="Q288">
        <v>53</v>
      </c>
      <c r="R288">
        <f t="shared" si="150"/>
        <v>103</v>
      </c>
      <c r="S288">
        <v>5000</v>
      </c>
      <c r="T288">
        <f t="shared" si="172"/>
        <v>8</v>
      </c>
      <c r="U288">
        <v>1</v>
      </c>
      <c r="V288">
        <f t="shared" si="168"/>
        <v>1202</v>
      </c>
      <c r="W288">
        <v>59</v>
      </c>
      <c r="X288">
        <f t="shared" si="152"/>
        <v>111</v>
      </c>
      <c r="Y288">
        <v>5000</v>
      </c>
      <c r="Z288">
        <f t="shared" si="173"/>
        <v>8</v>
      </c>
      <c r="AA288">
        <v>1</v>
      </c>
      <c r="AB288">
        <f t="shared" si="169"/>
        <v>1202</v>
      </c>
      <c r="AC288">
        <v>71</v>
      </c>
      <c r="AD288">
        <f t="shared" si="154"/>
        <v>112</v>
      </c>
      <c r="AE288">
        <v>5000</v>
      </c>
      <c r="AF288">
        <f t="shared" si="174"/>
        <v>8</v>
      </c>
      <c r="AG288">
        <v>1</v>
      </c>
      <c r="AH288">
        <f t="shared" si="170"/>
        <v>1202</v>
      </c>
      <c r="AI288">
        <v>77</v>
      </c>
      <c r="AJ288">
        <f t="shared" si="156"/>
        <v>113</v>
      </c>
      <c r="AP288" t="str">
        <f t="shared" si="175"/>
        <v>{5000,8,1,1202,101}</v>
      </c>
      <c r="AQ288" t="str">
        <f t="shared" si="176"/>
        <v>{5000,8,1,1202,103}</v>
      </c>
      <c r="AR288" t="str">
        <f t="shared" si="177"/>
        <v>{5000,8,1,1202,111}</v>
      </c>
      <c r="AS288" t="str">
        <f t="shared" si="178"/>
        <v>{5000,8,1,1202,112}</v>
      </c>
      <c r="AT288" t="str">
        <f t="shared" si="179"/>
        <v>{5000,8,1,1202,113}</v>
      </c>
      <c r="AU288" t="str">
        <f t="shared" si="180"/>
        <v/>
      </c>
      <c r="AV288">
        <v>2232</v>
      </c>
      <c r="AW288" t="str">
        <f t="shared" si="186"/>
        <v>[{5000,8,1,1202,101},{5000,8,1,1202,103},{5000,8,1,1202,111},{5000,8,1,1202,112},{5000,8,1,1202,113}]</v>
      </c>
    </row>
    <row r="289" spans="2:49">
      <c r="B289">
        <v>2233</v>
      </c>
      <c r="C289" t="s">
        <v>90</v>
      </c>
      <c r="D289" t="str">
        <f t="shared" si="182"/>
        <v>13</v>
      </c>
      <c r="F289">
        <v>290</v>
      </c>
      <c r="G289">
        <v>5000</v>
      </c>
      <c r="H289">
        <f t="shared" si="165"/>
        <v>8</v>
      </c>
      <c r="I289">
        <v>1</v>
      </c>
      <c r="J289">
        <v>2</v>
      </c>
      <c r="K289">
        <f t="shared" si="166"/>
        <v>1202</v>
      </c>
      <c r="L289">
        <f t="shared" si="148"/>
        <v>101</v>
      </c>
      <c r="M289">
        <v>5000</v>
      </c>
      <c r="N289">
        <f t="shared" si="145"/>
        <v>8</v>
      </c>
      <c r="O289">
        <v>1</v>
      </c>
      <c r="P289">
        <f t="shared" si="167"/>
        <v>1202</v>
      </c>
      <c r="Q289">
        <v>56</v>
      </c>
      <c r="R289">
        <f t="shared" si="150"/>
        <v>102</v>
      </c>
      <c r="S289">
        <v>5000</v>
      </c>
      <c r="T289">
        <f t="shared" si="172"/>
        <v>8</v>
      </c>
      <c r="U289">
        <v>1</v>
      </c>
      <c r="V289">
        <f t="shared" si="168"/>
        <v>1201</v>
      </c>
      <c r="W289">
        <v>77</v>
      </c>
      <c r="X289">
        <f t="shared" si="152"/>
        <v>103</v>
      </c>
      <c r="Y289">
        <v>5000</v>
      </c>
      <c r="Z289">
        <f t="shared" si="173"/>
        <v>8</v>
      </c>
      <c r="AA289">
        <v>1</v>
      </c>
      <c r="AB289">
        <f t="shared" si="169"/>
        <v>1202</v>
      </c>
      <c r="AC289">
        <v>72</v>
      </c>
      <c r="AD289">
        <f t="shared" si="154"/>
        <v>113</v>
      </c>
      <c r="AE289">
        <v>5000</v>
      </c>
      <c r="AF289">
        <f t="shared" si="174"/>
        <v>8</v>
      </c>
      <c r="AG289">
        <v>1</v>
      </c>
      <c r="AH289">
        <f t="shared" si="170"/>
        <v>1202</v>
      </c>
      <c r="AI289">
        <v>74</v>
      </c>
      <c r="AJ289">
        <f t="shared" si="156"/>
        <v>111</v>
      </c>
      <c r="AP289" t="str">
        <f t="shared" si="175"/>
        <v>{5000,8,1,1202,101}</v>
      </c>
      <c r="AQ289" t="str">
        <f t="shared" si="176"/>
        <v>{5000,8,1,1202,102}</v>
      </c>
      <c r="AR289" t="str">
        <f t="shared" si="177"/>
        <v>{5000,8,1,1201,103}</v>
      </c>
      <c r="AS289" t="str">
        <f t="shared" si="178"/>
        <v>{5000,8,1,1202,113}</v>
      </c>
      <c r="AT289" t="str">
        <f t="shared" si="179"/>
        <v>{5000,8,1,1202,111}</v>
      </c>
      <c r="AU289" t="str">
        <f t="shared" si="180"/>
        <v/>
      </c>
      <c r="AV289">
        <v>2233</v>
      </c>
      <c r="AW289" t="str">
        <f t="shared" si="186"/>
        <v>[{5000,8,1,1202,101},{5000,8,1,1202,102},{5000,8,1,1201,103},{5000,8,1,1202,113},{5000,8,1,1202,111}]</v>
      </c>
    </row>
    <row r="290" spans="2:49">
      <c r="B290">
        <v>2311</v>
      </c>
      <c r="C290" t="s">
        <v>32</v>
      </c>
      <c r="D290" s="4" t="str">
        <f t="shared" si="182"/>
        <v>14</v>
      </c>
      <c r="E290" s="4"/>
      <c r="F290">
        <v>1</v>
      </c>
      <c r="G290">
        <v>5000</v>
      </c>
      <c r="H290">
        <f t="shared" si="165"/>
        <v>2</v>
      </c>
      <c r="I290">
        <v>1</v>
      </c>
      <c r="J290">
        <v>1</v>
      </c>
      <c r="K290">
        <f t="shared" si="166"/>
        <v>1301</v>
      </c>
      <c r="L290">
        <f t="shared" si="148"/>
        <v>101</v>
      </c>
      <c r="M290">
        <v>5000</v>
      </c>
      <c r="N290">
        <f t="shared" si="145"/>
        <v>2</v>
      </c>
      <c r="O290">
        <v>1</v>
      </c>
      <c r="P290">
        <f t="shared" si="167"/>
        <v>1301</v>
      </c>
      <c r="Q290">
        <v>55</v>
      </c>
      <c r="R290">
        <f t="shared" si="150"/>
        <v>102</v>
      </c>
      <c r="S290">
        <v>5000</v>
      </c>
      <c r="T290">
        <f t="shared" si="172"/>
        <v>2</v>
      </c>
      <c r="U290">
        <v>1</v>
      </c>
      <c r="V290">
        <f t="shared" si="168"/>
        <v>1301</v>
      </c>
      <c r="W290">
        <v>60</v>
      </c>
      <c r="X290">
        <f t="shared" si="152"/>
        <v>103</v>
      </c>
      <c r="Y290">
        <v>5000</v>
      </c>
      <c r="Z290">
        <f t="shared" si="173"/>
        <v>2</v>
      </c>
      <c r="AA290">
        <v>1</v>
      </c>
      <c r="AB290">
        <f t="shared" si="169"/>
        <v>1301</v>
      </c>
      <c r="AC290">
        <v>71</v>
      </c>
      <c r="AD290">
        <f t="shared" si="154"/>
        <v>113</v>
      </c>
      <c r="AE290">
        <v>5000</v>
      </c>
      <c r="AF290">
        <f t="shared" si="174"/>
        <v>2</v>
      </c>
      <c r="AG290">
        <v>1</v>
      </c>
      <c r="AH290">
        <f t="shared" si="170"/>
        <v>1301</v>
      </c>
      <c r="AI290">
        <v>76</v>
      </c>
      <c r="AJ290">
        <f t="shared" si="156"/>
        <v>111</v>
      </c>
      <c r="AP290" t="str">
        <f t="shared" si="175"/>
        <v>{5000,2,1,1301,101}</v>
      </c>
      <c r="AQ290" t="str">
        <f t="shared" si="176"/>
        <v>{5000,2,1,1301,102}</v>
      </c>
      <c r="AR290" t="str">
        <f t="shared" si="177"/>
        <v>{5000,2,1,1301,103}</v>
      </c>
      <c r="AS290" t="str">
        <f t="shared" si="178"/>
        <v>{5000,2,1,1301,113}</v>
      </c>
      <c r="AT290" t="str">
        <f t="shared" si="179"/>
        <v>{5000,2,1,1301,111}</v>
      </c>
      <c r="AU290" t="str">
        <f t="shared" si="180"/>
        <v/>
      </c>
      <c r="AV290">
        <v>2311</v>
      </c>
      <c r="AW290" t="str">
        <f t="shared" si="186"/>
        <v>[{5000,2,1,1301,101},{5000,2,1,1301,102},{5000,2,1,1301,103},{5000,2,1,1301,113},{5000,2,1,1301,111}]</v>
      </c>
    </row>
    <row r="291" spans="2:49">
      <c r="B291">
        <v>2312</v>
      </c>
      <c r="C291" t="s">
        <v>32</v>
      </c>
      <c r="D291" t="str">
        <f t="shared" si="182"/>
        <v>14</v>
      </c>
      <c r="F291">
        <v>16</v>
      </c>
      <c r="G291">
        <v>5000</v>
      </c>
      <c r="H291">
        <f t="shared" si="165"/>
        <v>2</v>
      </c>
      <c r="I291">
        <v>1</v>
      </c>
      <c r="J291">
        <v>1</v>
      </c>
      <c r="K291">
        <f t="shared" si="166"/>
        <v>1301</v>
      </c>
      <c r="L291">
        <f t="shared" si="148"/>
        <v>101</v>
      </c>
      <c r="M291">
        <v>5000</v>
      </c>
      <c r="N291">
        <f t="shared" si="145"/>
        <v>2</v>
      </c>
      <c r="O291">
        <v>1</v>
      </c>
      <c r="P291">
        <f t="shared" si="167"/>
        <v>1301</v>
      </c>
      <c r="Q291">
        <v>55</v>
      </c>
      <c r="R291">
        <f t="shared" si="150"/>
        <v>103</v>
      </c>
      <c r="S291">
        <v>5000</v>
      </c>
      <c r="T291">
        <f t="shared" si="172"/>
        <v>2</v>
      </c>
      <c r="U291">
        <v>1</v>
      </c>
      <c r="V291">
        <f t="shared" si="168"/>
        <v>1301</v>
      </c>
      <c r="W291">
        <v>75</v>
      </c>
      <c r="X291">
        <f t="shared" si="152"/>
        <v>111</v>
      </c>
      <c r="Y291">
        <v>5000</v>
      </c>
      <c r="Z291">
        <f t="shared" si="173"/>
        <v>2</v>
      </c>
      <c r="AA291">
        <v>1</v>
      </c>
      <c r="AB291">
        <f t="shared" si="169"/>
        <v>1301</v>
      </c>
      <c r="AC291">
        <v>73</v>
      </c>
      <c r="AD291">
        <f t="shared" si="154"/>
        <v>112</v>
      </c>
      <c r="AE291">
        <v>5000</v>
      </c>
      <c r="AF291">
        <f t="shared" si="174"/>
        <v>2</v>
      </c>
      <c r="AG291">
        <v>1</v>
      </c>
      <c r="AH291">
        <f t="shared" si="170"/>
        <v>1301</v>
      </c>
      <c r="AI291">
        <v>78</v>
      </c>
      <c r="AJ291">
        <f t="shared" si="156"/>
        <v>113</v>
      </c>
      <c r="AP291" t="str">
        <f t="shared" si="175"/>
        <v>{5000,2,1,1301,101}</v>
      </c>
      <c r="AQ291" t="str">
        <f t="shared" si="176"/>
        <v>{5000,2,1,1301,103}</v>
      </c>
      <c r="AR291" t="str">
        <f t="shared" si="177"/>
        <v>{5000,2,1,1301,111}</v>
      </c>
      <c r="AS291" t="str">
        <f t="shared" si="178"/>
        <v>{5000,2,1,1301,112}</v>
      </c>
      <c r="AT291" t="str">
        <f t="shared" si="179"/>
        <v>{5000,2,1,1301,113}</v>
      </c>
      <c r="AU291" t="str">
        <f t="shared" si="180"/>
        <v/>
      </c>
      <c r="AV291">
        <v>2312</v>
      </c>
      <c r="AW291" t="str">
        <f t="shared" si="186"/>
        <v>[{5000,2,1,1301,101},{5000,2,1,1301,103},{5000,2,1,1301,111},{5000,2,1,1301,112},{5000,2,1,1301,113}]</v>
      </c>
    </row>
    <row r="292" spans="2:49">
      <c r="B292">
        <v>2313</v>
      </c>
      <c r="C292" t="s">
        <v>32</v>
      </c>
      <c r="D292" t="str">
        <f t="shared" si="182"/>
        <v>14</v>
      </c>
      <c r="F292">
        <v>31</v>
      </c>
      <c r="G292">
        <v>5000</v>
      </c>
      <c r="H292">
        <f t="shared" si="165"/>
        <v>3</v>
      </c>
      <c r="I292">
        <v>1</v>
      </c>
      <c r="J292">
        <v>1</v>
      </c>
      <c r="K292">
        <f t="shared" si="166"/>
        <v>1301</v>
      </c>
      <c r="L292">
        <f t="shared" si="148"/>
        <v>101</v>
      </c>
      <c r="M292">
        <v>5000</v>
      </c>
      <c r="N292">
        <f t="shared" si="145"/>
        <v>3</v>
      </c>
      <c r="O292">
        <v>1</v>
      </c>
      <c r="P292">
        <f t="shared" si="167"/>
        <v>1301</v>
      </c>
      <c r="Q292">
        <v>55</v>
      </c>
      <c r="R292">
        <f t="shared" si="150"/>
        <v>102</v>
      </c>
      <c r="S292">
        <v>5000</v>
      </c>
      <c r="T292">
        <f t="shared" si="172"/>
        <v>3</v>
      </c>
      <c r="U292">
        <v>1</v>
      </c>
      <c r="V292">
        <f t="shared" si="168"/>
        <v>1301</v>
      </c>
      <c r="W292">
        <v>58</v>
      </c>
      <c r="X292">
        <f t="shared" si="152"/>
        <v>103</v>
      </c>
      <c r="Y292">
        <v>5000</v>
      </c>
      <c r="Z292">
        <f t="shared" si="173"/>
        <v>3</v>
      </c>
      <c r="AA292">
        <v>1</v>
      </c>
      <c r="AB292">
        <f t="shared" si="169"/>
        <v>1301</v>
      </c>
      <c r="AC292">
        <v>76</v>
      </c>
      <c r="AD292">
        <f t="shared" si="154"/>
        <v>113</v>
      </c>
      <c r="AE292">
        <v>5000</v>
      </c>
      <c r="AF292">
        <f t="shared" si="174"/>
        <v>3</v>
      </c>
      <c r="AG292">
        <v>1</v>
      </c>
      <c r="AH292">
        <f t="shared" si="170"/>
        <v>1301</v>
      </c>
      <c r="AI292">
        <v>79</v>
      </c>
      <c r="AJ292">
        <f t="shared" si="156"/>
        <v>111</v>
      </c>
      <c r="AP292" t="str">
        <f t="shared" si="175"/>
        <v>{5000,3,1,1301,101}</v>
      </c>
      <c r="AQ292" t="str">
        <f t="shared" si="176"/>
        <v>{5000,3,1,1301,102}</v>
      </c>
      <c r="AR292" t="str">
        <f t="shared" si="177"/>
        <v>{5000,3,1,1301,103}</v>
      </c>
      <c r="AS292" t="str">
        <f t="shared" si="178"/>
        <v>{5000,3,1,1301,113}</v>
      </c>
      <c r="AT292" t="str">
        <f t="shared" si="179"/>
        <v>{5000,3,1,1301,111}</v>
      </c>
      <c r="AU292" t="str">
        <f t="shared" si="180"/>
        <v/>
      </c>
      <c r="AV292">
        <v>2313</v>
      </c>
      <c r="AW292" t="str">
        <f t="shared" si="186"/>
        <v>[{5000,3,1,1301,101},{5000,3,1,1301,102},{5000,3,1,1301,103},{5000,3,1,1301,113},{5000,3,1,1301,111}]</v>
      </c>
    </row>
    <row r="293" spans="2:49">
      <c r="B293">
        <v>2314</v>
      </c>
      <c r="C293" t="s">
        <v>32</v>
      </c>
      <c r="D293" t="str">
        <f t="shared" si="182"/>
        <v>14</v>
      </c>
      <c r="F293">
        <v>46</v>
      </c>
      <c r="G293">
        <v>5000</v>
      </c>
      <c r="H293">
        <f t="shared" si="165"/>
        <v>3</v>
      </c>
      <c r="I293">
        <v>1</v>
      </c>
      <c r="J293">
        <v>1</v>
      </c>
      <c r="K293">
        <f t="shared" si="166"/>
        <v>1301</v>
      </c>
      <c r="L293">
        <f t="shared" si="148"/>
        <v>101</v>
      </c>
      <c r="M293">
        <v>5000</v>
      </c>
      <c r="N293">
        <f t="shared" si="145"/>
        <v>3</v>
      </c>
      <c r="O293">
        <v>1</v>
      </c>
      <c r="P293">
        <f t="shared" si="167"/>
        <v>1301</v>
      </c>
      <c r="Q293">
        <v>55</v>
      </c>
      <c r="R293">
        <f t="shared" si="150"/>
        <v>103</v>
      </c>
      <c r="S293">
        <v>5000</v>
      </c>
      <c r="T293">
        <f t="shared" si="172"/>
        <v>3</v>
      </c>
      <c r="U293">
        <v>1</v>
      </c>
      <c r="V293">
        <f t="shared" si="168"/>
        <v>1302</v>
      </c>
      <c r="W293">
        <v>76</v>
      </c>
      <c r="X293">
        <f t="shared" si="152"/>
        <v>111</v>
      </c>
      <c r="Y293">
        <v>5000</v>
      </c>
      <c r="Z293">
        <f t="shared" si="173"/>
        <v>3</v>
      </c>
      <c r="AA293">
        <v>1</v>
      </c>
      <c r="AB293">
        <f t="shared" si="169"/>
        <v>1301</v>
      </c>
      <c r="AC293">
        <v>71</v>
      </c>
      <c r="AD293">
        <f t="shared" si="154"/>
        <v>112</v>
      </c>
      <c r="AE293">
        <v>5000</v>
      </c>
      <c r="AF293">
        <f t="shared" si="174"/>
        <v>3</v>
      </c>
      <c r="AG293">
        <v>1</v>
      </c>
      <c r="AH293">
        <f t="shared" si="170"/>
        <v>1301</v>
      </c>
      <c r="AI293">
        <v>71</v>
      </c>
      <c r="AJ293">
        <f t="shared" si="156"/>
        <v>113</v>
      </c>
      <c r="AP293" t="str">
        <f t="shared" si="175"/>
        <v>{5000,3,1,1301,101}</v>
      </c>
      <c r="AQ293" t="str">
        <f t="shared" si="176"/>
        <v>{5000,3,1,1301,103}</v>
      </c>
      <c r="AR293" t="str">
        <f t="shared" si="177"/>
        <v>{5000,3,1,1302,111}</v>
      </c>
      <c r="AS293" t="str">
        <f t="shared" si="178"/>
        <v>{5000,3,1,1301,112}</v>
      </c>
      <c r="AT293" t="str">
        <f t="shared" si="179"/>
        <v>{5000,3,1,1301,113}</v>
      </c>
      <c r="AU293" t="str">
        <f t="shared" si="180"/>
        <v/>
      </c>
      <c r="AV293">
        <v>2314</v>
      </c>
      <c r="AW293" t="str">
        <f t="shared" si="186"/>
        <v>[{5000,3,1,1301,101},{5000,3,1,1301,103},{5000,3,1,1302,111},{5000,3,1,1301,112},{5000,3,1,1301,113}]</v>
      </c>
    </row>
    <row r="294" spans="2:49">
      <c r="B294">
        <v>2315</v>
      </c>
      <c r="C294" t="s">
        <v>32</v>
      </c>
      <c r="D294" t="str">
        <f t="shared" si="182"/>
        <v>14</v>
      </c>
      <c r="F294">
        <v>61</v>
      </c>
      <c r="G294">
        <v>5000</v>
      </c>
      <c r="H294">
        <f t="shared" si="165"/>
        <v>5</v>
      </c>
      <c r="I294">
        <v>1</v>
      </c>
      <c r="J294">
        <v>3</v>
      </c>
      <c r="K294">
        <f t="shared" si="166"/>
        <v>1303</v>
      </c>
      <c r="L294">
        <f t="shared" si="148"/>
        <v>101</v>
      </c>
      <c r="M294">
        <v>5000</v>
      </c>
      <c r="N294">
        <f t="shared" ref="N294:N357" si="187">H294</f>
        <v>5</v>
      </c>
      <c r="O294">
        <v>1</v>
      </c>
      <c r="P294">
        <f t="shared" si="167"/>
        <v>1303</v>
      </c>
      <c r="Q294">
        <v>56</v>
      </c>
      <c r="R294">
        <f t="shared" si="150"/>
        <v>102</v>
      </c>
      <c r="S294">
        <v>5000</v>
      </c>
      <c r="T294">
        <f t="shared" si="172"/>
        <v>5</v>
      </c>
      <c r="U294">
        <v>1</v>
      </c>
      <c r="V294">
        <f t="shared" si="168"/>
        <v>1303</v>
      </c>
      <c r="W294">
        <v>57</v>
      </c>
      <c r="X294">
        <f t="shared" si="152"/>
        <v>103</v>
      </c>
      <c r="Y294">
        <v>5000</v>
      </c>
      <c r="Z294">
        <f t="shared" si="173"/>
        <v>5</v>
      </c>
      <c r="AA294">
        <v>1</v>
      </c>
      <c r="AB294">
        <f t="shared" si="169"/>
        <v>1303</v>
      </c>
      <c r="AC294">
        <v>72</v>
      </c>
      <c r="AD294">
        <f t="shared" si="154"/>
        <v>113</v>
      </c>
      <c r="AE294">
        <v>5000</v>
      </c>
      <c r="AF294">
        <f t="shared" si="174"/>
        <v>5</v>
      </c>
      <c r="AG294">
        <v>1</v>
      </c>
      <c r="AH294">
        <f t="shared" si="170"/>
        <v>1303</v>
      </c>
      <c r="AI294">
        <v>71</v>
      </c>
      <c r="AJ294">
        <f t="shared" si="156"/>
        <v>111</v>
      </c>
      <c r="AP294" t="str">
        <f t="shared" si="175"/>
        <v>{5000,5,1,1303,101}</v>
      </c>
      <c r="AQ294" t="str">
        <f t="shared" si="176"/>
        <v>{5000,5,1,1303,102}</v>
      </c>
      <c r="AR294" t="str">
        <f t="shared" si="177"/>
        <v>{5000,5,1,1303,103}</v>
      </c>
      <c r="AS294" t="str">
        <f t="shared" si="178"/>
        <v>{5000,5,1,1303,113}</v>
      </c>
      <c r="AT294" t="str">
        <f t="shared" si="179"/>
        <v>{5000,5,1,1303,111}</v>
      </c>
      <c r="AU294" t="str">
        <f t="shared" si="180"/>
        <v/>
      </c>
      <c r="AV294">
        <v>2315</v>
      </c>
      <c r="AW294" t="str">
        <f t="shared" si="186"/>
        <v>[{5000,5,1,1303,101},{5000,5,1,1303,102},{5000,5,1,1303,103},{5000,5,1,1303,113},{5000,5,1,1303,111}]</v>
      </c>
    </row>
    <row r="295" spans="2:49">
      <c r="B295">
        <v>2316</v>
      </c>
      <c r="C295" t="s">
        <v>32</v>
      </c>
      <c r="D295" t="str">
        <f t="shared" si="182"/>
        <v>14</v>
      </c>
      <c r="F295">
        <v>76</v>
      </c>
      <c r="G295">
        <v>5000</v>
      </c>
      <c r="H295">
        <f t="shared" si="165"/>
        <v>5</v>
      </c>
      <c r="I295">
        <v>1</v>
      </c>
      <c r="J295">
        <v>1</v>
      </c>
      <c r="K295">
        <f t="shared" si="166"/>
        <v>1301</v>
      </c>
      <c r="L295">
        <f t="shared" ref="L295:L358" si="188">IF(L272="","",L272)</f>
        <v>101</v>
      </c>
      <c r="M295">
        <v>5000</v>
      </c>
      <c r="N295">
        <f t="shared" si="187"/>
        <v>5</v>
      </c>
      <c r="O295">
        <v>1</v>
      </c>
      <c r="P295">
        <f t="shared" si="167"/>
        <v>1301</v>
      </c>
      <c r="Q295">
        <v>59</v>
      </c>
      <c r="R295">
        <f t="shared" ref="R295:R358" si="189">IF(R272="","",R272)</f>
        <v>103</v>
      </c>
      <c r="S295">
        <v>5000</v>
      </c>
      <c r="T295">
        <f t="shared" si="172"/>
        <v>5</v>
      </c>
      <c r="U295">
        <v>1</v>
      </c>
      <c r="V295">
        <f t="shared" si="168"/>
        <v>1302</v>
      </c>
      <c r="W295">
        <v>71</v>
      </c>
      <c r="X295">
        <f t="shared" ref="X295:X358" si="190">IF(X272="","",X272)</f>
        <v>111</v>
      </c>
      <c r="Y295">
        <v>5000</v>
      </c>
      <c r="Z295">
        <f t="shared" si="173"/>
        <v>5</v>
      </c>
      <c r="AA295">
        <v>1</v>
      </c>
      <c r="AB295">
        <f t="shared" si="169"/>
        <v>1301</v>
      </c>
      <c r="AC295">
        <v>71</v>
      </c>
      <c r="AD295">
        <f t="shared" ref="AD295:AD358" si="191">IF(AD272="","",AD272)</f>
        <v>112</v>
      </c>
      <c r="AE295">
        <v>5000</v>
      </c>
      <c r="AF295">
        <f t="shared" si="174"/>
        <v>5</v>
      </c>
      <c r="AG295">
        <v>1</v>
      </c>
      <c r="AH295">
        <f t="shared" si="170"/>
        <v>1301</v>
      </c>
      <c r="AI295">
        <v>79</v>
      </c>
      <c r="AJ295">
        <f t="shared" ref="AJ295:AJ358" si="192">IF(AJ272="","",AJ272)</f>
        <v>113</v>
      </c>
      <c r="AP295" t="str">
        <f t="shared" si="175"/>
        <v>{5000,5,1,1301,101}</v>
      </c>
      <c r="AQ295" t="str">
        <f t="shared" si="176"/>
        <v>{5000,5,1,1301,103}</v>
      </c>
      <c r="AR295" t="str">
        <f t="shared" si="177"/>
        <v>{5000,5,1,1302,111}</v>
      </c>
      <c r="AS295" t="str">
        <f t="shared" si="178"/>
        <v>{5000,5,1,1301,112}</v>
      </c>
      <c r="AT295" t="str">
        <f t="shared" si="179"/>
        <v>{5000,5,1,1301,113}</v>
      </c>
      <c r="AU295" t="str">
        <f t="shared" si="180"/>
        <v/>
      </c>
      <c r="AV295">
        <v>2316</v>
      </c>
      <c r="AW295" t="str">
        <f t="shared" si="186"/>
        <v>[{5000,5,1,1301,101},{5000,5,1,1301,103},{5000,5,1,1302,111},{5000,5,1,1301,112},{5000,5,1,1301,113}]</v>
      </c>
    </row>
    <row r="296" spans="2:49">
      <c r="B296">
        <v>2317</v>
      </c>
      <c r="C296" t="s">
        <v>32</v>
      </c>
      <c r="D296" t="str">
        <f t="shared" si="182"/>
        <v>14</v>
      </c>
      <c r="F296">
        <v>91</v>
      </c>
      <c r="G296">
        <v>5000</v>
      </c>
      <c r="H296">
        <f t="shared" si="165"/>
        <v>4</v>
      </c>
      <c r="I296">
        <v>1</v>
      </c>
      <c r="J296">
        <v>1</v>
      </c>
      <c r="K296">
        <f t="shared" si="166"/>
        <v>1301</v>
      </c>
      <c r="L296">
        <f t="shared" si="188"/>
        <v>101</v>
      </c>
      <c r="M296">
        <v>5000</v>
      </c>
      <c r="N296">
        <f t="shared" si="187"/>
        <v>4</v>
      </c>
      <c r="O296">
        <v>1</v>
      </c>
      <c r="P296">
        <f t="shared" si="167"/>
        <v>1301</v>
      </c>
      <c r="Q296">
        <v>54</v>
      </c>
      <c r="R296">
        <f t="shared" si="189"/>
        <v>102</v>
      </c>
      <c r="S296">
        <v>5000</v>
      </c>
      <c r="T296">
        <f t="shared" si="172"/>
        <v>4</v>
      </c>
      <c r="U296">
        <v>1</v>
      </c>
      <c r="V296">
        <f t="shared" si="168"/>
        <v>1302</v>
      </c>
      <c r="W296">
        <v>51</v>
      </c>
      <c r="X296">
        <f t="shared" si="190"/>
        <v>103</v>
      </c>
      <c r="Y296">
        <v>5000</v>
      </c>
      <c r="Z296">
        <f t="shared" si="173"/>
        <v>4</v>
      </c>
      <c r="AA296">
        <v>1</v>
      </c>
      <c r="AB296">
        <f t="shared" si="169"/>
        <v>1301</v>
      </c>
      <c r="AC296">
        <v>71</v>
      </c>
      <c r="AD296">
        <f t="shared" si="191"/>
        <v>113</v>
      </c>
      <c r="AE296">
        <v>5000</v>
      </c>
      <c r="AF296">
        <f t="shared" si="174"/>
        <v>4</v>
      </c>
      <c r="AG296">
        <v>1</v>
      </c>
      <c r="AH296">
        <f t="shared" si="170"/>
        <v>1302</v>
      </c>
      <c r="AI296">
        <v>77</v>
      </c>
      <c r="AJ296">
        <f t="shared" si="192"/>
        <v>111</v>
      </c>
      <c r="AP296" t="str">
        <f t="shared" si="175"/>
        <v>{5000,4,1,1301,101}</v>
      </c>
      <c r="AQ296" t="str">
        <f t="shared" si="176"/>
        <v>{5000,4,1,1301,102}</v>
      </c>
      <c r="AR296" t="str">
        <f t="shared" si="177"/>
        <v>{5000,4,1,1302,103}</v>
      </c>
      <c r="AS296" t="str">
        <f t="shared" si="178"/>
        <v>{5000,4,1,1301,113}</v>
      </c>
      <c r="AT296" t="str">
        <f t="shared" si="179"/>
        <v>{5000,4,1,1302,111}</v>
      </c>
      <c r="AU296" t="str">
        <f t="shared" si="180"/>
        <v/>
      </c>
      <c r="AV296">
        <v>2317</v>
      </c>
      <c r="AW296" t="str">
        <f t="shared" si="186"/>
        <v>[{5000,4,1,1301,101},{5000,4,1,1301,102},{5000,4,1,1302,103},{5000,4,1,1301,113},{5000,4,1,1302,111}]</v>
      </c>
    </row>
    <row r="297" spans="2:49">
      <c r="B297">
        <v>2318</v>
      </c>
      <c r="C297" t="s">
        <v>32</v>
      </c>
      <c r="D297" t="str">
        <f t="shared" si="182"/>
        <v>14</v>
      </c>
      <c r="F297">
        <v>106</v>
      </c>
      <c r="G297">
        <v>5000</v>
      </c>
      <c r="H297">
        <f t="shared" si="165"/>
        <v>4</v>
      </c>
      <c r="I297">
        <v>1</v>
      </c>
      <c r="J297">
        <v>1</v>
      </c>
      <c r="K297">
        <f t="shared" si="166"/>
        <v>1301</v>
      </c>
      <c r="L297">
        <f t="shared" si="188"/>
        <v>101</v>
      </c>
      <c r="M297">
        <v>5000</v>
      </c>
      <c r="N297">
        <f t="shared" si="187"/>
        <v>4</v>
      </c>
      <c r="O297">
        <v>1</v>
      </c>
      <c r="P297">
        <f t="shared" si="167"/>
        <v>1301</v>
      </c>
      <c r="Q297">
        <v>55</v>
      </c>
      <c r="R297">
        <f t="shared" si="189"/>
        <v>103</v>
      </c>
      <c r="S297">
        <v>5000</v>
      </c>
      <c r="T297">
        <f t="shared" si="172"/>
        <v>4</v>
      </c>
      <c r="U297">
        <v>1</v>
      </c>
      <c r="V297">
        <f t="shared" si="168"/>
        <v>1302</v>
      </c>
      <c r="W297">
        <v>73</v>
      </c>
      <c r="X297">
        <f t="shared" si="190"/>
        <v>111</v>
      </c>
      <c r="Y297">
        <v>5000</v>
      </c>
      <c r="Z297">
        <f t="shared" si="173"/>
        <v>4</v>
      </c>
      <c r="AA297">
        <v>1</v>
      </c>
      <c r="AB297">
        <f t="shared" si="169"/>
        <v>1301</v>
      </c>
      <c r="AC297">
        <v>78</v>
      </c>
      <c r="AD297">
        <f t="shared" si="191"/>
        <v>112</v>
      </c>
      <c r="AE297">
        <v>5000</v>
      </c>
      <c r="AF297">
        <f t="shared" si="174"/>
        <v>4</v>
      </c>
      <c r="AG297">
        <v>1</v>
      </c>
      <c r="AH297">
        <f t="shared" si="170"/>
        <v>1302</v>
      </c>
      <c r="AI297">
        <v>71</v>
      </c>
      <c r="AJ297">
        <f t="shared" si="192"/>
        <v>113</v>
      </c>
      <c r="AP297" t="str">
        <f t="shared" si="175"/>
        <v>{5000,4,1,1301,101}</v>
      </c>
      <c r="AQ297" t="str">
        <f t="shared" si="176"/>
        <v>{5000,4,1,1301,103}</v>
      </c>
      <c r="AR297" t="str">
        <f t="shared" si="177"/>
        <v>{5000,4,1,1302,111}</v>
      </c>
      <c r="AS297" t="str">
        <f t="shared" si="178"/>
        <v>{5000,4,1,1301,112}</v>
      </c>
      <c r="AT297" t="str">
        <f t="shared" si="179"/>
        <v>{5000,4,1,1302,113}</v>
      </c>
      <c r="AU297" t="str">
        <f t="shared" si="180"/>
        <v/>
      </c>
      <c r="AV297">
        <v>2318</v>
      </c>
      <c r="AW297" t="str">
        <f t="shared" si="186"/>
        <v>[{5000,4,1,1301,101},{5000,4,1,1301,103},{5000,4,1,1302,111},{5000,4,1,1301,112},{5000,4,1,1302,113}]</v>
      </c>
    </row>
    <row r="298" spans="2:48">
      <c r="B298">
        <v>2319</v>
      </c>
      <c r="C298" t="s">
        <v>32</v>
      </c>
      <c r="D298" t="str">
        <f t="shared" si="182"/>
        <v>14</v>
      </c>
      <c r="F298">
        <v>119</v>
      </c>
      <c r="H298">
        <f t="shared" si="165"/>
        <v>0</v>
      </c>
      <c r="K298" t="str">
        <f t="shared" si="166"/>
        <v/>
      </c>
      <c r="L298" t="str">
        <f t="shared" si="188"/>
        <v/>
      </c>
      <c r="N298">
        <f t="shared" si="187"/>
        <v>0</v>
      </c>
      <c r="P298" t="str">
        <f t="shared" si="167"/>
        <v/>
      </c>
      <c r="R298" t="str">
        <f t="shared" si="189"/>
        <v/>
      </c>
      <c r="T298">
        <f t="shared" si="172"/>
        <v>0</v>
      </c>
      <c r="V298" t="str">
        <f t="shared" si="168"/>
        <v/>
      </c>
      <c r="X298" t="str">
        <f t="shared" si="190"/>
        <v/>
      </c>
      <c r="Z298">
        <f t="shared" si="173"/>
        <v>0</v>
      </c>
      <c r="AB298" t="str">
        <f t="shared" si="169"/>
        <v/>
      </c>
      <c r="AD298" t="str">
        <f t="shared" si="191"/>
        <v/>
      </c>
      <c r="AF298">
        <f t="shared" si="174"/>
        <v>0</v>
      </c>
      <c r="AH298" t="str">
        <f t="shared" si="170"/>
        <v/>
      </c>
      <c r="AJ298" t="str">
        <f t="shared" si="192"/>
        <v/>
      </c>
      <c r="AP298" t="str">
        <f t="shared" si="175"/>
        <v/>
      </c>
      <c r="AQ298" t="str">
        <f t="shared" si="176"/>
        <v/>
      </c>
      <c r="AR298" t="str">
        <f t="shared" si="177"/>
        <v/>
      </c>
      <c r="AS298" t="str">
        <f t="shared" si="178"/>
        <v/>
      </c>
      <c r="AT298" t="str">
        <f t="shared" si="179"/>
        <v/>
      </c>
      <c r="AU298" t="str">
        <f t="shared" si="180"/>
        <v/>
      </c>
      <c r="AV298">
        <v>2319</v>
      </c>
    </row>
    <row r="299" spans="2:49">
      <c r="B299">
        <v>2320</v>
      </c>
      <c r="C299" t="s">
        <v>32</v>
      </c>
      <c r="D299" t="str">
        <f t="shared" si="182"/>
        <v>14</v>
      </c>
      <c r="F299">
        <v>121</v>
      </c>
      <c r="G299">
        <v>5000</v>
      </c>
      <c r="H299">
        <f t="shared" si="165"/>
        <v>6</v>
      </c>
      <c r="I299">
        <v>1</v>
      </c>
      <c r="J299">
        <v>3</v>
      </c>
      <c r="K299">
        <f t="shared" si="166"/>
        <v>1303</v>
      </c>
      <c r="L299">
        <f t="shared" si="188"/>
        <v>101</v>
      </c>
      <c r="M299">
        <v>5000</v>
      </c>
      <c r="N299">
        <f t="shared" si="187"/>
        <v>6</v>
      </c>
      <c r="O299">
        <v>1</v>
      </c>
      <c r="P299">
        <f t="shared" si="167"/>
        <v>1303</v>
      </c>
      <c r="Q299">
        <v>54</v>
      </c>
      <c r="R299">
        <f t="shared" si="189"/>
        <v>102</v>
      </c>
      <c r="S299">
        <v>5000</v>
      </c>
      <c r="T299">
        <f t="shared" si="172"/>
        <v>6</v>
      </c>
      <c r="U299">
        <v>1</v>
      </c>
      <c r="V299">
        <f t="shared" si="168"/>
        <v>1303</v>
      </c>
      <c r="W299">
        <v>51</v>
      </c>
      <c r="X299">
        <f t="shared" si="190"/>
        <v>103</v>
      </c>
      <c r="Y299">
        <v>5000</v>
      </c>
      <c r="Z299">
        <f t="shared" si="173"/>
        <v>6</v>
      </c>
      <c r="AA299">
        <v>1</v>
      </c>
      <c r="AB299">
        <f t="shared" si="169"/>
        <v>1303</v>
      </c>
      <c r="AC299">
        <v>71</v>
      </c>
      <c r="AD299">
        <f t="shared" si="191"/>
        <v>113</v>
      </c>
      <c r="AE299">
        <v>5000</v>
      </c>
      <c r="AF299">
        <f t="shared" si="174"/>
        <v>6</v>
      </c>
      <c r="AG299">
        <v>1</v>
      </c>
      <c r="AH299">
        <f t="shared" si="170"/>
        <v>1303</v>
      </c>
      <c r="AI299">
        <v>79</v>
      </c>
      <c r="AJ299">
        <f t="shared" si="192"/>
        <v>111</v>
      </c>
      <c r="AK299">
        <v>1000</v>
      </c>
      <c r="AL299">
        <v>1</v>
      </c>
      <c r="AM299">
        <v>0</v>
      </c>
      <c r="AN299">
        <f t="shared" ref="AN299" si="193">AN276+100</f>
        <v>1321</v>
      </c>
      <c r="AO299">
        <v>4</v>
      </c>
      <c r="AP299" t="str">
        <f t="shared" si="175"/>
        <v>{5000,6,1,1303,101}</v>
      </c>
      <c r="AQ299" t="str">
        <f t="shared" si="176"/>
        <v>{5000,6,1,1303,102}</v>
      </c>
      <c r="AR299" t="str">
        <f t="shared" si="177"/>
        <v>{5000,6,1,1303,103}</v>
      </c>
      <c r="AS299" t="str">
        <f t="shared" si="178"/>
        <v>{5000,6,1,1303,113}</v>
      </c>
      <c r="AT299" t="str">
        <f t="shared" si="179"/>
        <v>{5000,6,1,1303,111}</v>
      </c>
      <c r="AU299" t="str">
        <f t="shared" si="180"/>
        <v>{1000,1,0,1321,4}</v>
      </c>
      <c r="AV299">
        <v>2320</v>
      </c>
      <c r="AW299" t="str">
        <f t="shared" ref="AW299:AW304" si="194">IF(AU299="","["&amp;_xlfn.TEXTJOIN(",",1,AP299:AT299)&amp;"]","["&amp;_xlfn.TEXTJOIN(",",1,AP299:AU299)&amp;"]")</f>
        <v>[{5000,6,1,1303,101},{5000,6,1,1303,102},{5000,6,1,1303,103},{5000,6,1,1303,113},{5000,6,1,1303,111},{1000,1,0,1321,4}]</v>
      </c>
    </row>
    <row r="300" spans="2:49">
      <c r="B300">
        <v>2321</v>
      </c>
      <c r="C300" t="s">
        <v>32</v>
      </c>
      <c r="D300" t="str">
        <f t="shared" si="182"/>
        <v>14</v>
      </c>
      <c r="F300">
        <v>136</v>
      </c>
      <c r="G300">
        <v>5000</v>
      </c>
      <c r="H300">
        <f t="shared" si="165"/>
        <v>5</v>
      </c>
      <c r="I300">
        <v>1</v>
      </c>
      <c r="J300">
        <v>1</v>
      </c>
      <c r="K300">
        <f t="shared" si="166"/>
        <v>1301</v>
      </c>
      <c r="L300">
        <f t="shared" si="188"/>
        <v>101</v>
      </c>
      <c r="M300">
        <v>5000</v>
      </c>
      <c r="N300">
        <f t="shared" si="187"/>
        <v>5</v>
      </c>
      <c r="O300">
        <v>1</v>
      </c>
      <c r="P300">
        <f t="shared" si="167"/>
        <v>1301</v>
      </c>
      <c r="Q300">
        <v>54</v>
      </c>
      <c r="R300">
        <f t="shared" si="189"/>
        <v>103</v>
      </c>
      <c r="S300">
        <v>5000</v>
      </c>
      <c r="T300">
        <f t="shared" si="172"/>
        <v>5</v>
      </c>
      <c r="U300">
        <v>1</v>
      </c>
      <c r="V300">
        <f t="shared" si="168"/>
        <v>1302</v>
      </c>
      <c r="W300">
        <v>76</v>
      </c>
      <c r="X300">
        <f t="shared" si="190"/>
        <v>111</v>
      </c>
      <c r="Y300">
        <v>5000</v>
      </c>
      <c r="Z300">
        <f t="shared" si="173"/>
        <v>5</v>
      </c>
      <c r="AA300">
        <v>1</v>
      </c>
      <c r="AB300">
        <f t="shared" si="169"/>
        <v>1301</v>
      </c>
      <c r="AC300">
        <v>72</v>
      </c>
      <c r="AD300">
        <f t="shared" si="191"/>
        <v>112</v>
      </c>
      <c r="AE300">
        <v>5000</v>
      </c>
      <c r="AF300">
        <f t="shared" si="174"/>
        <v>5</v>
      </c>
      <c r="AG300">
        <v>1</v>
      </c>
      <c r="AH300">
        <f t="shared" si="170"/>
        <v>1302</v>
      </c>
      <c r="AI300">
        <v>74</v>
      </c>
      <c r="AJ300">
        <f t="shared" si="192"/>
        <v>113</v>
      </c>
      <c r="AP300" t="str">
        <f t="shared" si="175"/>
        <v>{5000,5,1,1301,101}</v>
      </c>
      <c r="AQ300" t="str">
        <f t="shared" si="176"/>
        <v>{5000,5,1,1301,103}</v>
      </c>
      <c r="AR300" t="str">
        <f t="shared" si="177"/>
        <v>{5000,5,1,1302,111}</v>
      </c>
      <c r="AS300" t="str">
        <f t="shared" si="178"/>
        <v>{5000,5,1,1301,112}</v>
      </c>
      <c r="AT300" t="str">
        <f t="shared" si="179"/>
        <v>{5000,5,1,1302,113}</v>
      </c>
      <c r="AU300" t="str">
        <f t="shared" si="180"/>
        <v/>
      </c>
      <c r="AV300">
        <v>2321</v>
      </c>
      <c r="AW300" t="str">
        <f t="shared" si="194"/>
        <v>[{5000,5,1,1301,101},{5000,5,1,1301,103},{5000,5,1,1302,111},{5000,5,1,1301,112},{5000,5,1,1302,113}]</v>
      </c>
    </row>
    <row r="301" spans="2:49">
      <c r="B301">
        <v>2322</v>
      </c>
      <c r="C301" t="s">
        <v>32</v>
      </c>
      <c r="D301" t="str">
        <f t="shared" si="182"/>
        <v>14</v>
      </c>
      <c r="F301">
        <v>151</v>
      </c>
      <c r="G301">
        <v>5000</v>
      </c>
      <c r="H301">
        <f t="shared" si="165"/>
        <v>5</v>
      </c>
      <c r="I301">
        <v>1</v>
      </c>
      <c r="J301">
        <v>1</v>
      </c>
      <c r="K301">
        <f t="shared" si="166"/>
        <v>1301</v>
      </c>
      <c r="L301">
        <f t="shared" si="188"/>
        <v>101</v>
      </c>
      <c r="M301">
        <v>5000</v>
      </c>
      <c r="N301">
        <f t="shared" si="187"/>
        <v>5</v>
      </c>
      <c r="O301">
        <v>1</v>
      </c>
      <c r="P301">
        <f t="shared" si="167"/>
        <v>1301</v>
      </c>
      <c r="Q301">
        <v>54</v>
      </c>
      <c r="R301">
        <f t="shared" si="189"/>
        <v>102</v>
      </c>
      <c r="S301">
        <v>5000</v>
      </c>
      <c r="T301">
        <f t="shared" si="172"/>
        <v>5</v>
      </c>
      <c r="U301">
        <v>1</v>
      </c>
      <c r="V301">
        <f t="shared" si="168"/>
        <v>1302</v>
      </c>
      <c r="W301">
        <v>56</v>
      </c>
      <c r="X301">
        <f t="shared" si="190"/>
        <v>103</v>
      </c>
      <c r="Y301">
        <v>5000</v>
      </c>
      <c r="Z301">
        <f t="shared" si="173"/>
        <v>5</v>
      </c>
      <c r="AA301">
        <v>1</v>
      </c>
      <c r="AB301">
        <f t="shared" si="169"/>
        <v>1301</v>
      </c>
      <c r="AC301">
        <v>72</v>
      </c>
      <c r="AD301">
        <f t="shared" si="191"/>
        <v>113</v>
      </c>
      <c r="AE301">
        <v>5000</v>
      </c>
      <c r="AF301">
        <f t="shared" si="174"/>
        <v>5</v>
      </c>
      <c r="AG301">
        <v>1</v>
      </c>
      <c r="AH301">
        <f t="shared" si="170"/>
        <v>1302</v>
      </c>
      <c r="AI301">
        <v>74</v>
      </c>
      <c r="AJ301">
        <f t="shared" si="192"/>
        <v>111</v>
      </c>
      <c r="AP301" t="str">
        <f t="shared" si="175"/>
        <v>{5000,5,1,1301,101}</v>
      </c>
      <c r="AQ301" t="str">
        <f t="shared" si="176"/>
        <v>{5000,5,1,1301,102}</v>
      </c>
      <c r="AR301" t="str">
        <f t="shared" si="177"/>
        <v>{5000,5,1,1302,103}</v>
      </c>
      <c r="AS301" t="str">
        <f t="shared" si="178"/>
        <v>{5000,5,1,1301,113}</v>
      </c>
      <c r="AT301" t="str">
        <f t="shared" si="179"/>
        <v>{5000,5,1,1302,111}</v>
      </c>
      <c r="AU301" t="str">
        <f t="shared" si="180"/>
        <v/>
      </c>
      <c r="AV301">
        <v>2322</v>
      </c>
      <c r="AW301" t="str">
        <f t="shared" si="194"/>
        <v>[{5000,5,1,1301,101},{5000,5,1,1301,102},{5000,5,1,1302,103},{5000,5,1,1301,113},{5000,5,1,1302,111}]</v>
      </c>
    </row>
    <row r="302" spans="2:49">
      <c r="B302">
        <v>2323</v>
      </c>
      <c r="C302" t="s">
        <v>32</v>
      </c>
      <c r="D302" t="str">
        <f t="shared" si="182"/>
        <v>14</v>
      </c>
      <c r="F302">
        <v>166</v>
      </c>
      <c r="G302">
        <v>5000</v>
      </c>
      <c r="H302">
        <f t="shared" si="165"/>
        <v>7</v>
      </c>
      <c r="I302">
        <v>1</v>
      </c>
      <c r="J302">
        <v>1</v>
      </c>
      <c r="K302">
        <f t="shared" si="166"/>
        <v>1301</v>
      </c>
      <c r="L302">
        <f t="shared" si="188"/>
        <v>101</v>
      </c>
      <c r="M302">
        <v>5000</v>
      </c>
      <c r="N302">
        <f t="shared" si="187"/>
        <v>7</v>
      </c>
      <c r="O302">
        <v>1</v>
      </c>
      <c r="P302">
        <f t="shared" si="167"/>
        <v>1301</v>
      </c>
      <c r="Q302">
        <v>59</v>
      </c>
      <c r="R302">
        <f t="shared" si="189"/>
        <v>103</v>
      </c>
      <c r="S302">
        <v>5000</v>
      </c>
      <c r="T302">
        <f t="shared" si="172"/>
        <v>7</v>
      </c>
      <c r="U302">
        <v>1</v>
      </c>
      <c r="V302">
        <f t="shared" si="168"/>
        <v>1302</v>
      </c>
      <c r="W302">
        <v>79</v>
      </c>
      <c r="X302">
        <f t="shared" si="190"/>
        <v>111</v>
      </c>
      <c r="Y302">
        <v>5000</v>
      </c>
      <c r="Z302">
        <f t="shared" si="173"/>
        <v>7</v>
      </c>
      <c r="AA302">
        <v>1</v>
      </c>
      <c r="AB302">
        <f t="shared" si="169"/>
        <v>1301</v>
      </c>
      <c r="AC302">
        <v>71</v>
      </c>
      <c r="AD302">
        <f t="shared" si="191"/>
        <v>112</v>
      </c>
      <c r="AE302">
        <v>5000</v>
      </c>
      <c r="AF302">
        <f t="shared" si="174"/>
        <v>7</v>
      </c>
      <c r="AG302">
        <v>1</v>
      </c>
      <c r="AH302">
        <f t="shared" si="170"/>
        <v>1302</v>
      </c>
      <c r="AI302">
        <v>74</v>
      </c>
      <c r="AJ302">
        <f t="shared" si="192"/>
        <v>113</v>
      </c>
      <c r="AP302" t="str">
        <f t="shared" si="175"/>
        <v>{5000,7,1,1301,101}</v>
      </c>
      <c r="AQ302" t="str">
        <f t="shared" si="176"/>
        <v>{5000,7,1,1301,103}</v>
      </c>
      <c r="AR302" t="str">
        <f t="shared" si="177"/>
        <v>{5000,7,1,1302,111}</v>
      </c>
      <c r="AS302" t="str">
        <f t="shared" si="178"/>
        <v>{5000,7,1,1301,112}</v>
      </c>
      <c r="AT302" t="str">
        <f t="shared" si="179"/>
        <v>{5000,7,1,1302,113}</v>
      </c>
      <c r="AU302" t="str">
        <f t="shared" si="180"/>
        <v/>
      </c>
      <c r="AV302">
        <v>2323</v>
      </c>
      <c r="AW302" t="str">
        <f t="shared" si="194"/>
        <v>[{5000,7,1,1301,101},{5000,7,1,1301,103},{5000,7,1,1302,111},{5000,7,1,1301,112},{5000,7,1,1302,113}]</v>
      </c>
    </row>
    <row r="303" spans="2:49">
      <c r="B303">
        <v>2324</v>
      </c>
      <c r="C303" t="s">
        <v>32</v>
      </c>
      <c r="D303" t="str">
        <f t="shared" si="182"/>
        <v>14</v>
      </c>
      <c r="F303">
        <v>181</v>
      </c>
      <c r="G303">
        <v>5000</v>
      </c>
      <c r="H303">
        <f t="shared" si="165"/>
        <v>7</v>
      </c>
      <c r="I303">
        <v>1</v>
      </c>
      <c r="J303">
        <v>3</v>
      </c>
      <c r="K303">
        <f t="shared" si="166"/>
        <v>1303</v>
      </c>
      <c r="L303">
        <f t="shared" si="188"/>
        <v>101</v>
      </c>
      <c r="M303">
        <v>5000</v>
      </c>
      <c r="N303">
        <f t="shared" si="187"/>
        <v>7</v>
      </c>
      <c r="O303">
        <v>1</v>
      </c>
      <c r="P303">
        <f t="shared" si="167"/>
        <v>1303</v>
      </c>
      <c r="Q303">
        <v>53</v>
      </c>
      <c r="R303">
        <f t="shared" si="189"/>
        <v>102</v>
      </c>
      <c r="S303">
        <v>5000</v>
      </c>
      <c r="T303">
        <f t="shared" si="172"/>
        <v>7</v>
      </c>
      <c r="U303">
        <v>1</v>
      </c>
      <c r="V303">
        <f t="shared" si="168"/>
        <v>1303</v>
      </c>
      <c r="W303">
        <v>56</v>
      </c>
      <c r="X303">
        <f t="shared" si="190"/>
        <v>103</v>
      </c>
      <c r="Y303">
        <v>5000</v>
      </c>
      <c r="Z303">
        <f t="shared" si="173"/>
        <v>7</v>
      </c>
      <c r="AA303">
        <v>1</v>
      </c>
      <c r="AB303">
        <f t="shared" si="169"/>
        <v>1303</v>
      </c>
      <c r="AC303">
        <v>75</v>
      </c>
      <c r="AD303">
        <f t="shared" si="191"/>
        <v>113</v>
      </c>
      <c r="AE303">
        <v>5000</v>
      </c>
      <c r="AF303">
        <f t="shared" si="174"/>
        <v>7</v>
      </c>
      <c r="AG303">
        <v>1</v>
      </c>
      <c r="AH303">
        <f t="shared" si="170"/>
        <v>1303</v>
      </c>
      <c r="AI303">
        <v>78</v>
      </c>
      <c r="AJ303">
        <f t="shared" si="192"/>
        <v>111</v>
      </c>
      <c r="AP303" t="str">
        <f t="shared" si="175"/>
        <v>{5000,7,1,1303,101}</v>
      </c>
      <c r="AQ303" t="str">
        <f t="shared" si="176"/>
        <v>{5000,7,1,1303,102}</v>
      </c>
      <c r="AR303" t="str">
        <f t="shared" si="177"/>
        <v>{5000,7,1,1303,103}</v>
      </c>
      <c r="AS303" t="str">
        <f t="shared" si="178"/>
        <v>{5000,7,1,1303,113}</v>
      </c>
      <c r="AT303" t="str">
        <f t="shared" si="179"/>
        <v>{5000,7,1,1303,111}</v>
      </c>
      <c r="AU303" t="str">
        <f t="shared" si="180"/>
        <v/>
      </c>
      <c r="AV303">
        <v>2324</v>
      </c>
      <c r="AW303" t="str">
        <f t="shared" si="194"/>
        <v>[{5000,7,1,1303,101},{5000,7,1,1303,102},{5000,7,1,1303,103},{5000,7,1,1303,113},{5000,7,1,1303,111}]</v>
      </c>
    </row>
    <row r="304" spans="2:49">
      <c r="B304">
        <v>2325</v>
      </c>
      <c r="C304" t="s">
        <v>32</v>
      </c>
      <c r="D304" t="str">
        <f t="shared" si="182"/>
        <v>14</v>
      </c>
      <c r="F304">
        <v>196</v>
      </c>
      <c r="G304">
        <v>5000</v>
      </c>
      <c r="H304">
        <f t="shared" si="165"/>
        <v>7</v>
      </c>
      <c r="I304">
        <v>1</v>
      </c>
      <c r="J304">
        <v>2</v>
      </c>
      <c r="K304">
        <f t="shared" si="166"/>
        <v>1302</v>
      </c>
      <c r="L304">
        <f t="shared" si="188"/>
        <v>101</v>
      </c>
      <c r="M304">
        <v>5000</v>
      </c>
      <c r="N304">
        <f t="shared" si="187"/>
        <v>7</v>
      </c>
      <c r="O304">
        <v>1</v>
      </c>
      <c r="P304">
        <f t="shared" si="167"/>
        <v>1301</v>
      </c>
      <c r="Q304">
        <v>54</v>
      </c>
      <c r="R304">
        <f t="shared" si="189"/>
        <v>103</v>
      </c>
      <c r="S304">
        <v>5000</v>
      </c>
      <c r="T304">
        <f t="shared" si="172"/>
        <v>7</v>
      </c>
      <c r="U304">
        <v>1</v>
      </c>
      <c r="V304">
        <f t="shared" si="168"/>
        <v>1302</v>
      </c>
      <c r="W304">
        <v>77</v>
      </c>
      <c r="X304">
        <f t="shared" si="190"/>
        <v>111</v>
      </c>
      <c r="Y304">
        <v>5000</v>
      </c>
      <c r="Z304">
        <f t="shared" si="173"/>
        <v>7</v>
      </c>
      <c r="AA304">
        <v>1</v>
      </c>
      <c r="AB304">
        <f t="shared" si="169"/>
        <v>1301</v>
      </c>
      <c r="AC304">
        <v>72</v>
      </c>
      <c r="AD304">
        <f t="shared" si="191"/>
        <v>112</v>
      </c>
      <c r="AE304">
        <v>5000</v>
      </c>
      <c r="AF304">
        <f t="shared" si="174"/>
        <v>7</v>
      </c>
      <c r="AG304">
        <v>1</v>
      </c>
      <c r="AH304">
        <f t="shared" si="170"/>
        <v>1302</v>
      </c>
      <c r="AI304">
        <v>74</v>
      </c>
      <c r="AJ304">
        <f t="shared" si="192"/>
        <v>113</v>
      </c>
      <c r="AP304" t="str">
        <f t="shared" si="175"/>
        <v>{5000,7,1,1302,101}</v>
      </c>
      <c r="AQ304" t="str">
        <f t="shared" si="176"/>
        <v>{5000,7,1,1301,103}</v>
      </c>
      <c r="AR304" t="str">
        <f t="shared" si="177"/>
        <v>{5000,7,1,1302,111}</v>
      </c>
      <c r="AS304" t="str">
        <f t="shared" si="178"/>
        <v>{5000,7,1,1301,112}</v>
      </c>
      <c r="AT304" t="str">
        <f t="shared" si="179"/>
        <v>{5000,7,1,1302,113}</v>
      </c>
      <c r="AU304" t="str">
        <f t="shared" si="180"/>
        <v/>
      </c>
      <c r="AV304">
        <v>2325</v>
      </c>
      <c r="AW304" t="str">
        <f t="shared" si="194"/>
        <v>[{5000,7,1,1302,101},{5000,7,1,1301,103},{5000,7,1,1302,111},{5000,7,1,1301,112},{5000,7,1,1302,113}]</v>
      </c>
    </row>
    <row r="305" spans="2:48">
      <c r="B305">
        <v>2326</v>
      </c>
      <c r="C305" t="s">
        <v>32</v>
      </c>
      <c r="D305" t="str">
        <f t="shared" si="182"/>
        <v>14</v>
      </c>
      <c r="F305">
        <v>209</v>
      </c>
      <c r="H305">
        <f t="shared" si="165"/>
        <v>0</v>
      </c>
      <c r="K305" t="str">
        <f t="shared" si="166"/>
        <v/>
      </c>
      <c r="L305" t="str">
        <f t="shared" si="188"/>
        <v/>
      </c>
      <c r="N305">
        <f t="shared" si="187"/>
        <v>0</v>
      </c>
      <c r="P305" t="str">
        <f t="shared" si="167"/>
        <v/>
      </c>
      <c r="R305" t="str">
        <f t="shared" si="189"/>
        <v/>
      </c>
      <c r="T305">
        <f t="shared" si="172"/>
        <v>0</v>
      </c>
      <c r="V305" t="str">
        <f t="shared" si="168"/>
        <v/>
      </c>
      <c r="X305" t="str">
        <f t="shared" si="190"/>
        <v/>
      </c>
      <c r="Z305">
        <f t="shared" si="173"/>
        <v>0</v>
      </c>
      <c r="AB305" t="str">
        <f t="shared" si="169"/>
        <v/>
      </c>
      <c r="AD305" t="str">
        <f t="shared" si="191"/>
        <v/>
      </c>
      <c r="AF305">
        <f t="shared" si="174"/>
        <v>0</v>
      </c>
      <c r="AH305" t="str">
        <f t="shared" si="170"/>
        <v/>
      </c>
      <c r="AJ305" t="str">
        <f t="shared" si="192"/>
        <v/>
      </c>
      <c r="AP305" t="str">
        <f t="shared" si="175"/>
        <v/>
      </c>
      <c r="AQ305" t="str">
        <f t="shared" si="176"/>
        <v/>
      </c>
      <c r="AR305" t="str">
        <f t="shared" si="177"/>
        <v/>
      </c>
      <c r="AS305" t="str">
        <f t="shared" si="178"/>
        <v/>
      </c>
      <c r="AT305" t="str">
        <f t="shared" si="179"/>
        <v/>
      </c>
      <c r="AU305" t="str">
        <f t="shared" si="180"/>
        <v/>
      </c>
      <c r="AV305">
        <v>2326</v>
      </c>
    </row>
    <row r="306" spans="2:49">
      <c r="B306">
        <v>2327</v>
      </c>
      <c r="C306" t="s">
        <v>32</v>
      </c>
      <c r="D306" t="str">
        <f t="shared" si="182"/>
        <v>14</v>
      </c>
      <c r="F306">
        <v>211</v>
      </c>
      <c r="G306">
        <v>5000</v>
      </c>
      <c r="H306">
        <f t="shared" si="165"/>
        <v>7</v>
      </c>
      <c r="I306">
        <v>1</v>
      </c>
      <c r="J306">
        <v>2</v>
      </c>
      <c r="K306">
        <f t="shared" si="166"/>
        <v>1302</v>
      </c>
      <c r="L306">
        <f t="shared" si="188"/>
        <v>101</v>
      </c>
      <c r="M306">
        <v>5000</v>
      </c>
      <c r="N306">
        <f t="shared" si="187"/>
        <v>7</v>
      </c>
      <c r="O306">
        <v>1</v>
      </c>
      <c r="P306">
        <f t="shared" si="167"/>
        <v>1301</v>
      </c>
      <c r="Q306">
        <v>51</v>
      </c>
      <c r="R306">
        <f t="shared" si="189"/>
        <v>102</v>
      </c>
      <c r="S306">
        <v>5000</v>
      </c>
      <c r="T306">
        <f t="shared" si="172"/>
        <v>7</v>
      </c>
      <c r="U306">
        <v>1</v>
      </c>
      <c r="V306">
        <f t="shared" si="168"/>
        <v>1302</v>
      </c>
      <c r="W306">
        <v>57</v>
      </c>
      <c r="X306">
        <f t="shared" si="190"/>
        <v>103</v>
      </c>
      <c r="Y306">
        <v>5000</v>
      </c>
      <c r="Z306">
        <f t="shared" si="173"/>
        <v>7</v>
      </c>
      <c r="AA306">
        <v>1</v>
      </c>
      <c r="AB306">
        <f t="shared" si="169"/>
        <v>1301</v>
      </c>
      <c r="AC306">
        <v>79</v>
      </c>
      <c r="AD306">
        <f t="shared" si="191"/>
        <v>113</v>
      </c>
      <c r="AE306">
        <v>5000</v>
      </c>
      <c r="AF306">
        <f t="shared" si="174"/>
        <v>7</v>
      </c>
      <c r="AG306">
        <v>1</v>
      </c>
      <c r="AH306">
        <f t="shared" si="170"/>
        <v>1302</v>
      </c>
      <c r="AI306">
        <v>72</v>
      </c>
      <c r="AJ306">
        <f t="shared" si="192"/>
        <v>111</v>
      </c>
      <c r="AK306">
        <v>1000</v>
      </c>
      <c r="AL306">
        <v>1</v>
      </c>
      <c r="AM306">
        <v>0</v>
      </c>
      <c r="AN306">
        <f t="shared" ref="AN306" si="195">AN283+100</f>
        <v>1331</v>
      </c>
      <c r="AO306">
        <v>4</v>
      </c>
      <c r="AP306" t="str">
        <f t="shared" si="175"/>
        <v>{5000,7,1,1302,101}</v>
      </c>
      <c r="AQ306" t="str">
        <f t="shared" si="176"/>
        <v>{5000,7,1,1301,102}</v>
      </c>
      <c r="AR306" t="str">
        <f t="shared" si="177"/>
        <v>{5000,7,1,1302,103}</v>
      </c>
      <c r="AS306" t="str">
        <f t="shared" si="178"/>
        <v>{5000,7,1,1301,113}</v>
      </c>
      <c r="AT306" t="str">
        <f t="shared" si="179"/>
        <v>{5000,7,1,1302,111}</v>
      </c>
      <c r="AU306" t="str">
        <f t="shared" si="180"/>
        <v>{1000,1,0,1331,4}</v>
      </c>
      <c r="AV306">
        <v>2327</v>
      </c>
      <c r="AW306" t="str">
        <f t="shared" ref="AW306:AW320" si="196">IF(AU306="","["&amp;_xlfn.TEXTJOIN(",",1,AP306:AT306)&amp;"]","["&amp;_xlfn.TEXTJOIN(",",1,AP306:AU306)&amp;"]")</f>
        <v>[{5000,7,1,1302,101},{5000,7,1,1301,102},{5000,7,1,1302,103},{5000,7,1,1301,113},{5000,7,1,1302,111},{1000,1,0,1331,4}]</v>
      </c>
    </row>
    <row r="307" spans="2:49">
      <c r="B307">
        <v>2328</v>
      </c>
      <c r="C307" t="s">
        <v>32</v>
      </c>
      <c r="D307" t="str">
        <f t="shared" si="182"/>
        <v>14</v>
      </c>
      <c r="F307">
        <v>226</v>
      </c>
      <c r="G307">
        <v>5000</v>
      </c>
      <c r="H307">
        <f t="shared" si="165"/>
        <v>7</v>
      </c>
      <c r="I307">
        <v>1</v>
      </c>
      <c r="J307">
        <v>2</v>
      </c>
      <c r="K307">
        <f t="shared" si="166"/>
        <v>1302</v>
      </c>
      <c r="L307">
        <f t="shared" si="188"/>
        <v>101</v>
      </c>
      <c r="M307">
        <v>5000</v>
      </c>
      <c r="N307">
        <f t="shared" si="187"/>
        <v>7</v>
      </c>
      <c r="O307">
        <v>1</v>
      </c>
      <c r="P307">
        <f t="shared" si="167"/>
        <v>1301</v>
      </c>
      <c r="Q307">
        <v>51</v>
      </c>
      <c r="R307">
        <f t="shared" si="189"/>
        <v>103</v>
      </c>
      <c r="S307">
        <v>5000</v>
      </c>
      <c r="T307">
        <f t="shared" si="172"/>
        <v>7</v>
      </c>
      <c r="U307">
        <v>1</v>
      </c>
      <c r="V307">
        <f t="shared" si="168"/>
        <v>1302</v>
      </c>
      <c r="W307">
        <v>75</v>
      </c>
      <c r="X307">
        <f t="shared" si="190"/>
        <v>111</v>
      </c>
      <c r="Y307">
        <v>5000</v>
      </c>
      <c r="Z307">
        <f t="shared" si="173"/>
        <v>7</v>
      </c>
      <c r="AA307">
        <v>1</v>
      </c>
      <c r="AB307">
        <f t="shared" si="169"/>
        <v>1301</v>
      </c>
      <c r="AC307">
        <v>71</v>
      </c>
      <c r="AD307">
        <f t="shared" si="191"/>
        <v>112</v>
      </c>
      <c r="AE307">
        <v>5000</v>
      </c>
      <c r="AF307">
        <f t="shared" si="174"/>
        <v>7</v>
      </c>
      <c r="AG307">
        <v>1</v>
      </c>
      <c r="AH307">
        <f t="shared" si="170"/>
        <v>1302</v>
      </c>
      <c r="AI307">
        <v>77</v>
      </c>
      <c r="AJ307">
        <f t="shared" si="192"/>
        <v>113</v>
      </c>
      <c r="AP307" t="str">
        <f t="shared" si="175"/>
        <v>{5000,7,1,1302,101}</v>
      </c>
      <c r="AQ307" t="str">
        <f t="shared" si="176"/>
        <v>{5000,7,1,1301,103}</v>
      </c>
      <c r="AR307" t="str">
        <f t="shared" si="177"/>
        <v>{5000,7,1,1302,111}</v>
      </c>
      <c r="AS307" t="str">
        <f t="shared" si="178"/>
        <v>{5000,7,1,1301,112}</v>
      </c>
      <c r="AT307" t="str">
        <f t="shared" si="179"/>
        <v>{5000,7,1,1302,113}</v>
      </c>
      <c r="AU307" t="str">
        <f t="shared" si="180"/>
        <v/>
      </c>
      <c r="AV307">
        <v>2328</v>
      </c>
      <c r="AW307" t="str">
        <f t="shared" si="196"/>
        <v>[{5000,7,1,1302,101},{5000,7,1,1301,103},{5000,7,1,1302,111},{5000,7,1,1301,112},{5000,7,1,1302,113}]</v>
      </c>
    </row>
    <row r="308" spans="2:49">
      <c r="B308">
        <v>2329</v>
      </c>
      <c r="C308" t="s">
        <v>32</v>
      </c>
      <c r="D308" t="str">
        <f t="shared" si="182"/>
        <v>14</v>
      </c>
      <c r="F308">
        <v>241</v>
      </c>
      <c r="G308">
        <v>5000</v>
      </c>
      <c r="H308">
        <f t="shared" si="165"/>
        <v>9</v>
      </c>
      <c r="I308">
        <v>1</v>
      </c>
      <c r="J308">
        <v>3</v>
      </c>
      <c r="K308">
        <f t="shared" si="166"/>
        <v>1303</v>
      </c>
      <c r="L308">
        <f t="shared" si="188"/>
        <v>101</v>
      </c>
      <c r="M308">
        <v>5000</v>
      </c>
      <c r="N308">
        <f t="shared" si="187"/>
        <v>9</v>
      </c>
      <c r="O308">
        <v>1</v>
      </c>
      <c r="P308">
        <f t="shared" si="167"/>
        <v>1303</v>
      </c>
      <c r="Q308">
        <v>53</v>
      </c>
      <c r="R308">
        <f t="shared" si="189"/>
        <v>102</v>
      </c>
      <c r="S308">
        <v>5000</v>
      </c>
      <c r="T308">
        <f t="shared" si="172"/>
        <v>9</v>
      </c>
      <c r="U308">
        <v>1</v>
      </c>
      <c r="V308">
        <f t="shared" si="168"/>
        <v>1303</v>
      </c>
      <c r="W308">
        <v>56</v>
      </c>
      <c r="X308">
        <f t="shared" si="190"/>
        <v>103</v>
      </c>
      <c r="Y308">
        <v>5000</v>
      </c>
      <c r="Z308">
        <f t="shared" si="173"/>
        <v>9</v>
      </c>
      <c r="AA308">
        <v>1</v>
      </c>
      <c r="AB308">
        <f t="shared" si="169"/>
        <v>1303</v>
      </c>
      <c r="AC308">
        <v>74</v>
      </c>
      <c r="AD308">
        <f t="shared" si="191"/>
        <v>113</v>
      </c>
      <c r="AE308">
        <v>5000</v>
      </c>
      <c r="AF308">
        <f t="shared" si="174"/>
        <v>9</v>
      </c>
      <c r="AG308">
        <v>1</v>
      </c>
      <c r="AH308">
        <f t="shared" si="170"/>
        <v>1303</v>
      </c>
      <c r="AI308">
        <v>78</v>
      </c>
      <c r="AJ308">
        <f t="shared" si="192"/>
        <v>111</v>
      </c>
      <c r="AP308" t="str">
        <f t="shared" si="175"/>
        <v>{5000,9,1,1303,101}</v>
      </c>
      <c r="AQ308" t="str">
        <f t="shared" si="176"/>
        <v>{5000,9,1,1303,102}</v>
      </c>
      <c r="AR308" t="str">
        <f t="shared" si="177"/>
        <v>{5000,9,1,1303,103}</v>
      </c>
      <c r="AS308" t="str">
        <f t="shared" si="178"/>
        <v>{5000,9,1,1303,113}</v>
      </c>
      <c r="AT308" t="str">
        <f t="shared" si="179"/>
        <v>{5000,9,1,1303,111}</v>
      </c>
      <c r="AU308" t="str">
        <f t="shared" si="180"/>
        <v/>
      </c>
      <c r="AV308">
        <v>2329</v>
      </c>
      <c r="AW308" t="str">
        <f t="shared" si="196"/>
        <v>[{5000,9,1,1303,101},{5000,9,1,1303,102},{5000,9,1,1303,103},{5000,9,1,1303,113},{5000,9,1,1303,111}]</v>
      </c>
    </row>
    <row r="309" spans="2:49">
      <c r="B309">
        <v>2330</v>
      </c>
      <c r="C309" t="s">
        <v>32</v>
      </c>
      <c r="D309" t="str">
        <f t="shared" si="182"/>
        <v>14</v>
      </c>
      <c r="F309">
        <v>256</v>
      </c>
      <c r="G309">
        <v>5000</v>
      </c>
      <c r="H309">
        <f t="shared" ref="H309:H337" si="197">H286</f>
        <v>8</v>
      </c>
      <c r="I309">
        <v>1</v>
      </c>
      <c r="J309">
        <v>2</v>
      </c>
      <c r="K309">
        <f t="shared" ref="K309:K313" si="198">IF($J309="","",K286+100)</f>
        <v>1302</v>
      </c>
      <c r="L309">
        <f t="shared" si="188"/>
        <v>101</v>
      </c>
      <c r="M309">
        <v>5000</v>
      </c>
      <c r="N309">
        <f t="shared" si="187"/>
        <v>8</v>
      </c>
      <c r="O309">
        <v>1</v>
      </c>
      <c r="P309">
        <f t="shared" ref="P309:P313" si="199">IF($J309="","",P286+100)</f>
        <v>1302</v>
      </c>
      <c r="Q309">
        <v>59</v>
      </c>
      <c r="R309">
        <f t="shared" si="189"/>
        <v>103</v>
      </c>
      <c r="S309">
        <v>5000</v>
      </c>
      <c r="T309">
        <f t="shared" si="172"/>
        <v>8</v>
      </c>
      <c r="U309">
        <v>1</v>
      </c>
      <c r="V309">
        <f t="shared" ref="V309:V313" si="200">IF($J309="","",V286+100)</f>
        <v>1302</v>
      </c>
      <c r="W309">
        <v>79</v>
      </c>
      <c r="X309">
        <f t="shared" si="190"/>
        <v>111</v>
      </c>
      <c r="Y309">
        <v>5000</v>
      </c>
      <c r="Z309">
        <f t="shared" si="173"/>
        <v>8</v>
      </c>
      <c r="AA309">
        <v>1</v>
      </c>
      <c r="AB309">
        <f t="shared" ref="AB309:AB313" si="201">IF($J309="","",AB286+100)</f>
        <v>1301</v>
      </c>
      <c r="AC309">
        <v>72</v>
      </c>
      <c r="AD309">
        <f t="shared" si="191"/>
        <v>112</v>
      </c>
      <c r="AE309">
        <v>5000</v>
      </c>
      <c r="AF309">
        <f t="shared" si="174"/>
        <v>8</v>
      </c>
      <c r="AG309">
        <v>1</v>
      </c>
      <c r="AH309">
        <f t="shared" ref="AH309:AH313" si="202">IF($J309="","",AH286+100)</f>
        <v>1302</v>
      </c>
      <c r="AI309">
        <v>74</v>
      </c>
      <c r="AJ309">
        <f t="shared" si="192"/>
        <v>113</v>
      </c>
      <c r="AP309" t="str">
        <f t="shared" si="175"/>
        <v>{5000,8,1,1302,101}</v>
      </c>
      <c r="AQ309" t="str">
        <f t="shared" si="176"/>
        <v>{5000,8,1,1302,103}</v>
      </c>
      <c r="AR309" t="str">
        <f t="shared" si="177"/>
        <v>{5000,8,1,1302,111}</v>
      </c>
      <c r="AS309" t="str">
        <f t="shared" si="178"/>
        <v>{5000,8,1,1301,112}</v>
      </c>
      <c r="AT309" t="str">
        <f t="shared" si="179"/>
        <v>{5000,8,1,1302,113}</v>
      </c>
      <c r="AU309" t="str">
        <f t="shared" si="180"/>
        <v/>
      </c>
      <c r="AV309">
        <v>2330</v>
      </c>
      <c r="AW309" t="str">
        <f t="shared" si="196"/>
        <v>[{5000,8,1,1302,101},{5000,8,1,1302,103},{5000,8,1,1302,111},{5000,8,1,1301,112},{5000,8,1,1302,113}]</v>
      </c>
    </row>
    <row r="310" spans="2:49">
      <c r="B310">
        <v>2331</v>
      </c>
      <c r="C310" t="s">
        <v>32</v>
      </c>
      <c r="D310" t="str">
        <f t="shared" si="182"/>
        <v>14</v>
      </c>
      <c r="F310">
        <v>271</v>
      </c>
      <c r="G310">
        <v>5000</v>
      </c>
      <c r="H310">
        <f t="shared" si="197"/>
        <v>8</v>
      </c>
      <c r="I310">
        <v>1</v>
      </c>
      <c r="J310">
        <v>2</v>
      </c>
      <c r="K310">
        <f t="shared" si="198"/>
        <v>1302</v>
      </c>
      <c r="L310">
        <f t="shared" si="188"/>
        <v>101</v>
      </c>
      <c r="M310">
        <v>5000</v>
      </c>
      <c r="N310">
        <f t="shared" si="187"/>
        <v>8</v>
      </c>
      <c r="O310">
        <v>1</v>
      </c>
      <c r="P310">
        <f t="shared" si="199"/>
        <v>1302</v>
      </c>
      <c r="Q310">
        <v>54</v>
      </c>
      <c r="R310">
        <f t="shared" si="189"/>
        <v>102</v>
      </c>
      <c r="S310">
        <v>5000</v>
      </c>
      <c r="T310">
        <f t="shared" si="172"/>
        <v>8</v>
      </c>
      <c r="U310">
        <v>1</v>
      </c>
      <c r="V310">
        <f t="shared" si="200"/>
        <v>1302</v>
      </c>
      <c r="W310">
        <v>56</v>
      </c>
      <c r="X310">
        <f t="shared" si="190"/>
        <v>103</v>
      </c>
      <c r="Y310">
        <v>5000</v>
      </c>
      <c r="Z310">
        <f t="shared" si="173"/>
        <v>8</v>
      </c>
      <c r="AA310">
        <v>1</v>
      </c>
      <c r="AB310">
        <f t="shared" si="201"/>
        <v>1302</v>
      </c>
      <c r="AC310">
        <v>73</v>
      </c>
      <c r="AD310">
        <f t="shared" si="191"/>
        <v>113</v>
      </c>
      <c r="AE310">
        <v>5000</v>
      </c>
      <c r="AF310">
        <f t="shared" si="174"/>
        <v>8</v>
      </c>
      <c r="AG310">
        <v>1</v>
      </c>
      <c r="AH310">
        <f t="shared" si="202"/>
        <v>1302</v>
      </c>
      <c r="AI310">
        <v>75</v>
      </c>
      <c r="AJ310">
        <f t="shared" si="192"/>
        <v>111</v>
      </c>
      <c r="AP310" t="str">
        <f t="shared" si="175"/>
        <v>{5000,8,1,1302,101}</v>
      </c>
      <c r="AQ310" t="str">
        <f t="shared" si="176"/>
        <v>{5000,8,1,1302,102}</v>
      </c>
      <c r="AR310" t="str">
        <f t="shared" si="177"/>
        <v>{5000,8,1,1302,103}</v>
      </c>
      <c r="AS310" t="str">
        <f t="shared" si="178"/>
        <v>{5000,8,1,1302,113}</v>
      </c>
      <c r="AT310" t="str">
        <f t="shared" si="179"/>
        <v>{5000,8,1,1302,111}</v>
      </c>
      <c r="AU310" t="str">
        <f t="shared" si="180"/>
        <v/>
      </c>
      <c r="AV310">
        <v>2331</v>
      </c>
      <c r="AW310" t="str">
        <f t="shared" si="196"/>
        <v>[{5000,8,1,1302,101},{5000,8,1,1302,102},{5000,8,1,1302,103},{5000,8,1,1302,113},{5000,8,1,1302,111}]</v>
      </c>
    </row>
    <row r="311" spans="2:49">
      <c r="B311">
        <v>2332</v>
      </c>
      <c r="C311" t="s">
        <v>32</v>
      </c>
      <c r="D311" t="str">
        <f t="shared" si="182"/>
        <v>14</v>
      </c>
      <c r="F311">
        <v>286</v>
      </c>
      <c r="G311">
        <v>5000</v>
      </c>
      <c r="H311">
        <f t="shared" si="197"/>
        <v>8</v>
      </c>
      <c r="I311">
        <v>1</v>
      </c>
      <c r="J311">
        <v>2</v>
      </c>
      <c r="K311">
        <f t="shared" si="198"/>
        <v>1302</v>
      </c>
      <c r="L311">
        <f t="shared" si="188"/>
        <v>101</v>
      </c>
      <c r="M311">
        <v>5000</v>
      </c>
      <c r="N311">
        <f t="shared" si="187"/>
        <v>8</v>
      </c>
      <c r="O311">
        <v>1</v>
      </c>
      <c r="P311">
        <f t="shared" si="199"/>
        <v>1302</v>
      </c>
      <c r="Q311">
        <v>53</v>
      </c>
      <c r="R311">
        <f t="shared" si="189"/>
        <v>103</v>
      </c>
      <c r="S311">
        <v>5000</v>
      </c>
      <c r="T311">
        <f t="shared" si="172"/>
        <v>8</v>
      </c>
      <c r="U311">
        <v>1</v>
      </c>
      <c r="V311">
        <f t="shared" si="200"/>
        <v>1302</v>
      </c>
      <c r="W311">
        <v>59</v>
      </c>
      <c r="X311">
        <f t="shared" si="190"/>
        <v>111</v>
      </c>
      <c r="Y311">
        <v>5000</v>
      </c>
      <c r="Z311">
        <f t="shared" si="173"/>
        <v>8</v>
      </c>
      <c r="AA311">
        <v>1</v>
      </c>
      <c r="AB311">
        <f t="shared" si="201"/>
        <v>1302</v>
      </c>
      <c r="AC311">
        <v>71</v>
      </c>
      <c r="AD311">
        <f t="shared" si="191"/>
        <v>112</v>
      </c>
      <c r="AE311">
        <v>5000</v>
      </c>
      <c r="AF311">
        <f t="shared" si="174"/>
        <v>8</v>
      </c>
      <c r="AG311">
        <v>1</v>
      </c>
      <c r="AH311">
        <f t="shared" si="202"/>
        <v>1302</v>
      </c>
      <c r="AI311">
        <v>77</v>
      </c>
      <c r="AJ311">
        <f t="shared" si="192"/>
        <v>113</v>
      </c>
      <c r="AP311" t="str">
        <f t="shared" si="175"/>
        <v>{5000,8,1,1302,101}</v>
      </c>
      <c r="AQ311" t="str">
        <f t="shared" si="176"/>
        <v>{5000,8,1,1302,103}</v>
      </c>
      <c r="AR311" t="str">
        <f t="shared" si="177"/>
        <v>{5000,8,1,1302,111}</v>
      </c>
      <c r="AS311" t="str">
        <f t="shared" si="178"/>
        <v>{5000,8,1,1302,112}</v>
      </c>
      <c r="AT311" t="str">
        <f t="shared" si="179"/>
        <v>{5000,8,1,1302,113}</v>
      </c>
      <c r="AU311" t="str">
        <f t="shared" si="180"/>
        <v/>
      </c>
      <c r="AV311">
        <v>2332</v>
      </c>
      <c r="AW311" t="str">
        <f t="shared" si="196"/>
        <v>[{5000,8,1,1302,101},{5000,8,1,1302,103},{5000,8,1,1302,111},{5000,8,1,1302,112},{5000,8,1,1302,113}]</v>
      </c>
    </row>
    <row r="312" spans="2:49">
      <c r="B312">
        <v>2333</v>
      </c>
      <c r="C312" t="s">
        <v>32</v>
      </c>
      <c r="D312" t="str">
        <f t="shared" si="182"/>
        <v>14</v>
      </c>
      <c r="F312">
        <v>290</v>
      </c>
      <c r="G312">
        <v>5000</v>
      </c>
      <c r="H312">
        <f t="shared" si="197"/>
        <v>8</v>
      </c>
      <c r="I312">
        <v>1</v>
      </c>
      <c r="J312">
        <v>2</v>
      </c>
      <c r="K312">
        <f t="shared" si="198"/>
        <v>1302</v>
      </c>
      <c r="L312">
        <f t="shared" si="188"/>
        <v>101</v>
      </c>
      <c r="M312">
        <v>5000</v>
      </c>
      <c r="N312">
        <f t="shared" si="187"/>
        <v>8</v>
      </c>
      <c r="O312">
        <v>1</v>
      </c>
      <c r="P312">
        <f t="shared" si="199"/>
        <v>1302</v>
      </c>
      <c r="Q312">
        <v>56</v>
      </c>
      <c r="R312">
        <f t="shared" si="189"/>
        <v>102</v>
      </c>
      <c r="S312">
        <v>5000</v>
      </c>
      <c r="T312">
        <f t="shared" si="172"/>
        <v>8</v>
      </c>
      <c r="U312">
        <v>1</v>
      </c>
      <c r="V312">
        <f t="shared" si="200"/>
        <v>1301</v>
      </c>
      <c r="W312">
        <v>77</v>
      </c>
      <c r="X312">
        <f t="shared" si="190"/>
        <v>103</v>
      </c>
      <c r="Y312">
        <v>5000</v>
      </c>
      <c r="Z312">
        <f t="shared" si="173"/>
        <v>8</v>
      </c>
      <c r="AA312">
        <v>1</v>
      </c>
      <c r="AB312">
        <f t="shared" si="201"/>
        <v>1302</v>
      </c>
      <c r="AC312">
        <v>72</v>
      </c>
      <c r="AD312">
        <f t="shared" si="191"/>
        <v>113</v>
      </c>
      <c r="AE312">
        <v>5000</v>
      </c>
      <c r="AF312">
        <f t="shared" si="174"/>
        <v>8</v>
      </c>
      <c r="AG312">
        <v>1</v>
      </c>
      <c r="AH312">
        <f t="shared" si="202"/>
        <v>1302</v>
      </c>
      <c r="AI312">
        <v>74</v>
      </c>
      <c r="AJ312">
        <f t="shared" si="192"/>
        <v>111</v>
      </c>
      <c r="AP312" t="str">
        <f t="shared" si="175"/>
        <v>{5000,8,1,1302,101}</v>
      </c>
      <c r="AQ312" t="str">
        <f t="shared" si="176"/>
        <v>{5000,8,1,1302,102}</v>
      </c>
      <c r="AR312" t="str">
        <f t="shared" si="177"/>
        <v>{5000,8,1,1301,103}</v>
      </c>
      <c r="AS312" t="str">
        <f t="shared" si="178"/>
        <v>{5000,8,1,1302,113}</v>
      </c>
      <c r="AT312" t="str">
        <f t="shared" si="179"/>
        <v>{5000,8,1,1302,111}</v>
      </c>
      <c r="AU312" t="str">
        <f t="shared" si="180"/>
        <v/>
      </c>
      <c r="AV312">
        <v>2333</v>
      </c>
      <c r="AW312" t="str">
        <f t="shared" si="196"/>
        <v>[{5000,8,1,1302,101},{5000,8,1,1302,102},{5000,8,1,1301,103},{5000,8,1,1302,113},{5000,8,1,1302,111}]</v>
      </c>
    </row>
    <row r="313" spans="2:49">
      <c r="B313">
        <v>2411</v>
      </c>
      <c r="C313" t="s">
        <v>38</v>
      </c>
      <c r="D313" s="4" t="str">
        <f t="shared" si="182"/>
        <v>15</v>
      </c>
      <c r="E313" s="4"/>
      <c r="F313">
        <v>1</v>
      </c>
      <c r="G313">
        <v>5000</v>
      </c>
      <c r="H313">
        <f t="shared" si="197"/>
        <v>2</v>
      </c>
      <c r="I313">
        <v>1</v>
      </c>
      <c r="J313">
        <v>1</v>
      </c>
      <c r="K313">
        <f t="shared" si="198"/>
        <v>1401</v>
      </c>
      <c r="L313">
        <f t="shared" si="188"/>
        <v>101</v>
      </c>
      <c r="M313">
        <v>5000</v>
      </c>
      <c r="N313">
        <f t="shared" si="187"/>
        <v>2</v>
      </c>
      <c r="O313">
        <v>1</v>
      </c>
      <c r="P313">
        <f t="shared" si="199"/>
        <v>1401</v>
      </c>
      <c r="Q313">
        <v>55</v>
      </c>
      <c r="R313">
        <f t="shared" si="189"/>
        <v>102</v>
      </c>
      <c r="S313">
        <v>5000</v>
      </c>
      <c r="T313">
        <f t="shared" si="172"/>
        <v>2</v>
      </c>
      <c r="U313">
        <v>1</v>
      </c>
      <c r="V313">
        <f t="shared" si="200"/>
        <v>1401</v>
      </c>
      <c r="W313">
        <v>60</v>
      </c>
      <c r="X313">
        <f t="shared" si="190"/>
        <v>103</v>
      </c>
      <c r="Y313">
        <v>5000</v>
      </c>
      <c r="Z313">
        <f t="shared" si="173"/>
        <v>2</v>
      </c>
      <c r="AA313">
        <v>1</v>
      </c>
      <c r="AB313">
        <f t="shared" si="201"/>
        <v>1401</v>
      </c>
      <c r="AC313">
        <v>71</v>
      </c>
      <c r="AD313">
        <f t="shared" si="191"/>
        <v>113</v>
      </c>
      <c r="AE313">
        <v>5000</v>
      </c>
      <c r="AF313">
        <f t="shared" si="174"/>
        <v>2</v>
      </c>
      <c r="AG313">
        <v>1</v>
      </c>
      <c r="AH313">
        <f t="shared" si="202"/>
        <v>1401</v>
      </c>
      <c r="AI313">
        <v>76</v>
      </c>
      <c r="AJ313">
        <f t="shared" si="192"/>
        <v>111</v>
      </c>
      <c r="AP313" t="str">
        <f t="shared" si="175"/>
        <v>{5000,2,1,1401,101}</v>
      </c>
      <c r="AQ313" t="str">
        <f t="shared" si="176"/>
        <v>{5000,2,1,1401,102}</v>
      </c>
      <c r="AR313" t="str">
        <f t="shared" si="177"/>
        <v>{5000,2,1,1401,103}</v>
      </c>
      <c r="AS313" t="str">
        <f t="shared" si="178"/>
        <v>{5000,2,1,1401,113}</v>
      </c>
      <c r="AT313" t="str">
        <f t="shared" si="179"/>
        <v>{5000,2,1,1401,111}</v>
      </c>
      <c r="AU313" t="str">
        <f t="shared" si="180"/>
        <v/>
      </c>
      <c r="AV313">
        <v>2411</v>
      </c>
      <c r="AW313" t="str">
        <f t="shared" si="196"/>
        <v>[{5000,2,1,1401,101},{5000,2,1,1401,102},{5000,2,1,1401,103},{5000,2,1,1401,113},{5000,2,1,1401,111}]</v>
      </c>
    </row>
    <row r="314" spans="2:49">
      <c r="B314">
        <v>2412</v>
      </c>
      <c r="C314" t="s">
        <v>38</v>
      </c>
      <c r="D314" t="str">
        <f t="shared" si="182"/>
        <v>15</v>
      </c>
      <c r="F314">
        <v>16</v>
      </c>
      <c r="G314">
        <v>5000</v>
      </c>
      <c r="H314">
        <f t="shared" si="197"/>
        <v>2</v>
      </c>
      <c r="I314">
        <v>1</v>
      </c>
      <c r="J314">
        <v>1</v>
      </c>
      <c r="K314">
        <f t="shared" ref="K314:K336" si="203">IF($J314="","",K291+100)</f>
        <v>1401</v>
      </c>
      <c r="L314">
        <f t="shared" si="188"/>
        <v>101</v>
      </c>
      <c r="M314">
        <v>5000</v>
      </c>
      <c r="N314">
        <f t="shared" si="187"/>
        <v>2</v>
      </c>
      <c r="O314">
        <v>1</v>
      </c>
      <c r="P314">
        <f t="shared" ref="P314:P336" si="204">IF($J314="","",P291+100)</f>
        <v>1401</v>
      </c>
      <c r="Q314">
        <v>55</v>
      </c>
      <c r="R314">
        <f t="shared" si="189"/>
        <v>103</v>
      </c>
      <c r="S314">
        <v>5000</v>
      </c>
      <c r="T314">
        <f t="shared" si="172"/>
        <v>2</v>
      </c>
      <c r="U314">
        <v>1</v>
      </c>
      <c r="V314">
        <f t="shared" ref="V314:V336" si="205">IF($J314="","",V291+100)</f>
        <v>1401</v>
      </c>
      <c r="W314">
        <v>75</v>
      </c>
      <c r="X314">
        <f t="shared" si="190"/>
        <v>111</v>
      </c>
      <c r="Y314">
        <v>5000</v>
      </c>
      <c r="Z314">
        <f t="shared" si="173"/>
        <v>2</v>
      </c>
      <c r="AA314">
        <v>1</v>
      </c>
      <c r="AB314">
        <f t="shared" ref="AB314:AB336" si="206">IF($J314="","",AB291+100)</f>
        <v>1401</v>
      </c>
      <c r="AC314">
        <v>73</v>
      </c>
      <c r="AD314">
        <f t="shared" si="191"/>
        <v>112</v>
      </c>
      <c r="AE314">
        <v>5000</v>
      </c>
      <c r="AF314">
        <f t="shared" si="174"/>
        <v>2</v>
      </c>
      <c r="AG314">
        <v>1</v>
      </c>
      <c r="AH314">
        <f t="shared" ref="AH314:AH336" si="207">IF($J314="","",AH291+100)</f>
        <v>1401</v>
      </c>
      <c r="AI314">
        <v>78</v>
      </c>
      <c r="AJ314">
        <f t="shared" si="192"/>
        <v>113</v>
      </c>
      <c r="AP314" t="str">
        <f t="shared" si="175"/>
        <v>{5000,2,1,1401,101}</v>
      </c>
      <c r="AQ314" t="str">
        <f t="shared" si="176"/>
        <v>{5000,2,1,1401,103}</v>
      </c>
      <c r="AR314" t="str">
        <f t="shared" si="177"/>
        <v>{5000,2,1,1401,111}</v>
      </c>
      <c r="AS314" t="str">
        <f t="shared" si="178"/>
        <v>{5000,2,1,1401,112}</v>
      </c>
      <c r="AT314" t="str">
        <f t="shared" si="179"/>
        <v>{5000,2,1,1401,113}</v>
      </c>
      <c r="AU314" t="str">
        <f t="shared" si="180"/>
        <v/>
      </c>
      <c r="AV314">
        <v>2412</v>
      </c>
      <c r="AW314" t="str">
        <f t="shared" si="196"/>
        <v>[{5000,2,1,1401,101},{5000,2,1,1401,103},{5000,2,1,1401,111},{5000,2,1,1401,112},{5000,2,1,1401,113}]</v>
      </c>
    </row>
    <row r="315" spans="2:49">
      <c r="B315">
        <v>2413</v>
      </c>
      <c r="C315" t="s">
        <v>38</v>
      </c>
      <c r="D315" t="str">
        <f t="shared" si="182"/>
        <v>15</v>
      </c>
      <c r="F315">
        <v>31</v>
      </c>
      <c r="G315">
        <v>5000</v>
      </c>
      <c r="H315">
        <f t="shared" si="197"/>
        <v>3</v>
      </c>
      <c r="I315">
        <v>1</v>
      </c>
      <c r="J315">
        <v>1</v>
      </c>
      <c r="K315">
        <f t="shared" si="203"/>
        <v>1401</v>
      </c>
      <c r="L315">
        <f t="shared" si="188"/>
        <v>101</v>
      </c>
      <c r="M315">
        <v>5000</v>
      </c>
      <c r="N315">
        <f t="shared" si="187"/>
        <v>3</v>
      </c>
      <c r="O315">
        <v>1</v>
      </c>
      <c r="P315">
        <f t="shared" si="204"/>
        <v>1401</v>
      </c>
      <c r="Q315">
        <v>55</v>
      </c>
      <c r="R315">
        <f t="shared" si="189"/>
        <v>102</v>
      </c>
      <c r="S315">
        <v>5000</v>
      </c>
      <c r="T315">
        <f t="shared" si="172"/>
        <v>3</v>
      </c>
      <c r="U315">
        <v>1</v>
      </c>
      <c r="V315">
        <f t="shared" si="205"/>
        <v>1401</v>
      </c>
      <c r="W315">
        <v>58</v>
      </c>
      <c r="X315">
        <f t="shared" si="190"/>
        <v>103</v>
      </c>
      <c r="Y315">
        <v>5000</v>
      </c>
      <c r="Z315">
        <f t="shared" si="173"/>
        <v>3</v>
      </c>
      <c r="AA315">
        <v>1</v>
      </c>
      <c r="AB315">
        <f t="shared" si="206"/>
        <v>1401</v>
      </c>
      <c r="AC315">
        <v>76</v>
      </c>
      <c r="AD315">
        <f t="shared" si="191"/>
        <v>113</v>
      </c>
      <c r="AE315">
        <v>5000</v>
      </c>
      <c r="AF315">
        <f t="shared" si="174"/>
        <v>3</v>
      </c>
      <c r="AG315">
        <v>1</v>
      </c>
      <c r="AH315">
        <f t="shared" si="207"/>
        <v>1401</v>
      </c>
      <c r="AI315">
        <v>79</v>
      </c>
      <c r="AJ315">
        <f t="shared" si="192"/>
        <v>111</v>
      </c>
      <c r="AP315" t="str">
        <f t="shared" si="175"/>
        <v>{5000,3,1,1401,101}</v>
      </c>
      <c r="AQ315" t="str">
        <f t="shared" si="176"/>
        <v>{5000,3,1,1401,102}</v>
      </c>
      <c r="AR315" t="str">
        <f t="shared" si="177"/>
        <v>{5000,3,1,1401,103}</v>
      </c>
      <c r="AS315" t="str">
        <f t="shared" si="178"/>
        <v>{5000,3,1,1401,113}</v>
      </c>
      <c r="AT315" t="str">
        <f t="shared" si="179"/>
        <v>{5000,3,1,1401,111}</v>
      </c>
      <c r="AU315" t="str">
        <f t="shared" si="180"/>
        <v/>
      </c>
      <c r="AV315">
        <v>2413</v>
      </c>
      <c r="AW315" t="str">
        <f t="shared" si="196"/>
        <v>[{5000,3,1,1401,101},{5000,3,1,1401,102},{5000,3,1,1401,103},{5000,3,1,1401,113},{5000,3,1,1401,111}]</v>
      </c>
    </row>
    <row r="316" spans="2:49">
      <c r="B316">
        <v>2414</v>
      </c>
      <c r="C316" t="s">
        <v>38</v>
      </c>
      <c r="D316" t="str">
        <f t="shared" si="182"/>
        <v>15</v>
      </c>
      <c r="F316">
        <v>46</v>
      </c>
      <c r="G316">
        <v>5000</v>
      </c>
      <c r="H316">
        <f t="shared" si="197"/>
        <v>3</v>
      </c>
      <c r="I316">
        <v>1</v>
      </c>
      <c r="J316">
        <v>1</v>
      </c>
      <c r="K316">
        <f t="shared" si="203"/>
        <v>1401</v>
      </c>
      <c r="L316">
        <f t="shared" si="188"/>
        <v>101</v>
      </c>
      <c r="M316">
        <v>5000</v>
      </c>
      <c r="N316">
        <f t="shared" si="187"/>
        <v>3</v>
      </c>
      <c r="O316">
        <v>1</v>
      </c>
      <c r="P316">
        <f t="shared" si="204"/>
        <v>1401</v>
      </c>
      <c r="Q316">
        <v>55</v>
      </c>
      <c r="R316">
        <f t="shared" si="189"/>
        <v>103</v>
      </c>
      <c r="S316">
        <v>5000</v>
      </c>
      <c r="T316">
        <f t="shared" si="172"/>
        <v>3</v>
      </c>
      <c r="U316">
        <v>1</v>
      </c>
      <c r="V316">
        <f t="shared" si="205"/>
        <v>1402</v>
      </c>
      <c r="W316">
        <v>76</v>
      </c>
      <c r="X316">
        <f t="shared" si="190"/>
        <v>111</v>
      </c>
      <c r="Y316">
        <v>5000</v>
      </c>
      <c r="Z316">
        <f t="shared" si="173"/>
        <v>3</v>
      </c>
      <c r="AA316">
        <v>1</v>
      </c>
      <c r="AB316">
        <f t="shared" si="206"/>
        <v>1401</v>
      </c>
      <c r="AC316">
        <v>71</v>
      </c>
      <c r="AD316">
        <f t="shared" si="191"/>
        <v>112</v>
      </c>
      <c r="AE316">
        <v>5000</v>
      </c>
      <c r="AF316">
        <f t="shared" si="174"/>
        <v>3</v>
      </c>
      <c r="AG316">
        <v>1</v>
      </c>
      <c r="AH316">
        <f t="shared" si="207"/>
        <v>1401</v>
      </c>
      <c r="AI316">
        <v>71</v>
      </c>
      <c r="AJ316">
        <f t="shared" si="192"/>
        <v>113</v>
      </c>
      <c r="AP316" t="str">
        <f t="shared" si="175"/>
        <v>{5000,3,1,1401,101}</v>
      </c>
      <c r="AQ316" t="str">
        <f t="shared" si="176"/>
        <v>{5000,3,1,1401,103}</v>
      </c>
      <c r="AR316" t="str">
        <f t="shared" si="177"/>
        <v>{5000,3,1,1402,111}</v>
      </c>
      <c r="AS316" t="str">
        <f t="shared" si="178"/>
        <v>{5000,3,1,1401,112}</v>
      </c>
      <c r="AT316" t="str">
        <f t="shared" si="179"/>
        <v>{5000,3,1,1401,113}</v>
      </c>
      <c r="AU316" t="str">
        <f t="shared" si="180"/>
        <v/>
      </c>
      <c r="AV316">
        <v>2414</v>
      </c>
      <c r="AW316" t="str">
        <f t="shared" si="196"/>
        <v>[{5000,3,1,1401,101},{5000,3,1,1401,103},{5000,3,1,1402,111},{5000,3,1,1401,112},{5000,3,1,1401,113}]</v>
      </c>
    </row>
    <row r="317" spans="2:49">
      <c r="B317">
        <v>2415</v>
      </c>
      <c r="C317" t="s">
        <v>38</v>
      </c>
      <c r="D317" t="str">
        <f t="shared" si="182"/>
        <v>15</v>
      </c>
      <c r="F317">
        <v>61</v>
      </c>
      <c r="G317">
        <v>5000</v>
      </c>
      <c r="H317">
        <f t="shared" si="197"/>
        <v>5</v>
      </c>
      <c r="I317">
        <v>1</v>
      </c>
      <c r="J317">
        <v>3</v>
      </c>
      <c r="K317">
        <f t="shared" si="203"/>
        <v>1403</v>
      </c>
      <c r="L317">
        <f t="shared" si="188"/>
        <v>101</v>
      </c>
      <c r="M317">
        <v>5000</v>
      </c>
      <c r="N317">
        <f t="shared" si="187"/>
        <v>5</v>
      </c>
      <c r="O317">
        <v>1</v>
      </c>
      <c r="P317">
        <f t="shared" si="204"/>
        <v>1403</v>
      </c>
      <c r="Q317">
        <v>56</v>
      </c>
      <c r="R317">
        <f t="shared" si="189"/>
        <v>102</v>
      </c>
      <c r="S317">
        <v>5000</v>
      </c>
      <c r="T317">
        <f t="shared" si="172"/>
        <v>5</v>
      </c>
      <c r="U317">
        <v>1</v>
      </c>
      <c r="V317">
        <f t="shared" si="205"/>
        <v>1403</v>
      </c>
      <c r="W317">
        <v>57</v>
      </c>
      <c r="X317">
        <f t="shared" si="190"/>
        <v>103</v>
      </c>
      <c r="Y317">
        <v>5000</v>
      </c>
      <c r="Z317">
        <f t="shared" si="173"/>
        <v>5</v>
      </c>
      <c r="AA317">
        <v>1</v>
      </c>
      <c r="AB317">
        <f t="shared" si="206"/>
        <v>1403</v>
      </c>
      <c r="AC317">
        <v>72</v>
      </c>
      <c r="AD317">
        <f t="shared" si="191"/>
        <v>113</v>
      </c>
      <c r="AE317">
        <v>5000</v>
      </c>
      <c r="AF317">
        <f t="shared" si="174"/>
        <v>5</v>
      </c>
      <c r="AG317">
        <v>1</v>
      </c>
      <c r="AH317">
        <f t="shared" si="207"/>
        <v>1403</v>
      </c>
      <c r="AI317">
        <v>71</v>
      </c>
      <c r="AJ317">
        <f t="shared" si="192"/>
        <v>111</v>
      </c>
      <c r="AP317" t="str">
        <f t="shared" si="175"/>
        <v>{5000,5,1,1403,101}</v>
      </c>
      <c r="AQ317" t="str">
        <f t="shared" si="176"/>
        <v>{5000,5,1,1403,102}</v>
      </c>
      <c r="AR317" t="str">
        <f t="shared" si="177"/>
        <v>{5000,5,1,1403,103}</v>
      </c>
      <c r="AS317" t="str">
        <f t="shared" si="178"/>
        <v>{5000,5,1,1403,113}</v>
      </c>
      <c r="AT317" t="str">
        <f t="shared" si="179"/>
        <v>{5000,5,1,1403,111}</v>
      </c>
      <c r="AU317" t="str">
        <f t="shared" si="180"/>
        <v/>
      </c>
      <c r="AV317">
        <v>2415</v>
      </c>
      <c r="AW317" t="str">
        <f t="shared" si="196"/>
        <v>[{5000,5,1,1403,101},{5000,5,1,1403,102},{5000,5,1,1403,103},{5000,5,1,1403,113},{5000,5,1,1403,111}]</v>
      </c>
    </row>
    <row r="318" spans="2:49">
      <c r="B318">
        <v>2416</v>
      </c>
      <c r="C318" t="s">
        <v>38</v>
      </c>
      <c r="D318" t="str">
        <f t="shared" si="182"/>
        <v>15</v>
      </c>
      <c r="F318">
        <v>76</v>
      </c>
      <c r="G318">
        <v>5000</v>
      </c>
      <c r="H318">
        <f t="shared" si="197"/>
        <v>5</v>
      </c>
      <c r="I318">
        <v>1</v>
      </c>
      <c r="J318">
        <v>1</v>
      </c>
      <c r="K318">
        <f t="shared" si="203"/>
        <v>1401</v>
      </c>
      <c r="L318">
        <f t="shared" si="188"/>
        <v>101</v>
      </c>
      <c r="M318">
        <v>5000</v>
      </c>
      <c r="N318">
        <f t="shared" si="187"/>
        <v>5</v>
      </c>
      <c r="O318">
        <v>1</v>
      </c>
      <c r="P318">
        <f t="shared" si="204"/>
        <v>1401</v>
      </c>
      <c r="Q318">
        <v>59</v>
      </c>
      <c r="R318">
        <f t="shared" si="189"/>
        <v>103</v>
      </c>
      <c r="S318">
        <v>5000</v>
      </c>
      <c r="T318">
        <f t="shared" si="172"/>
        <v>5</v>
      </c>
      <c r="U318">
        <v>1</v>
      </c>
      <c r="V318">
        <f t="shared" si="205"/>
        <v>1402</v>
      </c>
      <c r="W318">
        <v>71</v>
      </c>
      <c r="X318">
        <f t="shared" si="190"/>
        <v>111</v>
      </c>
      <c r="Y318">
        <v>5000</v>
      </c>
      <c r="Z318">
        <f t="shared" si="173"/>
        <v>5</v>
      </c>
      <c r="AA318">
        <v>1</v>
      </c>
      <c r="AB318">
        <f t="shared" si="206"/>
        <v>1401</v>
      </c>
      <c r="AC318">
        <v>71</v>
      </c>
      <c r="AD318">
        <f t="shared" si="191"/>
        <v>112</v>
      </c>
      <c r="AE318">
        <v>5000</v>
      </c>
      <c r="AF318">
        <f t="shared" si="174"/>
        <v>5</v>
      </c>
      <c r="AG318">
        <v>1</v>
      </c>
      <c r="AH318">
        <f t="shared" si="207"/>
        <v>1401</v>
      </c>
      <c r="AI318">
        <v>79</v>
      </c>
      <c r="AJ318">
        <f t="shared" si="192"/>
        <v>113</v>
      </c>
      <c r="AP318" t="str">
        <f t="shared" si="175"/>
        <v>{5000,5,1,1401,101}</v>
      </c>
      <c r="AQ318" t="str">
        <f t="shared" si="176"/>
        <v>{5000,5,1,1401,103}</v>
      </c>
      <c r="AR318" t="str">
        <f t="shared" si="177"/>
        <v>{5000,5,1,1402,111}</v>
      </c>
      <c r="AS318" t="str">
        <f t="shared" si="178"/>
        <v>{5000,5,1,1401,112}</v>
      </c>
      <c r="AT318" t="str">
        <f t="shared" si="179"/>
        <v>{5000,5,1,1401,113}</v>
      </c>
      <c r="AU318" t="str">
        <f t="shared" si="180"/>
        <v/>
      </c>
      <c r="AV318">
        <v>2416</v>
      </c>
      <c r="AW318" t="str">
        <f t="shared" si="196"/>
        <v>[{5000,5,1,1401,101},{5000,5,1,1401,103},{5000,5,1,1402,111},{5000,5,1,1401,112},{5000,5,1,1401,113}]</v>
      </c>
    </row>
    <row r="319" spans="2:49">
      <c r="B319">
        <v>2417</v>
      </c>
      <c r="C319" t="s">
        <v>38</v>
      </c>
      <c r="D319" t="str">
        <f t="shared" si="182"/>
        <v>15</v>
      </c>
      <c r="F319">
        <v>91</v>
      </c>
      <c r="G319">
        <v>5000</v>
      </c>
      <c r="H319">
        <f t="shared" si="197"/>
        <v>4</v>
      </c>
      <c r="I319">
        <v>1</v>
      </c>
      <c r="J319">
        <v>1</v>
      </c>
      <c r="K319">
        <f t="shared" si="203"/>
        <v>1401</v>
      </c>
      <c r="L319">
        <f t="shared" si="188"/>
        <v>101</v>
      </c>
      <c r="M319">
        <v>5000</v>
      </c>
      <c r="N319">
        <f t="shared" si="187"/>
        <v>4</v>
      </c>
      <c r="O319">
        <v>1</v>
      </c>
      <c r="P319">
        <f t="shared" si="204"/>
        <v>1401</v>
      </c>
      <c r="Q319">
        <v>54</v>
      </c>
      <c r="R319">
        <f t="shared" si="189"/>
        <v>102</v>
      </c>
      <c r="S319">
        <v>5000</v>
      </c>
      <c r="T319">
        <f t="shared" si="172"/>
        <v>4</v>
      </c>
      <c r="U319">
        <v>1</v>
      </c>
      <c r="V319">
        <f t="shared" si="205"/>
        <v>1402</v>
      </c>
      <c r="W319">
        <v>51</v>
      </c>
      <c r="X319">
        <f t="shared" si="190"/>
        <v>103</v>
      </c>
      <c r="Y319">
        <v>5000</v>
      </c>
      <c r="Z319">
        <f t="shared" si="173"/>
        <v>4</v>
      </c>
      <c r="AA319">
        <v>1</v>
      </c>
      <c r="AB319">
        <f t="shared" si="206"/>
        <v>1401</v>
      </c>
      <c r="AC319">
        <v>71</v>
      </c>
      <c r="AD319">
        <f t="shared" si="191"/>
        <v>113</v>
      </c>
      <c r="AE319">
        <v>5000</v>
      </c>
      <c r="AF319">
        <f t="shared" si="174"/>
        <v>4</v>
      </c>
      <c r="AG319">
        <v>1</v>
      </c>
      <c r="AH319">
        <f t="shared" si="207"/>
        <v>1402</v>
      </c>
      <c r="AI319">
        <v>77</v>
      </c>
      <c r="AJ319">
        <f t="shared" si="192"/>
        <v>111</v>
      </c>
      <c r="AP319" t="str">
        <f t="shared" si="175"/>
        <v>{5000,4,1,1401,101}</v>
      </c>
      <c r="AQ319" t="str">
        <f t="shared" si="176"/>
        <v>{5000,4,1,1401,102}</v>
      </c>
      <c r="AR319" t="str">
        <f t="shared" si="177"/>
        <v>{5000,4,1,1402,103}</v>
      </c>
      <c r="AS319" t="str">
        <f t="shared" si="178"/>
        <v>{5000,4,1,1401,113}</v>
      </c>
      <c r="AT319" t="str">
        <f t="shared" si="179"/>
        <v>{5000,4,1,1402,111}</v>
      </c>
      <c r="AU319" t="str">
        <f t="shared" si="180"/>
        <v/>
      </c>
      <c r="AV319">
        <v>2417</v>
      </c>
      <c r="AW319" t="str">
        <f t="shared" si="196"/>
        <v>[{5000,4,1,1401,101},{5000,4,1,1401,102},{5000,4,1,1402,103},{5000,4,1,1401,113},{5000,4,1,1402,111}]</v>
      </c>
    </row>
    <row r="320" spans="2:49">
      <c r="B320">
        <v>2418</v>
      </c>
      <c r="C320" t="s">
        <v>38</v>
      </c>
      <c r="D320" t="str">
        <f t="shared" si="182"/>
        <v>15</v>
      </c>
      <c r="F320">
        <v>106</v>
      </c>
      <c r="G320">
        <v>5000</v>
      </c>
      <c r="H320">
        <f t="shared" si="197"/>
        <v>4</v>
      </c>
      <c r="I320">
        <v>1</v>
      </c>
      <c r="J320">
        <v>1</v>
      </c>
      <c r="K320">
        <f t="shared" si="203"/>
        <v>1401</v>
      </c>
      <c r="L320">
        <f t="shared" si="188"/>
        <v>101</v>
      </c>
      <c r="M320">
        <v>5000</v>
      </c>
      <c r="N320">
        <f t="shared" si="187"/>
        <v>4</v>
      </c>
      <c r="O320">
        <v>1</v>
      </c>
      <c r="P320">
        <f t="shared" si="204"/>
        <v>1401</v>
      </c>
      <c r="Q320">
        <v>55</v>
      </c>
      <c r="R320">
        <f t="shared" si="189"/>
        <v>103</v>
      </c>
      <c r="S320">
        <v>5000</v>
      </c>
      <c r="T320">
        <f t="shared" si="172"/>
        <v>4</v>
      </c>
      <c r="U320">
        <v>1</v>
      </c>
      <c r="V320">
        <f t="shared" si="205"/>
        <v>1402</v>
      </c>
      <c r="W320">
        <v>73</v>
      </c>
      <c r="X320">
        <f t="shared" si="190"/>
        <v>111</v>
      </c>
      <c r="Y320">
        <v>5000</v>
      </c>
      <c r="Z320">
        <f t="shared" si="173"/>
        <v>4</v>
      </c>
      <c r="AA320">
        <v>1</v>
      </c>
      <c r="AB320">
        <f t="shared" si="206"/>
        <v>1401</v>
      </c>
      <c r="AC320">
        <v>78</v>
      </c>
      <c r="AD320">
        <f t="shared" si="191"/>
        <v>112</v>
      </c>
      <c r="AE320">
        <v>5000</v>
      </c>
      <c r="AF320">
        <f t="shared" si="174"/>
        <v>4</v>
      </c>
      <c r="AG320">
        <v>1</v>
      </c>
      <c r="AH320">
        <f t="shared" si="207"/>
        <v>1402</v>
      </c>
      <c r="AI320">
        <v>71</v>
      </c>
      <c r="AJ320">
        <f t="shared" si="192"/>
        <v>113</v>
      </c>
      <c r="AP320" t="str">
        <f t="shared" si="175"/>
        <v>{5000,4,1,1401,101}</v>
      </c>
      <c r="AQ320" t="str">
        <f t="shared" si="176"/>
        <v>{5000,4,1,1401,103}</v>
      </c>
      <c r="AR320" t="str">
        <f t="shared" si="177"/>
        <v>{5000,4,1,1402,111}</v>
      </c>
      <c r="AS320" t="str">
        <f t="shared" si="178"/>
        <v>{5000,4,1,1401,112}</v>
      </c>
      <c r="AT320" t="str">
        <f t="shared" si="179"/>
        <v>{5000,4,1,1402,113}</v>
      </c>
      <c r="AU320" t="str">
        <f t="shared" si="180"/>
        <v/>
      </c>
      <c r="AV320">
        <v>2418</v>
      </c>
      <c r="AW320" t="str">
        <f t="shared" si="196"/>
        <v>[{5000,4,1,1401,101},{5000,4,1,1401,103},{5000,4,1,1402,111},{5000,4,1,1401,112},{5000,4,1,1402,113}]</v>
      </c>
    </row>
    <row r="321" spans="2:48">
      <c r="B321">
        <v>2419</v>
      </c>
      <c r="C321" t="s">
        <v>38</v>
      </c>
      <c r="D321" t="str">
        <f t="shared" si="182"/>
        <v>15</v>
      </c>
      <c r="F321">
        <v>119</v>
      </c>
      <c r="H321">
        <f t="shared" si="197"/>
        <v>0</v>
      </c>
      <c r="K321" t="str">
        <f t="shared" si="203"/>
        <v/>
      </c>
      <c r="L321" t="str">
        <f t="shared" si="188"/>
        <v/>
      </c>
      <c r="N321">
        <f t="shared" si="187"/>
        <v>0</v>
      </c>
      <c r="P321" t="str">
        <f t="shared" si="204"/>
        <v/>
      </c>
      <c r="R321" t="str">
        <f t="shared" si="189"/>
        <v/>
      </c>
      <c r="T321">
        <f t="shared" si="172"/>
        <v>0</v>
      </c>
      <c r="V321" t="str">
        <f t="shared" si="205"/>
        <v/>
      </c>
      <c r="X321" t="str">
        <f t="shared" si="190"/>
        <v/>
      </c>
      <c r="Z321">
        <f t="shared" si="173"/>
        <v>0</v>
      </c>
      <c r="AB321" t="str">
        <f t="shared" si="206"/>
        <v/>
      </c>
      <c r="AD321" t="str">
        <f t="shared" si="191"/>
        <v/>
      </c>
      <c r="AF321">
        <f t="shared" si="174"/>
        <v>0</v>
      </c>
      <c r="AH321" t="str">
        <f t="shared" si="207"/>
        <v/>
      </c>
      <c r="AJ321" t="str">
        <f t="shared" si="192"/>
        <v/>
      </c>
      <c r="AP321" t="str">
        <f t="shared" si="175"/>
        <v/>
      </c>
      <c r="AQ321" t="str">
        <f t="shared" si="176"/>
        <v/>
      </c>
      <c r="AR321" t="str">
        <f t="shared" si="177"/>
        <v/>
      </c>
      <c r="AS321" t="str">
        <f t="shared" si="178"/>
        <v/>
      </c>
      <c r="AT321" t="str">
        <f t="shared" si="179"/>
        <v/>
      </c>
      <c r="AU321" t="str">
        <f t="shared" si="180"/>
        <v/>
      </c>
      <c r="AV321">
        <v>2419</v>
      </c>
    </row>
    <row r="322" spans="2:49">
      <c r="B322">
        <v>2420</v>
      </c>
      <c r="C322" t="s">
        <v>38</v>
      </c>
      <c r="D322" t="str">
        <f t="shared" si="182"/>
        <v>15</v>
      </c>
      <c r="F322">
        <v>121</v>
      </c>
      <c r="G322">
        <v>5000</v>
      </c>
      <c r="H322">
        <f t="shared" si="197"/>
        <v>6</v>
      </c>
      <c r="I322">
        <v>1</v>
      </c>
      <c r="J322">
        <v>3</v>
      </c>
      <c r="K322">
        <f t="shared" si="203"/>
        <v>1403</v>
      </c>
      <c r="L322">
        <f t="shared" si="188"/>
        <v>101</v>
      </c>
      <c r="M322">
        <v>5000</v>
      </c>
      <c r="N322">
        <f t="shared" si="187"/>
        <v>6</v>
      </c>
      <c r="O322">
        <v>1</v>
      </c>
      <c r="P322">
        <f t="shared" si="204"/>
        <v>1403</v>
      </c>
      <c r="Q322">
        <v>54</v>
      </c>
      <c r="R322">
        <f t="shared" si="189"/>
        <v>102</v>
      </c>
      <c r="S322">
        <v>5000</v>
      </c>
      <c r="T322">
        <f t="shared" si="172"/>
        <v>6</v>
      </c>
      <c r="U322">
        <v>1</v>
      </c>
      <c r="V322">
        <f t="shared" si="205"/>
        <v>1403</v>
      </c>
      <c r="W322">
        <v>51</v>
      </c>
      <c r="X322">
        <f t="shared" si="190"/>
        <v>103</v>
      </c>
      <c r="Y322">
        <v>5000</v>
      </c>
      <c r="Z322">
        <f t="shared" si="173"/>
        <v>6</v>
      </c>
      <c r="AA322">
        <v>1</v>
      </c>
      <c r="AB322">
        <f t="shared" si="206"/>
        <v>1403</v>
      </c>
      <c r="AC322">
        <v>71</v>
      </c>
      <c r="AD322">
        <f t="shared" si="191"/>
        <v>113</v>
      </c>
      <c r="AE322">
        <v>5000</v>
      </c>
      <c r="AF322">
        <f t="shared" si="174"/>
        <v>6</v>
      </c>
      <c r="AG322">
        <v>1</v>
      </c>
      <c r="AH322">
        <f t="shared" si="207"/>
        <v>1403</v>
      </c>
      <c r="AI322">
        <v>79</v>
      </c>
      <c r="AJ322">
        <f t="shared" si="192"/>
        <v>111</v>
      </c>
      <c r="AK322">
        <v>1000</v>
      </c>
      <c r="AL322">
        <v>1</v>
      </c>
      <c r="AM322">
        <v>0</v>
      </c>
      <c r="AN322">
        <f t="shared" ref="AN322" si="208">AN299+100</f>
        <v>1421</v>
      </c>
      <c r="AO322">
        <v>4</v>
      </c>
      <c r="AP322" t="str">
        <f t="shared" si="175"/>
        <v>{5000,6,1,1403,101}</v>
      </c>
      <c r="AQ322" t="str">
        <f t="shared" si="176"/>
        <v>{5000,6,1,1403,102}</v>
      </c>
      <c r="AR322" t="str">
        <f t="shared" si="177"/>
        <v>{5000,6,1,1403,103}</v>
      </c>
      <c r="AS322" t="str">
        <f t="shared" si="178"/>
        <v>{5000,6,1,1403,113}</v>
      </c>
      <c r="AT322" t="str">
        <f t="shared" si="179"/>
        <v>{5000,6,1,1403,111}</v>
      </c>
      <c r="AU322" t="str">
        <f t="shared" si="180"/>
        <v>{1000,1,0,1421,4}</v>
      </c>
      <c r="AV322">
        <v>2420</v>
      </c>
      <c r="AW322" t="str">
        <f t="shared" ref="AW322:AW327" si="209">IF(AU322="","["&amp;_xlfn.TEXTJOIN(",",1,AP322:AT322)&amp;"]","["&amp;_xlfn.TEXTJOIN(",",1,AP322:AU322)&amp;"]")</f>
        <v>[{5000,6,1,1403,101},{5000,6,1,1403,102},{5000,6,1,1403,103},{5000,6,1,1403,113},{5000,6,1,1403,111},{1000,1,0,1421,4}]</v>
      </c>
    </row>
    <row r="323" spans="2:49">
      <c r="B323">
        <v>2421</v>
      </c>
      <c r="C323" t="s">
        <v>38</v>
      </c>
      <c r="D323" t="str">
        <f t="shared" si="182"/>
        <v>15</v>
      </c>
      <c r="F323">
        <v>136</v>
      </c>
      <c r="G323">
        <v>5000</v>
      </c>
      <c r="H323">
        <f t="shared" si="197"/>
        <v>5</v>
      </c>
      <c r="I323">
        <v>1</v>
      </c>
      <c r="J323">
        <v>1</v>
      </c>
      <c r="K323">
        <f t="shared" si="203"/>
        <v>1401</v>
      </c>
      <c r="L323">
        <f t="shared" si="188"/>
        <v>101</v>
      </c>
      <c r="M323">
        <v>5000</v>
      </c>
      <c r="N323">
        <f t="shared" si="187"/>
        <v>5</v>
      </c>
      <c r="O323">
        <v>1</v>
      </c>
      <c r="P323">
        <f t="shared" si="204"/>
        <v>1401</v>
      </c>
      <c r="Q323">
        <v>54</v>
      </c>
      <c r="R323">
        <f t="shared" si="189"/>
        <v>103</v>
      </c>
      <c r="S323">
        <v>5000</v>
      </c>
      <c r="T323">
        <f t="shared" ref="T323:T386" si="210">N323</f>
        <v>5</v>
      </c>
      <c r="U323">
        <v>1</v>
      </c>
      <c r="V323">
        <f t="shared" si="205"/>
        <v>1402</v>
      </c>
      <c r="W323">
        <v>76</v>
      </c>
      <c r="X323">
        <f t="shared" si="190"/>
        <v>111</v>
      </c>
      <c r="Y323">
        <v>5000</v>
      </c>
      <c r="Z323">
        <f t="shared" ref="Z323:Z386" si="211">T323</f>
        <v>5</v>
      </c>
      <c r="AA323">
        <v>1</v>
      </c>
      <c r="AB323">
        <f t="shared" si="206"/>
        <v>1401</v>
      </c>
      <c r="AC323">
        <v>72</v>
      </c>
      <c r="AD323">
        <f t="shared" si="191"/>
        <v>112</v>
      </c>
      <c r="AE323">
        <v>5000</v>
      </c>
      <c r="AF323">
        <f t="shared" ref="AF323:AF386" si="212">Z323</f>
        <v>5</v>
      </c>
      <c r="AG323">
        <v>1</v>
      </c>
      <c r="AH323">
        <f t="shared" si="207"/>
        <v>1402</v>
      </c>
      <c r="AI323">
        <v>74</v>
      </c>
      <c r="AJ323">
        <f t="shared" si="192"/>
        <v>113</v>
      </c>
      <c r="AP323" t="str">
        <f t="shared" ref="AP323:AP386" si="213">IF(G323="","",$AQ$1&amp;_xlfn.TEXTJOIN(",",1,G323:I323,K323,L323)&amp;$AR$1)</f>
        <v>{5000,5,1,1401,101}</v>
      </c>
      <c r="AQ323" t="str">
        <f t="shared" ref="AQ323:AQ386" si="214">IF(G323="","",$AQ$1&amp;_xlfn.TEXTJOIN(",",1,M323:P323,R323)&amp;$AR$1)</f>
        <v>{5000,5,1,1401,103}</v>
      </c>
      <c r="AR323" t="str">
        <f t="shared" ref="AR323:AR386" si="215">IF(G323="","",$AQ$1&amp;_xlfn.TEXTJOIN(",",1,S323:V323,X323)&amp;$AR$1)</f>
        <v>{5000,5,1,1402,111}</v>
      </c>
      <c r="AS323" t="str">
        <f t="shared" ref="AS323:AS386" si="216">IF(G323="","",$AQ$1&amp;_xlfn.TEXTJOIN(",",1,Y323:AB323,AD323)&amp;$AR$1)</f>
        <v>{5000,5,1,1401,112}</v>
      </c>
      <c r="AT323" t="str">
        <f t="shared" ref="AT323:AT386" si="217">IF(G323="","",$AQ$1&amp;_xlfn.TEXTJOIN(",",1,AE323:AH323,AJ323)&amp;$AR$1)</f>
        <v>{5000,5,1,1402,113}</v>
      </c>
      <c r="AU323" t="str">
        <f t="shared" ref="AU323:AU386" si="218">IF(AK323="","",IF(G323="","",$AQ$1&amp;_xlfn.TEXTJOIN(",",1,AK323:AO323)&amp;$AR$1))</f>
        <v/>
      </c>
      <c r="AV323">
        <v>2421</v>
      </c>
      <c r="AW323" t="str">
        <f t="shared" si="209"/>
        <v>[{5000,5,1,1401,101},{5000,5,1,1401,103},{5000,5,1,1402,111},{5000,5,1,1401,112},{5000,5,1,1402,113}]</v>
      </c>
    </row>
    <row r="324" spans="2:49">
      <c r="B324">
        <v>2422</v>
      </c>
      <c r="C324" t="s">
        <v>38</v>
      </c>
      <c r="D324" t="str">
        <f t="shared" si="182"/>
        <v>15</v>
      </c>
      <c r="F324">
        <v>151</v>
      </c>
      <c r="G324">
        <v>5000</v>
      </c>
      <c r="H324">
        <f t="shared" si="197"/>
        <v>5</v>
      </c>
      <c r="I324">
        <v>1</v>
      </c>
      <c r="J324">
        <v>1</v>
      </c>
      <c r="K324">
        <f t="shared" si="203"/>
        <v>1401</v>
      </c>
      <c r="L324">
        <f t="shared" si="188"/>
        <v>101</v>
      </c>
      <c r="M324">
        <v>5000</v>
      </c>
      <c r="N324">
        <f t="shared" si="187"/>
        <v>5</v>
      </c>
      <c r="O324">
        <v>1</v>
      </c>
      <c r="P324">
        <f t="shared" si="204"/>
        <v>1401</v>
      </c>
      <c r="Q324">
        <v>54</v>
      </c>
      <c r="R324">
        <f t="shared" si="189"/>
        <v>102</v>
      </c>
      <c r="S324">
        <v>5000</v>
      </c>
      <c r="T324">
        <f t="shared" si="210"/>
        <v>5</v>
      </c>
      <c r="U324">
        <v>1</v>
      </c>
      <c r="V324">
        <f t="shared" si="205"/>
        <v>1402</v>
      </c>
      <c r="W324">
        <v>56</v>
      </c>
      <c r="X324">
        <f t="shared" si="190"/>
        <v>103</v>
      </c>
      <c r="Y324">
        <v>5000</v>
      </c>
      <c r="Z324">
        <f t="shared" si="211"/>
        <v>5</v>
      </c>
      <c r="AA324">
        <v>1</v>
      </c>
      <c r="AB324">
        <f t="shared" si="206"/>
        <v>1401</v>
      </c>
      <c r="AC324">
        <v>72</v>
      </c>
      <c r="AD324">
        <f t="shared" si="191"/>
        <v>113</v>
      </c>
      <c r="AE324">
        <v>5000</v>
      </c>
      <c r="AF324">
        <f t="shared" si="212"/>
        <v>5</v>
      </c>
      <c r="AG324">
        <v>1</v>
      </c>
      <c r="AH324">
        <f t="shared" si="207"/>
        <v>1402</v>
      </c>
      <c r="AI324">
        <v>74</v>
      </c>
      <c r="AJ324">
        <f t="shared" si="192"/>
        <v>111</v>
      </c>
      <c r="AP324" t="str">
        <f t="shared" si="213"/>
        <v>{5000,5,1,1401,101}</v>
      </c>
      <c r="AQ324" t="str">
        <f t="shared" si="214"/>
        <v>{5000,5,1,1401,102}</v>
      </c>
      <c r="AR324" t="str">
        <f t="shared" si="215"/>
        <v>{5000,5,1,1402,103}</v>
      </c>
      <c r="AS324" t="str">
        <f t="shared" si="216"/>
        <v>{5000,5,1,1401,113}</v>
      </c>
      <c r="AT324" t="str">
        <f t="shared" si="217"/>
        <v>{5000,5,1,1402,111}</v>
      </c>
      <c r="AU324" t="str">
        <f t="shared" si="218"/>
        <v/>
      </c>
      <c r="AV324">
        <v>2422</v>
      </c>
      <c r="AW324" t="str">
        <f t="shared" si="209"/>
        <v>[{5000,5,1,1401,101},{5000,5,1,1401,102},{5000,5,1,1402,103},{5000,5,1,1401,113},{5000,5,1,1402,111}]</v>
      </c>
    </row>
    <row r="325" spans="2:49">
      <c r="B325">
        <v>2423</v>
      </c>
      <c r="C325" t="s">
        <v>38</v>
      </c>
      <c r="D325" t="str">
        <f t="shared" si="182"/>
        <v>15</v>
      </c>
      <c r="F325">
        <v>166</v>
      </c>
      <c r="G325">
        <v>5000</v>
      </c>
      <c r="H325">
        <f t="shared" si="197"/>
        <v>7</v>
      </c>
      <c r="I325">
        <v>1</v>
      </c>
      <c r="J325">
        <v>1</v>
      </c>
      <c r="K325">
        <f t="shared" si="203"/>
        <v>1401</v>
      </c>
      <c r="L325">
        <f t="shared" si="188"/>
        <v>101</v>
      </c>
      <c r="M325">
        <v>5000</v>
      </c>
      <c r="N325">
        <f t="shared" si="187"/>
        <v>7</v>
      </c>
      <c r="O325">
        <v>1</v>
      </c>
      <c r="P325">
        <f t="shared" si="204"/>
        <v>1401</v>
      </c>
      <c r="Q325">
        <v>59</v>
      </c>
      <c r="R325">
        <f t="shared" si="189"/>
        <v>103</v>
      </c>
      <c r="S325">
        <v>5000</v>
      </c>
      <c r="T325">
        <f t="shared" si="210"/>
        <v>7</v>
      </c>
      <c r="U325">
        <v>1</v>
      </c>
      <c r="V325">
        <f t="shared" si="205"/>
        <v>1402</v>
      </c>
      <c r="W325">
        <v>79</v>
      </c>
      <c r="X325">
        <f t="shared" si="190"/>
        <v>111</v>
      </c>
      <c r="Y325">
        <v>5000</v>
      </c>
      <c r="Z325">
        <f t="shared" si="211"/>
        <v>7</v>
      </c>
      <c r="AA325">
        <v>1</v>
      </c>
      <c r="AB325">
        <f t="shared" si="206"/>
        <v>1401</v>
      </c>
      <c r="AC325">
        <v>71</v>
      </c>
      <c r="AD325">
        <f t="shared" si="191"/>
        <v>112</v>
      </c>
      <c r="AE325">
        <v>5000</v>
      </c>
      <c r="AF325">
        <f t="shared" si="212"/>
        <v>7</v>
      </c>
      <c r="AG325">
        <v>1</v>
      </c>
      <c r="AH325">
        <f t="shared" si="207"/>
        <v>1402</v>
      </c>
      <c r="AI325">
        <v>74</v>
      </c>
      <c r="AJ325">
        <f t="shared" si="192"/>
        <v>113</v>
      </c>
      <c r="AP325" t="str">
        <f t="shared" si="213"/>
        <v>{5000,7,1,1401,101}</v>
      </c>
      <c r="AQ325" t="str">
        <f t="shared" si="214"/>
        <v>{5000,7,1,1401,103}</v>
      </c>
      <c r="AR325" t="str">
        <f t="shared" si="215"/>
        <v>{5000,7,1,1402,111}</v>
      </c>
      <c r="AS325" t="str">
        <f t="shared" si="216"/>
        <v>{5000,7,1,1401,112}</v>
      </c>
      <c r="AT325" t="str">
        <f t="shared" si="217"/>
        <v>{5000,7,1,1402,113}</v>
      </c>
      <c r="AU325" t="str">
        <f t="shared" si="218"/>
        <v/>
      </c>
      <c r="AV325">
        <v>2423</v>
      </c>
      <c r="AW325" t="str">
        <f t="shared" si="209"/>
        <v>[{5000,7,1,1401,101},{5000,7,1,1401,103},{5000,7,1,1402,111},{5000,7,1,1401,112},{5000,7,1,1402,113}]</v>
      </c>
    </row>
    <row r="326" spans="2:49">
      <c r="B326">
        <v>2424</v>
      </c>
      <c r="C326" t="s">
        <v>38</v>
      </c>
      <c r="D326" t="str">
        <f t="shared" si="182"/>
        <v>15</v>
      </c>
      <c r="F326">
        <v>181</v>
      </c>
      <c r="G326">
        <v>5000</v>
      </c>
      <c r="H326">
        <f t="shared" si="197"/>
        <v>7</v>
      </c>
      <c r="I326">
        <v>1</v>
      </c>
      <c r="J326">
        <v>3</v>
      </c>
      <c r="K326">
        <f t="shared" si="203"/>
        <v>1403</v>
      </c>
      <c r="L326">
        <f t="shared" si="188"/>
        <v>101</v>
      </c>
      <c r="M326">
        <v>5000</v>
      </c>
      <c r="N326">
        <f t="shared" si="187"/>
        <v>7</v>
      </c>
      <c r="O326">
        <v>1</v>
      </c>
      <c r="P326">
        <f t="shared" si="204"/>
        <v>1403</v>
      </c>
      <c r="Q326">
        <v>53</v>
      </c>
      <c r="R326">
        <f t="shared" si="189"/>
        <v>102</v>
      </c>
      <c r="S326">
        <v>5000</v>
      </c>
      <c r="T326">
        <f t="shared" si="210"/>
        <v>7</v>
      </c>
      <c r="U326">
        <v>1</v>
      </c>
      <c r="V326">
        <f t="shared" si="205"/>
        <v>1403</v>
      </c>
      <c r="W326">
        <v>56</v>
      </c>
      <c r="X326">
        <f t="shared" si="190"/>
        <v>103</v>
      </c>
      <c r="Y326">
        <v>5000</v>
      </c>
      <c r="Z326">
        <f t="shared" si="211"/>
        <v>7</v>
      </c>
      <c r="AA326">
        <v>1</v>
      </c>
      <c r="AB326">
        <f t="shared" si="206"/>
        <v>1403</v>
      </c>
      <c r="AC326">
        <v>75</v>
      </c>
      <c r="AD326">
        <f t="shared" si="191"/>
        <v>113</v>
      </c>
      <c r="AE326">
        <v>5000</v>
      </c>
      <c r="AF326">
        <f t="shared" si="212"/>
        <v>7</v>
      </c>
      <c r="AG326">
        <v>1</v>
      </c>
      <c r="AH326">
        <f t="shared" si="207"/>
        <v>1403</v>
      </c>
      <c r="AI326">
        <v>78</v>
      </c>
      <c r="AJ326">
        <f t="shared" si="192"/>
        <v>111</v>
      </c>
      <c r="AP326" t="str">
        <f t="shared" si="213"/>
        <v>{5000,7,1,1403,101}</v>
      </c>
      <c r="AQ326" t="str">
        <f t="shared" si="214"/>
        <v>{5000,7,1,1403,102}</v>
      </c>
      <c r="AR326" t="str">
        <f t="shared" si="215"/>
        <v>{5000,7,1,1403,103}</v>
      </c>
      <c r="AS326" t="str">
        <f t="shared" si="216"/>
        <v>{5000,7,1,1403,113}</v>
      </c>
      <c r="AT326" t="str">
        <f t="shared" si="217"/>
        <v>{5000,7,1,1403,111}</v>
      </c>
      <c r="AU326" t="str">
        <f t="shared" si="218"/>
        <v/>
      </c>
      <c r="AV326">
        <v>2424</v>
      </c>
      <c r="AW326" t="str">
        <f t="shared" si="209"/>
        <v>[{5000,7,1,1403,101},{5000,7,1,1403,102},{5000,7,1,1403,103},{5000,7,1,1403,113},{5000,7,1,1403,111}]</v>
      </c>
    </row>
    <row r="327" spans="2:49">
      <c r="B327">
        <v>2425</v>
      </c>
      <c r="C327" t="s">
        <v>38</v>
      </c>
      <c r="D327" t="str">
        <f t="shared" si="182"/>
        <v>15</v>
      </c>
      <c r="F327">
        <v>196</v>
      </c>
      <c r="G327">
        <v>5000</v>
      </c>
      <c r="H327">
        <f t="shared" si="197"/>
        <v>7</v>
      </c>
      <c r="I327">
        <v>1</v>
      </c>
      <c r="J327">
        <v>2</v>
      </c>
      <c r="K327">
        <f t="shared" si="203"/>
        <v>1402</v>
      </c>
      <c r="L327">
        <f t="shared" si="188"/>
        <v>101</v>
      </c>
      <c r="M327">
        <v>5000</v>
      </c>
      <c r="N327">
        <f t="shared" si="187"/>
        <v>7</v>
      </c>
      <c r="O327">
        <v>1</v>
      </c>
      <c r="P327">
        <f t="shared" si="204"/>
        <v>1401</v>
      </c>
      <c r="Q327">
        <v>54</v>
      </c>
      <c r="R327">
        <f t="shared" si="189"/>
        <v>103</v>
      </c>
      <c r="S327">
        <v>5000</v>
      </c>
      <c r="T327">
        <f t="shared" si="210"/>
        <v>7</v>
      </c>
      <c r="U327">
        <v>1</v>
      </c>
      <c r="V327">
        <f t="shared" si="205"/>
        <v>1402</v>
      </c>
      <c r="W327">
        <v>77</v>
      </c>
      <c r="X327">
        <f t="shared" si="190"/>
        <v>111</v>
      </c>
      <c r="Y327">
        <v>5000</v>
      </c>
      <c r="Z327">
        <f t="shared" si="211"/>
        <v>7</v>
      </c>
      <c r="AA327">
        <v>1</v>
      </c>
      <c r="AB327">
        <f t="shared" si="206"/>
        <v>1401</v>
      </c>
      <c r="AC327">
        <v>72</v>
      </c>
      <c r="AD327">
        <f t="shared" si="191"/>
        <v>112</v>
      </c>
      <c r="AE327">
        <v>5000</v>
      </c>
      <c r="AF327">
        <f t="shared" si="212"/>
        <v>7</v>
      </c>
      <c r="AG327">
        <v>1</v>
      </c>
      <c r="AH327">
        <f t="shared" si="207"/>
        <v>1402</v>
      </c>
      <c r="AI327">
        <v>74</v>
      </c>
      <c r="AJ327">
        <f t="shared" si="192"/>
        <v>113</v>
      </c>
      <c r="AP327" t="str">
        <f t="shared" si="213"/>
        <v>{5000,7,1,1402,101}</v>
      </c>
      <c r="AQ327" t="str">
        <f t="shared" si="214"/>
        <v>{5000,7,1,1401,103}</v>
      </c>
      <c r="AR327" t="str">
        <f t="shared" si="215"/>
        <v>{5000,7,1,1402,111}</v>
      </c>
      <c r="AS327" t="str">
        <f t="shared" si="216"/>
        <v>{5000,7,1,1401,112}</v>
      </c>
      <c r="AT327" t="str">
        <f t="shared" si="217"/>
        <v>{5000,7,1,1402,113}</v>
      </c>
      <c r="AU327" t="str">
        <f t="shared" si="218"/>
        <v/>
      </c>
      <c r="AV327">
        <v>2425</v>
      </c>
      <c r="AW327" t="str">
        <f t="shared" si="209"/>
        <v>[{5000,7,1,1402,101},{5000,7,1,1401,103},{5000,7,1,1402,111},{5000,7,1,1401,112},{5000,7,1,1402,113}]</v>
      </c>
    </row>
    <row r="328" spans="2:48">
      <c r="B328">
        <v>2426</v>
      </c>
      <c r="C328" t="s">
        <v>38</v>
      </c>
      <c r="D328" t="str">
        <f t="shared" ref="D328:D391" si="219">RIGHT(C328,2)</f>
        <v>15</v>
      </c>
      <c r="F328">
        <v>209</v>
      </c>
      <c r="H328">
        <f t="shared" si="197"/>
        <v>0</v>
      </c>
      <c r="K328" t="str">
        <f t="shared" si="203"/>
        <v/>
      </c>
      <c r="L328" t="str">
        <f t="shared" si="188"/>
        <v/>
      </c>
      <c r="N328">
        <f t="shared" si="187"/>
        <v>0</v>
      </c>
      <c r="P328" t="str">
        <f t="shared" si="204"/>
        <v/>
      </c>
      <c r="R328" t="str">
        <f t="shared" si="189"/>
        <v/>
      </c>
      <c r="T328">
        <f t="shared" si="210"/>
        <v>0</v>
      </c>
      <c r="V328" t="str">
        <f t="shared" si="205"/>
        <v/>
      </c>
      <c r="X328" t="str">
        <f t="shared" si="190"/>
        <v/>
      </c>
      <c r="Z328">
        <f t="shared" si="211"/>
        <v>0</v>
      </c>
      <c r="AB328" t="str">
        <f t="shared" si="206"/>
        <v/>
      </c>
      <c r="AD328" t="str">
        <f t="shared" si="191"/>
        <v/>
      </c>
      <c r="AF328">
        <f t="shared" si="212"/>
        <v>0</v>
      </c>
      <c r="AH328" t="str">
        <f t="shared" si="207"/>
        <v/>
      </c>
      <c r="AJ328" t="str">
        <f t="shared" si="192"/>
        <v/>
      </c>
      <c r="AP328" t="str">
        <f t="shared" si="213"/>
        <v/>
      </c>
      <c r="AQ328" t="str">
        <f t="shared" si="214"/>
        <v/>
      </c>
      <c r="AR328" t="str">
        <f t="shared" si="215"/>
        <v/>
      </c>
      <c r="AS328" t="str">
        <f t="shared" si="216"/>
        <v/>
      </c>
      <c r="AT328" t="str">
        <f t="shared" si="217"/>
        <v/>
      </c>
      <c r="AU328" t="str">
        <f t="shared" si="218"/>
        <v/>
      </c>
      <c r="AV328">
        <v>2426</v>
      </c>
    </row>
    <row r="329" spans="2:49">
      <c r="B329">
        <v>2427</v>
      </c>
      <c r="C329" t="s">
        <v>38</v>
      </c>
      <c r="D329" t="str">
        <f t="shared" si="219"/>
        <v>15</v>
      </c>
      <c r="F329">
        <v>211</v>
      </c>
      <c r="G329">
        <v>5000</v>
      </c>
      <c r="H329">
        <f t="shared" si="197"/>
        <v>7</v>
      </c>
      <c r="I329">
        <v>1</v>
      </c>
      <c r="J329">
        <v>2</v>
      </c>
      <c r="K329">
        <f t="shared" si="203"/>
        <v>1402</v>
      </c>
      <c r="L329">
        <f t="shared" si="188"/>
        <v>101</v>
      </c>
      <c r="M329">
        <v>5000</v>
      </c>
      <c r="N329">
        <f t="shared" si="187"/>
        <v>7</v>
      </c>
      <c r="O329">
        <v>1</v>
      </c>
      <c r="P329">
        <f t="shared" si="204"/>
        <v>1401</v>
      </c>
      <c r="Q329">
        <v>51</v>
      </c>
      <c r="R329">
        <f t="shared" si="189"/>
        <v>102</v>
      </c>
      <c r="S329">
        <v>5000</v>
      </c>
      <c r="T329">
        <f t="shared" si="210"/>
        <v>7</v>
      </c>
      <c r="U329">
        <v>1</v>
      </c>
      <c r="V329">
        <f t="shared" si="205"/>
        <v>1402</v>
      </c>
      <c r="W329">
        <v>57</v>
      </c>
      <c r="X329">
        <f t="shared" si="190"/>
        <v>103</v>
      </c>
      <c r="Y329">
        <v>5000</v>
      </c>
      <c r="Z329">
        <f t="shared" si="211"/>
        <v>7</v>
      </c>
      <c r="AA329">
        <v>1</v>
      </c>
      <c r="AB329">
        <f t="shared" si="206"/>
        <v>1401</v>
      </c>
      <c r="AC329">
        <v>79</v>
      </c>
      <c r="AD329">
        <f t="shared" si="191"/>
        <v>113</v>
      </c>
      <c r="AE329">
        <v>5000</v>
      </c>
      <c r="AF329">
        <f t="shared" si="212"/>
        <v>7</v>
      </c>
      <c r="AG329">
        <v>1</v>
      </c>
      <c r="AH329">
        <f t="shared" si="207"/>
        <v>1402</v>
      </c>
      <c r="AI329">
        <v>72</v>
      </c>
      <c r="AJ329">
        <f t="shared" si="192"/>
        <v>111</v>
      </c>
      <c r="AK329">
        <v>1000</v>
      </c>
      <c r="AL329">
        <v>1</v>
      </c>
      <c r="AM329">
        <v>0</v>
      </c>
      <c r="AN329">
        <f t="shared" ref="AN329" si="220">AN306+100</f>
        <v>1431</v>
      </c>
      <c r="AO329">
        <v>4</v>
      </c>
      <c r="AP329" t="str">
        <f t="shared" si="213"/>
        <v>{5000,7,1,1402,101}</v>
      </c>
      <c r="AQ329" t="str">
        <f t="shared" si="214"/>
        <v>{5000,7,1,1401,102}</v>
      </c>
      <c r="AR329" t="str">
        <f t="shared" si="215"/>
        <v>{5000,7,1,1402,103}</v>
      </c>
      <c r="AS329" t="str">
        <f t="shared" si="216"/>
        <v>{5000,7,1,1401,113}</v>
      </c>
      <c r="AT329" t="str">
        <f t="shared" si="217"/>
        <v>{5000,7,1,1402,111}</v>
      </c>
      <c r="AU329" t="str">
        <f t="shared" si="218"/>
        <v>{1000,1,0,1431,4}</v>
      </c>
      <c r="AV329">
        <v>2427</v>
      </c>
      <c r="AW329" t="str">
        <f t="shared" ref="AW329:AW343" si="221">IF(AU329="","["&amp;_xlfn.TEXTJOIN(",",1,AP329:AT329)&amp;"]","["&amp;_xlfn.TEXTJOIN(",",1,AP329:AU329)&amp;"]")</f>
        <v>[{5000,7,1,1402,101},{5000,7,1,1401,102},{5000,7,1,1402,103},{5000,7,1,1401,113},{5000,7,1,1402,111},{1000,1,0,1431,4}]</v>
      </c>
    </row>
    <row r="330" spans="2:49">
      <c r="B330">
        <v>2428</v>
      </c>
      <c r="C330" t="s">
        <v>38</v>
      </c>
      <c r="D330" t="str">
        <f t="shared" si="219"/>
        <v>15</v>
      </c>
      <c r="F330">
        <v>226</v>
      </c>
      <c r="G330">
        <v>5000</v>
      </c>
      <c r="H330">
        <f t="shared" si="197"/>
        <v>7</v>
      </c>
      <c r="I330">
        <v>1</v>
      </c>
      <c r="J330">
        <v>2</v>
      </c>
      <c r="K330">
        <f t="shared" si="203"/>
        <v>1402</v>
      </c>
      <c r="L330">
        <f t="shared" si="188"/>
        <v>101</v>
      </c>
      <c r="M330">
        <v>5000</v>
      </c>
      <c r="N330">
        <f t="shared" si="187"/>
        <v>7</v>
      </c>
      <c r="O330">
        <v>1</v>
      </c>
      <c r="P330">
        <f t="shared" si="204"/>
        <v>1401</v>
      </c>
      <c r="Q330">
        <v>51</v>
      </c>
      <c r="R330">
        <f t="shared" si="189"/>
        <v>103</v>
      </c>
      <c r="S330">
        <v>5000</v>
      </c>
      <c r="T330">
        <f t="shared" si="210"/>
        <v>7</v>
      </c>
      <c r="U330">
        <v>1</v>
      </c>
      <c r="V330">
        <f t="shared" si="205"/>
        <v>1402</v>
      </c>
      <c r="W330">
        <v>75</v>
      </c>
      <c r="X330">
        <f t="shared" si="190"/>
        <v>111</v>
      </c>
      <c r="Y330">
        <v>5000</v>
      </c>
      <c r="Z330">
        <f t="shared" si="211"/>
        <v>7</v>
      </c>
      <c r="AA330">
        <v>1</v>
      </c>
      <c r="AB330">
        <f t="shared" si="206"/>
        <v>1401</v>
      </c>
      <c r="AC330">
        <v>71</v>
      </c>
      <c r="AD330">
        <f t="shared" si="191"/>
        <v>112</v>
      </c>
      <c r="AE330">
        <v>5000</v>
      </c>
      <c r="AF330">
        <f t="shared" si="212"/>
        <v>7</v>
      </c>
      <c r="AG330">
        <v>1</v>
      </c>
      <c r="AH330">
        <f t="shared" si="207"/>
        <v>1402</v>
      </c>
      <c r="AI330">
        <v>77</v>
      </c>
      <c r="AJ330">
        <f t="shared" si="192"/>
        <v>113</v>
      </c>
      <c r="AP330" t="str">
        <f t="shared" si="213"/>
        <v>{5000,7,1,1402,101}</v>
      </c>
      <c r="AQ330" t="str">
        <f t="shared" si="214"/>
        <v>{5000,7,1,1401,103}</v>
      </c>
      <c r="AR330" t="str">
        <f t="shared" si="215"/>
        <v>{5000,7,1,1402,111}</v>
      </c>
      <c r="AS330" t="str">
        <f t="shared" si="216"/>
        <v>{5000,7,1,1401,112}</v>
      </c>
      <c r="AT330" t="str">
        <f t="shared" si="217"/>
        <v>{5000,7,1,1402,113}</v>
      </c>
      <c r="AU330" t="str">
        <f t="shared" si="218"/>
        <v/>
      </c>
      <c r="AV330">
        <v>2428</v>
      </c>
      <c r="AW330" t="str">
        <f t="shared" si="221"/>
        <v>[{5000,7,1,1402,101},{5000,7,1,1401,103},{5000,7,1,1402,111},{5000,7,1,1401,112},{5000,7,1,1402,113}]</v>
      </c>
    </row>
    <row r="331" spans="2:49">
      <c r="B331">
        <v>2429</v>
      </c>
      <c r="C331" t="s">
        <v>38</v>
      </c>
      <c r="D331" t="str">
        <f t="shared" si="219"/>
        <v>15</v>
      </c>
      <c r="F331">
        <v>241</v>
      </c>
      <c r="G331">
        <v>5000</v>
      </c>
      <c r="H331">
        <f t="shared" si="197"/>
        <v>9</v>
      </c>
      <c r="I331">
        <v>1</v>
      </c>
      <c r="J331">
        <v>3</v>
      </c>
      <c r="K331">
        <f t="shared" si="203"/>
        <v>1403</v>
      </c>
      <c r="L331">
        <f t="shared" si="188"/>
        <v>101</v>
      </c>
      <c r="M331">
        <v>5000</v>
      </c>
      <c r="N331">
        <f t="shared" si="187"/>
        <v>9</v>
      </c>
      <c r="O331">
        <v>1</v>
      </c>
      <c r="P331">
        <f t="shared" si="204"/>
        <v>1403</v>
      </c>
      <c r="Q331">
        <v>53</v>
      </c>
      <c r="R331">
        <f t="shared" si="189"/>
        <v>102</v>
      </c>
      <c r="S331">
        <v>5000</v>
      </c>
      <c r="T331">
        <f t="shared" si="210"/>
        <v>9</v>
      </c>
      <c r="U331">
        <v>1</v>
      </c>
      <c r="V331">
        <f t="shared" si="205"/>
        <v>1403</v>
      </c>
      <c r="W331">
        <v>56</v>
      </c>
      <c r="X331">
        <f t="shared" si="190"/>
        <v>103</v>
      </c>
      <c r="Y331">
        <v>5000</v>
      </c>
      <c r="Z331">
        <f t="shared" si="211"/>
        <v>9</v>
      </c>
      <c r="AA331">
        <v>1</v>
      </c>
      <c r="AB331">
        <f t="shared" si="206"/>
        <v>1403</v>
      </c>
      <c r="AC331">
        <v>74</v>
      </c>
      <c r="AD331">
        <f t="shared" si="191"/>
        <v>113</v>
      </c>
      <c r="AE331">
        <v>5000</v>
      </c>
      <c r="AF331">
        <f t="shared" si="212"/>
        <v>9</v>
      </c>
      <c r="AG331">
        <v>1</v>
      </c>
      <c r="AH331">
        <f t="shared" si="207"/>
        <v>1403</v>
      </c>
      <c r="AI331">
        <v>78</v>
      </c>
      <c r="AJ331">
        <f t="shared" si="192"/>
        <v>111</v>
      </c>
      <c r="AP331" t="str">
        <f t="shared" si="213"/>
        <v>{5000,9,1,1403,101}</v>
      </c>
      <c r="AQ331" t="str">
        <f t="shared" si="214"/>
        <v>{5000,9,1,1403,102}</v>
      </c>
      <c r="AR331" t="str">
        <f t="shared" si="215"/>
        <v>{5000,9,1,1403,103}</v>
      </c>
      <c r="AS331" t="str">
        <f t="shared" si="216"/>
        <v>{5000,9,1,1403,113}</v>
      </c>
      <c r="AT331" t="str">
        <f t="shared" si="217"/>
        <v>{5000,9,1,1403,111}</v>
      </c>
      <c r="AU331" t="str">
        <f t="shared" si="218"/>
        <v/>
      </c>
      <c r="AV331">
        <v>2429</v>
      </c>
      <c r="AW331" t="str">
        <f t="shared" si="221"/>
        <v>[{5000,9,1,1403,101},{5000,9,1,1403,102},{5000,9,1,1403,103},{5000,9,1,1403,113},{5000,9,1,1403,111}]</v>
      </c>
    </row>
    <row r="332" spans="2:49">
      <c r="B332">
        <v>2430</v>
      </c>
      <c r="C332" t="s">
        <v>38</v>
      </c>
      <c r="D332" t="str">
        <f t="shared" si="219"/>
        <v>15</v>
      </c>
      <c r="F332">
        <v>256</v>
      </c>
      <c r="G332">
        <v>5000</v>
      </c>
      <c r="H332">
        <f t="shared" si="197"/>
        <v>8</v>
      </c>
      <c r="I332">
        <v>1</v>
      </c>
      <c r="J332">
        <v>2</v>
      </c>
      <c r="K332">
        <f t="shared" si="203"/>
        <v>1402</v>
      </c>
      <c r="L332">
        <f t="shared" si="188"/>
        <v>101</v>
      </c>
      <c r="M332">
        <v>5000</v>
      </c>
      <c r="N332">
        <f t="shared" si="187"/>
        <v>8</v>
      </c>
      <c r="O332">
        <v>1</v>
      </c>
      <c r="P332">
        <f t="shared" si="204"/>
        <v>1402</v>
      </c>
      <c r="Q332">
        <v>59</v>
      </c>
      <c r="R332">
        <f t="shared" si="189"/>
        <v>103</v>
      </c>
      <c r="S332">
        <v>5000</v>
      </c>
      <c r="T332">
        <f t="shared" si="210"/>
        <v>8</v>
      </c>
      <c r="U332">
        <v>1</v>
      </c>
      <c r="V332">
        <f t="shared" si="205"/>
        <v>1402</v>
      </c>
      <c r="W332">
        <v>79</v>
      </c>
      <c r="X332">
        <f t="shared" si="190"/>
        <v>111</v>
      </c>
      <c r="Y332">
        <v>5000</v>
      </c>
      <c r="Z332">
        <f t="shared" si="211"/>
        <v>8</v>
      </c>
      <c r="AA332">
        <v>1</v>
      </c>
      <c r="AB332">
        <f t="shared" si="206"/>
        <v>1401</v>
      </c>
      <c r="AC332">
        <v>72</v>
      </c>
      <c r="AD332">
        <f t="shared" si="191"/>
        <v>112</v>
      </c>
      <c r="AE332">
        <v>5000</v>
      </c>
      <c r="AF332">
        <f t="shared" si="212"/>
        <v>8</v>
      </c>
      <c r="AG332">
        <v>1</v>
      </c>
      <c r="AH332">
        <f t="shared" si="207"/>
        <v>1402</v>
      </c>
      <c r="AI332">
        <v>74</v>
      </c>
      <c r="AJ332">
        <f t="shared" si="192"/>
        <v>113</v>
      </c>
      <c r="AP332" t="str">
        <f t="shared" si="213"/>
        <v>{5000,8,1,1402,101}</v>
      </c>
      <c r="AQ332" t="str">
        <f t="shared" si="214"/>
        <v>{5000,8,1,1402,103}</v>
      </c>
      <c r="AR332" t="str">
        <f t="shared" si="215"/>
        <v>{5000,8,1,1402,111}</v>
      </c>
      <c r="AS332" t="str">
        <f t="shared" si="216"/>
        <v>{5000,8,1,1401,112}</v>
      </c>
      <c r="AT332" t="str">
        <f t="shared" si="217"/>
        <v>{5000,8,1,1402,113}</v>
      </c>
      <c r="AU332" t="str">
        <f t="shared" si="218"/>
        <v/>
      </c>
      <c r="AV332">
        <v>2430</v>
      </c>
      <c r="AW332" t="str">
        <f t="shared" si="221"/>
        <v>[{5000,8,1,1402,101},{5000,8,1,1402,103},{5000,8,1,1402,111},{5000,8,1,1401,112},{5000,8,1,1402,113}]</v>
      </c>
    </row>
    <row r="333" spans="2:49">
      <c r="B333">
        <v>2431</v>
      </c>
      <c r="C333" t="s">
        <v>38</v>
      </c>
      <c r="D333" t="str">
        <f t="shared" si="219"/>
        <v>15</v>
      </c>
      <c r="F333">
        <v>271</v>
      </c>
      <c r="G333">
        <v>5000</v>
      </c>
      <c r="H333">
        <f t="shared" si="197"/>
        <v>8</v>
      </c>
      <c r="I333">
        <v>1</v>
      </c>
      <c r="J333">
        <v>2</v>
      </c>
      <c r="K333">
        <f t="shared" si="203"/>
        <v>1402</v>
      </c>
      <c r="L333">
        <f t="shared" si="188"/>
        <v>101</v>
      </c>
      <c r="M333">
        <v>5000</v>
      </c>
      <c r="N333">
        <f t="shared" si="187"/>
        <v>8</v>
      </c>
      <c r="O333">
        <v>1</v>
      </c>
      <c r="P333">
        <f t="shared" si="204"/>
        <v>1402</v>
      </c>
      <c r="Q333">
        <v>54</v>
      </c>
      <c r="R333">
        <f t="shared" si="189"/>
        <v>102</v>
      </c>
      <c r="S333">
        <v>5000</v>
      </c>
      <c r="T333">
        <f t="shared" si="210"/>
        <v>8</v>
      </c>
      <c r="U333">
        <v>1</v>
      </c>
      <c r="V333">
        <f t="shared" si="205"/>
        <v>1402</v>
      </c>
      <c r="W333">
        <v>56</v>
      </c>
      <c r="X333">
        <f t="shared" si="190"/>
        <v>103</v>
      </c>
      <c r="Y333">
        <v>5000</v>
      </c>
      <c r="Z333">
        <f t="shared" si="211"/>
        <v>8</v>
      </c>
      <c r="AA333">
        <v>1</v>
      </c>
      <c r="AB333">
        <f t="shared" si="206"/>
        <v>1402</v>
      </c>
      <c r="AC333">
        <v>73</v>
      </c>
      <c r="AD333">
        <f t="shared" si="191"/>
        <v>113</v>
      </c>
      <c r="AE333">
        <v>5000</v>
      </c>
      <c r="AF333">
        <f t="shared" si="212"/>
        <v>8</v>
      </c>
      <c r="AG333">
        <v>1</v>
      </c>
      <c r="AH333">
        <f t="shared" si="207"/>
        <v>1402</v>
      </c>
      <c r="AI333">
        <v>75</v>
      </c>
      <c r="AJ333">
        <f t="shared" si="192"/>
        <v>111</v>
      </c>
      <c r="AP333" t="str">
        <f t="shared" si="213"/>
        <v>{5000,8,1,1402,101}</v>
      </c>
      <c r="AQ333" t="str">
        <f t="shared" si="214"/>
        <v>{5000,8,1,1402,102}</v>
      </c>
      <c r="AR333" t="str">
        <f t="shared" si="215"/>
        <v>{5000,8,1,1402,103}</v>
      </c>
      <c r="AS333" t="str">
        <f t="shared" si="216"/>
        <v>{5000,8,1,1402,113}</v>
      </c>
      <c r="AT333" t="str">
        <f t="shared" si="217"/>
        <v>{5000,8,1,1402,111}</v>
      </c>
      <c r="AU333" t="str">
        <f t="shared" si="218"/>
        <v/>
      </c>
      <c r="AV333">
        <v>2431</v>
      </c>
      <c r="AW333" t="str">
        <f t="shared" si="221"/>
        <v>[{5000,8,1,1402,101},{5000,8,1,1402,102},{5000,8,1,1402,103},{5000,8,1,1402,113},{5000,8,1,1402,111}]</v>
      </c>
    </row>
    <row r="334" spans="2:49">
      <c r="B334">
        <v>2432</v>
      </c>
      <c r="C334" t="s">
        <v>38</v>
      </c>
      <c r="D334" t="str">
        <f t="shared" si="219"/>
        <v>15</v>
      </c>
      <c r="F334">
        <v>286</v>
      </c>
      <c r="G334">
        <v>5000</v>
      </c>
      <c r="H334">
        <f t="shared" si="197"/>
        <v>8</v>
      </c>
      <c r="I334">
        <v>1</v>
      </c>
      <c r="J334">
        <v>2</v>
      </c>
      <c r="K334">
        <f t="shared" si="203"/>
        <v>1402</v>
      </c>
      <c r="L334">
        <f t="shared" si="188"/>
        <v>101</v>
      </c>
      <c r="M334">
        <v>5000</v>
      </c>
      <c r="N334">
        <f t="shared" si="187"/>
        <v>8</v>
      </c>
      <c r="O334">
        <v>1</v>
      </c>
      <c r="P334">
        <f t="shared" si="204"/>
        <v>1402</v>
      </c>
      <c r="Q334">
        <v>53</v>
      </c>
      <c r="R334">
        <f t="shared" si="189"/>
        <v>103</v>
      </c>
      <c r="S334">
        <v>5000</v>
      </c>
      <c r="T334">
        <f t="shared" si="210"/>
        <v>8</v>
      </c>
      <c r="U334">
        <v>1</v>
      </c>
      <c r="V334">
        <f t="shared" si="205"/>
        <v>1402</v>
      </c>
      <c r="W334">
        <v>59</v>
      </c>
      <c r="X334">
        <f t="shared" si="190"/>
        <v>111</v>
      </c>
      <c r="Y334">
        <v>5000</v>
      </c>
      <c r="Z334">
        <f t="shared" si="211"/>
        <v>8</v>
      </c>
      <c r="AA334">
        <v>1</v>
      </c>
      <c r="AB334">
        <f t="shared" si="206"/>
        <v>1402</v>
      </c>
      <c r="AC334">
        <v>71</v>
      </c>
      <c r="AD334">
        <f t="shared" si="191"/>
        <v>112</v>
      </c>
      <c r="AE334">
        <v>5000</v>
      </c>
      <c r="AF334">
        <f t="shared" si="212"/>
        <v>8</v>
      </c>
      <c r="AG334">
        <v>1</v>
      </c>
      <c r="AH334">
        <f t="shared" si="207"/>
        <v>1402</v>
      </c>
      <c r="AI334">
        <v>77</v>
      </c>
      <c r="AJ334">
        <f t="shared" si="192"/>
        <v>113</v>
      </c>
      <c r="AP334" t="str">
        <f t="shared" si="213"/>
        <v>{5000,8,1,1402,101}</v>
      </c>
      <c r="AQ334" t="str">
        <f t="shared" si="214"/>
        <v>{5000,8,1,1402,103}</v>
      </c>
      <c r="AR334" t="str">
        <f t="shared" si="215"/>
        <v>{5000,8,1,1402,111}</v>
      </c>
      <c r="AS334" t="str">
        <f t="shared" si="216"/>
        <v>{5000,8,1,1402,112}</v>
      </c>
      <c r="AT334" t="str">
        <f t="shared" si="217"/>
        <v>{5000,8,1,1402,113}</v>
      </c>
      <c r="AU334" t="str">
        <f t="shared" si="218"/>
        <v/>
      </c>
      <c r="AV334">
        <v>2432</v>
      </c>
      <c r="AW334" t="str">
        <f t="shared" si="221"/>
        <v>[{5000,8,1,1402,101},{5000,8,1,1402,103},{5000,8,1,1402,111},{5000,8,1,1402,112},{5000,8,1,1402,113}]</v>
      </c>
    </row>
    <row r="335" spans="2:49">
      <c r="B335">
        <v>2433</v>
      </c>
      <c r="C335" t="s">
        <v>38</v>
      </c>
      <c r="D335" t="str">
        <f t="shared" si="219"/>
        <v>15</v>
      </c>
      <c r="F335">
        <v>290</v>
      </c>
      <c r="G335">
        <v>5000</v>
      </c>
      <c r="H335">
        <f t="shared" si="197"/>
        <v>8</v>
      </c>
      <c r="I335">
        <v>1</v>
      </c>
      <c r="J335">
        <v>2</v>
      </c>
      <c r="K335">
        <f t="shared" si="203"/>
        <v>1402</v>
      </c>
      <c r="L335">
        <f t="shared" si="188"/>
        <v>101</v>
      </c>
      <c r="M335">
        <v>5000</v>
      </c>
      <c r="N335">
        <f t="shared" si="187"/>
        <v>8</v>
      </c>
      <c r="O335">
        <v>1</v>
      </c>
      <c r="P335">
        <f t="shared" si="204"/>
        <v>1402</v>
      </c>
      <c r="Q335">
        <v>56</v>
      </c>
      <c r="R335">
        <f t="shared" si="189"/>
        <v>102</v>
      </c>
      <c r="S335">
        <v>5000</v>
      </c>
      <c r="T335">
        <f t="shared" si="210"/>
        <v>8</v>
      </c>
      <c r="U335">
        <v>1</v>
      </c>
      <c r="V335">
        <f t="shared" si="205"/>
        <v>1401</v>
      </c>
      <c r="W335">
        <v>77</v>
      </c>
      <c r="X335">
        <f t="shared" si="190"/>
        <v>103</v>
      </c>
      <c r="Y335">
        <v>5000</v>
      </c>
      <c r="Z335">
        <f t="shared" si="211"/>
        <v>8</v>
      </c>
      <c r="AA335">
        <v>1</v>
      </c>
      <c r="AB335">
        <f t="shared" si="206"/>
        <v>1402</v>
      </c>
      <c r="AC335">
        <v>72</v>
      </c>
      <c r="AD335">
        <f t="shared" si="191"/>
        <v>113</v>
      </c>
      <c r="AE335">
        <v>5000</v>
      </c>
      <c r="AF335">
        <f t="shared" si="212"/>
        <v>8</v>
      </c>
      <c r="AG335">
        <v>1</v>
      </c>
      <c r="AH335">
        <f t="shared" si="207"/>
        <v>1402</v>
      </c>
      <c r="AI335">
        <v>74</v>
      </c>
      <c r="AJ335">
        <f t="shared" si="192"/>
        <v>111</v>
      </c>
      <c r="AP335" t="str">
        <f t="shared" si="213"/>
        <v>{5000,8,1,1402,101}</v>
      </c>
      <c r="AQ335" t="str">
        <f t="shared" si="214"/>
        <v>{5000,8,1,1402,102}</v>
      </c>
      <c r="AR335" t="str">
        <f t="shared" si="215"/>
        <v>{5000,8,1,1401,103}</v>
      </c>
      <c r="AS335" t="str">
        <f t="shared" si="216"/>
        <v>{5000,8,1,1402,113}</v>
      </c>
      <c r="AT335" t="str">
        <f t="shared" si="217"/>
        <v>{5000,8,1,1402,111}</v>
      </c>
      <c r="AU335" t="str">
        <f t="shared" si="218"/>
        <v/>
      </c>
      <c r="AV335">
        <v>2433</v>
      </c>
      <c r="AW335" t="str">
        <f t="shared" si="221"/>
        <v>[{5000,8,1,1402,101},{5000,8,1,1402,102},{5000,8,1,1401,103},{5000,8,1,1402,113},{5000,8,1,1402,111}]</v>
      </c>
    </row>
    <row r="336" spans="2:49">
      <c r="B336">
        <v>2511</v>
      </c>
      <c r="C336" t="s">
        <v>39</v>
      </c>
      <c r="D336" s="4" t="str">
        <f t="shared" si="219"/>
        <v>16</v>
      </c>
      <c r="E336" s="4"/>
      <c r="F336">
        <v>1</v>
      </c>
      <c r="G336">
        <v>5000</v>
      </c>
      <c r="H336">
        <f t="shared" si="197"/>
        <v>2</v>
      </c>
      <c r="I336">
        <v>1</v>
      </c>
      <c r="J336">
        <v>1</v>
      </c>
      <c r="K336">
        <f t="shared" si="203"/>
        <v>1501</v>
      </c>
      <c r="L336">
        <f t="shared" si="188"/>
        <v>101</v>
      </c>
      <c r="M336">
        <v>5000</v>
      </c>
      <c r="N336">
        <f t="shared" si="187"/>
        <v>2</v>
      </c>
      <c r="O336">
        <v>1</v>
      </c>
      <c r="P336">
        <f t="shared" si="204"/>
        <v>1501</v>
      </c>
      <c r="Q336">
        <v>55</v>
      </c>
      <c r="R336">
        <f t="shared" si="189"/>
        <v>102</v>
      </c>
      <c r="S336">
        <v>5000</v>
      </c>
      <c r="T336">
        <f t="shared" si="210"/>
        <v>2</v>
      </c>
      <c r="U336">
        <v>1</v>
      </c>
      <c r="V336">
        <f t="shared" si="205"/>
        <v>1501</v>
      </c>
      <c r="W336">
        <v>60</v>
      </c>
      <c r="X336">
        <f t="shared" si="190"/>
        <v>103</v>
      </c>
      <c r="Y336">
        <v>5000</v>
      </c>
      <c r="Z336">
        <f t="shared" si="211"/>
        <v>2</v>
      </c>
      <c r="AA336">
        <v>1</v>
      </c>
      <c r="AB336">
        <f t="shared" si="206"/>
        <v>1501</v>
      </c>
      <c r="AC336">
        <v>71</v>
      </c>
      <c r="AD336">
        <f t="shared" si="191"/>
        <v>113</v>
      </c>
      <c r="AE336">
        <v>5000</v>
      </c>
      <c r="AF336">
        <f t="shared" si="212"/>
        <v>2</v>
      </c>
      <c r="AG336">
        <v>1</v>
      </c>
      <c r="AH336">
        <f t="shared" si="207"/>
        <v>1501</v>
      </c>
      <c r="AI336">
        <v>76</v>
      </c>
      <c r="AJ336">
        <f t="shared" si="192"/>
        <v>111</v>
      </c>
      <c r="AP336" t="str">
        <f t="shared" si="213"/>
        <v>{5000,2,1,1501,101}</v>
      </c>
      <c r="AQ336" t="str">
        <f t="shared" si="214"/>
        <v>{5000,2,1,1501,102}</v>
      </c>
      <c r="AR336" t="str">
        <f t="shared" si="215"/>
        <v>{5000,2,1,1501,103}</v>
      </c>
      <c r="AS336" t="str">
        <f t="shared" si="216"/>
        <v>{5000,2,1,1501,113}</v>
      </c>
      <c r="AT336" t="str">
        <f t="shared" si="217"/>
        <v>{5000,2,1,1501,111}</v>
      </c>
      <c r="AU336" t="str">
        <f t="shared" si="218"/>
        <v/>
      </c>
      <c r="AV336">
        <v>2511</v>
      </c>
      <c r="AW336" t="str">
        <f t="shared" si="221"/>
        <v>[{5000,2,1,1501,101},{5000,2,1,1501,102},{5000,2,1,1501,103},{5000,2,1,1501,113},{5000,2,1,1501,111}]</v>
      </c>
    </row>
    <row r="337" spans="2:49">
      <c r="B337">
        <v>2512</v>
      </c>
      <c r="C337" t="s">
        <v>39</v>
      </c>
      <c r="D337" t="str">
        <f t="shared" si="219"/>
        <v>16</v>
      </c>
      <c r="F337">
        <v>16</v>
      </c>
      <c r="G337">
        <v>5000</v>
      </c>
      <c r="H337">
        <f t="shared" si="197"/>
        <v>2</v>
      </c>
      <c r="I337">
        <v>1</v>
      </c>
      <c r="J337">
        <v>1</v>
      </c>
      <c r="K337">
        <f t="shared" ref="K337:K359" si="222">IF($J337="","",K314+100)</f>
        <v>1501</v>
      </c>
      <c r="L337">
        <f t="shared" si="188"/>
        <v>101</v>
      </c>
      <c r="M337">
        <v>5000</v>
      </c>
      <c r="N337">
        <f t="shared" si="187"/>
        <v>2</v>
      </c>
      <c r="O337">
        <v>1</v>
      </c>
      <c r="P337">
        <f t="shared" ref="P337:P359" si="223">IF($J337="","",P314+100)</f>
        <v>1501</v>
      </c>
      <c r="Q337">
        <v>55</v>
      </c>
      <c r="R337">
        <f t="shared" si="189"/>
        <v>103</v>
      </c>
      <c r="S337">
        <v>5000</v>
      </c>
      <c r="T337">
        <f t="shared" si="210"/>
        <v>2</v>
      </c>
      <c r="U337">
        <v>1</v>
      </c>
      <c r="V337">
        <f t="shared" ref="V337:V359" si="224">IF($J337="","",V314+100)</f>
        <v>1501</v>
      </c>
      <c r="W337">
        <v>75</v>
      </c>
      <c r="X337">
        <f t="shared" si="190"/>
        <v>111</v>
      </c>
      <c r="Y337">
        <v>5000</v>
      </c>
      <c r="Z337">
        <f t="shared" si="211"/>
        <v>2</v>
      </c>
      <c r="AA337">
        <v>1</v>
      </c>
      <c r="AB337">
        <f t="shared" ref="AB337:AB359" si="225">IF($J337="","",AB314+100)</f>
        <v>1501</v>
      </c>
      <c r="AC337">
        <v>73</v>
      </c>
      <c r="AD337">
        <f t="shared" si="191"/>
        <v>112</v>
      </c>
      <c r="AE337">
        <v>5000</v>
      </c>
      <c r="AF337">
        <f t="shared" si="212"/>
        <v>2</v>
      </c>
      <c r="AG337">
        <v>1</v>
      </c>
      <c r="AH337">
        <f t="shared" ref="AH337:AH359" si="226">IF($J337="","",AH314+100)</f>
        <v>1501</v>
      </c>
      <c r="AI337">
        <v>78</v>
      </c>
      <c r="AJ337">
        <f t="shared" si="192"/>
        <v>113</v>
      </c>
      <c r="AP337" t="str">
        <f t="shared" si="213"/>
        <v>{5000,2,1,1501,101}</v>
      </c>
      <c r="AQ337" t="str">
        <f t="shared" si="214"/>
        <v>{5000,2,1,1501,103}</v>
      </c>
      <c r="AR337" t="str">
        <f t="shared" si="215"/>
        <v>{5000,2,1,1501,111}</v>
      </c>
      <c r="AS337" t="str">
        <f t="shared" si="216"/>
        <v>{5000,2,1,1501,112}</v>
      </c>
      <c r="AT337" t="str">
        <f t="shared" si="217"/>
        <v>{5000,2,1,1501,113}</v>
      </c>
      <c r="AU337" t="str">
        <f t="shared" si="218"/>
        <v/>
      </c>
      <c r="AV337">
        <v>2512</v>
      </c>
      <c r="AW337" t="str">
        <f t="shared" si="221"/>
        <v>[{5000,2,1,1501,101},{5000,2,1,1501,103},{5000,2,1,1501,111},{5000,2,1,1501,112},{5000,2,1,1501,113}]</v>
      </c>
    </row>
    <row r="338" spans="2:49">
      <c r="B338">
        <v>2513</v>
      </c>
      <c r="C338" t="s">
        <v>39</v>
      </c>
      <c r="D338" t="str">
        <f t="shared" si="219"/>
        <v>16</v>
      </c>
      <c r="F338">
        <v>31</v>
      </c>
      <c r="G338">
        <v>5000</v>
      </c>
      <c r="H338">
        <f>H315+1</f>
        <v>4</v>
      </c>
      <c r="I338">
        <v>1</v>
      </c>
      <c r="J338">
        <v>1</v>
      </c>
      <c r="K338">
        <f t="shared" si="222"/>
        <v>1501</v>
      </c>
      <c r="L338">
        <f t="shared" si="188"/>
        <v>101</v>
      </c>
      <c r="M338">
        <v>5000</v>
      </c>
      <c r="N338">
        <f t="shared" si="187"/>
        <v>4</v>
      </c>
      <c r="O338">
        <v>1</v>
      </c>
      <c r="P338">
        <f t="shared" si="223"/>
        <v>1501</v>
      </c>
      <c r="Q338">
        <v>55</v>
      </c>
      <c r="R338">
        <f t="shared" si="189"/>
        <v>102</v>
      </c>
      <c r="S338">
        <v>5000</v>
      </c>
      <c r="T338">
        <f t="shared" si="210"/>
        <v>4</v>
      </c>
      <c r="U338">
        <v>1</v>
      </c>
      <c r="V338">
        <f t="shared" si="224"/>
        <v>1501</v>
      </c>
      <c r="W338">
        <v>58</v>
      </c>
      <c r="X338">
        <f t="shared" si="190"/>
        <v>103</v>
      </c>
      <c r="Y338">
        <v>5000</v>
      </c>
      <c r="Z338">
        <f t="shared" si="211"/>
        <v>4</v>
      </c>
      <c r="AA338">
        <v>1</v>
      </c>
      <c r="AB338">
        <f t="shared" si="225"/>
        <v>1501</v>
      </c>
      <c r="AC338">
        <v>76</v>
      </c>
      <c r="AD338">
        <f t="shared" si="191"/>
        <v>113</v>
      </c>
      <c r="AE338">
        <v>5000</v>
      </c>
      <c r="AF338">
        <f t="shared" si="212"/>
        <v>4</v>
      </c>
      <c r="AG338">
        <v>1</v>
      </c>
      <c r="AH338">
        <f t="shared" si="226"/>
        <v>1501</v>
      </c>
      <c r="AI338">
        <v>79</v>
      </c>
      <c r="AJ338">
        <f t="shared" si="192"/>
        <v>111</v>
      </c>
      <c r="AP338" t="str">
        <f t="shared" si="213"/>
        <v>{5000,4,1,1501,101}</v>
      </c>
      <c r="AQ338" t="str">
        <f t="shared" si="214"/>
        <v>{5000,4,1,1501,102}</v>
      </c>
      <c r="AR338" t="str">
        <f t="shared" si="215"/>
        <v>{5000,4,1,1501,103}</v>
      </c>
      <c r="AS338" t="str">
        <f t="shared" si="216"/>
        <v>{5000,4,1,1501,113}</v>
      </c>
      <c r="AT338" t="str">
        <f t="shared" si="217"/>
        <v>{5000,4,1,1501,111}</v>
      </c>
      <c r="AU338" t="str">
        <f t="shared" si="218"/>
        <v/>
      </c>
      <c r="AV338">
        <v>2513</v>
      </c>
      <c r="AW338" t="str">
        <f t="shared" si="221"/>
        <v>[{5000,4,1,1501,101},{5000,4,1,1501,102},{5000,4,1,1501,103},{5000,4,1,1501,113},{5000,4,1,1501,111}]</v>
      </c>
    </row>
    <row r="339" spans="2:49">
      <c r="B339">
        <v>2514</v>
      </c>
      <c r="C339" t="s">
        <v>39</v>
      </c>
      <c r="D339" t="str">
        <f t="shared" si="219"/>
        <v>16</v>
      </c>
      <c r="F339">
        <v>46</v>
      </c>
      <c r="G339">
        <v>5000</v>
      </c>
      <c r="H339">
        <f>H316+1</f>
        <v>4</v>
      </c>
      <c r="I339">
        <v>1</v>
      </c>
      <c r="J339">
        <v>1</v>
      </c>
      <c r="K339">
        <f t="shared" si="222"/>
        <v>1501</v>
      </c>
      <c r="L339">
        <f t="shared" si="188"/>
        <v>101</v>
      </c>
      <c r="M339">
        <v>5000</v>
      </c>
      <c r="N339">
        <f t="shared" si="187"/>
        <v>4</v>
      </c>
      <c r="O339">
        <v>1</v>
      </c>
      <c r="P339">
        <f t="shared" si="223"/>
        <v>1501</v>
      </c>
      <c r="Q339">
        <v>55</v>
      </c>
      <c r="R339">
        <f t="shared" si="189"/>
        <v>103</v>
      </c>
      <c r="S339">
        <v>5000</v>
      </c>
      <c r="T339">
        <f t="shared" si="210"/>
        <v>4</v>
      </c>
      <c r="U339">
        <v>1</v>
      </c>
      <c r="V339">
        <f t="shared" si="224"/>
        <v>1502</v>
      </c>
      <c r="W339">
        <v>76</v>
      </c>
      <c r="X339">
        <f t="shared" si="190"/>
        <v>111</v>
      </c>
      <c r="Y339">
        <v>5000</v>
      </c>
      <c r="Z339">
        <f t="shared" si="211"/>
        <v>4</v>
      </c>
      <c r="AA339">
        <v>1</v>
      </c>
      <c r="AB339">
        <f t="shared" si="225"/>
        <v>1501</v>
      </c>
      <c r="AC339">
        <v>71</v>
      </c>
      <c r="AD339">
        <f t="shared" si="191"/>
        <v>112</v>
      </c>
      <c r="AE339">
        <v>5000</v>
      </c>
      <c r="AF339">
        <f t="shared" si="212"/>
        <v>4</v>
      </c>
      <c r="AG339">
        <v>1</v>
      </c>
      <c r="AH339">
        <f t="shared" si="226"/>
        <v>1501</v>
      </c>
      <c r="AI339">
        <v>71</v>
      </c>
      <c r="AJ339">
        <f t="shared" si="192"/>
        <v>113</v>
      </c>
      <c r="AP339" t="str">
        <f t="shared" si="213"/>
        <v>{5000,4,1,1501,101}</v>
      </c>
      <c r="AQ339" t="str">
        <f t="shared" si="214"/>
        <v>{5000,4,1,1501,103}</v>
      </c>
      <c r="AR339" t="str">
        <f t="shared" si="215"/>
        <v>{5000,4,1,1502,111}</v>
      </c>
      <c r="AS339" t="str">
        <f t="shared" si="216"/>
        <v>{5000,4,1,1501,112}</v>
      </c>
      <c r="AT339" t="str">
        <f t="shared" si="217"/>
        <v>{5000,4,1,1501,113}</v>
      </c>
      <c r="AU339" t="str">
        <f t="shared" si="218"/>
        <v/>
      </c>
      <c r="AV339">
        <v>2514</v>
      </c>
      <c r="AW339" t="str">
        <f t="shared" si="221"/>
        <v>[{5000,4,1,1501,101},{5000,4,1,1501,103},{5000,4,1,1502,111},{5000,4,1,1501,112},{5000,4,1,1501,113}]</v>
      </c>
    </row>
    <row r="340" spans="2:49">
      <c r="B340">
        <v>2515</v>
      </c>
      <c r="C340" t="s">
        <v>39</v>
      </c>
      <c r="D340" t="str">
        <f t="shared" si="219"/>
        <v>16</v>
      </c>
      <c r="F340">
        <v>61</v>
      </c>
      <c r="G340">
        <v>5000</v>
      </c>
      <c r="H340">
        <f>H317+1</f>
        <v>6</v>
      </c>
      <c r="I340">
        <v>1</v>
      </c>
      <c r="J340">
        <v>3</v>
      </c>
      <c r="K340">
        <f t="shared" si="222"/>
        <v>1503</v>
      </c>
      <c r="L340">
        <f t="shared" si="188"/>
        <v>101</v>
      </c>
      <c r="M340">
        <v>5000</v>
      </c>
      <c r="N340">
        <f t="shared" si="187"/>
        <v>6</v>
      </c>
      <c r="O340">
        <v>1</v>
      </c>
      <c r="P340">
        <f t="shared" si="223"/>
        <v>1503</v>
      </c>
      <c r="Q340">
        <v>56</v>
      </c>
      <c r="R340">
        <f t="shared" si="189"/>
        <v>102</v>
      </c>
      <c r="S340">
        <v>5000</v>
      </c>
      <c r="T340">
        <f t="shared" si="210"/>
        <v>6</v>
      </c>
      <c r="U340">
        <v>1</v>
      </c>
      <c r="V340">
        <f t="shared" si="224"/>
        <v>1503</v>
      </c>
      <c r="W340">
        <v>57</v>
      </c>
      <c r="X340">
        <f t="shared" si="190"/>
        <v>103</v>
      </c>
      <c r="Y340">
        <v>5000</v>
      </c>
      <c r="Z340">
        <f t="shared" si="211"/>
        <v>6</v>
      </c>
      <c r="AA340">
        <v>1</v>
      </c>
      <c r="AB340">
        <f t="shared" si="225"/>
        <v>1503</v>
      </c>
      <c r="AC340">
        <v>72</v>
      </c>
      <c r="AD340">
        <f t="shared" si="191"/>
        <v>113</v>
      </c>
      <c r="AE340">
        <v>5000</v>
      </c>
      <c r="AF340">
        <f t="shared" si="212"/>
        <v>6</v>
      </c>
      <c r="AG340">
        <v>1</v>
      </c>
      <c r="AH340">
        <f t="shared" si="226"/>
        <v>1503</v>
      </c>
      <c r="AI340">
        <v>71</v>
      </c>
      <c r="AJ340">
        <f t="shared" si="192"/>
        <v>111</v>
      </c>
      <c r="AP340" t="str">
        <f t="shared" si="213"/>
        <v>{5000,6,1,1503,101}</v>
      </c>
      <c r="AQ340" t="str">
        <f t="shared" si="214"/>
        <v>{5000,6,1,1503,102}</v>
      </c>
      <c r="AR340" t="str">
        <f t="shared" si="215"/>
        <v>{5000,6,1,1503,103}</v>
      </c>
      <c r="AS340" t="str">
        <f t="shared" si="216"/>
        <v>{5000,6,1,1503,113}</v>
      </c>
      <c r="AT340" t="str">
        <f t="shared" si="217"/>
        <v>{5000,6,1,1503,111}</v>
      </c>
      <c r="AU340" t="str">
        <f t="shared" si="218"/>
        <v/>
      </c>
      <c r="AV340">
        <v>2515</v>
      </c>
      <c r="AW340" t="str">
        <f t="shared" si="221"/>
        <v>[{5000,6,1,1503,101},{5000,6,1,1503,102},{5000,6,1,1503,103},{5000,6,1,1503,113},{5000,6,1,1503,111}]</v>
      </c>
    </row>
    <row r="341" spans="2:49">
      <c r="B341">
        <v>2516</v>
      </c>
      <c r="C341" t="s">
        <v>39</v>
      </c>
      <c r="D341" t="str">
        <f t="shared" si="219"/>
        <v>16</v>
      </c>
      <c r="F341">
        <v>76</v>
      </c>
      <c r="G341">
        <v>5000</v>
      </c>
      <c r="H341">
        <f>H318+1</f>
        <v>6</v>
      </c>
      <c r="I341">
        <v>1</v>
      </c>
      <c r="J341">
        <v>1</v>
      </c>
      <c r="K341">
        <f t="shared" si="222"/>
        <v>1501</v>
      </c>
      <c r="L341">
        <f t="shared" si="188"/>
        <v>101</v>
      </c>
      <c r="M341">
        <v>5000</v>
      </c>
      <c r="N341">
        <f t="shared" si="187"/>
        <v>6</v>
      </c>
      <c r="O341">
        <v>1</v>
      </c>
      <c r="P341">
        <f t="shared" si="223"/>
        <v>1501</v>
      </c>
      <c r="Q341">
        <v>59</v>
      </c>
      <c r="R341">
        <f t="shared" si="189"/>
        <v>103</v>
      </c>
      <c r="S341">
        <v>5000</v>
      </c>
      <c r="T341">
        <f t="shared" si="210"/>
        <v>6</v>
      </c>
      <c r="U341">
        <v>1</v>
      </c>
      <c r="V341">
        <f t="shared" si="224"/>
        <v>1502</v>
      </c>
      <c r="W341">
        <v>71</v>
      </c>
      <c r="X341">
        <f t="shared" si="190"/>
        <v>111</v>
      </c>
      <c r="Y341">
        <v>5000</v>
      </c>
      <c r="Z341">
        <f t="shared" si="211"/>
        <v>6</v>
      </c>
      <c r="AA341">
        <v>1</v>
      </c>
      <c r="AB341">
        <f t="shared" si="225"/>
        <v>1501</v>
      </c>
      <c r="AC341">
        <v>71</v>
      </c>
      <c r="AD341">
        <f t="shared" si="191"/>
        <v>112</v>
      </c>
      <c r="AE341">
        <v>5000</v>
      </c>
      <c r="AF341">
        <f t="shared" si="212"/>
        <v>6</v>
      </c>
      <c r="AG341">
        <v>1</v>
      </c>
      <c r="AH341">
        <f t="shared" si="226"/>
        <v>1501</v>
      </c>
      <c r="AI341">
        <v>79</v>
      </c>
      <c r="AJ341">
        <f t="shared" si="192"/>
        <v>113</v>
      </c>
      <c r="AP341" t="str">
        <f t="shared" si="213"/>
        <v>{5000,6,1,1501,101}</v>
      </c>
      <c r="AQ341" t="str">
        <f t="shared" si="214"/>
        <v>{5000,6,1,1501,103}</v>
      </c>
      <c r="AR341" t="str">
        <f t="shared" si="215"/>
        <v>{5000,6,1,1502,111}</v>
      </c>
      <c r="AS341" t="str">
        <f t="shared" si="216"/>
        <v>{5000,6,1,1501,112}</v>
      </c>
      <c r="AT341" t="str">
        <f t="shared" si="217"/>
        <v>{5000,6,1,1501,113}</v>
      </c>
      <c r="AU341" t="str">
        <f t="shared" si="218"/>
        <v/>
      </c>
      <c r="AV341">
        <v>2516</v>
      </c>
      <c r="AW341" t="str">
        <f t="shared" si="221"/>
        <v>[{5000,6,1,1501,101},{5000,6,1,1501,103},{5000,6,1,1502,111},{5000,6,1,1501,112},{5000,6,1,1501,113}]</v>
      </c>
    </row>
    <row r="342" spans="2:49">
      <c r="B342">
        <v>2517</v>
      </c>
      <c r="C342" t="s">
        <v>39</v>
      </c>
      <c r="D342" t="str">
        <f t="shared" si="219"/>
        <v>16</v>
      </c>
      <c r="F342">
        <v>91</v>
      </c>
      <c r="G342">
        <v>5000</v>
      </c>
      <c r="H342">
        <f t="shared" ref="H342:H358" si="227">H319+2</f>
        <v>6</v>
      </c>
      <c r="I342">
        <v>1</v>
      </c>
      <c r="J342">
        <v>1</v>
      </c>
      <c r="K342">
        <f t="shared" si="222"/>
        <v>1501</v>
      </c>
      <c r="L342">
        <f t="shared" si="188"/>
        <v>101</v>
      </c>
      <c r="M342">
        <v>5000</v>
      </c>
      <c r="N342">
        <f t="shared" si="187"/>
        <v>6</v>
      </c>
      <c r="O342">
        <v>1</v>
      </c>
      <c r="P342">
        <f t="shared" si="223"/>
        <v>1501</v>
      </c>
      <c r="Q342">
        <v>54</v>
      </c>
      <c r="R342">
        <f t="shared" si="189"/>
        <v>102</v>
      </c>
      <c r="S342">
        <v>5000</v>
      </c>
      <c r="T342">
        <f t="shared" si="210"/>
        <v>6</v>
      </c>
      <c r="U342">
        <v>1</v>
      </c>
      <c r="V342">
        <f t="shared" si="224"/>
        <v>1502</v>
      </c>
      <c r="W342">
        <v>51</v>
      </c>
      <c r="X342">
        <f t="shared" si="190"/>
        <v>103</v>
      </c>
      <c r="Y342">
        <v>5000</v>
      </c>
      <c r="Z342">
        <f t="shared" si="211"/>
        <v>6</v>
      </c>
      <c r="AA342">
        <v>1</v>
      </c>
      <c r="AB342">
        <f t="shared" si="225"/>
        <v>1501</v>
      </c>
      <c r="AC342">
        <v>71</v>
      </c>
      <c r="AD342">
        <f t="shared" si="191"/>
        <v>113</v>
      </c>
      <c r="AE342">
        <v>5000</v>
      </c>
      <c r="AF342">
        <f t="shared" si="212"/>
        <v>6</v>
      </c>
      <c r="AG342">
        <v>1</v>
      </c>
      <c r="AH342">
        <f t="shared" si="226"/>
        <v>1502</v>
      </c>
      <c r="AI342">
        <v>77</v>
      </c>
      <c r="AJ342">
        <f t="shared" si="192"/>
        <v>111</v>
      </c>
      <c r="AP342" t="str">
        <f t="shared" si="213"/>
        <v>{5000,6,1,1501,101}</v>
      </c>
      <c r="AQ342" t="str">
        <f t="shared" si="214"/>
        <v>{5000,6,1,1501,102}</v>
      </c>
      <c r="AR342" t="str">
        <f t="shared" si="215"/>
        <v>{5000,6,1,1502,103}</v>
      </c>
      <c r="AS342" t="str">
        <f t="shared" si="216"/>
        <v>{5000,6,1,1501,113}</v>
      </c>
      <c r="AT342" t="str">
        <f t="shared" si="217"/>
        <v>{5000,6,1,1502,111}</v>
      </c>
      <c r="AU342" t="str">
        <f t="shared" si="218"/>
        <v/>
      </c>
      <c r="AV342">
        <v>2517</v>
      </c>
      <c r="AW342" t="str">
        <f t="shared" si="221"/>
        <v>[{5000,6,1,1501,101},{5000,6,1,1501,102},{5000,6,1,1502,103},{5000,6,1,1501,113},{5000,6,1,1502,111}]</v>
      </c>
    </row>
    <row r="343" spans="2:49">
      <c r="B343">
        <v>2518</v>
      </c>
      <c r="C343" t="s">
        <v>39</v>
      </c>
      <c r="D343" t="str">
        <f t="shared" si="219"/>
        <v>16</v>
      </c>
      <c r="F343">
        <v>106</v>
      </c>
      <c r="G343">
        <v>5000</v>
      </c>
      <c r="H343">
        <f t="shared" si="227"/>
        <v>6</v>
      </c>
      <c r="I343">
        <v>1</v>
      </c>
      <c r="J343">
        <v>1</v>
      </c>
      <c r="K343">
        <f t="shared" si="222"/>
        <v>1501</v>
      </c>
      <c r="L343">
        <f t="shared" si="188"/>
        <v>101</v>
      </c>
      <c r="M343">
        <v>5000</v>
      </c>
      <c r="N343">
        <f t="shared" si="187"/>
        <v>6</v>
      </c>
      <c r="O343">
        <v>1</v>
      </c>
      <c r="P343">
        <f t="shared" si="223"/>
        <v>1501</v>
      </c>
      <c r="Q343">
        <v>55</v>
      </c>
      <c r="R343">
        <f t="shared" si="189"/>
        <v>103</v>
      </c>
      <c r="S343">
        <v>5000</v>
      </c>
      <c r="T343">
        <f t="shared" si="210"/>
        <v>6</v>
      </c>
      <c r="U343">
        <v>1</v>
      </c>
      <c r="V343">
        <f t="shared" si="224"/>
        <v>1502</v>
      </c>
      <c r="W343">
        <v>73</v>
      </c>
      <c r="X343">
        <f t="shared" si="190"/>
        <v>111</v>
      </c>
      <c r="Y343">
        <v>5000</v>
      </c>
      <c r="Z343">
        <f t="shared" si="211"/>
        <v>6</v>
      </c>
      <c r="AA343">
        <v>1</v>
      </c>
      <c r="AB343">
        <f t="shared" si="225"/>
        <v>1501</v>
      </c>
      <c r="AC343">
        <v>78</v>
      </c>
      <c r="AD343">
        <f t="shared" si="191"/>
        <v>112</v>
      </c>
      <c r="AE343">
        <v>5000</v>
      </c>
      <c r="AF343">
        <f t="shared" si="212"/>
        <v>6</v>
      </c>
      <c r="AG343">
        <v>1</v>
      </c>
      <c r="AH343">
        <f t="shared" si="226"/>
        <v>1502</v>
      </c>
      <c r="AI343">
        <v>71</v>
      </c>
      <c r="AJ343">
        <f t="shared" si="192"/>
        <v>113</v>
      </c>
      <c r="AP343" t="str">
        <f t="shared" si="213"/>
        <v>{5000,6,1,1501,101}</v>
      </c>
      <c r="AQ343" t="str">
        <f t="shared" si="214"/>
        <v>{5000,6,1,1501,103}</v>
      </c>
      <c r="AR343" t="str">
        <f t="shared" si="215"/>
        <v>{5000,6,1,1502,111}</v>
      </c>
      <c r="AS343" t="str">
        <f t="shared" si="216"/>
        <v>{5000,6,1,1501,112}</v>
      </c>
      <c r="AT343" t="str">
        <f t="shared" si="217"/>
        <v>{5000,6,1,1502,113}</v>
      </c>
      <c r="AU343" t="str">
        <f t="shared" si="218"/>
        <v/>
      </c>
      <c r="AV343">
        <v>2518</v>
      </c>
      <c r="AW343" t="str">
        <f t="shared" si="221"/>
        <v>[{5000,6,1,1501,101},{5000,6,1,1501,103},{5000,6,1,1502,111},{5000,6,1,1501,112},{5000,6,1,1502,113}]</v>
      </c>
    </row>
    <row r="344" spans="2:48">
      <c r="B344">
        <v>2519</v>
      </c>
      <c r="C344" t="s">
        <v>39</v>
      </c>
      <c r="D344" t="str">
        <f t="shared" si="219"/>
        <v>16</v>
      </c>
      <c r="F344">
        <v>119</v>
      </c>
      <c r="K344" t="str">
        <f t="shared" si="222"/>
        <v/>
      </c>
      <c r="L344" t="str">
        <f t="shared" si="188"/>
        <v/>
      </c>
      <c r="N344">
        <f t="shared" si="187"/>
        <v>0</v>
      </c>
      <c r="P344" t="str">
        <f t="shared" si="223"/>
        <v/>
      </c>
      <c r="R344" t="str">
        <f t="shared" si="189"/>
        <v/>
      </c>
      <c r="T344">
        <f t="shared" si="210"/>
        <v>0</v>
      </c>
      <c r="V344" t="str">
        <f t="shared" si="224"/>
        <v/>
      </c>
      <c r="X344" t="str">
        <f t="shared" si="190"/>
        <v/>
      </c>
      <c r="Z344">
        <f t="shared" si="211"/>
        <v>0</v>
      </c>
      <c r="AB344" t="str">
        <f t="shared" si="225"/>
        <v/>
      </c>
      <c r="AD344" t="str">
        <f t="shared" si="191"/>
        <v/>
      </c>
      <c r="AF344">
        <f t="shared" si="212"/>
        <v>0</v>
      </c>
      <c r="AH344" t="str">
        <f t="shared" si="226"/>
        <v/>
      </c>
      <c r="AJ344" t="str">
        <f t="shared" si="192"/>
        <v/>
      </c>
      <c r="AP344" t="str">
        <f t="shared" si="213"/>
        <v/>
      </c>
      <c r="AQ344" t="str">
        <f t="shared" si="214"/>
        <v/>
      </c>
      <c r="AR344" t="str">
        <f t="shared" si="215"/>
        <v/>
      </c>
      <c r="AS344" t="str">
        <f t="shared" si="216"/>
        <v/>
      </c>
      <c r="AT344" t="str">
        <f t="shared" si="217"/>
        <v/>
      </c>
      <c r="AU344" t="str">
        <f t="shared" si="218"/>
        <v/>
      </c>
      <c r="AV344">
        <v>2519</v>
      </c>
    </row>
    <row r="345" spans="2:49">
      <c r="B345">
        <v>2520</v>
      </c>
      <c r="C345" t="s">
        <v>39</v>
      </c>
      <c r="D345" t="str">
        <f t="shared" si="219"/>
        <v>16</v>
      </c>
      <c r="F345">
        <v>121</v>
      </c>
      <c r="G345">
        <v>5000</v>
      </c>
      <c r="H345">
        <f t="shared" si="227"/>
        <v>8</v>
      </c>
      <c r="I345">
        <v>1</v>
      </c>
      <c r="J345">
        <v>3</v>
      </c>
      <c r="K345">
        <f t="shared" si="222"/>
        <v>1503</v>
      </c>
      <c r="L345">
        <f t="shared" si="188"/>
        <v>101</v>
      </c>
      <c r="M345">
        <v>5000</v>
      </c>
      <c r="N345">
        <f t="shared" si="187"/>
        <v>8</v>
      </c>
      <c r="O345">
        <v>1</v>
      </c>
      <c r="P345">
        <f t="shared" si="223"/>
        <v>1503</v>
      </c>
      <c r="Q345">
        <v>54</v>
      </c>
      <c r="R345">
        <f t="shared" si="189"/>
        <v>102</v>
      </c>
      <c r="S345">
        <v>5000</v>
      </c>
      <c r="T345">
        <f t="shared" si="210"/>
        <v>8</v>
      </c>
      <c r="U345">
        <v>1</v>
      </c>
      <c r="V345">
        <f t="shared" si="224"/>
        <v>1503</v>
      </c>
      <c r="W345">
        <v>51</v>
      </c>
      <c r="X345">
        <f t="shared" si="190"/>
        <v>103</v>
      </c>
      <c r="Y345">
        <v>5000</v>
      </c>
      <c r="Z345">
        <f t="shared" si="211"/>
        <v>8</v>
      </c>
      <c r="AA345">
        <v>1</v>
      </c>
      <c r="AB345">
        <f t="shared" si="225"/>
        <v>1503</v>
      </c>
      <c r="AC345">
        <v>71</v>
      </c>
      <c r="AD345">
        <f t="shared" si="191"/>
        <v>113</v>
      </c>
      <c r="AE345">
        <v>5000</v>
      </c>
      <c r="AF345">
        <f t="shared" si="212"/>
        <v>8</v>
      </c>
      <c r="AG345">
        <v>1</v>
      </c>
      <c r="AH345">
        <f t="shared" si="226"/>
        <v>1503</v>
      </c>
      <c r="AI345">
        <v>79</v>
      </c>
      <c r="AJ345">
        <f t="shared" si="192"/>
        <v>111</v>
      </c>
      <c r="AK345">
        <v>1000</v>
      </c>
      <c r="AL345">
        <v>1</v>
      </c>
      <c r="AM345">
        <v>0</v>
      </c>
      <c r="AN345">
        <f t="shared" ref="AN345" si="228">AN322+100</f>
        <v>1521</v>
      </c>
      <c r="AO345">
        <v>4</v>
      </c>
      <c r="AP345" t="str">
        <f t="shared" si="213"/>
        <v>{5000,8,1,1503,101}</v>
      </c>
      <c r="AQ345" t="str">
        <f t="shared" si="214"/>
        <v>{5000,8,1,1503,102}</v>
      </c>
      <c r="AR345" t="str">
        <f t="shared" si="215"/>
        <v>{5000,8,1,1503,103}</v>
      </c>
      <c r="AS345" t="str">
        <f t="shared" si="216"/>
        <v>{5000,8,1,1503,113}</v>
      </c>
      <c r="AT345" t="str">
        <f t="shared" si="217"/>
        <v>{5000,8,1,1503,111}</v>
      </c>
      <c r="AU345" t="str">
        <f t="shared" si="218"/>
        <v>{1000,1,0,1521,4}</v>
      </c>
      <c r="AV345">
        <v>2520</v>
      </c>
      <c r="AW345" t="str">
        <f t="shared" ref="AW345:AW350" si="229">IF(AU345="","["&amp;_xlfn.TEXTJOIN(",",1,AP345:AT345)&amp;"]","["&amp;_xlfn.TEXTJOIN(",",1,AP345:AU345)&amp;"]")</f>
        <v>[{5000,8,1,1503,101},{5000,8,1,1503,102},{5000,8,1,1503,103},{5000,8,1,1503,113},{5000,8,1,1503,111},{1000,1,0,1521,4}]</v>
      </c>
    </row>
    <row r="346" spans="2:49">
      <c r="B346">
        <v>2521</v>
      </c>
      <c r="C346" t="s">
        <v>39</v>
      </c>
      <c r="D346" t="str">
        <f t="shared" si="219"/>
        <v>16</v>
      </c>
      <c r="F346">
        <v>136</v>
      </c>
      <c r="G346">
        <v>5000</v>
      </c>
      <c r="H346">
        <f t="shared" si="227"/>
        <v>7</v>
      </c>
      <c r="I346">
        <v>1</v>
      </c>
      <c r="J346">
        <v>1</v>
      </c>
      <c r="K346">
        <f t="shared" si="222"/>
        <v>1501</v>
      </c>
      <c r="L346">
        <f t="shared" si="188"/>
        <v>101</v>
      </c>
      <c r="M346">
        <v>5000</v>
      </c>
      <c r="N346">
        <f t="shared" si="187"/>
        <v>7</v>
      </c>
      <c r="O346">
        <v>1</v>
      </c>
      <c r="P346">
        <f t="shared" si="223"/>
        <v>1501</v>
      </c>
      <c r="Q346">
        <v>54</v>
      </c>
      <c r="R346">
        <f t="shared" si="189"/>
        <v>103</v>
      </c>
      <c r="S346">
        <v>5000</v>
      </c>
      <c r="T346">
        <f t="shared" si="210"/>
        <v>7</v>
      </c>
      <c r="U346">
        <v>1</v>
      </c>
      <c r="V346">
        <f t="shared" si="224"/>
        <v>1502</v>
      </c>
      <c r="W346">
        <v>76</v>
      </c>
      <c r="X346">
        <f t="shared" si="190"/>
        <v>111</v>
      </c>
      <c r="Y346">
        <v>5000</v>
      </c>
      <c r="Z346">
        <f t="shared" si="211"/>
        <v>7</v>
      </c>
      <c r="AA346">
        <v>1</v>
      </c>
      <c r="AB346">
        <f t="shared" si="225"/>
        <v>1501</v>
      </c>
      <c r="AC346">
        <v>72</v>
      </c>
      <c r="AD346">
        <f t="shared" si="191"/>
        <v>112</v>
      </c>
      <c r="AE346">
        <v>5000</v>
      </c>
      <c r="AF346">
        <f t="shared" si="212"/>
        <v>7</v>
      </c>
      <c r="AG346">
        <v>1</v>
      </c>
      <c r="AH346">
        <f t="shared" si="226"/>
        <v>1502</v>
      </c>
      <c r="AI346">
        <v>74</v>
      </c>
      <c r="AJ346">
        <f t="shared" si="192"/>
        <v>113</v>
      </c>
      <c r="AP346" t="str">
        <f t="shared" si="213"/>
        <v>{5000,7,1,1501,101}</v>
      </c>
      <c r="AQ346" t="str">
        <f t="shared" si="214"/>
        <v>{5000,7,1,1501,103}</v>
      </c>
      <c r="AR346" t="str">
        <f t="shared" si="215"/>
        <v>{5000,7,1,1502,111}</v>
      </c>
      <c r="AS346" t="str">
        <f t="shared" si="216"/>
        <v>{5000,7,1,1501,112}</v>
      </c>
      <c r="AT346" t="str">
        <f t="shared" si="217"/>
        <v>{5000,7,1,1502,113}</v>
      </c>
      <c r="AU346" t="str">
        <f t="shared" si="218"/>
        <v/>
      </c>
      <c r="AV346">
        <v>2521</v>
      </c>
      <c r="AW346" t="str">
        <f t="shared" si="229"/>
        <v>[{5000,7,1,1501,101},{5000,7,1,1501,103},{5000,7,1,1502,111},{5000,7,1,1501,112},{5000,7,1,1502,113}]</v>
      </c>
    </row>
    <row r="347" spans="2:49">
      <c r="B347">
        <v>2522</v>
      </c>
      <c r="C347" t="s">
        <v>39</v>
      </c>
      <c r="D347" t="str">
        <f t="shared" si="219"/>
        <v>16</v>
      </c>
      <c r="F347">
        <v>151</v>
      </c>
      <c r="G347">
        <v>5000</v>
      </c>
      <c r="H347">
        <f t="shared" si="227"/>
        <v>7</v>
      </c>
      <c r="I347">
        <v>1</v>
      </c>
      <c r="J347">
        <v>1</v>
      </c>
      <c r="K347">
        <f t="shared" si="222"/>
        <v>1501</v>
      </c>
      <c r="L347">
        <f t="shared" si="188"/>
        <v>101</v>
      </c>
      <c r="M347">
        <v>5000</v>
      </c>
      <c r="N347">
        <f t="shared" si="187"/>
        <v>7</v>
      </c>
      <c r="O347">
        <v>1</v>
      </c>
      <c r="P347">
        <f t="shared" si="223"/>
        <v>1501</v>
      </c>
      <c r="Q347">
        <v>54</v>
      </c>
      <c r="R347">
        <f t="shared" si="189"/>
        <v>102</v>
      </c>
      <c r="S347">
        <v>5000</v>
      </c>
      <c r="T347">
        <f t="shared" si="210"/>
        <v>7</v>
      </c>
      <c r="U347">
        <v>1</v>
      </c>
      <c r="V347">
        <f t="shared" si="224"/>
        <v>1502</v>
      </c>
      <c r="W347">
        <v>56</v>
      </c>
      <c r="X347">
        <f t="shared" si="190"/>
        <v>103</v>
      </c>
      <c r="Y347">
        <v>5000</v>
      </c>
      <c r="Z347">
        <f t="shared" si="211"/>
        <v>7</v>
      </c>
      <c r="AA347">
        <v>1</v>
      </c>
      <c r="AB347">
        <f t="shared" si="225"/>
        <v>1501</v>
      </c>
      <c r="AC347">
        <v>72</v>
      </c>
      <c r="AD347">
        <f t="shared" si="191"/>
        <v>113</v>
      </c>
      <c r="AE347">
        <v>5000</v>
      </c>
      <c r="AF347">
        <f t="shared" si="212"/>
        <v>7</v>
      </c>
      <c r="AG347">
        <v>1</v>
      </c>
      <c r="AH347">
        <f t="shared" si="226"/>
        <v>1502</v>
      </c>
      <c r="AI347">
        <v>74</v>
      </c>
      <c r="AJ347">
        <f t="shared" si="192"/>
        <v>111</v>
      </c>
      <c r="AP347" t="str">
        <f t="shared" si="213"/>
        <v>{5000,7,1,1501,101}</v>
      </c>
      <c r="AQ347" t="str">
        <f t="shared" si="214"/>
        <v>{5000,7,1,1501,102}</v>
      </c>
      <c r="AR347" t="str">
        <f t="shared" si="215"/>
        <v>{5000,7,1,1502,103}</v>
      </c>
      <c r="AS347" t="str">
        <f t="shared" si="216"/>
        <v>{5000,7,1,1501,113}</v>
      </c>
      <c r="AT347" t="str">
        <f t="shared" si="217"/>
        <v>{5000,7,1,1502,111}</v>
      </c>
      <c r="AU347" t="str">
        <f t="shared" si="218"/>
        <v/>
      </c>
      <c r="AV347">
        <v>2522</v>
      </c>
      <c r="AW347" t="str">
        <f t="shared" si="229"/>
        <v>[{5000,7,1,1501,101},{5000,7,1,1501,102},{5000,7,1,1502,103},{5000,7,1,1501,113},{5000,7,1,1502,111}]</v>
      </c>
    </row>
    <row r="348" spans="2:49">
      <c r="B348">
        <v>2523</v>
      </c>
      <c r="C348" t="s">
        <v>39</v>
      </c>
      <c r="D348" t="str">
        <f t="shared" si="219"/>
        <v>16</v>
      </c>
      <c r="F348">
        <v>166</v>
      </c>
      <c r="G348">
        <v>5000</v>
      </c>
      <c r="H348">
        <f t="shared" si="227"/>
        <v>9</v>
      </c>
      <c r="I348">
        <v>1</v>
      </c>
      <c r="J348">
        <v>1</v>
      </c>
      <c r="K348">
        <f t="shared" si="222"/>
        <v>1501</v>
      </c>
      <c r="L348">
        <f t="shared" si="188"/>
        <v>101</v>
      </c>
      <c r="M348">
        <v>5000</v>
      </c>
      <c r="N348">
        <f t="shared" si="187"/>
        <v>9</v>
      </c>
      <c r="O348">
        <v>1</v>
      </c>
      <c r="P348">
        <f t="shared" si="223"/>
        <v>1501</v>
      </c>
      <c r="Q348">
        <v>59</v>
      </c>
      <c r="R348">
        <f t="shared" si="189"/>
        <v>103</v>
      </c>
      <c r="S348">
        <v>5000</v>
      </c>
      <c r="T348">
        <f t="shared" si="210"/>
        <v>9</v>
      </c>
      <c r="U348">
        <v>1</v>
      </c>
      <c r="V348">
        <f t="shared" si="224"/>
        <v>1502</v>
      </c>
      <c r="W348">
        <v>79</v>
      </c>
      <c r="X348">
        <f t="shared" si="190"/>
        <v>111</v>
      </c>
      <c r="Y348">
        <v>5000</v>
      </c>
      <c r="Z348">
        <f t="shared" si="211"/>
        <v>9</v>
      </c>
      <c r="AA348">
        <v>1</v>
      </c>
      <c r="AB348">
        <f t="shared" si="225"/>
        <v>1501</v>
      </c>
      <c r="AC348">
        <v>71</v>
      </c>
      <c r="AD348">
        <f t="shared" si="191"/>
        <v>112</v>
      </c>
      <c r="AE348">
        <v>5000</v>
      </c>
      <c r="AF348">
        <f t="shared" si="212"/>
        <v>9</v>
      </c>
      <c r="AG348">
        <v>1</v>
      </c>
      <c r="AH348">
        <f t="shared" si="226"/>
        <v>1502</v>
      </c>
      <c r="AI348">
        <v>74</v>
      </c>
      <c r="AJ348">
        <f t="shared" si="192"/>
        <v>113</v>
      </c>
      <c r="AP348" t="str">
        <f t="shared" si="213"/>
        <v>{5000,9,1,1501,101}</v>
      </c>
      <c r="AQ348" t="str">
        <f t="shared" si="214"/>
        <v>{5000,9,1,1501,103}</v>
      </c>
      <c r="AR348" t="str">
        <f t="shared" si="215"/>
        <v>{5000,9,1,1502,111}</v>
      </c>
      <c r="AS348" t="str">
        <f t="shared" si="216"/>
        <v>{5000,9,1,1501,112}</v>
      </c>
      <c r="AT348" t="str">
        <f t="shared" si="217"/>
        <v>{5000,9,1,1502,113}</v>
      </c>
      <c r="AU348" t="str">
        <f t="shared" si="218"/>
        <v/>
      </c>
      <c r="AV348">
        <v>2523</v>
      </c>
      <c r="AW348" t="str">
        <f t="shared" si="229"/>
        <v>[{5000,9,1,1501,101},{5000,9,1,1501,103},{5000,9,1,1502,111},{5000,9,1,1501,112},{5000,9,1,1502,113}]</v>
      </c>
    </row>
    <row r="349" spans="2:49">
      <c r="B349">
        <v>2524</v>
      </c>
      <c r="C349" t="s">
        <v>39</v>
      </c>
      <c r="D349" t="str">
        <f t="shared" si="219"/>
        <v>16</v>
      </c>
      <c r="F349">
        <v>181</v>
      </c>
      <c r="G349">
        <v>5000</v>
      </c>
      <c r="H349">
        <f t="shared" si="227"/>
        <v>9</v>
      </c>
      <c r="I349">
        <v>1</v>
      </c>
      <c r="J349">
        <v>3</v>
      </c>
      <c r="K349">
        <f t="shared" si="222"/>
        <v>1503</v>
      </c>
      <c r="L349">
        <f t="shared" si="188"/>
        <v>101</v>
      </c>
      <c r="M349">
        <v>5000</v>
      </c>
      <c r="N349">
        <f t="shared" si="187"/>
        <v>9</v>
      </c>
      <c r="O349">
        <v>1</v>
      </c>
      <c r="P349">
        <f t="shared" si="223"/>
        <v>1503</v>
      </c>
      <c r="Q349">
        <v>53</v>
      </c>
      <c r="R349">
        <f t="shared" si="189"/>
        <v>102</v>
      </c>
      <c r="S349">
        <v>5000</v>
      </c>
      <c r="T349">
        <f t="shared" si="210"/>
        <v>9</v>
      </c>
      <c r="U349">
        <v>1</v>
      </c>
      <c r="V349">
        <f t="shared" si="224"/>
        <v>1503</v>
      </c>
      <c r="W349">
        <v>56</v>
      </c>
      <c r="X349">
        <f t="shared" si="190"/>
        <v>103</v>
      </c>
      <c r="Y349">
        <v>5000</v>
      </c>
      <c r="Z349">
        <f t="shared" si="211"/>
        <v>9</v>
      </c>
      <c r="AA349">
        <v>1</v>
      </c>
      <c r="AB349">
        <f t="shared" si="225"/>
        <v>1503</v>
      </c>
      <c r="AC349">
        <v>75</v>
      </c>
      <c r="AD349">
        <f t="shared" si="191"/>
        <v>113</v>
      </c>
      <c r="AE349">
        <v>5000</v>
      </c>
      <c r="AF349">
        <f t="shared" si="212"/>
        <v>9</v>
      </c>
      <c r="AG349">
        <v>1</v>
      </c>
      <c r="AH349">
        <f t="shared" si="226"/>
        <v>1503</v>
      </c>
      <c r="AI349">
        <v>78</v>
      </c>
      <c r="AJ349">
        <f t="shared" si="192"/>
        <v>111</v>
      </c>
      <c r="AP349" t="str">
        <f t="shared" si="213"/>
        <v>{5000,9,1,1503,101}</v>
      </c>
      <c r="AQ349" t="str">
        <f t="shared" si="214"/>
        <v>{5000,9,1,1503,102}</v>
      </c>
      <c r="AR349" t="str">
        <f t="shared" si="215"/>
        <v>{5000,9,1,1503,103}</v>
      </c>
      <c r="AS349" t="str">
        <f t="shared" si="216"/>
        <v>{5000,9,1,1503,113}</v>
      </c>
      <c r="AT349" t="str">
        <f t="shared" si="217"/>
        <v>{5000,9,1,1503,111}</v>
      </c>
      <c r="AU349" t="str">
        <f t="shared" si="218"/>
        <v/>
      </c>
      <c r="AV349">
        <v>2524</v>
      </c>
      <c r="AW349" t="str">
        <f t="shared" si="229"/>
        <v>[{5000,9,1,1503,101},{5000,9,1,1503,102},{5000,9,1,1503,103},{5000,9,1,1503,113},{5000,9,1,1503,111}]</v>
      </c>
    </row>
    <row r="350" spans="2:49">
      <c r="B350">
        <v>2525</v>
      </c>
      <c r="C350" t="s">
        <v>39</v>
      </c>
      <c r="D350" t="str">
        <f t="shared" si="219"/>
        <v>16</v>
      </c>
      <c r="F350">
        <v>196</v>
      </c>
      <c r="G350">
        <v>5000</v>
      </c>
      <c r="H350">
        <f t="shared" si="227"/>
        <v>9</v>
      </c>
      <c r="I350">
        <v>1</v>
      </c>
      <c r="J350">
        <v>2</v>
      </c>
      <c r="K350">
        <f t="shared" si="222"/>
        <v>1502</v>
      </c>
      <c r="L350">
        <f t="shared" si="188"/>
        <v>101</v>
      </c>
      <c r="M350">
        <v>5000</v>
      </c>
      <c r="N350">
        <f t="shared" si="187"/>
        <v>9</v>
      </c>
      <c r="O350">
        <v>1</v>
      </c>
      <c r="P350">
        <f t="shared" si="223"/>
        <v>1501</v>
      </c>
      <c r="Q350">
        <v>54</v>
      </c>
      <c r="R350">
        <f t="shared" si="189"/>
        <v>103</v>
      </c>
      <c r="S350">
        <v>5000</v>
      </c>
      <c r="T350">
        <f t="shared" si="210"/>
        <v>9</v>
      </c>
      <c r="U350">
        <v>1</v>
      </c>
      <c r="V350">
        <f t="shared" si="224"/>
        <v>1502</v>
      </c>
      <c r="W350">
        <v>77</v>
      </c>
      <c r="X350">
        <f t="shared" si="190"/>
        <v>111</v>
      </c>
      <c r="Y350">
        <v>5000</v>
      </c>
      <c r="Z350">
        <f t="shared" si="211"/>
        <v>9</v>
      </c>
      <c r="AA350">
        <v>1</v>
      </c>
      <c r="AB350">
        <f t="shared" si="225"/>
        <v>1501</v>
      </c>
      <c r="AC350">
        <v>72</v>
      </c>
      <c r="AD350">
        <f t="shared" si="191"/>
        <v>112</v>
      </c>
      <c r="AE350">
        <v>5000</v>
      </c>
      <c r="AF350">
        <f t="shared" si="212"/>
        <v>9</v>
      </c>
      <c r="AG350">
        <v>1</v>
      </c>
      <c r="AH350">
        <f t="shared" si="226"/>
        <v>1502</v>
      </c>
      <c r="AI350">
        <v>74</v>
      </c>
      <c r="AJ350">
        <f t="shared" si="192"/>
        <v>113</v>
      </c>
      <c r="AP350" t="str">
        <f t="shared" si="213"/>
        <v>{5000,9,1,1502,101}</v>
      </c>
      <c r="AQ350" t="str">
        <f t="shared" si="214"/>
        <v>{5000,9,1,1501,103}</v>
      </c>
      <c r="AR350" t="str">
        <f t="shared" si="215"/>
        <v>{5000,9,1,1502,111}</v>
      </c>
      <c r="AS350" t="str">
        <f t="shared" si="216"/>
        <v>{5000,9,1,1501,112}</v>
      </c>
      <c r="AT350" t="str">
        <f t="shared" si="217"/>
        <v>{5000,9,1,1502,113}</v>
      </c>
      <c r="AU350" t="str">
        <f t="shared" si="218"/>
        <v/>
      </c>
      <c r="AV350">
        <v>2525</v>
      </c>
      <c r="AW350" t="str">
        <f t="shared" si="229"/>
        <v>[{5000,9,1,1502,101},{5000,9,1,1501,103},{5000,9,1,1502,111},{5000,9,1,1501,112},{5000,9,1,1502,113}]</v>
      </c>
    </row>
    <row r="351" spans="2:48">
      <c r="B351">
        <v>2526</v>
      </c>
      <c r="C351" t="s">
        <v>39</v>
      </c>
      <c r="D351" t="str">
        <f t="shared" si="219"/>
        <v>16</v>
      </c>
      <c r="F351">
        <v>209</v>
      </c>
      <c r="K351" t="str">
        <f t="shared" si="222"/>
        <v/>
      </c>
      <c r="L351" t="str">
        <f t="shared" si="188"/>
        <v/>
      </c>
      <c r="N351">
        <f t="shared" si="187"/>
        <v>0</v>
      </c>
      <c r="P351" t="str">
        <f t="shared" si="223"/>
        <v/>
      </c>
      <c r="R351" t="str">
        <f t="shared" si="189"/>
        <v/>
      </c>
      <c r="T351">
        <f t="shared" si="210"/>
        <v>0</v>
      </c>
      <c r="V351" t="str">
        <f t="shared" si="224"/>
        <v/>
      </c>
      <c r="X351" t="str">
        <f t="shared" si="190"/>
        <v/>
      </c>
      <c r="Z351">
        <f t="shared" si="211"/>
        <v>0</v>
      </c>
      <c r="AB351" t="str">
        <f t="shared" si="225"/>
        <v/>
      </c>
      <c r="AD351" t="str">
        <f t="shared" si="191"/>
        <v/>
      </c>
      <c r="AF351">
        <f t="shared" si="212"/>
        <v>0</v>
      </c>
      <c r="AH351" t="str">
        <f t="shared" si="226"/>
        <v/>
      </c>
      <c r="AJ351" t="str">
        <f t="shared" si="192"/>
        <v/>
      </c>
      <c r="AP351" t="str">
        <f t="shared" si="213"/>
        <v/>
      </c>
      <c r="AQ351" t="str">
        <f t="shared" si="214"/>
        <v/>
      </c>
      <c r="AR351" t="str">
        <f t="shared" si="215"/>
        <v/>
      </c>
      <c r="AS351" t="str">
        <f t="shared" si="216"/>
        <v/>
      </c>
      <c r="AT351" t="str">
        <f t="shared" si="217"/>
        <v/>
      </c>
      <c r="AU351" t="str">
        <f t="shared" si="218"/>
        <v/>
      </c>
      <c r="AV351">
        <v>2526</v>
      </c>
    </row>
    <row r="352" spans="2:49">
      <c r="B352">
        <v>2527</v>
      </c>
      <c r="C352" t="s">
        <v>39</v>
      </c>
      <c r="D352" t="str">
        <f t="shared" si="219"/>
        <v>16</v>
      </c>
      <c r="F352">
        <v>211</v>
      </c>
      <c r="G352">
        <v>5000</v>
      </c>
      <c r="H352">
        <f>H329+1</f>
        <v>8</v>
      </c>
      <c r="I352">
        <v>1</v>
      </c>
      <c r="J352">
        <v>2</v>
      </c>
      <c r="K352">
        <f t="shared" si="222"/>
        <v>1502</v>
      </c>
      <c r="L352">
        <f t="shared" si="188"/>
        <v>101</v>
      </c>
      <c r="M352">
        <v>5000</v>
      </c>
      <c r="N352">
        <f t="shared" si="187"/>
        <v>8</v>
      </c>
      <c r="O352">
        <v>1</v>
      </c>
      <c r="P352">
        <f t="shared" si="223"/>
        <v>1501</v>
      </c>
      <c r="Q352">
        <v>51</v>
      </c>
      <c r="R352">
        <f t="shared" si="189"/>
        <v>102</v>
      </c>
      <c r="S352">
        <v>5000</v>
      </c>
      <c r="T352">
        <f t="shared" si="210"/>
        <v>8</v>
      </c>
      <c r="U352">
        <v>1</v>
      </c>
      <c r="V352">
        <f t="shared" si="224"/>
        <v>1502</v>
      </c>
      <c r="W352">
        <v>57</v>
      </c>
      <c r="X352">
        <f t="shared" si="190"/>
        <v>103</v>
      </c>
      <c r="Y352">
        <v>5000</v>
      </c>
      <c r="Z352">
        <f t="shared" si="211"/>
        <v>8</v>
      </c>
      <c r="AA352">
        <v>1</v>
      </c>
      <c r="AB352">
        <f t="shared" si="225"/>
        <v>1501</v>
      </c>
      <c r="AC352">
        <v>79</v>
      </c>
      <c r="AD352">
        <f t="shared" si="191"/>
        <v>113</v>
      </c>
      <c r="AE352">
        <v>5000</v>
      </c>
      <c r="AF352">
        <f t="shared" si="212"/>
        <v>8</v>
      </c>
      <c r="AG352">
        <v>1</v>
      </c>
      <c r="AH352">
        <f t="shared" si="226"/>
        <v>1502</v>
      </c>
      <c r="AI352">
        <v>72</v>
      </c>
      <c r="AJ352">
        <f t="shared" si="192"/>
        <v>111</v>
      </c>
      <c r="AK352">
        <v>1000</v>
      </c>
      <c r="AL352">
        <v>1</v>
      </c>
      <c r="AM352">
        <v>0</v>
      </c>
      <c r="AN352">
        <f t="shared" ref="AN352" si="230">AN329+100</f>
        <v>1531</v>
      </c>
      <c r="AO352">
        <v>4</v>
      </c>
      <c r="AP352" t="str">
        <f t="shared" si="213"/>
        <v>{5000,8,1,1502,101}</v>
      </c>
      <c r="AQ352" t="str">
        <f t="shared" si="214"/>
        <v>{5000,8,1,1501,102}</v>
      </c>
      <c r="AR352" t="str">
        <f t="shared" si="215"/>
        <v>{5000,8,1,1502,103}</v>
      </c>
      <c r="AS352" t="str">
        <f t="shared" si="216"/>
        <v>{5000,8,1,1501,113}</v>
      </c>
      <c r="AT352" t="str">
        <f t="shared" si="217"/>
        <v>{5000,8,1,1502,111}</v>
      </c>
      <c r="AU352" t="str">
        <f t="shared" si="218"/>
        <v>{1000,1,0,1531,4}</v>
      </c>
      <c r="AV352">
        <v>2527</v>
      </c>
      <c r="AW352" t="str">
        <f t="shared" ref="AW352:AW366" si="231">IF(AU352="","["&amp;_xlfn.TEXTJOIN(",",1,AP352:AT352)&amp;"]","["&amp;_xlfn.TEXTJOIN(",",1,AP352:AU352)&amp;"]")</f>
        <v>[{5000,8,1,1502,101},{5000,8,1,1501,102},{5000,8,1,1502,103},{5000,8,1,1501,113},{5000,8,1,1502,111},{1000,1,0,1531,4}]</v>
      </c>
    </row>
    <row r="353" spans="2:49">
      <c r="B353">
        <v>2528</v>
      </c>
      <c r="C353" t="s">
        <v>39</v>
      </c>
      <c r="D353" t="str">
        <f t="shared" si="219"/>
        <v>16</v>
      </c>
      <c r="F353">
        <v>226</v>
      </c>
      <c r="G353">
        <v>5000</v>
      </c>
      <c r="H353">
        <f>H330+1</f>
        <v>8</v>
      </c>
      <c r="I353">
        <v>1</v>
      </c>
      <c r="J353">
        <v>2</v>
      </c>
      <c r="K353">
        <f t="shared" si="222"/>
        <v>1502</v>
      </c>
      <c r="L353">
        <f t="shared" si="188"/>
        <v>101</v>
      </c>
      <c r="M353">
        <v>5000</v>
      </c>
      <c r="N353">
        <f t="shared" si="187"/>
        <v>8</v>
      </c>
      <c r="O353">
        <v>1</v>
      </c>
      <c r="P353">
        <f t="shared" si="223"/>
        <v>1501</v>
      </c>
      <c r="Q353">
        <v>51</v>
      </c>
      <c r="R353">
        <f t="shared" si="189"/>
        <v>103</v>
      </c>
      <c r="S353">
        <v>5000</v>
      </c>
      <c r="T353">
        <f t="shared" si="210"/>
        <v>8</v>
      </c>
      <c r="U353">
        <v>1</v>
      </c>
      <c r="V353">
        <f t="shared" si="224"/>
        <v>1502</v>
      </c>
      <c r="W353">
        <v>75</v>
      </c>
      <c r="X353">
        <f t="shared" si="190"/>
        <v>111</v>
      </c>
      <c r="Y353">
        <v>5000</v>
      </c>
      <c r="Z353">
        <f t="shared" si="211"/>
        <v>8</v>
      </c>
      <c r="AA353">
        <v>1</v>
      </c>
      <c r="AB353">
        <f t="shared" si="225"/>
        <v>1501</v>
      </c>
      <c r="AC353">
        <v>71</v>
      </c>
      <c r="AD353">
        <f t="shared" si="191"/>
        <v>112</v>
      </c>
      <c r="AE353">
        <v>5000</v>
      </c>
      <c r="AF353">
        <f t="shared" si="212"/>
        <v>8</v>
      </c>
      <c r="AG353">
        <v>1</v>
      </c>
      <c r="AH353">
        <f t="shared" si="226"/>
        <v>1502</v>
      </c>
      <c r="AI353">
        <v>77</v>
      </c>
      <c r="AJ353">
        <f t="shared" si="192"/>
        <v>113</v>
      </c>
      <c r="AP353" t="str">
        <f t="shared" si="213"/>
        <v>{5000,8,1,1502,101}</v>
      </c>
      <c r="AQ353" t="str">
        <f t="shared" si="214"/>
        <v>{5000,8,1,1501,103}</v>
      </c>
      <c r="AR353" t="str">
        <f t="shared" si="215"/>
        <v>{5000,8,1,1502,111}</v>
      </c>
      <c r="AS353" t="str">
        <f t="shared" si="216"/>
        <v>{5000,8,1,1501,112}</v>
      </c>
      <c r="AT353" t="str">
        <f t="shared" si="217"/>
        <v>{5000,8,1,1502,113}</v>
      </c>
      <c r="AU353" t="str">
        <f t="shared" si="218"/>
        <v/>
      </c>
      <c r="AV353">
        <v>2528</v>
      </c>
      <c r="AW353" t="str">
        <f t="shared" si="231"/>
        <v>[{5000,8,1,1502,101},{5000,8,1,1501,103},{5000,8,1,1502,111},{5000,8,1,1501,112},{5000,8,1,1502,113}]</v>
      </c>
    </row>
    <row r="354" spans="2:49">
      <c r="B354">
        <v>2529</v>
      </c>
      <c r="C354" t="s">
        <v>39</v>
      </c>
      <c r="D354" t="str">
        <f t="shared" si="219"/>
        <v>16</v>
      </c>
      <c r="F354">
        <v>241</v>
      </c>
      <c r="G354">
        <v>5000</v>
      </c>
      <c r="H354">
        <f>H331+1</f>
        <v>10</v>
      </c>
      <c r="I354">
        <v>1</v>
      </c>
      <c r="J354">
        <v>3</v>
      </c>
      <c r="K354">
        <f t="shared" si="222"/>
        <v>1503</v>
      </c>
      <c r="L354">
        <f t="shared" si="188"/>
        <v>101</v>
      </c>
      <c r="M354">
        <v>5000</v>
      </c>
      <c r="N354">
        <f t="shared" si="187"/>
        <v>10</v>
      </c>
      <c r="O354">
        <v>1</v>
      </c>
      <c r="P354">
        <f t="shared" si="223"/>
        <v>1503</v>
      </c>
      <c r="Q354">
        <v>53</v>
      </c>
      <c r="R354">
        <f t="shared" si="189"/>
        <v>102</v>
      </c>
      <c r="S354">
        <v>5000</v>
      </c>
      <c r="T354">
        <f t="shared" si="210"/>
        <v>10</v>
      </c>
      <c r="U354">
        <v>1</v>
      </c>
      <c r="V354">
        <f t="shared" si="224"/>
        <v>1503</v>
      </c>
      <c r="W354">
        <v>56</v>
      </c>
      <c r="X354">
        <f t="shared" si="190"/>
        <v>103</v>
      </c>
      <c r="Y354">
        <v>5000</v>
      </c>
      <c r="Z354">
        <f t="shared" si="211"/>
        <v>10</v>
      </c>
      <c r="AA354">
        <v>1</v>
      </c>
      <c r="AB354">
        <f t="shared" si="225"/>
        <v>1503</v>
      </c>
      <c r="AC354">
        <v>74</v>
      </c>
      <c r="AD354">
        <f t="shared" si="191"/>
        <v>113</v>
      </c>
      <c r="AE354">
        <v>5000</v>
      </c>
      <c r="AF354">
        <f t="shared" si="212"/>
        <v>10</v>
      </c>
      <c r="AG354">
        <v>1</v>
      </c>
      <c r="AH354">
        <f t="shared" si="226"/>
        <v>1503</v>
      </c>
      <c r="AI354">
        <v>78</v>
      </c>
      <c r="AJ354">
        <f t="shared" si="192"/>
        <v>111</v>
      </c>
      <c r="AP354" t="str">
        <f t="shared" si="213"/>
        <v>{5000,10,1,1503,101}</v>
      </c>
      <c r="AQ354" t="str">
        <f t="shared" si="214"/>
        <v>{5000,10,1,1503,102}</v>
      </c>
      <c r="AR354" t="str">
        <f t="shared" si="215"/>
        <v>{5000,10,1,1503,103}</v>
      </c>
      <c r="AS354" t="str">
        <f t="shared" si="216"/>
        <v>{5000,10,1,1503,113}</v>
      </c>
      <c r="AT354" t="str">
        <f t="shared" si="217"/>
        <v>{5000,10,1,1503,111}</v>
      </c>
      <c r="AU354" t="str">
        <f t="shared" si="218"/>
        <v/>
      </c>
      <c r="AV354">
        <v>2529</v>
      </c>
      <c r="AW354" t="str">
        <f t="shared" si="231"/>
        <v>[{5000,10,1,1503,101},{5000,10,1,1503,102},{5000,10,1,1503,103},{5000,10,1,1503,113},{5000,10,1,1503,111}]</v>
      </c>
    </row>
    <row r="355" spans="2:49">
      <c r="B355">
        <v>2530</v>
      </c>
      <c r="C355" t="s">
        <v>39</v>
      </c>
      <c r="D355" t="str">
        <f t="shared" si="219"/>
        <v>16</v>
      </c>
      <c r="F355">
        <v>256</v>
      </c>
      <c r="G355">
        <v>5000</v>
      </c>
      <c r="H355">
        <f>H332+1</f>
        <v>9</v>
      </c>
      <c r="I355">
        <v>1</v>
      </c>
      <c r="J355">
        <v>2</v>
      </c>
      <c r="K355">
        <f t="shared" si="222"/>
        <v>1502</v>
      </c>
      <c r="L355">
        <f t="shared" si="188"/>
        <v>101</v>
      </c>
      <c r="M355">
        <v>5000</v>
      </c>
      <c r="N355">
        <f t="shared" si="187"/>
        <v>9</v>
      </c>
      <c r="O355">
        <v>1</v>
      </c>
      <c r="P355">
        <f t="shared" si="223"/>
        <v>1502</v>
      </c>
      <c r="Q355">
        <v>59</v>
      </c>
      <c r="R355">
        <f t="shared" si="189"/>
        <v>103</v>
      </c>
      <c r="S355">
        <v>5000</v>
      </c>
      <c r="T355">
        <f t="shared" si="210"/>
        <v>9</v>
      </c>
      <c r="U355">
        <v>1</v>
      </c>
      <c r="V355">
        <f t="shared" si="224"/>
        <v>1502</v>
      </c>
      <c r="W355">
        <v>79</v>
      </c>
      <c r="X355">
        <f t="shared" si="190"/>
        <v>111</v>
      </c>
      <c r="Y355">
        <v>5000</v>
      </c>
      <c r="Z355">
        <f t="shared" si="211"/>
        <v>9</v>
      </c>
      <c r="AA355">
        <v>1</v>
      </c>
      <c r="AB355">
        <f t="shared" si="225"/>
        <v>1501</v>
      </c>
      <c r="AC355">
        <v>72</v>
      </c>
      <c r="AD355">
        <f t="shared" si="191"/>
        <v>112</v>
      </c>
      <c r="AE355">
        <v>5000</v>
      </c>
      <c r="AF355">
        <f t="shared" si="212"/>
        <v>9</v>
      </c>
      <c r="AG355">
        <v>1</v>
      </c>
      <c r="AH355">
        <f t="shared" si="226"/>
        <v>1502</v>
      </c>
      <c r="AI355">
        <v>74</v>
      </c>
      <c r="AJ355">
        <f t="shared" si="192"/>
        <v>113</v>
      </c>
      <c r="AP355" t="str">
        <f t="shared" si="213"/>
        <v>{5000,9,1,1502,101}</v>
      </c>
      <c r="AQ355" t="str">
        <f t="shared" si="214"/>
        <v>{5000,9,1,1502,103}</v>
      </c>
      <c r="AR355" t="str">
        <f t="shared" si="215"/>
        <v>{5000,9,1,1502,111}</v>
      </c>
      <c r="AS355" t="str">
        <f t="shared" si="216"/>
        <v>{5000,9,1,1501,112}</v>
      </c>
      <c r="AT355" t="str">
        <f t="shared" si="217"/>
        <v>{5000,9,1,1502,113}</v>
      </c>
      <c r="AU355" t="str">
        <f t="shared" si="218"/>
        <v/>
      </c>
      <c r="AV355">
        <v>2530</v>
      </c>
      <c r="AW355" t="str">
        <f t="shared" si="231"/>
        <v>[{5000,9,1,1502,101},{5000,9,1,1502,103},{5000,9,1,1502,111},{5000,9,1,1501,112},{5000,9,1,1502,113}]</v>
      </c>
    </row>
    <row r="356" spans="2:49">
      <c r="B356">
        <v>2531</v>
      </c>
      <c r="C356" t="s">
        <v>39</v>
      </c>
      <c r="D356" t="str">
        <f t="shared" si="219"/>
        <v>16</v>
      </c>
      <c r="F356">
        <v>271</v>
      </c>
      <c r="G356">
        <v>5000</v>
      </c>
      <c r="H356">
        <f t="shared" si="227"/>
        <v>10</v>
      </c>
      <c r="I356">
        <v>1</v>
      </c>
      <c r="J356">
        <v>2</v>
      </c>
      <c r="K356">
        <f t="shared" si="222"/>
        <v>1502</v>
      </c>
      <c r="L356">
        <f t="shared" si="188"/>
        <v>101</v>
      </c>
      <c r="M356">
        <v>5000</v>
      </c>
      <c r="N356">
        <f t="shared" si="187"/>
        <v>10</v>
      </c>
      <c r="O356">
        <v>1</v>
      </c>
      <c r="P356">
        <f t="shared" si="223"/>
        <v>1502</v>
      </c>
      <c r="Q356">
        <v>54</v>
      </c>
      <c r="R356">
        <f t="shared" si="189"/>
        <v>102</v>
      </c>
      <c r="S356">
        <v>5000</v>
      </c>
      <c r="T356">
        <f t="shared" si="210"/>
        <v>10</v>
      </c>
      <c r="U356">
        <v>1</v>
      </c>
      <c r="V356">
        <f t="shared" si="224"/>
        <v>1502</v>
      </c>
      <c r="W356">
        <v>56</v>
      </c>
      <c r="X356">
        <f t="shared" si="190"/>
        <v>103</v>
      </c>
      <c r="Y356">
        <v>5000</v>
      </c>
      <c r="Z356">
        <f t="shared" si="211"/>
        <v>10</v>
      </c>
      <c r="AA356">
        <v>1</v>
      </c>
      <c r="AB356">
        <f t="shared" si="225"/>
        <v>1502</v>
      </c>
      <c r="AC356">
        <v>73</v>
      </c>
      <c r="AD356">
        <f t="shared" si="191"/>
        <v>113</v>
      </c>
      <c r="AE356">
        <v>5000</v>
      </c>
      <c r="AF356">
        <f t="shared" si="212"/>
        <v>10</v>
      </c>
      <c r="AG356">
        <v>1</v>
      </c>
      <c r="AH356">
        <f t="shared" si="226"/>
        <v>1502</v>
      </c>
      <c r="AI356">
        <v>75</v>
      </c>
      <c r="AJ356">
        <f t="shared" si="192"/>
        <v>111</v>
      </c>
      <c r="AP356" t="str">
        <f t="shared" si="213"/>
        <v>{5000,10,1,1502,101}</v>
      </c>
      <c r="AQ356" t="str">
        <f t="shared" si="214"/>
        <v>{5000,10,1,1502,102}</v>
      </c>
      <c r="AR356" t="str">
        <f t="shared" si="215"/>
        <v>{5000,10,1,1502,103}</v>
      </c>
      <c r="AS356" t="str">
        <f t="shared" si="216"/>
        <v>{5000,10,1,1502,113}</v>
      </c>
      <c r="AT356" t="str">
        <f t="shared" si="217"/>
        <v>{5000,10,1,1502,111}</v>
      </c>
      <c r="AU356" t="str">
        <f t="shared" si="218"/>
        <v/>
      </c>
      <c r="AV356">
        <v>2531</v>
      </c>
      <c r="AW356" t="str">
        <f t="shared" si="231"/>
        <v>[{5000,10,1,1502,101},{5000,10,1,1502,102},{5000,10,1,1502,103},{5000,10,1,1502,113},{5000,10,1,1502,111}]</v>
      </c>
    </row>
    <row r="357" spans="2:49">
      <c r="B357">
        <v>2532</v>
      </c>
      <c r="C357" t="s">
        <v>39</v>
      </c>
      <c r="D357" t="str">
        <f t="shared" si="219"/>
        <v>16</v>
      </c>
      <c r="F357">
        <v>286</v>
      </c>
      <c r="G357">
        <v>5000</v>
      </c>
      <c r="H357">
        <f t="shared" si="227"/>
        <v>10</v>
      </c>
      <c r="I357">
        <v>1</v>
      </c>
      <c r="J357">
        <v>2</v>
      </c>
      <c r="K357">
        <f t="shared" si="222"/>
        <v>1502</v>
      </c>
      <c r="L357">
        <f t="shared" si="188"/>
        <v>101</v>
      </c>
      <c r="M357">
        <v>5000</v>
      </c>
      <c r="N357">
        <f t="shared" si="187"/>
        <v>10</v>
      </c>
      <c r="O357">
        <v>1</v>
      </c>
      <c r="P357">
        <f t="shared" si="223"/>
        <v>1502</v>
      </c>
      <c r="Q357">
        <v>53</v>
      </c>
      <c r="R357">
        <f t="shared" si="189"/>
        <v>103</v>
      </c>
      <c r="S357">
        <v>5000</v>
      </c>
      <c r="T357">
        <f t="shared" si="210"/>
        <v>10</v>
      </c>
      <c r="U357">
        <v>1</v>
      </c>
      <c r="V357">
        <f t="shared" si="224"/>
        <v>1502</v>
      </c>
      <c r="W357">
        <v>59</v>
      </c>
      <c r="X357">
        <f t="shared" si="190"/>
        <v>111</v>
      </c>
      <c r="Y357">
        <v>5000</v>
      </c>
      <c r="Z357">
        <f t="shared" si="211"/>
        <v>10</v>
      </c>
      <c r="AA357">
        <v>1</v>
      </c>
      <c r="AB357">
        <f t="shared" si="225"/>
        <v>1502</v>
      </c>
      <c r="AC357">
        <v>71</v>
      </c>
      <c r="AD357">
        <f t="shared" si="191"/>
        <v>112</v>
      </c>
      <c r="AE357">
        <v>5000</v>
      </c>
      <c r="AF357">
        <f t="shared" si="212"/>
        <v>10</v>
      </c>
      <c r="AG357">
        <v>1</v>
      </c>
      <c r="AH357">
        <f t="shared" si="226"/>
        <v>1502</v>
      </c>
      <c r="AI357">
        <v>77</v>
      </c>
      <c r="AJ357">
        <f t="shared" si="192"/>
        <v>113</v>
      </c>
      <c r="AP357" t="str">
        <f t="shared" si="213"/>
        <v>{5000,10,1,1502,101}</v>
      </c>
      <c r="AQ357" t="str">
        <f t="shared" si="214"/>
        <v>{5000,10,1,1502,103}</v>
      </c>
      <c r="AR357" t="str">
        <f t="shared" si="215"/>
        <v>{5000,10,1,1502,111}</v>
      </c>
      <c r="AS357" t="str">
        <f t="shared" si="216"/>
        <v>{5000,10,1,1502,112}</v>
      </c>
      <c r="AT357" t="str">
        <f t="shared" si="217"/>
        <v>{5000,10,1,1502,113}</v>
      </c>
      <c r="AU357" t="str">
        <f t="shared" si="218"/>
        <v/>
      </c>
      <c r="AV357">
        <v>2532</v>
      </c>
      <c r="AW357" t="str">
        <f t="shared" si="231"/>
        <v>[{5000,10,1,1502,101},{5000,10,1,1502,103},{5000,10,1,1502,111},{5000,10,1,1502,112},{5000,10,1,1502,113}]</v>
      </c>
    </row>
    <row r="358" spans="2:49">
      <c r="B358">
        <v>2533</v>
      </c>
      <c r="C358" t="s">
        <v>39</v>
      </c>
      <c r="D358" t="str">
        <f t="shared" si="219"/>
        <v>16</v>
      </c>
      <c r="F358">
        <v>290</v>
      </c>
      <c r="G358">
        <v>5000</v>
      </c>
      <c r="H358">
        <f t="shared" si="227"/>
        <v>10</v>
      </c>
      <c r="I358">
        <v>1</v>
      </c>
      <c r="J358">
        <v>2</v>
      </c>
      <c r="K358">
        <f t="shared" si="222"/>
        <v>1502</v>
      </c>
      <c r="L358">
        <f t="shared" si="188"/>
        <v>101</v>
      </c>
      <c r="M358">
        <v>5000</v>
      </c>
      <c r="N358">
        <f t="shared" ref="N358:N421" si="232">H358</f>
        <v>10</v>
      </c>
      <c r="O358">
        <v>1</v>
      </c>
      <c r="P358">
        <f t="shared" si="223"/>
        <v>1502</v>
      </c>
      <c r="Q358">
        <v>56</v>
      </c>
      <c r="R358">
        <f t="shared" si="189"/>
        <v>102</v>
      </c>
      <c r="S358">
        <v>5000</v>
      </c>
      <c r="T358">
        <f t="shared" si="210"/>
        <v>10</v>
      </c>
      <c r="U358">
        <v>1</v>
      </c>
      <c r="V358">
        <f t="shared" si="224"/>
        <v>1501</v>
      </c>
      <c r="W358">
        <v>77</v>
      </c>
      <c r="X358">
        <f t="shared" si="190"/>
        <v>103</v>
      </c>
      <c r="Y358">
        <v>5000</v>
      </c>
      <c r="Z358">
        <f t="shared" si="211"/>
        <v>10</v>
      </c>
      <c r="AA358">
        <v>1</v>
      </c>
      <c r="AB358">
        <f t="shared" si="225"/>
        <v>1502</v>
      </c>
      <c r="AC358">
        <v>72</v>
      </c>
      <c r="AD358">
        <f t="shared" si="191"/>
        <v>113</v>
      </c>
      <c r="AE358">
        <v>5000</v>
      </c>
      <c r="AF358">
        <f t="shared" si="212"/>
        <v>10</v>
      </c>
      <c r="AG358">
        <v>1</v>
      </c>
      <c r="AH358">
        <f t="shared" si="226"/>
        <v>1502</v>
      </c>
      <c r="AI358">
        <v>74</v>
      </c>
      <c r="AJ358">
        <f t="shared" si="192"/>
        <v>111</v>
      </c>
      <c r="AP358" t="str">
        <f t="shared" si="213"/>
        <v>{5000,10,1,1502,101}</v>
      </c>
      <c r="AQ358" t="str">
        <f t="shared" si="214"/>
        <v>{5000,10,1,1502,102}</v>
      </c>
      <c r="AR358" t="str">
        <f t="shared" si="215"/>
        <v>{5000,10,1,1501,103}</v>
      </c>
      <c r="AS358" t="str">
        <f t="shared" si="216"/>
        <v>{5000,10,1,1502,113}</v>
      </c>
      <c r="AT358" t="str">
        <f t="shared" si="217"/>
        <v>{5000,10,1,1502,111}</v>
      </c>
      <c r="AU358" t="str">
        <f t="shared" si="218"/>
        <v/>
      </c>
      <c r="AV358">
        <v>2533</v>
      </c>
      <c r="AW358" t="str">
        <f t="shared" si="231"/>
        <v>[{5000,10,1,1502,101},{5000,10,1,1502,102},{5000,10,1,1501,103},{5000,10,1,1502,113},{5000,10,1,1502,111}]</v>
      </c>
    </row>
    <row r="359" spans="2:49">
      <c r="B359">
        <v>2611</v>
      </c>
      <c r="C359" t="s">
        <v>40</v>
      </c>
      <c r="D359" s="5" t="str">
        <f t="shared" si="219"/>
        <v>17</v>
      </c>
      <c r="E359" s="5"/>
      <c r="F359">
        <v>1</v>
      </c>
      <c r="G359">
        <v>5000</v>
      </c>
      <c r="H359">
        <f t="shared" ref="H359:H402" si="233">H336</f>
        <v>2</v>
      </c>
      <c r="I359">
        <v>1</v>
      </c>
      <c r="J359">
        <v>1</v>
      </c>
      <c r="K359">
        <f t="shared" si="222"/>
        <v>1601</v>
      </c>
      <c r="L359">
        <f t="shared" ref="L359:L422" si="234">IF(L336="","",L336)</f>
        <v>101</v>
      </c>
      <c r="M359">
        <v>5000</v>
      </c>
      <c r="N359">
        <f t="shared" si="232"/>
        <v>2</v>
      </c>
      <c r="O359">
        <v>1</v>
      </c>
      <c r="P359">
        <f t="shared" si="223"/>
        <v>1601</v>
      </c>
      <c r="Q359">
        <v>55</v>
      </c>
      <c r="R359">
        <f t="shared" ref="R359:R422" si="235">IF(R336="","",R336)</f>
        <v>102</v>
      </c>
      <c r="S359">
        <v>5000</v>
      </c>
      <c r="T359">
        <f t="shared" si="210"/>
        <v>2</v>
      </c>
      <c r="U359">
        <v>1</v>
      </c>
      <c r="V359">
        <f t="shared" si="224"/>
        <v>1601</v>
      </c>
      <c r="W359">
        <v>60</v>
      </c>
      <c r="X359">
        <f t="shared" ref="X359:X422" si="236">IF(X336="","",X336)</f>
        <v>103</v>
      </c>
      <c r="Y359">
        <v>5000</v>
      </c>
      <c r="Z359">
        <f t="shared" si="211"/>
        <v>2</v>
      </c>
      <c r="AA359">
        <v>1</v>
      </c>
      <c r="AB359">
        <f t="shared" si="225"/>
        <v>1601</v>
      </c>
      <c r="AC359">
        <v>71</v>
      </c>
      <c r="AD359">
        <f t="shared" ref="AD359:AD422" si="237">IF(AD336="","",AD336)</f>
        <v>113</v>
      </c>
      <c r="AE359">
        <v>5000</v>
      </c>
      <c r="AF359">
        <f t="shared" si="212"/>
        <v>2</v>
      </c>
      <c r="AG359">
        <v>1</v>
      </c>
      <c r="AH359">
        <f t="shared" si="226"/>
        <v>1601</v>
      </c>
      <c r="AI359">
        <v>76</v>
      </c>
      <c r="AJ359">
        <f t="shared" ref="AJ359:AJ422" si="238">IF(AJ336="","",AJ336)</f>
        <v>111</v>
      </c>
      <c r="AP359" t="str">
        <f t="shared" si="213"/>
        <v>{5000,2,1,1601,101}</v>
      </c>
      <c r="AQ359" t="str">
        <f t="shared" si="214"/>
        <v>{5000,2,1,1601,102}</v>
      </c>
      <c r="AR359" t="str">
        <f t="shared" si="215"/>
        <v>{5000,2,1,1601,103}</v>
      </c>
      <c r="AS359" t="str">
        <f t="shared" si="216"/>
        <v>{5000,2,1,1601,113}</v>
      </c>
      <c r="AT359" t="str">
        <f t="shared" si="217"/>
        <v>{5000,2,1,1601,111}</v>
      </c>
      <c r="AU359" t="str">
        <f t="shared" si="218"/>
        <v/>
      </c>
      <c r="AV359">
        <v>2611</v>
      </c>
      <c r="AW359" t="str">
        <f t="shared" si="231"/>
        <v>[{5000,2,1,1601,101},{5000,2,1,1601,102},{5000,2,1,1601,103},{5000,2,1,1601,113},{5000,2,1,1601,111}]</v>
      </c>
    </row>
    <row r="360" spans="2:49">
      <c r="B360">
        <v>2612</v>
      </c>
      <c r="C360" t="s">
        <v>40</v>
      </c>
      <c r="D360" t="str">
        <f t="shared" si="219"/>
        <v>17</v>
      </c>
      <c r="F360">
        <v>16</v>
      </c>
      <c r="G360">
        <v>5000</v>
      </c>
      <c r="H360">
        <f t="shared" si="233"/>
        <v>2</v>
      </c>
      <c r="I360">
        <v>1</v>
      </c>
      <c r="J360">
        <v>1</v>
      </c>
      <c r="K360">
        <f t="shared" ref="K360:K382" si="239">IF($J360="","",K337+100)</f>
        <v>1601</v>
      </c>
      <c r="L360">
        <f t="shared" si="234"/>
        <v>101</v>
      </c>
      <c r="M360">
        <v>5000</v>
      </c>
      <c r="N360">
        <f t="shared" si="232"/>
        <v>2</v>
      </c>
      <c r="O360">
        <v>1</v>
      </c>
      <c r="P360">
        <f t="shared" ref="P360:P382" si="240">IF($J360="","",P337+100)</f>
        <v>1601</v>
      </c>
      <c r="Q360">
        <v>55</v>
      </c>
      <c r="R360">
        <f t="shared" si="235"/>
        <v>103</v>
      </c>
      <c r="S360">
        <v>5000</v>
      </c>
      <c r="T360">
        <f t="shared" si="210"/>
        <v>2</v>
      </c>
      <c r="U360">
        <v>1</v>
      </c>
      <c r="V360">
        <f t="shared" ref="V360:V382" si="241">IF($J360="","",V337+100)</f>
        <v>1601</v>
      </c>
      <c r="W360">
        <v>75</v>
      </c>
      <c r="X360">
        <f t="shared" si="236"/>
        <v>111</v>
      </c>
      <c r="Y360">
        <v>5000</v>
      </c>
      <c r="Z360">
        <f t="shared" si="211"/>
        <v>2</v>
      </c>
      <c r="AA360">
        <v>1</v>
      </c>
      <c r="AB360">
        <f t="shared" ref="AB360:AB382" si="242">IF($J360="","",AB337+100)</f>
        <v>1601</v>
      </c>
      <c r="AC360">
        <v>73</v>
      </c>
      <c r="AD360">
        <f t="shared" si="237"/>
        <v>112</v>
      </c>
      <c r="AE360">
        <v>5000</v>
      </c>
      <c r="AF360">
        <f t="shared" si="212"/>
        <v>2</v>
      </c>
      <c r="AG360">
        <v>1</v>
      </c>
      <c r="AH360">
        <f t="shared" ref="AH360:AH382" si="243">IF($J360="","",AH337+100)</f>
        <v>1601</v>
      </c>
      <c r="AI360">
        <v>78</v>
      </c>
      <c r="AJ360">
        <f t="shared" si="238"/>
        <v>113</v>
      </c>
      <c r="AP360" t="str">
        <f t="shared" si="213"/>
        <v>{5000,2,1,1601,101}</v>
      </c>
      <c r="AQ360" t="str">
        <f t="shared" si="214"/>
        <v>{5000,2,1,1601,103}</v>
      </c>
      <c r="AR360" t="str">
        <f t="shared" si="215"/>
        <v>{5000,2,1,1601,111}</v>
      </c>
      <c r="AS360" t="str">
        <f t="shared" si="216"/>
        <v>{5000,2,1,1601,112}</v>
      </c>
      <c r="AT360" t="str">
        <f t="shared" si="217"/>
        <v>{5000,2,1,1601,113}</v>
      </c>
      <c r="AU360" t="str">
        <f t="shared" si="218"/>
        <v/>
      </c>
      <c r="AV360">
        <v>2612</v>
      </c>
      <c r="AW360" t="str">
        <f t="shared" si="231"/>
        <v>[{5000,2,1,1601,101},{5000,2,1,1601,103},{5000,2,1,1601,111},{5000,2,1,1601,112},{5000,2,1,1601,113}]</v>
      </c>
    </row>
    <row r="361" spans="2:49">
      <c r="B361">
        <v>2613</v>
      </c>
      <c r="C361" t="s">
        <v>40</v>
      </c>
      <c r="D361" t="str">
        <f t="shared" si="219"/>
        <v>17</v>
      </c>
      <c r="F361">
        <v>31</v>
      </c>
      <c r="G361">
        <v>5000</v>
      </c>
      <c r="H361">
        <f t="shared" si="233"/>
        <v>4</v>
      </c>
      <c r="I361">
        <v>1</v>
      </c>
      <c r="J361">
        <v>1</v>
      </c>
      <c r="K361">
        <f t="shared" si="239"/>
        <v>1601</v>
      </c>
      <c r="L361">
        <f t="shared" si="234"/>
        <v>101</v>
      </c>
      <c r="M361">
        <v>5000</v>
      </c>
      <c r="N361">
        <f t="shared" si="232"/>
        <v>4</v>
      </c>
      <c r="O361">
        <v>1</v>
      </c>
      <c r="P361">
        <f t="shared" si="240"/>
        <v>1601</v>
      </c>
      <c r="Q361">
        <v>55</v>
      </c>
      <c r="R361">
        <f t="shared" si="235"/>
        <v>102</v>
      </c>
      <c r="S361">
        <v>5000</v>
      </c>
      <c r="T361">
        <f t="shared" si="210"/>
        <v>4</v>
      </c>
      <c r="U361">
        <v>1</v>
      </c>
      <c r="V361">
        <f t="shared" si="241"/>
        <v>1601</v>
      </c>
      <c r="W361">
        <v>58</v>
      </c>
      <c r="X361">
        <f t="shared" si="236"/>
        <v>103</v>
      </c>
      <c r="Y361">
        <v>5000</v>
      </c>
      <c r="Z361">
        <f t="shared" si="211"/>
        <v>4</v>
      </c>
      <c r="AA361">
        <v>1</v>
      </c>
      <c r="AB361">
        <f t="shared" si="242"/>
        <v>1601</v>
      </c>
      <c r="AC361">
        <v>76</v>
      </c>
      <c r="AD361">
        <f t="shared" si="237"/>
        <v>113</v>
      </c>
      <c r="AE361">
        <v>5000</v>
      </c>
      <c r="AF361">
        <f t="shared" si="212"/>
        <v>4</v>
      </c>
      <c r="AG361">
        <v>1</v>
      </c>
      <c r="AH361">
        <f t="shared" si="243"/>
        <v>1601</v>
      </c>
      <c r="AI361">
        <v>79</v>
      </c>
      <c r="AJ361">
        <f t="shared" si="238"/>
        <v>111</v>
      </c>
      <c r="AP361" t="str">
        <f t="shared" si="213"/>
        <v>{5000,4,1,1601,101}</v>
      </c>
      <c r="AQ361" t="str">
        <f t="shared" si="214"/>
        <v>{5000,4,1,1601,102}</v>
      </c>
      <c r="AR361" t="str">
        <f t="shared" si="215"/>
        <v>{5000,4,1,1601,103}</v>
      </c>
      <c r="AS361" t="str">
        <f t="shared" si="216"/>
        <v>{5000,4,1,1601,113}</v>
      </c>
      <c r="AT361" t="str">
        <f t="shared" si="217"/>
        <v>{5000,4,1,1601,111}</v>
      </c>
      <c r="AU361" t="str">
        <f t="shared" si="218"/>
        <v/>
      </c>
      <c r="AV361">
        <v>2613</v>
      </c>
      <c r="AW361" t="str">
        <f t="shared" si="231"/>
        <v>[{5000,4,1,1601,101},{5000,4,1,1601,102},{5000,4,1,1601,103},{5000,4,1,1601,113},{5000,4,1,1601,111}]</v>
      </c>
    </row>
    <row r="362" spans="2:49">
      <c r="B362">
        <v>2614</v>
      </c>
      <c r="C362" t="s">
        <v>40</v>
      </c>
      <c r="D362" t="str">
        <f t="shared" si="219"/>
        <v>17</v>
      </c>
      <c r="F362">
        <v>46</v>
      </c>
      <c r="G362">
        <v>5000</v>
      </c>
      <c r="H362">
        <f t="shared" si="233"/>
        <v>4</v>
      </c>
      <c r="I362">
        <v>1</v>
      </c>
      <c r="J362">
        <v>1</v>
      </c>
      <c r="K362">
        <f t="shared" si="239"/>
        <v>1601</v>
      </c>
      <c r="L362">
        <f t="shared" si="234"/>
        <v>101</v>
      </c>
      <c r="M362">
        <v>5000</v>
      </c>
      <c r="N362">
        <f t="shared" si="232"/>
        <v>4</v>
      </c>
      <c r="O362">
        <v>1</v>
      </c>
      <c r="P362">
        <f t="shared" si="240"/>
        <v>1601</v>
      </c>
      <c r="Q362">
        <v>55</v>
      </c>
      <c r="R362">
        <f t="shared" si="235"/>
        <v>103</v>
      </c>
      <c r="S362">
        <v>5000</v>
      </c>
      <c r="T362">
        <f t="shared" si="210"/>
        <v>4</v>
      </c>
      <c r="U362">
        <v>1</v>
      </c>
      <c r="V362">
        <f t="shared" si="241"/>
        <v>1602</v>
      </c>
      <c r="W362">
        <v>76</v>
      </c>
      <c r="X362">
        <f t="shared" si="236"/>
        <v>111</v>
      </c>
      <c r="Y362">
        <v>5000</v>
      </c>
      <c r="Z362">
        <f t="shared" si="211"/>
        <v>4</v>
      </c>
      <c r="AA362">
        <v>1</v>
      </c>
      <c r="AB362">
        <f t="shared" si="242"/>
        <v>1601</v>
      </c>
      <c r="AC362">
        <v>71</v>
      </c>
      <c r="AD362">
        <f t="shared" si="237"/>
        <v>112</v>
      </c>
      <c r="AE362">
        <v>5000</v>
      </c>
      <c r="AF362">
        <f t="shared" si="212"/>
        <v>4</v>
      </c>
      <c r="AG362">
        <v>1</v>
      </c>
      <c r="AH362">
        <f t="shared" si="243"/>
        <v>1601</v>
      </c>
      <c r="AI362">
        <v>71</v>
      </c>
      <c r="AJ362">
        <f t="shared" si="238"/>
        <v>113</v>
      </c>
      <c r="AP362" t="str">
        <f t="shared" si="213"/>
        <v>{5000,4,1,1601,101}</v>
      </c>
      <c r="AQ362" t="str">
        <f t="shared" si="214"/>
        <v>{5000,4,1,1601,103}</v>
      </c>
      <c r="AR362" t="str">
        <f t="shared" si="215"/>
        <v>{5000,4,1,1602,111}</v>
      </c>
      <c r="AS362" t="str">
        <f t="shared" si="216"/>
        <v>{5000,4,1,1601,112}</v>
      </c>
      <c r="AT362" t="str">
        <f t="shared" si="217"/>
        <v>{5000,4,1,1601,113}</v>
      </c>
      <c r="AU362" t="str">
        <f t="shared" si="218"/>
        <v/>
      </c>
      <c r="AV362">
        <v>2614</v>
      </c>
      <c r="AW362" t="str">
        <f t="shared" si="231"/>
        <v>[{5000,4,1,1601,101},{5000,4,1,1601,103},{5000,4,1,1602,111},{5000,4,1,1601,112},{5000,4,1,1601,113}]</v>
      </c>
    </row>
    <row r="363" spans="2:49">
      <c r="B363">
        <v>2615</v>
      </c>
      <c r="C363" t="s">
        <v>40</v>
      </c>
      <c r="D363" t="str">
        <f t="shared" si="219"/>
        <v>17</v>
      </c>
      <c r="F363">
        <v>61</v>
      </c>
      <c r="G363">
        <v>5000</v>
      </c>
      <c r="H363">
        <f t="shared" si="233"/>
        <v>6</v>
      </c>
      <c r="I363">
        <v>1</v>
      </c>
      <c r="J363">
        <v>3</v>
      </c>
      <c r="K363">
        <f t="shared" si="239"/>
        <v>1603</v>
      </c>
      <c r="L363">
        <f t="shared" si="234"/>
        <v>101</v>
      </c>
      <c r="M363">
        <v>5000</v>
      </c>
      <c r="N363">
        <f t="shared" si="232"/>
        <v>6</v>
      </c>
      <c r="O363">
        <v>1</v>
      </c>
      <c r="P363">
        <f t="shared" si="240"/>
        <v>1603</v>
      </c>
      <c r="Q363">
        <v>56</v>
      </c>
      <c r="R363">
        <f t="shared" si="235"/>
        <v>102</v>
      </c>
      <c r="S363">
        <v>5000</v>
      </c>
      <c r="T363">
        <f t="shared" si="210"/>
        <v>6</v>
      </c>
      <c r="U363">
        <v>1</v>
      </c>
      <c r="V363">
        <f t="shared" si="241"/>
        <v>1603</v>
      </c>
      <c r="W363">
        <v>57</v>
      </c>
      <c r="X363">
        <f t="shared" si="236"/>
        <v>103</v>
      </c>
      <c r="Y363">
        <v>5000</v>
      </c>
      <c r="Z363">
        <f t="shared" si="211"/>
        <v>6</v>
      </c>
      <c r="AA363">
        <v>1</v>
      </c>
      <c r="AB363">
        <f t="shared" si="242"/>
        <v>1603</v>
      </c>
      <c r="AC363">
        <v>72</v>
      </c>
      <c r="AD363">
        <f t="shared" si="237"/>
        <v>113</v>
      </c>
      <c r="AE363">
        <v>5000</v>
      </c>
      <c r="AF363">
        <f t="shared" si="212"/>
        <v>6</v>
      </c>
      <c r="AG363">
        <v>1</v>
      </c>
      <c r="AH363">
        <f t="shared" si="243"/>
        <v>1603</v>
      </c>
      <c r="AI363">
        <v>71</v>
      </c>
      <c r="AJ363">
        <f t="shared" si="238"/>
        <v>111</v>
      </c>
      <c r="AP363" t="str">
        <f t="shared" si="213"/>
        <v>{5000,6,1,1603,101}</v>
      </c>
      <c r="AQ363" t="str">
        <f t="shared" si="214"/>
        <v>{5000,6,1,1603,102}</v>
      </c>
      <c r="AR363" t="str">
        <f t="shared" si="215"/>
        <v>{5000,6,1,1603,103}</v>
      </c>
      <c r="AS363" t="str">
        <f t="shared" si="216"/>
        <v>{5000,6,1,1603,113}</v>
      </c>
      <c r="AT363" t="str">
        <f t="shared" si="217"/>
        <v>{5000,6,1,1603,111}</v>
      </c>
      <c r="AU363" t="str">
        <f t="shared" si="218"/>
        <v/>
      </c>
      <c r="AV363">
        <v>2615</v>
      </c>
      <c r="AW363" t="str">
        <f t="shared" si="231"/>
        <v>[{5000,6,1,1603,101},{5000,6,1,1603,102},{5000,6,1,1603,103},{5000,6,1,1603,113},{5000,6,1,1603,111}]</v>
      </c>
    </row>
    <row r="364" spans="2:49">
      <c r="B364">
        <v>2616</v>
      </c>
      <c r="C364" t="s">
        <v>40</v>
      </c>
      <c r="D364" t="str">
        <f t="shared" si="219"/>
        <v>17</v>
      </c>
      <c r="F364">
        <v>76</v>
      </c>
      <c r="G364">
        <v>5000</v>
      </c>
      <c r="H364">
        <f t="shared" si="233"/>
        <v>6</v>
      </c>
      <c r="I364">
        <v>1</v>
      </c>
      <c r="J364">
        <v>1</v>
      </c>
      <c r="K364">
        <f t="shared" si="239"/>
        <v>1601</v>
      </c>
      <c r="L364">
        <f t="shared" si="234"/>
        <v>101</v>
      </c>
      <c r="M364">
        <v>5000</v>
      </c>
      <c r="N364">
        <f t="shared" si="232"/>
        <v>6</v>
      </c>
      <c r="O364">
        <v>1</v>
      </c>
      <c r="P364">
        <f t="shared" si="240"/>
        <v>1601</v>
      </c>
      <c r="Q364">
        <v>59</v>
      </c>
      <c r="R364">
        <f t="shared" si="235"/>
        <v>103</v>
      </c>
      <c r="S364">
        <v>5000</v>
      </c>
      <c r="T364">
        <f t="shared" si="210"/>
        <v>6</v>
      </c>
      <c r="U364">
        <v>1</v>
      </c>
      <c r="V364">
        <f t="shared" si="241"/>
        <v>1602</v>
      </c>
      <c r="W364">
        <v>71</v>
      </c>
      <c r="X364">
        <f t="shared" si="236"/>
        <v>111</v>
      </c>
      <c r="Y364">
        <v>5000</v>
      </c>
      <c r="Z364">
        <f t="shared" si="211"/>
        <v>6</v>
      </c>
      <c r="AA364">
        <v>1</v>
      </c>
      <c r="AB364">
        <f t="shared" si="242"/>
        <v>1601</v>
      </c>
      <c r="AC364">
        <v>71</v>
      </c>
      <c r="AD364">
        <f t="shared" si="237"/>
        <v>112</v>
      </c>
      <c r="AE364">
        <v>5000</v>
      </c>
      <c r="AF364">
        <f t="shared" si="212"/>
        <v>6</v>
      </c>
      <c r="AG364">
        <v>1</v>
      </c>
      <c r="AH364">
        <f t="shared" si="243"/>
        <v>1601</v>
      </c>
      <c r="AI364">
        <v>79</v>
      </c>
      <c r="AJ364">
        <f t="shared" si="238"/>
        <v>113</v>
      </c>
      <c r="AP364" t="str">
        <f t="shared" si="213"/>
        <v>{5000,6,1,1601,101}</v>
      </c>
      <c r="AQ364" t="str">
        <f t="shared" si="214"/>
        <v>{5000,6,1,1601,103}</v>
      </c>
      <c r="AR364" t="str">
        <f t="shared" si="215"/>
        <v>{5000,6,1,1602,111}</v>
      </c>
      <c r="AS364" t="str">
        <f t="shared" si="216"/>
        <v>{5000,6,1,1601,112}</v>
      </c>
      <c r="AT364" t="str">
        <f t="shared" si="217"/>
        <v>{5000,6,1,1601,113}</v>
      </c>
      <c r="AU364" t="str">
        <f t="shared" si="218"/>
        <v/>
      </c>
      <c r="AV364">
        <v>2616</v>
      </c>
      <c r="AW364" t="str">
        <f t="shared" si="231"/>
        <v>[{5000,6,1,1601,101},{5000,6,1,1601,103},{5000,6,1,1602,111},{5000,6,1,1601,112},{5000,6,1,1601,113}]</v>
      </c>
    </row>
    <row r="365" spans="2:49">
      <c r="B365">
        <v>2617</v>
      </c>
      <c r="C365" t="s">
        <v>40</v>
      </c>
      <c r="D365" t="str">
        <f t="shared" si="219"/>
        <v>17</v>
      </c>
      <c r="F365">
        <v>91</v>
      </c>
      <c r="G365">
        <v>5000</v>
      </c>
      <c r="H365">
        <f t="shared" si="233"/>
        <v>6</v>
      </c>
      <c r="I365">
        <v>1</v>
      </c>
      <c r="J365">
        <v>1</v>
      </c>
      <c r="K365">
        <f t="shared" si="239"/>
        <v>1601</v>
      </c>
      <c r="L365">
        <f t="shared" si="234"/>
        <v>101</v>
      </c>
      <c r="M365">
        <v>5000</v>
      </c>
      <c r="N365">
        <f t="shared" si="232"/>
        <v>6</v>
      </c>
      <c r="O365">
        <v>1</v>
      </c>
      <c r="P365">
        <f t="shared" si="240"/>
        <v>1601</v>
      </c>
      <c r="Q365">
        <v>54</v>
      </c>
      <c r="R365">
        <f t="shared" si="235"/>
        <v>102</v>
      </c>
      <c r="S365">
        <v>5000</v>
      </c>
      <c r="T365">
        <f t="shared" si="210"/>
        <v>6</v>
      </c>
      <c r="U365">
        <v>1</v>
      </c>
      <c r="V365">
        <f t="shared" si="241"/>
        <v>1602</v>
      </c>
      <c r="W365">
        <v>51</v>
      </c>
      <c r="X365">
        <f t="shared" si="236"/>
        <v>103</v>
      </c>
      <c r="Y365">
        <v>5000</v>
      </c>
      <c r="Z365">
        <f t="shared" si="211"/>
        <v>6</v>
      </c>
      <c r="AA365">
        <v>1</v>
      </c>
      <c r="AB365">
        <f t="shared" si="242"/>
        <v>1601</v>
      </c>
      <c r="AC365">
        <v>71</v>
      </c>
      <c r="AD365">
        <f t="shared" si="237"/>
        <v>113</v>
      </c>
      <c r="AE365">
        <v>5000</v>
      </c>
      <c r="AF365">
        <f t="shared" si="212"/>
        <v>6</v>
      </c>
      <c r="AG365">
        <v>1</v>
      </c>
      <c r="AH365">
        <f t="shared" si="243"/>
        <v>1602</v>
      </c>
      <c r="AI365">
        <v>77</v>
      </c>
      <c r="AJ365">
        <f t="shared" si="238"/>
        <v>111</v>
      </c>
      <c r="AP365" t="str">
        <f t="shared" si="213"/>
        <v>{5000,6,1,1601,101}</v>
      </c>
      <c r="AQ365" t="str">
        <f t="shared" si="214"/>
        <v>{5000,6,1,1601,102}</v>
      </c>
      <c r="AR365" t="str">
        <f t="shared" si="215"/>
        <v>{5000,6,1,1602,103}</v>
      </c>
      <c r="AS365" t="str">
        <f t="shared" si="216"/>
        <v>{5000,6,1,1601,113}</v>
      </c>
      <c r="AT365" t="str">
        <f t="shared" si="217"/>
        <v>{5000,6,1,1602,111}</v>
      </c>
      <c r="AU365" t="str">
        <f t="shared" si="218"/>
        <v/>
      </c>
      <c r="AV365">
        <v>2617</v>
      </c>
      <c r="AW365" t="str">
        <f t="shared" si="231"/>
        <v>[{5000,6,1,1601,101},{5000,6,1,1601,102},{5000,6,1,1602,103},{5000,6,1,1601,113},{5000,6,1,1602,111}]</v>
      </c>
    </row>
    <row r="366" spans="2:49">
      <c r="B366">
        <v>2618</v>
      </c>
      <c r="C366" t="s">
        <v>40</v>
      </c>
      <c r="D366" t="str">
        <f t="shared" si="219"/>
        <v>17</v>
      </c>
      <c r="F366">
        <v>106</v>
      </c>
      <c r="G366">
        <v>5000</v>
      </c>
      <c r="H366">
        <f t="shared" si="233"/>
        <v>6</v>
      </c>
      <c r="I366">
        <v>1</v>
      </c>
      <c r="J366">
        <v>1</v>
      </c>
      <c r="K366">
        <f t="shared" si="239"/>
        <v>1601</v>
      </c>
      <c r="L366">
        <f t="shared" si="234"/>
        <v>101</v>
      </c>
      <c r="M366">
        <v>5000</v>
      </c>
      <c r="N366">
        <f t="shared" si="232"/>
        <v>6</v>
      </c>
      <c r="O366">
        <v>1</v>
      </c>
      <c r="P366">
        <f t="shared" si="240"/>
        <v>1601</v>
      </c>
      <c r="Q366">
        <v>55</v>
      </c>
      <c r="R366">
        <f t="shared" si="235"/>
        <v>103</v>
      </c>
      <c r="S366">
        <v>5000</v>
      </c>
      <c r="T366">
        <f t="shared" si="210"/>
        <v>6</v>
      </c>
      <c r="U366">
        <v>1</v>
      </c>
      <c r="V366">
        <f t="shared" si="241"/>
        <v>1602</v>
      </c>
      <c r="W366">
        <v>73</v>
      </c>
      <c r="X366">
        <f t="shared" si="236"/>
        <v>111</v>
      </c>
      <c r="Y366">
        <v>5000</v>
      </c>
      <c r="Z366">
        <f t="shared" si="211"/>
        <v>6</v>
      </c>
      <c r="AA366">
        <v>1</v>
      </c>
      <c r="AB366">
        <f t="shared" si="242"/>
        <v>1601</v>
      </c>
      <c r="AC366">
        <v>78</v>
      </c>
      <c r="AD366">
        <f t="shared" si="237"/>
        <v>112</v>
      </c>
      <c r="AE366">
        <v>5000</v>
      </c>
      <c r="AF366">
        <f t="shared" si="212"/>
        <v>6</v>
      </c>
      <c r="AG366">
        <v>1</v>
      </c>
      <c r="AH366">
        <f t="shared" si="243"/>
        <v>1602</v>
      </c>
      <c r="AI366">
        <v>71</v>
      </c>
      <c r="AJ366">
        <f t="shared" si="238"/>
        <v>113</v>
      </c>
      <c r="AP366" t="str">
        <f t="shared" si="213"/>
        <v>{5000,6,1,1601,101}</v>
      </c>
      <c r="AQ366" t="str">
        <f t="shared" si="214"/>
        <v>{5000,6,1,1601,103}</v>
      </c>
      <c r="AR366" t="str">
        <f t="shared" si="215"/>
        <v>{5000,6,1,1602,111}</v>
      </c>
      <c r="AS366" t="str">
        <f t="shared" si="216"/>
        <v>{5000,6,1,1601,112}</v>
      </c>
      <c r="AT366" t="str">
        <f t="shared" si="217"/>
        <v>{5000,6,1,1602,113}</v>
      </c>
      <c r="AU366" t="str">
        <f t="shared" si="218"/>
        <v/>
      </c>
      <c r="AV366">
        <v>2618</v>
      </c>
      <c r="AW366" t="str">
        <f t="shared" si="231"/>
        <v>[{5000,6,1,1601,101},{5000,6,1,1601,103},{5000,6,1,1602,111},{5000,6,1,1601,112},{5000,6,1,1602,113}]</v>
      </c>
    </row>
    <row r="367" spans="2:48">
      <c r="B367">
        <v>2619</v>
      </c>
      <c r="C367" t="s">
        <v>40</v>
      </c>
      <c r="D367" t="str">
        <f t="shared" si="219"/>
        <v>17</v>
      </c>
      <c r="F367">
        <v>119</v>
      </c>
      <c r="H367">
        <f t="shared" si="233"/>
        <v>0</v>
      </c>
      <c r="K367" t="str">
        <f t="shared" si="239"/>
        <v/>
      </c>
      <c r="L367" t="str">
        <f t="shared" si="234"/>
        <v/>
      </c>
      <c r="N367">
        <f t="shared" si="232"/>
        <v>0</v>
      </c>
      <c r="P367" t="str">
        <f t="shared" si="240"/>
        <v/>
      </c>
      <c r="R367" t="str">
        <f t="shared" si="235"/>
        <v/>
      </c>
      <c r="T367">
        <f t="shared" si="210"/>
        <v>0</v>
      </c>
      <c r="V367" t="str">
        <f t="shared" si="241"/>
        <v/>
      </c>
      <c r="X367" t="str">
        <f t="shared" si="236"/>
        <v/>
      </c>
      <c r="Z367">
        <f t="shared" si="211"/>
        <v>0</v>
      </c>
      <c r="AB367" t="str">
        <f t="shared" si="242"/>
        <v/>
      </c>
      <c r="AD367" t="str">
        <f t="shared" si="237"/>
        <v/>
      </c>
      <c r="AF367">
        <f t="shared" si="212"/>
        <v>0</v>
      </c>
      <c r="AH367" t="str">
        <f t="shared" si="243"/>
        <v/>
      </c>
      <c r="AJ367" t="str">
        <f t="shared" si="238"/>
        <v/>
      </c>
      <c r="AP367" t="str">
        <f t="shared" si="213"/>
        <v/>
      </c>
      <c r="AQ367" t="str">
        <f t="shared" si="214"/>
        <v/>
      </c>
      <c r="AR367" t="str">
        <f t="shared" si="215"/>
        <v/>
      </c>
      <c r="AS367" t="str">
        <f t="shared" si="216"/>
        <v/>
      </c>
      <c r="AT367" t="str">
        <f t="shared" si="217"/>
        <v/>
      </c>
      <c r="AU367" t="str">
        <f t="shared" si="218"/>
        <v/>
      </c>
      <c r="AV367">
        <v>2619</v>
      </c>
    </row>
    <row r="368" spans="2:49">
      <c r="B368">
        <v>2620</v>
      </c>
      <c r="C368" t="s">
        <v>40</v>
      </c>
      <c r="D368" t="str">
        <f t="shared" si="219"/>
        <v>17</v>
      </c>
      <c r="F368">
        <v>121</v>
      </c>
      <c r="G368">
        <v>5000</v>
      </c>
      <c r="H368">
        <f t="shared" si="233"/>
        <v>8</v>
      </c>
      <c r="I368">
        <v>1</v>
      </c>
      <c r="J368">
        <v>3</v>
      </c>
      <c r="K368">
        <f t="shared" si="239"/>
        <v>1603</v>
      </c>
      <c r="L368">
        <f t="shared" si="234"/>
        <v>101</v>
      </c>
      <c r="M368">
        <v>5000</v>
      </c>
      <c r="N368">
        <f t="shared" si="232"/>
        <v>8</v>
      </c>
      <c r="O368">
        <v>1</v>
      </c>
      <c r="P368">
        <f t="shared" si="240"/>
        <v>1603</v>
      </c>
      <c r="Q368">
        <v>54</v>
      </c>
      <c r="R368">
        <f t="shared" si="235"/>
        <v>102</v>
      </c>
      <c r="S368">
        <v>5000</v>
      </c>
      <c r="T368">
        <f t="shared" si="210"/>
        <v>8</v>
      </c>
      <c r="U368">
        <v>1</v>
      </c>
      <c r="V368">
        <f t="shared" si="241"/>
        <v>1603</v>
      </c>
      <c r="W368">
        <v>51</v>
      </c>
      <c r="X368">
        <f t="shared" si="236"/>
        <v>103</v>
      </c>
      <c r="Y368">
        <v>5000</v>
      </c>
      <c r="Z368">
        <f t="shared" si="211"/>
        <v>8</v>
      </c>
      <c r="AA368">
        <v>1</v>
      </c>
      <c r="AB368">
        <f t="shared" si="242"/>
        <v>1603</v>
      </c>
      <c r="AC368">
        <v>71</v>
      </c>
      <c r="AD368">
        <f t="shared" si="237"/>
        <v>113</v>
      </c>
      <c r="AE368">
        <v>5000</v>
      </c>
      <c r="AF368">
        <f t="shared" si="212"/>
        <v>8</v>
      </c>
      <c r="AG368">
        <v>1</v>
      </c>
      <c r="AH368">
        <f t="shared" si="243"/>
        <v>1603</v>
      </c>
      <c r="AI368">
        <v>79</v>
      </c>
      <c r="AJ368">
        <f t="shared" si="238"/>
        <v>111</v>
      </c>
      <c r="AK368">
        <v>1000</v>
      </c>
      <c r="AL368">
        <v>1</v>
      </c>
      <c r="AM368">
        <v>0</v>
      </c>
      <c r="AN368">
        <f t="shared" ref="AN368" si="244">AN345+100</f>
        <v>1621</v>
      </c>
      <c r="AO368">
        <v>4</v>
      </c>
      <c r="AP368" t="str">
        <f t="shared" si="213"/>
        <v>{5000,8,1,1603,101}</v>
      </c>
      <c r="AQ368" t="str">
        <f t="shared" si="214"/>
        <v>{5000,8,1,1603,102}</v>
      </c>
      <c r="AR368" t="str">
        <f t="shared" si="215"/>
        <v>{5000,8,1,1603,103}</v>
      </c>
      <c r="AS368" t="str">
        <f t="shared" si="216"/>
        <v>{5000,8,1,1603,113}</v>
      </c>
      <c r="AT368" t="str">
        <f t="shared" si="217"/>
        <v>{5000,8,1,1603,111}</v>
      </c>
      <c r="AU368" t="str">
        <f t="shared" si="218"/>
        <v>{1000,1,0,1621,4}</v>
      </c>
      <c r="AV368">
        <v>2620</v>
      </c>
      <c r="AW368" t="str">
        <f t="shared" ref="AW368:AW373" si="245">IF(AU368="","["&amp;_xlfn.TEXTJOIN(",",1,AP368:AT368)&amp;"]","["&amp;_xlfn.TEXTJOIN(",",1,AP368:AU368)&amp;"]")</f>
        <v>[{5000,8,1,1603,101},{5000,8,1,1603,102},{5000,8,1,1603,103},{5000,8,1,1603,113},{5000,8,1,1603,111},{1000,1,0,1621,4}]</v>
      </c>
    </row>
    <row r="369" spans="2:49">
      <c r="B369">
        <v>2621</v>
      </c>
      <c r="C369" t="s">
        <v>40</v>
      </c>
      <c r="D369" t="str">
        <f t="shared" si="219"/>
        <v>17</v>
      </c>
      <c r="F369">
        <v>136</v>
      </c>
      <c r="G369">
        <v>5000</v>
      </c>
      <c r="H369">
        <f t="shared" si="233"/>
        <v>7</v>
      </c>
      <c r="I369">
        <v>1</v>
      </c>
      <c r="J369">
        <v>1</v>
      </c>
      <c r="K369">
        <f t="shared" si="239"/>
        <v>1601</v>
      </c>
      <c r="L369">
        <f t="shared" si="234"/>
        <v>101</v>
      </c>
      <c r="M369">
        <v>5000</v>
      </c>
      <c r="N369">
        <f t="shared" si="232"/>
        <v>7</v>
      </c>
      <c r="O369">
        <v>1</v>
      </c>
      <c r="P369">
        <f t="shared" si="240"/>
        <v>1601</v>
      </c>
      <c r="Q369">
        <v>54</v>
      </c>
      <c r="R369">
        <f t="shared" si="235"/>
        <v>103</v>
      </c>
      <c r="S369">
        <v>5000</v>
      </c>
      <c r="T369">
        <f t="shared" si="210"/>
        <v>7</v>
      </c>
      <c r="U369">
        <v>1</v>
      </c>
      <c r="V369">
        <f t="shared" si="241"/>
        <v>1602</v>
      </c>
      <c r="W369">
        <v>76</v>
      </c>
      <c r="X369">
        <f t="shared" si="236"/>
        <v>111</v>
      </c>
      <c r="Y369">
        <v>5000</v>
      </c>
      <c r="Z369">
        <f t="shared" si="211"/>
        <v>7</v>
      </c>
      <c r="AA369">
        <v>1</v>
      </c>
      <c r="AB369">
        <f t="shared" si="242"/>
        <v>1601</v>
      </c>
      <c r="AC369">
        <v>72</v>
      </c>
      <c r="AD369">
        <f t="shared" si="237"/>
        <v>112</v>
      </c>
      <c r="AE369">
        <v>5000</v>
      </c>
      <c r="AF369">
        <f t="shared" si="212"/>
        <v>7</v>
      </c>
      <c r="AG369">
        <v>1</v>
      </c>
      <c r="AH369">
        <f t="shared" si="243"/>
        <v>1602</v>
      </c>
      <c r="AI369">
        <v>74</v>
      </c>
      <c r="AJ369">
        <f t="shared" si="238"/>
        <v>113</v>
      </c>
      <c r="AP369" t="str">
        <f t="shared" si="213"/>
        <v>{5000,7,1,1601,101}</v>
      </c>
      <c r="AQ369" t="str">
        <f t="shared" si="214"/>
        <v>{5000,7,1,1601,103}</v>
      </c>
      <c r="AR369" t="str">
        <f t="shared" si="215"/>
        <v>{5000,7,1,1602,111}</v>
      </c>
      <c r="AS369" t="str">
        <f t="shared" si="216"/>
        <v>{5000,7,1,1601,112}</v>
      </c>
      <c r="AT369" t="str">
        <f t="shared" si="217"/>
        <v>{5000,7,1,1602,113}</v>
      </c>
      <c r="AU369" t="str">
        <f t="shared" si="218"/>
        <v/>
      </c>
      <c r="AV369">
        <v>2621</v>
      </c>
      <c r="AW369" t="str">
        <f t="shared" si="245"/>
        <v>[{5000,7,1,1601,101},{5000,7,1,1601,103},{5000,7,1,1602,111},{5000,7,1,1601,112},{5000,7,1,1602,113}]</v>
      </c>
    </row>
    <row r="370" spans="2:49">
      <c r="B370">
        <v>2622</v>
      </c>
      <c r="C370" t="s">
        <v>40</v>
      </c>
      <c r="D370" t="str">
        <f t="shared" si="219"/>
        <v>17</v>
      </c>
      <c r="F370">
        <v>151</v>
      </c>
      <c r="G370">
        <v>5000</v>
      </c>
      <c r="H370">
        <f t="shared" si="233"/>
        <v>7</v>
      </c>
      <c r="I370">
        <v>1</v>
      </c>
      <c r="J370">
        <v>1</v>
      </c>
      <c r="K370">
        <f t="shared" si="239"/>
        <v>1601</v>
      </c>
      <c r="L370">
        <f t="shared" si="234"/>
        <v>101</v>
      </c>
      <c r="M370">
        <v>5000</v>
      </c>
      <c r="N370">
        <f t="shared" si="232"/>
        <v>7</v>
      </c>
      <c r="O370">
        <v>1</v>
      </c>
      <c r="P370">
        <f t="shared" si="240"/>
        <v>1601</v>
      </c>
      <c r="Q370">
        <v>54</v>
      </c>
      <c r="R370">
        <f t="shared" si="235"/>
        <v>102</v>
      </c>
      <c r="S370">
        <v>5000</v>
      </c>
      <c r="T370">
        <f t="shared" si="210"/>
        <v>7</v>
      </c>
      <c r="U370">
        <v>1</v>
      </c>
      <c r="V370">
        <f t="shared" si="241"/>
        <v>1602</v>
      </c>
      <c r="W370">
        <v>56</v>
      </c>
      <c r="X370">
        <f t="shared" si="236"/>
        <v>103</v>
      </c>
      <c r="Y370">
        <v>5000</v>
      </c>
      <c r="Z370">
        <f t="shared" si="211"/>
        <v>7</v>
      </c>
      <c r="AA370">
        <v>1</v>
      </c>
      <c r="AB370">
        <f t="shared" si="242"/>
        <v>1601</v>
      </c>
      <c r="AC370">
        <v>72</v>
      </c>
      <c r="AD370">
        <f t="shared" si="237"/>
        <v>113</v>
      </c>
      <c r="AE370">
        <v>5000</v>
      </c>
      <c r="AF370">
        <f t="shared" si="212"/>
        <v>7</v>
      </c>
      <c r="AG370">
        <v>1</v>
      </c>
      <c r="AH370">
        <f t="shared" si="243"/>
        <v>1602</v>
      </c>
      <c r="AI370">
        <v>74</v>
      </c>
      <c r="AJ370">
        <f t="shared" si="238"/>
        <v>111</v>
      </c>
      <c r="AP370" t="str">
        <f t="shared" si="213"/>
        <v>{5000,7,1,1601,101}</v>
      </c>
      <c r="AQ370" t="str">
        <f t="shared" si="214"/>
        <v>{5000,7,1,1601,102}</v>
      </c>
      <c r="AR370" t="str">
        <f t="shared" si="215"/>
        <v>{5000,7,1,1602,103}</v>
      </c>
      <c r="AS370" t="str">
        <f t="shared" si="216"/>
        <v>{5000,7,1,1601,113}</v>
      </c>
      <c r="AT370" t="str">
        <f t="shared" si="217"/>
        <v>{5000,7,1,1602,111}</v>
      </c>
      <c r="AU370" t="str">
        <f t="shared" si="218"/>
        <v/>
      </c>
      <c r="AV370">
        <v>2622</v>
      </c>
      <c r="AW370" t="str">
        <f t="shared" si="245"/>
        <v>[{5000,7,1,1601,101},{5000,7,1,1601,102},{5000,7,1,1602,103},{5000,7,1,1601,113},{5000,7,1,1602,111}]</v>
      </c>
    </row>
    <row r="371" spans="2:49">
      <c r="B371">
        <v>2623</v>
      </c>
      <c r="C371" t="s">
        <v>40</v>
      </c>
      <c r="D371" t="str">
        <f t="shared" si="219"/>
        <v>17</v>
      </c>
      <c r="F371">
        <v>166</v>
      </c>
      <c r="G371">
        <v>5000</v>
      </c>
      <c r="H371">
        <f t="shared" si="233"/>
        <v>9</v>
      </c>
      <c r="I371">
        <v>1</v>
      </c>
      <c r="J371">
        <v>1</v>
      </c>
      <c r="K371">
        <f t="shared" si="239"/>
        <v>1601</v>
      </c>
      <c r="L371">
        <f t="shared" si="234"/>
        <v>101</v>
      </c>
      <c r="M371">
        <v>5000</v>
      </c>
      <c r="N371">
        <f t="shared" si="232"/>
        <v>9</v>
      </c>
      <c r="O371">
        <v>1</v>
      </c>
      <c r="P371">
        <f t="shared" si="240"/>
        <v>1601</v>
      </c>
      <c r="Q371">
        <v>59</v>
      </c>
      <c r="R371">
        <f t="shared" si="235"/>
        <v>103</v>
      </c>
      <c r="S371">
        <v>5000</v>
      </c>
      <c r="T371">
        <f t="shared" si="210"/>
        <v>9</v>
      </c>
      <c r="U371">
        <v>1</v>
      </c>
      <c r="V371">
        <f t="shared" si="241"/>
        <v>1602</v>
      </c>
      <c r="W371">
        <v>79</v>
      </c>
      <c r="X371">
        <f t="shared" si="236"/>
        <v>111</v>
      </c>
      <c r="Y371">
        <v>5000</v>
      </c>
      <c r="Z371">
        <f t="shared" si="211"/>
        <v>9</v>
      </c>
      <c r="AA371">
        <v>1</v>
      </c>
      <c r="AB371">
        <f t="shared" si="242"/>
        <v>1601</v>
      </c>
      <c r="AC371">
        <v>71</v>
      </c>
      <c r="AD371">
        <f t="shared" si="237"/>
        <v>112</v>
      </c>
      <c r="AE371">
        <v>5000</v>
      </c>
      <c r="AF371">
        <f t="shared" si="212"/>
        <v>9</v>
      </c>
      <c r="AG371">
        <v>1</v>
      </c>
      <c r="AH371">
        <f t="shared" si="243"/>
        <v>1602</v>
      </c>
      <c r="AI371">
        <v>74</v>
      </c>
      <c r="AJ371">
        <f t="shared" si="238"/>
        <v>113</v>
      </c>
      <c r="AP371" t="str">
        <f t="shared" si="213"/>
        <v>{5000,9,1,1601,101}</v>
      </c>
      <c r="AQ371" t="str">
        <f t="shared" si="214"/>
        <v>{5000,9,1,1601,103}</v>
      </c>
      <c r="AR371" t="str">
        <f t="shared" si="215"/>
        <v>{5000,9,1,1602,111}</v>
      </c>
      <c r="AS371" t="str">
        <f t="shared" si="216"/>
        <v>{5000,9,1,1601,112}</v>
      </c>
      <c r="AT371" t="str">
        <f t="shared" si="217"/>
        <v>{5000,9,1,1602,113}</v>
      </c>
      <c r="AU371" t="str">
        <f t="shared" si="218"/>
        <v/>
      </c>
      <c r="AV371">
        <v>2623</v>
      </c>
      <c r="AW371" t="str">
        <f t="shared" si="245"/>
        <v>[{5000,9,1,1601,101},{5000,9,1,1601,103},{5000,9,1,1602,111},{5000,9,1,1601,112},{5000,9,1,1602,113}]</v>
      </c>
    </row>
    <row r="372" spans="2:49">
      <c r="B372">
        <v>2624</v>
      </c>
      <c r="C372" t="s">
        <v>40</v>
      </c>
      <c r="D372" t="str">
        <f t="shared" si="219"/>
        <v>17</v>
      </c>
      <c r="F372">
        <v>181</v>
      </c>
      <c r="G372">
        <v>5000</v>
      </c>
      <c r="H372">
        <f t="shared" si="233"/>
        <v>9</v>
      </c>
      <c r="I372">
        <v>1</v>
      </c>
      <c r="J372">
        <v>3</v>
      </c>
      <c r="K372">
        <f t="shared" si="239"/>
        <v>1603</v>
      </c>
      <c r="L372">
        <f t="shared" si="234"/>
        <v>101</v>
      </c>
      <c r="M372">
        <v>5000</v>
      </c>
      <c r="N372">
        <f t="shared" si="232"/>
        <v>9</v>
      </c>
      <c r="O372">
        <v>1</v>
      </c>
      <c r="P372">
        <f t="shared" si="240"/>
        <v>1603</v>
      </c>
      <c r="Q372">
        <v>53</v>
      </c>
      <c r="R372">
        <f t="shared" si="235"/>
        <v>102</v>
      </c>
      <c r="S372">
        <v>5000</v>
      </c>
      <c r="T372">
        <f t="shared" si="210"/>
        <v>9</v>
      </c>
      <c r="U372">
        <v>1</v>
      </c>
      <c r="V372">
        <f t="shared" si="241"/>
        <v>1603</v>
      </c>
      <c r="W372">
        <v>56</v>
      </c>
      <c r="X372">
        <f t="shared" si="236"/>
        <v>103</v>
      </c>
      <c r="Y372">
        <v>5000</v>
      </c>
      <c r="Z372">
        <f t="shared" si="211"/>
        <v>9</v>
      </c>
      <c r="AA372">
        <v>1</v>
      </c>
      <c r="AB372">
        <f t="shared" si="242"/>
        <v>1603</v>
      </c>
      <c r="AC372">
        <v>75</v>
      </c>
      <c r="AD372">
        <f t="shared" si="237"/>
        <v>113</v>
      </c>
      <c r="AE372">
        <v>5000</v>
      </c>
      <c r="AF372">
        <f t="shared" si="212"/>
        <v>9</v>
      </c>
      <c r="AG372">
        <v>1</v>
      </c>
      <c r="AH372">
        <f t="shared" si="243"/>
        <v>1603</v>
      </c>
      <c r="AI372">
        <v>78</v>
      </c>
      <c r="AJ372">
        <f t="shared" si="238"/>
        <v>111</v>
      </c>
      <c r="AP372" t="str">
        <f t="shared" si="213"/>
        <v>{5000,9,1,1603,101}</v>
      </c>
      <c r="AQ372" t="str">
        <f t="shared" si="214"/>
        <v>{5000,9,1,1603,102}</v>
      </c>
      <c r="AR372" t="str">
        <f t="shared" si="215"/>
        <v>{5000,9,1,1603,103}</v>
      </c>
      <c r="AS372" t="str">
        <f t="shared" si="216"/>
        <v>{5000,9,1,1603,113}</v>
      </c>
      <c r="AT372" t="str">
        <f t="shared" si="217"/>
        <v>{5000,9,1,1603,111}</v>
      </c>
      <c r="AU372" t="str">
        <f t="shared" si="218"/>
        <v/>
      </c>
      <c r="AV372">
        <v>2624</v>
      </c>
      <c r="AW372" t="str">
        <f t="shared" si="245"/>
        <v>[{5000,9,1,1603,101},{5000,9,1,1603,102},{5000,9,1,1603,103},{5000,9,1,1603,113},{5000,9,1,1603,111}]</v>
      </c>
    </row>
    <row r="373" spans="2:49">
      <c r="B373">
        <v>2625</v>
      </c>
      <c r="C373" t="s">
        <v>40</v>
      </c>
      <c r="D373" t="str">
        <f t="shared" si="219"/>
        <v>17</v>
      </c>
      <c r="F373">
        <v>196</v>
      </c>
      <c r="G373">
        <v>5000</v>
      </c>
      <c r="H373">
        <f t="shared" si="233"/>
        <v>9</v>
      </c>
      <c r="I373">
        <v>1</v>
      </c>
      <c r="J373">
        <v>2</v>
      </c>
      <c r="K373">
        <f t="shared" si="239"/>
        <v>1602</v>
      </c>
      <c r="L373">
        <f t="shared" si="234"/>
        <v>101</v>
      </c>
      <c r="M373">
        <v>5000</v>
      </c>
      <c r="N373">
        <f t="shared" si="232"/>
        <v>9</v>
      </c>
      <c r="O373">
        <v>1</v>
      </c>
      <c r="P373">
        <f t="shared" si="240"/>
        <v>1601</v>
      </c>
      <c r="Q373">
        <v>54</v>
      </c>
      <c r="R373">
        <f t="shared" si="235"/>
        <v>103</v>
      </c>
      <c r="S373">
        <v>5000</v>
      </c>
      <c r="T373">
        <f t="shared" si="210"/>
        <v>9</v>
      </c>
      <c r="U373">
        <v>1</v>
      </c>
      <c r="V373">
        <f t="shared" si="241"/>
        <v>1602</v>
      </c>
      <c r="W373">
        <v>77</v>
      </c>
      <c r="X373">
        <f t="shared" si="236"/>
        <v>111</v>
      </c>
      <c r="Y373">
        <v>5000</v>
      </c>
      <c r="Z373">
        <f t="shared" si="211"/>
        <v>9</v>
      </c>
      <c r="AA373">
        <v>1</v>
      </c>
      <c r="AB373">
        <f t="shared" si="242"/>
        <v>1601</v>
      </c>
      <c r="AC373">
        <v>72</v>
      </c>
      <c r="AD373">
        <f t="shared" si="237"/>
        <v>112</v>
      </c>
      <c r="AE373">
        <v>5000</v>
      </c>
      <c r="AF373">
        <f t="shared" si="212"/>
        <v>9</v>
      </c>
      <c r="AG373">
        <v>1</v>
      </c>
      <c r="AH373">
        <f t="shared" si="243"/>
        <v>1602</v>
      </c>
      <c r="AI373">
        <v>74</v>
      </c>
      <c r="AJ373">
        <f t="shared" si="238"/>
        <v>113</v>
      </c>
      <c r="AP373" t="str">
        <f t="shared" si="213"/>
        <v>{5000,9,1,1602,101}</v>
      </c>
      <c r="AQ373" t="str">
        <f t="shared" si="214"/>
        <v>{5000,9,1,1601,103}</v>
      </c>
      <c r="AR373" t="str">
        <f t="shared" si="215"/>
        <v>{5000,9,1,1602,111}</v>
      </c>
      <c r="AS373" t="str">
        <f t="shared" si="216"/>
        <v>{5000,9,1,1601,112}</v>
      </c>
      <c r="AT373" t="str">
        <f t="shared" si="217"/>
        <v>{5000,9,1,1602,113}</v>
      </c>
      <c r="AU373" t="str">
        <f t="shared" si="218"/>
        <v/>
      </c>
      <c r="AV373">
        <v>2625</v>
      </c>
      <c r="AW373" t="str">
        <f t="shared" si="245"/>
        <v>[{5000,9,1,1602,101},{5000,9,1,1601,103},{5000,9,1,1602,111},{5000,9,1,1601,112},{5000,9,1,1602,113}]</v>
      </c>
    </row>
    <row r="374" spans="2:48">
      <c r="B374">
        <v>2626</v>
      </c>
      <c r="C374" t="s">
        <v>40</v>
      </c>
      <c r="D374" t="str">
        <f t="shared" si="219"/>
        <v>17</v>
      </c>
      <c r="F374">
        <v>209</v>
      </c>
      <c r="H374">
        <f t="shared" si="233"/>
        <v>0</v>
      </c>
      <c r="K374" t="str">
        <f t="shared" si="239"/>
        <v/>
      </c>
      <c r="L374" t="str">
        <f t="shared" si="234"/>
        <v/>
      </c>
      <c r="N374">
        <f t="shared" si="232"/>
        <v>0</v>
      </c>
      <c r="P374" t="str">
        <f t="shared" si="240"/>
        <v/>
      </c>
      <c r="R374" t="str">
        <f t="shared" si="235"/>
        <v/>
      </c>
      <c r="T374">
        <f t="shared" si="210"/>
        <v>0</v>
      </c>
      <c r="V374" t="str">
        <f t="shared" si="241"/>
        <v/>
      </c>
      <c r="X374" t="str">
        <f t="shared" si="236"/>
        <v/>
      </c>
      <c r="Z374">
        <f t="shared" si="211"/>
        <v>0</v>
      </c>
      <c r="AB374" t="str">
        <f t="shared" si="242"/>
        <v/>
      </c>
      <c r="AD374" t="str">
        <f t="shared" si="237"/>
        <v/>
      </c>
      <c r="AF374">
        <f t="shared" si="212"/>
        <v>0</v>
      </c>
      <c r="AH374" t="str">
        <f t="shared" si="243"/>
        <v/>
      </c>
      <c r="AJ374" t="str">
        <f t="shared" si="238"/>
        <v/>
      </c>
      <c r="AP374" t="str">
        <f t="shared" si="213"/>
        <v/>
      </c>
      <c r="AQ374" t="str">
        <f t="shared" si="214"/>
        <v/>
      </c>
      <c r="AR374" t="str">
        <f t="shared" si="215"/>
        <v/>
      </c>
      <c r="AS374" t="str">
        <f t="shared" si="216"/>
        <v/>
      </c>
      <c r="AT374" t="str">
        <f t="shared" si="217"/>
        <v/>
      </c>
      <c r="AU374" t="str">
        <f t="shared" si="218"/>
        <v/>
      </c>
      <c r="AV374">
        <v>2626</v>
      </c>
    </row>
    <row r="375" spans="2:49">
      <c r="B375">
        <v>2627</v>
      </c>
      <c r="C375" t="s">
        <v>40</v>
      </c>
      <c r="D375" t="str">
        <f t="shared" si="219"/>
        <v>17</v>
      </c>
      <c r="F375">
        <v>211</v>
      </c>
      <c r="G375">
        <v>5000</v>
      </c>
      <c r="H375">
        <f t="shared" si="233"/>
        <v>8</v>
      </c>
      <c r="I375">
        <v>1</v>
      </c>
      <c r="J375">
        <v>2</v>
      </c>
      <c r="K375">
        <f t="shared" si="239"/>
        <v>1602</v>
      </c>
      <c r="L375">
        <f t="shared" si="234"/>
        <v>101</v>
      </c>
      <c r="M375">
        <v>5000</v>
      </c>
      <c r="N375">
        <f t="shared" si="232"/>
        <v>8</v>
      </c>
      <c r="O375">
        <v>1</v>
      </c>
      <c r="P375">
        <f t="shared" si="240"/>
        <v>1601</v>
      </c>
      <c r="Q375">
        <v>51</v>
      </c>
      <c r="R375">
        <f t="shared" si="235"/>
        <v>102</v>
      </c>
      <c r="S375">
        <v>5000</v>
      </c>
      <c r="T375">
        <f t="shared" si="210"/>
        <v>8</v>
      </c>
      <c r="U375">
        <v>1</v>
      </c>
      <c r="V375">
        <f t="shared" si="241"/>
        <v>1602</v>
      </c>
      <c r="W375">
        <v>57</v>
      </c>
      <c r="X375">
        <f t="shared" si="236"/>
        <v>103</v>
      </c>
      <c r="Y375">
        <v>5000</v>
      </c>
      <c r="Z375">
        <f t="shared" si="211"/>
        <v>8</v>
      </c>
      <c r="AA375">
        <v>1</v>
      </c>
      <c r="AB375">
        <f t="shared" si="242"/>
        <v>1601</v>
      </c>
      <c r="AC375">
        <v>79</v>
      </c>
      <c r="AD375">
        <f t="shared" si="237"/>
        <v>113</v>
      </c>
      <c r="AE375">
        <v>5000</v>
      </c>
      <c r="AF375">
        <f t="shared" si="212"/>
        <v>8</v>
      </c>
      <c r="AG375">
        <v>1</v>
      </c>
      <c r="AH375">
        <f t="shared" si="243"/>
        <v>1602</v>
      </c>
      <c r="AI375">
        <v>72</v>
      </c>
      <c r="AJ375">
        <f t="shared" si="238"/>
        <v>111</v>
      </c>
      <c r="AK375">
        <v>1000</v>
      </c>
      <c r="AL375">
        <v>1</v>
      </c>
      <c r="AM375">
        <v>0</v>
      </c>
      <c r="AN375">
        <f t="shared" ref="AN375" si="246">AN352+100</f>
        <v>1631</v>
      </c>
      <c r="AO375">
        <v>4</v>
      </c>
      <c r="AP375" t="str">
        <f t="shared" si="213"/>
        <v>{5000,8,1,1602,101}</v>
      </c>
      <c r="AQ375" t="str">
        <f t="shared" si="214"/>
        <v>{5000,8,1,1601,102}</v>
      </c>
      <c r="AR375" t="str">
        <f t="shared" si="215"/>
        <v>{5000,8,1,1602,103}</v>
      </c>
      <c r="AS375" t="str">
        <f t="shared" si="216"/>
        <v>{5000,8,1,1601,113}</v>
      </c>
      <c r="AT375" t="str">
        <f t="shared" si="217"/>
        <v>{5000,8,1,1602,111}</v>
      </c>
      <c r="AU375" t="str">
        <f t="shared" si="218"/>
        <v>{1000,1,0,1631,4}</v>
      </c>
      <c r="AV375">
        <v>2627</v>
      </c>
      <c r="AW375" t="str">
        <f t="shared" ref="AW375:AW389" si="247">IF(AU375="","["&amp;_xlfn.TEXTJOIN(",",1,AP375:AT375)&amp;"]","["&amp;_xlfn.TEXTJOIN(",",1,AP375:AU375)&amp;"]")</f>
        <v>[{5000,8,1,1602,101},{5000,8,1,1601,102},{5000,8,1,1602,103},{5000,8,1,1601,113},{5000,8,1,1602,111},{1000,1,0,1631,4}]</v>
      </c>
    </row>
    <row r="376" spans="2:49">
      <c r="B376">
        <v>2628</v>
      </c>
      <c r="C376" t="s">
        <v>40</v>
      </c>
      <c r="D376" t="str">
        <f t="shared" si="219"/>
        <v>17</v>
      </c>
      <c r="F376">
        <v>226</v>
      </c>
      <c r="G376">
        <v>5000</v>
      </c>
      <c r="H376">
        <f t="shared" si="233"/>
        <v>8</v>
      </c>
      <c r="I376">
        <v>1</v>
      </c>
      <c r="J376">
        <v>2</v>
      </c>
      <c r="K376">
        <f t="shared" si="239"/>
        <v>1602</v>
      </c>
      <c r="L376">
        <f t="shared" si="234"/>
        <v>101</v>
      </c>
      <c r="M376">
        <v>5000</v>
      </c>
      <c r="N376">
        <f t="shared" si="232"/>
        <v>8</v>
      </c>
      <c r="O376">
        <v>1</v>
      </c>
      <c r="P376">
        <f t="shared" si="240"/>
        <v>1601</v>
      </c>
      <c r="Q376">
        <v>51</v>
      </c>
      <c r="R376">
        <f t="shared" si="235"/>
        <v>103</v>
      </c>
      <c r="S376">
        <v>5000</v>
      </c>
      <c r="T376">
        <f t="shared" si="210"/>
        <v>8</v>
      </c>
      <c r="U376">
        <v>1</v>
      </c>
      <c r="V376">
        <f t="shared" si="241"/>
        <v>1602</v>
      </c>
      <c r="W376">
        <v>75</v>
      </c>
      <c r="X376">
        <f t="shared" si="236"/>
        <v>111</v>
      </c>
      <c r="Y376">
        <v>5000</v>
      </c>
      <c r="Z376">
        <f t="shared" si="211"/>
        <v>8</v>
      </c>
      <c r="AA376">
        <v>1</v>
      </c>
      <c r="AB376">
        <f t="shared" si="242"/>
        <v>1601</v>
      </c>
      <c r="AC376">
        <v>71</v>
      </c>
      <c r="AD376">
        <f t="shared" si="237"/>
        <v>112</v>
      </c>
      <c r="AE376">
        <v>5000</v>
      </c>
      <c r="AF376">
        <f t="shared" si="212"/>
        <v>8</v>
      </c>
      <c r="AG376">
        <v>1</v>
      </c>
      <c r="AH376">
        <f t="shared" si="243"/>
        <v>1602</v>
      </c>
      <c r="AI376">
        <v>77</v>
      </c>
      <c r="AJ376">
        <f t="shared" si="238"/>
        <v>113</v>
      </c>
      <c r="AP376" t="str">
        <f t="shared" si="213"/>
        <v>{5000,8,1,1602,101}</v>
      </c>
      <c r="AQ376" t="str">
        <f t="shared" si="214"/>
        <v>{5000,8,1,1601,103}</v>
      </c>
      <c r="AR376" t="str">
        <f t="shared" si="215"/>
        <v>{5000,8,1,1602,111}</v>
      </c>
      <c r="AS376" t="str">
        <f t="shared" si="216"/>
        <v>{5000,8,1,1601,112}</v>
      </c>
      <c r="AT376" t="str">
        <f t="shared" si="217"/>
        <v>{5000,8,1,1602,113}</v>
      </c>
      <c r="AU376" t="str">
        <f t="shared" si="218"/>
        <v/>
      </c>
      <c r="AV376">
        <v>2628</v>
      </c>
      <c r="AW376" t="str">
        <f t="shared" si="247"/>
        <v>[{5000,8,1,1602,101},{5000,8,1,1601,103},{5000,8,1,1602,111},{5000,8,1,1601,112},{5000,8,1,1602,113}]</v>
      </c>
    </row>
    <row r="377" spans="2:49">
      <c r="B377">
        <v>2629</v>
      </c>
      <c r="C377" t="s">
        <v>40</v>
      </c>
      <c r="D377" t="str">
        <f t="shared" si="219"/>
        <v>17</v>
      </c>
      <c r="F377">
        <v>241</v>
      </c>
      <c r="G377">
        <v>5000</v>
      </c>
      <c r="H377">
        <f t="shared" si="233"/>
        <v>10</v>
      </c>
      <c r="I377">
        <v>1</v>
      </c>
      <c r="J377">
        <v>3</v>
      </c>
      <c r="K377">
        <f t="shared" si="239"/>
        <v>1603</v>
      </c>
      <c r="L377">
        <f t="shared" si="234"/>
        <v>101</v>
      </c>
      <c r="M377">
        <v>5000</v>
      </c>
      <c r="N377">
        <f t="shared" si="232"/>
        <v>10</v>
      </c>
      <c r="O377">
        <v>1</v>
      </c>
      <c r="P377">
        <f t="shared" si="240"/>
        <v>1603</v>
      </c>
      <c r="Q377">
        <v>53</v>
      </c>
      <c r="R377">
        <f t="shared" si="235"/>
        <v>102</v>
      </c>
      <c r="S377">
        <v>5000</v>
      </c>
      <c r="T377">
        <f t="shared" si="210"/>
        <v>10</v>
      </c>
      <c r="U377">
        <v>1</v>
      </c>
      <c r="V377">
        <f t="shared" si="241"/>
        <v>1603</v>
      </c>
      <c r="W377">
        <v>56</v>
      </c>
      <c r="X377">
        <f t="shared" si="236"/>
        <v>103</v>
      </c>
      <c r="Y377">
        <v>5000</v>
      </c>
      <c r="Z377">
        <f t="shared" si="211"/>
        <v>10</v>
      </c>
      <c r="AA377">
        <v>1</v>
      </c>
      <c r="AB377">
        <f t="shared" si="242"/>
        <v>1603</v>
      </c>
      <c r="AC377">
        <v>74</v>
      </c>
      <c r="AD377">
        <f t="shared" si="237"/>
        <v>113</v>
      </c>
      <c r="AE377">
        <v>5000</v>
      </c>
      <c r="AF377">
        <f t="shared" si="212"/>
        <v>10</v>
      </c>
      <c r="AG377">
        <v>1</v>
      </c>
      <c r="AH377">
        <f t="shared" si="243"/>
        <v>1603</v>
      </c>
      <c r="AI377">
        <v>78</v>
      </c>
      <c r="AJ377">
        <f t="shared" si="238"/>
        <v>111</v>
      </c>
      <c r="AP377" t="str">
        <f t="shared" si="213"/>
        <v>{5000,10,1,1603,101}</v>
      </c>
      <c r="AQ377" t="str">
        <f t="shared" si="214"/>
        <v>{5000,10,1,1603,102}</v>
      </c>
      <c r="AR377" t="str">
        <f t="shared" si="215"/>
        <v>{5000,10,1,1603,103}</v>
      </c>
      <c r="AS377" t="str">
        <f t="shared" si="216"/>
        <v>{5000,10,1,1603,113}</v>
      </c>
      <c r="AT377" t="str">
        <f t="shared" si="217"/>
        <v>{5000,10,1,1603,111}</v>
      </c>
      <c r="AU377" t="str">
        <f t="shared" si="218"/>
        <v/>
      </c>
      <c r="AV377">
        <v>2629</v>
      </c>
      <c r="AW377" t="str">
        <f t="shared" si="247"/>
        <v>[{5000,10,1,1603,101},{5000,10,1,1603,102},{5000,10,1,1603,103},{5000,10,1,1603,113},{5000,10,1,1603,111}]</v>
      </c>
    </row>
    <row r="378" spans="2:49">
      <c r="B378">
        <v>2630</v>
      </c>
      <c r="C378" t="s">
        <v>40</v>
      </c>
      <c r="D378" t="str">
        <f t="shared" si="219"/>
        <v>17</v>
      </c>
      <c r="F378">
        <v>256</v>
      </c>
      <c r="G378">
        <v>5000</v>
      </c>
      <c r="H378">
        <f t="shared" si="233"/>
        <v>9</v>
      </c>
      <c r="I378">
        <v>1</v>
      </c>
      <c r="J378">
        <v>2</v>
      </c>
      <c r="K378">
        <f t="shared" si="239"/>
        <v>1602</v>
      </c>
      <c r="L378">
        <f t="shared" si="234"/>
        <v>101</v>
      </c>
      <c r="M378">
        <v>5000</v>
      </c>
      <c r="N378">
        <f t="shared" si="232"/>
        <v>9</v>
      </c>
      <c r="O378">
        <v>1</v>
      </c>
      <c r="P378">
        <f t="shared" si="240"/>
        <v>1602</v>
      </c>
      <c r="Q378">
        <v>59</v>
      </c>
      <c r="R378">
        <f t="shared" si="235"/>
        <v>103</v>
      </c>
      <c r="S378">
        <v>5000</v>
      </c>
      <c r="T378">
        <f t="shared" si="210"/>
        <v>9</v>
      </c>
      <c r="U378">
        <v>1</v>
      </c>
      <c r="V378">
        <f t="shared" si="241"/>
        <v>1602</v>
      </c>
      <c r="W378">
        <v>79</v>
      </c>
      <c r="X378">
        <f t="shared" si="236"/>
        <v>111</v>
      </c>
      <c r="Y378">
        <v>5000</v>
      </c>
      <c r="Z378">
        <f t="shared" si="211"/>
        <v>9</v>
      </c>
      <c r="AA378">
        <v>1</v>
      </c>
      <c r="AB378">
        <f t="shared" si="242"/>
        <v>1601</v>
      </c>
      <c r="AC378">
        <v>72</v>
      </c>
      <c r="AD378">
        <f t="shared" si="237"/>
        <v>112</v>
      </c>
      <c r="AE378">
        <v>5000</v>
      </c>
      <c r="AF378">
        <f t="shared" si="212"/>
        <v>9</v>
      </c>
      <c r="AG378">
        <v>1</v>
      </c>
      <c r="AH378">
        <f t="shared" si="243"/>
        <v>1602</v>
      </c>
      <c r="AI378">
        <v>74</v>
      </c>
      <c r="AJ378">
        <f t="shared" si="238"/>
        <v>113</v>
      </c>
      <c r="AP378" t="str">
        <f t="shared" si="213"/>
        <v>{5000,9,1,1602,101}</v>
      </c>
      <c r="AQ378" t="str">
        <f t="shared" si="214"/>
        <v>{5000,9,1,1602,103}</v>
      </c>
      <c r="AR378" t="str">
        <f t="shared" si="215"/>
        <v>{5000,9,1,1602,111}</v>
      </c>
      <c r="AS378" t="str">
        <f t="shared" si="216"/>
        <v>{5000,9,1,1601,112}</v>
      </c>
      <c r="AT378" t="str">
        <f t="shared" si="217"/>
        <v>{5000,9,1,1602,113}</v>
      </c>
      <c r="AU378" t="str">
        <f t="shared" si="218"/>
        <v/>
      </c>
      <c r="AV378">
        <v>2630</v>
      </c>
      <c r="AW378" t="str">
        <f t="shared" si="247"/>
        <v>[{5000,9,1,1602,101},{5000,9,1,1602,103},{5000,9,1,1602,111},{5000,9,1,1601,112},{5000,9,1,1602,113}]</v>
      </c>
    </row>
    <row r="379" spans="2:49">
      <c r="B379">
        <v>2631</v>
      </c>
      <c r="C379" t="s">
        <v>40</v>
      </c>
      <c r="D379" t="str">
        <f t="shared" si="219"/>
        <v>17</v>
      </c>
      <c r="F379">
        <v>271</v>
      </c>
      <c r="G379">
        <v>5000</v>
      </c>
      <c r="H379">
        <f t="shared" si="233"/>
        <v>10</v>
      </c>
      <c r="I379">
        <v>1</v>
      </c>
      <c r="J379">
        <v>2</v>
      </c>
      <c r="K379">
        <f t="shared" si="239"/>
        <v>1602</v>
      </c>
      <c r="L379">
        <f t="shared" si="234"/>
        <v>101</v>
      </c>
      <c r="M379">
        <v>5000</v>
      </c>
      <c r="N379">
        <f t="shared" si="232"/>
        <v>10</v>
      </c>
      <c r="O379">
        <v>1</v>
      </c>
      <c r="P379">
        <f t="shared" si="240"/>
        <v>1602</v>
      </c>
      <c r="Q379">
        <v>54</v>
      </c>
      <c r="R379">
        <f t="shared" si="235"/>
        <v>102</v>
      </c>
      <c r="S379">
        <v>5000</v>
      </c>
      <c r="T379">
        <f t="shared" si="210"/>
        <v>10</v>
      </c>
      <c r="U379">
        <v>1</v>
      </c>
      <c r="V379">
        <f t="shared" si="241"/>
        <v>1602</v>
      </c>
      <c r="W379">
        <v>56</v>
      </c>
      <c r="X379">
        <f t="shared" si="236"/>
        <v>103</v>
      </c>
      <c r="Y379">
        <v>5000</v>
      </c>
      <c r="Z379">
        <f t="shared" si="211"/>
        <v>10</v>
      </c>
      <c r="AA379">
        <v>1</v>
      </c>
      <c r="AB379">
        <f t="shared" si="242"/>
        <v>1602</v>
      </c>
      <c r="AC379">
        <v>73</v>
      </c>
      <c r="AD379">
        <f t="shared" si="237"/>
        <v>113</v>
      </c>
      <c r="AE379">
        <v>5000</v>
      </c>
      <c r="AF379">
        <f t="shared" si="212"/>
        <v>10</v>
      </c>
      <c r="AG379">
        <v>1</v>
      </c>
      <c r="AH379">
        <f t="shared" si="243"/>
        <v>1602</v>
      </c>
      <c r="AI379">
        <v>75</v>
      </c>
      <c r="AJ379">
        <f t="shared" si="238"/>
        <v>111</v>
      </c>
      <c r="AP379" t="str">
        <f t="shared" si="213"/>
        <v>{5000,10,1,1602,101}</v>
      </c>
      <c r="AQ379" t="str">
        <f t="shared" si="214"/>
        <v>{5000,10,1,1602,102}</v>
      </c>
      <c r="AR379" t="str">
        <f t="shared" si="215"/>
        <v>{5000,10,1,1602,103}</v>
      </c>
      <c r="AS379" t="str">
        <f t="shared" si="216"/>
        <v>{5000,10,1,1602,113}</v>
      </c>
      <c r="AT379" t="str">
        <f t="shared" si="217"/>
        <v>{5000,10,1,1602,111}</v>
      </c>
      <c r="AU379" t="str">
        <f t="shared" si="218"/>
        <v/>
      </c>
      <c r="AV379">
        <v>2631</v>
      </c>
      <c r="AW379" t="str">
        <f t="shared" si="247"/>
        <v>[{5000,10,1,1602,101},{5000,10,1,1602,102},{5000,10,1,1602,103},{5000,10,1,1602,113},{5000,10,1,1602,111}]</v>
      </c>
    </row>
    <row r="380" spans="2:49">
      <c r="B380">
        <v>2632</v>
      </c>
      <c r="C380" t="s">
        <v>40</v>
      </c>
      <c r="D380" t="str">
        <f t="shared" si="219"/>
        <v>17</v>
      </c>
      <c r="F380">
        <v>286</v>
      </c>
      <c r="G380">
        <v>5000</v>
      </c>
      <c r="H380">
        <f t="shared" si="233"/>
        <v>10</v>
      </c>
      <c r="I380">
        <v>1</v>
      </c>
      <c r="J380">
        <v>2</v>
      </c>
      <c r="K380">
        <f t="shared" si="239"/>
        <v>1602</v>
      </c>
      <c r="L380">
        <f t="shared" si="234"/>
        <v>101</v>
      </c>
      <c r="M380">
        <v>5000</v>
      </c>
      <c r="N380">
        <f t="shared" si="232"/>
        <v>10</v>
      </c>
      <c r="O380">
        <v>1</v>
      </c>
      <c r="P380">
        <f t="shared" si="240"/>
        <v>1602</v>
      </c>
      <c r="Q380">
        <v>53</v>
      </c>
      <c r="R380">
        <f t="shared" si="235"/>
        <v>103</v>
      </c>
      <c r="S380">
        <v>5000</v>
      </c>
      <c r="T380">
        <f t="shared" si="210"/>
        <v>10</v>
      </c>
      <c r="U380">
        <v>1</v>
      </c>
      <c r="V380">
        <f t="shared" si="241"/>
        <v>1602</v>
      </c>
      <c r="W380">
        <v>59</v>
      </c>
      <c r="X380">
        <f t="shared" si="236"/>
        <v>111</v>
      </c>
      <c r="Y380">
        <v>5000</v>
      </c>
      <c r="Z380">
        <f t="shared" si="211"/>
        <v>10</v>
      </c>
      <c r="AA380">
        <v>1</v>
      </c>
      <c r="AB380">
        <f t="shared" si="242"/>
        <v>1602</v>
      </c>
      <c r="AC380">
        <v>71</v>
      </c>
      <c r="AD380">
        <f t="shared" si="237"/>
        <v>112</v>
      </c>
      <c r="AE380">
        <v>5000</v>
      </c>
      <c r="AF380">
        <f t="shared" si="212"/>
        <v>10</v>
      </c>
      <c r="AG380">
        <v>1</v>
      </c>
      <c r="AH380">
        <f t="shared" si="243"/>
        <v>1602</v>
      </c>
      <c r="AI380">
        <v>77</v>
      </c>
      <c r="AJ380">
        <f t="shared" si="238"/>
        <v>113</v>
      </c>
      <c r="AP380" t="str">
        <f t="shared" si="213"/>
        <v>{5000,10,1,1602,101}</v>
      </c>
      <c r="AQ380" t="str">
        <f t="shared" si="214"/>
        <v>{5000,10,1,1602,103}</v>
      </c>
      <c r="AR380" t="str">
        <f t="shared" si="215"/>
        <v>{5000,10,1,1602,111}</v>
      </c>
      <c r="AS380" t="str">
        <f t="shared" si="216"/>
        <v>{5000,10,1,1602,112}</v>
      </c>
      <c r="AT380" t="str">
        <f t="shared" si="217"/>
        <v>{5000,10,1,1602,113}</v>
      </c>
      <c r="AU380" t="str">
        <f t="shared" si="218"/>
        <v/>
      </c>
      <c r="AV380">
        <v>2632</v>
      </c>
      <c r="AW380" t="str">
        <f t="shared" si="247"/>
        <v>[{5000,10,1,1602,101},{5000,10,1,1602,103},{5000,10,1,1602,111},{5000,10,1,1602,112},{5000,10,1,1602,113}]</v>
      </c>
    </row>
    <row r="381" spans="2:49">
      <c r="B381">
        <v>2633</v>
      </c>
      <c r="C381" t="s">
        <v>40</v>
      </c>
      <c r="D381" t="str">
        <f t="shared" si="219"/>
        <v>17</v>
      </c>
      <c r="F381">
        <v>290</v>
      </c>
      <c r="G381">
        <v>5000</v>
      </c>
      <c r="H381">
        <f t="shared" si="233"/>
        <v>10</v>
      </c>
      <c r="I381">
        <v>1</v>
      </c>
      <c r="J381">
        <v>2</v>
      </c>
      <c r="K381">
        <f t="shared" si="239"/>
        <v>1602</v>
      </c>
      <c r="L381">
        <f t="shared" si="234"/>
        <v>101</v>
      </c>
      <c r="M381">
        <v>5000</v>
      </c>
      <c r="N381">
        <f t="shared" si="232"/>
        <v>10</v>
      </c>
      <c r="O381">
        <v>1</v>
      </c>
      <c r="P381">
        <f t="shared" si="240"/>
        <v>1602</v>
      </c>
      <c r="Q381">
        <v>56</v>
      </c>
      <c r="R381">
        <f t="shared" si="235"/>
        <v>102</v>
      </c>
      <c r="S381">
        <v>5000</v>
      </c>
      <c r="T381">
        <f t="shared" si="210"/>
        <v>10</v>
      </c>
      <c r="U381">
        <v>1</v>
      </c>
      <c r="V381">
        <f t="shared" si="241"/>
        <v>1601</v>
      </c>
      <c r="W381">
        <v>77</v>
      </c>
      <c r="X381">
        <f t="shared" si="236"/>
        <v>103</v>
      </c>
      <c r="Y381">
        <v>5000</v>
      </c>
      <c r="Z381">
        <f t="shared" si="211"/>
        <v>10</v>
      </c>
      <c r="AA381">
        <v>1</v>
      </c>
      <c r="AB381">
        <f t="shared" si="242"/>
        <v>1602</v>
      </c>
      <c r="AC381">
        <v>72</v>
      </c>
      <c r="AD381">
        <f t="shared" si="237"/>
        <v>113</v>
      </c>
      <c r="AE381">
        <v>5000</v>
      </c>
      <c r="AF381">
        <f t="shared" si="212"/>
        <v>10</v>
      </c>
      <c r="AG381">
        <v>1</v>
      </c>
      <c r="AH381">
        <f t="shared" si="243"/>
        <v>1602</v>
      </c>
      <c r="AI381">
        <v>74</v>
      </c>
      <c r="AJ381">
        <f t="shared" si="238"/>
        <v>111</v>
      </c>
      <c r="AP381" t="str">
        <f t="shared" si="213"/>
        <v>{5000,10,1,1602,101}</v>
      </c>
      <c r="AQ381" t="str">
        <f t="shared" si="214"/>
        <v>{5000,10,1,1602,102}</v>
      </c>
      <c r="AR381" t="str">
        <f t="shared" si="215"/>
        <v>{5000,10,1,1601,103}</v>
      </c>
      <c r="AS381" t="str">
        <f t="shared" si="216"/>
        <v>{5000,10,1,1602,113}</v>
      </c>
      <c r="AT381" t="str">
        <f t="shared" si="217"/>
        <v>{5000,10,1,1602,111}</v>
      </c>
      <c r="AU381" t="str">
        <f t="shared" si="218"/>
        <v/>
      </c>
      <c r="AV381">
        <v>2633</v>
      </c>
      <c r="AW381" t="str">
        <f t="shared" si="247"/>
        <v>[{5000,10,1,1602,101},{5000,10,1,1602,102},{5000,10,1,1601,103},{5000,10,1,1602,113},{5000,10,1,1602,111}]</v>
      </c>
    </row>
    <row r="382" spans="2:49">
      <c r="B382">
        <v>2711</v>
      </c>
      <c r="C382" t="s">
        <v>41</v>
      </c>
      <c r="D382" s="5" t="str">
        <f t="shared" si="219"/>
        <v>18</v>
      </c>
      <c r="E382" s="5"/>
      <c r="F382">
        <v>1</v>
      </c>
      <c r="G382">
        <v>5000</v>
      </c>
      <c r="H382">
        <f t="shared" si="233"/>
        <v>2</v>
      </c>
      <c r="I382">
        <v>1</v>
      </c>
      <c r="J382">
        <v>1</v>
      </c>
      <c r="K382">
        <f t="shared" si="239"/>
        <v>1701</v>
      </c>
      <c r="L382">
        <f t="shared" si="234"/>
        <v>101</v>
      </c>
      <c r="M382">
        <v>5000</v>
      </c>
      <c r="N382">
        <f t="shared" si="232"/>
        <v>2</v>
      </c>
      <c r="O382">
        <v>1</v>
      </c>
      <c r="P382">
        <f t="shared" si="240"/>
        <v>1701</v>
      </c>
      <c r="Q382">
        <v>55</v>
      </c>
      <c r="R382">
        <f t="shared" si="235"/>
        <v>102</v>
      </c>
      <c r="S382">
        <v>5000</v>
      </c>
      <c r="T382">
        <f t="shared" si="210"/>
        <v>2</v>
      </c>
      <c r="U382">
        <v>1</v>
      </c>
      <c r="V382">
        <f t="shared" si="241"/>
        <v>1701</v>
      </c>
      <c r="W382">
        <v>60</v>
      </c>
      <c r="X382">
        <f t="shared" si="236"/>
        <v>103</v>
      </c>
      <c r="Y382">
        <v>5000</v>
      </c>
      <c r="Z382">
        <f t="shared" si="211"/>
        <v>2</v>
      </c>
      <c r="AA382">
        <v>1</v>
      </c>
      <c r="AB382">
        <f t="shared" si="242"/>
        <v>1701</v>
      </c>
      <c r="AC382">
        <v>71</v>
      </c>
      <c r="AD382">
        <f t="shared" si="237"/>
        <v>113</v>
      </c>
      <c r="AE382">
        <v>5000</v>
      </c>
      <c r="AF382">
        <f t="shared" si="212"/>
        <v>2</v>
      </c>
      <c r="AG382">
        <v>1</v>
      </c>
      <c r="AH382">
        <f t="shared" si="243"/>
        <v>1701</v>
      </c>
      <c r="AI382">
        <v>76</v>
      </c>
      <c r="AJ382">
        <f t="shared" si="238"/>
        <v>111</v>
      </c>
      <c r="AP382" t="str">
        <f t="shared" si="213"/>
        <v>{5000,2,1,1701,101}</v>
      </c>
      <c r="AQ382" t="str">
        <f t="shared" si="214"/>
        <v>{5000,2,1,1701,102}</v>
      </c>
      <c r="AR382" t="str">
        <f t="shared" si="215"/>
        <v>{5000,2,1,1701,103}</v>
      </c>
      <c r="AS382" t="str">
        <f t="shared" si="216"/>
        <v>{5000,2,1,1701,113}</v>
      </c>
      <c r="AT382" t="str">
        <f t="shared" si="217"/>
        <v>{5000,2,1,1701,111}</v>
      </c>
      <c r="AU382" t="str">
        <f t="shared" si="218"/>
        <v/>
      </c>
      <c r="AV382">
        <v>2711</v>
      </c>
      <c r="AW382" t="str">
        <f t="shared" si="247"/>
        <v>[{5000,2,1,1701,101},{5000,2,1,1701,102},{5000,2,1,1701,103},{5000,2,1,1701,113},{5000,2,1,1701,111}]</v>
      </c>
    </row>
    <row r="383" spans="2:49">
      <c r="B383">
        <v>2712</v>
      </c>
      <c r="C383" t="s">
        <v>41</v>
      </c>
      <c r="D383" t="str">
        <f t="shared" si="219"/>
        <v>18</v>
      </c>
      <c r="F383">
        <v>16</v>
      </c>
      <c r="G383">
        <v>5000</v>
      </c>
      <c r="H383">
        <f t="shared" si="233"/>
        <v>2</v>
      </c>
      <c r="I383">
        <v>1</v>
      </c>
      <c r="J383">
        <v>1</v>
      </c>
      <c r="K383">
        <f t="shared" ref="K383:K405" si="248">IF($J383="","",K360+100)</f>
        <v>1701</v>
      </c>
      <c r="L383">
        <f t="shared" si="234"/>
        <v>101</v>
      </c>
      <c r="M383">
        <v>5000</v>
      </c>
      <c r="N383">
        <f t="shared" si="232"/>
        <v>2</v>
      </c>
      <c r="O383">
        <v>1</v>
      </c>
      <c r="P383">
        <f t="shared" ref="P383:P405" si="249">IF($J383="","",P360+100)</f>
        <v>1701</v>
      </c>
      <c r="Q383">
        <v>55</v>
      </c>
      <c r="R383">
        <f t="shared" si="235"/>
        <v>103</v>
      </c>
      <c r="S383">
        <v>5000</v>
      </c>
      <c r="T383">
        <f t="shared" si="210"/>
        <v>2</v>
      </c>
      <c r="U383">
        <v>1</v>
      </c>
      <c r="V383">
        <f t="shared" ref="V383:V405" si="250">IF($J383="","",V360+100)</f>
        <v>1701</v>
      </c>
      <c r="W383">
        <v>75</v>
      </c>
      <c r="X383">
        <f t="shared" si="236"/>
        <v>111</v>
      </c>
      <c r="Y383">
        <v>5000</v>
      </c>
      <c r="Z383">
        <f t="shared" si="211"/>
        <v>2</v>
      </c>
      <c r="AA383">
        <v>1</v>
      </c>
      <c r="AB383">
        <f t="shared" ref="AB383:AB405" si="251">IF($J383="","",AB360+100)</f>
        <v>1701</v>
      </c>
      <c r="AC383">
        <v>73</v>
      </c>
      <c r="AD383">
        <f t="shared" si="237"/>
        <v>112</v>
      </c>
      <c r="AE383">
        <v>5000</v>
      </c>
      <c r="AF383">
        <f t="shared" si="212"/>
        <v>2</v>
      </c>
      <c r="AG383">
        <v>1</v>
      </c>
      <c r="AH383">
        <f t="shared" ref="AH383:AH405" si="252">IF($J383="","",AH360+100)</f>
        <v>1701</v>
      </c>
      <c r="AI383">
        <v>78</v>
      </c>
      <c r="AJ383">
        <f t="shared" si="238"/>
        <v>113</v>
      </c>
      <c r="AP383" t="str">
        <f t="shared" si="213"/>
        <v>{5000,2,1,1701,101}</v>
      </c>
      <c r="AQ383" t="str">
        <f t="shared" si="214"/>
        <v>{5000,2,1,1701,103}</v>
      </c>
      <c r="AR383" t="str">
        <f t="shared" si="215"/>
        <v>{5000,2,1,1701,111}</v>
      </c>
      <c r="AS383" t="str">
        <f t="shared" si="216"/>
        <v>{5000,2,1,1701,112}</v>
      </c>
      <c r="AT383" t="str">
        <f t="shared" si="217"/>
        <v>{5000,2,1,1701,113}</v>
      </c>
      <c r="AU383" t="str">
        <f t="shared" si="218"/>
        <v/>
      </c>
      <c r="AV383">
        <v>2712</v>
      </c>
      <c r="AW383" t="str">
        <f t="shared" si="247"/>
        <v>[{5000,2,1,1701,101},{5000,2,1,1701,103},{5000,2,1,1701,111},{5000,2,1,1701,112},{5000,2,1,1701,113}]</v>
      </c>
    </row>
    <row r="384" spans="2:49">
      <c r="B384">
        <v>2713</v>
      </c>
      <c r="C384" t="s">
        <v>41</v>
      </c>
      <c r="D384" t="str">
        <f t="shared" si="219"/>
        <v>18</v>
      </c>
      <c r="F384">
        <v>31</v>
      </c>
      <c r="G384">
        <v>5000</v>
      </c>
      <c r="H384">
        <f t="shared" si="233"/>
        <v>4</v>
      </c>
      <c r="I384">
        <v>1</v>
      </c>
      <c r="J384">
        <v>1</v>
      </c>
      <c r="K384">
        <f t="shared" si="248"/>
        <v>1701</v>
      </c>
      <c r="L384">
        <f t="shared" si="234"/>
        <v>101</v>
      </c>
      <c r="M384">
        <v>5000</v>
      </c>
      <c r="N384">
        <f t="shared" si="232"/>
        <v>4</v>
      </c>
      <c r="O384">
        <v>1</v>
      </c>
      <c r="P384">
        <f t="shared" si="249"/>
        <v>1701</v>
      </c>
      <c r="Q384">
        <v>55</v>
      </c>
      <c r="R384">
        <f t="shared" si="235"/>
        <v>102</v>
      </c>
      <c r="S384">
        <v>5000</v>
      </c>
      <c r="T384">
        <f t="shared" si="210"/>
        <v>4</v>
      </c>
      <c r="U384">
        <v>1</v>
      </c>
      <c r="V384">
        <f t="shared" si="250"/>
        <v>1701</v>
      </c>
      <c r="W384">
        <v>58</v>
      </c>
      <c r="X384">
        <f t="shared" si="236"/>
        <v>103</v>
      </c>
      <c r="Y384">
        <v>5000</v>
      </c>
      <c r="Z384">
        <f t="shared" si="211"/>
        <v>4</v>
      </c>
      <c r="AA384">
        <v>1</v>
      </c>
      <c r="AB384">
        <f t="shared" si="251"/>
        <v>1701</v>
      </c>
      <c r="AC384">
        <v>76</v>
      </c>
      <c r="AD384">
        <f t="shared" si="237"/>
        <v>113</v>
      </c>
      <c r="AE384">
        <v>5000</v>
      </c>
      <c r="AF384">
        <f t="shared" si="212"/>
        <v>4</v>
      </c>
      <c r="AG384">
        <v>1</v>
      </c>
      <c r="AH384">
        <f t="shared" si="252"/>
        <v>1701</v>
      </c>
      <c r="AI384">
        <v>79</v>
      </c>
      <c r="AJ384">
        <f t="shared" si="238"/>
        <v>111</v>
      </c>
      <c r="AP384" t="str">
        <f t="shared" si="213"/>
        <v>{5000,4,1,1701,101}</v>
      </c>
      <c r="AQ384" t="str">
        <f t="shared" si="214"/>
        <v>{5000,4,1,1701,102}</v>
      </c>
      <c r="AR384" t="str">
        <f t="shared" si="215"/>
        <v>{5000,4,1,1701,103}</v>
      </c>
      <c r="AS384" t="str">
        <f t="shared" si="216"/>
        <v>{5000,4,1,1701,113}</v>
      </c>
      <c r="AT384" t="str">
        <f t="shared" si="217"/>
        <v>{5000,4,1,1701,111}</v>
      </c>
      <c r="AU384" t="str">
        <f t="shared" si="218"/>
        <v/>
      </c>
      <c r="AV384">
        <v>2713</v>
      </c>
      <c r="AW384" t="str">
        <f t="shared" si="247"/>
        <v>[{5000,4,1,1701,101},{5000,4,1,1701,102},{5000,4,1,1701,103},{5000,4,1,1701,113},{5000,4,1,1701,111}]</v>
      </c>
    </row>
    <row r="385" spans="2:49">
      <c r="B385">
        <v>2714</v>
      </c>
      <c r="C385" t="s">
        <v>41</v>
      </c>
      <c r="D385" t="str">
        <f t="shared" si="219"/>
        <v>18</v>
      </c>
      <c r="F385">
        <v>46</v>
      </c>
      <c r="G385">
        <v>5000</v>
      </c>
      <c r="H385">
        <f t="shared" si="233"/>
        <v>4</v>
      </c>
      <c r="I385">
        <v>1</v>
      </c>
      <c r="J385">
        <v>1</v>
      </c>
      <c r="K385">
        <f t="shared" si="248"/>
        <v>1701</v>
      </c>
      <c r="L385">
        <f t="shared" si="234"/>
        <v>101</v>
      </c>
      <c r="M385">
        <v>5000</v>
      </c>
      <c r="N385">
        <f t="shared" si="232"/>
        <v>4</v>
      </c>
      <c r="O385">
        <v>1</v>
      </c>
      <c r="P385">
        <f t="shared" si="249"/>
        <v>1701</v>
      </c>
      <c r="Q385">
        <v>55</v>
      </c>
      <c r="R385">
        <f t="shared" si="235"/>
        <v>103</v>
      </c>
      <c r="S385">
        <v>5000</v>
      </c>
      <c r="T385">
        <f t="shared" si="210"/>
        <v>4</v>
      </c>
      <c r="U385">
        <v>1</v>
      </c>
      <c r="V385">
        <f t="shared" si="250"/>
        <v>1702</v>
      </c>
      <c r="W385">
        <v>76</v>
      </c>
      <c r="X385">
        <f t="shared" si="236"/>
        <v>111</v>
      </c>
      <c r="Y385">
        <v>5000</v>
      </c>
      <c r="Z385">
        <f t="shared" si="211"/>
        <v>4</v>
      </c>
      <c r="AA385">
        <v>1</v>
      </c>
      <c r="AB385">
        <f t="shared" si="251"/>
        <v>1701</v>
      </c>
      <c r="AC385">
        <v>71</v>
      </c>
      <c r="AD385">
        <f t="shared" si="237"/>
        <v>112</v>
      </c>
      <c r="AE385">
        <v>5000</v>
      </c>
      <c r="AF385">
        <f t="shared" si="212"/>
        <v>4</v>
      </c>
      <c r="AG385">
        <v>1</v>
      </c>
      <c r="AH385">
        <f t="shared" si="252"/>
        <v>1701</v>
      </c>
      <c r="AI385">
        <v>71</v>
      </c>
      <c r="AJ385">
        <f t="shared" si="238"/>
        <v>113</v>
      </c>
      <c r="AP385" t="str">
        <f t="shared" si="213"/>
        <v>{5000,4,1,1701,101}</v>
      </c>
      <c r="AQ385" t="str">
        <f t="shared" si="214"/>
        <v>{5000,4,1,1701,103}</v>
      </c>
      <c r="AR385" t="str">
        <f t="shared" si="215"/>
        <v>{5000,4,1,1702,111}</v>
      </c>
      <c r="AS385" t="str">
        <f t="shared" si="216"/>
        <v>{5000,4,1,1701,112}</v>
      </c>
      <c r="AT385" t="str">
        <f t="shared" si="217"/>
        <v>{5000,4,1,1701,113}</v>
      </c>
      <c r="AU385" t="str">
        <f t="shared" si="218"/>
        <v/>
      </c>
      <c r="AV385">
        <v>2714</v>
      </c>
      <c r="AW385" t="str">
        <f t="shared" si="247"/>
        <v>[{5000,4,1,1701,101},{5000,4,1,1701,103},{5000,4,1,1702,111},{5000,4,1,1701,112},{5000,4,1,1701,113}]</v>
      </c>
    </row>
    <row r="386" spans="2:49">
      <c r="B386">
        <v>2715</v>
      </c>
      <c r="C386" t="s">
        <v>41</v>
      </c>
      <c r="D386" t="str">
        <f t="shared" si="219"/>
        <v>18</v>
      </c>
      <c r="F386">
        <v>61</v>
      </c>
      <c r="G386">
        <v>5000</v>
      </c>
      <c r="H386">
        <f t="shared" si="233"/>
        <v>6</v>
      </c>
      <c r="I386">
        <v>1</v>
      </c>
      <c r="J386">
        <v>3</v>
      </c>
      <c r="K386">
        <f t="shared" si="248"/>
        <v>1703</v>
      </c>
      <c r="L386">
        <f t="shared" si="234"/>
        <v>101</v>
      </c>
      <c r="M386">
        <v>5000</v>
      </c>
      <c r="N386">
        <f t="shared" si="232"/>
        <v>6</v>
      </c>
      <c r="O386">
        <v>1</v>
      </c>
      <c r="P386">
        <f t="shared" si="249"/>
        <v>1703</v>
      </c>
      <c r="Q386">
        <v>56</v>
      </c>
      <c r="R386">
        <f t="shared" si="235"/>
        <v>102</v>
      </c>
      <c r="S386">
        <v>5000</v>
      </c>
      <c r="T386">
        <f t="shared" si="210"/>
        <v>6</v>
      </c>
      <c r="U386">
        <v>1</v>
      </c>
      <c r="V386">
        <f t="shared" si="250"/>
        <v>1703</v>
      </c>
      <c r="W386">
        <v>57</v>
      </c>
      <c r="X386">
        <f t="shared" si="236"/>
        <v>103</v>
      </c>
      <c r="Y386">
        <v>5000</v>
      </c>
      <c r="Z386">
        <f t="shared" si="211"/>
        <v>6</v>
      </c>
      <c r="AA386">
        <v>1</v>
      </c>
      <c r="AB386">
        <f t="shared" si="251"/>
        <v>1703</v>
      </c>
      <c r="AC386">
        <v>72</v>
      </c>
      <c r="AD386">
        <f t="shared" si="237"/>
        <v>113</v>
      </c>
      <c r="AE386">
        <v>5000</v>
      </c>
      <c r="AF386">
        <f t="shared" si="212"/>
        <v>6</v>
      </c>
      <c r="AG386">
        <v>1</v>
      </c>
      <c r="AH386">
        <f t="shared" si="252"/>
        <v>1703</v>
      </c>
      <c r="AI386">
        <v>71</v>
      </c>
      <c r="AJ386">
        <f t="shared" si="238"/>
        <v>111</v>
      </c>
      <c r="AP386" t="str">
        <f t="shared" si="213"/>
        <v>{5000,6,1,1703,101}</v>
      </c>
      <c r="AQ386" t="str">
        <f t="shared" si="214"/>
        <v>{5000,6,1,1703,102}</v>
      </c>
      <c r="AR386" t="str">
        <f t="shared" si="215"/>
        <v>{5000,6,1,1703,103}</v>
      </c>
      <c r="AS386" t="str">
        <f t="shared" si="216"/>
        <v>{5000,6,1,1703,113}</v>
      </c>
      <c r="AT386" t="str">
        <f t="shared" si="217"/>
        <v>{5000,6,1,1703,111}</v>
      </c>
      <c r="AU386" t="str">
        <f t="shared" si="218"/>
        <v/>
      </c>
      <c r="AV386">
        <v>2715</v>
      </c>
      <c r="AW386" t="str">
        <f t="shared" si="247"/>
        <v>[{5000,6,1,1703,101},{5000,6,1,1703,102},{5000,6,1,1703,103},{5000,6,1,1703,113},{5000,6,1,1703,111}]</v>
      </c>
    </row>
    <row r="387" spans="2:49">
      <c r="B387">
        <v>2716</v>
      </c>
      <c r="C387" t="s">
        <v>41</v>
      </c>
      <c r="D387" t="str">
        <f t="shared" si="219"/>
        <v>18</v>
      </c>
      <c r="F387">
        <v>76</v>
      </c>
      <c r="G387">
        <v>5000</v>
      </c>
      <c r="H387">
        <f t="shared" si="233"/>
        <v>6</v>
      </c>
      <c r="I387">
        <v>1</v>
      </c>
      <c r="J387">
        <v>1</v>
      </c>
      <c r="K387">
        <f t="shared" si="248"/>
        <v>1701</v>
      </c>
      <c r="L387">
        <f t="shared" si="234"/>
        <v>101</v>
      </c>
      <c r="M387">
        <v>5000</v>
      </c>
      <c r="N387">
        <f t="shared" si="232"/>
        <v>6</v>
      </c>
      <c r="O387">
        <v>1</v>
      </c>
      <c r="P387">
        <f t="shared" si="249"/>
        <v>1701</v>
      </c>
      <c r="Q387">
        <v>59</v>
      </c>
      <c r="R387">
        <f t="shared" si="235"/>
        <v>103</v>
      </c>
      <c r="S387">
        <v>5000</v>
      </c>
      <c r="T387">
        <f t="shared" ref="T387:T450" si="253">N387</f>
        <v>6</v>
      </c>
      <c r="U387">
        <v>1</v>
      </c>
      <c r="V387">
        <f t="shared" si="250"/>
        <v>1702</v>
      </c>
      <c r="W387">
        <v>71</v>
      </c>
      <c r="X387">
        <f t="shared" si="236"/>
        <v>111</v>
      </c>
      <c r="Y387">
        <v>5000</v>
      </c>
      <c r="Z387">
        <f t="shared" ref="Z387:Z450" si="254">T387</f>
        <v>6</v>
      </c>
      <c r="AA387">
        <v>1</v>
      </c>
      <c r="AB387">
        <f t="shared" si="251"/>
        <v>1701</v>
      </c>
      <c r="AC387">
        <v>71</v>
      </c>
      <c r="AD387">
        <f t="shared" si="237"/>
        <v>112</v>
      </c>
      <c r="AE387">
        <v>5000</v>
      </c>
      <c r="AF387">
        <f t="shared" ref="AF387:AF450" si="255">Z387</f>
        <v>6</v>
      </c>
      <c r="AG387">
        <v>1</v>
      </c>
      <c r="AH387">
        <f t="shared" si="252"/>
        <v>1701</v>
      </c>
      <c r="AI387">
        <v>79</v>
      </c>
      <c r="AJ387">
        <f t="shared" si="238"/>
        <v>113</v>
      </c>
      <c r="AP387" t="str">
        <f t="shared" ref="AP387:AP450" si="256">IF(G387="","",$AQ$1&amp;_xlfn.TEXTJOIN(",",1,G387:I387,K387,L387)&amp;$AR$1)</f>
        <v>{5000,6,1,1701,101}</v>
      </c>
      <c r="AQ387" t="str">
        <f t="shared" ref="AQ387:AQ450" si="257">IF(G387="","",$AQ$1&amp;_xlfn.TEXTJOIN(",",1,M387:P387,R387)&amp;$AR$1)</f>
        <v>{5000,6,1,1701,103}</v>
      </c>
      <c r="AR387" t="str">
        <f t="shared" ref="AR387:AR450" si="258">IF(G387="","",$AQ$1&amp;_xlfn.TEXTJOIN(",",1,S387:V387,X387)&amp;$AR$1)</f>
        <v>{5000,6,1,1702,111}</v>
      </c>
      <c r="AS387" t="str">
        <f t="shared" ref="AS387:AS450" si="259">IF(G387="","",$AQ$1&amp;_xlfn.TEXTJOIN(",",1,Y387:AB387,AD387)&amp;$AR$1)</f>
        <v>{5000,6,1,1701,112}</v>
      </c>
      <c r="AT387" t="str">
        <f t="shared" ref="AT387:AT450" si="260">IF(G387="","",$AQ$1&amp;_xlfn.TEXTJOIN(",",1,AE387:AH387,AJ387)&amp;$AR$1)</f>
        <v>{5000,6,1,1701,113}</v>
      </c>
      <c r="AU387" t="str">
        <f t="shared" ref="AU387:AU450" si="261">IF(AK387="","",IF(G387="","",$AQ$1&amp;_xlfn.TEXTJOIN(",",1,AK387:AO387)&amp;$AR$1))</f>
        <v/>
      </c>
      <c r="AV387">
        <v>2716</v>
      </c>
      <c r="AW387" t="str">
        <f t="shared" si="247"/>
        <v>[{5000,6,1,1701,101},{5000,6,1,1701,103},{5000,6,1,1702,111},{5000,6,1,1701,112},{5000,6,1,1701,113}]</v>
      </c>
    </row>
    <row r="388" spans="2:49">
      <c r="B388">
        <v>2717</v>
      </c>
      <c r="C388" t="s">
        <v>41</v>
      </c>
      <c r="D388" t="str">
        <f t="shared" si="219"/>
        <v>18</v>
      </c>
      <c r="F388">
        <v>91</v>
      </c>
      <c r="G388">
        <v>5000</v>
      </c>
      <c r="H388">
        <f t="shared" si="233"/>
        <v>6</v>
      </c>
      <c r="I388">
        <v>1</v>
      </c>
      <c r="J388">
        <v>1</v>
      </c>
      <c r="K388">
        <f t="shared" si="248"/>
        <v>1701</v>
      </c>
      <c r="L388">
        <f t="shared" si="234"/>
        <v>101</v>
      </c>
      <c r="M388">
        <v>5000</v>
      </c>
      <c r="N388">
        <f t="shared" si="232"/>
        <v>6</v>
      </c>
      <c r="O388">
        <v>1</v>
      </c>
      <c r="P388">
        <f t="shared" si="249"/>
        <v>1701</v>
      </c>
      <c r="Q388">
        <v>54</v>
      </c>
      <c r="R388">
        <f t="shared" si="235"/>
        <v>102</v>
      </c>
      <c r="S388">
        <v>5000</v>
      </c>
      <c r="T388">
        <f t="shared" si="253"/>
        <v>6</v>
      </c>
      <c r="U388">
        <v>1</v>
      </c>
      <c r="V388">
        <f t="shared" si="250"/>
        <v>1702</v>
      </c>
      <c r="W388">
        <v>51</v>
      </c>
      <c r="X388">
        <f t="shared" si="236"/>
        <v>103</v>
      </c>
      <c r="Y388">
        <v>5000</v>
      </c>
      <c r="Z388">
        <f t="shared" si="254"/>
        <v>6</v>
      </c>
      <c r="AA388">
        <v>1</v>
      </c>
      <c r="AB388">
        <f t="shared" si="251"/>
        <v>1701</v>
      </c>
      <c r="AC388">
        <v>71</v>
      </c>
      <c r="AD388">
        <f t="shared" si="237"/>
        <v>113</v>
      </c>
      <c r="AE388">
        <v>5000</v>
      </c>
      <c r="AF388">
        <f t="shared" si="255"/>
        <v>6</v>
      </c>
      <c r="AG388">
        <v>1</v>
      </c>
      <c r="AH388">
        <f t="shared" si="252"/>
        <v>1702</v>
      </c>
      <c r="AI388">
        <v>77</v>
      </c>
      <c r="AJ388">
        <f t="shared" si="238"/>
        <v>111</v>
      </c>
      <c r="AP388" t="str">
        <f t="shared" si="256"/>
        <v>{5000,6,1,1701,101}</v>
      </c>
      <c r="AQ388" t="str">
        <f t="shared" si="257"/>
        <v>{5000,6,1,1701,102}</v>
      </c>
      <c r="AR388" t="str">
        <f t="shared" si="258"/>
        <v>{5000,6,1,1702,103}</v>
      </c>
      <c r="AS388" t="str">
        <f t="shared" si="259"/>
        <v>{5000,6,1,1701,113}</v>
      </c>
      <c r="AT388" t="str">
        <f t="shared" si="260"/>
        <v>{5000,6,1,1702,111}</v>
      </c>
      <c r="AU388" t="str">
        <f t="shared" si="261"/>
        <v/>
      </c>
      <c r="AV388">
        <v>2717</v>
      </c>
      <c r="AW388" t="str">
        <f t="shared" si="247"/>
        <v>[{5000,6,1,1701,101},{5000,6,1,1701,102},{5000,6,1,1702,103},{5000,6,1,1701,113},{5000,6,1,1702,111}]</v>
      </c>
    </row>
    <row r="389" spans="2:49">
      <c r="B389">
        <v>2718</v>
      </c>
      <c r="C389" t="s">
        <v>41</v>
      </c>
      <c r="D389" t="str">
        <f t="shared" si="219"/>
        <v>18</v>
      </c>
      <c r="F389">
        <v>106</v>
      </c>
      <c r="G389">
        <v>5000</v>
      </c>
      <c r="H389">
        <f t="shared" si="233"/>
        <v>6</v>
      </c>
      <c r="I389">
        <v>1</v>
      </c>
      <c r="J389">
        <v>1</v>
      </c>
      <c r="K389">
        <f t="shared" si="248"/>
        <v>1701</v>
      </c>
      <c r="L389">
        <f t="shared" si="234"/>
        <v>101</v>
      </c>
      <c r="M389">
        <v>5000</v>
      </c>
      <c r="N389">
        <f t="shared" si="232"/>
        <v>6</v>
      </c>
      <c r="O389">
        <v>1</v>
      </c>
      <c r="P389">
        <f t="shared" si="249"/>
        <v>1701</v>
      </c>
      <c r="Q389">
        <v>55</v>
      </c>
      <c r="R389">
        <f t="shared" si="235"/>
        <v>103</v>
      </c>
      <c r="S389">
        <v>5000</v>
      </c>
      <c r="T389">
        <f t="shared" si="253"/>
        <v>6</v>
      </c>
      <c r="U389">
        <v>1</v>
      </c>
      <c r="V389">
        <f t="shared" si="250"/>
        <v>1702</v>
      </c>
      <c r="W389">
        <v>73</v>
      </c>
      <c r="X389">
        <f t="shared" si="236"/>
        <v>111</v>
      </c>
      <c r="Y389">
        <v>5000</v>
      </c>
      <c r="Z389">
        <f t="shared" si="254"/>
        <v>6</v>
      </c>
      <c r="AA389">
        <v>1</v>
      </c>
      <c r="AB389">
        <f t="shared" si="251"/>
        <v>1701</v>
      </c>
      <c r="AC389">
        <v>78</v>
      </c>
      <c r="AD389">
        <f t="shared" si="237"/>
        <v>112</v>
      </c>
      <c r="AE389">
        <v>5000</v>
      </c>
      <c r="AF389">
        <f t="shared" si="255"/>
        <v>6</v>
      </c>
      <c r="AG389">
        <v>1</v>
      </c>
      <c r="AH389">
        <f t="shared" si="252"/>
        <v>1702</v>
      </c>
      <c r="AI389">
        <v>71</v>
      </c>
      <c r="AJ389">
        <f t="shared" si="238"/>
        <v>113</v>
      </c>
      <c r="AP389" t="str">
        <f t="shared" si="256"/>
        <v>{5000,6,1,1701,101}</v>
      </c>
      <c r="AQ389" t="str">
        <f t="shared" si="257"/>
        <v>{5000,6,1,1701,103}</v>
      </c>
      <c r="AR389" t="str">
        <f t="shared" si="258"/>
        <v>{5000,6,1,1702,111}</v>
      </c>
      <c r="AS389" t="str">
        <f t="shared" si="259"/>
        <v>{5000,6,1,1701,112}</v>
      </c>
      <c r="AT389" t="str">
        <f t="shared" si="260"/>
        <v>{5000,6,1,1702,113}</v>
      </c>
      <c r="AU389" t="str">
        <f t="shared" si="261"/>
        <v/>
      </c>
      <c r="AV389">
        <v>2718</v>
      </c>
      <c r="AW389" t="str">
        <f t="shared" si="247"/>
        <v>[{5000,6,1,1701,101},{5000,6,1,1701,103},{5000,6,1,1702,111},{5000,6,1,1701,112},{5000,6,1,1702,113}]</v>
      </c>
    </row>
    <row r="390" spans="2:48">
      <c r="B390">
        <v>2719</v>
      </c>
      <c r="C390" t="s">
        <v>41</v>
      </c>
      <c r="D390" t="str">
        <f t="shared" si="219"/>
        <v>18</v>
      </c>
      <c r="F390">
        <v>119</v>
      </c>
      <c r="H390">
        <f t="shared" si="233"/>
        <v>0</v>
      </c>
      <c r="K390" t="str">
        <f t="shared" si="248"/>
        <v/>
      </c>
      <c r="L390" t="str">
        <f t="shared" si="234"/>
        <v/>
      </c>
      <c r="N390">
        <f t="shared" si="232"/>
        <v>0</v>
      </c>
      <c r="P390" t="str">
        <f t="shared" si="249"/>
        <v/>
      </c>
      <c r="R390" t="str">
        <f t="shared" si="235"/>
        <v/>
      </c>
      <c r="T390">
        <f t="shared" si="253"/>
        <v>0</v>
      </c>
      <c r="V390" t="str">
        <f t="shared" si="250"/>
        <v/>
      </c>
      <c r="X390" t="str">
        <f t="shared" si="236"/>
        <v/>
      </c>
      <c r="Z390">
        <f t="shared" si="254"/>
        <v>0</v>
      </c>
      <c r="AB390" t="str">
        <f t="shared" si="251"/>
        <v/>
      </c>
      <c r="AD390" t="str">
        <f t="shared" si="237"/>
        <v/>
      </c>
      <c r="AF390">
        <f t="shared" si="255"/>
        <v>0</v>
      </c>
      <c r="AH390" t="str">
        <f t="shared" si="252"/>
        <v/>
      </c>
      <c r="AJ390" t="str">
        <f t="shared" si="238"/>
        <v/>
      </c>
      <c r="AP390" t="str">
        <f t="shared" si="256"/>
        <v/>
      </c>
      <c r="AQ390" t="str">
        <f t="shared" si="257"/>
        <v/>
      </c>
      <c r="AR390" t="str">
        <f t="shared" si="258"/>
        <v/>
      </c>
      <c r="AS390" t="str">
        <f t="shared" si="259"/>
        <v/>
      </c>
      <c r="AT390" t="str">
        <f t="shared" si="260"/>
        <v/>
      </c>
      <c r="AU390" t="str">
        <f t="shared" si="261"/>
        <v/>
      </c>
      <c r="AV390">
        <v>2719</v>
      </c>
    </row>
    <row r="391" spans="2:49">
      <c r="B391">
        <v>2720</v>
      </c>
      <c r="C391" t="s">
        <v>41</v>
      </c>
      <c r="D391" t="str">
        <f t="shared" si="219"/>
        <v>18</v>
      </c>
      <c r="F391">
        <v>121</v>
      </c>
      <c r="G391">
        <v>5000</v>
      </c>
      <c r="H391">
        <f t="shared" si="233"/>
        <v>8</v>
      </c>
      <c r="I391">
        <v>1</v>
      </c>
      <c r="J391">
        <v>3</v>
      </c>
      <c r="K391">
        <f t="shared" si="248"/>
        <v>1703</v>
      </c>
      <c r="L391">
        <f t="shared" si="234"/>
        <v>101</v>
      </c>
      <c r="M391">
        <v>5000</v>
      </c>
      <c r="N391">
        <f t="shared" si="232"/>
        <v>8</v>
      </c>
      <c r="O391">
        <v>1</v>
      </c>
      <c r="P391">
        <f t="shared" si="249"/>
        <v>1703</v>
      </c>
      <c r="Q391">
        <v>54</v>
      </c>
      <c r="R391">
        <f t="shared" si="235"/>
        <v>102</v>
      </c>
      <c r="S391">
        <v>5000</v>
      </c>
      <c r="T391">
        <f t="shared" si="253"/>
        <v>8</v>
      </c>
      <c r="U391">
        <v>1</v>
      </c>
      <c r="V391">
        <f t="shared" si="250"/>
        <v>1703</v>
      </c>
      <c r="W391">
        <v>51</v>
      </c>
      <c r="X391">
        <f t="shared" si="236"/>
        <v>103</v>
      </c>
      <c r="Y391">
        <v>5000</v>
      </c>
      <c r="Z391">
        <f t="shared" si="254"/>
        <v>8</v>
      </c>
      <c r="AA391">
        <v>1</v>
      </c>
      <c r="AB391">
        <f t="shared" si="251"/>
        <v>1703</v>
      </c>
      <c r="AC391">
        <v>71</v>
      </c>
      <c r="AD391">
        <f t="shared" si="237"/>
        <v>113</v>
      </c>
      <c r="AE391">
        <v>5000</v>
      </c>
      <c r="AF391">
        <f t="shared" si="255"/>
        <v>8</v>
      </c>
      <c r="AG391">
        <v>1</v>
      </c>
      <c r="AH391">
        <f t="shared" si="252"/>
        <v>1703</v>
      </c>
      <c r="AI391">
        <v>79</v>
      </c>
      <c r="AJ391">
        <f t="shared" si="238"/>
        <v>111</v>
      </c>
      <c r="AK391">
        <v>1000</v>
      </c>
      <c r="AL391">
        <v>1</v>
      </c>
      <c r="AM391">
        <v>0</v>
      </c>
      <c r="AN391">
        <f t="shared" ref="AN391" si="262">AN368+100</f>
        <v>1721</v>
      </c>
      <c r="AO391">
        <v>4</v>
      </c>
      <c r="AP391" t="str">
        <f t="shared" si="256"/>
        <v>{5000,8,1,1703,101}</v>
      </c>
      <c r="AQ391" t="str">
        <f t="shared" si="257"/>
        <v>{5000,8,1,1703,102}</v>
      </c>
      <c r="AR391" t="str">
        <f t="shared" si="258"/>
        <v>{5000,8,1,1703,103}</v>
      </c>
      <c r="AS391" t="str">
        <f t="shared" si="259"/>
        <v>{5000,8,1,1703,113}</v>
      </c>
      <c r="AT391" t="str">
        <f t="shared" si="260"/>
        <v>{5000,8,1,1703,111}</v>
      </c>
      <c r="AU391" t="str">
        <f t="shared" si="261"/>
        <v>{1000,1,0,1721,4}</v>
      </c>
      <c r="AV391">
        <v>2720</v>
      </c>
      <c r="AW391" t="str">
        <f t="shared" ref="AW391:AW396" si="263">IF(AU391="","["&amp;_xlfn.TEXTJOIN(",",1,AP391:AT391)&amp;"]","["&amp;_xlfn.TEXTJOIN(",",1,AP391:AU391)&amp;"]")</f>
        <v>[{5000,8,1,1703,101},{5000,8,1,1703,102},{5000,8,1,1703,103},{5000,8,1,1703,113},{5000,8,1,1703,111},{1000,1,0,1721,4}]</v>
      </c>
    </row>
    <row r="392" spans="2:49">
      <c r="B392">
        <v>2721</v>
      </c>
      <c r="C392" t="s">
        <v>41</v>
      </c>
      <c r="D392" t="str">
        <f t="shared" ref="D392:D455" si="264">RIGHT(C392,2)</f>
        <v>18</v>
      </c>
      <c r="F392">
        <v>136</v>
      </c>
      <c r="G392">
        <v>5000</v>
      </c>
      <c r="H392">
        <f t="shared" si="233"/>
        <v>7</v>
      </c>
      <c r="I392">
        <v>1</v>
      </c>
      <c r="J392">
        <v>1</v>
      </c>
      <c r="K392">
        <f t="shared" si="248"/>
        <v>1701</v>
      </c>
      <c r="L392">
        <f t="shared" si="234"/>
        <v>101</v>
      </c>
      <c r="M392">
        <v>5000</v>
      </c>
      <c r="N392">
        <f t="shared" si="232"/>
        <v>7</v>
      </c>
      <c r="O392">
        <v>1</v>
      </c>
      <c r="P392">
        <f t="shared" si="249"/>
        <v>1701</v>
      </c>
      <c r="Q392">
        <v>54</v>
      </c>
      <c r="R392">
        <f t="shared" si="235"/>
        <v>103</v>
      </c>
      <c r="S392">
        <v>5000</v>
      </c>
      <c r="T392">
        <f t="shared" si="253"/>
        <v>7</v>
      </c>
      <c r="U392">
        <v>1</v>
      </c>
      <c r="V392">
        <f t="shared" si="250"/>
        <v>1702</v>
      </c>
      <c r="W392">
        <v>76</v>
      </c>
      <c r="X392">
        <f t="shared" si="236"/>
        <v>111</v>
      </c>
      <c r="Y392">
        <v>5000</v>
      </c>
      <c r="Z392">
        <f t="shared" si="254"/>
        <v>7</v>
      </c>
      <c r="AA392">
        <v>1</v>
      </c>
      <c r="AB392">
        <f t="shared" si="251"/>
        <v>1701</v>
      </c>
      <c r="AC392">
        <v>72</v>
      </c>
      <c r="AD392">
        <f t="shared" si="237"/>
        <v>112</v>
      </c>
      <c r="AE392">
        <v>5000</v>
      </c>
      <c r="AF392">
        <f t="shared" si="255"/>
        <v>7</v>
      </c>
      <c r="AG392">
        <v>1</v>
      </c>
      <c r="AH392">
        <f t="shared" si="252"/>
        <v>1702</v>
      </c>
      <c r="AI392">
        <v>74</v>
      </c>
      <c r="AJ392">
        <f t="shared" si="238"/>
        <v>113</v>
      </c>
      <c r="AP392" t="str">
        <f t="shared" si="256"/>
        <v>{5000,7,1,1701,101}</v>
      </c>
      <c r="AQ392" t="str">
        <f t="shared" si="257"/>
        <v>{5000,7,1,1701,103}</v>
      </c>
      <c r="AR392" t="str">
        <f t="shared" si="258"/>
        <v>{5000,7,1,1702,111}</v>
      </c>
      <c r="AS392" t="str">
        <f t="shared" si="259"/>
        <v>{5000,7,1,1701,112}</v>
      </c>
      <c r="AT392" t="str">
        <f t="shared" si="260"/>
        <v>{5000,7,1,1702,113}</v>
      </c>
      <c r="AU392" t="str">
        <f t="shared" si="261"/>
        <v/>
      </c>
      <c r="AV392">
        <v>2721</v>
      </c>
      <c r="AW392" t="str">
        <f t="shared" si="263"/>
        <v>[{5000,7,1,1701,101},{5000,7,1,1701,103},{5000,7,1,1702,111},{5000,7,1,1701,112},{5000,7,1,1702,113}]</v>
      </c>
    </row>
    <row r="393" spans="2:49">
      <c r="B393">
        <v>2722</v>
      </c>
      <c r="C393" t="s">
        <v>41</v>
      </c>
      <c r="D393" t="str">
        <f t="shared" si="264"/>
        <v>18</v>
      </c>
      <c r="F393">
        <v>151</v>
      </c>
      <c r="G393">
        <v>5000</v>
      </c>
      <c r="H393">
        <f t="shared" si="233"/>
        <v>7</v>
      </c>
      <c r="I393">
        <v>1</v>
      </c>
      <c r="J393">
        <v>1</v>
      </c>
      <c r="K393">
        <f t="shared" si="248"/>
        <v>1701</v>
      </c>
      <c r="L393">
        <f t="shared" si="234"/>
        <v>101</v>
      </c>
      <c r="M393">
        <v>5000</v>
      </c>
      <c r="N393">
        <f t="shared" si="232"/>
        <v>7</v>
      </c>
      <c r="O393">
        <v>1</v>
      </c>
      <c r="P393">
        <f t="shared" si="249"/>
        <v>1701</v>
      </c>
      <c r="Q393">
        <v>54</v>
      </c>
      <c r="R393">
        <f t="shared" si="235"/>
        <v>102</v>
      </c>
      <c r="S393">
        <v>5000</v>
      </c>
      <c r="T393">
        <f t="shared" si="253"/>
        <v>7</v>
      </c>
      <c r="U393">
        <v>1</v>
      </c>
      <c r="V393">
        <f t="shared" si="250"/>
        <v>1702</v>
      </c>
      <c r="W393">
        <v>56</v>
      </c>
      <c r="X393">
        <f t="shared" si="236"/>
        <v>103</v>
      </c>
      <c r="Y393">
        <v>5000</v>
      </c>
      <c r="Z393">
        <f t="shared" si="254"/>
        <v>7</v>
      </c>
      <c r="AA393">
        <v>1</v>
      </c>
      <c r="AB393">
        <f t="shared" si="251"/>
        <v>1701</v>
      </c>
      <c r="AC393">
        <v>72</v>
      </c>
      <c r="AD393">
        <f t="shared" si="237"/>
        <v>113</v>
      </c>
      <c r="AE393">
        <v>5000</v>
      </c>
      <c r="AF393">
        <f t="shared" si="255"/>
        <v>7</v>
      </c>
      <c r="AG393">
        <v>1</v>
      </c>
      <c r="AH393">
        <f t="shared" si="252"/>
        <v>1702</v>
      </c>
      <c r="AI393">
        <v>74</v>
      </c>
      <c r="AJ393">
        <f t="shared" si="238"/>
        <v>111</v>
      </c>
      <c r="AP393" t="str">
        <f t="shared" si="256"/>
        <v>{5000,7,1,1701,101}</v>
      </c>
      <c r="AQ393" t="str">
        <f t="shared" si="257"/>
        <v>{5000,7,1,1701,102}</v>
      </c>
      <c r="AR393" t="str">
        <f t="shared" si="258"/>
        <v>{5000,7,1,1702,103}</v>
      </c>
      <c r="AS393" t="str">
        <f t="shared" si="259"/>
        <v>{5000,7,1,1701,113}</v>
      </c>
      <c r="AT393" t="str">
        <f t="shared" si="260"/>
        <v>{5000,7,1,1702,111}</v>
      </c>
      <c r="AU393" t="str">
        <f t="shared" si="261"/>
        <v/>
      </c>
      <c r="AV393">
        <v>2722</v>
      </c>
      <c r="AW393" t="str">
        <f t="shared" si="263"/>
        <v>[{5000,7,1,1701,101},{5000,7,1,1701,102},{5000,7,1,1702,103},{5000,7,1,1701,113},{5000,7,1,1702,111}]</v>
      </c>
    </row>
    <row r="394" spans="2:49">
      <c r="B394">
        <v>2723</v>
      </c>
      <c r="C394" t="s">
        <v>41</v>
      </c>
      <c r="D394" t="str">
        <f t="shared" si="264"/>
        <v>18</v>
      </c>
      <c r="F394">
        <v>166</v>
      </c>
      <c r="G394">
        <v>5000</v>
      </c>
      <c r="H394">
        <f t="shared" si="233"/>
        <v>9</v>
      </c>
      <c r="I394">
        <v>1</v>
      </c>
      <c r="J394">
        <v>1</v>
      </c>
      <c r="K394">
        <f t="shared" si="248"/>
        <v>1701</v>
      </c>
      <c r="L394">
        <f t="shared" si="234"/>
        <v>101</v>
      </c>
      <c r="M394">
        <v>5000</v>
      </c>
      <c r="N394">
        <f t="shared" si="232"/>
        <v>9</v>
      </c>
      <c r="O394">
        <v>1</v>
      </c>
      <c r="P394">
        <f t="shared" si="249"/>
        <v>1701</v>
      </c>
      <c r="Q394">
        <v>59</v>
      </c>
      <c r="R394">
        <f t="shared" si="235"/>
        <v>103</v>
      </c>
      <c r="S394">
        <v>5000</v>
      </c>
      <c r="T394">
        <f t="shared" si="253"/>
        <v>9</v>
      </c>
      <c r="U394">
        <v>1</v>
      </c>
      <c r="V394">
        <f t="shared" si="250"/>
        <v>1702</v>
      </c>
      <c r="W394">
        <v>79</v>
      </c>
      <c r="X394">
        <f t="shared" si="236"/>
        <v>111</v>
      </c>
      <c r="Y394">
        <v>5000</v>
      </c>
      <c r="Z394">
        <f t="shared" si="254"/>
        <v>9</v>
      </c>
      <c r="AA394">
        <v>1</v>
      </c>
      <c r="AB394">
        <f t="shared" si="251"/>
        <v>1701</v>
      </c>
      <c r="AC394">
        <v>71</v>
      </c>
      <c r="AD394">
        <f t="shared" si="237"/>
        <v>112</v>
      </c>
      <c r="AE394">
        <v>5000</v>
      </c>
      <c r="AF394">
        <f t="shared" si="255"/>
        <v>9</v>
      </c>
      <c r="AG394">
        <v>1</v>
      </c>
      <c r="AH394">
        <f t="shared" si="252"/>
        <v>1702</v>
      </c>
      <c r="AI394">
        <v>74</v>
      </c>
      <c r="AJ394">
        <f t="shared" si="238"/>
        <v>113</v>
      </c>
      <c r="AP394" t="str">
        <f t="shared" si="256"/>
        <v>{5000,9,1,1701,101}</v>
      </c>
      <c r="AQ394" t="str">
        <f t="shared" si="257"/>
        <v>{5000,9,1,1701,103}</v>
      </c>
      <c r="AR394" t="str">
        <f t="shared" si="258"/>
        <v>{5000,9,1,1702,111}</v>
      </c>
      <c r="AS394" t="str">
        <f t="shared" si="259"/>
        <v>{5000,9,1,1701,112}</v>
      </c>
      <c r="AT394" t="str">
        <f t="shared" si="260"/>
        <v>{5000,9,1,1702,113}</v>
      </c>
      <c r="AU394" t="str">
        <f t="shared" si="261"/>
        <v/>
      </c>
      <c r="AV394">
        <v>2723</v>
      </c>
      <c r="AW394" t="str">
        <f t="shared" si="263"/>
        <v>[{5000,9,1,1701,101},{5000,9,1,1701,103},{5000,9,1,1702,111},{5000,9,1,1701,112},{5000,9,1,1702,113}]</v>
      </c>
    </row>
    <row r="395" spans="2:49">
      <c r="B395">
        <v>2724</v>
      </c>
      <c r="C395" t="s">
        <v>41</v>
      </c>
      <c r="D395" t="str">
        <f t="shared" si="264"/>
        <v>18</v>
      </c>
      <c r="F395">
        <v>181</v>
      </c>
      <c r="G395">
        <v>5000</v>
      </c>
      <c r="H395">
        <f t="shared" si="233"/>
        <v>9</v>
      </c>
      <c r="I395">
        <v>1</v>
      </c>
      <c r="J395">
        <v>3</v>
      </c>
      <c r="K395">
        <f t="shared" si="248"/>
        <v>1703</v>
      </c>
      <c r="L395">
        <f t="shared" si="234"/>
        <v>101</v>
      </c>
      <c r="M395">
        <v>5000</v>
      </c>
      <c r="N395">
        <f t="shared" si="232"/>
        <v>9</v>
      </c>
      <c r="O395">
        <v>1</v>
      </c>
      <c r="P395">
        <f t="shared" si="249"/>
        <v>1703</v>
      </c>
      <c r="Q395">
        <v>53</v>
      </c>
      <c r="R395">
        <f t="shared" si="235"/>
        <v>102</v>
      </c>
      <c r="S395">
        <v>5000</v>
      </c>
      <c r="T395">
        <f t="shared" si="253"/>
        <v>9</v>
      </c>
      <c r="U395">
        <v>1</v>
      </c>
      <c r="V395">
        <f t="shared" si="250"/>
        <v>1703</v>
      </c>
      <c r="W395">
        <v>56</v>
      </c>
      <c r="X395">
        <f t="shared" si="236"/>
        <v>103</v>
      </c>
      <c r="Y395">
        <v>5000</v>
      </c>
      <c r="Z395">
        <f t="shared" si="254"/>
        <v>9</v>
      </c>
      <c r="AA395">
        <v>1</v>
      </c>
      <c r="AB395">
        <f t="shared" si="251"/>
        <v>1703</v>
      </c>
      <c r="AC395">
        <v>75</v>
      </c>
      <c r="AD395">
        <f t="shared" si="237"/>
        <v>113</v>
      </c>
      <c r="AE395">
        <v>5000</v>
      </c>
      <c r="AF395">
        <f t="shared" si="255"/>
        <v>9</v>
      </c>
      <c r="AG395">
        <v>1</v>
      </c>
      <c r="AH395">
        <f t="shared" si="252"/>
        <v>1703</v>
      </c>
      <c r="AI395">
        <v>78</v>
      </c>
      <c r="AJ395">
        <f t="shared" si="238"/>
        <v>111</v>
      </c>
      <c r="AP395" t="str">
        <f t="shared" si="256"/>
        <v>{5000,9,1,1703,101}</v>
      </c>
      <c r="AQ395" t="str">
        <f t="shared" si="257"/>
        <v>{5000,9,1,1703,102}</v>
      </c>
      <c r="AR395" t="str">
        <f t="shared" si="258"/>
        <v>{5000,9,1,1703,103}</v>
      </c>
      <c r="AS395" t="str">
        <f t="shared" si="259"/>
        <v>{5000,9,1,1703,113}</v>
      </c>
      <c r="AT395" t="str">
        <f t="shared" si="260"/>
        <v>{5000,9,1,1703,111}</v>
      </c>
      <c r="AU395" t="str">
        <f t="shared" si="261"/>
        <v/>
      </c>
      <c r="AV395">
        <v>2724</v>
      </c>
      <c r="AW395" t="str">
        <f t="shared" si="263"/>
        <v>[{5000,9,1,1703,101},{5000,9,1,1703,102},{5000,9,1,1703,103},{5000,9,1,1703,113},{5000,9,1,1703,111}]</v>
      </c>
    </row>
    <row r="396" spans="2:49">
      <c r="B396">
        <v>2725</v>
      </c>
      <c r="C396" t="s">
        <v>41</v>
      </c>
      <c r="D396" t="str">
        <f t="shared" si="264"/>
        <v>18</v>
      </c>
      <c r="F396">
        <v>196</v>
      </c>
      <c r="G396">
        <v>5000</v>
      </c>
      <c r="H396">
        <f t="shared" si="233"/>
        <v>9</v>
      </c>
      <c r="I396">
        <v>1</v>
      </c>
      <c r="J396">
        <v>2</v>
      </c>
      <c r="K396">
        <f t="shared" si="248"/>
        <v>1702</v>
      </c>
      <c r="L396">
        <f t="shared" si="234"/>
        <v>101</v>
      </c>
      <c r="M396">
        <v>5000</v>
      </c>
      <c r="N396">
        <f t="shared" si="232"/>
        <v>9</v>
      </c>
      <c r="O396">
        <v>1</v>
      </c>
      <c r="P396">
        <f t="shared" si="249"/>
        <v>1701</v>
      </c>
      <c r="Q396">
        <v>54</v>
      </c>
      <c r="R396">
        <f t="shared" si="235"/>
        <v>103</v>
      </c>
      <c r="S396">
        <v>5000</v>
      </c>
      <c r="T396">
        <f t="shared" si="253"/>
        <v>9</v>
      </c>
      <c r="U396">
        <v>1</v>
      </c>
      <c r="V396">
        <f t="shared" si="250"/>
        <v>1702</v>
      </c>
      <c r="W396">
        <v>77</v>
      </c>
      <c r="X396">
        <f t="shared" si="236"/>
        <v>111</v>
      </c>
      <c r="Y396">
        <v>5000</v>
      </c>
      <c r="Z396">
        <f t="shared" si="254"/>
        <v>9</v>
      </c>
      <c r="AA396">
        <v>1</v>
      </c>
      <c r="AB396">
        <f t="shared" si="251"/>
        <v>1701</v>
      </c>
      <c r="AC396">
        <v>72</v>
      </c>
      <c r="AD396">
        <f t="shared" si="237"/>
        <v>112</v>
      </c>
      <c r="AE396">
        <v>5000</v>
      </c>
      <c r="AF396">
        <f t="shared" si="255"/>
        <v>9</v>
      </c>
      <c r="AG396">
        <v>1</v>
      </c>
      <c r="AH396">
        <f t="shared" si="252"/>
        <v>1702</v>
      </c>
      <c r="AI396">
        <v>74</v>
      </c>
      <c r="AJ396">
        <f t="shared" si="238"/>
        <v>113</v>
      </c>
      <c r="AP396" t="str">
        <f t="shared" si="256"/>
        <v>{5000,9,1,1702,101}</v>
      </c>
      <c r="AQ396" t="str">
        <f t="shared" si="257"/>
        <v>{5000,9,1,1701,103}</v>
      </c>
      <c r="AR396" t="str">
        <f t="shared" si="258"/>
        <v>{5000,9,1,1702,111}</v>
      </c>
      <c r="AS396" t="str">
        <f t="shared" si="259"/>
        <v>{5000,9,1,1701,112}</v>
      </c>
      <c r="AT396" t="str">
        <f t="shared" si="260"/>
        <v>{5000,9,1,1702,113}</v>
      </c>
      <c r="AU396" t="str">
        <f t="shared" si="261"/>
        <v/>
      </c>
      <c r="AV396">
        <v>2725</v>
      </c>
      <c r="AW396" t="str">
        <f t="shared" si="263"/>
        <v>[{5000,9,1,1702,101},{5000,9,1,1701,103},{5000,9,1,1702,111},{5000,9,1,1701,112},{5000,9,1,1702,113}]</v>
      </c>
    </row>
    <row r="397" spans="2:48">
      <c r="B397">
        <v>2726</v>
      </c>
      <c r="C397" t="s">
        <v>41</v>
      </c>
      <c r="D397" t="str">
        <f t="shared" si="264"/>
        <v>18</v>
      </c>
      <c r="F397">
        <v>209</v>
      </c>
      <c r="H397">
        <f t="shared" si="233"/>
        <v>0</v>
      </c>
      <c r="K397" t="str">
        <f t="shared" si="248"/>
        <v/>
      </c>
      <c r="L397" t="str">
        <f t="shared" si="234"/>
        <v/>
      </c>
      <c r="N397">
        <f t="shared" si="232"/>
        <v>0</v>
      </c>
      <c r="P397" t="str">
        <f t="shared" si="249"/>
        <v/>
      </c>
      <c r="R397" t="str">
        <f t="shared" si="235"/>
        <v/>
      </c>
      <c r="T397">
        <f t="shared" si="253"/>
        <v>0</v>
      </c>
      <c r="V397" t="str">
        <f t="shared" si="250"/>
        <v/>
      </c>
      <c r="X397" t="str">
        <f t="shared" si="236"/>
        <v/>
      </c>
      <c r="Z397">
        <f t="shared" si="254"/>
        <v>0</v>
      </c>
      <c r="AB397" t="str">
        <f t="shared" si="251"/>
        <v/>
      </c>
      <c r="AD397" t="str">
        <f t="shared" si="237"/>
        <v/>
      </c>
      <c r="AF397">
        <f t="shared" si="255"/>
        <v>0</v>
      </c>
      <c r="AH397" t="str">
        <f t="shared" si="252"/>
        <v/>
      </c>
      <c r="AJ397" t="str">
        <f t="shared" si="238"/>
        <v/>
      </c>
      <c r="AP397" t="str">
        <f t="shared" si="256"/>
        <v/>
      </c>
      <c r="AQ397" t="str">
        <f t="shared" si="257"/>
        <v/>
      </c>
      <c r="AR397" t="str">
        <f t="shared" si="258"/>
        <v/>
      </c>
      <c r="AS397" t="str">
        <f t="shared" si="259"/>
        <v/>
      </c>
      <c r="AT397" t="str">
        <f t="shared" si="260"/>
        <v/>
      </c>
      <c r="AU397" t="str">
        <f t="shared" si="261"/>
        <v/>
      </c>
      <c r="AV397">
        <v>2726</v>
      </c>
    </row>
    <row r="398" spans="2:49">
      <c r="B398">
        <v>2727</v>
      </c>
      <c r="C398" t="s">
        <v>41</v>
      </c>
      <c r="D398" t="str">
        <f t="shared" si="264"/>
        <v>18</v>
      </c>
      <c r="F398">
        <v>211</v>
      </c>
      <c r="G398">
        <v>5000</v>
      </c>
      <c r="H398">
        <f t="shared" si="233"/>
        <v>8</v>
      </c>
      <c r="I398">
        <v>1</v>
      </c>
      <c r="J398">
        <v>2</v>
      </c>
      <c r="K398">
        <f t="shared" si="248"/>
        <v>1702</v>
      </c>
      <c r="L398">
        <f t="shared" si="234"/>
        <v>101</v>
      </c>
      <c r="M398">
        <v>5000</v>
      </c>
      <c r="N398">
        <f t="shared" si="232"/>
        <v>8</v>
      </c>
      <c r="O398">
        <v>1</v>
      </c>
      <c r="P398">
        <f t="shared" si="249"/>
        <v>1701</v>
      </c>
      <c r="Q398">
        <v>51</v>
      </c>
      <c r="R398">
        <f t="shared" si="235"/>
        <v>102</v>
      </c>
      <c r="S398">
        <v>5000</v>
      </c>
      <c r="T398">
        <f t="shared" si="253"/>
        <v>8</v>
      </c>
      <c r="U398">
        <v>1</v>
      </c>
      <c r="V398">
        <f t="shared" si="250"/>
        <v>1702</v>
      </c>
      <c r="W398">
        <v>57</v>
      </c>
      <c r="X398">
        <f t="shared" si="236"/>
        <v>103</v>
      </c>
      <c r="Y398">
        <v>5000</v>
      </c>
      <c r="Z398">
        <f t="shared" si="254"/>
        <v>8</v>
      </c>
      <c r="AA398">
        <v>1</v>
      </c>
      <c r="AB398">
        <f t="shared" si="251"/>
        <v>1701</v>
      </c>
      <c r="AC398">
        <v>79</v>
      </c>
      <c r="AD398">
        <f t="shared" si="237"/>
        <v>113</v>
      </c>
      <c r="AE398">
        <v>5000</v>
      </c>
      <c r="AF398">
        <f t="shared" si="255"/>
        <v>8</v>
      </c>
      <c r="AG398">
        <v>1</v>
      </c>
      <c r="AH398">
        <f t="shared" si="252"/>
        <v>1702</v>
      </c>
      <c r="AI398">
        <v>72</v>
      </c>
      <c r="AJ398">
        <f t="shared" si="238"/>
        <v>111</v>
      </c>
      <c r="AK398">
        <v>1000</v>
      </c>
      <c r="AL398">
        <v>1</v>
      </c>
      <c r="AM398">
        <v>0</v>
      </c>
      <c r="AN398">
        <f t="shared" ref="AN398" si="265">AN375+100</f>
        <v>1731</v>
      </c>
      <c r="AO398">
        <v>4</v>
      </c>
      <c r="AP398" t="str">
        <f t="shared" si="256"/>
        <v>{5000,8,1,1702,101}</v>
      </c>
      <c r="AQ398" t="str">
        <f t="shared" si="257"/>
        <v>{5000,8,1,1701,102}</v>
      </c>
      <c r="AR398" t="str">
        <f t="shared" si="258"/>
        <v>{5000,8,1,1702,103}</v>
      </c>
      <c r="AS398" t="str">
        <f t="shared" si="259"/>
        <v>{5000,8,1,1701,113}</v>
      </c>
      <c r="AT398" t="str">
        <f t="shared" si="260"/>
        <v>{5000,8,1,1702,111}</v>
      </c>
      <c r="AU398" t="str">
        <f t="shared" si="261"/>
        <v>{1000,1,0,1731,4}</v>
      </c>
      <c r="AV398">
        <v>2727</v>
      </c>
      <c r="AW398" t="str">
        <f t="shared" ref="AW398:AW412" si="266">IF(AU398="","["&amp;_xlfn.TEXTJOIN(",",1,AP398:AT398)&amp;"]","["&amp;_xlfn.TEXTJOIN(",",1,AP398:AU398)&amp;"]")</f>
        <v>[{5000,8,1,1702,101},{5000,8,1,1701,102},{5000,8,1,1702,103},{5000,8,1,1701,113},{5000,8,1,1702,111},{1000,1,0,1731,4}]</v>
      </c>
    </row>
    <row r="399" spans="2:49">
      <c r="B399">
        <v>2728</v>
      </c>
      <c r="C399" t="s">
        <v>41</v>
      </c>
      <c r="D399" t="str">
        <f t="shared" si="264"/>
        <v>18</v>
      </c>
      <c r="F399">
        <v>226</v>
      </c>
      <c r="G399">
        <v>5000</v>
      </c>
      <c r="H399">
        <f t="shared" si="233"/>
        <v>8</v>
      </c>
      <c r="I399">
        <v>1</v>
      </c>
      <c r="J399">
        <v>2</v>
      </c>
      <c r="K399">
        <f t="shared" si="248"/>
        <v>1702</v>
      </c>
      <c r="L399">
        <f t="shared" si="234"/>
        <v>101</v>
      </c>
      <c r="M399">
        <v>5000</v>
      </c>
      <c r="N399">
        <f t="shared" si="232"/>
        <v>8</v>
      </c>
      <c r="O399">
        <v>1</v>
      </c>
      <c r="P399">
        <f t="shared" si="249"/>
        <v>1701</v>
      </c>
      <c r="Q399">
        <v>51</v>
      </c>
      <c r="R399">
        <f t="shared" si="235"/>
        <v>103</v>
      </c>
      <c r="S399">
        <v>5000</v>
      </c>
      <c r="T399">
        <f t="shared" si="253"/>
        <v>8</v>
      </c>
      <c r="U399">
        <v>1</v>
      </c>
      <c r="V399">
        <f t="shared" si="250"/>
        <v>1702</v>
      </c>
      <c r="W399">
        <v>75</v>
      </c>
      <c r="X399">
        <f t="shared" si="236"/>
        <v>111</v>
      </c>
      <c r="Y399">
        <v>5000</v>
      </c>
      <c r="Z399">
        <f t="shared" si="254"/>
        <v>8</v>
      </c>
      <c r="AA399">
        <v>1</v>
      </c>
      <c r="AB399">
        <f t="shared" si="251"/>
        <v>1701</v>
      </c>
      <c r="AC399">
        <v>71</v>
      </c>
      <c r="AD399">
        <f t="shared" si="237"/>
        <v>112</v>
      </c>
      <c r="AE399">
        <v>5000</v>
      </c>
      <c r="AF399">
        <f t="shared" si="255"/>
        <v>8</v>
      </c>
      <c r="AG399">
        <v>1</v>
      </c>
      <c r="AH399">
        <f t="shared" si="252"/>
        <v>1702</v>
      </c>
      <c r="AI399">
        <v>77</v>
      </c>
      <c r="AJ399">
        <f t="shared" si="238"/>
        <v>113</v>
      </c>
      <c r="AP399" t="str">
        <f t="shared" si="256"/>
        <v>{5000,8,1,1702,101}</v>
      </c>
      <c r="AQ399" t="str">
        <f t="shared" si="257"/>
        <v>{5000,8,1,1701,103}</v>
      </c>
      <c r="AR399" t="str">
        <f t="shared" si="258"/>
        <v>{5000,8,1,1702,111}</v>
      </c>
      <c r="AS399" t="str">
        <f t="shared" si="259"/>
        <v>{5000,8,1,1701,112}</v>
      </c>
      <c r="AT399" t="str">
        <f t="shared" si="260"/>
        <v>{5000,8,1,1702,113}</v>
      </c>
      <c r="AU399" t="str">
        <f t="shared" si="261"/>
        <v/>
      </c>
      <c r="AV399">
        <v>2728</v>
      </c>
      <c r="AW399" t="str">
        <f t="shared" si="266"/>
        <v>[{5000,8,1,1702,101},{5000,8,1,1701,103},{5000,8,1,1702,111},{5000,8,1,1701,112},{5000,8,1,1702,113}]</v>
      </c>
    </row>
    <row r="400" spans="2:49">
      <c r="B400">
        <v>2729</v>
      </c>
      <c r="C400" t="s">
        <v>41</v>
      </c>
      <c r="D400" t="str">
        <f t="shared" si="264"/>
        <v>18</v>
      </c>
      <c r="F400">
        <v>241</v>
      </c>
      <c r="G400">
        <v>5000</v>
      </c>
      <c r="H400">
        <f t="shared" si="233"/>
        <v>10</v>
      </c>
      <c r="I400">
        <v>1</v>
      </c>
      <c r="J400">
        <v>3</v>
      </c>
      <c r="K400">
        <f t="shared" si="248"/>
        <v>1703</v>
      </c>
      <c r="L400">
        <f t="shared" si="234"/>
        <v>101</v>
      </c>
      <c r="M400">
        <v>5000</v>
      </c>
      <c r="N400">
        <f t="shared" si="232"/>
        <v>10</v>
      </c>
      <c r="O400">
        <v>1</v>
      </c>
      <c r="P400">
        <f t="shared" si="249"/>
        <v>1703</v>
      </c>
      <c r="Q400">
        <v>53</v>
      </c>
      <c r="R400">
        <f t="shared" si="235"/>
        <v>102</v>
      </c>
      <c r="S400">
        <v>5000</v>
      </c>
      <c r="T400">
        <f t="shared" si="253"/>
        <v>10</v>
      </c>
      <c r="U400">
        <v>1</v>
      </c>
      <c r="V400">
        <f t="shared" si="250"/>
        <v>1703</v>
      </c>
      <c r="W400">
        <v>56</v>
      </c>
      <c r="X400">
        <f t="shared" si="236"/>
        <v>103</v>
      </c>
      <c r="Y400">
        <v>5000</v>
      </c>
      <c r="Z400">
        <f t="shared" si="254"/>
        <v>10</v>
      </c>
      <c r="AA400">
        <v>1</v>
      </c>
      <c r="AB400">
        <f t="shared" si="251"/>
        <v>1703</v>
      </c>
      <c r="AC400">
        <v>74</v>
      </c>
      <c r="AD400">
        <f t="shared" si="237"/>
        <v>113</v>
      </c>
      <c r="AE400">
        <v>5000</v>
      </c>
      <c r="AF400">
        <f t="shared" si="255"/>
        <v>10</v>
      </c>
      <c r="AG400">
        <v>1</v>
      </c>
      <c r="AH400">
        <f t="shared" si="252"/>
        <v>1703</v>
      </c>
      <c r="AI400">
        <v>78</v>
      </c>
      <c r="AJ400">
        <f t="shared" si="238"/>
        <v>111</v>
      </c>
      <c r="AP400" t="str">
        <f t="shared" si="256"/>
        <v>{5000,10,1,1703,101}</v>
      </c>
      <c r="AQ400" t="str">
        <f t="shared" si="257"/>
        <v>{5000,10,1,1703,102}</v>
      </c>
      <c r="AR400" t="str">
        <f t="shared" si="258"/>
        <v>{5000,10,1,1703,103}</v>
      </c>
      <c r="AS400" t="str">
        <f t="shared" si="259"/>
        <v>{5000,10,1,1703,113}</v>
      </c>
      <c r="AT400" t="str">
        <f t="shared" si="260"/>
        <v>{5000,10,1,1703,111}</v>
      </c>
      <c r="AU400" t="str">
        <f t="shared" si="261"/>
        <v/>
      </c>
      <c r="AV400">
        <v>2729</v>
      </c>
      <c r="AW400" t="str">
        <f t="shared" si="266"/>
        <v>[{5000,10,1,1703,101},{5000,10,1,1703,102},{5000,10,1,1703,103},{5000,10,1,1703,113},{5000,10,1,1703,111}]</v>
      </c>
    </row>
    <row r="401" spans="2:49">
      <c r="B401">
        <v>2730</v>
      </c>
      <c r="C401" t="s">
        <v>41</v>
      </c>
      <c r="D401" t="str">
        <f t="shared" si="264"/>
        <v>18</v>
      </c>
      <c r="F401">
        <v>256</v>
      </c>
      <c r="G401">
        <v>5000</v>
      </c>
      <c r="H401">
        <f t="shared" si="233"/>
        <v>9</v>
      </c>
      <c r="I401">
        <v>1</v>
      </c>
      <c r="J401">
        <v>2</v>
      </c>
      <c r="K401">
        <f t="shared" si="248"/>
        <v>1702</v>
      </c>
      <c r="L401">
        <f t="shared" si="234"/>
        <v>101</v>
      </c>
      <c r="M401">
        <v>5000</v>
      </c>
      <c r="N401">
        <f t="shared" si="232"/>
        <v>9</v>
      </c>
      <c r="O401">
        <v>1</v>
      </c>
      <c r="P401">
        <f t="shared" si="249"/>
        <v>1702</v>
      </c>
      <c r="Q401">
        <v>59</v>
      </c>
      <c r="R401">
        <f t="shared" si="235"/>
        <v>103</v>
      </c>
      <c r="S401">
        <v>5000</v>
      </c>
      <c r="T401">
        <f t="shared" si="253"/>
        <v>9</v>
      </c>
      <c r="U401">
        <v>1</v>
      </c>
      <c r="V401">
        <f t="shared" si="250"/>
        <v>1702</v>
      </c>
      <c r="W401">
        <v>79</v>
      </c>
      <c r="X401">
        <f t="shared" si="236"/>
        <v>111</v>
      </c>
      <c r="Y401">
        <v>5000</v>
      </c>
      <c r="Z401">
        <f t="shared" si="254"/>
        <v>9</v>
      </c>
      <c r="AA401">
        <v>1</v>
      </c>
      <c r="AB401">
        <f t="shared" si="251"/>
        <v>1701</v>
      </c>
      <c r="AC401">
        <v>72</v>
      </c>
      <c r="AD401">
        <f t="shared" si="237"/>
        <v>112</v>
      </c>
      <c r="AE401">
        <v>5000</v>
      </c>
      <c r="AF401">
        <f t="shared" si="255"/>
        <v>9</v>
      </c>
      <c r="AG401">
        <v>1</v>
      </c>
      <c r="AH401">
        <f t="shared" si="252"/>
        <v>1702</v>
      </c>
      <c r="AI401">
        <v>74</v>
      </c>
      <c r="AJ401">
        <f t="shared" si="238"/>
        <v>113</v>
      </c>
      <c r="AP401" t="str">
        <f t="shared" si="256"/>
        <v>{5000,9,1,1702,101}</v>
      </c>
      <c r="AQ401" t="str">
        <f t="shared" si="257"/>
        <v>{5000,9,1,1702,103}</v>
      </c>
      <c r="AR401" t="str">
        <f t="shared" si="258"/>
        <v>{5000,9,1,1702,111}</v>
      </c>
      <c r="AS401" t="str">
        <f t="shared" si="259"/>
        <v>{5000,9,1,1701,112}</v>
      </c>
      <c r="AT401" t="str">
        <f t="shared" si="260"/>
        <v>{5000,9,1,1702,113}</v>
      </c>
      <c r="AU401" t="str">
        <f t="shared" si="261"/>
        <v/>
      </c>
      <c r="AV401">
        <v>2730</v>
      </c>
      <c r="AW401" t="str">
        <f t="shared" si="266"/>
        <v>[{5000,9,1,1702,101},{5000,9,1,1702,103},{5000,9,1,1702,111},{5000,9,1,1701,112},{5000,9,1,1702,113}]</v>
      </c>
    </row>
    <row r="402" spans="2:49">
      <c r="B402">
        <v>2731</v>
      </c>
      <c r="C402" t="s">
        <v>41</v>
      </c>
      <c r="D402" t="str">
        <f t="shared" si="264"/>
        <v>18</v>
      </c>
      <c r="F402">
        <v>271</v>
      </c>
      <c r="G402">
        <v>5000</v>
      </c>
      <c r="H402">
        <f t="shared" si="233"/>
        <v>10</v>
      </c>
      <c r="I402">
        <v>1</v>
      </c>
      <c r="J402">
        <v>2</v>
      </c>
      <c r="K402">
        <f t="shared" si="248"/>
        <v>1702</v>
      </c>
      <c r="L402">
        <f t="shared" si="234"/>
        <v>101</v>
      </c>
      <c r="M402">
        <v>5000</v>
      </c>
      <c r="N402">
        <f t="shared" si="232"/>
        <v>10</v>
      </c>
      <c r="O402">
        <v>1</v>
      </c>
      <c r="P402">
        <f t="shared" si="249"/>
        <v>1702</v>
      </c>
      <c r="Q402">
        <v>54</v>
      </c>
      <c r="R402">
        <f t="shared" si="235"/>
        <v>102</v>
      </c>
      <c r="S402">
        <v>5000</v>
      </c>
      <c r="T402">
        <f t="shared" si="253"/>
        <v>10</v>
      </c>
      <c r="U402">
        <v>1</v>
      </c>
      <c r="V402">
        <f t="shared" si="250"/>
        <v>1702</v>
      </c>
      <c r="W402">
        <v>56</v>
      </c>
      <c r="X402">
        <f t="shared" si="236"/>
        <v>103</v>
      </c>
      <c r="Y402">
        <v>5000</v>
      </c>
      <c r="Z402">
        <f t="shared" si="254"/>
        <v>10</v>
      </c>
      <c r="AA402">
        <v>1</v>
      </c>
      <c r="AB402">
        <f t="shared" si="251"/>
        <v>1702</v>
      </c>
      <c r="AC402">
        <v>73</v>
      </c>
      <c r="AD402">
        <f t="shared" si="237"/>
        <v>113</v>
      </c>
      <c r="AE402">
        <v>5000</v>
      </c>
      <c r="AF402">
        <f t="shared" si="255"/>
        <v>10</v>
      </c>
      <c r="AG402">
        <v>1</v>
      </c>
      <c r="AH402">
        <f t="shared" si="252"/>
        <v>1702</v>
      </c>
      <c r="AI402">
        <v>75</v>
      </c>
      <c r="AJ402">
        <f t="shared" si="238"/>
        <v>111</v>
      </c>
      <c r="AP402" t="str">
        <f t="shared" si="256"/>
        <v>{5000,10,1,1702,101}</v>
      </c>
      <c r="AQ402" t="str">
        <f t="shared" si="257"/>
        <v>{5000,10,1,1702,102}</v>
      </c>
      <c r="AR402" t="str">
        <f t="shared" si="258"/>
        <v>{5000,10,1,1702,103}</v>
      </c>
      <c r="AS402" t="str">
        <f t="shared" si="259"/>
        <v>{5000,10,1,1702,113}</v>
      </c>
      <c r="AT402" t="str">
        <f t="shared" si="260"/>
        <v>{5000,10,1,1702,111}</v>
      </c>
      <c r="AU402" t="str">
        <f t="shared" si="261"/>
        <v/>
      </c>
      <c r="AV402">
        <v>2731</v>
      </c>
      <c r="AW402" t="str">
        <f t="shared" si="266"/>
        <v>[{5000,10,1,1702,101},{5000,10,1,1702,102},{5000,10,1,1702,103},{5000,10,1,1702,113},{5000,10,1,1702,111}]</v>
      </c>
    </row>
    <row r="403" spans="2:49">
      <c r="B403">
        <v>2732</v>
      </c>
      <c r="C403" t="s">
        <v>41</v>
      </c>
      <c r="D403" t="str">
        <f t="shared" si="264"/>
        <v>18</v>
      </c>
      <c r="F403">
        <v>286</v>
      </c>
      <c r="G403">
        <v>5000</v>
      </c>
      <c r="H403">
        <f t="shared" ref="H403:H450" si="267">H380</f>
        <v>10</v>
      </c>
      <c r="I403">
        <v>1</v>
      </c>
      <c r="J403">
        <v>2</v>
      </c>
      <c r="K403">
        <f t="shared" si="248"/>
        <v>1702</v>
      </c>
      <c r="L403">
        <f t="shared" si="234"/>
        <v>101</v>
      </c>
      <c r="M403">
        <v>5000</v>
      </c>
      <c r="N403">
        <f t="shared" si="232"/>
        <v>10</v>
      </c>
      <c r="O403">
        <v>1</v>
      </c>
      <c r="P403">
        <f t="shared" si="249"/>
        <v>1702</v>
      </c>
      <c r="Q403">
        <v>53</v>
      </c>
      <c r="R403">
        <f t="shared" si="235"/>
        <v>103</v>
      </c>
      <c r="S403">
        <v>5000</v>
      </c>
      <c r="T403">
        <f t="shared" si="253"/>
        <v>10</v>
      </c>
      <c r="U403">
        <v>1</v>
      </c>
      <c r="V403">
        <f t="shared" si="250"/>
        <v>1702</v>
      </c>
      <c r="W403">
        <v>59</v>
      </c>
      <c r="X403">
        <f t="shared" si="236"/>
        <v>111</v>
      </c>
      <c r="Y403">
        <v>5000</v>
      </c>
      <c r="Z403">
        <f t="shared" si="254"/>
        <v>10</v>
      </c>
      <c r="AA403">
        <v>1</v>
      </c>
      <c r="AB403">
        <f t="shared" si="251"/>
        <v>1702</v>
      </c>
      <c r="AC403">
        <v>71</v>
      </c>
      <c r="AD403">
        <f t="shared" si="237"/>
        <v>112</v>
      </c>
      <c r="AE403">
        <v>5000</v>
      </c>
      <c r="AF403">
        <f t="shared" si="255"/>
        <v>10</v>
      </c>
      <c r="AG403">
        <v>1</v>
      </c>
      <c r="AH403">
        <f t="shared" si="252"/>
        <v>1702</v>
      </c>
      <c r="AI403">
        <v>77</v>
      </c>
      <c r="AJ403">
        <f t="shared" si="238"/>
        <v>113</v>
      </c>
      <c r="AP403" t="str">
        <f t="shared" si="256"/>
        <v>{5000,10,1,1702,101}</v>
      </c>
      <c r="AQ403" t="str">
        <f t="shared" si="257"/>
        <v>{5000,10,1,1702,103}</v>
      </c>
      <c r="AR403" t="str">
        <f t="shared" si="258"/>
        <v>{5000,10,1,1702,111}</v>
      </c>
      <c r="AS403" t="str">
        <f t="shared" si="259"/>
        <v>{5000,10,1,1702,112}</v>
      </c>
      <c r="AT403" t="str">
        <f t="shared" si="260"/>
        <v>{5000,10,1,1702,113}</v>
      </c>
      <c r="AU403" t="str">
        <f t="shared" si="261"/>
        <v/>
      </c>
      <c r="AV403">
        <v>2732</v>
      </c>
      <c r="AW403" t="str">
        <f t="shared" si="266"/>
        <v>[{5000,10,1,1702,101},{5000,10,1,1702,103},{5000,10,1,1702,111},{5000,10,1,1702,112},{5000,10,1,1702,113}]</v>
      </c>
    </row>
    <row r="404" spans="2:49">
      <c r="B404">
        <v>2733</v>
      </c>
      <c r="C404" t="s">
        <v>41</v>
      </c>
      <c r="D404" t="str">
        <f t="shared" si="264"/>
        <v>18</v>
      </c>
      <c r="F404">
        <v>290</v>
      </c>
      <c r="G404">
        <v>5000</v>
      </c>
      <c r="H404">
        <f t="shared" si="267"/>
        <v>10</v>
      </c>
      <c r="I404">
        <v>1</v>
      </c>
      <c r="J404">
        <v>2</v>
      </c>
      <c r="K404">
        <f t="shared" si="248"/>
        <v>1702</v>
      </c>
      <c r="L404">
        <f t="shared" si="234"/>
        <v>101</v>
      </c>
      <c r="M404">
        <v>5000</v>
      </c>
      <c r="N404">
        <f t="shared" si="232"/>
        <v>10</v>
      </c>
      <c r="O404">
        <v>1</v>
      </c>
      <c r="P404">
        <f t="shared" si="249"/>
        <v>1702</v>
      </c>
      <c r="Q404">
        <v>56</v>
      </c>
      <c r="R404">
        <f t="shared" si="235"/>
        <v>102</v>
      </c>
      <c r="S404">
        <v>5000</v>
      </c>
      <c r="T404">
        <f t="shared" si="253"/>
        <v>10</v>
      </c>
      <c r="U404">
        <v>1</v>
      </c>
      <c r="V404">
        <f t="shared" si="250"/>
        <v>1701</v>
      </c>
      <c r="W404">
        <v>77</v>
      </c>
      <c r="X404">
        <f t="shared" si="236"/>
        <v>103</v>
      </c>
      <c r="Y404">
        <v>5000</v>
      </c>
      <c r="Z404">
        <f t="shared" si="254"/>
        <v>10</v>
      </c>
      <c r="AA404">
        <v>1</v>
      </c>
      <c r="AB404">
        <f t="shared" si="251"/>
        <v>1702</v>
      </c>
      <c r="AC404">
        <v>72</v>
      </c>
      <c r="AD404">
        <f t="shared" si="237"/>
        <v>113</v>
      </c>
      <c r="AE404">
        <v>5000</v>
      </c>
      <c r="AF404">
        <f t="shared" si="255"/>
        <v>10</v>
      </c>
      <c r="AG404">
        <v>1</v>
      </c>
      <c r="AH404">
        <f t="shared" si="252"/>
        <v>1702</v>
      </c>
      <c r="AI404">
        <v>74</v>
      </c>
      <c r="AJ404">
        <f t="shared" si="238"/>
        <v>111</v>
      </c>
      <c r="AP404" t="str">
        <f t="shared" si="256"/>
        <v>{5000,10,1,1702,101}</v>
      </c>
      <c r="AQ404" t="str">
        <f t="shared" si="257"/>
        <v>{5000,10,1,1702,102}</v>
      </c>
      <c r="AR404" t="str">
        <f t="shared" si="258"/>
        <v>{5000,10,1,1701,103}</v>
      </c>
      <c r="AS404" t="str">
        <f t="shared" si="259"/>
        <v>{5000,10,1,1702,113}</v>
      </c>
      <c r="AT404" t="str">
        <f t="shared" si="260"/>
        <v>{5000,10,1,1702,111}</v>
      </c>
      <c r="AU404" t="str">
        <f t="shared" si="261"/>
        <v/>
      </c>
      <c r="AV404">
        <v>2733</v>
      </c>
      <c r="AW404" t="str">
        <f t="shared" si="266"/>
        <v>[{5000,10,1,1702,101},{5000,10,1,1702,102},{5000,10,1,1701,103},{5000,10,1,1702,113},{5000,10,1,1702,111}]</v>
      </c>
    </row>
    <row r="405" spans="2:49">
      <c r="B405">
        <v>2811</v>
      </c>
      <c r="C405" t="s">
        <v>42</v>
      </c>
      <c r="D405" s="4" t="str">
        <f t="shared" si="264"/>
        <v>19</v>
      </c>
      <c r="E405" s="4"/>
      <c r="F405">
        <v>1</v>
      </c>
      <c r="G405">
        <v>5000</v>
      </c>
      <c r="H405">
        <f t="shared" si="267"/>
        <v>2</v>
      </c>
      <c r="I405">
        <v>1</v>
      </c>
      <c r="J405">
        <v>1</v>
      </c>
      <c r="K405">
        <f t="shared" si="248"/>
        <v>1801</v>
      </c>
      <c r="L405">
        <f t="shared" si="234"/>
        <v>101</v>
      </c>
      <c r="M405">
        <v>5000</v>
      </c>
      <c r="N405">
        <f t="shared" si="232"/>
        <v>2</v>
      </c>
      <c r="O405">
        <v>1</v>
      </c>
      <c r="P405">
        <f t="shared" si="249"/>
        <v>1801</v>
      </c>
      <c r="Q405">
        <v>55</v>
      </c>
      <c r="R405">
        <f t="shared" si="235"/>
        <v>102</v>
      </c>
      <c r="S405">
        <v>5000</v>
      </c>
      <c r="T405">
        <f t="shared" si="253"/>
        <v>2</v>
      </c>
      <c r="U405">
        <v>1</v>
      </c>
      <c r="V405">
        <f t="shared" si="250"/>
        <v>1801</v>
      </c>
      <c r="W405">
        <v>60</v>
      </c>
      <c r="X405">
        <f t="shared" si="236"/>
        <v>103</v>
      </c>
      <c r="Y405">
        <v>5000</v>
      </c>
      <c r="Z405">
        <f t="shared" si="254"/>
        <v>2</v>
      </c>
      <c r="AA405">
        <v>1</v>
      </c>
      <c r="AB405">
        <f t="shared" si="251"/>
        <v>1801</v>
      </c>
      <c r="AC405">
        <v>71</v>
      </c>
      <c r="AD405">
        <f t="shared" si="237"/>
        <v>113</v>
      </c>
      <c r="AE405">
        <v>5000</v>
      </c>
      <c r="AF405">
        <f t="shared" si="255"/>
        <v>2</v>
      </c>
      <c r="AG405">
        <v>1</v>
      </c>
      <c r="AH405">
        <f t="shared" si="252"/>
        <v>1801</v>
      </c>
      <c r="AI405">
        <v>76</v>
      </c>
      <c r="AJ405">
        <f t="shared" si="238"/>
        <v>111</v>
      </c>
      <c r="AP405" t="str">
        <f t="shared" si="256"/>
        <v>{5000,2,1,1801,101}</v>
      </c>
      <c r="AQ405" t="str">
        <f t="shared" si="257"/>
        <v>{5000,2,1,1801,102}</v>
      </c>
      <c r="AR405" t="str">
        <f t="shared" si="258"/>
        <v>{5000,2,1,1801,103}</v>
      </c>
      <c r="AS405" t="str">
        <f t="shared" si="259"/>
        <v>{5000,2,1,1801,113}</v>
      </c>
      <c r="AT405" t="str">
        <f t="shared" si="260"/>
        <v>{5000,2,1,1801,111}</v>
      </c>
      <c r="AU405" t="str">
        <f t="shared" si="261"/>
        <v/>
      </c>
      <c r="AV405">
        <v>2811</v>
      </c>
      <c r="AW405" t="str">
        <f t="shared" si="266"/>
        <v>[{5000,2,1,1801,101},{5000,2,1,1801,102},{5000,2,1,1801,103},{5000,2,1,1801,113},{5000,2,1,1801,111}]</v>
      </c>
    </row>
    <row r="406" spans="2:49">
      <c r="B406">
        <v>2812</v>
      </c>
      <c r="C406" t="s">
        <v>42</v>
      </c>
      <c r="D406" t="str">
        <f t="shared" si="264"/>
        <v>19</v>
      </c>
      <c r="F406">
        <v>16</v>
      </c>
      <c r="G406">
        <v>5000</v>
      </c>
      <c r="H406">
        <f t="shared" si="267"/>
        <v>2</v>
      </c>
      <c r="I406">
        <v>1</v>
      </c>
      <c r="J406">
        <v>1</v>
      </c>
      <c r="K406">
        <f t="shared" ref="K406:K428" si="268">IF($J406="","",K383+100)</f>
        <v>1801</v>
      </c>
      <c r="L406">
        <f t="shared" si="234"/>
        <v>101</v>
      </c>
      <c r="M406">
        <v>5000</v>
      </c>
      <c r="N406">
        <f t="shared" si="232"/>
        <v>2</v>
      </c>
      <c r="O406">
        <v>1</v>
      </c>
      <c r="P406">
        <f t="shared" ref="P406:P428" si="269">IF($J406="","",P383+100)</f>
        <v>1801</v>
      </c>
      <c r="Q406">
        <v>55</v>
      </c>
      <c r="R406">
        <f t="shared" si="235"/>
        <v>103</v>
      </c>
      <c r="S406">
        <v>5000</v>
      </c>
      <c r="T406">
        <f t="shared" si="253"/>
        <v>2</v>
      </c>
      <c r="U406">
        <v>1</v>
      </c>
      <c r="V406">
        <f t="shared" ref="V406:V428" si="270">IF($J406="","",V383+100)</f>
        <v>1801</v>
      </c>
      <c r="W406">
        <v>75</v>
      </c>
      <c r="X406">
        <f t="shared" si="236"/>
        <v>111</v>
      </c>
      <c r="Y406">
        <v>5000</v>
      </c>
      <c r="Z406">
        <f t="shared" si="254"/>
        <v>2</v>
      </c>
      <c r="AA406">
        <v>1</v>
      </c>
      <c r="AB406">
        <f t="shared" ref="AB406:AB428" si="271">IF($J406="","",AB383+100)</f>
        <v>1801</v>
      </c>
      <c r="AC406">
        <v>73</v>
      </c>
      <c r="AD406">
        <f t="shared" si="237"/>
        <v>112</v>
      </c>
      <c r="AE406">
        <v>5000</v>
      </c>
      <c r="AF406">
        <f t="shared" si="255"/>
        <v>2</v>
      </c>
      <c r="AG406">
        <v>1</v>
      </c>
      <c r="AH406">
        <f t="shared" ref="AH406:AH428" si="272">IF($J406="","",AH383+100)</f>
        <v>1801</v>
      </c>
      <c r="AI406">
        <v>78</v>
      </c>
      <c r="AJ406">
        <f t="shared" si="238"/>
        <v>113</v>
      </c>
      <c r="AP406" t="str">
        <f t="shared" si="256"/>
        <v>{5000,2,1,1801,101}</v>
      </c>
      <c r="AQ406" t="str">
        <f t="shared" si="257"/>
        <v>{5000,2,1,1801,103}</v>
      </c>
      <c r="AR406" t="str">
        <f t="shared" si="258"/>
        <v>{5000,2,1,1801,111}</v>
      </c>
      <c r="AS406" t="str">
        <f t="shared" si="259"/>
        <v>{5000,2,1,1801,112}</v>
      </c>
      <c r="AT406" t="str">
        <f t="shared" si="260"/>
        <v>{5000,2,1,1801,113}</v>
      </c>
      <c r="AU406" t="str">
        <f t="shared" si="261"/>
        <v/>
      </c>
      <c r="AV406">
        <v>2812</v>
      </c>
      <c r="AW406" t="str">
        <f t="shared" si="266"/>
        <v>[{5000,2,1,1801,101},{5000,2,1,1801,103},{5000,2,1,1801,111},{5000,2,1,1801,112},{5000,2,1,1801,113}]</v>
      </c>
    </row>
    <row r="407" spans="2:49">
      <c r="B407">
        <v>2813</v>
      </c>
      <c r="C407" t="s">
        <v>42</v>
      </c>
      <c r="D407" t="str">
        <f t="shared" si="264"/>
        <v>19</v>
      </c>
      <c r="F407">
        <v>31</v>
      </c>
      <c r="G407">
        <v>5000</v>
      </c>
      <c r="H407">
        <f t="shared" si="267"/>
        <v>4</v>
      </c>
      <c r="I407">
        <v>1</v>
      </c>
      <c r="J407">
        <v>1</v>
      </c>
      <c r="K407">
        <f t="shared" si="268"/>
        <v>1801</v>
      </c>
      <c r="L407">
        <f t="shared" si="234"/>
        <v>101</v>
      </c>
      <c r="M407">
        <v>5000</v>
      </c>
      <c r="N407">
        <f t="shared" si="232"/>
        <v>4</v>
      </c>
      <c r="O407">
        <v>1</v>
      </c>
      <c r="P407">
        <f t="shared" si="269"/>
        <v>1801</v>
      </c>
      <c r="Q407">
        <v>55</v>
      </c>
      <c r="R407">
        <f t="shared" si="235"/>
        <v>102</v>
      </c>
      <c r="S407">
        <v>5000</v>
      </c>
      <c r="T407">
        <f t="shared" si="253"/>
        <v>4</v>
      </c>
      <c r="U407">
        <v>1</v>
      </c>
      <c r="V407">
        <f t="shared" si="270"/>
        <v>1801</v>
      </c>
      <c r="W407">
        <v>58</v>
      </c>
      <c r="X407">
        <f t="shared" si="236"/>
        <v>103</v>
      </c>
      <c r="Y407">
        <v>5000</v>
      </c>
      <c r="Z407">
        <f t="shared" si="254"/>
        <v>4</v>
      </c>
      <c r="AA407">
        <v>1</v>
      </c>
      <c r="AB407">
        <f t="shared" si="271"/>
        <v>1801</v>
      </c>
      <c r="AC407">
        <v>76</v>
      </c>
      <c r="AD407">
        <f t="shared" si="237"/>
        <v>113</v>
      </c>
      <c r="AE407">
        <v>5000</v>
      </c>
      <c r="AF407">
        <f t="shared" si="255"/>
        <v>4</v>
      </c>
      <c r="AG407">
        <v>1</v>
      </c>
      <c r="AH407">
        <f t="shared" si="272"/>
        <v>1801</v>
      </c>
      <c r="AI407">
        <v>79</v>
      </c>
      <c r="AJ407">
        <f t="shared" si="238"/>
        <v>111</v>
      </c>
      <c r="AP407" t="str">
        <f t="shared" si="256"/>
        <v>{5000,4,1,1801,101}</v>
      </c>
      <c r="AQ407" t="str">
        <f t="shared" si="257"/>
        <v>{5000,4,1,1801,102}</v>
      </c>
      <c r="AR407" t="str">
        <f t="shared" si="258"/>
        <v>{5000,4,1,1801,103}</v>
      </c>
      <c r="AS407" t="str">
        <f t="shared" si="259"/>
        <v>{5000,4,1,1801,113}</v>
      </c>
      <c r="AT407" t="str">
        <f t="shared" si="260"/>
        <v>{5000,4,1,1801,111}</v>
      </c>
      <c r="AU407" t="str">
        <f t="shared" si="261"/>
        <v/>
      </c>
      <c r="AV407">
        <v>2813</v>
      </c>
      <c r="AW407" t="str">
        <f t="shared" si="266"/>
        <v>[{5000,4,1,1801,101},{5000,4,1,1801,102},{5000,4,1,1801,103},{5000,4,1,1801,113},{5000,4,1,1801,111}]</v>
      </c>
    </row>
    <row r="408" spans="2:49">
      <c r="B408">
        <v>2814</v>
      </c>
      <c r="C408" t="s">
        <v>42</v>
      </c>
      <c r="D408" t="str">
        <f t="shared" si="264"/>
        <v>19</v>
      </c>
      <c r="F408">
        <v>46</v>
      </c>
      <c r="G408">
        <v>5000</v>
      </c>
      <c r="H408">
        <f t="shared" si="267"/>
        <v>4</v>
      </c>
      <c r="I408">
        <v>1</v>
      </c>
      <c r="J408">
        <v>1</v>
      </c>
      <c r="K408">
        <f t="shared" si="268"/>
        <v>1801</v>
      </c>
      <c r="L408">
        <f t="shared" si="234"/>
        <v>101</v>
      </c>
      <c r="M408">
        <v>5000</v>
      </c>
      <c r="N408">
        <f t="shared" si="232"/>
        <v>4</v>
      </c>
      <c r="O408">
        <v>1</v>
      </c>
      <c r="P408">
        <f t="shared" si="269"/>
        <v>1801</v>
      </c>
      <c r="Q408">
        <v>55</v>
      </c>
      <c r="R408">
        <f t="shared" si="235"/>
        <v>103</v>
      </c>
      <c r="S408">
        <v>5000</v>
      </c>
      <c r="T408">
        <f t="shared" si="253"/>
        <v>4</v>
      </c>
      <c r="U408">
        <v>1</v>
      </c>
      <c r="V408">
        <f t="shared" si="270"/>
        <v>1802</v>
      </c>
      <c r="W408">
        <v>76</v>
      </c>
      <c r="X408">
        <f t="shared" si="236"/>
        <v>111</v>
      </c>
      <c r="Y408">
        <v>5000</v>
      </c>
      <c r="Z408">
        <f t="shared" si="254"/>
        <v>4</v>
      </c>
      <c r="AA408">
        <v>1</v>
      </c>
      <c r="AB408">
        <f t="shared" si="271"/>
        <v>1801</v>
      </c>
      <c r="AC408">
        <v>71</v>
      </c>
      <c r="AD408">
        <f t="shared" si="237"/>
        <v>112</v>
      </c>
      <c r="AE408">
        <v>5000</v>
      </c>
      <c r="AF408">
        <f t="shared" si="255"/>
        <v>4</v>
      </c>
      <c r="AG408">
        <v>1</v>
      </c>
      <c r="AH408">
        <f t="shared" si="272"/>
        <v>1801</v>
      </c>
      <c r="AI408">
        <v>71</v>
      </c>
      <c r="AJ408">
        <f t="shared" si="238"/>
        <v>113</v>
      </c>
      <c r="AP408" t="str">
        <f t="shared" si="256"/>
        <v>{5000,4,1,1801,101}</v>
      </c>
      <c r="AQ408" t="str">
        <f t="shared" si="257"/>
        <v>{5000,4,1,1801,103}</v>
      </c>
      <c r="AR408" t="str">
        <f t="shared" si="258"/>
        <v>{5000,4,1,1802,111}</v>
      </c>
      <c r="AS408" t="str">
        <f t="shared" si="259"/>
        <v>{5000,4,1,1801,112}</v>
      </c>
      <c r="AT408" t="str">
        <f t="shared" si="260"/>
        <v>{5000,4,1,1801,113}</v>
      </c>
      <c r="AU408" t="str">
        <f t="shared" si="261"/>
        <v/>
      </c>
      <c r="AV408">
        <v>2814</v>
      </c>
      <c r="AW408" t="str">
        <f t="shared" si="266"/>
        <v>[{5000,4,1,1801,101},{5000,4,1,1801,103},{5000,4,1,1802,111},{5000,4,1,1801,112},{5000,4,1,1801,113}]</v>
      </c>
    </row>
    <row r="409" spans="2:49">
      <c r="B409">
        <v>2815</v>
      </c>
      <c r="C409" t="s">
        <v>42</v>
      </c>
      <c r="D409" t="str">
        <f t="shared" si="264"/>
        <v>19</v>
      </c>
      <c r="F409">
        <v>61</v>
      </c>
      <c r="G409">
        <v>5000</v>
      </c>
      <c r="H409">
        <f t="shared" si="267"/>
        <v>6</v>
      </c>
      <c r="I409">
        <v>1</v>
      </c>
      <c r="J409">
        <v>3</v>
      </c>
      <c r="K409">
        <f t="shared" si="268"/>
        <v>1803</v>
      </c>
      <c r="L409">
        <f t="shared" si="234"/>
        <v>101</v>
      </c>
      <c r="M409">
        <v>5000</v>
      </c>
      <c r="N409">
        <f t="shared" si="232"/>
        <v>6</v>
      </c>
      <c r="O409">
        <v>1</v>
      </c>
      <c r="P409">
        <f t="shared" si="269"/>
        <v>1803</v>
      </c>
      <c r="Q409">
        <v>56</v>
      </c>
      <c r="R409">
        <f t="shared" si="235"/>
        <v>102</v>
      </c>
      <c r="S409">
        <v>5000</v>
      </c>
      <c r="T409">
        <f t="shared" si="253"/>
        <v>6</v>
      </c>
      <c r="U409">
        <v>1</v>
      </c>
      <c r="V409">
        <f t="shared" si="270"/>
        <v>1803</v>
      </c>
      <c r="W409">
        <v>57</v>
      </c>
      <c r="X409">
        <f t="shared" si="236"/>
        <v>103</v>
      </c>
      <c r="Y409">
        <v>5000</v>
      </c>
      <c r="Z409">
        <f t="shared" si="254"/>
        <v>6</v>
      </c>
      <c r="AA409">
        <v>1</v>
      </c>
      <c r="AB409">
        <f t="shared" si="271"/>
        <v>1803</v>
      </c>
      <c r="AC409">
        <v>72</v>
      </c>
      <c r="AD409">
        <f t="shared" si="237"/>
        <v>113</v>
      </c>
      <c r="AE409">
        <v>5000</v>
      </c>
      <c r="AF409">
        <f t="shared" si="255"/>
        <v>6</v>
      </c>
      <c r="AG409">
        <v>1</v>
      </c>
      <c r="AH409">
        <f t="shared" si="272"/>
        <v>1803</v>
      </c>
      <c r="AI409">
        <v>71</v>
      </c>
      <c r="AJ409">
        <f t="shared" si="238"/>
        <v>111</v>
      </c>
      <c r="AP409" t="str">
        <f t="shared" si="256"/>
        <v>{5000,6,1,1803,101}</v>
      </c>
      <c r="AQ409" t="str">
        <f t="shared" si="257"/>
        <v>{5000,6,1,1803,102}</v>
      </c>
      <c r="AR409" t="str">
        <f t="shared" si="258"/>
        <v>{5000,6,1,1803,103}</v>
      </c>
      <c r="AS409" t="str">
        <f t="shared" si="259"/>
        <v>{5000,6,1,1803,113}</v>
      </c>
      <c r="AT409" t="str">
        <f t="shared" si="260"/>
        <v>{5000,6,1,1803,111}</v>
      </c>
      <c r="AU409" t="str">
        <f t="shared" si="261"/>
        <v/>
      </c>
      <c r="AV409">
        <v>2815</v>
      </c>
      <c r="AW409" t="str">
        <f t="shared" si="266"/>
        <v>[{5000,6,1,1803,101},{5000,6,1,1803,102},{5000,6,1,1803,103},{5000,6,1,1803,113},{5000,6,1,1803,111}]</v>
      </c>
    </row>
    <row r="410" spans="2:49">
      <c r="B410">
        <v>2816</v>
      </c>
      <c r="C410" t="s">
        <v>42</v>
      </c>
      <c r="D410" t="str">
        <f t="shared" si="264"/>
        <v>19</v>
      </c>
      <c r="F410">
        <v>76</v>
      </c>
      <c r="G410">
        <v>5000</v>
      </c>
      <c r="H410">
        <f t="shared" si="267"/>
        <v>6</v>
      </c>
      <c r="I410">
        <v>1</v>
      </c>
      <c r="J410">
        <v>1</v>
      </c>
      <c r="K410">
        <f t="shared" si="268"/>
        <v>1801</v>
      </c>
      <c r="L410">
        <f t="shared" si="234"/>
        <v>101</v>
      </c>
      <c r="M410">
        <v>5000</v>
      </c>
      <c r="N410">
        <f t="shared" si="232"/>
        <v>6</v>
      </c>
      <c r="O410">
        <v>1</v>
      </c>
      <c r="P410">
        <f t="shared" si="269"/>
        <v>1801</v>
      </c>
      <c r="Q410">
        <v>59</v>
      </c>
      <c r="R410">
        <f t="shared" si="235"/>
        <v>103</v>
      </c>
      <c r="S410">
        <v>5000</v>
      </c>
      <c r="T410">
        <f t="shared" si="253"/>
        <v>6</v>
      </c>
      <c r="U410">
        <v>1</v>
      </c>
      <c r="V410">
        <f t="shared" si="270"/>
        <v>1802</v>
      </c>
      <c r="W410">
        <v>71</v>
      </c>
      <c r="X410">
        <f t="shared" si="236"/>
        <v>111</v>
      </c>
      <c r="Y410">
        <v>5000</v>
      </c>
      <c r="Z410">
        <f t="shared" si="254"/>
        <v>6</v>
      </c>
      <c r="AA410">
        <v>1</v>
      </c>
      <c r="AB410">
        <f t="shared" si="271"/>
        <v>1801</v>
      </c>
      <c r="AC410">
        <v>71</v>
      </c>
      <c r="AD410">
        <f t="shared" si="237"/>
        <v>112</v>
      </c>
      <c r="AE410">
        <v>5000</v>
      </c>
      <c r="AF410">
        <f t="shared" si="255"/>
        <v>6</v>
      </c>
      <c r="AG410">
        <v>1</v>
      </c>
      <c r="AH410">
        <f t="shared" si="272"/>
        <v>1801</v>
      </c>
      <c r="AI410">
        <v>79</v>
      </c>
      <c r="AJ410">
        <f t="shared" si="238"/>
        <v>113</v>
      </c>
      <c r="AP410" t="str">
        <f t="shared" si="256"/>
        <v>{5000,6,1,1801,101}</v>
      </c>
      <c r="AQ410" t="str">
        <f t="shared" si="257"/>
        <v>{5000,6,1,1801,103}</v>
      </c>
      <c r="AR410" t="str">
        <f t="shared" si="258"/>
        <v>{5000,6,1,1802,111}</v>
      </c>
      <c r="AS410" t="str">
        <f t="shared" si="259"/>
        <v>{5000,6,1,1801,112}</v>
      </c>
      <c r="AT410" t="str">
        <f t="shared" si="260"/>
        <v>{5000,6,1,1801,113}</v>
      </c>
      <c r="AU410" t="str">
        <f t="shared" si="261"/>
        <v/>
      </c>
      <c r="AV410">
        <v>2816</v>
      </c>
      <c r="AW410" t="str">
        <f t="shared" si="266"/>
        <v>[{5000,6,1,1801,101},{5000,6,1,1801,103},{5000,6,1,1802,111},{5000,6,1,1801,112},{5000,6,1,1801,113}]</v>
      </c>
    </row>
    <row r="411" spans="2:49">
      <c r="B411">
        <v>2817</v>
      </c>
      <c r="C411" t="s">
        <v>42</v>
      </c>
      <c r="D411" t="str">
        <f t="shared" si="264"/>
        <v>19</v>
      </c>
      <c r="F411">
        <v>91</v>
      </c>
      <c r="G411">
        <v>5000</v>
      </c>
      <c r="H411">
        <f t="shared" si="267"/>
        <v>6</v>
      </c>
      <c r="I411">
        <v>1</v>
      </c>
      <c r="J411">
        <v>1</v>
      </c>
      <c r="K411">
        <f t="shared" si="268"/>
        <v>1801</v>
      </c>
      <c r="L411">
        <f t="shared" si="234"/>
        <v>101</v>
      </c>
      <c r="M411">
        <v>5000</v>
      </c>
      <c r="N411">
        <f t="shared" si="232"/>
        <v>6</v>
      </c>
      <c r="O411">
        <v>1</v>
      </c>
      <c r="P411">
        <f t="shared" si="269"/>
        <v>1801</v>
      </c>
      <c r="Q411">
        <v>54</v>
      </c>
      <c r="R411">
        <f t="shared" si="235"/>
        <v>102</v>
      </c>
      <c r="S411">
        <v>5000</v>
      </c>
      <c r="T411">
        <f t="shared" si="253"/>
        <v>6</v>
      </c>
      <c r="U411">
        <v>1</v>
      </c>
      <c r="V411">
        <f t="shared" si="270"/>
        <v>1802</v>
      </c>
      <c r="W411">
        <v>51</v>
      </c>
      <c r="X411">
        <f t="shared" si="236"/>
        <v>103</v>
      </c>
      <c r="Y411">
        <v>5000</v>
      </c>
      <c r="Z411">
        <f t="shared" si="254"/>
        <v>6</v>
      </c>
      <c r="AA411">
        <v>1</v>
      </c>
      <c r="AB411">
        <f t="shared" si="271"/>
        <v>1801</v>
      </c>
      <c r="AC411">
        <v>71</v>
      </c>
      <c r="AD411">
        <f t="shared" si="237"/>
        <v>113</v>
      </c>
      <c r="AE411">
        <v>5000</v>
      </c>
      <c r="AF411">
        <f t="shared" si="255"/>
        <v>6</v>
      </c>
      <c r="AG411">
        <v>1</v>
      </c>
      <c r="AH411">
        <f t="shared" si="272"/>
        <v>1802</v>
      </c>
      <c r="AI411">
        <v>77</v>
      </c>
      <c r="AJ411">
        <f t="shared" si="238"/>
        <v>111</v>
      </c>
      <c r="AP411" t="str">
        <f t="shared" si="256"/>
        <v>{5000,6,1,1801,101}</v>
      </c>
      <c r="AQ411" t="str">
        <f t="shared" si="257"/>
        <v>{5000,6,1,1801,102}</v>
      </c>
      <c r="AR411" t="str">
        <f t="shared" si="258"/>
        <v>{5000,6,1,1802,103}</v>
      </c>
      <c r="AS411" t="str">
        <f t="shared" si="259"/>
        <v>{5000,6,1,1801,113}</v>
      </c>
      <c r="AT411" t="str">
        <f t="shared" si="260"/>
        <v>{5000,6,1,1802,111}</v>
      </c>
      <c r="AU411" t="str">
        <f t="shared" si="261"/>
        <v/>
      </c>
      <c r="AV411">
        <v>2817</v>
      </c>
      <c r="AW411" t="str">
        <f t="shared" si="266"/>
        <v>[{5000,6,1,1801,101},{5000,6,1,1801,102},{5000,6,1,1802,103},{5000,6,1,1801,113},{5000,6,1,1802,111}]</v>
      </c>
    </row>
    <row r="412" spans="2:49">
      <c r="B412">
        <v>2818</v>
      </c>
      <c r="C412" t="s">
        <v>42</v>
      </c>
      <c r="D412" t="str">
        <f t="shared" si="264"/>
        <v>19</v>
      </c>
      <c r="F412">
        <v>106</v>
      </c>
      <c r="G412">
        <v>5000</v>
      </c>
      <c r="H412">
        <f t="shared" si="267"/>
        <v>6</v>
      </c>
      <c r="I412">
        <v>1</v>
      </c>
      <c r="J412">
        <v>1</v>
      </c>
      <c r="K412">
        <f t="shared" si="268"/>
        <v>1801</v>
      </c>
      <c r="L412">
        <f t="shared" si="234"/>
        <v>101</v>
      </c>
      <c r="M412">
        <v>5000</v>
      </c>
      <c r="N412">
        <f t="shared" si="232"/>
        <v>6</v>
      </c>
      <c r="O412">
        <v>1</v>
      </c>
      <c r="P412">
        <f t="shared" si="269"/>
        <v>1801</v>
      </c>
      <c r="Q412">
        <v>55</v>
      </c>
      <c r="R412">
        <f t="shared" si="235"/>
        <v>103</v>
      </c>
      <c r="S412">
        <v>5000</v>
      </c>
      <c r="T412">
        <f t="shared" si="253"/>
        <v>6</v>
      </c>
      <c r="U412">
        <v>1</v>
      </c>
      <c r="V412">
        <f t="shared" si="270"/>
        <v>1802</v>
      </c>
      <c r="W412">
        <v>73</v>
      </c>
      <c r="X412">
        <f t="shared" si="236"/>
        <v>111</v>
      </c>
      <c r="Y412">
        <v>5000</v>
      </c>
      <c r="Z412">
        <f t="shared" si="254"/>
        <v>6</v>
      </c>
      <c r="AA412">
        <v>1</v>
      </c>
      <c r="AB412">
        <f t="shared" si="271"/>
        <v>1801</v>
      </c>
      <c r="AC412">
        <v>78</v>
      </c>
      <c r="AD412">
        <f t="shared" si="237"/>
        <v>112</v>
      </c>
      <c r="AE412">
        <v>5000</v>
      </c>
      <c r="AF412">
        <f t="shared" si="255"/>
        <v>6</v>
      </c>
      <c r="AG412">
        <v>1</v>
      </c>
      <c r="AH412">
        <f t="shared" si="272"/>
        <v>1802</v>
      </c>
      <c r="AI412">
        <v>71</v>
      </c>
      <c r="AJ412">
        <f t="shared" si="238"/>
        <v>113</v>
      </c>
      <c r="AP412" t="str">
        <f t="shared" si="256"/>
        <v>{5000,6,1,1801,101}</v>
      </c>
      <c r="AQ412" t="str">
        <f t="shared" si="257"/>
        <v>{5000,6,1,1801,103}</v>
      </c>
      <c r="AR412" t="str">
        <f t="shared" si="258"/>
        <v>{5000,6,1,1802,111}</v>
      </c>
      <c r="AS412" t="str">
        <f t="shared" si="259"/>
        <v>{5000,6,1,1801,112}</v>
      </c>
      <c r="AT412" t="str">
        <f t="shared" si="260"/>
        <v>{5000,6,1,1802,113}</v>
      </c>
      <c r="AU412" t="str">
        <f t="shared" si="261"/>
        <v/>
      </c>
      <c r="AV412">
        <v>2818</v>
      </c>
      <c r="AW412" t="str">
        <f t="shared" si="266"/>
        <v>[{5000,6,1,1801,101},{5000,6,1,1801,103},{5000,6,1,1802,111},{5000,6,1,1801,112},{5000,6,1,1802,113}]</v>
      </c>
    </row>
    <row r="413" spans="2:48">
      <c r="B413">
        <v>2819</v>
      </c>
      <c r="C413" t="s">
        <v>42</v>
      </c>
      <c r="D413" t="str">
        <f t="shared" si="264"/>
        <v>19</v>
      </c>
      <c r="F413">
        <v>119</v>
      </c>
      <c r="H413">
        <f t="shared" si="267"/>
        <v>0</v>
      </c>
      <c r="K413" t="str">
        <f t="shared" si="268"/>
        <v/>
      </c>
      <c r="L413" t="str">
        <f t="shared" si="234"/>
        <v/>
      </c>
      <c r="N413">
        <f t="shared" si="232"/>
        <v>0</v>
      </c>
      <c r="P413" t="str">
        <f t="shared" si="269"/>
        <v/>
      </c>
      <c r="R413" t="str">
        <f t="shared" si="235"/>
        <v/>
      </c>
      <c r="T413">
        <f t="shared" si="253"/>
        <v>0</v>
      </c>
      <c r="V413" t="str">
        <f t="shared" si="270"/>
        <v/>
      </c>
      <c r="X413" t="str">
        <f t="shared" si="236"/>
        <v/>
      </c>
      <c r="Z413">
        <f t="shared" si="254"/>
        <v>0</v>
      </c>
      <c r="AB413" t="str">
        <f t="shared" si="271"/>
        <v/>
      </c>
      <c r="AD413" t="str">
        <f t="shared" si="237"/>
        <v/>
      </c>
      <c r="AF413">
        <f t="shared" si="255"/>
        <v>0</v>
      </c>
      <c r="AH413" t="str">
        <f t="shared" si="272"/>
        <v/>
      </c>
      <c r="AJ413" t="str">
        <f t="shared" si="238"/>
        <v/>
      </c>
      <c r="AP413" t="str">
        <f t="shared" si="256"/>
        <v/>
      </c>
      <c r="AQ413" t="str">
        <f t="shared" si="257"/>
        <v/>
      </c>
      <c r="AR413" t="str">
        <f t="shared" si="258"/>
        <v/>
      </c>
      <c r="AS413" t="str">
        <f t="shared" si="259"/>
        <v/>
      </c>
      <c r="AT413" t="str">
        <f t="shared" si="260"/>
        <v/>
      </c>
      <c r="AU413" t="str">
        <f t="shared" si="261"/>
        <v/>
      </c>
      <c r="AV413">
        <v>2819</v>
      </c>
    </row>
    <row r="414" spans="2:49">
      <c r="B414">
        <v>2820</v>
      </c>
      <c r="C414" t="s">
        <v>42</v>
      </c>
      <c r="D414" t="str">
        <f t="shared" si="264"/>
        <v>19</v>
      </c>
      <c r="F414">
        <v>121</v>
      </c>
      <c r="G414">
        <v>5000</v>
      </c>
      <c r="H414">
        <f t="shared" si="267"/>
        <v>8</v>
      </c>
      <c r="I414">
        <v>1</v>
      </c>
      <c r="J414">
        <v>3</v>
      </c>
      <c r="K414">
        <f t="shared" si="268"/>
        <v>1803</v>
      </c>
      <c r="L414">
        <f t="shared" si="234"/>
        <v>101</v>
      </c>
      <c r="M414">
        <v>5000</v>
      </c>
      <c r="N414">
        <f t="shared" si="232"/>
        <v>8</v>
      </c>
      <c r="O414">
        <v>1</v>
      </c>
      <c r="P414">
        <f t="shared" si="269"/>
        <v>1803</v>
      </c>
      <c r="Q414">
        <v>54</v>
      </c>
      <c r="R414">
        <f t="shared" si="235"/>
        <v>102</v>
      </c>
      <c r="S414">
        <v>5000</v>
      </c>
      <c r="T414">
        <f t="shared" si="253"/>
        <v>8</v>
      </c>
      <c r="U414">
        <v>1</v>
      </c>
      <c r="V414">
        <f t="shared" si="270"/>
        <v>1803</v>
      </c>
      <c r="W414">
        <v>51</v>
      </c>
      <c r="X414">
        <f t="shared" si="236"/>
        <v>103</v>
      </c>
      <c r="Y414">
        <v>5000</v>
      </c>
      <c r="Z414">
        <f t="shared" si="254"/>
        <v>8</v>
      </c>
      <c r="AA414">
        <v>1</v>
      </c>
      <c r="AB414">
        <f t="shared" si="271"/>
        <v>1803</v>
      </c>
      <c r="AC414">
        <v>71</v>
      </c>
      <c r="AD414">
        <f t="shared" si="237"/>
        <v>113</v>
      </c>
      <c r="AE414">
        <v>5000</v>
      </c>
      <c r="AF414">
        <f t="shared" si="255"/>
        <v>8</v>
      </c>
      <c r="AG414">
        <v>1</v>
      </c>
      <c r="AH414">
        <f t="shared" si="272"/>
        <v>1803</v>
      </c>
      <c r="AI414">
        <v>79</v>
      </c>
      <c r="AJ414">
        <f t="shared" si="238"/>
        <v>111</v>
      </c>
      <c r="AK414">
        <v>1000</v>
      </c>
      <c r="AL414">
        <v>1</v>
      </c>
      <c r="AM414">
        <v>0</v>
      </c>
      <c r="AN414">
        <f t="shared" ref="AN414" si="273">AN391+100</f>
        <v>1821</v>
      </c>
      <c r="AO414">
        <v>4</v>
      </c>
      <c r="AP414" t="str">
        <f t="shared" si="256"/>
        <v>{5000,8,1,1803,101}</v>
      </c>
      <c r="AQ414" t="str">
        <f t="shared" si="257"/>
        <v>{5000,8,1,1803,102}</v>
      </c>
      <c r="AR414" t="str">
        <f t="shared" si="258"/>
        <v>{5000,8,1,1803,103}</v>
      </c>
      <c r="AS414" t="str">
        <f t="shared" si="259"/>
        <v>{5000,8,1,1803,113}</v>
      </c>
      <c r="AT414" t="str">
        <f t="shared" si="260"/>
        <v>{5000,8,1,1803,111}</v>
      </c>
      <c r="AU414" t="str">
        <f t="shared" si="261"/>
        <v>{1000,1,0,1821,4}</v>
      </c>
      <c r="AV414">
        <v>2820</v>
      </c>
      <c r="AW414" t="str">
        <f t="shared" ref="AW414:AW419" si="274">IF(AU414="","["&amp;_xlfn.TEXTJOIN(",",1,AP414:AT414)&amp;"]","["&amp;_xlfn.TEXTJOIN(",",1,AP414:AU414)&amp;"]")</f>
        <v>[{5000,8,1,1803,101},{5000,8,1,1803,102},{5000,8,1,1803,103},{5000,8,1,1803,113},{5000,8,1,1803,111},{1000,1,0,1821,4}]</v>
      </c>
    </row>
    <row r="415" spans="2:49">
      <c r="B415">
        <v>2821</v>
      </c>
      <c r="C415" t="s">
        <v>42</v>
      </c>
      <c r="D415" t="str">
        <f t="shared" si="264"/>
        <v>19</v>
      </c>
      <c r="F415">
        <v>136</v>
      </c>
      <c r="G415">
        <v>5000</v>
      </c>
      <c r="H415">
        <f t="shared" si="267"/>
        <v>7</v>
      </c>
      <c r="I415">
        <v>1</v>
      </c>
      <c r="J415">
        <v>1</v>
      </c>
      <c r="K415">
        <f t="shared" si="268"/>
        <v>1801</v>
      </c>
      <c r="L415">
        <f t="shared" si="234"/>
        <v>101</v>
      </c>
      <c r="M415">
        <v>5000</v>
      </c>
      <c r="N415">
        <f t="shared" si="232"/>
        <v>7</v>
      </c>
      <c r="O415">
        <v>1</v>
      </c>
      <c r="P415">
        <f t="shared" si="269"/>
        <v>1801</v>
      </c>
      <c r="Q415">
        <v>54</v>
      </c>
      <c r="R415">
        <f t="shared" si="235"/>
        <v>103</v>
      </c>
      <c r="S415">
        <v>5000</v>
      </c>
      <c r="T415">
        <f t="shared" si="253"/>
        <v>7</v>
      </c>
      <c r="U415">
        <v>1</v>
      </c>
      <c r="V415">
        <f t="shared" si="270"/>
        <v>1802</v>
      </c>
      <c r="W415">
        <v>76</v>
      </c>
      <c r="X415">
        <f t="shared" si="236"/>
        <v>111</v>
      </c>
      <c r="Y415">
        <v>5000</v>
      </c>
      <c r="Z415">
        <f t="shared" si="254"/>
        <v>7</v>
      </c>
      <c r="AA415">
        <v>1</v>
      </c>
      <c r="AB415">
        <f t="shared" si="271"/>
        <v>1801</v>
      </c>
      <c r="AC415">
        <v>72</v>
      </c>
      <c r="AD415">
        <f t="shared" si="237"/>
        <v>112</v>
      </c>
      <c r="AE415">
        <v>5000</v>
      </c>
      <c r="AF415">
        <f t="shared" si="255"/>
        <v>7</v>
      </c>
      <c r="AG415">
        <v>1</v>
      </c>
      <c r="AH415">
        <f t="shared" si="272"/>
        <v>1802</v>
      </c>
      <c r="AI415">
        <v>74</v>
      </c>
      <c r="AJ415">
        <f t="shared" si="238"/>
        <v>113</v>
      </c>
      <c r="AP415" t="str">
        <f t="shared" si="256"/>
        <v>{5000,7,1,1801,101}</v>
      </c>
      <c r="AQ415" t="str">
        <f t="shared" si="257"/>
        <v>{5000,7,1,1801,103}</v>
      </c>
      <c r="AR415" t="str">
        <f t="shared" si="258"/>
        <v>{5000,7,1,1802,111}</v>
      </c>
      <c r="AS415" t="str">
        <f t="shared" si="259"/>
        <v>{5000,7,1,1801,112}</v>
      </c>
      <c r="AT415" t="str">
        <f t="shared" si="260"/>
        <v>{5000,7,1,1802,113}</v>
      </c>
      <c r="AU415" t="str">
        <f t="shared" si="261"/>
        <v/>
      </c>
      <c r="AV415">
        <v>2821</v>
      </c>
      <c r="AW415" t="str">
        <f t="shared" si="274"/>
        <v>[{5000,7,1,1801,101},{5000,7,1,1801,103},{5000,7,1,1802,111},{5000,7,1,1801,112},{5000,7,1,1802,113}]</v>
      </c>
    </row>
    <row r="416" spans="2:49">
      <c r="B416">
        <v>2822</v>
      </c>
      <c r="C416" t="s">
        <v>42</v>
      </c>
      <c r="D416" t="str">
        <f t="shared" si="264"/>
        <v>19</v>
      </c>
      <c r="F416">
        <v>151</v>
      </c>
      <c r="G416">
        <v>5000</v>
      </c>
      <c r="H416">
        <f t="shared" si="267"/>
        <v>7</v>
      </c>
      <c r="I416">
        <v>1</v>
      </c>
      <c r="J416">
        <v>1</v>
      </c>
      <c r="K416">
        <f t="shared" si="268"/>
        <v>1801</v>
      </c>
      <c r="L416">
        <f t="shared" si="234"/>
        <v>101</v>
      </c>
      <c r="M416">
        <v>5000</v>
      </c>
      <c r="N416">
        <f t="shared" si="232"/>
        <v>7</v>
      </c>
      <c r="O416">
        <v>1</v>
      </c>
      <c r="P416">
        <f t="shared" si="269"/>
        <v>1801</v>
      </c>
      <c r="Q416">
        <v>54</v>
      </c>
      <c r="R416">
        <f t="shared" si="235"/>
        <v>102</v>
      </c>
      <c r="S416">
        <v>5000</v>
      </c>
      <c r="T416">
        <f t="shared" si="253"/>
        <v>7</v>
      </c>
      <c r="U416">
        <v>1</v>
      </c>
      <c r="V416">
        <f t="shared" si="270"/>
        <v>1802</v>
      </c>
      <c r="W416">
        <v>56</v>
      </c>
      <c r="X416">
        <f t="shared" si="236"/>
        <v>103</v>
      </c>
      <c r="Y416">
        <v>5000</v>
      </c>
      <c r="Z416">
        <f t="shared" si="254"/>
        <v>7</v>
      </c>
      <c r="AA416">
        <v>1</v>
      </c>
      <c r="AB416">
        <f t="shared" si="271"/>
        <v>1801</v>
      </c>
      <c r="AC416">
        <v>72</v>
      </c>
      <c r="AD416">
        <f t="shared" si="237"/>
        <v>113</v>
      </c>
      <c r="AE416">
        <v>5000</v>
      </c>
      <c r="AF416">
        <f t="shared" si="255"/>
        <v>7</v>
      </c>
      <c r="AG416">
        <v>1</v>
      </c>
      <c r="AH416">
        <f t="shared" si="272"/>
        <v>1802</v>
      </c>
      <c r="AI416">
        <v>74</v>
      </c>
      <c r="AJ416">
        <f t="shared" si="238"/>
        <v>111</v>
      </c>
      <c r="AP416" t="str">
        <f t="shared" si="256"/>
        <v>{5000,7,1,1801,101}</v>
      </c>
      <c r="AQ416" t="str">
        <f t="shared" si="257"/>
        <v>{5000,7,1,1801,102}</v>
      </c>
      <c r="AR416" t="str">
        <f t="shared" si="258"/>
        <v>{5000,7,1,1802,103}</v>
      </c>
      <c r="AS416" t="str">
        <f t="shared" si="259"/>
        <v>{5000,7,1,1801,113}</v>
      </c>
      <c r="AT416" t="str">
        <f t="shared" si="260"/>
        <v>{5000,7,1,1802,111}</v>
      </c>
      <c r="AU416" t="str">
        <f t="shared" si="261"/>
        <v/>
      </c>
      <c r="AV416">
        <v>2822</v>
      </c>
      <c r="AW416" t="str">
        <f t="shared" si="274"/>
        <v>[{5000,7,1,1801,101},{5000,7,1,1801,102},{5000,7,1,1802,103},{5000,7,1,1801,113},{5000,7,1,1802,111}]</v>
      </c>
    </row>
    <row r="417" spans="2:49">
      <c r="B417">
        <v>2823</v>
      </c>
      <c r="C417" t="s">
        <v>42</v>
      </c>
      <c r="D417" t="str">
        <f t="shared" si="264"/>
        <v>19</v>
      </c>
      <c r="F417">
        <v>166</v>
      </c>
      <c r="G417">
        <v>5000</v>
      </c>
      <c r="H417">
        <f t="shared" si="267"/>
        <v>9</v>
      </c>
      <c r="I417">
        <v>1</v>
      </c>
      <c r="J417">
        <v>1</v>
      </c>
      <c r="K417">
        <f t="shared" si="268"/>
        <v>1801</v>
      </c>
      <c r="L417">
        <f t="shared" si="234"/>
        <v>101</v>
      </c>
      <c r="M417">
        <v>5000</v>
      </c>
      <c r="N417">
        <f t="shared" si="232"/>
        <v>9</v>
      </c>
      <c r="O417">
        <v>1</v>
      </c>
      <c r="P417">
        <f t="shared" si="269"/>
        <v>1801</v>
      </c>
      <c r="Q417">
        <v>59</v>
      </c>
      <c r="R417">
        <f t="shared" si="235"/>
        <v>103</v>
      </c>
      <c r="S417">
        <v>5000</v>
      </c>
      <c r="T417">
        <f t="shared" si="253"/>
        <v>9</v>
      </c>
      <c r="U417">
        <v>1</v>
      </c>
      <c r="V417">
        <f t="shared" si="270"/>
        <v>1802</v>
      </c>
      <c r="W417">
        <v>79</v>
      </c>
      <c r="X417">
        <f t="shared" si="236"/>
        <v>111</v>
      </c>
      <c r="Y417">
        <v>5000</v>
      </c>
      <c r="Z417">
        <f t="shared" si="254"/>
        <v>9</v>
      </c>
      <c r="AA417">
        <v>1</v>
      </c>
      <c r="AB417">
        <f t="shared" si="271"/>
        <v>1801</v>
      </c>
      <c r="AC417">
        <v>71</v>
      </c>
      <c r="AD417">
        <f t="shared" si="237"/>
        <v>112</v>
      </c>
      <c r="AE417">
        <v>5000</v>
      </c>
      <c r="AF417">
        <f t="shared" si="255"/>
        <v>9</v>
      </c>
      <c r="AG417">
        <v>1</v>
      </c>
      <c r="AH417">
        <f t="shared" si="272"/>
        <v>1802</v>
      </c>
      <c r="AI417">
        <v>74</v>
      </c>
      <c r="AJ417">
        <f t="shared" si="238"/>
        <v>113</v>
      </c>
      <c r="AP417" t="str">
        <f t="shared" si="256"/>
        <v>{5000,9,1,1801,101}</v>
      </c>
      <c r="AQ417" t="str">
        <f t="shared" si="257"/>
        <v>{5000,9,1,1801,103}</v>
      </c>
      <c r="AR417" t="str">
        <f t="shared" si="258"/>
        <v>{5000,9,1,1802,111}</v>
      </c>
      <c r="AS417" t="str">
        <f t="shared" si="259"/>
        <v>{5000,9,1,1801,112}</v>
      </c>
      <c r="AT417" t="str">
        <f t="shared" si="260"/>
        <v>{5000,9,1,1802,113}</v>
      </c>
      <c r="AU417" t="str">
        <f t="shared" si="261"/>
        <v/>
      </c>
      <c r="AV417">
        <v>2823</v>
      </c>
      <c r="AW417" t="str">
        <f t="shared" si="274"/>
        <v>[{5000,9,1,1801,101},{5000,9,1,1801,103},{5000,9,1,1802,111},{5000,9,1,1801,112},{5000,9,1,1802,113}]</v>
      </c>
    </row>
    <row r="418" spans="2:49">
      <c r="B418">
        <v>2824</v>
      </c>
      <c r="C418" t="s">
        <v>42</v>
      </c>
      <c r="D418" t="str">
        <f t="shared" si="264"/>
        <v>19</v>
      </c>
      <c r="F418">
        <v>181</v>
      </c>
      <c r="G418">
        <v>5000</v>
      </c>
      <c r="H418">
        <f t="shared" si="267"/>
        <v>9</v>
      </c>
      <c r="I418">
        <v>1</v>
      </c>
      <c r="J418">
        <v>3</v>
      </c>
      <c r="K418">
        <f t="shared" si="268"/>
        <v>1803</v>
      </c>
      <c r="L418">
        <f t="shared" si="234"/>
        <v>101</v>
      </c>
      <c r="M418">
        <v>5000</v>
      </c>
      <c r="N418">
        <f t="shared" si="232"/>
        <v>9</v>
      </c>
      <c r="O418">
        <v>1</v>
      </c>
      <c r="P418">
        <f t="shared" si="269"/>
        <v>1803</v>
      </c>
      <c r="Q418">
        <v>53</v>
      </c>
      <c r="R418">
        <f t="shared" si="235"/>
        <v>102</v>
      </c>
      <c r="S418">
        <v>5000</v>
      </c>
      <c r="T418">
        <f t="shared" si="253"/>
        <v>9</v>
      </c>
      <c r="U418">
        <v>1</v>
      </c>
      <c r="V418">
        <f t="shared" si="270"/>
        <v>1803</v>
      </c>
      <c r="W418">
        <v>56</v>
      </c>
      <c r="X418">
        <f t="shared" si="236"/>
        <v>103</v>
      </c>
      <c r="Y418">
        <v>5000</v>
      </c>
      <c r="Z418">
        <f t="shared" si="254"/>
        <v>9</v>
      </c>
      <c r="AA418">
        <v>1</v>
      </c>
      <c r="AB418">
        <f t="shared" si="271"/>
        <v>1803</v>
      </c>
      <c r="AC418">
        <v>75</v>
      </c>
      <c r="AD418">
        <f t="shared" si="237"/>
        <v>113</v>
      </c>
      <c r="AE418">
        <v>5000</v>
      </c>
      <c r="AF418">
        <f t="shared" si="255"/>
        <v>9</v>
      </c>
      <c r="AG418">
        <v>1</v>
      </c>
      <c r="AH418">
        <f t="shared" si="272"/>
        <v>1803</v>
      </c>
      <c r="AI418">
        <v>78</v>
      </c>
      <c r="AJ418">
        <f t="shared" si="238"/>
        <v>111</v>
      </c>
      <c r="AP418" t="str">
        <f t="shared" si="256"/>
        <v>{5000,9,1,1803,101}</v>
      </c>
      <c r="AQ418" t="str">
        <f t="shared" si="257"/>
        <v>{5000,9,1,1803,102}</v>
      </c>
      <c r="AR418" t="str">
        <f t="shared" si="258"/>
        <v>{5000,9,1,1803,103}</v>
      </c>
      <c r="AS418" t="str">
        <f t="shared" si="259"/>
        <v>{5000,9,1,1803,113}</v>
      </c>
      <c r="AT418" t="str">
        <f t="shared" si="260"/>
        <v>{5000,9,1,1803,111}</v>
      </c>
      <c r="AU418" t="str">
        <f t="shared" si="261"/>
        <v/>
      </c>
      <c r="AV418">
        <v>2824</v>
      </c>
      <c r="AW418" t="str">
        <f t="shared" si="274"/>
        <v>[{5000,9,1,1803,101},{5000,9,1,1803,102},{5000,9,1,1803,103},{5000,9,1,1803,113},{5000,9,1,1803,111}]</v>
      </c>
    </row>
    <row r="419" spans="2:49">
      <c r="B419">
        <v>2825</v>
      </c>
      <c r="C419" t="s">
        <v>42</v>
      </c>
      <c r="D419" t="str">
        <f t="shared" si="264"/>
        <v>19</v>
      </c>
      <c r="F419">
        <v>196</v>
      </c>
      <c r="G419">
        <v>5000</v>
      </c>
      <c r="H419">
        <f t="shared" si="267"/>
        <v>9</v>
      </c>
      <c r="I419">
        <v>1</v>
      </c>
      <c r="J419">
        <v>2</v>
      </c>
      <c r="K419">
        <f t="shared" si="268"/>
        <v>1802</v>
      </c>
      <c r="L419">
        <f t="shared" si="234"/>
        <v>101</v>
      </c>
      <c r="M419">
        <v>5000</v>
      </c>
      <c r="N419">
        <f t="shared" si="232"/>
        <v>9</v>
      </c>
      <c r="O419">
        <v>1</v>
      </c>
      <c r="P419">
        <f t="shared" si="269"/>
        <v>1801</v>
      </c>
      <c r="Q419">
        <v>54</v>
      </c>
      <c r="R419">
        <f t="shared" si="235"/>
        <v>103</v>
      </c>
      <c r="S419">
        <v>5000</v>
      </c>
      <c r="T419">
        <f t="shared" si="253"/>
        <v>9</v>
      </c>
      <c r="U419">
        <v>1</v>
      </c>
      <c r="V419">
        <f t="shared" si="270"/>
        <v>1802</v>
      </c>
      <c r="W419">
        <v>77</v>
      </c>
      <c r="X419">
        <f t="shared" si="236"/>
        <v>111</v>
      </c>
      <c r="Y419">
        <v>5000</v>
      </c>
      <c r="Z419">
        <f t="shared" si="254"/>
        <v>9</v>
      </c>
      <c r="AA419">
        <v>1</v>
      </c>
      <c r="AB419">
        <f t="shared" si="271"/>
        <v>1801</v>
      </c>
      <c r="AC419">
        <v>72</v>
      </c>
      <c r="AD419">
        <f t="shared" si="237"/>
        <v>112</v>
      </c>
      <c r="AE419">
        <v>5000</v>
      </c>
      <c r="AF419">
        <f t="shared" si="255"/>
        <v>9</v>
      </c>
      <c r="AG419">
        <v>1</v>
      </c>
      <c r="AH419">
        <f t="shared" si="272"/>
        <v>1802</v>
      </c>
      <c r="AI419">
        <v>74</v>
      </c>
      <c r="AJ419">
        <f t="shared" si="238"/>
        <v>113</v>
      </c>
      <c r="AP419" t="str">
        <f t="shared" si="256"/>
        <v>{5000,9,1,1802,101}</v>
      </c>
      <c r="AQ419" t="str">
        <f t="shared" si="257"/>
        <v>{5000,9,1,1801,103}</v>
      </c>
      <c r="AR419" t="str">
        <f t="shared" si="258"/>
        <v>{5000,9,1,1802,111}</v>
      </c>
      <c r="AS419" t="str">
        <f t="shared" si="259"/>
        <v>{5000,9,1,1801,112}</v>
      </c>
      <c r="AT419" t="str">
        <f t="shared" si="260"/>
        <v>{5000,9,1,1802,113}</v>
      </c>
      <c r="AU419" t="str">
        <f t="shared" si="261"/>
        <v/>
      </c>
      <c r="AV419">
        <v>2825</v>
      </c>
      <c r="AW419" t="str">
        <f t="shared" si="274"/>
        <v>[{5000,9,1,1802,101},{5000,9,1,1801,103},{5000,9,1,1802,111},{5000,9,1,1801,112},{5000,9,1,1802,113}]</v>
      </c>
    </row>
    <row r="420" spans="2:48">
      <c r="B420">
        <v>2826</v>
      </c>
      <c r="C420" t="s">
        <v>42</v>
      </c>
      <c r="D420" t="str">
        <f t="shared" si="264"/>
        <v>19</v>
      </c>
      <c r="F420">
        <v>209</v>
      </c>
      <c r="H420">
        <f t="shared" si="267"/>
        <v>0</v>
      </c>
      <c r="K420" t="str">
        <f t="shared" si="268"/>
        <v/>
      </c>
      <c r="L420" t="str">
        <f t="shared" si="234"/>
        <v/>
      </c>
      <c r="N420">
        <f t="shared" si="232"/>
        <v>0</v>
      </c>
      <c r="P420" t="str">
        <f t="shared" si="269"/>
        <v/>
      </c>
      <c r="R420" t="str">
        <f t="shared" si="235"/>
        <v/>
      </c>
      <c r="T420">
        <f t="shared" si="253"/>
        <v>0</v>
      </c>
      <c r="V420" t="str">
        <f t="shared" si="270"/>
        <v/>
      </c>
      <c r="X420" t="str">
        <f t="shared" si="236"/>
        <v/>
      </c>
      <c r="Z420">
        <f t="shared" si="254"/>
        <v>0</v>
      </c>
      <c r="AB420" t="str">
        <f t="shared" si="271"/>
        <v/>
      </c>
      <c r="AD420" t="str">
        <f t="shared" si="237"/>
        <v/>
      </c>
      <c r="AF420">
        <f t="shared" si="255"/>
        <v>0</v>
      </c>
      <c r="AH420" t="str">
        <f t="shared" si="272"/>
        <v/>
      </c>
      <c r="AJ420" t="str">
        <f t="shared" si="238"/>
        <v/>
      </c>
      <c r="AP420" t="str">
        <f t="shared" si="256"/>
        <v/>
      </c>
      <c r="AQ420" t="str">
        <f t="shared" si="257"/>
        <v/>
      </c>
      <c r="AR420" t="str">
        <f t="shared" si="258"/>
        <v/>
      </c>
      <c r="AS420" t="str">
        <f t="shared" si="259"/>
        <v/>
      </c>
      <c r="AT420" t="str">
        <f t="shared" si="260"/>
        <v/>
      </c>
      <c r="AU420" t="str">
        <f t="shared" si="261"/>
        <v/>
      </c>
      <c r="AV420">
        <v>2826</v>
      </c>
    </row>
    <row r="421" spans="2:49">
      <c r="B421">
        <v>2827</v>
      </c>
      <c r="C421" t="s">
        <v>42</v>
      </c>
      <c r="D421" t="str">
        <f t="shared" si="264"/>
        <v>19</v>
      </c>
      <c r="F421">
        <v>211</v>
      </c>
      <c r="G421">
        <v>5000</v>
      </c>
      <c r="H421">
        <f t="shared" si="267"/>
        <v>8</v>
      </c>
      <c r="I421">
        <v>1</v>
      </c>
      <c r="J421">
        <v>2</v>
      </c>
      <c r="K421">
        <f t="shared" si="268"/>
        <v>1802</v>
      </c>
      <c r="L421">
        <f t="shared" si="234"/>
        <v>101</v>
      </c>
      <c r="M421">
        <v>5000</v>
      </c>
      <c r="N421">
        <f t="shared" si="232"/>
        <v>8</v>
      </c>
      <c r="O421">
        <v>1</v>
      </c>
      <c r="P421">
        <f t="shared" si="269"/>
        <v>1801</v>
      </c>
      <c r="Q421">
        <v>51</v>
      </c>
      <c r="R421">
        <f t="shared" si="235"/>
        <v>102</v>
      </c>
      <c r="S421">
        <v>5000</v>
      </c>
      <c r="T421">
        <f t="shared" si="253"/>
        <v>8</v>
      </c>
      <c r="U421">
        <v>1</v>
      </c>
      <c r="V421">
        <f t="shared" si="270"/>
        <v>1802</v>
      </c>
      <c r="W421">
        <v>57</v>
      </c>
      <c r="X421">
        <f t="shared" si="236"/>
        <v>103</v>
      </c>
      <c r="Y421">
        <v>5000</v>
      </c>
      <c r="Z421">
        <f t="shared" si="254"/>
        <v>8</v>
      </c>
      <c r="AA421">
        <v>1</v>
      </c>
      <c r="AB421">
        <f t="shared" si="271"/>
        <v>1801</v>
      </c>
      <c r="AC421">
        <v>79</v>
      </c>
      <c r="AD421">
        <f t="shared" si="237"/>
        <v>113</v>
      </c>
      <c r="AE421">
        <v>5000</v>
      </c>
      <c r="AF421">
        <f t="shared" si="255"/>
        <v>8</v>
      </c>
      <c r="AG421">
        <v>1</v>
      </c>
      <c r="AH421">
        <f t="shared" si="272"/>
        <v>1802</v>
      </c>
      <c r="AI421">
        <v>72</v>
      </c>
      <c r="AJ421">
        <f t="shared" si="238"/>
        <v>111</v>
      </c>
      <c r="AK421">
        <v>1000</v>
      </c>
      <c r="AL421">
        <v>1</v>
      </c>
      <c r="AM421">
        <v>0</v>
      </c>
      <c r="AN421">
        <f t="shared" ref="AN421" si="275">AN398+100</f>
        <v>1831</v>
      </c>
      <c r="AO421">
        <v>4</v>
      </c>
      <c r="AP421" t="str">
        <f t="shared" si="256"/>
        <v>{5000,8,1,1802,101}</v>
      </c>
      <c r="AQ421" t="str">
        <f t="shared" si="257"/>
        <v>{5000,8,1,1801,102}</v>
      </c>
      <c r="AR421" t="str">
        <f t="shared" si="258"/>
        <v>{5000,8,1,1802,103}</v>
      </c>
      <c r="AS421" t="str">
        <f t="shared" si="259"/>
        <v>{5000,8,1,1801,113}</v>
      </c>
      <c r="AT421" t="str">
        <f t="shared" si="260"/>
        <v>{5000,8,1,1802,111}</v>
      </c>
      <c r="AU421" t="str">
        <f t="shared" si="261"/>
        <v>{1000,1,0,1831,4}</v>
      </c>
      <c r="AV421">
        <v>2827</v>
      </c>
      <c r="AW421" t="str">
        <f t="shared" ref="AW421:AW435" si="276">IF(AU421="","["&amp;_xlfn.TEXTJOIN(",",1,AP421:AT421)&amp;"]","["&amp;_xlfn.TEXTJOIN(",",1,AP421:AU421)&amp;"]")</f>
        <v>[{5000,8,1,1802,101},{5000,8,1,1801,102},{5000,8,1,1802,103},{5000,8,1,1801,113},{5000,8,1,1802,111},{1000,1,0,1831,4}]</v>
      </c>
    </row>
    <row r="422" spans="2:49">
      <c r="B422">
        <v>2828</v>
      </c>
      <c r="C422" t="s">
        <v>42</v>
      </c>
      <c r="D422" t="str">
        <f t="shared" si="264"/>
        <v>19</v>
      </c>
      <c r="F422">
        <v>226</v>
      </c>
      <c r="G422">
        <v>5000</v>
      </c>
      <c r="H422">
        <f t="shared" si="267"/>
        <v>8</v>
      </c>
      <c r="I422">
        <v>1</v>
      </c>
      <c r="J422">
        <v>2</v>
      </c>
      <c r="K422">
        <f t="shared" si="268"/>
        <v>1802</v>
      </c>
      <c r="L422">
        <f t="shared" si="234"/>
        <v>101</v>
      </c>
      <c r="M422">
        <v>5000</v>
      </c>
      <c r="N422">
        <f t="shared" ref="N422:N485" si="277">H422</f>
        <v>8</v>
      </c>
      <c r="O422">
        <v>1</v>
      </c>
      <c r="P422">
        <f t="shared" si="269"/>
        <v>1801</v>
      </c>
      <c r="Q422">
        <v>51</v>
      </c>
      <c r="R422">
        <f t="shared" si="235"/>
        <v>103</v>
      </c>
      <c r="S422">
        <v>5000</v>
      </c>
      <c r="T422">
        <f t="shared" si="253"/>
        <v>8</v>
      </c>
      <c r="U422">
        <v>1</v>
      </c>
      <c r="V422">
        <f t="shared" si="270"/>
        <v>1802</v>
      </c>
      <c r="W422">
        <v>75</v>
      </c>
      <c r="X422">
        <f t="shared" si="236"/>
        <v>111</v>
      </c>
      <c r="Y422">
        <v>5000</v>
      </c>
      <c r="Z422">
        <f t="shared" si="254"/>
        <v>8</v>
      </c>
      <c r="AA422">
        <v>1</v>
      </c>
      <c r="AB422">
        <f t="shared" si="271"/>
        <v>1801</v>
      </c>
      <c r="AC422">
        <v>71</v>
      </c>
      <c r="AD422">
        <f t="shared" si="237"/>
        <v>112</v>
      </c>
      <c r="AE422">
        <v>5000</v>
      </c>
      <c r="AF422">
        <f t="shared" si="255"/>
        <v>8</v>
      </c>
      <c r="AG422">
        <v>1</v>
      </c>
      <c r="AH422">
        <f t="shared" si="272"/>
        <v>1802</v>
      </c>
      <c r="AI422">
        <v>77</v>
      </c>
      <c r="AJ422">
        <f t="shared" si="238"/>
        <v>113</v>
      </c>
      <c r="AP422" t="str">
        <f t="shared" si="256"/>
        <v>{5000,8,1,1802,101}</v>
      </c>
      <c r="AQ422" t="str">
        <f t="shared" si="257"/>
        <v>{5000,8,1,1801,103}</v>
      </c>
      <c r="AR422" t="str">
        <f t="shared" si="258"/>
        <v>{5000,8,1,1802,111}</v>
      </c>
      <c r="AS422" t="str">
        <f t="shared" si="259"/>
        <v>{5000,8,1,1801,112}</v>
      </c>
      <c r="AT422" t="str">
        <f t="shared" si="260"/>
        <v>{5000,8,1,1802,113}</v>
      </c>
      <c r="AU422" t="str">
        <f t="shared" si="261"/>
        <v/>
      </c>
      <c r="AV422">
        <v>2828</v>
      </c>
      <c r="AW422" t="str">
        <f t="shared" si="276"/>
        <v>[{5000,8,1,1802,101},{5000,8,1,1801,103},{5000,8,1,1802,111},{5000,8,1,1801,112},{5000,8,1,1802,113}]</v>
      </c>
    </row>
    <row r="423" spans="2:49">
      <c r="B423">
        <v>2829</v>
      </c>
      <c r="C423" t="s">
        <v>42</v>
      </c>
      <c r="D423" t="str">
        <f t="shared" si="264"/>
        <v>19</v>
      </c>
      <c r="F423">
        <v>241</v>
      </c>
      <c r="G423">
        <v>5000</v>
      </c>
      <c r="H423">
        <f t="shared" si="267"/>
        <v>10</v>
      </c>
      <c r="I423">
        <v>1</v>
      </c>
      <c r="J423">
        <v>3</v>
      </c>
      <c r="K423">
        <f t="shared" si="268"/>
        <v>1803</v>
      </c>
      <c r="L423">
        <f t="shared" ref="L423:L486" si="278">IF(L400="","",L400)</f>
        <v>101</v>
      </c>
      <c r="M423">
        <v>5000</v>
      </c>
      <c r="N423">
        <f t="shared" si="277"/>
        <v>10</v>
      </c>
      <c r="O423">
        <v>1</v>
      </c>
      <c r="P423">
        <f t="shared" si="269"/>
        <v>1803</v>
      </c>
      <c r="Q423">
        <v>53</v>
      </c>
      <c r="R423">
        <f t="shared" ref="R423:R486" si="279">IF(R400="","",R400)</f>
        <v>102</v>
      </c>
      <c r="S423">
        <v>5000</v>
      </c>
      <c r="T423">
        <f t="shared" si="253"/>
        <v>10</v>
      </c>
      <c r="U423">
        <v>1</v>
      </c>
      <c r="V423">
        <f t="shared" si="270"/>
        <v>1803</v>
      </c>
      <c r="W423">
        <v>56</v>
      </c>
      <c r="X423">
        <f t="shared" ref="X423:X486" si="280">IF(X400="","",X400)</f>
        <v>103</v>
      </c>
      <c r="Y423">
        <v>5000</v>
      </c>
      <c r="Z423">
        <f t="shared" si="254"/>
        <v>10</v>
      </c>
      <c r="AA423">
        <v>1</v>
      </c>
      <c r="AB423">
        <f t="shared" si="271"/>
        <v>1803</v>
      </c>
      <c r="AC423">
        <v>74</v>
      </c>
      <c r="AD423">
        <f t="shared" ref="AD423:AD486" si="281">IF(AD400="","",AD400)</f>
        <v>113</v>
      </c>
      <c r="AE423">
        <v>5000</v>
      </c>
      <c r="AF423">
        <f t="shared" si="255"/>
        <v>10</v>
      </c>
      <c r="AG423">
        <v>1</v>
      </c>
      <c r="AH423">
        <f t="shared" si="272"/>
        <v>1803</v>
      </c>
      <c r="AI423">
        <v>78</v>
      </c>
      <c r="AJ423">
        <f t="shared" ref="AJ423:AJ486" si="282">IF(AJ400="","",AJ400)</f>
        <v>111</v>
      </c>
      <c r="AP423" t="str">
        <f t="shared" si="256"/>
        <v>{5000,10,1,1803,101}</v>
      </c>
      <c r="AQ423" t="str">
        <f t="shared" si="257"/>
        <v>{5000,10,1,1803,102}</v>
      </c>
      <c r="AR423" t="str">
        <f t="shared" si="258"/>
        <v>{5000,10,1,1803,103}</v>
      </c>
      <c r="AS423" t="str">
        <f t="shared" si="259"/>
        <v>{5000,10,1,1803,113}</v>
      </c>
      <c r="AT423" t="str">
        <f t="shared" si="260"/>
        <v>{5000,10,1,1803,111}</v>
      </c>
      <c r="AU423" t="str">
        <f t="shared" si="261"/>
        <v/>
      </c>
      <c r="AV423">
        <v>2829</v>
      </c>
      <c r="AW423" t="str">
        <f t="shared" si="276"/>
        <v>[{5000,10,1,1803,101},{5000,10,1,1803,102},{5000,10,1,1803,103},{5000,10,1,1803,113},{5000,10,1,1803,111}]</v>
      </c>
    </row>
    <row r="424" spans="2:49">
      <c r="B424">
        <v>2830</v>
      </c>
      <c r="C424" t="s">
        <v>42</v>
      </c>
      <c r="D424" t="str">
        <f t="shared" si="264"/>
        <v>19</v>
      </c>
      <c r="F424">
        <v>256</v>
      </c>
      <c r="G424">
        <v>5000</v>
      </c>
      <c r="H424">
        <f t="shared" si="267"/>
        <v>9</v>
      </c>
      <c r="I424">
        <v>1</v>
      </c>
      <c r="J424">
        <v>2</v>
      </c>
      <c r="K424">
        <f t="shared" si="268"/>
        <v>1802</v>
      </c>
      <c r="L424">
        <f t="shared" si="278"/>
        <v>101</v>
      </c>
      <c r="M424">
        <v>5000</v>
      </c>
      <c r="N424">
        <f t="shared" si="277"/>
        <v>9</v>
      </c>
      <c r="O424">
        <v>1</v>
      </c>
      <c r="P424">
        <f t="shared" si="269"/>
        <v>1802</v>
      </c>
      <c r="Q424">
        <v>59</v>
      </c>
      <c r="R424">
        <f t="shared" si="279"/>
        <v>103</v>
      </c>
      <c r="S424">
        <v>5000</v>
      </c>
      <c r="T424">
        <f t="shared" si="253"/>
        <v>9</v>
      </c>
      <c r="U424">
        <v>1</v>
      </c>
      <c r="V424">
        <f t="shared" si="270"/>
        <v>1802</v>
      </c>
      <c r="W424">
        <v>79</v>
      </c>
      <c r="X424">
        <f t="shared" si="280"/>
        <v>111</v>
      </c>
      <c r="Y424">
        <v>5000</v>
      </c>
      <c r="Z424">
        <f t="shared" si="254"/>
        <v>9</v>
      </c>
      <c r="AA424">
        <v>1</v>
      </c>
      <c r="AB424">
        <f t="shared" si="271"/>
        <v>1801</v>
      </c>
      <c r="AC424">
        <v>72</v>
      </c>
      <c r="AD424">
        <f t="shared" si="281"/>
        <v>112</v>
      </c>
      <c r="AE424">
        <v>5000</v>
      </c>
      <c r="AF424">
        <f t="shared" si="255"/>
        <v>9</v>
      </c>
      <c r="AG424">
        <v>1</v>
      </c>
      <c r="AH424">
        <f t="shared" si="272"/>
        <v>1802</v>
      </c>
      <c r="AI424">
        <v>74</v>
      </c>
      <c r="AJ424">
        <f t="shared" si="282"/>
        <v>113</v>
      </c>
      <c r="AP424" t="str">
        <f t="shared" si="256"/>
        <v>{5000,9,1,1802,101}</v>
      </c>
      <c r="AQ424" t="str">
        <f t="shared" si="257"/>
        <v>{5000,9,1,1802,103}</v>
      </c>
      <c r="AR424" t="str">
        <f t="shared" si="258"/>
        <v>{5000,9,1,1802,111}</v>
      </c>
      <c r="AS424" t="str">
        <f t="shared" si="259"/>
        <v>{5000,9,1,1801,112}</v>
      </c>
      <c r="AT424" t="str">
        <f t="shared" si="260"/>
        <v>{5000,9,1,1802,113}</v>
      </c>
      <c r="AU424" t="str">
        <f t="shared" si="261"/>
        <v/>
      </c>
      <c r="AV424">
        <v>2830</v>
      </c>
      <c r="AW424" t="str">
        <f t="shared" si="276"/>
        <v>[{5000,9,1,1802,101},{5000,9,1,1802,103},{5000,9,1,1802,111},{5000,9,1,1801,112},{5000,9,1,1802,113}]</v>
      </c>
    </row>
    <row r="425" spans="2:49">
      <c r="B425">
        <v>2831</v>
      </c>
      <c r="C425" t="s">
        <v>42</v>
      </c>
      <c r="D425" t="str">
        <f t="shared" si="264"/>
        <v>19</v>
      </c>
      <c r="F425">
        <v>271</v>
      </c>
      <c r="G425">
        <v>5000</v>
      </c>
      <c r="H425">
        <f t="shared" si="267"/>
        <v>10</v>
      </c>
      <c r="I425">
        <v>1</v>
      </c>
      <c r="J425">
        <v>2</v>
      </c>
      <c r="K425">
        <f t="shared" si="268"/>
        <v>1802</v>
      </c>
      <c r="L425">
        <f t="shared" si="278"/>
        <v>101</v>
      </c>
      <c r="M425">
        <v>5000</v>
      </c>
      <c r="N425">
        <f t="shared" si="277"/>
        <v>10</v>
      </c>
      <c r="O425">
        <v>1</v>
      </c>
      <c r="P425">
        <f t="shared" si="269"/>
        <v>1802</v>
      </c>
      <c r="Q425">
        <v>54</v>
      </c>
      <c r="R425">
        <f t="shared" si="279"/>
        <v>102</v>
      </c>
      <c r="S425">
        <v>5000</v>
      </c>
      <c r="T425">
        <f t="shared" si="253"/>
        <v>10</v>
      </c>
      <c r="U425">
        <v>1</v>
      </c>
      <c r="V425">
        <f t="shared" si="270"/>
        <v>1802</v>
      </c>
      <c r="W425">
        <v>56</v>
      </c>
      <c r="X425">
        <f t="shared" si="280"/>
        <v>103</v>
      </c>
      <c r="Y425">
        <v>5000</v>
      </c>
      <c r="Z425">
        <f t="shared" si="254"/>
        <v>10</v>
      </c>
      <c r="AA425">
        <v>1</v>
      </c>
      <c r="AB425">
        <f t="shared" si="271"/>
        <v>1802</v>
      </c>
      <c r="AC425">
        <v>73</v>
      </c>
      <c r="AD425">
        <f t="shared" si="281"/>
        <v>113</v>
      </c>
      <c r="AE425">
        <v>5000</v>
      </c>
      <c r="AF425">
        <f t="shared" si="255"/>
        <v>10</v>
      </c>
      <c r="AG425">
        <v>1</v>
      </c>
      <c r="AH425">
        <f t="shared" si="272"/>
        <v>1802</v>
      </c>
      <c r="AI425">
        <v>75</v>
      </c>
      <c r="AJ425">
        <f t="shared" si="282"/>
        <v>111</v>
      </c>
      <c r="AP425" t="str">
        <f t="shared" si="256"/>
        <v>{5000,10,1,1802,101}</v>
      </c>
      <c r="AQ425" t="str">
        <f t="shared" si="257"/>
        <v>{5000,10,1,1802,102}</v>
      </c>
      <c r="AR425" t="str">
        <f t="shared" si="258"/>
        <v>{5000,10,1,1802,103}</v>
      </c>
      <c r="AS425" t="str">
        <f t="shared" si="259"/>
        <v>{5000,10,1,1802,113}</v>
      </c>
      <c r="AT425" t="str">
        <f t="shared" si="260"/>
        <v>{5000,10,1,1802,111}</v>
      </c>
      <c r="AU425" t="str">
        <f t="shared" si="261"/>
        <v/>
      </c>
      <c r="AV425">
        <v>2831</v>
      </c>
      <c r="AW425" t="str">
        <f t="shared" si="276"/>
        <v>[{5000,10,1,1802,101},{5000,10,1,1802,102},{5000,10,1,1802,103},{5000,10,1,1802,113},{5000,10,1,1802,111}]</v>
      </c>
    </row>
    <row r="426" spans="2:49">
      <c r="B426">
        <v>2832</v>
      </c>
      <c r="C426" t="s">
        <v>42</v>
      </c>
      <c r="D426" t="str">
        <f t="shared" si="264"/>
        <v>19</v>
      </c>
      <c r="F426">
        <v>286</v>
      </c>
      <c r="G426">
        <v>5000</v>
      </c>
      <c r="H426">
        <f t="shared" si="267"/>
        <v>10</v>
      </c>
      <c r="I426">
        <v>1</v>
      </c>
      <c r="J426">
        <v>2</v>
      </c>
      <c r="K426">
        <f t="shared" si="268"/>
        <v>1802</v>
      </c>
      <c r="L426">
        <f t="shared" si="278"/>
        <v>101</v>
      </c>
      <c r="M426">
        <v>5000</v>
      </c>
      <c r="N426">
        <f t="shared" si="277"/>
        <v>10</v>
      </c>
      <c r="O426">
        <v>1</v>
      </c>
      <c r="P426">
        <f t="shared" si="269"/>
        <v>1802</v>
      </c>
      <c r="Q426">
        <v>53</v>
      </c>
      <c r="R426">
        <f t="shared" si="279"/>
        <v>103</v>
      </c>
      <c r="S426">
        <v>5000</v>
      </c>
      <c r="T426">
        <f t="shared" si="253"/>
        <v>10</v>
      </c>
      <c r="U426">
        <v>1</v>
      </c>
      <c r="V426">
        <f t="shared" si="270"/>
        <v>1802</v>
      </c>
      <c r="W426">
        <v>59</v>
      </c>
      <c r="X426">
        <f t="shared" si="280"/>
        <v>111</v>
      </c>
      <c r="Y426">
        <v>5000</v>
      </c>
      <c r="Z426">
        <f t="shared" si="254"/>
        <v>10</v>
      </c>
      <c r="AA426">
        <v>1</v>
      </c>
      <c r="AB426">
        <f t="shared" si="271"/>
        <v>1802</v>
      </c>
      <c r="AC426">
        <v>71</v>
      </c>
      <c r="AD426">
        <f t="shared" si="281"/>
        <v>112</v>
      </c>
      <c r="AE426">
        <v>5000</v>
      </c>
      <c r="AF426">
        <f t="shared" si="255"/>
        <v>10</v>
      </c>
      <c r="AG426">
        <v>1</v>
      </c>
      <c r="AH426">
        <f t="shared" si="272"/>
        <v>1802</v>
      </c>
      <c r="AI426">
        <v>77</v>
      </c>
      <c r="AJ426">
        <f t="shared" si="282"/>
        <v>113</v>
      </c>
      <c r="AP426" t="str">
        <f t="shared" si="256"/>
        <v>{5000,10,1,1802,101}</v>
      </c>
      <c r="AQ426" t="str">
        <f t="shared" si="257"/>
        <v>{5000,10,1,1802,103}</v>
      </c>
      <c r="AR426" t="str">
        <f t="shared" si="258"/>
        <v>{5000,10,1,1802,111}</v>
      </c>
      <c r="AS426" t="str">
        <f t="shared" si="259"/>
        <v>{5000,10,1,1802,112}</v>
      </c>
      <c r="AT426" t="str">
        <f t="shared" si="260"/>
        <v>{5000,10,1,1802,113}</v>
      </c>
      <c r="AU426" t="str">
        <f t="shared" si="261"/>
        <v/>
      </c>
      <c r="AV426">
        <v>2832</v>
      </c>
      <c r="AW426" t="str">
        <f t="shared" si="276"/>
        <v>[{5000,10,1,1802,101},{5000,10,1,1802,103},{5000,10,1,1802,111},{5000,10,1,1802,112},{5000,10,1,1802,113}]</v>
      </c>
    </row>
    <row r="427" spans="2:49">
      <c r="B427">
        <v>2833</v>
      </c>
      <c r="C427" t="s">
        <v>42</v>
      </c>
      <c r="D427" t="str">
        <f t="shared" si="264"/>
        <v>19</v>
      </c>
      <c r="F427">
        <v>290</v>
      </c>
      <c r="G427">
        <v>5000</v>
      </c>
      <c r="H427">
        <f t="shared" si="267"/>
        <v>10</v>
      </c>
      <c r="I427">
        <v>1</v>
      </c>
      <c r="J427">
        <v>2</v>
      </c>
      <c r="K427">
        <f t="shared" si="268"/>
        <v>1802</v>
      </c>
      <c r="L427">
        <f t="shared" si="278"/>
        <v>101</v>
      </c>
      <c r="M427">
        <v>5000</v>
      </c>
      <c r="N427">
        <f t="shared" si="277"/>
        <v>10</v>
      </c>
      <c r="O427">
        <v>1</v>
      </c>
      <c r="P427">
        <f t="shared" si="269"/>
        <v>1802</v>
      </c>
      <c r="Q427">
        <v>56</v>
      </c>
      <c r="R427">
        <f t="shared" si="279"/>
        <v>102</v>
      </c>
      <c r="S427">
        <v>5000</v>
      </c>
      <c r="T427">
        <f t="shared" si="253"/>
        <v>10</v>
      </c>
      <c r="U427">
        <v>1</v>
      </c>
      <c r="V427">
        <f t="shared" si="270"/>
        <v>1801</v>
      </c>
      <c r="W427">
        <v>77</v>
      </c>
      <c r="X427">
        <f t="shared" si="280"/>
        <v>103</v>
      </c>
      <c r="Y427">
        <v>5000</v>
      </c>
      <c r="Z427">
        <f t="shared" si="254"/>
        <v>10</v>
      </c>
      <c r="AA427">
        <v>1</v>
      </c>
      <c r="AB427">
        <f t="shared" si="271"/>
        <v>1802</v>
      </c>
      <c r="AC427">
        <v>72</v>
      </c>
      <c r="AD427">
        <f t="shared" si="281"/>
        <v>113</v>
      </c>
      <c r="AE427">
        <v>5000</v>
      </c>
      <c r="AF427">
        <f t="shared" si="255"/>
        <v>10</v>
      </c>
      <c r="AG427">
        <v>1</v>
      </c>
      <c r="AH427">
        <f t="shared" si="272"/>
        <v>1802</v>
      </c>
      <c r="AI427">
        <v>74</v>
      </c>
      <c r="AJ427">
        <f t="shared" si="282"/>
        <v>111</v>
      </c>
      <c r="AP427" t="str">
        <f t="shared" si="256"/>
        <v>{5000,10,1,1802,101}</v>
      </c>
      <c r="AQ427" t="str">
        <f t="shared" si="257"/>
        <v>{5000,10,1,1802,102}</v>
      </c>
      <c r="AR427" t="str">
        <f t="shared" si="258"/>
        <v>{5000,10,1,1801,103}</v>
      </c>
      <c r="AS427" t="str">
        <f t="shared" si="259"/>
        <v>{5000,10,1,1802,113}</v>
      </c>
      <c r="AT427" t="str">
        <f t="shared" si="260"/>
        <v>{5000,10,1,1802,111}</v>
      </c>
      <c r="AU427" t="str">
        <f t="shared" si="261"/>
        <v/>
      </c>
      <c r="AV427">
        <v>2833</v>
      </c>
      <c r="AW427" t="str">
        <f t="shared" si="276"/>
        <v>[{5000,10,1,1802,101},{5000,10,1,1802,102},{5000,10,1,1801,103},{5000,10,1,1802,113},{5000,10,1,1802,111}]</v>
      </c>
    </row>
    <row r="428" spans="2:49">
      <c r="B428">
        <v>2911</v>
      </c>
      <c r="C428" t="s">
        <v>43</v>
      </c>
      <c r="D428" s="4" t="str">
        <f t="shared" si="264"/>
        <v>20</v>
      </c>
      <c r="E428" s="4"/>
      <c r="F428">
        <v>1</v>
      </c>
      <c r="G428">
        <v>5000</v>
      </c>
      <c r="H428">
        <f t="shared" si="267"/>
        <v>2</v>
      </c>
      <c r="I428">
        <v>1</v>
      </c>
      <c r="J428">
        <v>1</v>
      </c>
      <c r="K428">
        <f t="shared" si="268"/>
        <v>1901</v>
      </c>
      <c r="L428">
        <f t="shared" si="278"/>
        <v>101</v>
      </c>
      <c r="M428">
        <v>5000</v>
      </c>
      <c r="N428">
        <f t="shared" si="277"/>
        <v>2</v>
      </c>
      <c r="O428">
        <v>1</v>
      </c>
      <c r="P428">
        <f t="shared" si="269"/>
        <v>1901</v>
      </c>
      <c r="Q428">
        <v>55</v>
      </c>
      <c r="R428">
        <f t="shared" si="279"/>
        <v>102</v>
      </c>
      <c r="S428">
        <v>5000</v>
      </c>
      <c r="T428">
        <f t="shared" si="253"/>
        <v>2</v>
      </c>
      <c r="U428">
        <v>1</v>
      </c>
      <c r="V428">
        <f t="shared" si="270"/>
        <v>1901</v>
      </c>
      <c r="W428">
        <v>60</v>
      </c>
      <c r="X428">
        <f t="shared" si="280"/>
        <v>103</v>
      </c>
      <c r="Y428">
        <v>5000</v>
      </c>
      <c r="Z428">
        <f t="shared" si="254"/>
        <v>2</v>
      </c>
      <c r="AA428">
        <v>1</v>
      </c>
      <c r="AB428">
        <f t="shared" si="271"/>
        <v>1901</v>
      </c>
      <c r="AC428">
        <v>71</v>
      </c>
      <c r="AD428">
        <f t="shared" si="281"/>
        <v>113</v>
      </c>
      <c r="AE428">
        <v>5000</v>
      </c>
      <c r="AF428">
        <f t="shared" si="255"/>
        <v>2</v>
      </c>
      <c r="AG428">
        <v>1</v>
      </c>
      <c r="AH428">
        <f t="shared" si="272"/>
        <v>1901</v>
      </c>
      <c r="AI428">
        <v>76</v>
      </c>
      <c r="AJ428">
        <f t="shared" si="282"/>
        <v>111</v>
      </c>
      <c r="AP428" t="str">
        <f t="shared" si="256"/>
        <v>{5000,2,1,1901,101}</v>
      </c>
      <c r="AQ428" t="str">
        <f t="shared" si="257"/>
        <v>{5000,2,1,1901,102}</v>
      </c>
      <c r="AR428" t="str">
        <f t="shared" si="258"/>
        <v>{5000,2,1,1901,103}</v>
      </c>
      <c r="AS428" t="str">
        <f t="shared" si="259"/>
        <v>{5000,2,1,1901,113}</v>
      </c>
      <c r="AT428" t="str">
        <f t="shared" si="260"/>
        <v>{5000,2,1,1901,111}</v>
      </c>
      <c r="AU428" t="str">
        <f t="shared" si="261"/>
        <v/>
      </c>
      <c r="AV428">
        <v>2911</v>
      </c>
      <c r="AW428" t="str">
        <f t="shared" si="276"/>
        <v>[{5000,2,1,1901,101},{5000,2,1,1901,102},{5000,2,1,1901,103},{5000,2,1,1901,113},{5000,2,1,1901,111}]</v>
      </c>
    </row>
    <row r="429" spans="2:49">
      <c r="B429">
        <v>2912</v>
      </c>
      <c r="C429" t="s">
        <v>43</v>
      </c>
      <c r="D429" t="str">
        <f t="shared" si="264"/>
        <v>20</v>
      </c>
      <c r="F429">
        <v>16</v>
      </c>
      <c r="G429">
        <v>5000</v>
      </c>
      <c r="H429">
        <f t="shared" si="267"/>
        <v>2</v>
      </c>
      <c r="I429">
        <v>1</v>
      </c>
      <c r="J429">
        <v>1</v>
      </c>
      <c r="K429">
        <f t="shared" ref="K429:K451" si="283">IF($J429="","",K406+100)</f>
        <v>1901</v>
      </c>
      <c r="L429">
        <f t="shared" si="278"/>
        <v>101</v>
      </c>
      <c r="M429">
        <v>5000</v>
      </c>
      <c r="N429">
        <f t="shared" si="277"/>
        <v>2</v>
      </c>
      <c r="O429">
        <v>1</v>
      </c>
      <c r="P429">
        <f t="shared" ref="P429:P451" si="284">IF($J429="","",P406+100)</f>
        <v>1901</v>
      </c>
      <c r="Q429">
        <v>55</v>
      </c>
      <c r="R429">
        <f t="shared" si="279"/>
        <v>103</v>
      </c>
      <c r="S429">
        <v>5000</v>
      </c>
      <c r="T429">
        <f t="shared" si="253"/>
        <v>2</v>
      </c>
      <c r="U429">
        <v>1</v>
      </c>
      <c r="V429">
        <f t="shared" ref="V429:V451" si="285">IF($J429="","",V406+100)</f>
        <v>1901</v>
      </c>
      <c r="W429">
        <v>75</v>
      </c>
      <c r="X429">
        <f t="shared" si="280"/>
        <v>111</v>
      </c>
      <c r="Y429">
        <v>5000</v>
      </c>
      <c r="Z429">
        <f t="shared" si="254"/>
        <v>2</v>
      </c>
      <c r="AA429">
        <v>1</v>
      </c>
      <c r="AB429">
        <f t="shared" ref="AB429:AB451" si="286">IF($J429="","",AB406+100)</f>
        <v>1901</v>
      </c>
      <c r="AC429">
        <v>73</v>
      </c>
      <c r="AD429">
        <f t="shared" si="281"/>
        <v>112</v>
      </c>
      <c r="AE429">
        <v>5000</v>
      </c>
      <c r="AF429">
        <f t="shared" si="255"/>
        <v>2</v>
      </c>
      <c r="AG429">
        <v>1</v>
      </c>
      <c r="AH429">
        <f t="shared" ref="AH429:AH451" si="287">IF($J429="","",AH406+100)</f>
        <v>1901</v>
      </c>
      <c r="AI429">
        <v>78</v>
      </c>
      <c r="AJ429">
        <f t="shared" si="282"/>
        <v>113</v>
      </c>
      <c r="AP429" t="str">
        <f t="shared" si="256"/>
        <v>{5000,2,1,1901,101}</v>
      </c>
      <c r="AQ429" t="str">
        <f t="shared" si="257"/>
        <v>{5000,2,1,1901,103}</v>
      </c>
      <c r="AR429" t="str">
        <f t="shared" si="258"/>
        <v>{5000,2,1,1901,111}</v>
      </c>
      <c r="AS429" t="str">
        <f t="shared" si="259"/>
        <v>{5000,2,1,1901,112}</v>
      </c>
      <c r="AT429" t="str">
        <f t="shared" si="260"/>
        <v>{5000,2,1,1901,113}</v>
      </c>
      <c r="AU429" t="str">
        <f t="shared" si="261"/>
        <v/>
      </c>
      <c r="AV429">
        <v>2912</v>
      </c>
      <c r="AW429" t="str">
        <f t="shared" si="276"/>
        <v>[{5000,2,1,1901,101},{5000,2,1,1901,103},{5000,2,1,1901,111},{5000,2,1,1901,112},{5000,2,1,1901,113}]</v>
      </c>
    </row>
    <row r="430" spans="2:49">
      <c r="B430">
        <v>2913</v>
      </c>
      <c r="C430" t="s">
        <v>43</v>
      </c>
      <c r="D430" t="str">
        <f t="shared" si="264"/>
        <v>20</v>
      </c>
      <c r="F430">
        <v>31</v>
      </c>
      <c r="G430">
        <v>5000</v>
      </c>
      <c r="H430">
        <f t="shared" si="267"/>
        <v>4</v>
      </c>
      <c r="I430">
        <v>1</v>
      </c>
      <c r="J430">
        <v>1</v>
      </c>
      <c r="K430">
        <f t="shared" si="283"/>
        <v>1901</v>
      </c>
      <c r="L430">
        <f t="shared" si="278"/>
        <v>101</v>
      </c>
      <c r="M430">
        <v>5000</v>
      </c>
      <c r="N430">
        <f t="shared" si="277"/>
        <v>4</v>
      </c>
      <c r="O430">
        <v>1</v>
      </c>
      <c r="P430">
        <f t="shared" si="284"/>
        <v>1901</v>
      </c>
      <c r="Q430">
        <v>55</v>
      </c>
      <c r="R430">
        <f t="shared" si="279"/>
        <v>102</v>
      </c>
      <c r="S430">
        <v>5000</v>
      </c>
      <c r="T430">
        <f t="shared" si="253"/>
        <v>4</v>
      </c>
      <c r="U430">
        <v>1</v>
      </c>
      <c r="V430">
        <f t="shared" si="285"/>
        <v>1901</v>
      </c>
      <c r="W430">
        <v>58</v>
      </c>
      <c r="X430">
        <f t="shared" si="280"/>
        <v>103</v>
      </c>
      <c r="Y430">
        <v>5000</v>
      </c>
      <c r="Z430">
        <f t="shared" si="254"/>
        <v>4</v>
      </c>
      <c r="AA430">
        <v>1</v>
      </c>
      <c r="AB430">
        <f t="shared" si="286"/>
        <v>1901</v>
      </c>
      <c r="AC430">
        <v>76</v>
      </c>
      <c r="AD430">
        <f t="shared" si="281"/>
        <v>113</v>
      </c>
      <c r="AE430">
        <v>5000</v>
      </c>
      <c r="AF430">
        <f t="shared" si="255"/>
        <v>4</v>
      </c>
      <c r="AG430">
        <v>1</v>
      </c>
      <c r="AH430">
        <f t="shared" si="287"/>
        <v>1901</v>
      </c>
      <c r="AI430">
        <v>79</v>
      </c>
      <c r="AJ430">
        <f t="shared" si="282"/>
        <v>111</v>
      </c>
      <c r="AP430" t="str">
        <f t="shared" si="256"/>
        <v>{5000,4,1,1901,101}</v>
      </c>
      <c r="AQ430" t="str">
        <f t="shared" si="257"/>
        <v>{5000,4,1,1901,102}</v>
      </c>
      <c r="AR430" t="str">
        <f t="shared" si="258"/>
        <v>{5000,4,1,1901,103}</v>
      </c>
      <c r="AS430" t="str">
        <f t="shared" si="259"/>
        <v>{5000,4,1,1901,113}</v>
      </c>
      <c r="AT430" t="str">
        <f t="shared" si="260"/>
        <v>{5000,4,1,1901,111}</v>
      </c>
      <c r="AU430" t="str">
        <f t="shared" si="261"/>
        <v/>
      </c>
      <c r="AV430">
        <v>2913</v>
      </c>
      <c r="AW430" t="str">
        <f t="shared" si="276"/>
        <v>[{5000,4,1,1901,101},{5000,4,1,1901,102},{5000,4,1,1901,103},{5000,4,1,1901,113},{5000,4,1,1901,111}]</v>
      </c>
    </row>
    <row r="431" spans="2:49">
      <c r="B431">
        <v>2914</v>
      </c>
      <c r="C431" t="s">
        <v>43</v>
      </c>
      <c r="D431" t="str">
        <f t="shared" si="264"/>
        <v>20</v>
      </c>
      <c r="F431">
        <v>46</v>
      </c>
      <c r="G431">
        <v>5000</v>
      </c>
      <c r="H431">
        <f t="shared" si="267"/>
        <v>4</v>
      </c>
      <c r="I431">
        <v>1</v>
      </c>
      <c r="J431">
        <v>1</v>
      </c>
      <c r="K431">
        <f t="shared" si="283"/>
        <v>1901</v>
      </c>
      <c r="L431">
        <f t="shared" si="278"/>
        <v>101</v>
      </c>
      <c r="M431">
        <v>5000</v>
      </c>
      <c r="N431">
        <f t="shared" si="277"/>
        <v>4</v>
      </c>
      <c r="O431">
        <v>1</v>
      </c>
      <c r="P431">
        <f t="shared" si="284"/>
        <v>1901</v>
      </c>
      <c r="Q431">
        <v>55</v>
      </c>
      <c r="R431">
        <f t="shared" si="279"/>
        <v>103</v>
      </c>
      <c r="S431">
        <v>5000</v>
      </c>
      <c r="T431">
        <f t="shared" si="253"/>
        <v>4</v>
      </c>
      <c r="U431">
        <v>1</v>
      </c>
      <c r="V431">
        <f t="shared" si="285"/>
        <v>1902</v>
      </c>
      <c r="W431">
        <v>76</v>
      </c>
      <c r="X431">
        <f t="shared" si="280"/>
        <v>111</v>
      </c>
      <c r="Y431">
        <v>5000</v>
      </c>
      <c r="Z431">
        <f t="shared" si="254"/>
        <v>4</v>
      </c>
      <c r="AA431">
        <v>1</v>
      </c>
      <c r="AB431">
        <f t="shared" si="286"/>
        <v>1901</v>
      </c>
      <c r="AC431">
        <v>71</v>
      </c>
      <c r="AD431">
        <f t="shared" si="281"/>
        <v>112</v>
      </c>
      <c r="AE431">
        <v>5000</v>
      </c>
      <c r="AF431">
        <f t="shared" si="255"/>
        <v>4</v>
      </c>
      <c r="AG431">
        <v>1</v>
      </c>
      <c r="AH431">
        <f t="shared" si="287"/>
        <v>1901</v>
      </c>
      <c r="AI431">
        <v>71</v>
      </c>
      <c r="AJ431">
        <f t="shared" si="282"/>
        <v>113</v>
      </c>
      <c r="AP431" t="str">
        <f t="shared" si="256"/>
        <v>{5000,4,1,1901,101}</v>
      </c>
      <c r="AQ431" t="str">
        <f t="shared" si="257"/>
        <v>{5000,4,1,1901,103}</v>
      </c>
      <c r="AR431" t="str">
        <f t="shared" si="258"/>
        <v>{5000,4,1,1902,111}</v>
      </c>
      <c r="AS431" t="str">
        <f t="shared" si="259"/>
        <v>{5000,4,1,1901,112}</v>
      </c>
      <c r="AT431" t="str">
        <f t="shared" si="260"/>
        <v>{5000,4,1,1901,113}</v>
      </c>
      <c r="AU431" t="str">
        <f t="shared" si="261"/>
        <v/>
      </c>
      <c r="AV431">
        <v>2914</v>
      </c>
      <c r="AW431" t="str">
        <f t="shared" si="276"/>
        <v>[{5000,4,1,1901,101},{5000,4,1,1901,103},{5000,4,1,1902,111},{5000,4,1,1901,112},{5000,4,1,1901,113}]</v>
      </c>
    </row>
    <row r="432" spans="2:49">
      <c r="B432">
        <v>2915</v>
      </c>
      <c r="C432" t="s">
        <v>43</v>
      </c>
      <c r="D432" t="str">
        <f t="shared" si="264"/>
        <v>20</v>
      </c>
      <c r="F432">
        <v>61</v>
      </c>
      <c r="G432">
        <v>5000</v>
      </c>
      <c r="H432">
        <f t="shared" si="267"/>
        <v>6</v>
      </c>
      <c r="I432">
        <v>1</v>
      </c>
      <c r="J432">
        <v>3</v>
      </c>
      <c r="K432">
        <f t="shared" si="283"/>
        <v>1903</v>
      </c>
      <c r="L432">
        <f t="shared" si="278"/>
        <v>101</v>
      </c>
      <c r="M432">
        <v>5000</v>
      </c>
      <c r="N432">
        <f t="shared" si="277"/>
        <v>6</v>
      </c>
      <c r="O432">
        <v>1</v>
      </c>
      <c r="P432">
        <f t="shared" si="284"/>
        <v>1903</v>
      </c>
      <c r="Q432">
        <v>56</v>
      </c>
      <c r="R432">
        <f t="shared" si="279"/>
        <v>102</v>
      </c>
      <c r="S432">
        <v>5000</v>
      </c>
      <c r="T432">
        <f t="shared" si="253"/>
        <v>6</v>
      </c>
      <c r="U432">
        <v>1</v>
      </c>
      <c r="V432">
        <f t="shared" si="285"/>
        <v>1903</v>
      </c>
      <c r="W432">
        <v>57</v>
      </c>
      <c r="X432">
        <f t="shared" si="280"/>
        <v>103</v>
      </c>
      <c r="Y432">
        <v>5000</v>
      </c>
      <c r="Z432">
        <f t="shared" si="254"/>
        <v>6</v>
      </c>
      <c r="AA432">
        <v>1</v>
      </c>
      <c r="AB432">
        <f t="shared" si="286"/>
        <v>1903</v>
      </c>
      <c r="AC432">
        <v>72</v>
      </c>
      <c r="AD432">
        <f t="shared" si="281"/>
        <v>113</v>
      </c>
      <c r="AE432">
        <v>5000</v>
      </c>
      <c r="AF432">
        <f t="shared" si="255"/>
        <v>6</v>
      </c>
      <c r="AG432">
        <v>1</v>
      </c>
      <c r="AH432">
        <f t="shared" si="287"/>
        <v>1903</v>
      </c>
      <c r="AI432">
        <v>71</v>
      </c>
      <c r="AJ432">
        <f t="shared" si="282"/>
        <v>111</v>
      </c>
      <c r="AP432" t="str">
        <f t="shared" si="256"/>
        <v>{5000,6,1,1903,101}</v>
      </c>
      <c r="AQ432" t="str">
        <f t="shared" si="257"/>
        <v>{5000,6,1,1903,102}</v>
      </c>
      <c r="AR432" t="str">
        <f t="shared" si="258"/>
        <v>{5000,6,1,1903,103}</v>
      </c>
      <c r="AS432" t="str">
        <f t="shared" si="259"/>
        <v>{5000,6,1,1903,113}</v>
      </c>
      <c r="AT432" t="str">
        <f t="shared" si="260"/>
        <v>{5000,6,1,1903,111}</v>
      </c>
      <c r="AU432" t="str">
        <f t="shared" si="261"/>
        <v/>
      </c>
      <c r="AV432">
        <v>2915</v>
      </c>
      <c r="AW432" t="str">
        <f t="shared" si="276"/>
        <v>[{5000,6,1,1903,101},{5000,6,1,1903,102},{5000,6,1,1903,103},{5000,6,1,1903,113},{5000,6,1,1903,111}]</v>
      </c>
    </row>
    <row r="433" spans="2:49">
      <c r="B433">
        <v>2916</v>
      </c>
      <c r="C433" t="s">
        <v>43</v>
      </c>
      <c r="D433" t="str">
        <f t="shared" si="264"/>
        <v>20</v>
      </c>
      <c r="F433">
        <v>76</v>
      </c>
      <c r="G433">
        <v>5000</v>
      </c>
      <c r="H433">
        <f t="shared" si="267"/>
        <v>6</v>
      </c>
      <c r="I433">
        <v>1</v>
      </c>
      <c r="J433">
        <v>1</v>
      </c>
      <c r="K433">
        <f t="shared" si="283"/>
        <v>1901</v>
      </c>
      <c r="L433">
        <f t="shared" si="278"/>
        <v>101</v>
      </c>
      <c r="M433">
        <v>5000</v>
      </c>
      <c r="N433">
        <f t="shared" si="277"/>
        <v>6</v>
      </c>
      <c r="O433">
        <v>1</v>
      </c>
      <c r="P433">
        <f t="shared" si="284"/>
        <v>1901</v>
      </c>
      <c r="Q433">
        <v>59</v>
      </c>
      <c r="R433">
        <f t="shared" si="279"/>
        <v>103</v>
      </c>
      <c r="S433">
        <v>5000</v>
      </c>
      <c r="T433">
        <f t="shared" si="253"/>
        <v>6</v>
      </c>
      <c r="U433">
        <v>1</v>
      </c>
      <c r="V433">
        <f t="shared" si="285"/>
        <v>1902</v>
      </c>
      <c r="W433">
        <v>71</v>
      </c>
      <c r="X433">
        <f t="shared" si="280"/>
        <v>111</v>
      </c>
      <c r="Y433">
        <v>5000</v>
      </c>
      <c r="Z433">
        <f t="shared" si="254"/>
        <v>6</v>
      </c>
      <c r="AA433">
        <v>1</v>
      </c>
      <c r="AB433">
        <f t="shared" si="286"/>
        <v>1901</v>
      </c>
      <c r="AC433">
        <v>71</v>
      </c>
      <c r="AD433">
        <f t="shared" si="281"/>
        <v>112</v>
      </c>
      <c r="AE433">
        <v>5000</v>
      </c>
      <c r="AF433">
        <f t="shared" si="255"/>
        <v>6</v>
      </c>
      <c r="AG433">
        <v>1</v>
      </c>
      <c r="AH433">
        <f t="shared" si="287"/>
        <v>1901</v>
      </c>
      <c r="AI433">
        <v>79</v>
      </c>
      <c r="AJ433">
        <f t="shared" si="282"/>
        <v>113</v>
      </c>
      <c r="AP433" t="str">
        <f t="shared" si="256"/>
        <v>{5000,6,1,1901,101}</v>
      </c>
      <c r="AQ433" t="str">
        <f t="shared" si="257"/>
        <v>{5000,6,1,1901,103}</v>
      </c>
      <c r="AR433" t="str">
        <f t="shared" si="258"/>
        <v>{5000,6,1,1902,111}</v>
      </c>
      <c r="AS433" t="str">
        <f t="shared" si="259"/>
        <v>{5000,6,1,1901,112}</v>
      </c>
      <c r="AT433" t="str">
        <f t="shared" si="260"/>
        <v>{5000,6,1,1901,113}</v>
      </c>
      <c r="AU433" t="str">
        <f t="shared" si="261"/>
        <v/>
      </c>
      <c r="AV433">
        <v>2916</v>
      </c>
      <c r="AW433" t="str">
        <f t="shared" si="276"/>
        <v>[{5000,6,1,1901,101},{5000,6,1,1901,103},{5000,6,1,1902,111},{5000,6,1,1901,112},{5000,6,1,1901,113}]</v>
      </c>
    </row>
    <row r="434" spans="2:49">
      <c r="B434">
        <v>2917</v>
      </c>
      <c r="C434" t="s">
        <v>43</v>
      </c>
      <c r="D434" t="str">
        <f t="shared" si="264"/>
        <v>20</v>
      </c>
      <c r="F434">
        <v>91</v>
      </c>
      <c r="G434">
        <v>5000</v>
      </c>
      <c r="H434">
        <f t="shared" si="267"/>
        <v>6</v>
      </c>
      <c r="I434">
        <v>1</v>
      </c>
      <c r="J434">
        <v>1</v>
      </c>
      <c r="K434">
        <f t="shared" si="283"/>
        <v>1901</v>
      </c>
      <c r="L434">
        <f t="shared" si="278"/>
        <v>101</v>
      </c>
      <c r="M434">
        <v>5000</v>
      </c>
      <c r="N434">
        <f t="shared" si="277"/>
        <v>6</v>
      </c>
      <c r="O434">
        <v>1</v>
      </c>
      <c r="P434">
        <f t="shared" si="284"/>
        <v>1901</v>
      </c>
      <c r="Q434">
        <v>54</v>
      </c>
      <c r="R434">
        <f t="shared" si="279"/>
        <v>102</v>
      </c>
      <c r="S434">
        <v>5000</v>
      </c>
      <c r="T434">
        <f t="shared" si="253"/>
        <v>6</v>
      </c>
      <c r="U434">
        <v>1</v>
      </c>
      <c r="V434">
        <f t="shared" si="285"/>
        <v>1902</v>
      </c>
      <c r="W434">
        <v>51</v>
      </c>
      <c r="X434">
        <f t="shared" si="280"/>
        <v>103</v>
      </c>
      <c r="Y434">
        <v>5000</v>
      </c>
      <c r="Z434">
        <f t="shared" si="254"/>
        <v>6</v>
      </c>
      <c r="AA434">
        <v>1</v>
      </c>
      <c r="AB434">
        <f t="shared" si="286"/>
        <v>1901</v>
      </c>
      <c r="AC434">
        <v>71</v>
      </c>
      <c r="AD434">
        <f t="shared" si="281"/>
        <v>113</v>
      </c>
      <c r="AE434">
        <v>5000</v>
      </c>
      <c r="AF434">
        <f t="shared" si="255"/>
        <v>6</v>
      </c>
      <c r="AG434">
        <v>1</v>
      </c>
      <c r="AH434">
        <f t="shared" si="287"/>
        <v>1902</v>
      </c>
      <c r="AI434">
        <v>77</v>
      </c>
      <c r="AJ434">
        <f t="shared" si="282"/>
        <v>111</v>
      </c>
      <c r="AP434" t="str">
        <f t="shared" si="256"/>
        <v>{5000,6,1,1901,101}</v>
      </c>
      <c r="AQ434" t="str">
        <f t="shared" si="257"/>
        <v>{5000,6,1,1901,102}</v>
      </c>
      <c r="AR434" t="str">
        <f t="shared" si="258"/>
        <v>{5000,6,1,1902,103}</v>
      </c>
      <c r="AS434" t="str">
        <f t="shared" si="259"/>
        <v>{5000,6,1,1901,113}</v>
      </c>
      <c r="AT434" t="str">
        <f t="shared" si="260"/>
        <v>{5000,6,1,1902,111}</v>
      </c>
      <c r="AU434" t="str">
        <f t="shared" si="261"/>
        <v/>
      </c>
      <c r="AV434">
        <v>2917</v>
      </c>
      <c r="AW434" t="str">
        <f t="shared" si="276"/>
        <v>[{5000,6,1,1901,101},{5000,6,1,1901,102},{5000,6,1,1902,103},{5000,6,1,1901,113},{5000,6,1,1902,111}]</v>
      </c>
    </row>
    <row r="435" spans="2:49">
      <c r="B435">
        <v>2918</v>
      </c>
      <c r="C435" t="s">
        <v>43</v>
      </c>
      <c r="D435" t="str">
        <f t="shared" si="264"/>
        <v>20</v>
      </c>
      <c r="F435">
        <v>106</v>
      </c>
      <c r="G435">
        <v>5000</v>
      </c>
      <c r="H435">
        <f t="shared" si="267"/>
        <v>6</v>
      </c>
      <c r="I435">
        <v>1</v>
      </c>
      <c r="J435">
        <v>1</v>
      </c>
      <c r="K435">
        <f t="shared" si="283"/>
        <v>1901</v>
      </c>
      <c r="L435">
        <f t="shared" si="278"/>
        <v>101</v>
      </c>
      <c r="M435">
        <v>5000</v>
      </c>
      <c r="N435">
        <f t="shared" si="277"/>
        <v>6</v>
      </c>
      <c r="O435">
        <v>1</v>
      </c>
      <c r="P435">
        <f t="shared" si="284"/>
        <v>1901</v>
      </c>
      <c r="Q435">
        <v>55</v>
      </c>
      <c r="R435">
        <f t="shared" si="279"/>
        <v>103</v>
      </c>
      <c r="S435">
        <v>5000</v>
      </c>
      <c r="T435">
        <f t="shared" si="253"/>
        <v>6</v>
      </c>
      <c r="U435">
        <v>1</v>
      </c>
      <c r="V435">
        <f t="shared" si="285"/>
        <v>1902</v>
      </c>
      <c r="W435">
        <v>73</v>
      </c>
      <c r="X435">
        <f t="shared" si="280"/>
        <v>111</v>
      </c>
      <c r="Y435">
        <v>5000</v>
      </c>
      <c r="Z435">
        <f t="shared" si="254"/>
        <v>6</v>
      </c>
      <c r="AA435">
        <v>1</v>
      </c>
      <c r="AB435">
        <f t="shared" si="286"/>
        <v>1901</v>
      </c>
      <c r="AC435">
        <v>78</v>
      </c>
      <c r="AD435">
        <f t="shared" si="281"/>
        <v>112</v>
      </c>
      <c r="AE435">
        <v>5000</v>
      </c>
      <c r="AF435">
        <f t="shared" si="255"/>
        <v>6</v>
      </c>
      <c r="AG435">
        <v>1</v>
      </c>
      <c r="AH435">
        <f t="shared" si="287"/>
        <v>1902</v>
      </c>
      <c r="AI435">
        <v>71</v>
      </c>
      <c r="AJ435">
        <f t="shared" si="282"/>
        <v>113</v>
      </c>
      <c r="AP435" t="str">
        <f t="shared" si="256"/>
        <v>{5000,6,1,1901,101}</v>
      </c>
      <c r="AQ435" t="str">
        <f t="shared" si="257"/>
        <v>{5000,6,1,1901,103}</v>
      </c>
      <c r="AR435" t="str">
        <f t="shared" si="258"/>
        <v>{5000,6,1,1902,111}</v>
      </c>
      <c r="AS435" t="str">
        <f t="shared" si="259"/>
        <v>{5000,6,1,1901,112}</v>
      </c>
      <c r="AT435" t="str">
        <f t="shared" si="260"/>
        <v>{5000,6,1,1902,113}</v>
      </c>
      <c r="AU435" t="str">
        <f t="shared" si="261"/>
        <v/>
      </c>
      <c r="AV435">
        <v>2918</v>
      </c>
      <c r="AW435" t="str">
        <f t="shared" si="276"/>
        <v>[{5000,6,1,1901,101},{5000,6,1,1901,103},{5000,6,1,1902,111},{5000,6,1,1901,112},{5000,6,1,1902,113}]</v>
      </c>
    </row>
    <row r="436" spans="2:48">
      <c r="B436">
        <v>2919</v>
      </c>
      <c r="C436" t="s">
        <v>43</v>
      </c>
      <c r="D436" t="str">
        <f t="shared" si="264"/>
        <v>20</v>
      </c>
      <c r="F436">
        <v>119</v>
      </c>
      <c r="H436">
        <f t="shared" si="267"/>
        <v>0</v>
      </c>
      <c r="K436" t="str">
        <f t="shared" si="283"/>
        <v/>
      </c>
      <c r="L436" t="str">
        <f t="shared" si="278"/>
        <v/>
      </c>
      <c r="N436">
        <f t="shared" si="277"/>
        <v>0</v>
      </c>
      <c r="P436" t="str">
        <f t="shared" si="284"/>
        <v/>
      </c>
      <c r="R436" t="str">
        <f t="shared" si="279"/>
        <v/>
      </c>
      <c r="T436">
        <f t="shared" si="253"/>
        <v>0</v>
      </c>
      <c r="V436" t="str">
        <f t="shared" si="285"/>
        <v/>
      </c>
      <c r="X436" t="str">
        <f t="shared" si="280"/>
        <v/>
      </c>
      <c r="Z436">
        <f t="shared" si="254"/>
        <v>0</v>
      </c>
      <c r="AB436" t="str">
        <f t="shared" si="286"/>
        <v/>
      </c>
      <c r="AD436" t="str">
        <f t="shared" si="281"/>
        <v/>
      </c>
      <c r="AF436">
        <f t="shared" si="255"/>
        <v>0</v>
      </c>
      <c r="AH436" t="str">
        <f t="shared" si="287"/>
        <v/>
      </c>
      <c r="AJ436" t="str">
        <f t="shared" si="282"/>
        <v/>
      </c>
      <c r="AP436" t="str">
        <f t="shared" si="256"/>
        <v/>
      </c>
      <c r="AQ436" t="str">
        <f t="shared" si="257"/>
        <v/>
      </c>
      <c r="AR436" t="str">
        <f t="shared" si="258"/>
        <v/>
      </c>
      <c r="AS436" t="str">
        <f t="shared" si="259"/>
        <v/>
      </c>
      <c r="AT436" t="str">
        <f t="shared" si="260"/>
        <v/>
      </c>
      <c r="AU436" t="str">
        <f t="shared" si="261"/>
        <v/>
      </c>
      <c r="AV436">
        <v>2919</v>
      </c>
    </row>
    <row r="437" spans="2:49">
      <c r="B437">
        <v>2920</v>
      </c>
      <c r="C437" t="s">
        <v>43</v>
      </c>
      <c r="D437" t="str">
        <f t="shared" si="264"/>
        <v>20</v>
      </c>
      <c r="F437">
        <v>121</v>
      </c>
      <c r="G437">
        <v>5000</v>
      </c>
      <c r="H437">
        <f t="shared" si="267"/>
        <v>8</v>
      </c>
      <c r="I437">
        <v>1</v>
      </c>
      <c r="J437">
        <v>3</v>
      </c>
      <c r="K437">
        <f t="shared" si="283"/>
        <v>1903</v>
      </c>
      <c r="L437">
        <f t="shared" si="278"/>
        <v>101</v>
      </c>
      <c r="M437">
        <v>5000</v>
      </c>
      <c r="N437">
        <f t="shared" si="277"/>
        <v>8</v>
      </c>
      <c r="O437">
        <v>1</v>
      </c>
      <c r="P437">
        <f t="shared" si="284"/>
        <v>1903</v>
      </c>
      <c r="Q437">
        <v>54</v>
      </c>
      <c r="R437">
        <f t="shared" si="279"/>
        <v>102</v>
      </c>
      <c r="S437">
        <v>5000</v>
      </c>
      <c r="T437">
        <f t="shared" si="253"/>
        <v>8</v>
      </c>
      <c r="U437">
        <v>1</v>
      </c>
      <c r="V437">
        <f t="shared" si="285"/>
        <v>1903</v>
      </c>
      <c r="W437">
        <v>51</v>
      </c>
      <c r="X437">
        <f t="shared" si="280"/>
        <v>103</v>
      </c>
      <c r="Y437">
        <v>5000</v>
      </c>
      <c r="Z437">
        <f t="shared" si="254"/>
        <v>8</v>
      </c>
      <c r="AA437">
        <v>1</v>
      </c>
      <c r="AB437">
        <f t="shared" si="286"/>
        <v>1903</v>
      </c>
      <c r="AC437">
        <v>71</v>
      </c>
      <c r="AD437">
        <f t="shared" si="281"/>
        <v>113</v>
      </c>
      <c r="AE437">
        <v>5000</v>
      </c>
      <c r="AF437">
        <f t="shared" si="255"/>
        <v>8</v>
      </c>
      <c r="AG437">
        <v>1</v>
      </c>
      <c r="AH437">
        <f t="shared" si="287"/>
        <v>1903</v>
      </c>
      <c r="AI437">
        <v>79</v>
      </c>
      <c r="AJ437">
        <f t="shared" si="282"/>
        <v>111</v>
      </c>
      <c r="AK437">
        <v>1000</v>
      </c>
      <c r="AL437">
        <v>1</v>
      </c>
      <c r="AM437">
        <v>0</v>
      </c>
      <c r="AN437">
        <f t="shared" ref="AN437" si="288">AN414+100</f>
        <v>1921</v>
      </c>
      <c r="AO437">
        <v>4</v>
      </c>
      <c r="AP437" t="str">
        <f t="shared" si="256"/>
        <v>{5000,8,1,1903,101}</v>
      </c>
      <c r="AQ437" t="str">
        <f t="shared" si="257"/>
        <v>{5000,8,1,1903,102}</v>
      </c>
      <c r="AR437" t="str">
        <f t="shared" si="258"/>
        <v>{5000,8,1,1903,103}</v>
      </c>
      <c r="AS437" t="str">
        <f t="shared" si="259"/>
        <v>{5000,8,1,1903,113}</v>
      </c>
      <c r="AT437" t="str">
        <f t="shared" si="260"/>
        <v>{5000,8,1,1903,111}</v>
      </c>
      <c r="AU437" t="str">
        <f t="shared" si="261"/>
        <v>{1000,1,0,1921,4}</v>
      </c>
      <c r="AV437">
        <v>2920</v>
      </c>
      <c r="AW437" t="str">
        <f t="shared" ref="AW437:AW442" si="289">IF(AU437="","["&amp;_xlfn.TEXTJOIN(",",1,AP437:AT437)&amp;"]","["&amp;_xlfn.TEXTJOIN(",",1,AP437:AU437)&amp;"]")</f>
        <v>[{5000,8,1,1903,101},{5000,8,1,1903,102},{5000,8,1,1903,103},{5000,8,1,1903,113},{5000,8,1,1903,111},{1000,1,0,1921,4}]</v>
      </c>
    </row>
    <row r="438" spans="2:49">
      <c r="B438">
        <v>2921</v>
      </c>
      <c r="C438" t="s">
        <v>43</v>
      </c>
      <c r="D438" t="str">
        <f t="shared" si="264"/>
        <v>20</v>
      </c>
      <c r="F438">
        <v>136</v>
      </c>
      <c r="G438">
        <v>5000</v>
      </c>
      <c r="H438">
        <f t="shared" si="267"/>
        <v>7</v>
      </c>
      <c r="I438">
        <v>1</v>
      </c>
      <c r="J438">
        <v>1</v>
      </c>
      <c r="K438">
        <f t="shared" si="283"/>
        <v>1901</v>
      </c>
      <c r="L438">
        <f t="shared" si="278"/>
        <v>101</v>
      </c>
      <c r="M438">
        <v>5000</v>
      </c>
      <c r="N438">
        <f t="shared" si="277"/>
        <v>7</v>
      </c>
      <c r="O438">
        <v>1</v>
      </c>
      <c r="P438">
        <f t="shared" si="284"/>
        <v>1901</v>
      </c>
      <c r="Q438">
        <v>54</v>
      </c>
      <c r="R438">
        <f t="shared" si="279"/>
        <v>103</v>
      </c>
      <c r="S438">
        <v>5000</v>
      </c>
      <c r="T438">
        <f t="shared" si="253"/>
        <v>7</v>
      </c>
      <c r="U438">
        <v>1</v>
      </c>
      <c r="V438">
        <f t="shared" si="285"/>
        <v>1902</v>
      </c>
      <c r="W438">
        <v>76</v>
      </c>
      <c r="X438">
        <f t="shared" si="280"/>
        <v>111</v>
      </c>
      <c r="Y438">
        <v>5000</v>
      </c>
      <c r="Z438">
        <f t="shared" si="254"/>
        <v>7</v>
      </c>
      <c r="AA438">
        <v>1</v>
      </c>
      <c r="AB438">
        <f t="shared" si="286"/>
        <v>1901</v>
      </c>
      <c r="AC438">
        <v>72</v>
      </c>
      <c r="AD438">
        <f t="shared" si="281"/>
        <v>112</v>
      </c>
      <c r="AE438">
        <v>5000</v>
      </c>
      <c r="AF438">
        <f t="shared" si="255"/>
        <v>7</v>
      </c>
      <c r="AG438">
        <v>1</v>
      </c>
      <c r="AH438">
        <f t="shared" si="287"/>
        <v>1902</v>
      </c>
      <c r="AI438">
        <v>74</v>
      </c>
      <c r="AJ438">
        <f t="shared" si="282"/>
        <v>113</v>
      </c>
      <c r="AP438" t="str">
        <f t="shared" si="256"/>
        <v>{5000,7,1,1901,101}</v>
      </c>
      <c r="AQ438" t="str">
        <f t="shared" si="257"/>
        <v>{5000,7,1,1901,103}</v>
      </c>
      <c r="AR438" t="str">
        <f t="shared" si="258"/>
        <v>{5000,7,1,1902,111}</v>
      </c>
      <c r="AS438" t="str">
        <f t="shared" si="259"/>
        <v>{5000,7,1,1901,112}</v>
      </c>
      <c r="AT438" t="str">
        <f t="shared" si="260"/>
        <v>{5000,7,1,1902,113}</v>
      </c>
      <c r="AU438" t="str">
        <f t="shared" si="261"/>
        <v/>
      </c>
      <c r="AV438">
        <v>2921</v>
      </c>
      <c r="AW438" t="str">
        <f t="shared" si="289"/>
        <v>[{5000,7,1,1901,101},{5000,7,1,1901,103},{5000,7,1,1902,111},{5000,7,1,1901,112},{5000,7,1,1902,113}]</v>
      </c>
    </row>
    <row r="439" spans="2:49">
      <c r="B439">
        <v>2922</v>
      </c>
      <c r="C439" t="s">
        <v>43</v>
      </c>
      <c r="D439" t="str">
        <f t="shared" si="264"/>
        <v>20</v>
      </c>
      <c r="F439">
        <v>151</v>
      </c>
      <c r="G439">
        <v>5000</v>
      </c>
      <c r="H439">
        <f t="shared" si="267"/>
        <v>7</v>
      </c>
      <c r="I439">
        <v>1</v>
      </c>
      <c r="J439">
        <v>1</v>
      </c>
      <c r="K439">
        <f t="shared" si="283"/>
        <v>1901</v>
      </c>
      <c r="L439">
        <f t="shared" si="278"/>
        <v>101</v>
      </c>
      <c r="M439">
        <v>5000</v>
      </c>
      <c r="N439">
        <f t="shared" si="277"/>
        <v>7</v>
      </c>
      <c r="O439">
        <v>1</v>
      </c>
      <c r="P439">
        <f t="shared" si="284"/>
        <v>1901</v>
      </c>
      <c r="Q439">
        <v>54</v>
      </c>
      <c r="R439">
        <f t="shared" si="279"/>
        <v>102</v>
      </c>
      <c r="S439">
        <v>5000</v>
      </c>
      <c r="T439">
        <f t="shared" si="253"/>
        <v>7</v>
      </c>
      <c r="U439">
        <v>1</v>
      </c>
      <c r="V439">
        <f t="shared" si="285"/>
        <v>1902</v>
      </c>
      <c r="W439">
        <v>56</v>
      </c>
      <c r="X439">
        <f t="shared" si="280"/>
        <v>103</v>
      </c>
      <c r="Y439">
        <v>5000</v>
      </c>
      <c r="Z439">
        <f t="shared" si="254"/>
        <v>7</v>
      </c>
      <c r="AA439">
        <v>1</v>
      </c>
      <c r="AB439">
        <f t="shared" si="286"/>
        <v>1901</v>
      </c>
      <c r="AC439">
        <v>72</v>
      </c>
      <c r="AD439">
        <f t="shared" si="281"/>
        <v>113</v>
      </c>
      <c r="AE439">
        <v>5000</v>
      </c>
      <c r="AF439">
        <f t="shared" si="255"/>
        <v>7</v>
      </c>
      <c r="AG439">
        <v>1</v>
      </c>
      <c r="AH439">
        <f t="shared" si="287"/>
        <v>1902</v>
      </c>
      <c r="AI439">
        <v>74</v>
      </c>
      <c r="AJ439">
        <f t="shared" si="282"/>
        <v>111</v>
      </c>
      <c r="AP439" t="str">
        <f t="shared" si="256"/>
        <v>{5000,7,1,1901,101}</v>
      </c>
      <c r="AQ439" t="str">
        <f t="shared" si="257"/>
        <v>{5000,7,1,1901,102}</v>
      </c>
      <c r="AR439" t="str">
        <f t="shared" si="258"/>
        <v>{5000,7,1,1902,103}</v>
      </c>
      <c r="AS439" t="str">
        <f t="shared" si="259"/>
        <v>{5000,7,1,1901,113}</v>
      </c>
      <c r="AT439" t="str">
        <f t="shared" si="260"/>
        <v>{5000,7,1,1902,111}</v>
      </c>
      <c r="AU439" t="str">
        <f t="shared" si="261"/>
        <v/>
      </c>
      <c r="AV439">
        <v>2922</v>
      </c>
      <c r="AW439" t="str">
        <f t="shared" si="289"/>
        <v>[{5000,7,1,1901,101},{5000,7,1,1901,102},{5000,7,1,1902,103},{5000,7,1,1901,113},{5000,7,1,1902,111}]</v>
      </c>
    </row>
    <row r="440" spans="2:49">
      <c r="B440">
        <v>2923</v>
      </c>
      <c r="C440" t="s">
        <v>43</v>
      </c>
      <c r="D440" t="str">
        <f t="shared" si="264"/>
        <v>20</v>
      </c>
      <c r="F440">
        <v>166</v>
      </c>
      <c r="G440">
        <v>5000</v>
      </c>
      <c r="H440">
        <f t="shared" si="267"/>
        <v>9</v>
      </c>
      <c r="I440">
        <v>1</v>
      </c>
      <c r="J440">
        <v>1</v>
      </c>
      <c r="K440">
        <f t="shared" si="283"/>
        <v>1901</v>
      </c>
      <c r="L440">
        <f t="shared" si="278"/>
        <v>101</v>
      </c>
      <c r="M440">
        <v>5000</v>
      </c>
      <c r="N440">
        <f t="shared" si="277"/>
        <v>9</v>
      </c>
      <c r="O440">
        <v>1</v>
      </c>
      <c r="P440">
        <f t="shared" si="284"/>
        <v>1901</v>
      </c>
      <c r="Q440">
        <v>59</v>
      </c>
      <c r="R440">
        <f t="shared" si="279"/>
        <v>103</v>
      </c>
      <c r="S440">
        <v>5000</v>
      </c>
      <c r="T440">
        <f t="shared" si="253"/>
        <v>9</v>
      </c>
      <c r="U440">
        <v>1</v>
      </c>
      <c r="V440">
        <f t="shared" si="285"/>
        <v>1902</v>
      </c>
      <c r="W440">
        <v>79</v>
      </c>
      <c r="X440">
        <f t="shared" si="280"/>
        <v>111</v>
      </c>
      <c r="Y440">
        <v>5000</v>
      </c>
      <c r="Z440">
        <f t="shared" si="254"/>
        <v>9</v>
      </c>
      <c r="AA440">
        <v>1</v>
      </c>
      <c r="AB440">
        <f t="shared" si="286"/>
        <v>1901</v>
      </c>
      <c r="AC440">
        <v>71</v>
      </c>
      <c r="AD440">
        <f t="shared" si="281"/>
        <v>112</v>
      </c>
      <c r="AE440">
        <v>5000</v>
      </c>
      <c r="AF440">
        <f t="shared" si="255"/>
        <v>9</v>
      </c>
      <c r="AG440">
        <v>1</v>
      </c>
      <c r="AH440">
        <f t="shared" si="287"/>
        <v>1902</v>
      </c>
      <c r="AI440">
        <v>74</v>
      </c>
      <c r="AJ440">
        <f t="shared" si="282"/>
        <v>113</v>
      </c>
      <c r="AP440" t="str">
        <f t="shared" si="256"/>
        <v>{5000,9,1,1901,101}</v>
      </c>
      <c r="AQ440" t="str">
        <f t="shared" si="257"/>
        <v>{5000,9,1,1901,103}</v>
      </c>
      <c r="AR440" t="str">
        <f t="shared" si="258"/>
        <v>{5000,9,1,1902,111}</v>
      </c>
      <c r="AS440" t="str">
        <f t="shared" si="259"/>
        <v>{5000,9,1,1901,112}</v>
      </c>
      <c r="AT440" t="str">
        <f t="shared" si="260"/>
        <v>{5000,9,1,1902,113}</v>
      </c>
      <c r="AU440" t="str">
        <f t="shared" si="261"/>
        <v/>
      </c>
      <c r="AV440">
        <v>2923</v>
      </c>
      <c r="AW440" t="str">
        <f t="shared" si="289"/>
        <v>[{5000,9,1,1901,101},{5000,9,1,1901,103},{5000,9,1,1902,111},{5000,9,1,1901,112},{5000,9,1,1902,113}]</v>
      </c>
    </row>
    <row r="441" spans="2:49">
      <c r="B441">
        <v>2924</v>
      </c>
      <c r="C441" t="s">
        <v>43</v>
      </c>
      <c r="D441" t="str">
        <f t="shared" si="264"/>
        <v>20</v>
      </c>
      <c r="F441">
        <v>181</v>
      </c>
      <c r="G441">
        <v>5000</v>
      </c>
      <c r="H441">
        <f t="shared" si="267"/>
        <v>9</v>
      </c>
      <c r="I441">
        <v>1</v>
      </c>
      <c r="J441">
        <v>3</v>
      </c>
      <c r="K441">
        <f t="shared" si="283"/>
        <v>1903</v>
      </c>
      <c r="L441">
        <f t="shared" si="278"/>
        <v>101</v>
      </c>
      <c r="M441">
        <v>5000</v>
      </c>
      <c r="N441">
        <f t="shared" si="277"/>
        <v>9</v>
      </c>
      <c r="O441">
        <v>1</v>
      </c>
      <c r="P441">
        <f t="shared" si="284"/>
        <v>1903</v>
      </c>
      <c r="Q441">
        <v>53</v>
      </c>
      <c r="R441">
        <f t="shared" si="279"/>
        <v>102</v>
      </c>
      <c r="S441">
        <v>5000</v>
      </c>
      <c r="T441">
        <f t="shared" si="253"/>
        <v>9</v>
      </c>
      <c r="U441">
        <v>1</v>
      </c>
      <c r="V441">
        <f t="shared" si="285"/>
        <v>1903</v>
      </c>
      <c r="W441">
        <v>56</v>
      </c>
      <c r="X441">
        <f t="shared" si="280"/>
        <v>103</v>
      </c>
      <c r="Y441">
        <v>5000</v>
      </c>
      <c r="Z441">
        <f t="shared" si="254"/>
        <v>9</v>
      </c>
      <c r="AA441">
        <v>1</v>
      </c>
      <c r="AB441">
        <f t="shared" si="286"/>
        <v>1903</v>
      </c>
      <c r="AC441">
        <v>75</v>
      </c>
      <c r="AD441">
        <f t="shared" si="281"/>
        <v>113</v>
      </c>
      <c r="AE441">
        <v>5000</v>
      </c>
      <c r="AF441">
        <f t="shared" si="255"/>
        <v>9</v>
      </c>
      <c r="AG441">
        <v>1</v>
      </c>
      <c r="AH441">
        <f t="shared" si="287"/>
        <v>1903</v>
      </c>
      <c r="AI441">
        <v>78</v>
      </c>
      <c r="AJ441">
        <f t="shared" si="282"/>
        <v>111</v>
      </c>
      <c r="AP441" t="str">
        <f t="shared" si="256"/>
        <v>{5000,9,1,1903,101}</v>
      </c>
      <c r="AQ441" t="str">
        <f t="shared" si="257"/>
        <v>{5000,9,1,1903,102}</v>
      </c>
      <c r="AR441" t="str">
        <f t="shared" si="258"/>
        <v>{5000,9,1,1903,103}</v>
      </c>
      <c r="AS441" t="str">
        <f t="shared" si="259"/>
        <v>{5000,9,1,1903,113}</v>
      </c>
      <c r="AT441" t="str">
        <f t="shared" si="260"/>
        <v>{5000,9,1,1903,111}</v>
      </c>
      <c r="AU441" t="str">
        <f t="shared" si="261"/>
        <v/>
      </c>
      <c r="AV441">
        <v>2924</v>
      </c>
      <c r="AW441" t="str">
        <f t="shared" si="289"/>
        <v>[{5000,9,1,1903,101},{5000,9,1,1903,102},{5000,9,1,1903,103},{5000,9,1,1903,113},{5000,9,1,1903,111}]</v>
      </c>
    </row>
    <row r="442" spans="2:49">
      <c r="B442">
        <v>2925</v>
      </c>
      <c r="C442" t="s">
        <v>43</v>
      </c>
      <c r="D442" t="str">
        <f t="shared" si="264"/>
        <v>20</v>
      </c>
      <c r="F442">
        <v>196</v>
      </c>
      <c r="G442">
        <v>5000</v>
      </c>
      <c r="H442">
        <f t="shared" si="267"/>
        <v>9</v>
      </c>
      <c r="I442">
        <v>1</v>
      </c>
      <c r="J442">
        <v>2</v>
      </c>
      <c r="K442">
        <f t="shared" si="283"/>
        <v>1902</v>
      </c>
      <c r="L442">
        <f t="shared" si="278"/>
        <v>101</v>
      </c>
      <c r="M442">
        <v>5000</v>
      </c>
      <c r="N442">
        <f t="shared" si="277"/>
        <v>9</v>
      </c>
      <c r="O442">
        <v>1</v>
      </c>
      <c r="P442">
        <f t="shared" si="284"/>
        <v>1901</v>
      </c>
      <c r="Q442">
        <v>54</v>
      </c>
      <c r="R442">
        <f t="shared" si="279"/>
        <v>103</v>
      </c>
      <c r="S442">
        <v>5000</v>
      </c>
      <c r="T442">
        <f t="shared" si="253"/>
        <v>9</v>
      </c>
      <c r="U442">
        <v>1</v>
      </c>
      <c r="V442">
        <f t="shared" si="285"/>
        <v>1902</v>
      </c>
      <c r="W442">
        <v>77</v>
      </c>
      <c r="X442">
        <f t="shared" si="280"/>
        <v>111</v>
      </c>
      <c r="Y442">
        <v>5000</v>
      </c>
      <c r="Z442">
        <f t="shared" si="254"/>
        <v>9</v>
      </c>
      <c r="AA442">
        <v>1</v>
      </c>
      <c r="AB442">
        <f t="shared" si="286"/>
        <v>1901</v>
      </c>
      <c r="AC442">
        <v>72</v>
      </c>
      <c r="AD442">
        <f t="shared" si="281"/>
        <v>112</v>
      </c>
      <c r="AE442">
        <v>5000</v>
      </c>
      <c r="AF442">
        <f t="shared" si="255"/>
        <v>9</v>
      </c>
      <c r="AG442">
        <v>1</v>
      </c>
      <c r="AH442">
        <f t="shared" si="287"/>
        <v>1902</v>
      </c>
      <c r="AI442">
        <v>74</v>
      </c>
      <c r="AJ442">
        <f t="shared" si="282"/>
        <v>113</v>
      </c>
      <c r="AP442" t="str">
        <f t="shared" si="256"/>
        <v>{5000,9,1,1902,101}</v>
      </c>
      <c r="AQ442" t="str">
        <f t="shared" si="257"/>
        <v>{5000,9,1,1901,103}</v>
      </c>
      <c r="AR442" t="str">
        <f t="shared" si="258"/>
        <v>{5000,9,1,1902,111}</v>
      </c>
      <c r="AS442" t="str">
        <f t="shared" si="259"/>
        <v>{5000,9,1,1901,112}</v>
      </c>
      <c r="AT442" t="str">
        <f t="shared" si="260"/>
        <v>{5000,9,1,1902,113}</v>
      </c>
      <c r="AU442" t="str">
        <f t="shared" si="261"/>
        <v/>
      </c>
      <c r="AV442">
        <v>2925</v>
      </c>
      <c r="AW442" t="str">
        <f t="shared" si="289"/>
        <v>[{5000,9,1,1902,101},{5000,9,1,1901,103},{5000,9,1,1902,111},{5000,9,1,1901,112},{5000,9,1,1902,113}]</v>
      </c>
    </row>
    <row r="443" spans="2:48">
      <c r="B443">
        <v>2926</v>
      </c>
      <c r="C443" t="s">
        <v>43</v>
      </c>
      <c r="D443" t="str">
        <f t="shared" si="264"/>
        <v>20</v>
      </c>
      <c r="F443">
        <v>209</v>
      </c>
      <c r="H443">
        <f t="shared" si="267"/>
        <v>0</v>
      </c>
      <c r="K443" t="str">
        <f t="shared" si="283"/>
        <v/>
      </c>
      <c r="L443" t="str">
        <f t="shared" si="278"/>
        <v/>
      </c>
      <c r="N443">
        <f t="shared" si="277"/>
        <v>0</v>
      </c>
      <c r="P443" t="str">
        <f t="shared" si="284"/>
        <v/>
      </c>
      <c r="R443" t="str">
        <f t="shared" si="279"/>
        <v/>
      </c>
      <c r="T443">
        <f t="shared" si="253"/>
        <v>0</v>
      </c>
      <c r="V443" t="str">
        <f t="shared" si="285"/>
        <v/>
      </c>
      <c r="X443" t="str">
        <f t="shared" si="280"/>
        <v/>
      </c>
      <c r="Z443">
        <f t="shared" si="254"/>
        <v>0</v>
      </c>
      <c r="AB443" t="str">
        <f t="shared" si="286"/>
        <v/>
      </c>
      <c r="AD443" t="str">
        <f t="shared" si="281"/>
        <v/>
      </c>
      <c r="AF443">
        <f t="shared" si="255"/>
        <v>0</v>
      </c>
      <c r="AH443" t="str">
        <f t="shared" si="287"/>
        <v/>
      </c>
      <c r="AJ443" t="str">
        <f t="shared" si="282"/>
        <v/>
      </c>
      <c r="AP443" t="str">
        <f t="shared" si="256"/>
        <v/>
      </c>
      <c r="AQ443" t="str">
        <f t="shared" si="257"/>
        <v/>
      </c>
      <c r="AR443" t="str">
        <f t="shared" si="258"/>
        <v/>
      </c>
      <c r="AS443" t="str">
        <f t="shared" si="259"/>
        <v/>
      </c>
      <c r="AT443" t="str">
        <f t="shared" si="260"/>
        <v/>
      </c>
      <c r="AU443" t="str">
        <f t="shared" si="261"/>
        <v/>
      </c>
      <c r="AV443">
        <v>2926</v>
      </c>
    </row>
    <row r="444" spans="2:49">
      <c r="B444">
        <v>2927</v>
      </c>
      <c r="C444" t="s">
        <v>43</v>
      </c>
      <c r="D444" t="str">
        <f t="shared" si="264"/>
        <v>20</v>
      </c>
      <c r="F444">
        <v>211</v>
      </c>
      <c r="G444">
        <v>5000</v>
      </c>
      <c r="H444">
        <f t="shared" si="267"/>
        <v>8</v>
      </c>
      <c r="I444">
        <v>1</v>
      </c>
      <c r="J444">
        <v>2</v>
      </c>
      <c r="K444">
        <f t="shared" si="283"/>
        <v>1902</v>
      </c>
      <c r="L444">
        <f t="shared" si="278"/>
        <v>101</v>
      </c>
      <c r="M444">
        <v>5000</v>
      </c>
      <c r="N444">
        <f t="shared" si="277"/>
        <v>8</v>
      </c>
      <c r="O444">
        <v>1</v>
      </c>
      <c r="P444">
        <f t="shared" si="284"/>
        <v>1901</v>
      </c>
      <c r="Q444">
        <v>51</v>
      </c>
      <c r="R444">
        <f t="shared" si="279"/>
        <v>102</v>
      </c>
      <c r="S444">
        <v>5000</v>
      </c>
      <c r="T444">
        <f t="shared" si="253"/>
        <v>8</v>
      </c>
      <c r="U444">
        <v>1</v>
      </c>
      <c r="V444">
        <f t="shared" si="285"/>
        <v>1902</v>
      </c>
      <c r="W444">
        <v>57</v>
      </c>
      <c r="X444">
        <f t="shared" si="280"/>
        <v>103</v>
      </c>
      <c r="Y444">
        <v>5000</v>
      </c>
      <c r="Z444">
        <f t="shared" si="254"/>
        <v>8</v>
      </c>
      <c r="AA444">
        <v>1</v>
      </c>
      <c r="AB444">
        <f t="shared" si="286"/>
        <v>1901</v>
      </c>
      <c r="AC444">
        <v>79</v>
      </c>
      <c r="AD444">
        <f t="shared" si="281"/>
        <v>113</v>
      </c>
      <c r="AE444">
        <v>5000</v>
      </c>
      <c r="AF444">
        <f t="shared" si="255"/>
        <v>8</v>
      </c>
      <c r="AG444">
        <v>1</v>
      </c>
      <c r="AH444">
        <f t="shared" si="287"/>
        <v>1902</v>
      </c>
      <c r="AI444">
        <v>72</v>
      </c>
      <c r="AJ444">
        <f t="shared" si="282"/>
        <v>111</v>
      </c>
      <c r="AK444">
        <v>1000</v>
      </c>
      <c r="AL444">
        <v>1</v>
      </c>
      <c r="AM444">
        <v>0</v>
      </c>
      <c r="AN444">
        <f t="shared" ref="AN444" si="290">AN421+100</f>
        <v>1931</v>
      </c>
      <c r="AO444">
        <v>4</v>
      </c>
      <c r="AP444" t="str">
        <f t="shared" si="256"/>
        <v>{5000,8,1,1902,101}</v>
      </c>
      <c r="AQ444" t="str">
        <f t="shared" si="257"/>
        <v>{5000,8,1,1901,102}</v>
      </c>
      <c r="AR444" t="str">
        <f t="shared" si="258"/>
        <v>{5000,8,1,1902,103}</v>
      </c>
      <c r="AS444" t="str">
        <f t="shared" si="259"/>
        <v>{5000,8,1,1901,113}</v>
      </c>
      <c r="AT444" t="str">
        <f t="shared" si="260"/>
        <v>{5000,8,1,1902,111}</v>
      </c>
      <c r="AU444" t="str">
        <f t="shared" si="261"/>
        <v>{1000,1,0,1931,4}</v>
      </c>
      <c r="AV444">
        <v>2927</v>
      </c>
      <c r="AW444" t="str">
        <f t="shared" ref="AW444:AW458" si="291">IF(AU444="","["&amp;_xlfn.TEXTJOIN(",",1,AP444:AT444)&amp;"]","["&amp;_xlfn.TEXTJOIN(",",1,AP444:AU444)&amp;"]")</f>
        <v>[{5000,8,1,1902,101},{5000,8,1,1901,102},{5000,8,1,1902,103},{5000,8,1,1901,113},{5000,8,1,1902,111},{1000,1,0,1931,4}]</v>
      </c>
    </row>
    <row r="445" spans="2:49">
      <c r="B445">
        <v>2928</v>
      </c>
      <c r="C445" t="s">
        <v>43</v>
      </c>
      <c r="D445" t="str">
        <f t="shared" si="264"/>
        <v>20</v>
      </c>
      <c r="F445">
        <v>226</v>
      </c>
      <c r="G445">
        <v>5000</v>
      </c>
      <c r="H445">
        <f t="shared" si="267"/>
        <v>8</v>
      </c>
      <c r="I445">
        <v>1</v>
      </c>
      <c r="J445">
        <v>2</v>
      </c>
      <c r="K445">
        <f t="shared" si="283"/>
        <v>1902</v>
      </c>
      <c r="L445">
        <f t="shared" si="278"/>
        <v>101</v>
      </c>
      <c r="M445">
        <v>5000</v>
      </c>
      <c r="N445">
        <f t="shared" si="277"/>
        <v>8</v>
      </c>
      <c r="O445">
        <v>1</v>
      </c>
      <c r="P445">
        <f t="shared" si="284"/>
        <v>1901</v>
      </c>
      <c r="Q445">
        <v>51</v>
      </c>
      <c r="R445">
        <f t="shared" si="279"/>
        <v>103</v>
      </c>
      <c r="S445">
        <v>5000</v>
      </c>
      <c r="T445">
        <f t="shared" si="253"/>
        <v>8</v>
      </c>
      <c r="U445">
        <v>1</v>
      </c>
      <c r="V445">
        <f t="shared" si="285"/>
        <v>1902</v>
      </c>
      <c r="W445">
        <v>75</v>
      </c>
      <c r="X445">
        <f t="shared" si="280"/>
        <v>111</v>
      </c>
      <c r="Y445">
        <v>5000</v>
      </c>
      <c r="Z445">
        <f t="shared" si="254"/>
        <v>8</v>
      </c>
      <c r="AA445">
        <v>1</v>
      </c>
      <c r="AB445">
        <f t="shared" si="286"/>
        <v>1901</v>
      </c>
      <c r="AC445">
        <v>71</v>
      </c>
      <c r="AD445">
        <f t="shared" si="281"/>
        <v>112</v>
      </c>
      <c r="AE445">
        <v>5000</v>
      </c>
      <c r="AF445">
        <f t="shared" si="255"/>
        <v>8</v>
      </c>
      <c r="AG445">
        <v>1</v>
      </c>
      <c r="AH445">
        <f t="shared" si="287"/>
        <v>1902</v>
      </c>
      <c r="AI445">
        <v>77</v>
      </c>
      <c r="AJ445">
        <f t="shared" si="282"/>
        <v>113</v>
      </c>
      <c r="AP445" t="str">
        <f t="shared" si="256"/>
        <v>{5000,8,1,1902,101}</v>
      </c>
      <c r="AQ445" t="str">
        <f t="shared" si="257"/>
        <v>{5000,8,1,1901,103}</v>
      </c>
      <c r="AR445" t="str">
        <f t="shared" si="258"/>
        <v>{5000,8,1,1902,111}</v>
      </c>
      <c r="AS445" t="str">
        <f t="shared" si="259"/>
        <v>{5000,8,1,1901,112}</v>
      </c>
      <c r="AT445" t="str">
        <f t="shared" si="260"/>
        <v>{5000,8,1,1902,113}</v>
      </c>
      <c r="AU445" t="str">
        <f t="shared" si="261"/>
        <v/>
      </c>
      <c r="AV445">
        <v>2928</v>
      </c>
      <c r="AW445" t="str">
        <f t="shared" si="291"/>
        <v>[{5000,8,1,1902,101},{5000,8,1,1901,103},{5000,8,1,1902,111},{5000,8,1,1901,112},{5000,8,1,1902,113}]</v>
      </c>
    </row>
    <row r="446" spans="2:49">
      <c r="B446">
        <v>2929</v>
      </c>
      <c r="C446" t="s">
        <v>43</v>
      </c>
      <c r="D446" t="str">
        <f t="shared" si="264"/>
        <v>20</v>
      </c>
      <c r="F446">
        <v>241</v>
      </c>
      <c r="G446">
        <v>5000</v>
      </c>
      <c r="H446">
        <f t="shared" si="267"/>
        <v>10</v>
      </c>
      <c r="I446">
        <v>1</v>
      </c>
      <c r="J446">
        <v>3</v>
      </c>
      <c r="K446">
        <f t="shared" si="283"/>
        <v>1903</v>
      </c>
      <c r="L446">
        <f t="shared" si="278"/>
        <v>101</v>
      </c>
      <c r="M446">
        <v>5000</v>
      </c>
      <c r="N446">
        <f t="shared" si="277"/>
        <v>10</v>
      </c>
      <c r="O446">
        <v>1</v>
      </c>
      <c r="P446">
        <f t="shared" si="284"/>
        <v>1903</v>
      </c>
      <c r="Q446">
        <v>53</v>
      </c>
      <c r="R446">
        <f t="shared" si="279"/>
        <v>102</v>
      </c>
      <c r="S446">
        <v>5000</v>
      </c>
      <c r="T446">
        <f t="shared" si="253"/>
        <v>10</v>
      </c>
      <c r="U446">
        <v>1</v>
      </c>
      <c r="V446">
        <f t="shared" si="285"/>
        <v>1903</v>
      </c>
      <c r="W446">
        <v>56</v>
      </c>
      <c r="X446">
        <f t="shared" si="280"/>
        <v>103</v>
      </c>
      <c r="Y446">
        <v>5000</v>
      </c>
      <c r="Z446">
        <f t="shared" si="254"/>
        <v>10</v>
      </c>
      <c r="AA446">
        <v>1</v>
      </c>
      <c r="AB446">
        <f t="shared" si="286"/>
        <v>1903</v>
      </c>
      <c r="AC446">
        <v>74</v>
      </c>
      <c r="AD446">
        <f t="shared" si="281"/>
        <v>113</v>
      </c>
      <c r="AE446">
        <v>5000</v>
      </c>
      <c r="AF446">
        <f t="shared" si="255"/>
        <v>10</v>
      </c>
      <c r="AG446">
        <v>1</v>
      </c>
      <c r="AH446">
        <f t="shared" si="287"/>
        <v>1903</v>
      </c>
      <c r="AI446">
        <v>78</v>
      </c>
      <c r="AJ446">
        <f t="shared" si="282"/>
        <v>111</v>
      </c>
      <c r="AP446" t="str">
        <f t="shared" si="256"/>
        <v>{5000,10,1,1903,101}</v>
      </c>
      <c r="AQ446" t="str">
        <f t="shared" si="257"/>
        <v>{5000,10,1,1903,102}</v>
      </c>
      <c r="AR446" t="str">
        <f t="shared" si="258"/>
        <v>{5000,10,1,1903,103}</v>
      </c>
      <c r="AS446" t="str">
        <f t="shared" si="259"/>
        <v>{5000,10,1,1903,113}</v>
      </c>
      <c r="AT446" t="str">
        <f t="shared" si="260"/>
        <v>{5000,10,1,1903,111}</v>
      </c>
      <c r="AU446" t="str">
        <f t="shared" si="261"/>
        <v/>
      </c>
      <c r="AV446">
        <v>2929</v>
      </c>
      <c r="AW446" t="str">
        <f t="shared" si="291"/>
        <v>[{5000,10,1,1903,101},{5000,10,1,1903,102},{5000,10,1,1903,103},{5000,10,1,1903,113},{5000,10,1,1903,111}]</v>
      </c>
    </row>
    <row r="447" spans="2:49">
      <c r="B447">
        <v>2930</v>
      </c>
      <c r="C447" t="s">
        <v>43</v>
      </c>
      <c r="D447" t="str">
        <f t="shared" si="264"/>
        <v>20</v>
      </c>
      <c r="F447">
        <v>256</v>
      </c>
      <c r="G447">
        <v>5000</v>
      </c>
      <c r="H447">
        <f t="shared" si="267"/>
        <v>9</v>
      </c>
      <c r="I447">
        <v>1</v>
      </c>
      <c r="J447">
        <v>2</v>
      </c>
      <c r="K447">
        <f t="shared" si="283"/>
        <v>1902</v>
      </c>
      <c r="L447">
        <f t="shared" si="278"/>
        <v>101</v>
      </c>
      <c r="M447">
        <v>5000</v>
      </c>
      <c r="N447">
        <f t="shared" si="277"/>
        <v>9</v>
      </c>
      <c r="O447">
        <v>1</v>
      </c>
      <c r="P447">
        <f t="shared" si="284"/>
        <v>1902</v>
      </c>
      <c r="Q447">
        <v>59</v>
      </c>
      <c r="R447">
        <f t="shared" si="279"/>
        <v>103</v>
      </c>
      <c r="S447">
        <v>5000</v>
      </c>
      <c r="T447">
        <f t="shared" si="253"/>
        <v>9</v>
      </c>
      <c r="U447">
        <v>1</v>
      </c>
      <c r="V447">
        <f t="shared" si="285"/>
        <v>1902</v>
      </c>
      <c r="W447">
        <v>79</v>
      </c>
      <c r="X447">
        <f t="shared" si="280"/>
        <v>111</v>
      </c>
      <c r="Y447">
        <v>5000</v>
      </c>
      <c r="Z447">
        <f t="shared" si="254"/>
        <v>9</v>
      </c>
      <c r="AA447">
        <v>1</v>
      </c>
      <c r="AB447">
        <f t="shared" si="286"/>
        <v>1901</v>
      </c>
      <c r="AC447">
        <v>72</v>
      </c>
      <c r="AD447">
        <f t="shared" si="281"/>
        <v>112</v>
      </c>
      <c r="AE447">
        <v>5000</v>
      </c>
      <c r="AF447">
        <f t="shared" si="255"/>
        <v>9</v>
      </c>
      <c r="AG447">
        <v>1</v>
      </c>
      <c r="AH447">
        <f t="shared" si="287"/>
        <v>1902</v>
      </c>
      <c r="AI447">
        <v>74</v>
      </c>
      <c r="AJ447">
        <f t="shared" si="282"/>
        <v>113</v>
      </c>
      <c r="AP447" t="str">
        <f t="shared" si="256"/>
        <v>{5000,9,1,1902,101}</v>
      </c>
      <c r="AQ447" t="str">
        <f t="shared" si="257"/>
        <v>{5000,9,1,1902,103}</v>
      </c>
      <c r="AR447" t="str">
        <f t="shared" si="258"/>
        <v>{5000,9,1,1902,111}</v>
      </c>
      <c r="AS447" t="str">
        <f t="shared" si="259"/>
        <v>{5000,9,1,1901,112}</v>
      </c>
      <c r="AT447" t="str">
        <f t="shared" si="260"/>
        <v>{5000,9,1,1902,113}</v>
      </c>
      <c r="AU447" t="str">
        <f t="shared" si="261"/>
        <v/>
      </c>
      <c r="AV447">
        <v>2930</v>
      </c>
      <c r="AW447" t="str">
        <f t="shared" si="291"/>
        <v>[{5000,9,1,1902,101},{5000,9,1,1902,103},{5000,9,1,1902,111},{5000,9,1,1901,112},{5000,9,1,1902,113}]</v>
      </c>
    </row>
    <row r="448" spans="2:49">
      <c r="B448">
        <v>2931</v>
      </c>
      <c r="C448" t="s">
        <v>43</v>
      </c>
      <c r="D448" t="str">
        <f t="shared" si="264"/>
        <v>20</v>
      </c>
      <c r="F448">
        <v>271</v>
      </c>
      <c r="G448">
        <v>5000</v>
      </c>
      <c r="H448">
        <f t="shared" si="267"/>
        <v>10</v>
      </c>
      <c r="I448">
        <v>1</v>
      </c>
      <c r="J448">
        <v>2</v>
      </c>
      <c r="K448">
        <f t="shared" si="283"/>
        <v>1902</v>
      </c>
      <c r="L448">
        <f t="shared" si="278"/>
        <v>101</v>
      </c>
      <c r="M448">
        <v>5000</v>
      </c>
      <c r="N448">
        <f t="shared" si="277"/>
        <v>10</v>
      </c>
      <c r="O448">
        <v>1</v>
      </c>
      <c r="P448">
        <f t="shared" si="284"/>
        <v>1902</v>
      </c>
      <c r="Q448">
        <v>54</v>
      </c>
      <c r="R448">
        <f t="shared" si="279"/>
        <v>102</v>
      </c>
      <c r="S448">
        <v>5000</v>
      </c>
      <c r="T448">
        <f t="shared" si="253"/>
        <v>10</v>
      </c>
      <c r="U448">
        <v>1</v>
      </c>
      <c r="V448">
        <f t="shared" si="285"/>
        <v>1902</v>
      </c>
      <c r="W448">
        <v>56</v>
      </c>
      <c r="X448">
        <f t="shared" si="280"/>
        <v>103</v>
      </c>
      <c r="Y448">
        <v>5000</v>
      </c>
      <c r="Z448">
        <f t="shared" si="254"/>
        <v>10</v>
      </c>
      <c r="AA448">
        <v>1</v>
      </c>
      <c r="AB448">
        <f t="shared" si="286"/>
        <v>1902</v>
      </c>
      <c r="AC448">
        <v>73</v>
      </c>
      <c r="AD448">
        <f t="shared" si="281"/>
        <v>113</v>
      </c>
      <c r="AE448">
        <v>5000</v>
      </c>
      <c r="AF448">
        <f t="shared" si="255"/>
        <v>10</v>
      </c>
      <c r="AG448">
        <v>1</v>
      </c>
      <c r="AH448">
        <f t="shared" si="287"/>
        <v>1902</v>
      </c>
      <c r="AI448">
        <v>75</v>
      </c>
      <c r="AJ448">
        <f t="shared" si="282"/>
        <v>111</v>
      </c>
      <c r="AP448" t="str">
        <f t="shared" si="256"/>
        <v>{5000,10,1,1902,101}</v>
      </c>
      <c r="AQ448" t="str">
        <f t="shared" si="257"/>
        <v>{5000,10,1,1902,102}</v>
      </c>
      <c r="AR448" t="str">
        <f t="shared" si="258"/>
        <v>{5000,10,1,1902,103}</v>
      </c>
      <c r="AS448" t="str">
        <f t="shared" si="259"/>
        <v>{5000,10,1,1902,113}</v>
      </c>
      <c r="AT448" t="str">
        <f t="shared" si="260"/>
        <v>{5000,10,1,1902,111}</v>
      </c>
      <c r="AU448" t="str">
        <f t="shared" si="261"/>
        <v/>
      </c>
      <c r="AV448">
        <v>2931</v>
      </c>
      <c r="AW448" t="str">
        <f t="shared" si="291"/>
        <v>[{5000,10,1,1902,101},{5000,10,1,1902,102},{5000,10,1,1902,103},{5000,10,1,1902,113},{5000,10,1,1902,111}]</v>
      </c>
    </row>
    <row r="449" spans="2:49">
      <c r="B449">
        <v>2932</v>
      </c>
      <c r="C449" t="s">
        <v>43</v>
      </c>
      <c r="D449" t="str">
        <f t="shared" si="264"/>
        <v>20</v>
      </c>
      <c r="F449">
        <v>286</v>
      </c>
      <c r="G449">
        <v>5000</v>
      </c>
      <c r="H449">
        <f t="shared" si="267"/>
        <v>10</v>
      </c>
      <c r="I449">
        <v>1</v>
      </c>
      <c r="J449">
        <v>2</v>
      </c>
      <c r="K449">
        <f t="shared" si="283"/>
        <v>1902</v>
      </c>
      <c r="L449">
        <f t="shared" si="278"/>
        <v>101</v>
      </c>
      <c r="M449">
        <v>5000</v>
      </c>
      <c r="N449">
        <f t="shared" si="277"/>
        <v>10</v>
      </c>
      <c r="O449">
        <v>1</v>
      </c>
      <c r="P449">
        <f t="shared" si="284"/>
        <v>1902</v>
      </c>
      <c r="Q449">
        <v>53</v>
      </c>
      <c r="R449">
        <f t="shared" si="279"/>
        <v>103</v>
      </c>
      <c r="S449">
        <v>5000</v>
      </c>
      <c r="T449">
        <f t="shared" si="253"/>
        <v>10</v>
      </c>
      <c r="U449">
        <v>1</v>
      </c>
      <c r="V449">
        <f t="shared" si="285"/>
        <v>1902</v>
      </c>
      <c r="W449">
        <v>59</v>
      </c>
      <c r="X449">
        <f t="shared" si="280"/>
        <v>111</v>
      </c>
      <c r="Y449">
        <v>5000</v>
      </c>
      <c r="Z449">
        <f t="shared" si="254"/>
        <v>10</v>
      </c>
      <c r="AA449">
        <v>1</v>
      </c>
      <c r="AB449">
        <f t="shared" si="286"/>
        <v>1902</v>
      </c>
      <c r="AC449">
        <v>71</v>
      </c>
      <c r="AD449">
        <f t="shared" si="281"/>
        <v>112</v>
      </c>
      <c r="AE449">
        <v>5000</v>
      </c>
      <c r="AF449">
        <f t="shared" si="255"/>
        <v>10</v>
      </c>
      <c r="AG449">
        <v>1</v>
      </c>
      <c r="AH449">
        <f t="shared" si="287"/>
        <v>1902</v>
      </c>
      <c r="AI449">
        <v>77</v>
      </c>
      <c r="AJ449">
        <f t="shared" si="282"/>
        <v>113</v>
      </c>
      <c r="AP449" t="str">
        <f t="shared" si="256"/>
        <v>{5000,10,1,1902,101}</v>
      </c>
      <c r="AQ449" t="str">
        <f t="shared" si="257"/>
        <v>{5000,10,1,1902,103}</v>
      </c>
      <c r="AR449" t="str">
        <f t="shared" si="258"/>
        <v>{5000,10,1,1902,111}</v>
      </c>
      <c r="AS449" t="str">
        <f t="shared" si="259"/>
        <v>{5000,10,1,1902,112}</v>
      </c>
      <c r="AT449" t="str">
        <f t="shared" si="260"/>
        <v>{5000,10,1,1902,113}</v>
      </c>
      <c r="AU449" t="str">
        <f t="shared" si="261"/>
        <v/>
      </c>
      <c r="AV449">
        <v>2932</v>
      </c>
      <c r="AW449" t="str">
        <f t="shared" si="291"/>
        <v>[{5000,10,1,1902,101},{5000,10,1,1902,103},{5000,10,1,1902,111},{5000,10,1,1902,112},{5000,10,1,1902,113}]</v>
      </c>
    </row>
    <row r="450" spans="2:49">
      <c r="B450">
        <v>2933</v>
      </c>
      <c r="C450" t="s">
        <v>43</v>
      </c>
      <c r="D450" t="str">
        <f t="shared" si="264"/>
        <v>20</v>
      </c>
      <c r="F450">
        <v>290</v>
      </c>
      <c r="G450">
        <v>5000</v>
      </c>
      <c r="H450">
        <f t="shared" si="267"/>
        <v>10</v>
      </c>
      <c r="I450">
        <v>1</v>
      </c>
      <c r="J450">
        <v>2</v>
      </c>
      <c r="K450">
        <f t="shared" si="283"/>
        <v>1902</v>
      </c>
      <c r="L450">
        <f t="shared" si="278"/>
        <v>101</v>
      </c>
      <c r="M450">
        <v>5000</v>
      </c>
      <c r="N450">
        <f t="shared" si="277"/>
        <v>10</v>
      </c>
      <c r="O450">
        <v>1</v>
      </c>
      <c r="P450">
        <f t="shared" si="284"/>
        <v>1902</v>
      </c>
      <c r="Q450">
        <v>56</v>
      </c>
      <c r="R450">
        <f t="shared" si="279"/>
        <v>102</v>
      </c>
      <c r="S450">
        <v>5000</v>
      </c>
      <c r="T450">
        <f t="shared" si="253"/>
        <v>10</v>
      </c>
      <c r="U450">
        <v>1</v>
      </c>
      <c r="V450">
        <f t="shared" si="285"/>
        <v>1901</v>
      </c>
      <c r="W450">
        <v>77</v>
      </c>
      <c r="X450">
        <f t="shared" si="280"/>
        <v>103</v>
      </c>
      <c r="Y450">
        <v>5000</v>
      </c>
      <c r="Z450">
        <f t="shared" si="254"/>
        <v>10</v>
      </c>
      <c r="AA450">
        <v>1</v>
      </c>
      <c r="AB450">
        <f t="shared" si="286"/>
        <v>1902</v>
      </c>
      <c r="AC450">
        <v>72</v>
      </c>
      <c r="AD450">
        <f t="shared" si="281"/>
        <v>113</v>
      </c>
      <c r="AE450">
        <v>5000</v>
      </c>
      <c r="AF450">
        <f t="shared" si="255"/>
        <v>10</v>
      </c>
      <c r="AG450">
        <v>1</v>
      </c>
      <c r="AH450">
        <f t="shared" si="287"/>
        <v>1902</v>
      </c>
      <c r="AI450">
        <v>74</v>
      </c>
      <c r="AJ450">
        <f t="shared" si="282"/>
        <v>111</v>
      </c>
      <c r="AP450" t="str">
        <f t="shared" si="256"/>
        <v>{5000,10,1,1902,101}</v>
      </c>
      <c r="AQ450" t="str">
        <f t="shared" si="257"/>
        <v>{5000,10,1,1902,102}</v>
      </c>
      <c r="AR450" t="str">
        <f t="shared" si="258"/>
        <v>{5000,10,1,1901,103}</v>
      </c>
      <c r="AS450" t="str">
        <f t="shared" si="259"/>
        <v>{5000,10,1,1902,113}</v>
      </c>
      <c r="AT450" t="str">
        <f t="shared" si="260"/>
        <v>{5000,10,1,1902,111}</v>
      </c>
      <c r="AU450" t="str">
        <f t="shared" si="261"/>
        <v/>
      </c>
      <c r="AV450">
        <v>2933</v>
      </c>
      <c r="AW450" t="str">
        <f t="shared" si="291"/>
        <v>[{5000,10,1,1902,101},{5000,10,1,1902,102},{5000,10,1,1901,103},{5000,10,1,1902,113},{5000,10,1,1902,111}]</v>
      </c>
    </row>
    <row r="451" spans="2:49">
      <c r="B451">
        <v>3011</v>
      </c>
      <c r="C451" t="s">
        <v>44</v>
      </c>
      <c r="D451" s="5" t="str">
        <f t="shared" si="264"/>
        <v>21</v>
      </c>
      <c r="E451" s="5"/>
      <c r="F451">
        <v>1</v>
      </c>
      <c r="G451">
        <v>5000</v>
      </c>
      <c r="H451">
        <f>H428+1</f>
        <v>3</v>
      </c>
      <c r="I451">
        <v>1</v>
      </c>
      <c r="J451">
        <v>1</v>
      </c>
      <c r="K451">
        <f t="shared" si="283"/>
        <v>2001</v>
      </c>
      <c r="L451">
        <f t="shared" si="278"/>
        <v>101</v>
      </c>
      <c r="M451">
        <v>5000</v>
      </c>
      <c r="N451">
        <f t="shared" si="277"/>
        <v>3</v>
      </c>
      <c r="O451">
        <v>1</v>
      </c>
      <c r="P451">
        <f t="shared" si="284"/>
        <v>2001</v>
      </c>
      <c r="Q451">
        <v>55</v>
      </c>
      <c r="R451">
        <f t="shared" si="279"/>
        <v>102</v>
      </c>
      <c r="S451">
        <v>5000</v>
      </c>
      <c r="T451">
        <f t="shared" ref="T451:T514" si="292">N451</f>
        <v>3</v>
      </c>
      <c r="U451">
        <v>1</v>
      </c>
      <c r="V451">
        <f t="shared" si="285"/>
        <v>2001</v>
      </c>
      <c r="W451">
        <v>60</v>
      </c>
      <c r="X451">
        <f t="shared" si="280"/>
        <v>103</v>
      </c>
      <c r="Y451">
        <v>5000</v>
      </c>
      <c r="Z451">
        <f t="shared" ref="Z451:Z514" si="293">T451</f>
        <v>3</v>
      </c>
      <c r="AA451">
        <v>1</v>
      </c>
      <c r="AB451">
        <f t="shared" si="286"/>
        <v>2001</v>
      </c>
      <c r="AC451">
        <v>71</v>
      </c>
      <c r="AD451">
        <f t="shared" si="281"/>
        <v>113</v>
      </c>
      <c r="AE451">
        <v>5000</v>
      </c>
      <c r="AF451">
        <f t="shared" ref="AF451:AF514" si="294">Z451</f>
        <v>3</v>
      </c>
      <c r="AG451">
        <v>1</v>
      </c>
      <c r="AH451">
        <f t="shared" si="287"/>
        <v>2001</v>
      </c>
      <c r="AI451">
        <v>76</v>
      </c>
      <c r="AJ451">
        <f t="shared" si="282"/>
        <v>111</v>
      </c>
      <c r="AP451" t="str">
        <f t="shared" ref="AP451:AP514" si="295">IF(G451="","",$AQ$1&amp;_xlfn.TEXTJOIN(",",1,G451:I451,K451,L451)&amp;$AR$1)</f>
        <v>{5000,3,1,2001,101}</v>
      </c>
      <c r="AQ451" t="str">
        <f t="shared" ref="AQ451:AQ514" si="296">IF(G451="","",$AQ$1&amp;_xlfn.TEXTJOIN(",",1,M451:P451,R451)&amp;$AR$1)</f>
        <v>{5000,3,1,2001,102}</v>
      </c>
      <c r="AR451" t="str">
        <f t="shared" ref="AR451:AR514" si="297">IF(G451="","",$AQ$1&amp;_xlfn.TEXTJOIN(",",1,S451:V451,X451)&amp;$AR$1)</f>
        <v>{5000,3,1,2001,103}</v>
      </c>
      <c r="AS451" t="str">
        <f t="shared" ref="AS451:AS514" si="298">IF(G451="","",$AQ$1&amp;_xlfn.TEXTJOIN(",",1,Y451:AB451,AD451)&amp;$AR$1)</f>
        <v>{5000,3,1,2001,113}</v>
      </c>
      <c r="AT451" t="str">
        <f t="shared" ref="AT451:AT514" si="299">IF(G451="","",$AQ$1&amp;_xlfn.TEXTJOIN(",",1,AE451:AH451,AJ451)&amp;$AR$1)</f>
        <v>{5000,3,1,2001,111}</v>
      </c>
      <c r="AU451" t="str">
        <f t="shared" ref="AU451:AU514" si="300">IF(AK451="","",IF(G451="","",$AQ$1&amp;_xlfn.TEXTJOIN(",",1,AK451:AO451)&amp;$AR$1))</f>
        <v/>
      </c>
      <c r="AV451">
        <v>3011</v>
      </c>
      <c r="AW451" t="str">
        <f t="shared" si="291"/>
        <v>[{5000,3,1,2001,101},{5000,3,1,2001,102},{5000,3,1,2001,103},{5000,3,1,2001,113},{5000,3,1,2001,111}]</v>
      </c>
    </row>
    <row r="452" spans="2:49">
      <c r="B452">
        <v>3012</v>
      </c>
      <c r="C452" t="s">
        <v>44</v>
      </c>
      <c r="D452" t="str">
        <f t="shared" si="264"/>
        <v>21</v>
      </c>
      <c r="F452">
        <v>16</v>
      </c>
      <c r="G452">
        <v>5000</v>
      </c>
      <c r="H452">
        <f>H429+1</f>
        <v>3</v>
      </c>
      <c r="I452">
        <v>1</v>
      </c>
      <c r="J452">
        <v>1</v>
      </c>
      <c r="K452">
        <f t="shared" ref="K452:K474" si="301">IF($J452="","",K429+100)</f>
        <v>2001</v>
      </c>
      <c r="L452">
        <f t="shared" si="278"/>
        <v>101</v>
      </c>
      <c r="M452">
        <v>5000</v>
      </c>
      <c r="N452">
        <f t="shared" si="277"/>
        <v>3</v>
      </c>
      <c r="O452">
        <v>1</v>
      </c>
      <c r="P452">
        <f t="shared" ref="P452:P474" si="302">IF($J452="","",P429+100)</f>
        <v>2001</v>
      </c>
      <c r="Q452">
        <v>55</v>
      </c>
      <c r="R452">
        <f t="shared" si="279"/>
        <v>103</v>
      </c>
      <c r="S452">
        <v>5000</v>
      </c>
      <c r="T452">
        <f t="shared" si="292"/>
        <v>3</v>
      </c>
      <c r="U452">
        <v>1</v>
      </c>
      <c r="V452">
        <f t="shared" ref="V452:V474" si="303">IF($J452="","",V429+100)</f>
        <v>2001</v>
      </c>
      <c r="W452">
        <v>75</v>
      </c>
      <c r="X452">
        <f t="shared" si="280"/>
        <v>111</v>
      </c>
      <c r="Y452">
        <v>5000</v>
      </c>
      <c r="Z452">
        <f t="shared" si="293"/>
        <v>3</v>
      </c>
      <c r="AA452">
        <v>1</v>
      </c>
      <c r="AB452">
        <f t="shared" ref="AB452:AB474" si="304">IF($J452="","",AB429+100)</f>
        <v>2001</v>
      </c>
      <c r="AC452">
        <v>73</v>
      </c>
      <c r="AD452">
        <f t="shared" si="281"/>
        <v>112</v>
      </c>
      <c r="AE452">
        <v>5000</v>
      </c>
      <c r="AF452">
        <f t="shared" si="294"/>
        <v>3</v>
      </c>
      <c r="AG452">
        <v>1</v>
      </c>
      <c r="AH452">
        <f t="shared" ref="AH452:AH474" si="305">IF($J452="","",AH429+100)</f>
        <v>2001</v>
      </c>
      <c r="AI452">
        <v>78</v>
      </c>
      <c r="AJ452">
        <f t="shared" si="282"/>
        <v>113</v>
      </c>
      <c r="AP452" t="str">
        <f t="shared" si="295"/>
        <v>{5000,3,1,2001,101}</v>
      </c>
      <c r="AQ452" t="str">
        <f t="shared" si="296"/>
        <v>{5000,3,1,2001,103}</v>
      </c>
      <c r="AR452" t="str">
        <f t="shared" si="297"/>
        <v>{5000,3,1,2001,111}</v>
      </c>
      <c r="AS452" t="str">
        <f t="shared" si="298"/>
        <v>{5000,3,1,2001,112}</v>
      </c>
      <c r="AT452" t="str">
        <f t="shared" si="299"/>
        <v>{5000,3,1,2001,113}</v>
      </c>
      <c r="AU452" t="str">
        <f t="shared" si="300"/>
        <v/>
      </c>
      <c r="AV452">
        <v>3012</v>
      </c>
      <c r="AW452" t="str">
        <f t="shared" si="291"/>
        <v>[{5000,3,1,2001,101},{5000,3,1,2001,103},{5000,3,1,2001,111},{5000,3,1,2001,112},{5000,3,1,2001,113}]</v>
      </c>
    </row>
    <row r="453" spans="2:49">
      <c r="B453">
        <v>3013</v>
      </c>
      <c r="C453" t="s">
        <v>44</v>
      </c>
      <c r="D453" t="str">
        <f t="shared" si="264"/>
        <v>21</v>
      </c>
      <c r="F453">
        <v>31</v>
      </c>
      <c r="G453">
        <v>5000</v>
      </c>
      <c r="H453">
        <f t="shared" ref="H453:H458" si="306">H430+2</f>
        <v>6</v>
      </c>
      <c r="I453">
        <v>1</v>
      </c>
      <c r="J453">
        <v>1</v>
      </c>
      <c r="K453">
        <f t="shared" si="301"/>
        <v>2001</v>
      </c>
      <c r="L453">
        <f t="shared" si="278"/>
        <v>101</v>
      </c>
      <c r="M453">
        <v>5000</v>
      </c>
      <c r="N453">
        <f t="shared" si="277"/>
        <v>6</v>
      </c>
      <c r="O453">
        <v>1</v>
      </c>
      <c r="P453">
        <f t="shared" si="302"/>
        <v>2001</v>
      </c>
      <c r="Q453">
        <v>55</v>
      </c>
      <c r="R453">
        <f t="shared" si="279"/>
        <v>102</v>
      </c>
      <c r="S453">
        <v>5000</v>
      </c>
      <c r="T453">
        <f t="shared" si="292"/>
        <v>6</v>
      </c>
      <c r="U453">
        <v>1</v>
      </c>
      <c r="V453">
        <f t="shared" si="303"/>
        <v>2001</v>
      </c>
      <c r="W453">
        <v>58</v>
      </c>
      <c r="X453">
        <f t="shared" si="280"/>
        <v>103</v>
      </c>
      <c r="Y453">
        <v>5000</v>
      </c>
      <c r="Z453">
        <f t="shared" si="293"/>
        <v>6</v>
      </c>
      <c r="AA453">
        <v>1</v>
      </c>
      <c r="AB453">
        <f t="shared" si="304"/>
        <v>2001</v>
      </c>
      <c r="AC453">
        <v>76</v>
      </c>
      <c r="AD453">
        <f t="shared" si="281"/>
        <v>113</v>
      </c>
      <c r="AE453">
        <v>5000</v>
      </c>
      <c r="AF453">
        <f t="shared" si="294"/>
        <v>6</v>
      </c>
      <c r="AG453">
        <v>1</v>
      </c>
      <c r="AH453">
        <f t="shared" si="305"/>
        <v>2001</v>
      </c>
      <c r="AI453">
        <v>79</v>
      </c>
      <c r="AJ453">
        <f t="shared" si="282"/>
        <v>111</v>
      </c>
      <c r="AP453" t="str">
        <f t="shared" si="295"/>
        <v>{5000,6,1,2001,101}</v>
      </c>
      <c r="AQ453" t="str">
        <f t="shared" si="296"/>
        <v>{5000,6,1,2001,102}</v>
      </c>
      <c r="AR453" t="str">
        <f t="shared" si="297"/>
        <v>{5000,6,1,2001,103}</v>
      </c>
      <c r="AS453" t="str">
        <f t="shared" si="298"/>
        <v>{5000,6,1,2001,113}</v>
      </c>
      <c r="AT453" t="str">
        <f t="shared" si="299"/>
        <v>{5000,6,1,2001,111}</v>
      </c>
      <c r="AU453" t="str">
        <f t="shared" si="300"/>
        <v/>
      </c>
      <c r="AV453">
        <v>3013</v>
      </c>
      <c r="AW453" t="str">
        <f t="shared" si="291"/>
        <v>[{5000,6,1,2001,101},{5000,6,1,2001,102},{5000,6,1,2001,103},{5000,6,1,2001,113},{5000,6,1,2001,111}]</v>
      </c>
    </row>
    <row r="454" spans="2:49">
      <c r="B454">
        <v>3014</v>
      </c>
      <c r="C454" t="s">
        <v>44</v>
      </c>
      <c r="D454" t="str">
        <f t="shared" si="264"/>
        <v>21</v>
      </c>
      <c r="F454">
        <v>46</v>
      </c>
      <c r="G454">
        <v>5000</v>
      </c>
      <c r="H454">
        <f t="shared" si="306"/>
        <v>6</v>
      </c>
      <c r="I454">
        <v>1</v>
      </c>
      <c r="J454">
        <v>1</v>
      </c>
      <c r="K454">
        <f t="shared" si="301"/>
        <v>2001</v>
      </c>
      <c r="L454">
        <f t="shared" si="278"/>
        <v>101</v>
      </c>
      <c r="M454">
        <v>5000</v>
      </c>
      <c r="N454">
        <f t="shared" si="277"/>
        <v>6</v>
      </c>
      <c r="O454">
        <v>1</v>
      </c>
      <c r="P454">
        <f t="shared" si="302"/>
        <v>2001</v>
      </c>
      <c r="Q454">
        <v>55</v>
      </c>
      <c r="R454">
        <f t="shared" si="279"/>
        <v>103</v>
      </c>
      <c r="S454">
        <v>5000</v>
      </c>
      <c r="T454">
        <f t="shared" si="292"/>
        <v>6</v>
      </c>
      <c r="U454">
        <v>1</v>
      </c>
      <c r="V454">
        <f t="shared" si="303"/>
        <v>2002</v>
      </c>
      <c r="W454">
        <v>76</v>
      </c>
      <c r="X454">
        <f t="shared" si="280"/>
        <v>111</v>
      </c>
      <c r="Y454">
        <v>5000</v>
      </c>
      <c r="Z454">
        <f t="shared" si="293"/>
        <v>6</v>
      </c>
      <c r="AA454">
        <v>1</v>
      </c>
      <c r="AB454">
        <f t="shared" si="304"/>
        <v>2001</v>
      </c>
      <c r="AC454">
        <v>71</v>
      </c>
      <c r="AD454">
        <f t="shared" si="281"/>
        <v>112</v>
      </c>
      <c r="AE454">
        <v>5000</v>
      </c>
      <c r="AF454">
        <f t="shared" si="294"/>
        <v>6</v>
      </c>
      <c r="AG454">
        <v>1</v>
      </c>
      <c r="AH454">
        <f t="shared" si="305"/>
        <v>2001</v>
      </c>
      <c r="AI454">
        <v>71</v>
      </c>
      <c r="AJ454">
        <f t="shared" si="282"/>
        <v>113</v>
      </c>
      <c r="AP454" t="str">
        <f t="shared" si="295"/>
        <v>{5000,6,1,2001,101}</v>
      </c>
      <c r="AQ454" t="str">
        <f t="shared" si="296"/>
        <v>{5000,6,1,2001,103}</v>
      </c>
      <c r="AR454" t="str">
        <f t="shared" si="297"/>
        <v>{5000,6,1,2002,111}</v>
      </c>
      <c r="AS454" t="str">
        <f t="shared" si="298"/>
        <v>{5000,6,1,2001,112}</v>
      </c>
      <c r="AT454" t="str">
        <f t="shared" si="299"/>
        <v>{5000,6,1,2001,113}</v>
      </c>
      <c r="AU454" t="str">
        <f t="shared" si="300"/>
        <v/>
      </c>
      <c r="AV454">
        <v>3014</v>
      </c>
      <c r="AW454" t="str">
        <f t="shared" si="291"/>
        <v>[{5000,6,1,2001,101},{5000,6,1,2001,103},{5000,6,1,2002,111},{5000,6,1,2001,112},{5000,6,1,2001,113}]</v>
      </c>
    </row>
    <row r="455" spans="2:49">
      <c r="B455">
        <v>3015</v>
      </c>
      <c r="C455" t="s">
        <v>44</v>
      </c>
      <c r="D455" t="str">
        <f t="shared" si="264"/>
        <v>21</v>
      </c>
      <c r="F455">
        <v>61</v>
      </c>
      <c r="G455">
        <v>5000</v>
      </c>
      <c r="H455">
        <f t="shared" si="306"/>
        <v>8</v>
      </c>
      <c r="I455">
        <v>1</v>
      </c>
      <c r="J455">
        <v>3</v>
      </c>
      <c r="K455">
        <f t="shared" si="301"/>
        <v>2003</v>
      </c>
      <c r="L455">
        <f t="shared" si="278"/>
        <v>101</v>
      </c>
      <c r="M455">
        <v>5000</v>
      </c>
      <c r="N455">
        <f t="shared" si="277"/>
        <v>8</v>
      </c>
      <c r="O455">
        <v>1</v>
      </c>
      <c r="P455">
        <f t="shared" si="302"/>
        <v>2003</v>
      </c>
      <c r="Q455">
        <v>56</v>
      </c>
      <c r="R455">
        <f t="shared" si="279"/>
        <v>102</v>
      </c>
      <c r="S455">
        <v>5000</v>
      </c>
      <c r="T455">
        <f t="shared" si="292"/>
        <v>8</v>
      </c>
      <c r="U455">
        <v>1</v>
      </c>
      <c r="V455">
        <f t="shared" si="303"/>
        <v>2003</v>
      </c>
      <c r="W455">
        <v>57</v>
      </c>
      <c r="X455">
        <f t="shared" si="280"/>
        <v>103</v>
      </c>
      <c r="Y455">
        <v>5000</v>
      </c>
      <c r="Z455">
        <f t="shared" si="293"/>
        <v>8</v>
      </c>
      <c r="AA455">
        <v>1</v>
      </c>
      <c r="AB455">
        <f t="shared" si="304"/>
        <v>2003</v>
      </c>
      <c r="AC455">
        <v>72</v>
      </c>
      <c r="AD455">
        <f t="shared" si="281"/>
        <v>113</v>
      </c>
      <c r="AE455">
        <v>5000</v>
      </c>
      <c r="AF455">
        <f t="shared" si="294"/>
        <v>8</v>
      </c>
      <c r="AG455">
        <v>1</v>
      </c>
      <c r="AH455">
        <f t="shared" si="305"/>
        <v>2003</v>
      </c>
      <c r="AI455">
        <v>71</v>
      </c>
      <c r="AJ455">
        <f t="shared" si="282"/>
        <v>111</v>
      </c>
      <c r="AP455" t="str">
        <f t="shared" si="295"/>
        <v>{5000,8,1,2003,101}</v>
      </c>
      <c r="AQ455" t="str">
        <f t="shared" si="296"/>
        <v>{5000,8,1,2003,102}</v>
      </c>
      <c r="AR455" t="str">
        <f t="shared" si="297"/>
        <v>{5000,8,1,2003,103}</v>
      </c>
      <c r="AS455" t="str">
        <f t="shared" si="298"/>
        <v>{5000,8,1,2003,113}</v>
      </c>
      <c r="AT455" t="str">
        <f t="shared" si="299"/>
        <v>{5000,8,1,2003,111}</v>
      </c>
      <c r="AU455" t="str">
        <f t="shared" si="300"/>
        <v/>
      </c>
      <c r="AV455">
        <v>3015</v>
      </c>
      <c r="AW455" t="str">
        <f t="shared" si="291"/>
        <v>[{5000,8,1,2003,101},{5000,8,1,2003,102},{5000,8,1,2003,103},{5000,8,1,2003,113},{5000,8,1,2003,111}]</v>
      </c>
    </row>
    <row r="456" spans="2:49">
      <c r="B456">
        <v>3016</v>
      </c>
      <c r="C456" t="s">
        <v>44</v>
      </c>
      <c r="D456" t="str">
        <f t="shared" ref="D456:D519" si="307">RIGHT(C456,2)</f>
        <v>21</v>
      </c>
      <c r="F456">
        <v>76</v>
      </c>
      <c r="G456">
        <v>5000</v>
      </c>
      <c r="H456">
        <f t="shared" si="306"/>
        <v>8</v>
      </c>
      <c r="I456">
        <v>1</v>
      </c>
      <c r="J456">
        <v>1</v>
      </c>
      <c r="K456">
        <f t="shared" si="301"/>
        <v>2001</v>
      </c>
      <c r="L456">
        <f t="shared" si="278"/>
        <v>101</v>
      </c>
      <c r="M456">
        <v>5000</v>
      </c>
      <c r="N456">
        <f t="shared" si="277"/>
        <v>8</v>
      </c>
      <c r="O456">
        <v>1</v>
      </c>
      <c r="P456">
        <f t="shared" si="302"/>
        <v>2001</v>
      </c>
      <c r="Q456">
        <v>59</v>
      </c>
      <c r="R456">
        <f t="shared" si="279"/>
        <v>103</v>
      </c>
      <c r="S456">
        <v>5000</v>
      </c>
      <c r="T456">
        <f t="shared" si="292"/>
        <v>8</v>
      </c>
      <c r="U456">
        <v>1</v>
      </c>
      <c r="V456">
        <f t="shared" si="303"/>
        <v>2002</v>
      </c>
      <c r="W456">
        <v>71</v>
      </c>
      <c r="X456">
        <f t="shared" si="280"/>
        <v>111</v>
      </c>
      <c r="Y456">
        <v>5000</v>
      </c>
      <c r="Z456">
        <f t="shared" si="293"/>
        <v>8</v>
      </c>
      <c r="AA456">
        <v>1</v>
      </c>
      <c r="AB456">
        <f t="shared" si="304"/>
        <v>2001</v>
      </c>
      <c r="AC456">
        <v>71</v>
      </c>
      <c r="AD456">
        <f t="shared" si="281"/>
        <v>112</v>
      </c>
      <c r="AE456">
        <v>5000</v>
      </c>
      <c r="AF456">
        <f t="shared" si="294"/>
        <v>8</v>
      </c>
      <c r="AG456">
        <v>1</v>
      </c>
      <c r="AH456">
        <f t="shared" si="305"/>
        <v>2001</v>
      </c>
      <c r="AI456">
        <v>79</v>
      </c>
      <c r="AJ456">
        <f t="shared" si="282"/>
        <v>113</v>
      </c>
      <c r="AP456" t="str">
        <f t="shared" si="295"/>
        <v>{5000,8,1,2001,101}</v>
      </c>
      <c r="AQ456" t="str">
        <f t="shared" si="296"/>
        <v>{5000,8,1,2001,103}</v>
      </c>
      <c r="AR456" t="str">
        <f t="shared" si="297"/>
        <v>{5000,8,1,2002,111}</v>
      </c>
      <c r="AS456" t="str">
        <f t="shared" si="298"/>
        <v>{5000,8,1,2001,112}</v>
      </c>
      <c r="AT456" t="str">
        <f t="shared" si="299"/>
        <v>{5000,8,1,2001,113}</v>
      </c>
      <c r="AU456" t="str">
        <f t="shared" si="300"/>
        <v/>
      </c>
      <c r="AV456">
        <v>3016</v>
      </c>
      <c r="AW456" t="str">
        <f t="shared" si="291"/>
        <v>[{5000,8,1,2001,101},{5000,8,1,2001,103},{5000,8,1,2002,111},{5000,8,1,2001,112},{5000,8,1,2001,113}]</v>
      </c>
    </row>
    <row r="457" spans="2:49">
      <c r="B457">
        <v>3017</v>
      </c>
      <c r="C457" t="s">
        <v>44</v>
      </c>
      <c r="D457" t="str">
        <f t="shared" si="307"/>
        <v>21</v>
      </c>
      <c r="F457">
        <v>91</v>
      </c>
      <c r="G457">
        <v>5000</v>
      </c>
      <c r="H457">
        <f t="shared" si="306"/>
        <v>8</v>
      </c>
      <c r="I457">
        <v>1</v>
      </c>
      <c r="J457">
        <v>1</v>
      </c>
      <c r="K457">
        <f t="shared" si="301"/>
        <v>2001</v>
      </c>
      <c r="L457">
        <f t="shared" si="278"/>
        <v>101</v>
      </c>
      <c r="M457">
        <v>5000</v>
      </c>
      <c r="N457">
        <f t="shared" si="277"/>
        <v>8</v>
      </c>
      <c r="O457">
        <v>1</v>
      </c>
      <c r="P457">
        <f t="shared" si="302"/>
        <v>2001</v>
      </c>
      <c r="Q457">
        <v>54</v>
      </c>
      <c r="R457">
        <f t="shared" si="279"/>
        <v>102</v>
      </c>
      <c r="S457">
        <v>5000</v>
      </c>
      <c r="T457">
        <f t="shared" si="292"/>
        <v>8</v>
      </c>
      <c r="U457">
        <v>1</v>
      </c>
      <c r="V457">
        <f t="shared" si="303"/>
        <v>2002</v>
      </c>
      <c r="W457">
        <v>51</v>
      </c>
      <c r="X457">
        <f t="shared" si="280"/>
        <v>103</v>
      </c>
      <c r="Y457">
        <v>5000</v>
      </c>
      <c r="Z457">
        <f t="shared" si="293"/>
        <v>8</v>
      </c>
      <c r="AA457">
        <v>1</v>
      </c>
      <c r="AB457">
        <f t="shared" si="304"/>
        <v>2001</v>
      </c>
      <c r="AC457">
        <v>71</v>
      </c>
      <c r="AD457">
        <f t="shared" si="281"/>
        <v>113</v>
      </c>
      <c r="AE457">
        <v>5000</v>
      </c>
      <c r="AF457">
        <f t="shared" si="294"/>
        <v>8</v>
      </c>
      <c r="AG457">
        <v>1</v>
      </c>
      <c r="AH457">
        <f t="shared" si="305"/>
        <v>2002</v>
      </c>
      <c r="AI457">
        <v>77</v>
      </c>
      <c r="AJ457">
        <f t="shared" si="282"/>
        <v>111</v>
      </c>
      <c r="AP457" t="str">
        <f t="shared" si="295"/>
        <v>{5000,8,1,2001,101}</v>
      </c>
      <c r="AQ457" t="str">
        <f t="shared" si="296"/>
        <v>{5000,8,1,2001,102}</v>
      </c>
      <c r="AR457" t="str">
        <f t="shared" si="297"/>
        <v>{5000,8,1,2002,103}</v>
      </c>
      <c r="AS457" t="str">
        <f t="shared" si="298"/>
        <v>{5000,8,1,2001,113}</v>
      </c>
      <c r="AT457" t="str">
        <f t="shared" si="299"/>
        <v>{5000,8,1,2002,111}</v>
      </c>
      <c r="AU457" t="str">
        <f t="shared" si="300"/>
        <v/>
      </c>
      <c r="AV457">
        <v>3017</v>
      </c>
      <c r="AW457" t="str">
        <f t="shared" si="291"/>
        <v>[{5000,8,1,2001,101},{5000,8,1,2001,102},{5000,8,1,2002,103},{5000,8,1,2001,113},{5000,8,1,2002,111}]</v>
      </c>
    </row>
    <row r="458" spans="2:49">
      <c r="B458">
        <v>3018</v>
      </c>
      <c r="C458" t="s">
        <v>44</v>
      </c>
      <c r="D458" t="str">
        <f t="shared" si="307"/>
        <v>21</v>
      </c>
      <c r="F458">
        <v>106</v>
      </c>
      <c r="G458">
        <v>5000</v>
      </c>
      <c r="H458">
        <f t="shared" si="306"/>
        <v>8</v>
      </c>
      <c r="I458">
        <v>1</v>
      </c>
      <c r="J458">
        <v>1</v>
      </c>
      <c r="K458">
        <f t="shared" si="301"/>
        <v>2001</v>
      </c>
      <c r="L458">
        <f t="shared" si="278"/>
        <v>101</v>
      </c>
      <c r="M458">
        <v>5000</v>
      </c>
      <c r="N458">
        <f t="shared" si="277"/>
        <v>8</v>
      </c>
      <c r="O458">
        <v>1</v>
      </c>
      <c r="P458">
        <f t="shared" si="302"/>
        <v>2001</v>
      </c>
      <c r="Q458">
        <v>55</v>
      </c>
      <c r="R458">
        <f t="shared" si="279"/>
        <v>103</v>
      </c>
      <c r="S458">
        <v>5000</v>
      </c>
      <c r="T458">
        <f t="shared" si="292"/>
        <v>8</v>
      </c>
      <c r="U458">
        <v>1</v>
      </c>
      <c r="V458">
        <f t="shared" si="303"/>
        <v>2002</v>
      </c>
      <c r="W458">
        <v>73</v>
      </c>
      <c r="X458">
        <f t="shared" si="280"/>
        <v>111</v>
      </c>
      <c r="Y458">
        <v>5000</v>
      </c>
      <c r="Z458">
        <f t="shared" si="293"/>
        <v>8</v>
      </c>
      <c r="AA458">
        <v>1</v>
      </c>
      <c r="AB458">
        <f t="shared" si="304"/>
        <v>2001</v>
      </c>
      <c r="AC458">
        <v>78</v>
      </c>
      <c r="AD458">
        <f t="shared" si="281"/>
        <v>112</v>
      </c>
      <c r="AE458">
        <v>5000</v>
      </c>
      <c r="AF458">
        <f t="shared" si="294"/>
        <v>8</v>
      </c>
      <c r="AG458">
        <v>1</v>
      </c>
      <c r="AH458">
        <f t="shared" si="305"/>
        <v>2002</v>
      </c>
      <c r="AI458">
        <v>71</v>
      </c>
      <c r="AJ458">
        <f t="shared" si="282"/>
        <v>113</v>
      </c>
      <c r="AP458" t="str">
        <f t="shared" si="295"/>
        <v>{5000,8,1,2001,101}</v>
      </c>
      <c r="AQ458" t="str">
        <f t="shared" si="296"/>
        <v>{5000,8,1,2001,103}</v>
      </c>
      <c r="AR458" t="str">
        <f t="shared" si="297"/>
        <v>{5000,8,1,2002,111}</v>
      </c>
      <c r="AS458" t="str">
        <f t="shared" si="298"/>
        <v>{5000,8,1,2001,112}</v>
      </c>
      <c r="AT458" t="str">
        <f t="shared" si="299"/>
        <v>{5000,8,1,2002,113}</v>
      </c>
      <c r="AU458" t="str">
        <f t="shared" si="300"/>
        <v/>
      </c>
      <c r="AV458">
        <v>3018</v>
      </c>
      <c r="AW458" t="str">
        <f t="shared" si="291"/>
        <v>[{5000,8,1,2001,101},{5000,8,1,2001,103},{5000,8,1,2002,111},{5000,8,1,2001,112},{5000,8,1,2002,113}]</v>
      </c>
    </row>
    <row r="459" spans="2:48">
      <c r="B459">
        <v>3019</v>
      </c>
      <c r="C459" t="s">
        <v>44</v>
      </c>
      <c r="D459" t="str">
        <f t="shared" si="307"/>
        <v>21</v>
      </c>
      <c r="F459">
        <v>119</v>
      </c>
      <c r="K459" t="str">
        <f t="shared" si="301"/>
        <v/>
      </c>
      <c r="L459" t="str">
        <f t="shared" si="278"/>
        <v/>
      </c>
      <c r="N459">
        <f t="shared" si="277"/>
        <v>0</v>
      </c>
      <c r="P459" t="str">
        <f t="shared" si="302"/>
        <v/>
      </c>
      <c r="R459" t="str">
        <f t="shared" si="279"/>
        <v/>
      </c>
      <c r="T459">
        <f t="shared" si="292"/>
        <v>0</v>
      </c>
      <c r="V459" t="str">
        <f t="shared" si="303"/>
        <v/>
      </c>
      <c r="X459" t="str">
        <f t="shared" si="280"/>
        <v/>
      </c>
      <c r="Z459">
        <f t="shared" si="293"/>
        <v>0</v>
      </c>
      <c r="AB459" t="str">
        <f t="shared" si="304"/>
        <v/>
      </c>
      <c r="AD459" t="str">
        <f t="shared" si="281"/>
        <v/>
      </c>
      <c r="AF459">
        <f t="shared" si="294"/>
        <v>0</v>
      </c>
      <c r="AH459" t="str">
        <f t="shared" si="305"/>
        <v/>
      </c>
      <c r="AJ459" t="str">
        <f t="shared" si="282"/>
        <v/>
      </c>
      <c r="AP459" t="str">
        <f t="shared" si="295"/>
        <v/>
      </c>
      <c r="AQ459" t="str">
        <f t="shared" si="296"/>
        <v/>
      </c>
      <c r="AR459" t="str">
        <f t="shared" si="297"/>
        <v/>
      </c>
      <c r="AS459" t="str">
        <f t="shared" si="298"/>
        <v/>
      </c>
      <c r="AT459" t="str">
        <f t="shared" si="299"/>
        <v/>
      </c>
      <c r="AU459" t="str">
        <f t="shared" si="300"/>
        <v/>
      </c>
      <c r="AV459">
        <v>3019</v>
      </c>
    </row>
    <row r="460" spans="2:49">
      <c r="B460">
        <v>3020</v>
      </c>
      <c r="C460" t="s">
        <v>44</v>
      </c>
      <c r="D460" t="str">
        <f t="shared" si="307"/>
        <v>21</v>
      </c>
      <c r="F460">
        <v>121</v>
      </c>
      <c r="G460">
        <v>5000</v>
      </c>
      <c r="H460">
        <f>H437+2</f>
        <v>10</v>
      </c>
      <c r="I460">
        <v>1</v>
      </c>
      <c r="J460">
        <v>3</v>
      </c>
      <c r="K460">
        <f t="shared" si="301"/>
        <v>2003</v>
      </c>
      <c r="L460">
        <f t="shared" si="278"/>
        <v>101</v>
      </c>
      <c r="M460">
        <v>5000</v>
      </c>
      <c r="N460">
        <f t="shared" si="277"/>
        <v>10</v>
      </c>
      <c r="O460">
        <v>1</v>
      </c>
      <c r="P460">
        <f t="shared" si="302"/>
        <v>2003</v>
      </c>
      <c r="Q460">
        <v>54</v>
      </c>
      <c r="R460">
        <f t="shared" si="279"/>
        <v>102</v>
      </c>
      <c r="S460">
        <v>5000</v>
      </c>
      <c r="T460">
        <f t="shared" si="292"/>
        <v>10</v>
      </c>
      <c r="U460">
        <v>1</v>
      </c>
      <c r="V460">
        <f t="shared" si="303"/>
        <v>2003</v>
      </c>
      <c r="W460">
        <v>51</v>
      </c>
      <c r="X460">
        <f t="shared" si="280"/>
        <v>103</v>
      </c>
      <c r="Y460">
        <v>5000</v>
      </c>
      <c r="Z460">
        <f t="shared" si="293"/>
        <v>10</v>
      </c>
      <c r="AA460">
        <v>1</v>
      </c>
      <c r="AB460">
        <f t="shared" si="304"/>
        <v>2003</v>
      </c>
      <c r="AC460">
        <v>71</v>
      </c>
      <c r="AD460">
        <f t="shared" si="281"/>
        <v>113</v>
      </c>
      <c r="AE460">
        <v>5000</v>
      </c>
      <c r="AF460">
        <f t="shared" si="294"/>
        <v>10</v>
      </c>
      <c r="AG460">
        <v>1</v>
      </c>
      <c r="AH460">
        <f t="shared" si="305"/>
        <v>2003</v>
      </c>
      <c r="AI460">
        <v>79</v>
      </c>
      <c r="AJ460">
        <f t="shared" si="282"/>
        <v>111</v>
      </c>
      <c r="AK460">
        <v>1000</v>
      </c>
      <c r="AL460">
        <v>1</v>
      </c>
      <c r="AM460">
        <v>0</v>
      </c>
      <c r="AN460">
        <f t="shared" ref="AN460" si="308">AN437+100</f>
        <v>2021</v>
      </c>
      <c r="AO460">
        <v>4</v>
      </c>
      <c r="AP460" t="str">
        <f t="shared" si="295"/>
        <v>{5000,10,1,2003,101}</v>
      </c>
      <c r="AQ460" t="str">
        <f t="shared" si="296"/>
        <v>{5000,10,1,2003,102}</v>
      </c>
      <c r="AR460" t="str">
        <f t="shared" si="297"/>
        <v>{5000,10,1,2003,103}</v>
      </c>
      <c r="AS460" t="str">
        <f t="shared" si="298"/>
        <v>{5000,10,1,2003,113}</v>
      </c>
      <c r="AT460" t="str">
        <f t="shared" si="299"/>
        <v>{5000,10,1,2003,111}</v>
      </c>
      <c r="AU460" t="str">
        <f t="shared" si="300"/>
        <v>{1000,1,0,2021,4}</v>
      </c>
      <c r="AV460">
        <v>3020</v>
      </c>
      <c r="AW460" t="str">
        <f t="shared" ref="AW460:AW465" si="309">IF(AU460="","["&amp;_xlfn.TEXTJOIN(",",1,AP460:AT460)&amp;"]","["&amp;_xlfn.TEXTJOIN(",",1,AP460:AU460)&amp;"]")</f>
        <v>[{5000,10,1,2003,101},{5000,10,1,2003,102},{5000,10,1,2003,103},{5000,10,1,2003,113},{5000,10,1,2003,111},{1000,1,0,2021,4}]</v>
      </c>
    </row>
    <row r="461" spans="2:49">
      <c r="B461">
        <v>3021</v>
      </c>
      <c r="C461" t="s">
        <v>44</v>
      </c>
      <c r="D461" t="str">
        <f t="shared" si="307"/>
        <v>21</v>
      </c>
      <c r="F461">
        <v>136</v>
      </c>
      <c r="G461">
        <v>5000</v>
      </c>
      <c r="H461">
        <f>H438+2</f>
        <v>9</v>
      </c>
      <c r="I461">
        <v>1</v>
      </c>
      <c r="J461">
        <v>1</v>
      </c>
      <c r="K461">
        <f t="shared" si="301"/>
        <v>2001</v>
      </c>
      <c r="L461">
        <f t="shared" si="278"/>
        <v>101</v>
      </c>
      <c r="M461">
        <v>5000</v>
      </c>
      <c r="N461">
        <f t="shared" si="277"/>
        <v>9</v>
      </c>
      <c r="O461">
        <v>1</v>
      </c>
      <c r="P461">
        <f t="shared" si="302"/>
        <v>2001</v>
      </c>
      <c r="Q461">
        <v>54</v>
      </c>
      <c r="R461">
        <f t="shared" si="279"/>
        <v>103</v>
      </c>
      <c r="S461">
        <v>5000</v>
      </c>
      <c r="T461">
        <f t="shared" si="292"/>
        <v>9</v>
      </c>
      <c r="U461">
        <v>1</v>
      </c>
      <c r="V461">
        <f t="shared" si="303"/>
        <v>2002</v>
      </c>
      <c r="W461">
        <v>76</v>
      </c>
      <c r="X461">
        <f t="shared" si="280"/>
        <v>111</v>
      </c>
      <c r="Y461">
        <v>5000</v>
      </c>
      <c r="Z461">
        <f t="shared" si="293"/>
        <v>9</v>
      </c>
      <c r="AA461">
        <v>1</v>
      </c>
      <c r="AB461">
        <f t="shared" si="304"/>
        <v>2001</v>
      </c>
      <c r="AC461">
        <v>72</v>
      </c>
      <c r="AD461">
        <f t="shared" si="281"/>
        <v>112</v>
      </c>
      <c r="AE461">
        <v>5000</v>
      </c>
      <c r="AF461">
        <f t="shared" si="294"/>
        <v>9</v>
      </c>
      <c r="AG461">
        <v>1</v>
      </c>
      <c r="AH461">
        <f t="shared" si="305"/>
        <v>2002</v>
      </c>
      <c r="AI461">
        <v>74</v>
      </c>
      <c r="AJ461">
        <f t="shared" si="282"/>
        <v>113</v>
      </c>
      <c r="AP461" t="str">
        <f t="shared" si="295"/>
        <v>{5000,9,1,2001,101}</v>
      </c>
      <c r="AQ461" t="str">
        <f t="shared" si="296"/>
        <v>{5000,9,1,2001,103}</v>
      </c>
      <c r="AR461" t="str">
        <f t="shared" si="297"/>
        <v>{5000,9,1,2002,111}</v>
      </c>
      <c r="AS461" t="str">
        <f t="shared" si="298"/>
        <v>{5000,9,1,2001,112}</v>
      </c>
      <c r="AT461" t="str">
        <f t="shared" si="299"/>
        <v>{5000,9,1,2002,113}</v>
      </c>
      <c r="AU461" t="str">
        <f t="shared" si="300"/>
        <v/>
      </c>
      <c r="AV461">
        <v>3021</v>
      </c>
      <c r="AW461" t="str">
        <f t="shared" si="309"/>
        <v>[{5000,9,1,2001,101},{5000,9,1,2001,103},{5000,9,1,2002,111},{5000,9,1,2001,112},{5000,9,1,2002,113}]</v>
      </c>
    </row>
    <row r="462" spans="2:49">
      <c r="B462">
        <v>3022</v>
      </c>
      <c r="C462" t="s">
        <v>44</v>
      </c>
      <c r="D462" t="str">
        <f t="shared" si="307"/>
        <v>21</v>
      </c>
      <c r="F462">
        <v>151</v>
      </c>
      <c r="G462">
        <v>5000</v>
      </c>
      <c r="H462">
        <f t="shared" ref="H462:H473" si="310">H439+3</f>
        <v>10</v>
      </c>
      <c r="I462">
        <v>1</v>
      </c>
      <c r="J462">
        <v>1</v>
      </c>
      <c r="K462">
        <f t="shared" si="301"/>
        <v>2001</v>
      </c>
      <c r="L462">
        <f t="shared" si="278"/>
        <v>101</v>
      </c>
      <c r="M462">
        <v>5000</v>
      </c>
      <c r="N462">
        <f t="shared" si="277"/>
        <v>10</v>
      </c>
      <c r="O462">
        <v>1</v>
      </c>
      <c r="P462">
        <f t="shared" si="302"/>
        <v>2001</v>
      </c>
      <c r="Q462">
        <v>54</v>
      </c>
      <c r="R462">
        <f t="shared" si="279"/>
        <v>102</v>
      </c>
      <c r="S462">
        <v>5000</v>
      </c>
      <c r="T462">
        <f t="shared" si="292"/>
        <v>10</v>
      </c>
      <c r="U462">
        <v>1</v>
      </c>
      <c r="V462">
        <f t="shared" si="303"/>
        <v>2002</v>
      </c>
      <c r="W462">
        <v>56</v>
      </c>
      <c r="X462">
        <f t="shared" si="280"/>
        <v>103</v>
      </c>
      <c r="Y462">
        <v>5000</v>
      </c>
      <c r="Z462">
        <f t="shared" si="293"/>
        <v>10</v>
      </c>
      <c r="AA462">
        <v>1</v>
      </c>
      <c r="AB462">
        <f t="shared" si="304"/>
        <v>2001</v>
      </c>
      <c r="AC462">
        <v>72</v>
      </c>
      <c r="AD462">
        <f t="shared" si="281"/>
        <v>113</v>
      </c>
      <c r="AE462">
        <v>5000</v>
      </c>
      <c r="AF462">
        <f t="shared" si="294"/>
        <v>10</v>
      </c>
      <c r="AG462">
        <v>1</v>
      </c>
      <c r="AH462">
        <f t="shared" si="305"/>
        <v>2002</v>
      </c>
      <c r="AI462">
        <v>74</v>
      </c>
      <c r="AJ462">
        <f t="shared" si="282"/>
        <v>111</v>
      </c>
      <c r="AP462" t="str">
        <f t="shared" si="295"/>
        <v>{5000,10,1,2001,101}</v>
      </c>
      <c r="AQ462" t="str">
        <f t="shared" si="296"/>
        <v>{5000,10,1,2001,102}</v>
      </c>
      <c r="AR462" t="str">
        <f t="shared" si="297"/>
        <v>{5000,10,1,2002,103}</v>
      </c>
      <c r="AS462" t="str">
        <f t="shared" si="298"/>
        <v>{5000,10,1,2001,113}</v>
      </c>
      <c r="AT462" t="str">
        <f t="shared" si="299"/>
        <v>{5000,10,1,2002,111}</v>
      </c>
      <c r="AU462" t="str">
        <f t="shared" si="300"/>
        <v/>
      </c>
      <c r="AV462">
        <v>3022</v>
      </c>
      <c r="AW462" t="str">
        <f t="shared" si="309"/>
        <v>[{5000,10,1,2001,101},{5000,10,1,2001,102},{5000,10,1,2002,103},{5000,10,1,2001,113},{5000,10,1,2002,111}]</v>
      </c>
    </row>
    <row r="463" spans="2:49">
      <c r="B463">
        <v>3023</v>
      </c>
      <c r="C463" t="s">
        <v>44</v>
      </c>
      <c r="D463" t="str">
        <f t="shared" si="307"/>
        <v>21</v>
      </c>
      <c r="F463">
        <v>166</v>
      </c>
      <c r="G463">
        <v>5000</v>
      </c>
      <c r="H463">
        <f>H440+2</f>
        <v>11</v>
      </c>
      <c r="I463">
        <v>1</v>
      </c>
      <c r="J463">
        <v>1</v>
      </c>
      <c r="K463">
        <f t="shared" si="301"/>
        <v>2001</v>
      </c>
      <c r="L463">
        <f t="shared" si="278"/>
        <v>101</v>
      </c>
      <c r="M463">
        <v>5000</v>
      </c>
      <c r="N463">
        <f t="shared" si="277"/>
        <v>11</v>
      </c>
      <c r="O463">
        <v>1</v>
      </c>
      <c r="P463">
        <f t="shared" si="302"/>
        <v>2001</v>
      </c>
      <c r="Q463">
        <v>59</v>
      </c>
      <c r="R463">
        <f t="shared" si="279"/>
        <v>103</v>
      </c>
      <c r="S463">
        <v>5000</v>
      </c>
      <c r="T463">
        <f t="shared" si="292"/>
        <v>11</v>
      </c>
      <c r="U463">
        <v>1</v>
      </c>
      <c r="V463">
        <f t="shared" si="303"/>
        <v>2002</v>
      </c>
      <c r="W463">
        <v>79</v>
      </c>
      <c r="X463">
        <f t="shared" si="280"/>
        <v>111</v>
      </c>
      <c r="Y463">
        <v>5000</v>
      </c>
      <c r="Z463">
        <f t="shared" si="293"/>
        <v>11</v>
      </c>
      <c r="AA463">
        <v>1</v>
      </c>
      <c r="AB463">
        <f t="shared" si="304"/>
        <v>2001</v>
      </c>
      <c r="AC463">
        <v>71</v>
      </c>
      <c r="AD463">
        <f t="shared" si="281"/>
        <v>112</v>
      </c>
      <c r="AE463">
        <v>5000</v>
      </c>
      <c r="AF463">
        <f t="shared" si="294"/>
        <v>11</v>
      </c>
      <c r="AG463">
        <v>1</v>
      </c>
      <c r="AH463">
        <f t="shared" si="305"/>
        <v>2002</v>
      </c>
      <c r="AI463">
        <v>74</v>
      </c>
      <c r="AJ463">
        <f t="shared" si="282"/>
        <v>113</v>
      </c>
      <c r="AP463" t="str">
        <f t="shared" si="295"/>
        <v>{5000,11,1,2001,101}</v>
      </c>
      <c r="AQ463" t="str">
        <f t="shared" si="296"/>
        <v>{5000,11,1,2001,103}</v>
      </c>
      <c r="AR463" t="str">
        <f t="shared" si="297"/>
        <v>{5000,11,1,2002,111}</v>
      </c>
      <c r="AS463" t="str">
        <f t="shared" si="298"/>
        <v>{5000,11,1,2001,112}</v>
      </c>
      <c r="AT463" t="str">
        <f t="shared" si="299"/>
        <v>{5000,11,1,2002,113}</v>
      </c>
      <c r="AU463" t="str">
        <f t="shared" si="300"/>
        <v/>
      </c>
      <c r="AV463">
        <v>3023</v>
      </c>
      <c r="AW463" t="str">
        <f t="shared" si="309"/>
        <v>[{5000,11,1,2001,101},{5000,11,1,2001,103},{5000,11,1,2002,111},{5000,11,1,2001,112},{5000,11,1,2002,113}]</v>
      </c>
    </row>
    <row r="464" spans="2:49">
      <c r="B464">
        <v>3024</v>
      </c>
      <c r="C464" t="s">
        <v>44</v>
      </c>
      <c r="D464" t="str">
        <f t="shared" si="307"/>
        <v>21</v>
      </c>
      <c r="F464">
        <v>181</v>
      </c>
      <c r="G464">
        <v>5000</v>
      </c>
      <c r="H464">
        <f t="shared" si="310"/>
        <v>12</v>
      </c>
      <c r="I464">
        <v>1</v>
      </c>
      <c r="J464">
        <v>3</v>
      </c>
      <c r="K464">
        <f t="shared" si="301"/>
        <v>2003</v>
      </c>
      <c r="L464">
        <f t="shared" si="278"/>
        <v>101</v>
      </c>
      <c r="M464">
        <v>5000</v>
      </c>
      <c r="N464">
        <f t="shared" si="277"/>
        <v>12</v>
      </c>
      <c r="O464">
        <v>1</v>
      </c>
      <c r="P464">
        <f t="shared" si="302"/>
        <v>2003</v>
      </c>
      <c r="Q464">
        <v>53</v>
      </c>
      <c r="R464">
        <f t="shared" si="279"/>
        <v>102</v>
      </c>
      <c r="S464">
        <v>5000</v>
      </c>
      <c r="T464">
        <f t="shared" si="292"/>
        <v>12</v>
      </c>
      <c r="U464">
        <v>1</v>
      </c>
      <c r="V464">
        <f t="shared" si="303"/>
        <v>2003</v>
      </c>
      <c r="W464">
        <v>56</v>
      </c>
      <c r="X464">
        <f t="shared" si="280"/>
        <v>103</v>
      </c>
      <c r="Y464">
        <v>5000</v>
      </c>
      <c r="Z464">
        <f t="shared" si="293"/>
        <v>12</v>
      </c>
      <c r="AA464">
        <v>1</v>
      </c>
      <c r="AB464">
        <f t="shared" si="304"/>
        <v>2003</v>
      </c>
      <c r="AC464">
        <v>75</v>
      </c>
      <c r="AD464">
        <f t="shared" si="281"/>
        <v>113</v>
      </c>
      <c r="AE464">
        <v>5000</v>
      </c>
      <c r="AF464">
        <f t="shared" si="294"/>
        <v>12</v>
      </c>
      <c r="AG464">
        <v>1</v>
      </c>
      <c r="AH464">
        <f t="shared" si="305"/>
        <v>2003</v>
      </c>
      <c r="AI464">
        <v>78</v>
      </c>
      <c r="AJ464">
        <f t="shared" si="282"/>
        <v>111</v>
      </c>
      <c r="AP464" t="str">
        <f t="shared" si="295"/>
        <v>{5000,12,1,2003,101}</v>
      </c>
      <c r="AQ464" t="str">
        <f t="shared" si="296"/>
        <v>{5000,12,1,2003,102}</v>
      </c>
      <c r="AR464" t="str">
        <f t="shared" si="297"/>
        <v>{5000,12,1,2003,103}</v>
      </c>
      <c r="AS464" t="str">
        <f t="shared" si="298"/>
        <v>{5000,12,1,2003,113}</v>
      </c>
      <c r="AT464" t="str">
        <f t="shared" si="299"/>
        <v>{5000,12,1,2003,111}</v>
      </c>
      <c r="AU464" t="str">
        <f t="shared" si="300"/>
        <v/>
      </c>
      <c r="AV464">
        <v>3024</v>
      </c>
      <c r="AW464" t="str">
        <f t="shared" si="309"/>
        <v>[{5000,12,1,2003,101},{5000,12,1,2003,102},{5000,12,1,2003,103},{5000,12,1,2003,113},{5000,12,1,2003,111}]</v>
      </c>
    </row>
    <row r="465" spans="2:49">
      <c r="B465">
        <v>3025</v>
      </c>
      <c r="C465" t="s">
        <v>44</v>
      </c>
      <c r="D465" t="str">
        <f t="shared" si="307"/>
        <v>21</v>
      </c>
      <c r="F465">
        <v>196</v>
      </c>
      <c r="G465">
        <v>5000</v>
      </c>
      <c r="H465">
        <f t="shared" si="310"/>
        <v>12</v>
      </c>
      <c r="I465">
        <v>1</v>
      </c>
      <c r="J465">
        <v>2</v>
      </c>
      <c r="K465">
        <f t="shared" si="301"/>
        <v>2002</v>
      </c>
      <c r="L465">
        <f t="shared" si="278"/>
        <v>101</v>
      </c>
      <c r="M465">
        <v>5000</v>
      </c>
      <c r="N465">
        <f t="shared" si="277"/>
        <v>12</v>
      </c>
      <c r="O465">
        <v>1</v>
      </c>
      <c r="P465">
        <f t="shared" si="302"/>
        <v>2001</v>
      </c>
      <c r="Q465">
        <v>54</v>
      </c>
      <c r="R465">
        <f t="shared" si="279"/>
        <v>103</v>
      </c>
      <c r="S465">
        <v>5000</v>
      </c>
      <c r="T465">
        <f t="shared" si="292"/>
        <v>12</v>
      </c>
      <c r="U465">
        <v>1</v>
      </c>
      <c r="V465">
        <f t="shared" si="303"/>
        <v>2002</v>
      </c>
      <c r="W465">
        <v>77</v>
      </c>
      <c r="X465">
        <f t="shared" si="280"/>
        <v>111</v>
      </c>
      <c r="Y465">
        <v>5000</v>
      </c>
      <c r="Z465">
        <f t="shared" si="293"/>
        <v>12</v>
      </c>
      <c r="AA465">
        <v>1</v>
      </c>
      <c r="AB465">
        <f t="shared" si="304"/>
        <v>2001</v>
      </c>
      <c r="AC465">
        <v>72</v>
      </c>
      <c r="AD465">
        <f t="shared" si="281"/>
        <v>112</v>
      </c>
      <c r="AE465">
        <v>5000</v>
      </c>
      <c r="AF465">
        <f t="shared" si="294"/>
        <v>12</v>
      </c>
      <c r="AG465">
        <v>1</v>
      </c>
      <c r="AH465">
        <f t="shared" si="305"/>
        <v>2002</v>
      </c>
      <c r="AI465">
        <v>74</v>
      </c>
      <c r="AJ465">
        <f t="shared" si="282"/>
        <v>113</v>
      </c>
      <c r="AP465" t="str">
        <f t="shared" si="295"/>
        <v>{5000,12,1,2002,101}</v>
      </c>
      <c r="AQ465" t="str">
        <f t="shared" si="296"/>
        <v>{5000,12,1,2001,103}</v>
      </c>
      <c r="AR465" t="str">
        <f t="shared" si="297"/>
        <v>{5000,12,1,2002,111}</v>
      </c>
      <c r="AS465" t="str">
        <f t="shared" si="298"/>
        <v>{5000,12,1,2001,112}</v>
      </c>
      <c r="AT465" t="str">
        <f t="shared" si="299"/>
        <v>{5000,12,1,2002,113}</v>
      </c>
      <c r="AU465" t="str">
        <f t="shared" si="300"/>
        <v/>
      </c>
      <c r="AV465">
        <v>3025</v>
      </c>
      <c r="AW465" t="str">
        <f t="shared" si="309"/>
        <v>[{5000,12,1,2002,101},{5000,12,1,2001,103},{5000,12,1,2002,111},{5000,12,1,2001,112},{5000,12,1,2002,113}]</v>
      </c>
    </row>
    <row r="466" spans="2:48">
      <c r="B466">
        <v>3026</v>
      </c>
      <c r="C466" t="s">
        <v>44</v>
      </c>
      <c r="D466" t="str">
        <f t="shared" si="307"/>
        <v>21</v>
      </c>
      <c r="F466">
        <v>209</v>
      </c>
      <c r="K466" t="str">
        <f t="shared" si="301"/>
        <v/>
      </c>
      <c r="L466" t="str">
        <f t="shared" si="278"/>
        <v/>
      </c>
      <c r="N466">
        <f t="shared" si="277"/>
        <v>0</v>
      </c>
      <c r="P466" t="str">
        <f t="shared" si="302"/>
        <v/>
      </c>
      <c r="R466" t="str">
        <f t="shared" si="279"/>
        <v/>
      </c>
      <c r="T466">
        <f t="shared" si="292"/>
        <v>0</v>
      </c>
      <c r="V466" t="str">
        <f t="shared" si="303"/>
        <v/>
      </c>
      <c r="X466" t="str">
        <f t="shared" si="280"/>
        <v/>
      </c>
      <c r="Z466">
        <f t="shared" si="293"/>
        <v>0</v>
      </c>
      <c r="AB466" t="str">
        <f t="shared" si="304"/>
        <v/>
      </c>
      <c r="AD466" t="str">
        <f t="shared" si="281"/>
        <v/>
      </c>
      <c r="AF466">
        <f t="shared" si="294"/>
        <v>0</v>
      </c>
      <c r="AH466" t="str">
        <f t="shared" si="305"/>
        <v/>
      </c>
      <c r="AJ466" t="str">
        <f t="shared" si="282"/>
        <v/>
      </c>
      <c r="AP466" t="str">
        <f t="shared" si="295"/>
        <v/>
      </c>
      <c r="AQ466" t="str">
        <f t="shared" si="296"/>
        <v/>
      </c>
      <c r="AR466" t="str">
        <f t="shared" si="297"/>
        <v/>
      </c>
      <c r="AS466" t="str">
        <f t="shared" si="298"/>
        <v/>
      </c>
      <c r="AT466" t="str">
        <f t="shared" si="299"/>
        <v/>
      </c>
      <c r="AU466" t="str">
        <f t="shared" si="300"/>
        <v/>
      </c>
      <c r="AV466">
        <v>3026</v>
      </c>
    </row>
    <row r="467" spans="2:49">
      <c r="B467">
        <v>3027</v>
      </c>
      <c r="C467" t="s">
        <v>44</v>
      </c>
      <c r="D467" t="str">
        <f t="shared" si="307"/>
        <v>21</v>
      </c>
      <c r="F467">
        <v>211</v>
      </c>
      <c r="G467">
        <v>5000</v>
      </c>
      <c r="H467">
        <f t="shared" si="310"/>
        <v>11</v>
      </c>
      <c r="I467">
        <v>1</v>
      </c>
      <c r="J467">
        <v>2</v>
      </c>
      <c r="K467">
        <f t="shared" si="301"/>
        <v>2002</v>
      </c>
      <c r="L467">
        <f t="shared" si="278"/>
        <v>101</v>
      </c>
      <c r="M467">
        <v>5000</v>
      </c>
      <c r="N467">
        <f t="shared" si="277"/>
        <v>11</v>
      </c>
      <c r="O467">
        <v>1</v>
      </c>
      <c r="P467">
        <f t="shared" si="302"/>
        <v>2001</v>
      </c>
      <c r="Q467">
        <v>51</v>
      </c>
      <c r="R467">
        <f t="shared" si="279"/>
        <v>102</v>
      </c>
      <c r="S467">
        <v>5000</v>
      </c>
      <c r="T467">
        <f t="shared" si="292"/>
        <v>11</v>
      </c>
      <c r="U467">
        <v>1</v>
      </c>
      <c r="V467">
        <f t="shared" si="303"/>
        <v>2002</v>
      </c>
      <c r="W467">
        <v>57</v>
      </c>
      <c r="X467">
        <f t="shared" si="280"/>
        <v>103</v>
      </c>
      <c r="Y467">
        <v>5000</v>
      </c>
      <c r="Z467">
        <f t="shared" si="293"/>
        <v>11</v>
      </c>
      <c r="AA467">
        <v>1</v>
      </c>
      <c r="AB467">
        <f t="shared" si="304"/>
        <v>2001</v>
      </c>
      <c r="AC467">
        <v>79</v>
      </c>
      <c r="AD467">
        <f t="shared" si="281"/>
        <v>113</v>
      </c>
      <c r="AE467">
        <v>5000</v>
      </c>
      <c r="AF467">
        <f t="shared" si="294"/>
        <v>11</v>
      </c>
      <c r="AG467">
        <v>1</v>
      </c>
      <c r="AH467">
        <f t="shared" si="305"/>
        <v>2002</v>
      </c>
      <c r="AI467">
        <v>72</v>
      </c>
      <c r="AJ467">
        <f t="shared" si="282"/>
        <v>111</v>
      </c>
      <c r="AK467">
        <v>1000</v>
      </c>
      <c r="AL467">
        <v>1</v>
      </c>
      <c r="AM467">
        <v>0</v>
      </c>
      <c r="AN467">
        <f t="shared" ref="AN467" si="311">AN444+100</f>
        <v>2031</v>
      </c>
      <c r="AO467">
        <v>4</v>
      </c>
      <c r="AP467" t="str">
        <f t="shared" si="295"/>
        <v>{5000,11,1,2002,101}</v>
      </c>
      <c r="AQ467" t="str">
        <f t="shared" si="296"/>
        <v>{5000,11,1,2001,102}</v>
      </c>
      <c r="AR467" t="str">
        <f t="shared" si="297"/>
        <v>{5000,11,1,2002,103}</v>
      </c>
      <c r="AS467" t="str">
        <f t="shared" si="298"/>
        <v>{5000,11,1,2001,113}</v>
      </c>
      <c r="AT467" t="str">
        <f t="shared" si="299"/>
        <v>{5000,11,1,2002,111}</v>
      </c>
      <c r="AU467" t="str">
        <f t="shared" si="300"/>
        <v>{1000,1,0,2031,4}</v>
      </c>
      <c r="AV467">
        <v>3027</v>
      </c>
      <c r="AW467" t="str">
        <f t="shared" ref="AW467:AW481" si="312">IF(AU467="","["&amp;_xlfn.TEXTJOIN(",",1,AP467:AT467)&amp;"]","["&amp;_xlfn.TEXTJOIN(",",1,AP467:AU467)&amp;"]")</f>
        <v>[{5000,11,1,2002,101},{5000,11,1,2001,102},{5000,11,1,2002,103},{5000,11,1,2001,113},{5000,11,1,2002,111},{1000,1,0,2031,4}]</v>
      </c>
    </row>
    <row r="468" spans="2:49">
      <c r="B468">
        <v>3028</v>
      </c>
      <c r="C468" t="s">
        <v>44</v>
      </c>
      <c r="D468" t="str">
        <f t="shared" si="307"/>
        <v>21</v>
      </c>
      <c r="F468">
        <v>226</v>
      </c>
      <c r="G468">
        <v>5000</v>
      </c>
      <c r="H468">
        <f t="shared" si="310"/>
        <v>11</v>
      </c>
      <c r="I468">
        <v>1</v>
      </c>
      <c r="J468">
        <v>2</v>
      </c>
      <c r="K468">
        <f t="shared" si="301"/>
        <v>2002</v>
      </c>
      <c r="L468">
        <f t="shared" si="278"/>
        <v>101</v>
      </c>
      <c r="M468">
        <v>5000</v>
      </c>
      <c r="N468">
        <f t="shared" si="277"/>
        <v>11</v>
      </c>
      <c r="O468">
        <v>1</v>
      </c>
      <c r="P468">
        <f t="shared" si="302"/>
        <v>2001</v>
      </c>
      <c r="Q468">
        <v>51</v>
      </c>
      <c r="R468">
        <f t="shared" si="279"/>
        <v>103</v>
      </c>
      <c r="S468">
        <v>5000</v>
      </c>
      <c r="T468">
        <f t="shared" si="292"/>
        <v>11</v>
      </c>
      <c r="U468">
        <v>1</v>
      </c>
      <c r="V468">
        <f t="shared" si="303"/>
        <v>2002</v>
      </c>
      <c r="W468">
        <v>75</v>
      </c>
      <c r="X468">
        <f t="shared" si="280"/>
        <v>111</v>
      </c>
      <c r="Y468">
        <v>5000</v>
      </c>
      <c r="Z468">
        <f t="shared" si="293"/>
        <v>11</v>
      </c>
      <c r="AA468">
        <v>1</v>
      </c>
      <c r="AB468">
        <f t="shared" si="304"/>
        <v>2001</v>
      </c>
      <c r="AC468">
        <v>71</v>
      </c>
      <c r="AD468">
        <f t="shared" si="281"/>
        <v>112</v>
      </c>
      <c r="AE468">
        <v>5000</v>
      </c>
      <c r="AF468">
        <f t="shared" si="294"/>
        <v>11</v>
      </c>
      <c r="AG468">
        <v>1</v>
      </c>
      <c r="AH468">
        <f t="shared" si="305"/>
        <v>2002</v>
      </c>
      <c r="AI468">
        <v>77</v>
      </c>
      <c r="AJ468">
        <f t="shared" si="282"/>
        <v>113</v>
      </c>
      <c r="AP468" t="str">
        <f t="shared" si="295"/>
        <v>{5000,11,1,2002,101}</v>
      </c>
      <c r="AQ468" t="str">
        <f t="shared" si="296"/>
        <v>{5000,11,1,2001,103}</v>
      </c>
      <c r="AR468" t="str">
        <f t="shared" si="297"/>
        <v>{5000,11,1,2002,111}</v>
      </c>
      <c r="AS468" t="str">
        <f t="shared" si="298"/>
        <v>{5000,11,1,2001,112}</v>
      </c>
      <c r="AT468" t="str">
        <f t="shared" si="299"/>
        <v>{5000,11,1,2002,113}</v>
      </c>
      <c r="AU468" t="str">
        <f t="shared" si="300"/>
        <v/>
      </c>
      <c r="AV468">
        <v>3028</v>
      </c>
      <c r="AW468" t="str">
        <f t="shared" si="312"/>
        <v>[{5000,11,1,2002,101},{5000,11,1,2001,103},{5000,11,1,2002,111},{5000,11,1,2001,112},{5000,11,1,2002,113}]</v>
      </c>
    </row>
    <row r="469" spans="2:49">
      <c r="B469">
        <v>3029</v>
      </c>
      <c r="C469" t="s">
        <v>44</v>
      </c>
      <c r="D469" t="str">
        <f t="shared" si="307"/>
        <v>21</v>
      </c>
      <c r="F469">
        <v>241</v>
      </c>
      <c r="G469">
        <v>5000</v>
      </c>
      <c r="H469">
        <f t="shared" si="310"/>
        <v>13</v>
      </c>
      <c r="I469">
        <v>1</v>
      </c>
      <c r="J469">
        <v>3</v>
      </c>
      <c r="K469">
        <f t="shared" si="301"/>
        <v>2003</v>
      </c>
      <c r="L469">
        <f t="shared" si="278"/>
        <v>101</v>
      </c>
      <c r="M469">
        <v>5000</v>
      </c>
      <c r="N469">
        <f t="shared" si="277"/>
        <v>13</v>
      </c>
      <c r="O469">
        <v>1</v>
      </c>
      <c r="P469">
        <f t="shared" si="302"/>
        <v>2003</v>
      </c>
      <c r="Q469">
        <v>53</v>
      </c>
      <c r="R469">
        <f t="shared" si="279"/>
        <v>102</v>
      </c>
      <c r="S469">
        <v>5000</v>
      </c>
      <c r="T469">
        <f t="shared" si="292"/>
        <v>13</v>
      </c>
      <c r="U469">
        <v>1</v>
      </c>
      <c r="V469">
        <f t="shared" si="303"/>
        <v>2003</v>
      </c>
      <c r="W469">
        <v>56</v>
      </c>
      <c r="X469">
        <f t="shared" si="280"/>
        <v>103</v>
      </c>
      <c r="Y469">
        <v>5000</v>
      </c>
      <c r="Z469">
        <f t="shared" si="293"/>
        <v>13</v>
      </c>
      <c r="AA469">
        <v>1</v>
      </c>
      <c r="AB469">
        <f t="shared" si="304"/>
        <v>2003</v>
      </c>
      <c r="AC469">
        <v>74</v>
      </c>
      <c r="AD469">
        <f t="shared" si="281"/>
        <v>113</v>
      </c>
      <c r="AE469">
        <v>5000</v>
      </c>
      <c r="AF469">
        <f t="shared" si="294"/>
        <v>13</v>
      </c>
      <c r="AG469">
        <v>1</v>
      </c>
      <c r="AH469">
        <f t="shared" si="305"/>
        <v>2003</v>
      </c>
      <c r="AI469">
        <v>78</v>
      </c>
      <c r="AJ469">
        <f t="shared" si="282"/>
        <v>111</v>
      </c>
      <c r="AP469" t="str">
        <f t="shared" si="295"/>
        <v>{5000,13,1,2003,101}</v>
      </c>
      <c r="AQ469" t="str">
        <f t="shared" si="296"/>
        <v>{5000,13,1,2003,102}</v>
      </c>
      <c r="AR469" t="str">
        <f t="shared" si="297"/>
        <v>{5000,13,1,2003,103}</v>
      </c>
      <c r="AS469" t="str">
        <f t="shared" si="298"/>
        <v>{5000,13,1,2003,113}</v>
      </c>
      <c r="AT469" t="str">
        <f t="shared" si="299"/>
        <v>{5000,13,1,2003,111}</v>
      </c>
      <c r="AU469" t="str">
        <f t="shared" si="300"/>
        <v/>
      </c>
      <c r="AV469">
        <v>3029</v>
      </c>
      <c r="AW469" t="str">
        <f t="shared" si="312"/>
        <v>[{5000,13,1,2003,101},{5000,13,1,2003,102},{5000,13,1,2003,103},{5000,13,1,2003,113},{5000,13,1,2003,111}]</v>
      </c>
    </row>
    <row r="470" spans="2:49">
      <c r="B470">
        <v>3030</v>
      </c>
      <c r="C470" t="s">
        <v>44</v>
      </c>
      <c r="D470" t="str">
        <f t="shared" si="307"/>
        <v>21</v>
      </c>
      <c r="F470">
        <v>256</v>
      </c>
      <c r="G470">
        <v>5000</v>
      </c>
      <c r="H470">
        <f t="shared" si="310"/>
        <v>12</v>
      </c>
      <c r="I470">
        <v>1</v>
      </c>
      <c r="J470">
        <v>2</v>
      </c>
      <c r="K470">
        <f t="shared" si="301"/>
        <v>2002</v>
      </c>
      <c r="L470">
        <f t="shared" si="278"/>
        <v>101</v>
      </c>
      <c r="M470">
        <v>5000</v>
      </c>
      <c r="N470">
        <f t="shared" si="277"/>
        <v>12</v>
      </c>
      <c r="O470">
        <v>1</v>
      </c>
      <c r="P470">
        <f t="shared" si="302"/>
        <v>2002</v>
      </c>
      <c r="Q470">
        <v>59</v>
      </c>
      <c r="R470">
        <f t="shared" si="279"/>
        <v>103</v>
      </c>
      <c r="S470">
        <v>5000</v>
      </c>
      <c r="T470">
        <f t="shared" si="292"/>
        <v>12</v>
      </c>
      <c r="U470">
        <v>1</v>
      </c>
      <c r="V470">
        <f t="shared" si="303"/>
        <v>2002</v>
      </c>
      <c r="W470">
        <v>79</v>
      </c>
      <c r="X470">
        <f t="shared" si="280"/>
        <v>111</v>
      </c>
      <c r="Y470">
        <v>5000</v>
      </c>
      <c r="Z470">
        <f t="shared" si="293"/>
        <v>12</v>
      </c>
      <c r="AA470">
        <v>1</v>
      </c>
      <c r="AB470">
        <f t="shared" si="304"/>
        <v>2001</v>
      </c>
      <c r="AC470">
        <v>72</v>
      </c>
      <c r="AD470">
        <f t="shared" si="281"/>
        <v>112</v>
      </c>
      <c r="AE470">
        <v>5000</v>
      </c>
      <c r="AF470">
        <f t="shared" si="294"/>
        <v>12</v>
      </c>
      <c r="AG470">
        <v>1</v>
      </c>
      <c r="AH470">
        <f t="shared" si="305"/>
        <v>2002</v>
      </c>
      <c r="AI470">
        <v>74</v>
      </c>
      <c r="AJ470">
        <f t="shared" si="282"/>
        <v>113</v>
      </c>
      <c r="AP470" t="str">
        <f t="shared" si="295"/>
        <v>{5000,12,1,2002,101}</v>
      </c>
      <c r="AQ470" t="str">
        <f t="shared" si="296"/>
        <v>{5000,12,1,2002,103}</v>
      </c>
      <c r="AR470" t="str">
        <f t="shared" si="297"/>
        <v>{5000,12,1,2002,111}</v>
      </c>
      <c r="AS470" t="str">
        <f t="shared" si="298"/>
        <v>{5000,12,1,2001,112}</v>
      </c>
      <c r="AT470" t="str">
        <f t="shared" si="299"/>
        <v>{5000,12,1,2002,113}</v>
      </c>
      <c r="AU470" t="str">
        <f t="shared" si="300"/>
        <v/>
      </c>
      <c r="AV470">
        <v>3030</v>
      </c>
      <c r="AW470" t="str">
        <f t="shared" si="312"/>
        <v>[{5000,12,1,2002,101},{5000,12,1,2002,103},{5000,12,1,2002,111},{5000,12,1,2001,112},{5000,12,1,2002,113}]</v>
      </c>
    </row>
    <row r="471" spans="2:49">
      <c r="B471">
        <v>3031</v>
      </c>
      <c r="C471" t="s">
        <v>44</v>
      </c>
      <c r="D471" t="str">
        <f t="shared" si="307"/>
        <v>21</v>
      </c>
      <c r="F471">
        <v>271</v>
      </c>
      <c r="G471">
        <v>5000</v>
      </c>
      <c r="H471">
        <f t="shared" si="310"/>
        <v>13</v>
      </c>
      <c r="I471">
        <v>1</v>
      </c>
      <c r="J471">
        <v>2</v>
      </c>
      <c r="K471">
        <f t="shared" si="301"/>
        <v>2002</v>
      </c>
      <c r="L471">
        <f t="shared" si="278"/>
        <v>101</v>
      </c>
      <c r="M471">
        <v>5000</v>
      </c>
      <c r="N471">
        <f t="shared" si="277"/>
        <v>13</v>
      </c>
      <c r="O471">
        <v>1</v>
      </c>
      <c r="P471">
        <f t="shared" si="302"/>
        <v>2002</v>
      </c>
      <c r="Q471">
        <v>54</v>
      </c>
      <c r="R471">
        <f t="shared" si="279"/>
        <v>102</v>
      </c>
      <c r="S471">
        <v>5000</v>
      </c>
      <c r="T471">
        <f t="shared" si="292"/>
        <v>13</v>
      </c>
      <c r="U471">
        <v>1</v>
      </c>
      <c r="V471">
        <f t="shared" si="303"/>
        <v>2002</v>
      </c>
      <c r="W471">
        <v>56</v>
      </c>
      <c r="X471">
        <f t="shared" si="280"/>
        <v>103</v>
      </c>
      <c r="Y471">
        <v>5000</v>
      </c>
      <c r="Z471">
        <f t="shared" si="293"/>
        <v>13</v>
      </c>
      <c r="AA471">
        <v>1</v>
      </c>
      <c r="AB471">
        <f t="shared" si="304"/>
        <v>2002</v>
      </c>
      <c r="AC471">
        <v>73</v>
      </c>
      <c r="AD471">
        <f t="shared" si="281"/>
        <v>113</v>
      </c>
      <c r="AE471">
        <v>5000</v>
      </c>
      <c r="AF471">
        <f t="shared" si="294"/>
        <v>13</v>
      </c>
      <c r="AG471">
        <v>1</v>
      </c>
      <c r="AH471">
        <f t="shared" si="305"/>
        <v>2002</v>
      </c>
      <c r="AI471">
        <v>75</v>
      </c>
      <c r="AJ471">
        <f t="shared" si="282"/>
        <v>111</v>
      </c>
      <c r="AP471" t="str">
        <f t="shared" si="295"/>
        <v>{5000,13,1,2002,101}</v>
      </c>
      <c r="AQ471" t="str">
        <f t="shared" si="296"/>
        <v>{5000,13,1,2002,102}</v>
      </c>
      <c r="AR471" t="str">
        <f t="shared" si="297"/>
        <v>{5000,13,1,2002,103}</v>
      </c>
      <c r="AS471" t="str">
        <f t="shared" si="298"/>
        <v>{5000,13,1,2002,113}</v>
      </c>
      <c r="AT471" t="str">
        <f t="shared" si="299"/>
        <v>{5000,13,1,2002,111}</v>
      </c>
      <c r="AU471" t="str">
        <f t="shared" si="300"/>
        <v/>
      </c>
      <c r="AV471">
        <v>3031</v>
      </c>
      <c r="AW471" t="str">
        <f t="shared" si="312"/>
        <v>[{5000,13,1,2002,101},{5000,13,1,2002,102},{5000,13,1,2002,103},{5000,13,1,2002,113},{5000,13,1,2002,111}]</v>
      </c>
    </row>
    <row r="472" spans="2:49">
      <c r="B472">
        <v>3032</v>
      </c>
      <c r="C472" t="s">
        <v>44</v>
      </c>
      <c r="D472" t="str">
        <f t="shared" si="307"/>
        <v>21</v>
      </c>
      <c r="F472">
        <v>286</v>
      </c>
      <c r="G472">
        <v>5000</v>
      </c>
      <c r="H472">
        <f t="shared" si="310"/>
        <v>13</v>
      </c>
      <c r="I472">
        <v>1</v>
      </c>
      <c r="J472">
        <v>2</v>
      </c>
      <c r="K472">
        <f t="shared" si="301"/>
        <v>2002</v>
      </c>
      <c r="L472">
        <f t="shared" si="278"/>
        <v>101</v>
      </c>
      <c r="M472">
        <v>5000</v>
      </c>
      <c r="N472">
        <f t="shared" si="277"/>
        <v>13</v>
      </c>
      <c r="O472">
        <v>1</v>
      </c>
      <c r="P472">
        <f t="shared" si="302"/>
        <v>2002</v>
      </c>
      <c r="Q472">
        <v>53</v>
      </c>
      <c r="R472">
        <f t="shared" si="279"/>
        <v>103</v>
      </c>
      <c r="S472">
        <v>5000</v>
      </c>
      <c r="T472">
        <f t="shared" si="292"/>
        <v>13</v>
      </c>
      <c r="U472">
        <v>1</v>
      </c>
      <c r="V472">
        <f t="shared" si="303"/>
        <v>2002</v>
      </c>
      <c r="W472">
        <v>59</v>
      </c>
      <c r="X472">
        <f t="shared" si="280"/>
        <v>111</v>
      </c>
      <c r="Y472">
        <v>5000</v>
      </c>
      <c r="Z472">
        <f t="shared" si="293"/>
        <v>13</v>
      </c>
      <c r="AA472">
        <v>1</v>
      </c>
      <c r="AB472">
        <f t="shared" si="304"/>
        <v>2002</v>
      </c>
      <c r="AC472">
        <v>71</v>
      </c>
      <c r="AD472">
        <f t="shared" si="281"/>
        <v>112</v>
      </c>
      <c r="AE472">
        <v>5000</v>
      </c>
      <c r="AF472">
        <f t="shared" si="294"/>
        <v>13</v>
      </c>
      <c r="AG472">
        <v>1</v>
      </c>
      <c r="AH472">
        <f t="shared" si="305"/>
        <v>2002</v>
      </c>
      <c r="AI472">
        <v>77</v>
      </c>
      <c r="AJ472">
        <f t="shared" si="282"/>
        <v>113</v>
      </c>
      <c r="AP472" t="str">
        <f t="shared" si="295"/>
        <v>{5000,13,1,2002,101}</v>
      </c>
      <c r="AQ472" t="str">
        <f t="shared" si="296"/>
        <v>{5000,13,1,2002,103}</v>
      </c>
      <c r="AR472" t="str">
        <f t="shared" si="297"/>
        <v>{5000,13,1,2002,111}</v>
      </c>
      <c r="AS472" t="str">
        <f t="shared" si="298"/>
        <v>{5000,13,1,2002,112}</v>
      </c>
      <c r="AT472" t="str">
        <f t="shared" si="299"/>
        <v>{5000,13,1,2002,113}</v>
      </c>
      <c r="AU472" t="str">
        <f t="shared" si="300"/>
        <v/>
      </c>
      <c r="AV472">
        <v>3032</v>
      </c>
      <c r="AW472" t="str">
        <f t="shared" si="312"/>
        <v>[{5000,13,1,2002,101},{5000,13,1,2002,103},{5000,13,1,2002,111},{5000,13,1,2002,112},{5000,13,1,2002,113}]</v>
      </c>
    </row>
    <row r="473" spans="2:49">
      <c r="B473">
        <v>3033</v>
      </c>
      <c r="C473" t="s">
        <v>44</v>
      </c>
      <c r="D473" t="str">
        <f t="shared" si="307"/>
        <v>21</v>
      </c>
      <c r="F473">
        <v>290</v>
      </c>
      <c r="G473">
        <v>5000</v>
      </c>
      <c r="H473">
        <f t="shared" si="310"/>
        <v>13</v>
      </c>
      <c r="I473">
        <v>1</v>
      </c>
      <c r="J473">
        <v>2</v>
      </c>
      <c r="K473">
        <f t="shared" si="301"/>
        <v>2002</v>
      </c>
      <c r="L473">
        <f t="shared" si="278"/>
        <v>101</v>
      </c>
      <c r="M473">
        <v>5000</v>
      </c>
      <c r="N473">
        <f t="shared" si="277"/>
        <v>13</v>
      </c>
      <c r="O473">
        <v>1</v>
      </c>
      <c r="P473">
        <f t="shared" si="302"/>
        <v>2002</v>
      </c>
      <c r="Q473">
        <v>56</v>
      </c>
      <c r="R473">
        <f t="shared" si="279"/>
        <v>102</v>
      </c>
      <c r="S473">
        <v>5000</v>
      </c>
      <c r="T473">
        <f t="shared" si="292"/>
        <v>13</v>
      </c>
      <c r="U473">
        <v>1</v>
      </c>
      <c r="V473">
        <f t="shared" si="303"/>
        <v>2001</v>
      </c>
      <c r="W473">
        <v>77</v>
      </c>
      <c r="X473">
        <f t="shared" si="280"/>
        <v>103</v>
      </c>
      <c r="Y473">
        <v>5000</v>
      </c>
      <c r="Z473">
        <f t="shared" si="293"/>
        <v>13</v>
      </c>
      <c r="AA473">
        <v>1</v>
      </c>
      <c r="AB473">
        <f t="shared" si="304"/>
        <v>2002</v>
      </c>
      <c r="AC473">
        <v>72</v>
      </c>
      <c r="AD473">
        <f t="shared" si="281"/>
        <v>113</v>
      </c>
      <c r="AE473">
        <v>5000</v>
      </c>
      <c r="AF473">
        <f t="shared" si="294"/>
        <v>13</v>
      </c>
      <c r="AG473">
        <v>1</v>
      </c>
      <c r="AH473">
        <f t="shared" si="305"/>
        <v>2002</v>
      </c>
      <c r="AI473">
        <v>74</v>
      </c>
      <c r="AJ473">
        <f t="shared" si="282"/>
        <v>111</v>
      </c>
      <c r="AP473" t="str">
        <f t="shared" si="295"/>
        <v>{5000,13,1,2002,101}</v>
      </c>
      <c r="AQ473" t="str">
        <f t="shared" si="296"/>
        <v>{5000,13,1,2002,102}</v>
      </c>
      <c r="AR473" t="str">
        <f t="shared" si="297"/>
        <v>{5000,13,1,2001,103}</v>
      </c>
      <c r="AS473" t="str">
        <f t="shared" si="298"/>
        <v>{5000,13,1,2002,113}</v>
      </c>
      <c r="AT473" t="str">
        <f t="shared" si="299"/>
        <v>{5000,13,1,2002,111}</v>
      </c>
      <c r="AU473" t="str">
        <f t="shared" si="300"/>
        <v/>
      </c>
      <c r="AV473">
        <v>3033</v>
      </c>
      <c r="AW473" t="str">
        <f t="shared" si="312"/>
        <v>[{5000,13,1,2002,101},{5000,13,1,2002,102},{5000,13,1,2001,103},{5000,13,1,2002,113},{5000,13,1,2002,111}]</v>
      </c>
    </row>
    <row r="474" spans="2:49">
      <c r="B474">
        <v>3111</v>
      </c>
      <c r="C474" t="s">
        <v>46</v>
      </c>
      <c r="D474" s="5" t="str">
        <f t="shared" si="307"/>
        <v>22</v>
      </c>
      <c r="E474" s="5"/>
      <c r="F474">
        <v>1</v>
      </c>
      <c r="G474">
        <v>5000</v>
      </c>
      <c r="H474">
        <f>H451</f>
        <v>3</v>
      </c>
      <c r="I474">
        <v>1</v>
      </c>
      <c r="J474">
        <v>1</v>
      </c>
      <c r="K474">
        <f t="shared" si="301"/>
        <v>2101</v>
      </c>
      <c r="L474">
        <f t="shared" si="278"/>
        <v>101</v>
      </c>
      <c r="M474">
        <v>5000</v>
      </c>
      <c r="N474">
        <f t="shared" si="277"/>
        <v>3</v>
      </c>
      <c r="O474">
        <v>1</v>
      </c>
      <c r="P474">
        <f t="shared" si="302"/>
        <v>2101</v>
      </c>
      <c r="Q474">
        <v>55</v>
      </c>
      <c r="R474">
        <f t="shared" si="279"/>
        <v>102</v>
      </c>
      <c r="S474">
        <v>5000</v>
      </c>
      <c r="T474">
        <f t="shared" si="292"/>
        <v>3</v>
      </c>
      <c r="U474">
        <v>1</v>
      </c>
      <c r="V474">
        <f t="shared" si="303"/>
        <v>2101</v>
      </c>
      <c r="W474">
        <v>60</v>
      </c>
      <c r="X474">
        <f t="shared" si="280"/>
        <v>103</v>
      </c>
      <c r="Y474">
        <v>5000</v>
      </c>
      <c r="Z474">
        <f t="shared" si="293"/>
        <v>3</v>
      </c>
      <c r="AA474">
        <v>1</v>
      </c>
      <c r="AB474">
        <f t="shared" si="304"/>
        <v>2101</v>
      </c>
      <c r="AC474">
        <v>71</v>
      </c>
      <c r="AD474">
        <f t="shared" si="281"/>
        <v>113</v>
      </c>
      <c r="AE474">
        <v>5000</v>
      </c>
      <c r="AF474">
        <f t="shared" si="294"/>
        <v>3</v>
      </c>
      <c r="AG474">
        <v>1</v>
      </c>
      <c r="AH474">
        <f t="shared" si="305"/>
        <v>2101</v>
      </c>
      <c r="AI474">
        <v>76</v>
      </c>
      <c r="AJ474">
        <f t="shared" si="282"/>
        <v>111</v>
      </c>
      <c r="AP474" t="str">
        <f t="shared" si="295"/>
        <v>{5000,3,1,2101,101}</v>
      </c>
      <c r="AQ474" t="str">
        <f t="shared" si="296"/>
        <v>{5000,3,1,2101,102}</v>
      </c>
      <c r="AR474" t="str">
        <f t="shared" si="297"/>
        <v>{5000,3,1,2101,103}</v>
      </c>
      <c r="AS474" t="str">
        <f t="shared" si="298"/>
        <v>{5000,3,1,2101,113}</v>
      </c>
      <c r="AT474" t="str">
        <f t="shared" si="299"/>
        <v>{5000,3,1,2101,111}</v>
      </c>
      <c r="AU474" t="str">
        <f t="shared" si="300"/>
        <v/>
      </c>
      <c r="AV474">
        <v>3111</v>
      </c>
      <c r="AW474" t="str">
        <f t="shared" si="312"/>
        <v>[{5000,3,1,2101,101},{5000,3,1,2101,102},{5000,3,1,2101,103},{5000,3,1,2101,113},{5000,3,1,2101,111}]</v>
      </c>
    </row>
    <row r="475" spans="2:49">
      <c r="B475">
        <v>3112</v>
      </c>
      <c r="C475" t="s">
        <v>46</v>
      </c>
      <c r="D475" t="str">
        <f t="shared" si="307"/>
        <v>22</v>
      </c>
      <c r="F475">
        <v>16</v>
      </c>
      <c r="G475">
        <v>5000</v>
      </c>
      <c r="H475">
        <f t="shared" ref="H475:H538" si="313">H452</f>
        <v>3</v>
      </c>
      <c r="I475">
        <v>1</v>
      </c>
      <c r="J475">
        <v>1</v>
      </c>
      <c r="K475">
        <f t="shared" ref="K475:K497" si="314">IF($J475="","",K452+100)</f>
        <v>2101</v>
      </c>
      <c r="L475">
        <f t="shared" si="278"/>
        <v>101</v>
      </c>
      <c r="M475">
        <v>5000</v>
      </c>
      <c r="N475">
        <f t="shared" si="277"/>
        <v>3</v>
      </c>
      <c r="O475">
        <v>1</v>
      </c>
      <c r="P475">
        <f t="shared" ref="P475:P497" si="315">IF($J475="","",P452+100)</f>
        <v>2101</v>
      </c>
      <c r="Q475">
        <v>55</v>
      </c>
      <c r="R475">
        <f t="shared" si="279"/>
        <v>103</v>
      </c>
      <c r="S475">
        <v>5000</v>
      </c>
      <c r="T475">
        <f t="shared" si="292"/>
        <v>3</v>
      </c>
      <c r="U475">
        <v>1</v>
      </c>
      <c r="V475">
        <f t="shared" ref="V475:V497" si="316">IF($J475="","",V452+100)</f>
        <v>2101</v>
      </c>
      <c r="W475">
        <v>75</v>
      </c>
      <c r="X475">
        <f t="shared" si="280"/>
        <v>111</v>
      </c>
      <c r="Y475">
        <v>5000</v>
      </c>
      <c r="Z475">
        <f t="shared" si="293"/>
        <v>3</v>
      </c>
      <c r="AA475">
        <v>1</v>
      </c>
      <c r="AB475">
        <f t="shared" ref="AB475:AB497" si="317">IF($J475="","",AB452+100)</f>
        <v>2101</v>
      </c>
      <c r="AC475">
        <v>73</v>
      </c>
      <c r="AD475">
        <f t="shared" si="281"/>
        <v>112</v>
      </c>
      <c r="AE475">
        <v>5000</v>
      </c>
      <c r="AF475">
        <f t="shared" si="294"/>
        <v>3</v>
      </c>
      <c r="AG475">
        <v>1</v>
      </c>
      <c r="AH475">
        <f t="shared" ref="AH475:AH497" si="318">IF($J475="","",AH452+100)</f>
        <v>2101</v>
      </c>
      <c r="AI475">
        <v>78</v>
      </c>
      <c r="AJ475">
        <f t="shared" si="282"/>
        <v>113</v>
      </c>
      <c r="AP475" t="str">
        <f t="shared" si="295"/>
        <v>{5000,3,1,2101,101}</v>
      </c>
      <c r="AQ475" t="str">
        <f t="shared" si="296"/>
        <v>{5000,3,1,2101,103}</v>
      </c>
      <c r="AR475" t="str">
        <f t="shared" si="297"/>
        <v>{5000,3,1,2101,111}</v>
      </c>
      <c r="AS475" t="str">
        <f t="shared" si="298"/>
        <v>{5000,3,1,2101,112}</v>
      </c>
      <c r="AT475" t="str">
        <f t="shared" si="299"/>
        <v>{5000,3,1,2101,113}</v>
      </c>
      <c r="AU475" t="str">
        <f t="shared" si="300"/>
        <v/>
      </c>
      <c r="AV475">
        <v>3112</v>
      </c>
      <c r="AW475" t="str">
        <f t="shared" si="312"/>
        <v>[{5000,3,1,2101,101},{5000,3,1,2101,103},{5000,3,1,2101,111},{5000,3,1,2101,112},{5000,3,1,2101,113}]</v>
      </c>
    </row>
    <row r="476" spans="2:49">
      <c r="B476">
        <v>3113</v>
      </c>
      <c r="C476" t="s">
        <v>46</v>
      </c>
      <c r="D476" t="str">
        <f t="shared" si="307"/>
        <v>22</v>
      </c>
      <c r="F476">
        <v>31</v>
      </c>
      <c r="G476">
        <v>5000</v>
      </c>
      <c r="H476">
        <f t="shared" si="313"/>
        <v>6</v>
      </c>
      <c r="I476">
        <v>1</v>
      </c>
      <c r="J476">
        <v>1</v>
      </c>
      <c r="K476">
        <f t="shared" si="314"/>
        <v>2101</v>
      </c>
      <c r="L476">
        <f t="shared" si="278"/>
        <v>101</v>
      </c>
      <c r="M476">
        <v>5000</v>
      </c>
      <c r="N476">
        <f t="shared" si="277"/>
        <v>6</v>
      </c>
      <c r="O476">
        <v>1</v>
      </c>
      <c r="P476">
        <f t="shared" si="315"/>
        <v>2101</v>
      </c>
      <c r="Q476">
        <v>55</v>
      </c>
      <c r="R476">
        <f t="shared" si="279"/>
        <v>102</v>
      </c>
      <c r="S476">
        <v>5000</v>
      </c>
      <c r="T476">
        <f t="shared" si="292"/>
        <v>6</v>
      </c>
      <c r="U476">
        <v>1</v>
      </c>
      <c r="V476">
        <f t="shared" si="316"/>
        <v>2101</v>
      </c>
      <c r="W476">
        <v>58</v>
      </c>
      <c r="X476">
        <f t="shared" si="280"/>
        <v>103</v>
      </c>
      <c r="Y476">
        <v>5000</v>
      </c>
      <c r="Z476">
        <f t="shared" si="293"/>
        <v>6</v>
      </c>
      <c r="AA476">
        <v>1</v>
      </c>
      <c r="AB476">
        <f t="shared" si="317"/>
        <v>2101</v>
      </c>
      <c r="AC476">
        <v>76</v>
      </c>
      <c r="AD476">
        <f t="shared" si="281"/>
        <v>113</v>
      </c>
      <c r="AE476">
        <v>5000</v>
      </c>
      <c r="AF476">
        <f t="shared" si="294"/>
        <v>6</v>
      </c>
      <c r="AG476">
        <v>1</v>
      </c>
      <c r="AH476">
        <f t="shared" si="318"/>
        <v>2101</v>
      </c>
      <c r="AI476">
        <v>79</v>
      </c>
      <c r="AJ476">
        <f t="shared" si="282"/>
        <v>111</v>
      </c>
      <c r="AP476" t="str">
        <f t="shared" si="295"/>
        <v>{5000,6,1,2101,101}</v>
      </c>
      <c r="AQ476" t="str">
        <f t="shared" si="296"/>
        <v>{5000,6,1,2101,102}</v>
      </c>
      <c r="AR476" t="str">
        <f t="shared" si="297"/>
        <v>{5000,6,1,2101,103}</v>
      </c>
      <c r="AS476" t="str">
        <f t="shared" si="298"/>
        <v>{5000,6,1,2101,113}</v>
      </c>
      <c r="AT476" t="str">
        <f t="shared" si="299"/>
        <v>{5000,6,1,2101,111}</v>
      </c>
      <c r="AU476" t="str">
        <f t="shared" si="300"/>
        <v/>
      </c>
      <c r="AV476">
        <v>3113</v>
      </c>
      <c r="AW476" t="str">
        <f t="shared" si="312"/>
        <v>[{5000,6,1,2101,101},{5000,6,1,2101,102},{5000,6,1,2101,103},{5000,6,1,2101,113},{5000,6,1,2101,111}]</v>
      </c>
    </row>
    <row r="477" spans="2:49">
      <c r="B477">
        <v>3114</v>
      </c>
      <c r="C477" t="s">
        <v>46</v>
      </c>
      <c r="D477" t="str">
        <f t="shared" si="307"/>
        <v>22</v>
      </c>
      <c r="F477">
        <v>46</v>
      </c>
      <c r="G477">
        <v>5000</v>
      </c>
      <c r="H477">
        <f t="shared" si="313"/>
        <v>6</v>
      </c>
      <c r="I477">
        <v>1</v>
      </c>
      <c r="J477">
        <v>1</v>
      </c>
      <c r="K477">
        <f t="shared" si="314"/>
        <v>2101</v>
      </c>
      <c r="L477">
        <f t="shared" si="278"/>
        <v>101</v>
      </c>
      <c r="M477">
        <v>5000</v>
      </c>
      <c r="N477">
        <f t="shared" si="277"/>
        <v>6</v>
      </c>
      <c r="O477">
        <v>1</v>
      </c>
      <c r="P477">
        <f t="shared" si="315"/>
        <v>2101</v>
      </c>
      <c r="Q477">
        <v>55</v>
      </c>
      <c r="R477">
        <f t="shared" si="279"/>
        <v>103</v>
      </c>
      <c r="S477">
        <v>5000</v>
      </c>
      <c r="T477">
        <f t="shared" si="292"/>
        <v>6</v>
      </c>
      <c r="U477">
        <v>1</v>
      </c>
      <c r="V477">
        <f t="shared" si="316"/>
        <v>2102</v>
      </c>
      <c r="W477">
        <v>76</v>
      </c>
      <c r="X477">
        <f t="shared" si="280"/>
        <v>111</v>
      </c>
      <c r="Y477">
        <v>5000</v>
      </c>
      <c r="Z477">
        <f t="shared" si="293"/>
        <v>6</v>
      </c>
      <c r="AA477">
        <v>1</v>
      </c>
      <c r="AB477">
        <f t="shared" si="317"/>
        <v>2101</v>
      </c>
      <c r="AC477">
        <v>71</v>
      </c>
      <c r="AD477">
        <f t="shared" si="281"/>
        <v>112</v>
      </c>
      <c r="AE477">
        <v>5000</v>
      </c>
      <c r="AF477">
        <f t="shared" si="294"/>
        <v>6</v>
      </c>
      <c r="AG477">
        <v>1</v>
      </c>
      <c r="AH477">
        <f t="shared" si="318"/>
        <v>2101</v>
      </c>
      <c r="AI477">
        <v>71</v>
      </c>
      <c r="AJ477">
        <f t="shared" si="282"/>
        <v>113</v>
      </c>
      <c r="AP477" t="str">
        <f t="shared" si="295"/>
        <v>{5000,6,1,2101,101}</v>
      </c>
      <c r="AQ477" t="str">
        <f t="shared" si="296"/>
        <v>{5000,6,1,2101,103}</v>
      </c>
      <c r="AR477" t="str">
        <f t="shared" si="297"/>
        <v>{5000,6,1,2102,111}</v>
      </c>
      <c r="AS477" t="str">
        <f t="shared" si="298"/>
        <v>{5000,6,1,2101,112}</v>
      </c>
      <c r="AT477" t="str">
        <f t="shared" si="299"/>
        <v>{5000,6,1,2101,113}</v>
      </c>
      <c r="AU477" t="str">
        <f t="shared" si="300"/>
        <v/>
      </c>
      <c r="AV477">
        <v>3114</v>
      </c>
      <c r="AW477" t="str">
        <f t="shared" si="312"/>
        <v>[{5000,6,1,2101,101},{5000,6,1,2101,103},{5000,6,1,2102,111},{5000,6,1,2101,112},{5000,6,1,2101,113}]</v>
      </c>
    </row>
    <row r="478" spans="2:49">
      <c r="B478">
        <v>3115</v>
      </c>
      <c r="C478" t="s">
        <v>46</v>
      </c>
      <c r="D478" t="str">
        <f t="shared" si="307"/>
        <v>22</v>
      </c>
      <c r="F478">
        <v>61</v>
      </c>
      <c r="G478">
        <v>5000</v>
      </c>
      <c r="H478">
        <f t="shared" si="313"/>
        <v>8</v>
      </c>
      <c r="I478">
        <v>1</v>
      </c>
      <c r="J478">
        <v>3</v>
      </c>
      <c r="K478">
        <f t="shared" si="314"/>
        <v>2103</v>
      </c>
      <c r="L478">
        <f t="shared" si="278"/>
        <v>101</v>
      </c>
      <c r="M478">
        <v>5000</v>
      </c>
      <c r="N478">
        <f t="shared" si="277"/>
        <v>8</v>
      </c>
      <c r="O478">
        <v>1</v>
      </c>
      <c r="P478">
        <f t="shared" si="315"/>
        <v>2103</v>
      </c>
      <c r="Q478">
        <v>56</v>
      </c>
      <c r="R478">
        <f t="shared" si="279"/>
        <v>102</v>
      </c>
      <c r="S478">
        <v>5000</v>
      </c>
      <c r="T478">
        <f t="shared" si="292"/>
        <v>8</v>
      </c>
      <c r="U478">
        <v>1</v>
      </c>
      <c r="V478">
        <f t="shared" si="316"/>
        <v>2103</v>
      </c>
      <c r="W478">
        <v>57</v>
      </c>
      <c r="X478">
        <f t="shared" si="280"/>
        <v>103</v>
      </c>
      <c r="Y478">
        <v>5000</v>
      </c>
      <c r="Z478">
        <f t="shared" si="293"/>
        <v>8</v>
      </c>
      <c r="AA478">
        <v>1</v>
      </c>
      <c r="AB478">
        <f t="shared" si="317"/>
        <v>2103</v>
      </c>
      <c r="AC478">
        <v>72</v>
      </c>
      <c r="AD478">
        <f t="shared" si="281"/>
        <v>113</v>
      </c>
      <c r="AE478">
        <v>5000</v>
      </c>
      <c r="AF478">
        <f t="shared" si="294"/>
        <v>8</v>
      </c>
      <c r="AG478">
        <v>1</v>
      </c>
      <c r="AH478">
        <f t="shared" si="318"/>
        <v>2103</v>
      </c>
      <c r="AI478">
        <v>71</v>
      </c>
      <c r="AJ478">
        <f t="shared" si="282"/>
        <v>111</v>
      </c>
      <c r="AP478" t="str">
        <f t="shared" si="295"/>
        <v>{5000,8,1,2103,101}</v>
      </c>
      <c r="AQ478" t="str">
        <f t="shared" si="296"/>
        <v>{5000,8,1,2103,102}</v>
      </c>
      <c r="AR478" t="str">
        <f t="shared" si="297"/>
        <v>{5000,8,1,2103,103}</v>
      </c>
      <c r="AS478" t="str">
        <f t="shared" si="298"/>
        <v>{5000,8,1,2103,113}</v>
      </c>
      <c r="AT478" t="str">
        <f t="shared" si="299"/>
        <v>{5000,8,1,2103,111}</v>
      </c>
      <c r="AU478" t="str">
        <f t="shared" si="300"/>
        <v/>
      </c>
      <c r="AV478">
        <v>3115</v>
      </c>
      <c r="AW478" t="str">
        <f t="shared" si="312"/>
        <v>[{5000,8,1,2103,101},{5000,8,1,2103,102},{5000,8,1,2103,103},{5000,8,1,2103,113},{5000,8,1,2103,111}]</v>
      </c>
    </row>
    <row r="479" spans="2:49">
      <c r="B479">
        <v>3116</v>
      </c>
      <c r="C479" t="s">
        <v>46</v>
      </c>
      <c r="D479" t="str">
        <f t="shared" si="307"/>
        <v>22</v>
      </c>
      <c r="F479">
        <v>76</v>
      </c>
      <c r="G479">
        <v>5000</v>
      </c>
      <c r="H479">
        <f t="shared" si="313"/>
        <v>8</v>
      </c>
      <c r="I479">
        <v>1</v>
      </c>
      <c r="J479">
        <v>1</v>
      </c>
      <c r="K479">
        <f t="shared" si="314"/>
        <v>2101</v>
      </c>
      <c r="L479">
        <f t="shared" si="278"/>
        <v>101</v>
      </c>
      <c r="M479">
        <v>5000</v>
      </c>
      <c r="N479">
        <f t="shared" si="277"/>
        <v>8</v>
      </c>
      <c r="O479">
        <v>1</v>
      </c>
      <c r="P479">
        <f t="shared" si="315"/>
        <v>2101</v>
      </c>
      <c r="Q479">
        <v>59</v>
      </c>
      <c r="R479">
        <f t="shared" si="279"/>
        <v>103</v>
      </c>
      <c r="S479">
        <v>5000</v>
      </c>
      <c r="T479">
        <f t="shared" si="292"/>
        <v>8</v>
      </c>
      <c r="U479">
        <v>1</v>
      </c>
      <c r="V479">
        <f t="shared" si="316"/>
        <v>2102</v>
      </c>
      <c r="W479">
        <v>71</v>
      </c>
      <c r="X479">
        <f t="shared" si="280"/>
        <v>111</v>
      </c>
      <c r="Y479">
        <v>5000</v>
      </c>
      <c r="Z479">
        <f t="shared" si="293"/>
        <v>8</v>
      </c>
      <c r="AA479">
        <v>1</v>
      </c>
      <c r="AB479">
        <f t="shared" si="317"/>
        <v>2101</v>
      </c>
      <c r="AC479">
        <v>71</v>
      </c>
      <c r="AD479">
        <f t="shared" si="281"/>
        <v>112</v>
      </c>
      <c r="AE479">
        <v>5000</v>
      </c>
      <c r="AF479">
        <f t="shared" si="294"/>
        <v>8</v>
      </c>
      <c r="AG479">
        <v>1</v>
      </c>
      <c r="AH479">
        <f t="shared" si="318"/>
        <v>2101</v>
      </c>
      <c r="AI479">
        <v>79</v>
      </c>
      <c r="AJ479">
        <f t="shared" si="282"/>
        <v>113</v>
      </c>
      <c r="AP479" t="str">
        <f t="shared" si="295"/>
        <v>{5000,8,1,2101,101}</v>
      </c>
      <c r="AQ479" t="str">
        <f t="shared" si="296"/>
        <v>{5000,8,1,2101,103}</v>
      </c>
      <c r="AR479" t="str">
        <f t="shared" si="297"/>
        <v>{5000,8,1,2102,111}</v>
      </c>
      <c r="AS479" t="str">
        <f t="shared" si="298"/>
        <v>{5000,8,1,2101,112}</v>
      </c>
      <c r="AT479" t="str">
        <f t="shared" si="299"/>
        <v>{5000,8,1,2101,113}</v>
      </c>
      <c r="AU479" t="str">
        <f t="shared" si="300"/>
        <v/>
      </c>
      <c r="AV479">
        <v>3116</v>
      </c>
      <c r="AW479" t="str">
        <f t="shared" si="312"/>
        <v>[{5000,8,1,2101,101},{5000,8,1,2101,103},{5000,8,1,2102,111},{5000,8,1,2101,112},{5000,8,1,2101,113}]</v>
      </c>
    </row>
    <row r="480" spans="2:49">
      <c r="B480">
        <v>3117</v>
      </c>
      <c r="C480" t="s">
        <v>46</v>
      </c>
      <c r="D480" t="str">
        <f t="shared" si="307"/>
        <v>22</v>
      </c>
      <c r="F480">
        <v>91</v>
      </c>
      <c r="G480">
        <v>5000</v>
      </c>
      <c r="H480">
        <f t="shared" si="313"/>
        <v>8</v>
      </c>
      <c r="I480">
        <v>1</v>
      </c>
      <c r="J480">
        <v>1</v>
      </c>
      <c r="K480">
        <f t="shared" si="314"/>
        <v>2101</v>
      </c>
      <c r="L480">
        <f t="shared" si="278"/>
        <v>101</v>
      </c>
      <c r="M480">
        <v>5000</v>
      </c>
      <c r="N480">
        <f t="shared" si="277"/>
        <v>8</v>
      </c>
      <c r="O480">
        <v>1</v>
      </c>
      <c r="P480">
        <f t="shared" si="315"/>
        <v>2101</v>
      </c>
      <c r="Q480">
        <v>54</v>
      </c>
      <c r="R480">
        <f t="shared" si="279"/>
        <v>102</v>
      </c>
      <c r="S480">
        <v>5000</v>
      </c>
      <c r="T480">
        <f t="shared" si="292"/>
        <v>8</v>
      </c>
      <c r="U480">
        <v>1</v>
      </c>
      <c r="V480">
        <f t="shared" si="316"/>
        <v>2102</v>
      </c>
      <c r="W480">
        <v>51</v>
      </c>
      <c r="X480">
        <f t="shared" si="280"/>
        <v>103</v>
      </c>
      <c r="Y480">
        <v>5000</v>
      </c>
      <c r="Z480">
        <f t="shared" si="293"/>
        <v>8</v>
      </c>
      <c r="AA480">
        <v>1</v>
      </c>
      <c r="AB480">
        <f t="shared" si="317"/>
        <v>2101</v>
      </c>
      <c r="AC480">
        <v>71</v>
      </c>
      <c r="AD480">
        <f t="shared" si="281"/>
        <v>113</v>
      </c>
      <c r="AE480">
        <v>5000</v>
      </c>
      <c r="AF480">
        <f t="shared" si="294"/>
        <v>8</v>
      </c>
      <c r="AG480">
        <v>1</v>
      </c>
      <c r="AH480">
        <f t="shared" si="318"/>
        <v>2102</v>
      </c>
      <c r="AI480">
        <v>77</v>
      </c>
      <c r="AJ480">
        <f t="shared" si="282"/>
        <v>111</v>
      </c>
      <c r="AP480" t="str">
        <f t="shared" si="295"/>
        <v>{5000,8,1,2101,101}</v>
      </c>
      <c r="AQ480" t="str">
        <f t="shared" si="296"/>
        <v>{5000,8,1,2101,102}</v>
      </c>
      <c r="AR480" t="str">
        <f t="shared" si="297"/>
        <v>{5000,8,1,2102,103}</v>
      </c>
      <c r="AS480" t="str">
        <f t="shared" si="298"/>
        <v>{5000,8,1,2101,113}</v>
      </c>
      <c r="AT480" t="str">
        <f t="shared" si="299"/>
        <v>{5000,8,1,2102,111}</v>
      </c>
      <c r="AU480" t="str">
        <f t="shared" si="300"/>
        <v/>
      </c>
      <c r="AV480">
        <v>3117</v>
      </c>
      <c r="AW480" t="str">
        <f t="shared" si="312"/>
        <v>[{5000,8,1,2101,101},{5000,8,1,2101,102},{5000,8,1,2102,103},{5000,8,1,2101,113},{5000,8,1,2102,111}]</v>
      </c>
    </row>
    <row r="481" spans="2:49">
      <c r="B481">
        <v>3118</v>
      </c>
      <c r="C481" t="s">
        <v>46</v>
      </c>
      <c r="D481" t="str">
        <f t="shared" si="307"/>
        <v>22</v>
      </c>
      <c r="F481">
        <v>106</v>
      </c>
      <c r="G481">
        <v>5000</v>
      </c>
      <c r="H481">
        <f t="shared" si="313"/>
        <v>8</v>
      </c>
      <c r="I481">
        <v>1</v>
      </c>
      <c r="J481">
        <v>1</v>
      </c>
      <c r="K481">
        <f t="shared" si="314"/>
        <v>2101</v>
      </c>
      <c r="L481">
        <f t="shared" si="278"/>
        <v>101</v>
      </c>
      <c r="M481">
        <v>5000</v>
      </c>
      <c r="N481">
        <f t="shared" si="277"/>
        <v>8</v>
      </c>
      <c r="O481">
        <v>1</v>
      </c>
      <c r="P481">
        <f t="shared" si="315"/>
        <v>2101</v>
      </c>
      <c r="Q481">
        <v>55</v>
      </c>
      <c r="R481">
        <f t="shared" si="279"/>
        <v>103</v>
      </c>
      <c r="S481">
        <v>5000</v>
      </c>
      <c r="T481">
        <f t="shared" si="292"/>
        <v>8</v>
      </c>
      <c r="U481">
        <v>1</v>
      </c>
      <c r="V481">
        <f t="shared" si="316"/>
        <v>2102</v>
      </c>
      <c r="W481">
        <v>73</v>
      </c>
      <c r="X481">
        <f t="shared" si="280"/>
        <v>111</v>
      </c>
      <c r="Y481">
        <v>5000</v>
      </c>
      <c r="Z481">
        <f t="shared" si="293"/>
        <v>8</v>
      </c>
      <c r="AA481">
        <v>1</v>
      </c>
      <c r="AB481">
        <f t="shared" si="317"/>
        <v>2101</v>
      </c>
      <c r="AC481">
        <v>78</v>
      </c>
      <c r="AD481">
        <f t="shared" si="281"/>
        <v>112</v>
      </c>
      <c r="AE481">
        <v>5000</v>
      </c>
      <c r="AF481">
        <f t="shared" si="294"/>
        <v>8</v>
      </c>
      <c r="AG481">
        <v>1</v>
      </c>
      <c r="AH481">
        <f t="shared" si="318"/>
        <v>2102</v>
      </c>
      <c r="AI481">
        <v>71</v>
      </c>
      <c r="AJ481">
        <f t="shared" si="282"/>
        <v>113</v>
      </c>
      <c r="AP481" t="str">
        <f t="shared" si="295"/>
        <v>{5000,8,1,2101,101}</v>
      </c>
      <c r="AQ481" t="str">
        <f t="shared" si="296"/>
        <v>{5000,8,1,2101,103}</v>
      </c>
      <c r="AR481" t="str">
        <f t="shared" si="297"/>
        <v>{5000,8,1,2102,111}</v>
      </c>
      <c r="AS481" t="str">
        <f t="shared" si="298"/>
        <v>{5000,8,1,2101,112}</v>
      </c>
      <c r="AT481" t="str">
        <f t="shared" si="299"/>
        <v>{5000,8,1,2102,113}</v>
      </c>
      <c r="AU481" t="str">
        <f t="shared" si="300"/>
        <v/>
      </c>
      <c r="AV481">
        <v>3118</v>
      </c>
      <c r="AW481" t="str">
        <f t="shared" si="312"/>
        <v>[{5000,8,1,2101,101},{5000,8,1,2101,103},{5000,8,1,2102,111},{5000,8,1,2101,112},{5000,8,1,2102,113}]</v>
      </c>
    </row>
    <row r="482" spans="2:48">
      <c r="B482">
        <v>3119</v>
      </c>
      <c r="C482" t="s">
        <v>46</v>
      </c>
      <c r="D482" t="str">
        <f t="shared" si="307"/>
        <v>22</v>
      </c>
      <c r="F482">
        <v>119</v>
      </c>
      <c r="H482">
        <f t="shared" si="313"/>
        <v>0</v>
      </c>
      <c r="K482" t="str">
        <f t="shared" si="314"/>
        <v/>
      </c>
      <c r="L482" t="str">
        <f t="shared" si="278"/>
        <v/>
      </c>
      <c r="N482">
        <f t="shared" si="277"/>
        <v>0</v>
      </c>
      <c r="P482" t="str">
        <f t="shared" si="315"/>
        <v/>
      </c>
      <c r="R482" t="str">
        <f t="shared" si="279"/>
        <v/>
      </c>
      <c r="T482">
        <f t="shared" si="292"/>
        <v>0</v>
      </c>
      <c r="V482" t="str">
        <f t="shared" si="316"/>
        <v/>
      </c>
      <c r="X482" t="str">
        <f t="shared" si="280"/>
        <v/>
      </c>
      <c r="Z482">
        <f t="shared" si="293"/>
        <v>0</v>
      </c>
      <c r="AB482" t="str">
        <f t="shared" si="317"/>
        <v/>
      </c>
      <c r="AD482" t="str">
        <f t="shared" si="281"/>
        <v/>
      </c>
      <c r="AF482">
        <f t="shared" si="294"/>
        <v>0</v>
      </c>
      <c r="AH482" t="str">
        <f t="shared" si="318"/>
        <v/>
      </c>
      <c r="AJ482" t="str">
        <f t="shared" si="282"/>
        <v/>
      </c>
      <c r="AP482" t="str">
        <f t="shared" si="295"/>
        <v/>
      </c>
      <c r="AQ482" t="str">
        <f t="shared" si="296"/>
        <v/>
      </c>
      <c r="AR482" t="str">
        <f t="shared" si="297"/>
        <v/>
      </c>
      <c r="AS482" t="str">
        <f t="shared" si="298"/>
        <v/>
      </c>
      <c r="AT482" t="str">
        <f t="shared" si="299"/>
        <v/>
      </c>
      <c r="AU482" t="str">
        <f t="shared" si="300"/>
        <v/>
      </c>
      <c r="AV482">
        <v>3119</v>
      </c>
    </row>
    <row r="483" spans="2:49">
      <c r="B483">
        <v>3120</v>
      </c>
      <c r="C483" t="s">
        <v>46</v>
      </c>
      <c r="D483" t="str">
        <f t="shared" si="307"/>
        <v>22</v>
      </c>
      <c r="F483">
        <v>121</v>
      </c>
      <c r="G483">
        <v>5000</v>
      </c>
      <c r="H483">
        <f t="shared" si="313"/>
        <v>10</v>
      </c>
      <c r="I483">
        <v>1</v>
      </c>
      <c r="J483">
        <v>3</v>
      </c>
      <c r="K483">
        <f t="shared" si="314"/>
        <v>2103</v>
      </c>
      <c r="L483">
        <f t="shared" si="278"/>
        <v>101</v>
      </c>
      <c r="M483">
        <v>5000</v>
      </c>
      <c r="N483">
        <f t="shared" si="277"/>
        <v>10</v>
      </c>
      <c r="O483">
        <v>1</v>
      </c>
      <c r="P483">
        <f t="shared" si="315"/>
        <v>2103</v>
      </c>
      <c r="Q483">
        <v>54</v>
      </c>
      <c r="R483">
        <f t="shared" si="279"/>
        <v>102</v>
      </c>
      <c r="S483">
        <v>5000</v>
      </c>
      <c r="T483">
        <f t="shared" si="292"/>
        <v>10</v>
      </c>
      <c r="U483">
        <v>1</v>
      </c>
      <c r="V483">
        <f t="shared" si="316"/>
        <v>2103</v>
      </c>
      <c r="W483">
        <v>51</v>
      </c>
      <c r="X483">
        <f t="shared" si="280"/>
        <v>103</v>
      </c>
      <c r="Y483">
        <v>5000</v>
      </c>
      <c r="Z483">
        <f t="shared" si="293"/>
        <v>10</v>
      </c>
      <c r="AA483">
        <v>1</v>
      </c>
      <c r="AB483">
        <f t="shared" si="317"/>
        <v>2103</v>
      </c>
      <c r="AC483">
        <v>71</v>
      </c>
      <c r="AD483">
        <f t="shared" si="281"/>
        <v>113</v>
      </c>
      <c r="AE483">
        <v>5000</v>
      </c>
      <c r="AF483">
        <f t="shared" si="294"/>
        <v>10</v>
      </c>
      <c r="AG483">
        <v>1</v>
      </c>
      <c r="AH483">
        <f t="shared" si="318"/>
        <v>2103</v>
      </c>
      <c r="AI483">
        <v>79</v>
      </c>
      <c r="AJ483">
        <f t="shared" si="282"/>
        <v>111</v>
      </c>
      <c r="AK483">
        <v>1000</v>
      </c>
      <c r="AL483">
        <v>1</v>
      </c>
      <c r="AM483">
        <v>0</v>
      </c>
      <c r="AN483">
        <f t="shared" ref="AN483" si="319">AN460+100</f>
        <v>2121</v>
      </c>
      <c r="AO483">
        <v>4</v>
      </c>
      <c r="AP483" t="str">
        <f t="shared" si="295"/>
        <v>{5000,10,1,2103,101}</v>
      </c>
      <c r="AQ483" t="str">
        <f t="shared" si="296"/>
        <v>{5000,10,1,2103,102}</v>
      </c>
      <c r="AR483" t="str">
        <f t="shared" si="297"/>
        <v>{5000,10,1,2103,103}</v>
      </c>
      <c r="AS483" t="str">
        <f t="shared" si="298"/>
        <v>{5000,10,1,2103,113}</v>
      </c>
      <c r="AT483" t="str">
        <f t="shared" si="299"/>
        <v>{5000,10,1,2103,111}</v>
      </c>
      <c r="AU483" t="str">
        <f t="shared" si="300"/>
        <v>{1000,1,0,2121,4}</v>
      </c>
      <c r="AV483">
        <v>3120</v>
      </c>
      <c r="AW483" t="str">
        <f t="shared" ref="AW483:AW488" si="320">IF(AU483="","["&amp;_xlfn.TEXTJOIN(",",1,AP483:AT483)&amp;"]","["&amp;_xlfn.TEXTJOIN(",",1,AP483:AU483)&amp;"]")</f>
        <v>[{5000,10,1,2103,101},{5000,10,1,2103,102},{5000,10,1,2103,103},{5000,10,1,2103,113},{5000,10,1,2103,111},{1000,1,0,2121,4}]</v>
      </c>
    </row>
    <row r="484" spans="2:49">
      <c r="B484">
        <v>3121</v>
      </c>
      <c r="C484" t="s">
        <v>46</v>
      </c>
      <c r="D484" t="str">
        <f t="shared" si="307"/>
        <v>22</v>
      </c>
      <c r="F484">
        <v>136</v>
      </c>
      <c r="G484">
        <v>5000</v>
      </c>
      <c r="H484">
        <f t="shared" si="313"/>
        <v>9</v>
      </c>
      <c r="I484">
        <v>1</v>
      </c>
      <c r="J484">
        <v>1</v>
      </c>
      <c r="K484">
        <f t="shared" si="314"/>
        <v>2101</v>
      </c>
      <c r="L484">
        <f t="shared" si="278"/>
        <v>101</v>
      </c>
      <c r="M484">
        <v>5000</v>
      </c>
      <c r="N484">
        <f t="shared" si="277"/>
        <v>9</v>
      </c>
      <c r="O484">
        <v>1</v>
      </c>
      <c r="P484">
        <f t="shared" si="315"/>
        <v>2101</v>
      </c>
      <c r="Q484">
        <v>54</v>
      </c>
      <c r="R484">
        <f t="shared" si="279"/>
        <v>103</v>
      </c>
      <c r="S484">
        <v>5000</v>
      </c>
      <c r="T484">
        <f t="shared" si="292"/>
        <v>9</v>
      </c>
      <c r="U484">
        <v>1</v>
      </c>
      <c r="V484">
        <f t="shared" si="316"/>
        <v>2102</v>
      </c>
      <c r="W484">
        <v>76</v>
      </c>
      <c r="X484">
        <f t="shared" si="280"/>
        <v>111</v>
      </c>
      <c r="Y484">
        <v>5000</v>
      </c>
      <c r="Z484">
        <f t="shared" si="293"/>
        <v>9</v>
      </c>
      <c r="AA484">
        <v>1</v>
      </c>
      <c r="AB484">
        <f t="shared" si="317"/>
        <v>2101</v>
      </c>
      <c r="AC484">
        <v>72</v>
      </c>
      <c r="AD484">
        <f t="shared" si="281"/>
        <v>112</v>
      </c>
      <c r="AE484">
        <v>5000</v>
      </c>
      <c r="AF484">
        <f t="shared" si="294"/>
        <v>9</v>
      </c>
      <c r="AG484">
        <v>1</v>
      </c>
      <c r="AH484">
        <f t="shared" si="318"/>
        <v>2102</v>
      </c>
      <c r="AI484">
        <v>74</v>
      </c>
      <c r="AJ484">
        <f t="shared" si="282"/>
        <v>113</v>
      </c>
      <c r="AP484" t="str">
        <f t="shared" si="295"/>
        <v>{5000,9,1,2101,101}</v>
      </c>
      <c r="AQ484" t="str">
        <f t="shared" si="296"/>
        <v>{5000,9,1,2101,103}</v>
      </c>
      <c r="AR484" t="str">
        <f t="shared" si="297"/>
        <v>{5000,9,1,2102,111}</v>
      </c>
      <c r="AS484" t="str">
        <f t="shared" si="298"/>
        <v>{5000,9,1,2101,112}</v>
      </c>
      <c r="AT484" t="str">
        <f t="shared" si="299"/>
        <v>{5000,9,1,2102,113}</v>
      </c>
      <c r="AU484" t="str">
        <f t="shared" si="300"/>
        <v/>
      </c>
      <c r="AV484">
        <v>3121</v>
      </c>
      <c r="AW484" t="str">
        <f t="shared" si="320"/>
        <v>[{5000,9,1,2101,101},{5000,9,1,2101,103},{5000,9,1,2102,111},{5000,9,1,2101,112},{5000,9,1,2102,113}]</v>
      </c>
    </row>
    <row r="485" spans="2:49">
      <c r="B485">
        <v>3122</v>
      </c>
      <c r="C485" t="s">
        <v>46</v>
      </c>
      <c r="D485" t="str">
        <f t="shared" si="307"/>
        <v>22</v>
      </c>
      <c r="F485">
        <v>151</v>
      </c>
      <c r="G485">
        <v>5000</v>
      </c>
      <c r="H485">
        <f t="shared" si="313"/>
        <v>10</v>
      </c>
      <c r="I485">
        <v>1</v>
      </c>
      <c r="J485">
        <v>1</v>
      </c>
      <c r="K485">
        <f t="shared" si="314"/>
        <v>2101</v>
      </c>
      <c r="L485">
        <f t="shared" si="278"/>
        <v>101</v>
      </c>
      <c r="M485">
        <v>5000</v>
      </c>
      <c r="N485">
        <f t="shared" si="277"/>
        <v>10</v>
      </c>
      <c r="O485">
        <v>1</v>
      </c>
      <c r="P485">
        <f t="shared" si="315"/>
        <v>2101</v>
      </c>
      <c r="Q485">
        <v>54</v>
      </c>
      <c r="R485">
        <f t="shared" si="279"/>
        <v>102</v>
      </c>
      <c r="S485">
        <v>5000</v>
      </c>
      <c r="T485">
        <f t="shared" si="292"/>
        <v>10</v>
      </c>
      <c r="U485">
        <v>1</v>
      </c>
      <c r="V485">
        <f t="shared" si="316"/>
        <v>2102</v>
      </c>
      <c r="W485">
        <v>56</v>
      </c>
      <c r="X485">
        <f t="shared" si="280"/>
        <v>103</v>
      </c>
      <c r="Y485">
        <v>5000</v>
      </c>
      <c r="Z485">
        <f t="shared" si="293"/>
        <v>10</v>
      </c>
      <c r="AA485">
        <v>1</v>
      </c>
      <c r="AB485">
        <f t="shared" si="317"/>
        <v>2101</v>
      </c>
      <c r="AC485">
        <v>72</v>
      </c>
      <c r="AD485">
        <f t="shared" si="281"/>
        <v>113</v>
      </c>
      <c r="AE485">
        <v>5000</v>
      </c>
      <c r="AF485">
        <f t="shared" si="294"/>
        <v>10</v>
      </c>
      <c r="AG485">
        <v>1</v>
      </c>
      <c r="AH485">
        <f t="shared" si="318"/>
        <v>2102</v>
      </c>
      <c r="AI485">
        <v>74</v>
      </c>
      <c r="AJ485">
        <f t="shared" si="282"/>
        <v>111</v>
      </c>
      <c r="AP485" t="str">
        <f t="shared" si="295"/>
        <v>{5000,10,1,2101,101}</v>
      </c>
      <c r="AQ485" t="str">
        <f t="shared" si="296"/>
        <v>{5000,10,1,2101,102}</v>
      </c>
      <c r="AR485" t="str">
        <f t="shared" si="297"/>
        <v>{5000,10,1,2102,103}</v>
      </c>
      <c r="AS485" t="str">
        <f t="shared" si="298"/>
        <v>{5000,10,1,2101,113}</v>
      </c>
      <c r="AT485" t="str">
        <f t="shared" si="299"/>
        <v>{5000,10,1,2102,111}</v>
      </c>
      <c r="AU485" t="str">
        <f t="shared" si="300"/>
        <v/>
      </c>
      <c r="AV485">
        <v>3122</v>
      </c>
      <c r="AW485" t="str">
        <f t="shared" si="320"/>
        <v>[{5000,10,1,2101,101},{5000,10,1,2101,102},{5000,10,1,2102,103},{5000,10,1,2101,113},{5000,10,1,2102,111}]</v>
      </c>
    </row>
    <row r="486" spans="2:49">
      <c r="B486">
        <v>3123</v>
      </c>
      <c r="C486" t="s">
        <v>46</v>
      </c>
      <c r="D486" t="str">
        <f t="shared" si="307"/>
        <v>22</v>
      </c>
      <c r="F486">
        <v>166</v>
      </c>
      <c r="G486">
        <v>5000</v>
      </c>
      <c r="H486">
        <f t="shared" si="313"/>
        <v>11</v>
      </c>
      <c r="I486">
        <v>1</v>
      </c>
      <c r="J486">
        <v>1</v>
      </c>
      <c r="K486">
        <f t="shared" si="314"/>
        <v>2101</v>
      </c>
      <c r="L486">
        <f t="shared" si="278"/>
        <v>101</v>
      </c>
      <c r="M486">
        <v>5000</v>
      </c>
      <c r="N486">
        <f t="shared" ref="N486:N549" si="321">H486</f>
        <v>11</v>
      </c>
      <c r="O486">
        <v>1</v>
      </c>
      <c r="P486">
        <f t="shared" si="315"/>
        <v>2101</v>
      </c>
      <c r="Q486">
        <v>59</v>
      </c>
      <c r="R486">
        <f t="shared" si="279"/>
        <v>103</v>
      </c>
      <c r="S486">
        <v>5000</v>
      </c>
      <c r="T486">
        <f t="shared" si="292"/>
        <v>11</v>
      </c>
      <c r="U486">
        <v>1</v>
      </c>
      <c r="V486">
        <f t="shared" si="316"/>
        <v>2102</v>
      </c>
      <c r="W486">
        <v>79</v>
      </c>
      <c r="X486">
        <f t="shared" si="280"/>
        <v>111</v>
      </c>
      <c r="Y486">
        <v>5000</v>
      </c>
      <c r="Z486">
        <f t="shared" si="293"/>
        <v>11</v>
      </c>
      <c r="AA486">
        <v>1</v>
      </c>
      <c r="AB486">
        <f t="shared" si="317"/>
        <v>2101</v>
      </c>
      <c r="AC486">
        <v>71</v>
      </c>
      <c r="AD486">
        <f t="shared" si="281"/>
        <v>112</v>
      </c>
      <c r="AE486">
        <v>5000</v>
      </c>
      <c r="AF486">
        <f t="shared" si="294"/>
        <v>11</v>
      </c>
      <c r="AG486">
        <v>1</v>
      </c>
      <c r="AH486">
        <f t="shared" si="318"/>
        <v>2102</v>
      </c>
      <c r="AI486">
        <v>74</v>
      </c>
      <c r="AJ486">
        <f t="shared" si="282"/>
        <v>113</v>
      </c>
      <c r="AP486" t="str">
        <f t="shared" si="295"/>
        <v>{5000,11,1,2101,101}</v>
      </c>
      <c r="AQ486" t="str">
        <f t="shared" si="296"/>
        <v>{5000,11,1,2101,103}</v>
      </c>
      <c r="AR486" t="str">
        <f t="shared" si="297"/>
        <v>{5000,11,1,2102,111}</v>
      </c>
      <c r="AS486" t="str">
        <f t="shared" si="298"/>
        <v>{5000,11,1,2101,112}</v>
      </c>
      <c r="AT486" t="str">
        <f t="shared" si="299"/>
        <v>{5000,11,1,2102,113}</v>
      </c>
      <c r="AU486" t="str">
        <f t="shared" si="300"/>
        <v/>
      </c>
      <c r="AV486">
        <v>3123</v>
      </c>
      <c r="AW486" t="str">
        <f t="shared" si="320"/>
        <v>[{5000,11,1,2101,101},{5000,11,1,2101,103},{5000,11,1,2102,111},{5000,11,1,2101,112},{5000,11,1,2102,113}]</v>
      </c>
    </row>
    <row r="487" spans="2:49">
      <c r="B487">
        <v>3124</v>
      </c>
      <c r="C487" t="s">
        <v>46</v>
      </c>
      <c r="D487" t="str">
        <f t="shared" si="307"/>
        <v>22</v>
      </c>
      <c r="F487">
        <v>181</v>
      </c>
      <c r="G487">
        <v>5000</v>
      </c>
      <c r="H487">
        <f t="shared" si="313"/>
        <v>12</v>
      </c>
      <c r="I487">
        <v>1</v>
      </c>
      <c r="J487">
        <v>3</v>
      </c>
      <c r="K487">
        <f t="shared" si="314"/>
        <v>2103</v>
      </c>
      <c r="L487">
        <f t="shared" ref="L487:L550" si="322">IF(L464="","",L464)</f>
        <v>101</v>
      </c>
      <c r="M487">
        <v>5000</v>
      </c>
      <c r="N487">
        <f t="shared" si="321"/>
        <v>12</v>
      </c>
      <c r="O487">
        <v>1</v>
      </c>
      <c r="P487">
        <f t="shared" si="315"/>
        <v>2103</v>
      </c>
      <c r="Q487">
        <v>53</v>
      </c>
      <c r="R487">
        <f t="shared" ref="R487:R550" si="323">IF(R464="","",R464)</f>
        <v>102</v>
      </c>
      <c r="S487">
        <v>5000</v>
      </c>
      <c r="T487">
        <f t="shared" si="292"/>
        <v>12</v>
      </c>
      <c r="U487">
        <v>1</v>
      </c>
      <c r="V487">
        <f t="shared" si="316"/>
        <v>2103</v>
      </c>
      <c r="W487">
        <v>56</v>
      </c>
      <c r="X487">
        <f t="shared" ref="X487:X550" si="324">IF(X464="","",X464)</f>
        <v>103</v>
      </c>
      <c r="Y487">
        <v>5000</v>
      </c>
      <c r="Z487">
        <f t="shared" si="293"/>
        <v>12</v>
      </c>
      <c r="AA487">
        <v>1</v>
      </c>
      <c r="AB487">
        <f t="shared" si="317"/>
        <v>2103</v>
      </c>
      <c r="AC487">
        <v>75</v>
      </c>
      <c r="AD487">
        <f t="shared" ref="AD487:AD550" si="325">IF(AD464="","",AD464)</f>
        <v>113</v>
      </c>
      <c r="AE487">
        <v>5000</v>
      </c>
      <c r="AF487">
        <f t="shared" si="294"/>
        <v>12</v>
      </c>
      <c r="AG487">
        <v>1</v>
      </c>
      <c r="AH487">
        <f t="shared" si="318"/>
        <v>2103</v>
      </c>
      <c r="AI487">
        <v>78</v>
      </c>
      <c r="AJ487">
        <f t="shared" ref="AJ487:AJ550" si="326">IF(AJ464="","",AJ464)</f>
        <v>111</v>
      </c>
      <c r="AP487" t="str">
        <f t="shared" si="295"/>
        <v>{5000,12,1,2103,101}</v>
      </c>
      <c r="AQ487" t="str">
        <f t="shared" si="296"/>
        <v>{5000,12,1,2103,102}</v>
      </c>
      <c r="AR487" t="str">
        <f t="shared" si="297"/>
        <v>{5000,12,1,2103,103}</v>
      </c>
      <c r="AS487" t="str">
        <f t="shared" si="298"/>
        <v>{5000,12,1,2103,113}</v>
      </c>
      <c r="AT487" t="str">
        <f t="shared" si="299"/>
        <v>{5000,12,1,2103,111}</v>
      </c>
      <c r="AU487" t="str">
        <f t="shared" si="300"/>
        <v/>
      </c>
      <c r="AV487">
        <v>3124</v>
      </c>
      <c r="AW487" t="str">
        <f t="shared" si="320"/>
        <v>[{5000,12,1,2103,101},{5000,12,1,2103,102},{5000,12,1,2103,103},{5000,12,1,2103,113},{5000,12,1,2103,111}]</v>
      </c>
    </row>
    <row r="488" spans="2:49">
      <c r="B488">
        <v>3125</v>
      </c>
      <c r="C488" t="s">
        <v>46</v>
      </c>
      <c r="D488" t="str">
        <f t="shared" si="307"/>
        <v>22</v>
      </c>
      <c r="F488">
        <v>196</v>
      </c>
      <c r="G488">
        <v>5000</v>
      </c>
      <c r="H488">
        <f t="shared" si="313"/>
        <v>12</v>
      </c>
      <c r="I488">
        <v>1</v>
      </c>
      <c r="J488">
        <v>2</v>
      </c>
      <c r="K488">
        <f t="shared" si="314"/>
        <v>2102</v>
      </c>
      <c r="L488">
        <f t="shared" si="322"/>
        <v>101</v>
      </c>
      <c r="M488">
        <v>5000</v>
      </c>
      <c r="N488">
        <f t="shared" si="321"/>
        <v>12</v>
      </c>
      <c r="O488">
        <v>1</v>
      </c>
      <c r="P488">
        <f t="shared" si="315"/>
        <v>2101</v>
      </c>
      <c r="Q488">
        <v>54</v>
      </c>
      <c r="R488">
        <f t="shared" si="323"/>
        <v>103</v>
      </c>
      <c r="S488">
        <v>5000</v>
      </c>
      <c r="T488">
        <f t="shared" si="292"/>
        <v>12</v>
      </c>
      <c r="U488">
        <v>1</v>
      </c>
      <c r="V488">
        <f t="shared" si="316"/>
        <v>2102</v>
      </c>
      <c r="W488">
        <v>77</v>
      </c>
      <c r="X488">
        <f t="shared" si="324"/>
        <v>111</v>
      </c>
      <c r="Y488">
        <v>5000</v>
      </c>
      <c r="Z488">
        <f t="shared" si="293"/>
        <v>12</v>
      </c>
      <c r="AA488">
        <v>1</v>
      </c>
      <c r="AB488">
        <f t="shared" si="317"/>
        <v>2101</v>
      </c>
      <c r="AC488">
        <v>72</v>
      </c>
      <c r="AD488">
        <f t="shared" si="325"/>
        <v>112</v>
      </c>
      <c r="AE488">
        <v>5000</v>
      </c>
      <c r="AF488">
        <f t="shared" si="294"/>
        <v>12</v>
      </c>
      <c r="AG488">
        <v>1</v>
      </c>
      <c r="AH488">
        <f t="shared" si="318"/>
        <v>2102</v>
      </c>
      <c r="AI488">
        <v>74</v>
      </c>
      <c r="AJ488">
        <f t="shared" si="326"/>
        <v>113</v>
      </c>
      <c r="AP488" t="str">
        <f t="shared" si="295"/>
        <v>{5000,12,1,2102,101}</v>
      </c>
      <c r="AQ488" t="str">
        <f t="shared" si="296"/>
        <v>{5000,12,1,2101,103}</v>
      </c>
      <c r="AR488" t="str">
        <f t="shared" si="297"/>
        <v>{5000,12,1,2102,111}</v>
      </c>
      <c r="AS488" t="str">
        <f t="shared" si="298"/>
        <v>{5000,12,1,2101,112}</v>
      </c>
      <c r="AT488" t="str">
        <f t="shared" si="299"/>
        <v>{5000,12,1,2102,113}</v>
      </c>
      <c r="AU488" t="str">
        <f t="shared" si="300"/>
        <v/>
      </c>
      <c r="AV488">
        <v>3125</v>
      </c>
      <c r="AW488" t="str">
        <f t="shared" si="320"/>
        <v>[{5000,12,1,2102,101},{5000,12,1,2101,103},{5000,12,1,2102,111},{5000,12,1,2101,112},{5000,12,1,2102,113}]</v>
      </c>
    </row>
    <row r="489" spans="2:48">
      <c r="B489">
        <v>3126</v>
      </c>
      <c r="C489" t="s">
        <v>46</v>
      </c>
      <c r="D489" t="str">
        <f t="shared" si="307"/>
        <v>22</v>
      </c>
      <c r="F489">
        <v>209</v>
      </c>
      <c r="H489">
        <f t="shared" si="313"/>
        <v>0</v>
      </c>
      <c r="K489" t="str">
        <f t="shared" si="314"/>
        <v/>
      </c>
      <c r="L489" t="str">
        <f t="shared" si="322"/>
        <v/>
      </c>
      <c r="N489">
        <f t="shared" si="321"/>
        <v>0</v>
      </c>
      <c r="P489" t="str">
        <f t="shared" si="315"/>
        <v/>
      </c>
      <c r="R489" t="str">
        <f t="shared" si="323"/>
        <v/>
      </c>
      <c r="T489">
        <f t="shared" si="292"/>
        <v>0</v>
      </c>
      <c r="V489" t="str">
        <f t="shared" si="316"/>
        <v/>
      </c>
      <c r="X489" t="str">
        <f t="shared" si="324"/>
        <v/>
      </c>
      <c r="Z489">
        <f t="shared" si="293"/>
        <v>0</v>
      </c>
      <c r="AB489" t="str">
        <f t="shared" si="317"/>
        <v/>
      </c>
      <c r="AD489" t="str">
        <f t="shared" si="325"/>
        <v/>
      </c>
      <c r="AF489">
        <f t="shared" si="294"/>
        <v>0</v>
      </c>
      <c r="AH489" t="str">
        <f t="shared" si="318"/>
        <v/>
      </c>
      <c r="AJ489" t="str">
        <f t="shared" si="326"/>
        <v/>
      </c>
      <c r="AP489" t="str">
        <f t="shared" si="295"/>
        <v/>
      </c>
      <c r="AQ489" t="str">
        <f t="shared" si="296"/>
        <v/>
      </c>
      <c r="AR489" t="str">
        <f t="shared" si="297"/>
        <v/>
      </c>
      <c r="AS489" t="str">
        <f t="shared" si="298"/>
        <v/>
      </c>
      <c r="AT489" t="str">
        <f t="shared" si="299"/>
        <v/>
      </c>
      <c r="AU489" t="str">
        <f t="shared" si="300"/>
        <v/>
      </c>
      <c r="AV489">
        <v>3126</v>
      </c>
    </row>
    <row r="490" spans="2:49">
      <c r="B490">
        <v>3127</v>
      </c>
      <c r="C490" t="s">
        <v>46</v>
      </c>
      <c r="D490" t="str">
        <f t="shared" si="307"/>
        <v>22</v>
      </c>
      <c r="F490">
        <v>211</v>
      </c>
      <c r="G490">
        <v>5000</v>
      </c>
      <c r="H490">
        <f t="shared" si="313"/>
        <v>11</v>
      </c>
      <c r="I490">
        <v>1</v>
      </c>
      <c r="J490">
        <v>2</v>
      </c>
      <c r="K490">
        <f t="shared" si="314"/>
        <v>2102</v>
      </c>
      <c r="L490">
        <f t="shared" si="322"/>
        <v>101</v>
      </c>
      <c r="M490">
        <v>5000</v>
      </c>
      <c r="N490">
        <f t="shared" si="321"/>
        <v>11</v>
      </c>
      <c r="O490">
        <v>1</v>
      </c>
      <c r="P490">
        <f t="shared" si="315"/>
        <v>2101</v>
      </c>
      <c r="Q490">
        <v>51</v>
      </c>
      <c r="R490">
        <f t="shared" si="323"/>
        <v>102</v>
      </c>
      <c r="S490">
        <v>5000</v>
      </c>
      <c r="T490">
        <f t="shared" si="292"/>
        <v>11</v>
      </c>
      <c r="U490">
        <v>1</v>
      </c>
      <c r="V490">
        <f t="shared" si="316"/>
        <v>2102</v>
      </c>
      <c r="W490">
        <v>57</v>
      </c>
      <c r="X490">
        <f t="shared" si="324"/>
        <v>103</v>
      </c>
      <c r="Y490">
        <v>5000</v>
      </c>
      <c r="Z490">
        <f t="shared" si="293"/>
        <v>11</v>
      </c>
      <c r="AA490">
        <v>1</v>
      </c>
      <c r="AB490">
        <f t="shared" si="317"/>
        <v>2101</v>
      </c>
      <c r="AC490">
        <v>79</v>
      </c>
      <c r="AD490">
        <f t="shared" si="325"/>
        <v>113</v>
      </c>
      <c r="AE490">
        <v>5000</v>
      </c>
      <c r="AF490">
        <f t="shared" si="294"/>
        <v>11</v>
      </c>
      <c r="AG490">
        <v>1</v>
      </c>
      <c r="AH490">
        <f t="shared" si="318"/>
        <v>2102</v>
      </c>
      <c r="AI490">
        <v>72</v>
      </c>
      <c r="AJ490">
        <f t="shared" si="326"/>
        <v>111</v>
      </c>
      <c r="AK490">
        <v>1000</v>
      </c>
      <c r="AL490">
        <v>1</v>
      </c>
      <c r="AM490">
        <v>0</v>
      </c>
      <c r="AN490">
        <f t="shared" ref="AN490" si="327">AN467+100</f>
        <v>2131</v>
      </c>
      <c r="AO490">
        <v>4</v>
      </c>
      <c r="AP490" t="str">
        <f t="shared" si="295"/>
        <v>{5000,11,1,2102,101}</v>
      </c>
      <c r="AQ490" t="str">
        <f t="shared" si="296"/>
        <v>{5000,11,1,2101,102}</v>
      </c>
      <c r="AR490" t="str">
        <f t="shared" si="297"/>
        <v>{5000,11,1,2102,103}</v>
      </c>
      <c r="AS490" t="str">
        <f t="shared" si="298"/>
        <v>{5000,11,1,2101,113}</v>
      </c>
      <c r="AT490" t="str">
        <f t="shared" si="299"/>
        <v>{5000,11,1,2102,111}</v>
      </c>
      <c r="AU490" t="str">
        <f t="shared" si="300"/>
        <v>{1000,1,0,2131,4}</v>
      </c>
      <c r="AV490">
        <v>3127</v>
      </c>
      <c r="AW490" t="str">
        <f t="shared" ref="AW490:AW504" si="328">IF(AU490="","["&amp;_xlfn.TEXTJOIN(",",1,AP490:AT490)&amp;"]","["&amp;_xlfn.TEXTJOIN(",",1,AP490:AU490)&amp;"]")</f>
        <v>[{5000,11,1,2102,101},{5000,11,1,2101,102},{5000,11,1,2102,103},{5000,11,1,2101,113},{5000,11,1,2102,111},{1000,1,0,2131,4}]</v>
      </c>
    </row>
    <row r="491" spans="2:49">
      <c r="B491">
        <v>3128</v>
      </c>
      <c r="C491" t="s">
        <v>46</v>
      </c>
      <c r="D491" t="str">
        <f t="shared" si="307"/>
        <v>22</v>
      </c>
      <c r="F491">
        <v>226</v>
      </c>
      <c r="G491">
        <v>5000</v>
      </c>
      <c r="H491">
        <f t="shared" si="313"/>
        <v>11</v>
      </c>
      <c r="I491">
        <v>1</v>
      </c>
      <c r="J491">
        <v>2</v>
      </c>
      <c r="K491">
        <f t="shared" si="314"/>
        <v>2102</v>
      </c>
      <c r="L491">
        <f t="shared" si="322"/>
        <v>101</v>
      </c>
      <c r="M491">
        <v>5000</v>
      </c>
      <c r="N491">
        <f t="shared" si="321"/>
        <v>11</v>
      </c>
      <c r="O491">
        <v>1</v>
      </c>
      <c r="P491">
        <f t="shared" si="315"/>
        <v>2101</v>
      </c>
      <c r="Q491">
        <v>51</v>
      </c>
      <c r="R491">
        <f t="shared" si="323"/>
        <v>103</v>
      </c>
      <c r="S491">
        <v>5000</v>
      </c>
      <c r="T491">
        <f t="shared" si="292"/>
        <v>11</v>
      </c>
      <c r="U491">
        <v>1</v>
      </c>
      <c r="V491">
        <f t="shared" si="316"/>
        <v>2102</v>
      </c>
      <c r="W491">
        <v>75</v>
      </c>
      <c r="X491">
        <f t="shared" si="324"/>
        <v>111</v>
      </c>
      <c r="Y491">
        <v>5000</v>
      </c>
      <c r="Z491">
        <f t="shared" si="293"/>
        <v>11</v>
      </c>
      <c r="AA491">
        <v>1</v>
      </c>
      <c r="AB491">
        <f t="shared" si="317"/>
        <v>2101</v>
      </c>
      <c r="AC491">
        <v>71</v>
      </c>
      <c r="AD491">
        <f t="shared" si="325"/>
        <v>112</v>
      </c>
      <c r="AE491">
        <v>5000</v>
      </c>
      <c r="AF491">
        <f t="shared" si="294"/>
        <v>11</v>
      </c>
      <c r="AG491">
        <v>1</v>
      </c>
      <c r="AH491">
        <f t="shared" si="318"/>
        <v>2102</v>
      </c>
      <c r="AI491">
        <v>77</v>
      </c>
      <c r="AJ491">
        <f t="shared" si="326"/>
        <v>113</v>
      </c>
      <c r="AP491" t="str">
        <f t="shared" si="295"/>
        <v>{5000,11,1,2102,101}</v>
      </c>
      <c r="AQ491" t="str">
        <f t="shared" si="296"/>
        <v>{5000,11,1,2101,103}</v>
      </c>
      <c r="AR491" t="str">
        <f t="shared" si="297"/>
        <v>{5000,11,1,2102,111}</v>
      </c>
      <c r="AS491" t="str">
        <f t="shared" si="298"/>
        <v>{5000,11,1,2101,112}</v>
      </c>
      <c r="AT491" t="str">
        <f t="shared" si="299"/>
        <v>{5000,11,1,2102,113}</v>
      </c>
      <c r="AU491" t="str">
        <f t="shared" si="300"/>
        <v/>
      </c>
      <c r="AV491">
        <v>3128</v>
      </c>
      <c r="AW491" t="str">
        <f t="shared" si="328"/>
        <v>[{5000,11,1,2102,101},{5000,11,1,2101,103},{5000,11,1,2102,111},{5000,11,1,2101,112},{5000,11,1,2102,113}]</v>
      </c>
    </row>
    <row r="492" spans="2:49">
      <c r="B492">
        <v>3129</v>
      </c>
      <c r="C492" t="s">
        <v>46</v>
      </c>
      <c r="D492" t="str">
        <f t="shared" si="307"/>
        <v>22</v>
      </c>
      <c r="F492">
        <v>241</v>
      </c>
      <c r="G492">
        <v>5000</v>
      </c>
      <c r="H492">
        <f t="shared" si="313"/>
        <v>13</v>
      </c>
      <c r="I492">
        <v>1</v>
      </c>
      <c r="J492">
        <v>3</v>
      </c>
      <c r="K492">
        <f t="shared" si="314"/>
        <v>2103</v>
      </c>
      <c r="L492">
        <f t="shared" si="322"/>
        <v>101</v>
      </c>
      <c r="M492">
        <v>5000</v>
      </c>
      <c r="N492">
        <f t="shared" si="321"/>
        <v>13</v>
      </c>
      <c r="O492">
        <v>1</v>
      </c>
      <c r="P492">
        <f t="shared" si="315"/>
        <v>2103</v>
      </c>
      <c r="Q492">
        <v>53</v>
      </c>
      <c r="R492">
        <f t="shared" si="323"/>
        <v>102</v>
      </c>
      <c r="S492">
        <v>5000</v>
      </c>
      <c r="T492">
        <f t="shared" si="292"/>
        <v>13</v>
      </c>
      <c r="U492">
        <v>1</v>
      </c>
      <c r="V492">
        <f t="shared" si="316"/>
        <v>2103</v>
      </c>
      <c r="W492">
        <v>56</v>
      </c>
      <c r="X492">
        <f t="shared" si="324"/>
        <v>103</v>
      </c>
      <c r="Y492">
        <v>5000</v>
      </c>
      <c r="Z492">
        <f t="shared" si="293"/>
        <v>13</v>
      </c>
      <c r="AA492">
        <v>1</v>
      </c>
      <c r="AB492">
        <f t="shared" si="317"/>
        <v>2103</v>
      </c>
      <c r="AC492">
        <v>74</v>
      </c>
      <c r="AD492">
        <f t="shared" si="325"/>
        <v>113</v>
      </c>
      <c r="AE492">
        <v>5000</v>
      </c>
      <c r="AF492">
        <f t="shared" si="294"/>
        <v>13</v>
      </c>
      <c r="AG492">
        <v>1</v>
      </c>
      <c r="AH492">
        <f t="shared" si="318"/>
        <v>2103</v>
      </c>
      <c r="AI492">
        <v>78</v>
      </c>
      <c r="AJ492">
        <f t="shared" si="326"/>
        <v>111</v>
      </c>
      <c r="AP492" t="str">
        <f t="shared" si="295"/>
        <v>{5000,13,1,2103,101}</v>
      </c>
      <c r="AQ492" t="str">
        <f t="shared" si="296"/>
        <v>{5000,13,1,2103,102}</v>
      </c>
      <c r="AR492" t="str">
        <f t="shared" si="297"/>
        <v>{5000,13,1,2103,103}</v>
      </c>
      <c r="AS492" t="str">
        <f t="shared" si="298"/>
        <v>{5000,13,1,2103,113}</v>
      </c>
      <c r="AT492" t="str">
        <f t="shared" si="299"/>
        <v>{5000,13,1,2103,111}</v>
      </c>
      <c r="AU492" t="str">
        <f t="shared" si="300"/>
        <v/>
      </c>
      <c r="AV492">
        <v>3129</v>
      </c>
      <c r="AW492" t="str">
        <f t="shared" si="328"/>
        <v>[{5000,13,1,2103,101},{5000,13,1,2103,102},{5000,13,1,2103,103},{5000,13,1,2103,113},{5000,13,1,2103,111}]</v>
      </c>
    </row>
    <row r="493" spans="2:49">
      <c r="B493">
        <v>3130</v>
      </c>
      <c r="C493" t="s">
        <v>46</v>
      </c>
      <c r="D493" t="str">
        <f t="shared" si="307"/>
        <v>22</v>
      </c>
      <c r="F493">
        <v>256</v>
      </c>
      <c r="G493">
        <v>5000</v>
      </c>
      <c r="H493">
        <f t="shared" si="313"/>
        <v>12</v>
      </c>
      <c r="I493">
        <v>1</v>
      </c>
      <c r="J493">
        <v>2</v>
      </c>
      <c r="K493">
        <f t="shared" si="314"/>
        <v>2102</v>
      </c>
      <c r="L493">
        <f t="shared" si="322"/>
        <v>101</v>
      </c>
      <c r="M493">
        <v>5000</v>
      </c>
      <c r="N493">
        <f t="shared" si="321"/>
        <v>12</v>
      </c>
      <c r="O493">
        <v>1</v>
      </c>
      <c r="P493">
        <f t="shared" si="315"/>
        <v>2102</v>
      </c>
      <c r="Q493">
        <v>59</v>
      </c>
      <c r="R493">
        <f t="shared" si="323"/>
        <v>103</v>
      </c>
      <c r="S493">
        <v>5000</v>
      </c>
      <c r="T493">
        <f t="shared" si="292"/>
        <v>12</v>
      </c>
      <c r="U493">
        <v>1</v>
      </c>
      <c r="V493">
        <f t="shared" si="316"/>
        <v>2102</v>
      </c>
      <c r="W493">
        <v>79</v>
      </c>
      <c r="X493">
        <f t="shared" si="324"/>
        <v>111</v>
      </c>
      <c r="Y493">
        <v>5000</v>
      </c>
      <c r="Z493">
        <f t="shared" si="293"/>
        <v>12</v>
      </c>
      <c r="AA493">
        <v>1</v>
      </c>
      <c r="AB493">
        <f t="shared" si="317"/>
        <v>2101</v>
      </c>
      <c r="AC493">
        <v>72</v>
      </c>
      <c r="AD493">
        <f t="shared" si="325"/>
        <v>112</v>
      </c>
      <c r="AE493">
        <v>5000</v>
      </c>
      <c r="AF493">
        <f t="shared" si="294"/>
        <v>12</v>
      </c>
      <c r="AG493">
        <v>1</v>
      </c>
      <c r="AH493">
        <f t="shared" si="318"/>
        <v>2102</v>
      </c>
      <c r="AI493">
        <v>74</v>
      </c>
      <c r="AJ493">
        <f t="shared" si="326"/>
        <v>113</v>
      </c>
      <c r="AP493" t="str">
        <f t="shared" si="295"/>
        <v>{5000,12,1,2102,101}</v>
      </c>
      <c r="AQ493" t="str">
        <f t="shared" si="296"/>
        <v>{5000,12,1,2102,103}</v>
      </c>
      <c r="AR493" t="str">
        <f t="shared" si="297"/>
        <v>{5000,12,1,2102,111}</v>
      </c>
      <c r="AS493" t="str">
        <f t="shared" si="298"/>
        <v>{5000,12,1,2101,112}</v>
      </c>
      <c r="AT493" t="str">
        <f t="shared" si="299"/>
        <v>{5000,12,1,2102,113}</v>
      </c>
      <c r="AU493" t="str">
        <f t="shared" si="300"/>
        <v/>
      </c>
      <c r="AV493">
        <v>3130</v>
      </c>
      <c r="AW493" t="str">
        <f t="shared" si="328"/>
        <v>[{5000,12,1,2102,101},{5000,12,1,2102,103},{5000,12,1,2102,111},{5000,12,1,2101,112},{5000,12,1,2102,113}]</v>
      </c>
    </row>
    <row r="494" spans="2:49">
      <c r="B494">
        <v>3131</v>
      </c>
      <c r="C494" t="s">
        <v>46</v>
      </c>
      <c r="D494" t="str">
        <f t="shared" si="307"/>
        <v>22</v>
      </c>
      <c r="F494">
        <v>271</v>
      </c>
      <c r="G494">
        <v>5000</v>
      </c>
      <c r="H494">
        <f t="shared" si="313"/>
        <v>13</v>
      </c>
      <c r="I494">
        <v>1</v>
      </c>
      <c r="J494">
        <v>2</v>
      </c>
      <c r="K494">
        <f t="shared" si="314"/>
        <v>2102</v>
      </c>
      <c r="L494">
        <f t="shared" si="322"/>
        <v>101</v>
      </c>
      <c r="M494">
        <v>5000</v>
      </c>
      <c r="N494">
        <f t="shared" si="321"/>
        <v>13</v>
      </c>
      <c r="O494">
        <v>1</v>
      </c>
      <c r="P494">
        <f t="shared" si="315"/>
        <v>2102</v>
      </c>
      <c r="Q494">
        <v>54</v>
      </c>
      <c r="R494">
        <f t="shared" si="323"/>
        <v>102</v>
      </c>
      <c r="S494">
        <v>5000</v>
      </c>
      <c r="T494">
        <f t="shared" si="292"/>
        <v>13</v>
      </c>
      <c r="U494">
        <v>1</v>
      </c>
      <c r="V494">
        <f t="shared" si="316"/>
        <v>2102</v>
      </c>
      <c r="W494">
        <v>56</v>
      </c>
      <c r="X494">
        <f t="shared" si="324"/>
        <v>103</v>
      </c>
      <c r="Y494">
        <v>5000</v>
      </c>
      <c r="Z494">
        <f t="shared" si="293"/>
        <v>13</v>
      </c>
      <c r="AA494">
        <v>1</v>
      </c>
      <c r="AB494">
        <f t="shared" si="317"/>
        <v>2102</v>
      </c>
      <c r="AC494">
        <v>73</v>
      </c>
      <c r="AD494">
        <f t="shared" si="325"/>
        <v>113</v>
      </c>
      <c r="AE494">
        <v>5000</v>
      </c>
      <c r="AF494">
        <f t="shared" si="294"/>
        <v>13</v>
      </c>
      <c r="AG494">
        <v>1</v>
      </c>
      <c r="AH494">
        <f t="shared" si="318"/>
        <v>2102</v>
      </c>
      <c r="AI494">
        <v>75</v>
      </c>
      <c r="AJ494">
        <f t="shared" si="326"/>
        <v>111</v>
      </c>
      <c r="AP494" t="str">
        <f t="shared" si="295"/>
        <v>{5000,13,1,2102,101}</v>
      </c>
      <c r="AQ494" t="str">
        <f t="shared" si="296"/>
        <v>{5000,13,1,2102,102}</v>
      </c>
      <c r="AR494" t="str">
        <f t="shared" si="297"/>
        <v>{5000,13,1,2102,103}</v>
      </c>
      <c r="AS494" t="str">
        <f t="shared" si="298"/>
        <v>{5000,13,1,2102,113}</v>
      </c>
      <c r="AT494" t="str">
        <f t="shared" si="299"/>
        <v>{5000,13,1,2102,111}</v>
      </c>
      <c r="AU494" t="str">
        <f t="shared" si="300"/>
        <v/>
      </c>
      <c r="AV494">
        <v>3131</v>
      </c>
      <c r="AW494" t="str">
        <f t="shared" si="328"/>
        <v>[{5000,13,1,2102,101},{5000,13,1,2102,102},{5000,13,1,2102,103},{5000,13,1,2102,113},{5000,13,1,2102,111}]</v>
      </c>
    </row>
    <row r="495" spans="2:49">
      <c r="B495">
        <v>3132</v>
      </c>
      <c r="C495" t="s">
        <v>46</v>
      </c>
      <c r="D495" t="str">
        <f t="shared" si="307"/>
        <v>22</v>
      </c>
      <c r="F495">
        <v>286</v>
      </c>
      <c r="G495">
        <v>5000</v>
      </c>
      <c r="H495">
        <f t="shared" si="313"/>
        <v>13</v>
      </c>
      <c r="I495">
        <v>1</v>
      </c>
      <c r="J495">
        <v>2</v>
      </c>
      <c r="K495">
        <f t="shared" si="314"/>
        <v>2102</v>
      </c>
      <c r="L495">
        <f t="shared" si="322"/>
        <v>101</v>
      </c>
      <c r="M495">
        <v>5000</v>
      </c>
      <c r="N495">
        <f t="shared" si="321"/>
        <v>13</v>
      </c>
      <c r="O495">
        <v>1</v>
      </c>
      <c r="P495">
        <f t="shared" si="315"/>
        <v>2102</v>
      </c>
      <c r="Q495">
        <v>53</v>
      </c>
      <c r="R495">
        <f t="shared" si="323"/>
        <v>103</v>
      </c>
      <c r="S495">
        <v>5000</v>
      </c>
      <c r="T495">
        <f t="shared" si="292"/>
        <v>13</v>
      </c>
      <c r="U495">
        <v>1</v>
      </c>
      <c r="V495">
        <f t="shared" si="316"/>
        <v>2102</v>
      </c>
      <c r="W495">
        <v>59</v>
      </c>
      <c r="X495">
        <f t="shared" si="324"/>
        <v>111</v>
      </c>
      <c r="Y495">
        <v>5000</v>
      </c>
      <c r="Z495">
        <f t="shared" si="293"/>
        <v>13</v>
      </c>
      <c r="AA495">
        <v>1</v>
      </c>
      <c r="AB495">
        <f t="shared" si="317"/>
        <v>2102</v>
      </c>
      <c r="AC495">
        <v>71</v>
      </c>
      <c r="AD495">
        <f t="shared" si="325"/>
        <v>112</v>
      </c>
      <c r="AE495">
        <v>5000</v>
      </c>
      <c r="AF495">
        <f t="shared" si="294"/>
        <v>13</v>
      </c>
      <c r="AG495">
        <v>1</v>
      </c>
      <c r="AH495">
        <f t="shared" si="318"/>
        <v>2102</v>
      </c>
      <c r="AI495">
        <v>77</v>
      </c>
      <c r="AJ495">
        <f t="shared" si="326"/>
        <v>113</v>
      </c>
      <c r="AP495" t="str">
        <f t="shared" si="295"/>
        <v>{5000,13,1,2102,101}</v>
      </c>
      <c r="AQ495" t="str">
        <f t="shared" si="296"/>
        <v>{5000,13,1,2102,103}</v>
      </c>
      <c r="AR495" t="str">
        <f t="shared" si="297"/>
        <v>{5000,13,1,2102,111}</v>
      </c>
      <c r="AS495" t="str">
        <f t="shared" si="298"/>
        <v>{5000,13,1,2102,112}</v>
      </c>
      <c r="AT495" t="str">
        <f t="shared" si="299"/>
        <v>{5000,13,1,2102,113}</v>
      </c>
      <c r="AU495" t="str">
        <f t="shared" si="300"/>
        <v/>
      </c>
      <c r="AV495">
        <v>3132</v>
      </c>
      <c r="AW495" t="str">
        <f t="shared" si="328"/>
        <v>[{5000,13,1,2102,101},{5000,13,1,2102,103},{5000,13,1,2102,111},{5000,13,1,2102,112},{5000,13,1,2102,113}]</v>
      </c>
    </row>
    <row r="496" spans="2:49">
      <c r="B496">
        <v>3133</v>
      </c>
      <c r="C496" t="s">
        <v>46</v>
      </c>
      <c r="D496" t="str">
        <f t="shared" si="307"/>
        <v>22</v>
      </c>
      <c r="F496">
        <v>290</v>
      </c>
      <c r="G496">
        <v>5000</v>
      </c>
      <c r="H496">
        <f t="shared" si="313"/>
        <v>13</v>
      </c>
      <c r="I496">
        <v>1</v>
      </c>
      <c r="J496">
        <v>2</v>
      </c>
      <c r="K496">
        <f t="shared" si="314"/>
        <v>2102</v>
      </c>
      <c r="L496">
        <f t="shared" si="322"/>
        <v>101</v>
      </c>
      <c r="M496">
        <v>5000</v>
      </c>
      <c r="N496">
        <f t="shared" si="321"/>
        <v>13</v>
      </c>
      <c r="O496">
        <v>1</v>
      </c>
      <c r="P496">
        <f t="shared" si="315"/>
        <v>2102</v>
      </c>
      <c r="Q496">
        <v>56</v>
      </c>
      <c r="R496">
        <f t="shared" si="323"/>
        <v>102</v>
      </c>
      <c r="S496">
        <v>5000</v>
      </c>
      <c r="T496">
        <f t="shared" si="292"/>
        <v>13</v>
      </c>
      <c r="U496">
        <v>1</v>
      </c>
      <c r="V496">
        <f t="shared" si="316"/>
        <v>2101</v>
      </c>
      <c r="W496">
        <v>77</v>
      </c>
      <c r="X496">
        <f t="shared" si="324"/>
        <v>103</v>
      </c>
      <c r="Y496">
        <v>5000</v>
      </c>
      <c r="Z496">
        <f t="shared" si="293"/>
        <v>13</v>
      </c>
      <c r="AA496">
        <v>1</v>
      </c>
      <c r="AB496">
        <f t="shared" si="317"/>
        <v>2102</v>
      </c>
      <c r="AC496">
        <v>72</v>
      </c>
      <c r="AD496">
        <f t="shared" si="325"/>
        <v>113</v>
      </c>
      <c r="AE496">
        <v>5000</v>
      </c>
      <c r="AF496">
        <f t="shared" si="294"/>
        <v>13</v>
      </c>
      <c r="AG496">
        <v>1</v>
      </c>
      <c r="AH496">
        <f t="shared" si="318"/>
        <v>2102</v>
      </c>
      <c r="AI496">
        <v>74</v>
      </c>
      <c r="AJ496">
        <f t="shared" si="326"/>
        <v>111</v>
      </c>
      <c r="AP496" t="str">
        <f t="shared" si="295"/>
        <v>{5000,13,1,2102,101}</v>
      </c>
      <c r="AQ496" t="str">
        <f t="shared" si="296"/>
        <v>{5000,13,1,2102,102}</v>
      </c>
      <c r="AR496" t="str">
        <f t="shared" si="297"/>
        <v>{5000,13,1,2101,103}</v>
      </c>
      <c r="AS496" t="str">
        <f t="shared" si="298"/>
        <v>{5000,13,1,2102,113}</v>
      </c>
      <c r="AT496" t="str">
        <f t="shared" si="299"/>
        <v>{5000,13,1,2102,111}</v>
      </c>
      <c r="AU496" t="str">
        <f t="shared" si="300"/>
        <v/>
      </c>
      <c r="AV496">
        <v>3133</v>
      </c>
      <c r="AW496" t="str">
        <f t="shared" si="328"/>
        <v>[{5000,13,1,2102,101},{5000,13,1,2102,102},{5000,13,1,2101,103},{5000,13,1,2102,113},{5000,13,1,2102,111}]</v>
      </c>
    </row>
    <row r="497" spans="2:49">
      <c r="B497">
        <v>3211</v>
      </c>
      <c r="C497" t="s">
        <v>47</v>
      </c>
      <c r="D497" s="4" t="str">
        <f t="shared" si="307"/>
        <v>23</v>
      </c>
      <c r="E497" s="4"/>
      <c r="F497">
        <v>1</v>
      </c>
      <c r="G497">
        <v>5000</v>
      </c>
      <c r="H497">
        <f t="shared" si="313"/>
        <v>3</v>
      </c>
      <c r="I497">
        <v>1</v>
      </c>
      <c r="J497">
        <v>1</v>
      </c>
      <c r="K497">
        <f t="shared" si="314"/>
        <v>2201</v>
      </c>
      <c r="L497">
        <f t="shared" si="322"/>
        <v>101</v>
      </c>
      <c r="M497">
        <v>5000</v>
      </c>
      <c r="N497">
        <f t="shared" si="321"/>
        <v>3</v>
      </c>
      <c r="O497">
        <v>1</v>
      </c>
      <c r="P497">
        <f t="shared" si="315"/>
        <v>2201</v>
      </c>
      <c r="Q497">
        <v>55</v>
      </c>
      <c r="R497">
        <f t="shared" si="323"/>
        <v>102</v>
      </c>
      <c r="S497">
        <v>5000</v>
      </c>
      <c r="T497">
        <f t="shared" si="292"/>
        <v>3</v>
      </c>
      <c r="U497">
        <v>1</v>
      </c>
      <c r="V497">
        <f t="shared" si="316"/>
        <v>2201</v>
      </c>
      <c r="W497">
        <v>60</v>
      </c>
      <c r="X497">
        <f t="shared" si="324"/>
        <v>103</v>
      </c>
      <c r="Y497">
        <v>5000</v>
      </c>
      <c r="Z497">
        <f t="shared" si="293"/>
        <v>3</v>
      </c>
      <c r="AA497">
        <v>1</v>
      </c>
      <c r="AB497">
        <f t="shared" si="317"/>
        <v>2201</v>
      </c>
      <c r="AC497">
        <v>71</v>
      </c>
      <c r="AD497">
        <f t="shared" si="325"/>
        <v>113</v>
      </c>
      <c r="AE497">
        <v>5000</v>
      </c>
      <c r="AF497">
        <f t="shared" si="294"/>
        <v>3</v>
      </c>
      <c r="AG497">
        <v>1</v>
      </c>
      <c r="AH497">
        <f t="shared" si="318"/>
        <v>2201</v>
      </c>
      <c r="AI497">
        <v>76</v>
      </c>
      <c r="AJ497">
        <f t="shared" si="326"/>
        <v>111</v>
      </c>
      <c r="AP497" t="str">
        <f t="shared" si="295"/>
        <v>{5000,3,1,2201,101}</v>
      </c>
      <c r="AQ497" t="str">
        <f t="shared" si="296"/>
        <v>{5000,3,1,2201,102}</v>
      </c>
      <c r="AR497" t="str">
        <f t="shared" si="297"/>
        <v>{5000,3,1,2201,103}</v>
      </c>
      <c r="AS497" t="str">
        <f t="shared" si="298"/>
        <v>{5000,3,1,2201,113}</v>
      </c>
      <c r="AT497" t="str">
        <f t="shared" si="299"/>
        <v>{5000,3,1,2201,111}</v>
      </c>
      <c r="AU497" t="str">
        <f t="shared" si="300"/>
        <v/>
      </c>
      <c r="AV497">
        <v>3211</v>
      </c>
      <c r="AW497" t="str">
        <f t="shared" si="328"/>
        <v>[{5000,3,1,2201,101},{5000,3,1,2201,102},{5000,3,1,2201,103},{5000,3,1,2201,113},{5000,3,1,2201,111}]</v>
      </c>
    </row>
    <row r="498" spans="2:49">
      <c r="B498">
        <v>3212</v>
      </c>
      <c r="C498" t="s">
        <v>47</v>
      </c>
      <c r="D498" t="str">
        <f t="shared" si="307"/>
        <v>23</v>
      </c>
      <c r="F498">
        <v>16</v>
      </c>
      <c r="G498">
        <v>5000</v>
      </c>
      <c r="H498">
        <f t="shared" si="313"/>
        <v>3</v>
      </c>
      <c r="I498">
        <v>1</v>
      </c>
      <c r="J498">
        <v>1</v>
      </c>
      <c r="K498">
        <f t="shared" ref="K498:K520" si="329">IF($J498="","",K475+100)</f>
        <v>2201</v>
      </c>
      <c r="L498">
        <f t="shared" si="322"/>
        <v>101</v>
      </c>
      <c r="M498">
        <v>5000</v>
      </c>
      <c r="N498">
        <f t="shared" si="321"/>
        <v>3</v>
      </c>
      <c r="O498">
        <v>1</v>
      </c>
      <c r="P498">
        <f t="shared" ref="P498:P520" si="330">IF($J498="","",P475+100)</f>
        <v>2201</v>
      </c>
      <c r="Q498">
        <v>55</v>
      </c>
      <c r="R498">
        <f t="shared" si="323"/>
        <v>103</v>
      </c>
      <c r="S498">
        <v>5000</v>
      </c>
      <c r="T498">
        <f t="shared" si="292"/>
        <v>3</v>
      </c>
      <c r="U498">
        <v>1</v>
      </c>
      <c r="V498">
        <f t="shared" ref="V498:V520" si="331">IF($J498="","",V475+100)</f>
        <v>2201</v>
      </c>
      <c r="W498">
        <v>75</v>
      </c>
      <c r="X498">
        <f t="shared" si="324"/>
        <v>111</v>
      </c>
      <c r="Y498">
        <v>5000</v>
      </c>
      <c r="Z498">
        <f t="shared" si="293"/>
        <v>3</v>
      </c>
      <c r="AA498">
        <v>1</v>
      </c>
      <c r="AB498">
        <f t="shared" ref="AB498:AB520" si="332">IF($J498="","",AB475+100)</f>
        <v>2201</v>
      </c>
      <c r="AC498">
        <v>73</v>
      </c>
      <c r="AD498">
        <f t="shared" si="325"/>
        <v>112</v>
      </c>
      <c r="AE498">
        <v>5000</v>
      </c>
      <c r="AF498">
        <f t="shared" si="294"/>
        <v>3</v>
      </c>
      <c r="AG498">
        <v>1</v>
      </c>
      <c r="AH498">
        <f t="shared" ref="AH498:AH520" si="333">IF($J498="","",AH475+100)</f>
        <v>2201</v>
      </c>
      <c r="AI498">
        <v>78</v>
      </c>
      <c r="AJ498">
        <f t="shared" si="326"/>
        <v>113</v>
      </c>
      <c r="AP498" t="str">
        <f t="shared" si="295"/>
        <v>{5000,3,1,2201,101}</v>
      </c>
      <c r="AQ498" t="str">
        <f t="shared" si="296"/>
        <v>{5000,3,1,2201,103}</v>
      </c>
      <c r="AR498" t="str">
        <f t="shared" si="297"/>
        <v>{5000,3,1,2201,111}</v>
      </c>
      <c r="AS498" t="str">
        <f t="shared" si="298"/>
        <v>{5000,3,1,2201,112}</v>
      </c>
      <c r="AT498" t="str">
        <f t="shared" si="299"/>
        <v>{5000,3,1,2201,113}</v>
      </c>
      <c r="AU498" t="str">
        <f t="shared" si="300"/>
        <v/>
      </c>
      <c r="AV498">
        <v>3212</v>
      </c>
      <c r="AW498" t="str">
        <f t="shared" si="328"/>
        <v>[{5000,3,1,2201,101},{5000,3,1,2201,103},{5000,3,1,2201,111},{5000,3,1,2201,112},{5000,3,1,2201,113}]</v>
      </c>
    </row>
    <row r="499" spans="2:49">
      <c r="B499">
        <v>3213</v>
      </c>
      <c r="C499" t="s">
        <v>47</v>
      </c>
      <c r="D499" t="str">
        <f t="shared" si="307"/>
        <v>23</v>
      </c>
      <c r="F499">
        <v>31</v>
      </c>
      <c r="G499">
        <v>5000</v>
      </c>
      <c r="H499">
        <f t="shared" si="313"/>
        <v>6</v>
      </c>
      <c r="I499">
        <v>1</v>
      </c>
      <c r="J499">
        <v>1</v>
      </c>
      <c r="K499">
        <f t="shared" si="329"/>
        <v>2201</v>
      </c>
      <c r="L499">
        <f t="shared" si="322"/>
        <v>101</v>
      </c>
      <c r="M499">
        <v>5000</v>
      </c>
      <c r="N499">
        <f t="shared" si="321"/>
        <v>6</v>
      </c>
      <c r="O499">
        <v>1</v>
      </c>
      <c r="P499">
        <f t="shared" si="330"/>
        <v>2201</v>
      </c>
      <c r="Q499">
        <v>55</v>
      </c>
      <c r="R499">
        <f t="shared" si="323"/>
        <v>102</v>
      </c>
      <c r="S499">
        <v>5000</v>
      </c>
      <c r="T499">
        <f t="shared" si="292"/>
        <v>6</v>
      </c>
      <c r="U499">
        <v>1</v>
      </c>
      <c r="V499">
        <f t="shared" si="331"/>
        <v>2201</v>
      </c>
      <c r="W499">
        <v>58</v>
      </c>
      <c r="X499">
        <f t="shared" si="324"/>
        <v>103</v>
      </c>
      <c r="Y499">
        <v>5000</v>
      </c>
      <c r="Z499">
        <f t="shared" si="293"/>
        <v>6</v>
      </c>
      <c r="AA499">
        <v>1</v>
      </c>
      <c r="AB499">
        <f t="shared" si="332"/>
        <v>2201</v>
      </c>
      <c r="AC499">
        <v>76</v>
      </c>
      <c r="AD499">
        <f t="shared" si="325"/>
        <v>113</v>
      </c>
      <c r="AE499">
        <v>5000</v>
      </c>
      <c r="AF499">
        <f t="shared" si="294"/>
        <v>6</v>
      </c>
      <c r="AG499">
        <v>1</v>
      </c>
      <c r="AH499">
        <f t="shared" si="333"/>
        <v>2201</v>
      </c>
      <c r="AI499">
        <v>79</v>
      </c>
      <c r="AJ499">
        <f t="shared" si="326"/>
        <v>111</v>
      </c>
      <c r="AP499" t="str">
        <f t="shared" si="295"/>
        <v>{5000,6,1,2201,101}</v>
      </c>
      <c r="AQ499" t="str">
        <f t="shared" si="296"/>
        <v>{5000,6,1,2201,102}</v>
      </c>
      <c r="AR499" t="str">
        <f t="shared" si="297"/>
        <v>{5000,6,1,2201,103}</v>
      </c>
      <c r="AS499" t="str">
        <f t="shared" si="298"/>
        <v>{5000,6,1,2201,113}</v>
      </c>
      <c r="AT499" t="str">
        <f t="shared" si="299"/>
        <v>{5000,6,1,2201,111}</v>
      </c>
      <c r="AU499" t="str">
        <f t="shared" si="300"/>
        <v/>
      </c>
      <c r="AV499">
        <v>3213</v>
      </c>
      <c r="AW499" t="str">
        <f t="shared" si="328"/>
        <v>[{5000,6,1,2201,101},{5000,6,1,2201,102},{5000,6,1,2201,103},{5000,6,1,2201,113},{5000,6,1,2201,111}]</v>
      </c>
    </row>
    <row r="500" spans="2:49">
      <c r="B500">
        <v>3214</v>
      </c>
      <c r="C500" t="s">
        <v>47</v>
      </c>
      <c r="D500" t="str">
        <f t="shared" si="307"/>
        <v>23</v>
      </c>
      <c r="F500">
        <v>46</v>
      </c>
      <c r="G500">
        <v>5000</v>
      </c>
      <c r="H500">
        <f t="shared" si="313"/>
        <v>6</v>
      </c>
      <c r="I500">
        <v>1</v>
      </c>
      <c r="J500">
        <v>1</v>
      </c>
      <c r="K500">
        <f t="shared" si="329"/>
        <v>2201</v>
      </c>
      <c r="L500">
        <f t="shared" si="322"/>
        <v>101</v>
      </c>
      <c r="M500">
        <v>5000</v>
      </c>
      <c r="N500">
        <f t="shared" si="321"/>
        <v>6</v>
      </c>
      <c r="O500">
        <v>1</v>
      </c>
      <c r="P500">
        <f t="shared" si="330"/>
        <v>2201</v>
      </c>
      <c r="Q500">
        <v>55</v>
      </c>
      <c r="R500">
        <f t="shared" si="323"/>
        <v>103</v>
      </c>
      <c r="S500">
        <v>5000</v>
      </c>
      <c r="T500">
        <f t="shared" si="292"/>
        <v>6</v>
      </c>
      <c r="U500">
        <v>1</v>
      </c>
      <c r="V500">
        <f t="shared" si="331"/>
        <v>2202</v>
      </c>
      <c r="W500">
        <v>76</v>
      </c>
      <c r="X500">
        <f t="shared" si="324"/>
        <v>111</v>
      </c>
      <c r="Y500">
        <v>5000</v>
      </c>
      <c r="Z500">
        <f t="shared" si="293"/>
        <v>6</v>
      </c>
      <c r="AA500">
        <v>1</v>
      </c>
      <c r="AB500">
        <f t="shared" si="332"/>
        <v>2201</v>
      </c>
      <c r="AC500">
        <v>71</v>
      </c>
      <c r="AD500">
        <f t="shared" si="325"/>
        <v>112</v>
      </c>
      <c r="AE500">
        <v>5000</v>
      </c>
      <c r="AF500">
        <f t="shared" si="294"/>
        <v>6</v>
      </c>
      <c r="AG500">
        <v>1</v>
      </c>
      <c r="AH500">
        <f t="shared" si="333"/>
        <v>2201</v>
      </c>
      <c r="AI500">
        <v>71</v>
      </c>
      <c r="AJ500">
        <f t="shared" si="326"/>
        <v>113</v>
      </c>
      <c r="AP500" t="str">
        <f t="shared" si="295"/>
        <v>{5000,6,1,2201,101}</v>
      </c>
      <c r="AQ500" t="str">
        <f t="shared" si="296"/>
        <v>{5000,6,1,2201,103}</v>
      </c>
      <c r="AR500" t="str">
        <f t="shared" si="297"/>
        <v>{5000,6,1,2202,111}</v>
      </c>
      <c r="AS500" t="str">
        <f t="shared" si="298"/>
        <v>{5000,6,1,2201,112}</v>
      </c>
      <c r="AT500" t="str">
        <f t="shared" si="299"/>
        <v>{5000,6,1,2201,113}</v>
      </c>
      <c r="AU500" t="str">
        <f t="shared" si="300"/>
        <v/>
      </c>
      <c r="AV500">
        <v>3214</v>
      </c>
      <c r="AW500" t="str">
        <f t="shared" si="328"/>
        <v>[{5000,6,1,2201,101},{5000,6,1,2201,103},{5000,6,1,2202,111},{5000,6,1,2201,112},{5000,6,1,2201,113}]</v>
      </c>
    </row>
    <row r="501" spans="2:49">
      <c r="B501">
        <v>3215</v>
      </c>
      <c r="C501" t="s">
        <v>47</v>
      </c>
      <c r="D501" t="str">
        <f t="shared" si="307"/>
        <v>23</v>
      </c>
      <c r="F501">
        <v>61</v>
      </c>
      <c r="G501">
        <v>5000</v>
      </c>
      <c r="H501">
        <f t="shared" si="313"/>
        <v>8</v>
      </c>
      <c r="I501">
        <v>1</v>
      </c>
      <c r="J501">
        <v>3</v>
      </c>
      <c r="K501">
        <f t="shared" si="329"/>
        <v>2203</v>
      </c>
      <c r="L501">
        <f t="shared" si="322"/>
        <v>101</v>
      </c>
      <c r="M501">
        <v>5000</v>
      </c>
      <c r="N501">
        <f t="shared" si="321"/>
        <v>8</v>
      </c>
      <c r="O501">
        <v>1</v>
      </c>
      <c r="P501">
        <f t="shared" si="330"/>
        <v>2203</v>
      </c>
      <c r="Q501">
        <v>56</v>
      </c>
      <c r="R501">
        <f t="shared" si="323"/>
        <v>102</v>
      </c>
      <c r="S501">
        <v>5000</v>
      </c>
      <c r="T501">
        <f t="shared" si="292"/>
        <v>8</v>
      </c>
      <c r="U501">
        <v>1</v>
      </c>
      <c r="V501">
        <f t="shared" si="331"/>
        <v>2203</v>
      </c>
      <c r="W501">
        <v>57</v>
      </c>
      <c r="X501">
        <f t="shared" si="324"/>
        <v>103</v>
      </c>
      <c r="Y501">
        <v>5000</v>
      </c>
      <c r="Z501">
        <f t="shared" si="293"/>
        <v>8</v>
      </c>
      <c r="AA501">
        <v>1</v>
      </c>
      <c r="AB501">
        <f t="shared" si="332"/>
        <v>2203</v>
      </c>
      <c r="AC501">
        <v>72</v>
      </c>
      <c r="AD501">
        <f t="shared" si="325"/>
        <v>113</v>
      </c>
      <c r="AE501">
        <v>5000</v>
      </c>
      <c r="AF501">
        <f t="shared" si="294"/>
        <v>8</v>
      </c>
      <c r="AG501">
        <v>1</v>
      </c>
      <c r="AH501">
        <f t="shared" si="333"/>
        <v>2203</v>
      </c>
      <c r="AI501">
        <v>71</v>
      </c>
      <c r="AJ501">
        <f t="shared" si="326"/>
        <v>111</v>
      </c>
      <c r="AP501" t="str">
        <f t="shared" si="295"/>
        <v>{5000,8,1,2203,101}</v>
      </c>
      <c r="AQ501" t="str">
        <f t="shared" si="296"/>
        <v>{5000,8,1,2203,102}</v>
      </c>
      <c r="AR501" t="str">
        <f t="shared" si="297"/>
        <v>{5000,8,1,2203,103}</v>
      </c>
      <c r="AS501" t="str">
        <f t="shared" si="298"/>
        <v>{5000,8,1,2203,113}</v>
      </c>
      <c r="AT501" t="str">
        <f t="shared" si="299"/>
        <v>{5000,8,1,2203,111}</v>
      </c>
      <c r="AU501" t="str">
        <f t="shared" si="300"/>
        <v/>
      </c>
      <c r="AV501">
        <v>3215</v>
      </c>
      <c r="AW501" t="str">
        <f t="shared" si="328"/>
        <v>[{5000,8,1,2203,101},{5000,8,1,2203,102},{5000,8,1,2203,103},{5000,8,1,2203,113},{5000,8,1,2203,111}]</v>
      </c>
    </row>
    <row r="502" spans="2:49">
      <c r="B502">
        <v>3216</v>
      </c>
      <c r="C502" t="s">
        <v>47</v>
      </c>
      <c r="D502" t="str">
        <f t="shared" si="307"/>
        <v>23</v>
      </c>
      <c r="F502">
        <v>76</v>
      </c>
      <c r="G502">
        <v>5000</v>
      </c>
      <c r="H502">
        <f t="shared" si="313"/>
        <v>8</v>
      </c>
      <c r="I502">
        <v>1</v>
      </c>
      <c r="J502">
        <v>1</v>
      </c>
      <c r="K502">
        <f t="shared" si="329"/>
        <v>2201</v>
      </c>
      <c r="L502">
        <f t="shared" si="322"/>
        <v>101</v>
      </c>
      <c r="M502">
        <v>5000</v>
      </c>
      <c r="N502">
        <f t="shared" si="321"/>
        <v>8</v>
      </c>
      <c r="O502">
        <v>1</v>
      </c>
      <c r="P502">
        <f t="shared" si="330"/>
        <v>2201</v>
      </c>
      <c r="Q502">
        <v>59</v>
      </c>
      <c r="R502">
        <f t="shared" si="323"/>
        <v>103</v>
      </c>
      <c r="S502">
        <v>5000</v>
      </c>
      <c r="T502">
        <f t="shared" si="292"/>
        <v>8</v>
      </c>
      <c r="U502">
        <v>1</v>
      </c>
      <c r="V502">
        <f t="shared" si="331"/>
        <v>2202</v>
      </c>
      <c r="W502">
        <v>71</v>
      </c>
      <c r="X502">
        <f t="shared" si="324"/>
        <v>111</v>
      </c>
      <c r="Y502">
        <v>5000</v>
      </c>
      <c r="Z502">
        <f t="shared" si="293"/>
        <v>8</v>
      </c>
      <c r="AA502">
        <v>1</v>
      </c>
      <c r="AB502">
        <f t="shared" si="332"/>
        <v>2201</v>
      </c>
      <c r="AC502">
        <v>71</v>
      </c>
      <c r="AD502">
        <f t="shared" si="325"/>
        <v>112</v>
      </c>
      <c r="AE502">
        <v>5000</v>
      </c>
      <c r="AF502">
        <f t="shared" si="294"/>
        <v>8</v>
      </c>
      <c r="AG502">
        <v>1</v>
      </c>
      <c r="AH502">
        <f t="shared" si="333"/>
        <v>2201</v>
      </c>
      <c r="AI502">
        <v>79</v>
      </c>
      <c r="AJ502">
        <f t="shared" si="326"/>
        <v>113</v>
      </c>
      <c r="AP502" t="str">
        <f t="shared" si="295"/>
        <v>{5000,8,1,2201,101}</v>
      </c>
      <c r="AQ502" t="str">
        <f t="shared" si="296"/>
        <v>{5000,8,1,2201,103}</v>
      </c>
      <c r="AR502" t="str">
        <f t="shared" si="297"/>
        <v>{5000,8,1,2202,111}</v>
      </c>
      <c r="AS502" t="str">
        <f t="shared" si="298"/>
        <v>{5000,8,1,2201,112}</v>
      </c>
      <c r="AT502" t="str">
        <f t="shared" si="299"/>
        <v>{5000,8,1,2201,113}</v>
      </c>
      <c r="AU502" t="str">
        <f t="shared" si="300"/>
        <v/>
      </c>
      <c r="AV502">
        <v>3216</v>
      </c>
      <c r="AW502" t="str">
        <f t="shared" si="328"/>
        <v>[{5000,8,1,2201,101},{5000,8,1,2201,103},{5000,8,1,2202,111},{5000,8,1,2201,112},{5000,8,1,2201,113}]</v>
      </c>
    </row>
    <row r="503" spans="2:49">
      <c r="B503">
        <v>3217</v>
      </c>
      <c r="C503" t="s">
        <v>47</v>
      </c>
      <c r="D503" t="str">
        <f t="shared" si="307"/>
        <v>23</v>
      </c>
      <c r="F503">
        <v>91</v>
      </c>
      <c r="G503">
        <v>5000</v>
      </c>
      <c r="H503">
        <f t="shared" si="313"/>
        <v>8</v>
      </c>
      <c r="I503">
        <v>1</v>
      </c>
      <c r="J503">
        <v>1</v>
      </c>
      <c r="K503">
        <f t="shared" si="329"/>
        <v>2201</v>
      </c>
      <c r="L503">
        <f t="shared" si="322"/>
        <v>101</v>
      </c>
      <c r="M503">
        <v>5000</v>
      </c>
      <c r="N503">
        <f t="shared" si="321"/>
        <v>8</v>
      </c>
      <c r="O503">
        <v>1</v>
      </c>
      <c r="P503">
        <f t="shared" si="330"/>
        <v>2201</v>
      </c>
      <c r="Q503">
        <v>54</v>
      </c>
      <c r="R503">
        <f t="shared" si="323"/>
        <v>102</v>
      </c>
      <c r="S503">
        <v>5000</v>
      </c>
      <c r="T503">
        <f t="shared" si="292"/>
        <v>8</v>
      </c>
      <c r="U503">
        <v>1</v>
      </c>
      <c r="V503">
        <f t="shared" si="331"/>
        <v>2202</v>
      </c>
      <c r="W503">
        <v>51</v>
      </c>
      <c r="X503">
        <f t="shared" si="324"/>
        <v>103</v>
      </c>
      <c r="Y503">
        <v>5000</v>
      </c>
      <c r="Z503">
        <f t="shared" si="293"/>
        <v>8</v>
      </c>
      <c r="AA503">
        <v>1</v>
      </c>
      <c r="AB503">
        <f t="shared" si="332"/>
        <v>2201</v>
      </c>
      <c r="AC503">
        <v>71</v>
      </c>
      <c r="AD503">
        <f t="shared" si="325"/>
        <v>113</v>
      </c>
      <c r="AE503">
        <v>5000</v>
      </c>
      <c r="AF503">
        <f t="shared" si="294"/>
        <v>8</v>
      </c>
      <c r="AG503">
        <v>1</v>
      </c>
      <c r="AH503">
        <f t="shared" si="333"/>
        <v>2202</v>
      </c>
      <c r="AI503">
        <v>77</v>
      </c>
      <c r="AJ503">
        <f t="shared" si="326"/>
        <v>111</v>
      </c>
      <c r="AP503" t="str">
        <f t="shared" si="295"/>
        <v>{5000,8,1,2201,101}</v>
      </c>
      <c r="AQ503" t="str">
        <f t="shared" si="296"/>
        <v>{5000,8,1,2201,102}</v>
      </c>
      <c r="AR503" t="str">
        <f t="shared" si="297"/>
        <v>{5000,8,1,2202,103}</v>
      </c>
      <c r="AS503" t="str">
        <f t="shared" si="298"/>
        <v>{5000,8,1,2201,113}</v>
      </c>
      <c r="AT503" t="str">
        <f t="shared" si="299"/>
        <v>{5000,8,1,2202,111}</v>
      </c>
      <c r="AU503" t="str">
        <f t="shared" si="300"/>
        <v/>
      </c>
      <c r="AV503">
        <v>3217</v>
      </c>
      <c r="AW503" t="str">
        <f t="shared" si="328"/>
        <v>[{5000,8,1,2201,101},{5000,8,1,2201,102},{5000,8,1,2202,103},{5000,8,1,2201,113},{5000,8,1,2202,111}]</v>
      </c>
    </row>
    <row r="504" spans="2:49">
      <c r="B504">
        <v>3218</v>
      </c>
      <c r="C504" t="s">
        <v>47</v>
      </c>
      <c r="D504" t="str">
        <f t="shared" si="307"/>
        <v>23</v>
      </c>
      <c r="F504">
        <v>106</v>
      </c>
      <c r="G504">
        <v>5000</v>
      </c>
      <c r="H504">
        <f t="shared" si="313"/>
        <v>8</v>
      </c>
      <c r="I504">
        <v>1</v>
      </c>
      <c r="J504">
        <v>1</v>
      </c>
      <c r="K504">
        <f t="shared" si="329"/>
        <v>2201</v>
      </c>
      <c r="L504">
        <f t="shared" si="322"/>
        <v>101</v>
      </c>
      <c r="M504">
        <v>5000</v>
      </c>
      <c r="N504">
        <f t="shared" si="321"/>
        <v>8</v>
      </c>
      <c r="O504">
        <v>1</v>
      </c>
      <c r="P504">
        <f t="shared" si="330"/>
        <v>2201</v>
      </c>
      <c r="Q504">
        <v>55</v>
      </c>
      <c r="R504">
        <f t="shared" si="323"/>
        <v>103</v>
      </c>
      <c r="S504">
        <v>5000</v>
      </c>
      <c r="T504">
        <f t="shared" si="292"/>
        <v>8</v>
      </c>
      <c r="U504">
        <v>1</v>
      </c>
      <c r="V504">
        <f t="shared" si="331"/>
        <v>2202</v>
      </c>
      <c r="W504">
        <v>73</v>
      </c>
      <c r="X504">
        <f t="shared" si="324"/>
        <v>111</v>
      </c>
      <c r="Y504">
        <v>5000</v>
      </c>
      <c r="Z504">
        <f t="shared" si="293"/>
        <v>8</v>
      </c>
      <c r="AA504">
        <v>1</v>
      </c>
      <c r="AB504">
        <f t="shared" si="332"/>
        <v>2201</v>
      </c>
      <c r="AC504">
        <v>78</v>
      </c>
      <c r="AD504">
        <f t="shared" si="325"/>
        <v>112</v>
      </c>
      <c r="AE504">
        <v>5000</v>
      </c>
      <c r="AF504">
        <f t="shared" si="294"/>
        <v>8</v>
      </c>
      <c r="AG504">
        <v>1</v>
      </c>
      <c r="AH504">
        <f t="shared" si="333"/>
        <v>2202</v>
      </c>
      <c r="AI504">
        <v>71</v>
      </c>
      <c r="AJ504">
        <f t="shared" si="326"/>
        <v>113</v>
      </c>
      <c r="AP504" t="str">
        <f t="shared" si="295"/>
        <v>{5000,8,1,2201,101}</v>
      </c>
      <c r="AQ504" t="str">
        <f t="shared" si="296"/>
        <v>{5000,8,1,2201,103}</v>
      </c>
      <c r="AR504" t="str">
        <f t="shared" si="297"/>
        <v>{5000,8,1,2202,111}</v>
      </c>
      <c r="AS504" t="str">
        <f t="shared" si="298"/>
        <v>{5000,8,1,2201,112}</v>
      </c>
      <c r="AT504" t="str">
        <f t="shared" si="299"/>
        <v>{5000,8,1,2202,113}</v>
      </c>
      <c r="AU504" t="str">
        <f t="shared" si="300"/>
        <v/>
      </c>
      <c r="AV504">
        <v>3218</v>
      </c>
      <c r="AW504" t="str">
        <f t="shared" si="328"/>
        <v>[{5000,8,1,2201,101},{5000,8,1,2201,103},{5000,8,1,2202,111},{5000,8,1,2201,112},{5000,8,1,2202,113}]</v>
      </c>
    </row>
    <row r="505" spans="2:48">
      <c r="B505">
        <v>3219</v>
      </c>
      <c r="C505" t="s">
        <v>47</v>
      </c>
      <c r="D505" t="str">
        <f t="shared" si="307"/>
        <v>23</v>
      </c>
      <c r="F505">
        <v>119</v>
      </c>
      <c r="H505">
        <f t="shared" si="313"/>
        <v>0</v>
      </c>
      <c r="K505" t="str">
        <f t="shared" si="329"/>
        <v/>
      </c>
      <c r="L505" t="str">
        <f t="shared" si="322"/>
        <v/>
      </c>
      <c r="N505">
        <f t="shared" si="321"/>
        <v>0</v>
      </c>
      <c r="P505" t="str">
        <f t="shared" si="330"/>
        <v/>
      </c>
      <c r="R505" t="str">
        <f t="shared" si="323"/>
        <v/>
      </c>
      <c r="T505">
        <f t="shared" si="292"/>
        <v>0</v>
      </c>
      <c r="V505" t="str">
        <f t="shared" si="331"/>
        <v/>
      </c>
      <c r="X505" t="str">
        <f t="shared" si="324"/>
        <v/>
      </c>
      <c r="Z505">
        <f t="shared" si="293"/>
        <v>0</v>
      </c>
      <c r="AB505" t="str">
        <f t="shared" si="332"/>
        <v/>
      </c>
      <c r="AD505" t="str">
        <f t="shared" si="325"/>
        <v/>
      </c>
      <c r="AF505">
        <f t="shared" si="294"/>
        <v>0</v>
      </c>
      <c r="AH505" t="str">
        <f t="shared" si="333"/>
        <v/>
      </c>
      <c r="AJ505" t="str">
        <f t="shared" si="326"/>
        <v/>
      </c>
      <c r="AP505" t="str">
        <f t="shared" si="295"/>
        <v/>
      </c>
      <c r="AQ505" t="str">
        <f t="shared" si="296"/>
        <v/>
      </c>
      <c r="AR505" t="str">
        <f t="shared" si="297"/>
        <v/>
      </c>
      <c r="AS505" t="str">
        <f t="shared" si="298"/>
        <v/>
      </c>
      <c r="AT505" t="str">
        <f t="shared" si="299"/>
        <v/>
      </c>
      <c r="AU505" t="str">
        <f t="shared" si="300"/>
        <v/>
      </c>
      <c r="AV505">
        <v>3219</v>
      </c>
    </row>
    <row r="506" spans="2:49">
      <c r="B506">
        <v>3220</v>
      </c>
      <c r="C506" t="s">
        <v>47</v>
      </c>
      <c r="D506" t="str">
        <f t="shared" si="307"/>
        <v>23</v>
      </c>
      <c r="F506">
        <v>121</v>
      </c>
      <c r="G506">
        <v>5000</v>
      </c>
      <c r="H506">
        <f t="shared" si="313"/>
        <v>10</v>
      </c>
      <c r="I506">
        <v>1</v>
      </c>
      <c r="J506">
        <v>3</v>
      </c>
      <c r="K506">
        <f t="shared" si="329"/>
        <v>2203</v>
      </c>
      <c r="L506">
        <f t="shared" si="322"/>
        <v>101</v>
      </c>
      <c r="M506">
        <v>5000</v>
      </c>
      <c r="N506">
        <f t="shared" si="321"/>
        <v>10</v>
      </c>
      <c r="O506">
        <v>1</v>
      </c>
      <c r="P506">
        <f t="shared" si="330"/>
        <v>2203</v>
      </c>
      <c r="Q506">
        <v>54</v>
      </c>
      <c r="R506">
        <f t="shared" si="323"/>
        <v>102</v>
      </c>
      <c r="S506">
        <v>5000</v>
      </c>
      <c r="T506">
        <f t="shared" si="292"/>
        <v>10</v>
      </c>
      <c r="U506">
        <v>1</v>
      </c>
      <c r="V506">
        <f t="shared" si="331"/>
        <v>2203</v>
      </c>
      <c r="W506">
        <v>51</v>
      </c>
      <c r="X506">
        <f t="shared" si="324"/>
        <v>103</v>
      </c>
      <c r="Y506">
        <v>5000</v>
      </c>
      <c r="Z506">
        <f t="shared" si="293"/>
        <v>10</v>
      </c>
      <c r="AA506">
        <v>1</v>
      </c>
      <c r="AB506">
        <f t="shared" si="332"/>
        <v>2203</v>
      </c>
      <c r="AC506">
        <v>71</v>
      </c>
      <c r="AD506">
        <f t="shared" si="325"/>
        <v>113</v>
      </c>
      <c r="AE506">
        <v>5000</v>
      </c>
      <c r="AF506">
        <f t="shared" si="294"/>
        <v>10</v>
      </c>
      <c r="AG506">
        <v>1</v>
      </c>
      <c r="AH506">
        <f t="shared" si="333"/>
        <v>2203</v>
      </c>
      <c r="AI506">
        <v>79</v>
      </c>
      <c r="AJ506">
        <f t="shared" si="326"/>
        <v>111</v>
      </c>
      <c r="AK506">
        <v>1000</v>
      </c>
      <c r="AL506">
        <v>1</v>
      </c>
      <c r="AM506">
        <v>0</v>
      </c>
      <c r="AN506">
        <f t="shared" ref="AN506" si="334">AN483+100</f>
        <v>2221</v>
      </c>
      <c r="AO506">
        <v>4</v>
      </c>
      <c r="AP506" t="str">
        <f t="shared" si="295"/>
        <v>{5000,10,1,2203,101}</v>
      </c>
      <c r="AQ506" t="str">
        <f t="shared" si="296"/>
        <v>{5000,10,1,2203,102}</v>
      </c>
      <c r="AR506" t="str">
        <f t="shared" si="297"/>
        <v>{5000,10,1,2203,103}</v>
      </c>
      <c r="AS506" t="str">
        <f t="shared" si="298"/>
        <v>{5000,10,1,2203,113}</v>
      </c>
      <c r="AT506" t="str">
        <f t="shared" si="299"/>
        <v>{5000,10,1,2203,111}</v>
      </c>
      <c r="AU506" t="str">
        <f t="shared" si="300"/>
        <v>{1000,1,0,2221,4}</v>
      </c>
      <c r="AV506">
        <v>3220</v>
      </c>
      <c r="AW506" t="str">
        <f t="shared" ref="AW506:AW511" si="335">IF(AU506="","["&amp;_xlfn.TEXTJOIN(",",1,AP506:AT506)&amp;"]","["&amp;_xlfn.TEXTJOIN(",",1,AP506:AU506)&amp;"]")</f>
        <v>[{5000,10,1,2203,101},{5000,10,1,2203,102},{5000,10,1,2203,103},{5000,10,1,2203,113},{5000,10,1,2203,111},{1000,1,0,2221,4}]</v>
      </c>
    </row>
    <row r="507" spans="2:49">
      <c r="B507">
        <v>3221</v>
      </c>
      <c r="C507" t="s">
        <v>47</v>
      </c>
      <c r="D507" t="str">
        <f t="shared" si="307"/>
        <v>23</v>
      </c>
      <c r="F507">
        <v>136</v>
      </c>
      <c r="G507">
        <v>5000</v>
      </c>
      <c r="H507">
        <f t="shared" si="313"/>
        <v>9</v>
      </c>
      <c r="I507">
        <v>1</v>
      </c>
      <c r="J507">
        <v>1</v>
      </c>
      <c r="K507">
        <f t="shared" si="329"/>
        <v>2201</v>
      </c>
      <c r="L507">
        <f t="shared" si="322"/>
        <v>101</v>
      </c>
      <c r="M507">
        <v>5000</v>
      </c>
      <c r="N507">
        <f t="shared" si="321"/>
        <v>9</v>
      </c>
      <c r="O507">
        <v>1</v>
      </c>
      <c r="P507">
        <f t="shared" si="330"/>
        <v>2201</v>
      </c>
      <c r="Q507">
        <v>54</v>
      </c>
      <c r="R507">
        <f t="shared" si="323"/>
        <v>103</v>
      </c>
      <c r="S507">
        <v>5000</v>
      </c>
      <c r="T507">
        <f t="shared" si="292"/>
        <v>9</v>
      </c>
      <c r="U507">
        <v>1</v>
      </c>
      <c r="V507">
        <f t="shared" si="331"/>
        <v>2202</v>
      </c>
      <c r="W507">
        <v>76</v>
      </c>
      <c r="X507">
        <f t="shared" si="324"/>
        <v>111</v>
      </c>
      <c r="Y507">
        <v>5000</v>
      </c>
      <c r="Z507">
        <f t="shared" si="293"/>
        <v>9</v>
      </c>
      <c r="AA507">
        <v>1</v>
      </c>
      <c r="AB507">
        <f t="shared" si="332"/>
        <v>2201</v>
      </c>
      <c r="AC507">
        <v>72</v>
      </c>
      <c r="AD507">
        <f t="shared" si="325"/>
        <v>112</v>
      </c>
      <c r="AE507">
        <v>5000</v>
      </c>
      <c r="AF507">
        <f t="shared" si="294"/>
        <v>9</v>
      </c>
      <c r="AG507">
        <v>1</v>
      </c>
      <c r="AH507">
        <f t="shared" si="333"/>
        <v>2202</v>
      </c>
      <c r="AI507">
        <v>74</v>
      </c>
      <c r="AJ507">
        <f t="shared" si="326"/>
        <v>113</v>
      </c>
      <c r="AP507" t="str">
        <f t="shared" si="295"/>
        <v>{5000,9,1,2201,101}</v>
      </c>
      <c r="AQ507" t="str">
        <f t="shared" si="296"/>
        <v>{5000,9,1,2201,103}</v>
      </c>
      <c r="AR507" t="str">
        <f t="shared" si="297"/>
        <v>{5000,9,1,2202,111}</v>
      </c>
      <c r="AS507" t="str">
        <f t="shared" si="298"/>
        <v>{5000,9,1,2201,112}</v>
      </c>
      <c r="AT507" t="str">
        <f t="shared" si="299"/>
        <v>{5000,9,1,2202,113}</v>
      </c>
      <c r="AU507" t="str">
        <f t="shared" si="300"/>
        <v/>
      </c>
      <c r="AV507">
        <v>3221</v>
      </c>
      <c r="AW507" t="str">
        <f t="shared" si="335"/>
        <v>[{5000,9,1,2201,101},{5000,9,1,2201,103},{5000,9,1,2202,111},{5000,9,1,2201,112},{5000,9,1,2202,113}]</v>
      </c>
    </row>
    <row r="508" spans="2:49">
      <c r="B508">
        <v>3222</v>
      </c>
      <c r="C508" t="s">
        <v>47</v>
      </c>
      <c r="D508" t="str">
        <f t="shared" si="307"/>
        <v>23</v>
      </c>
      <c r="F508">
        <v>151</v>
      </c>
      <c r="G508">
        <v>5000</v>
      </c>
      <c r="H508">
        <f t="shared" si="313"/>
        <v>10</v>
      </c>
      <c r="I508">
        <v>1</v>
      </c>
      <c r="J508">
        <v>1</v>
      </c>
      <c r="K508">
        <f t="shared" si="329"/>
        <v>2201</v>
      </c>
      <c r="L508">
        <f t="shared" si="322"/>
        <v>101</v>
      </c>
      <c r="M508">
        <v>5000</v>
      </c>
      <c r="N508">
        <f t="shared" si="321"/>
        <v>10</v>
      </c>
      <c r="O508">
        <v>1</v>
      </c>
      <c r="P508">
        <f t="shared" si="330"/>
        <v>2201</v>
      </c>
      <c r="Q508">
        <v>54</v>
      </c>
      <c r="R508">
        <f t="shared" si="323"/>
        <v>102</v>
      </c>
      <c r="S508">
        <v>5000</v>
      </c>
      <c r="T508">
        <f t="shared" si="292"/>
        <v>10</v>
      </c>
      <c r="U508">
        <v>1</v>
      </c>
      <c r="V508">
        <f t="shared" si="331"/>
        <v>2202</v>
      </c>
      <c r="W508">
        <v>56</v>
      </c>
      <c r="X508">
        <f t="shared" si="324"/>
        <v>103</v>
      </c>
      <c r="Y508">
        <v>5000</v>
      </c>
      <c r="Z508">
        <f t="shared" si="293"/>
        <v>10</v>
      </c>
      <c r="AA508">
        <v>1</v>
      </c>
      <c r="AB508">
        <f t="shared" si="332"/>
        <v>2201</v>
      </c>
      <c r="AC508">
        <v>72</v>
      </c>
      <c r="AD508">
        <f t="shared" si="325"/>
        <v>113</v>
      </c>
      <c r="AE508">
        <v>5000</v>
      </c>
      <c r="AF508">
        <f t="shared" si="294"/>
        <v>10</v>
      </c>
      <c r="AG508">
        <v>1</v>
      </c>
      <c r="AH508">
        <f t="shared" si="333"/>
        <v>2202</v>
      </c>
      <c r="AI508">
        <v>74</v>
      </c>
      <c r="AJ508">
        <f t="shared" si="326"/>
        <v>111</v>
      </c>
      <c r="AP508" t="str">
        <f t="shared" si="295"/>
        <v>{5000,10,1,2201,101}</v>
      </c>
      <c r="AQ508" t="str">
        <f t="shared" si="296"/>
        <v>{5000,10,1,2201,102}</v>
      </c>
      <c r="AR508" t="str">
        <f t="shared" si="297"/>
        <v>{5000,10,1,2202,103}</v>
      </c>
      <c r="AS508" t="str">
        <f t="shared" si="298"/>
        <v>{5000,10,1,2201,113}</v>
      </c>
      <c r="AT508" t="str">
        <f t="shared" si="299"/>
        <v>{5000,10,1,2202,111}</v>
      </c>
      <c r="AU508" t="str">
        <f t="shared" si="300"/>
        <v/>
      </c>
      <c r="AV508">
        <v>3222</v>
      </c>
      <c r="AW508" t="str">
        <f t="shared" si="335"/>
        <v>[{5000,10,1,2201,101},{5000,10,1,2201,102},{5000,10,1,2202,103},{5000,10,1,2201,113},{5000,10,1,2202,111}]</v>
      </c>
    </row>
    <row r="509" spans="2:49">
      <c r="B509">
        <v>3223</v>
      </c>
      <c r="C509" t="s">
        <v>47</v>
      </c>
      <c r="D509" t="str">
        <f t="shared" si="307"/>
        <v>23</v>
      </c>
      <c r="F509">
        <v>166</v>
      </c>
      <c r="G509">
        <v>5000</v>
      </c>
      <c r="H509">
        <f t="shared" si="313"/>
        <v>11</v>
      </c>
      <c r="I509">
        <v>1</v>
      </c>
      <c r="J509">
        <v>1</v>
      </c>
      <c r="K509">
        <f t="shared" si="329"/>
        <v>2201</v>
      </c>
      <c r="L509">
        <f t="shared" si="322"/>
        <v>101</v>
      </c>
      <c r="M509">
        <v>5000</v>
      </c>
      <c r="N509">
        <f t="shared" si="321"/>
        <v>11</v>
      </c>
      <c r="O509">
        <v>1</v>
      </c>
      <c r="P509">
        <f t="shared" si="330"/>
        <v>2201</v>
      </c>
      <c r="Q509">
        <v>59</v>
      </c>
      <c r="R509">
        <f t="shared" si="323"/>
        <v>103</v>
      </c>
      <c r="S509">
        <v>5000</v>
      </c>
      <c r="T509">
        <f t="shared" si="292"/>
        <v>11</v>
      </c>
      <c r="U509">
        <v>1</v>
      </c>
      <c r="V509">
        <f t="shared" si="331"/>
        <v>2202</v>
      </c>
      <c r="W509">
        <v>79</v>
      </c>
      <c r="X509">
        <f t="shared" si="324"/>
        <v>111</v>
      </c>
      <c r="Y509">
        <v>5000</v>
      </c>
      <c r="Z509">
        <f t="shared" si="293"/>
        <v>11</v>
      </c>
      <c r="AA509">
        <v>1</v>
      </c>
      <c r="AB509">
        <f t="shared" si="332"/>
        <v>2201</v>
      </c>
      <c r="AC509">
        <v>71</v>
      </c>
      <c r="AD509">
        <f t="shared" si="325"/>
        <v>112</v>
      </c>
      <c r="AE509">
        <v>5000</v>
      </c>
      <c r="AF509">
        <f t="shared" si="294"/>
        <v>11</v>
      </c>
      <c r="AG509">
        <v>1</v>
      </c>
      <c r="AH509">
        <f t="shared" si="333"/>
        <v>2202</v>
      </c>
      <c r="AI509">
        <v>74</v>
      </c>
      <c r="AJ509">
        <f t="shared" si="326"/>
        <v>113</v>
      </c>
      <c r="AP509" t="str">
        <f t="shared" si="295"/>
        <v>{5000,11,1,2201,101}</v>
      </c>
      <c r="AQ509" t="str">
        <f t="shared" si="296"/>
        <v>{5000,11,1,2201,103}</v>
      </c>
      <c r="AR509" t="str">
        <f t="shared" si="297"/>
        <v>{5000,11,1,2202,111}</v>
      </c>
      <c r="AS509" t="str">
        <f t="shared" si="298"/>
        <v>{5000,11,1,2201,112}</v>
      </c>
      <c r="AT509" t="str">
        <f t="shared" si="299"/>
        <v>{5000,11,1,2202,113}</v>
      </c>
      <c r="AU509" t="str">
        <f t="shared" si="300"/>
        <v/>
      </c>
      <c r="AV509">
        <v>3223</v>
      </c>
      <c r="AW509" t="str">
        <f t="shared" si="335"/>
        <v>[{5000,11,1,2201,101},{5000,11,1,2201,103},{5000,11,1,2202,111},{5000,11,1,2201,112},{5000,11,1,2202,113}]</v>
      </c>
    </row>
    <row r="510" spans="2:49">
      <c r="B510">
        <v>3224</v>
      </c>
      <c r="C510" t="s">
        <v>47</v>
      </c>
      <c r="D510" t="str">
        <f t="shared" si="307"/>
        <v>23</v>
      </c>
      <c r="F510">
        <v>181</v>
      </c>
      <c r="G510">
        <v>5000</v>
      </c>
      <c r="H510">
        <f t="shared" si="313"/>
        <v>12</v>
      </c>
      <c r="I510">
        <v>1</v>
      </c>
      <c r="J510">
        <v>3</v>
      </c>
      <c r="K510">
        <f t="shared" si="329"/>
        <v>2203</v>
      </c>
      <c r="L510">
        <f t="shared" si="322"/>
        <v>101</v>
      </c>
      <c r="M510">
        <v>5000</v>
      </c>
      <c r="N510">
        <f t="shared" si="321"/>
        <v>12</v>
      </c>
      <c r="O510">
        <v>1</v>
      </c>
      <c r="P510">
        <f t="shared" si="330"/>
        <v>2203</v>
      </c>
      <c r="Q510">
        <v>53</v>
      </c>
      <c r="R510">
        <f t="shared" si="323"/>
        <v>102</v>
      </c>
      <c r="S510">
        <v>5000</v>
      </c>
      <c r="T510">
        <f t="shared" si="292"/>
        <v>12</v>
      </c>
      <c r="U510">
        <v>1</v>
      </c>
      <c r="V510">
        <f t="shared" si="331"/>
        <v>2203</v>
      </c>
      <c r="W510">
        <v>56</v>
      </c>
      <c r="X510">
        <f t="shared" si="324"/>
        <v>103</v>
      </c>
      <c r="Y510">
        <v>5000</v>
      </c>
      <c r="Z510">
        <f t="shared" si="293"/>
        <v>12</v>
      </c>
      <c r="AA510">
        <v>1</v>
      </c>
      <c r="AB510">
        <f t="shared" si="332"/>
        <v>2203</v>
      </c>
      <c r="AC510">
        <v>75</v>
      </c>
      <c r="AD510">
        <f t="shared" si="325"/>
        <v>113</v>
      </c>
      <c r="AE510">
        <v>5000</v>
      </c>
      <c r="AF510">
        <f t="shared" si="294"/>
        <v>12</v>
      </c>
      <c r="AG510">
        <v>1</v>
      </c>
      <c r="AH510">
        <f t="shared" si="333"/>
        <v>2203</v>
      </c>
      <c r="AI510">
        <v>78</v>
      </c>
      <c r="AJ510">
        <f t="shared" si="326"/>
        <v>111</v>
      </c>
      <c r="AP510" t="str">
        <f t="shared" si="295"/>
        <v>{5000,12,1,2203,101}</v>
      </c>
      <c r="AQ510" t="str">
        <f t="shared" si="296"/>
        <v>{5000,12,1,2203,102}</v>
      </c>
      <c r="AR510" t="str">
        <f t="shared" si="297"/>
        <v>{5000,12,1,2203,103}</v>
      </c>
      <c r="AS510" t="str">
        <f t="shared" si="298"/>
        <v>{5000,12,1,2203,113}</v>
      </c>
      <c r="AT510" t="str">
        <f t="shared" si="299"/>
        <v>{5000,12,1,2203,111}</v>
      </c>
      <c r="AU510" t="str">
        <f t="shared" si="300"/>
        <v/>
      </c>
      <c r="AV510">
        <v>3224</v>
      </c>
      <c r="AW510" t="str">
        <f t="shared" si="335"/>
        <v>[{5000,12,1,2203,101},{5000,12,1,2203,102},{5000,12,1,2203,103},{5000,12,1,2203,113},{5000,12,1,2203,111}]</v>
      </c>
    </row>
    <row r="511" spans="2:49">
      <c r="B511">
        <v>3225</v>
      </c>
      <c r="C511" t="s">
        <v>47</v>
      </c>
      <c r="D511" t="str">
        <f t="shared" si="307"/>
        <v>23</v>
      </c>
      <c r="F511">
        <v>196</v>
      </c>
      <c r="G511">
        <v>5000</v>
      </c>
      <c r="H511">
        <f t="shared" si="313"/>
        <v>12</v>
      </c>
      <c r="I511">
        <v>1</v>
      </c>
      <c r="J511">
        <v>2</v>
      </c>
      <c r="K511">
        <f t="shared" si="329"/>
        <v>2202</v>
      </c>
      <c r="L511">
        <f t="shared" si="322"/>
        <v>101</v>
      </c>
      <c r="M511">
        <v>5000</v>
      </c>
      <c r="N511">
        <f t="shared" si="321"/>
        <v>12</v>
      </c>
      <c r="O511">
        <v>1</v>
      </c>
      <c r="P511">
        <f t="shared" si="330"/>
        <v>2201</v>
      </c>
      <c r="Q511">
        <v>54</v>
      </c>
      <c r="R511">
        <f t="shared" si="323"/>
        <v>103</v>
      </c>
      <c r="S511">
        <v>5000</v>
      </c>
      <c r="T511">
        <f t="shared" si="292"/>
        <v>12</v>
      </c>
      <c r="U511">
        <v>1</v>
      </c>
      <c r="V511">
        <f t="shared" si="331"/>
        <v>2202</v>
      </c>
      <c r="W511">
        <v>77</v>
      </c>
      <c r="X511">
        <f t="shared" si="324"/>
        <v>111</v>
      </c>
      <c r="Y511">
        <v>5000</v>
      </c>
      <c r="Z511">
        <f t="shared" si="293"/>
        <v>12</v>
      </c>
      <c r="AA511">
        <v>1</v>
      </c>
      <c r="AB511">
        <f t="shared" si="332"/>
        <v>2201</v>
      </c>
      <c r="AC511">
        <v>72</v>
      </c>
      <c r="AD511">
        <f t="shared" si="325"/>
        <v>112</v>
      </c>
      <c r="AE511">
        <v>5000</v>
      </c>
      <c r="AF511">
        <f t="shared" si="294"/>
        <v>12</v>
      </c>
      <c r="AG511">
        <v>1</v>
      </c>
      <c r="AH511">
        <f t="shared" si="333"/>
        <v>2202</v>
      </c>
      <c r="AI511">
        <v>74</v>
      </c>
      <c r="AJ511">
        <f t="shared" si="326"/>
        <v>113</v>
      </c>
      <c r="AP511" t="str">
        <f t="shared" si="295"/>
        <v>{5000,12,1,2202,101}</v>
      </c>
      <c r="AQ511" t="str">
        <f t="shared" si="296"/>
        <v>{5000,12,1,2201,103}</v>
      </c>
      <c r="AR511" t="str">
        <f t="shared" si="297"/>
        <v>{5000,12,1,2202,111}</v>
      </c>
      <c r="AS511" t="str">
        <f t="shared" si="298"/>
        <v>{5000,12,1,2201,112}</v>
      </c>
      <c r="AT511" t="str">
        <f t="shared" si="299"/>
        <v>{5000,12,1,2202,113}</v>
      </c>
      <c r="AU511" t="str">
        <f t="shared" si="300"/>
        <v/>
      </c>
      <c r="AV511">
        <v>3225</v>
      </c>
      <c r="AW511" t="str">
        <f t="shared" si="335"/>
        <v>[{5000,12,1,2202,101},{5000,12,1,2201,103},{5000,12,1,2202,111},{5000,12,1,2201,112},{5000,12,1,2202,113}]</v>
      </c>
    </row>
    <row r="512" spans="2:48">
      <c r="B512">
        <v>3226</v>
      </c>
      <c r="C512" t="s">
        <v>47</v>
      </c>
      <c r="D512" t="str">
        <f t="shared" si="307"/>
        <v>23</v>
      </c>
      <c r="F512">
        <v>209</v>
      </c>
      <c r="H512">
        <f t="shared" si="313"/>
        <v>0</v>
      </c>
      <c r="K512" t="str">
        <f t="shared" si="329"/>
        <v/>
      </c>
      <c r="L512" t="str">
        <f t="shared" si="322"/>
        <v/>
      </c>
      <c r="N512">
        <f t="shared" si="321"/>
        <v>0</v>
      </c>
      <c r="P512" t="str">
        <f t="shared" si="330"/>
        <v/>
      </c>
      <c r="R512" t="str">
        <f t="shared" si="323"/>
        <v/>
      </c>
      <c r="T512">
        <f t="shared" si="292"/>
        <v>0</v>
      </c>
      <c r="V512" t="str">
        <f t="shared" si="331"/>
        <v/>
      </c>
      <c r="X512" t="str">
        <f t="shared" si="324"/>
        <v/>
      </c>
      <c r="Z512">
        <f t="shared" si="293"/>
        <v>0</v>
      </c>
      <c r="AB512" t="str">
        <f t="shared" si="332"/>
        <v/>
      </c>
      <c r="AD512" t="str">
        <f t="shared" si="325"/>
        <v/>
      </c>
      <c r="AF512">
        <f t="shared" si="294"/>
        <v>0</v>
      </c>
      <c r="AH512" t="str">
        <f t="shared" si="333"/>
        <v/>
      </c>
      <c r="AJ512" t="str">
        <f t="shared" si="326"/>
        <v/>
      </c>
      <c r="AP512" t="str">
        <f t="shared" si="295"/>
        <v/>
      </c>
      <c r="AQ512" t="str">
        <f t="shared" si="296"/>
        <v/>
      </c>
      <c r="AR512" t="str">
        <f t="shared" si="297"/>
        <v/>
      </c>
      <c r="AS512" t="str">
        <f t="shared" si="298"/>
        <v/>
      </c>
      <c r="AT512" t="str">
        <f t="shared" si="299"/>
        <v/>
      </c>
      <c r="AU512" t="str">
        <f t="shared" si="300"/>
        <v/>
      </c>
      <c r="AV512">
        <v>3226</v>
      </c>
    </row>
    <row r="513" spans="2:49">
      <c r="B513">
        <v>3227</v>
      </c>
      <c r="C513" t="s">
        <v>47</v>
      </c>
      <c r="D513" t="str">
        <f t="shared" si="307"/>
        <v>23</v>
      </c>
      <c r="F513">
        <v>211</v>
      </c>
      <c r="G513">
        <v>5000</v>
      </c>
      <c r="H513">
        <f t="shared" si="313"/>
        <v>11</v>
      </c>
      <c r="I513">
        <v>1</v>
      </c>
      <c r="J513">
        <v>2</v>
      </c>
      <c r="K513">
        <f t="shared" si="329"/>
        <v>2202</v>
      </c>
      <c r="L513">
        <f t="shared" si="322"/>
        <v>101</v>
      </c>
      <c r="M513">
        <v>5000</v>
      </c>
      <c r="N513">
        <f t="shared" si="321"/>
        <v>11</v>
      </c>
      <c r="O513">
        <v>1</v>
      </c>
      <c r="P513">
        <f t="shared" si="330"/>
        <v>2201</v>
      </c>
      <c r="Q513">
        <v>51</v>
      </c>
      <c r="R513">
        <f t="shared" si="323"/>
        <v>102</v>
      </c>
      <c r="S513">
        <v>5000</v>
      </c>
      <c r="T513">
        <f t="shared" si="292"/>
        <v>11</v>
      </c>
      <c r="U513">
        <v>1</v>
      </c>
      <c r="V513">
        <f t="shared" si="331"/>
        <v>2202</v>
      </c>
      <c r="W513">
        <v>57</v>
      </c>
      <c r="X513">
        <f t="shared" si="324"/>
        <v>103</v>
      </c>
      <c r="Y513">
        <v>5000</v>
      </c>
      <c r="Z513">
        <f t="shared" si="293"/>
        <v>11</v>
      </c>
      <c r="AA513">
        <v>1</v>
      </c>
      <c r="AB513">
        <f t="shared" si="332"/>
        <v>2201</v>
      </c>
      <c r="AC513">
        <v>79</v>
      </c>
      <c r="AD513">
        <f t="shared" si="325"/>
        <v>113</v>
      </c>
      <c r="AE513">
        <v>5000</v>
      </c>
      <c r="AF513">
        <f t="shared" si="294"/>
        <v>11</v>
      </c>
      <c r="AG513">
        <v>1</v>
      </c>
      <c r="AH513">
        <f t="shared" si="333"/>
        <v>2202</v>
      </c>
      <c r="AI513">
        <v>72</v>
      </c>
      <c r="AJ513">
        <f t="shared" si="326"/>
        <v>111</v>
      </c>
      <c r="AK513">
        <v>1000</v>
      </c>
      <c r="AL513">
        <v>1</v>
      </c>
      <c r="AM513">
        <v>0</v>
      </c>
      <c r="AN513">
        <f t="shared" ref="AN513" si="336">AN490+100</f>
        <v>2231</v>
      </c>
      <c r="AO513">
        <v>4</v>
      </c>
      <c r="AP513" t="str">
        <f t="shared" si="295"/>
        <v>{5000,11,1,2202,101}</v>
      </c>
      <c r="AQ513" t="str">
        <f t="shared" si="296"/>
        <v>{5000,11,1,2201,102}</v>
      </c>
      <c r="AR513" t="str">
        <f t="shared" si="297"/>
        <v>{5000,11,1,2202,103}</v>
      </c>
      <c r="AS513" t="str">
        <f t="shared" si="298"/>
        <v>{5000,11,1,2201,113}</v>
      </c>
      <c r="AT513" t="str">
        <f t="shared" si="299"/>
        <v>{5000,11,1,2202,111}</v>
      </c>
      <c r="AU513" t="str">
        <f t="shared" si="300"/>
        <v>{1000,1,0,2231,4}</v>
      </c>
      <c r="AV513">
        <v>3227</v>
      </c>
      <c r="AW513" t="str">
        <f t="shared" ref="AW513:AW527" si="337">IF(AU513="","["&amp;_xlfn.TEXTJOIN(",",1,AP513:AT513)&amp;"]","["&amp;_xlfn.TEXTJOIN(",",1,AP513:AU513)&amp;"]")</f>
        <v>[{5000,11,1,2202,101},{5000,11,1,2201,102},{5000,11,1,2202,103},{5000,11,1,2201,113},{5000,11,1,2202,111},{1000,1,0,2231,4}]</v>
      </c>
    </row>
    <row r="514" spans="2:49">
      <c r="B514">
        <v>3228</v>
      </c>
      <c r="C514" t="s">
        <v>47</v>
      </c>
      <c r="D514" t="str">
        <f t="shared" si="307"/>
        <v>23</v>
      </c>
      <c r="F514">
        <v>226</v>
      </c>
      <c r="G514">
        <v>5000</v>
      </c>
      <c r="H514">
        <f t="shared" si="313"/>
        <v>11</v>
      </c>
      <c r="I514">
        <v>1</v>
      </c>
      <c r="J514">
        <v>2</v>
      </c>
      <c r="K514">
        <f t="shared" si="329"/>
        <v>2202</v>
      </c>
      <c r="L514">
        <f t="shared" si="322"/>
        <v>101</v>
      </c>
      <c r="M514">
        <v>5000</v>
      </c>
      <c r="N514">
        <f t="shared" si="321"/>
        <v>11</v>
      </c>
      <c r="O514">
        <v>1</v>
      </c>
      <c r="P514">
        <f t="shared" si="330"/>
        <v>2201</v>
      </c>
      <c r="Q514">
        <v>51</v>
      </c>
      <c r="R514">
        <f t="shared" si="323"/>
        <v>103</v>
      </c>
      <c r="S514">
        <v>5000</v>
      </c>
      <c r="T514">
        <f t="shared" si="292"/>
        <v>11</v>
      </c>
      <c r="U514">
        <v>1</v>
      </c>
      <c r="V514">
        <f t="shared" si="331"/>
        <v>2202</v>
      </c>
      <c r="W514">
        <v>75</v>
      </c>
      <c r="X514">
        <f t="shared" si="324"/>
        <v>111</v>
      </c>
      <c r="Y514">
        <v>5000</v>
      </c>
      <c r="Z514">
        <f t="shared" si="293"/>
        <v>11</v>
      </c>
      <c r="AA514">
        <v>1</v>
      </c>
      <c r="AB514">
        <f t="shared" si="332"/>
        <v>2201</v>
      </c>
      <c r="AC514">
        <v>71</v>
      </c>
      <c r="AD514">
        <f t="shared" si="325"/>
        <v>112</v>
      </c>
      <c r="AE514">
        <v>5000</v>
      </c>
      <c r="AF514">
        <f t="shared" si="294"/>
        <v>11</v>
      </c>
      <c r="AG514">
        <v>1</v>
      </c>
      <c r="AH514">
        <f t="shared" si="333"/>
        <v>2202</v>
      </c>
      <c r="AI514">
        <v>77</v>
      </c>
      <c r="AJ514">
        <f t="shared" si="326"/>
        <v>113</v>
      </c>
      <c r="AP514" t="str">
        <f t="shared" si="295"/>
        <v>{5000,11,1,2202,101}</v>
      </c>
      <c r="AQ514" t="str">
        <f t="shared" si="296"/>
        <v>{5000,11,1,2201,103}</v>
      </c>
      <c r="AR514" t="str">
        <f t="shared" si="297"/>
        <v>{5000,11,1,2202,111}</v>
      </c>
      <c r="AS514" t="str">
        <f t="shared" si="298"/>
        <v>{5000,11,1,2201,112}</v>
      </c>
      <c r="AT514" t="str">
        <f t="shared" si="299"/>
        <v>{5000,11,1,2202,113}</v>
      </c>
      <c r="AU514" t="str">
        <f t="shared" si="300"/>
        <v/>
      </c>
      <c r="AV514">
        <v>3228</v>
      </c>
      <c r="AW514" t="str">
        <f t="shared" si="337"/>
        <v>[{5000,11,1,2202,101},{5000,11,1,2201,103},{5000,11,1,2202,111},{5000,11,1,2201,112},{5000,11,1,2202,113}]</v>
      </c>
    </row>
    <row r="515" spans="2:49">
      <c r="B515">
        <v>3229</v>
      </c>
      <c r="C515" t="s">
        <v>47</v>
      </c>
      <c r="D515" t="str">
        <f t="shared" si="307"/>
        <v>23</v>
      </c>
      <c r="F515">
        <v>241</v>
      </c>
      <c r="G515">
        <v>5000</v>
      </c>
      <c r="H515">
        <f t="shared" si="313"/>
        <v>13</v>
      </c>
      <c r="I515">
        <v>1</v>
      </c>
      <c r="J515">
        <v>3</v>
      </c>
      <c r="K515">
        <f t="shared" si="329"/>
        <v>2203</v>
      </c>
      <c r="L515">
        <f t="shared" si="322"/>
        <v>101</v>
      </c>
      <c r="M515">
        <v>5000</v>
      </c>
      <c r="N515">
        <f t="shared" si="321"/>
        <v>13</v>
      </c>
      <c r="O515">
        <v>1</v>
      </c>
      <c r="P515">
        <f t="shared" si="330"/>
        <v>2203</v>
      </c>
      <c r="Q515">
        <v>53</v>
      </c>
      <c r="R515">
        <f t="shared" si="323"/>
        <v>102</v>
      </c>
      <c r="S515">
        <v>5000</v>
      </c>
      <c r="T515">
        <f t="shared" ref="T515:T578" si="338">N515</f>
        <v>13</v>
      </c>
      <c r="U515">
        <v>1</v>
      </c>
      <c r="V515">
        <f t="shared" si="331"/>
        <v>2203</v>
      </c>
      <c r="W515">
        <v>56</v>
      </c>
      <c r="X515">
        <f t="shared" si="324"/>
        <v>103</v>
      </c>
      <c r="Y515">
        <v>5000</v>
      </c>
      <c r="Z515">
        <f t="shared" ref="Z515:Z578" si="339">T515</f>
        <v>13</v>
      </c>
      <c r="AA515">
        <v>1</v>
      </c>
      <c r="AB515">
        <f t="shared" si="332"/>
        <v>2203</v>
      </c>
      <c r="AC515">
        <v>74</v>
      </c>
      <c r="AD515">
        <f t="shared" si="325"/>
        <v>113</v>
      </c>
      <c r="AE515">
        <v>5000</v>
      </c>
      <c r="AF515">
        <f t="shared" ref="AF515:AF578" si="340">Z515</f>
        <v>13</v>
      </c>
      <c r="AG515">
        <v>1</v>
      </c>
      <c r="AH515">
        <f t="shared" si="333"/>
        <v>2203</v>
      </c>
      <c r="AI515">
        <v>78</v>
      </c>
      <c r="AJ515">
        <f t="shared" si="326"/>
        <v>111</v>
      </c>
      <c r="AP515" t="str">
        <f t="shared" ref="AP515:AP578" si="341">IF(G515="","",$AQ$1&amp;_xlfn.TEXTJOIN(",",1,G515:I515,K515,L515)&amp;$AR$1)</f>
        <v>{5000,13,1,2203,101}</v>
      </c>
      <c r="AQ515" t="str">
        <f t="shared" ref="AQ515:AQ578" si="342">IF(G515="","",$AQ$1&amp;_xlfn.TEXTJOIN(",",1,M515:P515,R515)&amp;$AR$1)</f>
        <v>{5000,13,1,2203,102}</v>
      </c>
      <c r="AR515" t="str">
        <f t="shared" ref="AR515:AR578" si="343">IF(G515="","",$AQ$1&amp;_xlfn.TEXTJOIN(",",1,S515:V515,X515)&amp;$AR$1)</f>
        <v>{5000,13,1,2203,103}</v>
      </c>
      <c r="AS515" t="str">
        <f t="shared" ref="AS515:AS578" si="344">IF(G515="","",$AQ$1&amp;_xlfn.TEXTJOIN(",",1,Y515:AB515,AD515)&amp;$AR$1)</f>
        <v>{5000,13,1,2203,113}</v>
      </c>
      <c r="AT515" t="str">
        <f t="shared" ref="AT515:AT578" si="345">IF(G515="","",$AQ$1&amp;_xlfn.TEXTJOIN(",",1,AE515:AH515,AJ515)&amp;$AR$1)</f>
        <v>{5000,13,1,2203,111}</v>
      </c>
      <c r="AU515" t="str">
        <f t="shared" ref="AU515:AU578" si="346">IF(AK515="","",IF(G515="","",$AQ$1&amp;_xlfn.TEXTJOIN(",",1,AK515:AO515)&amp;$AR$1))</f>
        <v/>
      </c>
      <c r="AV515">
        <v>3229</v>
      </c>
      <c r="AW515" t="str">
        <f t="shared" si="337"/>
        <v>[{5000,13,1,2203,101},{5000,13,1,2203,102},{5000,13,1,2203,103},{5000,13,1,2203,113},{5000,13,1,2203,111}]</v>
      </c>
    </row>
    <row r="516" spans="2:49">
      <c r="B516">
        <v>3230</v>
      </c>
      <c r="C516" t="s">
        <v>47</v>
      </c>
      <c r="D516" t="str">
        <f t="shared" si="307"/>
        <v>23</v>
      </c>
      <c r="F516">
        <v>256</v>
      </c>
      <c r="G516">
        <v>5000</v>
      </c>
      <c r="H516">
        <f t="shared" si="313"/>
        <v>12</v>
      </c>
      <c r="I516">
        <v>1</v>
      </c>
      <c r="J516">
        <v>2</v>
      </c>
      <c r="K516">
        <f t="shared" si="329"/>
        <v>2202</v>
      </c>
      <c r="L516">
        <f t="shared" si="322"/>
        <v>101</v>
      </c>
      <c r="M516">
        <v>5000</v>
      </c>
      <c r="N516">
        <f t="shared" si="321"/>
        <v>12</v>
      </c>
      <c r="O516">
        <v>1</v>
      </c>
      <c r="P516">
        <f t="shared" si="330"/>
        <v>2202</v>
      </c>
      <c r="Q516">
        <v>59</v>
      </c>
      <c r="R516">
        <f t="shared" si="323"/>
        <v>103</v>
      </c>
      <c r="S516">
        <v>5000</v>
      </c>
      <c r="T516">
        <f t="shared" si="338"/>
        <v>12</v>
      </c>
      <c r="U516">
        <v>1</v>
      </c>
      <c r="V516">
        <f t="shared" si="331"/>
        <v>2202</v>
      </c>
      <c r="W516">
        <v>79</v>
      </c>
      <c r="X516">
        <f t="shared" si="324"/>
        <v>111</v>
      </c>
      <c r="Y516">
        <v>5000</v>
      </c>
      <c r="Z516">
        <f t="shared" si="339"/>
        <v>12</v>
      </c>
      <c r="AA516">
        <v>1</v>
      </c>
      <c r="AB516">
        <f t="shared" si="332"/>
        <v>2201</v>
      </c>
      <c r="AC516">
        <v>72</v>
      </c>
      <c r="AD516">
        <f t="shared" si="325"/>
        <v>112</v>
      </c>
      <c r="AE516">
        <v>5000</v>
      </c>
      <c r="AF516">
        <f t="shared" si="340"/>
        <v>12</v>
      </c>
      <c r="AG516">
        <v>1</v>
      </c>
      <c r="AH516">
        <f t="shared" si="333"/>
        <v>2202</v>
      </c>
      <c r="AI516">
        <v>74</v>
      </c>
      <c r="AJ516">
        <f t="shared" si="326"/>
        <v>113</v>
      </c>
      <c r="AP516" t="str">
        <f t="shared" si="341"/>
        <v>{5000,12,1,2202,101}</v>
      </c>
      <c r="AQ516" t="str">
        <f t="shared" si="342"/>
        <v>{5000,12,1,2202,103}</v>
      </c>
      <c r="AR516" t="str">
        <f t="shared" si="343"/>
        <v>{5000,12,1,2202,111}</v>
      </c>
      <c r="AS516" t="str">
        <f t="shared" si="344"/>
        <v>{5000,12,1,2201,112}</v>
      </c>
      <c r="AT516" t="str">
        <f t="shared" si="345"/>
        <v>{5000,12,1,2202,113}</v>
      </c>
      <c r="AU516" t="str">
        <f t="shared" si="346"/>
        <v/>
      </c>
      <c r="AV516">
        <v>3230</v>
      </c>
      <c r="AW516" t="str">
        <f t="shared" si="337"/>
        <v>[{5000,12,1,2202,101},{5000,12,1,2202,103},{5000,12,1,2202,111},{5000,12,1,2201,112},{5000,12,1,2202,113}]</v>
      </c>
    </row>
    <row r="517" spans="2:49">
      <c r="B517">
        <v>3231</v>
      </c>
      <c r="C517" t="s">
        <v>47</v>
      </c>
      <c r="D517" t="str">
        <f t="shared" si="307"/>
        <v>23</v>
      </c>
      <c r="F517">
        <v>271</v>
      </c>
      <c r="G517">
        <v>5000</v>
      </c>
      <c r="H517">
        <f t="shared" si="313"/>
        <v>13</v>
      </c>
      <c r="I517">
        <v>1</v>
      </c>
      <c r="J517">
        <v>2</v>
      </c>
      <c r="K517">
        <f t="shared" si="329"/>
        <v>2202</v>
      </c>
      <c r="L517">
        <f t="shared" si="322"/>
        <v>101</v>
      </c>
      <c r="M517">
        <v>5000</v>
      </c>
      <c r="N517">
        <f t="shared" si="321"/>
        <v>13</v>
      </c>
      <c r="O517">
        <v>1</v>
      </c>
      <c r="P517">
        <f t="shared" si="330"/>
        <v>2202</v>
      </c>
      <c r="Q517">
        <v>54</v>
      </c>
      <c r="R517">
        <f t="shared" si="323"/>
        <v>102</v>
      </c>
      <c r="S517">
        <v>5000</v>
      </c>
      <c r="T517">
        <f t="shared" si="338"/>
        <v>13</v>
      </c>
      <c r="U517">
        <v>1</v>
      </c>
      <c r="V517">
        <f t="shared" si="331"/>
        <v>2202</v>
      </c>
      <c r="W517">
        <v>56</v>
      </c>
      <c r="X517">
        <f t="shared" si="324"/>
        <v>103</v>
      </c>
      <c r="Y517">
        <v>5000</v>
      </c>
      <c r="Z517">
        <f t="shared" si="339"/>
        <v>13</v>
      </c>
      <c r="AA517">
        <v>1</v>
      </c>
      <c r="AB517">
        <f t="shared" si="332"/>
        <v>2202</v>
      </c>
      <c r="AC517">
        <v>73</v>
      </c>
      <c r="AD517">
        <f t="shared" si="325"/>
        <v>113</v>
      </c>
      <c r="AE517">
        <v>5000</v>
      </c>
      <c r="AF517">
        <f t="shared" si="340"/>
        <v>13</v>
      </c>
      <c r="AG517">
        <v>1</v>
      </c>
      <c r="AH517">
        <f t="shared" si="333"/>
        <v>2202</v>
      </c>
      <c r="AI517">
        <v>75</v>
      </c>
      <c r="AJ517">
        <f t="shared" si="326"/>
        <v>111</v>
      </c>
      <c r="AP517" t="str">
        <f t="shared" si="341"/>
        <v>{5000,13,1,2202,101}</v>
      </c>
      <c r="AQ517" t="str">
        <f t="shared" si="342"/>
        <v>{5000,13,1,2202,102}</v>
      </c>
      <c r="AR517" t="str">
        <f t="shared" si="343"/>
        <v>{5000,13,1,2202,103}</v>
      </c>
      <c r="AS517" t="str">
        <f t="shared" si="344"/>
        <v>{5000,13,1,2202,113}</v>
      </c>
      <c r="AT517" t="str">
        <f t="shared" si="345"/>
        <v>{5000,13,1,2202,111}</v>
      </c>
      <c r="AU517" t="str">
        <f t="shared" si="346"/>
        <v/>
      </c>
      <c r="AV517">
        <v>3231</v>
      </c>
      <c r="AW517" t="str">
        <f t="shared" si="337"/>
        <v>[{5000,13,1,2202,101},{5000,13,1,2202,102},{5000,13,1,2202,103},{5000,13,1,2202,113},{5000,13,1,2202,111}]</v>
      </c>
    </row>
    <row r="518" spans="2:49">
      <c r="B518">
        <v>3232</v>
      </c>
      <c r="C518" t="s">
        <v>47</v>
      </c>
      <c r="D518" t="str">
        <f t="shared" si="307"/>
        <v>23</v>
      </c>
      <c r="F518">
        <v>286</v>
      </c>
      <c r="G518">
        <v>5000</v>
      </c>
      <c r="H518">
        <f t="shared" si="313"/>
        <v>13</v>
      </c>
      <c r="I518">
        <v>1</v>
      </c>
      <c r="J518">
        <v>2</v>
      </c>
      <c r="K518">
        <f t="shared" si="329"/>
        <v>2202</v>
      </c>
      <c r="L518">
        <f t="shared" si="322"/>
        <v>101</v>
      </c>
      <c r="M518">
        <v>5000</v>
      </c>
      <c r="N518">
        <f t="shared" si="321"/>
        <v>13</v>
      </c>
      <c r="O518">
        <v>1</v>
      </c>
      <c r="P518">
        <f t="shared" si="330"/>
        <v>2202</v>
      </c>
      <c r="Q518">
        <v>53</v>
      </c>
      <c r="R518">
        <f t="shared" si="323"/>
        <v>103</v>
      </c>
      <c r="S518">
        <v>5000</v>
      </c>
      <c r="T518">
        <f t="shared" si="338"/>
        <v>13</v>
      </c>
      <c r="U518">
        <v>1</v>
      </c>
      <c r="V518">
        <f t="shared" si="331"/>
        <v>2202</v>
      </c>
      <c r="W518">
        <v>59</v>
      </c>
      <c r="X518">
        <f t="shared" si="324"/>
        <v>111</v>
      </c>
      <c r="Y518">
        <v>5000</v>
      </c>
      <c r="Z518">
        <f t="shared" si="339"/>
        <v>13</v>
      </c>
      <c r="AA518">
        <v>1</v>
      </c>
      <c r="AB518">
        <f t="shared" si="332"/>
        <v>2202</v>
      </c>
      <c r="AC518">
        <v>71</v>
      </c>
      <c r="AD518">
        <f t="shared" si="325"/>
        <v>112</v>
      </c>
      <c r="AE518">
        <v>5000</v>
      </c>
      <c r="AF518">
        <f t="shared" si="340"/>
        <v>13</v>
      </c>
      <c r="AG518">
        <v>1</v>
      </c>
      <c r="AH518">
        <f t="shared" si="333"/>
        <v>2202</v>
      </c>
      <c r="AI518">
        <v>77</v>
      </c>
      <c r="AJ518">
        <f t="shared" si="326"/>
        <v>113</v>
      </c>
      <c r="AP518" t="str">
        <f t="shared" si="341"/>
        <v>{5000,13,1,2202,101}</v>
      </c>
      <c r="AQ518" t="str">
        <f t="shared" si="342"/>
        <v>{5000,13,1,2202,103}</v>
      </c>
      <c r="AR518" t="str">
        <f t="shared" si="343"/>
        <v>{5000,13,1,2202,111}</v>
      </c>
      <c r="AS518" t="str">
        <f t="shared" si="344"/>
        <v>{5000,13,1,2202,112}</v>
      </c>
      <c r="AT518" t="str">
        <f t="shared" si="345"/>
        <v>{5000,13,1,2202,113}</v>
      </c>
      <c r="AU518" t="str">
        <f t="shared" si="346"/>
        <v/>
      </c>
      <c r="AV518">
        <v>3232</v>
      </c>
      <c r="AW518" t="str">
        <f t="shared" si="337"/>
        <v>[{5000,13,1,2202,101},{5000,13,1,2202,103},{5000,13,1,2202,111},{5000,13,1,2202,112},{5000,13,1,2202,113}]</v>
      </c>
    </row>
    <row r="519" spans="2:49">
      <c r="B519">
        <v>3233</v>
      </c>
      <c r="C519" t="s">
        <v>47</v>
      </c>
      <c r="D519" t="str">
        <f t="shared" si="307"/>
        <v>23</v>
      </c>
      <c r="F519">
        <v>290</v>
      </c>
      <c r="G519">
        <v>5000</v>
      </c>
      <c r="H519">
        <f t="shared" si="313"/>
        <v>13</v>
      </c>
      <c r="I519">
        <v>1</v>
      </c>
      <c r="J519">
        <v>2</v>
      </c>
      <c r="K519">
        <f t="shared" si="329"/>
        <v>2202</v>
      </c>
      <c r="L519">
        <f t="shared" si="322"/>
        <v>101</v>
      </c>
      <c r="M519">
        <v>5000</v>
      </c>
      <c r="N519">
        <f t="shared" si="321"/>
        <v>13</v>
      </c>
      <c r="O519">
        <v>1</v>
      </c>
      <c r="P519">
        <f t="shared" si="330"/>
        <v>2202</v>
      </c>
      <c r="Q519">
        <v>56</v>
      </c>
      <c r="R519">
        <f t="shared" si="323"/>
        <v>102</v>
      </c>
      <c r="S519">
        <v>5000</v>
      </c>
      <c r="T519">
        <f t="shared" si="338"/>
        <v>13</v>
      </c>
      <c r="U519">
        <v>1</v>
      </c>
      <c r="V519">
        <f t="shared" si="331"/>
        <v>2201</v>
      </c>
      <c r="W519">
        <v>77</v>
      </c>
      <c r="X519">
        <f t="shared" si="324"/>
        <v>103</v>
      </c>
      <c r="Y519">
        <v>5000</v>
      </c>
      <c r="Z519">
        <f t="shared" si="339"/>
        <v>13</v>
      </c>
      <c r="AA519">
        <v>1</v>
      </c>
      <c r="AB519">
        <f t="shared" si="332"/>
        <v>2202</v>
      </c>
      <c r="AC519">
        <v>72</v>
      </c>
      <c r="AD519">
        <f t="shared" si="325"/>
        <v>113</v>
      </c>
      <c r="AE519">
        <v>5000</v>
      </c>
      <c r="AF519">
        <f t="shared" si="340"/>
        <v>13</v>
      </c>
      <c r="AG519">
        <v>1</v>
      </c>
      <c r="AH519">
        <f t="shared" si="333"/>
        <v>2202</v>
      </c>
      <c r="AI519">
        <v>74</v>
      </c>
      <c r="AJ519">
        <f t="shared" si="326"/>
        <v>111</v>
      </c>
      <c r="AP519" t="str">
        <f t="shared" si="341"/>
        <v>{5000,13,1,2202,101}</v>
      </c>
      <c r="AQ519" t="str">
        <f t="shared" si="342"/>
        <v>{5000,13,1,2202,102}</v>
      </c>
      <c r="AR519" t="str">
        <f t="shared" si="343"/>
        <v>{5000,13,1,2201,103}</v>
      </c>
      <c r="AS519" t="str">
        <f t="shared" si="344"/>
        <v>{5000,13,1,2202,113}</v>
      </c>
      <c r="AT519" t="str">
        <f t="shared" si="345"/>
        <v>{5000,13,1,2202,111}</v>
      </c>
      <c r="AU519" t="str">
        <f t="shared" si="346"/>
        <v/>
      </c>
      <c r="AV519">
        <v>3233</v>
      </c>
      <c r="AW519" t="str">
        <f t="shared" si="337"/>
        <v>[{5000,13,1,2202,101},{5000,13,1,2202,102},{5000,13,1,2201,103},{5000,13,1,2202,113},{5000,13,1,2202,111}]</v>
      </c>
    </row>
    <row r="520" spans="2:49">
      <c r="B520">
        <v>3311</v>
      </c>
      <c r="C520" t="s">
        <v>48</v>
      </c>
      <c r="D520" s="4" t="str">
        <f t="shared" ref="D520:D583" si="347">RIGHT(C520,2)</f>
        <v>24</v>
      </c>
      <c r="E520" s="4"/>
      <c r="F520">
        <v>1</v>
      </c>
      <c r="G520">
        <v>5000</v>
      </c>
      <c r="H520">
        <f t="shared" si="313"/>
        <v>3</v>
      </c>
      <c r="I520">
        <v>1</v>
      </c>
      <c r="J520">
        <v>1</v>
      </c>
      <c r="K520">
        <f t="shared" si="329"/>
        <v>2301</v>
      </c>
      <c r="L520">
        <f t="shared" si="322"/>
        <v>101</v>
      </c>
      <c r="M520">
        <v>5000</v>
      </c>
      <c r="N520">
        <f t="shared" si="321"/>
        <v>3</v>
      </c>
      <c r="O520">
        <v>1</v>
      </c>
      <c r="P520">
        <f t="shared" si="330"/>
        <v>2301</v>
      </c>
      <c r="Q520">
        <v>55</v>
      </c>
      <c r="R520">
        <f t="shared" si="323"/>
        <v>102</v>
      </c>
      <c r="S520">
        <v>5000</v>
      </c>
      <c r="T520">
        <f t="shared" si="338"/>
        <v>3</v>
      </c>
      <c r="U520">
        <v>1</v>
      </c>
      <c r="V520">
        <f t="shared" si="331"/>
        <v>2301</v>
      </c>
      <c r="W520">
        <v>60</v>
      </c>
      <c r="X520">
        <f t="shared" si="324"/>
        <v>103</v>
      </c>
      <c r="Y520">
        <v>5000</v>
      </c>
      <c r="Z520">
        <f t="shared" si="339"/>
        <v>3</v>
      </c>
      <c r="AA520">
        <v>1</v>
      </c>
      <c r="AB520">
        <f t="shared" si="332"/>
        <v>2301</v>
      </c>
      <c r="AC520">
        <v>71</v>
      </c>
      <c r="AD520">
        <f t="shared" si="325"/>
        <v>113</v>
      </c>
      <c r="AE520">
        <v>5000</v>
      </c>
      <c r="AF520">
        <f t="shared" si="340"/>
        <v>3</v>
      </c>
      <c r="AG520">
        <v>1</v>
      </c>
      <c r="AH520">
        <f t="shared" si="333"/>
        <v>2301</v>
      </c>
      <c r="AI520">
        <v>76</v>
      </c>
      <c r="AJ520">
        <f t="shared" si="326"/>
        <v>111</v>
      </c>
      <c r="AP520" t="str">
        <f t="shared" si="341"/>
        <v>{5000,3,1,2301,101}</v>
      </c>
      <c r="AQ520" t="str">
        <f t="shared" si="342"/>
        <v>{5000,3,1,2301,102}</v>
      </c>
      <c r="AR520" t="str">
        <f t="shared" si="343"/>
        <v>{5000,3,1,2301,103}</v>
      </c>
      <c r="AS520" t="str">
        <f t="shared" si="344"/>
        <v>{5000,3,1,2301,113}</v>
      </c>
      <c r="AT520" t="str">
        <f t="shared" si="345"/>
        <v>{5000,3,1,2301,111}</v>
      </c>
      <c r="AU520" t="str">
        <f t="shared" si="346"/>
        <v/>
      </c>
      <c r="AV520">
        <v>3311</v>
      </c>
      <c r="AW520" t="str">
        <f t="shared" si="337"/>
        <v>[{5000,3,1,2301,101},{5000,3,1,2301,102},{5000,3,1,2301,103},{5000,3,1,2301,113},{5000,3,1,2301,111}]</v>
      </c>
    </row>
    <row r="521" spans="2:49">
      <c r="B521">
        <v>3312</v>
      </c>
      <c r="C521" t="s">
        <v>48</v>
      </c>
      <c r="D521" t="str">
        <f t="shared" si="347"/>
        <v>24</v>
      </c>
      <c r="F521">
        <v>16</v>
      </c>
      <c r="G521">
        <v>5000</v>
      </c>
      <c r="H521">
        <f t="shared" si="313"/>
        <v>3</v>
      </c>
      <c r="I521">
        <v>1</v>
      </c>
      <c r="J521">
        <v>1</v>
      </c>
      <c r="K521">
        <f t="shared" ref="K521:K543" si="348">IF($J521="","",K498+100)</f>
        <v>2301</v>
      </c>
      <c r="L521">
        <f t="shared" si="322"/>
        <v>101</v>
      </c>
      <c r="M521">
        <v>5000</v>
      </c>
      <c r="N521">
        <f t="shared" si="321"/>
        <v>3</v>
      </c>
      <c r="O521">
        <v>1</v>
      </c>
      <c r="P521">
        <f t="shared" ref="P521:P543" si="349">IF($J521="","",P498+100)</f>
        <v>2301</v>
      </c>
      <c r="Q521">
        <v>55</v>
      </c>
      <c r="R521">
        <f t="shared" si="323"/>
        <v>103</v>
      </c>
      <c r="S521">
        <v>5000</v>
      </c>
      <c r="T521">
        <f t="shared" si="338"/>
        <v>3</v>
      </c>
      <c r="U521">
        <v>1</v>
      </c>
      <c r="V521">
        <f t="shared" ref="V521:V543" si="350">IF($J521="","",V498+100)</f>
        <v>2301</v>
      </c>
      <c r="W521">
        <v>75</v>
      </c>
      <c r="X521">
        <f t="shared" si="324"/>
        <v>111</v>
      </c>
      <c r="Y521">
        <v>5000</v>
      </c>
      <c r="Z521">
        <f t="shared" si="339"/>
        <v>3</v>
      </c>
      <c r="AA521">
        <v>1</v>
      </c>
      <c r="AB521">
        <f t="shared" ref="AB521:AB543" si="351">IF($J521="","",AB498+100)</f>
        <v>2301</v>
      </c>
      <c r="AC521">
        <v>73</v>
      </c>
      <c r="AD521">
        <f t="shared" si="325"/>
        <v>112</v>
      </c>
      <c r="AE521">
        <v>5000</v>
      </c>
      <c r="AF521">
        <f t="shared" si="340"/>
        <v>3</v>
      </c>
      <c r="AG521">
        <v>1</v>
      </c>
      <c r="AH521">
        <f t="shared" ref="AH521:AH543" si="352">IF($J521="","",AH498+100)</f>
        <v>2301</v>
      </c>
      <c r="AI521">
        <v>78</v>
      </c>
      <c r="AJ521">
        <f t="shared" si="326"/>
        <v>113</v>
      </c>
      <c r="AP521" t="str">
        <f t="shared" si="341"/>
        <v>{5000,3,1,2301,101}</v>
      </c>
      <c r="AQ521" t="str">
        <f t="shared" si="342"/>
        <v>{5000,3,1,2301,103}</v>
      </c>
      <c r="AR521" t="str">
        <f t="shared" si="343"/>
        <v>{5000,3,1,2301,111}</v>
      </c>
      <c r="AS521" t="str">
        <f t="shared" si="344"/>
        <v>{5000,3,1,2301,112}</v>
      </c>
      <c r="AT521" t="str">
        <f t="shared" si="345"/>
        <v>{5000,3,1,2301,113}</v>
      </c>
      <c r="AU521" t="str">
        <f t="shared" si="346"/>
        <v/>
      </c>
      <c r="AV521">
        <v>3312</v>
      </c>
      <c r="AW521" t="str">
        <f t="shared" si="337"/>
        <v>[{5000,3,1,2301,101},{5000,3,1,2301,103},{5000,3,1,2301,111},{5000,3,1,2301,112},{5000,3,1,2301,113}]</v>
      </c>
    </row>
    <row r="522" spans="2:49">
      <c r="B522">
        <v>3313</v>
      </c>
      <c r="C522" t="s">
        <v>48</v>
      </c>
      <c r="D522" t="str">
        <f t="shared" si="347"/>
        <v>24</v>
      </c>
      <c r="F522">
        <v>31</v>
      </c>
      <c r="G522">
        <v>5000</v>
      </c>
      <c r="H522">
        <f t="shared" si="313"/>
        <v>6</v>
      </c>
      <c r="I522">
        <v>1</v>
      </c>
      <c r="J522">
        <v>1</v>
      </c>
      <c r="K522">
        <f t="shared" si="348"/>
        <v>2301</v>
      </c>
      <c r="L522">
        <f t="shared" si="322"/>
        <v>101</v>
      </c>
      <c r="M522">
        <v>5000</v>
      </c>
      <c r="N522">
        <f t="shared" si="321"/>
        <v>6</v>
      </c>
      <c r="O522">
        <v>1</v>
      </c>
      <c r="P522">
        <f t="shared" si="349"/>
        <v>2301</v>
      </c>
      <c r="Q522">
        <v>55</v>
      </c>
      <c r="R522">
        <f t="shared" si="323"/>
        <v>102</v>
      </c>
      <c r="S522">
        <v>5000</v>
      </c>
      <c r="T522">
        <f t="shared" si="338"/>
        <v>6</v>
      </c>
      <c r="U522">
        <v>1</v>
      </c>
      <c r="V522">
        <f t="shared" si="350"/>
        <v>2301</v>
      </c>
      <c r="W522">
        <v>58</v>
      </c>
      <c r="X522">
        <f t="shared" si="324"/>
        <v>103</v>
      </c>
      <c r="Y522">
        <v>5000</v>
      </c>
      <c r="Z522">
        <f t="shared" si="339"/>
        <v>6</v>
      </c>
      <c r="AA522">
        <v>1</v>
      </c>
      <c r="AB522">
        <f t="shared" si="351"/>
        <v>2301</v>
      </c>
      <c r="AC522">
        <v>76</v>
      </c>
      <c r="AD522">
        <f t="shared" si="325"/>
        <v>113</v>
      </c>
      <c r="AE522">
        <v>5000</v>
      </c>
      <c r="AF522">
        <f t="shared" si="340"/>
        <v>6</v>
      </c>
      <c r="AG522">
        <v>1</v>
      </c>
      <c r="AH522">
        <f t="shared" si="352"/>
        <v>2301</v>
      </c>
      <c r="AI522">
        <v>79</v>
      </c>
      <c r="AJ522">
        <f t="shared" si="326"/>
        <v>111</v>
      </c>
      <c r="AP522" t="str">
        <f t="shared" si="341"/>
        <v>{5000,6,1,2301,101}</v>
      </c>
      <c r="AQ522" t="str">
        <f t="shared" si="342"/>
        <v>{5000,6,1,2301,102}</v>
      </c>
      <c r="AR522" t="str">
        <f t="shared" si="343"/>
        <v>{5000,6,1,2301,103}</v>
      </c>
      <c r="AS522" t="str">
        <f t="shared" si="344"/>
        <v>{5000,6,1,2301,113}</v>
      </c>
      <c r="AT522" t="str">
        <f t="shared" si="345"/>
        <v>{5000,6,1,2301,111}</v>
      </c>
      <c r="AU522" t="str">
        <f t="shared" si="346"/>
        <v/>
      </c>
      <c r="AV522">
        <v>3313</v>
      </c>
      <c r="AW522" t="str">
        <f t="shared" si="337"/>
        <v>[{5000,6,1,2301,101},{5000,6,1,2301,102},{5000,6,1,2301,103},{5000,6,1,2301,113},{5000,6,1,2301,111}]</v>
      </c>
    </row>
    <row r="523" spans="2:49">
      <c r="B523">
        <v>3314</v>
      </c>
      <c r="C523" t="s">
        <v>48</v>
      </c>
      <c r="D523" t="str">
        <f t="shared" si="347"/>
        <v>24</v>
      </c>
      <c r="F523">
        <v>46</v>
      </c>
      <c r="G523">
        <v>5000</v>
      </c>
      <c r="H523">
        <f t="shared" si="313"/>
        <v>6</v>
      </c>
      <c r="I523">
        <v>1</v>
      </c>
      <c r="J523">
        <v>1</v>
      </c>
      <c r="K523">
        <f t="shared" si="348"/>
        <v>2301</v>
      </c>
      <c r="L523">
        <f t="shared" si="322"/>
        <v>101</v>
      </c>
      <c r="M523">
        <v>5000</v>
      </c>
      <c r="N523">
        <f t="shared" si="321"/>
        <v>6</v>
      </c>
      <c r="O523">
        <v>1</v>
      </c>
      <c r="P523">
        <f t="shared" si="349"/>
        <v>2301</v>
      </c>
      <c r="Q523">
        <v>55</v>
      </c>
      <c r="R523">
        <f t="shared" si="323"/>
        <v>103</v>
      </c>
      <c r="S523">
        <v>5000</v>
      </c>
      <c r="T523">
        <f t="shared" si="338"/>
        <v>6</v>
      </c>
      <c r="U523">
        <v>1</v>
      </c>
      <c r="V523">
        <f t="shared" si="350"/>
        <v>2302</v>
      </c>
      <c r="W523">
        <v>76</v>
      </c>
      <c r="X523">
        <f t="shared" si="324"/>
        <v>111</v>
      </c>
      <c r="Y523">
        <v>5000</v>
      </c>
      <c r="Z523">
        <f t="shared" si="339"/>
        <v>6</v>
      </c>
      <c r="AA523">
        <v>1</v>
      </c>
      <c r="AB523">
        <f t="shared" si="351"/>
        <v>2301</v>
      </c>
      <c r="AC523">
        <v>71</v>
      </c>
      <c r="AD523">
        <f t="shared" si="325"/>
        <v>112</v>
      </c>
      <c r="AE523">
        <v>5000</v>
      </c>
      <c r="AF523">
        <f t="shared" si="340"/>
        <v>6</v>
      </c>
      <c r="AG523">
        <v>1</v>
      </c>
      <c r="AH523">
        <f t="shared" si="352"/>
        <v>2301</v>
      </c>
      <c r="AI523">
        <v>71</v>
      </c>
      <c r="AJ523">
        <f t="shared" si="326"/>
        <v>113</v>
      </c>
      <c r="AP523" t="str">
        <f t="shared" si="341"/>
        <v>{5000,6,1,2301,101}</v>
      </c>
      <c r="AQ523" t="str">
        <f t="shared" si="342"/>
        <v>{5000,6,1,2301,103}</v>
      </c>
      <c r="AR523" t="str">
        <f t="shared" si="343"/>
        <v>{5000,6,1,2302,111}</v>
      </c>
      <c r="AS523" t="str">
        <f t="shared" si="344"/>
        <v>{5000,6,1,2301,112}</v>
      </c>
      <c r="AT523" t="str">
        <f t="shared" si="345"/>
        <v>{5000,6,1,2301,113}</v>
      </c>
      <c r="AU523" t="str">
        <f t="shared" si="346"/>
        <v/>
      </c>
      <c r="AV523">
        <v>3314</v>
      </c>
      <c r="AW523" t="str">
        <f t="shared" si="337"/>
        <v>[{5000,6,1,2301,101},{5000,6,1,2301,103},{5000,6,1,2302,111},{5000,6,1,2301,112},{5000,6,1,2301,113}]</v>
      </c>
    </row>
    <row r="524" spans="2:49">
      <c r="B524">
        <v>3315</v>
      </c>
      <c r="C524" t="s">
        <v>48</v>
      </c>
      <c r="D524" t="str">
        <f t="shared" si="347"/>
        <v>24</v>
      </c>
      <c r="F524">
        <v>61</v>
      </c>
      <c r="G524">
        <v>5000</v>
      </c>
      <c r="H524">
        <f t="shared" si="313"/>
        <v>8</v>
      </c>
      <c r="I524">
        <v>1</v>
      </c>
      <c r="J524">
        <v>3</v>
      </c>
      <c r="K524">
        <f t="shared" si="348"/>
        <v>2303</v>
      </c>
      <c r="L524">
        <f t="shared" si="322"/>
        <v>101</v>
      </c>
      <c r="M524">
        <v>5000</v>
      </c>
      <c r="N524">
        <f t="shared" si="321"/>
        <v>8</v>
      </c>
      <c r="O524">
        <v>1</v>
      </c>
      <c r="P524">
        <f t="shared" si="349"/>
        <v>2303</v>
      </c>
      <c r="Q524">
        <v>56</v>
      </c>
      <c r="R524">
        <f t="shared" si="323"/>
        <v>102</v>
      </c>
      <c r="S524">
        <v>5000</v>
      </c>
      <c r="T524">
        <f t="shared" si="338"/>
        <v>8</v>
      </c>
      <c r="U524">
        <v>1</v>
      </c>
      <c r="V524">
        <f t="shared" si="350"/>
        <v>2303</v>
      </c>
      <c r="W524">
        <v>57</v>
      </c>
      <c r="X524">
        <f t="shared" si="324"/>
        <v>103</v>
      </c>
      <c r="Y524">
        <v>5000</v>
      </c>
      <c r="Z524">
        <f t="shared" si="339"/>
        <v>8</v>
      </c>
      <c r="AA524">
        <v>1</v>
      </c>
      <c r="AB524">
        <f t="shared" si="351"/>
        <v>2303</v>
      </c>
      <c r="AC524">
        <v>72</v>
      </c>
      <c r="AD524">
        <f t="shared" si="325"/>
        <v>113</v>
      </c>
      <c r="AE524">
        <v>5000</v>
      </c>
      <c r="AF524">
        <f t="shared" si="340"/>
        <v>8</v>
      </c>
      <c r="AG524">
        <v>1</v>
      </c>
      <c r="AH524">
        <f t="shared" si="352"/>
        <v>2303</v>
      </c>
      <c r="AI524">
        <v>71</v>
      </c>
      <c r="AJ524">
        <f t="shared" si="326"/>
        <v>111</v>
      </c>
      <c r="AP524" t="str">
        <f t="shared" si="341"/>
        <v>{5000,8,1,2303,101}</v>
      </c>
      <c r="AQ524" t="str">
        <f t="shared" si="342"/>
        <v>{5000,8,1,2303,102}</v>
      </c>
      <c r="AR524" t="str">
        <f t="shared" si="343"/>
        <v>{5000,8,1,2303,103}</v>
      </c>
      <c r="AS524" t="str">
        <f t="shared" si="344"/>
        <v>{5000,8,1,2303,113}</v>
      </c>
      <c r="AT524" t="str">
        <f t="shared" si="345"/>
        <v>{5000,8,1,2303,111}</v>
      </c>
      <c r="AU524" t="str">
        <f t="shared" si="346"/>
        <v/>
      </c>
      <c r="AV524">
        <v>3315</v>
      </c>
      <c r="AW524" t="str">
        <f t="shared" si="337"/>
        <v>[{5000,8,1,2303,101},{5000,8,1,2303,102},{5000,8,1,2303,103},{5000,8,1,2303,113},{5000,8,1,2303,111}]</v>
      </c>
    </row>
    <row r="525" spans="2:49">
      <c r="B525">
        <v>3316</v>
      </c>
      <c r="C525" t="s">
        <v>48</v>
      </c>
      <c r="D525" t="str">
        <f t="shared" si="347"/>
        <v>24</v>
      </c>
      <c r="F525">
        <v>76</v>
      </c>
      <c r="G525">
        <v>5000</v>
      </c>
      <c r="H525">
        <f t="shared" si="313"/>
        <v>8</v>
      </c>
      <c r="I525">
        <v>1</v>
      </c>
      <c r="J525">
        <v>1</v>
      </c>
      <c r="K525">
        <f t="shared" si="348"/>
        <v>2301</v>
      </c>
      <c r="L525">
        <f t="shared" si="322"/>
        <v>101</v>
      </c>
      <c r="M525">
        <v>5000</v>
      </c>
      <c r="N525">
        <f t="shared" si="321"/>
        <v>8</v>
      </c>
      <c r="O525">
        <v>1</v>
      </c>
      <c r="P525">
        <f t="shared" si="349"/>
        <v>2301</v>
      </c>
      <c r="Q525">
        <v>59</v>
      </c>
      <c r="R525">
        <f t="shared" si="323"/>
        <v>103</v>
      </c>
      <c r="S525">
        <v>5000</v>
      </c>
      <c r="T525">
        <f t="shared" si="338"/>
        <v>8</v>
      </c>
      <c r="U525">
        <v>1</v>
      </c>
      <c r="V525">
        <f t="shared" si="350"/>
        <v>2302</v>
      </c>
      <c r="W525">
        <v>71</v>
      </c>
      <c r="X525">
        <f t="shared" si="324"/>
        <v>111</v>
      </c>
      <c r="Y525">
        <v>5000</v>
      </c>
      <c r="Z525">
        <f t="shared" si="339"/>
        <v>8</v>
      </c>
      <c r="AA525">
        <v>1</v>
      </c>
      <c r="AB525">
        <f t="shared" si="351"/>
        <v>2301</v>
      </c>
      <c r="AC525">
        <v>71</v>
      </c>
      <c r="AD525">
        <f t="shared" si="325"/>
        <v>112</v>
      </c>
      <c r="AE525">
        <v>5000</v>
      </c>
      <c r="AF525">
        <f t="shared" si="340"/>
        <v>8</v>
      </c>
      <c r="AG525">
        <v>1</v>
      </c>
      <c r="AH525">
        <f t="shared" si="352"/>
        <v>2301</v>
      </c>
      <c r="AI525">
        <v>79</v>
      </c>
      <c r="AJ525">
        <f t="shared" si="326"/>
        <v>113</v>
      </c>
      <c r="AP525" t="str">
        <f t="shared" si="341"/>
        <v>{5000,8,1,2301,101}</v>
      </c>
      <c r="AQ525" t="str">
        <f t="shared" si="342"/>
        <v>{5000,8,1,2301,103}</v>
      </c>
      <c r="AR525" t="str">
        <f t="shared" si="343"/>
        <v>{5000,8,1,2302,111}</v>
      </c>
      <c r="AS525" t="str">
        <f t="shared" si="344"/>
        <v>{5000,8,1,2301,112}</v>
      </c>
      <c r="AT525" t="str">
        <f t="shared" si="345"/>
        <v>{5000,8,1,2301,113}</v>
      </c>
      <c r="AU525" t="str">
        <f t="shared" si="346"/>
        <v/>
      </c>
      <c r="AV525">
        <v>3316</v>
      </c>
      <c r="AW525" t="str">
        <f t="shared" si="337"/>
        <v>[{5000,8,1,2301,101},{5000,8,1,2301,103},{5000,8,1,2302,111},{5000,8,1,2301,112},{5000,8,1,2301,113}]</v>
      </c>
    </row>
    <row r="526" spans="2:49">
      <c r="B526">
        <v>3317</v>
      </c>
      <c r="C526" t="s">
        <v>48</v>
      </c>
      <c r="D526" t="str">
        <f t="shared" si="347"/>
        <v>24</v>
      </c>
      <c r="F526">
        <v>91</v>
      </c>
      <c r="G526">
        <v>5000</v>
      </c>
      <c r="H526">
        <f t="shared" si="313"/>
        <v>8</v>
      </c>
      <c r="I526">
        <v>1</v>
      </c>
      <c r="J526">
        <v>1</v>
      </c>
      <c r="K526">
        <f t="shared" si="348"/>
        <v>2301</v>
      </c>
      <c r="L526">
        <f t="shared" si="322"/>
        <v>101</v>
      </c>
      <c r="M526">
        <v>5000</v>
      </c>
      <c r="N526">
        <f t="shared" si="321"/>
        <v>8</v>
      </c>
      <c r="O526">
        <v>1</v>
      </c>
      <c r="P526">
        <f t="shared" si="349"/>
        <v>2301</v>
      </c>
      <c r="Q526">
        <v>54</v>
      </c>
      <c r="R526">
        <f t="shared" si="323"/>
        <v>102</v>
      </c>
      <c r="S526">
        <v>5000</v>
      </c>
      <c r="T526">
        <f t="shared" si="338"/>
        <v>8</v>
      </c>
      <c r="U526">
        <v>1</v>
      </c>
      <c r="V526">
        <f t="shared" si="350"/>
        <v>2302</v>
      </c>
      <c r="W526">
        <v>51</v>
      </c>
      <c r="X526">
        <f t="shared" si="324"/>
        <v>103</v>
      </c>
      <c r="Y526">
        <v>5000</v>
      </c>
      <c r="Z526">
        <f t="shared" si="339"/>
        <v>8</v>
      </c>
      <c r="AA526">
        <v>1</v>
      </c>
      <c r="AB526">
        <f t="shared" si="351"/>
        <v>2301</v>
      </c>
      <c r="AC526">
        <v>71</v>
      </c>
      <c r="AD526">
        <f t="shared" si="325"/>
        <v>113</v>
      </c>
      <c r="AE526">
        <v>5000</v>
      </c>
      <c r="AF526">
        <f t="shared" si="340"/>
        <v>8</v>
      </c>
      <c r="AG526">
        <v>1</v>
      </c>
      <c r="AH526">
        <f t="shared" si="352"/>
        <v>2302</v>
      </c>
      <c r="AI526">
        <v>77</v>
      </c>
      <c r="AJ526">
        <f t="shared" si="326"/>
        <v>111</v>
      </c>
      <c r="AP526" t="str">
        <f t="shared" si="341"/>
        <v>{5000,8,1,2301,101}</v>
      </c>
      <c r="AQ526" t="str">
        <f t="shared" si="342"/>
        <v>{5000,8,1,2301,102}</v>
      </c>
      <c r="AR526" t="str">
        <f t="shared" si="343"/>
        <v>{5000,8,1,2302,103}</v>
      </c>
      <c r="AS526" t="str">
        <f t="shared" si="344"/>
        <v>{5000,8,1,2301,113}</v>
      </c>
      <c r="AT526" t="str">
        <f t="shared" si="345"/>
        <v>{5000,8,1,2302,111}</v>
      </c>
      <c r="AU526" t="str">
        <f t="shared" si="346"/>
        <v/>
      </c>
      <c r="AV526">
        <v>3317</v>
      </c>
      <c r="AW526" t="str">
        <f t="shared" si="337"/>
        <v>[{5000,8,1,2301,101},{5000,8,1,2301,102},{5000,8,1,2302,103},{5000,8,1,2301,113},{5000,8,1,2302,111}]</v>
      </c>
    </row>
    <row r="527" spans="2:49">
      <c r="B527">
        <v>3318</v>
      </c>
      <c r="C527" t="s">
        <v>48</v>
      </c>
      <c r="D527" t="str">
        <f t="shared" si="347"/>
        <v>24</v>
      </c>
      <c r="F527">
        <v>106</v>
      </c>
      <c r="G527">
        <v>5000</v>
      </c>
      <c r="H527">
        <f t="shared" si="313"/>
        <v>8</v>
      </c>
      <c r="I527">
        <v>1</v>
      </c>
      <c r="J527">
        <v>1</v>
      </c>
      <c r="K527">
        <f t="shared" si="348"/>
        <v>2301</v>
      </c>
      <c r="L527">
        <f t="shared" si="322"/>
        <v>101</v>
      </c>
      <c r="M527">
        <v>5000</v>
      </c>
      <c r="N527">
        <f t="shared" si="321"/>
        <v>8</v>
      </c>
      <c r="O527">
        <v>1</v>
      </c>
      <c r="P527">
        <f t="shared" si="349"/>
        <v>2301</v>
      </c>
      <c r="Q527">
        <v>55</v>
      </c>
      <c r="R527">
        <f t="shared" si="323"/>
        <v>103</v>
      </c>
      <c r="S527">
        <v>5000</v>
      </c>
      <c r="T527">
        <f t="shared" si="338"/>
        <v>8</v>
      </c>
      <c r="U527">
        <v>1</v>
      </c>
      <c r="V527">
        <f t="shared" si="350"/>
        <v>2302</v>
      </c>
      <c r="W527">
        <v>73</v>
      </c>
      <c r="X527">
        <f t="shared" si="324"/>
        <v>111</v>
      </c>
      <c r="Y527">
        <v>5000</v>
      </c>
      <c r="Z527">
        <f t="shared" si="339"/>
        <v>8</v>
      </c>
      <c r="AA527">
        <v>1</v>
      </c>
      <c r="AB527">
        <f t="shared" si="351"/>
        <v>2301</v>
      </c>
      <c r="AC527">
        <v>78</v>
      </c>
      <c r="AD527">
        <f t="shared" si="325"/>
        <v>112</v>
      </c>
      <c r="AE527">
        <v>5000</v>
      </c>
      <c r="AF527">
        <f t="shared" si="340"/>
        <v>8</v>
      </c>
      <c r="AG527">
        <v>1</v>
      </c>
      <c r="AH527">
        <f t="shared" si="352"/>
        <v>2302</v>
      </c>
      <c r="AI527">
        <v>71</v>
      </c>
      <c r="AJ527">
        <f t="shared" si="326"/>
        <v>113</v>
      </c>
      <c r="AP527" t="str">
        <f t="shared" si="341"/>
        <v>{5000,8,1,2301,101}</v>
      </c>
      <c r="AQ527" t="str">
        <f t="shared" si="342"/>
        <v>{5000,8,1,2301,103}</v>
      </c>
      <c r="AR527" t="str">
        <f t="shared" si="343"/>
        <v>{5000,8,1,2302,111}</v>
      </c>
      <c r="AS527" t="str">
        <f t="shared" si="344"/>
        <v>{5000,8,1,2301,112}</v>
      </c>
      <c r="AT527" t="str">
        <f t="shared" si="345"/>
        <v>{5000,8,1,2302,113}</v>
      </c>
      <c r="AU527" t="str">
        <f t="shared" si="346"/>
        <v/>
      </c>
      <c r="AV527">
        <v>3318</v>
      </c>
      <c r="AW527" t="str">
        <f t="shared" si="337"/>
        <v>[{5000,8,1,2301,101},{5000,8,1,2301,103},{5000,8,1,2302,111},{5000,8,1,2301,112},{5000,8,1,2302,113}]</v>
      </c>
    </row>
    <row r="528" spans="2:48">
      <c r="B528">
        <v>3319</v>
      </c>
      <c r="C528" t="s">
        <v>48</v>
      </c>
      <c r="D528" t="str">
        <f t="shared" si="347"/>
        <v>24</v>
      </c>
      <c r="F528">
        <v>119</v>
      </c>
      <c r="H528">
        <f t="shared" si="313"/>
        <v>0</v>
      </c>
      <c r="K528" t="str">
        <f t="shared" si="348"/>
        <v/>
      </c>
      <c r="L528" t="str">
        <f t="shared" si="322"/>
        <v/>
      </c>
      <c r="N528">
        <f t="shared" si="321"/>
        <v>0</v>
      </c>
      <c r="P528" t="str">
        <f t="shared" si="349"/>
        <v/>
      </c>
      <c r="R528" t="str">
        <f t="shared" si="323"/>
        <v/>
      </c>
      <c r="T528">
        <f t="shared" si="338"/>
        <v>0</v>
      </c>
      <c r="V528" t="str">
        <f t="shared" si="350"/>
        <v/>
      </c>
      <c r="X528" t="str">
        <f t="shared" si="324"/>
        <v/>
      </c>
      <c r="Z528">
        <f t="shared" si="339"/>
        <v>0</v>
      </c>
      <c r="AB528" t="str">
        <f t="shared" si="351"/>
        <v/>
      </c>
      <c r="AD528" t="str">
        <f t="shared" si="325"/>
        <v/>
      </c>
      <c r="AF528">
        <f t="shared" si="340"/>
        <v>0</v>
      </c>
      <c r="AH528" t="str">
        <f t="shared" si="352"/>
        <v/>
      </c>
      <c r="AJ528" t="str">
        <f t="shared" si="326"/>
        <v/>
      </c>
      <c r="AP528" t="str">
        <f t="shared" si="341"/>
        <v/>
      </c>
      <c r="AQ528" t="str">
        <f t="shared" si="342"/>
        <v/>
      </c>
      <c r="AR528" t="str">
        <f t="shared" si="343"/>
        <v/>
      </c>
      <c r="AS528" t="str">
        <f t="shared" si="344"/>
        <v/>
      </c>
      <c r="AT528" t="str">
        <f t="shared" si="345"/>
        <v/>
      </c>
      <c r="AU528" t="str">
        <f t="shared" si="346"/>
        <v/>
      </c>
      <c r="AV528">
        <v>3319</v>
      </c>
    </row>
    <row r="529" spans="2:49">
      <c r="B529">
        <v>3320</v>
      </c>
      <c r="C529" t="s">
        <v>48</v>
      </c>
      <c r="D529" t="str">
        <f t="shared" si="347"/>
        <v>24</v>
      </c>
      <c r="F529">
        <v>121</v>
      </c>
      <c r="G529">
        <v>5000</v>
      </c>
      <c r="H529">
        <f t="shared" si="313"/>
        <v>10</v>
      </c>
      <c r="I529">
        <v>1</v>
      </c>
      <c r="J529">
        <v>3</v>
      </c>
      <c r="K529">
        <f t="shared" si="348"/>
        <v>2303</v>
      </c>
      <c r="L529">
        <f t="shared" si="322"/>
        <v>101</v>
      </c>
      <c r="M529">
        <v>5000</v>
      </c>
      <c r="N529">
        <f t="shared" si="321"/>
        <v>10</v>
      </c>
      <c r="O529">
        <v>1</v>
      </c>
      <c r="P529">
        <f t="shared" si="349"/>
        <v>2303</v>
      </c>
      <c r="Q529">
        <v>54</v>
      </c>
      <c r="R529">
        <f t="shared" si="323"/>
        <v>102</v>
      </c>
      <c r="S529">
        <v>5000</v>
      </c>
      <c r="T529">
        <f t="shared" si="338"/>
        <v>10</v>
      </c>
      <c r="U529">
        <v>1</v>
      </c>
      <c r="V529">
        <f t="shared" si="350"/>
        <v>2303</v>
      </c>
      <c r="W529">
        <v>51</v>
      </c>
      <c r="X529">
        <f t="shared" si="324"/>
        <v>103</v>
      </c>
      <c r="Y529">
        <v>5000</v>
      </c>
      <c r="Z529">
        <f t="shared" si="339"/>
        <v>10</v>
      </c>
      <c r="AA529">
        <v>1</v>
      </c>
      <c r="AB529">
        <f t="shared" si="351"/>
        <v>2303</v>
      </c>
      <c r="AC529">
        <v>71</v>
      </c>
      <c r="AD529">
        <f t="shared" si="325"/>
        <v>113</v>
      </c>
      <c r="AE529">
        <v>5000</v>
      </c>
      <c r="AF529">
        <f t="shared" si="340"/>
        <v>10</v>
      </c>
      <c r="AG529">
        <v>1</v>
      </c>
      <c r="AH529">
        <f t="shared" si="352"/>
        <v>2303</v>
      </c>
      <c r="AI529">
        <v>79</v>
      </c>
      <c r="AJ529">
        <f t="shared" si="326"/>
        <v>111</v>
      </c>
      <c r="AK529">
        <v>1000</v>
      </c>
      <c r="AL529">
        <v>1</v>
      </c>
      <c r="AM529">
        <v>0</v>
      </c>
      <c r="AN529">
        <f t="shared" ref="AN529" si="353">AN506+100</f>
        <v>2321</v>
      </c>
      <c r="AO529">
        <v>4</v>
      </c>
      <c r="AP529" t="str">
        <f t="shared" si="341"/>
        <v>{5000,10,1,2303,101}</v>
      </c>
      <c r="AQ529" t="str">
        <f t="shared" si="342"/>
        <v>{5000,10,1,2303,102}</v>
      </c>
      <c r="AR529" t="str">
        <f t="shared" si="343"/>
        <v>{5000,10,1,2303,103}</v>
      </c>
      <c r="AS529" t="str">
        <f t="shared" si="344"/>
        <v>{5000,10,1,2303,113}</v>
      </c>
      <c r="AT529" t="str">
        <f t="shared" si="345"/>
        <v>{5000,10,1,2303,111}</v>
      </c>
      <c r="AU529" t="str">
        <f t="shared" si="346"/>
        <v>{1000,1,0,2321,4}</v>
      </c>
      <c r="AV529">
        <v>3320</v>
      </c>
      <c r="AW529" t="str">
        <f t="shared" ref="AW529:AW534" si="354">IF(AU529="","["&amp;_xlfn.TEXTJOIN(",",1,AP529:AT529)&amp;"]","["&amp;_xlfn.TEXTJOIN(",",1,AP529:AU529)&amp;"]")</f>
        <v>[{5000,10,1,2303,101},{5000,10,1,2303,102},{5000,10,1,2303,103},{5000,10,1,2303,113},{5000,10,1,2303,111},{1000,1,0,2321,4}]</v>
      </c>
    </row>
    <row r="530" spans="2:49">
      <c r="B530">
        <v>3321</v>
      </c>
      <c r="C530" t="s">
        <v>48</v>
      </c>
      <c r="D530" t="str">
        <f t="shared" si="347"/>
        <v>24</v>
      </c>
      <c r="F530">
        <v>136</v>
      </c>
      <c r="G530">
        <v>5000</v>
      </c>
      <c r="H530">
        <f t="shared" si="313"/>
        <v>9</v>
      </c>
      <c r="I530">
        <v>1</v>
      </c>
      <c r="J530">
        <v>1</v>
      </c>
      <c r="K530">
        <f t="shared" si="348"/>
        <v>2301</v>
      </c>
      <c r="L530">
        <f t="shared" si="322"/>
        <v>101</v>
      </c>
      <c r="M530">
        <v>5000</v>
      </c>
      <c r="N530">
        <f t="shared" si="321"/>
        <v>9</v>
      </c>
      <c r="O530">
        <v>1</v>
      </c>
      <c r="P530">
        <f t="shared" si="349"/>
        <v>2301</v>
      </c>
      <c r="Q530">
        <v>54</v>
      </c>
      <c r="R530">
        <f t="shared" si="323"/>
        <v>103</v>
      </c>
      <c r="S530">
        <v>5000</v>
      </c>
      <c r="T530">
        <f t="shared" si="338"/>
        <v>9</v>
      </c>
      <c r="U530">
        <v>1</v>
      </c>
      <c r="V530">
        <f t="shared" si="350"/>
        <v>2302</v>
      </c>
      <c r="W530">
        <v>76</v>
      </c>
      <c r="X530">
        <f t="shared" si="324"/>
        <v>111</v>
      </c>
      <c r="Y530">
        <v>5000</v>
      </c>
      <c r="Z530">
        <f t="shared" si="339"/>
        <v>9</v>
      </c>
      <c r="AA530">
        <v>1</v>
      </c>
      <c r="AB530">
        <f t="shared" si="351"/>
        <v>2301</v>
      </c>
      <c r="AC530">
        <v>72</v>
      </c>
      <c r="AD530">
        <f t="shared" si="325"/>
        <v>112</v>
      </c>
      <c r="AE530">
        <v>5000</v>
      </c>
      <c r="AF530">
        <f t="shared" si="340"/>
        <v>9</v>
      </c>
      <c r="AG530">
        <v>1</v>
      </c>
      <c r="AH530">
        <f t="shared" si="352"/>
        <v>2302</v>
      </c>
      <c r="AI530">
        <v>74</v>
      </c>
      <c r="AJ530">
        <f t="shared" si="326"/>
        <v>113</v>
      </c>
      <c r="AP530" t="str">
        <f t="shared" si="341"/>
        <v>{5000,9,1,2301,101}</v>
      </c>
      <c r="AQ530" t="str">
        <f t="shared" si="342"/>
        <v>{5000,9,1,2301,103}</v>
      </c>
      <c r="AR530" t="str">
        <f t="shared" si="343"/>
        <v>{5000,9,1,2302,111}</v>
      </c>
      <c r="AS530" t="str">
        <f t="shared" si="344"/>
        <v>{5000,9,1,2301,112}</v>
      </c>
      <c r="AT530" t="str">
        <f t="shared" si="345"/>
        <v>{5000,9,1,2302,113}</v>
      </c>
      <c r="AU530" t="str">
        <f t="shared" si="346"/>
        <v/>
      </c>
      <c r="AV530">
        <v>3321</v>
      </c>
      <c r="AW530" t="str">
        <f t="shared" si="354"/>
        <v>[{5000,9,1,2301,101},{5000,9,1,2301,103},{5000,9,1,2302,111},{5000,9,1,2301,112},{5000,9,1,2302,113}]</v>
      </c>
    </row>
    <row r="531" spans="2:49">
      <c r="B531">
        <v>3322</v>
      </c>
      <c r="C531" t="s">
        <v>48</v>
      </c>
      <c r="D531" t="str">
        <f t="shared" si="347"/>
        <v>24</v>
      </c>
      <c r="F531">
        <v>151</v>
      </c>
      <c r="G531">
        <v>5000</v>
      </c>
      <c r="H531">
        <f t="shared" si="313"/>
        <v>10</v>
      </c>
      <c r="I531">
        <v>1</v>
      </c>
      <c r="J531">
        <v>1</v>
      </c>
      <c r="K531">
        <f t="shared" si="348"/>
        <v>2301</v>
      </c>
      <c r="L531">
        <f t="shared" si="322"/>
        <v>101</v>
      </c>
      <c r="M531">
        <v>5000</v>
      </c>
      <c r="N531">
        <f t="shared" si="321"/>
        <v>10</v>
      </c>
      <c r="O531">
        <v>1</v>
      </c>
      <c r="P531">
        <f t="shared" si="349"/>
        <v>2301</v>
      </c>
      <c r="Q531">
        <v>54</v>
      </c>
      <c r="R531">
        <f t="shared" si="323"/>
        <v>102</v>
      </c>
      <c r="S531">
        <v>5000</v>
      </c>
      <c r="T531">
        <f t="shared" si="338"/>
        <v>10</v>
      </c>
      <c r="U531">
        <v>1</v>
      </c>
      <c r="V531">
        <f t="shared" si="350"/>
        <v>2302</v>
      </c>
      <c r="W531">
        <v>56</v>
      </c>
      <c r="X531">
        <f t="shared" si="324"/>
        <v>103</v>
      </c>
      <c r="Y531">
        <v>5000</v>
      </c>
      <c r="Z531">
        <f t="shared" si="339"/>
        <v>10</v>
      </c>
      <c r="AA531">
        <v>1</v>
      </c>
      <c r="AB531">
        <f t="shared" si="351"/>
        <v>2301</v>
      </c>
      <c r="AC531">
        <v>72</v>
      </c>
      <c r="AD531">
        <f t="shared" si="325"/>
        <v>113</v>
      </c>
      <c r="AE531">
        <v>5000</v>
      </c>
      <c r="AF531">
        <f t="shared" si="340"/>
        <v>10</v>
      </c>
      <c r="AG531">
        <v>1</v>
      </c>
      <c r="AH531">
        <f t="shared" si="352"/>
        <v>2302</v>
      </c>
      <c r="AI531">
        <v>74</v>
      </c>
      <c r="AJ531">
        <f t="shared" si="326"/>
        <v>111</v>
      </c>
      <c r="AP531" t="str">
        <f t="shared" si="341"/>
        <v>{5000,10,1,2301,101}</v>
      </c>
      <c r="AQ531" t="str">
        <f t="shared" si="342"/>
        <v>{5000,10,1,2301,102}</v>
      </c>
      <c r="AR531" t="str">
        <f t="shared" si="343"/>
        <v>{5000,10,1,2302,103}</v>
      </c>
      <c r="AS531" t="str">
        <f t="shared" si="344"/>
        <v>{5000,10,1,2301,113}</v>
      </c>
      <c r="AT531" t="str">
        <f t="shared" si="345"/>
        <v>{5000,10,1,2302,111}</v>
      </c>
      <c r="AU531" t="str">
        <f t="shared" si="346"/>
        <v/>
      </c>
      <c r="AV531">
        <v>3322</v>
      </c>
      <c r="AW531" t="str">
        <f t="shared" si="354"/>
        <v>[{5000,10,1,2301,101},{5000,10,1,2301,102},{5000,10,1,2302,103},{5000,10,1,2301,113},{5000,10,1,2302,111}]</v>
      </c>
    </row>
    <row r="532" spans="2:49">
      <c r="B532">
        <v>3323</v>
      </c>
      <c r="C532" t="s">
        <v>48</v>
      </c>
      <c r="D532" t="str">
        <f t="shared" si="347"/>
        <v>24</v>
      </c>
      <c r="F532">
        <v>166</v>
      </c>
      <c r="G532">
        <v>5000</v>
      </c>
      <c r="H532">
        <f t="shared" si="313"/>
        <v>11</v>
      </c>
      <c r="I532">
        <v>1</v>
      </c>
      <c r="J532">
        <v>1</v>
      </c>
      <c r="K532">
        <f t="shared" si="348"/>
        <v>2301</v>
      </c>
      <c r="L532">
        <f t="shared" si="322"/>
        <v>101</v>
      </c>
      <c r="M532">
        <v>5000</v>
      </c>
      <c r="N532">
        <f t="shared" si="321"/>
        <v>11</v>
      </c>
      <c r="O532">
        <v>1</v>
      </c>
      <c r="P532">
        <f t="shared" si="349"/>
        <v>2301</v>
      </c>
      <c r="Q532">
        <v>59</v>
      </c>
      <c r="R532">
        <f t="shared" si="323"/>
        <v>103</v>
      </c>
      <c r="S532">
        <v>5000</v>
      </c>
      <c r="T532">
        <f t="shared" si="338"/>
        <v>11</v>
      </c>
      <c r="U532">
        <v>1</v>
      </c>
      <c r="V532">
        <f t="shared" si="350"/>
        <v>2302</v>
      </c>
      <c r="W532">
        <v>79</v>
      </c>
      <c r="X532">
        <f t="shared" si="324"/>
        <v>111</v>
      </c>
      <c r="Y532">
        <v>5000</v>
      </c>
      <c r="Z532">
        <f t="shared" si="339"/>
        <v>11</v>
      </c>
      <c r="AA532">
        <v>1</v>
      </c>
      <c r="AB532">
        <f t="shared" si="351"/>
        <v>2301</v>
      </c>
      <c r="AC532">
        <v>71</v>
      </c>
      <c r="AD532">
        <f t="shared" si="325"/>
        <v>112</v>
      </c>
      <c r="AE532">
        <v>5000</v>
      </c>
      <c r="AF532">
        <f t="shared" si="340"/>
        <v>11</v>
      </c>
      <c r="AG532">
        <v>1</v>
      </c>
      <c r="AH532">
        <f t="shared" si="352"/>
        <v>2302</v>
      </c>
      <c r="AI532">
        <v>74</v>
      </c>
      <c r="AJ532">
        <f t="shared" si="326"/>
        <v>113</v>
      </c>
      <c r="AP532" t="str">
        <f t="shared" si="341"/>
        <v>{5000,11,1,2301,101}</v>
      </c>
      <c r="AQ532" t="str">
        <f t="shared" si="342"/>
        <v>{5000,11,1,2301,103}</v>
      </c>
      <c r="AR532" t="str">
        <f t="shared" si="343"/>
        <v>{5000,11,1,2302,111}</v>
      </c>
      <c r="AS532" t="str">
        <f t="shared" si="344"/>
        <v>{5000,11,1,2301,112}</v>
      </c>
      <c r="AT532" t="str">
        <f t="shared" si="345"/>
        <v>{5000,11,1,2302,113}</v>
      </c>
      <c r="AU532" t="str">
        <f t="shared" si="346"/>
        <v/>
      </c>
      <c r="AV532">
        <v>3323</v>
      </c>
      <c r="AW532" t="str">
        <f t="shared" si="354"/>
        <v>[{5000,11,1,2301,101},{5000,11,1,2301,103},{5000,11,1,2302,111},{5000,11,1,2301,112},{5000,11,1,2302,113}]</v>
      </c>
    </row>
    <row r="533" spans="2:49">
      <c r="B533">
        <v>3324</v>
      </c>
      <c r="C533" t="s">
        <v>48</v>
      </c>
      <c r="D533" t="str">
        <f t="shared" si="347"/>
        <v>24</v>
      </c>
      <c r="F533">
        <v>181</v>
      </c>
      <c r="G533">
        <v>5000</v>
      </c>
      <c r="H533">
        <f t="shared" si="313"/>
        <v>12</v>
      </c>
      <c r="I533">
        <v>1</v>
      </c>
      <c r="J533">
        <v>3</v>
      </c>
      <c r="K533">
        <f t="shared" si="348"/>
        <v>2303</v>
      </c>
      <c r="L533">
        <f t="shared" si="322"/>
        <v>101</v>
      </c>
      <c r="M533">
        <v>5000</v>
      </c>
      <c r="N533">
        <f t="shared" si="321"/>
        <v>12</v>
      </c>
      <c r="O533">
        <v>1</v>
      </c>
      <c r="P533">
        <f t="shared" si="349"/>
        <v>2303</v>
      </c>
      <c r="Q533">
        <v>53</v>
      </c>
      <c r="R533">
        <f t="shared" si="323"/>
        <v>102</v>
      </c>
      <c r="S533">
        <v>5000</v>
      </c>
      <c r="T533">
        <f t="shared" si="338"/>
        <v>12</v>
      </c>
      <c r="U533">
        <v>1</v>
      </c>
      <c r="V533">
        <f t="shared" si="350"/>
        <v>2303</v>
      </c>
      <c r="W533">
        <v>56</v>
      </c>
      <c r="X533">
        <f t="shared" si="324"/>
        <v>103</v>
      </c>
      <c r="Y533">
        <v>5000</v>
      </c>
      <c r="Z533">
        <f t="shared" si="339"/>
        <v>12</v>
      </c>
      <c r="AA533">
        <v>1</v>
      </c>
      <c r="AB533">
        <f t="shared" si="351"/>
        <v>2303</v>
      </c>
      <c r="AC533">
        <v>75</v>
      </c>
      <c r="AD533">
        <f t="shared" si="325"/>
        <v>113</v>
      </c>
      <c r="AE533">
        <v>5000</v>
      </c>
      <c r="AF533">
        <f t="shared" si="340"/>
        <v>12</v>
      </c>
      <c r="AG533">
        <v>1</v>
      </c>
      <c r="AH533">
        <f t="shared" si="352"/>
        <v>2303</v>
      </c>
      <c r="AI533">
        <v>78</v>
      </c>
      <c r="AJ533">
        <f t="shared" si="326"/>
        <v>111</v>
      </c>
      <c r="AP533" t="str">
        <f t="shared" si="341"/>
        <v>{5000,12,1,2303,101}</v>
      </c>
      <c r="AQ533" t="str">
        <f t="shared" si="342"/>
        <v>{5000,12,1,2303,102}</v>
      </c>
      <c r="AR533" t="str">
        <f t="shared" si="343"/>
        <v>{5000,12,1,2303,103}</v>
      </c>
      <c r="AS533" t="str">
        <f t="shared" si="344"/>
        <v>{5000,12,1,2303,113}</v>
      </c>
      <c r="AT533" t="str">
        <f t="shared" si="345"/>
        <v>{5000,12,1,2303,111}</v>
      </c>
      <c r="AU533" t="str">
        <f t="shared" si="346"/>
        <v/>
      </c>
      <c r="AV533">
        <v>3324</v>
      </c>
      <c r="AW533" t="str">
        <f t="shared" si="354"/>
        <v>[{5000,12,1,2303,101},{5000,12,1,2303,102},{5000,12,1,2303,103},{5000,12,1,2303,113},{5000,12,1,2303,111}]</v>
      </c>
    </row>
    <row r="534" spans="2:49">
      <c r="B534">
        <v>3325</v>
      </c>
      <c r="C534" t="s">
        <v>48</v>
      </c>
      <c r="D534" t="str">
        <f t="shared" si="347"/>
        <v>24</v>
      </c>
      <c r="F534">
        <v>196</v>
      </c>
      <c r="G534">
        <v>5000</v>
      </c>
      <c r="H534">
        <f t="shared" si="313"/>
        <v>12</v>
      </c>
      <c r="I534">
        <v>1</v>
      </c>
      <c r="J534">
        <v>2</v>
      </c>
      <c r="K534">
        <f t="shared" si="348"/>
        <v>2302</v>
      </c>
      <c r="L534">
        <f t="shared" si="322"/>
        <v>101</v>
      </c>
      <c r="M534">
        <v>5000</v>
      </c>
      <c r="N534">
        <f t="shared" si="321"/>
        <v>12</v>
      </c>
      <c r="O534">
        <v>1</v>
      </c>
      <c r="P534">
        <f t="shared" si="349"/>
        <v>2301</v>
      </c>
      <c r="Q534">
        <v>54</v>
      </c>
      <c r="R534">
        <f t="shared" si="323"/>
        <v>103</v>
      </c>
      <c r="S534">
        <v>5000</v>
      </c>
      <c r="T534">
        <f t="shared" si="338"/>
        <v>12</v>
      </c>
      <c r="U534">
        <v>1</v>
      </c>
      <c r="V534">
        <f t="shared" si="350"/>
        <v>2302</v>
      </c>
      <c r="W534">
        <v>77</v>
      </c>
      <c r="X534">
        <f t="shared" si="324"/>
        <v>111</v>
      </c>
      <c r="Y534">
        <v>5000</v>
      </c>
      <c r="Z534">
        <f t="shared" si="339"/>
        <v>12</v>
      </c>
      <c r="AA534">
        <v>1</v>
      </c>
      <c r="AB534">
        <f t="shared" si="351"/>
        <v>2301</v>
      </c>
      <c r="AC534">
        <v>72</v>
      </c>
      <c r="AD534">
        <f t="shared" si="325"/>
        <v>112</v>
      </c>
      <c r="AE534">
        <v>5000</v>
      </c>
      <c r="AF534">
        <f t="shared" si="340"/>
        <v>12</v>
      </c>
      <c r="AG534">
        <v>1</v>
      </c>
      <c r="AH534">
        <f t="shared" si="352"/>
        <v>2302</v>
      </c>
      <c r="AI534">
        <v>74</v>
      </c>
      <c r="AJ534">
        <f t="shared" si="326"/>
        <v>113</v>
      </c>
      <c r="AP534" t="str">
        <f t="shared" si="341"/>
        <v>{5000,12,1,2302,101}</v>
      </c>
      <c r="AQ534" t="str">
        <f t="shared" si="342"/>
        <v>{5000,12,1,2301,103}</v>
      </c>
      <c r="AR534" t="str">
        <f t="shared" si="343"/>
        <v>{5000,12,1,2302,111}</v>
      </c>
      <c r="AS534" t="str">
        <f t="shared" si="344"/>
        <v>{5000,12,1,2301,112}</v>
      </c>
      <c r="AT534" t="str">
        <f t="shared" si="345"/>
        <v>{5000,12,1,2302,113}</v>
      </c>
      <c r="AU534" t="str">
        <f t="shared" si="346"/>
        <v/>
      </c>
      <c r="AV534">
        <v>3325</v>
      </c>
      <c r="AW534" t="str">
        <f t="shared" si="354"/>
        <v>[{5000,12,1,2302,101},{5000,12,1,2301,103},{5000,12,1,2302,111},{5000,12,1,2301,112},{5000,12,1,2302,113}]</v>
      </c>
    </row>
    <row r="535" spans="2:48">
      <c r="B535">
        <v>3326</v>
      </c>
      <c r="C535" t="s">
        <v>48</v>
      </c>
      <c r="D535" t="str">
        <f t="shared" si="347"/>
        <v>24</v>
      </c>
      <c r="F535">
        <v>209</v>
      </c>
      <c r="H535">
        <f t="shared" si="313"/>
        <v>0</v>
      </c>
      <c r="K535" t="str">
        <f t="shared" si="348"/>
        <v/>
      </c>
      <c r="L535" t="str">
        <f t="shared" si="322"/>
        <v/>
      </c>
      <c r="N535">
        <f t="shared" si="321"/>
        <v>0</v>
      </c>
      <c r="P535" t="str">
        <f t="shared" si="349"/>
        <v/>
      </c>
      <c r="R535" t="str">
        <f t="shared" si="323"/>
        <v/>
      </c>
      <c r="T535">
        <f t="shared" si="338"/>
        <v>0</v>
      </c>
      <c r="V535" t="str">
        <f t="shared" si="350"/>
        <v/>
      </c>
      <c r="X535" t="str">
        <f t="shared" si="324"/>
        <v/>
      </c>
      <c r="Z535">
        <f t="shared" si="339"/>
        <v>0</v>
      </c>
      <c r="AB535" t="str">
        <f t="shared" si="351"/>
        <v/>
      </c>
      <c r="AD535" t="str">
        <f t="shared" si="325"/>
        <v/>
      </c>
      <c r="AF535">
        <f t="shared" si="340"/>
        <v>0</v>
      </c>
      <c r="AH535" t="str">
        <f t="shared" si="352"/>
        <v/>
      </c>
      <c r="AJ535" t="str">
        <f t="shared" si="326"/>
        <v/>
      </c>
      <c r="AP535" t="str">
        <f t="shared" si="341"/>
        <v/>
      </c>
      <c r="AQ535" t="str">
        <f t="shared" si="342"/>
        <v/>
      </c>
      <c r="AR535" t="str">
        <f t="shared" si="343"/>
        <v/>
      </c>
      <c r="AS535" t="str">
        <f t="shared" si="344"/>
        <v/>
      </c>
      <c r="AT535" t="str">
        <f t="shared" si="345"/>
        <v/>
      </c>
      <c r="AU535" t="str">
        <f t="shared" si="346"/>
        <v/>
      </c>
      <c r="AV535">
        <v>3326</v>
      </c>
    </row>
    <row r="536" spans="2:49">
      <c r="B536">
        <v>3327</v>
      </c>
      <c r="C536" t="s">
        <v>48</v>
      </c>
      <c r="D536" t="str">
        <f t="shared" si="347"/>
        <v>24</v>
      </c>
      <c r="F536">
        <v>211</v>
      </c>
      <c r="G536">
        <v>5000</v>
      </c>
      <c r="H536">
        <f t="shared" si="313"/>
        <v>11</v>
      </c>
      <c r="I536">
        <v>1</v>
      </c>
      <c r="J536">
        <v>2</v>
      </c>
      <c r="K536">
        <f t="shared" si="348"/>
        <v>2302</v>
      </c>
      <c r="L536">
        <f t="shared" si="322"/>
        <v>101</v>
      </c>
      <c r="M536">
        <v>5000</v>
      </c>
      <c r="N536">
        <f t="shared" si="321"/>
        <v>11</v>
      </c>
      <c r="O536">
        <v>1</v>
      </c>
      <c r="P536">
        <f t="shared" si="349"/>
        <v>2301</v>
      </c>
      <c r="Q536">
        <v>51</v>
      </c>
      <c r="R536">
        <f t="shared" si="323"/>
        <v>102</v>
      </c>
      <c r="S536">
        <v>5000</v>
      </c>
      <c r="T536">
        <f t="shared" si="338"/>
        <v>11</v>
      </c>
      <c r="U536">
        <v>1</v>
      </c>
      <c r="V536">
        <f t="shared" si="350"/>
        <v>2302</v>
      </c>
      <c r="W536">
        <v>57</v>
      </c>
      <c r="X536">
        <f t="shared" si="324"/>
        <v>103</v>
      </c>
      <c r="Y536">
        <v>5000</v>
      </c>
      <c r="Z536">
        <f t="shared" si="339"/>
        <v>11</v>
      </c>
      <c r="AA536">
        <v>1</v>
      </c>
      <c r="AB536">
        <f t="shared" si="351"/>
        <v>2301</v>
      </c>
      <c r="AC536">
        <v>79</v>
      </c>
      <c r="AD536">
        <f t="shared" si="325"/>
        <v>113</v>
      </c>
      <c r="AE536">
        <v>5000</v>
      </c>
      <c r="AF536">
        <f t="shared" si="340"/>
        <v>11</v>
      </c>
      <c r="AG536">
        <v>1</v>
      </c>
      <c r="AH536">
        <f t="shared" si="352"/>
        <v>2302</v>
      </c>
      <c r="AI536">
        <v>72</v>
      </c>
      <c r="AJ536">
        <f t="shared" si="326"/>
        <v>111</v>
      </c>
      <c r="AK536">
        <v>1000</v>
      </c>
      <c r="AL536">
        <v>1</v>
      </c>
      <c r="AM536">
        <v>0</v>
      </c>
      <c r="AN536">
        <f t="shared" ref="AN536" si="355">AN513+100</f>
        <v>2331</v>
      </c>
      <c r="AO536">
        <v>4</v>
      </c>
      <c r="AP536" t="str">
        <f t="shared" si="341"/>
        <v>{5000,11,1,2302,101}</v>
      </c>
      <c r="AQ536" t="str">
        <f t="shared" si="342"/>
        <v>{5000,11,1,2301,102}</v>
      </c>
      <c r="AR536" t="str">
        <f t="shared" si="343"/>
        <v>{5000,11,1,2302,103}</v>
      </c>
      <c r="AS536" t="str">
        <f t="shared" si="344"/>
        <v>{5000,11,1,2301,113}</v>
      </c>
      <c r="AT536" t="str">
        <f t="shared" si="345"/>
        <v>{5000,11,1,2302,111}</v>
      </c>
      <c r="AU536" t="str">
        <f t="shared" si="346"/>
        <v>{1000,1,0,2331,4}</v>
      </c>
      <c r="AV536">
        <v>3327</v>
      </c>
      <c r="AW536" t="str">
        <f t="shared" ref="AW536:AW550" si="356">IF(AU536="","["&amp;_xlfn.TEXTJOIN(",",1,AP536:AT536)&amp;"]","["&amp;_xlfn.TEXTJOIN(",",1,AP536:AU536)&amp;"]")</f>
        <v>[{5000,11,1,2302,101},{5000,11,1,2301,102},{5000,11,1,2302,103},{5000,11,1,2301,113},{5000,11,1,2302,111},{1000,1,0,2331,4}]</v>
      </c>
    </row>
    <row r="537" spans="2:49">
      <c r="B537">
        <v>3328</v>
      </c>
      <c r="C537" t="s">
        <v>48</v>
      </c>
      <c r="D537" t="str">
        <f t="shared" si="347"/>
        <v>24</v>
      </c>
      <c r="F537">
        <v>226</v>
      </c>
      <c r="G537">
        <v>5000</v>
      </c>
      <c r="H537">
        <f t="shared" si="313"/>
        <v>11</v>
      </c>
      <c r="I537">
        <v>1</v>
      </c>
      <c r="J537">
        <v>2</v>
      </c>
      <c r="K537">
        <f t="shared" si="348"/>
        <v>2302</v>
      </c>
      <c r="L537">
        <f t="shared" si="322"/>
        <v>101</v>
      </c>
      <c r="M537">
        <v>5000</v>
      </c>
      <c r="N537">
        <f t="shared" si="321"/>
        <v>11</v>
      </c>
      <c r="O537">
        <v>1</v>
      </c>
      <c r="P537">
        <f t="shared" si="349"/>
        <v>2301</v>
      </c>
      <c r="Q537">
        <v>51</v>
      </c>
      <c r="R537">
        <f t="shared" si="323"/>
        <v>103</v>
      </c>
      <c r="S537">
        <v>5000</v>
      </c>
      <c r="T537">
        <f t="shared" si="338"/>
        <v>11</v>
      </c>
      <c r="U537">
        <v>1</v>
      </c>
      <c r="V537">
        <f t="shared" si="350"/>
        <v>2302</v>
      </c>
      <c r="W537">
        <v>75</v>
      </c>
      <c r="X537">
        <f t="shared" si="324"/>
        <v>111</v>
      </c>
      <c r="Y537">
        <v>5000</v>
      </c>
      <c r="Z537">
        <f t="shared" si="339"/>
        <v>11</v>
      </c>
      <c r="AA537">
        <v>1</v>
      </c>
      <c r="AB537">
        <f t="shared" si="351"/>
        <v>2301</v>
      </c>
      <c r="AC537">
        <v>71</v>
      </c>
      <c r="AD537">
        <f t="shared" si="325"/>
        <v>112</v>
      </c>
      <c r="AE537">
        <v>5000</v>
      </c>
      <c r="AF537">
        <f t="shared" si="340"/>
        <v>11</v>
      </c>
      <c r="AG537">
        <v>1</v>
      </c>
      <c r="AH537">
        <f t="shared" si="352"/>
        <v>2302</v>
      </c>
      <c r="AI537">
        <v>77</v>
      </c>
      <c r="AJ537">
        <f t="shared" si="326"/>
        <v>113</v>
      </c>
      <c r="AP537" t="str">
        <f t="shared" si="341"/>
        <v>{5000,11,1,2302,101}</v>
      </c>
      <c r="AQ537" t="str">
        <f t="shared" si="342"/>
        <v>{5000,11,1,2301,103}</v>
      </c>
      <c r="AR537" t="str">
        <f t="shared" si="343"/>
        <v>{5000,11,1,2302,111}</v>
      </c>
      <c r="AS537" t="str">
        <f t="shared" si="344"/>
        <v>{5000,11,1,2301,112}</v>
      </c>
      <c r="AT537" t="str">
        <f t="shared" si="345"/>
        <v>{5000,11,1,2302,113}</v>
      </c>
      <c r="AU537" t="str">
        <f t="shared" si="346"/>
        <v/>
      </c>
      <c r="AV537">
        <v>3328</v>
      </c>
      <c r="AW537" t="str">
        <f t="shared" si="356"/>
        <v>[{5000,11,1,2302,101},{5000,11,1,2301,103},{5000,11,1,2302,111},{5000,11,1,2301,112},{5000,11,1,2302,113}]</v>
      </c>
    </row>
    <row r="538" spans="2:49">
      <c r="B538">
        <v>3329</v>
      </c>
      <c r="C538" t="s">
        <v>48</v>
      </c>
      <c r="D538" t="str">
        <f t="shared" si="347"/>
        <v>24</v>
      </c>
      <c r="F538">
        <v>241</v>
      </c>
      <c r="G538">
        <v>5000</v>
      </c>
      <c r="H538">
        <f t="shared" si="313"/>
        <v>13</v>
      </c>
      <c r="I538">
        <v>1</v>
      </c>
      <c r="J538">
        <v>3</v>
      </c>
      <c r="K538">
        <f t="shared" si="348"/>
        <v>2303</v>
      </c>
      <c r="L538">
        <f t="shared" si="322"/>
        <v>101</v>
      </c>
      <c r="M538">
        <v>5000</v>
      </c>
      <c r="N538">
        <f t="shared" si="321"/>
        <v>13</v>
      </c>
      <c r="O538">
        <v>1</v>
      </c>
      <c r="P538">
        <f t="shared" si="349"/>
        <v>2303</v>
      </c>
      <c r="Q538">
        <v>53</v>
      </c>
      <c r="R538">
        <f t="shared" si="323"/>
        <v>102</v>
      </c>
      <c r="S538">
        <v>5000</v>
      </c>
      <c r="T538">
        <f t="shared" si="338"/>
        <v>13</v>
      </c>
      <c r="U538">
        <v>1</v>
      </c>
      <c r="V538">
        <f t="shared" si="350"/>
        <v>2303</v>
      </c>
      <c r="W538">
        <v>56</v>
      </c>
      <c r="X538">
        <f t="shared" si="324"/>
        <v>103</v>
      </c>
      <c r="Y538">
        <v>5000</v>
      </c>
      <c r="Z538">
        <f t="shared" si="339"/>
        <v>13</v>
      </c>
      <c r="AA538">
        <v>1</v>
      </c>
      <c r="AB538">
        <f t="shared" si="351"/>
        <v>2303</v>
      </c>
      <c r="AC538">
        <v>74</v>
      </c>
      <c r="AD538">
        <f t="shared" si="325"/>
        <v>113</v>
      </c>
      <c r="AE538">
        <v>5000</v>
      </c>
      <c r="AF538">
        <f t="shared" si="340"/>
        <v>13</v>
      </c>
      <c r="AG538">
        <v>1</v>
      </c>
      <c r="AH538">
        <f t="shared" si="352"/>
        <v>2303</v>
      </c>
      <c r="AI538">
        <v>78</v>
      </c>
      <c r="AJ538">
        <f t="shared" si="326"/>
        <v>111</v>
      </c>
      <c r="AP538" t="str">
        <f t="shared" si="341"/>
        <v>{5000,13,1,2303,101}</v>
      </c>
      <c r="AQ538" t="str">
        <f t="shared" si="342"/>
        <v>{5000,13,1,2303,102}</v>
      </c>
      <c r="AR538" t="str">
        <f t="shared" si="343"/>
        <v>{5000,13,1,2303,103}</v>
      </c>
      <c r="AS538" t="str">
        <f t="shared" si="344"/>
        <v>{5000,13,1,2303,113}</v>
      </c>
      <c r="AT538" t="str">
        <f t="shared" si="345"/>
        <v>{5000,13,1,2303,111}</v>
      </c>
      <c r="AU538" t="str">
        <f t="shared" si="346"/>
        <v/>
      </c>
      <c r="AV538">
        <v>3329</v>
      </c>
      <c r="AW538" t="str">
        <f t="shared" si="356"/>
        <v>[{5000,13,1,2303,101},{5000,13,1,2303,102},{5000,13,1,2303,103},{5000,13,1,2303,113},{5000,13,1,2303,111}]</v>
      </c>
    </row>
    <row r="539" spans="2:49">
      <c r="B539">
        <v>3330</v>
      </c>
      <c r="C539" t="s">
        <v>48</v>
      </c>
      <c r="D539" t="str">
        <f t="shared" si="347"/>
        <v>24</v>
      </c>
      <c r="F539">
        <v>256</v>
      </c>
      <c r="G539">
        <v>5000</v>
      </c>
      <c r="H539">
        <f t="shared" ref="H539:H602" si="357">H516</f>
        <v>12</v>
      </c>
      <c r="I539">
        <v>1</v>
      </c>
      <c r="J539">
        <v>2</v>
      </c>
      <c r="K539">
        <f t="shared" si="348"/>
        <v>2302</v>
      </c>
      <c r="L539">
        <f t="shared" si="322"/>
        <v>101</v>
      </c>
      <c r="M539">
        <v>5000</v>
      </c>
      <c r="N539">
        <f t="shared" si="321"/>
        <v>12</v>
      </c>
      <c r="O539">
        <v>1</v>
      </c>
      <c r="P539">
        <f t="shared" si="349"/>
        <v>2302</v>
      </c>
      <c r="Q539">
        <v>59</v>
      </c>
      <c r="R539">
        <f t="shared" si="323"/>
        <v>103</v>
      </c>
      <c r="S539">
        <v>5000</v>
      </c>
      <c r="T539">
        <f t="shared" si="338"/>
        <v>12</v>
      </c>
      <c r="U539">
        <v>1</v>
      </c>
      <c r="V539">
        <f t="shared" si="350"/>
        <v>2302</v>
      </c>
      <c r="W539">
        <v>79</v>
      </c>
      <c r="X539">
        <f t="shared" si="324"/>
        <v>111</v>
      </c>
      <c r="Y539">
        <v>5000</v>
      </c>
      <c r="Z539">
        <f t="shared" si="339"/>
        <v>12</v>
      </c>
      <c r="AA539">
        <v>1</v>
      </c>
      <c r="AB539">
        <f t="shared" si="351"/>
        <v>2301</v>
      </c>
      <c r="AC539">
        <v>72</v>
      </c>
      <c r="AD539">
        <f t="shared" si="325"/>
        <v>112</v>
      </c>
      <c r="AE539">
        <v>5000</v>
      </c>
      <c r="AF539">
        <f t="shared" si="340"/>
        <v>12</v>
      </c>
      <c r="AG539">
        <v>1</v>
      </c>
      <c r="AH539">
        <f t="shared" si="352"/>
        <v>2302</v>
      </c>
      <c r="AI539">
        <v>74</v>
      </c>
      <c r="AJ539">
        <f t="shared" si="326"/>
        <v>113</v>
      </c>
      <c r="AP539" t="str">
        <f t="shared" si="341"/>
        <v>{5000,12,1,2302,101}</v>
      </c>
      <c r="AQ539" t="str">
        <f t="shared" si="342"/>
        <v>{5000,12,1,2302,103}</v>
      </c>
      <c r="AR539" t="str">
        <f t="shared" si="343"/>
        <v>{5000,12,1,2302,111}</v>
      </c>
      <c r="AS539" t="str">
        <f t="shared" si="344"/>
        <v>{5000,12,1,2301,112}</v>
      </c>
      <c r="AT539" t="str">
        <f t="shared" si="345"/>
        <v>{5000,12,1,2302,113}</v>
      </c>
      <c r="AU539" t="str">
        <f t="shared" si="346"/>
        <v/>
      </c>
      <c r="AV539">
        <v>3330</v>
      </c>
      <c r="AW539" t="str">
        <f t="shared" si="356"/>
        <v>[{5000,12,1,2302,101},{5000,12,1,2302,103},{5000,12,1,2302,111},{5000,12,1,2301,112},{5000,12,1,2302,113}]</v>
      </c>
    </row>
    <row r="540" spans="2:49">
      <c r="B540">
        <v>3331</v>
      </c>
      <c r="C540" t="s">
        <v>48</v>
      </c>
      <c r="D540" t="str">
        <f t="shared" si="347"/>
        <v>24</v>
      </c>
      <c r="F540">
        <v>271</v>
      </c>
      <c r="G540">
        <v>5000</v>
      </c>
      <c r="H540">
        <f t="shared" si="357"/>
        <v>13</v>
      </c>
      <c r="I540">
        <v>1</v>
      </c>
      <c r="J540">
        <v>2</v>
      </c>
      <c r="K540">
        <f t="shared" si="348"/>
        <v>2302</v>
      </c>
      <c r="L540">
        <f t="shared" si="322"/>
        <v>101</v>
      </c>
      <c r="M540">
        <v>5000</v>
      </c>
      <c r="N540">
        <f t="shared" si="321"/>
        <v>13</v>
      </c>
      <c r="O540">
        <v>1</v>
      </c>
      <c r="P540">
        <f t="shared" si="349"/>
        <v>2302</v>
      </c>
      <c r="Q540">
        <v>54</v>
      </c>
      <c r="R540">
        <f t="shared" si="323"/>
        <v>102</v>
      </c>
      <c r="S540">
        <v>5000</v>
      </c>
      <c r="T540">
        <f t="shared" si="338"/>
        <v>13</v>
      </c>
      <c r="U540">
        <v>1</v>
      </c>
      <c r="V540">
        <f t="shared" si="350"/>
        <v>2302</v>
      </c>
      <c r="W540">
        <v>56</v>
      </c>
      <c r="X540">
        <f t="shared" si="324"/>
        <v>103</v>
      </c>
      <c r="Y540">
        <v>5000</v>
      </c>
      <c r="Z540">
        <f t="shared" si="339"/>
        <v>13</v>
      </c>
      <c r="AA540">
        <v>1</v>
      </c>
      <c r="AB540">
        <f t="shared" si="351"/>
        <v>2302</v>
      </c>
      <c r="AC540">
        <v>73</v>
      </c>
      <c r="AD540">
        <f t="shared" si="325"/>
        <v>113</v>
      </c>
      <c r="AE540">
        <v>5000</v>
      </c>
      <c r="AF540">
        <f t="shared" si="340"/>
        <v>13</v>
      </c>
      <c r="AG540">
        <v>1</v>
      </c>
      <c r="AH540">
        <f t="shared" si="352"/>
        <v>2302</v>
      </c>
      <c r="AI540">
        <v>75</v>
      </c>
      <c r="AJ540">
        <f t="shared" si="326"/>
        <v>111</v>
      </c>
      <c r="AP540" t="str">
        <f t="shared" si="341"/>
        <v>{5000,13,1,2302,101}</v>
      </c>
      <c r="AQ540" t="str">
        <f t="shared" si="342"/>
        <v>{5000,13,1,2302,102}</v>
      </c>
      <c r="AR540" t="str">
        <f t="shared" si="343"/>
        <v>{5000,13,1,2302,103}</v>
      </c>
      <c r="AS540" t="str">
        <f t="shared" si="344"/>
        <v>{5000,13,1,2302,113}</v>
      </c>
      <c r="AT540" t="str">
        <f t="shared" si="345"/>
        <v>{5000,13,1,2302,111}</v>
      </c>
      <c r="AU540" t="str">
        <f t="shared" si="346"/>
        <v/>
      </c>
      <c r="AV540">
        <v>3331</v>
      </c>
      <c r="AW540" t="str">
        <f t="shared" si="356"/>
        <v>[{5000,13,1,2302,101},{5000,13,1,2302,102},{5000,13,1,2302,103},{5000,13,1,2302,113},{5000,13,1,2302,111}]</v>
      </c>
    </row>
    <row r="541" spans="2:49">
      <c r="B541">
        <v>3332</v>
      </c>
      <c r="C541" t="s">
        <v>48</v>
      </c>
      <c r="D541" t="str">
        <f t="shared" si="347"/>
        <v>24</v>
      </c>
      <c r="F541">
        <v>286</v>
      </c>
      <c r="G541">
        <v>5000</v>
      </c>
      <c r="H541">
        <f t="shared" si="357"/>
        <v>13</v>
      </c>
      <c r="I541">
        <v>1</v>
      </c>
      <c r="J541">
        <v>2</v>
      </c>
      <c r="K541">
        <f t="shared" si="348"/>
        <v>2302</v>
      </c>
      <c r="L541">
        <f t="shared" si="322"/>
        <v>101</v>
      </c>
      <c r="M541">
        <v>5000</v>
      </c>
      <c r="N541">
        <f t="shared" si="321"/>
        <v>13</v>
      </c>
      <c r="O541">
        <v>1</v>
      </c>
      <c r="P541">
        <f t="shared" si="349"/>
        <v>2302</v>
      </c>
      <c r="Q541">
        <v>53</v>
      </c>
      <c r="R541">
        <f t="shared" si="323"/>
        <v>103</v>
      </c>
      <c r="S541">
        <v>5000</v>
      </c>
      <c r="T541">
        <f t="shared" si="338"/>
        <v>13</v>
      </c>
      <c r="U541">
        <v>1</v>
      </c>
      <c r="V541">
        <f t="shared" si="350"/>
        <v>2302</v>
      </c>
      <c r="W541">
        <v>59</v>
      </c>
      <c r="X541">
        <f t="shared" si="324"/>
        <v>111</v>
      </c>
      <c r="Y541">
        <v>5000</v>
      </c>
      <c r="Z541">
        <f t="shared" si="339"/>
        <v>13</v>
      </c>
      <c r="AA541">
        <v>1</v>
      </c>
      <c r="AB541">
        <f t="shared" si="351"/>
        <v>2302</v>
      </c>
      <c r="AC541">
        <v>71</v>
      </c>
      <c r="AD541">
        <f t="shared" si="325"/>
        <v>112</v>
      </c>
      <c r="AE541">
        <v>5000</v>
      </c>
      <c r="AF541">
        <f t="shared" si="340"/>
        <v>13</v>
      </c>
      <c r="AG541">
        <v>1</v>
      </c>
      <c r="AH541">
        <f t="shared" si="352"/>
        <v>2302</v>
      </c>
      <c r="AI541">
        <v>77</v>
      </c>
      <c r="AJ541">
        <f t="shared" si="326"/>
        <v>113</v>
      </c>
      <c r="AP541" t="str">
        <f t="shared" si="341"/>
        <v>{5000,13,1,2302,101}</v>
      </c>
      <c r="AQ541" t="str">
        <f t="shared" si="342"/>
        <v>{5000,13,1,2302,103}</v>
      </c>
      <c r="AR541" t="str">
        <f t="shared" si="343"/>
        <v>{5000,13,1,2302,111}</v>
      </c>
      <c r="AS541" t="str">
        <f t="shared" si="344"/>
        <v>{5000,13,1,2302,112}</v>
      </c>
      <c r="AT541" t="str">
        <f t="shared" si="345"/>
        <v>{5000,13,1,2302,113}</v>
      </c>
      <c r="AU541" t="str">
        <f t="shared" si="346"/>
        <v/>
      </c>
      <c r="AV541">
        <v>3332</v>
      </c>
      <c r="AW541" t="str">
        <f t="shared" si="356"/>
        <v>[{5000,13,1,2302,101},{5000,13,1,2302,103},{5000,13,1,2302,111},{5000,13,1,2302,112},{5000,13,1,2302,113}]</v>
      </c>
    </row>
    <row r="542" spans="2:49">
      <c r="B542">
        <v>3333</v>
      </c>
      <c r="C542" t="s">
        <v>48</v>
      </c>
      <c r="D542" t="str">
        <f t="shared" si="347"/>
        <v>24</v>
      </c>
      <c r="F542">
        <v>290</v>
      </c>
      <c r="G542">
        <v>5000</v>
      </c>
      <c r="H542">
        <f t="shared" si="357"/>
        <v>13</v>
      </c>
      <c r="I542">
        <v>1</v>
      </c>
      <c r="J542">
        <v>2</v>
      </c>
      <c r="K542">
        <f t="shared" si="348"/>
        <v>2302</v>
      </c>
      <c r="L542">
        <f t="shared" si="322"/>
        <v>101</v>
      </c>
      <c r="M542">
        <v>5000</v>
      </c>
      <c r="N542">
        <f t="shared" si="321"/>
        <v>13</v>
      </c>
      <c r="O542">
        <v>1</v>
      </c>
      <c r="P542">
        <f t="shared" si="349"/>
        <v>2302</v>
      </c>
      <c r="Q542">
        <v>56</v>
      </c>
      <c r="R542">
        <f t="shared" si="323"/>
        <v>102</v>
      </c>
      <c r="S542">
        <v>5000</v>
      </c>
      <c r="T542">
        <f t="shared" si="338"/>
        <v>13</v>
      </c>
      <c r="U542">
        <v>1</v>
      </c>
      <c r="V542">
        <f t="shared" si="350"/>
        <v>2301</v>
      </c>
      <c r="W542">
        <v>77</v>
      </c>
      <c r="X542">
        <f t="shared" si="324"/>
        <v>103</v>
      </c>
      <c r="Y542">
        <v>5000</v>
      </c>
      <c r="Z542">
        <f t="shared" si="339"/>
        <v>13</v>
      </c>
      <c r="AA542">
        <v>1</v>
      </c>
      <c r="AB542">
        <f t="shared" si="351"/>
        <v>2302</v>
      </c>
      <c r="AC542">
        <v>72</v>
      </c>
      <c r="AD542">
        <f t="shared" si="325"/>
        <v>113</v>
      </c>
      <c r="AE542">
        <v>5000</v>
      </c>
      <c r="AF542">
        <f t="shared" si="340"/>
        <v>13</v>
      </c>
      <c r="AG542">
        <v>1</v>
      </c>
      <c r="AH542">
        <f t="shared" si="352"/>
        <v>2302</v>
      </c>
      <c r="AI542">
        <v>74</v>
      </c>
      <c r="AJ542">
        <f t="shared" si="326"/>
        <v>111</v>
      </c>
      <c r="AP542" t="str">
        <f t="shared" si="341"/>
        <v>{5000,13,1,2302,101}</v>
      </c>
      <c r="AQ542" t="str">
        <f t="shared" si="342"/>
        <v>{5000,13,1,2302,102}</v>
      </c>
      <c r="AR542" t="str">
        <f t="shared" si="343"/>
        <v>{5000,13,1,2301,103}</v>
      </c>
      <c r="AS542" t="str">
        <f t="shared" si="344"/>
        <v>{5000,13,1,2302,113}</v>
      </c>
      <c r="AT542" t="str">
        <f t="shared" si="345"/>
        <v>{5000,13,1,2302,111}</v>
      </c>
      <c r="AU542" t="str">
        <f t="shared" si="346"/>
        <v/>
      </c>
      <c r="AV542">
        <v>3333</v>
      </c>
      <c r="AW542" t="str">
        <f t="shared" si="356"/>
        <v>[{5000,13,1,2302,101},{5000,13,1,2302,102},{5000,13,1,2301,103},{5000,13,1,2302,113},{5000,13,1,2302,111}]</v>
      </c>
    </row>
    <row r="543" spans="2:49">
      <c r="B543">
        <v>3411</v>
      </c>
      <c r="C543" t="s">
        <v>49</v>
      </c>
      <c r="D543" s="4" t="str">
        <f t="shared" si="347"/>
        <v>25</v>
      </c>
      <c r="E543" s="4"/>
      <c r="F543">
        <v>1</v>
      </c>
      <c r="G543">
        <v>5000</v>
      </c>
      <c r="H543">
        <f t="shared" si="357"/>
        <v>3</v>
      </c>
      <c r="I543">
        <v>1</v>
      </c>
      <c r="J543">
        <v>1</v>
      </c>
      <c r="K543">
        <f t="shared" si="348"/>
        <v>2401</v>
      </c>
      <c r="L543">
        <f t="shared" si="322"/>
        <v>101</v>
      </c>
      <c r="M543">
        <v>5000</v>
      </c>
      <c r="N543">
        <f t="shared" si="321"/>
        <v>3</v>
      </c>
      <c r="O543">
        <v>1</v>
      </c>
      <c r="P543">
        <f t="shared" si="349"/>
        <v>2401</v>
      </c>
      <c r="Q543">
        <v>55</v>
      </c>
      <c r="R543">
        <f t="shared" si="323"/>
        <v>102</v>
      </c>
      <c r="S543">
        <v>5000</v>
      </c>
      <c r="T543">
        <f t="shared" si="338"/>
        <v>3</v>
      </c>
      <c r="U543">
        <v>1</v>
      </c>
      <c r="V543">
        <f t="shared" si="350"/>
        <v>2401</v>
      </c>
      <c r="W543">
        <v>60</v>
      </c>
      <c r="X543">
        <f t="shared" si="324"/>
        <v>103</v>
      </c>
      <c r="Y543">
        <v>5000</v>
      </c>
      <c r="Z543">
        <f t="shared" si="339"/>
        <v>3</v>
      </c>
      <c r="AA543">
        <v>1</v>
      </c>
      <c r="AB543">
        <f t="shared" si="351"/>
        <v>2401</v>
      </c>
      <c r="AC543">
        <v>71</v>
      </c>
      <c r="AD543">
        <f t="shared" si="325"/>
        <v>113</v>
      </c>
      <c r="AE543">
        <v>5000</v>
      </c>
      <c r="AF543">
        <f t="shared" si="340"/>
        <v>3</v>
      </c>
      <c r="AG543">
        <v>1</v>
      </c>
      <c r="AH543">
        <f t="shared" si="352"/>
        <v>2401</v>
      </c>
      <c r="AI543">
        <v>76</v>
      </c>
      <c r="AJ543">
        <f t="shared" si="326"/>
        <v>111</v>
      </c>
      <c r="AP543" t="str">
        <f t="shared" si="341"/>
        <v>{5000,3,1,2401,101}</v>
      </c>
      <c r="AQ543" t="str">
        <f t="shared" si="342"/>
        <v>{5000,3,1,2401,102}</v>
      </c>
      <c r="AR543" t="str">
        <f t="shared" si="343"/>
        <v>{5000,3,1,2401,103}</v>
      </c>
      <c r="AS543" t="str">
        <f t="shared" si="344"/>
        <v>{5000,3,1,2401,113}</v>
      </c>
      <c r="AT543" t="str">
        <f t="shared" si="345"/>
        <v>{5000,3,1,2401,111}</v>
      </c>
      <c r="AU543" t="str">
        <f t="shared" si="346"/>
        <v/>
      </c>
      <c r="AV543">
        <v>3411</v>
      </c>
      <c r="AW543" t="str">
        <f t="shared" si="356"/>
        <v>[{5000,3,1,2401,101},{5000,3,1,2401,102},{5000,3,1,2401,103},{5000,3,1,2401,113},{5000,3,1,2401,111}]</v>
      </c>
    </row>
    <row r="544" spans="2:49">
      <c r="B544">
        <v>3412</v>
      </c>
      <c r="C544" t="s">
        <v>49</v>
      </c>
      <c r="D544" t="str">
        <f t="shared" si="347"/>
        <v>25</v>
      </c>
      <c r="F544">
        <v>16</v>
      </c>
      <c r="G544">
        <v>5000</v>
      </c>
      <c r="H544">
        <f t="shared" si="357"/>
        <v>3</v>
      </c>
      <c r="I544">
        <v>1</v>
      </c>
      <c r="J544">
        <v>1</v>
      </c>
      <c r="K544">
        <f t="shared" ref="K544:K566" si="358">IF($J544="","",K521+100)</f>
        <v>2401</v>
      </c>
      <c r="L544">
        <f t="shared" si="322"/>
        <v>101</v>
      </c>
      <c r="M544">
        <v>5000</v>
      </c>
      <c r="N544">
        <f t="shared" si="321"/>
        <v>3</v>
      </c>
      <c r="O544">
        <v>1</v>
      </c>
      <c r="P544">
        <f t="shared" ref="P544:P566" si="359">IF($J544="","",P521+100)</f>
        <v>2401</v>
      </c>
      <c r="Q544">
        <v>55</v>
      </c>
      <c r="R544">
        <f t="shared" si="323"/>
        <v>103</v>
      </c>
      <c r="S544">
        <v>5000</v>
      </c>
      <c r="T544">
        <f t="shared" si="338"/>
        <v>3</v>
      </c>
      <c r="U544">
        <v>1</v>
      </c>
      <c r="V544">
        <f t="shared" ref="V544:V566" si="360">IF($J544="","",V521+100)</f>
        <v>2401</v>
      </c>
      <c r="W544">
        <v>75</v>
      </c>
      <c r="X544">
        <f t="shared" si="324"/>
        <v>111</v>
      </c>
      <c r="Y544">
        <v>5000</v>
      </c>
      <c r="Z544">
        <f t="shared" si="339"/>
        <v>3</v>
      </c>
      <c r="AA544">
        <v>1</v>
      </c>
      <c r="AB544">
        <f t="shared" ref="AB544:AB566" si="361">IF($J544="","",AB521+100)</f>
        <v>2401</v>
      </c>
      <c r="AC544">
        <v>73</v>
      </c>
      <c r="AD544">
        <f t="shared" si="325"/>
        <v>112</v>
      </c>
      <c r="AE544">
        <v>5000</v>
      </c>
      <c r="AF544">
        <f t="shared" si="340"/>
        <v>3</v>
      </c>
      <c r="AG544">
        <v>1</v>
      </c>
      <c r="AH544">
        <f t="shared" ref="AH544:AH566" si="362">IF($J544="","",AH521+100)</f>
        <v>2401</v>
      </c>
      <c r="AI544">
        <v>78</v>
      </c>
      <c r="AJ544">
        <f t="shared" si="326"/>
        <v>113</v>
      </c>
      <c r="AP544" t="str">
        <f t="shared" si="341"/>
        <v>{5000,3,1,2401,101}</v>
      </c>
      <c r="AQ544" t="str">
        <f t="shared" si="342"/>
        <v>{5000,3,1,2401,103}</v>
      </c>
      <c r="AR544" t="str">
        <f t="shared" si="343"/>
        <v>{5000,3,1,2401,111}</v>
      </c>
      <c r="AS544" t="str">
        <f t="shared" si="344"/>
        <v>{5000,3,1,2401,112}</v>
      </c>
      <c r="AT544" t="str">
        <f t="shared" si="345"/>
        <v>{5000,3,1,2401,113}</v>
      </c>
      <c r="AU544" t="str">
        <f t="shared" si="346"/>
        <v/>
      </c>
      <c r="AV544">
        <v>3412</v>
      </c>
      <c r="AW544" t="str">
        <f t="shared" si="356"/>
        <v>[{5000,3,1,2401,101},{5000,3,1,2401,103},{5000,3,1,2401,111},{5000,3,1,2401,112},{5000,3,1,2401,113}]</v>
      </c>
    </row>
    <row r="545" spans="2:49">
      <c r="B545">
        <v>3413</v>
      </c>
      <c r="C545" t="s">
        <v>49</v>
      </c>
      <c r="D545" t="str">
        <f t="shared" si="347"/>
        <v>25</v>
      </c>
      <c r="F545">
        <v>31</v>
      </c>
      <c r="G545">
        <v>5000</v>
      </c>
      <c r="H545">
        <f t="shared" si="357"/>
        <v>6</v>
      </c>
      <c r="I545">
        <v>1</v>
      </c>
      <c r="J545">
        <v>1</v>
      </c>
      <c r="K545">
        <f t="shared" si="358"/>
        <v>2401</v>
      </c>
      <c r="L545">
        <f t="shared" si="322"/>
        <v>101</v>
      </c>
      <c r="M545">
        <v>5000</v>
      </c>
      <c r="N545">
        <f t="shared" si="321"/>
        <v>6</v>
      </c>
      <c r="O545">
        <v>1</v>
      </c>
      <c r="P545">
        <f t="shared" si="359"/>
        <v>2401</v>
      </c>
      <c r="Q545">
        <v>55</v>
      </c>
      <c r="R545">
        <f t="shared" si="323"/>
        <v>102</v>
      </c>
      <c r="S545">
        <v>5000</v>
      </c>
      <c r="T545">
        <f t="shared" si="338"/>
        <v>6</v>
      </c>
      <c r="U545">
        <v>1</v>
      </c>
      <c r="V545">
        <f t="shared" si="360"/>
        <v>2401</v>
      </c>
      <c r="W545">
        <v>58</v>
      </c>
      <c r="X545">
        <f t="shared" si="324"/>
        <v>103</v>
      </c>
      <c r="Y545">
        <v>5000</v>
      </c>
      <c r="Z545">
        <f t="shared" si="339"/>
        <v>6</v>
      </c>
      <c r="AA545">
        <v>1</v>
      </c>
      <c r="AB545">
        <f t="shared" si="361"/>
        <v>2401</v>
      </c>
      <c r="AC545">
        <v>76</v>
      </c>
      <c r="AD545">
        <f t="shared" si="325"/>
        <v>113</v>
      </c>
      <c r="AE545">
        <v>5000</v>
      </c>
      <c r="AF545">
        <f t="shared" si="340"/>
        <v>6</v>
      </c>
      <c r="AG545">
        <v>1</v>
      </c>
      <c r="AH545">
        <f t="shared" si="362"/>
        <v>2401</v>
      </c>
      <c r="AI545">
        <v>79</v>
      </c>
      <c r="AJ545">
        <f t="shared" si="326"/>
        <v>111</v>
      </c>
      <c r="AP545" t="str">
        <f t="shared" si="341"/>
        <v>{5000,6,1,2401,101}</v>
      </c>
      <c r="AQ545" t="str">
        <f t="shared" si="342"/>
        <v>{5000,6,1,2401,102}</v>
      </c>
      <c r="AR545" t="str">
        <f t="shared" si="343"/>
        <v>{5000,6,1,2401,103}</v>
      </c>
      <c r="AS545" t="str">
        <f t="shared" si="344"/>
        <v>{5000,6,1,2401,113}</v>
      </c>
      <c r="AT545" t="str">
        <f t="shared" si="345"/>
        <v>{5000,6,1,2401,111}</v>
      </c>
      <c r="AU545" t="str">
        <f t="shared" si="346"/>
        <v/>
      </c>
      <c r="AV545">
        <v>3413</v>
      </c>
      <c r="AW545" t="str">
        <f t="shared" si="356"/>
        <v>[{5000,6,1,2401,101},{5000,6,1,2401,102},{5000,6,1,2401,103},{5000,6,1,2401,113},{5000,6,1,2401,111}]</v>
      </c>
    </row>
    <row r="546" spans="2:49">
      <c r="B546">
        <v>3414</v>
      </c>
      <c r="C546" t="s">
        <v>49</v>
      </c>
      <c r="D546" t="str">
        <f t="shared" si="347"/>
        <v>25</v>
      </c>
      <c r="F546">
        <v>46</v>
      </c>
      <c r="G546">
        <v>5000</v>
      </c>
      <c r="H546">
        <f t="shared" si="357"/>
        <v>6</v>
      </c>
      <c r="I546">
        <v>1</v>
      </c>
      <c r="J546">
        <v>1</v>
      </c>
      <c r="K546">
        <f t="shared" si="358"/>
        <v>2401</v>
      </c>
      <c r="L546">
        <f t="shared" si="322"/>
        <v>101</v>
      </c>
      <c r="M546">
        <v>5000</v>
      </c>
      <c r="N546">
        <f t="shared" si="321"/>
        <v>6</v>
      </c>
      <c r="O546">
        <v>1</v>
      </c>
      <c r="P546">
        <f t="shared" si="359"/>
        <v>2401</v>
      </c>
      <c r="Q546">
        <v>55</v>
      </c>
      <c r="R546">
        <f t="shared" si="323"/>
        <v>103</v>
      </c>
      <c r="S546">
        <v>5000</v>
      </c>
      <c r="T546">
        <f t="shared" si="338"/>
        <v>6</v>
      </c>
      <c r="U546">
        <v>1</v>
      </c>
      <c r="V546">
        <f t="shared" si="360"/>
        <v>2402</v>
      </c>
      <c r="W546">
        <v>76</v>
      </c>
      <c r="X546">
        <f t="shared" si="324"/>
        <v>111</v>
      </c>
      <c r="Y546">
        <v>5000</v>
      </c>
      <c r="Z546">
        <f t="shared" si="339"/>
        <v>6</v>
      </c>
      <c r="AA546">
        <v>1</v>
      </c>
      <c r="AB546">
        <f t="shared" si="361"/>
        <v>2401</v>
      </c>
      <c r="AC546">
        <v>71</v>
      </c>
      <c r="AD546">
        <f t="shared" si="325"/>
        <v>112</v>
      </c>
      <c r="AE546">
        <v>5000</v>
      </c>
      <c r="AF546">
        <f t="shared" si="340"/>
        <v>6</v>
      </c>
      <c r="AG546">
        <v>1</v>
      </c>
      <c r="AH546">
        <f t="shared" si="362"/>
        <v>2401</v>
      </c>
      <c r="AI546">
        <v>71</v>
      </c>
      <c r="AJ546">
        <f t="shared" si="326"/>
        <v>113</v>
      </c>
      <c r="AP546" t="str">
        <f t="shared" si="341"/>
        <v>{5000,6,1,2401,101}</v>
      </c>
      <c r="AQ546" t="str">
        <f t="shared" si="342"/>
        <v>{5000,6,1,2401,103}</v>
      </c>
      <c r="AR546" t="str">
        <f t="shared" si="343"/>
        <v>{5000,6,1,2402,111}</v>
      </c>
      <c r="AS546" t="str">
        <f t="shared" si="344"/>
        <v>{5000,6,1,2401,112}</v>
      </c>
      <c r="AT546" t="str">
        <f t="shared" si="345"/>
        <v>{5000,6,1,2401,113}</v>
      </c>
      <c r="AU546" t="str">
        <f t="shared" si="346"/>
        <v/>
      </c>
      <c r="AV546">
        <v>3414</v>
      </c>
      <c r="AW546" t="str">
        <f t="shared" si="356"/>
        <v>[{5000,6,1,2401,101},{5000,6,1,2401,103},{5000,6,1,2402,111},{5000,6,1,2401,112},{5000,6,1,2401,113}]</v>
      </c>
    </row>
    <row r="547" spans="2:49">
      <c r="B547">
        <v>3415</v>
      </c>
      <c r="C547" t="s">
        <v>49</v>
      </c>
      <c r="D547" t="str">
        <f t="shared" si="347"/>
        <v>25</v>
      </c>
      <c r="F547">
        <v>61</v>
      </c>
      <c r="G547">
        <v>5000</v>
      </c>
      <c r="H547">
        <f t="shared" si="357"/>
        <v>8</v>
      </c>
      <c r="I547">
        <v>1</v>
      </c>
      <c r="J547">
        <v>3</v>
      </c>
      <c r="K547">
        <f t="shared" si="358"/>
        <v>2403</v>
      </c>
      <c r="L547">
        <f t="shared" si="322"/>
        <v>101</v>
      </c>
      <c r="M547">
        <v>5000</v>
      </c>
      <c r="N547">
        <f t="shared" si="321"/>
        <v>8</v>
      </c>
      <c r="O547">
        <v>1</v>
      </c>
      <c r="P547">
        <f t="shared" si="359"/>
        <v>2403</v>
      </c>
      <c r="Q547">
        <v>56</v>
      </c>
      <c r="R547">
        <f t="shared" si="323"/>
        <v>102</v>
      </c>
      <c r="S547">
        <v>5000</v>
      </c>
      <c r="T547">
        <f t="shared" si="338"/>
        <v>8</v>
      </c>
      <c r="U547">
        <v>1</v>
      </c>
      <c r="V547">
        <f t="shared" si="360"/>
        <v>2403</v>
      </c>
      <c r="W547">
        <v>57</v>
      </c>
      <c r="X547">
        <f t="shared" si="324"/>
        <v>103</v>
      </c>
      <c r="Y547">
        <v>5000</v>
      </c>
      <c r="Z547">
        <f t="shared" si="339"/>
        <v>8</v>
      </c>
      <c r="AA547">
        <v>1</v>
      </c>
      <c r="AB547">
        <f t="shared" si="361"/>
        <v>2403</v>
      </c>
      <c r="AC547">
        <v>72</v>
      </c>
      <c r="AD547">
        <f t="shared" si="325"/>
        <v>113</v>
      </c>
      <c r="AE547">
        <v>5000</v>
      </c>
      <c r="AF547">
        <f t="shared" si="340"/>
        <v>8</v>
      </c>
      <c r="AG547">
        <v>1</v>
      </c>
      <c r="AH547">
        <f t="shared" si="362"/>
        <v>2403</v>
      </c>
      <c r="AI547">
        <v>71</v>
      </c>
      <c r="AJ547">
        <f t="shared" si="326"/>
        <v>111</v>
      </c>
      <c r="AP547" t="str">
        <f t="shared" si="341"/>
        <v>{5000,8,1,2403,101}</v>
      </c>
      <c r="AQ547" t="str">
        <f t="shared" si="342"/>
        <v>{5000,8,1,2403,102}</v>
      </c>
      <c r="AR547" t="str">
        <f t="shared" si="343"/>
        <v>{5000,8,1,2403,103}</v>
      </c>
      <c r="AS547" t="str">
        <f t="shared" si="344"/>
        <v>{5000,8,1,2403,113}</v>
      </c>
      <c r="AT547" t="str">
        <f t="shared" si="345"/>
        <v>{5000,8,1,2403,111}</v>
      </c>
      <c r="AU547" t="str">
        <f t="shared" si="346"/>
        <v/>
      </c>
      <c r="AV547">
        <v>3415</v>
      </c>
      <c r="AW547" t="str">
        <f t="shared" si="356"/>
        <v>[{5000,8,1,2403,101},{5000,8,1,2403,102},{5000,8,1,2403,103},{5000,8,1,2403,113},{5000,8,1,2403,111}]</v>
      </c>
    </row>
    <row r="548" spans="2:49">
      <c r="B548">
        <v>3416</v>
      </c>
      <c r="C548" t="s">
        <v>49</v>
      </c>
      <c r="D548" t="str">
        <f t="shared" si="347"/>
        <v>25</v>
      </c>
      <c r="F548">
        <v>76</v>
      </c>
      <c r="G548">
        <v>5000</v>
      </c>
      <c r="H548">
        <f t="shared" si="357"/>
        <v>8</v>
      </c>
      <c r="I548">
        <v>1</v>
      </c>
      <c r="J548">
        <v>1</v>
      </c>
      <c r="K548">
        <f t="shared" si="358"/>
        <v>2401</v>
      </c>
      <c r="L548">
        <f t="shared" si="322"/>
        <v>101</v>
      </c>
      <c r="M548">
        <v>5000</v>
      </c>
      <c r="N548">
        <f t="shared" si="321"/>
        <v>8</v>
      </c>
      <c r="O548">
        <v>1</v>
      </c>
      <c r="P548">
        <f t="shared" si="359"/>
        <v>2401</v>
      </c>
      <c r="Q548">
        <v>59</v>
      </c>
      <c r="R548">
        <f t="shared" si="323"/>
        <v>103</v>
      </c>
      <c r="S548">
        <v>5000</v>
      </c>
      <c r="T548">
        <f t="shared" si="338"/>
        <v>8</v>
      </c>
      <c r="U548">
        <v>1</v>
      </c>
      <c r="V548">
        <f t="shared" si="360"/>
        <v>2402</v>
      </c>
      <c r="W548">
        <v>71</v>
      </c>
      <c r="X548">
        <f t="shared" si="324"/>
        <v>111</v>
      </c>
      <c r="Y548">
        <v>5000</v>
      </c>
      <c r="Z548">
        <f t="shared" si="339"/>
        <v>8</v>
      </c>
      <c r="AA548">
        <v>1</v>
      </c>
      <c r="AB548">
        <f t="shared" si="361"/>
        <v>2401</v>
      </c>
      <c r="AC548">
        <v>71</v>
      </c>
      <c r="AD548">
        <f t="shared" si="325"/>
        <v>112</v>
      </c>
      <c r="AE548">
        <v>5000</v>
      </c>
      <c r="AF548">
        <f t="shared" si="340"/>
        <v>8</v>
      </c>
      <c r="AG548">
        <v>1</v>
      </c>
      <c r="AH548">
        <f t="shared" si="362"/>
        <v>2401</v>
      </c>
      <c r="AI548">
        <v>79</v>
      </c>
      <c r="AJ548">
        <f t="shared" si="326"/>
        <v>113</v>
      </c>
      <c r="AP548" t="str">
        <f t="shared" si="341"/>
        <v>{5000,8,1,2401,101}</v>
      </c>
      <c r="AQ548" t="str">
        <f t="shared" si="342"/>
        <v>{5000,8,1,2401,103}</v>
      </c>
      <c r="AR548" t="str">
        <f t="shared" si="343"/>
        <v>{5000,8,1,2402,111}</v>
      </c>
      <c r="AS548" t="str">
        <f t="shared" si="344"/>
        <v>{5000,8,1,2401,112}</v>
      </c>
      <c r="AT548" t="str">
        <f t="shared" si="345"/>
        <v>{5000,8,1,2401,113}</v>
      </c>
      <c r="AU548" t="str">
        <f t="shared" si="346"/>
        <v/>
      </c>
      <c r="AV548">
        <v>3416</v>
      </c>
      <c r="AW548" t="str">
        <f t="shared" si="356"/>
        <v>[{5000,8,1,2401,101},{5000,8,1,2401,103},{5000,8,1,2402,111},{5000,8,1,2401,112},{5000,8,1,2401,113}]</v>
      </c>
    </row>
    <row r="549" spans="2:49">
      <c r="B549">
        <v>3417</v>
      </c>
      <c r="C549" t="s">
        <v>49</v>
      </c>
      <c r="D549" t="str">
        <f t="shared" si="347"/>
        <v>25</v>
      </c>
      <c r="F549">
        <v>91</v>
      </c>
      <c r="G549">
        <v>5000</v>
      </c>
      <c r="H549">
        <f t="shared" si="357"/>
        <v>8</v>
      </c>
      <c r="I549">
        <v>1</v>
      </c>
      <c r="J549">
        <v>1</v>
      </c>
      <c r="K549">
        <f t="shared" si="358"/>
        <v>2401</v>
      </c>
      <c r="L549">
        <f t="shared" si="322"/>
        <v>101</v>
      </c>
      <c r="M549">
        <v>5000</v>
      </c>
      <c r="N549">
        <f t="shared" si="321"/>
        <v>8</v>
      </c>
      <c r="O549">
        <v>1</v>
      </c>
      <c r="P549">
        <f t="shared" si="359"/>
        <v>2401</v>
      </c>
      <c r="Q549">
        <v>54</v>
      </c>
      <c r="R549">
        <f t="shared" si="323"/>
        <v>102</v>
      </c>
      <c r="S549">
        <v>5000</v>
      </c>
      <c r="T549">
        <f t="shared" si="338"/>
        <v>8</v>
      </c>
      <c r="U549">
        <v>1</v>
      </c>
      <c r="V549">
        <f t="shared" si="360"/>
        <v>2402</v>
      </c>
      <c r="W549">
        <v>51</v>
      </c>
      <c r="X549">
        <f t="shared" si="324"/>
        <v>103</v>
      </c>
      <c r="Y549">
        <v>5000</v>
      </c>
      <c r="Z549">
        <f t="shared" si="339"/>
        <v>8</v>
      </c>
      <c r="AA549">
        <v>1</v>
      </c>
      <c r="AB549">
        <f t="shared" si="361"/>
        <v>2401</v>
      </c>
      <c r="AC549">
        <v>71</v>
      </c>
      <c r="AD549">
        <f t="shared" si="325"/>
        <v>113</v>
      </c>
      <c r="AE549">
        <v>5000</v>
      </c>
      <c r="AF549">
        <f t="shared" si="340"/>
        <v>8</v>
      </c>
      <c r="AG549">
        <v>1</v>
      </c>
      <c r="AH549">
        <f t="shared" si="362"/>
        <v>2402</v>
      </c>
      <c r="AI549">
        <v>77</v>
      </c>
      <c r="AJ549">
        <f t="shared" si="326"/>
        <v>111</v>
      </c>
      <c r="AP549" t="str">
        <f t="shared" si="341"/>
        <v>{5000,8,1,2401,101}</v>
      </c>
      <c r="AQ549" t="str">
        <f t="shared" si="342"/>
        <v>{5000,8,1,2401,102}</v>
      </c>
      <c r="AR549" t="str">
        <f t="shared" si="343"/>
        <v>{5000,8,1,2402,103}</v>
      </c>
      <c r="AS549" t="str">
        <f t="shared" si="344"/>
        <v>{5000,8,1,2401,113}</v>
      </c>
      <c r="AT549" t="str">
        <f t="shared" si="345"/>
        <v>{5000,8,1,2402,111}</v>
      </c>
      <c r="AU549" t="str">
        <f t="shared" si="346"/>
        <v/>
      </c>
      <c r="AV549">
        <v>3417</v>
      </c>
      <c r="AW549" t="str">
        <f t="shared" si="356"/>
        <v>[{5000,8,1,2401,101},{5000,8,1,2401,102},{5000,8,1,2402,103},{5000,8,1,2401,113},{5000,8,1,2402,111}]</v>
      </c>
    </row>
    <row r="550" spans="2:49">
      <c r="B550">
        <v>3418</v>
      </c>
      <c r="C550" t="s">
        <v>49</v>
      </c>
      <c r="D550" t="str">
        <f t="shared" si="347"/>
        <v>25</v>
      </c>
      <c r="F550">
        <v>106</v>
      </c>
      <c r="G550">
        <v>5000</v>
      </c>
      <c r="H550">
        <f t="shared" si="357"/>
        <v>8</v>
      </c>
      <c r="I550">
        <v>1</v>
      </c>
      <c r="J550">
        <v>1</v>
      </c>
      <c r="K550">
        <f t="shared" si="358"/>
        <v>2401</v>
      </c>
      <c r="L550">
        <f t="shared" si="322"/>
        <v>101</v>
      </c>
      <c r="M550">
        <v>5000</v>
      </c>
      <c r="N550">
        <f t="shared" ref="N550:N613" si="363">H550</f>
        <v>8</v>
      </c>
      <c r="O550">
        <v>1</v>
      </c>
      <c r="P550">
        <f t="shared" si="359"/>
        <v>2401</v>
      </c>
      <c r="Q550">
        <v>55</v>
      </c>
      <c r="R550">
        <f t="shared" si="323"/>
        <v>103</v>
      </c>
      <c r="S550">
        <v>5000</v>
      </c>
      <c r="T550">
        <f t="shared" si="338"/>
        <v>8</v>
      </c>
      <c r="U550">
        <v>1</v>
      </c>
      <c r="V550">
        <f t="shared" si="360"/>
        <v>2402</v>
      </c>
      <c r="W550">
        <v>73</v>
      </c>
      <c r="X550">
        <f t="shared" si="324"/>
        <v>111</v>
      </c>
      <c r="Y550">
        <v>5000</v>
      </c>
      <c r="Z550">
        <f t="shared" si="339"/>
        <v>8</v>
      </c>
      <c r="AA550">
        <v>1</v>
      </c>
      <c r="AB550">
        <f t="shared" si="361"/>
        <v>2401</v>
      </c>
      <c r="AC550">
        <v>78</v>
      </c>
      <c r="AD550">
        <f t="shared" si="325"/>
        <v>112</v>
      </c>
      <c r="AE550">
        <v>5000</v>
      </c>
      <c r="AF550">
        <f t="shared" si="340"/>
        <v>8</v>
      </c>
      <c r="AG550">
        <v>1</v>
      </c>
      <c r="AH550">
        <f t="shared" si="362"/>
        <v>2402</v>
      </c>
      <c r="AI550">
        <v>71</v>
      </c>
      <c r="AJ550">
        <f t="shared" si="326"/>
        <v>113</v>
      </c>
      <c r="AP550" t="str">
        <f t="shared" si="341"/>
        <v>{5000,8,1,2401,101}</v>
      </c>
      <c r="AQ550" t="str">
        <f t="shared" si="342"/>
        <v>{5000,8,1,2401,103}</v>
      </c>
      <c r="AR550" t="str">
        <f t="shared" si="343"/>
        <v>{5000,8,1,2402,111}</v>
      </c>
      <c r="AS550" t="str">
        <f t="shared" si="344"/>
        <v>{5000,8,1,2401,112}</v>
      </c>
      <c r="AT550" t="str">
        <f t="shared" si="345"/>
        <v>{5000,8,1,2402,113}</v>
      </c>
      <c r="AU550" t="str">
        <f t="shared" si="346"/>
        <v/>
      </c>
      <c r="AV550">
        <v>3418</v>
      </c>
      <c r="AW550" t="str">
        <f t="shared" si="356"/>
        <v>[{5000,8,1,2401,101},{5000,8,1,2401,103},{5000,8,1,2402,111},{5000,8,1,2401,112},{5000,8,1,2402,113}]</v>
      </c>
    </row>
    <row r="551" spans="2:48">
      <c r="B551">
        <v>3419</v>
      </c>
      <c r="C551" t="s">
        <v>49</v>
      </c>
      <c r="D551" t="str">
        <f t="shared" si="347"/>
        <v>25</v>
      </c>
      <c r="F551">
        <v>119</v>
      </c>
      <c r="H551">
        <f t="shared" si="357"/>
        <v>0</v>
      </c>
      <c r="K551" t="str">
        <f t="shared" si="358"/>
        <v/>
      </c>
      <c r="L551" t="str">
        <f t="shared" ref="L551:L614" si="364">IF(L528="","",L528)</f>
        <v/>
      </c>
      <c r="N551">
        <f t="shared" si="363"/>
        <v>0</v>
      </c>
      <c r="P551" t="str">
        <f t="shared" si="359"/>
        <v/>
      </c>
      <c r="R551" t="str">
        <f t="shared" ref="R551:R614" si="365">IF(R528="","",R528)</f>
        <v/>
      </c>
      <c r="T551">
        <f t="shared" si="338"/>
        <v>0</v>
      </c>
      <c r="V551" t="str">
        <f t="shared" si="360"/>
        <v/>
      </c>
      <c r="X551" t="str">
        <f t="shared" ref="X551:X614" si="366">IF(X528="","",X528)</f>
        <v/>
      </c>
      <c r="Z551">
        <f t="shared" si="339"/>
        <v>0</v>
      </c>
      <c r="AB551" t="str">
        <f t="shared" si="361"/>
        <v/>
      </c>
      <c r="AD551" t="str">
        <f t="shared" ref="AD551:AD614" si="367">IF(AD528="","",AD528)</f>
        <v/>
      </c>
      <c r="AF551">
        <f t="shared" si="340"/>
        <v>0</v>
      </c>
      <c r="AH551" t="str">
        <f t="shared" si="362"/>
        <v/>
      </c>
      <c r="AJ551" t="str">
        <f t="shared" ref="AJ551:AJ614" si="368">IF(AJ528="","",AJ528)</f>
        <v/>
      </c>
      <c r="AP551" t="str">
        <f t="shared" si="341"/>
        <v/>
      </c>
      <c r="AQ551" t="str">
        <f t="shared" si="342"/>
        <v/>
      </c>
      <c r="AR551" t="str">
        <f t="shared" si="343"/>
        <v/>
      </c>
      <c r="AS551" t="str">
        <f t="shared" si="344"/>
        <v/>
      </c>
      <c r="AT551" t="str">
        <f t="shared" si="345"/>
        <v/>
      </c>
      <c r="AU551" t="str">
        <f t="shared" si="346"/>
        <v/>
      </c>
      <c r="AV551">
        <v>3419</v>
      </c>
    </row>
    <row r="552" spans="2:49">
      <c r="B552">
        <v>3420</v>
      </c>
      <c r="C552" t="s">
        <v>49</v>
      </c>
      <c r="D552" t="str">
        <f t="shared" si="347"/>
        <v>25</v>
      </c>
      <c r="F552">
        <v>121</v>
      </c>
      <c r="G552">
        <v>5000</v>
      </c>
      <c r="H552">
        <f t="shared" si="357"/>
        <v>10</v>
      </c>
      <c r="I552">
        <v>1</v>
      </c>
      <c r="J552">
        <v>3</v>
      </c>
      <c r="K552">
        <f t="shared" si="358"/>
        <v>2403</v>
      </c>
      <c r="L552">
        <f t="shared" si="364"/>
        <v>101</v>
      </c>
      <c r="M552">
        <v>5000</v>
      </c>
      <c r="N552">
        <f t="shared" si="363"/>
        <v>10</v>
      </c>
      <c r="O552">
        <v>1</v>
      </c>
      <c r="P552">
        <f t="shared" si="359"/>
        <v>2403</v>
      </c>
      <c r="Q552">
        <v>54</v>
      </c>
      <c r="R552">
        <f t="shared" si="365"/>
        <v>102</v>
      </c>
      <c r="S552">
        <v>5000</v>
      </c>
      <c r="T552">
        <f t="shared" si="338"/>
        <v>10</v>
      </c>
      <c r="U552">
        <v>1</v>
      </c>
      <c r="V552">
        <f t="shared" si="360"/>
        <v>2403</v>
      </c>
      <c r="W552">
        <v>51</v>
      </c>
      <c r="X552">
        <f t="shared" si="366"/>
        <v>103</v>
      </c>
      <c r="Y552">
        <v>5000</v>
      </c>
      <c r="Z552">
        <f t="shared" si="339"/>
        <v>10</v>
      </c>
      <c r="AA552">
        <v>1</v>
      </c>
      <c r="AB552">
        <f t="shared" si="361"/>
        <v>2403</v>
      </c>
      <c r="AC552">
        <v>71</v>
      </c>
      <c r="AD552">
        <f t="shared" si="367"/>
        <v>113</v>
      </c>
      <c r="AE552">
        <v>5000</v>
      </c>
      <c r="AF552">
        <f t="shared" si="340"/>
        <v>10</v>
      </c>
      <c r="AG552">
        <v>1</v>
      </c>
      <c r="AH552">
        <f t="shared" si="362"/>
        <v>2403</v>
      </c>
      <c r="AI552">
        <v>79</v>
      </c>
      <c r="AJ552">
        <f t="shared" si="368"/>
        <v>111</v>
      </c>
      <c r="AK552">
        <v>1000</v>
      </c>
      <c r="AL552">
        <v>1</v>
      </c>
      <c r="AM552">
        <v>0</v>
      </c>
      <c r="AN552">
        <f t="shared" ref="AN552" si="369">AN529+100</f>
        <v>2421</v>
      </c>
      <c r="AO552">
        <v>4</v>
      </c>
      <c r="AP552" t="str">
        <f t="shared" si="341"/>
        <v>{5000,10,1,2403,101}</v>
      </c>
      <c r="AQ552" t="str">
        <f t="shared" si="342"/>
        <v>{5000,10,1,2403,102}</v>
      </c>
      <c r="AR552" t="str">
        <f t="shared" si="343"/>
        <v>{5000,10,1,2403,103}</v>
      </c>
      <c r="AS552" t="str">
        <f t="shared" si="344"/>
        <v>{5000,10,1,2403,113}</v>
      </c>
      <c r="AT552" t="str">
        <f t="shared" si="345"/>
        <v>{5000,10,1,2403,111}</v>
      </c>
      <c r="AU552" t="str">
        <f t="shared" si="346"/>
        <v>{1000,1,0,2421,4}</v>
      </c>
      <c r="AV552">
        <v>3420</v>
      </c>
      <c r="AW552" t="str">
        <f t="shared" ref="AW552:AW557" si="370">IF(AU552="","["&amp;_xlfn.TEXTJOIN(",",1,AP552:AT552)&amp;"]","["&amp;_xlfn.TEXTJOIN(",",1,AP552:AU552)&amp;"]")</f>
        <v>[{5000,10,1,2403,101},{5000,10,1,2403,102},{5000,10,1,2403,103},{5000,10,1,2403,113},{5000,10,1,2403,111},{1000,1,0,2421,4}]</v>
      </c>
    </row>
    <row r="553" spans="2:49">
      <c r="B553">
        <v>3421</v>
      </c>
      <c r="C553" t="s">
        <v>49</v>
      </c>
      <c r="D553" t="str">
        <f t="shared" si="347"/>
        <v>25</v>
      </c>
      <c r="F553">
        <v>136</v>
      </c>
      <c r="G553">
        <v>5000</v>
      </c>
      <c r="H553">
        <f t="shared" si="357"/>
        <v>9</v>
      </c>
      <c r="I553">
        <v>1</v>
      </c>
      <c r="J553">
        <v>1</v>
      </c>
      <c r="K553">
        <f t="shared" si="358"/>
        <v>2401</v>
      </c>
      <c r="L553">
        <f t="shared" si="364"/>
        <v>101</v>
      </c>
      <c r="M553">
        <v>5000</v>
      </c>
      <c r="N553">
        <f t="shared" si="363"/>
        <v>9</v>
      </c>
      <c r="O553">
        <v>1</v>
      </c>
      <c r="P553">
        <f t="shared" si="359"/>
        <v>2401</v>
      </c>
      <c r="Q553">
        <v>54</v>
      </c>
      <c r="R553">
        <f t="shared" si="365"/>
        <v>103</v>
      </c>
      <c r="S553">
        <v>5000</v>
      </c>
      <c r="T553">
        <f t="shared" si="338"/>
        <v>9</v>
      </c>
      <c r="U553">
        <v>1</v>
      </c>
      <c r="V553">
        <f t="shared" si="360"/>
        <v>2402</v>
      </c>
      <c r="W553">
        <v>76</v>
      </c>
      <c r="X553">
        <f t="shared" si="366"/>
        <v>111</v>
      </c>
      <c r="Y553">
        <v>5000</v>
      </c>
      <c r="Z553">
        <f t="shared" si="339"/>
        <v>9</v>
      </c>
      <c r="AA553">
        <v>1</v>
      </c>
      <c r="AB553">
        <f t="shared" si="361"/>
        <v>2401</v>
      </c>
      <c r="AC553">
        <v>72</v>
      </c>
      <c r="AD553">
        <f t="shared" si="367"/>
        <v>112</v>
      </c>
      <c r="AE553">
        <v>5000</v>
      </c>
      <c r="AF553">
        <f t="shared" si="340"/>
        <v>9</v>
      </c>
      <c r="AG553">
        <v>1</v>
      </c>
      <c r="AH553">
        <f t="shared" si="362"/>
        <v>2402</v>
      </c>
      <c r="AI553">
        <v>74</v>
      </c>
      <c r="AJ553">
        <f t="shared" si="368"/>
        <v>113</v>
      </c>
      <c r="AP553" t="str">
        <f t="shared" si="341"/>
        <v>{5000,9,1,2401,101}</v>
      </c>
      <c r="AQ553" t="str">
        <f t="shared" si="342"/>
        <v>{5000,9,1,2401,103}</v>
      </c>
      <c r="AR553" t="str">
        <f t="shared" si="343"/>
        <v>{5000,9,1,2402,111}</v>
      </c>
      <c r="AS553" t="str">
        <f t="shared" si="344"/>
        <v>{5000,9,1,2401,112}</v>
      </c>
      <c r="AT553" t="str">
        <f t="shared" si="345"/>
        <v>{5000,9,1,2402,113}</v>
      </c>
      <c r="AU553" t="str">
        <f t="shared" si="346"/>
        <v/>
      </c>
      <c r="AV553">
        <v>3421</v>
      </c>
      <c r="AW553" t="str">
        <f t="shared" si="370"/>
        <v>[{5000,9,1,2401,101},{5000,9,1,2401,103},{5000,9,1,2402,111},{5000,9,1,2401,112},{5000,9,1,2402,113}]</v>
      </c>
    </row>
    <row r="554" spans="2:49">
      <c r="B554">
        <v>3422</v>
      </c>
      <c r="C554" t="s">
        <v>49</v>
      </c>
      <c r="D554" t="str">
        <f t="shared" si="347"/>
        <v>25</v>
      </c>
      <c r="F554">
        <v>151</v>
      </c>
      <c r="G554">
        <v>5000</v>
      </c>
      <c r="H554">
        <f t="shared" si="357"/>
        <v>10</v>
      </c>
      <c r="I554">
        <v>1</v>
      </c>
      <c r="J554">
        <v>1</v>
      </c>
      <c r="K554">
        <f t="shared" si="358"/>
        <v>2401</v>
      </c>
      <c r="L554">
        <f t="shared" si="364"/>
        <v>101</v>
      </c>
      <c r="M554">
        <v>5000</v>
      </c>
      <c r="N554">
        <f t="shared" si="363"/>
        <v>10</v>
      </c>
      <c r="O554">
        <v>1</v>
      </c>
      <c r="P554">
        <f t="shared" si="359"/>
        <v>2401</v>
      </c>
      <c r="Q554">
        <v>54</v>
      </c>
      <c r="R554">
        <f t="shared" si="365"/>
        <v>102</v>
      </c>
      <c r="S554">
        <v>5000</v>
      </c>
      <c r="T554">
        <f t="shared" si="338"/>
        <v>10</v>
      </c>
      <c r="U554">
        <v>1</v>
      </c>
      <c r="V554">
        <f t="shared" si="360"/>
        <v>2402</v>
      </c>
      <c r="W554">
        <v>56</v>
      </c>
      <c r="X554">
        <f t="shared" si="366"/>
        <v>103</v>
      </c>
      <c r="Y554">
        <v>5000</v>
      </c>
      <c r="Z554">
        <f t="shared" si="339"/>
        <v>10</v>
      </c>
      <c r="AA554">
        <v>1</v>
      </c>
      <c r="AB554">
        <f t="shared" si="361"/>
        <v>2401</v>
      </c>
      <c r="AC554">
        <v>72</v>
      </c>
      <c r="AD554">
        <f t="shared" si="367"/>
        <v>113</v>
      </c>
      <c r="AE554">
        <v>5000</v>
      </c>
      <c r="AF554">
        <f t="shared" si="340"/>
        <v>10</v>
      </c>
      <c r="AG554">
        <v>1</v>
      </c>
      <c r="AH554">
        <f t="shared" si="362"/>
        <v>2402</v>
      </c>
      <c r="AI554">
        <v>74</v>
      </c>
      <c r="AJ554">
        <f t="shared" si="368"/>
        <v>111</v>
      </c>
      <c r="AP554" t="str">
        <f t="shared" si="341"/>
        <v>{5000,10,1,2401,101}</v>
      </c>
      <c r="AQ554" t="str">
        <f t="shared" si="342"/>
        <v>{5000,10,1,2401,102}</v>
      </c>
      <c r="AR554" t="str">
        <f t="shared" si="343"/>
        <v>{5000,10,1,2402,103}</v>
      </c>
      <c r="AS554" t="str">
        <f t="shared" si="344"/>
        <v>{5000,10,1,2401,113}</v>
      </c>
      <c r="AT554" t="str">
        <f t="shared" si="345"/>
        <v>{5000,10,1,2402,111}</v>
      </c>
      <c r="AU554" t="str">
        <f t="shared" si="346"/>
        <v/>
      </c>
      <c r="AV554">
        <v>3422</v>
      </c>
      <c r="AW554" t="str">
        <f t="shared" si="370"/>
        <v>[{5000,10,1,2401,101},{5000,10,1,2401,102},{5000,10,1,2402,103},{5000,10,1,2401,113},{5000,10,1,2402,111}]</v>
      </c>
    </row>
    <row r="555" spans="2:49">
      <c r="B555">
        <v>3423</v>
      </c>
      <c r="C555" t="s">
        <v>49</v>
      </c>
      <c r="D555" t="str">
        <f t="shared" si="347"/>
        <v>25</v>
      </c>
      <c r="F555">
        <v>166</v>
      </c>
      <c r="G555">
        <v>5000</v>
      </c>
      <c r="H555">
        <f t="shared" si="357"/>
        <v>11</v>
      </c>
      <c r="I555">
        <v>1</v>
      </c>
      <c r="J555">
        <v>1</v>
      </c>
      <c r="K555">
        <f t="shared" si="358"/>
        <v>2401</v>
      </c>
      <c r="L555">
        <f t="shared" si="364"/>
        <v>101</v>
      </c>
      <c r="M555">
        <v>5000</v>
      </c>
      <c r="N555">
        <f t="shared" si="363"/>
        <v>11</v>
      </c>
      <c r="O555">
        <v>1</v>
      </c>
      <c r="P555">
        <f t="shared" si="359"/>
        <v>2401</v>
      </c>
      <c r="Q555">
        <v>59</v>
      </c>
      <c r="R555">
        <f t="shared" si="365"/>
        <v>103</v>
      </c>
      <c r="S555">
        <v>5000</v>
      </c>
      <c r="T555">
        <f t="shared" si="338"/>
        <v>11</v>
      </c>
      <c r="U555">
        <v>1</v>
      </c>
      <c r="V555">
        <f t="shared" si="360"/>
        <v>2402</v>
      </c>
      <c r="W555">
        <v>79</v>
      </c>
      <c r="X555">
        <f t="shared" si="366"/>
        <v>111</v>
      </c>
      <c r="Y555">
        <v>5000</v>
      </c>
      <c r="Z555">
        <f t="shared" si="339"/>
        <v>11</v>
      </c>
      <c r="AA555">
        <v>1</v>
      </c>
      <c r="AB555">
        <f t="shared" si="361"/>
        <v>2401</v>
      </c>
      <c r="AC555">
        <v>71</v>
      </c>
      <c r="AD555">
        <f t="shared" si="367"/>
        <v>112</v>
      </c>
      <c r="AE555">
        <v>5000</v>
      </c>
      <c r="AF555">
        <f t="shared" si="340"/>
        <v>11</v>
      </c>
      <c r="AG555">
        <v>1</v>
      </c>
      <c r="AH555">
        <f t="shared" si="362"/>
        <v>2402</v>
      </c>
      <c r="AI555">
        <v>74</v>
      </c>
      <c r="AJ555">
        <f t="shared" si="368"/>
        <v>113</v>
      </c>
      <c r="AP555" t="str">
        <f t="shared" si="341"/>
        <v>{5000,11,1,2401,101}</v>
      </c>
      <c r="AQ555" t="str">
        <f t="shared" si="342"/>
        <v>{5000,11,1,2401,103}</v>
      </c>
      <c r="AR555" t="str">
        <f t="shared" si="343"/>
        <v>{5000,11,1,2402,111}</v>
      </c>
      <c r="AS555" t="str">
        <f t="shared" si="344"/>
        <v>{5000,11,1,2401,112}</v>
      </c>
      <c r="AT555" t="str">
        <f t="shared" si="345"/>
        <v>{5000,11,1,2402,113}</v>
      </c>
      <c r="AU555" t="str">
        <f t="shared" si="346"/>
        <v/>
      </c>
      <c r="AV555">
        <v>3423</v>
      </c>
      <c r="AW555" t="str">
        <f t="shared" si="370"/>
        <v>[{5000,11,1,2401,101},{5000,11,1,2401,103},{5000,11,1,2402,111},{5000,11,1,2401,112},{5000,11,1,2402,113}]</v>
      </c>
    </row>
    <row r="556" spans="2:49">
      <c r="B556">
        <v>3424</v>
      </c>
      <c r="C556" t="s">
        <v>49</v>
      </c>
      <c r="D556" t="str">
        <f t="shared" si="347"/>
        <v>25</v>
      </c>
      <c r="F556">
        <v>181</v>
      </c>
      <c r="G556">
        <v>5000</v>
      </c>
      <c r="H556">
        <f t="shared" si="357"/>
        <v>12</v>
      </c>
      <c r="I556">
        <v>1</v>
      </c>
      <c r="J556">
        <v>3</v>
      </c>
      <c r="K556">
        <f t="shared" si="358"/>
        <v>2403</v>
      </c>
      <c r="L556">
        <f t="shared" si="364"/>
        <v>101</v>
      </c>
      <c r="M556">
        <v>5000</v>
      </c>
      <c r="N556">
        <f t="shared" si="363"/>
        <v>12</v>
      </c>
      <c r="O556">
        <v>1</v>
      </c>
      <c r="P556">
        <f t="shared" si="359"/>
        <v>2403</v>
      </c>
      <c r="Q556">
        <v>53</v>
      </c>
      <c r="R556">
        <f t="shared" si="365"/>
        <v>102</v>
      </c>
      <c r="S556">
        <v>5000</v>
      </c>
      <c r="T556">
        <f t="shared" si="338"/>
        <v>12</v>
      </c>
      <c r="U556">
        <v>1</v>
      </c>
      <c r="V556">
        <f t="shared" si="360"/>
        <v>2403</v>
      </c>
      <c r="W556">
        <v>56</v>
      </c>
      <c r="X556">
        <f t="shared" si="366"/>
        <v>103</v>
      </c>
      <c r="Y556">
        <v>5000</v>
      </c>
      <c r="Z556">
        <f t="shared" si="339"/>
        <v>12</v>
      </c>
      <c r="AA556">
        <v>1</v>
      </c>
      <c r="AB556">
        <f t="shared" si="361"/>
        <v>2403</v>
      </c>
      <c r="AC556">
        <v>75</v>
      </c>
      <c r="AD556">
        <f t="shared" si="367"/>
        <v>113</v>
      </c>
      <c r="AE556">
        <v>5000</v>
      </c>
      <c r="AF556">
        <f t="shared" si="340"/>
        <v>12</v>
      </c>
      <c r="AG556">
        <v>1</v>
      </c>
      <c r="AH556">
        <f t="shared" si="362"/>
        <v>2403</v>
      </c>
      <c r="AI556">
        <v>78</v>
      </c>
      <c r="AJ556">
        <f t="shared" si="368"/>
        <v>111</v>
      </c>
      <c r="AP556" t="str">
        <f t="shared" si="341"/>
        <v>{5000,12,1,2403,101}</v>
      </c>
      <c r="AQ556" t="str">
        <f t="shared" si="342"/>
        <v>{5000,12,1,2403,102}</v>
      </c>
      <c r="AR556" t="str">
        <f t="shared" si="343"/>
        <v>{5000,12,1,2403,103}</v>
      </c>
      <c r="AS556" t="str">
        <f t="shared" si="344"/>
        <v>{5000,12,1,2403,113}</v>
      </c>
      <c r="AT556" t="str">
        <f t="shared" si="345"/>
        <v>{5000,12,1,2403,111}</v>
      </c>
      <c r="AU556" t="str">
        <f t="shared" si="346"/>
        <v/>
      </c>
      <c r="AV556">
        <v>3424</v>
      </c>
      <c r="AW556" t="str">
        <f t="shared" si="370"/>
        <v>[{5000,12,1,2403,101},{5000,12,1,2403,102},{5000,12,1,2403,103},{5000,12,1,2403,113},{5000,12,1,2403,111}]</v>
      </c>
    </row>
    <row r="557" spans="2:49">
      <c r="B557">
        <v>3425</v>
      </c>
      <c r="C557" t="s">
        <v>49</v>
      </c>
      <c r="D557" t="str">
        <f t="shared" si="347"/>
        <v>25</v>
      </c>
      <c r="F557">
        <v>196</v>
      </c>
      <c r="G557">
        <v>5000</v>
      </c>
      <c r="H557">
        <f t="shared" si="357"/>
        <v>12</v>
      </c>
      <c r="I557">
        <v>1</v>
      </c>
      <c r="J557">
        <v>2</v>
      </c>
      <c r="K557">
        <f t="shared" si="358"/>
        <v>2402</v>
      </c>
      <c r="L557">
        <f t="shared" si="364"/>
        <v>101</v>
      </c>
      <c r="M557">
        <v>5000</v>
      </c>
      <c r="N557">
        <f t="shared" si="363"/>
        <v>12</v>
      </c>
      <c r="O557">
        <v>1</v>
      </c>
      <c r="P557">
        <f t="shared" si="359"/>
        <v>2401</v>
      </c>
      <c r="Q557">
        <v>54</v>
      </c>
      <c r="R557">
        <f t="shared" si="365"/>
        <v>103</v>
      </c>
      <c r="S557">
        <v>5000</v>
      </c>
      <c r="T557">
        <f t="shared" si="338"/>
        <v>12</v>
      </c>
      <c r="U557">
        <v>1</v>
      </c>
      <c r="V557">
        <f t="shared" si="360"/>
        <v>2402</v>
      </c>
      <c r="W557">
        <v>77</v>
      </c>
      <c r="X557">
        <f t="shared" si="366"/>
        <v>111</v>
      </c>
      <c r="Y557">
        <v>5000</v>
      </c>
      <c r="Z557">
        <f t="shared" si="339"/>
        <v>12</v>
      </c>
      <c r="AA557">
        <v>1</v>
      </c>
      <c r="AB557">
        <f t="shared" si="361"/>
        <v>2401</v>
      </c>
      <c r="AC557">
        <v>72</v>
      </c>
      <c r="AD557">
        <f t="shared" si="367"/>
        <v>112</v>
      </c>
      <c r="AE557">
        <v>5000</v>
      </c>
      <c r="AF557">
        <f t="shared" si="340"/>
        <v>12</v>
      </c>
      <c r="AG557">
        <v>1</v>
      </c>
      <c r="AH557">
        <f t="shared" si="362"/>
        <v>2402</v>
      </c>
      <c r="AI557">
        <v>74</v>
      </c>
      <c r="AJ557">
        <f t="shared" si="368"/>
        <v>113</v>
      </c>
      <c r="AP557" t="str">
        <f t="shared" si="341"/>
        <v>{5000,12,1,2402,101}</v>
      </c>
      <c r="AQ557" t="str">
        <f t="shared" si="342"/>
        <v>{5000,12,1,2401,103}</v>
      </c>
      <c r="AR557" t="str">
        <f t="shared" si="343"/>
        <v>{5000,12,1,2402,111}</v>
      </c>
      <c r="AS557" t="str">
        <f t="shared" si="344"/>
        <v>{5000,12,1,2401,112}</v>
      </c>
      <c r="AT557" t="str">
        <f t="shared" si="345"/>
        <v>{5000,12,1,2402,113}</v>
      </c>
      <c r="AU557" t="str">
        <f t="shared" si="346"/>
        <v/>
      </c>
      <c r="AV557">
        <v>3425</v>
      </c>
      <c r="AW557" t="str">
        <f t="shared" si="370"/>
        <v>[{5000,12,1,2402,101},{5000,12,1,2401,103},{5000,12,1,2402,111},{5000,12,1,2401,112},{5000,12,1,2402,113}]</v>
      </c>
    </row>
    <row r="558" spans="2:48">
      <c r="B558">
        <v>3426</v>
      </c>
      <c r="C558" t="s">
        <v>49</v>
      </c>
      <c r="D558" t="str">
        <f t="shared" si="347"/>
        <v>25</v>
      </c>
      <c r="F558">
        <v>209</v>
      </c>
      <c r="H558">
        <f t="shared" si="357"/>
        <v>0</v>
      </c>
      <c r="K558" t="str">
        <f t="shared" si="358"/>
        <v/>
      </c>
      <c r="L558" t="str">
        <f t="shared" si="364"/>
        <v/>
      </c>
      <c r="N558">
        <f t="shared" si="363"/>
        <v>0</v>
      </c>
      <c r="P558" t="str">
        <f t="shared" si="359"/>
        <v/>
      </c>
      <c r="R558" t="str">
        <f t="shared" si="365"/>
        <v/>
      </c>
      <c r="T558">
        <f t="shared" si="338"/>
        <v>0</v>
      </c>
      <c r="V558" t="str">
        <f t="shared" si="360"/>
        <v/>
      </c>
      <c r="X558" t="str">
        <f t="shared" si="366"/>
        <v/>
      </c>
      <c r="Z558">
        <f t="shared" si="339"/>
        <v>0</v>
      </c>
      <c r="AB558" t="str">
        <f t="shared" si="361"/>
        <v/>
      </c>
      <c r="AD558" t="str">
        <f t="shared" si="367"/>
        <v/>
      </c>
      <c r="AF558">
        <f t="shared" si="340"/>
        <v>0</v>
      </c>
      <c r="AH558" t="str">
        <f t="shared" si="362"/>
        <v/>
      </c>
      <c r="AJ558" t="str">
        <f t="shared" si="368"/>
        <v/>
      </c>
      <c r="AP558" t="str">
        <f t="shared" si="341"/>
        <v/>
      </c>
      <c r="AQ558" t="str">
        <f t="shared" si="342"/>
        <v/>
      </c>
      <c r="AR558" t="str">
        <f t="shared" si="343"/>
        <v/>
      </c>
      <c r="AS558" t="str">
        <f t="shared" si="344"/>
        <v/>
      </c>
      <c r="AT558" t="str">
        <f t="shared" si="345"/>
        <v/>
      </c>
      <c r="AU558" t="str">
        <f t="shared" si="346"/>
        <v/>
      </c>
      <c r="AV558">
        <v>3426</v>
      </c>
    </row>
    <row r="559" spans="2:49">
      <c r="B559">
        <v>3427</v>
      </c>
      <c r="C559" t="s">
        <v>49</v>
      </c>
      <c r="D559" t="str">
        <f t="shared" si="347"/>
        <v>25</v>
      </c>
      <c r="F559">
        <v>211</v>
      </c>
      <c r="G559">
        <v>5000</v>
      </c>
      <c r="H559">
        <f t="shared" si="357"/>
        <v>11</v>
      </c>
      <c r="I559">
        <v>1</v>
      </c>
      <c r="J559">
        <v>2</v>
      </c>
      <c r="K559">
        <f t="shared" si="358"/>
        <v>2402</v>
      </c>
      <c r="L559">
        <f t="shared" si="364"/>
        <v>101</v>
      </c>
      <c r="M559">
        <v>5000</v>
      </c>
      <c r="N559">
        <f t="shared" si="363"/>
        <v>11</v>
      </c>
      <c r="O559">
        <v>1</v>
      </c>
      <c r="P559">
        <f t="shared" si="359"/>
        <v>2401</v>
      </c>
      <c r="Q559">
        <v>51</v>
      </c>
      <c r="R559">
        <f t="shared" si="365"/>
        <v>102</v>
      </c>
      <c r="S559">
        <v>5000</v>
      </c>
      <c r="T559">
        <f t="shared" si="338"/>
        <v>11</v>
      </c>
      <c r="U559">
        <v>1</v>
      </c>
      <c r="V559">
        <f t="shared" si="360"/>
        <v>2402</v>
      </c>
      <c r="W559">
        <v>57</v>
      </c>
      <c r="X559">
        <f t="shared" si="366"/>
        <v>103</v>
      </c>
      <c r="Y559">
        <v>5000</v>
      </c>
      <c r="Z559">
        <f t="shared" si="339"/>
        <v>11</v>
      </c>
      <c r="AA559">
        <v>1</v>
      </c>
      <c r="AB559">
        <f t="shared" si="361"/>
        <v>2401</v>
      </c>
      <c r="AC559">
        <v>79</v>
      </c>
      <c r="AD559">
        <f t="shared" si="367"/>
        <v>113</v>
      </c>
      <c r="AE559">
        <v>5000</v>
      </c>
      <c r="AF559">
        <f t="shared" si="340"/>
        <v>11</v>
      </c>
      <c r="AG559">
        <v>1</v>
      </c>
      <c r="AH559">
        <f t="shared" si="362"/>
        <v>2402</v>
      </c>
      <c r="AI559">
        <v>72</v>
      </c>
      <c r="AJ559">
        <f t="shared" si="368"/>
        <v>111</v>
      </c>
      <c r="AK559">
        <v>1000</v>
      </c>
      <c r="AL559">
        <v>1</v>
      </c>
      <c r="AM559">
        <v>0</v>
      </c>
      <c r="AN559">
        <f t="shared" ref="AN559" si="371">AN536+100</f>
        <v>2431</v>
      </c>
      <c r="AO559">
        <v>4</v>
      </c>
      <c r="AP559" t="str">
        <f t="shared" si="341"/>
        <v>{5000,11,1,2402,101}</v>
      </c>
      <c r="AQ559" t="str">
        <f t="shared" si="342"/>
        <v>{5000,11,1,2401,102}</v>
      </c>
      <c r="AR559" t="str">
        <f t="shared" si="343"/>
        <v>{5000,11,1,2402,103}</v>
      </c>
      <c r="AS559" t="str">
        <f t="shared" si="344"/>
        <v>{5000,11,1,2401,113}</v>
      </c>
      <c r="AT559" t="str">
        <f t="shared" si="345"/>
        <v>{5000,11,1,2402,111}</v>
      </c>
      <c r="AU559" t="str">
        <f t="shared" si="346"/>
        <v>{1000,1,0,2431,4}</v>
      </c>
      <c r="AV559">
        <v>3427</v>
      </c>
      <c r="AW559" t="str">
        <f t="shared" ref="AW559:AW573" si="372">IF(AU559="","["&amp;_xlfn.TEXTJOIN(",",1,AP559:AT559)&amp;"]","["&amp;_xlfn.TEXTJOIN(",",1,AP559:AU559)&amp;"]")</f>
        <v>[{5000,11,1,2402,101},{5000,11,1,2401,102},{5000,11,1,2402,103},{5000,11,1,2401,113},{5000,11,1,2402,111},{1000,1,0,2431,4}]</v>
      </c>
    </row>
    <row r="560" spans="2:49">
      <c r="B560">
        <v>3428</v>
      </c>
      <c r="C560" t="s">
        <v>49</v>
      </c>
      <c r="D560" t="str">
        <f t="shared" si="347"/>
        <v>25</v>
      </c>
      <c r="F560">
        <v>226</v>
      </c>
      <c r="G560">
        <v>5000</v>
      </c>
      <c r="H560">
        <f t="shared" si="357"/>
        <v>11</v>
      </c>
      <c r="I560">
        <v>1</v>
      </c>
      <c r="J560">
        <v>2</v>
      </c>
      <c r="K560">
        <f t="shared" si="358"/>
        <v>2402</v>
      </c>
      <c r="L560">
        <f t="shared" si="364"/>
        <v>101</v>
      </c>
      <c r="M560">
        <v>5000</v>
      </c>
      <c r="N560">
        <f t="shared" si="363"/>
        <v>11</v>
      </c>
      <c r="O560">
        <v>1</v>
      </c>
      <c r="P560">
        <f t="shared" si="359"/>
        <v>2401</v>
      </c>
      <c r="Q560">
        <v>51</v>
      </c>
      <c r="R560">
        <f t="shared" si="365"/>
        <v>103</v>
      </c>
      <c r="S560">
        <v>5000</v>
      </c>
      <c r="T560">
        <f t="shared" si="338"/>
        <v>11</v>
      </c>
      <c r="U560">
        <v>1</v>
      </c>
      <c r="V560">
        <f t="shared" si="360"/>
        <v>2402</v>
      </c>
      <c r="W560">
        <v>75</v>
      </c>
      <c r="X560">
        <f t="shared" si="366"/>
        <v>111</v>
      </c>
      <c r="Y560">
        <v>5000</v>
      </c>
      <c r="Z560">
        <f t="shared" si="339"/>
        <v>11</v>
      </c>
      <c r="AA560">
        <v>1</v>
      </c>
      <c r="AB560">
        <f t="shared" si="361"/>
        <v>2401</v>
      </c>
      <c r="AC560">
        <v>71</v>
      </c>
      <c r="AD560">
        <f t="shared" si="367"/>
        <v>112</v>
      </c>
      <c r="AE560">
        <v>5000</v>
      </c>
      <c r="AF560">
        <f t="shared" si="340"/>
        <v>11</v>
      </c>
      <c r="AG560">
        <v>1</v>
      </c>
      <c r="AH560">
        <f t="shared" si="362"/>
        <v>2402</v>
      </c>
      <c r="AI560">
        <v>77</v>
      </c>
      <c r="AJ560">
        <f t="shared" si="368"/>
        <v>113</v>
      </c>
      <c r="AP560" t="str">
        <f t="shared" si="341"/>
        <v>{5000,11,1,2402,101}</v>
      </c>
      <c r="AQ560" t="str">
        <f t="shared" si="342"/>
        <v>{5000,11,1,2401,103}</v>
      </c>
      <c r="AR560" t="str">
        <f t="shared" si="343"/>
        <v>{5000,11,1,2402,111}</v>
      </c>
      <c r="AS560" t="str">
        <f t="shared" si="344"/>
        <v>{5000,11,1,2401,112}</v>
      </c>
      <c r="AT560" t="str">
        <f t="shared" si="345"/>
        <v>{5000,11,1,2402,113}</v>
      </c>
      <c r="AU560" t="str">
        <f t="shared" si="346"/>
        <v/>
      </c>
      <c r="AV560">
        <v>3428</v>
      </c>
      <c r="AW560" t="str">
        <f t="shared" si="372"/>
        <v>[{5000,11,1,2402,101},{5000,11,1,2401,103},{5000,11,1,2402,111},{5000,11,1,2401,112},{5000,11,1,2402,113}]</v>
      </c>
    </row>
    <row r="561" spans="2:49">
      <c r="B561">
        <v>3429</v>
      </c>
      <c r="C561" t="s">
        <v>49</v>
      </c>
      <c r="D561" t="str">
        <f t="shared" si="347"/>
        <v>25</v>
      </c>
      <c r="F561">
        <v>241</v>
      </c>
      <c r="G561">
        <v>5000</v>
      </c>
      <c r="H561">
        <f t="shared" si="357"/>
        <v>13</v>
      </c>
      <c r="I561">
        <v>1</v>
      </c>
      <c r="J561">
        <v>3</v>
      </c>
      <c r="K561">
        <f t="shared" si="358"/>
        <v>2403</v>
      </c>
      <c r="L561">
        <f t="shared" si="364"/>
        <v>101</v>
      </c>
      <c r="M561">
        <v>5000</v>
      </c>
      <c r="N561">
        <f t="shared" si="363"/>
        <v>13</v>
      </c>
      <c r="O561">
        <v>1</v>
      </c>
      <c r="P561">
        <f t="shared" si="359"/>
        <v>2403</v>
      </c>
      <c r="Q561">
        <v>53</v>
      </c>
      <c r="R561">
        <f t="shared" si="365"/>
        <v>102</v>
      </c>
      <c r="S561">
        <v>5000</v>
      </c>
      <c r="T561">
        <f t="shared" si="338"/>
        <v>13</v>
      </c>
      <c r="U561">
        <v>1</v>
      </c>
      <c r="V561">
        <f t="shared" si="360"/>
        <v>2403</v>
      </c>
      <c r="W561">
        <v>56</v>
      </c>
      <c r="X561">
        <f t="shared" si="366"/>
        <v>103</v>
      </c>
      <c r="Y561">
        <v>5000</v>
      </c>
      <c r="Z561">
        <f t="shared" si="339"/>
        <v>13</v>
      </c>
      <c r="AA561">
        <v>1</v>
      </c>
      <c r="AB561">
        <f t="shared" si="361"/>
        <v>2403</v>
      </c>
      <c r="AC561">
        <v>74</v>
      </c>
      <c r="AD561">
        <f t="shared" si="367"/>
        <v>113</v>
      </c>
      <c r="AE561">
        <v>5000</v>
      </c>
      <c r="AF561">
        <f t="shared" si="340"/>
        <v>13</v>
      </c>
      <c r="AG561">
        <v>1</v>
      </c>
      <c r="AH561">
        <f t="shared" si="362"/>
        <v>2403</v>
      </c>
      <c r="AI561">
        <v>78</v>
      </c>
      <c r="AJ561">
        <f t="shared" si="368"/>
        <v>111</v>
      </c>
      <c r="AP561" t="str">
        <f t="shared" si="341"/>
        <v>{5000,13,1,2403,101}</v>
      </c>
      <c r="AQ561" t="str">
        <f t="shared" si="342"/>
        <v>{5000,13,1,2403,102}</v>
      </c>
      <c r="AR561" t="str">
        <f t="shared" si="343"/>
        <v>{5000,13,1,2403,103}</v>
      </c>
      <c r="AS561" t="str">
        <f t="shared" si="344"/>
        <v>{5000,13,1,2403,113}</v>
      </c>
      <c r="AT561" t="str">
        <f t="shared" si="345"/>
        <v>{5000,13,1,2403,111}</v>
      </c>
      <c r="AU561" t="str">
        <f t="shared" si="346"/>
        <v/>
      </c>
      <c r="AV561">
        <v>3429</v>
      </c>
      <c r="AW561" t="str">
        <f t="shared" si="372"/>
        <v>[{5000,13,1,2403,101},{5000,13,1,2403,102},{5000,13,1,2403,103},{5000,13,1,2403,113},{5000,13,1,2403,111}]</v>
      </c>
    </row>
    <row r="562" spans="2:49">
      <c r="B562">
        <v>3430</v>
      </c>
      <c r="C562" t="s">
        <v>49</v>
      </c>
      <c r="D562" t="str">
        <f t="shared" si="347"/>
        <v>25</v>
      </c>
      <c r="F562">
        <v>256</v>
      </c>
      <c r="G562">
        <v>5000</v>
      </c>
      <c r="H562">
        <f t="shared" si="357"/>
        <v>12</v>
      </c>
      <c r="I562">
        <v>1</v>
      </c>
      <c r="J562">
        <v>2</v>
      </c>
      <c r="K562">
        <f t="shared" si="358"/>
        <v>2402</v>
      </c>
      <c r="L562">
        <f t="shared" si="364"/>
        <v>101</v>
      </c>
      <c r="M562">
        <v>5000</v>
      </c>
      <c r="N562">
        <f t="shared" si="363"/>
        <v>12</v>
      </c>
      <c r="O562">
        <v>1</v>
      </c>
      <c r="P562">
        <f t="shared" si="359"/>
        <v>2402</v>
      </c>
      <c r="Q562">
        <v>59</v>
      </c>
      <c r="R562">
        <f t="shared" si="365"/>
        <v>103</v>
      </c>
      <c r="S562">
        <v>5000</v>
      </c>
      <c r="T562">
        <f t="shared" si="338"/>
        <v>12</v>
      </c>
      <c r="U562">
        <v>1</v>
      </c>
      <c r="V562">
        <f t="shared" si="360"/>
        <v>2402</v>
      </c>
      <c r="W562">
        <v>79</v>
      </c>
      <c r="X562">
        <f t="shared" si="366"/>
        <v>111</v>
      </c>
      <c r="Y562">
        <v>5000</v>
      </c>
      <c r="Z562">
        <f t="shared" si="339"/>
        <v>12</v>
      </c>
      <c r="AA562">
        <v>1</v>
      </c>
      <c r="AB562">
        <f t="shared" si="361"/>
        <v>2401</v>
      </c>
      <c r="AC562">
        <v>72</v>
      </c>
      <c r="AD562">
        <f t="shared" si="367"/>
        <v>112</v>
      </c>
      <c r="AE562">
        <v>5000</v>
      </c>
      <c r="AF562">
        <f t="shared" si="340"/>
        <v>12</v>
      </c>
      <c r="AG562">
        <v>1</v>
      </c>
      <c r="AH562">
        <f t="shared" si="362"/>
        <v>2402</v>
      </c>
      <c r="AI562">
        <v>74</v>
      </c>
      <c r="AJ562">
        <f t="shared" si="368"/>
        <v>113</v>
      </c>
      <c r="AP562" t="str">
        <f t="shared" si="341"/>
        <v>{5000,12,1,2402,101}</v>
      </c>
      <c r="AQ562" t="str">
        <f t="shared" si="342"/>
        <v>{5000,12,1,2402,103}</v>
      </c>
      <c r="AR562" t="str">
        <f t="shared" si="343"/>
        <v>{5000,12,1,2402,111}</v>
      </c>
      <c r="AS562" t="str">
        <f t="shared" si="344"/>
        <v>{5000,12,1,2401,112}</v>
      </c>
      <c r="AT562" t="str">
        <f t="shared" si="345"/>
        <v>{5000,12,1,2402,113}</v>
      </c>
      <c r="AU562" t="str">
        <f t="shared" si="346"/>
        <v/>
      </c>
      <c r="AV562">
        <v>3430</v>
      </c>
      <c r="AW562" t="str">
        <f t="shared" si="372"/>
        <v>[{5000,12,1,2402,101},{5000,12,1,2402,103},{5000,12,1,2402,111},{5000,12,1,2401,112},{5000,12,1,2402,113}]</v>
      </c>
    </row>
    <row r="563" spans="2:49">
      <c r="B563">
        <v>3431</v>
      </c>
      <c r="C563" t="s">
        <v>49</v>
      </c>
      <c r="D563" t="str">
        <f t="shared" si="347"/>
        <v>25</v>
      </c>
      <c r="F563">
        <v>271</v>
      </c>
      <c r="G563">
        <v>5000</v>
      </c>
      <c r="H563">
        <f t="shared" si="357"/>
        <v>13</v>
      </c>
      <c r="I563">
        <v>1</v>
      </c>
      <c r="J563">
        <v>2</v>
      </c>
      <c r="K563">
        <f t="shared" si="358"/>
        <v>2402</v>
      </c>
      <c r="L563">
        <f t="shared" si="364"/>
        <v>101</v>
      </c>
      <c r="M563">
        <v>5000</v>
      </c>
      <c r="N563">
        <f t="shared" si="363"/>
        <v>13</v>
      </c>
      <c r="O563">
        <v>1</v>
      </c>
      <c r="P563">
        <f t="shared" si="359"/>
        <v>2402</v>
      </c>
      <c r="Q563">
        <v>54</v>
      </c>
      <c r="R563">
        <f t="shared" si="365"/>
        <v>102</v>
      </c>
      <c r="S563">
        <v>5000</v>
      </c>
      <c r="T563">
        <f t="shared" si="338"/>
        <v>13</v>
      </c>
      <c r="U563">
        <v>1</v>
      </c>
      <c r="V563">
        <f t="shared" si="360"/>
        <v>2402</v>
      </c>
      <c r="W563">
        <v>56</v>
      </c>
      <c r="X563">
        <f t="shared" si="366"/>
        <v>103</v>
      </c>
      <c r="Y563">
        <v>5000</v>
      </c>
      <c r="Z563">
        <f t="shared" si="339"/>
        <v>13</v>
      </c>
      <c r="AA563">
        <v>1</v>
      </c>
      <c r="AB563">
        <f t="shared" si="361"/>
        <v>2402</v>
      </c>
      <c r="AC563">
        <v>73</v>
      </c>
      <c r="AD563">
        <f t="shared" si="367"/>
        <v>113</v>
      </c>
      <c r="AE563">
        <v>5000</v>
      </c>
      <c r="AF563">
        <f t="shared" si="340"/>
        <v>13</v>
      </c>
      <c r="AG563">
        <v>1</v>
      </c>
      <c r="AH563">
        <f t="shared" si="362"/>
        <v>2402</v>
      </c>
      <c r="AI563">
        <v>75</v>
      </c>
      <c r="AJ563">
        <f t="shared" si="368"/>
        <v>111</v>
      </c>
      <c r="AP563" t="str">
        <f t="shared" si="341"/>
        <v>{5000,13,1,2402,101}</v>
      </c>
      <c r="AQ563" t="str">
        <f t="shared" si="342"/>
        <v>{5000,13,1,2402,102}</v>
      </c>
      <c r="AR563" t="str">
        <f t="shared" si="343"/>
        <v>{5000,13,1,2402,103}</v>
      </c>
      <c r="AS563" t="str">
        <f t="shared" si="344"/>
        <v>{5000,13,1,2402,113}</v>
      </c>
      <c r="AT563" t="str">
        <f t="shared" si="345"/>
        <v>{5000,13,1,2402,111}</v>
      </c>
      <c r="AU563" t="str">
        <f t="shared" si="346"/>
        <v/>
      </c>
      <c r="AV563">
        <v>3431</v>
      </c>
      <c r="AW563" t="str">
        <f t="shared" si="372"/>
        <v>[{5000,13,1,2402,101},{5000,13,1,2402,102},{5000,13,1,2402,103},{5000,13,1,2402,113},{5000,13,1,2402,111}]</v>
      </c>
    </row>
    <row r="564" spans="2:49">
      <c r="B564">
        <v>3432</v>
      </c>
      <c r="C564" t="s">
        <v>49</v>
      </c>
      <c r="D564" t="str">
        <f t="shared" si="347"/>
        <v>25</v>
      </c>
      <c r="F564">
        <v>286</v>
      </c>
      <c r="G564">
        <v>5000</v>
      </c>
      <c r="H564">
        <f t="shared" si="357"/>
        <v>13</v>
      </c>
      <c r="I564">
        <v>1</v>
      </c>
      <c r="J564">
        <v>2</v>
      </c>
      <c r="K564">
        <f t="shared" si="358"/>
        <v>2402</v>
      </c>
      <c r="L564">
        <f t="shared" si="364"/>
        <v>101</v>
      </c>
      <c r="M564">
        <v>5000</v>
      </c>
      <c r="N564">
        <f t="shared" si="363"/>
        <v>13</v>
      </c>
      <c r="O564">
        <v>1</v>
      </c>
      <c r="P564">
        <f t="shared" si="359"/>
        <v>2402</v>
      </c>
      <c r="Q564">
        <v>53</v>
      </c>
      <c r="R564">
        <f t="shared" si="365"/>
        <v>103</v>
      </c>
      <c r="S564">
        <v>5000</v>
      </c>
      <c r="T564">
        <f t="shared" si="338"/>
        <v>13</v>
      </c>
      <c r="U564">
        <v>1</v>
      </c>
      <c r="V564">
        <f t="shared" si="360"/>
        <v>2402</v>
      </c>
      <c r="W564">
        <v>59</v>
      </c>
      <c r="X564">
        <f t="shared" si="366"/>
        <v>111</v>
      </c>
      <c r="Y564">
        <v>5000</v>
      </c>
      <c r="Z564">
        <f t="shared" si="339"/>
        <v>13</v>
      </c>
      <c r="AA564">
        <v>1</v>
      </c>
      <c r="AB564">
        <f t="shared" si="361"/>
        <v>2402</v>
      </c>
      <c r="AC564">
        <v>71</v>
      </c>
      <c r="AD564">
        <f t="shared" si="367"/>
        <v>112</v>
      </c>
      <c r="AE564">
        <v>5000</v>
      </c>
      <c r="AF564">
        <f t="shared" si="340"/>
        <v>13</v>
      </c>
      <c r="AG564">
        <v>1</v>
      </c>
      <c r="AH564">
        <f t="shared" si="362"/>
        <v>2402</v>
      </c>
      <c r="AI564">
        <v>77</v>
      </c>
      <c r="AJ564">
        <f t="shared" si="368"/>
        <v>113</v>
      </c>
      <c r="AP564" t="str">
        <f t="shared" si="341"/>
        <v>{5000,13,1,2402,101}</v>
      </c>
      <c r="AQ564" t="str">
        <f t="shared" si="342"/>
        <v>{5000,13,1,2402,103}</v>
      </c>
      <c r="AR564" t="str">
        <f t="shared" si="343"/>
        <v>{5000,13,1,2402,111}</v>
      </c>
      <c r="AS564" t="str">
        <f t="shared" si="344"/>
        <v>{5000,13,1,2402,112}</v>
      </c>
      <c r="AT564" t="str">
        <f t="shared" si="345"/>
        <v>{5000,13,1,2402,113}</v>
      </c>
      <c r="AU564" t="str">
        <f t="shared" si="346"/>
        <v/>
      </c>
      <c r="AV564">
        <v>3432</v>
      </c>
      <c r="AW564" t="str">
        <f t="shared" si="372"/>
        <v>[{5000,13,1,2402,101},{5000,13,1,2402,103},{5000,13,1,2402,111},{5000,13,1,2402,112},{5000,13,1,2402,113}]</v>
      </c>
    </row>
    <row r="565" spans="2:49">
      <c r="B565">
        <v>3433</v>
      </c>
      <c r="C565" t="s">
        <v>49</v>
      </c>
      <c r="D565" t="str">
        <f t="shared" si="347"/>
        <v>25</v>
      </c>
      <c r="F565">
        <v>290</v>
      </c>
      <c r="G565">
        <v>5000</v>
      </c>
      <c r="H565">
        <f t="shared" si="357"/>
        <v>13</v>
      </c>
      <c r="I565">
        <v>1</v>
      </c>
      <c r="J565">
        <v>2</v>
      </c>
      <c r="K565">
        <f t="shared" si="358"/>
        <v>2402</v>
      </c>
      <c r="L565">
        <f t="shared" si="364"/>
        <v>101</v>
      </c>
      <c r="M565">
        <v>5000</v>
      </c>
      <c r="N565">
        <f t="shared" si="363"/>
        <v>13</v>
      </c>
      <c r="O565">
        <v>1</v>
      </c>
      <c r="P565">
        <f t="shared" si="359"/>
        <v>2402</v>
      </c>
      <c r="Q565">
        <v>56</v>
      </c>
      <c r="R565">
        <f t="shared" si="365"/>
        <v>102</v>
      </c>
      <c r="S565">
        <v>5000</v>
      </c>
      <c r="T565">
        <f t="shared" si="338"/>
        <v>13</v>
      </c>
      <c r="U565">
        <v>1</v>
      </c>
      <c r="V565">
        <f t="shared" si="360"/>
        <v>2401</v>
      </c>
      <c r="W565">
        <v>77</v>
      </c>
      <c r="X565">
        <f t="shared" si="366"/>
        <v>103</v>
      </c>
      <c r="Y565">
        <v>5000</v>
      </c>
      <c r="Z565">
        <f t="shared" si="339"/>
        <v>13</v>
      </c>
      <c r="AA565">
        <v>1</v>
      </c>
      <c r="AB565">
        <f t="shared" si="361"/>
        <v>2402</v>
      </c>
      <c r="AC565">
        <v>72</v>
      </c>
      <c r="AD565">
        <f t="shared" si="367"/>
        <v>113</v>
      </c>
      <c r="AE565">
        <v>5000</v>
      </c>
      <c r="AF565">
        <f t="shared" si="340"/>
        <v>13</v>
      </c>
      <c r="AG565">
        <v>1</v>
      </c>
      <c r="AH565">
        <f t="shared" si="362"/>
        <v>2402</v>
      </c>
      <c r="AI565">
        <v>74</v>
      </c>
      <c r="AJ565">
        <f t="shared" si="368"/>
        <v>111</v>
      </c>
      <c r="AP565" t="str">
        <f t="shared" si="341"/>
        <v>{5000,13,1,2402,101}</v>
      </c>
      <c r="AQ565" t="str">
        <f t="shared" si="342"/>
        <v>{5000,13,1,2402,102}</v>
      </c>
      <c r="AR565" t="str">
        <f t="shared" si="343"/>
        <v>{5000,13,1,2401,103}</v>
      </c>
      <c r="AS565" t="str">
        <f t="shared" si="344"/>
        <v>{5000,13,1,2402,113}</v>
      </c>
      <c r="AT565" t="str">
        <f t="shared" si="345"/>
        <v>{5000,13,1,2402,111}</v>
      </c>
      <c r="AU565" t="str">
        <f t="shared" si="346"/>
        <v/>
      </c>
      <c r="AV565">
        <v>3433</v>
      </c>
      <c r="AW565" t="str">
        <f t="shared" si="372"/>
        <v>[{5000,13,1,2402,101},{5000,13,1,2402,102},{5000,13,1,2401,103},{5000,13,1,2402,113},{5000,13,1,2402,111}]</v>
      </c>
    </row>
    <row r="566" spans="2:49">
      <c r="B566">
        <v>3511</v>
      </c>
      <c r="C566" t="s">
        <v>50</v>
      </c>
      <c r="D566" s="5" t="str">
        <f t="shared" si="347"/>
        <v>26</v>
      </c>
      <c r="E566" s="5"/>
      <c r="F566">
        <v>1</v>
      </c>
      <c r="G566">
        <v>5000</v>
      </c>
      <c r="H566">
        <f t="shared" si="357"/>
        <v>3</v>
      </c>
      <c r="I566">
        <v>1</v>
      </c>
      <c r="J566">
        <v>1</v>
      </c>
      <c r="K566">
        <f t="shared" si="358"/>
        <v>2501</v>
      </c>
      <c r="L566">
        <f t="shared" si="364"/>
        <v>101</v>
      </c>
      <c r="M566">
        <v>5000</v>
      </c>
      <c r="N566">
        <f t="shared" si="363"/>
        <v>3</v>
      </c>
      <c r="O566">
        <v>1</v>
      </c>
      <c r="P566">
        <f t="shared" si="359"/>
        <v>2501</v>
      </c>
      <c r="Q566">
        <v>55</v>
      </c>
      <c r="R566">
        <f t="shared" si="365"/>
        <v>102</v>
      </c>
      <c r="S566">
        <v>5000</v>
      </c>
      <c r="T566">
        <f t="shared" si="338"/>
        <v>3</v>
      </c>
      <c r="U566">
        <v>1</v>
      </c>
      <c r="V566">
        <f t="shared" si="360"/>
        <v>2501</v>
      </c>
      <c r="W566">
        <v>60</v>
      </c>
      <c r="X566">
        <f t="shared" si="366"/>
        <v>103</v>
      </c>
      <c r="Y566">
        <v>5000</v>
      </c>
      <c r="Z566">
        <f t="shared" si="339"/>
        <v>3</v>
      </c>
      <c r="AA566">
        <v>1</v>
      </c>
      <c r="AB566">
        <f t="shared" si="361"/>
        <v>2501</v>
      </c>
      <c r="AC566">
        <v>71</v>
      </c>
      <c r="AD566">
        <f t="shared" si="367"/>
        <v>113</v>
      </c>
      <c r="AE566">
        <v>5000</v>
      </c>
      <c r="AF566">
        <f t="shared" si="340"/>
        <v>3</v>
      </c>
      <c r="AG566">
        <v>1</v>
      </c>
      <c r="AH566">
        <f t="shared" si="362"/>
        <v>2501</v>
      </c>
      <c r="AI566">
        <v>76</v>
      </c>
      <c r="AJ566">
        <f t="shared" si="368"/>
        <v>111</v>
      </c>
      <c r="AP566" t="str">
        <f t="shared" si="341"/>
        <v>{5000,3,1,2501,101}</v>
      </c>
      <c r="AQ566" t="str">
        <f t="shared" si="342"/>
        <v>{5000,3,1,2501,102}</v>
      </c>
      <c r="AR566" t="str">
        <f t="shared" si="343"/>
        <v>{5000,3,1,2501,103}</v>
      </c>
      <c r="AS566" t="str">
        <f t="shared" si="344"/>
        <v>{5000,3,1,2501,113}</v>
      </c>
      <c r="AT566" t="str">
        <f t="shared" si="345"/>
        <v>{5000,3,1,2501,111}</v>
      </c>
      <c r="AU566" t="str">
        <f t="shared" si="346"/>
        <v/>
      </c>
      <c r="AV566">
        <v>3511</v>
      </c>
      <c r="AW566" t="str">
        <f t="shared" si="372"/>
        <v>[{5000,3,1,2501,101},{5000,3,1,2501,102},{5000,3,1,2501,103},{5000,3,1,2501,113},{5000,3,1,2501,111}]</v>
      </c>
    </row>
    <row r="567" spans="2:49">
      <c r="B567">
        <v>3512</v>
      </c>
      <c r="C567" t="s">
        <v>50</v>
      </c>
      <c r="D567" t="str">
        <f t="shared" si="347"/>
        <v>26</v>
      </c>
      <c r="F567">
        <v>16</v>
      </c>
      <c r="G567">
        <v>5000</v>
      </c>
      <c r="H567">
        <f t="shared" si="357"/>
        <v>3</v>
      </c>
      <c r="I567">
        <v>1</v>
      </c>
      <c r="J567">
        <v>1</v>
      </c>
      <c r="K567">
        <f t="shared" ref="K567:K589" si="373">IF($J567="","",K544+100)</f>
        <v>2501</v>
      </c>
      <c r="L567">
        <f t="shared" si="364"/>
        <v>101</v>
      </c>
      <c r="M567">
        <v>5000</v>
      </c>
      <c r="N567">
        <f t="shared" si="363"/>
        <v>3</v>
      </c>
      <c r="O567">
        <v>1</v>
      </c>
      <c r="P567">
        <f t="shared" ref="P567:P589" si="374">IF($J567="","",P544+100)</f>
        <v>2501</v>
      </c>
      <c r="Q567">
        <v>55</v>
      </c>
      <c r="R567">
        <f t="shared" si="365"/>
        <v>103</v>
      </c>
      <c r="S567">
        <v>5000</v>
      </c>
      <c r="T567">
        <f t="shared" si="338"/>
        <v>3</v>
      </c>
      <c r="U567">
        <v>1</v>
      </c>
      <c r="V567">
        <f t="shared" ref="V567:V589" si="375">IF($J567="","",V544+100)</f>
        <v>2501</v>
      </c>
      <c r="W567">
        <v>75</v>
      </c>
      <c r="X567">
        <f t="shared" si="366"/>
        <v>111</v>
      </c>
      <c r="Y567">
        <v>5000</v>
      </c>
      <c r="Z567">
        <f t="shared" si="339"/>
        <v>3</v>
      </c>
      <c r="AA567">
        <v>1</v>
      </c>
      <c r="AB567">
        <f t="shared" ref="AB567:AB589" si="376">IF($J567="","",AB544+100)</f>
        <v>2501</v>
      </c>
      <c r="AC567">
        <v>73</v>
      </c>
      <c r="AD567">
        <f t="shared" si="367"/>
        <v>112</v>
      </c>
      <c r="AE567">
        <v>5000</v>
      </c>
      <c r="AF567">
        <f t="shared" si="340"/>
        <v>3</v>
      </c>
      <c r="AG567">
        <v>1</v>
      </c>
      <c r="AH567">
        <f t="shared" ref="AH567:AH589" si="377">IF($J567="","",AH544+100)</f>
        <v>2501</v>
      </c>
      <c r="AI567">
        <v>78</v>
      </c>
      <c r="AJ567">
        <f t="shared" si="368"/>
        <v>113</v>
      </c>
      <c r="AP567" t="str">
        <f t="shared" si="341"/>
        <v>{5000,3,1,2501,101}</v>
      </c>
      <c r="AQ567" t="str">
        <f t="shared" si="342"/>
        <v>{5000,3,1,2501,103}</v>
      </c>
      <c r="AR567" t="str">
        <f t="shared" si="343"/>
        <v>{5000,3,1,2501,111}</v>
      </c>
      <c r="AS567" t="str">
        <f t="shared" si="344"/>
        <v>{5000,3,1,2501,112}</v>
      </c>
      <c r="AT567" t="str">
        <f t="shared" si="345"/>
        <v>{5000,3,1,2501,113}</v>
      </c>
      <c r="AU567" t="str">
        <f t="shared" si="346"/>
        <v/>
      </c>
      <c r="AV567">
        <v>3512</v>
      </c>
      <c r="AW567" t="str">
        <f t="shared" si="372"/>
        <v>[{5000,3,1,2501,101},{5000,3,1,2501,103},{5000,3,1,2501,111},{5000,3,1,2501,112},{5000,3,1,2501,113}]</v>
      </c>
    </row>
    <row r="568" spans="2:49">
      <c r="B568">
        <v>3513</v>
      </c>
      <c r="C568" t="s">
        <v>50</v>
      </c>
      <c r="D568" t="str">
        <f t="shared" si="347"/>
        <v>26</v>
      </c>
      <c r="F568">
        <v>31</v>
      </c>
      <c r="G568">
        <v>5000</v>
      </c>
      <c r="H568">
        <f t="shared" si="357"/>
        <v>6</v>
      </c>
      <c r="I568">
        <v>1</v>
      </c>
      <c r="J568">
        <v>1</v>
      </c>
      <c r="K568">
        <f t="shared" si="373"/>
        <v>2501</v>
      </c>
      <c r="L568">
        <f t="shared" si="364"/>
        <v>101</v>
      </c>
      <c r="M568">
        <v>5000</v>
      </c>
      <c r="N568">
        <f t="shared" si="363"/>
        <v>6</v>
      </c>
      <c r="O568">
        <v>1</v>
      </c>
      <c r="P568">
        <f t="shared" si="374"/>
        <v>2501</v>
      </c>
      <c r="Q568">
        <v>55</v>
      </c>
      <c r="R568">
        <f t="shared" si="365"/>
        <v>102</v>
      </c>
      <c r="S568">
        <v>5000</v>
      </c>
      <c r="T568">
        <f t="shared" si="338"/>
        <v>6</v>
      </c>
      <c r="U568">
        <v>1</v>
      </c>
      <c r="V568">
        <f t="shared" si="375"/>
        <v>2501</v>
      </c>
      <c r="W568">
        <v>58</v>
      </c>
      <c r="X568">
        <f t="shared" si="366"/>
        <v>103</v>
      </c>
      <c r="Y568">
        <v>5000</v>
      </c>
      <c r="Z568">
        <f t="shared" si="339"/>
        <v>6</v>
      </c>
      <c r="AA568">
        <v>1</v>
      </c>
      <c r="AB568">
        <f t="shared" si="376"/>
        <v>2501</v>
      </c>
      <c r="AC568">
        <v>76</v>
      </c>
      <c r="AD568">
        <f t="shared" si="367"/>
        <v>113</v>
      </c>
      <c r="AE568">
        <v>5000</v>
      </c>
      <c r="AF568">
        <f t="shared" si="340"/>
        <v>6</v>
      </c>
      <c r="AG568">
        <v>1</v>
      </c>
      <c r="AH568">
        <f t="shared" si="377"/>
        <v>2501</v>
      </c>
      <c r="AI568">
        <v>79</v>
      </c>
      <c r="AJ568">
        <f t="shared" si="368"/>
        <v>111</v>
      </c>
      <c r="AP568" t="str">
        <f t="shared" si="341"/>
        <v>{5000,6,1,2501,101}</v>
      </c>
      <c r="AQ568" t="str">
        <f t="shared" si="342"/>
        <v>{5000,6,1,2501,102}</v>
      </c>
      <c r="AR568" t="str">
        <f t="shared" si="343"/>
        <v>{5000,6,1,2501,103}</v>
      </c>
      <c r="AS568" t="str">
        <f t="shared" si="344"/>
        <v>{5000,6,1,2501,113}</v>
      </c>
      <c r="AT568" t="str">
        <f t="shared" si="345"/>
        <v>{5000,6,1,2501,111}</v>
      </c>
      <c r="AU568" t="str">
        <f t="shared" si="346"/>
        <v/>
      </c>
      <c r="AV568">
        <v>3513</v>
      </c>
      <c r="AW568" t="str">
        <f t="shared" si="372"/>
        <v>[{5000,6,1,2501,101},{5000,6,1,2501,102},{5000,6,1,2501,103},{5000,6,1,2501,113},{5000,6,1,2501,111}]</v>
      </c>
    </row>
    <row r="569" spans="2:49">
      <c r="B569">
        <v>3514</v>
      </c>
      <c r="C569" t="s">
        <v>50</v>
      </c>
      <c r="D569" t="str">
        <f t="shared" si="347"/>
        <v>26</v>
      </c>
      <c r="F569">
        <v>46</v>
      </c>
      <c r="G569">
        <v>5000</v>
      </c>
      <c r="H569">
        <f t="shared" si="357"/>
        <v>6</v>
      </c>
      <c r="I569">
        <v>1</v>
      </c>
      <c r="J569">
        <v>1</v>
      </c>
      <c r="K569">
        <f t="shared" si="373"/>
        <v>2501</v>
      </c>
      <c r="L569">
        <f t="shared" si="364"/>
        <v>101</v>
      </c>
      <c r="M569">
        <v>5000</v>
      </c>
      <c r="N569">
        <f t="shared" si="363"/>
        <v>6</v>
      </c>
      <c r="O569">
        <v>1</v>
      </c>
      <c r="P569">
        <f t="shared" si="374"/>
        <v>2501</v>
      </c>
      <c r="Q569">
        <v>55</v>
      </c>
      <c r="R569">
        <f t="shared" si="365"/>
        <v>103</v>
      </c>
      <c r="S569">
        <v>5000</v>
      </c>
      <c r="T569">
        <f t="shared" si="338"/>
        <v>6</v>
      </c>
      <c r="U569">
        <v>1</v>
      </c>
      <c r="V569">
        <f t="shared" si="375"/>
        <v>2502</v>
      </c>
      <c r="W569">
        <v>76</v>
      </c>
      <c r="X569">
        <f t="shared" si="366"/>
        <v>111</v>
      </c>
      <c r="Y569">
        <v>5000</v>
      </c>
      <c r="Z569">
        <f t="shared" si="339"/>
        <v>6</v>
      </c>
      <c r="AA569">
        <v>1</v>
      </c>
      <c r="AB569">
        <f t="shared" si="376"/>
        <v>2501</v>
      </c>
      <c r="AC569">
        <v>71</v>
      </c>
      <c r="AD569">
        <f t="shared" si="367"/>
        <v>112</v>
      </c>
      <c r="AE569">
        <v>5000</v>
      </c>
      <c r="AF569">
        <f t="shared" si="340"/>
        <v>6</v>
      </c>
      <c r="AG569">
        <v>1</v>
      </c>
      <c r="AH569">
        <f t="shared" si="377"/>
        <v>2501</v>
      </c>
      <c r="AI569">
        <v>71</v>
      </c>
      <c r="AJ569">
        <f t="shared" si="368"/>
        <v>113</v>
      </c>
      <c r="AP569" t="str">
        <f t="shared" si="341"/>
        <v>{5000,6,1,2501,101}</v>
      </c>
      <c r="AQ569" t="str">
        <f t="shared" si="342"/>
        <v>{5000,6,1,2501,103}</v>
      </c>
      <c r="AR569" t="str">
        <f t="shared" si="343"/>
        <v>{5000,6,1,2502,111}</v>
      </c>
      <c r="AS569" t="str">
        <f t="shared" si="344"/>
        <v>{5000,6,1,2501,112}</v>
      </c>
      <c r="AT569" t="str">
        <f t="shared" si="345"/>
        <v>{5000,6,1,2501,113}</v>
      </c>
      <c r="AU569" t="str">
        <f t="shared" si="346"/>
        <v/>
      </c>
      <c r="AV569">
        <v>3514</v>
      </c>
      <c r="AW569" t="str">
        <f t="shared" si="372"/>
        <v>[{5000,6,1,2501,101},{5000,6,1,2501,103},{5000,6,1,2502,111},{5000,6,1,2501,112},{5000,6,1,2501,113}]</v>
      </c>
    </row>
    <row r="570" spans="2:49">
      <c r="B570">
        <v>3515</v>
      </c>
      <c r="C570" t="s">
        <v>50</v>
      </c>
      <c r="D570" t="str">
        <f t="shared" si="347"/>
        <v>26</v>
      </c>
      <c r="F570">
        <v>61</v>
      </c>
      <c r="G570">
        <v>5000</v>
      </c>
      <c r="H570">
        <f t="shared" si="357"/>
        <v>8</v>
      </c>
      <c r="I570">
        <v>1</v>
      </c>
      <c r="J570">
        <v>3</v>
      </c>
      <c r="K570">
        <f t="shared" si="373"/>
        <v>2503</v>
      </c>
      <c r="L570">
        <f t="shared" si="364"/>
        <v>101</v>
      </c>
      <c r="M570">
        <v>5000</v>
      </c>
      <c r="N570">
        <f t="shared" si="363"/>
        <v>8</v>
      </c>
      <c r="O570">
        <v>1</v>
      </c>
      <c r="P570">
        <f t="shared" si="374"/>
        <v>2503</v>
      </c>
      <c r="Q570">
        <v>56</v>
      </c>
      <c r="R570">
        <f t="shared" si="365"/>
        <v>102</v>
      </c>
      <c r="S570">
        <v>5000</v>
      </c>
      <c r="T570">
        <f t="shared" si="338"/>
        <v>8</v>
      </c>
      <c r="U570">
        <v>1</v>
      </c>
      <c r="V570">
        <f t="shared" si="375"/>
        <v>2503</v>
      </c>
      <c r="W570">
        <v>57</v>
      </c>
      <c r="X570">
        <f t="shared" si="366"/>
        <v>103</v>
      </c>
      <c r="Y570">
        <v>5000</v>
      </c>
      <c r="Z570">
        <f t="shared" si="339"/>
        <v>8</v>
      </c>
      <c r="AA570">
        <v>1</v>
      </c>
      <c r="AB570">
        <f t="shared" si="376"/>
        <v>2503</v>
      </c>
      <c r="AC570">
        <v>72</v>
      </c>
      <c r="AD570">
        <f t="shared" si="367"/>
        <v>113</v>
      </c>
      <c r="AE570">
        <v>5000</v>
      </c>
      <c r="AF570">
        <f t="shared" si="340"/>
        <v>8</v>
      </c>
      <c r="AG570">
        <v>1</v>
      </c>
      <c r="AH570">
        <f t="shared" si="377"/>
        <v>2503</v>
      </c>
      <c r="AI570">
        <v>71</v>
      </c>
      <c r="AJ570">
        <f t="shared" si="368"/>
        <v>111</v>
      </c>
      <c r="AP570" t="str">
        <f t="shared" si="341"/>
        <v>{5000,8,1,2503,101}</v>
      </c>
      <c r="AQ570" t="str">
        <f t="shared" si="342"/>
        <v>{5000,8,1,2503,102}</v>
      </c>
      <c r="AR570" t="str">
        <f t="shared" si="343"/>
        <v>{5000,8,1,2503,103}</v>
      </c>
      <c r="AS570" t="str">
        <f t="shared" si="344"/>
        <v>{5000,8,1,2503,113}</v>
      </c>
      <c r="AT570" t="str">
        <f t="shared" si="345"/>
        <v>{5000,8,1,2503,111}</v>
      </c>
      <c r="AU570" t="str">
        <f t="shared" si="346"/>
        <v/>
      </c>
      <c r="AV570">
        <v>3515</v>
      </c>
      <c r="AW570" t="str">
        <f t="shared" si="372"/>
        <v>[{5000,8,1,2503,101},{5000,8,1,2503,102},{5000,8,1,2503,103},{5000,8,1,2503,113},{5000,8,1,2503,111}]</v>
      </c>
    </row>
    <row r="571" spans="2:49">
      <c r="B571">
        <v>3516</v>
      </c>
      <c r="C571" t="s">
        <v>50</v>
      </c>
      <c r="D571" t="str">
        <f t="shared" si="347"/>
        <v>26</v>
      </c>
      <c r="F571">
        <v>76</v>
      </c>
      <c r="G571">
        <v>5000</v>
      </c>
      <c r="H571">
        <f t="shared" si="357"/>
        <v>8</v>
      </c>
      <c r="I571">
        <v>1</v>
      </c>
      <c r="J571">
        <v>1</v>
      </c>
      <c r="K571">
        <f t="shared" si="373"/>
        <v>2501</v>
      </c>
      <c r="L571">
        <f t="shared" si="364"/>
        <v>101</v>
      </c>
      <c r="M571">
        <v>5000</v>
      </c>
      <c r="N571">
        <f t="shared" si="363"/>
        <v>8</v>
      </c>
      <c r="O571">
        <v>1</v>
      </c>
      <c r="P571">
        <f t="shared" si="374"/>
        <v>2501</v>
      </c>
      <c r="Q571">
        <v>59</v>
      </c>
      <c r="R571">
        <f t="shared" si="365"/>
        <v>103</v>
      </c>
      <c r="S571">
        <v>5000</v>
      </c>
      <c r="T571">
        <f t="shared" si="338"/>
        <v>8</v>
      </c>
      <c r="U571">
        <v>1</v>
      </c>
      <c r="V571">
        <f t="shared" si="375"/>
        <v>2502</v>
      </c>
      <c r="W571">
        <v>71</v>
      </c>
      <c r="X571">
        <f t="shared" si="366"/>
        <v>111</v>
      </c>
      <c r="Y571">
        <v>5000</v>
      </c>
      <c r="Z571">
        <f t="shared" si="339"/>
        <v>8</v>
      </c>
      <c r="AA571">
        <v>1</v>
      </c>
      <c r="AB571">
        <f t="shared" si="376"/>
        <v>2501</v>
      </c>
      <c r="AC571">
        <v>71</v>
      </c>
      <c r="AD571">
        <f t="shared" si="367"/>
        <v>112</v>
      </c>
      <c r="AE571">
        <v>5000</v>
      </c>
      <c r="AF571">
        <f t="shared" si="340"/>
        <v>8</v>
      </c>
      <c r="AG571">
        <v>1</v>
      </c>
      <c r="AH571">
        <f t="shared" si="377"/>
        <v>2501</v>
      </c>
      <c r="AI571">
        <v>79</v>
      </c>
      <c r="AJ571">
        <f t="shared" si="368"/>
        <v>113</v>
      </c>
      <c r="AP571" t="str">
        <f t="shared" si="341"/>
        <v>{5000,8,1,2501,101}</v>
      </c>
      <c r="AQ571" t="str">
        <f t="shared" si="342"/>
        <v>{5000,8,1,2501,103}</v>
      </c>
      <c r="AR571" t="str">
        <f t="shared" si="343"/>
        <v>{5000,8,1,2502,111}</v>
      </c>
      <c r="AS571" t="str">
        <f t="shared" si="344"/>
        <v>{5000,8,1,2501,112}</v>
      </c>
      <c r="AT571" t="str">
        <f t="shared" si="345"/>
        <v>{5000,8,1,2501,113}</v>
      </c>
      <c r="AU571" t="str">
        <f t="shared" si="346"/>
        <v/>
      </c>
      <c r="AV571">
        <v>3516</v>
      </c>
      <c r="AW571" t="str">
        <f t="shared" si="372"/>
        <v>[{5000,8,1,2501,101},{5000,8,1,2501,103},{5000,8,1,2502,111},{5000,8,1,2501,112},{5000,8,1,2501,113}]</v>
      </c>
    </row>
    <row r="572" spans="2:49">
      <c r="B572">
        <v>3517</v>
      </c>
      <c r="C572" t="s">
        <v>50</v>
      </c>
      <c r="D572" t="str">
        <f t="shared" si="347"/>
        <v>26</v>
      </c>
      <c r="F572">
        <v>91</v>
      </c>
      <c r="G572">
        <v>5000</v>
      </c>
      <c r="H572">
        <f t="shared" si="357"/>
        <v>8</v>
      </c>
      <c r="I572">
        <v>1</v>
      </c>
      <c r="J572">
        <v>1</v>
      </c>
      <c r="K572">
        <f t="shared" si="373"/>
        <v>2501</v>
      </c>
      <c r="L572">
        <f t="shared" si="364"/>
        <v>101</v>
      </c>
      <c r="M572">
        <v>5000</v>
      </c>
      <c r="N572">
        <f t="shared" si="363"/>
        <v>8</v>
      </c>
      <c r="O572">
        <v>1</v>
      </c>
      <c r="P572">
        <f t="shared" si="374"/>
        <v>2501</v>
      </c>
      <c r="Q572">
        <v>54</v>
      </c>
      <c r="R572">
        <f t="shared" si="365"/>
        <v>102</v>
      </c>
      <c r="S572">
        <v>5000</v>
      </c>
      <c r="T572">
        <f t="shared" si="338"/>
        <v>8</v>
      </c>
      <c r="U572">
        <v>1</v>
      </c>
      <c r="V572">
        <f t="shared" si="375"/>
        <v>2502</v>
      </c>
      <c r="W572">
        <v>51</v>
      </c>
      <c r="X572">
        <f t="shared" si="366"/>
        <v>103</v>
      </c>
      <c r="Y572">
        <v>5000</v>
      </c>
      <c r="Z572">
        <f t="shared" si="339"/>
        <v>8</v>
      </c>
      <c r="AA572">
        <v>1</v>
      </c>
      <c r="AB572">
        <f t="shared" si="376"/>
        <v>2501</v>
      </c>
      <c r="AC572">
        <v>71</v>
      </c>
      <c r="AD572">
        <f t="shared" si="367"/>
        <v>113</v>
      </c>
      <c r="AE572">
        <v>5000</v>
      </c>
      <c r="AF572">
        <f t="shared" si="340"/>
        <v>8</v>
      </c>
      <c r="AG572">
        <v>1</v>
      </c>
      <c r="AH572">
        <f t="shared" si="377"/>
        <v>2502</v>
      </c>
      <c r="AI572">
        <v>77</v>
      </c>
      <c r="AJ572">
        <f t="shared" si="368"/>
        <v>111</v>
      </c>
      <c r="AP572" t="str">
        <f t="shared" si="341"/>
        <v>{5000,8,1,2501,101}</v>
      </c>
      <c r="AQ572" t="str">
        <f t="shared" si="342"/>
        <v>{5000,8,1,2501,102}</v>
      </c>
      <c r="AR572" t="str">
        <f t="shared" si="343"/>
        <v>{5000,8,1,2502,103}</v>
      </c>
      <c r="AS572" t="str">
        <f t="shared" si="344"/>
        <v>{5000,8,1,2501,113}</v>
      </c>
      <c r="AT572" t="str">
        <f t="shared" si="345"/>
        <v>{5000,8,1,2502,111}</v>
      </c>
      <c r="AU572" t="str">
        <f t="shared" si="346"/>
        <v/>
      </c>
      <c r="AV572">
        <v>3517</v>
      </c>
      <c r="AW572" t="str">
        <f t="shared" si="372"/>
        <v>[{5000,8,1,2501,101},{5000,8,1,2501,102},{5000,8,1,2502,103},{5000,8,1,2501,113},{5000,8,1,2502,111}]</v>
      </c>
    </row>
    <row r="573" spans="2:49">
      <c r="B573">
        <v>3518</v>
      </c>
      <c r="C573" t="s">
        <v>50</v>
      </c>
      <c r="D573" t="str">
        <f t="shared" si="347"/>
        <v>26</v>
      </c>
      <c r="F573">
        <v>106</v>
      </c>
      <c r="G573">
        <v>5000</v>
      </c>
      <c r="H573">
        <f t="shared" si="357"/>
        <v>8</v>
      </c>
      <c r="I573">
        <v>1</v>
      </c>
      <c r="J573">
        <v>1</v>
      </c>
      <c r="K573">
        <f t="shared" si="373"/>
        <v>2501</v>
      </c>
      <c r="L573">
        <f t="shared" si="364"/>
        <v>101</v>
      </c>
      <c r="M573">
        <v>5000</v>
      </c>
      <c r="N573">
        <f t="shared" si="363"/>
        <v>8</v>
      </c>
      <c r="O573">
        <v>1</v>
      </c>
      <c r="P573">
        <f t="shared" si="374"/>
        <v>2501</v>
      </c>
      <c r="Q573">
        <v>55</v>
      </c>
      <c r="R573">
        <f t="shared" si="365"/>
        <v>103</v>
      </c>
      <c r="S573">
        <v>5000</v>
      </c>
      <c r="T573">
        <f t="shared" si="338"/>
        <v>8</v>
      </c>
      <c r="U573">
        <v>1</v>
      </c>
      <c r="V573">
        <f t="shared" si="375"/>
        <v>2502</v>
      </c>
      <c r="W573">
        <v>73</v>
      </c>
      <c r="X573">
        <f t="shared" si="366"/>
        <v>111</v>
      </c>
      <c r="Y573">
        <v>5000</v>
      </c>
      <c r="Z573">
        <f t="shared" si="339"/>
        <v>8</v>
      </c>
      <c r="AA573">
        <v>1</v>
      </c>
      <c r="AB573">
        <f t="shared" si="376"/>
        <v>2501</v>
      </c>
      <c r="AC573">
        <v>78</v>
      </c>
      <c r="AD573">
        <f t="shared" si="367"/>
        <v>112</v>
      </c>
      <c r="AE573">
        <v>5000</v>
      </c>
      <c r="AF573">
        <f t="shared" si="340"/>
        <v>8</v>
      </c>
      <c r="AG573">
        <v>1</v>
      </c>
      <c r="AH573">
        <f t="shared" si="377"/>
        <v>2502</v>
      </c>
      <c r="AI573">
        <v>71</v>
      </c>
      <c r="AJ573">
        <f t="shared" si="368"/>
        <v>113</v>
      </c>
      <c r="AP573" t="str">
        <f t="shared" si="341"/>
        <v>{5000,8,1,2501,101}</v>
      </c>
      <c r="AQ573" t="str">
        <f t="shared" si="342"/>
        <v>{5000,8,1,2501,103}</v>
      </c>
      <c r="AR573" t="str">
        <f t="shared" si="343"/>
        <v>{5000,8,1,2502,111}</v>
      </c>
      <c r="AS573" t="str">
        <f t="shared" si="344"/>
        <v>{5000,8,1,2501,112}</v>
      </c>
      <c r="AT573" t="str">
        <f t="shared" si="345"/>
        <v>{5000,8,1,2502,113}</v>
      </c>
      <c r="AU573" t="str">
        <f t="shared" si="346"/>
        <v/>
      </c>
      <c r="AV573">
        <v>3518</v>
      </c>
      <c r="AW573" t="str">
        <f t="shared" si="372"/>
        <v>[{5000,8,1,2501,101},{5000,8,1,2501,103},{5000,8,1,2502,111},{5000,8,1,2501,112},{5000,8,1,2502,113}]</v>
      </c>
    </row>
    <row r="574" spans="2:48">
      <c r="B574">
        <v>3519</v>
      </c>
      <c r="C574" t="s">
        <v>50</v>
      </c>
      <c r="D574" t="str">
        <f t="shared" si="347"/>
        <v>26</v>
      </c>
      <c r="F574">
        <v>119</v>
      </c>
      <c r="H574">
        <f t="shared" si="357"/>
        <v>0</v>
      </c>
      <c r="K574" t="str">
        <f t="shared" si="373"/>
        <v/>
      </c>
      <c r="L574" t="str">
        <f t="shared" si="364"/>
        <v/>
      </c>
      <c r="N574">
        <f t="shared" si="363"/>
        <v>0</v>
      </c>
      <c r="P574" t="str">
        <f t="shared" si="374"/>
        <v/>
      </c>
      <c r="R574" t="str">
        <f t="shared" si="365"/>
        <v/>
      </c>
      <c r="T574">
        <f t="shared" si="338"/>
        <v>0</v>
      </c>
      <c r="V574" t="str">
        <f t="shared" si="375"/>
        <v/>
      </c>
      <c r="X574" t="str">
        <f t="shared" si="366"/>
        <v/>
      </c>
      <c r="Z574">
        <f t="shared" si="339"/>
        <v>0</v>
      </c>
      <c r="AB574" t="str">
        <f t="shared" si="376"/>
        <v/>
      </c>
      <c r="AD574" t="str">
        <f t="shared" si="367"/>
        <v/>
      </c>
      <c r="AF574">
        <f t="shared" si="340"/>
        <v>0</v>
      </c>
      <c r="AH574" t="str">
        <f t="shared" si="377"/>
        <v/>
      </c>
      <c r="AJ574" t="str">
        <f t="shared" si="368"/>
        <v/>
      </c>
      <c r="AP574" t="str">
        <f t="shared" si="341"/>
        <v/>
      </c>
      <c r="AQ574" t="str">
        <f t="shared" si="342"/>
        <v/>
      </c>
      <c r="AR574" t="str">
        <f t="shared" si="343"/>
        <v/>
      </c>
      <c r="AS574" t="str">
        <f t="shared" si="344"/>
        <v/>
      </c>
      <c r="AT574" t="str">
        <f t="shared" si="345"/>
        <v/>
      </c>
      <c r="AU574" t="str">
        <f t="shared" si="346"/>
        <v/>
      </c>
      <c r="AV574">
        <v>3519</v>
      </c>
    </row>
    <row r="575" spans="2:49">
      <c r="B575">
        <v>3520</v>
      </c>
      <c r="C575" t="s">
        <v>50</v>
      </c>
      <c r="D575" t="str">
        <f t="shared" si="347"/>
        <v>26</v>
      </c>
      <c r="F575">
        <v>121</v>
      </c>
      <c r="G575">
        <v>5000</v>
      </c>
      <c r="H575">
        <f t="shared" si="357"/>
        <v>10</v>
      </c>
      <c r="I575">
        <v>1</v>
      </c>
      <c r="J575">
        <v>3</v>
      </c>
      <c r="K575">
        <f t="shared" si="373"/>
        <v>2503</v>
      </c>
      <c r="L575">
        <f t="shared" si="364"/>
        <v>101</v>
      </c>
      <c r="M575">
        <v>5000</v>
      </c>
      <c r="N575">
        <f t="shared" si="363"/>
        <v>10</v>
      </c>
      <c r="O575">
        <v>1</v>
      </c>
      <c r="P575">
        <f t="shared" si="374"/>
        <v>2503</v>
      </c>
      <c r="Q575">
        <v>54</v>
      </c>
      <c r="R575">
        <f t="shared" si="365"/>
        <v>102</v>
      </c>
      <c r="S575">
        <v>5000</v>
      </c>
      <c r="T575">
        <f t="shared" si="338"/>
        <v>10</v>
      </c>
      <c r="U575">
        <v>1</v>
      </c>
      <c r="V575">
        <f t="shared" si="375"/>
        <v>2503</v>
      </c>
      <c r="W575">
        <v>51</v>
      </c>
      <c r="X575">
        <f t="shared" si="366"/>
        <v>103</v>
      </c>
      <c r="Y575">
        <v>5000</v>
      </c>
      <c r="Z575">
        <f t="shared" si="339"/>
        <v>10</v>
      </c>
      <c r="AA575">
        <v>1</v>
      </c>
      <c r="AB575">
        <f t="shared" si="376"/>
        <v>2503</v>
      </c>
      <c r="AC575">
        <v>71</v>
      </c>
      <c r="AD575">
        <f t="shared" si="367"/>
        <v>113</v>
      </c>
      <c r="AE575">
        <v>5000</v>
      </c>
      <c r="AF575">
        <f t="shared" si="340"/>
        <v>10</v>
      </c>
      <c r="AG575">
        <v>1</v>
      </c>
      <c r="AH575">
        <f t="shared" si="377"/>
        <v>2503</v>
      </c>
      <c r="AI575">
        <v>79</v>
      </c>
      <c r="AJ575">
        <f t="shared" si="368"/>
        <v>111</v>
      </c>
      <c r="AK575">
        <v>1000</v>
      </c>
      <c r="AL575">
        <v>1</v>
      </c>
      <c r="AM575">
        <v>0</v>
      </c>
      <c r="AN575">
        <f t="shared" ref="AN575" si="378">AN552+100</f>
        <v>2521</v>
      </c>
      <c r="AO575">
        <v>4</v>
      </c>
      <c r="AP575" t="str">
        <f t="shared" si="341"/>
        <v>{5000,10,1,2503,101}</v>
      </c>
      <c r="AQ575" t="str">
        <f t="shared" si="342"/>
        <v>{5000,10,1,2503,102}</v>
      </c>
      <c r="AR575" t="str">
        <f t="shared" si="343"/>
        <v>{5000,10,1,2503,103}</v>
      </c>
      <c r="AS575" t="str">
        <f t="shared" si="344"/>
        <v>{5000,10,1,2503,113}</v>
      </c>
      <c r="AT575" t="str">
        <f t="shared" si="345"/>
        <v>{5000,10,1,2503,111}</v>
      </c>
      <c r="AU575" t="str">
        <f t="shared" si="346"/>
        <v>{1000,1,0,2521,4}</v>
      </c>
      <c r="AV575">
        <v>3520</v>
      </c>
      <c r="AW575" t="str">
        <f t="shared" ref="AW575:AW580" si="379">IF(AU575="","["&amp;_xlfn.TEXTJOIN(",",1,AP575:AT575)&amp;"]","["&amp;_xlfn.TEXTJOIN(",",1,AP575:AU575)&amp;"]")</f>
        <v>[{5000,10,1,2503,101},{5000,10,1,2503,102},{5000,10,1,2503,103},{5000,10,1,2503,113},{5000,10,1,2503,111},{1000,1,0,2521,4}]</v>
      </c>
    </row>
    <row r="576" spans="2:49">
      <c r="B576">
        <v>3521</v>
      </c>
      <c r="C576" t="s">
        <v>50</v>
      </c>
      <c r="D576" t="str">
        <f t="shared" si="347"/>
        <v>26</v>
      </c>
      <c r="F576">
        <v>136</v>
      </c>
      <c r="G576">
        <v>5000</v>
      </c>
      <c r="H576">
        <f t="shared" si="357"/>
        <v>9</v>
      </c>
      <c r="I576">
        <v>1</v>
      </c>
      <c r="J576">
        <v>1</v>
      </c>
      <c r="K576">
        <f t="shared" si="373"/>
        <v>2501</v>
      </c>
      <c r="L576">
        <f t="shared" si="364"/>
        <v>101</v>
      </c>
      <c r="M576">
        <v>5000</v>
      </c>
      <c r="N576">
        <f t="shared" si="363"/>
        <v>9</v>
      </c>
      <c r="O576">
        <v>1</v>
      </c>
      <c r="P576">
        <f t="shared" si="374"/>
        <v>2501</v>
      </c>
      <c r="Q576">
        <v>54</v>
      </c>
      <c r="R576">
        <f t="shared" si="365"/>
        <v>103</v>
      </c>
      <c r="S576">
        <v>5000</v>
      </c>
      <c r="T576">
        <f t="shared" si="338"/>
        <v>9</v>
      </c>
      <c r="U576">
        <v>1</v>
      </c>
      <c r="V576">
        <f t="shared" si="375"/>
        <v>2502</v>
      </c>
      <c r="W576">
        <v>76</v>
      </c>
      <c r="X576">
        <f t="shared" si="366"/>
        <v>111</v>
      </c>
      <c r="Y576">
        <v>5000</v>
      </c>
      <c r="Z576">
        <f t="shared" si="339"/>
        <v>9</v>
      </c>
      <c r="AA576">
        <v>1</v>
      </c>
      <c r="AB576">
        <f t="shared" si="376"/>
        <v>2501</v>
      </c>
      <c r="AC576">
        <v>72</v>
      </c>
      <c r="AD576">
        <f t="shared" si="367"/>
        <v>112</v>
      </c>
      <c r="AE576">
        <v>5000</v>
      </c>
      <c r="AF576">
        <f t="shared" si="340"/>
        <v>9</v>
      </c>
      <c r="AG576">
        <v>1</v>
      </c>
      <c r="AH576">
        <f t="shared" si="377"/>
        <v>2502</v>
      </c>
      <c r="AI576">
        <v>74</v>
      </c>
      <c r="AJ576">
        <f t="shared" si="368"/>
        <v>113</v>
      </c>
      <c r="AP576" t="str">
        <f t="shared" si="341"/>
        <v>{5000,9,1,2501,101}</v>
      </c>
      <c r="AQ576" t="str">
        <f t="shared" si="342"/>
        <v>{5000,9,1,2501,103}</v>
      </c>
      <c r="AR576" t="str">
        <f t="shared" si="343"/>
        <v>{5000,9,1,2502,111}</v>
      </c>
      <c r="AS576" t="str">
        <f t="shared" si="344"/>
        <v>{5000,9,1,2501,112}</v>
      </c>
      <c r="AT576" t="str">
        <f t="shared" si="345"/>
        <v>{5000,9,1,2502,113}</v>
      </c>
      <c r="AU576" t="str">
        <f t="shared" si="346"/>
        <v/>
      </c>
      <c r="AV576">
        <v>3521</v>
      </c>
      <c r="AW576" t="str">
        <f t="shared" si="379"/>
        <v>[{5000,9,1,2501,101},{5000,9,1,2501,103},{5000,9,1,2502,111},{5000,9,1,2501,112},{5000,9,1,2502,113}]</v>
      </c>
    </row>
    <row r="577" spans="2:49">
      <c r="B577">
        <v>3522</v>
      </c>
      <c r="C577" t="s">
        <v>50</v>
      </c>
      <c r="D577" t="str">
        <f t="shared" si="347"/>
        <v>26</v>
      </c>
      <c r="F577">
        <v>151</v>
      </c>
      <c r="G577">
        <v>5000</v>
      </c>
      <c r="H577">
        <f t="shared" si="357"/>
        <v>10</v>
      </c>
      <c r="I577">
        <v>1</v>
      </c>
      <c r="J577">
        <v>1</v>
      </c>
      <c r="K577">
        <f t="shared" si="373"/>
        <v>2501</v>
      </c>
      <c r="L577">
        <f t="shared" si="364"/>
        <v>101</v>
      </c>
      <c r="M577">
        <v>5000</v>
      </c>
      <c r="N577">
        <f t="shared" si="363"/>
        <v>10</v>
      </c>
      <c r="O577">
        <v>1</v>
      </c>
      <c r="P577">
        <f t="shared" si="374"/>
        <v>2501</v>
      </c>
      <c r="Q577">
        <v>54</v>
      </c>
      <c r="R577">
        <f t="shared" si="365"/>
        <v>102</v>
      </c>
      <c r="S577">
        <v>5000</v>
      </c>
      <c r="T577">
        <f t="shared" si="338"/>
        <v>10</v>
      </c>
      <c r="U577">
        <v>1</v>
      </c>
      <c r="V577">
        <f t="shared" si="375"/>
        <v>2502</v>
      </c>
      <c r="W577">
        <v>56</v>
      </c>
      <c r="X577">
        <f t="shared" si="366"/>
        <v>103</v>
      </c>
      <c r="Y577">
        <v>5000</v>
      </c>
      <c r="Z577">
        <f t="shared" si="339"/>
        <v>10</v>
      </c>
      <c r="AA577">
        <v>1</v>
      </c>
      <c r="AB577">
        <f t="shared" si="376"/>
        <v>2501</v>
      </c>
      <c r="AC577">
        <v>72</v>
      </c>
      <c r="AD577">
        <f t="shared" si="367"/>
        <v>113</v>
      </c>
      <c r="AE577">
        <v>5000</v>
      </c>
      <c r="AF577">
        <f t="shared" si="340"/>
        <v>10</v>
      </c>
      <c r="AG577">
        <v>1</v>
      </c>
      <c r="AH577">
        <f t="shared" si="377"/>
        <v>2502</v>
      </c>
      <c r="AI577">
        <v>74</v>
      </c>
      <c r="AJ577">
        <f t="shared" si="368"/>
        <v>111</v>
      </c>
      <c r="AP577" t="str">
        <f t="shared" si="341"/>
        <v>{5000,10,1,2501,101}</v>
      </c>
      <c r="AQ577" t="str">
        <f t="shared" si="342"/>
        <v>{5000,10,1,2501,102}</v>
      </c>
      <c r="AR577" t="str">
        <f t="shared" si="343"/>
        <v>{5000,10,1,2502,103}</v>
      </c>
      <c r="AS577" t="str">
        <f t="shared" si="344"/>
        <v>{5000,10,1,2501,113}</v>
      </c>
      <c r="AT577" t="str">
        <f t="shared" si="345"/>
        <v>{5000,10,1,2502,111}</v>
      </c>
      <c r="AU577" t="str">
        <f t="shared" si="346"/>
        <v/>
      </c>
      <c r="AV577">
        <v>3522</v>
      </c>
      <c r="AW577" t="str">
        <f t="shared" si="379"/>
        <v>[{5000,10,1,2501,101},{5000,10,1,2501,102},{5000,10,1,2502,103},{5000,10,1,2501,113},{5000,10,1,2502,111}]</v>
      </c>
    </row>
    <row r="578" spans="2:49">
      <c r="B578">
        <v>3523</v>
      </c>
      <c r="C578" t="s">
        <v>50</v>
      </c>
      <c r="D578" t="str">
        <f t="shared" si="347"/>
        <v>26</v>
      </c>
      <c r="F578">
        <v>166</v>
      </c>
      <c r="G578">
        <v>5000</v>
      </c>
      <c r="H578">
        <f t="shared" si="357"/>
        <v>11</v>
      </c>
      <c r="I578">
        <v>1</v>
      </c>
      <c r="J578">
        <v>1</v>
      </c>
      <c r="K578">
        <f t="shared" si="373"/>
        <v>2501</v>
      </c>
      <c r="L578">
        <f t="shared" si="364"/>
        <v>101</v>
      </c>
      <c r="M578">
        <v>5000</v>
      </c>
      <c r="N578">
        <f t="shared" si="363"/>
        <v>11</v>
      </c>
      <c r="O578">
        <v>1</v>
      </c>
      <c r="P578">
        <f t="shared" si="374"/>
        <v>2501</v>
      </c>
      <c r="Q578">
        <v>59</v>
      </c>
      <c r="R578">
        <f t="shared" si="365"/>
        <v>103</v>
      </c>
      <c r="S578">
        <v>5000</v>
      </c>
      <c r="T578">
        <f t="shared" si="338"/>
        <v>11</v>
      </c>
      <c r="U578">
        <v>1</v>
      </c>
      <c r="V578">
        <f t="shared" si="375"/>
        <v>2502</v>
      </c>
      <c r="W578">
        <v>79</v>
      </c>
      <c r="X578">
        <f t="shared" si="366"/>
        <v>111</v>
      </c>
      <c r="Y578">
        <v>5000</v>
      </c>
      <c r="Z578">
        <f t="shared" si="339"/>
        <v>11</v>
      </c>
      <c r="AA578">
        <v>1</v>
      </c>
      <c r="AB578">
        <f t="shared" si="376"/>
        <v>2501</v>
      </c>
      <c r="AC578">
        <v>71</v>
      </c>
      <c r="AD578">
        <f t="shared" si="367"/>
        <v>112</v>
      </c>
      <c r="AE578">
        <v>5000</v>
      </c>
      <c r="AF578">
        <f t="shared" si="340"/>
        <v>11</v>
      </c>
      <c r="AG578">
        <v>1</v>
      </c>
      <c r="AH578">
        <f t="shared" si="377"/>
        <v>2502</v>
      </c>
      <c r="AI578">
        <v>74</v>
      </c>
      <c r="AJ578">
        <f t="shared" si="368"/>
        <v>113</v>
      </c>
      <c r="AP578" t="str">
        <f t="shared" si="341"/>
        <v>{5000,11,1,2501,101}</v>
      </c>
      <c r="AQ578" t="str">
        <f t="shared" si="342"/>
        <v>{5000,11,1,2501,103}</v>
      </c>
      <c r="AR578" t="str">
        <f t="shared" si="343"/>
        <v>{5000,11,1,2502,111}</v>
      </c>
      <c r="AS578" t="str">
        <f t="shared" si="344"/>
        <v>{5000,11,1,2501,112}</v>
      </c>
      <c r="AT578" t="str">
        <f t="shared" si="345"/>
        <v>{5000,11,1,2502,113}</v>
      </c>
      <c r="AU578" t="str">
        <f t="shared" si="346"/>
        <v/>
      </c>
      <c r="AV578">
        <v>3523</v>
      </c>
      <c r="AW578" t="str">
        <f t="shared" si="379"/>
        <v>[{5000,11,1,2501,101},{5000,11,1,2501,103},{5000,11,1,2502,111},{5000,11,1,2501,112},{5000,11,1,2502,113}]</v>
      </c>
    </row>
    <row r="579" spans="2:49">
      <c r="B579">
        <v>3524</v>
      </c>
      <c r="C579" t="s">
        <v>50</v>
      </c>
      <c r="D579" t="str">
        <f t="shared" si="347"/>
        <v>26</v>
      </c>
      <c r="F579">
        <v>181</v>
      </c>
      <c r="G579">
        <v>5000</v>
      </c>
      <c r="H579">
        <f t="shared" si="357"/>
        <v>12</v>
      </c>
      <c r="I579">
        <v>1</v>
      </c>
      <c r="J579">
        <v>3</v>
      </c>
      <c r="K579">
        <f t="shared" si="373"/>
        <v>2503</v>
      </c>
      <c r="L579">
        <f t="shared" si="364"/>
        <v>101</v>
      </c>
      <c r="M579">
        <v>5000</v>
      </c>
      <c r="N579">
        <f t="shared" si="363"/>
        <v>12</v>
      </c>
      <c r="O579">
        <v>1</v>
      </c>
      <c r="P579">
        <f t="shared" si="374"/>
        <v>2503</v>
      </c>
      <c r="Q579">
        <v>53</v>
      </c>
      <c r="R579">
        <f t="shared" si="365"/>
        <v>102</v>
      </c>
      <c r="S579">
        <v>5000</v>
      </c>
      <c r="T579">
        <f t="shared" ref="T579:T642" si="380">N579</f>
        <v>12</v>
      </c>
      <c r="U579">
        <v>1</v>
      </c>
      <c r="V579">
        <f t="shared" si="375"/>
        <v>2503</v>
      </c>
      <c r="W579">
        <v>56</v>
      </c>
      <c r="X579">
        <f t="shared" si="366"/>
        <v>103</v>
      </c>
      <c r="Y579">
        <v>5000</v>
      </c>
      <c r="Z579">
        <f t="shared" ref="Z579:Z642" si="381">T579</f>
        <v>12</v>
      </c>
      <c r="AA579">
        <v>1</v>
      </c>
      <c r="AB579">
        <f t="shared" si="376"/>
        <v>2503</v>
      </c>
      <c r="AC579">
        <v>75</v>
      </c>
      <c r="AD579">
        <f t="shared" si="367"/>
        <v>113</v>
      </c>
      <c r="AE579">
        <v>5000</v>
      </c>
      <c r="AF579">
        <f t="shared" ref="AF579:AF642" si="382">Z579</f>
        <v>12</v>
      </c>
      <c r="AG579">
        <v>1</v>
      </c>
      <c r="AH579">
        <f t="shared" si="377"/>
        <v>2503</v>
      </c>
      <c r="AI579">
        <v>78</v>
      </c>
      <c r="AJ579">
        <f t="shared" si="368"/>
        <v>111</v>
      </c>
      <c r="AP579" t="str">
        <f t="shared" ref="AP579:AP642" si="383">IF(G579="","",$AQ$1&amp;_xlfn.TEXTJOIN(",",1,G579:I579,K579,L579)&amp;$AR$1)</f>
        <v>{5000,12,1,2503,101}</v>
      </c>
      <c r="AQ579" t="str">
        <f t="shared" ref="AQ579:AQ642" si="384">IF(G579="","",$AQ$1&amp;_xlfn.TEXTJOIN(",",1,M579:P579,R579)&amp;$AR$1)</f>
        <v>{5000,12,1,2503,102}</v>
      </c>
      <c r="AR579" t="str">
        <f t="shared" ref="AR579:AR642" si="385">IF(G579="","",$AQ$1&amp;_xlfn.TEXTJOIN(",",1,S579:V579,X579)&amp;$AR$1)</f>
        <v>{5000,12,1,2503,103}</v>
      </c>
      <c r="AS579" t="str">
        <f t="shared" ref="AS579:AS642" si="386">IF(G579="","",$AQ$1&amp;_xlfn.TEXTJOIN(",",1,Y579:AB579,AD579)&amp;$AR$1)</f>
        <v>{5000,12,1,2503,113}</v>
      </c>
      <c r="AT579" t="str">
        <f t="shared" ref="AT579:AT642" si="387">IF(G579="","",$AQ$1&amp;_xlfn.TEXTJOIN(",",1,AE579:AH579,AJ579)&amp;$AR$1)</f>
        <v>{5000,12,1,2503,111}</v>
      </c>
      <c r="AU579" t="str">
        <f t="shared" ref="AU579:AU642" si="388">IF(AK579="","",IF(G579="","",$AQ$1&amp;_xlfn.TEXTJOIN(",",1,AK579:AO579)&amp;$AR$1))</f>
        <v/>
      </c>
      <c r="AV579">
        <v>3524</v>
      </c>
      <c r="AW579" t="str">
        <f t="shared" si="379"/>
        <v>[{5000,12,1,2503,101},{5000,12,1,2503,102},{5000,12,1,2503,103},{5000,12,1,2503,113},{5000,12,1,2503,111}]</v>
      </c>
    </row>
    <row r="580" spans="2:49">
      <c r="B580">
        <v>3525</v>
      </c>
      <c r="C580" t="s">
        <v>50</v>
      </c>
      <c r="D580" t="str">
        <f t="shared" si="347"/>
        <v>26</v>
      </c>
      <c r="F580">
        <v>196</v>
      </c>
      <c r="G580">
        <v>5000</v>
      </c>
      <c r="H580">
        <f t="shared" si="357"/>
        <v>12</v>
      </c>
      <c r="I580">
        <v>1</v>
      </c>
      <c r="J580">
        <v>2</v>
      </c>
      <c r="K580">
        <f t="shared" si="373"/>
        <v>2502</v>
      </c>
      <c r="L580">
        <f t="shared" si="364"/>
        <v>101</v>
      </c>
      <c r="M580">
        <v>5000</v>
      </c>
      <c r="N580">
        <f t="shared" si="363"/>
        <v>12</v>
      </c>
      <c r="O580">
        <v>1</v>
      </c>
      <c r="P580">
        <f t="shared" si="374"/>
        <v>2501</v>
      </c>
      <c r="Q580">
        <v>54</v>
      </c>
      <c r="R580">
        <f t="shared" si="365"/>
        <v>103</v>
      </c>
      <c r="S580">
        <v>5000</v>
      </c>
      <c r="T580">
        <f t="shared" si="380"/>
        <v>12</v>
      </c>
      <c r="U580">
        <v>1</v>
      </c>
      <c r="V580">
        <f t="shared" si="375"/>
        <v>2502</v>
      </c>
      <c r="W580">
        <v>77</v>
      </c>
      <c r="X580">
        <f t="shared" si="366"/>
        <v>111</v>
      </c>
      <c r="Y580">
        <v>5000</v>
      </c>
      <c r="Z580">
        <f t="shared" si="381"/>
        <v>12</v>
      </c>
      <c r="AA580">
        <v>1</v>
      </c>
      <c r="AB580">
        <f t="shared" si="376"/>
        <v>2501</v>
      </c>
      <c r="AC580">
        <v>72</v>
      </c>
      <c r="AD580">
        <f t="shared" si="367"/>
        <v>112</v>
      </c>
      <c r="AE580">
        <v>5000</v>
      </c>
      <c r="AF580">
        <f t="shared" si="382"/>
        <v>12</v>
      </c>
      <c r="AG580">
        <v>1</v>
      </c>
      <c r="AH580">
        <f t="shared" si="377"/>
        <v>2502</v>
      </c>
      <c r="AI580">
        <v>74</v>
      </c>
      <c r="AJ580">
        <f t="shared" si="368"/>
        <v>113</v>
      </c>
      <c r="AP580" t="str">
        <f t="shared" si="383"/>
        <v>{5000,12,1,2502,101}</v>
      </c>
      <c r="AQ580" t="str">
        <f t="shared" si="384"/>
        <v>{5000,12,1,2501,103}</v>
      </c>
      <c r="AR580" t="str">
        <f t="shared" si="385"/>
        <v>{5000,12,1,2502,111}</v>
      </c>
      <c r="AS580" t="str">
        <f t="shared" si="386"/>
        <v>{5000,12,1,2501,112}</v>
      </c>
      <c r="AT580" t="str">
        <f t="shared" si="387"/>
        <v>{5000,12,1,2502,113}</v>
      </c>
      <c r="AU580" t="str">
        <f t="shared" si="388"/>
        <v/>
      </c>
      <c r="AV580">
        <v>3525</v>
      </c>
      <c r="AW580" t="str">
        <f t="shared" si="379"/>
        <v>[{5000,12,1,2502,101},{5000,12,1,2501,103},{5000,12,1,2502,111},{5000,12,1,2501,112},{5000,12,1,2502,113}]</v>
      </c>
    </row>
    <row r="581" spans="2:48">
      <c r="B581">
        <v>3526</v>
      </c>
      <c r="C581" t="s">
        <v>50</v>
      </c>
      <c r="D581" t="str">
        <f t="shared" si="347"/>
        <v>26</v>
      </c>
      <c r="F581">
        <v>209</v>
      </c>
      <c r="H581">
        <f t="shared" si="357"/>
        <v>0</v>
      </c>
      <c r="K581" t="str">
        <f t="shared" si="373"/>
        <v/>
      </c>
      <c r="L581" t="str">
        <f t="shared" si="364"/>
        <v/>
      </c>
      <c r="N581">
        <f t="shared" si="363"/>
        <v>0</v>
      </c>
      <c r="P581" t="str">
        <f t="shared" si="374"/>
        <v/>
      </c>
      <c r="R581" t="str">
        <f t="shared" si="365"/>
        <v/>
      </c>
      <c r="T581">
        <f t="shared" si="380"/>
        <v>0</v>
      </c>
      <c r="V581" t="str">
        <f t="shared" si="375"/>
        <v/>
      </c>
      <c r="X581" t="str">
        <f t="shared" si="366"/>
        <v/>
      </c>
      <c r="Z581">
        <f t="shared" si="381"/>
        <v>0</v>
      </c>
      <c r="AB581" t="str">
        <f t="shared" si="376"/>
        <v/>
      </c>
      <c r="AD581" t="str">
        <f t="shared" si="367"/>
        <v/>
      </c>
      <c r="AF581">
        <f t="shared" si="382"/>
        <v>0</v>
      </c>
      <c r="AH581" t="str">
        <f t="shared" si="377"/>
        <v/>
      </c>
      <c r="AJ581" t="str">
        <f t="shared" si="368"/>
        <v/>
      </c>
      <c r="AP581" t="str">
        <f t="shared" si="383"/>
        <v/>
      </c>
      <c r="AQ581" t="str">
        <f t="shared" si="384"/>
        <v/>
      </c>
      <c r="AR581" t="str">
        <f t="shared" si="385"/>
        <v/>
      </c>
      <c r="AS581" t="str">
        <f t="shared" si="386"/>
        <v/>
      </c>
      <c r="AT581" t="str">
        <f t="shared" si="387"/>
        <v/>
      </c>
      <c r="AU581" t="str">
        <f t="shared" si="388"/>
        <v/>
      </c>
      <c r="AV581">
        <v>3526</v>
      </c>
    </row>
    <row r="582" spans="2:49">
      <c r="B582">
        <v>3527</v>
      </c>
      <c r="C582" t="s">
        <v>50</v>
      </c>
      <c r="D582" t="str">
        <f t="shared" si="347"/>
        <v>26</v>
      </c>
      <c r="F582">
        <v>211</v>
      </c>
      <c r="G582">
        <v>5000</v>
      </c>
      <c r="H582">
        <f t="shared" si="357"/>
        <v>11</v>
      </c>
      <c r="I582">
        <v>1</v>
      </c>
      <c r="J582">
        <v>2</v>
      </c>
      <c r="K582">
        <f t="shared" si="373"/>
        <v>2502</v>
      </c>
      <c r="L582">
        <f t="shared" si="364"/>
        <v>101</v>
      </c>
      <c r="M582">
        <v>5000</v>
      </c>
      <c r="N582">
        <f t="shared" si="363"/>
        <v>11</v>
      </c>
      <c r="O582">
        <v>1</v>
      </c>
      <c r="P582">
        <f t="shared" si="374"/>
        <v>2501</v>
      </c>
      <c r="Q582">
        <v>51</v>
      </c>
      <c r="R582">
        <f t="shared" si="365"/>
        <v>102</v>
      </c>
      <c r="S582">
        <v>5000</v>
      </c>
      <c r="T582">
        <f t="shared" si="380"/>
        <v>11</v>
      </c>
      <c r="U582">
        <v>1</v>
      </c>
      <c r="V582">
        <f t="shared" si="375"/>
        <v>2502</v>
      </c>
      <c r="W582">
        <v>57</v>
      </c>
      <c r="X582">
        <f t="shared" si="366"/>
        <v>103</v>
      </c>
      <c r="Y582">
        <v>5000</v>
      </c>
      <c r="Z582">
        <f t="shared" si="381"/>
        <v>11</v>
      </c>
      <c r="AA582">
        <v>1</v>
      </c>
      <c r="AB582">
        <f t="shared" si="376"/>
        <v>2501</v>
      </c>
      <c r="AC582">
        <v>79</v>
      </c>
      <c r="AD582">
        <f t="shared" si="367"/>
        <v>113</v>
      </c>
      <c r="AE582">
        <v>5000</v>
      </c>
      <c r="AF582">
        <f t="shared" si="382"/>
        <v>11</v>
      </c>
      <c r="AG582">
        <v>1</v>
      </c>
      <c r="AH582">
        <f t="shared" si="377"/>
        <v>2502</v>
      </c>
      <c r="AI582">
        <v>72</v>
      </c>
      <c r="AJ582">
        <f t="shared" si="368"/>
        <v>111</v>
      </c>
      <c r="AK582">
        <v>1000</v>
      </c>
      <c r="AL582">
        <v>1</v>
      </c>
      <c r="AM582">
        <v>0</v>
      </c>
      <c r="AN582">
        <f t="shared" ref="AN582" si="389">AN559+100</f>
        <v>2531</v>
      </c>
      <c r="AO582">
        <v>4</v>
      </c>
      <c r="AP582" t="str">
        <f t="shared" si="383"/>
        <v>{5000,11,1,2502,101}</v>
      </c>
      <c r="AQ582" t="str">
        <f t="shared" si="384"/>
        <v>{5000,11,1,2501,102}</v>
      </c>
      <c r="AR582" t="str">
        <f t="shared" si="385"/>
        <v>{5000,11,1,2502,103}</v>
      </c>
      <c r="AS582" t="str">
        <f t="shared" si="386"/>
        <v>{5000,11,1,2501,113}</v>
      </c>
      <c r="AT582" t="str">
        <f t="shared" si="387"/>
        <v>{5000,11,1,2502,111}</v>
      </c>
      <c r="AU582" t="str">
        <f t="shared" si="388"/>
        <v>{1000,1,0,2531,4}</v>
      </c>
      <c r="AV582">
        <v>3527</v>
      </c>
      <c r="AW582" t="str">
        <f t="shared" ref="AW582:AW596" si="390">IF(AU582="","["&amp;_xlfn.TEXTJOIN(",",1,AP582:AT582)&amp;"]","["&amp;_xlfn.TEXTJOIN(",",1,AP582:AU582)&amp;"]")</f>
        <v>[{5000,11,1,2502,101},{5000,11,1,2501,102},{5000,11,1,2502,103},{5000,11,1,2501,113},{5000,11,1,2502,111},{1000,1,0,2531,4}]</v>
      </c>
    </row>
    <row r="583" spans="2:49">
      <c r="B583">
        <v>3528</v>
      </c>
      <c r="C583" t="s">
        <v>50</v>
      </c>
      <c r="D583" t="str">
        <f t="shared" si="347"/>
        <v>26</v>
      </c>
      <c r="F583">
        <v>226</v>
      </c>
      <c r="G583">
        <v>5000</v>
      </c>
      <c r="H583">
        <f t="shared" si="357"/>
        <v>11</v>
      </c>
      <c r="I583">
        <v>1</v>
      </c>
      <c r="J583">
        <v>2</v>
      </c>
      <c r="K583">
        <f t="shared" si="373"/>
        <v>2502</v>
      </c>
      <c r="L583">
        <f t="shared" si="364"/>
        <v>101</v>
      </c>
      <c r="M583">
        <v>5000</v>
      </c>
      <c r="N583">
        <f t="shared" si="363"/>
        <v>11</v>
      </c>
      <c r="O583">
        <v>1</v>
      </c>
      <c r="P583">
        <f t="shared" si="374"/>
        <v>2501</v>
      </c>
      <c r="Q583">
        <v>51</v>
      </c>
      <c r="R583">
        <f t="shared" si="365"/>
        <v>103</v>
      </c>
      <c r="S583">
        <v>5000</v>
      </c>
      <c r="T583">
        <f t="shared" si="380"/>
        <v>11</v>
      </c>
      <c r="U583">
        <v>1</v>
      </c>
      <c r="V583">
        <f t="shared" si="375"/>
        <v>2502</v>
      </c>
      <c r="W583">
        <v>75</v>
      </c>
      <c r="X583">
        <f t="shared" si="366"/>
        <v>111</v>
      </c>
      <c r="Y583">
        <v>5000</v>
      </c>
      <c r="Z583">
        <f t="shared" si="381"/>
        <v>11</v>
      </c>
      <c r="AA583">
        <v>1</v>
      </c>
      <c r="AB583">
        <f t="shared" si="376"/>
        <v>2501</v>
      </c>
      <c r="AC583">
        <v>71</v>
      </c>
      <c r="AD583">
        <f t="shared" si="367"/>
        <v>112</v>
      </c>
      <c r="AE583">
        <v>5000</v>
      </c>
      <c r="AF583">
        <f t="shared" si="382"/>
        <v>11</v>
      </c>
      <c r="AG583">
        <v>1</v>
      </c>
      <c r="AH583">
        <f t="shared" si="377"/>
        <v>2502</v>
      </c>
      <c r="AI583">
        <v>77</v>
      </c>
      <c r="AJ583">
        <f t="shared" si="368"/>
        <v>113</v>
      </c>
      <c r="AP583" t="str">
        <f t="shared" si="383"/>
        <v>{5000,11,1,2502,101}</v>
      </c>
      <c r="AQ583" t="str">
        <f t="shared" si="384"/>
        <v>{5000,11,1,2501,103}</v>
      </c>
      <c r="AR583" t="str">
        <f t="shared" si="385"/>
        <v>{5000,11,1,2502,111}</v>
      </c>
      <c r="AS583" t="str">
        <f t="shared" si="386"/>
        <v>{5000,11,1,2501,112}</v>
      </c>
      <c r="AT583" t="str">
        <f t="shared" si="387"/>
        <v>{5000,11,1,2502,113}</v>
      </c>
      <c r="AU583" t="str">
        <f t="shared" si="388"/>
        <v/>
      </c>
      <c r="AV583">
        <v>3528</v>
      </c>
      <c r="AW583" t="str">
        <f t="shared" si="390"/>
        <v>[{5000,11,1,2502,101},{5000,11,1,2501,103},{5000,11,1,2502,111},{5000,11,1,2501,112},{5000,11,1,2502,113}]</v>
      </c>
    </row>
    <row r="584" spans="2:49">
      <c r="B584">
        <v>3529</v>
      </c>
      <c r="C584" t="s">
        <v>50</v>
      </c>
      <c r="D584" t="str">
        <f t="shared" ref="D584:D647" si="391">RIGHT(C584,2)</f>
        <v>26</v>
      </c>
      <c r="F584">
        <v>241</v>
      </c>
      <c r="G584">
        <v>5000</v>
      </c>
      <c r="H584">
        <f t="shared" si="357"/>
        <v>13</v>
      </c>
      <c r="I584">
        <v>1</v>
      </c>
      <c r="J584">
        <v>3</v>
      </c>
      <c r="K584">
        <f t="shared" si="373"/>
        <v>2503</v>
      </c>
      <c r="L584">
        <f t="shared" si="364"/>
        <v>101</v>
      </c>
      <c r="M584">
        <v>5000</v>
      </c>
      <c r="N584">
        <f t="shared" si="363"/>
        <v>13</v>
      </c>
      <c r="O584">
        <v>1</v>
      </c>
      <c r="P584">
        <f t="shared" si="374"/>
        <v>2503</v>
      </c>
      <c r="Q584">
        <v>53</v>
      </c>
      <c r="R584">
        <f t="shared" si="365"/>
        <v>102</v>
      </c>
      <c r="S584">
        <v>5000</v>
      </c>
      <c r="T584">
        <f t="shared" si="380"/>
        <v>13</v>
      </c>
      <c r="U584">
        <v>1</v>
      </c>
      <c r="V584">
        <f t="shared" si="375"/>
        <v>2503</v>
      </c>
      <c r="W584">
        <v>56</v>
      </c>
      <c r="X584">
        <f t="shared" si="366"/>
        <v>103</v>
      </c>
      <c r="Y584">
        <v>5000</v>
      </c>
      <c r="Z584">
        <f t="shared" si="381"/>
        <v>13</v>
      </c>
      <c r="AA584">
        <v>1</v>
      </c>
      <c r="AB584">
        <f t="shared" si="376"/>
        <v>2503</v>
      </c>
      <c r="AC584">
        <v>74</v>
      </c>
      <c r="AD584">
        <f t="shared" si="367"/>
        <v>113</v>
      </c>
      <c r="AE584">
        <v>5000</v>
      </c>
      <c r="AF584">
        <f t="shared" si="382"/>
        <v>13</v>
      </c>
      <c r="AG584">
        <v>1</v>
      </c>
      <c r="AH584">
        <f t="shared" si="377"/>
        <v>2503</v>
      </c>
      <c r="AI584">
        <v>78</v>
      </c>
      <c r="AJ584">
        <f t="shared" si="368"/>
        <v>111</v>
      </c>
      <c r="AP584" t="str">
        <f t="shared" si="383"/>
        <v>{5000,13,1,2503,101}</v>
      </c>
      <c r="AQ584" t="str">
        <f t="shared" si="384"/>
        <v>{5000,13,1,2503,102}</v>
      </c>
      <c r="AR584" t="str">
        <f t="shared" si="385"/>
        <v>{5000,13,1,2503,103}</v>
      </c>
      <c r="AS584" t="str">
        <f t="shared" si="386"/>
        <v>{5000,13,1,2503,113}</v>
      </c>
      <c r="AT584" t="str">
        <f t="shared" si="387"/>
        <v>{5000,13,1,2503,111}</v>
      </c>
      <c r="AU584" t="str">
        <f t="shared" si="388"/>
        <v/>
      </c>
      <c r="AV584">
        <v>3529</v>
      </c>
      <c r="AW584" t="str">
        <f t="shared" si="390"/>
        <v>[{5000,13,1,2503,101},{5000,13,1,2503,102},{5000,13,1,2503,103},{5000,13,1,2503,113},{5000,13,1,2503,111}]</v>
      </c>
    </row>
    <row r="585" spans="2:49">
      <c r="B585">
        <v>3530</v>
      </c>
      <c r="C585" t="s">
        <v>50</v>
      </c>
      <c r="D585" t="str">
        <f t="shared" si="391"/>
        <v>26</v>
      </c>
      <c r="F585">
        <v>256</v>
      </c>
      <c r="G585">
        <v>5000</v>
      </c>
      <c r="H585">
        <f t="shared" si="357"/>
        <v>12</v>
      </c>
      <c r="I585">
        <v>1</v>
      </c>
      <c r="J585">
        <v>2</v>
      </c>
      <c r="K585">
        <f t="shared" si="373"/>
        <v>2502</v>
      </c>
      <c r="L585">
        <f t="shared" si="364"/>
        <v>101</v>
      </c>
      <c r="M585">
        <v>5000</v>
      </c>
      <c r="N585">
        <f t="shared" si="363"/>
        <v>12</v>
      </c>
      <c r="O585">
        <v>1</v>
      </c>
      <c r="P585">
        <f t="shared" si="374"/>
        <v>2502</v>
      </c>
      <c r="Q585">
        <v>59</v>
      </c>
      <c r="R585">
        <f t="shared" si="365"/>
        <v>103</v>
      </c>
      <c r="S585">
        <v>5000</v>
      </c>
      <c r="T585">
        <f t="shared" si="380"/>
        <v>12</v>
      </c>
      <c r="U585">
        <v>1</v>
      </c>
      <c r="V585">
        <f t="shared" si="375"/>
        <v>2502</v>
      </c>
      <c r="W585">
        <v>79</v>
      </c>
      <c r="X585">
        <f t="shared" si="366"/>
        <v>111</v>
      </c>
      <c r="Y585">
        <v>5000</v>
      </c>
      <c r="Z585">
        <f t="shared" si="381"/>
        <v>12</v>
      </c>
      <c r="AA585">
        <v>1</v>
      </c>
      <c r="AB585">
        <f t="shared" si="376"/>
        <v>2501</v>
      </c>
      <c r="AC585">
        <v>72</v>
      </c>
      <c r="AD585">
        <f t="shared" si="367"/>
        <v>112</v>
      </c>
      <c r="AE585">
        <v>5000</v>
      </c>
      <c r="AF585">
        <f t="shared" si="382"/>
        <v>12</v>
      </c>
      <c r="AG585">
        <v>1</v>
      </c>
      <c r="AH585">
        <f t="shared" si="377"/>
        <v>2502</v>
      </c>
      <c r="AI585">
        <v>74</v>
      </c>
      <c r="AJ585">
        <f t="shared" si="368"/>
        <v>113</v>
      </c>
      <c r="AP585" t="str">
        <f t="shared" si="383"/>
        <v>{5000,12,1,2502,101}</v>
      </c>
      <c r="AQ585" t="str">
        <f t="shared" si="384"/>
        <v>{5000,12,1,2502,103}</v>
      </c>
      <c r="AR585" t="str">
        <f t="shared" si="385"/>
        <v>{5000,12,1,2502,111}</v>
      </c>
      <c r="AS585" t="str">
        <f t="shared" si="386"/>
        <v>{5000,12,1,2501,112}</v>
      </c>
      <c r="AT585" t="str">
        <f t="shared" si="387"/>
        <v>{5000,12,1,2502,113}</v>
      </c>
      <c r="AU585" t="str">
        <f t="shared" si="388"/>
        <v/>
      </c>
      <c r="AV585">
        <v>3530</v>
      </c>
      <c r="AW585" t="str">
        <f t="shared" si="390"/>
        <v>[{5000,12,1,2502,101},{5000,12,1,2502,103},{5000,12,1,2502,111},{5000,12,1,2501,112},{5000,12,1,2502,113}]</v>
      </c>
    </row>
    <row r="586" spans="2:49">
      <c r="B586">
        <v>3531</v>
      </c>
      <c r="C586" t="s">
        <v>50</v>
      </c>
      <c r="D586" t="str">
        <f t="shared" si="391"/>
        <v>26</v>
      </c>
      <c r="F586">
        <v>271</v>
      </c>
      <c r="G586">
        <v>5000</v>
      </c>
      <c r="H586">
        <f t="shared" si="357"/>
        <v>13</v>
      </c>
      <c r="I586">
        <v>1</v>
      </c>
      <c r="J586">
        <v>2</v>
      </c>
      <c r="K586">
        <f t="shared" si="373"/>
        <v>2502</v>
      </c>
      <c r="L586">
        <f t="shared" si="364"/>
        <v>101</v>
      </c>
      <c r="M586">
        <v>5000</v>
      </c>
      <c r="N586">
        <f t="shared" si="363"/>
        <v>13</v>
      </c>
      <c r="O586">
        <v>1</v>
      </c>
      <c r="P586">
        <f t="shared" si="374"/>
        <v>2502</v>
      </c>
      <c r="Q586">
        <v>54</v>
      </c>
      <c r="R586">
        <f t="shared" si="365"/>
        <v>102</v>
      </c>
      <c r="S586">
        <v>5000</v>
      </c>
      <c r="T586">
        <f t="shared" si="380"/>
        <v>13</v>
      </c>
      <c r="U586">
        <v>1</v>
      </c>
      <c r="V586">
        <f t="shared" si="375"/>
        <v>2502</v>
      </c>
      <c r="W586">
        <v>56</v>
      </c>
      <c r="X586">
        <f t="shared" si="366"/>
        <v>103</v>
      </c>
      <c r="Y586">
        <v>5000</v>
      </c>
      <c r="Z586">
        <f t="shared" si="381"/>
        <v>13</v>
      </c>
      <c r="AA586">
        <v>1</v>
      </c>
      <c r="AB586">
        <f t="shared" si="376"/>
        <v>2502</v>
      </c>
      <c r="AC586">
        <v>73</v>
      </c>
      <c r="AD586">
        <f t="shared" si="367"/>
        <v>113</v>
      </c>
      <c r="AE586">
        <v>5000</v>
      </c>
      <c r="AF586">
        <f t="shared" si="382"/>
        <v>13</v>
      </c>
      <c r="AG586">
        <v>1</v>
      </c>
      <c r="AH586">
        <f t="shared" si="377"/>
        <v>2502</v>
      </c>
      <c r="AI586">
        <v>75</v>
      </c>
      <c r="AJ586">
        <f t="shared" si="368"/>
        <v>111</v>
      </c>
      <c r="AP586" t="str">
        <f t="shared" si="383"/>
        <v>{5000,13,1,2502,101}</v>
      </c>
      <c r="AQ586" t="str">
        <f t="shared" si="384"/>
        <v>{5000,13,1,2502,102}</v>
      </c>
      <c r="AR586" t="str">
        <f t="shared" si="385"/>
        <v>{5000,13,1,2502,103}</v>
      </c>
      <c r="AS586" t="str">
        <f t="shared" si="386"/>
        <v>{5000,13,1,2502,113}</v>
      </c>
      <c r="AT586" t="str">
        <f t="shared" si="387"/>
        <v>{5000,13,1,2502,111}</v>
      </c>
      <c r="AU586" t="str">
        <f t="shared" si="388"/>
        <v/>
      </c>
      <c r="AV586">
        <v>3531</v>
      </c>
      <c r="AW586" t="str">
        <f t="shared" si="390"/>
        <v>[{5000,13,1,2502,101},{5000,13,1,2502,102},{5000,13,1,2502,103},{5000,13,1,2502,113},{5000,13,1,2502,111}]</v>
      </c>
    </row>
    <row r="587" spans="2:49">
      <c r="B587">
        <v>3532</v>
      </c>
      <c r="C587" t="s">
        <v>50</v>
      </c>
      <c r="D587" t="str">
        <f t="shared" si="391"/>
        <v>26</v>
      </c>
      <c r="F587">
        <v>286</v>
      </c>
      <c r="G587">
        <v>5000</v>
      </c>
      <c r="H587">
        <f t="shared" si="357"/>
        <v>13</v>
      </c>
      <c r="I587">
        <v>1</v>
      </c>
      <c r="J587">
        <v>2</v>
      </c>
      <c r="K587">
        <f t="shared" si="373"/>
        <v>2502</v>
      </c>
      <c r="L587">
        <f t="shared" si="364"/>
        <v>101</v>
      </c>
      <c r="M587">
        <v>5000</v>
      </c>
      <c r="N587">
        <f t="shared" si="363"/>
        <v>13</v>
      </c>
      <c r="O587">
        <v>1</v>
      </c>
      <c r="P587">
        <f t="shared" si="374"/>
        <v>2502</v>
      </c>
      <c r="Q587">
        <v>53</v>
      </c>
      <c r="R587">
        <f t="shared" si="365"/>
        <v>103</v>
      </c>
      <c r="S587">
        <v>5000</v>
      </c>
      <c r="T587">
        <f t="shared" si="380"/>
        <v>13</v>
      </c>
      <c r="U587">
        <v>1</v>
      </c>
      <c r="V587">
        <f t="shared" si="375"/>
        <v>2502</v>
      </c>
      <c r="W587">
        <v>59</v>
      </c>
      <c r="X587">
        <f t="shared" si="366"/>
        <v>111</v>
      </c>
      <c r="Y587">
        <v>5000</v>
      </c>
      <c r="Z587">
        <f t="shared" si="381"/>
        <v>13</v>
      </c>
      <c r="AA587">
        <v>1</v>
      </c>
      <c r="AB587">
        <f t="shared" si="376"/>
        <v>2502</v>
      </c>
      <c r="AC587">
        <v>71</v>
      </c>
      <c r="AD587">
        <f t="shared" si="367"/>
        <v>112</v>
      </c>
      <c r="AE587">
        <v>5000</v>
      </c>
      <c r="AF587">
        <f t="shared" si="382"/>
        <v>13</v>
      </c>
      <c r="AG587">
        <v>1</v>
      </c>
      <c r="AH587">
        <f t="shared" si="377"/>
        <v>2502</v>
      </c>
      <c r="AI587">
        <v>77</v>
      </c>
      <c r="AJ587">
        <f t="shared" si="368"/>
        <v>113</v>
      </c>
      <c r="AP587" t="str">
        <f t="shared" si="383"/>
        <v>{5000,13,1,2502,101}</v>
      </c>
      <c r="AQ587" t="str">
        <f t="shared" si="384"/>
        <v>{5000,13,1,2502,103}</v>
      </c>
      <c r="AR587" t="str">
        <f t="shared" si="385"/>
        <v>{5000,13,1,2502,111}</v>
      </c>
      <c r="AS587" t="str">
        <f t="shared" si="386"/>
        <v>{5000,13,1,2502,112}</v>
      </c>
      <c r="AT587" t="str">
        <f t="shared" si="387"/>
        <v>{5000,13,1,2502,113}</v>
      </c>
      <c r="AU587" t="str">
        <f t="shared" si="388"/>
        <v/>
      </c>
      <c r="AV587">
        <v>3532</v>
      </c>
      <c r="AW587" t="str">
        <f t="shared" si="390"/>
        <v>[{5000,13,1,2502,101},{5000,13,1,2502,103},{5000,13,1,2502,111},{5000,13,1,2502,112},{5000,13,1,2502,113}]</v>
      </c>
    </row>
    <row r="588" spans="2:49">
      <c r="B588">
        <v>3533</v>
      </c>
      <c r="C588" t="s">
        <v>50</v>
      </c>
      <c r="D588" t="str">
        <f t="shared" si="391"/>
        <v>26</v>
      </c>
      <c r="F588">
        <v>290</v>
      </c>
      <c r="G588">
        <v>5000</v>
      </c>
      <c r="H588">
        <f t="shared" si="357"/>
        <v>13</v>
      </c>
      <c r="I588">
        <v>1</v>
      </c>
      <c r="J588">
        <v>2</v>
      </c>
      <c r="K588">
        <f t="shared" si="373"/>
        <v>2502</v>
      </c>
      <c r="L588">
        <f t="shared" si="364"/>
        <v>101</v>
      </c>
      <c r="M588">
        <v>5000</v>
      </c>
      <c r="N588">
        <f t="shared" si="363"/>
        <v>13</v>
      </c>
      <c r="O588">
        <v>1</v>
      </c>
      <c r="P588">
        <f t="shared" si="374"/>
        <v>2502</v>
      </c>
      <c r="Q588">
        <v>56</v>
      </c>
      <c r="R588">
        <f t="shared" si="365"/>
        <v>102</v>
      </c>
      <c r="S588">
        <v>5000</v>
      </c>
      <c r="T588">
        <f t="shared" si="380"/>
        <v>13</v>
      </c>
      <c r="U588">
        <v>1</v>
      </c>
      <c r="V588">
        <f t="shared" si="375"/>
        <v>2501</v>
      </c>
      <c r="W588">
        <v>77</v>
      </c>
      <c r="X588">
        <f t="shared" si="366"/>
        <v>103</v>
      </c>
      <c r="Y588">
        <v>5000</v>
      </c>
      <c r="Z588">
        <f t="shared" si="381"/>
        <v>13</v>
      </c>
      <c r="AA588">
        <v>1</v>
      </c>
      <c r="AB588">
        <f t="shared" si="376"/>
        <v>2502</v>
      </c>
      <c r="AC588">
        <v>72</v>
      </c>
      <c r="AD588">
        <f t="shared" si="367"/>
        <v>113</v>
      </c>
      <c r="AE588">
        <v>5000</v>
      </c>
      <c r="AF588">
        <f t="shared" si="382"/>
        <v>13</v>
      </c>
      <c r="AG588">
        <v>1</v>
      </c>
      <c r="AH588">
        <f t="shared" si="377"/>
        <v>2502</v>
      </c>
      <c r="AI588">
        <v>74</v>
      </c>
      <c r="AJ588">
        <f t="shared" si="368"/>
        <v>111</v>
      </c>
      <c r="AP588" t="str">
        <f t="shared" si="383"/>
        <v>{5000,13,1,2502,101}</v>
      </c>
      <c r="AQ588" t="str">
        <f t="shared" si="384"/>
        <v>{5000,13,1,2502,102}</v>
      </c>
      <c r="AR588" t="str">
        <f t="shared" si="385"/>
        <v>{5000,13,1,2501,103}</v>
      </c>
      <c r="AS588" t="str">
        <f t="shared" si="386"/>
        <v>{5000,13,1,2502,113}</v>
      </c>
      <c r="AT588" t="str">
        <f t="shared" si="387"/>
        <v>{5000,13,1,2502,111}</v>
      </c>
      <c r="AU588" t="str">
        <f t="shared" si="388"/>
        <v/>
      </c>
      <c r="AV588">
        <v>3533</v>
      </c>
      <c r="AW588" t="str">
        <f t="shared" si="390"/>
        <v>[{5000,13,1,2502,101},{5000,13,1,2502,102},{5000,13,1,2501,103},{5000,13,1,2502,113},{5000,13,1,2502,111}]</v>
      </c>
    </row>
    <row r="589" spans="2:49">
      <c r="B589">
        <v>3611</v>
      </c>
      <c r="C589" t="s">
        <v>51</v>
      </c>
      <c r="D589" s="5" t="str">
        <f t="shared" si="391"/>
        <v>27</v>
      </c>
      <c r="E589" s="5"/>
      <c r="F589">
        <v>1</v>
      </c>
      <c r="G589">
        <v>5000</v>
      </c>
      <c r="H589">
        <f t="shared" si="357"/>
        <v>3</v>
      </c>
      <c r="I589">
        <v>1</v>
      </c>
      <c r="J589">
        <v>1</v>
      </c>
      <c r="K589">
        <f t="shared" si="373"/>
        <v>2601</v>
      </c>
      <c r="L589">
        <f t="shared" si="364"/>
        <v>101</v>
      </c>
      <c r="M589">
        <v>5000</v>
      </c>
      <c r="N589">
        <f t="shared" si="363"/>
        <v>3</v>
      </c>
      <c r="O589">
        <v>1</v>
      </c>
      <c r="P589">
        <f t="shared" si="374"/>
        <v>2601</v>
      </c>
      <c r="Q589">
        <v>55</v>
      </c>
      <c r="R589">
        <f t="shared" si="365"/>
        <v>102</v>
      </c>
      <c r="S589">
        <v>5000</v>
      </c>
      <c r="T589">
        <f t="shared" si="380"/>
        <v>3</v>
      </c>
      <c r="U589">
        <v>1</v>
      </c>
      <c r="V589">
        <f t="shared" si="375"/>
        <v>2601</v>
      </c>
      <c r="W589">
        <v>60</v>
      </c>
      <c r="X589">
        <f t="shared" si="366"/>
        <v>103</v>
      </c>
      <c r="Y589">
        <v>5000</v>
      </c>
      <c r="Z589">
        <f t="shared" si="381"/>
        <v>3</v>
      </c>
      <c r="AA589">
        <v>1</v>
      </c>
      <c r="AB589">
        <f t="shared" si="376"/>
        <v>2601</v>
      </c>
      <c r="AC589">
        <v>71</v>
      </c>
      <c r="AD589">
        <f t="shared" si="367"/>
        <v>113</v>
      </c>
      <c r="AE589">
        <v>5000</v>
      </c>
      <c r="AF589">
        <f t="shared" si="382"/>
        <v>3</v>
      </c>
      <c r="AG589">
        <v>1</v>
      </c>
      <c r="AH589">
        <f t="shared" si="377"/>
        <v>2601</v>
      </c>
      <c r="AI589">
        <v>76</v>
      </c>
      <c r="AJ589">
        <f t="shared" si="368"/>
        <v>111</v>
      </c>
      <c r="AP589" t="str">
        <f t="shared" si="383"/>
        <v>{5000,3,1,2601,101}</v>
      </c>
      <c r="AQ589" t="str">
        <f t="shared" si="384"/>
        <v>{5000,3,1,2601,102}</v>
      </c>
      <c r="AR589" t="str">
        <f t="shared" si="385"/>
        <v>{5000,3,1,2601,103}</v>
      </c>
      <c r="AS589" t="str">
        <f t="shared" si="386"/>
        <v>{5000,3,1,2601,113}</v>
      </c>
      <c r="AT589" t="str">
        <f t="shared" si="387"/>
        <v>{5000,3,1,2601,111}</v>
      </c>
      <c r="AU589" t="str">
        <f t="shared" si="388"/>
        <v/>
      </c>
      <c r="AV589">
        <v>3611</v>
      </c>
      <c r="AW589" t="str">
        <f t="shared" si="390"/>
        <v>[{5000,3,1,2601,101},{5000,3,1,2601,102},{5000,3,1,2601,103},{5000,3,1,2601,113},{5000,3,1,2601,111}]</v>
      </c>
    </row>
    <row r="590" spans="2:49">
      <c r="B590">
        <v>3612</v>
      </c>
      <c r="C590" t="s">
        <v>51</v>
      </c>
      <c r="D590" t="str">
        <f t="shared" si="391"/>
        <v>27</v>
      </c>
      <c r="F590">
        <v>16</v>
      </c>
      <c r="G590">
        <v>5000</v>
      </c>
      <c r="H590">
        <f t="shared" si="357"/>
        <v>3</v>
      </c>
      <c r="I590">
        <v>1</v>
      </c>
      <c r="J590">
        <v>1</v>
      </c>
      <c r="K590">
        <f t="shared" ref="K590:K612" si="392">IF($J590="","",K567+100)</f>
        <v>2601</v>
      </c>
      <c r="L590">
        <f t="shared" si="364"/>
        <v>101</v>
      </c>
      <c r="M590">
        <v>5000</v>
      </c>
      <c r="N590">
        <f t="shared" si="363"/>
        <v>3</v>
      </c>
      <c r="O590">
        <v>1</v>
      </c>
      <c r="P590">
        <f t="shared" ref="P590:P612" si="393">IF($J590="","",P567+100)</f>
        <v>2601</v>
      </c>
      <c r="Q590">
        <v>55</v>
      </c>
      <c r="R590">
        <f t="shared" si="365"/>
        <v>103</v>
      </c>
      <c r="S590">
        <v>5000</v>
      </c>
      <c r="T590">
        <f t="shared" si="380"/>
        <v>3</v>
      </c>
      <c r="U590">
        <v>1</v>
      </c>
      <c r="V590">
        <f t="shared" ref="V590:V612" si="394">IF($J590="","",V567+100)</f>
        <v>2601</v>
      </c>
      <c r="W590">
        <v>75</v>
      </c>
      <c r="X590">
        <f t="shared" si="366"/>
        <v>111</v>
      </c>
      <c r="Y590">
        <v>5000</v>
      </c>
      <c r="Z590">
        <f t="shared" si="381"/>
        <v>3</v>
      </c>
      <c r="AA590">
        <v>1</v>
      </c>
      <c r="AB590">
        <f t="shared" ref="AB590:AB612" si="395">IF($J590="","",AB567+100)</f>
        <v>2601</v>
      </c>
      <c r="AC590">
        <v>73</v>
      </c>
      <c r="AD590">
        <f t="shared" si="367"/>
        <v>112</v>
      </c>
      <c r="AE590">
        <v>5000</v>
      </c>
      <c r="AF590">
        <f t="shared" si="382"/>
        <v>3</v>
      </c>
      <c r="AG590">
        <v>1</v>
      </c>
      <c r="AH590">
        <f t="shared" ref="AH590:AH612" si="396">IF($J590="","",AH567+100)</f>
        <v>2601</v>
      </c>
      <c r="AI590">
        <v>78</v>
      </c>
      <c r="AJ590">
        <f t="shared" si="368"/>
        <v>113</v>
      </c>
      <c r="AP590" t="str">
        <f t="shared" si="383"/>
        <v>{5000,3,1,2601,101}</v>
      </c>
      <c r="AQ590" t="str">
        <f t="shared" si="384"/>
        <v>{5000,3,1,2601,103}</v>
      </c>
      <c r="AR590" t="str">
        <f t="shared" si="385"/>
        <v>{5000,3,1,2601,111}</v>
      </c>
      <c r="AS590" t="str">
        <f t="shared" si="386"/>
        <v>{5000,3,1,2601,112}</v>
      </c>
      <c r="AT590" t="str">
        <f t="shared" si="387"/>
        <v>{5000,3,1,2601,113}</v>
      </c>
      <c r="AU590" t="str">
        <f t="shared" si="388"/>
        <v/>
      </c>
      <c r="AV590">
        <v>3612</v>
      </c>
      <c r="AW590" t="str">
        <f t="shared" si="390"/>
        <v>[{5000,3,1,2601,101},{5000,3,1,2601,103},{5000,3,1,2601,111},{5000,3,1,2601,112},{5000,3,1,2601,113}]</v>
      </c>
    </row>
    <row r="591" spans="2:49">
      <c r="B591">
        <v>3613</v>
      </c>
      <c r="C591" t="s">
        <v>51</v>
      </c>
      <c r="D591" t="str">
        <f t="shared" si="391"/>
        <v>27</v>
      </c>
      <c r="F591">
        <v>31</v>
      </c>
      <c r="G591">
        <v>5000</v>
      </c>
      <c r="H591">
        <f t="shared" si="357"/>
        <v>6</v>
      </c>
      <c r="I591">
        <v>1</v>
      </c>
      <c r="J591">
        <v>1</v>
      </c>
      <c r="K591">
        <f t="shared" si="392"/>
        <v>2601</v>
      </c>
      <c r="L591">
        <f t="shared" si="364"/>
        <v>101</v>
      </c>
      <c r="M591">
        <v>5000</v>
      </c>
      <c r="N591">
        <f t="shared" si="363"/>
        <v>6</v>
      </c>
      <c r="O591">
        <v>1</v>
      </c>
      <c r="P591">
        <f t="shared" si="393"/>
        <v>2601</v>
      </c>
      <c r="Q591">
        <v>55</v>
      </c>
      <c r="R591">
        <f t="shared" si="365"/>
        <v>102</v>
      </c>
      <c r="S591">
        <v>5000</v>
      </c>
      <c r="T591">
        <f t="shared" si="380"/>
        <v>6</v>
      </c>
      <c r="U591">
        <v>1</v>
      </c>
      <c r="V591">
        <f t="shared" si="394"/>
        <v>2601</v>
      </c>
      <c r="W591">
        <v>58</v>
      </c>
      <c r="X591">
        <f t="shared" si="366"/>
        <v>103</v>
      </c>
      <c r="Y591">
        <v>5000</v>
      </c>
      <c r="Z591">
        <f t="shared" si="381"/>
        <v>6</v>
      </c>
      <c r="AA591">
        <v>1</v>
      </c>
      <c r="AB591">
        <f t="shared" si="395"/>
        <v>2601</v>
      </c>
      <c r="AC591">
        <v>76</v>
      </c>
      <c r="AD591">
        <f t="shared" si="367"/>
        <v>113</v>
      </c>
      <c r="AE591">
        <v>5000</v>
      </c>
      <c r="AF591">
        <f t="shared" si="382"/>
        <v>6</v>
      </c>
      <c r="AG591">
        <v>1</v>
      </c>
      <c r="AH591">
        <f t="shared" si="396"/>
        <v>2601</v>
      </c>
      <c r="AI591">
        <v>79</v>
      </c>
      <c r="AJ591">
        <f t="shared" si="368"/>
        <v>111</v>
      </c>
      <c r="AP591" t="str">
        <f t="shared" si="383"/>
        <v>{5000,6,1,2601,101}</v>
      </c>
      <c r="AQ591" t="str">
        <f t="shared" si="384"/>
        <v>{5000,6,1,2601,102}</v>
      </c>
      <c r="AR591" t="str">
        <f t="shared" si="385"/>
        <v>{5000,6,1,2601,103}</v>
      </c>
      <c r="AS591" t="str">
        <f t="shared" si="386"/>
        <v>{5000,6,1,2601,113}</v>
      </c>
      <c r="AT591" t="str">
        <f t="shared" si="387"/>
        <v>{5000,6,1,2601,111}</v>
      </c>
      <c r="AU591" t="str">
        <f t="shared" si="388"/>
        <v/>
      </c>
      <c r="AV591">
        <v>3613</v>
      </c>
      <c r="AW591" t="str">
        <f t="shared" si="390"/>
        <v>[{5000,6,1,2601,101},{5000,6,1,2601,102},{5000,6,1,2601,103},{5000,6,1,2601,113},{5000,6,1,2601,111}]</v>
      </c>
    </row>
    <row r="592" spans="2:49">
      <c r="B592">
        <v>3614</v>
      </c>
      <c r="C592" t="s">
        <v>51</v>
      </c>
      <c r="D592" t="str">
        <f t="shared" si="391"/>
        <v>27</v>
      </c>
      <c r="F592">
        <v>46</v>
      </c>
      <c r="G592">
        <v>5000</v>
      </c>
      <c r="H592">
        <f t="shared" si="357"/>
        <v>6</v>
      </c>
      <c r="I592">
        <v>1</v>
      </c>
      <c r="J592">
        <v>1</v>
      </c>
      <c r="K592">
        <f t="shared" si="392"/>
        <v>2601</v>
      </c>
      <c r="L592">
        <f t="shared" si="364"/>
        <v>101</v>
      </c>
      <c r="M592">
        <v>5000</v>
      </c>
      <c r="N592">
        <f t="shared" si="363"/>
        <v>6</v>
      </c>
      <c r="O592">
        <v>1</v>
      </c>
      <c r="P592">
        <f t="shared" si="393"/>
        <v>2601</v>
      </c>
      <c r="Q592">
        <v>55</v>
      </c>
      <c r="R592">
        <f t="shared" si="365"/>
        <v>103</v>
      </c>
      <c r="S592">
        <v>5000</v>
      </c>
      <c r="T592">
        <f t="shared" si="380"/>
        <v>6</v>
      </c>
      <c r="U592">
        <v>1</v>
      </c>
      <c r="V592">
        <f t="shared" si="394"/>
        <v>2602</v>
      </c>
      <c r="W592">
        <v>76</v>
      </c>
      <c r="X592">
        <f t="shared" si="366"/>
        <v>111</v>
      </c>
      <c r="Y592">
        <v>5000</v>
      </c>
      <c r="Z592">
        <f t="shared" si="381"/>
        <v>6</v>
      </c>
      <c r="AA592">
        <v>1</v>
      </c>
      <c r="AB592">
        <f t="shared" si="395"/>
        <v>2601</v>
      </c>
      <c r="AC592">
        <v>71</v>
      </c>
      <c r="AD592">
        <f t="shared" si="367"/>
        <v>112</v>
      </c>
      <c r="AE592">
        <v>5000</v>
      </c>
      <c r="AF592">
        <f t="shared" si="382"/>
        <v>6</v>
      </c>
      <c r="AG592">
        <v>1</v>
      </c>
      <c r="AH592">
        <f t="shared" si="396"/>
        <v>2601</v>
      </c>
      <c r="AI592">
        <v>71</v>
      </c>
      <c r="AJ592">
        <f t="shared" si="368"/>
        <v>113</v>
      </c>
      <c r="AP592" t="str">
        <f t="shared" si="383"/>
        <v>{5000,6,1,2601,101}</v>
      </c>
      <c r="AQ592" t="str">
        <f t="shared" si="384"/>
        <v>{5000,6,1,2601,103}</v>
      </c>
      <c r="AR592" t="str">
        <f t="shared" si="385"/>
        <v>{5000,6,1,2602,111}</v>
      </c>
      <c r="AS592" t="str">
        <f t="shared" si="386"/>
        <v>{5000,6,1,2601,112}</v>
      </c>
      <c r="AT592" t="str">
        <f t="shared" si="387"/>
        <v>{5000,6,1,2601,113}</v>
      </c>
      <c r="AU592" t="str">
        <f t="shared" si="388"/>
        <v/>
      </c>
      <c r="AV592">
        <v>3614</v>
      </c>
      <c r="AW592" t="str">
        <f t="shared" si="390"/>
        <v>[{5000,6,1,2601,101},{5000,6,1,2601,103},{5000,6,1,2602,111},{5000,6,1,2601,112},{5000,6,1,2601,113}]</v>
      </c>
    </row>
    <row r="593" spans="2:49">
      <c r="B593">
        <v>3615</v>
      </c>
      <c r="C593" t="s">
        <v>51</v>
      </c>
      <c r="D593" t="str">
        <f t="shared" si="391"/>
        <v>27</v>
      </c>
      <c r="F593">
        <v>61</v>
      </c>
      <c r="G593">
        <v>5000</v>
      </c>
      <c r="H593">
        <f t="shared" si="357"/>
        <v>8</v>
      </c>
      <c r="I593">
        <v>1</v>
      </c>
      <c r="J593">
        <v>3</v>
      </c>
      <c r="K593">
        <f t="shared" si="392"/>
        <v>2603</v>
      </c>
      <c r="L593">
        <f t="shared" si="364"/>
        <v>101</v>
      </c>
      <c r="M593">
        <v>5000</v>
      </c>
      <c r="N593">
        <f t="shared" si="363"/>
        <v>8</v>
      </c>
      <c r="O593">
        <v>1</v>
      </c>
      <c r="P593">
        <f t="shared" si="393"/>
        <v>2603</v>
      </c>
      <c r="Q593">
        <v>56</v>
      </c>
      <c r="R593">
        <f t="shared" si="365"/>
        <v>102</v>
      </c>
      <c r="S593">
        <v>5000</v>
      </c>
      <c r="T593">
        <f t="shared" si="380"/>
        <v>8</v>
      </c>
      <c r="U593">
        <v>1</v>
      </c>
      <c r="V593">
        <f t="shared" si="394"/>
        <v>2603</v>
      </c>
      <c r="W593">
        <v>57</v>
      </c>
      <c r="X593">
        <f t="shared" si="366"/>
        <v>103</v>
      </c>
      <c r="Y593">
        <v>5000</v>
      </c>
      <c r="Z593">
        <f t="shared" si="381"/>
        <v>8</v>
      </c>
      <c r="AA593">
        <v>1</v>
      </c>
      <c r="AB593">
        <f t="shared" si="395"/>
        <v>2603</v>
      </c>
      <c r="AC593">
        <v>72</v>
      </c>
      <c r="AD593">
        <f t="shared" si="367"/>
        <v>113</v>
      </c>
      <c r="AE593">
        <v>5000</v>
      </c>
      <c r="AF593">
        <f t="shared" si="382"/>
        <v>8</v>
      </c>
      <c r="AG593">
        <v>1</v>
      </c>
      <c r="AH593">
        <f t="shared" si="396"/>
        <v>2603</v>
      </c>
      <c r="AI593">
        <v>71</v>
      </c>
      <c r="AJ593">
        <f t="shared" si="368"/>
        <v>111</v>
      </c>
      <c r="AP593" t="str">
        <f t="shared" si="383"/>
        <v>{5000,8,1,2603,101}</v>
      </c>
      <c r="AQ593" t="str">
        <f t="shared" si="384"/>
        <v>{5000,8,1,2603,102}</v>
      </c>
      <c r="AR593" t="str">
        <f t="shared" si="385"/>
        <v>{5000,8,1,2603,103}</v>
      </c>
      <c r="AS593" t="str">
        <f t="shared" si="386"/>
        <v>{5000,8,1,2603,113}</v>
      </c>
      <c r="AT593" t="str">
        <f t="shared" si="387"/>
        <v>{5000,8,1,2603,111}</v>
      </c>
      <c r="AU593" t="str">
        <f t="shared" si="388"/>
        <v/>
      </c>
      <c r="AV593">
        <v>3615</v>
      </c>
      <c r="AW593" t="str">
        <f t="shared" si="390"/>
        <v>[{5000,8,1,2603,101},{5000,8,1,2603,102},{5000,8,1,2603,103},{5000,8,1,2603,113},{5000,8,1,2603,111}]</v>
      </c>
    </row>
    <row r="594" spans="2:49">
      <c r="B594">
        <v>3616</v>
      </c>
      <c r="C594" t="s">
        <v>51</v>
      </c>
      <c r="D594" t="str">
        <f t="shared" si="391"/>
        <v>27</v>
      </c>
      <c r="F594">
        <v>76</v>
      </c>
      <c r="G594">
        <v>5000</v>
      </c>
      <c r="H594">
        <f t="shared" si="357"/>
        <v>8</v>
      </c>
      <c r="I594">
        <v>1</v>
      </c>
      <c r="J594">
        <v>1</v>
      </c>
      <c r="K594">
        <f t="shared" si="392"/>
        <v>2601</v>
      </c>
      <c r="L594">
        <f t="shared" si="364"/>
        <v>101</v>
      </c>
      <c r="M594">
        <v>5000</v>
      </c>
      <c r="N594">
        <f t="shared" si="363"/>
        <v>8</v>
      </c>
      <c r="O594">
        <v>1</v>
      </c>
      <c r="P594">
        <f t="shared" si="393"/>
        <v>2601</v>
      </c>
      <c r="Q594">
        <v>59</v>
      </c>
      <c r="R594">
        <f t="shared" si="365"/>
        <v>103</v>
      </c>
      <c r="S594">
        <v>5000</v>
      </c>
      <c r="T594">
        <f t="shared" si="380"/>
        <v>8</v>
      </c>
      <c r="U594">
        <v>1</v>
      </c>
      <c r="V594">
        <f t="shared" si="394"/>
        <v>2602</v>
      </c>
      <c r="W594">
        <v>71</v>
      </c>
      <c r="X594">
        <f t="shared" si="366"/>
        <v>111</v>
      </c>
      <c r="Y594">
        <v>5000</v>
      </c>
      <c r="Z594">
        <f t="shared" si="381"/>
        <v>8</v>
      </c>
      <c r="AA594">
        <v>1</v>
      </c>
      <c r="AB594">
        <f t="shared" si="395"/>
        <v>2601</v>
      </c>
      <c r="AC594">
        <v>71</v>
      </c>
      <c r="AD594">
        <f t="shared" si="367"/>
        <v>112</v>
      </c>
      <c r="AE594">
        <v>5000</v>
      </c>
      <c r="AF594">
        <f t="shared" si="382"/>
        <v>8</v>
      </c>
      <c r="AG594">
        <v>1</v>
      </c>
      <c r="AH594">
        <f t="shared" si="396"/>
        <v>2601</v>
      </c>
      <c r="AI594">
        <v>79</v>
      </c>
      <c r="AJ594">
        <f t="shared" si="368"/>
        <v>113</v>
      </c>
      <c r="AP594" t="str">
        <f t="shared" si="383"/>
        <v>{5000,8,1,2601,101}</v>
      </c>
      <c r="AQ594" t="str">
        <f t="shared" si="384"/>
        <v>{5000,8,1,2601,103}</v>
      </c>
      <c r="AR594" t="str">
        <f t="shared" si="385"/>
        <v>{5000,8,1,2602,111}</v>
      </c>
      <c r="AS594" t="str">
        <f t="shared" si="386"/>
        <v>{5000,8,1,2601,112}</v>
      </c>
      <c r="AT594" t="str">
        <f t="shared" si="387"/>
        <v>{5000,8,1,2601,113}</v>
      </c>
      <c r="AU594" t="str">
        <f t="shared" si="388"/>
        <v/>
      </c>
      <c r="AV594">
        <v>3616</v>
      </c>
      <c r="AW594" t="str">
        <f t="shared" si="390"/>
        <v>[{5000,8,1,2601,101},{5000,8,1,2601,103},{5000,8,1,2602,111},{5000,8,1,2601,112},{5000,8,1,2601,113}]</v>
      </c>
    </row>
    <row r="595" spans="2:49">
      <c r="B595">
        <v>3617</v>
      </c>
      <c r="C595" t="s">
        <v>51</v>
      </c>
      <c r="D595" t="str">
        <f t="shared" si="391"/>
        <v>27</v>
      </c>
      <c r="F595">
        <v>91</v>
      </c>
      <c r="G595">
        <v>5000</v>
      </c>
      <c r="H595">
        <f t="shared" si="357"/>
        <v>8</v>
      </c>
      <c r="I595">
        <v>1</v>
      </c>
      <c r="J595">
        <v>1</v>
      </c>
      <c r="K595">
        <f t="shared" si="392"/>
        <v>2601</v>
      </c>
      <c r="L595">
        <f t="shared" si="364"/>
        <v>101</v>
      </c>
      <c r="M595">
        <v>5000</v>
      </c>
      <c r="N595">
        <f t="shared" si="363"/>
        <v>8</v>
      </c>
      <c r="O595">
        <v>1</v>
      </c>
      <c r="P595">
        <f t="shared" si="393"/>
        <v>2601</v>
      </c>
      <c r="Q595">
        <v>54</v>
      </c>
      <c r="R595">
        <f t="shared" si="365"/>
        <v>102</v>
      </c>
      <c r="S595">
        <v>5000</v>
      </c>
      <c r="T595">
        <f t="shared" si="380"/>
        <v>8</v>
      </c>
      <c r="U595">
        <v>1</v>
      </c>
      <c r="V595">
        <f t="shared" si="394"/>
        <v>2602</v>
      </c>
      <c r="W595">
        <v>51</v>
      </c>
      <c r="X595">
        <f t="shared" si="366"/>
        <v>103</v>
      </c>
      <c r="Y595">
        <v>5000</v>
      </c>
      <c r="Z595">
        <f t="shared" si="381"/>
        <v>8</v>
      </c>
      <c r="AA595">
        <v>1</v>
      </c>
      <c r="AB595">
        <f t="shared" si="395"/>
        <v>2601</v>
      </c>
      <c r="AC595">
        <v>71</v>
      </c>
      <c r="AD595">
        <f t="shared" si="367"/>
        <v>113</v>
      </c>
      <c r="AE595">
        <v>5000</v>
      </c>
      <c r="AF595">
        <f t="shared" si="382"/>
        <v>8</v>
      </c>
      <c r="AG595">
        <v>1</v>
      </c>
      <c r="AH595">
        <f t="shared" si="396"/>
        <v>2602</v>
      </c>
      <c r="AI595">
        <v>77</v>
      </c>
      <c r="AJ595">
        <f t="shared" si="368"/>
        <v>111</v>
      </c>
      <c r="AP595" t="str">
        <f t="shared" si="383"/>
        <v>{5000,8,1,2601,101}</v>
      </c>
      <c r="AQ595" t="str">
        <f t="shared" si="384"/>
        <v>{5000,8,1,2601,102}</v>
      </c>
      <c r="AR595" t="str">
        <f t="shared" si="385"/>
        <v>{5000,8,1,2602,103}</v>
      </c>
      <c r="AS595" t="str">
        <f t="shared" si="386"/>
        <v>{5000,8,1,2601,113}</v>
      </c>
      <c r="AT595" t="str">
        <f t="shared" si="387"/>
        <v>{5000,8,1,2602,111}</v>
      </c>
      <c r="AU595" t="str">
        <f t="shared" si="388"/>
        <v/>
      </c>
      <c r="AV595">
        <v>3617</v>
      </c>
      <c r="AW595" t="str">
        <f t="shared" si="390"/>
        <v>[{5000,8,1,2601,101},{5000,8,1,2601,102},{5000,8,1,2602,103},{5000,8,1,2601,113},{5000,8,1,2602,111}]</v>
      </c>
    </row>
    <row r="596" spans="2:49">
      <c r="B596">
        <v>3618</v>
      </c>
      <c r="C596" t="s">
        <v>51</v>
      </c>
      <c r="D596" t="str">
        <f t="shared" si="391"/>
        <v>27</v>
      </c>
      <c r="F596">
        <v>106</v>
      </c>
      <c r="G596">
        <v>5000</v>
      </c>
      <c r="H596">
        <f t="shared" si="357"/>
        <v>8</v>
      </c>
      <c r="I596">
        <v>1</v>
      </c>
      <c r="J596">
        <v>1</v>
      </c>
      <c r="K596">
        <f t="shared" si="392"/>
        <v>2601</v>
      </c>
      <c r="L596">
        <f t="shared" si="364"/>
        <v>101</v>
      </c>
      <c r="M596">
        <v>5000</v>
      </c>
      <c r="N596">
        <f t="shared" si="363"/>
        <v>8</v>
      </c>
      <c r="O596">
        <v>1</v>
      </c>
      <c r="P596">
        <f t="shared" si="393"/>
        <v>2601</v>
      </c>
      <c r="Q596">
        <v>55</v>
      </c>
      <c r="R596">
        <f t="shared" si="365"/>
        <v>103</v>
      </c>
      <c r="S596">
        <v>5000</v>
      </c>
      <c r="T596">
        <f t="shared" si="380"/>
        <v>8</v>
      </c>
      <c r="U596">
        <v>1</v>
      </c>
      <c r="V596">
        <f t="shared" si="394"/>
        <v>2602</v>
      </c>
      <c r="W596">
        <v>73</v>
      </c>
      <c r="X596">
        <f t="shared" si="366"/>
        <v>111</v>
      </c>
      <c r="Y596">
        <v>5000</v>
      </c>
      <c r="Z596">
        <f t="shared" si="381"/>
        <v>8</v>
      </c>
      <c r="AA596">
        <v>1</v>
      </c>
      <c r="AB596">
        <f t="shared" si="395"/>
        <v>2601</v>
      </c>
      <c r="AC596">
        <v>78</v>
      </c>
      <c r="AD596">
        <f t="shared" si="367"/>
        <v>112</v>
      </c>
      <c r="AE596">
        <v>5000</v>
      </c>
      <c r="AF596">
        <f t="shared" si="382"/>
        <v>8</v>
      </c>
      <c r="AG596">
        <v>1</v>
      </c>
      <c r="AH596">
        <f t="shared" si="396"/>
        <v>2602</v>
      </c>
      <c r="AI596">
        <v>71</v>
      </c>
      <c r="AJ596">
        <f t="shared" si="368"/>
        <v>113</v>
      </c>
      <c r="AP596" t="str">
        <f t="shared" si="383"/>
        <v>{5000,8,1,2601,101}</v>
      </c>
      <c r="AQ596" t="str">
        <f t="shared" si="384"/>
        <v>{5000,8,1,2601,103}</v>
      </c>
      <c r="AR596" t="str">
        <f t="shared" si="385"/>
        <v>{5000,8,1,2602,111}</v>
      </c>
      <c r="AS596" t="str">
        <f t="shared" si="386"/>
        <v>{5000,8,1,2601,112}</v>
      </c>
      <c r="AT596" t="str">
        <f t="shared" si="387"/>
        <v>{5000,8,1,2602,113}</v>
      </c>
      <c r="AU596" t="str">
        <f t="shared" si="388"/>
        <v/>
      </c>
      <c r="AV596">
        <v>3618</v>
      </c>
      <c r="AW596" t="str">
        <f t="shared" si="390"/>
        <v>[{5000,8,1,2601,101},{5000,8,1,2601,103},{5000,8,1,2602,111},{5000,8,1,2601,112},{5000,8,1,2602,113}]</v>
      </c>
    </row>
    <row r="597" spans="2:48">
      <c r="B597">
        <v>3619</v>
      </c>
      <c r="C597" t="s">
        <v>51</v>
      </c>
      <c r="D597" t="str">
        <f t="shared" si="391"/>
        <v>27</v>
      </c>
      <c r="F597">
        <v>119</v>
      </c>
      <c r="H597">
        <f t="shared" si="357"/>
        <v>0</v>
      </c>
      <c r="K597" t="str">
        <f t="shared" si="392"/>
        <v/>
      </c>
      <c r="L597" t="str">
        <f t="shared" si="364"/>
        <v/>
      </c>
      <c r="N597">
        <f t="shared" si="363"/>
        <v>0</v>
      </c>
      <c r="P597" t="str">
        <f t="shared" si="393"/>
        <v/>
      </c>
      <c r="R597" t="str">
        <f t="shared" si="365"/>
        <v/>
      </c>
      <c r="T597">
        <f t="shared" si="380"/>
        <v>0</v>
      </c>
      <c r="V597" t="str">
        <f t="shared" si="394"/>
        <v/>
      </c>
      <c r="X597" t="str">
        <f t="shared" si="366"/>
        <v/>
      </c>
      <c r="Z597">
        <f t="shared" si="381"/>
        <v>0</v>
      </c>
      <c r="AB597" t="str">
        <f t="shared" si="395"/>
        <v/>
      </c>
      <c r="AD597" t="str">
        <f t="shared" si="367"/>
        <v/>
      </c>
      <c r="AF597">
        <f t="shared" si="382"/>
        <v>0</v>
      </c>
      <c r="AH597" t="str">
        <f t="shared" si="396"/>
        <v/>
      </c>
      <c r="AJ597" t="str">
        <f t="shared" si="368"/>
        <v/>
      </c>
      <c r="AP597" t="str">
        <f t="shared" si="383"/>
        <v/>
      </c>
      <c r="AQ597" t="str">
        <f t="shared" si="384"/>
        <v/>
      </c>
      <c r="AR597" t="str">
        <f t="shared" si="385"/>
        <v/>
      </c>
      <c r="AS597" t="str">
        <f t="shared" si="386"/>
        <v/>
      </c>
      <c r="AT597" t="str">
        <f t="shared" si="387"/>
        <v/>
      </c>
      <c r="AU597" t="str">
        <f t="shared" si="388"/>
        <v/>
      </c>
      <c r="AV597">
        <v>3619</v>
      </c>
    </row>
    <row r="598" spans="2:49">
      <c r="B598">
        <v>3620</v>
      </c>
      <c r="C598" t="s">
        <v>51</v>
      </c>
      <c r="D598" t="str">
        <f t="shared" si="391"/>
        <v>27</v>
      </c>
      <c r="F598">
        <v>121</v>
      </c>
      <c r="G598">
        <v>5000</v>
      </c>
      <c r="H598">
        <f t="shared" si="357"/>
        <v>10</v>
      </c>
      <c r="I598">
        <v>1</v>
      </c>
      <c r="J598">
        <v>3</v>
      </c>
      <c r="K598">
        <f t="shared" si="392"/>
        <v>2603</v>
      </c>
      <c r="L598">
        <f t="shared" si="364"/>
        <v>101</v>
      </c>
      <c r="M598">
        <v>5000</v>
      </c>
      <c r="N598">
        <f t="shared" si="363"/>
        <v>10</v>
      </c>
      <c r="O598">
        <v>1</v>
      </c>
      <c r="P598">
        <f t="shared" si="393"/>
        <v>2603</v>
      </c>
      <c r="Q598">
        <v>54</v>
      </c>
      <c r="R598">
        <f t="shared" si="365"/>
        <v>102</v>
      </c>
      <c r="S598">
        <v>5000</v>
      </c>
      <c r="T598">
        <f t="shared" si="380"/>
        <v>10</v>
      </c>
      <c r="U598">
        <v>1</v>
      </c>
      <c r="V598">
        <f t="shared" si="394"/>
        <v>2603</v>
      </c>
      <c r="W598">
        <v>51</v>
      </c>
      <c r="X598">
        <f t="shared" si="366"/>
        <v>103</v>
      </c>
      <c r="Y598">
        <v>5000</v>
      </c>
      <c r="Z598">
        <f t="shared" si="381"/>
        <v>10</v>
      </c>
      <c r="AA598">
        <v>1</v>
      </c>
      <c r="AB598">
        <f t="shared" si="395"/>
        <v>2603</v>
      </c>
      <c r="AC598">
        <v>71</v>
      </c>
      <c r="AD598">
        <f t="shared" si="367"/>
        <v>113</v>
      </c>
      <c r="AE598">
        <v>5000</v>
      </c>
      <c r="AF598">
        <f t="shared" si="382"/>
        <v>10</v>
      </c>
      <c r="AG598">
        <v>1</v>
      </c>
      <c r="AH598">
        <f t="shared" si="396"/>
        <v>2603</v>
      </c>
      <c r="AI598">
        <v>79</v>
      </c>
      <c r="AJ598">
        <f t="shared" si="368"/>
        <v>111</v>
      </c>
      <c r="AK598">
        <v>1000</v>
      </c>
      <c r="AL598">
        <v>1</v>
      </c>
      <c r="AM598">
        <v>0</v>
      </c>
      <c r="AN598">
        <f t="shared" ref="AN598" si="397">AN575+100</f>
        <v>2621</v>
      </c>
      <c r="AO598">
        <v>4</v>
      </c>
      <c r="AP598" t="str">
        <f t="shared" si="383"/>
        <v>{5000,10,1,2603,101}</v>
      </c>
      <c r="AQ598" t="str">
        <f t="shared" si="384"/>
        <v>{5000,10,1,2603,102}</v>
      </c>
      <c r="AR598" t="str">
        <f t="shared" si="385"/>
        <v>{5000,10,1,2603,103}</v>
      </c>
      <c r="AS598" t="str">
        <f t="shared" si="386"/>
        <v>{5000,10,1,2603,113}</v>
      </c>
      <c r="AT598" t="str">
        <f t="shared" si="387"/>
        <v>{5000,10,1,2603,111}</v>
      </c>
      <c r="AU598" t="str">
        <f t="shared" si="388"/>
        <v>{1000,1,0,2621,4}</v>
      </c>
      <c r="AV598">
        <v>3620</v>
      </c>
      <c r="AW598" t="str">
        <f t="shared" ref="AW598:AW603" si="398">IF(AU598="","["&amp;_xlfn.TEXTJOIN(",",1,AP598:AT598)&amp;"]","["&amp;_xlfn.TEXTJOIN(",",1,AP598:AU598)&amp;"]")</f>
        <v>[{5000,10,1,2603,101},{5000,10,1,2603,102},{5000,10,1,2603,103},{5000,10,1,2603,113},{5000,10,1,2603,111},{1000,1,0,2621,4}]</v>
      </c>
    </row>
    <row r="599" spans="2:49">
      <c r="B599">
        <v>3621</v>
      </c>
      <c r="C599" t="s">
        <v>51</v>
      </c>
      <c r="D599" t="str">
        <f t="shared" si="391"/>
        <v>27</v>
      </c>
      <c r="F599">
        <v>136</v>
      </c>
      <c r="G599">
        <v>5000</v>
      </c>
      <c r="H599">
        <f t="shared" si="357"/>
        <v>9</v>
      </c>
      <c r="I599">
        <v>1</v>
      </c>
      <c r="J599">
        <v>1</v>
      </c>
      <c r="K599">
        <f t="shared" si="392"/>
        <v>2601</v>
      </c>
      <c r="L599">
        <f t="shared" si="364"/>
        <v>101</v>
      </c>
      <c r="M599">
        <v>5000</v>
      </c>
      <c r="N599">
        <f t="shared" si="363"/>
        <v>9</v>
      </c>
      <c r="O599">
        <v>1</v>
      </c>
      <c r="P599">
        <f t="shared" si="393"/>
        <v>2601</v>
      </c>
      <c r="Q599">
        <v>54</v>
      </c>
      <c r="R599">
        <f t="shared" si="365"/>
        <v>103</v>
      </c>
      <c r="S599">
        <v>5000</v>
      </c>
      <c r="T599">
        <f t="shared" si="380"/>
        <v>9</v>
      </c>
      <c r="U599">
        <v>1</v>
      </c>
      <c r="V599">
        <f t="shared" si="394"/>
        <v>2602</v>
      </c>
      <c r="W599">
        <v>76</v>
      </c>
      <c r="X599">
        <f t="shared" si="366"/>
        <v>111</v>
      </c>
      <c r="Y599">
        <v>5000</v>
      </c>
      <c r="Z599">
        <f t="shared" si="381"/>
        <v>9</v>
      </c>
      <c r="AA599">
        <v>1</v>
      </c>
      <c r="AB599">
        <f t="shared" si="395"/>
        <v>2601</v>
      </c>
      <c r="AC599">
        <v>72</v>
      </c>
      <c r="AD599">
        <f t="shared" si="367"/>
        <v>112</v>
      </c>
      <c r="AE599">
        <v>5000</v>
      </c>
      <c r="AF599">
        <f t="shared" si="382"/>
        <v>9</v>
      </c>
      <c r="AG599">
        <v>1</v>
      </c>
      <c r="AH599">
        <f t="shared" si="396"/>
        <v>2602</v>
      </c>
      <c r="AI599">
        <v>74</v>
      </c>
      <c r="AJ599">
        <f t="shared" si="368"/>
        <v>113</v>
      </c>
      <c r="AP599" t="str">
        <f t="shared" si="383"/>
        <v>{5000,9,1,2601,101}</v>
      </c>
      <c r="AQ599" t="str">
        <f t="shared" si="384"/>
        <v>{5000,9,1,2601,103}</v>
      </c>
      <c r="AR599" t="str">
        <f t="shared" si="385"/>
        <v>{5000,9,1,2602,111}</v>
      </c>
      <c r="AS599" t="str">
        <f t="shared" si="386"/>
        <v>{5000,9,1,2601,112}</v>
      </c>
      <c r="AT599" t="str">
        <f t="shared" si="387"/>
        <v>{5000,9,1,2602,113}</v>
      </c>
      <c r="AU599" t="str">
        <f t="shared" si="388"/>
        <v/>
      </c>
      <c r="AV599">
        <v>3621</v>
      </c>
      <c r="AW599" t="str">
        <f t="shared" si="398"/>
        <v>[{5000,9,1,2601,101},{5000,9,1,2601,103},{5000,9,1,2602,111},{5000,9,1,2601,112},{5000,9,1,2602,113}]</v>
      </c>
    </row>
    <row r="600" spans="2:49">
      <c r="B600">
        <v>3622</v>
      </c>
      <c r="C600" t="s">
        <v>51</v>
      </c>
      <c r="D600" t="str">
        <f t="shared" si="391"/>
        <v>27</v>
      </c>
      <c r="F600">
        <v>151</v>
      </c>
      <c r="G600">
        <v>5000</v>
      </c>
      <c r="H600">
        <f t="shared" si="357"/>
        <v>10</v>
      </c>
      <c r="I600">
        <v>1</v>
      </c>
      <c r="J600">
        <v>1</v>
      </c>
      <c r="K600">
        <f t="shared" si="392"/>
        <v>2601</v>
      </c>
      <c r="L600">
        <f t="shared" si="364"/>
        <v>101</v>
      </c>
      <c r="M600">
        <v>5000</v>
      </c>
      <c r="N600">
        <f t="shared" si="363"/>
        <v>10</v>
      </c>
      <c r="O600">
        <v>1</v>
      </c>
      <c r="P600">
        <f t="shared" si="393"/>
        <v>2601</v>
      </c>
      <c r="Q600">
        <v>54</v>
      </c>
      <c r="R600">
        <f t="shared" si="365"/>
        <v>102</v>
      </c>
      <c r="S600">
        <v>5000</v>
      </c>
      <c r="T600">
        <f t="shared" si="380"/>
        <v>10</v>
      </c>
      <c r="U600">
        <v>1</v>
      </c>
      <c r="V600">
        <f t="shared" si="394"/>
        <v>2602</v>
      </c>
      <c r="W600">
        <v>56</v>
      </c>
      <c r="X600">
        <f t="shared" si="366"/>
        <v>103</v>
      </c>
      <c r="Y600">
        <v>5000</v>
      </c>
      <c r="Z600">
        <f t="shared" si="381"/>
        <v>10</v>
      </c>
      <c r="AA600">
        <v>1</v>
      </c>
      <c r="AB600">
        <f t="shared" si="395"/>
        <v>2601</v>
      </c>
      <c r="AC600">
        <v>72</v>
      </c>
      <c r="AD600">
        <f t="shared" si="367"/>
        <v>113</v>
      </c>
      <c r="AE600">
        <v>5000</v>
      </c>
      <c r="AF600">
        <f t="shared" si="382"/>
        <v>10</v>
      </c>
      <c r="AG600">
        <v>1</v>
      </c>
      <c r="AH600">
        <f t="shared" si="396"/>
        <v>2602</v>
      </c>
      <c r="AI600">
        <v>74</v>
      </c>
      <c r="AJ600">
        <f t="shared" si="368"/>
        <v>111</v>
      </c>
      <c r="AP600" t="str">
        <f t="shared" si="383"/>
        <v>{5000,10,1,2601,101}</v>
      </c>
      <c r="AQ600" t="str">
        <f t="shared" si="384"/>
        <v>{5000,10,1,2601,102}</v>
      </c>
      <c r="AR600" t="str">
        <f t="shared" si="385"/>
        <v>{5000,10,1,2602,103}</v>
      </c>
      <c r="AS600" t="str">
        <f t="shared" si="386"/>
        <v>{5000,10,1,2601,113}</v>
      </c>
      <c r="AT600" t="str">
        <f t="shared" si="387"/>
        <v>{5000,10,1,2602,111}</v>
      </c>
      <c r="AU600" t="str">
        <f t="shared" si="388"/>
        <v/>
      </c>
      <c r="AV600">
        <v>3622</v>
      </c>
      <c r="AW600" t="str">
        <f t="shared" si="398"/>
        <v>[{5000,10,1,2601,101},{5000,10,1,2601,102},{5000,10,1,2602,103},{5000,10,1,2601,113},{5000,10,1,2602,111}]</v>
      </c>
    </row>
    <row r="601" spans="2:49">
      <c r="B601">
        <v>3623</v>
      </c>
      <c r="C601" t="s">
        <v>51</v>
      </c>
      <c r="D601" t="str">
        <f t="shared" si="391"/>
        <v>27</v>
      </c>
      <c r="F601">
        <v>166</v>
      </c>
      <c r="G601">
        <v>5000</v>
      </c>
      <c r="H601">
        <f t="shared" si="357"/>
        <v>11</v>
      </c>
      <c r="I601">
        <v>1</v>
      </c>
      <c r="J601">
        <v>1</v>
      </c>
      <c r="K601">
        <f t="shared" si="392"/>
        <v>2601</v>
      </c>
      <c r="L601">
        <f t="shared" si="364"/>
        <v>101</v>
      </c>
      <c r="M601">
        <v>5000</v>
      </c>
      <c r="N601">
        <f t="shared" si="363"/>
        <v>11</v>
      </c>
      <c r="O601">
        <v>1</v>
      </c>
      <c r="P601">
        <f t="shared" si="393"/>
        <v>2601</v>
      </c>
      <c r="Q601">
        <v>59</v>
      </c>
      <c r="R601">
        <f t="shared" si="365"/>
        <v>103</v>
      </c>
      <c r="S601">
        <v>5000</v>
      </c>
      <c r="T601">
        <f t="shared" si="380"/>
        <v>11</v>
      </c>
      <c r="U601">
        <v>1</v>
      </c>
      <c r="V601">
        <f t="shared" si="394"/>
        <v>2602</v>
      </c>
      <c r="W601">
        <v>79</v>
      </c>
      <c r="X601">
        <f t="shared" si="366"/>
        <v>111</v>
      </c>
      <c r="Y601">
        <v>5000</v>
      </c>
      <c r="Z601">
        <f t="shared" si="381"/>
        <v>11</v>
      </c>
      <c r="AA601">
        <v>1</v>
      </c>
      <c r="AB601">
        <f t="shared" si="395"/>
        <v>2601</v>
      </c>
      <c r="AC601">
        <v>71</v>
      </c>
      <c r="AD601">
        <f t="shared" si="367"/>
        <v>112</v>
      </c>
      <c r="AE601">
        <v>5000</v>
      </c>
      <c r="AF601">
        <f t="shared" si="382"/>
        <v>11</v>
      </c>
      <c r="AG601">
        <v>1</v>
      </c>
      <c r="AH601">
        <f t="shared" si="396"/>
        <v>2602</v>
      </c>
      <c r="AI601">
        <v>74</v>
      </c>
      <c r="AJ601">
        <f t="shared" si="368"/>
        <v>113</v>
      </c>
      <c r="AP601" t="str">
        <f t="shared" si="383"/>
        <v>{5000,11,1,2601,101}</v>
      </c>
      <c r="AQ601" t="str">
        <f t="shared" si="384"/>
        <v>{5000,11,1,2601,103}</v>
      </c>
      <c r="AR601" t="str">
        <f t="shared" si="385"/>
        <v>{5000,11,1,2602,111}</v>
      </c>
      <c r="AS601" t="str">
        <f t="shared" si="386"/>
        <v>{5000,11,1,2601,112}</v>
      </c>
      <c r="AT601" t="str">
        <f t="shared" si="387"/>
        <v>{5000,11,1,2602,113}</v>
      </c>
      <c r="AU601" t="str">
        <f t="shared" si="388"/>
        <v/>
      </c>
      <c r="AV601">
        <v>3623</v>
      </c>
      <c r="AW601" t="str">
        <f t="shared" si="398"/>
        <v>[{5000,11,1,2601,101},{5000,11,1,2601,103},{5000,11,1,2602,111},{5000,11,1,2601,112},{5000,11,1,2602,113}]</v>
      </c>
    </row>
    <row r="602" spans="2:49">
      <c r="B602">
        <v>3624</v>
      </c>
      <c r="C602" t="s">
        <v>51</v>
      </c>
      <c r="D602" t="str">
        <f t="shared" si="391"/>
        <v>27</v>
      </c>
      <c r="F602">
        <v>181</v>
      </c>
      <c r="G602">
        <v>5000</v>
      </c>
      <c r="H602">
        <f t="shared" si="357"/>
        <v>12</v>
      </c>
      <c r="I602">
        <v>1</v>
      </c>
      <c r="J602">
        <v>3</v>
      </c>
      <c r="K602">
        <f t="shared" si="392"/>
        <v>2603</v>
      </c>
      <c r="L602">
        <f t="shared" si="364"/>
        <v>101</v>
      </c>
      <c r="M602">
        <v>5000</v>
      </c>
      <c r="N602">
        <f t="shared" si="363"/>
        <v>12</v>
      </c>
      <c r="O602">
        <v>1</v>
      </c>
      <c r="P602">
        <f t="shared" si="393"/>
        <v>2603</v>
      </c>
      <c r="Q602">
        <v>53</v>
      </c>
      <c r="R602">
        <f t="shared" si="365"/>
        <v>102</v>
      </c>
      <c r="S602">
        <v>5000</v>
      </c>
      <c r="T602">
        <f t="shared" si="380"/>
        <v>12</v>
      </c>
      <c r="U602">
        <v>1</v>
      </c>
      <c r="V602">
        <f t="shared" si="394"/>
        <v>2603</v>
      </c>
      <c r="W602">
        <v>56</v>
      </c>
      <c r="X602">
        <f t="shared" si="366"/>
        <v>103</v>
      </c>
      <c r="Y602">
        <v>5000</v>
      </c>
      <c r="Z602">
        <f t="shared" si="381"/>
        <v>12</v>
      </c>
      <c r="AA602">
        <v>1</v>
      </c>
      <c r="AB602">
        <f t="shared" si="395"/>
        <v>2603</v>
      </c>
      <c r="AC602">
        <v>75</v>
      </c>
      <c r="AD602">
        <f t="shared" si="367"/>
        <v>113</v>
      </c>
      <c r="AE602">
        <v>5000</v>
      </c>
      <c r="AF602">
        <f t="shared" si="382"/>
        <v>12</v>
      </c>
      <c r="AG602">
        <v>1</v>
      </c>
      <c r="AH602">
        <f t="shared" si="396"/>
        <v>2603</v>
      </c>
      <c r="AI602">
        <v>78</v>
      </c>
      <c r="AJ602">
        <f t="shared" si="368"/>
        <v>111</v>
      </c>
      <c r="AP602" t="str">
        <f t="shared" si="383"/>
        <v>{5000,12,1,2603,101}</v>
      </c>
      <c r="AQ602" t="str">
        <f t="shared" si="384"/>
        <v>{5000,12,1,2603,102}</v>
      </c>
      <c r="AR602" t="str">
        <f t="shared" si="385"/>
        <v>{5000,12,1,2603,103}</v>
      </c>
      <c r="AS602" t="str">
        <f t="shared" si="386"/>
        <v>{5000,12,1,2603,113}</v>
      </c>
      <c r="AT602" t="str">
        <f t="shared" si="387"/>
        <v>{5000,12,1,2603,111}</v>
      </c>
      <c r="AU602" t="str">
        <f t="shared" si="388"/>
        <v/>
      </c>
      <c r="AV602">
        <v>3624</v>
      </c>
      <c r="AW602" t="str">
        <f t="shared" si="398"/>
        <v>[{5000,12,1,2603,101},{5000,12,1,2603,102},{5000,12,1,2603,103},{5000,12,1,2603,113},{5000,12,1,2603,111}]</v>
      </c>
    </row>
    <row r="603" spans="2:49">
      <c r="B603">
        <v>3625</v>
      </c>
      <c r="C603" t="s">
        <v>51</v>
      </c>
      <c r="D603" t="str">
        <f t="shared" si="391"/>
        <v>27</v>
      </c>
      <c r="F603">
        <v>196</v>
      </c>
      <c r="G603">
        <v>5000</v>
      </c>
      <c r="H603">
        <f t="shared" ref="H603:H666" si="399">H580</f>
        <v>12</v>
      </c>
      <c r="I603">
        <v>1</v>
      </c>
      <c r="J603">
        <v>2</v>
      </c>
      <c r="K603">
        <f t="shared" si="392"/>
        <v>2602</v>
      </c>
      <c r="L603">
        <f t="shared" si="364"/>
        <v>101</v>
      </c>
      <c r="M603">
        <v>5000</v>
      </c>
      <c r="N603">
        <f t="shared" si="363"/>
        <v>12</v>
      </c>
      <c r="O603">
        <v>1</v>
      </c>
      <c r="P603">
        <f t="shared" si="393"/>
        <v>2601</v>
      </c>
      <c r="Q603">
        <v>54</v>
      </c>
      <c r="R603">
        <f t="shared" si="365"/>
        <v>103</v>
      </c>
      <c r="S603">
        <v>5000</v>
      </c>
      <c r="T603">
        <f t="shared" si="380"/>
        <v>12</v>
      </c>
      <c r="U603">
        <v>1</v>
      </c>
      <c r="V603">
        <f t="shared" si="394"/>
        <v>2602</v>
      </c>
      <c r="W603">
        <v>77</v>
      </c>
      <c r="X603">
        <f t="shared" si="366"/>
        <v>111</v>
      </c>
      <c r="Y603">
        <v>5000</v>
      </c>
      <c r="Z603">
        <f t="shared" si="381"/>
        <v>12</v>
      </c>
      <c r="AA603">
        <v>1</v>
      </c>
      <c r="AB603">
        <f t="shared" si="395"/>
        <v>2601</v>
      </c>
      <c r="AC603">
        <v>72</v>
      </c>
      <c r="AD603">
        <f t="shared" si="367"/>
        <v>112</v>
      </c>
      <c r="AE603">
        <v>5000</v>
      </c>
      <c r="AF603">
        <f t="shared" si="382"/>
        <v>12</v>
      </c>
      <c r="AG603">
        <v>1</v>
      </c>
      <c r="AH603">
        <f t="shared" si="396"/>
        <v>2602</v>
      </c>
      <c r="AI603">
        <v>74</v>
      </c>
      <c r="AJ603">
        <f t="shared" si="368"/>
        <v>113</v>
      </c>
      <c r="AP603" t="str">
        <f t="shared" si="383"/>
        <v>{5000,12,1,2602,101}</v>
      </c>
      <c r="AQ603" t="str">
        <f t="shared" si="384"/>
        <v>{5000,12,1,2601,103}</v>
      </c>
      <c r="AR603" t="str">
        <f t="shared" si="385"/>
        <v>{5000,12,1,2602,111}</v>
      </c>
      <c r="AS603" t="str">
        <f t="shared" si="386"/>
        <v>{5000,12,1,2601,112}</v>
      </c>
      <c r="AT603" t="str">
        <f t="shared" si="387"/>
        <v>{5000,12,1,2602,113}</v>
      </c>
      <c r="AU603" t="str">
        <f t="shared" si="388"/>
        <v/>
      </c>
      <c r="AV603">
        <v>3625</v>
      </c>
      <c r="AW603" t="str">
        <f t="shared" si="398"/>
        <v>[{5000,12,1,2602,101},{5000,12,1,2601,103},{5000,12,1,2602,111},{5000,12,1,2601,112},{5000,12,1,2602,113}]</v>
      </c>
    </row>
    <row r="604" spans="2:48">
      <c r="B604">
        <v>3626</v>
      </c>
      <c r="C604" t="s">
        <v>51</v>
      </c>
      <c r="D604" t="str">
        <f t="shared" si="391"/>
        <v>27</v>
      </c>
      <c r="F604">
        <v>209</v>
      </c>
      <c r="H604">
        <f t="shared" si="399"/>
        <v>0</v>
      </c>
      <c r="K604" t="str">
        <f t="shared" si="392"/>
        <v/>
      </c>
      <c r="L604" t="str">
        <f t="shared" si="364"/>
        <v/>
      </c>
      <c r="N604">
        <f t="shared" si="363"/>
        <v>0</v>
      </c>
      <c r="P604" t="str">
        <f t="shared" si="393"/>
        <v/>
      </c>
      <c r="R604" t="str">
        <f t="shared" si="365"/>
        <v/>
      </c>
      <c r="T604">
        <f t="shared" si="380"/>
        <v>0</v>
      </c>
      <c r="V604" t="str">
        <f t="shared" si="394"/>
        <v/>
      </c>
      <c r="X604" t="str">
        <f t="shared" si="366"/>
        <v/>
      </c>
      <c r="Z604">
        <f t="shared" si="381"/>
        <v>0</v>
      </c>
      <c r="AB604" t="str">
        <f t="shared" si="395"/>
        <v/>
      </c>
      <c r="AD604" t="str">
        <f t="shared" si="367"/>
        <v/>
      </c>
      <c r="AF604">
        <f t="shared" si="382"/>
        <v>0</v>
      </c>
      <c r="AH604" t="str">
        <f t="shared" si="396"/>
        <v/>
      </c>
      <c r="AJ604" t="str">
        <f t="shared" si="368"/>
        <v/>
      </c>
      <c r="AP604" t="str">
        <f t="shared" si="383"/>
        <v/>
      </c>
      <c r="AQ604" t="str">
        <f t="shared" si="384"/>
        <v/>
      </c>
      <c r="AR604" t="str">
        <f t="shared" si="385"/>
        <v/>
      </c>
      <c r="AS604" t="str">
        <f t="shared" si="386"/>
        <v/>
      </c>
      <c r="AT604" t="str">
        <f t="shared" si="387"/>
        <v/>
      </c>
      <c r="AU604" t="str">
        <f t="shared" si="388"/>
        <v/>
      </c>
      <c r="AV604">
        <v>3626</v>
      </c>
    </row>
    <row r="605" spans="2:49">
      <c r="B605">
        <v>3627</v>
      </c>
      <c r="C605" t="s">
        <v>51</v>
      </c>
      <c r="D605" t="str">
        <f t="shared" si="391"/>
        <v>27</v>
      </c>
      <c r="F605">
        <v>211</v>
      </c>
      <c r="G605">
        <v>5000</v>
      </c>
      <c r="H605">
        <f t="shared" si="399"/>
        <v>11</v>
      </c>
      <c r="I605">
        <v>1</v>
      </c>
      <c r="J605">
        <v>2</v>
      </c>
      <c r="K605">
        <f t="shared" si="392"/>
        <v>2602</v>
      </c>
      <c r="L605">
        <f t="shared" si="364"/>
        <v>101</v>
      </c>
      <c r="M605">
        <v>5000</v>
      </c>
      <c r="N605">
        <f t="shared" si="363"/>
        <v>11</v>
      </c>
      <c r="O605">
        <v>1</v>
      </c>
      <c r="P605">
        <f t="shared" si="393"/>
        <v>2601</v>
      </c>
      <c r="Q605">
        <v>51</v>
      </c>
      <c r="R605">
        <f t="shared" si="365"/>
        <v>102</v>
      </c>
      <c r="S605">
        <v>5000</v>
      </c>
      <c r="T605">
        <f t="shared" si="380"/>
        <v>11</v>
      </c>
      <c r="U605">
        <v>1</v>
      </c>
      <c r="V605">
        <f t="shared" si="394"/>
        <v>2602</v>
      </c>
      <c r="W605">
        <v>57</v>
      </c>
      <c r="X605">
        <f t="shared" si="366"/>
        <v>103</v>
      </c>
      <c r="Y605">
        <v>5000</v>
      </c>
      <c r="Z605">
        <f t="shared" si="381"/>
        <v>11</v>
      </c>
      <c r="AA605">
        <v>1</v>
      </c>
      <c r="AB605">
        <f t="shared" si="395"/>
        <v>2601</v>
      </c>
      <c r="AC605">
        <v>79</v>
      </c>
      <c r="AD605">
        <f t="shared" si="367"/>
        <v>113</v>
      </c>
      <c r="AE605">
        <v>5000</v>
      </c>
      <c r="AF605">
        <f t="shared" si="382"/>
        <v>11</v>
      </c>
      <c r="AG605">
        <v>1</v>
      </c>
      <c r="AH605">
        <f t="shared" si="396"/>
        <v>2602</v>
      </c>
      <c r="AI605">
        <v>72</v>
      </c>
      <c r="AJ605">
        <f t="shared" si="368"/>
        <v>111</v>
      </c>
      <c r="AK605">
        <v>1000</v>
      </c>
      <c r="AL605">
        <v>1</v>
      </c>
      <c r="AM605">
        <v>0</v>
      </c>
      <c r="AN605">
        <f t="shared" ref="AN605" si="400">AN582+100</f>
        <v>2631</v>
      </c>
      <c r="AO605">
        <v>4</v>
      </c>
      <c r="AP605" t="str">
        <f t="shared" si="383"/>
        <v>{5000,11,1,2602,101}</v>
      </c>
      <c r="AQ605" t="str">
        <f t="shared" si="384"/>
        <v>{5000,11,1,2601,102}</v>
      </c>
      <c r="AR605" t="str">
        <f t="shared" si="385"/>
        <v>{5000,11,1,2602,103}</v>
      </c>
      <c r="AS605" t="str">
        <f t="shared" si="386"/>
        <v>{5000,11,1,2601,113}</v>
      </c>
      <c r="AT605" t="str">
        <f t="shared" si="387"/>
        <v>{5000,11,1,2602,111}</v>
      </c>
      <c r="AU605" t="str">
        <f t="shared" si="388"/>
        <v>{1000,1,0,2631,4}</v>
      </c>
      <c r="AV605">
        <v>3627</v>
      </c>
      <c r="AW605" t="str">
        <f t="shared" ref="AW605:AW619" si="401">IF(AU605="","["&amp;_xlfn.TEXTJOIN(",",1,AP605:AT605)&amp;"]","["&amp;_xlfn.TEXTJOIN(",",1,AP605:AU605)&amp;"]")</f>
        <v>[{5000,11,1,2602,101},{5000,11,1,2601,102},{5000,11,1,2602,103},{5000,11,1,2601,113},{5000,11,1,2602,111},{1000,1,0,2631,4}]</v>
      </c>
    </row>
    <row r="606" spans="2:49">
      <c r="B606">
        <v>3628</v>
      </c>
      <c r="C606" t="s">
        <v>51</v>
      </c>
      <c r="D606" t="str">
        <f t="shared" si="391"/>
        <v>27</v>
      </c>
      <c r="F606">
        <v>226</v>
      </c>
      <c r="G606">
        <v>5000</v>
      </c>
      <c r="H606">
        <f t="shared" si="399"/>
        <v>11</v>
      </c>
      <c r="I606">
        <v>1</v>
      </c>
      <c r="J606">
        <v>2</v>
      </c>
      <c r="K606">
        <f t="shared" si="392"/>
        <v>2602</v>
      </c>
      <c r="L606">
        <f t="shared" si="364"/>
        <v>101</v>
      </c>
      <c r="M606">
        <v>5000</v>
      </c>
      <c r="N606">
        <f t="shared" si="363"/>
        <v>11</v>
      </c>
      <c r="O606">
        <v>1</v>
      </c>
      <c r="P606">
        <f t="shared" si="393"/>
        <v>2601</v>
      </c>
      <c r="Q606">
        <v>51</v>
      </c>
      <c r="R606">
        <f t="shared" si="365"/>
        <v>103</v>
      </c>
      <c r="S606">
        <v>5000</v>
      </c>
      <c r="T606">
        <f t="shared" si="380"/>
        <v>11</v>
      </c>
      <c r="U606">
        <v>1</v>
      </c>
      <c r="V606">
        <f t="shared" si="394"/>
        <v>2602</v>
      </c>
      <c r="W606">
        <v>75</v>
      </c>
      <c r="X606">
        <f t="shared" si="366"/>
        <v>111</v>
      </c>
      <c r="Y606">
        <v>5000</v>
      </c>
      <c r="Z606">
        <f t="shared" si="381"/>
        <v>11</v>
      </c>
      <c r="AA606">
        <v>1</v>
      </c>
      <c r="AB606">
        <f t="shared" si="395"/>
        <v>2601</v>
      </c>
      <c r="AC606">
        <v>71</v>
      </c>
      <c r="AD606">
        <f t="shared" si="367"/>
        <v>112</v>
      </c>
      <c r="AE606">
        <v>5000</v>
      </c>
      <c r="AF606">
        <f t="shared" si="382"/>
        <v>11</v>
      </c>
      <c r="AG606">
        <v>1</v>
      </c>
      <c r="AH606">
        <f t="shared" si="396"/>
        <v>2602</v>
      </c>
      <c r="AI606">
        <v>77</v>
      </c>
      <c r="AJ606">
        <f t="shared" si="368"/>
        <v>113</v>
      </c>
      <c r="AP606" t="str">
        <f t="shared" si="383"/>
        <v>{5000,11,1,2602,101}</v>
      </c>
      <c r="AQ606" t="str">
        <f t="shared" si="384"/>
        <v>{5000,11,1,2601,103}</v>
      </c>
      <c r="AR606" t="str">
        <f t="shared" si="385"/>
        <v>{5000,11,1,2602,111}</v>
      </c>
      <c r="AS606" t="str">
        <f t="shared" si="386"/>
        <v>{5000,11,1,2601,112}</v>
      </c>
      <c r="AT606" t="str">
        <f t="shared" si="387"/>
        <v>{5000,11,1,2602,113}</v>
      </c>
      <c r="AU606" t="str">
        <f t="shared" si="388"/>
        <v/>
      </c>
      <c r="AV606">
        <v>3628</v>
      </c>
      <c r="AW606" t="str">
        <f t="shared" si="401"/>
        <v>[{5000,11,1,2602,101},{5000,11,1,2601,103},{5000,11,1,2602,111},{5000,11,1,2601,112},{5000,11,1,2602,113}]</v>
      </c>
    </row>
    <row r="607" spans="2:49">
      <c r="B607">
        <v>3629</v>
      </c>
      <c r="C607" t="s">
        <v>51</v>
      </c>
      <c r="D607" t="str">
        <f t="shared" si="391"/>
        <v>27</v>
      </c>
      <c r="F607">
        <v>241</v>
      </c>
      <c r="G607">
        <v>5000</v>
      </c>
      <c r="H607">
        <f t="shared" si="399"/>
        <v>13</v>
      </c>
      <c r="I607">
        <v>1</v>
      </c>
      <c r="J607">
        <v>3</v>
      </c>
      <c r="K607">
        <f t="shared" si="392"/>
        <v>2603</v>
      </c>
      <c r="L607">
        <f t="shared" si="364"/>
        <v>101</v>
      </c>
      <c r="M607">
        <v>5000</v>
      </c>
      <c r="N607">
        <f t="shared" si="363"/>
        <v>13</v>
      </c>
      <c r="O607">
        <v>1</v>
      </c>
      <c r="P607">
        <f t="shared" si="393"/>
        <v>2603</v>
      </c>
      <c r="Q607">
        <v>53</v>
      </c>
      <c r="R607">
        <f t="shared" si="365"/>
        <v>102</v>
      </c>
      <c r="S607">
        <v>5000</v>
      </c>
      <c r="T607">
        <f t="shared" si="380"/>
        <v>13</v>
      </c>
      <c r="U607">
        <v>1</v>
      </c>
      <c r="V607">
        <f t="shared" si="394"/>
        <v>2603</v>
      </c>
      <c r="W607">
        <v>56</v>
      </c>
      <c r="X607">
        <f t="shared" si="366"/>
        <v>103</v>
      </c>
      <c r="Y607">
        <v>5000</v>
      </c>
      <c r="Z607">
        <f t="shared" si="381"/>
        <v>13</v>
      </c>
      <c r="AA607">
        <v>1</v>
      </c>
      <c r="AB607">
        <f t="shared" si="395"/>
        <v>2603</v>
      </c>
      <c r="AC607">
        <v>74</v>
      </c>
      <c r="AD607">
        <f t="shared" si="367"/>
        <v>113</v>
      </c>
      <c r="AE607">
        <v>5000</v>
      </c>
      <c r="AF607">
        <f t="shared" si="382"/>
        <v>13</v>
      </c>
      <c r="AG607">
        <v>1</v>
      </c>
      <c r="AH607">
        <f t="shared" si="396"/>
        <v>2603</v>
      </c>
      <c r="AI607">
        <v>78</v>
      </c>
      <c r="AJ607">
        <f t="shared" si="368"/>
        <v>111</v>
      </c>
      <c r="AP607" t="str">
        <f t="shared" si="383"/>
        <v>{5000,13,1,2603,101}</v>
      </c>
      <c r="AQ607" t="str">
        <f t="shared" si="384"/>
        <v>{5000,13,1,2603,102}</v>
      </c>
      <c r="AR607" t="str">
        <f t="shared" si="385"/>
        <v>{5000,13,1,2603,103}</v>
      </c>
      <c r="AS607" t="str">
        <f t="shared" si="386"/>
        <v>{5000,13,1,2603,113}</v>
      </c>
      <c r="AT607" t="str">
        <f t="shared" si="387"/>
        <v>{5000,13,1,2603,111}</v>
      </c>
      <c r="AU607" t="str">
        <f t="shared" si="388"/>
        <v/>
      </c>
      <c r="AV607">
        <v>3629</v>
      </c>
      <c r="AW607" t="str">
        <f t="shared" si="401"/>
        <v>[{5000,13,1,2603,101},{5000,13,1,2603,102},{5000,13,1,2603,103},{5000,13,1,2603,113},{5000,13,1,2603,111}]</v>
      </c>
    </row>
    <row r="608" spans="2:49">
      <c r="B608">
        <v>3630</v>
      </c>
      <c r="C608" t="s">
        <v>51</v>
      </c>
      <c r="D608" t="str">
        <f t="shared" si="391"/>
        <v>27</v>
      </c>
      <c r="F608">
        <v>256</v>
      </c>
      <c r="G608">
        <v>5000</v>
      </c>
      <c r="H608">
        <f t="shared" si="399"/>
        <v>12</v>
      </c>
      <c r="I608">
        <v>1</v>
      </c>
      <c r="J608">
        <v>2</v>
      </c>
      <c r="K608">
        <f t="shared" si="392"/>
        <v>2602</v>
      </c>
      <c r="L608">
        <f t="shared" si="364"/>
        <v>101</v>
      </c>
      <c r="M608">
        <v>5000</v>
      </c>
      <c r="N608">
        <f t="shared" si="363"/>
        <v>12</v>
      </c>
      <c r="O608">
        <v>1</v>
      </c>
      <c r="P608">
        <f t="shared" si="393"/>
        <v>2602</v>
      </c>
      <c r="Q608">
        <v>59</v>
      </c>
      <c r="R608">
        <f t="shared" si="365"/>
        <v>103</v>
      </c>
      <c r="S608">
        <v>5000</v>
      </c>
      <c r="T608">
        <f t="shared" si="380"/>
        <v>12</v>
      </c>
      <c r="U608">
        <v>1</v>
      </c>
      <c r="V608">
        <f t="shared" si="394"/>
        <v>2602</v>
      </c>
      <c r="W608">
        <v>79</v>
      </c>
      <c r="X608">
        <f t="shared" si="366"/>
        <v>111</v>
      </c>
      <c r="Y608">
        <v>5000</v>
      </c>
      <c r="Z608">
        <f t="shared" si="381"/>
        <v>12</v>
      </c>
      <c r="AA608">
        <v>1</v>
      </c>
      <c r="AB608">
        <f t="shared" si="395"/>
        <v>2601</v>
      </c>
      <c r="AC608">
        <v>72</v>
      </c>
      <c r="AD608">
        <f t="shared" si="367"/>
        <v>112</v>
      </c>
      <c r="AE608">
        <v>5000</v>
      </c>
      <c r="AF608">
        <f t="shared" si="382"/>
        <v>12</v>
      </c>
      <c r="AG608">
        <v>1</v>
      </c>
      <c r="AH608">
        <f t="shared" si="396"/>
        <v>2602</v>
      </c>
      <c r="AI608">
        <v>74</v>
      </c>
      <c r="AJ608">
        <f t="shared" si="368"/>
        <v>113</v>
      </c>
      <c r="AP608" t="str">
        <f t="shared" si="383"/>
        <v>{5000,12,1,2602,101}</v>
      </c>
      <c r="AQ608" t="str">
        <f t="shared" si="384"/>
        <v>{5000,12,1,2602,103}</v>
      </c>
      <c r="AR608" t="str">
        <f t="shared" si="385"/>
        <v>{5000,12,1,2602,111}</v>
      </c>
      <c r="AS608" t="str">
        <f t="shared" si="386"/>
        <v>{5000,12,1,2601,112}</v>
      </c>
      <c r="AT608" t="str">
        <f t="shared" si="387"/>
        <v>{5000,12,1,2602,113}</v>
      </c>
      <c r="AU608" t="str">
        <f t="shared" si="388"/>
        <v/>
      </c>
      <c r="AV608">
        <v>3630</v>
      </c>
      <c r="AW608" t="str">
        <f t="shared" si="401"/>
        <v>[{5000,12,1,2602,101},{5000,12,1,2602,103},{5000,12,1,2602,111},{5000,12,1,2601,112},{5000,12,1,2602,113}]</v>
      </c>
    </row>
    <row r="609" spans="2:49">
      <c r="B609">
        <v>3631</v>
      </c>
      <c r="C609" t="s">
        <v>51</v>
      </c>
      <c r="D609" t="str">
        <f t="shared" si="391"/>
        <v>27</v>
      </c>
      <c r="F609">
        <v>271</v>
      </c>
      <c r="G609">
        <v>5000</v>
      </c>
      <c r="H609">
        <f t="shared" si="399"/>
        <v>13</v>
      </c>
      <c r="I609">
        <v>1</v>
      </c>
      <c r="J609">
        <v>2</v>
      </c>
      <c r="K609">
        <f t="shared" si="392"/>
        <v>2602</v>
      </c>
      <c r="L609">
        <f t="shared" si="364"/>
        <v>101</v>
      </c>
      <c r="M609">
        <v>5000</v>
      </c>
      <c r="N609">
        <f t="shared" si="363"/>
        <v>13</v>
      </c>
      <c r="O609">
        <v>1</v>
      </c>
      <c r="P609">
        <f t="shared" si="393"/>
        <v>2602</v>
      </c>
      <c r="Q609">
        <v>54</v>
      </c>
      <c r="R609">
        <f t="shared" si="365"/>
        <v>102</v>
      </c>
      <c r="S609">
        <v>5000</v>
      </c>
      <c r="T609">
        <f t="shared" si="380"/>
        <v>13</v>
      </c>
      <c r="U609">
        <v>1</v>
      </c>
      <c r="V609">
        <f t="shared" si="394"/>
        <v>2602</v>
      </c>
      <c r="W609">
        <v>56</v>
      </c>
      <c r="X609">
        <f t="shared" si="366"/>
        <v>103</v>
      </c>
      <c r="Y609">
        <v>5000</v>
      </c>
      <c r="Z609">
        <f t="shared" si="381"/>
        <v>13</v>
      </c>
      <c r="AA609">
        <v>1</v>
      </c>
      <c r="AB609">
        <f t="shared" si="395"/>
        <v>2602</v>
      </c>
      <c r="AC609">
        <v>73</v>
      </c>
      <c r="AD609">
        <f t="shared" si="367"/>
        <v>113</v>
      </c>
      <c r="AE609">
        <v>5000</v>
      </c>
      <c r="AF609">
        <f t="shared" si="382"/>
        <v>13</v>
      </c>
      <c r="AG609">
        <v>1</v>
      </c>
      <c r="AH609">
        <f t="shared" si="396"/>
        <v>2602</v>
      </c>
      <c r="AI609">
        <v>75</v>
      </c>
      <c r="AJ609">
        <f t="shared" si="368"/>
        <v>111</v>
      </c>
      <c r="AP609" t="str">
        <f t="shared" si="383"/>
        <v>{5000,13,1,2602,101}</v>
      </c>
      <c r="AQ609" t="str">
        <f t="shared" si="384"/>
        <v>{5000,13,1,2602,102}</v>
      </c>
      <c r="AR609" t="str">
        <f t="shared" si="385"/>
        <v>{5000,13,1,2602,103}</v>
      </c>
      <c r="AS609" t="str">
        <f t="shared" si="386"/>
        <v>{5000,13,1,2602,113}</v>
      </c>
      <c r="AT609" t="str">
        <f t="shared" si="387"/>
        <v>{5000,13,1,2602,111}</v>
      </c>
      <c r="AU609" t="str">
        <f t="shared" si="388"/>
        <v/>
      </c>
      <c r="AV609">
        <v>3631</v>
      </c>
      <c r="AW609" t="str">
        <f t="shared" si="401"/>
        <v>[{5000,13,1,2602,101},{5000,13,1,2602,102},{5000,13,1,2602,103},{5000,13,1,2602,113},{5000,13,1,2602,111}]</v>
      </c>
    </row>
    <row r="610" spans="2:49">
      <c r="B610">
        <v>3632</v>
      </c>
      <c r="C610" t="s">
        <v>51</v>
      </c>
      <c r="D610" t="str">
        <f t="shared" si="391"/>
        <v>27</v>
      </c>
      <c r="F610">
        <v>286</v>
      </c>
      <c r="G610">
        <v>5000</v>
      </c>
      <c r="H610">
        <f t="shared" si="399"/>
        <v>13</v>
      </c>
      <c r="I610">
        <v>1</v>
      </c>
      <c r="J610">
        <v>2</v>
      </c>
      <c r="K610">
        <f t="shared" si="392"/>
        <v>2602</v>
      </c>
      <c r="L610">
        <f t="shared" si="364"/>
        <v>101</v>
      </c>
      <c r="M610">
        <v>5000</v>
      </c>
      <c r="N610">
        <f t="shared" si="363"/>
        <v>13</v>
      </c>
      <c r="O610">
        <v>1</v>
      </c>
      <c r="P610">
        <f t="shared" si="393"/>
        <v>2602</v>
      </c>
      <c r="Q610">
        <v>53</v>
      </c>
      <c r="R610">
        <f t="shared" si="365"/>
        <v>103</v>
      </c>
      <c r="S610">
        <v>5000</v>
      </c>
      <c r="T610">
        <f t="shared" si="380"/>
        <v>13</v>
      </c>
      <c r="U610">
        <v>1</v>
      </c>
      <c r="V610">
        <f t="shared" si="394"/>
        <v>2602</v>
      </c>
      <c r="W610">
        <v>59</v>
      </c>
      <c r="X610">
        <f t="shared" si="366"/>
        <v>111</v>
      </c>
      <c r="Y610">
        <v>5000</v>
      </c>
      <c r="Z610">
        <f t="shared" si="381"/>
        <v>13</v>
      </c>
      <c r="AA610">
        <v>1</v>
      </c>
      <c r="AB610">
        <f t="shared" si="395"/>
        <v>2602</v>
      </c>
      <c r="AC610">
        <v>71</v>
      </c>
      <c r="AD610">
        <f t="shared" si="367"/>
        <v>112</v>
      </c>
      <c r="AE610">
        <v>5000</v>
      </c>
      <c r="AF610">
        <f t="shared" si="382"/>
        <v>13</v>
      </c>
      <c r="AG610">
        <v>1</v>
      </c>
      <c r="AH610">
        <f t="shared" si="396"/>
        <v>2602</v>
      </c>
      <c r="AI610">
        <v>77</v>
      </c>
      <c r="AJ610">
        <f t="shared" si="368"/>
        <v>113</v>
      </c>
      <c r="AP610" t="str">
        <f t="shared" si="383"/>
        <v>{5000,13,1,2602,101}</v>
      </c>
      <c r="AQ610" t="str">
        <f t="shared" si="384"/>
        <v>{5000,13,1,2602,103}</v>
      </c>
      <c r="AR610" t="str">
        <f t="shared" si="385"/>
        <v>{5000,13,1,2602,111}</v>
      </c>
      <c r="AS610" t="str">
        <f t="shared" si="386"/>
        <v>{5000,13,1,2602,112}</v>
      </c>
      <c r="AT610" t="str">
        <f t="shared" si="387"/>
        <v>{5000,13,1,2602,113}</v>
      </c>
      <c r="AU610" t="str">
        <f t="shared" si="388"/>
        <v/>
      </c>
      <c r="AV610">
        <v>3632</v>
      </c>
      <c r="AW610" t="str">
        <f t="shared" si="401"/>
        <v>[{5000,13,1,2602,101},{5000,13,1,2602,103},{5000,13,1,2602,111},{5000,13,1,2602,112},{5000,13,1,2602,113}]</v>
      </c>
    </row>
    <row r="611" spans="2:49">
      <c r="B611">
        <v>3633</v>
      </c>
      <c r="C611" t="s">
        <v>51</v>
      </c>
      <c r="D611" t="str">
        <f t="shared" si="391"/>
        <v>27</v>
      </c>
      <c r="F611">
        <v>290</v>
      </c>
      <c r="G611">
        <v>5000</v>
      </c>
      <c r="H611">
        <f t="shared" si="399"/>
        <v>13</v>
      </c>
      <c r="I611">
        <v>1</v>
      </c>
      <c r="J611">
        <v>2</v>
      </c>
      <c r="K611">
        <f t="shared" si="392"/>
        <v>2602</v>
      </c>
      <c r="L611">
        <f t="shared" si="364"/>
        <v>101</v>
      </c>
      <c r="M611">
        <v>5000</v>
      </c>
      <c r="N611">
        <f t="shared" si="363"/>
        <v>13</v>
      </c>
      <c r="O611">
        <v>1</v>
      </c>
      <c r="P611">
        <f t="shared" si="393"/>
        <v>2602</v>
      </c>
      <c r="Q611">
        <v>56</v>
      </c>
      <c r="R611">
        <f t="shared" si="365"/>
        <v>102</v>
      </c>
      <c r="S611">
        <v>5000</v>
      </c>
      <c r="T611">
        <f t="shared" si="380"/>
        <v>13</v>
      </c>
      <c r="U611">
        <v>1</v>
      </c>
      <c r="V611">
        <f t="shared" si="394"/>
        <v>2601</v>
      </c>
      <c r="W611">
        <v>77</v>
      </c>
      <c r="X611">
        <f t="shared" si="366"/>
        <v>103</v>
      </c>
      <c r="Y611">
        <v>5000</v>
      </c>
      <c r="Z611">
        <f t="shared" si="381"/>
        <v>13</v>
      </c>
      <c r="AA611">
        <v>1</v>
      </c>
      <c r="AB611">
        <f t="shared" si="395"/>
        <v>2602</v>
      </c>
      <c r="AC611">
        <v>72</v>
      </c>
      <c r="AD611">
        <f t="shared" si="367"/>
        <v>113</v>
      </c>
      <c r="AE611">
        <v>5000</v>
      </c>
      <c r="AF611">
        <f t="shared" si="382"/>
        <v>13</v>
      </c>
      <c r="AG611">
        <v>1</v>
      </c>
      <c r="AH611">
        <f t="shared" si="396"/>
        <v>2602</v>
      </c>
      <c r="AI611">
        <v>74</v>
      </c>
      <c r="AJ611">
        <f t="shared" si="368"/>
        <v>111</v>
      </c>
      <c r="AP611" t="str">
        <f t="shared" si="383"/>
        <v>{5000,13,1,2602,101}</v>
      </c>
      <c r="AQ611" t="str">
        <f t="shared" si="384"/>
        <v>{5000,13,1,2602,102}</v>
      </c>
      <c r="AR611" t="str">
        <f t="shared" si="385"/>
        <v>{5000,13,1,2601,103}</v>
      </c>
      <c r="AS611" t="str">
        <f t="shared" si="386"/>
        <v>{5000,13,1,2602,113}</v>
      </c>
      <c r="AT611" t="str">
        <f t="shared" si="387"/>
        <v>{5000,13,1,2602,111}</v>
      </c>
      <c r="AU611" t="str">
        <f t="shared" si="388"/>
        <v/>
      </c>
      <c r="AV611">
        <v>3633</v>
      </c>
      <c r="AW611" t="str">
        <f t="shared" si="401"/>
        <v>[{5000,13,1,2602,101},{5000,13,1,2602,102},{5000,13,1,2601,103},{5000,13,1,2602,113},{5000,13,1,2602,111}]</v>
      </c>
    </row>
    <row r="612" spans="2:49">
      <c r="B612">
        <v>3711</v>
      </c>
      <c r="C612" t="s">
        <v>52</v>
      </c>
      <c r="D612" s="4" t="str">
        <f t="shared" si="391"/>
        <v>28</v>
      </c>
      <c r="E612" s="4"/>
      <c r="F612">
        <v>1</v>
      </c>
      <c r="G612">
        <v>5000</v>
      </c>
      <c r="H612">
        <f t="shared" si="399"/>
        <v>3</v>
      </c>
      <c r="I612">
        <v>1</v>
      </c>
      <c r="J612">
        <v>1</v>
      </c>
      <c r="K612">
        <f t="shared" si="392"/>
        <v>2701</v>
      </c>
      <c r="L612">
        <f t="shared" si="364"/>
        <v>101</v>
      </c>
      <c r="M612">
        <v>5000</v>
      </c>
      <c r="N612">
        <f t="shared" si="363"/>
        <v>3</v>
      </c>
      <c r="O612">
        <v>1</v>
      </c>
      <c r="P612">
        <f t="shared" si="393"/>
        <v>2701</v>
      </c>
      <c r="Q612">
        <v>55</v>
      </c>
      <c r="R612">
        <f t="shared" si="365"/>
        <v>102</v>
      </c>
      <c r="S612">
        <v>5000</v>
      </c>
      <c r="T612">
        <f t="shared" si="380"/>
        <v>3</v>
      </c>
      <c r="U612">
        <v>1</v>
      </c>
      <c r="V612">
        <f t="shared" si="394"/>
        <v>2701</v>
      </c>
      <c r="W612">
        <v>60</v>
      </c>
      <c r="X612">
        <f t="shared" si="366"/>
        <v>103</v>
      </c>
      <c r="Y612">
        <v>5000</v>
      </c>
      <c r="Z612">
        <f t="shared" si="381"/>
        <v>3</v>
      </c>
      <c r="AA612">
        <v>1</v>
      </c>
      <c r="AB612">
        <f t="shared" si="395"/>
        <v>2701</v>
      </c>
      <c r="AC612">
        <v>71</v>
      </c>
      <c r="AD612">
        <f t="shared" si="367"/>
        <v>113</v>
      </c>
      <c r="AE612">
        <v>5000</v>
      </c>
      <c r="AF612">
        <f t="shared" si="382"/>
        <v>3</v>
      </c>
      <c r="AG612">
        <v>1</v>
      </c>
      <c r="AH612">
        <f t="shared" si="396"/>
        <v>2701</v>
      </c>
      <c r="AI612">
        <v>76</v>
      </c>
      <c r="AJ612">
        <f t="shared" si="368"/>
        <v>111</v>
      </c>
      <c r="AP612" t="str">
        <f t="shared" si="383"/>
        <v>{5000,3,1,2701,101}</v>
      </c>
      <c r="AQ612" t="str">
        <f t="shared" si="384"/>
        <v>{5000,3,1,2701,102}</v>
      </c>
      <c r="AR612" t="str">
        <f t="shared" si="385"/>
        <v>{5000,3,1,2701,103}</v>
      </c>
      <c r="AS612" t="str">
        <f t="shared" si="386"/>
        <v>{5000,3,1,2701,113}</v>
      </c>
      <c r="AT612" t="str">
        <f t="shared" si="387"/>
        <v>{5000,3,1,2701,111}</v>
      </c>
      <c r="AU612" t="str">
        <f t="shared" si="388"/>
        <v/>
      </c>
      <c r="AV612">
        <v>3711</v>
      </c>
      <c r="AW612" t="str">
        <f t="shared" si="401"/>
        <v>[{5000,3,1,2701,101},{5000,3,1,2701,102},{5000,3,1,2701,103},{5000,3,1,2701,113},{5000,3,1,2701,111}]</v>
      </c>
    </row>
    <row r="613" spans="2:49">
      <c r="B613">
        <v>3712</v>
      </c>
      <c r="C613" t="s">
        <v>52</v>
      </c>
      <c r="D613" t="str">
        <f t="shared" si="391"/>
        <v>28</v>
      </c>
      <c r="F613">
        <v>16</v>
      </c>
      <c r="G613">
        <v>5000</v>
      </c>
      <c r="H613">
        <f t="shared" si="399"/>
        <v>3</v>
      </c>
      <c r="I613">
        <v>1</v>
      </c>
      <c r="J613">
        <v>1</v>
      </c>
      <c r="K613">
        <f t="shared" ref="K613:K635" si="402">IF($J613="","",K590+100)</f>
        <v>2701</v>
      </c>
      <c r="L613">
        <f t="shared" si="364"/>
        <v>101</v>
      </c>
      <c r="M613">
        <v>5000</v>
      </c>
      <c r="N613">
        <f t="shared" si="363"/>
        <v>3</v>
      </c>
      <c r="O613">
        <v>1</v>
      </c>
      <c r="P613">
        <f t="shared" ref="P613:P635" si="403">IF($J613="","",P590+100)</f>
        <v>2701</v>
      </c>
      <c r="Q613">
        <v>55</v>
      </c>
      <c r="R613">
        <f t="shared" si="365"/>
        <v>103</v>
      </c>
      <c r="S613">
        <v>5000</v>
      </c>
      <c r="T613">
        <f t="shared" si="380"/>
        <v>3</v>
      </c>
      <c r="U613">
        <v>1</v>
      </c>
      <c r="V613">
        <f t="shared" ref="V613:V635" si="404">IF($J613="","",V590+100)</f>
        <v>2701</v>
      </c>
      <c r="W613">
        <v>75</v>
      </c>
      <c r="X613">
        <f t="shared" si="366"/>
        <v>111</v>
      </c>
      <c r="Y613">
        <v>5000</v>
      </c>
      <c r="Z613">
        <f t="shared" si="381"/>
        <v>3</v>
      </c>
      <c r="AA613">
        <v>1</v>
      </c>
      <c r="AB613">
        <f t="shared" ref="AB613:AB635" si="405">IF($J613="","",AB590+100)</f>
        <v>2701</v>
      </c>
      <c r="AC613">
        <v>73</v>
      </c>
      <c r="AD613">
        <f t="shared" si="367"/>
        <v>112</v>
      </c>
      <c r="AE613">
        <v>5000</v>
      </c>
      <c r="AF613">
        <f t="shared" si="382"/>
        <v>3</v>
      </c>
      <c r="AG613">
        <v>1</v>
      </c>
      <c r="AH613">
        <f t="shared" ref="AH613:AH635" si="406">IF($J613="","",AH590+100)</f>
        <v>2701</v>
      </c>
      <c r="AI613">
        <v>78</v>
      </c>
      <c r="AJ613">
        <f t="shared" si="368"/>
        <v>113</v>
      </c>
      <c r="AP613" t="str">
        <f t="shared" si="383"/>
        <v>{5000,3,1,2701,101}</v>
      </c>
      <c r="AQ613" t="str">
        <f t="shared" si="384"/>
        <v>{5000,3,1,2701,103}</v>
      </c>
      <c r="AR613" t="str">
        <f t="shared" si="385"/>
        <v>{5000,3,1,2701,111}</v>
      </c>
      <c r="AS613" t="str">
        <f t="shared" si="386"/>
        <v>{5000,3,1,2701,112}</v>
      </c>
      <c r="AT613" t="str">
        <f t="shared" si="387"/>
        <v>{5000,3,1,2701,113}</v>
      </c>
      <c r="AU613" t="str">
        <f t="shared" si="388"/>
        <v/>
      </c>
      <c r="AV613">
        <v>3712</v>
      </c>
      <c r="AW613" t="str">
        <f t="shared" si="401"/>
        <v>[{5000,3,1,2701,101},{5000,3,1,2701,103},{5000,3,1,2701,111},{5000,3,1,2701,112},{5000,3,1,2701,113}]</v>
      </c>
    </row>
    <row r="614" spans="2:49">
      <c r="B614">
        <v>3713</v>
      </c>
      <c r="C614" t="s">
        <v>52</v>
      </c>
      <c r="D614" t="str">
        <f t="shared" si="391"/>
        <v>28</v>
      </c>
      <c r="F614">
        <v>31</v>
      </c>
      <c r="G614">
        <v>5000</v>
      </c>
      <c r="H614">
        <f t="shared" si="399"/>
        <v>6</v>
      </c>
      <c r="I614">
        <v>1</v>
      </c>
      <c r="J614">
        <v>1</v>
      </c>
      <c r="K614">
        <f t="shared" si="402"/>
        <v>2701</v>
      </c>
      <c r="L614">
        <f t="shared" si="364"/>
        <v>101</v>
      </c>
      <c r="M614">
        <v>5000</v>
      </c>
      <c r="N614">
        <f t="shared" ref="N614:N677" si="407">H614</f>
        <v>6</v>
      </c>
      <c r="O614">
        <v>1</v>
      </c>
      <c r="P614">
        <f t="shared" si="403"/>
        <v>2701</v>
      </c>
      <c r="Q614">
        <v>55</v>
      </c>
      <c r="R614">
        <f t="shared" si="365"/>
        <v>102</v>
      </c>
      <c r="S614">
        <v>5000</v>
      </c>
      <c r="T614">
        <f t="shared" si="380"/>
        <v>6</v>
      </c>
      <c r="U614">
        <v>1</v>
      </c>
      <c r="V614">
        <f t="shared" si="404"/>
        <v>2701</v>
      </c>
      <c r="W614">
        <v>58</v>
      </c>
      <c r="X614">
        <f t="shared" si="366"/>
        <v>103</v>
      </c>
      <c r="Y614">
        <v>5000</v>
      </c>
      <c r="Z614">
        <f t="shared" si="381"/>
        <v>6</v>
      </c>
      <c r="AA614">
        <v>1</v>
      </c>
      <c r="AB614">
        <f t="shared" si="405"/>
        <v>2701</v>
      </c>
      <c r="AC614">
        <v>76</v>
      </c>
      <c r="AD614">
        <f t="shared" si="367"/>
        <v>113</v>
      </c>
      <c r="AE614">
        <v>5000</v>
      </c>
      <c r="AF614">
        <f t="shared" si="382"/>
        <v>6</v>
      </c>
      <c r="AG614">
        <v>1</v>
      </c>
      <c r="AH614">
        <f t="shared" si="406"/>
        <v>2701</v>
      </c>
      <c r="AI614">
        <v>79</v>
      </c>
      <c r="AJ614">
        <f t="shared" si="368"/>
        <v>111</v>
      </c>
      <c r="AP614" t="str">
        <f t="shared" si="383"/>
        <v>{5000,6,1,2701,101}</v>
      </c>
      <c r="AQ614" t="str">
        <f t="shared" si="384"/>
        <v>{5000,6,1,2701,102}</v>
      </c>
      <c r="AR614" t="str">
        <f t="shared" si="385"/>
        <v>{5000,6,1,2701,103}</v>
      </c>
      <c r="AS614" t="str">
        <f t="shared" si="386"/>
        <v>{5000,6,1,2701,113}</v>
      </c>
      <c r="AT614" t="str">
        <f t="shared" si="387"/>
        <v>{5000,6,1,2701,111}</v>
      </c>
      <c r="AU614" t="str">
        <f t="shared" si="388"/>
        <v/>
      </c>
      <c r="AV614">
        <v>3713</v>
      </c>
      <c r="AW614" t="str">
        <f t="shared" si="401"/>
        <v>[{5000,6,1,2701,101},{5000,6,1,2701,102},{5000,6,1,2701,103},{5000,6,1,2701,113},{5000,6,1,2701,111}]</v>
      </c>
    </row>
    <row r="615" spans="2:49">
      <c r="B615">
        <v>3714</v>
      </c>
      <c r="C615" t="s">
        <v>52</v>
      </c>
      <c r="D615" t="str">
        <f t="shared" si="391"/>
        <v>28</v>
      </c>
      <c r="F615">
        <v>46</v>
      </c>
      <c r="G615">
        <v>5000</v>
      </c>
      <c r="H615">
        <f t="shared" si="399"/>
        <v>6</v>
      </c>
      <c r="I615">
        <v>1</v>
      </c>
      <c r="J615">
        <v>1</v>
      </c>
      <c r="K615">
        <f t="shared" si="402"/>
        <v>2701</v>
      </c>
      <c r="L615">
        <f t="shared" ref="L615:L678" si="408">IF(L592="","",L592)</f>
        <v>101</v>
      </c>
      <c r="M615">
        <v>5000</v>
      </c>
      <c r="N615">
        <f t="shared" si="407"/>
        <v>6</v>
      </c>
      <c r="O615">
        <v>1</v>
      </c>
      <c r="P615">
        <f t="shared" si="403"/>
        <v>2701</v>
      </c>
      <c r="Q615">
        <v>55</v>
      </c>
      <c r="R615">
        <f t="shared" ref="R615:R678" si="409">IF(R592="","",R592)</f>
        <v>103</v>
      </c>
      <c r="S615">
        <v>5000</v>
      </c>
      <c r="T615">
        <f t="shared" si="380"/>
        <v>6</v>
      </c>
      <c r="U615">
        <v>1</v>
      </c>
      <c r="V615">
        <f t="shared" si="404"/>
        <v>2702</v>
      </c>
      <c r="W615">
        <v>76</v>
      </c>
      <c r="X615">
        <f t="shared" ref="X615:X678" si="410">IF(X592="","",X592)</f>
        <v>111</v>
      </c>
      <c r="Y615">
        <v>5000</v>
      </c>
      <c r="Z615">
        <f t="shared" si="381"/>
        <v>6</v>
      </c>
      <c r="AA615">
        <v>1</v>
      </c>
      <c r="AB615">
        <f t="shared" si="405"/>
        <v>2701</v>
      </c>
      <c r="AC615">
        <v>71</v>
      </c>
      <c r="AD615">
        <f t="shared" ref="AD615:AD678" si="411">IF(AD592="","",AD592)</f>
        <v>112</v>
      </c>
      <c r="AE615">
        <v>5000</v>
      </c>
      <c r="AF615">
        <f t="shared" si="382"/>
        <v>6</v>
      </c>
      <c r="AG615">
        <v>1</v>
      </c>
      <c r="AH615">
        <f t="shared" si="406"/>
        <v>2701</v>
      </c>
      <c r="AI615">
        <v>71</v>
      </c>
      <c r="AJ615">
        <f t="shared" ref="AJ615:AJ678" si="412">IF(AJ592="","",AJ592)</f>
        <v>113</v>
      </c>
      <c r="AP615" t="str">
        <f t="shared" si="383"/>
        <v>{5000,6,1,2701,101}</v>
      </c>
      <c r="AQ615" t="str">
        <f t="shared" si="384"/>
        <v>{5000,6,1,2701,103}</v>
      </c>
      <c r="AR615" t="str">
        <f t="shared" si="385"/>
        <v>{5000,6,1,2702,111}</v>
      </c>
      <c r="AS615" t="str">
        <f t="shared" si="386"/>
        <v>{5000,6,1,2701,112}</v>
      </c>
      <c r="AT615" t="str">
        <f t="shared" si="387"/>
        <v>{5000,6,1,2701,113}</v>
      </c>
      <c r="AU615" t="str">
        <f t="shared" si="388"/>
        <v/>
      </c>
      <c r="AV615">
        <v>3714</v>
      </c>
      <c r="AW615" t="str">
        <f t="shared" si="401"/>
        <v>[{5000,6,1,2701,101},{5000,6,1,2701,103},{5000,6,1,2702,111},{5000,6,1,2701,112},{5000,6,1,2701,113}]</v>
      </c>
    </row>
    <row r="616" spans="2:49">
      <c r="B616">
        <v>3715</v>
      </c>
      <c r="C616" t="s">
        <v>52</v>
      </c>
      <c r="D616" t="str">
        <f t="shared" si="391"/>
        <v>28</v>
      </c>
      <c r="F616">
        <v>61</v>
      </c>
      <c r="G616">
        <v>5000</v>
      </c>
      <c r="H616">
        <f t="shared" si="399"/>
        <v>8</v>
      </c>
      <c r="I616">
        <v>1</v>
      </c>
      <c r="J616">
        <v>3</v>
      </c>
      <c r="K616">
        <f t="shared" si="402"/>
        <v>2703</v>
      </c>
      <c r="L616">
        <f t="shared" si="408"/>
        <v>101</v>
      </c>
      <c r="M616">
        <v>5000</v>
      </c>
      <c r="N616">
        <f t="shared" si="407"/>
        <v>8</v>
      </c>
      <c r="O616">
        <v>1</v>
      </c>
      <c r="P616">
        <f t="shared" si="403"/>
        <v>2703</v>
      </c>
      <c r="Q616">
        <v>56</v>
      </c>
      <c r="R616">
        <f t="shared" si="409"/>
        <v>102</v>
      </c>
      <c r="S616">
        <v>5000</v>
      </c>
      <c r="T616">
        <f t="shared" si="380"/>
        <v>8</v>
      </c>
      <c r="U616">
        <v>1</v>
      </c>
      <c r="V616">
        <f t="shared" si="404"/>
        <v>2703</v>
      </c>
      <c r="W616">
        <v>57</v>
      </c>
      <c r="X616">
        <f t="shared" si="410"/>
        <v>103</v>
      </c>
      <c r="Y616">
        <v>5000</v>
      </c>
      <c r="Z616">
        <f t="shared" si="381"/>
        <v>8</v>
      </c>
      <c r="AA616">
        <v>1</v>
      </c>
      <c r="AB616">
        <f t="shared" si="405"/>
        <v>2703</v>
      </c>
      <c r="AC616">
        <v>72</v>
      </c>
      <c r="AD616">
        <f t="shared" si="411"/>
        <v>113</v>
      </c>
      <c r="AE616">
        <v>5000</v>
      </c>
      <c r="AF616">
        <f t="shared" si="382"/>
        <v>8</v>
      </c>
      <c r="AG616">
        <v>1</v>
      </c>
      <c r="AH616">
        <f t="shared" si="406"/>
        <v>2703</v>
      </c>
      <c r="AI616">
        <v>71</v>
      </c>
      <c r="AJ616">
        <f t="shared" si="412"/>
        <v>111</v>
      </c>
      <c r="AP616" t="str">
        <f t="shared" si="383"/>
        <v>{5000,8,1,2703,101}</v>
      </c>
      <c r="AQ616" t="str">
        <f t="shared" si="384"/>
        <v>{5000,8,1,2703,102}</v>
      </c>
      <c r="AR616" t="str">
        <f t="shared" si="385"/>
        <v>{5000,8,1,2703,103}</v>
      </c>
      <c r="AS616" t="str">
        <f t="shared" si="386"/>
        <v>{5000,8,1,2703,113}</v>
      </c>
      <c r="AT616" t="str">
        <f t="shared" si="387"/>
        <v>{5000,8,1,2703,111}</v>
      </c>
      <c r="AU616" t="str">
        <f t="shared" si="388"/>
        <v/>
      </c>
      <c r="AV616">
        <v>3715</v>
      </c>
      <c r="AW616" t="str">
        <f t="shared" si="401"/>
        <v>[{5000,8,1,2703,101},{5000,8,1,2703,102},{5000,8,1,2703,103},{5000,8,1,2703,113},{5000,8,1,2703,111}]</v>
      </c>
    </row>
    <row r="617" spans="2:49">
      <c r="B617">
        <v>3716</v>
      </c>
      <c r="C617" t="s">
        <v>52</v>
      </c>
      <c r="D617" t="str">
        <f t="shared" si="391"/>
        <v>28</v>
      </c>
      <c r="F617">
        <v>76</v>
      </c>
      <c r="G617">
        <v>5000</v>
      </c>
      <c r="H617">
        <f t="shared" si="399"/>
        <v>8</v>
      </c>
      <c r="I617">
        <v>1</v>
      </c>
      <c r="J617">
        <v>1</v>
      </c>
      <c r="K617">
        <f t="shared" si="402"/>
        <v>2701</v>
      </c>
      <c r="L617">
        <f t="shared" si="408"/>
        <v>101</v>
      </c>
      <c r="M617">
        <v>5000</v>
      </c>
      <c r="N617">
        <f t="shared" si="407"/>
        <v>8</v>
      </c>
      <c r="O617">
        <v>1</v>
      </c>
      <c r="P617">
        <f t="shared" si="403"/>
        <v>2701</v>
      </c>
      <c r="Q617">
        <v>59</v>
      </c>
      <c r="R617">
        <f t="shared" si="409"/>
        <v>103</v>
      </c>
      <c r="S617">
        <v>5000</v>
      </c>
      <c r="T617">
        <f t="shared" si="380"/>
        <v>8</v>
      </c>
      <c r="U617">
        <v>1</v>
      </c>
      <c r="V617">
        <f t="shared" si="404"/>
        <v>2702</v>
      </c>
      <c r="W617">
        <v>71</v>
      </c>
      <c r="X617">
        <f t="shared" si="410"/>
        <v>111</v>
      </c>
      <c r="Y617">
        <v>5000</v>
      </c>
      <c r="Z617">
        <f t="shared" si="381"/>
        <v>8</v>
      </c>
      <c r="AA617">
        <v>1</v>
      </c>
      <c r="AB617">
        <f t="shared" si="405"/>
        <v>2701</v>
      </c>
      <c r="AC617">
        <v>71</v>
      </c>
      <c r="AD617">
        <f t="shared" si="411"/>
        <v>112</v>
      </c>
      <c r="AE617">
        <v>5000</v>
      </c>
      <c r="AF617">
        <f t="shared" si="382"/>
        <v>8</v>
      </c>
      <c r="AG617">
        <v>1</v>
      </c>
      <c r="AH617">
        <f t="shared" si="406"/>
        <v>2701</v>
      </c>
      <c r="AI617">
        <v>79</v>
      </c>
      <c r="AJ617">
        <f t="shared" si="412"/>
        <v>113</v>
      </c>
      <c r="AP617" t="str">
        <f t="shared" si="383"/>
        <v>{5000,8,1,2701,101}</v>
      </c>
      <c r="AQ617" t="str">
        <f t="shared" si="384"/>
        <v>{5000,8,1,2701,103}</v>
      </c>
      <c r="AR617" t="str">
        <f t="shared" si="385"/>
        <v>{5000,8,1,2702,111}</v>
      </c>
      <c r="AS617" t="str">
        <f t="shared" si="386"/>
        <v>{5000,8,1,2701,112}</v>
      </c>
      <c r="AT617" t="str">
        <f t="shared" si="387"/>
        <v>{5000,8,1,2701,113}</v>
      </c>
      <c r="AU617" t="str">
        <f t="shared" si="388"/>
        <v/>
      </c>
      <c r="AV617">
        <v>3716</v>
      </c>
      <c r="AW617" t="str">
        <f t="shared" si="401"/>
        <v>[{5000,8,1,2701,101},{5000,8,1,2701,103},{5000,8,1,2702,111},{5000,8,1,2701,112},{5000,8,1,2701,113}]</v>
      </c>
    </row>
    <row r="618" spans="2:49">
      <c r="B618">
        <v>3717</v>
      </c>
      <c r="C618" t="s">
        <v>52</v>
      </c>
      <c r="D618" t="str">
        <f t="shared" si="391"/>
        <v>28</v>
      </c>
      <c r="F618">
        <v>91</v>
      </c>
      <c r="G618">
        <v>5000</v>
      </c>
      <c r="H618">
        <f t="shared" si="399"/>
        <v>8</v>
      </c>
      <c r="I618">
        <v>1</v>
      </c>
      <c r="J618">
        <v>1</v>
      </c>
      <c r="K618">
        <f t="shared" si="402"/>
        <v>2701</v>
      </c>
      <c r="L618">
        <f t="shared" si="408"/>
        <v>101</v>
      </c>
      <c r="M618">
        <v>5000</v>
      </c>
      <c r="N618">
        <f t="shared" si="407"/>
        <v>8</v>
      </c>
      <c r="O618">
        <v>1</v>
      </c>
      <c r="P618">
        <f t="shared" si="403"/>
        <v>2701</v>
      </c>
      <c r="Q618">
        <v>54</v>
      </c>
      <c r="R618">
        <f t="shared" si="409"/>
        <v>102</v>
      </c>
      <c r="S618">
        <v>5000</v>
      </c>
      <c r="T618">
        <f t="shared" si="380"/>
        <v>8</v>
      </c>
      <c r="U618">
        <v>1</v>
      </c>
      <c r="V618">
        <f t="shared" si="404"/>
        <v>2702</v>
      </c>
      <c r="W618">
        <v>51</v>
      </c>
      <c r="X618">
        <f t="shared" si="410"/>
        <v>103</v>
      </c>
      <c r="Y618">
        <v>5000</v>
      </c>
      <c r="Z618">
        <f t="shared" si="381"/>
        <v>8</v>
      </c>
      <c r="AA618">
        <v>1</v>
      </c>
      <c r="AB618">
        <f t="shared" si="405"/>
        <v>2701</v>
      </c>
      <c r="AC618">
        <v>71</v>
      </c>
      <c r="AD618">
        <f t="shared" si="411"/>
        <v>113</v>
      </c>
      <c r="AE618">
        <v>5000</v>
      </c>
      <c r="AF618">
        <f t="shared" si="382"/>
        <v>8</v>
      </c>
      <c r="AG618">
        <v>1</v>
      </c>
      <c r="AH618">
        <f t="shared" si="406"/>
        <v>2702</v>
      </c>
      <c r="AI618">
        <v>77</v>
      </c>
      <c r="AJ618">
        <f t="shared" si="412"/>
        <v>111</v>
      </c>
      <c r="AP618" t="str">
        <f t="shared" si="383"/>
        <v>{5000,8,1,2701,101}</v>
      </c>
      <c r="AQ618" t="str">
        <f t="shared" si="384"/>
        <v>{5000,8,1,2701,102}</v>
      </c>
      <c r="AR618" t="str">
        <f t="shared" si="385"/>
        <v>{5000,8,1,2702,103}</v>
      </c>
      <c r="AS618" t="str">
        <f t="shared" si="386"/>
        <v>{5000,8,1,2701,113}</v>
      </c>
      <c r="AT618" t="str">
        <f t="shared" si="387"/>
        <v>{5000,8,1,2702,111}</v>
      </c>
      <c r="AU618" t="str">
        <f t="shared" si="388"/>
        <v/>
      </c>
      <c r="AV618">
        <v>3717</v>
      </c>
      <c r="AW618" t="str">
        <f t="shared" si="401"/>
        <v>[{5000,8,1,2701,101},{5000,8,1,2701,102},{5000,8,1,2702,103},{5000,8,1,2701,113},{5000,8,1,2702,111}]</v>
      </c>
    </row>
    <row r="619" spans="2:49">
      <c r="B619">
        <v>3718</v>
      </c>
      <c r="C619" t="s">
        <v>52</v>
      </c>
      <c r="D619" t="str">
        <f t="shared" si="391"/>
        <v>28</v>
      </c>
      <c r="F619">
        <v>106</v>
      </c>
      <c r="G619">
        <v>5000</v>
      </c>
      <c r="H619">
        <f t="shared" si="399"/>
        <v>8</v>
      </c>
      <c r="I619">
        <v>1</v>
      </c>
      <c r="J619">
        <v>1</v>
      </c>
      <c r="K619">
        <f t="shared" si="402"/>
        <v>2701</v>
      </c>
      <c r="L619">
        <f t="shared" si="408"/>
        <v>101</v>
      </c>
      <c r="M619">
        <v>5000</v>
      </c>
      <c r="N619">
        <f t="shared" si="407"/>
        <v>8</v>
      </c>
      <c r="O619">
        <v>1</v>
      </c>
      <c r="P619">
        <f t="shared" si="403"/>
        <v>2701</v>
      </c>
      <c r="Q619">
        <v>55</v>
      </c>
      <c r="R619">
        <f t="shared" si="409"/>
        <v>103</v>
      </c>
      <c r="S619">
        <v>5000</v>
      </c>
      <c r="T619">
        <f t="shared" si="380"/>
        <v>8</v>
      </c>
      <c r="U619">
        <v>1</v>
      </c>
      <c r="V619">
        <f t="shared" si="404"/>
        <v>2702</v>
      </c>
      <c r="W619">
        <v>73</v>
      </c>
      <c r="X619">
        <f t="shared" si="410"/>
        <v>111</v>
      </c>
      <c r="Y619">
        <v>5000</v>
      </c>
      <c r="Z619">
        <f t="shared" si="381"/>
        <v>8</v>
      </c>
      <c r="AA619">
        <v>1</v>
      </c>
      <c r="AB619">
        <f t="shared" si="405"/>
        <v>2701</v>
      </c>
      <c r="AC619">
        <v>78</v>
      </c>
      <c r="AD619">
        <f t="shared" si="411"/>
        <v>112</v>
      </c>
      <c r="AE619">
        <v>5000</v>
      </c>
      <c r="AF619">
        <f t="shared" si="382"/>
        <v>8</v>
      </c>
      <c r="AG619">
        <v>1</v>
      </c>
      <c r="AH619">
        <f t="shared" si="406"/>
        <v>2702</v>
      </c>
      <c r="AI619">
        <v>71</v>
      </c>
      <c r="AJ619">
        <f t="shared" si="412"/>
        <v>113</v>
      </c>
      <c r="AP619" t="str">
        <f t="shared" si="383"/>
        <v>{5000,8,1,2701,101}</v>
      </c>
      <c r="AQ619" t="str">
        <f t="shared" si="384"/>
        <v>{5000,8,1,2701,103}</v>
      </c>
      <c r="AR619" t="str">
        <f t="shared" si="385"/>
        <v>{5000,8,1,2702,111}</v>
      </c>
      <c r="AS619" t="str">
        <f t="shared" si="386"/>
        <v>{5000,8,1,2701,112}</v>
      </c>
      <c r="AT619" t="str">
        <f t="shared" si="387"/>
        <v>{5000,8,1,2702,113}</v>
      </c>
      <c r="AU619" t="str">
        <f t="shared" si="388"/>
        <v/>
      </c>
      <c r="AV619">
        <v>3718</v>
      </c>
      <c r="AW619" t="str">
        <f t="shared" si="401"/>
        <v>[{5000,8,1,2701,101},{5000,8,1,2701,103},{5000,8,1,2702,111},{5000,8,1,2701,112},{5000,8,1,2702,113}]</v>
      </c>
    </row>
    <row r="620" spans="2:48">
      <c r="B620">
        <v>3719</v>
      </c>
      <c r="C620" t="s">
        <v>52</v>
      </c>
      <c r="D620" t="str">
        <f t="shared" si="391"/>
        <v>28</v>
      </c>
      <c r="F620">
        <v>119</v>
      </c>
      <c r="H620">
        <f t="shared" si="399"/>
        <v>0</v>
      </c>
      <c r="K620" t="str">
        <f t="shared" si="402"/>
        <v/>
      </c>
      <c r="L620" t="str">
        <f t="shared" si="408"/>
        <v/>
      </c>
      <c r="N620">
        <f t="shared" si="407"/>
        <v>0</v>
      </c>
      <c r="P620" t="str">
        <f t="shared" si="403"/>
        <v/>
      </c>
      <c r="R620" t="str">
        <f t="shared" si="409"/>
        <v/>
      </c>
      <c r="T620">
        <f t="shared" si="380"/>
        <v>0</v>
      </c>
      <c r="V620" t="str">
        <f t="shared" si="404"/>
        <v/>
      </c>
      <c r="X620" t="str">
        <f t="shared" si="410"/>
        <v/>
      </c>
      <c r="Z620">
        <f t="shared" si="381"/>
        <v>0</v>
      </c>
      <c r="AB620" t="str">
        <f t="shared" si="405"/>
        <v/>
      </c>
      <c r="AD620" t="str">
        <f t="shared" si="411"/>
        <v/>
      </c>
      <c r="AF620">
        <f t="shared" si="382"/>
        <v>0</v>
      </c>
      <c r="AH620" t="str">
        <f t="shared" si="406"/>
        <v/>
      </c>
      <c r="AJ620" t="str">
        <f t="shared" si="412"/>
        <v/>
      </c>
      <c r="AP620" t="str">
        <f t="shared" si="383"/>
        <v/>
      </c>
      <c r="AQ620" t="str">
        <f t="shared" si="384"/>
        <v/>
      </c>
      <c r="AR620" t="str">
        <f t="shared" si="385"/>
        <v/>
      </c>
      <c r="AS620" t="str">
        <f t="shared" si="386"/>
        <v/>
      </c>
      <c r="AT620" t="str">
        <f t="shared" si="387"/>
        <v/>
      </c>
      <c r="AU620" t="str">
        <f t="shared" si="388"/>
        <v/>
      </c>
      <c r="AV620">
        <v>3719</v>
      </c>
    </row>
    <row r="621" spans="2:49">
      <c r="B621">
        <v>3720</v>
      </c>
      <c r="C621" t="s">
        <v>52</v>
      </c>
      <c r="D621" t="str">
        <f t="shared" si="391"/>
        <v>28</v>
      </c>
      <c r="F621">
        <v>121</v>
      </c>
      <c r="G621">
        <v>5000</v>
      </c>
      <c r="H621">
        <f t="shared" si="399"/>
        <v>10</v>
      </c>
      <c r="I621">
        <v>1</v>
      </c>
      <c r="J621">
        <v>3</v>
      </c>
      <c r="K621">
        <f t="shared" si="402"/>
        <v>2703</v>
      </c>
      <c r="L621">
        <f t="shared" si="408"/>
        <v>101</v>
      </c>
      <c r="M621">
        <v>5000</v>
      </c>
      <c r="N621">
        <f t="shared" si="407"/>
        <v>10</v>
      </c>
      <c r="O621">
        <v>1</v>
      </c>
      <c r="P621">
        <f t="shared" si="403"/>
        <v>2703</v>
      </c>
      <c r="Q621">
        <v>54</v>
      </c>
      <c r="R621">
        <f t="shared" si="409"/>
        <v>102</v>
      </c>
      <c r="S621">
        <v>5000</v>
      </c>
      <c r="T621">
        <f t="shared" si="380"/>
        <v>10</v>
      </c>
      <c r="U621">
        <v>1</v>
      </c>
      <c r="V621">
        <f t="shared" si="404"/>
        <v>2703</v>
      </c>
      <c r="W621">
        <v>51</v>
      </c>
      <c r="X621">
        <f t="shared" si="410"/>
        <v>103</v>
      </c>
      <c r="Y621">
        <v>5000</v>
      </c>
      <c r="Z621">
        <f t="shared" si="381"/>
        <v>10</v>
      </c>
      <c r="AA621">
        <v>1</v>
      </c>
      <c r="AB621">
        <f t="shared" si="405"/>
        <v>2703</v>
      </c>
      <c r="AC621">
        <v>71</v>
      </c>
      <c r="AD621">
        <f t="shared" si="411"/>
        <v>113</v>
      </c>
      <c r="AE621">
        <v>5000</v>
      </c>
      <c r="AF621">
        <f t="shared" si="382"/>
        <v>10</v>
      </c>
      <c r="AG621">
        <v>1</v>
      </c>
      <c r="AH621">
        <f t="shared" si="406"/>
        <v>2703</v>
      </c>
      <c r="AI621">
        <v>79</v>
      </c>
      <c r="AJ621">
        <f t="shared" si="412"/>
        <v>111</v>
      </c>
      <c r="AK621">
        <v>1000</v>
      </c>
      <c r="AL621">
        <v>1</v>
      </c>
      <c r="AM621">
        <v>0</v>
      </c>
      <c r="AN621">
        <f t="shared" ref="AN621" si="413">AN598+100</f>
        <v>2721</v>
      </c>
      <c r="AO621">
        <v>4</v>
      </c>
      <c r="AP621" t="str">
        <f t="shared" si="383"/>
        <v>{5000,10,1,2703,101}</v>
      </c>
      <c r="AQ621" t="str">
        <f t="shared" si="384"/>
        <v>{5000,10,1,2703,102}</v>
      </c>
      <c r="AR621" t="str">
        <f t="shared" si="385"/>
        <v>{5000,10,1,2703,103}</v>
      </c>
      <c r="AS621" t="str">
        <f t="shared" si="386"/>
        <v>{5000,10,1,2703,113}</v>
      </c>
      <c r="AT621" t="str">
        <f t="shared" si="387"/>
        <v>{5000,10,1,2703,111}</v>
      </c>
      <c r="AU621" t="str">
        <f t="shared" si="388"/>
        <v>{1000,1,0,2721,4}</v>
      </c>
      <c r="AV621">
        <v>3720</v>
      </c>
      <c r="AW621" t="str">
        <f t="shared" ref="AW621:AW626" si="414">IF(AU621="","["&amp;_xlfn.TEXTJOIN(",",1,AP621:AT621)&amp;"]","["&amp;_xlfn.TEXTJOIN(",",1,AP621:AU621)&amp;"]")</f>
        <v>[{5000,10,1,2703,101},{5000,10,1,2703,102},{5000,10,1,2703,103},{5000,10,1,2703,113},{5000,10,1,2703,111},{1000,1,0,2721,4}]</v>
      </c>
    </row>
    <row r="622" spans="2:49">
      <c r="B622">
        <v>3721</v>
      </c>
      <c r="C622" t="s">
        <v>52</v>
      </c>
      <c r="D622" t="str">
        <f t="shared" si="391"/>
        <v>28</v>
      </c>
      <c r="F622">
        <v>136</v>
      </c>
      <c r="G622">
        <v>5000</v>
      </c>
      <c r="H622">
        <f t="shared" si="399"/>
        <v>9</v>
      </c>
      <c r="I622">
        <v>1</v>
      </c>
      <c r="J622">
        <v>1</v>
      </c>
      <c r="K622">
        <f t="shared" si="402"/>
        <v>2701</v>
      </c>
      <c r="L622">
        <f t="shared" si="408"/>
        <v>101</v>
      </c>
      <c r="M622">
        <v>5000</v>
      </c>
      <c r="N622">
        <f t="shared" si="407"/>
        <v>9</v>
      </c>
      <c r="O622">
        <v>1</v>
      </c>
      <c r="P622">
        <f t="shared" si="403"/>
        <v>2701</v>
      </c>
      <c r="Q622">
        <v>54</v>
      </c>
      <c r="R622">
        <f t="shared" si="409"/>
        <v>103</v>
      </c>
      <c r="S622">
        <v>5000</v>
      </c>
      <c r="T622">
        <f t="shared" si="380"/>
        <v>9</v>
      </c>
      <c r="U622">
        <v>1</v>
      </c>
      <c r="V622">
        <f t="shared" si="404"/>
        <v>2702</v>
      </c>
      <c r="W622">
        <v>76</v>
      </c>
      <c r="X622">
        <f t="shared" si="410"/>
        <v>111</v>
      </c>
      <c r="Y622">
        <v>5000</v>
      </c>
      <c r="Z622">
        <f t="shared" si="381"/>
        <v>9</v>
      </c>
      <c r="AA622">
        <v>1</v>
      </c>
      <c r="AB622">
        <f t="shared" si="405"/>
        <v>2701</v>
      </c>
      <c r="AC622">
        <v>72</v>
      </c>
      <c r="AD622">
        <f t="shared" si="411"/>
        <v>112</v>
      </c>
      <c r="AE622">
        <v>5000</v>
      </c>
      <c r="AF622">
        <f t="shared" si="382"/>
        <v>9</v>
      </c>
      <c r="AG622">
        <v>1</v>
      </c>
      <c r="AH622">
        <f t="shared" si="406"/>
        <v>2702</v>
      </c>
      <c r="AI622">
        <v>74</v>
      </c>
      <c r="AJ622">
        <f t="shared" si="412"/>
        <v>113</v>
      </c>
      <c r="AP622" t="str">
        <f t="shared" si="383"/>
        <v>{5000,9,1,2701,101}</v>
      </c>
      <c r="AQ622" t="str">
        <f t="shared" si="384"/>
        <v>{5000,9,1,2701,103}</v>
      </c>
      <c r="AR622" t="str">
        <f t="shared" si="385"/>
        <v>{5000,9,1,2702,111}</v>
      </c>
      <c r="AS622" t="str">
        <f t="shared" si="386"/>
        <v>{5000,9,1,2701,112}</v>
      </c>
      <c r="AT622" t="str">
        <f t="shared" si="387"/>
        <v>{5000,9,1,2702,113}</v>
      </c>
      <c r="AU622" t="str">
        <f t="shared" si="388"/>
        <v/>
      </c>
      <c r="AV622">
        <v>3721</v>
      </c>
      <c r="AW622" t="str">
        <f t="shared" si="414"/>
        <v>[{5000,9,1,2701,101},{5000,9,1,2701,103},{5000,9,1,2702,111},{5000,9,1,2701,112},{5000,9,1,2702,113}]</v>
      </c>
    </row>
    <row r="623" spans="2:49">
      <c r="B623">
        <v>3722</v>
      </c>
      <c r="C623" t="s">
        <v>52</v>
      </c>
      <c r="D623" t="str">
        <f t="shared" si="391"/>
        <v>28</v>
      </c>
      <c r="F623">
        <v>151</v>
      </c>
      <c r="G623">
        <v>5000</v>
      </c>
      <c r="H623">
        <f t="shared" si="399"/>
        <v>10</v>
      </c>
      <c r="I623">
        <v>1</v>
      </c>
      <c r="J623">
        <v>1</v>
      </c>
      <c r="K623">
        <f t="shared" si="402"/>
        <v>2701</v>
      </c>
      <c r="L623">
        <f t="shared" si="408"/>
        <v>101</v>
      </c>
      <c r="M623">
        <v>5000</v>
      </c>
      <c r="N623">
        <f t="shared" si="407"/>
        <v>10</v>
      </c>
      <c r="O623">
        <v>1</v>
      </c>
      <c r="P623">
        <f t="shared" si="403"/>
        <v>2701</v>
      </c>
      <c r="Q623">
        <v>54</v>
      </c>
      <c r="R623">
        <f t="shared" si="409"/>
        <v>102</v>
      </c>
      <c r="S623">
        <v>5000</v>
      </c>
      <c r="T623">
        <f t="shared" si="380"/>
        <v>10</v>
      </c>
      <c r="U623">
        <v>1</v>
      </c>
      <c r="V623">
        <f t="shared" si="404"/>
        <v>2702</v>
      </c>
      <c r="W623">
        <v>56</v>
      </c>
      <c r="X623">
        <f t="shared" si="410"/>
        <v>103</v>
      </c>
      <c r="Y623">
        <v>5000</v>
      </c>
      <c r="Z623">
        <f t="shared" si="381"/>
        <v>10</v>
      </c>
      <c r="AA623">
        <v>1</v>
      </c>
      <c r="AB623">
        <f t="shared" si="405"/>
        <v>2701</v>
      </c>
      <c r="AC623">
        <v>72</v>
      </c>
      <c r="AD623">
        <f t="shared" si="411"/>
        <v>113</v>
      </c>
      <c r="AE623">
        <v>5000</v>
      </c>
      <c r="AF623">
        <f t="shared" si="382"/>
        <v>10</v>
      </c>
      <c r="AG623">
        <v>1</v>
      </c>
      <c r="AH623">
        <f t="shared" si="406"/>
        <v>2702</v>
      </c>
      <c r="AI623">
        <v>74</v>
      </c>
      <c r="AJ623">
        <f t="shared" si="412"/>
        <v>111</v>
      </c>
      <c r="AP623" t="str">
        <f t="shared" si="383"/>
        <v>{5000,10,1,2701,101}</v>
      </c>
      <c r="AQ623" t="str">
        <f t="shared" si="384"/>
        <v>{5000,10,1,2701,102}</v>
      </c>
      <c r="AR623" t="str">
        <f t="shared" si="385"/>
        <v>{5000,10,1,2702,103}</v>
      </c>
      <c r="AS623" t="str">
        <f t="shared" si="386"/>
        <v>{5000,10,1,2701,113}</v>
      </c>
      <c r="AT623" t="str">
        <f t="shared" si="387"/>
        <v>{5000,10,1,2702,111}</v>
      </c>
      <c r="AU623" t="str">
        <f t="shared" si="388"/>
        <v/>
      </c>
      <c r="AV623">
        <v>3722</v>
      </c>
      <c r="AW623" t="str">
        <f t="shared" si="414"/>
        <v>[{5000,10,1,2701,101},{5000,10,1,2701,102},{5000,10,1,2702,103},{5000,10,1,2701,113},{5000,10,1,2702,111}]</v>
      </c>
    </row>
    <row r="624" spans="2:49">
      <c r="B624">
        <v>3723</v>
      </c>
      <c r="C624" t="s">
        <v>52</v>
      </c>
      <c r="D624" t="str">
        <f t="shared" si="391"/>
        <v>28</v>
      </c>
      <c r="F624">
        <v>166</v>
      </c>
      <c r="G624">
        <v>5000</v>
      </c>
      <c r="H624">
        <f t="shared" si="399"/>
        <v>11</v>
      </c>
      <c r="I624">
        <v>1</v>
      </c>
      <c r="J624">
        <v>1</v>
      </c>
      <c r="K624">
        <f t="shared" si="402"/>
        <v>2701</v>
      </c>
      <c r="L624">
        <f t="shared" si="408"/>
        <v>101</v>
      </c>
      <c r="M624">
        <v>5000</v>
      </c>
      <c r="N624">
        <f t="shared" si="407"/>
        <v>11</v>
      </c>
      <c r="O624">
        <v>1</v>
      </c>
      <c r="P624">
        <f t="shared" si="403"/>
        <v>2701</v>
      </c>
      <c r="Q624">
        <v>59</v>
      </c>
      <c r="R624">
        <f t="shared" si="409"/>
        <v>103</v>
      </c>
      <c r="S624">
        <v>5000</v>
      </c>
      <c r="T624">
        <f t="shared" si="380"/>
        <v>11</v>
      </c>
      <c r="U624">
        <v>1</v>
      </c>
      <c r="V624">
        <f t="shared" si="404"/>
        <v>2702</v>
      </c>
      <c r="W624">
        <v>79</v>
      </c>
      <c r="X624">
        <f t="shared" si="410"/>
        <v>111</v>
      </c>
      <c r="Y624">
        <v>5000</v>
      </c>
      <c r="Z624">
        <f t="shared" si="381"/>
        <v>11</v>
      </c>
      <c r="AA624">
        <v>1</v>
      </c>
      <c r="AB624">
        <f t="shared" si="405"/>
        <v>2701</v>
      </c>
      <c r="AC624">
        <v>71</v>
      </c>
      <c r="AD624">
        <f t="shared" si="411"/>
        <v>112</v>
      </c>
      <c r="AE624">
        <v>5000</v>
      </c>
      <c r="AF624">
        <f t="shared" si="382"/>
        <v>11</v>
      </c>
      <c r="AG624">
        <v>1</v>
      </c>
      <c r="AH624">
        <f t="shared" si="406"/>
        <v>2702</v>
      </c>
      <c r="AI624">
        <v>74</v>
      </c>
      <c r="AJ624">
        <f t="shared" si="412"/>
        <v>113</v>
      </c>
      <c r="AP624" t="str">
        <f t="shared" si="383"/>
        <v>{5000,11,1,2701,101}</v>
      </c>
      <c r="AQ624" t="str">
        <f t="shared" si="384"/>
        <v>{5000,11,1,2701,103}</v>
      </c>
      <c r="AR624" t="str">
        <f t="shared" si="385"/>
        <v>{5000,11,1,2702,111}</v>
      </c>
      <c r="AS624" t="str">
        <f t="shared" si="386"/>
        <v>{5000,11,1,2701,112}</v>
      </c>
      <c r="AT624" t="str">
        <f t="shared" si="387"/>
        <v>{5000,11,1,2702,113}</v>
      </c>
      <c r="AU624" t="str">
        <f t="shared" si="388"/>
        <v/>
      </c>
      <c r="AV624">
        <v>3723</v>
      </c>
      <c r="AW624" t="str">
        <f t="shared" si="414"/>
        <v>[{5000,11,1,2701,101},{5000,11,1,2701,103},{5000,11,1,2702,111},{5000,11,1,2701,112},{5000,11,1,2702,113}]</v>
      </c>
    </row>
    <row r="625" spans="2:49">
      <c r="B625">
        <v>3724</v>
      </c>
      <c r="C625" t="s">
        <v>52</v>
      </c>
      <c r="D625" t="str">
        <f t="shared" si="391"/>
        <v>28</v>
      </c>
      <c r="F625">
        <v>181</v>
      </c>
      <c r="G625">
        <v>5000</v>
      </c>
      <c r="H625">
        <f t="shared" si="399"/>
        <v>12</v>
      </c>
      <c r="I625">
        <v>1</v>
      </c>
      <c r="J625">
        <v>3</v>
      </c>
      <c r="K625">
        <f t="shared" si="402"/>
        <v>2703</v>
      </c>
      <c r="L625">
        <f t="shared" si="408"/>
        <v>101</v>
      </c>
      <c r="M625">
        <v>5000</v>
      </c>
      <c r="N625">
        <f t="shared" si="407"/>
        <v>12</v>
      </c>
      <c r="O625">
        <v>1</v>
      </c>
      <c r="P625">
        <f t="shared" si="403"/>
        <v>2703</v>
      </c>
      <c r="Q625">
        <v>53</v>
      </c>
      <c r="R625">
        <f t="shared" si="409"/>
        <v>102</v>
      </c>
      <c r="S625">
        <v>5000</v>
      </c>
      <c r="T625">
        <f t="shared" si="380"/>
        <v>12</v>
      </c>
      <c r="U625">
        <v>1</v>
      </c>
      <c r="V625">
        <f t="shared" si="404"/>
        <v>2703</v>
      </c>
      <c r="W625">
        <v>56</v>
      </c>
      <c r="X625">
        <f t="shared" si="410"/>
        <v>103</v>
      </c>
      <c r="Y625">
        <v>5000</v>
      </c>
      <c r="Z625">
        <f t="shared" si="381"/>
        <v>12</v>
      </c>
      <c r="AA625">
        <v>1</v>
      </c>
      <c r="AB625">
        <f t="shared" si="405"/>
        <v>2703</v>
      </c>
      <c r="AC625">
        <v>75</v>
      </c>
      <c r="AD625">
        <f t="shared" si="411"/>
        <v>113</v>
      </c>
      <c r="AE625">
        <v>5000</v>
      </c>
      <c r="AF625">
        <f t="shared" si="382"/>
        <v>12</v>
      </c>
      <c r="AG625">
        <v>1</v>
      </c>
      <c r="AH625">
        <f t="shared" si="406"/>
        <v>2703</v>
      </c>
      <c r="AI625">
        <v>78</v>
      </c>
      <c r="AJ625">
        <f t="shared" si="412"/>
        <v>111</v>
      </c>
      <c r="AP625" t="str">
        <f t="shared" si="383"/>
        <v>{5000,12,1,2703,101}</v>
      </c>
      <c r="AQ625" t="str">
        <f t="shared" si="384"/>
        <v>{5000,12,1,2703,102}</v>
      </c>
      <c r="AR625" t="str">
        <f t="shared" si="385"/>
        <v>{5000,12,1,2703,103}</v>
      </c>
      <c r="AS625" t="str">
        <f t="shared" si="386"/>
        <v>{5000,12,1,2703,113}</v>
      </c>
      <c r="AT625" t="str">
        <f t="shared" si="387"/>
        <v>{5000,12,1,2703,111}</v>
      </c>
      <c r="AU625" t="str">
        <f t="shared" si="388"/>
        <v/>
      </c>
      <c r="AV625">
        <v>3724</v>
      </c>
      <c r="AW625" t="str">
        <f t="shared" si="414"/>
        <v>[{5000,12,1,2703,101},{5000,12,1,2703,102},{5000,12,1,2703,103},{5000,12,1,2703,113},{5000,12,1,2703,111}]</v>
      </c>
    </row>
    <row r="626" spans="2:49">
      <c r="B626">
        <v>3725</v>
      </c>
      <c r="C626" t="s">
        <v>52</v>
      </c>
      <c r="D626" t="str">
        <f t="shared" si="391"/>
        <v>28</v>
      </c>
      <c r="F626">
        <v>196</v>
      </c>
      <c r="G626">
        <v>5000</v>
      </c>
      <c r="H626">
        <f t="shared" si="399"/>
        <v>12</v>
      </c>
      <c r="I626">
        <v>1</v>
      </c>
      <c r="J626">
        <v>2</v>
      </c>
      <c r="K626">
        <f t="shared" si="402"/>
        <v>2702</v>
      </c>
      <c r="L626">
        <f t="shared" si="408"/>
        <v>101</v>
      </c>
      <c r="M626">
        <v>5000</v>
      </c>
      <c r="N626">
        <f t="shared" si="407"/>
        <v>12</v>
      </c>
      <c r="O626">
        <v>1</v>
      </c>
      <c r="P626">
        <f t="shared" si="403"/>
        <v>2701</v>
      </c>
      <c r="Q626">
        <v>54</v>
      </c>
      <c r="R626">
        <f t="shared" si="409"/>
        <v>103</v>
      </c>
      <c r="S626">
        <v>5000</v>
      </c>
      <c r="T626">
        <f t="shared" si="380"/>
        <v>12</v>
      </c>
      <c r="U626">
        <v>1</v>
      </c>
      <c r="V626">
        <f t="shared" si="404"/>
        <v>2702</v>
      </c>
      <c r="W626">
        <v>77</v>
      </c>
      <c r="X626">
        <f t="shared" si="410"/>
        <v>111</v>
      </c>
      <c r="Y626">
        <v>5000</v>
      </c>
      <c r="Z626">
        <f t="shared" si="381"/>
        <v>12</v>
      </c>
      <c r="AA626">
        <v>1</v>
      </c>
      <c r="AB626">
        <f t="shared" si="405"/>
        <v>2701</v>
      </c>
      <c r="AC626">
        <v>72</v>
      </c>
      <c r="AD626">
        <f t="shared" si="411"/>
        <v>112</v>
      </c>
      <c r="AE626">
        <v>5000</v>
      </c>
      <c r="AF626">
        <f t="shared" si="382"/>
        <v>12</v>
      </c>
      <c r="AG626">
        <v>1</v>
      </c>
      <c r="AH626">
        <f t="shared" si="406"/>
        <v>2702</v>
      </c>
      <c r="AI626">
        <v>74</v>
      </c>
      <c r="AJ626">
        <f t="shared" si="412"/>
        <v>113</v>
      </c>
      <c r="AP626" t="str">
        <f t="shared" si="383"/>
        <v>{5000,12,1,2702,101}</v>
      </c>
      <c r="AQ626" t="str">
        <f t="shared" si="384"/>
        <v>{5000,12,1,2701,103}</v>
      </c>
      <c r="AR626" t="str">
        <f t="shared" si="385"/>
        <v>{5000,12,1,2702,111}</v>
      </c>
      <c r="AS626" t="str">
        <f t="shared" si="386"/>
        <v>{5000,12,1,2701,112}</v>
      </c>
      <c r="AT626" t="str">
        <f t="shared" si="387"/>
        <v>{5000,12,1,2702,113}</v>
      </c>
      <c r="AU626" t="str">
        <f t="shared" si="388"/>
        <v/>
      </c>
      <c r="AV626">
        <v>3725</v>
      </c>
      <c r="AW626" t="str">
        <f t="shared" si="414"/>
        <v>[{5000,12,1,2702,101},{5000,12,1,2701,103},{5000,12,1,2702,111},{5000,12,1,2701,112},{5000,12,1,2702,113}]</v>
      </c>
    </row>
    <row r="627" spans="2:48">
      <c r="B627">
        <v>3726</v>
      </c>
      <c r="C627" t="s">
        <v>52</v>
      </c>
      <c r="D627" t="str">
        <f t="shared" si="391"/>
        <v>28</v>
      </c>
      <c r="F627">
        <v>209</v>
      </c>
      <c r="H627">
        <f t="shared" si="399"/>
        <v>0</v>
      </c>
      <c r="K627" t="str">
        <f t="shared" si="402"/>
        <v/>
      </c>
      <c r="L627" t="str">
        <f t="shared" si="408"/>
        <v/>
      </c>
      <c r="N627">
        <f t="shared" si="407"/>
        <v>0</v>
      </c>
      <c r="P627" t="str">
        <f t="shared" si="403"/>
        <v/>
      </c>
      <c r="R627" t="str">
        <f t="shared" si="409"/>
        <v/>
      </c>
      <c r="T627">
        <f t="shared" si="380"/>
        <v>0</v>
      </c>
      <c r="V627" t="str">
        <f t="shared" si="404"/>
        <v/>
      </c>
      <c r="X627" t="str">
        <f t="shared" si="410"/>
        <v/>
      </c>
      <c r="Z627">
        <f t="shared" si="381"/>
        <v>0</v>
      </c>
      <c r="AB627" t="str">
        <f t="shared" si="405"/>
        <v/>
      </c>
      <c r="AD627" t="str">
        <f t="shared" si="411"/>
        <v/>
      </c>
      <c r="AF627">
        <f t="shared" si="382"/>
        <v>0</v>
      </c>
      <c r="AH627" t="str">
        <f t="shared" si="406"/>
        <v/>
      </c>
      <c r="AJ627" t="str">
        <f t="shared" si="412"/>
        <v/>
      </c>
      <c r="AP627" t="str">
        <f t="shared" si="383"/>
        <v/>
      </c>
      <c r="AQ627" t="str">
        <f t="shared" si="384"/>
        <v/>
      </c>
      <c r="AR627" t="str">
        <f t="shared" si="385"/>
        <v/>
      </c>
      <c r="AS627" t="str">
        <f t="shared" si="386"/>
        <v/>
      </c>
      <c r="AT627" t="str">
        <f t="shared" si="387"/>
        <v/>
      </c>
      <c r="AU627" t="str">
        <f t="shared" si="388"/>
        <v/>
      </c>
      <c r="AV627">
        <v>3726</v>
      </c>
    </row>
    <row r="628" spans="2:49">
      <c r="B628">
        <v>3727</v>
      </c>
      <c r="C628" t="s">
        <v>52</v>
      </c>
      <c r="D628" t="str">
        <f t="shared" si="391"/>
        <v>28</v>
      </c>
      <c r="F628">
        <v>211</v>
      </c>
      <c r="G628">
        <v>5000</v>
      </c>
      <c r="H628">
        <f t="shared" si="399"/>
        <v>11</v>
      </c>
      <c r="I628">
        <v>1</v>
      </c>
      <c r="J628">
        <v>2</v>
      </c>
      <c r="K628">
        <f t="shared" si="402"/>
        <v>2702</v>
      </c>
      <c r="L628">
        <f t="shared" si="408"/>
        <v>101</v>
      </c>
      <c r="M628">
        <v>5000</v>
      </c>
      <c r="N628">
        <f t="shared" si="407"/>
        <v>11</v>
      </c>
      <c r="O628">
        <v>1</v>
      </c>
      <c r="P628">
        <f t="shared" si="403"/>
        <v>2701</v>
      </c>
      <c r="Q628">
        <v>51</v>
      </c>
      <c r="R628">
        <f t="shared" si="409"/>
        <v>102</v>
      </c>
      <c r="S628">
        <v>5000</v>
      </c>
      <c r="T628">
        <f t="shared" si="380"/>
        <v>11</v>
      </c>
      <c r="U628">
        <v>1</v>
      </c>
      <c r="V628">
        <f t="shared" si="404"/>
        <v>2702</v>
      </c>
      <c r="W628">
        <v>57</v>
      </c>
      <c r="X628">
        <f t="shared" si="410"/>
        <v>103</v>
      </c>
      <c r="Y628">
        <v>5000</v>
      </c>
      <c r="Z628">
        <f t="shared" si="381"/>
        <v>11</v>
      </c>
      <c r="AA628">
        <v>1</v>
      </c>
      <c r="AB628">
        <f t="shared" si="405"/>
        <v>2701</v>
      </c>
      <c r="AC628">
        <v>79</v>
      </c>
      <c r="AD628">
        <f t="shared" si="411"/>
        <v>113</v>
      </c>
      <c r="AE628">
        <v>5000</v>
      </c>
      <c r="AF628">
        <f t="shared" si="382"/>
        <v>11</v>
      </c>
      <c r="AG628">
        <v>1</v>
      </c>
      <c r="AH628">
        <f t="shared" si="406"/>
        <v>2702</v>
      </c>
      <c r="AI628">
        <v>72</v>
      </c>
      <c r="AJ628">
        <f t="shared" si="412"/>
        <v>111</v>
      </c>
      <c r="AK628">
        <v>1000</v>
      </c>
      <c r="AL628">
        <v>1</v>
      </c>
      <c r="AM628">
        <v>0</v>
      </c>
      <c r="AN628">
        <f t="shared" ref="AN628" si="415">AN605+100</f>
        <v>2731</v>
      </c>
      <c r="AO628">
        <v>4</v>
      </c>
      <c r="AP628" t="str">
        <f t="shared" si="383"/>
        <v>{5000,11,1,2702,101}</v>
      </c>
      <c r="AQ628" t="str">
        <f t="shared" si="384"/>
        <v>{5000,11,1,2701,102}</v>
      </c>
      <c r="AR628" t="str">
        <f t="shared" si="385"/>
        <v>{5000,11,1,2702,103}</v>
      </c>
      <c r="AS628" t="str">
        <f t="shared" si="386"/>
        <v>{5000,11,1,2701,113}</v>
      </c>
      <c r="AT628" t="str">
        <f t="shared" si="387"/>
        <v>{5000,11,1,2702,111}</v>
      </c>
      <c r="AU628" t="str">
        <f t="shared" si="388"/>
        <v>{1000,1,0,2731,4}</v>
      </c>
      <c r="AV628">
        <v>3727</v>
      </c>
      <c r="AW628" t="str">
        <f t="shared" ref="AW628:AW642" si="416">IF(AU628="","["&amp;_xlfn.TEXTJOIN(",",1,AP628:AT628)&amp;"]","["&amp;_xlfn.TEXTJOIN(",",1,AP628:AU628)&amp;"]")</f>
        <v>[{5000,11,1,2702,101},{5000,11,1,2701,102},{5000,11,1,2702,103},{5000,11,1,2701,113},{5000,11,1,2702,111},{1000,1,0,2731,4}]</v>
      </c>
    </row>
    <row r="629" spans="2:49">
      <c r="B629">
        <v>3728</v>
      </c>
      <c r="C629" t="s">
        <v>52</v>
      </c>
      <c r="D629" t="str">
        <f t="shared" si="391"/>
        <v>28</v>
      </c>
      <c r="F629">
        <v>226</v>
      </c>
      <c r="G629">
        <v>5000</v>
      </c>
      <c r="H629">
        <f t="shared" si="399"/>
        <v>11</v>
      </c>
      <c r="I629">
        <v>1</v>
      </c>
      <c r="J629">
        <v>2</v>
      </c>
      <c r="K629">
        <f t="shared" si="402"/>
        <v>2702</v>
      </c>
      <c r="L629">
        <f t="shared" si="408"/>
        <v>101</v>
      </c>
      <c r="M629">
        <v>5000</v>
      </c>
      <c r="N629">
        <f t="shared" si="407"/>
        <v>11</v>
      </c>
      <c r="O629">
        <v>1</v>
      </c>
      <c r="P629">
        <f t="shared" si="403"/>
        <v>2701</v>
      </c>
      <c r="Q629">
        <v>51</v>
      </c>
      <c r="R629">
        <f t="shared" si="409"/>
        <v>103</v>
      </c>
      <c r="S629">
        <v>5000</v>
      </c>
      <c r="T629">
        <f t="shared" si="380"/>
        <v>11</v>
      </c>
      <c r="U629">
        <v>1</v>
      </c>
      <c r="V629">
        <f t="shared" si="404"/>
        <v>2702</v>
      </c>
      <c r="W629">
        <v>75</v>
      </c>
      <c r="X629">
        <f t="shared" si="410"/>
        <v>111</v>
      </c>
      <c r="Y629">
        <v>5000</v>
      </c>
      <c r="Z629">
        <f t="shared" si="381"/>
        <v>11</v>
      </c>
      <c r="AA629">
        <v>1</v>
      </c>
      <c r="AB629">
        <f t="shared" si="405"/>
        <v>2701</v>
      </c>
      <c r="AC629">
        <v>71</v>
      </c>
      <c r="AD629">
        <f t="shared" si="411"/>
        <v>112</v>
      </c>
      <c r="AE629">
        <v>5000</v>
      </c>
      <c r="AF629">
        <f t="shared" si="382"/>
        <v>11</v>
      </c>
      <c r="AG629">
        <v>1</v>
      </c>
      <c r="AH629">
        <f t="shared" si="406"/>
        <v>2702</v>
      </c>
      <c r="AI629">
        <v>77</v>
      </c>
      <c r="AJ629">
        <f t="shared" si="412"/>
        <v>113</v>
      </c>
      <c r="AP629" t="str">
        <f t="shared" si="383"/>
        <v>{5000,11,1,2702,101}</v>
      </c>
      <c r="AQ629" t="str">
        <f t="shared" si="384"/>
        <v>{5000,11,1,2701,103}</v>
      </c>
      <c r="AR629" t="str">
        <f t="shared" si="385"/>
        <v>{5000,11,1,2702,111}</v>
      </c>
      <c r="AS629" t="str">
        <f t="shared" si="386"/>
        <v>{5000,11,1,2701,112}</v>
      </c>
      <c r="AT629" t="str">
        <f t="shared" si="387"/>
        <v>{5000,11,1,2702,113}</v>
      </c>
      <c r="AU629" t="str">
        <f t="shared" si="388"/>
        <v/>
      </c>
      <c r="AV629">
        <v>3728</v>
      </c>
      <c r="AW629" t="str">
        <f t="shared" si="416"/>
        <v>[{5000,11,1,2702,101},{5000,11,1,2701,103},{5000,11,1,2702,111},{5000,11,1,2701,112},{5000,11,1,2702,113}]</v>
      </c>
    </row>
    <row r="630" spans="2:49">
      <c r="B630">
        <v>3729</v>
      </c>
      <c r="C630" t="s">
        <v>52</v>
      </c>
      <c r="D630" t="str">
        <f t="shared" si="391"/>
        <v>28</v>
      </c>
      <c r="F630">
        <v>241</v>
      </c>
      <c r="G630">
        <v>5000</v>
      </c>
      <c r="H630">
        <f t="shared" si="399"/>
        <v>13</v>
      </c>
      <c r="I630">
        <v>1</v>
      </c>
      <c r="J630">
        <v>3</v>
      </c>
      <c r="K630">
        <f t="shared" si="402"/>
        <v>2703</v>
      </c>
      <c r="L630">
        <f t="shared" si="408"/>
        <v>101</v>
      </c>
      <c r="M630">
        <v>5000</v>
      </c>
      <c r="N630">
        <f t="shared" si="407"/>
        <v>13</v>
      </c>
      <c r="O630">
        <v>1</v>
      </c>
      <c r="P630">
        <f t="shared" si="403"/>
        <v>2703</v>
      </c>
      <c r="Q630">
        <v>53</v>
      </c>
      <c r="R630">
        <f t="shared" si="409"/>
        <v>102</v>
      </c>
      <c r="S630">
        <v>5000</v>
      </c>
      <c r="T630">
        <f t="shared" si="380"/>
        <v>13</v>
      </c>
      <c r="U630">
        <v>1</v>
      </c>
      <c r="V630">
        <f t="shared" si="404"/>
        <v>2703</v>
      </c>
      <c r="W630">
        <v>56</v>
      </c>
      <c r="X630">
        <f t="shared" si="410"/>
        <v>103</v>
      </c>
      <c r="Y630">
        <v>5000</v>
      </c>
      <c r="Z630">
        <f t="shared" si="381"/>
        <v>13</v>
      </c>
      <c r="AA630">
        <v>1</v>
      </c>
      <c r="AB630">
        <f t="shared" si="405"/>
        <v>2703</v>
      </c>
      <c r="AC630">
        <v>74</v>
      </c>
      <c r="AD630">
        <f t="shared" si="411"/>
        <v>113</v>
      </c>
      <c r="AE630">
        <v>5000</v>
      </c>
      <c r="AF630">
        <f t="shared" si="382"/>
        <v>13</v>
      </c>
      <c r="AG630">
        <v>1</v>
      </c>
      <c r="AH630">
        <f t="shared" si="406"/>
        <v>2703</v>
      </c>
      <c r="AI630">
        <v>78</v>
      </c>
      <c r="AJ630">
        <f t="shared" si="412"/>
        <v>111</v>
      </c>
      <c r="AP630" t="str">
        <f t="shared" si="383"/>
        <v>{5000,13,1,2703,101}</v>
      </c>
      <c r="AQ630" t="str">
        <f t="shared" si="384"/>
        <v>{5000,13,1,2703,102}</v>
      </c>
      <c r="AR630" t="str">
        <f t="shared" si="385"/>
        <v>{5000,13,1,2703,103}</v>
      </c>
      <c r="AS630" t="str">
        <f t="shared" si="386"/>
        <v>{5000,13,1,2703,113}</v>
      </c>
      <c r="AT630" t="str">
        <f t="shared" si="387"/>
        <v>{5000,13,1,2703,111}</v>
      </c>
      <c r="AU630" t="str">
        <f t="shared" si="388"/>
        <v/>
      </c>
      <c r="AV630">
        <v>3729</v>
      </c>
      <c r="AW630" t="str">
        <f t="shared" si="416"/>
        <v>[{5000,13,1,2703,101},{5000,13,1,2703,102},{5000,13,1,2703,103},{5000,13,1,2703,113},{5000,13,1,2703,111}]</v>
      </c>
    </row>
    <row r="631" spans="2:49">
      <c r="B631">
        <v>3730</v>
      </c>
      <c r="C631" t="s">
        <v>52</v>
      </c>
      <c r="D631" t="str">
        <f t="shared" si="391"/>
        <v>28</v>
      </c>
      <c r="F631">
        <v>256</v>
      </c>
      <c r="G631">
        <v>5000</v>
      </c>
      <c r="H631">
        <f t="shared" si="399"/>
        <v>12</v>
      </c>
      <c r="I631">
        <v>1</v>
      </c>
      <c r="J631">
        <v>2</v>
      </c>
      <c r="K631">
        <f t="shared" si="402"/>
        <v>2702</v>
      </c>
      <c r="L631">
        <f t="shared" si="408"/>
        <v>101</v>
      </c>
      <c r="M631">
        <v>5000</v>
      </c>
      <c r="N631">
        <f t="shared" si="407"/>
        <v>12</v>
      </c>
      <c r="O631">
        <v>1</v>
      </c>
      <c r="P631">
        <f t="shared" si="403"/>
        <v>2702</v>
      </c>
      <c r="Q631">
        <v>59</v>
      </c>
      <c r="R631">
        <f t="shared" si="409"/>
        <v>103</v>
      </c>
      <c r="S631">
        <v>5000</v>
      </c>
      <c r="T631">
        <f t="shared" si="380"/>
        <v>12</v>
      </c>
      <c r="U631">
        <v>1</v>
      </c>
      <c r="V631">
        <f t="shared" si="404"/>
        <v>2702</v>
      </c>
      <c r="W631">
        <v>79</v>
      </c>
      <c r="X631">
        <f t="shared" si="410"/>
        <v>111</v>
      </c>
      <c r="Y631">
        <v>5000</v>
      </c>
      <c r="Z631">
        <f t="shared" si="381"/>
        <v>12</v>
      </c>
      <c r="AA631">
        <v>1</v>
      </c>
      <c r="AB631">
        <f t="shared" si="405"/>
        <v>2701</v>
      </c>
      <c r="AC631">
        <v>72</v>
      </c>
      <c r="AD631">
        <f t="shared" si="411"/>
        <v>112</v>
      </c>
      <c r="AE631">
        <v>5000</v>
      </c>
      <c r="AF631">
        <f t="shared" si="382"/>
        <v>12</v>
      </c>
      <c r="AG631">
        <v>1</v>
      </c>
      <c r="AH631">
        <f t="shared" si="406"/>
        <v>2702</v>
      </c>
      <c r="AI631">
        <v>74</v>
      </c>
      <c r="AJ631">
        <f t="shared" si="412"/>
        <v>113</v>
      </c>
      <c r="AP631" t="str">
        <f t="shared" si="383"/>
        <v>{5000,12,1,2702,101}</v>
      </c>
      <c r="AQ631" t="str">
        <f t="shared" si="384"/>
        <v>{5000,12,1,2702,103}</v>
      </c>
      <c r="AR631" t="str">
        <f t="shared" si="385"/>
        <v>{5000,12,1,2702,111}</v>
      </c>
      <c r="AS631" t="str">
        <f t="shared" si="386"/>
        <v>{5000,12,1,2701,112}</v>
      </c>
      <c r="AT631" t="str">
        <f t="shared" si="387"/>
        <v>{5000,12,1,2702,113}</v>
      </c>
      <c r="AU631" t="str">
        <f t="shared" si="388"/>
        <v/>
      </c>
      <c r="AV631">
        <v>3730</v>
      </c>
      <c r="AW631" t="str">
        <f t="shared" si="416"/>
        <v>[{5000,12,1,2702,101},{5000,12,1,2702,103},{5000,12,1,2702,111},{5000,12,1,2701,112},{5000,12,1,2702,113}]</v>
      </c>
    </row>
    <row r="632" spans="2:49">
      <c r="B632">
        <v>3731</v>
      </c>
      <c r="C632" t="s">
        <v>52</v>
      </c>
      <c r="D632" t="str">
        <f t="shared" si="391"/>
        <v>28</v>
      </c>
      <c r="F632">
        <v>271</v>
      </c>
      <c r="G632">
        <v>5000</v>
      </c>
      <c r="H632">
        <f t="shared" si="399"/>
        <v>13</v>
      </c>
      <c r="I632">
        <v>1</v>
      </c>
      <c r="J632">
        <v>2</v>
      </c>
      <c r="K632">
        <f t="shared" si="402"/>
        <v>2702</v>
      </c>
      <c r="L632">
        <f t="shared" si="408"/>
        <v>101</v>
      </c>
      <c r="M632">
        <v>5000</v>
      </c>
      <c r="N632">
        <f t="shared" si="407"/>
        <v>13</v>
      </c>
      <c r="O632">
        <v>1</v>
      </c>
      <c r="P632">
        <f t="shared" si="403"/>
        <v>2702</v>
      </c>
      <c r="Q632">
        <v>54</v>
      </c>
      <c r="R632">
        <f t="shared" si="409"/>
        <v>102</v>
      </c>
      <c r="S632">
        <v>5000</v>
      </c>
      <c r="T632">
        <f t="shared" si="380"/>
        <v>13</v>
      </c>
      <c r="U632">
        <v>1</v>
      </c>
      <c r="V632">
        <f t="shared" si="404"/>
        <v>2702</v>
      </c>
      <c r="W632">
        <v>56</v>
      </c>
      <c r="X632">
        <f t="shared" si="410"/>
        <v>103</v>
      </c>
      <c r="Y632">
        <v>5000</v>
      </c>
      <c r="Z632">
        <f t="shared" si="381"/>
        <v>13</v>
      </c>
      <c r="AA632">
        <v>1</v>
      </c>
      <c r="AB632">
        <f t="shared" si="405"/>
        <v>2702</v>
      </c>
      <c r="AC632">
        <v>73</v>
      </c>
      <c r="AD632">
        <f t="shared" si="411"/>
        <v>113</v>
      </c>
      <c r="AE632">
        <v>5000</v>
      </c>
      <c r="AF632">
        <f t="shared" si="382"/>
        <v>13</v>
      </c>
      <c r="AG632">
        <v>1</v>
      </c>
      <c r="AH632">
        <f t="shared" si="406"/>
        <v>2702</v>
      </c>
      <c r="AI632">
        <v>75</v>
      </c>
      <c r="AJ632">
        <f t="shared" si="412"/>
        <v>111</v>
      </c>
      <c r="AP632" t="str">
        <f t="shared" si="383"/>
        <v>{5000,13,1,2702,101}</v>
      </c>
      <c r="AQ632" t="str">
        <f t="shared" si="384"/>
        <v>{5000,13,1,2702,102}</v>
      </c>
      <c r="AR632" t="str">
        <f t="shared" si="385"/>
        <v>{5000,13,1,2702,103}</v>
      </c>
      <c r="AS632" t="str">
        <f t="shared" si="386"/>
        <v>{5000,13,1,2702,113}</v>
      </c>
      <c r="AT632" t="str">
        <f t="shared" si="387"/>
        <v>{5000,13,1,2702,111}</v>
      </c>
      <c r="AU632" t="str">
        <f t="shared" si="388"/>
        <v/>
      </c>
      <c r="AV632">
        <v>3731</v>
      </c>
      <c r="AW632" t="str">
        <f t="shared" si="416"/>
        <v>[{5000,13,1,2702,101},{5000,13,1,2702,102},{5000,13,1,2702,103},{5000,13,1,2702,113},{5000,13,1,2702,111}]</v>
      </c>
    </row>
    <row r="633" spans="2:49">
      <c r="B633">
        <v>3732</v>
      </c>
      <c r="C633" t="s">
        <v>52</v>
      </c>
      <c r="D633" t="str">
        <f t="shared" si="391"/>
        <v>28</v>
      </c>
      <c r="F633">
        <v>286</v>
      </c>
      <c r="G633">
        <v>5000</v>
      </c>
      <c r="H633">
        <f t="shared" si="399"/>
        <v>13</v>
      </c>
      <c r="I633">
        <v>1</v>
      </c>
      <c r="J633">
        <v>2</v>
      </c>
      <c r="K633">
        <f t="shared" si="402"/>
        <v>2702</v>
      </c>
      <c r="L633">
        <f t="shared" si="408"/>
        <v>101</v>
      </c>
      <c r="M633">
        <v>5000</v>
      </c>
      <c r="N633">
        <f t="shared" si="407"/>
        <v>13</v>
      </c>
      <c r="O633">
        <v>1</v>
      </c>
      <c r="P633">
        <f t="shared" si="403"/>
        <v>2702</v>
      </c>
      <c r="Q633">
        <v>53</v>
      </c>
      <c r="R633">
        <f t="shared" si="409"/>
        <v>103</v>
      </c>
      <c r="S633">
        <v>5000</v>
      </c>
      <c r="T633">
        <f t="shared" si="380"/>
        <v>13</v>
      </c>
      <c r="U633">
        <v>1</v>
      </c>
      <c r="V633">
        <f t="shared" si="404"/>
        <v>2702</v>
      </c>
      <c r="W633">
        <v>59</v>
      </c>
      <c r="X633">
        <f t="shared" si="410"/>
        <v>111</v>
      </c>
      <c r="Y633">
        <v>5000</v>
      </c>
      <c r="Z633">
        <f t="shared" si="381"/>
        <v>13</v>
      </c>
      <c r="AA633">
        <v>1</v>
      </c>
      <c r="AB633">
        <f t="shared" si="405"/>
        <v>2702</v>
      </c>
      <c r="AC633">
        <v>71</v>
      </c>
      <c r="AD633">
        <f t="shared" si="411"/>
        <v>112</v>
      </c>
      <c r="AE633">
        <v>5000</v>
      </c>
      <c r="AF633">
        <f t="shared" si="382"/>
        <v>13</v>
      </c>
      <c r="AG633">
        <v>1</v>
      </c>
      <c r="AH633">
        <f t="shared" si="406"/>
        <v>2702</v>
      </c>
      <c r="AI633">
        <v>77</v>
      </c>
      <c r="AJ633">
        <f t="shared" si="412"/>
        <v>113</v>
      </c>
      <c r="AP633" t="str">
        <f t="shared" si="383"/>
        <v>{5000,13,1,2702,101}</v>
      </c>
      <c r="AQ633" t="str">
        <f t="shared" si="384"/>
        <v>{5000,13,1,2702,103}</v>
      </c>
      <c r="AR633" t="str">
        <f t="shared" si="385"/>
        <v>{5000,13,1,2702,111}</v>
      </c>
      <c r="AS633" t="str">
        <f t="shared" si="386"/>
        <v>{5000,13,1,2702,112}</v>
      </c>
      <c r="AT633" t="str">
        <f t="shared" si="387"/>
        <v>{5000,13,1,2702,113}</v>
      </c>
      <c r="AU633" t="str">
        <f t="shared" si="388"/>
        <v/>
      </c>
      <c r="AV633">
        <v>3732</v>
      </c>
      <c r="AW633" t="str">
        <f t="shared" si="416"/>
        <v>[{5000,13,1,2702,101},{5000,13,1,2702,103},{5000,13,1,2702,111},{5000,13,1,2702,112},{5000,13,1,2702,113}]</v>
      </c>
    </row>
    <row r="634" spans="2:49">
      <c r="B634">
        <v>3733</v>
      </c>
      <c r="C634" t="s">
        <v>52</v>
      </c>
      <c r="D634" t="str">
        <f t="shared" si="391"/>
        <v>28</v>
      </c>
      <c r="F634">
        <v>290</v>
      </c>
      <c r="G634">
        <v>5000</v>
      </c>
      <c r="H634">
        <f t="shared" si="399"/>
        <v>13</v>
      </c>
      <c r="I634">
        <v>1</v>
      </c>
      <c r="J634">
        <v>2</v>
      </c>
      <c r="K634">
        <f t="shared" si="402"/>
        <v>2702</v>
      </c>
      <c r="L634">
        <f t="shared" si="408"/>
        <v>101</v>
      </c>
      <c r="M634">
        <v>5000</v>
      </c>
      <c r="N634">
        <f t="shared" si="407"/>
        <v>13</v>
      </c>
      <c r="O634">
        <v>1</v>
      </c>
      <c r="P634">
        <f t="shared" si="403"/>
        <v>2702</v>
      </c>
      <c r="Q634">
        <v>56</v>
      </c>
      <c r="R634">
        <f t="shared" si="409"/>
        <v>102</v>
      </c>
      <c r="S634">
        <v>5000</v>
      </c>
      <c r="T634">
        <f t="shared" si="380"/>
        <v>13</v>
      </c>
      <c r="U634">
        <v>1</v>
      </c>
      <c r="V634">
        <f t="shared" si="404"/>
        <v>2701</v>
      </c>
      <c r="W634">
        <v>77</v>
      </c>
      <c r="X634">
        <f t="shared" si="410"/>
        <v>103</v>
      </c>
      <c r="Y634">
        <v>5000</v>
      </c>
      <c r="Z634">
        <f t="shared" si="381"/>
        <v>13</v>
      </c>
      <c r="AA634">
        <v>1</v>
      </c>
      <c r="AB634">
        <f t="shared" si="405"/>
        <v>2702</v>
      </c>
      <c r="AC634">
        <v>72</v>
      </c>
      <c r="AD634">
        <f t="shared" si="411"/>
        <v>113</v>
      </c>
      <c r="AE634">
        <v>5000</v>
      </c>
      <c r="AF634">
        <f t="shared" si="382"/>
        <v>13</v>
      </c>
      <c r="AG634">
        <v>1</v>
      </c>
      <c r="AH634">
        <f t="shared" si="406"/>
        <v>2702</v>
      </c>
      <c r="AI634">
        <v>74</v>
      </c>
      <c r="AJ634">
        <f t="shared" si="412"/>
        <v>111</v>
      </c>
      <c r="AP634" t="str">
        <f t="shared" si="383"/>
        <v>{5000,13,1,2702,101}</v>
      </c>
      <c r="AQ634" t="str">
        <f t="shared" si="384"/>
        <v>{5000,13,1,2702,102}</v>
      </c>
      <c r="AR634" t="str">
        <f t="shared" si="385"/>
        <v>{5000,13,1,2701,103}</v>
      </c>
      <c r="AS634" t="str">
        <f t="shared" si="386"/>
        <v>{5000,13,1,2702,113}</v>
      </c>
      <c r="AT634" t="str">
        <f t="shared" si="387"/>
        <v>{5000,13,1,2702,111}</v>
      </c>
      <c r="AU634" t="str">
        <f t="shared" si="388"/>
        <v/>
      </c>
      <c r="AV634">
        <v>3733</v>
      </c>
      <c r="AW634" t="str">
        <f t="shared" si="416"/>
        <v>[{5000,13,1,2702,101},{5000,13,1,2702,102},{5000,13,1,2701,103},{5000,13,1,2702,113},{5000,13,1,2702,111}]</v>
      </c>
    </row>
    <row r="635" spans="2:49">
      <c r="B635">
        <v>3811</v>
      </c>
      <c r="C635" t="s">
        <v>53</v>
      </c>
      <c r="D635" s="4" t="str">
        <f t="shared" si="391"/>
        <v>29</v>
      </c>
      <c r="E635" s="4"/>
      <c r="F635">
        <v>1</v>
      </c>
      <c r="G635">
        <v>5000</v>
      </c>
      <c r="H635">
        <f t="shared" si="399"/>
        <v>3</v>
      </c>
      <c r="I635">
        <v>1</v>
      </c>
      <c r="J635">
        <v>1</v>
      </c>
      <c r="K635">
        <f t="shared" si="402"/>
        <v>2801</v>
      </c>
      <c r="L635">
        <f t="shared" si="408"/>
        <v>101</v>
      </c>
      <c r="M635">
        <v>5000</v>
      </c>
      <c r="N635">
        <f t="shared" si="407"/>
        <v>3</v>
      </c>
      <c r="O635">
        <v>1</v>
      </c>
      <c r="P635">
        <f t="shared" si="403"/>
        <v>2801</v>
      </c>
      <c r="Q635">
        <v>55</v>
      </c>
      <c r="R635">
        <f t="shared" si="409"/>
        <v>102</v>
      </c>
      <c r="S635">
        <v>5000</v>
      </c>
      <c r="T635">
        <f t="shared" si="380"/>
        <v>3</v>
      </c>
      <c r="U635">
        <v>1</v>
      </c>
      <c r="V635">
        <f t="shared" si="404"/>
        <v>2801</v>
      </c>
      <c r="W635">
        <v>60</v>
      </c>
      <c r="X635">
        <f t="shared" si="410"/>
        <v>103</v>
      </c>
      <c r="Y635">
        <v>5000</v>
      </c>
      <c r="Z635">
        <f t="shared" si="381"/>
        <v>3</v>
      </c>
      <c r="AA635">
        <v>1</v>
      </c>
      <c r="AB635">
        <f t="shared" si="405"/>
        <v>2801</v>
      </c>
      <c r="AC635">
        <v>71</v>
      </c>
      <c r="AD635">
        <f t="shared" si="411"/>
        <v>113</v>
      </c>
      <c r="AE635">
        <v>5000</v>
      </c>
      <c r="AF635">
        <f t="shared" si="382"/>
        <v>3</v>
      </c>
      <c r="AG635">
        <v>1</v>
      </c>
      <c r="AH635">
        <f t="shared" si="406"/>
        <v>2801</v>
      </c>
      <c r="AI635">
        <v>76</v>
      </c>
      <c r="AJ635">
        <f t="shared" si="412"/>
        <v>111</v>
      </c>
      <c r="AP635" t="str">
        <f t="shared" si="383"/>
        <v>{5000,3,1,2801,101}</v>
      </c>
      <c r="AQ635" t="str">
        <f t="shared" si="384"/>
        <v>{5000,3,1,2801,102}</v>
      </c>
      <c r="AR635" t="str">
        <f t="shared" si="385"/>
        <v>{5000,3,1,2801,103}</v>
      </c>
      <c r="AS635" t="str">
        <f t="shared" si="386"/>
        <v>{5000,3,1,2801,113}</v>
      </c>
      <c r="AT635" t="str">
        <f t="shared" si="387"/>
        <v>{5000,3,1,2801,111}</v>
      </c>
      <c r="AU635" t="str">
        <f t="shared" si="388"/>
        <v/>
      </c>
      <c r="AV635">
        <v>3811</v>
      </c>
      <c r="AW635" t="str">
        <f t="shared" si="416"/>
        <v>[{5000,3,1,2801,101},{5000,3,1,2801,102},{5000,3,1,2801,103},{5000,3,1,2801,113},{5000,3,1,2801,111}]</v>
      </c>
    </row>
    <row r="636" spans="2:49">
      <c r="B636">
        <v>3812</v>
      </c>
      <c r="C636" t="s">
        <v>53</v>
      </c>
      <c r="D636" t="str">
        <f t="shared" si="391"/>
        <v>29</v>
      </c>
      <c r="F636">
        <v>16</v>
      </c>
      <c r="G636">
        <v>5000</v>
      </c>
      <c r="H636">
        <f t="shared" si="399"/>
        <v>3</v>
      </c>
      <c r="I636">
        <v>1</v>
      </c>
      <c r="J636">
        <v>1</v>
      </c>
      <c r="K636">
        <f t="shared" ref="K636:K658" si="417">IF($J636="","",K613+100)</f>
        <v>2801</v>
      </c>
      <c r="L636">
        <f t="shared" si="408"/>
        <v>101</v>
      </c>
      <c r="M636">
        <v>5000</v>
      </c>
      <c r="N636">
        <f t="shared" si="407"/>
        <v>3</v>
      </c>
      <c r="O636">
        <v>1</v>
      </c>
      <c r="P636">
        <f t="shared" ref="P636:P658" si="418">IF($J636="","",P613+100)</f>
        <v>2801</v>
      </c>
      <c r="Q636">
        <v>55</v>
      </c>
      <c r="R636">
        <f t="shared" si="409"/>
        <v>103</v>
      </c>
      <c r="S636">
        <v>5000</v>
      </c>
      <c r="T636">
        <f t="shared" si="380"/>
        <v>3</v>
      </c>
      <c r="U636">
        <v>1</v>
      </c>
      <c r="V636">
        <f t="shared" ref="V636:V658" si="419">IF($J636="","",V613+100)</f>
        <v>2801</v>
      </c>
      <c r="W636">
        <v>75</v>
      </c>
      <c r="X636">
        <f t="shared" si="410"/>
        <v>111</v>
      </c>
      <c r="Y636">
        <v>5000</v>
      </c>
      <c r="Z636">
        <f t="shared" si="381"/>
        <v>3</v>
      </c>
      <c r="AA636">
        <v>1</v>
      </c>
      <c r="AB636">
        <f t="shared" ref="AB636:AB658" si="420">IF($J636="","",AB613+100)</f>
        <v>2801</v>
      </c>
      <c r="AC636">
        <v>73</v>
      </c>
      <c r="AD636">
        <f t="shared" si="411"/>
        <v>112</v>
      </c>
      <c r="AE636">
        <v>5000</v>
      </c>
      <c r="AF636">
        <f t="shared" si="382"/>
        <v>3</v>
      </c>
      <c r="AG636">
        <v>1</v>
      </c>
      <c r="AH636">
        <f t="shared" ref="AH636:AH658" si="421">IF($J636="","",AH613+100)</f>
        <v>2801</v>
      </c>
      <c r="AI636">
        <v>78</v>
      </c>
      <c r="AJ636">
        <f t="shared" si="412"/>
        <v>113</v>
      </c>
      <c r="AP636" t="str">
        <f t="shared" si="383"/>
        <v>{5000,3,1,2801,101}</v>
      </c>
      <c r="AQ636" t="str">
        <f t="shared" si="384"/>
        <v>{5000,3,1,2801,103}</v>
      </c>
      <c r="AR636" t="str">
        <f t="shared" si="385"/>
        <v>{5000,3,1,2801,111}</v>
      </c>
      <c r="AS636" t="str">
        <f t="shared" si="386"/>
        <v>{5000,3,1,2801,112}</v>
      </c>
      <c r="AT636" t="str">
        <f t="shared" si="387"/>
        <v>{5000,3,1,2801,113}</v>
      </c>
      <c r="AU636" t="str">
        <f t="shared" si="388"/>
        <v/>
      </c>
      <c r="AV636">
        <v>3812</v>
      </c>
      <c r="AW636" t="str">
        <f t="shared" si="416"/>
        <v>[{5000,3,1,2801,101},{5000,3,1,2801,103},{5000,3,1,2801,111},{5000,3,1,2801,112},{5000,3,1,2801,113}]</v>
      </c>
    </row>
    <row r="637" spans="2:49">
      <c r="B637">
        <v>3813</v>
      </c>
      <c r="C637" t="s">
        <v>53</v>
      </c>
      <c r="D637" t="str">
        <f t="shared" si="391"/>
        <v>29</v>
      </c>
      <c r="F637">
        <v>31</v>
      </c>
      <c r="G637">
        <v>5000</v>
      </c>
      <c r="H637">
        <f t="shared" si="399"/>
        <v>6</v>
      </c>
      <c r="I637">
        <v>1</v>
      </c>
      <c r="J637">
        <v>1</v>
      </c>
      <c r="K637">
        <f t="shared" si="417"/>
        <v>2801</v>
      </c>
      <c r="L637">
        <f t="shared" si="408"/>
        <v>101</v>
      </c>
      <c r="M637">
        <v>5000</v>
      </c>
      <c r="N637">
        <f t="shared" si="407"/>
        <v>6</v>
      </c>
      <c r="O637">
        <v>1</v>
      </c>
      <c r="P637">
        <f t="shared" si="418"/>
        <v>2801</v>
      </c>
      <c r="Q637">
        <v>55</v>
      </c>
      <c r="R637">
        <f t="shared" si="409"/>
        <v>102</v>
      </c>
      <c r="S637">
        <v>5000</v>
      </c>
      <c r="T637">
        <f t="shared" si="380"/>
        <v>6</v>
      </c>
      <c r="U637">
        <v>1</v>
      </c>
      <c r="V637">
        <f t="shared" si="419"/>
        <v>2801</v>
      </c>
      <c r="W637">
        <v>58</v>
      </c>
      <c r="X637">
        <f t="shared" si="410"/>
        <v>103</v>
      </c>
      <c r="Y637">
        <v>5000</v>
      </c>
      <c r="Z637">
        <f t="shared" si="381"/>
        <v>6</v>
      </c>
      <c r="AA637">
        <v>1</v>
      </c>
      <c r="AB637">
        <f t="shared" si="420"/>
        <v>2801</v>
      </c>
      <c r="AC637">
        <v>76</v>
      </c>
      <c r="AD637">
        <f t="shared" si="411"/>
        <v>113</v>
      </c>
      <c r="AE637">
        <v>5000</v>
      </c>
      <c r="AF637">
        <f t="shared" si="382"/>
        <v>6</v>
      </c>
      <c r="AG637">
        <v>1</v>
      </c>
      <c r="AH637">
        <f t="shared" si="421"/>
        <v>2801</v>
      </c>
      <c r="AI637">
        <v>79</v>
      </c>
      <c r="AJ637">
        <f t="shared" si="412"/>
        <v>111</v>
      </c>
      <c r="AP637" t="str">
        <f t="shared" si="383"/>
        <v>{5000,6,1,2801,101}</v>
      </c>
      <c r="AQ637" t="str">
        <f t="shared" si="384"/>
        <v>{5000,6,1,2801,102}</v>
      </c>
      <c r="AR637" t="str">
        <f t="shared" si="385"/>
        <v>{5000,6,1,2801,103}</v>
      </c>
      <c r="AS637" t="str">
        <f t="shared" si="386"/>
        <v>{5000,6,1,2801,113}</v>
      </c>
      <c r="AT637" t="str">
        <f t="shared" si="387"/>
        <v>{5000,6,1,2801,111}</v>
      </c>
      <c r="AU637" t="str">
        <f t="shared" si="388"/>
        <v/>
      </c>
      <c r="AV637">
        <v>3813</v>
      </c>
      <c r="AW637" t="str">
        <f t="shared" si="416"/>
        <v>[{5000,6,1,2801,101},{5000,6,1,2801,102},{5000,6,1,2801,103},{5000,6,1,2801,113},{5000,6,1,2801,111}]</v>
      </c>
    </row>
    <row r="638" spans="2:49">
      <c r="B638">
        <v>3814</v>
      </c>
      <c r="C638" t="s">
        <v>53</v>
      </c>
      <c r="D638" t="str">
        <f t="shared" si="391"/>
        <v>29</v>
      </c>
      <c r="F638">
        <v>46</v>
      </c>
      <c r="G638">
        <v>5000</v>
      </c>
      <c r="H638">
        <f t="shared" si="399"/>
        <v>6</v>
      </c>
      <c r="I638">
        <v>1</v>
      </c>
      <c r="J638">
        <v>1</v>
      </c>
      <c r="K638">
        <f t="shared" si="417"/>
        <v>2801</v>
      </c>
      <c r="L638">
        <f t="shared" si="408"/>
        <v>101</v>
      </c>
      <c r="M638">
        <v>5000</v>
      </c>
      <c r="N638">
        <f t="shared" si="407"/>
        <v>6</v>
      </c>
      <c r="O638">
        <v>1</v>
      </c>
      <c r="P638">
        <f t="shared" si="418"/>
        <v>2801</v>
      </c>
      <c r="Q638">
        <v>55</v>
      </c>
      <c r="R638">
        <f t="shared" si="409"/>
        <v>103</v>
      </c>
      <c r="S638">
        <v>5000</v>
      </c>
      <c r="T638">
        <f t="shared" si="380"/>
        <v>6</v>
      </c>
      <c r="U638">
        <v>1</v>
      </c>
      <c r="V638">
        <f t="shared" si="419"/>
        <v>2802</v>
      </c>
      <c r="W638">
        <v>76</v>
      </c>
      <c r="X638">
        <f t="shared" si="410"/>
        <v>111</v>
      </c>
      <c r="Y638">
        <v>5000</v>
      </c>
      <c r="Z638">
        <f t="shared" si="381"/>
        <v>6</v>
      </c>
      <c r="AA638">
        <v>1</v>
      </c>
      <c r="AB638">
        <f t="shared" si="420"/>
        <v>2801</v>
      </c>
      <c r="AC638">
        <v>71</v>
      </c>
      <c r="AD638">
        <f t="shared" si="411"/>
        <v>112</v>
      </c>
      <c r="AE638">
        <v>5000</v>
      </c>
      <c r="AF638">
        <f t="shared" si="382"/>
        <v>6</v>
      </c>
      <c r="AG638">
        <v>1</v>
      </c>
      <c r="AH638">
        <f t="shared" si="421"/>
        <v>2801</v>
      </c>
      <c r="AI638">
        <v>71</v>
      </c>
      <c r="AJ638">
        <f t="shared" si="412"/>
        <v>113</v>
      </c>
      <c r="AP638" t="str">
        <f t="shared" si="383"/>
        <v>{5000,6,1,2801,101}</v>
      </c>
      <c r="AQ638" t="str">
        <f t="shared" si="384"/>
        <v>{5000,6,1,2801,103}</v>
      </c>
      <c r="AR638" t="str">
        <f t="shared" si="385"/>
        <v>{5000,6,1,2802,111}</v>
      </c>
      <c r="AS638" t="str">
        <f t="shared" si="386"/>
        <v>{5000,6,1,2801,112}</v>
      </c>
      <c r="AT638" t="str">
        <f t="shared" si="387"/>
        <v>{5000,6,1,2801,113}</v>
      </c>
      <c r="AU638" t="str">
        <f t="shared" si="388"/>
        <v/>
      </c>
      <c r="AV638">
        <v>3814</v>
      </c>
      <c r="AW638" t="str">
        <f t="shared" si="416"/>
        <v>[{5000,6,1,2801,101},{5000,6,1,2801,103},{5000,6,1,2802,111},{5000,6,1,2801,112},{5000,6,1,2801,113}]</v>
      </c>
    </row>
    <row r="639" spans="2:49">
      <c r="B639">
        <v>3815</v>
      </c>
      <c r="C639" t="s">
        <v>53</v>
      </c>
      <c r="D639" t="str">
        <f t="shared" si="391"/>
        <v>29</v>
      </c>
      <c r="F639">
        <v>61</v>
      </c>
      <c r="G639">
        <v>5000</v>
      </c>
      <c r="H639">
        <f t="shared" si="399"/>
        <v>8</v>
      </c>
      <c r="I639">
        <v>1</v>
      </c>
      <c r="J639">
        <v>3</v>
      </c>
      <c r="K639">
        <f t="shared" si="417"/>
        <v>2803</v>
      </c>
      <c r="L639">
        <f t="shared" si="408"/>
        <v>101</v>
      </c>
      <c r="M639">
        <v>5000</v>
      </c>
      <c r="N639">
        <f t="shared" si="407"/>
        <v>8</v>
      </c>
      <c r="O639">
        <v>1</v>
      </c>
      <c r="P639">
        <f t="shared" si="418"/>
        <v>2803</v>
      </c>
      <c r="Q639">
        <v>56</v>
      </c>
      <c r="R639">
        <f t="shared" si="409"/>
        <v>102</v>
      </c>
      <c r="S639">
        <v>5000</v>
      </c>
      <c r="T639">
        <f t="shared" si="380"/>
        <v>8</v>
      </c>
      <c r="U639">
        <v>1</v>
      </c>
      <c r="V639">
        <f t="shared" si="419"/>
        <v>2803</v>
      </c>
      <c r="W639">
        <v>57</v>
      </c>
      <c r="X639">
        <f t="shared" si="410"/>
        <v>103</v>
      </c>
      <c r="Y639">
        <v>5000</v>
      </c>
      <c r="Z639">
        <f t="shared" si="381"/>
        <v>8</v>
      </c>
      <c r="AA639">
        <v>1</v>
      </c>
      <c r="AB639">
        <f t="shared" si="420"/>
        <v>2803</v>
      </c>
      <c r="AC639">
        <v>72</v>
      </c>
      <c r="AD639">
        <f t="shared" si="411"/>
        <v>113</v>
      </c>
      <c r="AE639">
        <v>5000</v>
      </c>
      <c r="AF639">
        <f t="shared" si="382"/>
        <v>8</v>
      </c>
      <c r="AG639">
        <v>1</v>
      </c>
      <c r="AH639">
        <f t="shared" si="421"/>
        <v>2803</v>
      </c>
      <c r="AI639">
        <v>71</v>
      </c>
      <c r="AJ639">
        <f t="shared" si="412"/>
        <v>111</v>
      </c>
      <c r="AP639" t="str">
        <f t="shared" si="383"/>
        <v>{5000,8,1,2803,101}</v>
      </c>
      <c r="AQ639" t="str">
        <f t="shared" si="384"/>
        <v>{5000,8,1,2803,102}</v>
      </c>
      <c r="AR639" t="str">
        <f t="shared" si="385"/>
        <v>{5000,8,1,2803,103}</v>
      </c>
      <c r="AS639" t="str">
        <f t="shared" si="386"/>
        <v>{5000,8,1,2803,113}</v>
      </c>
      <c r="AT639" t="str">
        <f t="shared" si="387"/>
        <v>{5000,8,1,2803,111}</v>
      </c>
      <c r="AU639" t="str">
        <f t="shared" si="388"/>
        <v/>
      </c>
      <c r="AV639">
        <v>3815</v>
      </c>
      <c r="AW639" t="str">
        <f t="shared" si="416"/>
        <v>[{5000,8,1,2803,101},{5000,8,1,2803,102},{5000,8,1,2803,103},{5000,8,1,2803,113},{5000,8,1,2803,111}]</v>
      </c>
    </row>
    <row r="640" spans="2:49">
      <c r="B640">
        <v>3816</v>
      </c>
      <c r="C640" t="s">
        <v>53</v>
      </c>
      <c r="D640" t="str">
        <f t="shared" si="391"/>
        <v>29</v>
      </c>
      <c r="F640">
        <v>76</v>
      </c>
      <c r="G640">
        <v>5000</v>
      </c>
      <c r="H640">
        <f t="shared" si="399"/>
        <v>8</v>
      </c>
      <c r="I640">
        <v>1</v>
      </c>
      <c r="J640">
        <v>1</v>
      </c>
      <c r="K640">
        <f t="shared" si="417"/>
        <v>2801</v>
      </c>
      <c r="L640">
        <f t="shared" si="408"/>
        <v>101</v>
      </c>
      <c r="M640">
        <v>5000</v>
      </c>
      <c r="N640">
        <f t="shared" si="407"/>
        <v>8</v>
      </c>
      <c r="O640">
        <v>1</v>
      </c>
      <c r="P640">
        <f t="shared" si="418"/>
        <v>2801</v>
      </c>
      <c r="Q640">
        <v>59</v>
      </c>
      <c r="R640">
        <f t="shared" si="409"/>
        <v>103</v>
      </c>
      <c r="S640">
        <v>5000</v>
      </c>
      <c r="T640">
        <f t="shared" si="380"/>
        <v>8</v>
      </c>
      <c r="U640">
        <v>1</v>
      </c>
      <c r="V640">
        <f t="shared" si="419"/>
        <v>2802</v>
      </c>
      <c r="W640">
        <v>71</v>
      </c>
      <c r="X640">
        <f t="shared" si="410"/>
        <v>111</v>
      </c>
      <c r="Y640">
        <v>5000</v>
      </c>
      <c r="Z640">
        <f t="shared" si="381"/>
        <v>8</v>
      </c>
      <c r="AA640">
        <v>1</v>
      </c>
      <c r="AB640">
        <f t="shared" si="420"/>
        <v>2801</v>
      </c>
      <c r="AC640">
        <v>71</v>
      </c>
      <c r="AD640">
        <f t="shared" si="411"/>
        <v>112</v>
      </c>
      <c r="AE640">
        <v>5000</v>
      </c>
      <c r="AF640">
        <f t="shared" si="382"/>
        <v>8</v>
      </c>
      <c r="AG640">
        <v>1</v>
      </c>
      <c r="AH640">
        <f t="shared" si="421"/>
        <v>2801</v>
      </c>
      <c r="AI640">
        <v>79</v>
      </c>
      <c r="AJ640">
        <f t="shared" si="412"/>
        <v>113</v>
      </c>
      <c r="AP640" t="str">
        <f t="shared" si="383"/>
        <v>{5000,8,1,2801,101}</v>
      </c>
      <c r="AQ640" t="str">
        <f t="shared" si="384"/>
        <v>{5000,8,1,2801,103}</v>
      </c>
      <c r="AR640" t="str">
        <f t="shared" si="385"/>
        <v>{5000,8,1,2802,111}</v>
      </c>
      <c r="AS640" t="str">
        <f t="shared" si="386"/>
        <v>{5000,8,1,2801,112}</v>
      </c>
      <c r="AT640" t="str">
        <f t="shared" si="387"/>
        <v>{5000,8,1,2801,113}</v>
      </c>
      <c r="AU640" t="str">
        <f t="shared" si="388"/>
        <v/>
      </c>
      <c r="AV640">
        <v>3816</v>
      </c>
      <c r="AW640" t="str">
        <f t="shared" si="416"/>
        <v>[{5000,8,1,2801,101},{5000,8,1,2801,103},{5000,8,1,2802,111},{5000,8,1,2801,112},{5000,8,1,2801,113}]</v>
      </c>
    </row>
    <row r="641" spans="2:49">
      <c r="B641">
        <v>3817</v>
      </c>
      <c r="C641" t="s">
        <v>53</v>
      </c>
      <c r="D641" t="str">
        <f t="shared" si="391"/>
        <v>29</v>
      </c>
      <c r="F641">
        <v>91</v>
      </c>
      <c r="G641">
        <v>5000</v>
      </c>
      <c r="H641">
        <f t="shared" si="399"/>
        <v>8</v>
      </c>
      <c r="I641">
        <v>1</v>
      </c>
      <c r="J641">
        <v>1</v>
      </c>
      <c r="K641">
        <f t="shared" si="417"/>
        <v>2801</v>
      </c>
      <c r="L641">
        <f t="shared" si="408"/>
        <v>101</v>
      </c>
      <c r="M641">
        <v>5000</v>
      </c>
      <c r="N641">
        <f t="shared" si="407"/>
        <v>8</v>
      </c>
      <c r="O641">
        <v>1</v>
      </c>
      <c r="P641">
        <f t="shared" si="418"/>
        <v>2801</v>
      </c>
      <c r="Q641">
        <v>54</v>
      </c>
      <c r="R641">
        <f t="shared" si="409"/>
        <v>102</v>
      </c>
      <c r="S641">
        <v>5000</v>
      </c>
      <c r="T641">
        <f t="shared" si="380"/>
        <v>8</v>
      </c>
      <c r="U641">
        <v>1</v>
      </c>
      <c r="V641">
        <f t="shared" si="419"/>
        <v>2802</v>
      </c>
      <c r="W641">
        <v>51</v>
      </c>
      <c r="X641">
        <f t="shared" si="410"/>
        <v>103</v>
      </c>
      <c r="Y641">
        <v>5000</v>
      </c>
      <c r="Z641">
        <f t="shared" si="381"/>
        <v>8</v>
      </c>
      <c r="AA641">
        <v>1</v>
      </c>
      <c r="AB641">
        <f t="shared" si="420"/>
        <v>2801</v>
      </c>
      <c r="AC641">
        <v>71</v>
      </c>
      <c r="AD641">
        <f t="shared" si="411"/>
        <v>113</v>
      </c>
      <c r="AE641">
        <v>5000</v>
      </c>
      <c r="AF641">
        <f t="shared" si="382"/>
        <v>8</v>
      </c>
      <c r="AG641">
        <v>1</v>
      </c>
      <c r="AH641">
        <f t="shared" si="421"/>
        <v>2802</v>
      </c>
      <c r="AI641">
        <v>77</v>
      </c>
      <c r="AJ641">
        <f t="shared" si="412"/>
        <v>111</v>
      </c>
      <c r="AP641" t="str">
        <f t="shared" si="383"/>
        <v>{5000,8,1,2801,101}</v>
      </c>
      <c r="AQ641" t="str">
        <f t="shared" si="384"/>
        <v>{5000,8,1,2801,102}</v>
      </c>
      <c r="AR641" t="str">
        <f t="shared" si="385"/>
        <v>{5000,8,1,2802,103}</v>
      </c>
      <c r="AS641" t="str">
        <f t="shared" si="386"/>
        <v>{5000,8,1,2801,113}</v>
      </c>
      <c r="AT641" t="str">
        <f t="shared" si="387"/>
        <v>{5000,8,1,2802,111}</v>
      </c>
      <c r="AU641" t="str">
        <f t="shared" si="388"/>
        <v/>
      </c>
      <c r="AV641">
        <v>3817</v>
      </c>
      <c r="AW641" t="str">
        <f t="shared" si="416"/>
        <v>[{5000,8,1,2801,101},{5000,8,1,2801,102},{5000,8,1,2802,103},{5000,8,1,2801,113},{5000,8,1,2802,111}]</v>
      </c>
    </row>
    <row r="642" spans="2:49">
      <c r="B642">
        <v>3818</v>
      </c>
      <c r="C642" t="s">
        <v>53</v>
      </c>
      <c r="D642" t="str">
        <f t="shared" si="391"/>
        <v>29</v>
      </c>
      <c r="F642">
        <v>106</v>
      </c>
      <c r="G642">
        <v>5000</v>
      </c>
      <c r="H642">
        <f t="shared" si="399"/>
        <v>8</v>
      </c>
      <c r="I642">
        <v>1</v>
      </c>
      <c r="J642">
        <v>1</v>
      </c>
      <c r="K642">
        <f t="shared" si="417"/>
        <v>2801</v>
      </c>
      <c r="L642">
        <f t="shared" si="408"/>
        <v>101</v>
      </c>
      <c r="M642">
        <v>5000</v>
      </c>
      <c r="N642">
        <f t="shared" si="407"/>
        <v>8</v>
      </c>
      <c r="O642">
        <v>1</v>
      </c>
      <c r="P642">
        <f t="shared" si="418"/>
        <v>2801</v>
      </c>
      <c r="Q642">
        <v>55</v>
      </c>
      <c r="R642">
        <f t="shared" si="409"/>
        <v>103</v>
      </c>
      <c r="S642">
        <v>5000</v>
      </c>
      <c r="T642">
        <f t="shared" si="380"/>
        <v>8</v>
      </c>
      <c r="U642">
        <v>1</v>
      </c>
      <c r="V642">
        <f t="shared" si="419"/>
        <v>2802</v>
      </c>
      <c r="W642">
        <v>73</v>
      </c>
      <c r="X642">
        <f t="shared" si="410"/>
        <v>111</v>
      </c>
      <c r="Y642">
        <v>5000</v>
      </c>
      <c r="Z642">
        <f t="shared" si="381"/>
        <v>8</v>
      </c>
      <c r="AA642">
        <v>1</v>
      </c>
      <c r="AB642">
        <f t="shared" si="420"/>
        <v>2801</v>
      </c>
      <c r="AC642">
        <v>78</v>
      </c>
      <c r="AD642">
        <f t="shared" si="411"/>
        <v>112</v>
      </c>
      <c r="AE642">
        <v>5000</v>
      </c>
      <c r="AF642">
        <f t="shared" si="382"/>
        <v>8</v>
      </c>
      <c r="AG642">
        <v>1</v>
      </c>
      <c r="AH642">
        <f t="shared" si="421"/>
        <v>2802</v>
      </c>
      <c r="AI642">
        <v>71</v>
      </c>
      <c r="AJ642">
        <f t="shared" si="412"/>
        <v>113</v>
      </c>
      <c r="AP642" t="str">
        <f t="shared" si="383"/>
        <v>{5000,8,1,2801,101}</v>
      </c>
      <c r="AQ642" t="str">
        <f t="shared" si="384"/>
        <v>{5000,8,1,2801,103}</v>
      </c>
      <c r="AR642" t="str">
        <f t="shared" si="385"/>
        <v>{5000,8,1,2802,111}</v>
      </c>
      <c r="AS642" t="str">
        <f t="shared" si="386"/>
        <v>{5000,8,1,2801,112}</v>
      </c>
      <c r="AT642" t="str">
        <f t="shared" si="387"/>
        <v>{5000,8,1,2802,113}</v>
      </c>
      <c r="AU642" t="str">
        <f t="shared" si="388"/>
        <v/>
      </c>
      <c r="AV642">
        <v>3818</v>
      </c>
      <c r="AW642" t="str">
        <f t="shared" si="416"/>
        <v>[{5000,8,1,2801,101},{5000,8,1,2801,103},{5000,8,1,2802,111},{5000,8,1,2801,112},{5000,8,1,2802,113}]</v>
      </c>
    </row>
    <row r="643" spans="2:48">
      <c r="B643">
        <v>3819</v>
      </c>
      <c r="C643" t="s">
        <v>53</v>
      </c>
      <c r="D643" t="str">
        <f t="shared" si="391"/>
        <v>29</v>
      </c>
      <c r="F643">
        <v>119</v>
      </c>
      <c r="H643">
        <f t="shared" si="399"/>
        <v>0</v>
      </c>
      <c r="K643" t="str">
        <f t="shared" si="417"/>
        <v/>
      </c>
      <c r="L643" t="str">
        <f t="shared" si="408"/>
        <v/>
      </c>
      <c r="N643">
        <f t="shared" si="407"/>
        <v>0</v>
      </c>
      <c r="P643" t="str">
        <f t="shared" si="418"/>
        <v/>
      </c>
      <c r="R643" t="str">
        <f t="shared" si="409"/>
        <v/>
      </c>
      <c r="T643">
        <f t="shared" ref="T643:T706" si="422">N643</f>
        <v>0</v>
      </c>
      <c r="V643" t="str">
        <f t="shared" si="419"/>
        <v/>
      </c>
      <c r="X643" t="str">
        <f t="shared" si="410"/>
        <v/>
      </c>
      <c r="Z643">
        <f t="shared" ref="Z643:Z706" si="423">T643</f>
        <v>0</v>
      </c>
      <c r="AB643" t="str">
        <f t="shared" si="420"/>
        <v/>
      </c>
      <c r="AD643" t="str">
        <f t="shared" si="411"/>
        <v/>
      </c>
      <c r="AF643">
        <f t="shared" ref="AF643:AF706" si="424">Z643</f>
        <v>0</v>
      </c>
      <c r="AH643" t="str">
        <f t="shared" si="421"/>
        <v/>
      </c>
      <c r="AJ643" t="str">
        <f t="shared" si="412"/>
        <v/>
      </c>
      <c r="AP643" t="str">
        <f t="shared" ref="AP643:AP706" si="425">IF(G643="","",$AQ$1&amp;_xlfn.TEXTJOIN(",",1,G643:I643,K643,L643)&amp;$AR$1)</f>
        <v/>
      </c>
      <c r="AQ643" t="str">
        <f t="shared" ref="AQ643:AQ706" si="426">IF(G643="","",$AQ$1&amp;_xlfn.TEXTJOIN(",",1,M643:P643,R643)&amp;$AR$1)</f>
        <v/>
      </c>
      <c r="AR643" t="str">
        <f t="shared" ref="AR643:AR706" si="427">IF(G643="","",$AQ$1&amp;_xlfn.TEXTJOIN(",",1,S643:V643,X643)&amp;$AR$1)</f>
        <v/>
      </c>
      <c r="AS643" t="str">
        <f t="shared" ref="AS643:AS706" si="428">IF(G643="","",$AQ$1&amp;_xlfn.TEXTJOIN(",",1,Y643:AB643,AD643)&amp;$AR$1)</f>
        <v/>
      </c>
      <c r="AT643" t="str">
        <f t="shared" ref="AT643:AT706" si="429">IF(G643="","",$AQ$1&amp;_xlfn.TEXTJOIN(",",1,AE643:AH643,AJ643)&amp;$AR$1)</f>
        <v/>
      </c>
      <c r="AU643" t="str">
        <f t="shared" ref="AU643:AU706" si="430">IF(AK643="","",IF(G643="","",$AQ$1&amp;_xlfn.TEXTJOIN(",",1,AK643:AO643)&amp;$AR$1))</f>
        <v/>
      </c>
      <c r="AV643">
        <v>3819</v>
      </c>
    </row>
    <row r="644" spans="2:49">
      <c r="B644">
        <v>3820</v>
      </c>
      <c r="C644" t="s">
        <v>53</v>
      </c>
      <c r="D644" t="str">
        <f t="shared" si="391"/>
        <v>29</v>
      </c>
      <c r="F644">
        <v>121</v>
      </c>
      <c r="G644">
        <v>5000</v>
      </c>
      <c r="H644">
        <f t="shared" si="399"/>
        <v>10</v>
      </c>
      <c r="I644">
        <v>1</v>
      </c>
      <c r="J644">
        <v>3</v>
      </c>
      <c r="K644">
        <f t="shared" si="417"/>
        <v>2803</v>
      </c>
      <c r="L644">
        <f t="shared" si="408"/>
        <v>101</v>
      </c>
      <c r="M644">
        <v>5000</v>
      </c>
      <c r="N644">
        <f t="shared" si="407"/>
        <v>10</v>
      </c>
      <c r="O644">
        <v>1</v>
      </c>
      <c r="P644">
        <f t="shared" si="418"/>
        <v>2803</v>
      </c>
      <c r="Q644">
        <v>54</v>
      </c>
      <c r="R644">
        <f t="shared" si="409"/>
        <v>102</v>
      </c>
      <c r="S644">
        <v>5000</v>
      </c>
      <c r="T644">
        <f t="shared" si="422"/>
        <v>10</v>
      </c>
      <c r="U644">
        <v>1</v>
      </c>
      <c r="V644">
        <f t="shared" si="419"/>
        <v>2803</v>
      </c>
      <c r="W644">
        <v>51</v>
      </c>
      <c r="X644">
        <f t="shared" si="410"/>
        <v>103</v>
      </c>
      <c r="Y644">
        <v>5000</v>
      </c>
      <c r="Z644">
        <f t="shared" si="423"/>
        <v>10</v>
      </c>
      <c r="AA644">
        <v>1</v>
      </c>
      <c r="AB644">
        <f t="shared" si="420"/>
        <v>2803</v>
      </c>
      <c r="AC644">
        <v>71</v>
      </c>
      <c r="AD644">
        <f t="shared" si="411"/>
        <v>113</v>
      </c>
      <c r="AE644">
        <v>5000</v>
      </c>
      <c r="AF644">
        <f t="shared" si="424"/>
        <v>10</v>
      </c>
      <c r="AG644">
        <v>1</v>
      </c>
      <c r="AH644">
        <f t="shared" si="421"/>
        <v>2803</v>
      </c>
      <c r="AI644">
        <v>79</v>
      </c>
      <c r="AJ644">
        <f t="shared" si="412"/>
        <v>111</v>
      </c>
      <c r="AK644">
        <v>1000</v>
      </c>
      <c r="AL644">
        <v>1</v>
      </c>
      <c r="AM644">
        <v>0</v>
      </c>
      <c r="AN644">
        <f t="shared" ref="AN644" si="431">AN621+100</f>
        <v>2821</v>
      </c>
      <c r="AO644">
        <v>4</v>
      </c>
      <c r="AP644" t="str">
        <f t="shared" si="425"/>
        <v>{5000,10,1,2803,101}</v>
      </c>
      <c r="AQ644" t="str">
        <f t="shared" si="426"/>
        <v>{5000,10,1,2803,102}</v>
      </c>
      <c r="AR644" t="str">
        <f t="shared" si="427"/>
        <v>{5000,10,1,2803,103}</v>
      </c>
      <c r="AS644" t="str">
        <f t="shared" si="428"/>
        <v>{5000,10,1,2803,113}</v>
      </c>
      <c r="AT644" t="str">
        <f t="shared" si="429"/>
        <v>{5000,10,1,2803,111}</v>
      </c>
      <c r="AU644" t="str">
        <f t="shared" si="430"/>
        <v>{1000,1,0,2821,4}</v>
      </c>
      <c r="AV644">
        <v>3820</v>
      </c>
      <c r="AW644" t="str">
        <f t="shared" ref="AW644:AW649" si="432">IF(AU644="","["&amp;_xlfn.TEXTJOIN(",",1,AP644:AT644)&amp;"]","["&amp;_xlfn.TEXTJOIN(",",1,AP644:AU644)&amp;"]")</f>
        <v>[{5000,10,1,2803,101},{5000,10,1,2803,102},{5000,10,1,2803,103},{5000,10,1,2803,113},{5000,10,1,2803,111},{1000,1,0,2821,4}]</v>
      </c>
    </row>
    <row r="645" spans="2:49">
      <c r="B645">
        <v>3821</v>
      </c>
      <c r="C645" t="s">
        <v>53</v>
      </c>
      <c r="D645" t="str">
        <f t="shared" si="391"/>
        <v>29</v>
      </c>
      <c r="F645">
        <v>136</v>
      </c>
      <c r="G645">
        <v>5000</v>
      </c>
      <c r="H645">
        <f t="shared" si="399"/>
        <v>9</v>
      </c>
      <c r="I645">
        <v>1</v>
      </c>
      <c r="J645">
        <v>1</v>
      </c>
      <c r="K645">
        <f t="shared" si="417"/>
        <v>2801</v>
      </c>
      <c r="L645">
        <f t="shared" si="408"/>
        <v>101</v>
      </c>
      <c r="M645">
        <v>5000</v>
      </c>
      <c r="N645">
        <f t="shared" si="407"/>
        <v>9</v>
      </c>
      <c r="O645">
        <v>1</v>
      </c>
      <c r="P645">
        <f t="shared" si="418"/>
        <v>2801</v>
      </c>
      <c r="Q645">
        <v>54</v>
      </c>
      <c r="R645">
        <f t="shared" si="409"/>
        <v>103</v>
      </c>
      <c r="S645">
        <v>5000</v>
      </c>
      <c r="T645">
        <f t="shared" si="422"/>
        <v>9</v>
      </c>
      <c r="U645">
        <v>1</v>
      </c>
      <c r="V645">
        <f t="shared" si="419"/>
        <v>2802</v>
      </c>
      <c r="W645">
        <v>76</v>
      </c>
      <c r="X645">
        <f t="shared" si="410"/>
        <v>111</v>
      </c>
      <c r="Y645">
        <v>5000</v>
      </c>
      <c r="Z645">
        <f t="shared" si="423"/>
        <v>9</v>
      </c>
      <c r="AA645">
        <v>1</v>
      </c>
      <c r="AB645">
        <f t="shared" si="420"/>
        <v>2801</v>
      </c>
      <c r="AC645">
        <v>72</v>
      </c>
      <c r="AD645">
        <f t="shared" si="411"/>
        <v>112</v>
      </c>
      <c r="AE645">
        <v>5000</v>
      </c>
      <c r="AF645">
        <f t="shared" si="424"/>
        <v>9</v>
      </c>
      <c r="AG645">
        <v>1</v>
      </c>
      <c r="AH645">
        <f t="shared" si="421"/>
        <v>2802</v>
      </c>
      <c r="AI645">
        <v>74</v>
      </c>
      <c r="AJ645">
        <f t="shared" si="412"/>
        <v>113</v>
      </c>
      <c r="AP645" t="str">
        <f t="shared" si="425"/>
        <v>{5000,9,1,2801,101}</v>
      </c>
      <c r="AQ645" t="str">
        <f t="shared" si="426"/>
        <v>{5000,9,1,2801,103}</v>
      </c>
      <c r="AR645" t="str">
        <f t="shared" si="427"/>
        <v>{5000,9,1,2802,111}</v>
      </c>
      <c r="AS645" t="str">
        <f t="shared" si="428"/>
        <v>{5000,9,1,2801,112}</v>
      </c>
      <c r="AT645" t="str">
        <f t="shared" si="429"/>
        <v>{5000,9,1,2802,113}</v>
      </c>
      <c r="AU645" t="str">
        <f t="shared" si="430"/>
        <v/>
      </c>
      <c r="AV645">
        <v>3821</v>
      </c>
      <c r="AW645" t="str">
        <f t="shared" si="432"/>
        <v>[{5000,9,1,2801,101},{5000,9,1,2801,103},{5000,9,1,2802,111},{5000,9,1,2801,112},{5000,9,1,2802,113}]</v>
      </c>
    </row>
    <row r="646" spans="2:49">
      <c r="B646">
        <v>3822</v>
      </c>
      <c r="C646" t="s">
        <v>53</v>
      </c>
      <c r="D646" t="str">
        <f t="shared" si="391"/>
        <v>29</v>
      </c>
      <c r="F646">
        <v>151</v>
      </c>
      <c r="G646">
        <v>5000</v>
      </c>
      <c r="H646">
        <f t="shared" si="399"/>
        <v>10</v>
      </c>
      <c r="I646">
        <v>1</v>
      </c>
      <c r="J646">
        <v>1</v>
      </c>
      <c r="K646">
        <f t="shared" si="417"/>
        <v>2801</v>
      </c>
      <c r="L646">
        <f t="shared" si="408"/>
        <v>101</v>
      </c>
      <c r="M646">
        <v>5000</v>
      </c>
      <c r="N646">
        <f t="shared" si="407"/>
        <v>10</v>
      </c>
      <c r="O646">
        <v>1</v>
      </c>
      <c r="P646">
        <f t="shared" si="418"/>
        <v>2801</v>
      </c>
      <c r="Q646">
        <v>54</v>
      </c>
      <c r="R646">
        <f t="shared" si="409"/>
        <v>102</v>
      </c>
      <c r="S646">
        <v>5000</v>
      </c>
      <c r="T646">
        <f t="shared" si="422"/>
        <v>10</v>
      </c>
      <c r="U646">
        <v>1</v>
      </c>
      <c r="V646">
        <f t="shared" si="419"/>
        <v>2802</v>
      </c>
      <c r="W646">
        <v>56</v>
      </c>
      <c r="X646">
        <f t="shared" si="410"/>
        <v>103</v>
      </c>
      <c r="Y646">
        <v>5000</v>
      </c>
      <c r="Z646">
        <f t="shared" si="423"/>
        <v>10</v>
      </c>
      <c r="AA646">
        <v>1</v>
      </c>
      <c r="AB646">
        <f t="shared" si="420"/>
        <v>2801</v>
      </c>
      <c r="AC646">
        <v>72</v>
      </c>
      <c r="AD646">
        <f t="shared" si="411"/>
        <v>113</v>
      </c>
      <c r="AE646">
        <v>5000</v>
      </c>
      <c r="AF646">
        <f t="shared" si="424"/>
        <v>10</v>
      </c>
      <c r="AG646">
        <v>1</v>
      </c>
      <c r="AH646">
        <f t="shared" si="421"/>
        <v>2802</v>
      </c>
      <c r="AI646">
        <v>74</v>
      </c>
      <c r="AJ646">
        <f t="shared" si="412"/>
        <v>111</v>
      </c>
      <c r="AP646" t="str">
        <f t="shared" si="425"/>
        <v>{5000,10,1,2801,101}</v>
      </c>
      <c r="AQ646" t="str">
        <f t="shared" si="426"/>
        <v>{5000,10,1,2801,102}</v>
      </c>
      <c r="AR646" t="str">
        <f t="shared" si="427"/>
        <v>{5000,10,1,2802,103}</v>
      </c>
      <c r="AS646" t="str">
        <f t="shared" si="428"/>
        <v>{5000,10,1,2801,113}</v>
      </c>
      <c r="AT646" t="str">
        <f t="shared" si="429"/>
        <v>{5000,10,1,2802,111}</v>
      </c>
      <c r="AU646" t="str">
        <f t="shared" si="430"/>
        <v/>
      </c>
      <c r="AV646">
        <v>3822</v>
      </c>
      <c r="AW646" t="str">
        <f t="shared" si="432"/>
        <v>[{5000,10,1,2801,101},{5000,10,1,2801,102},{5000,10,1,2802,103},{5000,10,1,2801,113},{5000,10,1,2802,111}]</v>
      </c>
    </row>
    <row r="647" spans="2:49">
      <c r="B647">
        <v>3823</v>
      </c>
      <c r="C647" t="s">
        <v>53</v>
      </c>
      <c r="D647" t="str">
        <f t="shared" si="391"/>
        <v>29</v>
      </c>
      <c r="F647">
        <v>166</v>
      </c>
      <c r="G647">
        <v>5000</v>
      </c>
      <c r="H647">
        <f t="shared" si="399"/>
        <v>11</v>
      </c>
      <c r="I647">
        <v>1</v>
      </c>
      <c r="J647">
        <v>1</v>
      </c>
      <c r="K647">
        <f t="shared" si="417"/>
        <v>2801</v>
      </c>
      <c r="L647">
        <f t="shared" si="408"/>
        <v>101</v>
      </c>
      <c r="M647">
        <v>5000</v>
      </c>
      <c r="N647">
        <f t="shared" si="407"/>
        <v>11</v>
      </c>
      <c r="O647">
        <v>1</v>
      </c>
      <c r="P647">
        <f t="shared" si="418"/>
        <v>2801</v>
      </c>
      <c r="Q647">
        <v>59</v>
      </c>
      <c r="R647">
        <f t="shared" si="409"/>
        <v>103</v>
      </c>
      <c r="S647">
        <v>5000</v>
      </c>
      <c r="T647">
        <f t="shared" si="422"/>
        <v>11</v>
      </c>
      <c r="U647">
        <v>1</v>
      </c>
      <c r="V647">
        <f t="shared" si="419"/>
        <v>2802</v>
      </c>
      <c r="W647">
        <v>79</v>
      </c>
      <c r="X647">
        <f t="shared" si="410"/>
        <v>111</v>
      </c>
      <c r="Y647">
        <v>5000</v>
      </c>
      <c r="Z647">
        <f t="shared" si="423"/>
        <v>11</v>
      </c>
      <c r="AA647">
        <v>1</v>
      </c>
      <c r="AB647">
        <f t="shared" si="420"/>
        <v>2801</v>
      </c>
      <c r="AC647">
        <v>71</v>
      </c>
      <c r="AD647">
        <f t="shared" si="411"/>
        <v>112</v>
      </c>
      <c r="AE647">
        <v>5000</v>
      </c>
      <c r="AF647">
        <f t="shared" si="424"/>
        <v>11</v>
      </c>
      <c r="AG647">
        <v>1</v>
      </c>
      <c r="AH647">
        <f t="shared" si="421"/>
        <v>2802</v>
      </c>
      <c r="AI647">
        <v>74</v>
      </c>
      <c r="AJ647">
        <f t="shared" si="412"/>
        <v>113</v>
      </c>
      <c r="AP647" t="str">
        <f t="shared" si="425"/>
        <v>{5000,11,1,2801,101}</v>
      </c>
      <c r="AQ647" t="str">
        <f t="shared" si="426"/>
        <v>{5000,11,1,2801,103}</v>
      </c>
      <c r="AR647" t="str">
        <f t="shared" si="427"/>
        <v>{5000,11,1,2802,111}</v>
      </c>
      <c r="AS647" t="str">
        <f t="shared" si="428"/>
        <v>{5000,11,1,2801,112}</v>
      </c>
      <c r="AT647" t="str">
        <f t="shared" si="429"/>
        <v>{5000,11,1,2802,113}</v>
      </c>
      <c r="AU647" t="str">
        <f t="shared" si="430"/>
        <v/>
      </c>
      <c r="AV647">
        <v>3823</v>
      </c>
      <c r="AW647" t="str">
        <f t="shared" si="432"/>
        <v>[{5000,11,1,2801,101},{5000,11,1,2801,103},{5000,11,1,2802,111},{5000,11,1,2801,112},{5000,11,1,2802,113}]</v>
      </c>
    </row>
    <row r="648" spans="2:49">
      <c r="B648">
        <v>3824</v>
      </c>
      <c r="C648" t="s">
        <v>53</v>
      </c>
      <c r="D648" t="str">
        <f t="shared" ref="D648:D711" si="433">RIGHT(C648,2)</f>
        <v>29</v>
      </c>
      <c r="F648">
        <v>181</v>
      </c>
      <c r="G648">
        <v>5000</v>
      </c>
      <c r="H648">
        <f t="shared" si="399"/>
        <v>12</v>
      </c>
      <c r="I648">
        <v>1</v>
      </c>
      <c r="J648">
        <v>3</v>
      </c>
      <c r="K648">
        <f t="shared" si="417"/>
        <v>2803</v>
      </c>
      <c r="L648">
        <f t="shared" si="408"/>
        <v>101</v>
      </c>
      <c r="M648">
        <v>5000</v>
      </c>
      <c r="N648">
        <f t="shared" si="407"/>
        <v>12</v>
      </c>
      <c r="O648">
        <v>1</v>
      </c>
      <c r="P648">
        <f t="shared" si="418"/>
        <v>2803</v>
      </c>
      <c r="Q648">
        <v>53</v>
      </c>
      <c r="R648">
        <f t="shared" si="409"/>
        <v>102</v>
      </c>
      <c r="S648">
        <v>5000</v>
      </c>
      <c r="T648">
        <f t="shared" si="422"/>
        <v>12</v>
      </c>
      <c r="U648">
        <v>1</v>
      </c>
      <c r="V648">
        <f t="shared" si="419"/>
        <v>2803</v>
      </c>
      <c r="W648">
        <v>56</v>
      </c>
      <c r="X648">
        <f t="shared" si="410"/>
        <v>103</v>
      </c>
      <c r="Y648">
        <v>5000</v>
      </c>
      <c r="Z648">
        <f t="shared" si="423"/>
        <v>12</v>
      </c>
      <c r="AA648">
        <v>1</v>
      </c>
      <c r="AB648">
        <f t="shared" si="420"/>
        <v>2803</v>
      </c>
      <c r="AC648">
        <v>75</v>
      </c>
      <c r="AD648">
        <f t="shared" si="411"/>
        <v>113</v>
      </c>
      <c r="AE648">
        <v>5000</v>
      </c>
      <c r="AF648">
        <f t="shared" si="424"/>
        <v>12</v>
      </c>
      <c r="AG648">
        <v>1</v>
      </c>
      <c r="AH648">
        <f t="shared" si="421"/>
        <v>2803</v>
      </c>
      <c r="AI648">
        <v>78</v>
      </c>
      <c r="AJ648">
        <f t="shared" si="412"/>
        <v>111</v>
      </c>
      <c r="AP648" t="str">
        <f t="shared" si="425"/>
        <v>{5000,12,1,2803,101}</v>
      </c>
      <c r="AQ648" t="str">
        <f t="shared" si="426"/>
        <v>{5000,12,1,2803,102}</v>
      </c>
      <c r="AR648" t="str">
        <f t="shared" si="427"/>
        <v>{5000,12,1,2803,103}</v>
      </c>
      <c r="AS648" t="str">
        <f t="shared" si="428"/>
        <v>{5000,12,1,2803,113}</v>
      </c>
      <c r="AT648" t="str">
        <f t="shared" si="429"/>
        <v>{5000,12,1,2803,111}</v>
      </c>
      <c r="AU648" t="str">
        <f t="shared" si="430"/>
        <v/>
      </c>
      <c r="AV648">
        <v>3824</v>
      </c>
      <c r="AW648" t="str">
        <f t="shared" si="432"/>
        <v>[{5000,12,1,2803,101},{5000,12,1,2803,102},{5000,12,1,2803,103},{5000,12,1,2803,113},{5000,12,1,2803,111}]</v>
      </c>
    </row>
    <row r="649" spans="2:49">
      <c r="B649">
        <v>3825</v>
      </c>
      <c r="C649" t="s">
        <v>53</v>
      </c>
      <c r="D649" t="str">
        <f t="shared" si="433"/>
        <v>29</v>
      </c>
      <c r="F649">
        <v>196</v>
      </c>
      <c r="G649">
        <v>5000</v>
      </c>
      <c r="H649">
        <f t="shared" si="399"/>
        <v>12</v>
      </c>
      <c r="I649">
        <v>1</v>
      </c>
      <c r="J649">
        <v>2</v>
      </c>
      <c r="K649">
        <f t="shared" si="417"/>
        <v>2802</v>
      </c>
      <c r="L649">
        <f t="shared" si="408"/>
        <v>101</v>
      </c>
      <c r="M649">
        <v>5000</v>
      </c>
      <c r="N649">
        <f t="shared" si="407"/>
        <v>12</v>
      </c>
      <c r="O649">
        <v>1</v>
      </c>
      <c r="P649">
        <f t="shared" si="418"/>
        <v>2801</v>
      </c>
      <c r="Q649">
        <v>54</v>
      </c>
      <c r="R649">
        <f t="shared" si="409"/>
        <v>103</v>
      </c>
      <c r="S649">
        <v>5000</v>
      </c>
      <c r="T649">
        <f t="shared" si="422"/>
        <v>12</v>
      </c>
      <c r="U649">
        <v>1</v>
      </c>
      <c r="V649">
        <f t="shared" si="419"/>
        <v>2802</v>
      </c>
      <c r="W649">
        <v>77</v>
      </c>
      <c r="X649">
        <f t="shared" si="410"/>
        <v>111</v>
      </c>
      <c r="Y649">
        <v>5000</v>
      </c>
      <c r="Z649">
        <f t="shared" si="423"/>
        <v>12</v>
      </c>
      <c r="AA649">
        <v>1</v>
      </c>
      <c r="AB649">
        <f t="shared" si="420"/>
        <v>2801</v>
      </c>
      <c r="AC649">
        <v>72</v>
      </c>
      <c r="AD649">
        <f t="shared" si="411"/>
        <v>112</v>
      </c>
      <c r="AE649">
        <v>5000</v>
      </c>
      <c r="AF649">
        <f t="shared" si="424"/>
        <v>12</v>
      </c>
      <c r="AG649">
        <v>1</v>
      </c>
      <c r="AH649">
        <f t="shared" si="421"/>
        <v>2802</v>
      </c>
      <c r="AI649">
        <v>74</v>
      </c>
      <c r="AJ649">
        <f t="shared" si="412"/>
        <v>113</v>
      </c>
      <c r="AP649" t="str">
        <f t="shared" si="425"/>
        <v>{5000,12,1,2802,101}</v>
      </c>
      <c r="AQ649" t="str">
        <f t="shared" si="426"/>
        <v>{5000,12,1,2801,103}</v>
      </c>
      <c r="AR649" t="str">
        <f t="shared" si="427"/>
        <v>{5000,12,1,2802,111}</v>
      </c>
      <c r="AS649" t="str">
        <f t="shared" si="428"/>
        <v>{5000,12,1,2801,112}</v>
      </c>
      <c r="AT649" t="str">
        <f t="shared" si="429"/>
        <v>{5000,12,1,2802,113}</v>
      </c>
      <c r="AU649" t="str">
        <f t="shared" si="430"/>
        <v/>
      </c>
      <c r="AV649">
        <v>3825</v>
      </c>
      <c r="AW649" t="str">
        <f t="shared" si="432"/>
        <v>[{5000,12,1,2802,101},{5000,12,1,2801,103},{5000,12,1,2802,111},{5000,12,1,2801,112},{5000,12,1,2802,113}]</v>
      </c>
    </row>
    <row r="650" spans="2:48">
      <c r="B650">
        <v>3826</v>
      </c>
      <c r="C650" t="s">
        <v>53</v>
      </c>
      <c r="D650" t="str">
        <f t="shared" si="433"/>
        <v>29</v>
      </c>
      <c r="F650">
        <v>209</v>
      </c>
      <c r="H650">
        <f t="shared" si="399"/>
        <v>0</v>
      </c>
      <c r="K650" t="str">
        <f t="shared" si="417"/>
        <v/>
      </c>
      <c r="L650" t="str">
        <f t="shared" si="408"/>
        <v/>
      </c>
      <c r="N650">
        <f t="shared" si="407"/>
        <v>0</v>
      </c>
      <c r="P650" t="str">
        <f t="shared" si="418"/>
        <v/>
      </c>
      <c r="R650" t="str">
        <f t="shared" si="409"/>
        <v/>
      </c>
      <c r="T650">
        <f t="shared" si="422"/>
        <v>0</v>
      </c>
      <c r="V650" t="str">
        <f t="shared" si="419"/>
        <v/>
      </c>
      <c r="X650" t="str">
        <f t="shared" si="410"/>
        <v/>
      </c>
      <c r="Z650">
        <f t="shared" si="423"/>
        <v>0</v>
      </c>
      <c r="AB650" t="str">
        <f t="shared" si="420"/>
        <v/>
      </c>
      <c r="AD650" t="str">
        <f t="shared" si="411"/>
        <v/>
      </c>
      <c r="AF650">
        <f t="shared" si="424"/>
        <v>0</v>
      </c>
      <c r="AH650" t="str">
        <f t="shared" si="421"/>
        <v/>
      </c>
      <c r="AJ650" t="str">
        <f t="shared" si="412"/>
        <v/>
      </c>
      <c r="AP650" t="str">
        <f t="shared" si="425"/>
        <v/>
      </c>
      <c r="AQ650" t="str">
        <f t="shared" si="426"/>
        <v/>
      </c>
      <c r="AR650" t="str">
        <f t="shared" si="427"/>
        <v/>
      </c>
      <c r="AS650" t="str">
        <f t="shared" si="428"/>
        <v/>
      </c>
      <c r="AT650" t="str">
        <f t="shared" si="429"/>
        <v/>
      </c>
      <c r="AU650" t="str">
        <f t="shared" si="430"/>
        <v/>
      </c>
      <c r="AV650">
        <v>3826</v>
      </c>
    </row>
    <row r="651" spans="2:49">
      <c r="B651">
        <v>3827</v>
      </c>
      <c r="C651" t="s">
        <v>53</v>
      </c>
      <c r="D651" t="str">
        <f t="shared" si="433"/>
        <v>29</v>
      </c>
      <c r="F651">
        <v>211</v>
      </c>
      <c r="G651">
        <v>5000</v>
      </c>
      <c r="H651">
        <f t="shared" si="399"/>
        <v>11</v>
      </c>
      <c r="I651">
        <v>1</v>
      </c>
      <c r="J651">
        <v>2</v>
      </c>
      <c r="K651">
        <f t="shared" si="417"/>
        <v>2802</v>
      </c>
      <c r="L651">
        <f t="shared" si="408"/>
        <v>101</v>
      </c>
      <c r="M651">
        <v>5000</v>
      </c>
      <c r="N651">
        <f t="shared" si="407"/>
        <v>11</v>
      </c>
      <c r="O651">
        <v>1</v>
      </c>
      <c r="P651">
        <f t="shared" si="418"/>
        <v>2801</v>
      </c>
      <c r="Q651">
        <v>51</v>
      </c>
      <c r="R651">
        <f t="shared" si="409"/>
        <v>102</v>
      </c>
      <c r="S651">
        <v>5000</v>
      </c>
      <c r="T651">
        <f t="shared" si="422"/>
        <v>11</v>
      </c>
      <c r="U651">
        <v>1</v>
      </c>
      <c r="V651">
        <f t="shared" si="419"/>
        <v>2802</v>
      </c>
      <c r="W651">
        <v>57</v>
      </c>
      <c r="X651">
        <f t="shared" si="410"/>
        <v>103</v>
      </c>
      <c r="Y651">
        <v>5000</v>
      </c>
      <c r="Z651">
        <f t="shared" si="423"/>
        <v>11</v>
      </c>
      <c r="AA651">
        <v>1</v>
      </c>
      <c r="AB651">
        <f t="shared" si="420"/>
        <v>2801</v>
      </c>
      <c r="AC651">
        <v>79</v>
      </c>
      <c r="AD651">
        <f t="shared" si="411"/>
        <v>113</v>
      </c>
      <c r="AE651">
        <v>5000</v>
      </c>
      <c r="AF651">
        <f t="shared" si="424"/>
        <v>11</v>
      </c>
      <c r="AG651">
        <v>1</v>
      </c>
      <c r="AH651">
        <f t="shared" si="421"/>
        <v>2802</v>
      </c>
      <c r="AI651">
        <v>72</v>
      </c>
      <c r="AJ651">
        <f t="shared" si="412"/>
        <v>111</v>
      </c>
      <c r="AK651">
        <v>1000</v>
      </c>
      <c r="AL651">
        <v>1</v>
      </c>
      <c r="AM651">
        <v>0</v>
      </c>
      <c r="AN651">
        <f t="shared" ref="AN651" si="434">AN628+100</f>
        <v>2831</v>
      </c>
      <c r="AO651">
        <v>4</v>
      </c>
      <c r="AP651" t="str">
        <f t="shared" si="425"/>
        <v>{5000,11,1,2802,101}</v>
      </c>
      <c r="AQ651" t="str">
        <f t="shared" si="426"/>
        <v>{5000,11,1,2801,102}</v>
      </c>
      <c r="AR651" t="str">
        <f t="shared" si="427"/>
        <v>{5000,11,1,2802,103}</v>
      </c>
      <c r="AS651" t="str">
        <f t="shared" si="428"/>
        <v>{5000,11,1,2801,113}</v>
      </c>
      <c r="AT651" t="str">
        <f t="shared" si="429"/>
        <v>{5000,11,1,2802,111}</v>
      </c>
      <c r="AU651" t="str">
        <f t="shared" si="430"/>
        <v>{1000,1,0,2831,4}</v>
      </c>
      <c r="AV651">
        <v>3827</v>
      </c>
      <c r="AW651" t="str">
        <f t="shared" ref="AW651:AW665" si="435">IF(AU651="","["&amp;_xlfn.TEXTJOIN(",",1,AP651:AT651)&amp;"]","["&amp;_xlfn.TEXTJOIN(",",1,AP651:AU651)&amp;"]")</f>
        <v>[{5000,11,1,2802,101},{5000,11,1,2801,102},{5000,11,1,2802,103},{5000,11,1,2801,113},{5000,11,1,2802,111},{1000,1,0,2831,4}]</v>
      </c>
    </row>
    <row r="652" spans="2:49">
      <c r="B652">
        <v>3828</v>
      </c>
      <c r="C652" t="s">
        <v>53</v>
      </c>
      <c r="D652" t="str">
        <f t="shared" si="433"/>
        <v>29</v>
      </c>
      <c r="F652">
        <v>226</v>
      </c>
      <c r="G652">
        <v>5000</v>
      </c>
      <c r="H652">
        <f t="shared" si="399"/>
        <v>11</v>
      </c>
      <c r="I652">
        <v>1</v>
      </c>
      <c r="J652">
        <v>2</v>
      </c>
      <c r="K652">
        <f t="shared" si="417"/>
        <v>2802</v>
      </c>
      <c r="L652">
        <f t="shared" si="408"/>
        <v>101</v>
      </c>
      <c r="M652">
        <v>5000</v>
      </c>
      <c r="N652">
        <f t="shared" si="407"/>
        <v>11</v>
      </c>
      <c r="O652">
        <v>1</v>
      </c>
      <c r="P652">
        <f t="shared" si="418"/>
        <v>2801</v>
      </c>
      <c r="Q652">
        <v>51</v>
      </c>
      <c r="R652">
        <f t="shared" si="409"/>
        <v>103</v>
      </c>
      <c r="S652">
        <v>5000</v>
      </c>
      <c r="T652">
        <f t="shared" si="422"/>
        <v>11</v>
      </c>
      <c r="U652">
        <v>1</v>
      </c>
      <c r="V652">
        <f t="shared" si="419"/>
        <v>2802</v>
      </c>
      <c r="W652">
        <v>75</v>
      </c>
      <c r="X652">
        <f t="shared" si="410"/>
        <v>111</v>
      </c>
      <c r="Y652">
        <v>5000</v>
      </c>
      <c r="Z652">
        <f t="shared" si="423"/>
        <v>11</v>
      </c>
      <c r="AA652">
        <v>1</v>
      </c>
      <c r="AB652">
        <f t="shared" si="420"/>
        <v>2801</v>
      </c>
      <c r="AC652">
        <v>71</v>
      </c>
      <c r="AD652">
        <f t="shared" si="411"/>
        <v>112</v>
      </c>
      <c r="AE652">
        <v>5000</v>
      </c>
      <c r="AF652">
        <f t="shared" si="424"/>
        <v>11</v>
      </c>
      <c r="AG652">
        <v>1</v>
      </c>
      <c r="AH652">
        <f t="shared" si="421"/>
        <v>2802</v>
      </c>
      <c r="AI652">
        <v>77</v>
      </c>
      <c r="AJ652">
        <f t="shared" si="412"/>
        <v>113</v>
      </c>
      <c r="AP652" t="str">
        <f t="shared" si="425"/>
        <v>{5000,11,1,2802,101}</v>
      </c>
      <c r="AQ652" t="str">
        <f t="shared" si="426"/>
        <v>{5000,11,1,2801,103}</v>
      </c>
      <c r="AR652" t="str">
        <f t="shared" si="427"/>
        <v>{5000,11,1,2802,111}</v>
      </c>
      <c r="AS652" t="str">
        <f t="shared" si="428"/>
        <v>{5000,11,1,2801,112}</v>
      </c>
      <c r="AT652" t="str">
        <f t="shared" si="429"/>
        <v>{5000,11,1,2802,113}</v>
      </c>
      <c r="AU652" t="str">
        <f t="shared" si="430"/>
        <v/>
      </c>
      <c r="AV652">
        <v>3828</v>
      </c>
      <c r="AW652" t="str">
        <f t="shared" si="435"/>
        <v>[{5000,11,1,2802,101},{5000,11,1,2801,103},{5000,11,1,2802,111},{5000,11,1,2801,112},{5000,11,1,2802,113}]</v>
      </c>
    </row>
    <row r="653" spans="2:49">
      <c r="B653">
        <v>3829</v>
      </c>
      <c r="C653" t="s">
        <v>53</v>
      </c>
      <c r="D653" t="str">
        <f t="shared" si="433"/>
        <v>29</v>
      </c>
      <c r="F653">
        <v>241</v>
      </c>
      <c r="G653">
        <v>5000</v>
      </c>
      <c r="H653">
        <f t="shared" si="399"/>
        <v>13</v>
      </c>
      <c r="I653">
        <v>1</v>
      </c>
      <c r="J653">
        <v>3</v>
      </c>
      <c r="K653">
        <f t="shared" si="417"/>
        <v>2803</v>
      </c>
      <c r="L653">
        <f t="shared" si="408"/>
        <v>101</v>
      </c>
      <c r="M653">
        <v>5000</v>
      </c>
      <c r="N653">
        <f t="shared" si="407"/>
        <v>13</v>
      </c>
      <c r="O653">
        <v>1</v>
      </c>
      <c r="P653">
        <f t="shared" si="418"/>
        <v>2803</v>
      </c>
      <c r="Q653">
        <v>53</v>
      </c>
      <c r="R653">
        <f t="shared" si="409"/>
        <v>102</v>
      </c>
      <c r="S653">
        <v>5000</v>
      </c>
      <c r="T653">
        <f t="shared" si="422"/>
        <v>13</v>
      </c>
      <c r="U653">
        <v>1</v>
      </c>
      <c r="V653">
        <f t="shared" si="419"/>
        <v>2803</v>
      </c>
      <c r="W653">
        <v>56</v>
      </c>
      <c r="X653">
        <f t="shared" si="410"/>
        <v>103</v>
      </c>
      <c r="Y653">
        <v>5000</v>
      </c>
      <c r="Z653">
        <f t="shared" si="423"/>
        <v>13</v>
      </c>
      <c r="AA653">
        <v>1</v>
      </c>
      <c r="AB653">
        <f t="shared" si="420"/>
        <v>2803</v>
      </c>
      <c r="AC653">
        <v>74</v>
      </c>
      <c r="AD653">
        <f t="shared" si="411"/>
        <v>113</v>
      </c>
      <c r="AE653">
        <v>5000</v>
      </c>
      <c r="AF653">
        <f t="shared" si="424"/>
        <v>13</v>
      </c>
      <c r="AG653">
        <v>1</v>
      </c>
      <c r="AH653">
        <f t="shared" si="421"/>
        <v>2803</v>
      </c>
      <c r="AI653">
        <v>78</v>
      </c>
      <c r="AJ653">
        <f t="shared" si="412"/>
        <v>111</v>
      </c>
      <c r="AP653" t="str">
        <f t="shared" si="425"/>
        <v>{5000,13,1,2803,101}</v>
      </c>
      <c r="AQ653" t="str">
        <f t="shared" si="426"/>
        <v>{5000,13,1,2803,102}</v>
      </c>
      <c r="AR653" t="str">
        <f t="shared" si="427"/>
        <v>{5000,13,1,2803,103}</v>
      </c>
      <c r="AS653" t="str">
        <f t="shared" si="428"/>
        <v>{5000,13,1,2803,113}</v>
      </c>
      <c r="AT653" t="str">
        <f t="shared" si="429"/>
        <v>{5000,13,1,2803,111}</v>
      </c>
      <c r="AU653" t="str">
        <f t="shared" si="430"/>
        <v/>
      </c>
      <c r="AV653">
        <v>3829</v>
      </c>
      <c r="AW653" t="str">
        <f t="shared" si="435"/>
        <v>[{5000,13,1,2803,101},{5000,13,1,2803,102},{5000,13,1,2803,103},{5000,13,1,2803,113},{5000,13,1,2803,111}]</v>
      </c>
    </row>
    <row r="654" spans="2:49">
      <c r="B654">
        <v>3830</v>
      </c>
      <c r="C654" t="s">
        <v>53</v>
      </c>
      <c r="D654" t="str">
        <f t="shared" si="433"/>
        <v>29</v>
      </c>
      <c r="F654">
        <v>256</v>
      </c>
      <c r="G654">
        <v>5000</v>
      </c>
      <c r="H654">
        <f t="shared" si="399"/>
        <v>12</v>
      </c>
      <c r="I654">
        <v>1</v>
      </c>
      <c r="J654">
        <v>2</v>
      </c>
      <c r="K654">
        <f t="shared" si="417"/>
        <v>2802</v>
      </c>
      <c r="L654">
        <f t="shared" si="408"/>
        <v>101</v>
      </c>
      <c r="M654">
        <v>5000</v>
      </c>
      <c r="N654">
        <f t="shared" si="407"/>
        <v>12</v>
      </c>
      <c r="O654">
        <v>1</v>
      </c>
      <c r="P654">
        <f t="shared" si="418"/>
        <v>2802</v>
      </c>
      <c r="Q654">
        <v>59</v>
      </c>
      <c r="R654">
        <f t="shared" si="409"/>
        <v>103</v>
      </c>
      <c r="S654">
        <v>5000</v>
      </c>
      <c r="T654">
        <f t="shared" si="422"/>
        <v>12</v>
      </c>
      <c r="U654">
        <v>1</v>
      </c>
      <c r="V654">
        <f t="shared" si="419"/>
        <v>2802</v>
      </c>
      <c r="W654">
        <v>79</v>
      </c>
      <c r="X654">
        <f t="shared" si="410"/>
        <v>111</v>
      </c>
      <c r="Y654">
        <v>5000</v>
      </c>
      <c r="Z654">
        <f t="shared" si="423"/>
        <v>12</v>
      </c>
      <c r="AA654">
        <v>1</v>
      </c>
      <c r="AB654">
        <f t="shared" si="420"/>
        <v>2801</v>
      </c>
      <c r="AC654">
        <v>72</v>
      </c>
      <c r="AD654">
        <f t="shared" si="411"/>
        <v>112</v>
      </c>
      <c r="AE654">
        <v>5000</v>
      </c>
      <c r="AF654">
        <f t="shared" si="424"/>
        <v>12</v>
      </c>
      <c r="AG654">
        <v>1</v>
      </c>
      <c r="AH654">
        <f t="shared" si="421"/>
        <v>2802</v>
      </c>
      <c r="AI654">
        <v>74</v>
      </c>
      <c r="AJ654">
        <f t="shared" si="412"/>
        <v>113</v>
      </c>
      <c r="AP654" t="str">
        <f t="shared" si="425"/>
        <v>{5000,12,1,2802,101}</v>
      </c>
      <c r="AQ654" t="str">
        <f t="shared" si="426"/>
        <v>{5000,12,1,2802,103}</v>
      </c>
      <c r="AR654" t="str">
        <f t="shared" si="427"/>
        <v>{5000,12,1,2802,111}</v>
      </c>
      <c r="AS654" t="str">
        <f t="shared" si="428"/>
        <v>{5000,12,1,2801,112}</v>
      </c>
      <c r="AT654" t="str">
        <f t="shared" si="429"/>
        <v>{5000,12,1,2802,113}</v>
      </c>
      <c r="AU654" t="str">
        <f t="shared" si="430"/>
        <v/>
      </c>
      <c r="AV654">
        <v>3830</v>
      </c>
      <c r="AW654" t="str">
        <f t="shared" si="435"/>
        <v>[{5000,12,1,2802,101},{5000,12,1,2802,103},{5000,12,1,2802,111},{5000,12,1,2801,112},{5000,12,1,2802,113}]</v>
      </c>
    </row>
    <row r="655" spans="2:49">
      <c r="B655">
        <v>3831</v>
      </c>
      <c r="C655" t="s">
        <v>53</v>
      </c>
      <c r="D655" t="str">
        <f t="shared" si="433"/>
        <v>29</v>
      </c>
      <c r="F655">
        <v>271</v>
      </c>
      <c r="G655">
        <v>5000</v>
      </c>
      <c r="H655">
        <f t="shared" si="399"/>
        <v>13</v>
      </c>
      <c r="I655">
        <v>1</v>
      </c>
      <c r="J655">
        <v>2</v>
      </c>
      <c r="K655">
        <f t="shared" si="417"/>
        <v>2802</v>
      </c>
      <c r="L655">
        <f t="shared" si="408"/>
        <v>101</v>
      </c>
      <c r="M655">
        <v>5000</v>
      </c>
      <c r="N655">
        <f t="shared" si="407"/>
        <v>13</v>
      </c>
      <c r="O655">
        <v>1</v>
      </c>
      <c r="P655">
        <f t="shared" si="418"/>
        <v>2802</v>
      </c>
      <c r="Q655">
        <v>54</v>
      </c>
      <c r="R655">
        <f t="shared" si="409"/>
        <v>102</v>
      </c>
      <c r="S655">
        <v>5000</v>
      </c>
      <c r="T655">
        <f t="shared" si="422"/>
        <v>13</v>
      </c>
      <c r="U655">
        <v>1</v>
      </c>
      <c r="V655">
        <f t="shared" si="419"/>
        <v>2802</v>
      </c>
      <c r="W655">
        <v>56</v>
      </c>
      <c r="X655">
        <f t="shared" si="410"/>
        <v>103</v>
      </c>
      <c r="Y655">
        <v>5000</v>
      </c>
      <c r="Z655">
        <f t="shared" si="423"/>
        <v>13</v>
      </c>
      <c r="AA655">
        <v>1</v>
      </c>
      <c r="AB655">
        <f t="shared" si="420"/>
        <v>2802</v>
      </c>
      <c r="AC655">
        <v>73</v>
      </c>
      <c r="AD655">
        <f t="shared" si="411"/>
        <v>113</v>
      </c>
      <c r="AE655">
        <v>5000</v>
      </c>
      <c r="AF655">
        <f t="shared" si="424"/>
        <v>13</v>
      </c>
      <c r="AG655">
        <v>1</v>
      </c>
      <c r="AH655">
        <f t="shared" si="421"/>
        <v>2802</v>
      </c>
      <c r="AI655">
        <v>75</v>
      </c>
      <c r="AJ655">
        <f t="shared" si="412"/>
        <v>111</v>
      </c>
      <c r="AP655" t="str">
        <f t="shared" si="425"/>
        <v>{5000,13,1,2802,101}</v>
      </c>
      <c r="AQ655" t="str">
        <f t="shared" si="426"/>
        <v>{5000,13,1,2802,102}</v>
      </c>
      <c r="AR655" t="str">
        <f t="shared" si="427"/>
        <v>{5000,13,1,2802,103}</v>
      </c>
      <c r="AS655" t="str">
        <f t="shared" si="428"/>
        <v>{5000,13,1,2802,113}</v>
      </c>
      <c r="AT655" t="str">
        <f t="shared" si="429"/>
        <v>{5000,13,1,2802,111}</v>
      </c>
      <c r="AU655" t="str">
        <f t="shared" si="430"/>
        <v/>
      </c>
      <c r="AV655">
        <v>3831</v>
      </c>
      <c r="AW655" t="str">
        <f t="shared" si="435"/>
        <v>[{5000,13,1,2802,101},{5000,13,1,2802,102},{5000,13,1,2802,103},{5000,13,1,2802,113},{5000,13,1,2802,111}]</v>
      </c>
    </row>
    <row r="656" spans="2:49">
      <c r="B656">
        <v>3832</v>
      </c>
      <c r="C656" t="s">
        <v>53</v>
      </c>
      <c r="D656" t="str">
        <f t="shared" si="433"/>
        <v>29</v>
      </c>
      <c r="F656">
        <v>286</v>
      </c>
      <c r="G656">
        <v>5000</v>
      </c>
      <c r="H656">
        <f t="shared" si="399"/>
        <v>13</v>
      </c>
      <c r="I656">
        <v>1</v>
      </c>
      <c r="J656">
        <v>2</v>
      </c>
      <c r="K656">
        <f t="shared" si="417"/>
        <v>2802</v>
      </c>
      <c r="L656">
        <f t="shared" si="408"/>
        <v>101</v>
      </c>
      <c r="M656">
        <v>5000</v>
      </c>
      <c r="N656">
        <f t="shared" si="407"/>
        <v>13</v>
      </c>
      <c r="O656">
        <v>1</v>
      </c>
      <c r="P656">
        <f t="shared" si="418"/>
        <v>2802</v>
      </c>
      <c r="Q656">
        <v>53</v>
      </c>
      <c r="R656">
        <f t="shared" si="409"/>
        <v>103</v>
      </c>
      <c r="S656">
        <v>5000</v>
      </c>
      <c r="T656">
        <f t="shared" si="422"/>
        <v>13</v>
      </c>
      <c r="U656">
        <v>1</v>
      </c>
      <c r="V656">
        <f t="shared" si="419"/>
        <v>2802</v>
      </c>
      <c r="W656">
        <v>59</v>
      </c>
      <c r="X656">
        <f t="shared" si="410"/>
        <v>111</v>
      </c>
      <c r="Y656">
        <v>5000</v>
      </c>
      <c r="Z656">
        <f t="shared" si="423"/>
        <v>13</v>
      </c>
      <c r="AA656">
        <v>1</v>
      </c>
      <c r="AB656">
        <f t="shared" si="420"/>
        <v>2802</v>
      </c>
      <c r="AC656">
        <v>71</v>
      </c>
      <c r="AD656">
        <f t="shared" si="411"/>
        <v>112</v>
      </c>
      <c r="AE656">
        <v>5000</v>
      </c>
      <c r="AF656">
        <f t="shared" si="424"/>
        <v>13</v>
      </c>
      <c r="AG656">
        <v>1</v>
      </c>
      <c r="AH656">
        <f t="shared" si="421"/>
        <v>2802</v>
      </c>
      <c r="AI656">
        <v>77</v>
      </c>
      <c r="AJ656">
        <f t="shared" si="412"/>
        <v>113</v>
      </c>
      <c r="AP656" t="str">
        <f t="shared" si="425"/>
        <v>{5000,13,1,2802,101}</v>
      </c>
      <c r="AQ656" t="str">
        <f t="shared" si="426"/>
        <v>{5000,13,1,2802,103}</v>
      </c>
      <c r="AR656" t="str">
        <f t="shared" si="427"/>
        <v>{5000,13,1,2802,111}</v>
      </c>
      <c r="AS656" t="str">
        <f t="shared" si="428"/>
        <v>{5000,13,1,2802,112}</v>
      </c>
      <c r="AT656" t="str">
        <f t="shared" si="429"/>
        <v>{5000,13,1,2802,113}</v>
      </c>
      <c r="AU656" t="str">
        <f t="shared" si="430"/>
        <v/>
      </c>
      <c r="AV656">
        <v>3832</v>
      </c>
      <c r="AW656" t="str">
        <f t="shared" si="435"/>
        <v>[{5000,13,1,2802,101},{5000,13,1,2802,103},{5000,13,1,2802,111},{5000,13,1,2802,112},{5000,13,1,2802,113}]</v>
      </c>
    </row>
    <row r="657" spans="2:49">
      <c r="B657">
        <v>3833</v>
      </c>
      <c r="C657" t="s">
        <v>53</v>
      </c>
      <c r="D657" t="str">
        <f t="shared" si="433"/>
        <v>29</v>
      </c>
      <c r="F657">
        <v>290</v>
      </c>
      <c r="G657">
        <v>5000</v>
      </c>
      <c r="H657">
        <f t="shared" si="399"/>
        <v>13</v>
      </c>
      <c r="I657">
        <v>1</v>
      </c>
      <c r="J657">
        <v>2</v>
      </c>
      <c r="K657">
        <f t="shared" si="417"/>
        <v>2802</v>
      </c>
      <c r="L657">
        <f t="shared" si="408"/>
        <v>101</v>
      </c>
      <c r="M657">
        <v>5000</v>
      </c>
      <c r="N657">
        <f t="shared" si="407"/>
        <v>13</v>
      </c>
      <c r="O657">
        <v>1</v>
      </c>
      <c r="P657">
        <f t="shared" si="418"/>
        <v>2802</v>
      </c>
      <c r="Q657">
        <v>56</v>
      </c>
      <c r="R657">
        <f t="shared" si="409"/>
        <v>102</v>
      </c>
      <c r="S657">
        <v>5000</v>
      </c>
      <c r="T657">
        <f t="shared" si="422"/>
        <v>13</v>
      </c>
      <c r="U657">
        <v>1</v>
      </c>
      <c r="V657">
        <f t="shared" si="419"/>
        <v>2801</v>
      </c>
      <c r="W657">
        <v>77</v>
      </c>
      <c r="X657">
        <f t="shared" si="410"/>
        <v>103</v>
      </c>
      <c r="Y657">
        <v>5000</v>
      </c>
      <c r="Z657">
        <f t="shared" si="423"/>
        <v>13</v>
      </c>
      <c r="AA657">
        <v>1</v>
      </c>
      <c r="AB657">
        <f t="shared" si="420"/>
        <v>2802</v>
      </c>
      <c r="AC657">
        <v>72</v>
      </c>
      <c r="AD657">
        <f t="shared" si="411"/>
        <v>113</v>
      </c>
      <c r="AE657">
        <v>5000</v>
      </c>
      <c r="AF657">
        <f t="shared" si="424"/>
        <v>13</v>
      </c>
      <c r="AG657">
        <v>1</v>
      </c>
      <c r="AH657">
        <f t="shared" si="421"/>
        <v>2802</v>
      </c>
      <c r="AI657">
        <v>74</v>
      </c>
      <c r="AJ657">
        <f t="shared" si="412"/>
        <v>111</v>
      </c>
      <c r="AP657" t="str">
        <f t="shared" si="425"/>
        <v>{5000,13,1,2802,101}</v>
      </c>
      <c r="AQ657" t="str">
        <f t="shared" si="426"/>
        <v>{5000,13,1,2802,102}</v>
      </c>
      <c r="AR657" t="str">
        <f t="shared" si="427"/>
        <v>{5000,13,1,2801,103}</v>
      </c>
      <c r="AS657" t="str">
        <f t="shared" si="428"/>
        <v>{5000,13,1,2802,113}</v>
      </c>
      <c r="AT657" t="str">
        <f t="shared" si="429"/>
        <v>{5000,13,1,2802,111}</v>
      </c>
      <c r="AU657" t="str">
        <f t="shared" si="430"/>
        <v/>
      </c>
      <c r="AV657">
        <v>3833</v>
      </c>
      <c r="AW657" t="str">
        <f t="shared" si="435"/>
        <v>[{5000,13,1,2802,101},{5000,13,1,2802,102},{5000,13,1,2801,103},{5000,13,1,2802,113},{5000,13,1,2802,111}]</v>
      </c>
    </row>
    <row r="658" spans="2:49">
      <c r="B658">
        <v>3911</v>
      </c>
      <c r="C658" t="s">
        <v>55</v>
      </c>
      <c r="D658" s="4" t="str">
        <f t="shared" si="433"/>
        <v>30</v>
      </c>
      <c r="E658" s="4"/>
      <c r="F658">
        <v>1</v>
      </c>
      <c r="G658">
        <v>5000</v>
      </c>
      <c r="H658">
        <f t="shared" si="399"/>
        <v>3</v>
      </c>
      <c r="I658">
        <v>1</v>
      </c>
      <c r="J658">
        <v>1</v>
      </c>
      <c r="K658">
        <f t="shared" si="417"/>
        <v>2901</v>
      </c>
      <c r="L658">
        <f t="shared" si="408"/>
        <v>101</v>
      </c>
      <c r="M658">
        <v>5000</v>
      </c>
      <c r="N658">
        <f t="shared" si="407"/>
        <v>3</v>
      </c>
      <c r="O658">
        <v>1</v>
      </c>
      <c r="P658">
        <f t="shared" si="418"/>
        <v>2901</v>
      </c>
      <c r="Q658">
        <v>55</v>
      </c>
      <c r="R658">
        <f t="shared" si="409"/>
        <v>102</v>
      </c>
      <c r="S658">
        <v>5000</v>
      </c>
      <c r="T658">
        <f t="shared" si="422"/>
        <v>3</v>
      </c>
      <c r="U658">
        <v>1</v>
      </c>
      <c r="V658">
        <f t="shared" si="419"/>
        <v>2901</v>
      </c>
      <c r="W658">
        <v>60</v>
      </c>
      <c r="X658">
        <f t="shared" si="410"/>
        <v>103</v>
      </c>
      <c r="Y658">
        <v>5000</v>
      </c>
      <c r="Z658">
        <f t="shared" si="423"/>
        <v>3</v>
      </c>
      <c r="AA658">
        <v>1</v>
      </c>
      <c r="AB658">
        <f t="shared" si="420"/>
        <v>2901</v>
      </c>
      <c r="AC658">
        <v>71</v>
      </c>
      <c r="AD658">
        <f t="shared" si="411"/>
        <v>113</v>
      </c>
      <c r="AE658">
        <v>5000</v>
      </c>
      <c r="AF658">
        <f t="shared" si="424"/>
        <v>3</v>
      </c>
      <c r="AG658">
        <v>1</v>
      </c>
      <c r="AH658">
        <f t="shared" si="421"/>
        <v>2901</v>
      </c>
      <c r="AI658">
        <v>76</v>
      </c>
      <c r="AJ658">
        <f t="shared" si="412"/>
        <v>111</v>
      </c>
      <c r="AP658" t="str">
        <f t="shared" si="425"/>
        <v>{5000,3,1,2901,101}</v>
      </c>
      <c r="AQ658" t="str">
        <f t="shared" si="426"/>
        <v>{5000,3,1,2901,102}</v>
      </c>
      <c r="AR658" t="str">
        <f t="shared" si="427"/>
        <v>{5000,3,1,2901,103}</v>
      </c>
      <c r="AS658" t="str">
        <f t="shared" si="428"/>
        <v>{5000,3,1,2901,113}</v>
      </c>
      <c r="AT658" t="str">
        <f t="shared" si="429"/>
        <v>{5000,3,1,2901,111}</v>
      </c>
      <c r="AU658" t="str">
        <f t="shared" si="430"/>
        <v/>
      </c>
      <c r="AV658">
        <v>3911</v>
      </c>
      <c r="AW658" t="str">
        <f t="shared" si="435"/>
        <v>[{5000,3,1,2901,101},{5000,3,1,2901,102},{5000,3,1,2901,103},{5000,3,1,2901,113},{5000,3,1,2901,111}]</v>
      </c>
    </row>
    <row r="659" spans="2:49">
      <c r="B659">
        <v>3912</v>
      </c>
      <c r="C659" t="s">
        <v>55</v>
      </c>
      <c r="D659" t="str">
        <f t="shared" si="433"/>
        <v>30</v>
      </c>
      <c r="F659">
        <v>16</v>
      </c>
      <c r="G659">
        <v>5000</v>
      </c>
      <c r="H659">
        <f t="shared" si="399"/>
        <v>3</v>
      </c>
      <c r="I659">
        <v>1</v>
      </c>
      <c r="J659">
        <v>1</v>
      </c>
      <c r="K659">
        <f t="shared" ref="K659:K681" si="436">IF($J659="","",K636+100)</f>
        <v>2901</v>
      </c>
      <c r="L659">
        <f t="shared" si="408"/>
        <v>101</v>
      </c>
      <c r="M659">
        <v>5000</v>
      </c>
      <c r="N659">
        <f t="shared" si="407"/>
        <v>3</v>
      </c>
      <c r="O659">
        <v>1</v>
      </c>
      <c r="P659">
        <f t="shared" ref="P659:P681" si="437">IF($J659="","",P636+100)</f>
        <v>2901</v>
      </c>
      <c r="Q659">
        <v>55</v>
      </c>
      <c r="R659">
        <f t="shared" si="409"/>
        <v>103</v>
      </c>
      <c r="S659">
        <v>5000</v>
      </c>
      <c r="T659">
        <f t="shared" si="422"/>
        <v>3</v>
      </c>
      <c r="U659">
        <v>1</v>
      </c>
      <c r="V659">
        <f t="shared" ref="V659:V681" si="438">IF($J659="","",V636+100)</f>
        <v>2901</v>
      </c>
      <c r="W659">
        <v>75</v>
      </c>
      <c r="X659">
        <f t="shared" si="410"/>
        <v>111</v>
      </c>
      <c r="Y659">
        <v>5000</v>
      </c>
      <c r="Z659">
        <f t="shared" si="423"/>
        <v>3</v>
      </c>
      <c r="AA659">
        <v>1</v>
      </c>
      <c r="AB659">
        <f t="shared" ref="AB659:AB681" si="439">IF($J659="","",AB636+100)</f>
        <v>2901</v>
      </c>
      <c r="AC659">
        <v>73</v>
      </c>
      <c r="AD659">
        <f t="shared" si="411"/>
        <v>112</v>
      </c>
      <c r="AE659">
        <v>5000</v>
      </c>
      <c r="AF659">
        <f t="shared" si="424"/>
        <v>3</v>
      </c>
      <c r="AG659">
        <v>1</v>
      </c>
      <c r="AH659">
        <f t="shared" ref="AH659:AH681" si="440">IF($J659="","",AH636+100)</f>
        <v>2901</v>
      </c>
      <c r="AI659">
        <v>78</v>
      </c>
      <c r="AJ659">
        <f t="shared" si="412"/>
        <v>113</v>
      </c>
      <c r="AP659" t="str">
        <f t="shared" si="425"/>
        <v>{5000,3,1,2901,101}</v>
      </c>
      <c r="AQ659" t="str">
        <f t="shared" si="426"/>
        <v>{5000,3,1,2901,103}</v>
      </c>
      <c r="AR659" t="str">
        <f t="shared" si="427"/>
        <v>{5000,3,1,2901,111}</v>
      </c>
      <c r="AS659" t="str">
        <f t="shared" si="428"/>
        <v>{5000,3,1,2901,112}</v>
      </c>
      <c r="AT659" t="str">
        <f t="shared" si="429"/>
        <v>{5000,3,1,2901,113}</v>
      </c>
      <c r="AU659" t="str">
        <f t="shared" si="430"/>
        <v/>
      </c>
      <c r="AV659">
        <v>3912</v>
      </c>
      <c r="AW659" t="str">
        <f t="shared" si="435"/>
        <v>[{5000,3,1,2901,101},{5000,3,1,2901,103},{5000,3,1,2901,111},{5000,3,1,2901,112},{5000,3,1,2901,113}]</v>
      </c>
    </row>
    <row r="660" spans="2:49">
      <c r="B660">
        <v>3913</v>
      </c>
      <c r="C660" t="s">
        <v>55</v>
      </c>
      <c r="D660" t="str">
        <f t="shared" si="433"/>
        <v>30</v>
      </c>
      <c r="F660">
        <v>31</v>
      </c>
      <c r="G660">
        <v>5000</v>
      </c>
      <c r="H660">
        <f t="shared" si="399"/>
        <v>6</v>
      </c>
      <c r="I660">
        <v>1</v>
      </c>
      <c r="J660">
        <v>1</v>
      </c>
      <c r="K660">
        <f t="shared" si="436"/>
        <v>2901</v>
      </c>
      <c r="L660">
        <f t="shared" si="408"/>
        <v>101</v>
      </c>
      <c r="M660">
        <v>5000</v>
      </c>
      <c r="N660">
        <f t="shared" si="407"/>
        <v>6</v>
      </c>
      <c r="O660">
        <v>1</v>
      </c>
      <c r="P660">
        <f t="shared" si="437"/>
        <v>2901</v>
      </c>
      <c r="Q660">
        <v>55</v>
      </c>
      <c r="R660">
        <f t="shared" si="409"/>
        <v>102</v>
      </c>
      <c r="S660">
        <v>5000</v>
      </c>
      <c r="T660">
        <f t="shared" si="422"/>
        <v>6</v>
      </c>
      <c r="U660">
        <v>1</v>
      </c>
      <c r="V660">
        <f t="shared" si="438"/>
        <v>2901</v>
      </c>
      <c r="W660">
        <v>58</v>
      </c>
      <c r="X660">
        <f t="shared" si="410"/>
        <v>103</v>
      </c>
      <c r="Y660">
        <v>5000</v>
      </c>
      <c r="Z660">
        <f t="shared" si="423"/>
        <v>6</v>
      </c>
      <c r="AA660">
        <v>1</v>
      </c>
      <c r="AB660">
        <f t="shared" si="439"/>
        <v>2901</v>
      </c>
      <c r="AC660">
        <v>76</v>
      </c>
      <c r="AD660">
        <f t="shared" si="411"/>
        <v>113</v>
      </c>
      <c r="AE660">
        <v>5000</v>
      </c>
      <c r="AF660">
        <f t="shared" si="424"/>
        <v>6</v>
      </c>
      <c r="AG660">
        <v>1</v>
      </c>
      <c r="AH660">
        <f t="shared" si="440"/>
        <v>2901</v>
      </c>
      <c r="AI660">
        <v>79</v>
      </c>
      <c r="AJ660">
        <f t="shared" si="412"/>
        <v>111</v>
      </c>
      <c r="AP660" t="str">
        <f t="shared" si="425"/>
        <v>{5000,6,1,2901,101}</v>
      </c>
      <c r="AQ660" t="str">
        <f t="shared" si="426"/>
        <v>{5000,6,1,2901,102}</v>
      </c>
      <c r="AR660" t="str">
        <f t="shared" si="427"/>
        <v>{5000,6,1,2901,103}</v>
      </c>
      <c r="AS660" t="str">
        <f t="shared" si="428"/>
        <v>{5000,6,1,2901,113}</v>
      </c>
      <c r="AT660" t="str">
        <f t="shared" si="429"/>
        <v>{5000,6,1,2901,111}</v>
      </c>
      <c r="AU660" t="str">
        <f t="shared" si="430"/>
        <v/>
      </c>
      <c r="AV660">
        <v>3913</v>
      </c>
      <c r="AW660" t="str">
        <f t="shared" si="435"/>
        <v>[{5000,6,1,2901,101},{5000,6,1,2901,102},{5000,6,1,2901,103},{5000,6,1,2901,113},{5000,6,1,2901,111}]</v>
      </c>
    </row>
    <row r="661" spans="2:49">
      <c r="B661">
        <v>3914</v>
      </c>
      <c r="C661" t="s">
        <v>55</v>
      </c>
      <c r="D661" t="str">
        <f t="shared" si="433"/>
        <v>30</v>
      </c>
      <c r="F661">
        <v>46</v>
      </c>
      <c r="G661">
        <v>5000</v>
      </c>
      <c r="H661">
        <f t="shared" si="399"/>
        <v>6</v>
      </c>
      <c r="I661">
        <v>1</v>
      </c>
      <c r="J661">
        <v>1</v>
      </c>
      <c r="K661">
        <f t="shared" si="436"/>
        <v>2901</v>
      </c>
      <c r="L661">
        <f t="shared" si="408"/>
        <v>101</v>
      </c>
      <c r="M661">
        <v>5000</v>
      </c>
      <c r="N661">
        <f t="shared" si="407"/>
        <v>6</v>
      </c>
      <c r="O661">
        <v>1</v>
      </c>
      <c r="P661">
        <f t="shared" si="437"/>
        <v>2901</v>
      </c>
      <c r="Q661">
        <v>55</v>
      </c>
      <c r="R661">
        <f t="shared" si="409"/>
        <v>103</v>
      </c>
      <c r="S661">
        <v>5000</v>
      </c>
      <c r="T661">
        <f t="shared" si="422"/>
        <v>6</v>
      </c>
      <c r="U661">
        <v>1</v>
      </c>
      <c r="V661">
        <f t="shared" si="438"/>
        <v>2902</v>
      </c>
      <c r="W661">
        <v>76</v>
      </c>
      <c r="X661">
        <f t="shared" si="410"/>
        <v>111</v>
      </c>
      <c r="Y661">
        <v>5000</v>
      </c>
      <c r="Z661">
        <f t="shared" si="423"/>
        <v>6</v>
      </c>
      <c r="AA661">
        <v>1</v>
      </c>
      <c r="AB661">
        <f t="shared" si="439"/>
        <v>2901</v>
      </c>
      <c r="AC661">
        <v>71</v>
      </c>
      <c r="AD661">
        <f t="shared" si="411"/>
        <v>112</v>
      </c>
      <c r="AE661">
        <v>5000</v>
      </c>
      <c r="AF661">
        <f t="shared" si="424"/>
        <v>6</v>
      </c>
      <c r="AG661">
        <v>1</v>
      </c>
      <c r="AH661">
        <f t="shared" si="440"/>
        <v>2901</v>
      </c>
      <c r="AI661">
        <v>71</v>
      </c>
      <c r="AJ661">
        <f t="shared" si="412"/>
        <v>113</v>
      </c>
      <c r="AP661" t="str">
        <f t="shared" si="425"/>
        <v>{5000,6,1,2901,101}</v>
      </c>
      <c r="AQ661" t="str">
        <f t="shared" si="426"/>
        <v>{5000,6,1,2901,103}</v>
      </c>
      <c r="AR661" t="str">
        <f t="shared" si="427"/>
        <v>{5000,6,1,2902,111}</v>
      </c>
      <c r="AS661" t="str">
        <f t="shared" si="428"/>
        <v>{5000,6,1,2901,112}</v>
      </c>
      <c r="AT661" t="str">
        <f t="shared" si="429"/>
        <v>{5000,6,1,2901,113}</v>
      </c>
      <c r="AU661" t="str">
        <f t="shared" si="430"/>
        <v/>
      </c>
      <c r="AV661">
        <v>3914</v>
      </c>
      <c r="AW661" t="str">
        <f t="shared" si="435"/>
        <v>[{5000,6,1,2901,101},{5000,6,1,2901,103},{5000,6,1,2902,111},{5000,6,1,2901,112},{5000,6,1,2901,113}]</v>
      </c>
    </row>
    <row r="662" spans="2:49">
      <c r="B662">
        <v>3915</v>
      </c>
      <c r="C662" t="s">
        <v>55</v>
      </c>
      <c r="D662" t="str">
        <f t="shared" si="433"/>
        <v>30</v>
      </c>
      <c r="F662">
        <v>61</v>
      </c>
      <c r="G662">
        <v>5000</v>
      </c>
      <c r="H662">
        <f t="shared" si="399"/>
        <v>8</v>
      </c>
      <c r="I662">
        <v>1</v>
      </c>
      <c r="J662">
        <v>3</v>
      </c>
      <c r="K662">
        <f t="shared" si="436"/>
        <v>2903</v>
      </c>
      <c r="L662">
        <f t="shared" si="408"/>
        <v>101</v>
      </c>
      <c r="M662">
        <v>5000</v>
      </c>
      <c r="N662">
        <f t="shared" si="407"/>
        <v>8</v>
      </c>
      <c r="O662">
        <v>1</v>
      </c>
      <c r="P662">
        <f t="shared" si="437"/>
        <v>2903</v>
      </c>
      <c r="Q662">
        <v>56</v>
      </c>
      <c r="R662">
        <f t="shared" si="409"/>
        <v>102</v>
      </c>
      <c r="S662">
        <v>5000</v>
      </c>
      <c r="T662">
        <f t="shared" si="422"/>
        <v>8</v>
      </c>
      <c r="U662">
        <v>1</v>
      </c>
      <c r="V662">
        <f t="shared" si="438"/>
        <v>2903</v>
      </c>
      <c r="W662">
        <v>57</v>
      </c>
      <c r="X662">
        <f t="shared" si="410"/>
        <v>103</v>
      </c>
      <c r="Y662">
        <v>5000</v>
      </c>
      <c r="Z662">
        <f t="shared" si="423"/>
        <v>8</v>
      </c>
      <c r="AA662">
        <v>1</v>
      </c>
      <c r="AB662">
        <f t="shared" si="439"/>
        <v>2903</v>
      </c>
      <c r="AC662">
        <v>72</v>
      </c>
      <c r="AD662">
        <f t="shared" si="411"/>
        <v>113</v>
      </c>
      <c r="AE662">
        <v>5000</v>
      </c>
      <c r="AF662">
        <f t="shared" si="424"/>
        <v>8</v>
      </c>
      <c r="AG662">
        <v>1</v>
      </c>
      <c r="AH662">
        <f t="shared" si="440"/>
        <v>2903</v>
      </c>
      <c r="AI662">
        <v>71</v>
      </c>
      <c r="AJ662">
        <f t="shared" si="412"/>
        <v>111</v>
      </c>
      <c r="AP662" t="str">
        <f t="shared" si="425"/>
        <v>{5000,8,1,2903,101}</v>
      </c>
      <c r="AQ662" t="str">
        <f t="shared" si="426"/>
        <v>{5000,8,1,2903,102}</v>
      </c>
      <c r="AR662" t="str">
        <f t="shared" si="427"/>
        <v>{5000,8,1,2903,103}</v>
      </c>
      <c r="AS662" t="str">
        <f t="shared" si="428"/>
        <v>{5000,8,1,2903,113}</v>
      </c>
      <c r="AT662" t="str">
        <f t="shared" si="429"/>
        <v>{5000,8,1,2903,111}</v>
      </c>
      <c r="AU662" t="str">
        <f t="shared" si="430"/>
        <v/>
      </c>
      <c r="AV662">
        <v>3915</v>
      </c>
      <c r="AW662" t="str">
        <f t="shared" si="435"/>
        <v>[{5000,8,1,2903,101},{5000,8,1,2903,102},{5000,8,1,2903,103},{5000,8,1,2903,113},{5000,8,1,2903,111}]</v>
      </c>
    </row>
    <row r="663" spans="2:49">
      <c r="B663">
        <v>3916</v>
      </c>
      <c r="C663" t="s">
        <v>55</v>
      </c>
      <c r="D663" t="str">
        <f t="shared" si="433"/>
        <v>30</v>
      </c>
      <c r="F663">
        <v>76</v>
      </c>
      <c r="G663">
        <v>5000</v>
      </c>
      <c r="H663">
        <f t="shared" si="399"/>
        <v>8</v>
      </c>
      <c r="I663">
        <v>1</v>
      </c>
      <c r="J663">
        <v>1</v>
      </c>
      <c r="K663">
        <f t="shared" si="436"/>
        <v>2901</v>
      </c>
      <c r="L663">
        <f t="shared" si="408"/>
        <v>101</v>
      </c>
      <c r="M663">
        <v>5000</v>
      </c>
      <c r="N663">
        <f t="shared" si="407"/>
        <v>8</v>
      </c>
      <c r="O663">
        <v>1</v>
      </c>
      <c r="P663">
        <f t="shared" si="437"/>
        <v>2901</v>
      </c>
      <c r="Q663">
        <v>59</v>
      </c>
      <c r="R663">
        <f t="shared" si="409"/>
        <v>103</v>
      </c>
      <c r="S663">
        <v>5000</v>
      </c>
      <c r="T663">
        <f t="shared" si="422"/>
        <v>8</v>
      </c>
      <c r="U663">
        <v>1</v>
      </c>
      <c r="V663">
        <f t="shared" si="438"/>
        <v>2902</v>
      </c>
      <c r="W663">
        <v>71</v>
      </c>
      <c r="X663">
        <f t="shared" si="410"/>
        <v>111</v>
      </c>
      <c r="Y663">
        <v>5000</v>
      </c>
      <c r="Z663">
        <f t="shared" si="423"/>
        <v>8</v>
      </c>
      <c r="AA663">
        <v>1</v>
      </c>
      <c r="AB663">
        <f t="shared" si="439"/>
        <v>2901</v>
      </c>
      <c r="AC663">
        <v>71</v>
      </c>
      <c r="AD663">
        <f t="shared" si="411"/>
        <v>112</v>
      </c>
      <c r="AE663">
        <v>5000</v>
      </c>
      <c r="AF663">
        <f t="shared" si="424"/>
        <v>8</v>
      </c>
      <c r="AG663">
        <v>1</v>
      </c>
      <c r="AH663">
        <f t="shared" si="440"/>
        <v>2901</v>
      </c>
      <c r="AI663">
        <v>79</v>
      </c>
      <c r="AJ663">
        <f t="shared" si="412"/>
        <v>113</v>
      </c>
      <c r="AP663" t="str">
        <f t="shared" si="425"/>
        <v>{5000,8,1,2901,101}</v>
      </c>
      <c r="AQ663" t="str">
        <f t="shared" si="426"/>
        <v>{5000,8,1,2901,103}</v>
      </c>
      <c r="AR663" t="str">
        <f t="shared" si="427"/>
        <v>{5000,8,1,2902,111}</v>
      </c>
      <c r="AS663" t="str">
        <f t="shared" si="428"/>
        <v>{5000,8,1,2901,112}</v>
      </c>
      <c r="AT663" t="str">
        <f t="shared" si="429"/>
        <v>{5000,8,1,2901,113}</v>
      </c>
      <c r="AU663" t="str">
        <f t="shared" si="430"/>
        <v/>
      </c>
      <c r="AV663">
        <v>3916</v>
      </c>
      <c r="AW663" t="str">
        <f t="shared" si="435"/>
        <v>[{5000,8,1,2901,101},{5000,8,1,2901,103},{5000,8,1,2902,111},{5000,8,1,2901,112},{5000,8,1,2901,113}]</v>
      </c>
    </row>
    <row r="664" spans="2:49">
      <c r="B664">
        <v>3917</v>
      </c>
      <c r="C664" t="s">
        <v>55</v>
      </c>
      <c r="D664" t="str">
        <f t="shared" si="433"/>
        <v>30</v>
      </c>
      <c r="F664">
        <v>91</v>
      </c>
      <c r="G664">
        <v>5000</v>
      </c>
      <c r="H664">
        <f t="shared" si="399"/>
        <v>8</v>
      </c>
      <c r="I664">
        <v>1</v>
      </c>
      <c r="J664">
        <v>1</v>
      </c>
      <c r="K664">
        <f t="shared" si="436"/>
        <v>2901</v>
      </c>
      <c r="L664">
        <f t="shared" si="408"/>
        <v>101</v>
      </c>
      <c r="M664">
        <v>5000</v>
      </c>
      <c r="N664">
        <f t="shared" si="407"/>
        <v>8</v>
      </c>
      <c r="O664">
        <v>1</v>
      </c>
      <c r="P664">
        <f t="shared" si="437"/>
        <v>2901</v>
      </c>
      <c r="Q664">
        <v>54</v>
      </c>
      <c r="R664">
        <f t="shared" si="409"/>
        <v>102</v>
      </c>
      <c r="S664">
        <v>5000</v>
      </c>
      <c r="T664">
        <f t="shared" si="422"/>
        <v>8</v>
      </c>
      <c r="U664">
        <v>1</v>
      </c>
      <c r="V664">
        <f t="shared" si="438"/>
        <v>2902</v>
      </c>
      <c r="W664">
        <v>51</v>
      </c>
      <c r="X664">
        <f t="shared" si="410"/>
        <v>103</v>
      </c>
      <c r="Y664">
        <v>5000</v>
      </c>
      <c r="Z664">
        <f t="shared" si="423"/>
        <v>8</v>
      </c>
      <c r="AA664">
        <v>1</v>
      </c>
      <c r="AB664">
        <f t="shared" si="439"/>
        <v>2901</v>
      </c>
      <c r="AC664">
        <v>71</v>
      </c>
      <c r="AD664">
        <f t="shared" si="411"/>
        <v>113</v>
      </c>
      <c r="AE664">
        <v>5000</v>
      </c>
      <c r="AF664">
        <f t="shared" si="424"/>
        <v>8</v>
      </c>
      <c r="AG664">
        <v>1</v>
      </c>
      <c r="AH664">
        <f t="shared" si="440"/>
        <v>2902</v>
      </c>
      <c r="AI664">
        <v>77</v>
      </c>
      <c r="AJ664">
        <f t="shared" si="412"/>
        <v>111</v>
      </c>
      <c r="AP664" t="str">
        <f t="shared" si="425"/>
        <v>{5000,8,1,2901,101}</v>
      </c>
      <c r="AQ664" t="str">
        <f t="shared" si="426"/>
        <v>{5000,8,1,2901,102}</v>
      </c>
      <c r="AR664" t="str">
        <f t="shared" si="427"/>
        <v>{5000,8,1,2902,103}</v>
      </c>
      <c r="AS664" t="str">
        <f t="shared" si="428"/>
        <v>{5000,8,1,2901,113}</v>
      </c>
      <c r="AT664" t="str">
        <f t="shared" si="429"/>
        <v>{5000,8,1,2902,111}</v>
      </c>
      <c r="AU664" t="str">
        <f t="shared" si="430"/>
        <v/>
      </c>
      <c r="AV664">
        <v>3917</v>
      </c>
      <c r="AW664" t="str">
        <f t="shared" si="435"/>
        <v>[{5000,8,1,2901,101},{5000,8,1,2901,102},{5000,8,1,2902,103},{5000,8,1,2901,113},{5000,8,1,2902,111}]</v>
      </c>
    </row>
    <row r="665" spans="2:49">
      <c r="B665">
        <v>3918</v>
      </c>
      <c r="C665" t="s">
        <v>55</v>
      </c>
      <c r="D665" t="str">
        <f t="shared" si="433"/>
        <v>30</v>
      </c>
      <c r="F665">
        <v>106</v>
      </c>
      <c r="G665">
        <v>5000</v>
      </c>
      <c r="H665">
        <f t="shared" si="399"/>
        <v>8</v>
      </c>
      <c r="I665">
        <v>1</v>
      </c>
      <c r="J665">
        <v>1</v>
      </c>
      <c r="K665">
        <f t="shared" si="436"/>
        <v>2901</v>
      </c>
      <c r="L665">
        <f t="shared" si="408"/>
        <v>101</v>
      </c>
      <c r="M665">
        <v>5000</v>
      </c>
      <c r="N665">
        <f t="shared" si="407"/>
        <v>8</v>
      </c>
      <c r="O665">
        <v>1</v>
      </c>
      <c r="P665">
        <f t="shared" si="437"/>
        <v>2901</v>
      </c>
      <c r="Q665">
        <v>55</v>
      </c>
      <c r="R665">
        <f t="shared" si="409"/>
        <v>103</v>
      </c>
      <c r="S665">
        <v>5000</v>
      </c>
      <c r="T665">
        <f t="shared" si="422"/>
        <v>8</v>
      </c>
      <c r="U665">
        <v>1</v>
      </c>
      <c r="V665">
        <f t="shared" si="438"/>
        <v>2902</v>
      </c>
      <c r="W665">
        <v>73</v>
      </c>
      <c r="X665">
        <f t="shared" si="410"/>
        <v>111</v>
      </c>
      <c r="Y665">
        <v>5000</v>
      </c>
      <c r="Z665">
        <f t="shared" si="423"/>
        <v>8</v>
      </c>
      <c r="AA665">
        <v>1</v>
      </c>
      <c r="AB665">
        <f t="shared" si="439"/>
        <v>2901</v>
      </c>
      <c r="AC665">
        <v>78</v>
      </c>
      <c r="AD665">
        <f t="shared" si="411"/>
        <v>112</v>
      </c>
      <c r="AE665">
        <v>5000</v>
      </c>
      <c r="AF665">
        <f t="shared" si="424"/>
        <v>8</v>
      </c>
      <c r="AG665">
        <v>1</v>
      </c>
      <c r="AH665">
        <f t="shared" si="440"/>
        <v>2902</v>
      </c>
      <c r="AI665">
        <v>71</v>
      </c>
      <c r="AJ665">
        <f t="shared" si="412"/>
        <v>113</v>
      </c>
      <c r="AP665" t="str">
        <f t="shared" si="425"/>
        <v>{5000,8,1,2901,101}</v>
      </c>
      <c r="AQ665" t="str">
        <f t="shared" si="426"/>
        <v>{5000,8,1,2901,103}</v>
      </c>
      <c r="AR665" t="str">
        <f t="shared" si="427"/>
        <v>{5000,8,1,2902,111}</v>
      </c>
      <c r="AS665" t="str">
        <f t="shared" si="428"/>
        <v>{5000,8,1,2901,112}</v>
      </c>
      <c r="AT665" t="str">
        <f t="shared" si="429"/>
        <v>{5000,8,1,2902,113}</v>
      </c>
      <c r="AU665" t="str">
        <f t="shared" si="430"/>
        <v/>
      </c>
      <c r="AV665">
        <v>3918</v>
      </c>
      <c r="AW665" t="str">
        <f t="shared" si="435"/>
        <v>[{5000,8,1,2901,101},{5000,8,1,2901,103},{5000,8,1,2902,111},{5000,8,1,2901,112},{5000,8,1,2902,113}]</v>
      </c>
    </row>
    <row r="666" spans="2:48">
      <c r="B666">
        <v>3919</v>
      </c>
      <c r="C666" t="s">
        <v>55</v>
      </c>
      <c r="D666" t="str">
        <f t="shared" si="433"/>
        <v>30</v>
      </c>
      <c r="F666">
        <v>119</v>
      </c>
      <c r="H666">
        <f t="shared" si="399"/>
        <v>0</v>
      </c>
      <c r="K666" t="str">
        <f t="shared" si="436"/>
        <v/>
      </c>
      <c r="L666" t="str">
        <f t="shared" si="408"/>
        <v/>
      </c>
      <c r="N666">
        <f t="shared" si="407"/>
        <v>0</v>
      </c>
      <c r="P666" t="str">
        <f t="shared" si="437"/>
        <v/>
      </c>
      <c r="R666" t="str">
        <f t="shared" si="409"/>
        <v/>
      </c>
      <c r="T666">
        <f t="shared" si="422"/>
        <v>0</v>
      </c>
      <c r="V666" t="str">
        <f t="shared" si="438"/>
        <v/>
      </c>
      <c r="X666" t="str">
        <f t="shared" si="410"/>
        <v/>
      </c>
      <c r="Z666">
        <f t="shared" si="423"/>
        <v>0</v>
      </c>
      <c r="AB666" t="str">
        <f t="shared" si="439"/>
        <v/>
      </c>
      <c r="AD666" t="str">
        <f t="shared" si="411"/>
        <v/>
      </c>
      <c r="AF666">
        <f t="shared" si="424"/>
        <v>0</v>
      </c>
      <c r="AH666" t="str">
        <f t="shared" si="440"/>
        <v/>
      </c>
      <c r="AJ666" t="str">
        <f t="shared" si="412"/>
        <v/>
      </c>
      <c r="AP666" t="str">
        <f t="shared" si="425"/>
        <v/>
      </c>
      <c r="AQ666" t="str">
        <f t="shared" si="426"/>
        <v/>
      </c>
      <c r="AR666" t="str">
        <f t="shared" si="427"/>
        <v/>
      </c>
      <c r="AS666" t="str">
        <f t="shared" si="428"/>
        <v/>
      </c>
      <c r="AT666" t="str">
        <f t="shared" si="429"/>
        <v/>
      </c>
      <c r="AU666" t="str">
        <f t="shared" si="430"/>
        <v/>
      </c>
      <c r="AV666">
        <v>3919</v>
      </c>
    </row>
    <row r="667" spans="2:49">
      <c r="B667">
        <v>3920</v>
      </c>
      <c r="C667" t="s">
        <v>55</v>
      </c>
      <c r="D667" t="str">
        <f t="shared" si="433"/>
        <v>30</v>
      </c>
      <c r="F667">
        <v>121</v>
      </c>
      <c r="G667">
        <v>5000</v>
      </c>
      <c r="H667">
        <f t="shared" ref="H667:H730" si="441">H644</f>
        <v>10</v>
      </c>
      <c r="I667">
        <v>1</v>
      </c>
      <c r="J667">
        <v>3</v>
      </c>
      <c r="K667">
        <f t="shared" si="436"/>
        <v>2903</v>
      </c>
      <c r="L667">
        <f t="shared" si="408"/>
        <v>101</v>
      </c>
      <c r="M667">
        <v>5000</v>
      </c>
      <c r="N667">
        <f t="shared" si="407"/>
        <v>10</v>
      </c>
      <c r="O667">
        <v>1</v>
      </c>
      <c r="P667">
        <f t="shared" si="437"/>
        <v>2903</v>
      </c>
      <c r="Q667">
        <v>54</v>
      </c>
      <c r="R667">
        <f t="shared" si="409"/>
        <v>102</v>
      </c>
      <c r="S667">
        <v>5000</v>
      </c>
      <c r="T667">
        <f t="shared" si="422"/>
        <v>10</v>
      </c>
      <c r="U667">
        <v>1</v>
      </c>
      <c r="V667">
        <f t="shared" si="438"/>
        <v>2903</v>
      </c>
      <c r="W667">
        <v>51</v>
      </c>
      <c r="X667">
        <f t="shared" si="410"/>
        <v>103</v>
      </c>
      <c r="Y667">
        <v>5000</v>
      </c>
      <c r="Z667">
        <f t="shared" si="423"/>
        <v>10</v>
      </c>
      <c r="AA667">
        <v>1</v>
      </c>
      <c r="AB667">
        <f t="shared" si="439"/>
        <v>2903</v>
      </c>
      <c r="AC667">
        <v>71</v>
      </c>
      <c r="AD667">
        <f t="shared" si="411"/>
        <v>113</v>
      </c>
      <c r="AE667">
        <v>5000</v>
      </c>
      <c r="AF667">
        <f t="shared" si="424"/>
        <v>10</v>
      </c>
      <c r="AG667">
        <v>1</v>
      </c>
      <c r="AH667">
        <f t="shared" si="440"/>
        <v>2903</v>
      </c>
      <c r="AI667">
        <v>79</v>
      </c>
      <c r="AJ667">
        <f t="shared" si="412"/>
        <v>111</v>
      </c>
      <c r="AK667">
        <v>1000</v>
      </c>
      <c r="AL667">
        <v>1</v>
      </c>
      <c r="AM667">
        <v>0</v>
      </c>
      <c r="AN667">
        <f t="shared" ref="AN667" si="442">AN644+100</f>
        <v>2921</v>
      </c>
      <c r="AO667">
        <v>4</v>
      </c>
      <c r="AP667" t="str">
        <f t="shared" si="425"/>
        <v>{5000,10,1,2903,101}</v>
      </c>
      <c r="AQ667" t="str">
        <f t="shared" si="426"/>
        <v>{5000,10,1,2903,102}</v>
      </c>
      <c r="AR667" t="str">
        <f t="shared" si="427"/>
        <v>{5000,10,1,2903,103}</v>
      </c>
      <c r="AS667" t="str">
        <f t="shared" si="428"/>
        <v>{5000,10,1,2903,113}</v>
      </c>
      <c r="AT667" t="str">
        <f t="shared" si="429"/>
        <v>{5000,10,1,2903,111}</v>
      </c>
      <c r="AU667" t="str">
        <f t="shared" si="430"/>
        <v>{1000,1,0,2921,4}</v>
      </c>
      <c r="AV667">
        <v>3920</v>
      </c>
      <c r="AW667" t="str">
        <f t="shared" ref="AW667:AW672" si="443">IF(AU667="","["&amp;_xlfn.TEXTJOIN(",",1,AP667:AT667)&amp;"]","["&amp;_xlfn.TEXTJOIN(",",1,AP667:AU667)&amp;"]")</f>
        <v>[{5000,10,1,2903,101},{5000,10,1,2903,102},{5000,10,1,2903,103},{5000,10,1,2903,113},{5000,10,1,2903,111},{1000,1,0,2921,4}]</v>
      </c>
    </row>
    <row r="668" spans="2:49">
      <c r="B668">
        <v>3921</v>
      </c>
      <c r="C668" t="s">
        <v>55</v>
      </c>
      <c r="D668" t="str">
        <f t="shared" si="433"/>
        <v>30</v>
      </c>
      <c r="F668">
        <v>136</v>
      </c>
      <c r="G668">
        <v>5000</v>
      </c>
      <c r="H668">
        <f t="shared" si="441"/>
        <v>9</v>
      </c>
      <c r="I668">
        <v>1</v>
      </c>
      <c r="J668">
        <v>1</v>
      </c>
      <c r="K668">
        <f t="shared" si="436"/>
        <v>2901</v>
      </c>
      <c r="L668">
        <f t="shared" si="408"/>
        <v>101</v>
      </c>
      <c r="M668">
        <v>5000</v>
      </c>
      <c r="N668">
        <f t="shared" si="407"/>
        <v>9</v>
      </c>
      <c r="O668">
        <v>1</v>
      </c>
      <c r="P668">
        <f t="shared" si="437"/>
        <v>2901</v>
      </c>
      <c r="Q668">
        <v>54</v>
      </c>
      <c r="R668">
        <f t="shared" si="409"/>
        <v>103</v>
      </c>
      <c r="S668">
        <v>5000</v>
      </c>
      <c r="T668">
        <f t="shared" si="422"/>
        <v>9</v>
      </c>
      <c r="U668">
        <v>1</v>
      </c>
      <c r="V668">
        <f t="shared" si="438"/>
        <v>2902</v>
      </c>
      <c r="W668">
        <v>76</v>
      </c>
      <c r="X668">
        <f t="shared" si="410"/>
        <v>111</v>
      </c>
      <c r="Y668">
        <v>5000</v>
      </c>
      <c r="Z668">
        <f t="shared" si="423"/>
        <v>9</v>
      </c>
      <c r="AA668">
        <v>1</v>
      </c>
      <c r="AB668">
        <f t="shared" si="439"/>
        <v>2901</v>
      </c>
      <c r="AC668">
        <v>72</v>
      </c>
      <c r="AD668">
        <f t="shared" si="411"/>
        <v>112</v>
      </c>
      <c r="AE668">
        <v>5000</v>
      </c>
      <c r="AF668">
        <f t="shared" si="424"/>
        <v>9</v>
      </c>
      <c r="AG668">
        <v>1</v>
      </c>
      <c r="AH668">
        <f t="shared" si="440"/>
        <v>2902</v>
      </c>
      <c r="AI668">
        <v>74</v>
      </c>
      <c r="AJ668">
        <f t="shared" si="412"/>
        <v>113</v>
      </c>
      <c r="AP668" t="str">
        <f t="shared" si="425"/>
        <v>{5000,9,1,2901,101}</v>
      </c>
      <c r="AQ668" t="str">
        <f t="shared" si="426"/>
        <v>{5000,9,1,2901,103}</v>
      </c>
      <c r="AR668" t="str">
        <f t="shared" si="427"/>
        <v>{5000,9,1,2902,111}</v>
      </c>
      <c r="AS668" t="str">
        <f t="shared" si="428"/>
        <v>{5000,9,1,2901,112}</v>
      </c>
      <c r="AT668" t="str">
        <f t="shared" si="429"/>
        <v>{5000,9,1,2902,113}</v>
      </c>
      <c r="AU668" t="str">
        <f t="shared" si="430"/>
        <v/>
      </c>
      <c r="AV668">
        <v>3921</v>
      </c>
      <c r="AW668" t="str">
        <f t="shared" si="443"/>
        <v>[{5000,9,1,2901,101},{5000,9,1,2901,103},{5000,9,1,2902,111},{5000,9,1,2901,112},{5000,9,1,2902,113}]</v>
      </c>
    </row>
    <row r="669" spans="2:49">
      <c r="B669">
        <v>3922</v>
      </c>
      <c r="C669" t="s">
        <v>55</v>
      </c>
      <c r="D669" t="str">
        <f t="shared" si="433"/>
        <v>30</v>
      </c>
      <c r="F669">
        <v>151</v>
      </c>
      <c r="G669">
        <v>5000</v>
      </c>
      <c r="H669">
        <f t="shared" si="441"/>
        <v>10</v>
      </c>
      <c r="I669">
        <v>1</v>
      </c>
      <c r="J669">
        <v>1</v>
      </c>
      <c r="K669">
        <f t="shared" si="436"/>
        <v>2901</v>
      </c>
      <c r="L669">
        <f t="shared" si="408"/>
        <v>101</v>
      </c>
      <c r="M669">
        <v>5000</v>
      </c>
      <c r="N669">
        <f t="shared" si="407"/>
        <v>10</v>
      </c>
      <c r="O669">
        <v>1</v>
      </c>
      <c r="P669">
        <f t="shared" si="437"/>
        <v>2901</v>
      </c>
      <c r="Q669">
        <v>54</v>
      </c>
      <c r="R669">
        <f t="shared" si="409"/>
        <v>102</v>
      </c>
      <c r="S669">
        <v>5000</v>
      </c>
      <c r="T669">
        <f t="shared" si="422"/>
        <v>10</v>
      </c>
      <c r="U669">
        <v>1</v>
      </c>
      <c r="V669">
        <f t="shared" si="438"/>
        <v>2902</v>
      </c>
      <c r="W669">
        <v>56</v>
      </c>
      <c r="X669">
        <f t="shared" si="410"/>
        <v>103</v>
      </c>
      <c r="Y669">
        <v>5000</v>
      </c>
      <c r="Z669">
        <f t="shared" si="423"/>
        <v>10</v>
      </c>
      <c r="AA669">
        <v>1</v>
      </c>
      <c r="AB669">
        <f t="shared" si="439"/>
        <v>2901</v>
      </c>
      <c r="AC669">
        <v>72</v>
      </c>
      <c r="AD669">
        <f t="shared" si="411"/>
        <v>113</v>
      </c>
      <c r="AE669">
        <v>5000</v>
      </c>
      <c r="AF669">
        <f t="shared" si="424"/>
        <v>10</v>
      </c>
      <c r="AG669">
        <v>1</v>
      </c>
      <c r="AH669">
        <f t="shared" si="440"/>
        <v>2902</v>
      </c>
      <c r="AI669">
        <v>74</v>
      </c>
      <c r="AJ669">
        <f t="shared" si="412"/>
        <v>111</v>
      </c>
      <c r="AP669" t="str">
        <f t="shared" si="425"/>
        <v>{5000,10,1,2901,101}</v>
      </c>
      <c r="AQ669" t="str">
        <f t="shared" si="426"/>
        <v>{5000,10,1,2901,102}</v>
      </c>
      <c r="AR669" t="str">
        <f t="shared" si="427"/>
        <v>{5000,10,1,2902,103}</v>
      </c>
      <c r="AS669" t="str">
        <f t="shared" si="428"/>
        <v>{5000,10,1,2901,113}</v>
      </c>
      <c r="AT669" t="str">
        <f t="shared" si="429"/>
        <v>{5000,10,1,2902,111}</v>
      </c>
      <c r="AU669" t="str">
        <f t="shared" si="430"/>
        <v/>
      </c>
      <c r="AV669">
        <v>3922</v>
      </c>
      <c r="AW669" t="str">
        <f t="shared" si="443"/>
        <v>[{5000,10,1,2901,101},{5000,10,1,2901,102},{5000,10,1,2902,103},{5000,10,1,2901,113},{5000,10,1,2902,111}]</v>
      </c>
    </row>
    <row r="670" spans="2:49">
      <c r="B670">
        <v>3923</v>
      </c>
      <c r="C670" t="s">
        <v>55</v>
      </c>
      <c r="D670" t="str">
        <f t="shared" si="433"/>
        <v>30</v>
      </c>
      <c r="F670">
        <v>166</v>
      </c>
      <c r="G670">
        <v>5000</v>
      </c>
      <c r="H670">
        <f t="shared" si="441"/>
        <v>11</v>
      </c>
      <c r="I670">
        <v>1</v>
      </c>
      <c r="J670">
        <v>1</v>
      </c>
      <c r="K670">
        <f t="shared" si="436"/>
        <v>2901</v>
      </c>
      <c r="L670">
        <f t="shared" si="408"/>
        <v>101</v>
      </c>
      <c r="M670">
        <v>5000</v>
      </c>
      <c r="N670">
        <f t="shared" si="407"/>
        <v>11</v>
      </c>
      <c r="O670">
        <v>1</v>
      </c>
      <c r="P670">
        <f t="shared" si="437"/>
        <v>2901</v>
      </c>
      <c r="Q670">
        <v>59</v>
      </c>
      <c r="R670">
        <f t="shared" si="409"/>
        <v>103</v>
      </c>
      <c r="S670">
        <v>5000</v>
      </c>
      <c r="T670">
        <f t="shared" si="422"/>
        <v>11</v>
      </c>
      <c r="U670">
        <v>1</v>
      </c>
      <c r="V670">
        <f t="shared" si="438"/>
        <v>2902</v>
      </c>
      <c r="W670">
        <v>79</v>
      </c>
      <c r="X670">
        <f t="shared" si="410"/>
        <v>111</v>
      </c>
      <c r="Y670">
        <v>5000</v>
      </c>
      <c r="Z670">
        <f t="shared" si="423"/>
        <v>11</v>
      </c>
      <c r="AA670">
        <v>1</v>
      </c>
      <c r="AB670">
        <f t="shared" si="439"/>
        <v>2901</v>
      </c>
      <c r="AC670">
        <v>71</v>
      </c>
      <c r="AD670">
        <f t="shared" si="411"/>
        <v>112</v>
      </c>
      <c r="AE670">
        <v>5000</v>
      </c>
      <c r="AF670">
        <f t="shared" si="424"/>
        <v>11</v>
      </c>
      <c r="AG670">
        <v>1</v>
      </c>
      <c r="AH670">
        <f t="shared" si="440"/>
        <v>2902</v>
      </c>
      <c r="AI670">
        <v>74</v>
      </c>
      <c r="AJ670">
        <f t="shared" si="412"/>
        <v>113</v>
      </c>
      <c r="AP670" t="str">
        <f t="shared" si="425"/>
        <v>{5000,11,1,2901,101}</v>
      </c>
      <c r="AQ670" t="str">
        <f t="shared" si="426"/>
        <v>{5000,11,1,2901,103}</v>
      </c>
      <c r="AR670" t="str">
        <f t="shared" si="427"/>
        <v>{5000,11,1,2902,111}</v>
      </c>
      <c r="AS670" t="str">
        <f t="shared" si="428"/>
        <v>{5000,11,1,2901,112}</v>
      </c>
      <c r="AT670" t="str">
        <f t="shared" si="429"/>
        <v>{5000,11,1,2902,113}</v>
      </c>
      <c r="AU670" t="str">
        <f t="shared" si="430"/>
        <v/>
      </c>
      <c r="AV670">
        <v>3923</v>
      </c>
      <c r="AW670" t="str">
        <f t="shared" si="443"/>
        <v>[{5000,11,1,2901,101},{5000,11,1,2901,103},{5000,11,1,2902,111},{5000,11,1,2901,112},{5000,11,1,2902,113}]</v>
      </c>
    </row>
    <row r="671" spans="2:49">
      <c r="B671">
        <v>3924</v>
      </c>
      <c r="C671" t="s">
        <v>55</v>
      </c>
      <c r="D671" t="str">
        <f t="shared" si="433"/>
        <v>30</v>
      </c>
      <c r="F671">
        <v>181</v>
      </c>
      <c r="G671">
        <v>5000</v>
      </c>
      <c r="H671">
        <f t="shared" si="441"/>
        <v>12</v>
      </c>
      <c r="I671">
        <v>1</v>
      </c>
      <c r="J671">
        <v>3</v>
      </c>
      <c r="K671">
        <f t="shared" si="436"/>
        <v>2903</v>
      </c>
      <c r="L671">
        <f t="shared" si="408"/>
        <v>101</v>
      </c>
      <c r="M671">
        <v>5000</v>
      </c>
      <c r="N671">
        <f t="shared" si="407"/>
        <v>12</v>
      </c>
      <c r="O671">
        <v>1</v>
      </c>
      <c r="P671">
        <f t="shared" si="437"/>
        <v>2903</v>
      </c>
      <c r="Q671">
        <v>53</v>
      </c>
      <c r="R671">
        <f t="shared" si="409"/>
        <v>102</v>
      </c>
      <c r="S671">
        <v>5000</v>
      </c>
      <c r="T671">
        <f t="shared" si="422"/>
        <v>12</v>
      </c>
      <c r="U671">
        <v>1</v>
      </c>
      <c r="V671">
        <f t="shared" si="438"/>
        <v>2903</v>
      </c>
      <c r="W671">
        <v>56</v>
      </c>
      <c r="X671">
        <f t="shared" si="410"/>
        <v>103</v>
      </c>
      <c r="Y671">
        <v>5000</v>
      </c>
      <c r="Z671">
        <f t="shared" si="423"/>
        <v>12</v>
      </c>
      <c r="AA671">
        <v>1</v>
      </c>
      <c r="AB671">
        <f t="shared" si="439"/>
        <v>2903</v>
      </c>
      <c r="AC671">
        <v>75</v>
      </c>
      <c r="AD671">
        <f t="shared" si="411"/>
        <v>113</v>
      </c>
      <c r="AE671">
        <v>5000</v>
      </c>
      <c r="AF671">
        <f t="shared" si="424"/>
        <v>12</v>
      </c>
      <c r="AG671">
        <v>1</v>
      </c>
      <c r="AH671">
        <f t="shared" si="440"/>
        <v>2903</v>
      </c>
      <c r="AI671">
        <v>78</v>
      </c>
      <c r="AJ671">
        <f t="shared" si="412"/>
        <v>111</v>
      </c>
      <c r="AP671" t="str">
        <f t="shared" si="425"/>
        <v>{5000,12,1,2903,101}</v>
      </c>
      <c r="AQ671" t="str">
        <f t="shared" si="426"/>
        <v>{5000,12,1,2903,102}</v>
      </c>
      <c r="AR671" t="str">
        <f t="shared" si="427"/>
        <v>{5000,12,1,2903,103}</v>
      </c>
      <c r="AS671" t="str">
        <f t="shared" si="428"/>
        <v>{5000,12,1,2903,113}</v>
      </c>
      <c r="AT671" t="str">
        <f t="shared" si="429"/>
        <v>{5000,12,1,2903,111}</v>
      </c>
      <c r="AU671" t="str">
        <f t="shared" si="430"/>
        <v/>
      </c>
      <c r="AV671">
        <v>3924</v>
      </c>
      <c r="AW671" t="str">
        <f t="shared" si="443"/>
        <v>[{5000,12,1,2903,101},{5000,12,1,2903,102},{5000,12,1,2903,103},{5000,12,1,2903,113},{5000,12,1,2903,111}]</v>
      </c>
    </row>
    <row r="672" spans="2:49">
      <c r="B672">
        <v>3925</v>
      </c>
      <c r="C672" t="s">
        <v>55</v>
      </c>
      <c r="D672" t="str">
        <f t="shared" si="433"/>
        <v>30</v>
      </c>
      <c r="F672">
        <v>196</v>
      </c>
      <c r="G672">
        <v>5000</v>
      </c>
      <c r="H672">
        <f t="shared" si="441"/>
        <v>12</v>
      </c>
      <c r="I672">
        <v>1</v>
      </c>
      <c r="J672">
        <v>2</v>
      </c>
      <c r="K672">
        <f t="shared" si="436"/>
        <v>2902</v>
      </c>
      <c r="L672">
        <f t="shared" si="408"/>
        <v>101</v>
      </c>
      <c r="M672">
        <v>5000</v>
      </c>
      <c r="N672">
        <f t="shared" si="407"/>
        <v>12</v>
      </c>
      <c r="O672">
        <v>1</v>
      </c>
      <c r="P672">
        <f t="shared" si="437"/>
        <v>2901</v>
      </c>
      <c r="Q672">
        <v>54</v>
      </c>
      <c r="R672">
        <f t="shared" si="409"/>
        <v>103</v>
      </c>
      <c r="S672">
        <v>5000</v>
      </c>
      <c r="T672">
        <f t="shared" si="422"/>
        <v>12</v>
      </c>
      <c r="U672">
        <v>1</v>
      </c>
      <c r="V672">
        <f t="shared" si="438"/>
        <v>2902</v>
      </c>
      <c r="W672">
        <v>77</v>
      </c>
      <c r="X672">
        <f t="shared" si="410"/>
        <v>111</v>
      </c>
      <c r="Y672">
        <v>5000</v>
      </c>
      <c r="Z672">
        <f t="shared" si="423"/>
        <v>12</v>
      </c>
      <c r="AA672">
        <v>1</v>
      </c>
      <c r="AB672">
        <f t="shared" si="439"/>
        <v>2901</v>
      </c>
      <c r="AC672">
        <v>72</v>
      </c>
      <c r="AD672">
        <f t="shared" si="411"/>
        <v>112</v>
      </c>
      <c r="AE672">
        <v>5000</v>
      </c>
      <c r="AF672">
        <f t="shared" si="424"/>
        <v>12</v>
      </c>
      <c r="AG672">
        <v>1</v>
      </c>
      <c r="AH672">
        <f t="shared" si="440"/>
        <v>2902</v>
      </c>
      <c r="AI672">
        <v>74</v>
      </c>
      <c r="AJ672">
        <f t="shared" si="412"/>
        <v>113</v>
      </c>
      <c r="AP672" t="str">
        <f t="shared" si="425"/>
        <v>{5000,12,1,2902,101}</v>
      </c>
      <c r="AQ672" t="str">
        <f t="shared" si="426"/>
        <v>{5000,12,1,2901,103}</v>
      </c>
      <c r="AR672" t="str">
        <f t="shared" si="427"/>
        <v>{5000,12,1,2902,111}</v>
      </c>
      <c r="AS672" t="str">
        <f t="shared" si="428"/>
        <v>{5000,12,1,2901,112}</v>
      </c>
      <c r="AT672" t="str">
        <f t="shared" si="429"/>
        <v>{5000,12,1,2902,113}</v>
      </c>
      <c r="AU672" t="str">
        <f t="shared" si="430"/>
        <v/>
      </c>
      <c r="AV672">
        <v>3925</v>
      </c>
      <c r="AW672" t="str">
        <f t="shared" si="443"/>
        <v>[{5000,12,1,2902,101},{5000,12,1,2901,103},{5000,12,1,2902,111},{5000,12,1,2901,112},{5000,12,1,2902,113}]</v>
      </c>
    </row>
    <row r="673" spans="2:48">
      <c r="B673">
        <v>3926</v>
      </c>
      <c r="C673" t="s">
        <v>55</v>
      </c>
      <c r="D673" t="str">
        <f t="shared" si="433"/>
        <v>30</v>
      </c>
      <c r="F673">
        <v>209</v>
      </c>
      <c r="H673">
        <f t="shared" si="441"/>
        <v>0</v>
      </c>
      <c r="K673" t="str">
        <f t="shared" si="436"/>
        <v/>
      </c>
      <c r="L673" t="str">
        <f t="shared" si="408"/>
        <v/>
      </c>
      <c r="N673">
        <f t="shared" si="407"/>
        <v>0</v>
      </c>
      <c r="P673" t="str">
        <f t="shared" si="437"/>
        <v/>
      </c>
      <c r="R673" t="str">
        <f t="shared" si="409"/>
        <v/>
      </c>
      <c r="T673">
        <f t="shared" si="422"/>
        <v>0</v>
      </c>
      <c r="V673" t="str">
        <f t="shared" si="438"/>
        <v/>
      </c>
      <c r="X673" t="str">
        <f t="shared" si="410"/>
        <v/>
      </c>
      <c r="Z673">
        <f t="shared" si="423"/>
        <v>0</v>
      </c>
      <c r="AB673" t="str">
        <f t="shared" si="439"/>
        <v/>
      </c>
      <c r="AD673" t="str">
        <f t="shared" si="411"/>
        <v/>
      </c>
      <c r="AF673">
        <f t="shared" si="424"/>
        <v>0</v>
      </c>
      <c r="AH673" t="str">
        <f t="shared" si="440"/>
        <v/>
      </c>
      <c r="AJ673" t="str">
        <f t="shared" si="412"/>
        <v/>
      </c>
      <c r="AP673" t="str">
        <f t="shared" si="425"/>
        <v/>
      </c>
      <c r="AQ673" t="str">
        <f t="shared" si="426"/>
        <v/>
      </c>
      <c r="AR673" t="str">
        <f t="shared" si="427"/>
        <v/>
      </c>
      <c r="AS673" t="str">
        <f t="shared" si="428"/>
        <v/>
      </c>
      <c r="AT673" t="str">
        <f t="shared" si="429"/>
        <v/>
      </c>
      <c r="AU673" t="str">
        <f t="shared" si="430"/>
        <v/>
      </c>
      <c r="AV673">
        <v>3926</v>
      </c>
    </row>
    <row r="674" spans="2:49">
      <c r="B674">
        <v>3927</v>
      </c>
      <c r="C674" t="s">
        <v>55</v>
      </c>
      <c r="D674" t="str">
        <f t="shared" si="433"/>
        <v>30</v>
      </c>
      <c r="F674">
        <v>211</v>
      </c>
      <c r="G674">
        <v>5000</v>
      </c>
      <c r="H674">
        <f t="shared" si="441"/>
        <v>11</v>
      </c>
      <c r="I674">
        <v>1</v>
      </c>
      <c r="J674">
        <v>2</v>
      </c>
      <c r="K674">
        <f t="shared" si="436"/>
        <v>2902</v>
      </c>
      <c r="L674">
        <f t="shared" si="408"/>
        <v>101</v>
      </c>
      <c r="M674">
        <v>5000</v>
      </c>
      <c r="N674">
        <f t="shared" si="407"/>
        <v>11</v>
      </c>
      <c r="O674">
        <v>1</v>
      </c>
      <c r="P674">
        <f t="shared" si="437"/>
        <v>2901</v>
      </c>
      <c r="Q674">
        <v>51</v>
      </c>
      <c r="R674">
        <f t="shared" si="409"/>
        <v>102</v>
      </c>
      <c r="S674">
        <v>5000</v>
      </c>
      <c r="T674">
        <f t="shared" si="422"/>
        <v>11</v>
      </c>
      <c r="U674">
        <v>1</v>
      </c>
      <c r="V674">
        <f t="shared" si="438"/>
        <v>2902</v>
      </c>
      <c r="W674">
        <v>57</v>
      </c>
      <c r="X674">
        <f t="shared" si="410"/>
        <v>103</v>
      </c>
      <c r="Y674">
        <v>5000</v>
      </c>
      <c r="Z674">
        <f t="shared" si="423"/>
        <v>11</v>
      </c>
      <c r="AA674">
        <v>1</v>
      </c>
      <c r="AB674">
        <f t="shared" si="439"/>
        <v>2901</v>
      </c>
      <c r="AC674">
        <v>79</v>
      </c>
      <c r="AD674">
        <f t="shared" si="411"/>
        <v>113</v>
      </c>
      <c r="AE674">
        <v>5000</v>
      </c>
      <c r="AF674">
        <f t="shared" si="424"/>
        <v>11</v>
      </c>
      <c r="AG674">
        <v>1</v>
      </c>
      <c r="AH674">
        <f t="shared" si="440"/>
        <v>2902</v>
      </c>
      <c r="AI674">
        <v>72</v>
      </c>
      <c r="AJ674">
        <f t="shared" si="412"/>
        <v>111</v>
      </c>
      <c r="AK674">
        <v>1000</v>
      </c>
      <c r="AL674">
        <v>1</v>
      </c>
      <c r="AM674">
        <v>0</v>
      </c>
      <c r="AN674">
        <f t="shared" ref="AN674" si="444">AN651+100</f>
        <v>2931</v>
      </c>
      <c r="AO674">
        <v>4</v>
      </c>
      <c r="AP674" t="str">
        <f t="shared" si="425"/>
        <v>{5000,11,1,2902,101}</v>
      </c>
      <c r="AQ674" t="str">
        <f t="shared" si="426"/>
        <v>{5000,11,1,2901,102}</v>
      </c>
      <c r="AR674" t="str">
        <f t="shared" si="427"/>
        <v>{5000,11,1,2902,103}</v>
      </c>
      <c r="AS674" t="str">
        <f t="shared" si="428"/>
        <v>{5000,11,1,2901,113}</v>
      </c>
      <c r="AT674" t="str">
        <f t="shared" si="429"/>
        <v>{5000,11,1,2902,111}</v>
      </c>
      <c r="AU674" t="str">
        <f t="shared" si="430"/>
        <v>{1000,1,0,2931,4}</v>
      </c>
      <c r="AV674">
        <v>3927</v>
      </c>
      <c r="AW674" t="str">
        <f t="shared" ref="AW674:AW688" si="445">IF(AU674="","["&amp;_xlfn.TEXTJOIN(",",1,AP674:AT674)&amp;"]","["&amp;_xlfn.TEXTJOIN(",",1,AP674:AU674)&amp;"]")</f>
        <v>[{5000,11,1,2902,101},{5000,11,1,2901,102},{5000,11,1,2902,103},{5000,11,1,2901,113},{5000,11,1,2902,111},{1000,1,0,2931,4}]</v>
      </c>
    </row>
    <row r="675" spans="2:49">
      <c r="B675">
        <v>3928</v>
      </c>
      <c r="C675" t="s">
        <v>55</v>
      </c>
      <c r="D675" t="str">
        <f t="shared" si="433"/>
        <v>30</v>
      </c>
      <c r="F675">
        <v>226</v>
      </c>
      <c r="G675">
        <v>5000</v>
      </c>
      <c r="H675">
        <f t="shared" si="441"/>
        <v>11</v>
      </c>
      <c r="I675">
        <v>1</v>
      </c>
      <c r="J675">
        <v>2</v>
      </c>
      <c r="K675">
        <f t="shared" si="436"/>
        <v>2902</v>
      </c>
      <c r="L675">
        <f t="shared" si="408"/>
        <v>101</v>
      </c>
      <c r="M675">
        <v>5000</v>
      </c>
      <c r="N675">
        <f t="shared" si="407"/>
        <v>11</v>
      </c>
      <c r="O675">
        <v>1</v>
      </c>
      <c r="P675">
        <f t="shared" si="437"/>
        <v>2901</v>
      </c>
      <c r="Q675">
        <v>51</v>
      </c>
      <c r="R675">
        <f t="shared" si="409"/>
        <v>103</v>
      </c>
      <c r="S675">
        <v>5000</v>
      </c>
      <c r="T675">
        <f t="shared" si="422"/>
        <v>11</v>
      </c>
      <c r="U675">
        <v>1</v>
      </c>
      <c r="V675">
        <f t="shared" si="438"/>
        <v>2902</v>
      </c>
      <c r="W675">
        <v>75</v>
      </c>
      <c r="X675">
        <f t="shared" si="410"/>
        <v>111</v>
      </c>
      <c r="Y675">
        <v>5000</v>
      </c>
      <c r="Z675">
        <f t="shared" si="423"/>
        <v>11</v>
      </c>
      <c r="AA675">
        <v>1</v>
      </c>
      <c r="AB675">
        <f t="shared" si="439"/>
        <v>2901</v>
      </c>
      <c r="AC675">
        <v>71</v>
      </c>
      <c r="AD675">
        <f t="shared" si="411"/>
        <v>112</v>
      </c>
      <c r="AE675">
        <v>5000</v>
      </c>
      <c r="AF675">
        <f t="shared" si="424"/>
        <v>11</v>
      </c>
      <c r="AG675">
        <v>1</v>
      </c>
      <c r="AH675">
        <f t="shared" si="440"/>
        <v>2902</v>
      </c>
      <c r="AI675">
        <v>77</v>
      </c>
      <c r="AJ675">
        <f t="shared" si="412"/>
        <v>113</v>
      </c>
      <c r="AP675" t="str">
        <f t="shared" si="425"/>
        <v>{5000,11,1,2902,101}</v>
      </c>
      <c r="AQ675" t="str">
        <f t="shared" si="426"/>
        <v>{5000,11,1,2901,103}</v>
      </c>
      <c r="AR675" t="str">
        <f t="shared" si="427"/>
        <v>{5000,11,1,2902,111}</v>
      </c>
      <c r="AS675" t="str">
        <f t="shared" si="428"/>
        <v>{5000,11,1,2901,112}</v>
      </c>
      <c r="AT675" t="str">
        <f t="shared" si="429"/>
        <v>{5000,11,1,2902,113}</v>
      </c>
      <c r="AU675" t="str">
        <f t="shared" si="430"/>
        <v/>
      </c>
      <c r="AV675">
        <v>3928</v>
      </c>
      <c r="AW675" t="str">
        <f t="shared" si="445"/>
        <v>[{5000,11,1,2902,101},{5000,11,1,2901,103},{5000,11,1,2902,111},{5000,11,1,2901,112},{5000,11,1,2902,113}]</v>
      </c>
    </row>
    <row r="676" spans="2:49">
      <c r="B676">
        <v>3929</v>
      </c>
      <c r="C676" t="s">
        <v>55</v>
      </c>
      <c r="D676" t="str">
        <f t="shared" si="433"/>
        <v>30</v>
      </c>
      <c r="F676">
        <v>241</v>
      </c>
      <c r="G676">
        <v>5000</v>
      </c>
      <c r="H676">
        <f t="shared" si="441"/>
        <v>13</v>
      </c>
      <c r="I676">
        <v>1</v>
      </c>
      <c r="J676">
        <v>3</v>
      </c>
      <c r="K676">
        <f t="shared" si="436"/>
        <v>2903</v>
      </c>
      <c r="L676">
        <f t="shared" si="408"/>
        <v>101</v>
      </c>
      <c r="M676">
        <v>5000</v>
      </c>
      <c r="N676">
        <f t="shared" si="407"/>
        <v>13</v>
      </c>
      <c r="O676">
        <v>1</v>
      </c>
      <c r="P676">
        <f t="shared" si="437"/>
        <v>2903</v>
      </c>
      <c r="Q676">
        <v>53</v>
      </c>
      <c r="R676">
        <f t="shared" si="409"/>
        <v>102</v>
      </c>
      <c r="S676">
        <v>5000</v>
      </c>
      <c r="T676">
        <f t="shared" si="422"/>
        <v>13</v>
      </c>
      <c r="U676">
        <v>1</v>
      </c>
      <c r="V676">
        <f t="shared" si="438"/>
        <v>2903</v>
      </c>
      <c r="W676">
        <v>56</v>
      </c>
      <c r="X676">
        <f t="shared" si="410"/>
        <v>103</v>
      </c>
      <c r="Y676">
        <v>5000</v>
      </c>
      <c r="Z676">
        <f t="shared" si="423"/>
        <v>13</v>
      </c>
      <c r="AA676">
        <v>1</v>
      </c>
      <c r="AB676">
        <f t="shared" si="439"/>
        <v>2903</v>
      </c>
      <c r="AC676">
        <v>74</v>
      </c>
      <c r="AD676">
        <f t="shared" si="411"/>
        <v>113</v>
      </c>
      <c r="AE676">
        <v>5000</v>
      </c>
      <c r="AF676">
        <f t="shared" si="424"/>
        <v>13</v>
      </c>
      <c r="AG676">
        <v>1</v>
      </c>
      <c r="AH676">
        <f t="shared" si="440"/>
        <v>2903</v>
      </c>
      <c r="AI676">
        <v>78</v>
      </c>
      <c r="AJ676">
        <f t="shared" si="412"/>
        <v>111</v>
      </c>
      <c r="AP676" t="str">
        <f t="shared" si="425"/>
        <v>{5000,13,1,2903,101}</v>
      </c>
      <c r="AQ676" t="str">
        <f t="shared" si="426"/>
        <v>{5000,13,1,2903,102}</v>
      </c>
      <c r="AR676" t="str">
        <f t="shared" si="427"/>
        <v>{5000,13,1,2903,103}</v>
      </c>
      <c r="AS676" t="str">
        <f t="shared" si="428"/>
        <v>{5000,13,1,2903,113}</v>
      </c>
      <c r="AT676" t="str">
        <f t="shared" si="429"/>
        <v>{5000,13,1,2903,111}</v>
      </c>
      <c r="AU676" t="str">
        <f t="shared" si="430"/>
        <v/>
      </c>
      <c r="AV676">
        <v>3929</v>
      </c>
      <c r="AW676" t="str">
        <f t="shared" si="445"/>
        <v>[{5000,13,1,2903,101},{5000,13,1,2903,102},{5000,13,1,2903,103},{5000,13,1,2903,113},{5000,13,1,2903,111}]</v>
      </c>
    </row>
    <row r="677" spans="2:49">
      <c r="B677">
        <v>3930</v>
      </c>
      <c r="C677" t="s">
        <v>55</v>
      </c>
      <c r="D677" t="str">
        <f t="shared" si="433"/>
        <v>30</v>
      </c>
      <c r="F677">
        <v>256</v>
      </c>
      <c r="G677">
        <v>5000</v>
      </c>
      <c r="H677">
        <f t="shared" si="441"/>
        <v>12</v>
      </c>
      <c r="I677">
        <v>1</v>
      </c>
      <c r="J677">
        <v>2</v>
      </c>
      <c r="K677">
        <f t="shared" si="436"/>
        <v>2902</v>
      </c>
      <c r="L677">
        <f t="shared" si="408"/>
        <v>101</v>
      </c>
      <c r="M677">
        <v>5000</v>
      </c>
      <c r="N677">
        <f t="shared" si="407"/>
        <v>12</v>
      </c>
      <c r="O677">
        <v>1</v>
      </c>
      <c r="P677">
        <f t="shared" si="437"/>
        <v>2902</v>
      </c>
      <c r="Q677">
        <v>59</v>
      </c>
      <c r="R677">
        <f t="shared" si="409"/>
        <v>103</v>
      </c>
      <c r="S677">
        <v>5000</v>
      </c>
      <c r="T677">
        <f t="shared" si="422"/>
        <v>12</v>
      </c>
      <c r="U677">
        <v>1</v>
      </c>
      <c r="V677">
        <f t="shared" si="438"/>
        <v>2902</v>
      </c>
      <c r="W677">
        <v>79</v>
      </c>
      <c r="X677">
        <f t="shared" si="410"/>
        <v>111</v>
      </c>
      <c r="Y677">
        <v>5000</v>
      </c>
      <c r="Z677">
        <f t="shared" si="423"/>
        <v>12</v>
      </c>
      <c r="AA677">
        <v>1</v>
      </c>
      <c r="AB677">
        <f t="shared" si="439"/>
        <v>2901</v>
      </c>
      <c r="AC677">
        <v>72</v>
      </c>
      <c r="AD677">
        <f t="shared" si="411"/>
        <v>112</v>
      </c>
      <c r="AE677">
        <v>5000</v>
      </c>
      <c r="AF677">
        <f t="shared" si="424"/>
        <v>12</v>
      </c>
      <c r="AG677">
        <v>1</v>
      </c>
      <c r="AH677">
        <f t="shared" si="440"/>
        <v>2902</v>
      </c>
      <c r="AI677">
        <v>74</v>
      </c>
      <c r="AJ677">
        <f t="shared" si="412"/>
        <v>113</v>
      </c>
      <c r="AP677" t="str">
        <f t="shared" si="425"/>
        <v>{5000,12,1,2902,101}</v>
      </c>
      <c r="AQ677" t="str">
        <f t="shared" si="426"/>
        <v>{5000,12,1,2902,103}</v>
      </c>
      <c r="AR677" t="str">
        <f t="shared" si="427"/>
        <v>{5000,12,1,2902,111}</v>
      </c>
      <c r="AS677" t="str">
        <f t="shared" si="428"/>
        <v>{5000,12,1,2901,112}</v>
      </c>
      <c r="AT677" t="str">
        <f t="shared" si="429"/>
        <v>{5000,12,1,2902,113}</v>
      </c>
      <c r="AU677" t="str">
        <f t="shared" si="430"/>
        <v/>
      </c>
      <c r="AV677">
        <v>3930</v>
      </c>
      <c r="AW677" t="str">
        <f t="shared" si="445"/>
        <v>[{5000,12,1,2902,101},{5000,12,1,2902,103},{5000,12,1,2902,111},{5000,12,1,2901,112},{5000,12,1,2902,113}]</v>
      </c>
    </row>
    <row r="678" spans="2:49">
      <c r="B678">
        <v>3931</v>
      </c>
      <c r="C678" t="s">
        <v>55</v>
      </c>
      <c r="D678" t="str">
        <f t="shared" si="433"/>
        <v>30</v>
      </c>
      <c r="F678">
        <v>271</v>
      </c>
      <c r="G678">
        <v>5000</v>
      </c>
      <c r="H678">
        <f t="shared" si="441"/>
        <v>13</v>
      </c>
      <c r="I678">
        <v>1</v>
      </c>
      <c r="J678">
        <v>2</v>
      </c>
      <c r="K678">
        <f t="shared" si="436"/>
        <v>2902</v>
      </c>
      <c r="L678">
        <f t="shared" si="408"/>
        <v>101</v>
      </c>
      <c r="M678">
        <v>5000</v>
      </c>
      <c r="N678">
        <f t="shared" ref="N678:N741" si="446">H678</f>
        <v>13</v>
      </c>
      <c r="O678">
        <v>1</v>
      </c>
      <c r="P678">
        <f t="shared" si="437"/>
        <v>2902</v>
      </c>
      <c r="Q678">
        <v>54</v>
      </c>
      <c r="R678">
        <f t="shared" si="409"/>
        <v>102</v>
      </c>
      <c r="S678">
        <v>5000</v>
      </c>
      <c r="T678">
        <f t="shared" si="422"/>
        <v>13</v>
      </c>
      <c r="U678">
        <v>1</v>
      </c>
      <c r="V678">
        <f t="shared" si="438"/>
        <v>2902</v>
      </c>
      <c r="W678">
        <v>56</v>
      </c>
      <c r="X678">
        <f t="shared" si="410"/>
        <v>103</v>
      </c>
      <c r="Y678">
        <v>5000</v>
      </c>
      <c r="Z678">
        <f t="shared" si="423"/>
        <v>13</v>
      </c>
      <c r="AA678">
        <v>1</v>
      </c>
      <c r="AB678">
        <f t="shared" si="439"/>
        <v>2902</v>
      </c>
      <c r="AC678">
        <v>73</v>
      </c>
      <c r="AD678">
        <f t="shared" si="411"/>
        <v>113</v>
      </c>
      <c r="AE678">
        <v>5000</v>
      </c>
      <c r="AF678">
        <f t="shared" si="424"/>
        <v>13</v>
      </c>
      <c r="AG678">
        <v>1</v>
      </c>
      <c r="AH678">
        <f t="shared" si="440"/>
        <v>2902</v>
      </c>
      <c r="AI678">
        <v>75</v>
      </c>
      <c r="AJ678">
        <f t="shared" si="412"/>
        <v>111</v>
      </c>
      <c r="AP678" t="str">
        <f t="shared" si="425"/>
        <v>{5000,13,1,2902,101}</v>
      </c>
      <c r="AQ678" t="str">
        <f t="shared" si="426"/>
        <v>{5000,13,1,2902,102}</v>
      </c>
      <c r="AR678" t="str">
        <f t="shared" si="427"/>
        <v>{5000,13,1,2902,103}</v>
      </c>
      <c r="AS678" t="str">
        <f t="shared" si="428"/>
        <v>{5000,13,1,2902,113}</v>
      </c>
      <c r="AT678" t="str">
        <f t="shared" si="429"/>
        <v>{5000,13,1,2902,111}</v>
      </c>
      <c r="AU678" t="str">
        <f t="shared" si="430"/>
        <v/>
      </c>
      <c r="AV678">
        <v>3931</v>
      </c>
      <c r="AW678" t="str">
        <f t="shared" si="445"/>
        <v>[{5000,13,1,2902,101},{5000,13,1,2902,102},{5000,13,1,2902,103},{5000,13,1,2902,113},{5000,13,1,2902,111}]</v>
      </c>
    </row>
    <row r="679" spans="2:49">
      <c r="B679">
        <v>3932</v>
      </c>
      <c r="C679" t="s">
        <v>55</v>
      </c>
      <c r="D679" t="str">
        <f t="shared" si="433"/>
        <v>30</v>
      </c>
      <c r="F679">
        <v>286</v>
      </c>
      <c r="G679">
        <v>5000</v>
      </c>
      <c r="H679">
        <f t="shared" si="441"/>
        <v>13</v>
      </c>
      <c r="I679">
        <v>1</v>
      </c>
      <c r="J679">
        <v>2</v>
      </c>
      <c r="K679">
        <f t="shared" si="436"/>
        <v>2902</v>
      </c>
      <c r="L679">
        <f t="shared" ref="L679:L742" si="447">IF(L656="","",L656)</f>
        <v>101</v>
      </c>
      <c r="M679">
        <v>5000</v>
      </c>
      <c r="N679">
        <f t="shared" si="446"/>
        <v>13</v>
      </c>
      <c r="O679">
        <v>1</v>
      </c>
      <c r="P679">
        <f t="shared" si="437"/>
        <v>2902</v>
      </c>
      <c r="Q679">
        <v>53</v>
      </c>
      <c r="R679">
        <f t="shared" ref="R679:R742" si="448">IF(R656="","",R656)</f>
        <v>103</v>
      </c>
      <c r="S679">
        <v>5000</v>
      </c>
      <c r="T679">
        <f t="shared" si="422"/>
        <v>13</v>
      </c>
      <c r="U679">
        <v>1</v>
      </c>
      <c r="V679">
        <f t="shared" si="438"/>
        <v>2902</v>
      </c>
      <c r="W679">
        <v>59</v>
      </c>
      <c r="X679">
        <f t="shared" ref="X679:X742" si="449">IF(X656="","",X656)</f>
        <v>111</v>
      </c>
      <c r="Y679">
        <v>5000</v>
      </c>
      <c r="Z679">
        <f t="shared" si="423"/>
        <v>13</v>
      </c>
      <c r="AA679">
        <v>1</v>
      </c>
      <c r="AB679">
        <f t="shared" si="439"/>
        <v>2902</v>
      </c>
      <c r="AC679">
        <v>71</v>
      </c>
      <c r="AD679">
        <f t="shared" ref="AD679:AD742" si="450">IF(AD656="","",AD656)</f>
        <v>112</v>
      </c>
      <c r="AE679">
        <v>5000</v>
      </c>
      <c r="AF679">
        <f t="shared" si="424"/>
        <v>13</v>
      </c>
      <c r="AG679">
        <v>1</v>
      </c>
      <c r="AH679">
        <f t="shared" si="440"/>
        <v>2902</v>
      </c>
      <c r="AI679">
        <v>77</v>
      </c>
      <c r="AJ679">
        <f t="shared" ref="AJ679:AJ742" si="451">IF(AJ656="","",AJ656)</f>
        <v>113</v>
      </c>
      <c r="AP679" t="str">
        <f t="shared" si="425"/>
        <v>{5000,13,1,2902,101}</v>
      </c>
      <c r="AQ679" t="str">
        <f t="shared" si="426"/>
        <v>{5000,13,1,2902,103}</v>
      </c>
      <c r="AR679" t="str">
        <f t="shared" si="427"/>
        <v>{5000,13,1,2902,111}</v>
      </c>
      <c r="AS679" t="str">
        <f t="shared" si="428"/>
        <v>{5000,13,1,2902,112}</v>
      </c>
      <c r="AT679" t="str">
        <f t="shared" si="429"/>
        <v>{5000,13,1,2902,113}</v>
      </c>
      <c r="AU679" t="str">
        <f t="shared" si="430"/>
        <v/>
      </c>
      <c r="AV679">
        <v>3932</v>
      </c>
      <c r="AW679" t="str">
        <f t="shared" si="445"/>
        <v>[{5000,13,1,2902,101},{5000,13,1,2902,103},{5000,13,1,2902,111},{5000,13,1,2902,112},{5000,13,1,2902,113}]</v>
      </c>
    </row>
    <row r="680" spans="2:49">
      <c r="B680">
        <v>3933</v>
      </c>
      <c r="C680" t="s">
        <v>55</v>
      </c>
      <c r="D680" t="str">
        <f t="shared" si="433"/>
        <v>30</v>
      </c>
      <c r="F680">
        <v>290</v>
      </c>
      <c r="G680">
        <v>5000</v>
      </c>
      <c r="H680">
        <f t="shared" si="441"/>
        <v>13</v>
      </c>
      <c r="I680">
        <v>1</v>
      </c>
      <c r="J680">
        <v>2</v>
      </c>
      <c r="K680">
        <f t="shared" si="436"/>
        <v>2902</v>
      </c>
      <c r="L680">
        <f t="shared" si="447"/>
        <v>101</v>
      </c>
      <c r="M680">
        <v>5000</v>
      </c>
      <c r="N680">
        <f t="shared" si="446"/>
        <v>13</v>
      </c>
      <c r="O680">
        <v>1</v>
      </c>
      <c r="P680">
        <f t="shared" si="437"/>
        <v>2902</v>
      </c>
      <c r="Q680">
        <v>56</v>
      </c>
      <c r="R680">
        <f t="shared" si="448"/>
        <v>102</v>
      </c>
      <c r="S680">
        <v>5000</v>
      </c>
      <c r="T680">
        <f t="shared" si="422"/>
        <v>13</v>
      </c>
      <c r="U680">
        <v>1</v>
      </c>
      <c r="V680">
        <f t="shared" si="438"/>
        <v>2901</v>
      </c>
      <c r="W680">
        <v>77</v>
      </c>
      <c r="X680">
        <f t="shared" si="449"/>
        <v>103</v>
      </c>
      <c r="Y680">
        <v>5000</v>
      </c>
      <c r="Z680">
        <f t="shared" si="423"/>
        <v>13</v>
      </c>
      <c r="AA680">
        <v>1</v>
      </c>
      <c r="AB680">
        <f t="shared" si="439"/>
        <v>2902</v>
      </c>
      <c r="AC680">
        <v>72</v>
      </c>
      <c r="AD680">
        <f t="shared" si="450"/>
        <v>113</v>
      </c>
      <c r="AE680">
        <v>5000</v>
      </c>
      <c r="AF680">
        <f t="shared" si="424"/>
        <v>13</v>
      </c>
      <c r="AG680">
        <v>1</v>
      </c>
      <c r="AH680">
        <f t="shared" si="440"/>
        <v>2902</v>
      </c>
      <c r="AI680">
        <v>74</v>
      </c>
      <c r="AJ680">
        <f t="shared" si="451"/>
        <v>111</v>
      </c>
      <c r="AP680" t="str">
        <f t="shared" si="425"/>
        <v>{5000,13,1,2902,101}</v>
      </c>
      <c r="AQ680" t="str">
        <f t="shared" si="426"/>
        <v>{5000,13,1,2902,102}</v>
      </c>
      <c r="AR680" t="str">
        <f t="shared" si="427"/>
        <v>{5000,13,1,2901,103}</v>
      </c>
      <c r="AS680" t="str">
        <f t="shared" si="428"/>
        <v>{5000,13,1,2902,113}</v>
      </c>
      <c r="AT680" t="str">
        <f t="shared" si="429"/>
        <v>{5000,13,1,2902,111}</v>
      </c>
      <c r="AU680" t="str">
        <f t="shared" si="430"/>
        <v/>
      </c>
      <c r="AV680">
        <v>3933</v>
      </c>
      <c r="AW680" t="str">
        <f t="shared" si="445"/>
        <v>[{5000,13,1,2902,101},{5000,13,1,2902,102},{5000,13,1,2901,103},{5000,13,1,2902,113},{5000,13,1,2902,111}]</v>
      </c>
    </row>
    <row r="681" spans="2:49">
      <c r="B681">
        <v>4011</v>
      </c>
      <c r="C681" t="s">
        <v>56</v>
      </c>
      <c r="D681" s="5" t="str">
        <f t="shared" si="433"/>
        <v>31</v>
      </c>
      <c r="E681" s="5"/>
      <c r="F681">
        <v>1</v>
      </c>
      <c r="G681">
        <v>5000</v>
      </c>
      <c r="H681">
        <f t="shared" si="441"/>
        <v>3</v>
      </c>
      <c r="I681">
        <v>1</v>
      </c>
      <c r="J681">
        <v>1</v>
      </c>
      <c r="K681">
        <f t="shared" si="436"/>
        <v>3001</v>
      </c>
      <c r="L681">
        <f t="shared" si="447"/>
        <v>101</v>
      </c>
      <c r="M681">
        <v>5000</v>
      </c>
      <c r="N681">
        <f t="shared" si="446"/>
        <v>3</v>
      </c>
      <c r="O681">
        <v>1</v>
      </c>
      <c r="P681">
        <f t="shared" si="437"/>
        <v>3001</v>
      </c>
      <c r="Q681">
        <v>55</v>
      </c>
      <c r="R681">
        <f t="shared" si="448"/>
        <v>102</v>
      </c>
      <c r="S681">
        <v>5000</v>
      </c>
      <c r="T681">
        <f t="shared" si="422"/>
        <v>3</v>
      </c>
      <c r="U681">
        <v>1</v>
      </c>
      <c r="V681">
        <f t="shared" si="438"/>
        <v>3001</v>
      </c>
      <c r="W681">
        <v>60</v>
      </c>
      <c r="X681">
        <f t="shared" si="449"/>
        <v>103</v>
      </c>
      <c r="Y681">
        <v>5000</v>
      </c>
      <c r="Z681">
        <f t="shared" si="423"/>
        <v>3</v>
      </c>
      <c r="AA681">
        <v>1</v>
      </c>
      <c r="AB681">
        <f t="shared" si="439"/>
        <v>3001</v>
      </c>
      <c r="AC681">
        <v>71</v>
      </c>
      <c r="AD681">
        <f t="shared" si="450"/>
        <v>113</v>
      </c>
      <c r="AE681">
        <v>5000</v>
      </c>
      <c r="AF681">
        <f t="shared" si="424"/>
        <v>3</v>
      </c>
      <c r="AG681">
        <v>1</v>
      </c>
      <c r="AH681">
        <f t="shared" si="440"/>
        <v>3001</v>
      </c>
      <c r="AI681">
        <v>76</v>
      </c>
      <c r="AJ681">
        <f t="shared" si="451"/>
        <v>111</v>
      </c>
      <c r="AP681" t="str">
        <f t="shared" si="425"/>
        <v>{5000,3,1,3001,101}</v>
      </c>
      <c r="AQ681" t="str">
        <f t="shared" si="426"/>
        <v>{5000,3,1,3001,102}</v>
      </c>
      <c r="AR681" t="str">
        <f t="shared" si="427"/>
        <v>{5000,3,1,3001,103}</v>
      </c>
      <c r="AS681" t="str">
        <f t="shared" si="428"/>
        <v>{5000,3,1,3001,113}</v>
      </c>
      <c r="AT681" t="str">
        <f t="shared" si="429"/>
        <v>{5000,3,1,3001,111}</v>
      </c>
      <c r="AU681" t="str">
        <f t="shared" si="430"/>
        <v/>
      </c>
      <c r="AV681">
        <v>4011</v>
      </c>
      <c r="AW681" t="str">
        <f t="shared" si="445"/>
        <v>[{5000,3,1,3001,101},{5000,3,1,3001,102},{5000,3,1,3001,103},{5000,3,1,3001,113},{5000,3,1,3001,111}]</v>
      </c>
    </row>
    <row r="682" spans="2:49">
      <c r="B682">
        <v>4012</v>
      </c>
      <c r="C682" t="s">
        <v>56</v>
      </c>
      <c r="D682" t="str">
        <f t="shared" si="433"/>
        <v>31</v>
      </c>
      <c r="F682">
        <v>16</v>
      </c>
      <c r="G682">
        <v>5000</v>
      </c>
      <c r="H682">
        <f t="shared" si="441"/>
        <v>3</v>
      </c>
      <c r="I682">
        <v>1</v>
      </c>
      <c r="J682">
        <v>1</v>
      </c>
      <c r="K682">
        <f t="shared" ref="K682:K704" si="452">IF($J682="","",K659+100)</f>
        <v>3001</v>
      </c>
      <c r="L682">
        <f t="shared" si="447"/>
        <v>101</v>
      </c>
      <c r="M682">
        <v>5000</v>
      </c>
      <c r="N682">
        <f t="shared" si="446"/>
        <v>3</v>
      </c>
      <c r="O682">
        <v>1</v>
      </c>
      <c r="P682">
        <f t="shared" ref="P682:P704" si="453">IF($J682="","",P659+100)</f>
        <v>3001</v>
      </c>
      <c r="Q682">
        <v>55</v>
      </c>
      <c r="R682">
        <f t="shared" si="448"/>
        <v>103</v>
      </c>
      <c r="S682">
        <v>5000</v>
      </c>
      <c r="T682">
        <f t="shared" si="422"/>
        <v>3</v>
      </c>
      <c r="U682">
        <v>1</v>
      </c>
      <c r="V682">
        <f t="shared" ref="V682:V704" si="454">IF($J682="","",V659+100)</f>
        <v>3001</v>
      </c>
      <c r="W682">
        <v>75</v>
      </c>
      <c r="X682">
        <f t="shared" si="449"/>
        <v>111</v>
      </c>
      <c r="Y682">
        <v>5000</v>
      </c>
      <c r="Z682">
        <f t="shared" si="423"/>
        <v>3</v>
      </c>
      <c r="AA682">
        <v>1</v>
      </c>
      <c r="AB682">
        <f t="shared" ref="AB682:AB704" si="455">IF($J682="","",AB659+100)</f>
        <v>3001</v>
      </c>
      <c r="AC682">
        <v>73</v>
      </c>
      <c r="AD682">
        <f t="shared" si="450"/>
        <v>112</v>
      </c>
      <c r="AE682">
        <v>5000</v>
      </c>
      <c r="AF682">
        <f t="shared" si="424"/>
        <v>3</v>
      </c>
      <c r="AG682">
        <v>1</v>
      </c>
      <c r="AH682">
        <f t="shared" ref="AH682:AH704" si="456">IF($J682="","",AH659+100)</f>
        <v>3001</v>
      </c>
      <c r="AI682">
        <v>78</v>
      </c>
      <c r="AJ682">
        <f t="shared" si="451"/>
        <v>113</v>
      </c>
      <c r="AP682" t="str">
        <f t="shared" si="425"/>
        <v>{5000,3,1,3001,101}</v>
      </c>
      <c r="AQ682" t="str">
        <f t="shared" si="426"/>
        <v>{5000,3,1,3001,103}</v>
      </c>
      <c r="AR682" t="str">
        <f t="shared" si="427"/>
        <v>{5000,3,1,3001,111}</v>
      </c>
      <c r="AS682" t="str">
        <f t="shared" si="428"/>
        <v>{5000,3,1,3001,112}</v>
      </c>
      <c r="AT682" t="str">
        <f t="shared" si="429"/>
        <v>{5000,3,1,3001,113}</v>
      </c>
      <c r="AU682" t="str">
        <f t="shared" si="430"/>
        <v/>
      </c>
      <c r="AV682">
        <v>4012</v>
      </c>
      <c r="AW682" t="str">
        <f t="shared" si="445"/>
        <v>[{5000,3,1,3001,101},{5000,3,1,3001,103},{5000,3,1,3001,111},{5000,3,1,3001,112},{5000,3,1,3001,113}]</v>
      </c>
    </row>
    <row r="683" spans="2:49">
      <c r="B683">
        <v>4013</v>
      </c>
      <c r="C683" t="s">
        <v>56</v>
      </c>
      <c r="D683" t="str">
        <f t="shared" si="433"/>
        <v>31</v>
      </c>
      <c r="F683">
        <v>31</v>
      </c>
      <c r="G683">
        <v>5000</v>
      </c>
      <c r="H683">
        <f t="shared" si="441"/>
        <v>6</v>
      </c>
      <c r="I683">
        <v>1</v>
      </c>
      <c r="J683">
        <v>1</v>
      </c>
      <c r="K683">
        <f t="shared" si="452"/>
        <v>3001</v>
      </c>
      <c r="L683">
        <f t="shared" si="447"/>
        <v>101</v>
      </c>
      <c r="M683">
        <v>5000</v>
      </c>
      <c r="N683">
        <f t="shared" si="446"/>
        <v>6</v>
      </c>
      <c r="O683">
        <v>1</v>
      </c>
      <c r="P683">
        <f t="shared" si="453"/>
        <v>3001</v>
      </c>
      <c r="Q683">
        <v>55</v>
      </c>
      <c r="R683">
        <f t="shared" si="448"/>
        <v>102</v>
      </c>
      <c r="S683">
        <v>5000</v>
      </c>
      <c r="T683">
        <f t="shared" si="422"/>
        <v>6</v>
      </c>
      <c r="U683">
        <v>1</v>
      </c>
      <c r="V683">
        <f t="shared" si="454"/>
        <v>3001</v>
      </c>
      <c r="W683">
        <v>58</v>
      </c>
      <c r="X683">
        <f t="shared" si="449"/>
        <v>103</v>
      </c>
      <c r="Y683">
        <v>5000</v>
      </c>
      <c r="Z683">
        <f t="shared" si="423"/>
        <v>6</v>
      </c>
      <c r="AA683">
        <v>1</v>
      </c>
      <c r="AB683">
        <f t="shared" si="455"/>
        <v>3001</v>
      </c>
      <c r="AC683">
        <v>76</v>
      </c>
      <c r="AD683">
        <f t="shared" si="450"/>
        <v>113</v>
      </c>
      <c r="AE683">
        <v>5000</v>
      </c>
      <c r="AF683">
        <f t="shared" si="424"/>
        <v>6</v>
      </c>
      <c r="AG683">
        <v>1</v>
      </c>
      <c r="AH683">
        <f t="shared" si="456"/>
        <v>3001</v>
      </c>
      <c r="AI683">
        <v>79</v>
      </c>
      <c r="AJ683">
        <f t="shared" si="451"/>
        <v>111</v>
      </c>
      <c r="AP683" t="str">
        <f t="shared" si="425"/>
        <v>{5000,6,1,3001,101}</v>
      </c>
      <c r="AQ683" t="str">
        <f t="shared" si="426"/>
        <v>{5000,6,1,3001,102}</v>
      </c>
      <c r="AR683" t="str">
        <f t="shared" si="427"/>
        <v>{5000,6,1,3001,103}</v>
      </c>
      <c r="AS683" t="str">
        <f t="shared" si="428"/>
        <v>{5000,6,1,3001,113}</v>
      </c>
      <c r="AT683" t="str">
        <f t="shared" si="429"/>
        <v>{5000,6,1,3001,111}</v>
      </c>
      <c r="AU683" t="str">
        <f t="shared" si="430"/>
        <v/>
      </c>
      <c r="AV683">
        <v>4013</v>
      </c>
      <c r="AW683" t="str">
        <f t="shared" si="445"/>
        <v>[{5000,6,1,3001,101},{5000,6,1,3001,102},{5000,6,1,3001,103},{5000,6,1,3001,113},{5000,6,1,3001,111}]</v>
      </c>
    </row>
    <row r="684" spans="2:49">
      <c r="B684">
        <v>4014</v>
      </c>
      <c r="C684" t="s">
        <v>56</v>
      </c>
      <c r="D684" t="str">
        <f t="shared" si="433"/>
        <v>31</v>
      </c>
      <c r="F684">
        <v>46</v>
      </c>
      <c r="G684">
        <v>5000</v>
      </c>
      <c r="H684">
        <f t="shared" si="441"/>
        <v>6</v>
      </c>
      <c r="I684">
        <v>1</v>
      </c>
      <c r="J684">
        <v>1</v>
      </c>
      <c r="K684">
        <f t="shared" si="452"/>
        <v>3001</v>
      </c>
      <c r="L684">
        <f t="shared" si="447"/>
        <v>101</v>
      </c>
      <c r="M684">
        <v>5000</v>
      </c>
      <c r="N684">
        <f t="shared" si="446"/>
        <v>6</v>
      </c>
      <c r="O684">
        <v>1</v>
      </c>
      <c r="P684">
        <f t="shared" si="453"/>
        <v>3001</v>
      </c>
      <c r="Q684">
        <v>55</v>
      </c>
      <c r="R684">
        <f t="shared" si="448"/>
        <v>103</v>
      </c>
      <c r="S684">
        <v>5000</v>
      </c>
      <c r="T684">
        <f t="shared" si="422"/>
        <v>6</v>
      </c>
      <c r="U684">
        <v>1</v>
      </c>
      <c r="V684">
        <f t="shared" si="454"/>
        <v>3002</v>
      </c>
      <c r="W684">
        <v>76</v>
      </c>
      <c r="X684">
        <f t="shared" si="449"/>
        <v>111</v>
      </c>
      <c r="Y684">
        <v>5000</v>
      </c>
      <c r="Z684">
        <f t="shared" si="423"/>
        <v>6</v>
      </c>
      <c r="AA684">
        <v>1</v>
      </c>
      <c r="AB684">
        <f t="shared" si="455"/>
        <v>3001</v>
      </c>
      <c r="AC684">
        <v>71</v>
      </c>
      <c r="AD684">
        <f t="shared" si="450"/>
        <v>112</v>
      </c>
      <c r="AE684">
        <v>5000</v>
      </c>
      <c r="AF684">
        <f t="shared" si="424"/>
        <v>6</v>
      </c>
      <c r="AG684">
        <v>1</v>
      </c>
      <c r="AH684">
        <f t="shared" si="456"/>
        <v>3001</v>
      </c>
      <c r="AI684">
        <v>71</v>
      </c>
      <c r="AJ684">
        <f t="shared" si="451"/>
        <v>113</v>
      </c>
      <c r="AP684" t="str">
        <f t="shared" si="425"/>
        <v>{5000,6,1,3001,101}</v>
      </c>
      <c r="AQ684" t="str">
        <f t="shared" si="426"/>
        <v>{5000,6,1,3001,103}</v>
      </c>
      <c r="AR684" t="str">
        <f t="shared" si="427"/>
        <v>{5000,6,1,3002,111}</v>
      </c>
      <c r="AS684" t="str">
        <f t="shared" si="428"/>
        <v>{5000,6,1,3001,112}</v>
      </c>
      <c r="AT684" t="str">
        <f t="shared" si="429"/>
        <v>{5000,6,1,3001,113}</v>
      </c>
      <c r="AU684" t="str">
        <f t="shared" si="430"/>
        <v/>
      </c>
      <c r="AV684">
        <v>4014</v>
      </c>
      <c r="AW684" t="str">
        <f t="shared" si="445"/>
        <v>[{5000,6,1,3001,101},{5000,6,1,3001,103},{5000,6,1,3002,111},{5000,6,1,3001,112},{5000,6,1,3001,113}]</v>
      </c>
    </row>
    <row r="685" spans="2:49">
      <c r="B685">
        <v>4015</v>
      </c>
      <c r="C685" t="s">
        <v>56</v>
      </c>
      <c r="D685" t="str">
        <f t="shared" si="433"/>
        <v>31</v>
      </c>
      <c r="F685">
        <v>61</v>
      </c>
      <c r="G685">
        <v>5000</v>
      </c>
      <c r="H685">
        <f t="shared" si="441"/>
        <v>8</v>
      </c>
      <c r="I685">
        <v>1</v>
      </c>
      <c r="J685">
        <v>3</v>
      </c>
      <c r="K685">
        <f t="shared" si="452"/>
        <v>3003</v>
      </c>
      <c r="L685">
        <f t="shared" si="447"/>
        <v>101</v>
      </c>
      <c r="M685">
        <v>5000</v>
      </c>
      <c r="N685">
        <f t="shared" si="446"/>
        <v>8</v>
      </c>
      <c r="O685">
        <v>1</v>
      </c>
      <c r="P685">
        <f t="shared" si="453"/>
        <v>3003</v>
      </c>
      <c r="Q685">
        <v>56</v>
      </c>
      <c r="R685">
        <f t="shared" si="448"/>
        <v>102</v>
      </c>
      <c r="S685">
        <v>5000</v>
      </c>
      <c r="T685">
        <f t="shared" si="422"/>
        <v>8</v>
      </c>
      <c r="U685">
        <v>1</v>
      </c>
      <c r="V685">
        <f t="shared" si="454"/>
        <v>3003</v>
      </c>
      <c r="W685">
        <v>57</v>
      </c>
      <c r="X685">
        <f t="shared" si="449"/>
        <v>103</v>
      </c>
      <c r="Y685">
        <v>5000</v>
      </c>
      <c r="Z685">
        <f t="shared" si="423"/>
        <v>8</v>
      </c>
      <c r="AA685">
        <v>1</v>
      </c>
      <c r="AB685">
        <f t="shared" si="455"/>
        <v>3003</v>
      </c>
      <c r="AC685">
        <v>72</v>
      </c>
      <c r="AD685">
        <f t="shared" si="450"/>
        <v>113</v>
      </c>
      <c r="AE685">
        <v>5000</v>
      </c>
      <c r="AF685">
        <f t="shared" si="424"/>
        <v>8</v>
      </c>
      <c r="AG685">
        <v>1</v>
      </c>
      <c r="AH685">
        <f t="shared" si="456"/>
        <v>3003</v>
      </c>
      <c r="AI685">
        <v>71</v>
      </c>
      <c r="AJ685">
        <f t="shared" si="451"/>
        <v>111</v>
      </c>
      <c r="AP685" t="str">
        <f t="shared" si="425"/>
        <v>{5000,8,1,3003,101}</v>
      </c>
      <c r="AQ685" t="str">
        <f t="shared" si="426"/>
        <v>{5000,8,1,3003,102}</v>
      </c>
      <c r="AR685" t="str">
        <f t="shared" si="427"/>
        <v>{5000,8,1,3003,103}</v>
      </c>
      <c r="AS685" t="str">
        <f t="shared" si="428"/>
        <v>{5000,8,1,3003,113}</v>
      </c>
      <c r="AT685" t="str">
        <f t="shared" si="429"/>
        <v>{5000,8,1,3003,111}</v>
      </c>
      <c r="AU685" t="str">
        <f t="shared" si="430"/>
        <v/>
      </c>
      <c r="AV685">
        <v>4015</v>
      </c>
      <c r="AW685" t="str">
        <f t="shared" si="445"/>
        <v>[{5000,8,1,3003,101},{5000,8,1,3003,102},{5000,8,1,3003,103},{5000,8,1,3003,113},{5000,8,1,3003,111}]</v>
      </c>
    </row>
    <row r="686" spans="2:49">
      <c r="B686">
        <v>4016</v>
      </c>
      <c r="C686" t="s">
        <v>56</v>
      </c>
      <c r="D686" t="str">
        <f t="shared" si="433"/>
        <v>31</v>
      </c>
      <c r="F686">
        <v>76</v>
      </c>
      <c r="G686">
        <v>5000</v>
      </c>
      <c r="H686">
        <f t="shared" si="441"/>
        <v>8</v>
      </c>
      <c r="I686">
        <v>1</v>
      </c>
      <c r="J686">
        <v>1</v>
      </c>
      <c r="K686">
        <f t="shared" si="452"/>
        <v>3001</v>
      </c>
      <c r="L686">
        <f t="shared" si="447"/>
        <v>101</v>
      </c>
      <c r="M686">
        <v>5000</v>
      </c>
      <c r="N686">
        <f t="shared" si="446"/>
        <v>8</v>
      </c>
      <c r="O686">
        <v>1</v>
      </c>
      <c r="P686">
        <f t="shared" si="453"/>
        <v>3001</v>
      </c>
      <c r="Q686">
        <v>59</v>
      </c>
      <c r="R686">
        <f t="shared" si="448"/>
        <v>103</v>
      </c>
      <c r="S686">
        <v>5000</v>
      </c>
      <c r="T686">
        <f t="shared" si="422"/>
        <v>8</v>
      </c>
      <c r="U686">
        <v>1</v>
      </c>
      <c r="V686">
        <f t="shared" si="454"/>
        <v>3002</v>
      </c>
      <c r="W686">
        <v>71</v>
      </c>
      <c r="X686">
        <f t="shared" si="449"/>
        <v>111</v>
      </c>
      <c r="Y686">
        <v>5000</v>
      </c>
      <c r="Z686">
        <f t="shared" si="423"/>
        <v>8</v>
      </c>
      <c r="AA686">
        <v>1</v>
      </c>
      <c r="AB686">
        <f t="shared" si="455"/>
        <v>3001</v>
      </c>
      <c r="AC686">
        <v>71</v>
      </c>
      <c r="AD686">
        <f t="shared" si="450"/>
        <v>112</v>
      </c>
      <c r="AE686">
        <v>5000</v>
      </c>
      <c r="AF686">
        <f t="shared" si="424"/>
        <v>8</v>
      </c>
      <c r="AG686">
        <v>1</v>
      </c>
      <c r="AH686">
        <f t="shared" si="456"/>
        <v>3001</v>
      </c>
      <c r="AI686">
        <v>79</v>
      </c>
      <c r="AJ686">
        <f t="shared" si="451"/>
        <v>113</v>
      </c>
      <c r="AP686" t="str">
        <f t="shared" si="425"/>
        <v>{5000,8,1,3001,101}</v>
      </c>
      <c r="AQ686" t="str">
        <f t="shared" si="426"/>
        <v>{5000,8,1,3001,103}</v>
      </c>
      <c r="AR686" t="str">
        <f t="shared" si="427"/>
        <v>{5000,8,1,3002,111}</v>
      </c>
      <c r="AS686" t="str">
        <f t="shared" si="428"/>
        <v>{5000,8,1,3001,112}</v>
      </c>
      <c r="AT686" t="str">
        <f t="shared" si="429"/>
        <v>{5000,8,1,3001,113}</v>
      </c>
      <c r="AU686" t="str">
        <f t="shared" si="430"/>
        <v/>
      </c>
      <c r="AV686">
        <v>4016</v>
      </c>
      <c r="AW686" t="str">
        <f t="shared" si="445"/>
        <v>[{5000,8,1,3001,101},{5000,8,1,3001,103},{5000,8,1,3002,111},{5000,8,1,3001,112},{5000,8,1,3001,113}]</v>
      </c>
    </row>
    <row r="687" spans="2:49">
      <c r="B687">
        <v>4017</v>
      </c>
      <c r="C687" t="s">
        <v>56</v>
      </c>
      <c r="D687" t="str">
        <f t="shared" si="433"/>
        <v>31</v>
      </c>
      <c r="F687">
        <v>91</v>
      </c>
      <c r="G687">
        <v>5000</v>
      </c>
      <c r="H687">
        <f t="shared" si="441"/>
        <v>8</v>
      </c>
      <c r="I687">
        <v>1</v>
      </c>
      <c r="J687">
        <v>1</v>
      </c>
      <c r="K687">
        <f t="shared" si="452"/>
        <v>3001</v>
      </c>
      <c r="L687">
        <f t="shared" si="447"/>
        <v>101</v>
      </c>
      <c r="M687">
        <v>5000</v>
      </c>
      <c r="N687">
        <f t="shared" si="446"/>
        <v>8</v>
      </c>
      <c r="O687">
        <v>1</v>
      </c>
      <c r="P687">
        <f t="shared" si="453"/>
        <v>3001</v>
      </c>
      <c r="Q687">
        <v>54</v>
      </c>
      <c r="R687">
        <f t="shared" si="448"/>
        <v>102</v>
      </c>
      <c r="S687">
        <v>5000</v>
      </c>
      <c r="T687">
        <f t="shared" si="422"/>
        <v>8</v>
      </c>
      <c r="U687">
        <v>1</v>
      </c>
      <c r="V687">
        <f t="shared" si="454"/>
        <v>3002</v>
      </c>
      <c r="W687">
        <v>51</v>
      </c>
      <c r="X687">
        <f t="shared" si="449"/>
        <v>103</v>
      </c>
      <c r="Y687">
        <v>5000</v>
      </c>
      <c r="Z687">
        <f t="shared" si="423"/>
        <v>8</v>
      </c>
      <c r="AA687">
        <v>1</v>
      </c>
      <c r="AB687">
        <f t="shared" si="455"/>
        <v>3001</v>
      </c>
      <c r="AC687">
        <v>71</v>
      </c>
      <c r="AD687">
        <f t="shared" si="450"/>
        <v>113</v>
      </c>
      <c r="AE687">
        <v>5000</v>
      </c>
      <c r="AF687">
        <f t="shared" si="424"/>
        <v>8</v>
      </c>
      <c r="AG687">
        <v>1</v>
      </c>
      <c r="AH687">
        <f t="shared" si="456"/>
        <v>3002</v>
      </c>
      <c r="AI687">
        <v>77</v>
      </c>
      <c r="AJ687">
        <f t="shared" si="451"/>
        <v>111</v>
      </c>
      <c r="AP687" t="str">
        <f t="shared" si="425"/>
        <v>{5000,8,1,3001,101}</v>
      </c>
      <c r="AQ687" t="str">
        <f t="shared" si="426"/>
        <v>{5000,8,1,3001,102}</v>
      </c>
      <c r="AR687" t="str">
        <f t="shared" si="427"/>
        <v>{5000,8,1,3002,103}</v>
      </c>
      <c r="AS687" t="str">
        <f t="shared" si="428"/>
        <v>{5000,8,1,3001,113}</v>
      </c>
      <c r="AT687" t="str">
        <f t="shared" si="429"/>
        <v>{5000,8,1,3002,111}</v>
      </c>
      <c r="AU687" t="str">
        <f t="shared" si="430"/>
        <v/>
      </c>
      <c r="AV687">
        <v>4017</v>
      </c>
      <c r="AW687" t="str">
        <f t="shared" si="445"/>
        <v>[{5000,8,1,3001,101},{5000,8,1,3001,102},{5000,8,1,3002,103},{5000,8,1,3001,113},{5000,8,1,3002,111}]</v>
      </c>
    </row>
    <row r="688" spans="2:49">
      <c r="B688">
        <v>4018</v>
      </c>
      <c r="C688" t="s">
        <v>56</v>
      </c>
      <c r="D688" t="str">
        <f t="shared" si="433"/>
        <v>31</v>
      </c>
      <c r="F688">
        <v>106</v>
      </c>
      <c r="G688">
        <v>5000</v>
      </c>
      <c r="H688">
        <f t="shared" si="441"/>
        <v>8</v>
      </c>
      <c r="I688">
        <v>1</v>
      </c>
      <c r="J688">
        <v>1</v>
      </c>
      <c r="K688">
        <f t="shared" si="452"/>
        <v>3001</v>
      </c>
      <c r="L688">
        <f t="shared" si="447"/>
        <v>101</v>
      </c>
      <c r="M688">
        <v>5000</v>
      </c>
      <c r="N688">
        <f t="shared" si="446"/>
        <v>8</v>
      </c>
      <c r="O688">
        <v>1</v>
      </c>
      <c r="P688">
        <f t="shared" si="453"/>
        <v>3001</v>
      </c>
      <c r="Q688">
        <v>55</v>
      </c>
      <c r="R688">
        <f t="shared" si="448"/>
        <v>103</v>
      </c>
      <c r="S688">
        <v>5000</v>
      </c>
      <c r="T688">
        <f t="shared" si="422"/>
        <v>8</v>
      </c>
      <c r="U688">
        <v>1</v>
      </c>
      <c r="V688">
        <f t="shared" si="454"/>
        <v>3002</v>
      </c>
      <c r="W688">
        <v>73</v>
      </c>
      <c r="X688">
        <f t="shared" si="449"/>
        <v>111</v>
      </c>
      <c r="Y688">
        <v>5000</v>
      </c>
      <c r="Z688">
        <f t="shared" si="423"/>
        <v>8</v>
      </c>
      <c r="AA688">
        <v>1</v>
      </c>
      <c r="AB688">
        <f t="shared" si="455"/>
        <v>3001</v>
      </c>
      <c r="AC688">
        <v>78</v>
      </c>
      <c r="AD688">
        <f t="shared" si="450"/>
        <v>112</v>
      </c>
      <c r="AE688">
        <v>5000</v>
      </c>
      <c r="AF688">
        <f t="shared" si="424"/>
        <v>8</v>
      </c>
      <c r="AG688">
        <v>1</v>
      </c>
      <c r="AH688">
        <f t="shared" si="456"/>
        <v>3002</v>
      </c>
      <c r="AI688">
        <v>71</v>
      </c>
      <c r="AJ688">
        <f t="shared" si="451"/>
        <v>113</v>
      </c>
      <c r="AP688" t="str">
        <f t="shared" si="425"/>
        <v>{5000,8,1,3001,101}</v>
      </c>
      <c r="AQ688" t="str">
        <f t="shared" si="426"/>
        <v>{5000,8,1,3001,103}</v>
      </c>
      <c r="AR688" t="str">
        <f t="shared" si="427"/>
        <v>{5000,8,1,3002,111}</v>
      </c>
      <c r="AS688" t="str">
        <f t="shared" si="428"/>
        <v>{5000,8,1,3001,112}</v>
      </c>
      <c r="AT688" t="str">
        <f t="shared" si="429"/>
        <v>{5000,8,1,3002,113}</v>
      </c>
      <c r="AU688" t="str">
        <f t="shared" si="430"/>
        <v/>
      </c>
      <c r="AV688">
        <v>4018</v>
      </c>
      <c r="AW688" t="str">
        <f t="shared" si="445"/>
        <v>[{5000,8,1,3001,101},{5000,8,1,3001,103},{5000,8,1,3002,111},{5000,8,1,3001,112},{5000,8,1,3002,113}]</v>
      </c>
    </row>
    <row r="689" spans="2:48">
      <c r="B689">
        <v>4019</v>
      </c>
      <c r="C689" t="s">
        <v>56</v>
      </c>
      <c r="D689" t="str">
        <f t="shared" si="433"/>
        <v>31</v>
      </c>
      <c r="F689">
        <v>119</v>
      </c>
      <c r="H689">
        <f t="shared" si="441"/>
        <v>0</v>
      </c>
      <c r="K689" t="str">
        <f t="shared" si="452"/>
        <v/>
      </c>
      <c r="L689" t="str">
        <f t="shared" si="447"/>
        <v/>
      </c>
      <c r="N689">
        <f t="shared" si="446"/>
        <v>0</v>
      </c>
      <c r="P689" t="str">
        <f t="shared" si="453"/>
        <v/>
      </c>
      <c r="R689" t="str">
        <f t="shared" si="448"/>
        <v/>
      </c>
      <c r="T689">
        <f t="shared" si="422"/>
        <v>0</v>
      </c>
      <c r="V689" t="str">
        <f t="shared" si="454"/>
        <v/>
      </c>
      <c r="X689" t="str">
        <f t="shared" si="449"/>
        <v/>
      </c>
      <c r="Z689">
        <f t="shared" si="423"/>
        <v>0</v>
      </c>
      <c r="AB689" t="str">
        <f t="shared" si="455"/>
        <v/>
      </c>
      <c r="AD689" t="str">
        <f t="shared" si="450"/>
        <v/>
      </c>
      <c r="AF689">
        <f t="shared" si="424"/>
        <v>0</v>
      </c>
      <c r="AH689" t="str">
        <f t="shared" si="456"/>
        <v/>
      </c>
      <c r="AJ689" t="str">
        <f t="shared" si="451"/>
        <v/>
      </c>
      <c r="AP689" t="str">
        <f t="shared" si="425"/>
        <v/>
      </c>
      <c r="AQ689" t="str">
        <f t="shared" si="426"/>
        <v/>
      </c>
      <c r="AR689" t="str">
        <f t="shared" si="427"/>
        <v/>
      </c>
      <c r="AS689" t="str">
        <f t="shared" si="428"/>
        <v/>
      </c>
      <c r="AT689" t="str">
        <f t="shared" si="429"/>
        <v/>
      </c>
      <c r="AU689" t="str">
        <f t="shared" si="430"/>
        <v/>
      </c>
      <c r="AV689">
        <v>4019</v>
      </c>
    </row>
    <row r="690" spans="2:49">
      <c r="B690">
        <v>4020</v>
      </c>
      <c r="C690" t="s">
        <v>56</v>
      </c>
      <c r="D690" t="str">
        <f t="shared" si="433"/>
        <v>31</v>
      </c>
      <c r="F690">
        <v>121</v>
      </c>
      <c r="G690">
        <v>5000</v>
      </c>
      <c r="H690">
        <f t="shared" si="441"/>
        <v>10</v>
      </c>
      <c r="I690">
        <v>1</v>
      </c>
      <c r="J690">
        <v>3</v>
      </c>
      <c r="K690">
        <f t="shared" si="452"/>
        <v>3003</v>
      </c>
      <c r="L690">
        <f t="shared" si="447"/>
        <v>101</v>
      </c>
      <c r="M690">
        <v>5000</v>
      </c>
      <c r="N690">
        <f t="shared" si="446"/>
        <v>10</v>
      </c>
      <c r="O690">
        <v>1</v>
      </c>
      <c r="P690">
        <f t="shared" si="453"/>
        <v>3003</v>
      </c>
      <c r="Q690">
        <v>54</v>
      </c>
      <c r="R690">
        <f t="shared" si="448"/>
        <v>102</v>
      </c>
      <c r="S690">
        <v>5000</v>
      </c>
      <c r="T690">
        <f t="shared" si="422"/>
        <v>10</v>
      </c>
      <c r="U690">
        <v>1</v>
      </c>
      <c r="V690">
        <f t="shared" si="454"/>
        <v>3003</v>
      </c>
      <c r="W690">
        <v>51</v>
      </c>
      <c r="X690">
        <f t="shared" si="449"/>
        <v>103</v>
      </c>
      <c r="Y690">
        <v>5000</v>
      </c>
      <c r="Z690">
        <f t="shared" si="423"/>
        <v>10</v>
      </c>
      <c r="AA690">
        <v>1</v>
      </c>
      <c r="AB690">
        <f t="shared" si="455"/>
        <v>3003</v>
      </c>
      <c r="AC690">
        <v>71</v>
      </c>
      <c r="AD690">
        <f t="shared" si="450"/>
        <v>113</v>
      </c>
      <c r="AE690">
        <v>5000</v>
      </c>
      <c r="AF690">
        <f t="shared" si="424"/>
        <v>10</v>
      </c>
      <c r="AG690">
        <v>1</v>
      </c>
      <c r="AH690">
        <f t="shared" si="456"/>
        <v>3003</v>
      </c>
      <c r="AI690">
        <v>79</v>
      </c>
      <c r="AJ690">
        <f t="shared" si="451"/>
        <v>111</v>
      </c>
      <c r="AK690">
        <v>1000</v>
      </c>
      <c r="AL690">
        <v>1</v>
      </c>
      <c r="AM690">
        <v>0</v>
      </c>
      <c r="AN690">
        <f t="shared" ref="AN690" si="457">AN667+100</f>
        <v>3021</v>
      </c>
      <c r="AO690">
        <v>4</v>
      </c>
      <c r="AP690" t="str">
        <f t="shared" si="425"/>
        <v>{5000,10,1,3003,101}</v>
      </c>
      <c r="AQ690" t="str">
        <f t="shared" si="426"/>
        <v>{5000,10,1,3003,102}</v>
      </c>
      <c r="AR690" t="str">
        <f t="shared" si="427"/>
        <v>{5000,10,1,3003,103}</v>
      </c>
      <c r="AS690" t="str">
        <f t="shared" si="428"/>
        <v>{5000,10,1,3003,113}</v>
      </c>
      <c r="AT690" t="str">
        <f t="shared" si="429"/>
        <v>{5000,10,1,3003,111}</v>
      </c>
      <c r="AU690" t="str">
        <f t="shared" si="430"/>
        <v>{1000,1,0,3021,4}</v>
      </c>
      <c r="AV690">
        <v>4020</v>
      </c>
      <c r="AW690" t="str">
        <f t="shared" ref="AW690:AW695" si="458">IF(AU690="","["&amp;_xlfn.TEXTJOIN(",",1,AP690:AT690)&amp;"]","["&amp;_xlfn.TEXTJOIN(",",1,AP690:AU690)&amp;"]")</f>
        <v>[{5000,10,1,3003,101},{5000,10,1,3003,102},{5000,10,1,3003,103},{5000,10,1,3003,113},{5000,10,1,3003,111},{1000,1,0,3021,4}]</v>
      </c>
    </row>
    <row r="691" spans="2:49">
      <c r="B691">
        <v>4021</v>
      </c>
      <c r="C691" t="s">
        <v>56</v>
      </c>
      <c r="D691" t="str">
        <f t="shared" si="433"/>
        <v>31</v>
      </c>
      <c r="F691">
        <v>136</v>
      </c>
      <c r="G691">
        <v>5000</v>
      </c>
      <c r="H691">
        <f t="shared" si="441"/>
        <v>9</v>
      </c>
      <c r="I691">
        <v>1</v>
      </c>
      <c r="J691">
        <v>1</v>
      </c>
      <c r="K691">
        <f t="shared" si="452"/>
        <v>3001</v>
      </c>
      <c r="L691">
        <f t="shared" si="447"/>
        <v>101</v>
      </c>
      <c r="M691">
        <v>5000</v>
      </c>
      <c r="N691">
        <f t="shared" si="446"/>
        <v>9</v>
      </c>
      <c r="O691">
        <v>1</v>
      </c>
      <c r="P691">
        <f t="shared" si="453"/>
        <v>3001</v>
      </c>
      <c r="Q691">
        <v>54</v>
      </c>
      <c r="R691">
        <f t="shared" si="448"/>
        <v>103</v>
      </c>
      <c r="S691">
        <v>5000</v>
      </c>
      <c r="T691">
        <f t="shared" si="422"/>
        <v>9</v>
      </c>
      <c r="U691">
        <v>1</v>
      </c>
      <c r="V691">
        <f t="shared" si="454"/>
        <v>3002</v>
      </c>
      <c r="W691">
        <v>76</v>
      </c>
      <c r="X691">
        <f t="shared" si="449"/>
        <v>111</v>
      </c>
      <c r="Y691">
        <v>5000</v>
      </c>
      <c r="Z691">
        <f t="shared" si="423"/>
        <v>9</v>
      </c>
      <c r="AA691">
        <v>1</v>
      </c>
      <c r="AB691">
        <f t="shared" si="455"/>
        <v>3001</v>
      </c>
      <c r="AC691">
        <v>72</v>
      </c>
      <c r="AD691">
        <f t="shared" si="450"/>
        <v>112</v>
      </c>
      <c r="AE691">
        <v>5000</v>
      </c>
      <c r="AF691">
        <f t="shared" si="424"/>
        <v>9</v>
      </c>
      <c r="AG691">
        <v>1</v>
      </c>
      <c r="AH691">
        <f t="shared" si="456"/>
        <v>3002</v>
      </c>
      <c r="AI691">
        <v>74</v>
      </c>
      <c r="AJ691">
        <f t="shared" si="451"/>
        <v>113</v>
      </c>
      <c r="AP691" t="str">
        <f t="shared" si="425"/>
        <v>{5000,9,1,3001,101}</v>
      </c>
      <c r="AQ691" t="str">
        <f t="shared" si="426"/>
        <v>{5000,9,1,3001,103}</v>
      </c>
      <c r="AR691" t="str">
        <f t="shared" si="427"/>
        <v>{5000,9,1,3002,111}</v>
      </c>
      <c r="AS691" t="str">
        <f t="shared" si="428"/>
        <v>{5000,9,1,3001,112}</v>
      </c>
      <c r="AT691" t="str">
        <f t="shared" si="429"/>
        <v>{5000,9,1,3002,113}</v>
      </c>
      <c r="AU691" t="str">
        <f t="shared" si="430"/>
        <v/>
      </c>
      <c r="AV691">
        <v>4021</v>
      </c>
      <c r="AW691" t="str">
        <f t="shared" si="458"/>
        <v>[{5000,9,1,3001,101},{5000,9,1,3001,103},{5000,9,1,3002,111},{5000,9,1,3001,112},{5000,9,1,3002,113}]</v>
      </c>
    </row>
    <row r="692" spans="2:49">
      <c r="B692">
        <v>4022</v>
      </c>
      <c r="C692" t="s">
        <v>56</v>
      </c>
      <c r="D692" t="str">
        <f t="shared" si="433"/>
        <v>31</v>
      </c>
      <c r="F692">
        <v>151</v>
      </c>
      <c r="G692">
        <v>5000</v>
      </c>
      <c r="H692">
        <f t="shared" si="441"/>
        <v>10</v>
      </c>
      <c r="I692">
        <v>1</v>
      </c>
      <c r="J692">
        <v>1</v>
      </c>
      <c r="K692">
        <f t="shared" si="452"/>
        <v>3001</v>
      </c>
      <c r="L692">
        <f t="shared" si="447"/>
        <v>101</v>
      </c>
      <c r="M692">
        <v>5000</v>
      </c>
      <c r="N692">
        <f t="shared" si="446"/>
        <v>10</v>
      </c>
      <c r="O692">
        <v>1</v>
      </c>
      <c r="P692">
        <f t="shared" si="453"/>
        <v>3001</v>
      </c>
      <c r="Q692">
        <v>54</v>
      </c>
      <c r="R692">
        <f t="shared" si="448"/>
        <v>102</v>
      </c>
      <c r="S692">
        <v>5000</v>
      </c>
      <c r="T692">
        <f t="shared" si="422"/>
        <v>10</v>
      </c>
      <c r="U692">
        <v>1</v>
      </c>
      <c r="V692">
        <f t="shared" si="454"/>
        <v>3002</v>
      </c>
      <c r="W692">
        <v>56</v>
      </c>
      <c r="X692">
        <f t="shared" si="449"/>
        <v>103</v>
      </c>
      <c r="Y692">
        <v>5000</v>
      </c>
      <c r="Z692">
        <f t="shared" si="423"/>
        <v>10</v>
      </c>
      <c r="AA692">
        <v>1</v>
      </c>
      <c r="AB692">
        <f t="shared" si="455"/>
        <v>3001</v>
      </c>
      <c r="AC692">
        <v>72</v>
      </c>
      <c r="AD692">
        <f t="shared" si="450"/>
        <v>113</v>
      </c>
      <c r="AE692">
        <v>5000</v>
      </c>
      <c r="AF692">
        <f t="shared" si="424"/>
        <v>10</v>
      </c>
      <c r="AG692">
        <v>1</v>
      </c>
      <c r="AH692">
        <f t="shared" si="456"/>
        <v>3002</v>
      </c>
      <c r="AI692">
        <v>74</v>
      </c>
      <c r="AJ692">
        <f t="shared" si="451"/>
        <v>111</v>
      </c>
      <c r="AP692" t="str">
        <f t="shared" si="425"/>
        <v>{5000,10,1,3001,101}</v>
      </c>
      <c r="AQ692" t="str">
        <f t="shared" si="426"/>
        <v>{5000,10,1,3001,102}</v>
      </c>
      <c r="AR692" t="str">
        <f t="shared" si="427"/>
        <v>{5000,10,1,3002,103}</v>
      </c>
      <c r="AS692" t="str">
        <f t="shared" si="428"/>
        <v>{5000,10,1,3001,113}</v>
      </c>
      <c r="AT692" t="str">
        <f t="shared" si="429"/>
        <v>{5000,10,1,3002,111}</v>
      </c>
      <c r="AU692" t="str">
        <f t="shared" si="430"/>
        <v/>
      </c>
      <c r="AV692">
        <v>4022</v>
      </c>
      <c r="AW692" t="str">
        <f t="shared" si="458"/>
        <v>[{5000,10,1,3001,101},{5000,10,1,3001,102},{5000,10,1,3002,103},{5000,10,1,3001,113},{5000,10,1,3002,111}]</v>
      </c>
    </row>
    <row r="693" spans="2:49">
      <c r="B693">
        <v>4023</v>
      </c>
      <c r="C693" t="s">
        <v>56</v>
      </c>
      <c r="D693" t="str">
        <f t="shared" si="433"/>
        <v>31</v>
      </c>
      <c r="F693">
        <v>166</v>
      </c>
      <c r="G693">
        <v>5000</v>
      </c>
      <c r="H693">
        <f t="shared" si="441"/>
        <v>11</v>
      </c>
      <c r="I693">
        <v>1</v>
      </c>
      <c r="J693">
        <v>1</v>
      </c>
      <c r="K693">
        <f t="shared" si="452"/>
        <v>3001</v>
      </c>
      <c r="L693">
        <f t="shared" si="447"/>
        <v>101</v>
      </c>
      <c r="M693">
        <v>5000</v>
      </c>
      <c r="N693">
        <f t="shared" si="446"/>
        <v>11</v>
      </c>
      <c r="O693">
        <v>1</v>
      </c>
      <c r="P693">
        <f t="shared" si="453"/>
        <v>3001</v>
      </c>
      <c r="Q693">
        <v>59</v>
      </c>
      <c r="R693">
        <f t="shared" si="448"/>
        <v>103</v>
      </c>
      <c r="S693">
        <v>5000</v>
      </c>
      <c r="T693">
        <f t="shared" si="422"/>
        <v>11</v>
      </c>
      <c r="U693">
        <v>1</v>
      </c>
      <c r="V693">
        <f t="shared" si="454"/>
        <v>3002</v>
      </c>
      <c r="W693">
        <v>79</v>
      </c>
      <c r="X693">
        <f t="shared" si="449"/>
        <v>111</v>
      </c>
      <c r="Y693">
        <v>5000</v>
      </c>
      <c r="Z693">
        <f t="shared" si="423"/>
        <v>11</v>
      </c>
      <c r="AA693">
        <v>1</v>
      </c>
      <c r="AB693">
        <f t="shared" si="455"/>
        <v>3001</v>
      </c>
      <c r="AC693">
        <v>71</v>
      </c>
      <c r="AD693">
        <f t="shared" si="450"/>
        <v>112</v>
      </c>
      <c r="AE693">
        <v>5000</v>
      </c>
      <c r="AF693">
        <f t="shared" si="424"/>
        <v>11</v>
      </c>
      <c r="AG693">
        <v>1</v>
      </c>
      <c r="AH693">
        <f t="shared" si="456"/>
        <v>3002</v>
      </c>
      <c r="AI693">
        <v>74</v>
      </c>
      <c r="AJ693">
        <f t="shared" si="451"/>
        <v>113</v>
      </c>
      <c r="AP693" t="str">
        <f t="shared" si="425"/>
        <v>{5000,11,1,3001,101}</v>
      </c>
      <c r="AQ693" t="str">
        <f t="shared" si="426"/>
        <v>{5000,11,1,3001,103}</v>
      </c>
      <c r="AR693" t="str">
        <f t="shared" si="427"/>
        <v>{5000,11,1,3002,111}</v>
      </c>
      <c r="AS693" t="str">
        <f t="shared" si="428"/>
        <v>{5000,11,1,3001,112}</v>
      </c>
      <c r="AT693" t="str">
        <f t="shared" si="429"/>
        <v>{5000,11,1,3002,113}</v>
      </c>
      <c r="AU693" t="str">
        <f t="shared" si="430"/>
        <v/>
      </c>
      <c r="AV693">
        <v>4023</v>
      </c>
      <c r="AW693" t="str">
        <f t="shared" si="458"/>
        <v>[{5000,11,1,3001,101},{5000,11,1,3001,103},{5000,11,1,3002,111},{5000,11,1,3001,112},{5000,11,1,3002,113}]</v>
      </c>
    </row>
    <row r="694" spans="2:49">
      <c r="B694">
        <v>4024</v>
      </c>
      <c r="C694" t="s">
        <v>56</v>
      </c>
      <c r="D694" t="str">
        <f t="shared" si="433"/>
        <v>31</v>
      </c>
      <c r="F694">
        <v>181</v>
      </c>
      <c r="G694">
        <v>5000</v>
      </c>
      <c r="H694">
        <f t="shared" si="441"/>
        <v>12</v>
      </c>
      <c r="I694">
        <v>1</v>
      </c>
      <c r="J694">
        <v>3</v>
      </c>
      <c r="K694">
        <f t="shared" si="452"/>
        <v>3003</v>
      </c>
      <c r="L694">
        <f t="shared" si="447"/>
        <v>101</v>
      </c>
      <c r="M694">
        <v>5000</v>
      </c>
      <c r="N694">
        <f t="shared" si="446"/>
        <v>12</v>
      </c>
      <c r="O694">
        <v>1</v>
      </c>
      <c r="P694">
        <f t="shared" si="453"/>
        <v>3003</v>
      </c>
      <c r="Q694">
        <v>53</v>
      </c>
      <c r="R694">
        <f t="shared" si="448"/>
        <v>102</v>
      </c>
      <c r="S694">
        <v>5000</v>
      </c>
      <c r="T694">
        <f t="shared" si="422"/>
        <v>12</v>
      </c>
      <c r="U694">
        <v>1</v>
      </c>
      <c r="V694">
        <f t="shared" si="454"/>
        <v>3003</v>
      </c>
      <c r="W694">
        <v>56</v>
      </c>
      <c r="X694">
        <f t="shared" si="449"/>
        <v>103</v>
      </c>
      <c r="Y694">
        <v>5000</v>
      </c>
      <c r="Z694">
        <f t="shared" si="423"/>
        <v>12</v>
      </c>
      <c r="AA694">
        <v>1</v>
      </c>
      <c r="AB694">
        <f t="shared" si="455"/>
        <v>3003</v>
      </c>
      <c r="AC694">
        <v>75</v>
      </c>
      <c r="AD694">
        <f t="shared" si="450"/>
        <v>113</v>
      </c>
      <c r="AE694">
        <v>5000</v>
      </c>
      <c r="AF694">
        <f t="shared" si="424"/>
        <v>12</v>
      </c>
      <c r="AG694">
        <v>1</v>
      </c>
      <c r="AH694">
        <f t="shared" si="456"/>
        <v>3003</v>
      </c>
      <c r="AI694">
        <v>78</v>
      </c>
      <c r="AJ694">
        <f t="shared" si="451"/>
        <v>111</v>
      </c>
      <c r="AP694" t="str">
        <f t="shared" si="425"/>
        <v>{5000,12,1,3003,101}</v>
      </c>
      <c r="AQ694" t="str">
        <f t="shared" si="426"/>
        <v>{5000,12,1,3003,102}</v>
      </c>
      <c r="AR694" t="str">
        <f t="shared" si="427"/>
        <v>{5000,12,1,3003,103}</v>
      </c>
      <c r="AS694" t="str">
        <f t="shared" si="428"/>
        <v>{5000,12,1,3003,113}</v>
      </c>
      <c r="AT694" t="str">
        <f t="shared" si="429"/>
        <v>{5000,12,1,3003,111}</v>
      </c>
      <c r="AU694" t="str">
        <f t="shared" si="430"/>
        <v/>
      </c>
      <c r="AV694">
        <v>4024</v>
      </c>
      <c r="AW694" t="str">
        <f t="shared" si="458"/>
        <v>[{5000,12,1,3003,101},{5000,12,1,3003,102},{5000,12,1,3003,103},{5000,12,1,3003,113},{5000,12,1,3003,111}]</v>
      </c>
    </row>
    <row r="695" spans="2:49">
      <c r="B695">
        <v>4025</v>
      </c>
      <c r="C695" t="s">
        <v>56</v>
      </c>
      <c r="D695" t="str">
        <f t="shared" si="433"/>
        <v>31</v>
      </c>
      <c r="F695">
        <v>196</v>
      </c>
      <c r="G695">
        <v>5000</v>
      </c>
      <c r="H695">
        <f t="shared" si="441"/>
        <v>12</v>
      </c>
      <c r="I695">
        <v>1</v>
      </c>
      <c r="J695">
        <v>2</v>
      </c>
      <c r="K695">
        <f t="shared" si="452"/>
        <v>3002</v>
      </c>
      <c r="L695">
        <f t="shared" si="447"/>
        <v>101</v>
      </c>
      <c r="M695">
        <v>5000</v>
      </c>
      <c r="N695">
        <f t="shared" si="446"/>
        <v>12</v>
      </c>
      <c r="O695">
        <v>1</v>
      </c>
      <c r="P695">
        <f t="shared" si="453"/>
        <v>3001</v>
      </c>
      <c r="Q695">
        <v>54</v>
      </c>
      <c r="R695">
        <f t="shared" si="448"/>
        <v>103</v>
      </c>
      <c r="S695">
        <v>5000</v>
      </c>
      <c r="T695">
        <f t="shared" si="422"/>
        <v>12</v>
      </c>
      <c r="U695">
        <v>1</v>
      </c>
      <c r="V695">
        <f t="shared" si="454"/>
        <v>3002</v>
      </c>
      <c r="W695">
        <v>77</v>
      </c>
      <c r="X695">
        <f t="shared" si="449"/>
        <v>111</v>
      </c>
      <c r="Y695">
        <v>5000</v>
      </c>
      <c r="Z695">
        <f t="shared" si="423"/>
        <v>12</v>
      </c>
      <c r="AA695">
        <v>1</v>
      </c>
      <c r="AB695">
        <f t="shared" si="455"/>
        <v>3001</v>
      </c>
      <c r="AC695">
        <v>72</v>
      </c>
      <c r="AD695">
        <f t="shared" si="450"/>
        <v>112</v>
      </c>
      <c r="AE695">
        <v>5000</v>
      </c>
      <c r="AF695">
        <f t="shared" si="424"/>
        <v>12</v>
      </c>
      <c r="AG695">
        <v>1</v>
      </c>
      <c r="AH695">
        <f t="shared" si="456"/>
        <v>3002</v>
      </c>
      <c r="AI695">
        <v>74</v>
      </c>
      <c r="AJ695">
        <f t="shared" si="451"/>
        <v>113</v>
      </c>
      <c r="AP695" t="str">
        <f t="shared" si="425"/>
        <v>{5000,12,1,3002,101}</v>
      </c>
      <c r="AQ695" t="str">
        <f t="shared" si="426"/>
        <v>{5000,12,1,3001,103}</v>
      </c>
      <c r="AR695" t="str">
        <f t="shared" si="427"/>
        <v>{5000,12,1,3002,111}</v>
      </c>
      <c r="AS695" t="str">
        <f t="shared" si="428"/>
        <v>{5000,12,1,3001,112}</v>
      </c>
      <c r="AT695" t="str">
        <f t="shared" si="429"/>
        <v>{5000,12,1,3002,113}</v>
      </c>
      <c r="AU695" t="str">
        <f t="shared" si="430"/>
        <v/>
      </c>
      <c r="AV695">
        <v>4025</v>
      </c>
      <c r="AW695" t="str">
        <f t="shared" si="458"/>
        <v>[{5000,12,1,3002,101},{5000,12,1,3001,103},{5000,12,1,3002,111},{5000,12,1,3001,112},{5000,12,1,3002,113}]</v>
      </c>
    </row>
    <row r="696" spans="2:48">
      <c r="B696">
        <v>4026</v>
      </c>
      <c r="C696" t="s">
        <v>56</v>
      </c>
      <c r="D696" t="str">
        <f t="shared" si="433"/>
        <v>31</v>
      </c>
      <c r="F696">
        <v>209</v>
      </c>
      <c r="H696">
        <f t="shared" si="441"/>
        <v>0</v>
      </c>
      <c r="K696" t="str">
        <f t="shared" si="452"/>
        <v/>
      </c>
      <c r="L696" t="str">
        <f t="shared" si="447"/>
        <v/>
      </c>
      <c r="N696">
        <f t="shared" si="446"/>
        <v>0</v>
      </c>
      <c r="P696" t="str">
        <f t="shared" si="453"/>
        <v/>
      </c>
      <c r="R696" t="str">
        <f t="shared" si="448"/>
        <v/>
      </c>
      <c r="T696">
        <f t="shared" si="422"/>
        <v>0</v>
      </c>
      <c r="V696" t="str">
        <f t="shared" si="454"/>
        <v/>
      </c>
      <c r="X696" t="str">
        <f t="shared" si="449"/>
        <v/>
      </c>
      <c r="Z696">
        <f t="shared" si="423"/>
        <v>0</v>
      </c>
      <c r="AB696" t="str">
        <f t="shared" si="455"/>
        <v/>
      </c>
      <c r="AD696" t="str">
        <f t="shared" si="450"/>
        <v/>
      </c>
      <c r="AF696">
        <f t="shared" si="424"/>
        <v>0</v>
      </c>
      <c r="AH696" t="str">
        <f t="shared" si="456"/>
        <v/>
      </c>
      <c r="AJ696" t="str">
        <f t="shared" si="451"/>
        <v/>
      </c>
      <c r="AP696" t="str">
        <f t="shared" si="425"/>
        <v/>
      </c>
      <c r="AQ696" t="str">
        <f t="shared" si="426"/>
        <v/>
      </c>
      <c r="AR696" t="str">
        <f t="shared" si="427"/>
        <v/>
      </c>
      <c r="AS696" t="str">
        <f t="shared" si="428"/>
        <v/>
      </c>
      <c r="AT696" t="str">
        <f t="shared" si="429"/>
        <v/>
      </c>
      <c r="AU696" t="str">
        <f t="shared" si="430"/>
        <v/>
      </c>
      <c r="AV696">
        <v>4026</v>
      </c>
    </row>
    <row r="697" spans="2:49">
      <c r="B697">
        <v>4027</v>
      </c>
      <c r="C697" t="s">
        <v>56</v>
      </c>
      <c r="D697" t="str">
        <f t="shared" si="433"/>
        <v>31</v>
      </c>
      <c r="F697">
        <v>211</v>
      </c>
      <c r="G697">
        <v>5000</v>
      </c>
      <c r="H697">
        <f t="shared" si="441"/>
        <v>11</v>
      </c>
      <c r="I697">
        <v>1</v>
      </c>
      <c r="J697">
        <v>2</v>
      </c>
      <c r="K697">
        <f t="shared" si="452"/>
        <v>3002</v>
      </c>
      <c r="L697">
        <f t="shared" si="447"/>
        <v>101</v>
      </c>
      <c r="M697">
        <v>5000</v>
      </c>
      <c r="N697">
        <f t="shared" si="446"/>
        <v>11</v>
      </c>
      <c r="O697">
        <v>1</v>
      </c>
      <c r="P697">
        <f t="shared" si="453"/>
        <v>3001</v>
      </c>
      <c r="Q697">
        <v>51</v>
      </c>
      <c r="R697">
        <f t="shared" si="448"/>
        <v>102</v>
      </c>
      <c r="S697">
        <v>5000</v>
      </c>
      <c r="T697">
        <f t="shared" si="422"/>
        <v>11</v>
      </c>
      <c r="U697">
        <v>1</v>
      </c>
      <c r="V697">
        <f t="shared" si="454"/>
        <v>3002</v>
      </c>
      <c r="W697">
        <v>57</v>
      </c>
      <c r="X697">
        <f t="shared" si="449"/>
        <v>103</v>
      </c>
      <c r="Y697">
        <v>5000</v>
      </c>
      <c r="Z697">
        <f t="shared" si="423"/>
        <v>11</v>
      </c>
      <c r="AA697">
        <v>1</v>
      </c>
      <c r="AB697">
        <f t="shared" si="455"/>
        <v>3001</v>
      </c>
      <c r="AC697">
        <v>79</v>
      </c>
      <c r="AD697">
        <f t="shared" si="450"/>
        <v>113</v>
      </c>
      <c r="AE697">
        <v>5000</v>
      </c>
      <c r="AF697">
        <f t="shared" si="424"/>
        <v>11</v>
      </c>
      <c r="AG697">
        <v>1</v>
      </c>
      <c r="AH697">
        <f t="shared" si="456"/>
        <v>3002</v>
      </c>
      <c r="AI697">
        <v>72</v>
      </c>
      <c r="AJ697">
        <f t="shared" si="451"/>
        <v>111</v>
      </c>
      <c r="AK697">
        <v>1000</v>
      </c>
      <c r="AL697">
        <v>1</v>
      </c>
      <c r="AM697">
        <v>0</v>
      </c>
      <c r="AN697">
        <f t="shared" ref="AN697" si="459">AN674+100</f>
        <v>3031</v>
      </c>
      <c r="AO697">
        <v>4</v>
      </c>
      <c r="AP697" t="str">
        <f t="shared" si="425"/>
        <v>{5000,11,1,3002,101}</v>
      </c>
      <c r="AQ697" t="str">
        <f t="shared" si="426"/>
        <v>{5000,11,1,3001,102}</v>
      </c>
      <c r="AR697" t="str">
        <f t="shared" si="427"/>
        <v>{5000,11,1,3002,103}</v>
      </c>
      <c r="AS697" t="str">
        <f t="shared" si="428"/>
        <v>{5000,11,1,3001,113}</v>
      </c>
      <c r="AT697" t="str">
        <f t="shared" si="429"/>
        <v>{5000,11,1,3002,111}</v>
      </c>
      <c r="AU697" t="str">
        <f t="shared" si="430"/>
        <v>{1000,1,0,3031,4}</v>
      </c>
      <c r="AV697">
        <v>4027</v>
      </c>
      <c r="AW697" t="str">
        <f t="shared" ref="AW697:AW711" si="460">IF(AU697="","["&amp;_xlfn.TEXTJOIN(",",1,AP697:AT697)&amp;"]","["&amp;_xlfn.TEXTJOIN(",",1,AP697:AU697)&amp;"]")</f>
        <v>[{5000,11,1,3002,101},{5000,11,1,3001,102},{5000,11,1,3002,103},{5000,11,1,3001,113},{5000,11,1,3002,111},{1000,1,0,3031,4}]</v>
      </c>
    </row>
    <row r="698" spans="2:49">
      <c r="B698">
        <v>4028</v>
      </c>
      <c r="C698" t="s">
        <v>56</v>
      </c>
      <c r="D698" t="str">
        <f t="shared" si="433"/>
        <v>31</v>
      </c>
      <c r="F698">
        <v>226</v>
      </c>
      <c r="G698">
        <v>5000</v>
      </c>
      <c r="H698">
        <f t="shared" si="441"/>
        <v>11</v>
      </c>
      <c r="I698">
        <v>1</v>
      </c>
      <c r="J698">
        <v>2</v>
      </c>
      <c r="K698">
        <f t="shared" si="452"/>
        <v>3002</v>
      </c>
      <c r="L698">
        <f t="shared" si="447"/>
        <v>101</v>
      </c>
      <c r="M698">
        <v>5000</v>
      </c>
      <c r="N698">
        <f t="shared" si="446"/>
        <v>11</v>
      </c>
      <c r="O698">
        <v>1</v>
      </c>
      <c r="P698">
        <f t="shared" si="453"/>
        <v>3001</v>
      </c>
      <c r="Q698">
        <v>51</v>
      </c>
      <c r="R698">
        <f t="shared" si="448"/>
        <v>103</v>
      </c>
      <c r="S698">
        <v>5000</v>
      </c>
      <c r="T698">
        <f t="shared" si="422"/>
        <v>11</v>
      </c>
      <c r="U698">
        <v>1</v>
      </c>
      <c r="V698">
        <f t="shared" si="454"/>
        <v>3002</v>
      </c>
      <c r="W698">
        <v>75</v>
      </c>
      <c r="X698">
        <f t="shared" si="449"/>
        <v>111</v>
      </c>
      <c r="Y698">
        <v>5000</v>
      </c>
      <c r="Z698">
        <f t="shared" si="423"/>
        <v>11</v>
      </c>
      <c r="AA698">
        <v>1</v>
      </c>
      <c r="AB698">
        <f t="shared" si="455"/>
        <v>3001</v>
      </c>
      <c r="AC698">
        <v>71</v>
      </c>
      <c r="AD698">
        <f t="shared" si="450"/>
        <v>112</v>
      </c>
      <c r="AE698">
        <v>5000</v>
      </c>
      <c r="AF698">
        <f t="shared" si="424"/>
        <v>11</v>
      </c>
      <c r="AG698">
        <v>1</v>
      </c>
      <c r="AH698">
        <f t="shared" si="456"/>
        <v>3002</v>
      </c>
      <c r="AI698">
        <v>77</v>
      </c>
      <c r="AJ698">
        <f t="shared" si="451"/>
        <v>113</v>
      </c>
      <c r="AP698" t="str">
        <f t="shared" si="425"/>
        <v>{5000,11,1,3002,101}</v>
      </c>
      <c r="AQ698" t="str">
        <f t="shared" si="426"/>
        <v>{5000,11,1,3001,103}</v>
      </c>
      <c r="AR698" t="str">
        <f t="shared" si="427"/>
        <v>{5000,11,1,3002,111}</v>
      </c>
      <c r="AS698" t="str">
        <f t="shared" si="428"/>
        <v>{5000,11,1,3001,112}</v>
      </c>
      <c r="AT698" t="str">
        <f t="shared" si="429"/>
        <v>{5000,11,1,3002,113}</v>
      </c>
      <c r="AU698" t="str">
        <f t="shared" si="430"/>
        <v/>
      </c>
      <c r="AV698">
        <v>4028</v>
      </c>
      <c r="AW698" t="str">
        <f t="shared" si="460"/>
        <v>[{5000,11,1,3002,101},{5000,11,1,3001,103},{5000,11,1,3002,111},{5000,11,1,3001,112},{5000,11,1,3002,113}]</v>
      </c>
    </row>
    <row r="699" spans="2:49">
      <c r="B699">
        <v>4029</v>
      </c>
      <c r="C699" t="s">
        <v>56</v>
      </c>
      <c r="D699" t="str">
        <f t="shared" si="433"/>
        <v>31</v>
      </c>
      <c r="F699">
        <v>241</v>
      </c>
      <c r="G699">
        <v>5000</v>
      </c>
      <c r="H699">
        <f t="shared" si="441"/>
        <v>13</v>
      </c>
      <c r="I699">
        <v>1</v>
      </c>
      <c r="J699">
        <v>3</v>
      </c>
      <c r="K699">
        <f t="shared" si="452"/>
        <v>3003</v>
      </c>
      <c r="L699">
        <f t="shared" si="447"/>
        <v>101</v>
      </c>
      <c r="M699">
        <v>5000</v>
      </c>
      <c r="N699">
        <f t="shared" si="446"/>
        <v>13</v>
      </c>
      <c r="O699">
        <v>1</v>
      </c>
      <c r="P699">
        <f t="shared" si="453"/>
        <v>3003</v>
      </c>
      <c r="Q699">
        <v>53</v>
      </c>
      <c r="R699">
        <f t="shared" si="448"/>
        <v>102</v>
      </c>
      <c r="S699">
        <v>5000</v>
      </c>
      <c r="T699">
        <f t="shared" si="422"/>
        <v>13</v>
      </c>
      <c r="U699">
        <v>1</v>
      </c>
      <c r="V699">
        <f t="shared" si="454"/>
        <v>3003</v>
      </c>
      <c r="W699">
        <v>56</v>
      </c>
      <c r="X699">
        <f t="shared" si="449"/>
        <v>103</v>
      </c>
      <c r="Y699">
        <v>5000</v>
      </c>
      <c r="Z699">
        <f t="shared" si="423"/>
        <v>13</v>
      </c>
      <c r="AA699">
        <v>1</v>
      </c>
      <c r="AB699">
        <f t="shared" si="455"/>
        <v>3003</v>
      </c>
      <c r="AC699">
        <v>74</v>
      </c>
      <c r="AD699">
        <f t="shared" si="450"/>
        <v>113</v>
      </c>
      <c r="AE699">
        <v>5000</v>
      </c>
      <c r="AF699">
        <f t="shared" si="424"/>
        <v>13</v>
      </c>
      <c r="AG699">
        <v>1</v>
      </c>
      <c r="AH699">
        <f t="shared" si="456"/>
        <v>3003</v>
      </c>
      <c r="AI699">
        <v>78</v>
      </c>
      <c r="AJ699">
        <f t="shared" si="451"/>
        <v>111</v>
      </c>
      <c r="AP699" t="str">
        <f t="shared" si="425"/>
        <v>{5000,13,1,3003,101}</v>
      </c>
      <c r="AQ699" t="str">
        <f t="shared" si="426"/>
        <v>{5000,13,1,3003,102}</v>
      </c>
      <c r="AR699" t="str">
        <f t="shared" si="427"/>
        <v>{5000,13,1,3003,103}</v>
      </c>
      <c r="AS699" t="str">
        <f t="shared" si="428"/>
        <v>{5000,13,1,3003,113}</v>
      </c>
      <c r="AT699" t="str">
        <f t="shared" si="429"/>
        <v>{5000,13,1,3003,111}</v>
      </c>
      <c r="AU699" t="str">
        <f t="shared" si="430"/>
        <v/>
      </c>
      <c r="AV699">
        <v>4029</v>
      </c>
      <c r="AW699" t="str">
        <f t="shared" si="460"/>
        <v>[{5000,13,1,3003,101},{5000,13,1,3003,102},{5000,13,1,3003,103},{5000,13,1,3003,113},{5000,13,1,3003,111}]</v>
      </c>
    </row>
    <row r="700" spans="2:49">
      <c r="B700">
        <v>4030</v>
      </c>
      <c r="C700" t="s">
        <v>56</v>
      </c>
      <c r="D700" t="str">
        <f t="shared" si="433"/>
        <v>31</v>
      </c>
      <c r="F700">
        <v>256</v>
      </c>
      <c r="G700">
        <v>5000</v>
      </c>
      <c r="H700">
        <f t="shared" si="441"/>
        <v>12</v>
      </c>
      <c r="I700">
        <v>1</v>
      </c>
      <c r="J700">
        <v>2</v>
      </c>
      <c r="K700">
        <f t="shared" si="452"/>
        <v>3002</v>
      </c>
      <c r="L700">
        <f t="shared" si="447"/>
        <v>101</v>
      </c>
      <c r="M700">
        <v>5000</v>
      </c>
      <c r="N700">
        <f t="shared" si="446"/>
        <v>12</v>
      </c>
      <c r="O700">
        <v>1</v>
      </c>
      <c r="P700">
        <f t="shared" si="453"/>
        <v>3002</v>
      </c>
      <c r="Q700">
        <v>59</v>
      </c>
      <c r="R700">
        <f t="shared" si="448"/>
        <v>103</v>
      </c>
      <c r="S700">
        <v>5000</v>
      </c>
      <c r="T700">
        <f t="shared" si="422"/>
        <v>12</v>
      </c>
      <c r="U700">
        <v>1</v>
      </c>
      <c r="V700">
        <f t="shared" si="454"/>
        <v>3002</v>
      </c>
      <c r="W700">
        <v>79</v>
      </c>
      <c r="X700">
        <f t="shared" si="449"/>
        <v>111</v>
      </c>
      <c r="Y700">
        <v>5000</v>
      </c>
      <c r="Z700">
        <f t="shared" si="423"/>
        <v>12</v>
      </c>
      <c r="AA700">
        <v>1</v>
      </c>
      <c r="AB700">
        <f t="shared" si="455"/>
        <v>3001</v>
      </c>
      <c r="AC700">
        <v>72</v>
      </c>
      <c r="AD700">
        <f t="shared" si="450"/>
        <v>112</v>
      </c>
      <c r="AE700">
        <v>5000</v>
      </c>
      <c r="AF700">
        <f t="shared" si="424"/>
        <v>12</v>
      </c>
      <c r="AG700">
        <v>1</v>
      </c>
      <c r="AH700">
        <f t="shared" si="456"/>
        <v>3002</v>
      </c>
      <c r="AI700">
        <v>74</v>
      </c>
      <c r="AJ700">
        <f t="shared" si="451"/>
        <v>113</v>
      </c>
      <c r="AP700" t="str">
        <f t="shared" si="425"/>
        <v>{5000,12,1,3002,101}</v>
      </c>
      <c r="AQ700" t="str">
        <f t="shared" si="426"/>
        <v>{5000,12,1,3002,103}</v>
      </c>
      <c r="AR700" t="str">
        <f t="shared" si="427"/>
        <v>{5000,12,1,3002,111}</v>
      </c>
      <c r="AS700" t="str">
        <f t="shared" si="428"/>
        <v>{5000,12,1,3001,112}</v>
      </c>
      <c r="AT700" t="str">
        <f t="shared" si="429"/>
        <v>{5000,12,1,3002,113}</v>
      </c>
      <c r="AU700" t="str">
        <f t="shared" si="430"/>
        <v/>
      </c>
      <c r="AV700">
        <v>4030</v>
      </c>
      <c r="AW700" t="str">
        <f t="shared" si="460"/>
        <v>[{5000,12,1,3002,101},{5000,12,1,3002,103},{5000,12,1,3002,111},{5000,12,1,3001,112},{5000,12,1,3002,113}]</v>
      </c>
    </row>
    <row r="701" spans="2:49">
      <c r="B701">
        <v>4031</v>
      </c>
      <c r="C701" t="s">
        <v>56</v>
      </c>
      <c r="D701" t="str">
        <f t="shared" si="433"/>
        <v>31</v>
      </c>
      <c r="F701">
        <v>271</v>
      </c>
      <c r="G701">
        <v>5000</v>
      </c>
      <c r="H701">
        <f t="shared" si="441"/>
        <v>13</v>
      </c>
      <c r="I701">
        <v>1</v>
      </c>
      <c r="J701">
        <v>2</v>
      </c>
      <c r="K701">
        <f t="shared" si="452"/>
        <v>3002</v>
      </c>
      <c r="L701">
        <f t="shared" si="447"/>
        <v>101</v>
      </c>
      <c r="M701">
        <v>5000</v>
      </c>
      <c r="N701">
        <f t="shared" si="446"/>
        <v>13</v>
      </c>
      <c r="O701">
        <v>1</v>
      </c>
      <c r="P701">
        <f t="shared" si="453"/>
        <v>3002</v>
      </c>
      <c r="Q701">
        <v>54</v>
      </c>
      <c r="R701">
        <f t="shared" si="448"/>
        <v>102</v>
      </c>
      <c r="S701">
        <v>5000</v>
      </c>
      <c r="T701">
        <f t="shared" si="422"/>
        <v>13</v>
      </c>
      <c r="U701">
        <v>1</v>
      </c>
      <c r="V701">
        <f t="shared" si="454"/>
        <v>3002</v>
      </c>
      <c r="W701">
        <v>56</v>
      </c>
      <c r="X701">
        <f t="shared" si="449"/>
        <v>103</v>
      </c>
      <c r="Y701">
        <v>5000</v>
      </c>
      <c r="Z701">
        <f t="shared" si="423"/>
        <v>13</v>
      </c>
      <c r="AA701">
        <v>1</v>
      </c>
      <c r="AB701">
        <f t="shared" si="455"/>
        <v>3002</v>
      </c>
      <c r="AC701">
        <v>73</v>
      </c>
      <c r="AD701">
        <f t="shared" si="450"/>
        <v>113</v>
      </c>
      <c r="AE701">
        <v>5000</v>
      </c>
      <c r="AF701">
        <f t="shared" si="424"/>
        <v>13</v>
      </c>
      <c r="AG701">
        <v>1</v>
      </c>
      <c r="AH701">
        <f t="shared" si="456"/>
        <v>3002</v>
      </c>
      <c r="AI701">
        <v>75</v>
      </c>
      <c r="AJ701">
        <f t="shared" si="451"/>
        <v>111</v>
      </c>
      <c r="AP701" t="str">
        <f t="shared" si="425"/>
        <v>{5000,13,1,3002,101}</v>
      </c>
      <c r="AQ701" t="str">
        <f t="shared" si="426"/>
        <v>{5000,13,1,3002,102}</v>
      </c>
      <c r="AR701" t="str">
        <f t="shared" si="427"/>
        <v>{5000,13,1,3002,103}</v>
      </c>
      <c r="AS701" t="str">
        <f t="shared" si="428"/>
        <v>{5000,13,1,3002,113}</v>
      </c>
      <c r="AT701" t="str">
        <f t="shared" si="429"/>
        <v>{5000,13,1,3002,111}</v>
      </c>
      <c r="AU701" t="str">
        <f t="shared" si="430"/>
        <v/>
      </c>
      <c r="AV701">
        <v>4031</v>
      </c>
      <c r="AW701" t="str">
        <f t="shared" si="460"/>
        <v>[{5000,13,1,3002,101},{5000,13,1,3002,102},{5000,13,1,3002,103},{5000,13,1,3002,113},{5000,13,1,3002,111}]</v>
      </c>
    </row>
    <row r="702" spans="2:49">
      <c r="B702">
        <v>4032</v>
      </c>
      <c r="C702" t="s">
        <v>56</v>
      </c>
      <c r="D702" t="str">
        <f t="shared" si="433"/>
        <v>31</v>
      </c>
      <c r="F702">
        <v>286</v>
      </c>
      <c r="G702">
        <v>5000</v>
      </c>
      <c r="H702">
        <f t="shared" si="441"/>
        <v>13</v>
      </c>
      <c r="I702">
        <v>1</v>
      </c>
      <c r="J702">
        <v>2</v>
      </c>
      <c r="K702">
        <f t="shared" si="452"/>
        <v>3002</v>
      </c>
      <c r="L702">
        <f t="shared" si="447"/>
        <v>101</v>
      </c>
      <c r="M702">
        <v>5000</v>
      </c>
      <c r="N702">
        <f t="shared" si="446"/>
        <v>13</v>
      </c>
      <c r="O702">
        <v>1</v>
      </c>
      <c r="P702">
        <f t="shared" si="453"/>
        <v>3002</v>
      </c>
      <c r="Q702">
        <v>53</v>
      </c>
      <c r="R702">
        <f t="shared" si="448"/>
        <v>103</v>
      </c>
      <c r="S702">
        <v>5000</v>
      </c>
      <c r="T702">
        <f t="shared" si="422"/>
        <v>13</v>
      </c>
      <c r="U702">
        <v>1</v>
      </c>
      <c r="V702">
        <f t="shared" si="454"/>
        <v>3002</v>
      </c>
      <c r="W702">
        <v>59</v>
      </c>
      <c r="X702">
        <f t="shared" si="449"/>
        <v>111</v>
      </c>
      <c r="Y702">
        <v>5000</v>
      </c>
      <c r="Z702">
        <f t="shared" si="423"/>
        <v>13</v>
      </c>
      <c r="AA702">
        <v>1</v>
      </c>
      <c r="AB702">
        <f t="shared" si="455"/>
        <v>3002</v>
      </c>
      <c r="AC702">
        <v>71</v>
      </c>
      <c r="AD702">
        <f t="shared" si="450"/>
        <v>112</v>
      </c>
      <c r="AE702">
        <v>5000</v>
      </c>
      <c r="AF702">
        <f t="shared" si="424"/>
        <v>13</v>
      </c>
      <c r="AG702">
        <v>1</v>
      </c>
      <c r="AH702">
        <f t="shared" si="456"/>
        <v>3002</v>
      </c>
      <c r="AI702">
        <v>77</v>
      </c>
      <c r="AJ702">
        <f t="shared" si="451"/>
        <v>113</v>
      </c>
      <c r="AP702" t="str">
        <f t="shared" si="425"/>
        <v>{5000,13,1,3002,101}</v>
      </c>
      <c r="AQ702" t="str">
        <f t="shared" si="426"/>
        <v>{5000,13,1,3002,103}</v>
      </c>
      <c r="AR702" t="str">
        <f t="shared" si="427"/>
        <v>{5000,13,1,3002,111}</v>
      </c>
      <c r="AS702" t="str">
        <f t="shared" si="428"/>
        <v>{5000,13,1,3002,112}</v>
      </c>
      <c r="AT702" t="str">
        <f t="shared" si="429"/>
        <v>{5000,13,1,3002,113}</v>
      </c>
      <c r="AU702" t="str">
        <f t="shared" si="430"/>
        <v/>
      </c>
      <c r="AV702">
        <v>4032</v>
      </c>
      <c r="AW702" t="str">
        <f t="shared" si="460"/>
        <v>[{5000,13,1,3002,101},{5000,13,1,3002,103},{5000,13,1,3002,111},{5000,13,1,3002,112},{5000,13,1,3002,113}]</v>
      </c>
    </row>
    <row r="703" spans="2:49">
      <c r="B703">
        <v>4033</v>
      </c>
      <c r="C703" t="s">
        <v>56</v>
      </c>
      <c r="D703" t="str">
        <f t="shared" si="433"/>
        <v>31</v>
      </c>
      <c r="F703">
        <v>290</v>
      </c>
      <c r="G703">
        <v>5000</v>
      </c>
      <c r="H703">
        <f t="shared" si="441"/>
        <v>13</v>
      </c>
      <c r="I703">
        <v>1</v>
      </c>
      <c r="J703">
        <v>2</v>
      </c>
      <c r="K703">
        <f t="shared" si="452"/>
        <v>3002</v>
      </c>
      <c r="L703">
        <f t="shared" si="447"/>
        <v>101</v>
      </c>
      <c r="M703">
        <v>5000</v>
      </c>
      <c r="N703">
        <f t="shared" si="446"/>
        <v>13</v>
      </c>
      <c r="O703">
        <v>1</v>
      </c>
      <c r="P703">
        <f t="shared" si="453"/>
        <v>3002</v>
      </c>
      <c r="Q703">
        <v>56</v>
      </c>
      <c r="R703">
        <f t="shared" si="448"/>
        <v>102</v>
      </c>
      <c r="S703">
        <v>5000</v>
      </c>
      <c r="T703">
        <f t="shared" si="422"/>
        <v>13</v>
      </c>
      <c r="U703">
        <v>1</v>
      </c>
      <c r="V703">
        <f t="shared" si="454"/>
        <v>3001</v>
      </c>
      <c r="W703">
        <v>77</v>
      </c>
      <c r="X703">
        <f t="shared" si="449"/>
        <v>103</v>
      </c>
      <c r="Y703">
        <v>5000</v>
      </c>
      <c r="Z703">
        <f t="shared" si="423"/>
        <v>13</v>
      </c>
      <c r="AA703">
        <v>1</v>
      </c>
      <c r="AB703">
        <f t="shared" si="455"/>
        <v>3002</v>
      </c>
      <c r="AC703">
        <v>72</v>
      </c>
      <c r="AD703">
        <f t="shared" si="450"/>
        <v>113</v>
      </c>
      <c r="AE703">
        <v>5000</v>
      </c>
      <c r="AF703">
        <f t="shared" si="424"/>
        <v>13</v>
      </c>
      <c r="AG703">
        <v>1</v>
      </c>
      <c r="AH703">
        <f t="shared" si="456"/>
        <v>3002</v>
      </c>
      <c r="AI703">
        <v>74</v>
      </c>
      <c r="AJ703">
        <f t="shared" si="451"/>
        <v>111</v>
      </c>
      <c r="AP703" t="str">
        <f t="shared" si="425"/>
        <v>{5000,13,1,3002,101}</v>
      </c>
      <c r="AQ703" t="str">
        <f t="shared" si="426"/>
        <v>{5000,13,1,3002,102}</v>
      </c>
      <c r="AR703" t="str">
        <f t="shared" si="427"/>
        <v>{5000,13,1,3001,103}</v>
      </c>
      <c r="AS703" t="str">
        <f t="shared" si="428"/>
        <v>{5000,13,1,3002,113}</v>
      </c>
      <c r="AT703" t="str">
        <f t="shared" si="429"/>
        <v>{5000,13,1,3002,111}</v>
      </c>
      <c r="AU703" t="str">
        <f t="shared" si="430"/>
        <v/>
      </c>
      <c r="AV703">
        <v>4033</v>
      </c>
      <c r="AW703" t="str">
        <f t="shared" si="460"/>
        <v>[{5000,13,1,3002,101},{5000,13,1,3002,102},{5000,13,1,3001,103},{5000,13,1,3002,113},{5000,13,1,3002,111}]</v>
      </c>
    </row>
    <row r="704" spans="2:49">
      <c r="B704">
        <v>4111</v>
      </c>
      <c r="C704" t="s">
        <v>57</v>
      </c>
      <c r="D704" s="5" t="str">
        <f t="shared" si="433"/>
        <v>32</v>
      </c>
      <c r="E704" s="5"/>
      <c r="F704">
        <v>1</v>
      </c>
      <c r="G704">
        <v>5000</v>
      </c>
      <c r="H704">
        <f t="shared" si="441"/>
        <v>3</v>
      </c>
      <c r="I704">
        <v>1</v>
      </c>
      <c r="J704">
        <v>1</v>
      </c>
      <c r="K704">
        <f t="shared" si="452"/>
        <v>3101</v>
      </c>
      <c r="L704">
        <f t="shared" si="447"/>
        <v>101</v>
      </c>
      <c r="M704">
        <v>5000</v>
      </c>
      <c r="N704">
        <f t="shared" si="446"/>
        <v>3</v>
      </c>
      <c r="O704">
        <v>1</v>
      </c>
      <c r="P704">
        <f t="shared" si="453"/>
        <v>3101</v>
      </c>
      <c r="Q704">
        <v>55</v>
      </c>
      <c r="R704">
        <f t="shared" si="448"/>
        <v>102</v>
      </c>
      <c r="S704">
        <v>5000</v>
      </c>
      <c r="T704">
        <f t="shared" si="422"/>
        <v>3</v>
      </c>
      <c r="U704">
        <v>1</v>
      </c>
      <c r="V704">
        <f t="shared" si="454"/>
        <v>3101</v>
      </c>
      <c r="W704">
        <v>60</v>
      </c>
      <c r="X704">
        <f t="shared" si="449"/>
        <v>103</v>
      </c>
      <c r="Y704">
        <v>5000</v>
      </c>
      <c r="Z704">
        <f t="shared" si="423"/>
        <v>3</v>
      </c>
      <c r="AA704">
        <v>1</v>
      </c>
      <c r="AB704">
        <f t="shared" si="455"/>
        <v>3101</v>
      </c>
      <c r="AC704">
        <v>71</v>
      </c>
      <c r="AD704">
        <f t="shared" si="450"/>
        <v>113</v>
      </c>
      <c r="AE704">
        <v>5000</v>
      </c>
      <c r="AF704">
        <f t="shared" si="424"/>
        <v>3</v>
      </c>
      <c r="AG704">
        <v>1</v>
      </c>
      <c r="AH704">
        <f t="shared" si="456"/>
        <v>3101</v>
      </c>
      <c r="AI704">
        <v>76</v>
      </c>
      <c r="AJ704">
        <f t="shared" si="451"/>
        <v>111</v>
      </c>
      <c r="AP704" t="str">
        <f t="shared" si="425"/>
        <v>{5000,3,1,3101,101}</v>
      </c>
      <c r="AQ704" t="str">
        <f t="shared" si="426"/>
        <v>{5000,3,1,3101,102}</v>
      </c>
      <c r="AR704" t="str">
        <f t="shared" si="427"/>
        <v>{5000,3,1,3101,103}</v>
      </c>
      <c r="AS704" t="str">
        <f t="shared" si="428"/>
        <v>{5000,3,1,3101,113}</v>
      </c>
      <c r="AT704" t="str">
        <f t="shared" si="429"/>
        <v>{5000,3,1,3101,111}</v>
      </c>
      <c r="AU704" t="str">
        <f t="shared" si="430"/>
        <v/>
      </c>
      <c r="AV704">
        <v>4111</v>
      </c>
      <c r="AW704" t="str">
        <f t="shared" si="460"/>
        <v>[{5000,3,1,3101,101},{5000,3,1,3101,102},{5000,3,1,3101,103},{5000,3,1,3101,113},{5000,3,1,3101,111}]</v>
      </c>
    </row>
    <row r="705" spans="2:49">
      <c r="B705">
        <v>4112</v>
      </c>
      <c r="C705" t="s">
        <v>57</v>
      </c>
      <c r="D705" t="str">
        <f t="shared" si="433"/>
        <v>32</v>
      </c>
      <c r="F705">
        <v>16</v>
      </c>
      <c r="G705">
        <v>5000</v>
      </c>
      <c r="H705">
        <f t="shared" si="441"/>
        <v>3</v>
      </c>
      <c r="I705">
        <v>1</v>
      </c>
      <c r="J705">
        <v>1</v>
      </c>
      <c r="K705">
        <f t="shared" ref="K705:K727" si="461">IF($J705="","",K682+100)</f>
        <v>3101</v>
      </c>
      <c r="L705">
        <f t="shared" si="447"/>
        <v>101</v>
      </c>
      <c r="M705">
        <v>5000</v>
      </c>
      <c r="N705">
        <f t="shared" si="446"/>
        <v>3</v>
      </c>
      <c r="O705">
        <v>1</v>
      </c>
      <c r="P705">
        <f t="shared" ref="P705:P727" si="462">IF($J705="","",P682+100)</f>
        <v>3101</v>
      </c>
      <c r="Q705">
        <v>55</v>
      </c>
      <c r="R705">
        <f t="shared" si="448"/>
        <v>103</v>
      </c>
      <c r="S705">
        <v>5000</v>
      </c>
      <c r="T705">
        <f t="shared" si="422"/>
        <v>3</v>
      </c>
      <c r="U705">
        <v>1</v>
      </c>
      <c r="V705">
        <f t="shared" ref="V705:V727" si="463">IF($J705="","",V682+100)</f>
        <v>3101</v>
      </c>
      <c r="W705">
        <v>75</v>
      </c>
      <c r="X705">
        <f t="shared" si="449"/>
        <v>111</v>
      </c>
      <c r="Y705">
        <v>5000</v>
      </c>
      <c r="Z705">
        <f t="shared" si="423"/>
        <v>3</v>
      </c>
      <c r="AA705">
        <v>1</v>
      </c>
      <c r="AB705">
        <f t="shared" ref="AB705:AB727" si="464">IF($J705="","",AB682+100)</f>
        <v>3101</v>
      </c>
      <c r="AC705">
        <v>73</v>
      </c>
      <c r="AD705">
        <f t="shared" si="450"/>
        <v>112</v>
      </c>
      <c r="AE705">
        <v>5000</v>
      </c>
      <c r="AF705">
        <f t="shared" si="424"/>
        <v>3</v>
      </c>
      <c r="AG705">
        <v>1</v>
      </c>
      <c r="AH705">
        <f t="shared" ref="AH705:AH727" si="465">IF($J705="","",AH682+100)</f>
        <v>3101</v>
      </c>
      <c r="AI705">
        <v>78</v>
      </c>
      <c r="AJ705">
        <f t="shared" si="451"/>
        <v>113</v>
      </c>
      <c r="AP705" t="str">
        <f t="shared" si="425"/>
        <v>{5000,3,1,3101,101}</v>
      </c>
      <c r="AQ705" t="str">
        <f t="shared" si="426"/>
        <v>{5000,3,1,3101,103}</v>
      </c>
      <c r="AR705" t="str">
        <f t="shared" si="427"/>
        <v>{5000,3,1,3101,111}</v>
      </c>
      <c r="AS705" t="str">
        <f t="shared" si="428"/>
        <v>{5000,3,1,3101,112}</v>
      </c>
      <c r="AT705" t="str">
        <f t="shared" si="429"/>
        <v>{5000,3,1,3101,113}</v>
      </c>
      <c r="AU705" t="str">
        <f t="shared" si="430"/>
        <v/>
      </c>
      <c r="AV705">
        <v>4112</v>
      </c>
      <c r="AW705" t="str">
        <f t="shared" si="460"/>
        <v>[{5000,3,1,3101,101},{5000,3,1,3101,103},{5000,3,1,3101,111},{5000,3,1,3101,112},{5000,3,1,3101,113}]</v>
      </c>
    </row>
    <row r="706" spans="2:49">
      <c r="B706">
        <v>4113</v>
      </c>
      <c r="C706" t="s">
        <v>57</v>
      </c>
      <c r="D706" t="str">
        <f t="shared" si="433"/>
        <v>32</v>
      </c>
      <c r="F706">
        <v>31</v>
      </c>
      <c r="G706">
        <v>5000</v>
      </c>
      <c r="H706">
        <f t="shared" si="441"/>
        <v>6</v>
      </c>
      <c r="I706">
        <v>1</v>
      </c>
      <c r="J706">
        <v>1</v>
      </c>
      <c r="K706">
        <f t="shared" si="461"/>
        <v>3101</v>
      </c>
      <c r="L706">
        <f t="shared" si="447"/>
        <v>101</v>
      </c>
      <c r="M706">
        <v>5000</v>
      </c>
      <c r="N706">
        <f t="shared" si="446"/>
        <v>6</v>
      </c>
      <c r="O706">
        <v>1</v>
      </c>
      <c r="P706">
        <f t="shared" si="462"/>
        <v>3101</v>
      </c>
      <c r="Q706">
        <v>55</v>
      </c>
      <c r="R706">
        <f t="shared" si="448"/>
        <v>102</v>
      </c>
      <c r="S706">
        <v>5000</v>
      </c>
      <c r="T706">
        <f t="shared" si="422"/>
        <v>6</v>
      </c>
      <c r="U706">
        <v>1</v>
      </c>
      <c r="V706">
        <f t="shared" si="463"/>
        <v>3101</v>
      </c>
      <c r="W706">
        <v>58</v>
      </c>
      <c r="X706">
        <f t="shared" si="449"/>
        <v>103</v>
      </c>
      <c r="Y706">
        <v>5000</v>
      </c>
      <c r="Z706">
        <f t="shared" si="423"/>
        <v>6</v>
      </c>
      <c r="AA706">
        <v>1</v>
      </c>
      <c r="AB706">
        <f t="shared" si="464"/>
        <v>3101</v>
      </c>
      <c r="AC706">
        <v>76</v>
      </c>
      <c r="AD706">
        <f t="shared" si="450"/>
        <v>113</v>
      </c>
      <c r="AE706">
        <v>5000</v>
      </c>
      <c r="AF706">
        <f t="shared" si="424"/>
        <v>6</v>
      </c>
      <c r="AG706">
        <v>1</v>
      </c>
      <c r="AH706">
        <f t="shared" si="465"/>
        <v>3101</v>
      </c>
      <c r="AI706">
        <v>79</v>
      </c>
      <c r="AJ706">
        <f t="shared" si="451"/>
        <v>111</v>
      </c>
      <c r="AP706" t="str">
        <f t="shared" si="425"/>
        <v>{5000,6,1,3101,101}</v>
      </c>
      <c r="AQ706" t="str">
        <f t="shared" si="426"/>
        <v>{5000,6,1,3101,102}</v>
      </c>
      <c r="AR706" t="str">
        <f t="shared" si="427"/>
        <v>{5000,6,1,3101,103}</v>
      </c>
      <c r="AS706" t="str">
        <f t="shared" si="428"/>
        <v>{5000,6,1,3101,113}</v>
      </c>
      <c r="AT706" t="str">
        <f t="shared" si="429"/>
        <v>{5000,6,1,3101,111}</v>
      </c>
      <c r="AU706" t="str">
        <f t="shared" si="430"/>
        <v/>
      </c>
      <c r="AV706">
        <v>4113</v>
      </c>
      <c r="AW706" t="str">
        <f t="shared" si="460"/>
        <v>[{5000,6,1,3101,101},{5000,6,1,3101,102},{5000,6,1,3101,103},{5000,6,1,3101,113},{5000,6,1,3101,111}]</v>
      </c>
    </row>
    <row r="707" spans="2:49">
      <c r="B707">
        <v>4114</v>
      </c>
      <c r="C707" t="s">
        <v>57</v>
      </c>
      <c r="D707" t="str">
        <f t="shared" si="433"/>
        <v>32</v>
      </c>
      <c r="F707">
        <v>46</v>
      </c>
      <c r="G707">
        <v>5000</v>
      </c>
      <c r="H707">
        <f t="shared" si="441"/>
        <v>6</v>
      </c>
      <c r="I707">
        <v>1</v>
      </c>
      <c r="J707">
        <v>1</v>
      </c>
      <c r="K707">
        <f t="shared" si="461"/>
        <v>3101</v>
      </c>
      <c r="L707">
        <f t="shared" si="447"/>
        <v>101</v>
      </c>
      <c r="M707">
        <v>5000</v>
      </c>
      <c r="N707">
        <f t="shared" si="446"/>
        <v>6</v>
      </c>
      <c r="O707">
        <v>1</v>
      </c>
      <c r="P707">
        <f t="shared" si="462"/>
        <v>3101</v>
      </c>
      <c r="Q707">
        <v>55</v>
      </c>
      <c r="R707">
        <f t="shared" si="448"/>
        <v>103</v>
      </c>
      <c r="S707">
        <v>5000</v>
      </c>
      <c r="T707">
        <f t="shared" ref="T707:T770" si="466">N707</f>
        <v>6</v>
      </c>
      <c r="U707">
        <v>1</v>
      </c>
      <c r="V707">
        <f t="shared" si="463"/>
        <v>3102</v>
      </c>
      <c r="W707">
        <v>76</v>
      </c>
      <c r="X707">
        <f t="shared" si="449"/>
        <v>111</v>
      </c>
      <c r="Y707">
        <v>5000</v>
      </c>
      <c r="Z707">
        <f t="shared" ref="Z707:Z770" si="467">T707</f>
        <v>6</v>
      </c>
      <c r="AA707">
        <v>1</v>
      </c>
      <c r="AB707">
        <f t="shared" si="464"/>
        <v>3101</v>
      </c>
      <c r="AC707">
        <v>71</v>
      </c>
      <c r="AD707">
        <f t="shared" si="450"/>
        <v>112</v>
      </c>
      <c r="AE707">
        <v>5000</v>
      </c>
      <c r="AF707">
        <f t="shared" ref="AF707:AF770" si="468">Z707</f>
        <v>6</v>
      </c>
      <c r="AG707">
        <v>1</v>
      </c>
      <c r="AH707">
        <f t="shared" si="465"/>
        <v>3101</v>
      </c>
      <c r="AI707">
        <v>71</v>
      </c>
      <c r="AJ707">
        <f t="shared" si="451"/>
        <v>113</v>
      </c>
      <c r="AP707" t="str">
        <f t="shared" ref="AP707:AP770" si="469">IF(G707="","",$AQ$1&amp;_xlfn.TEXTJOIN(",",1,G707:I707,K707,L707)&amp;$AR$1)</f>
        <v>{5000,6,1,3101,101}</v>
      </c>
      <c r="AQ707" t="str">
        <f t="shared" ref="AQ707:AQ770" si="470">IF(G707="","",$AQ$1&amp;_xlfn.TEXTJOIN(",",1,M707:P707,R707)&amp;$AR$1)</f>
        <v>{5000,6,1,3101,103}</v>
      </c>
      <c r="AR707" t="str">
        <f t="shared" ref="AR707:AR770" si="471">IF(G707="","",$AQ$1&amp;_xlfn.TEXTJOIN(",",1,S707:V707,X707)&amp;$AR$1)</f>
        <v>{5000,6,1,3102,111}</v>
      </c>
      <c r="AS707" t="str">
        <f t="shared" ref="AS707:AS770" si="472">IF(G707="","",$AQ$1&amp;_xlfn.TEXTJOIN(",",1,Y707:AB707,AD707)&amp;$AR$1)</f>
        <v>{5000,6,1,3101,112}</v>
      </c>
      <c r="AT707" t="str">
        <f t="shared" ref="AT707:AT770" si="473">IF(G707="","",$AQ$1&amp;_xlfn.TEXTJOIN(",",1,AE707:AH707,AJ707)&amp;$AR$1)</f>
        <v>{5000,6,1,3101,113}</v>
      </c>
      <c r="AU707" t="str">
        <f t="shared" ref="AU707:AU770" si="474">IF(AK707="","",IF(G707="","",$AQ$1&amp;_xlfn.TEXTJOIN(",",1,AK707:AO707)&amp;$AR$1))</f>
        <v/>
      </c>
      <c r="AV707">
        <v>4114</v>
      </c>
      <c r="AW707" t="str">
        <f t="shared" si="460"/>
        <v>[{5000,6,1,3101,101},{5000,6,1,3101,103},{5000,6,1,3102,111},{5000,6,1,3101,112},{5000,6,1,3101,113}]</v>
      </c>
    </row>
    <row r="708" spans="2:49">
      <c r="B708">
        <v>4115</v>
      </c>
      <c r="C708" t="s">
        <v>57</v>
      </c>
      <c r="D708" t="str">
        <f t="shared" si="433"/>
        <v>32</v>
      </c>
      <c r="F708">
        <v>61</v>
      </c>
      <c r="G708">
        <v>5000</v>
      </c>
      <c r="H708">
        <f t="shared" si="441"/>
        <v>8</v>
      </c>
      <c r="I708">
        <v>1</v>
      </c>
      <c r="J708">
        <v>3</v>
      </c>
      <c r="K708">
        <f t="shared" si="461"/>
        <v>3103</v>
      </c>
      <c r="L708">
        <f t="shared" si="447"/>
        <v>101</v>
      </c>
      <c r="M708">
        <v>5000</v>
      </c>
      <c r="N708">
        <f t="shared" si="446"/>
        <v>8</v>
      </c>
      <c r="O708">
        <v>1</v>
      </c>
      <c r="P708">
        <f t="shared" si="462"/>
        <v>3103</v>
      </c>
      <c r="Q708">
        <v>56</v>
      </c>
      <c r="R708">
        <f t="shared" si="448"/>
        <v>102</v>
      </c>
      <c r="S708">
        <v>5000</v>
      </c>
      <c r="T708">
        <f t="shared" si="466"/>
        <v>8</v>
      </c>
      <c r="U708">
        <v>1</v>
      </c>
      <c r="V708">
        <f t="shared" si="463"/>
        <v>3103</v>
      </c>
      <c r="W708">
        <v>57</v>
      </c>
      <c r="X708">
        <f t="shared" si="449"/>
        <v>103</v>
      </c>
      <c r="Y708">
        <v>5000</v>
      </c>
      <c r="Z708">
        <f t="shared" si="467"/>
        <v>8</v>
      </c>
      <c r="AA708">
        <v>1</v>
      </c>
      <c r="AB708">
        <f t="shared" si="464"/>
        <v>3103</v>
      </c>
      <c r="AC708">
        <v>72</v>
      </c>
      <c r="AD708">
        <f t="shared" si="450"/>
        <v>113</v>
      </c>
      <c r="AE708">
        <v>5000</v>
      </c>
      <c r="AF708">
        <f t="shared" si="468"/>
        <v>8</v>
      </c>
      <c r="AG708">
        <v>1</v>
      </c>
      <c r="AH708">
        <f t="shared" si="465"/>
        <v>3103</v>
      </c>
      <c r="AI708">
        <v>71</v>
      </c>
      <c r="AJ708">
        <f t="shared" si="451"/>
        <v>111</v>
      </c>
      <c r="AP708" t="str">
        <f t="shared" si="469"/>
        <v>{5000,8,1,3103,101}</v>
      </c>
      <c r="AQ708" t="str">
        <f t="shared" si="470"/>
        <v>{5000,8,1,3103,102}</v>
      </c>
      <c r="AR708" t="str">
        <f t="shared" si="471"/>
        <v>{5000,8,1,3103,103}</v>
      </c>
      <c r="AS708" t="str">
        <f t="shared" si="472"/>
        <v>{5000,8,1,3103,113}</v>
      </c>
      <c r="AT708" t="str">
        <f t="shared" si="473"/>
        <v>{5000,8,1,3103,111}</v>
      </c>
      <c r="AU708" t="str">
        <f t="shared" si="474"/>
        <v/>
      </c>
      <c r="AV708">
        <v>4115</v>
      </c>
      <c r="AW708" t="str">
        <f t="shared" si="460"/>
        <v>[{5000,8,1,3103,101},{5000,8,1,3103,102},{5000,8,1,3103,103},{5000,8,1,3103,113},{5000,8,1,3103,111}]</v>
      </c>
    </row>
    <row r="709" spans="2:49">
      <c r="B709">
        <v>4116</v>
      </c>
      <c r="C709" t="s">
        <v>57</v>
      </c>
      <c r="D709" t="str">
        <f t="shared" si="433"/>
        <v>32</v>
      </c>
      <c r="F709">
        <v>76</v>
      </c>
      <c r="G709">
        <v>5000</v>
      </c>
      <c r="H709">
        <f t="shared" si="441"/>
        <v>8</v>
      </c>
      <c r="I709">
        <v>1</v>
      </c>
      <c r="J709">
        <v>1</v>
      </c>
      <c r="K709">
        <f t="shared" si="461"/>
        <v>3101</v>
      </c>
      <c r="L709">
        <f t="shared" si="447"/>
        <v>101</v>
      </c>
      <c r="M709">
        <v>5000</v>
      </c>
      <c r="N709">
        <f t="shared" si="446"/>
        <v>8</v>
      </c>
      <c r="O709">
        <v>1</v>
      </c>
      <c r="P709">
        <f t="shared" si="462"/>
        <v>3101</v>
      </c>
      <c r="Q709">
        <v>59</v>
      </c>
      <c r="R709">
        <f t="shared" si="448"/>
        <v>103</v>
      </c>
      <c r="S709">
        <v>5000</v>
      </c>
      <c r="T709">
        <f t="shared" si="466"/>
        <v>8</v>
      </c>
      <c r="U709">
        <v>1</v>
      </c>
      <c r="V709">
        <f t="shared" si="463"/>
        <v>3102</v>
      </c>
      <c r="W709">
        <v>71</v>
      </c>
      <c r="X709">
        <f t="shared" si="449"/>
        <v>111</v>
      </c>
      <c r="Y709">
        <v>5000</v>
      </c>
      <c r="Z709">
        <f t="shared" si="467"/>
        <v>8</v>
      </c>
      <c r="AA709">
        <v>1</v>
      </c>
      <c r="AB709">
        <f t="shared" si="464"/>
        <v>3101</v>
      </c>
      <c r="AC709">
        <v>71</v>
      </c>
      <c r="AD709">
        <f t="shared" si="450"/>
        <v>112</v>
      </c>
      <c r="AE709">
        <v>5000</v>
      </c>
      <c r="AF709">
        <f t="shared" si="468"/>
        <v>8</v>
      </c>
      <c r="AG709">
        <v>1</v>
      </c>
      <c r="AH709">
        <f t="shared" si="465"/>
        <v>3101</v>
      </c>
      <c r="AI709">
        <v>79</v>
      </c>
      <c r="AJ709">
        <f t="shared" si="451"/>
        <v>113</v>
      </c>
      <c r="AP709" t="str">
        <f t="shared" si="469"/>
        <v>{5000,8,1,3101,101}</v>
      </c>
      <c r="AQ709" t="str">
        <f t="shared" si="470"/>
        <v>{5000,8,1,3101,103}</v>
      </c>
      <c r="AR709" t="str">
        <f t="shared" si="471"/>
        <v>{5000,8,1,3102,111}</v>
      </c>
      <c r="AS709" t="str">
        <f t="shared" si="472"/>
        <v>{5000,8,1,3101,112}</v>
      </c>
      <c r="AT709" t="str">
        <f t="shared" si="473"/>
        <v>{5000,8,1,3101,113}</v>
      </c>
      <c r="AU709" t="str">
        <f t="shared" si="474"/>
        <v/>
      </c>
      <c r="AV709">
        <v>4116</v>
      </c>
      <c r="AW709" t="str">
        <f t="shared" si="460"/>
        <v>[{5000,8,1,3101,101},{5000,8,1,3101,103},{5000,8,1,3102,111},{5000,8,1,3101,112},{5000,8,1,3101,113}]</v>
      </c>
    </row>
    <row r="710" spans="2:49">
      <c r="B710">
        <v>4117</v>
      </c>
      <c r="C710" t="s">
        <v>57</v>
      </c>
      <c r="D710" t="str">
        <f t="shared" si="433"/>
        <v>32</v>
      </c>
      <c r="F710">
        <v>91</v>
      </c>
      <c r="G710">
        <v>5000</v>
      </c>
      <c r="H710">
        <f t="shared" si="441"/>
        <v>8</v>
      </c>
      <c r="I710">
        <v>1</v>
      </c>
      <c r="J710">
        <v>1</v>
      </c>
      <c r="K710">
        <f t="shared" si="461"/>
        <v>3101</v>
      </c>
      <c r="L710">
        <f t="shared" si="447"/>
        <v>101</v>
      </c>
      <c r="M710">
        <v>5000</v>
      </c>
      <c r="N710">
        <f t="shared" si="446"/>
        <v>8</v>
      </c>
      <c r="O710">
        <v>1</v>
      </c>
      <c r="P710">
        <f t="shared" si="462"/>
        <v>3101</v>
      </c>
      <c r="Q710">
        <v>54</v>
      </c>
      <c r="R710">
        <f t="shared" si="448"/>
        <v>102</v>
      </c>
      <c r="S710">
        <v>5000</v>
      </c>
      <c r="T710">
        <f t="shared" si="466"/>
        <v>8</v>
      </c>
      <c r="U710">
        <v>1</v>
      </c>
      <c r="V710">
        <f t="shared" si="463"/>
        <v>3102</v>
      </c>
      <c r="W710">
        <v>51</v>
      </c>
      <c r="X710">
        <f t="shared" si="449"/>
        <v>103</v>
      </c>
      <c r="Y710">
        <v>5000</v>
      </c>
      <c r="Z710">
        <f t="shared" si="467"/>
        <v>8</v>
      </c>
      <c r="AA710">
        <v>1</v>
      </c>
      <c r="AB710">
        <f t="shared" si="464"/>
        <v>3101</v>
      </c>
      <c r="AC710">
        <v>71</v>
      </c>
      <c r="AD710">
        <f t="shared" si="450"/>
        <v>113</v>
      </c>
      <c r="AE710">
        <v>5000</v>
      </c>
      <c r="AF710">
        <f t="shared" si="468"/>
        <v>8</v>
      </c>
      <c r="AG710">
        <v>1</v>
      </c>
      <c r="AH710">
        <f t="shared" si="465"/>
        <v>3102</v>
      </c>
      <c r="AI710">
        <v>77</v>
      </c>
      <c r="AJ710">
        <f t="shared" si="451"/>
        <v>111</v>
      </c>
      <c r="AP710" t="str">
        <f t="shared" si="469"/>
        <v>{5000,8,1,3101,101}</v>
      </c>
      <c r="AQ710" t="str">
        <f t="shared" si="470"/>
        <v>{5000,8,1,3101,102}</v>
      </c>
      <c r="AR710" t="str">
        <f t="shared" si="471"/>
        <v>{5000,8,1,3102,103}</v>
      </c>
      <c r="AS710" t="str">
        <f t="shared" si="472"/>
        <v>{5000,8,1,3101,113}</v>
      </c>
      <c r="AT710" t="str">
        <f t="shared" si="473"/>
        <v>{5000,8,1,3102,111}</v>
      </c>
      <c r="AU710" t="str">
        <f t="shared" si="474"/>
        <v/>
      </c>
      <c r="AV710">
        <v>4117</v>
      </c>
      <c r="AW710" t="str">
        <f t="shared" si="460"/>
        <v>[{5000,8,1,3101,101},{5000,8,1,3101,102},{5000,8,1,3102,103},{5000,8,1,3101,113},{5000,8,1,3102,111}]</v>
      </c>
    </row>
    <row r="711" spans="2:49">
      <c r="B711">
        <v>4118</v>
      </c>
      <c r="C711" t="s">
        <v>57</v>
      </c>
      <c r="D711" t="str">
        <f t="shared" si="433"/>
        <v>32</v>
      </c>
      <c r="F711">
        <v>106</v>
      </c>
      <c r="G711">
        <v>5000</v>
      </c>
      <c r="H711">
        <f t="shared" si="441"/>
        <v>8</v>
      </c>
      <c r="I711">
        <v>1</v>
      </c>
      <c r="J711">
        <v>1</v>
      </c>
      <c r="K711">
        <f t="shared" si="461"/>
        <v>3101</v>
      </c>
      <c r="L711">
        <f t="shared" si="447"/>
        <v>101</v>
      </c>
      <c r="M711">
        <v>5000</v>
      </c>
      <c r="N711">
        <f t="shared" si="446"/>
        <v>8</v>
      </c>
      <c r="O711">
        <v>1</v>
      </c>
      <c r="P711">
        <f t="shared" si="462"/>
        <v>3101</v>
      </c>
      <c r="Q711">
        <v>55</v>
      </c>
      <c r="R711">
        <f t="shared" si="448"/>
        <v>103</v>
      </c>
      <c r="S711">
        <v>5000</v>
      </c>
      <c r="T711">
        <f t="shared" si="466"/>
        <v>8</v>
      </c>
      <c r="U711">
        <v>1</v>
      </c>
      <c r="V711">
        <f t="shared" si="463"/>
        <v>3102</v>
      </c>
      <c r="W711">
        <v>73</v>
      </c>
      <c r="X711">
        <f t="shared" si="449"/>
        <v>111</v>
      </c>
      <c r="Y711">
        <v>5000</v>
      </c>
      <c r="Z711">
        <f t="shared" si="467"/>
        <v>8</v>
      </c>
      <c r="AA711">
        <v>1</v>
      </c>
      <c r="AB711">
        <f t="shared" si="464"/>
        <v>3101</v>
      </c>
      <c r="AC711">
        <v>78</v>
      </c>
      <c r="AD711">
        <f t="shared" si="450"/>
        <v>112</v>
      </c>
      <c r="AE711">
        <v>5000</v>
      </c>
      <c r="AF711">
        <f t="shared" si="468"/>
        <v>8</v>
      </c>
      <c r="AG711">
        <v>1</v>
      </c>
      <c r="AH711">
        <f t="shared" si="465"/>
        <v>3102</v>
      </c>
      <c r="AI711">
        <v>71</v>
      </c>
      <c r="AJ711">
        <f t="shared" si="451"/>
        <v>113</v>
      </c>
      <c r="AP711" t="str">
        <f t="shared" si="469"/>
        <v>{5000,8,1,3101,101}</v>
      </c>
      <c r="AQ711" t="str">
        <f t="shared" si="470"/>
        <v>{5000,8,1,3101,103}</v>
      </c>
      <c r="AR711" t="str">
        <f t="shared" si="471"/>
        <v>{5000,8,1,3102,111}</v>
      </c>
      <c r="AS711" t="str">
        <f t="shared" si="472"/>
        <v>{5000,8,1,3101,112}</v>
      </c>
      <c r="AT711" t="str">
        <f t="shared" si="473"/>
        <v>{5000,8,1,3102,113}</v>
      </c>
      <c r="AU711" t="str">
        <f t="shared" si="474"/>
        <v/>
      </c>
      <c r="AV711">
        <v>4118</v>
      </c>
      <c r="AW711" t="str">
        <f t="shared" si="460"/>
        <v>[{5000,8,1,3101,101},{5000,8,1,3101,103},{5000,8,1,3102,111},{5000,8,1,3101,112},{5000,8,1,3102,113}]</v>
      </c>
    </row>
    <row r="712" spans="2:48">
      <c r="B712">
        <v>4119</v>
      </c>
      <c r="C712" t="s">
        <v>57</v>
      </c>
      <c r="D712" t="str">
        <f t="shared" ref="D712:D775" si="475">RIGHT(C712,2)</f>
        <v>32</v>
      </c>
      <c r="F712">
        <v>119</v>
      </c>
      <c r="H712">
        <f t="shared" si="441"/>
        <v>0</v>
      </c>
      <c r="K712" t="str">
        <f t="shared" si="461"/>
        <v/>
      </c>
      <c r="L712" t="str">
        <f t="shared" si="447"/>
        <v/>
      </c>
      <c r="N712">
        <f t="shared" si="446"/>
        <v>0</v>
      </c>
      <c r="P712" t="str">
        <f t="shared" si="462"/>
        <v/>
      </c>
      <c r="R712" t="str">
        <f t="shared" si="448"/>
        <v/>
      </c>
      <c r="T712">
        <f t="shared" si="466"/>
        <v>0</v>
      </c>
      <c r="V712" t="str">
        <f t="shared" si="463"/>
        <v/>
      </c>
      <c r="X712" t="str">
        <f t="shared" si="449"/>
        <v/>
      </c>
      <c r="Z712">
        <f t="shared" si="467"/>
        <v>0</v>
      </c>
      <c r="AB712" t="str">
        <f t="shared" si="464"/>
        <v/>
      </c>
      <c r="AD712" t="str">
        <f t="shared" si="450"/>
        <v/>
      </c>
      <c r="AF712">
        <f t="shared" si="468"/>
        <v>0</v>
      </c>
      <c r="AH712" t="str">
        <f t="shared" si="465"/>
        <v/>
      </c>
      <c r="AJ712" t="str">
        <f t="shared" si="451"/>
        <v/>
      </c>
      <c r="AP712" t="str">
        <f t="shared" si="469"/>
        <v/>
      </c>
      <c r="AQ712" t="str">
        <f t="shared" si="470"/>
        <v/>
      </c>
      <c r="AR712" t="str">
        <f t="shared" si="471"/>
        <v/>
      </c>
      <c r="AS712" t="str">
        <f t="shared" si="472"/>
        <v/>
      </c>
      <c r="AT712" t="str">
        <f t="shared" si="473"/>
        <v/>
      </c>
      <c r="AU712" t="str">
        <f t="shared" si="474"/>
        <v/>
      </c>
      <c r="AV712">
        <v>4119</v>
      </c>
    </row>
    <row r="713" spans="2:49">
      <c r="B713">
        <v>4120</v>
      </c>
      <c r="C713" t="s">
        <v>57</v>
      </c>
      <c r="D713" t="str">
        <f t="shared" si="475"/>
        <v>32</v>
      </c>
      <c r="F713">
        <v>121</v>
      </c>
      <c r="G713">
        <v>5000</v>
      </c>
      <c r="H713">
        <f t="shared" si="441"/>
        <v>10</v>
      </c>
      <c r="I713">
        <v>1</v>
      </c>
      <c r="J713">
        <v>3</v>
      </c>
      <c r="K713">
        <f t="shared" si="461"/>
        <v>3103</v>
      </c>
      <c r="L713">
        <f t="shared" si="447"/>
        <v>101</v>
      </c>
      <c r="M713">
        <v>5000</v>
      </c>
      <c r="N713">
        <f t="shared" si="446"/>
        <v>10</v>
      </c>
      <c r="O713">
        <v>1</v>
      </c>
      <c r="P713">
        <f t="shared" si="462"/>
        <v>3103</v>
      </c>
      <c r="Q713">
        <v>54</v>
      </c>
      <c r="R713">
        <f t="shared" si="448"/>
        <v>102</v>
      </c>
      <c r="S713">
        <v>5000</v>
      </c>
      <c r="T713">
        <f t="shared" si="466"/>
        <v>10</v>
      </c>
      <c r="U713">
        <v>1</v>
      </c>
      <c r="V713">
        <f t="shared" si="463"/>
        <v>3103</v>
      </c>
      <c r="W713">
        <v>51</v>
      </c>
      <c r="X713">
        <f t="shared" si="449"/>
        <v>103</v>
      </c>
      <c r="Y713">
        <v>5000</v>
      </c>
      <c r="Z713">
        <f t="shared" si="467"/>
        <v>10</v>
      </c>
      <c r="AA713">
        <v>1</v>
      </c>
      <c r="AB713">
        <f t="shared" si="464"/>
        <v>3103</v>
      </c>
      <c r="AC713">
        <v>71</v>
      </c>
      <c r="AD713">
        <f t="shared" si="450"/>
        <v>113</v>
      </c>
      <c r="AE713">
        <v>5000</v>
      </c>
      <c r="AF713">
        <f t="shared" si="468"/>
        <v>10</v>
      </c>
      <c r="AG713">
        <v>1</v>
      </c>
      <c r="AH713">
        <f t="shared" si="465"/>
        <v>3103</v>
      </c>
      <c r="AI713">
        <v>79</v>
      </c>
      <c r="AJ713">
        <f t="shared" si="451"/>
        <v>111</v>
      </c>
      <c r="AK713">
        <v>1000</v>
      </c>
      <c r="AL713">
        <v>1</v>
      </c>
      <c r="AM713">
        <v>0</v>
      </c>
      <c r="AN713">
        <f t="shared" ref="AN713" si="476">AN690+100</f>
        <v>3121</v>
      </c>
      <c r="AO713">
        <v>4</v>
      </c>
      <c r="AP713" t="str">
        <f t="shared" si="469"/>
        <v>{5000,10,1,3103,101}</v>
      </c>
      <c r="AQ713" t="str">
        <f t="shared" si="470"/>
        <v>{5000,10,1,3103,102}</v>
      </c>
      <c r="AR713" t="str">
        <f t="shared" si="471"/>
        <v>{5000,10,1,3103,103}</v>
      </c>
      <c r="AS713" t="str">
        <f t="shared" si="472"/>
        <v>{5000,10,1,3103,113}</v>
      </c>
      <c r="AT713" t="str">
        <f t="shared" si="473"/>
        <v>{5000,10,1,3103,111}</v>
      </c>
      <c r="AU713" t="str">
        <f t="shared" si="474"/>
        <v>{1000,1,0,3121,4}</v>
      </c>
      <c r="AV713">
        <v>4120</v>
      </c>
      <c r="AW713" t="str">
        <f t="shared" ref="AW713:AW718" si="477">IF(AU713="","["&amp;_xlfn.TEXTJOIN(",",1,AP713:AT713)&amp;"]","["&amp;_xlfn.TEXTJOIN(",",1,AP713:AU713)&amp;"]")</f>
        <v>[{5000,10,1,3103,101},{5000,10,1,3103,102},{5000,10,1,3103,103},{5000,10,1,3103,113},{5000,10,1,3103,111},{1000,1,0,3121,4}]</v>
      </c>
    </row>
    <row r="714" spans="2:49">
      <c r="B714">
        <v>4121</v>
      </c>
      <c r="C714" t="s">
        <v>57</v>
      </c>
      <c r="D714" t="str">
        <f t="shared" si="475"/>
        <v>32</v>
      </c>
      <c r="F714">
        <v>136</v>
      </c>
      <c r="G714">
        <v>5000</v>
      </c>
      <c r="H714">
        <f t="shared" si="441"/>
        <v>9</v>
      </c>
      <c r="I714">
        <v>1</v>
      </c>
      <c r="J714">
        <v>1</v>
      </c>
      <c r="K714">
        <f t="shared" si="461"/>
        <v>3101</v>
      </c>
      <c r="L714">
        <f t="shared" si="447"/>
        <v>101</v>
      </c>
      <c r="M714">
        <v>5000</v>
      </c>
      <c r="N714">
        <f t="shared" si="446"/>
        <v>9</v>
      </c>
      <c r="O714">
        <v>1</v>
      </c>
      <c r="P714">
        <f t="shared" si="462"/>
        <v>3101</v>
      </c>
      <c r="Q714">
        <v>54</v>
      </c>
      <c r="R714">
        <f t="shared" si="448"/>
        <v>103</v>
      </c>
      <c r="S714">
        <v>5000</v>
      </c>
      <c r="T714">
        <f t="shared" si="466"/>
        <v>9</v>
      </c>
      <c r="U714">
        <v>1</v>
      </c>
      <c r="V714">
        <f t="shared" si="463"/>
        <v>3102</v>
      </c>
      <c r="W714">
        <v>76</v>
      </c>
      <c r="X714">
        <f t="shared" si="449"/>
        <v>111</v>
      </c>
      <c r="Y714">
        <v>5000</v>
      </c>
      <c r="Z714">
        <f t="shared" si="467"/>
        <v>9</v>
      </c>
      <c r="AA714">
        <v>1</v>
      </c>
      <c r="AB714">
        <f t="shared" si="464"/>
        <v>3101</v>
      </c>
      <c r="AC714">
        <v>72</v>
      </c>
      <c r="AD714">
        <f t="shared" si="450"/>
        <v>112</v>
      </c>
      <c r="AE714">
        <v>5000</v>
      </c>
      <c r="AF714">
        <f t="shared" si="468"/>
        <v>9</v>
      </c>
      <c r="AG714">
        <v>1</v>
      </c>
      <c r="AH714">
        <f t="shared" si="465"/>
        <v>3102</v>
      </c>
      <c r="AI714">
        <v>74</v>
      </c>
      <c r="AJ714">
        <f t="shared" si="451"/>
        <v>113</v>
      </c>
      <c r="AP714" t="str">
        <f t="shared" si="469"/>
        <v>{5000,9,1,3101,101}</v>
      </c>
      <c r="AQ714" t="str">
        <f t="shared" si="470"/>
        <v>{5000,9,1,3101,103}</v>
      </c>
      <c r="AR714" t="str">
        <f t="shared" si="471"/>
        <v>{5000,9,1,3102,111}</v>
      </c>
      <c r="AS714" t="str">
        <f t="shared" si="472"/>
        <v>{5000,9,1,3101,112}</v>
      </c>
      <c r="AT714" t="str">
        <f t="shared" si="473"/>
        <v>{5000,9,1,3102,113}</v>
      </c>
      <c r="AU714" t="str">
        <f t="shared" si="474"/>
        <v/>
      </c>
      <c r="AV714">
        <v>4121</v>
      </c>
      <c r="AW714" t="str">
        <f t="shared" si="477"/>
        <v>[{5000,9,1,3101,101},{5000,9,1,3101,103},{5000,9,1,3102,111},{5000,9,1,3101,112},{5000,9,1,3102,113}]</v>
      </c>
    </row>
    <row r="715" spans="2:49">
      <c r="B715">
        <v>4122</v>
      </c>
      <c r="C715" t="s">
        <v>57</v>
      </c>
      <c r="D715" t="str">
        <f t="shared" si="475"/>
        <v>32</v>
      </c>
      <c r="F715">
        <v>151</v>
      </c>
      <c r="G715">
        <v>5000</v>
      </c>
      <c r="H715">
        <f t="shared" si="441"/>
        <v>10</v>
      </c>
      <c r="I715">
        <v>1</v>
      </c>
      <c r="J715">
        <v>1</v>
      </c>
      <c r="K715">
        <f t="shared" si="461"/>
        <v>3101</v>
      </c>
      <c r="L715">
        <f t="shared" si="447"/>
        <v>101</v>
      </c>
      <c r="M715">
        <v>5000</v>
      </c>
      <c r="N715">
        <f t="shared" si="446"/>
        <v>10</v>
      </c>
      <c r="O715">
        <v>1</v>
      </c>
      <c r="P715">
        <f t="shared" si="462"/>
        <v>3101</v>
      </c>
      <c r="Q715">
        <v>54</v>
      </c>
      <c r="R715">
        <f t="shared" si="448"/>
        <v>102</v>
      </c>
      <c r="S715">
        <v>5000</v>
      </c>
      <c r="T715">
        <f t="shared" si="466"/>
        <v>10</v>
      </c>
      <c r="U715">
        <v>1</v>
      </c>
      <c r="V715">
        <f t="shared" si="463"/>
        <v>3102</v>
      </c>
      <c r="W715">
        <v>56</v>
      </c>
      <c r="X715">
        <f t="shared" si="449"/>
        <v>103</v>
      </c>
      <c r="Y715">
        <v>5000</v>
      </c>
      <c r="Z715">
        <f t="shared" si="467"/>
        <v>10</v>
      </c>
      <c r="AA715">
        <v>1</v>
      </c>
      <c r="AB715">
        <f t="shared" si="464"/>
        <v>3101</v>
      </c>
      <c r="AC715">
        <v>72</v>
      </c>
      <c r="AD715">
        <f t="shared" si="450"/>
        <v>113</v>
      </c>
      <c r="AE715">
        <v>5000</v>
      </c>
      <c r="AF715">
        <f t="shared" si="468"/>
        <v>10</v>
      </c>
      <c r="AG715">
        <v>1</v>
      </c>
      <c r="AH715">
        <f t="shared" si="465"/>
        <v>3102</v>
      </c>
      <c r="AI715">
        <v>74</v>
      </c>
      <c r="AJ715">
        <f t="shared" si="451"/>
        <v>111</v>
      </c>
      <c r="AP715" t="str">
        <f t="shared" si="469"/>
        <v>{5000,10,1,3101,101}</v>
      </c>
      <c r="AQ715" t="str">
        <f t="shared" si="470"/>
        <v>{5000,10,1,3101,102}</v>
      </c>
      <c r="AR715" t="str">
        <f t="shared" si="471"/>
        <v>{5000,10,1,3102,103}</v>
      </c>
      <c r="AS715" t="str">
        <f t="shared" si="472"/>
        <v>{5000,10,1,3101,113}</v>
      </c>
      <c r="AT715" t="str">
        <f t="shared" si="473"/>
        <v>{5000,10,1,3102,111}</v>
      </c>
      <c r="AU715" t="str">
        <f t="shared" si="474"/>
        <v/>
      </c>
      <c r="AV715">
        <v>4122</v>
      </c>
      <c r="AW715" t="str">
        <f t="shared" si="477"/>
        <v>[{5000,10,1,3101,101},{5000,10,1,3101,102},{5000,10,1,3102,103},{5000,10,1,3101,113},{5000,10,1,3102,111}]</v>
      </c>
    </row>
    <row r="716" spans="2:49">
      <c r="B716">
        <v>4123</v>
      </c>
      <c r="C716" t="s">
        <v>57</v>
      </c>
      <c r="D716" t="str">
        <f t="shared" si="475"/>
        <v>32</v>
      </c>
      <c r="F716">
        <v>166</v>
      </c>
      <c r="G716">
        <v>5000</v>
      </c>
      <c r="H716">
        <f t="shared" si="441"/>
        <v>11</v>
      </c>
      <c r="I716">
        <v>1</v>
      </c>
      <c r="J716">
        <v>1</v>
      </c>
      <c r="K716">
        <f t="shared" si="461"/>
        <v>3101</v>
      </c>
      <c r="L716">
        <f t="shared" si="447"/>
        <v>101</v>
      </c>
      <c r="M716">
        <v>5000</v>
      </c>
      <c r="N716">
        <f t="shared" si="446"/>
        <v>11</v>
      </c>
      <c r="O716">
        <v>1</v>
      </c>
      <c r="P716">
        <f t="shared" si="462"/>
        <v>3101</v>
      </c>
      <c r="Q716">
        <v>59</v>
      </c>
      <c r="R716">
        <f t="shared" si="448"/>
        <v>103</v>
      </c>
      <c r="S716">
        <v>5000</v>
      </c>
      <c r="T716">
        <f t="shared" si="466"/>
        <v>11</v>
      </c>
      <c r="U716">
        <v>1</v>
      </c>
      <c r="V716">
        <f t="shared" si="463"/>
        <v>3102</v>
      </c>
      <c r="W716">
        <v>79</v>
      </c>
      <c r="X716">
        <f t="shared" si="449"/>
        <v>111</v>
      </c>
      <c r="Y716">
        <v>5000</v>
      </c>
      <c r="Z716">
        <f t="shared" si="467"/>
        <v>11</v>
      </c>
      <c r="AA716">
        <v>1</v>
      </c>
      <c r="AB716">
        <f t="shared" si="464"/>
        <v>3101</v>
      </c>
      <c r="AC716">
        <v>71</v>
      </c>
      <c r="AD716">
        <f t="shared" si="450"/>
        <v>112</v>
      </c>
      <c r="AE716">
        <v>5000</v>
      </c>
      <c r="AF716">
        <f t="shared" si="468"/>
        <v>11</v>
      </c>
      <c r="AG716">
        <v>1</v>
      </c>
      <c r="AH716">
        <f t="shared" si="465"/>
        <v>3102</v>
      </c>
      <c r="AI716">
        <v>74</v>
      </c>
      <c r="AJ716">
        <f t="shared" si="451"/>
        <v>113</v>
      </c>
      <c r="AP716" t="str">
        <f t="shared" si="469"/>
        <v>{5000,11,1,3101,101}</v>
      </c>
      <c r="AQ716" t="str">
        <f t="shared" si="470"/>
        <v>{5000,11,1,3101,103}</v>
      </c>
      <c r="AR716" t="str">
        <f t="shared" si="471"/>
        <v>{5000,11,1,3102,111}</v>
      </c>
      <c r="AS716" t="str">
        <f t="shared" si="472"/>
        <v>{5000,11,1,3101,112}</v>
      </c>
      <c r="AT716" t="str">
        <f t="shared" si="473"/>
        <v>{5000,11,1,3102,113}</v>
      </c>
      <c r="AU716" t="str">
        <f t="shared" si="474"/>
        <v/>
      </c>
      <c r="AV716">
        <v>4123</v>
      </c>
      <c r="AW716" t="str">
        <f t="shared" si="477"/>
        <v>[{5000,11,1,3101,101},{5000,11,1,3101,103},{5000,11,1,3102,111},{5000,11,1,3101,112},{5000,11,1,3102,113}]</v>
      </c>
    </row>
    <row r="717" spans="2:49">
      <c r="B717">
        <v>4124</v>
      </c>
      <c r="C717" t="s">
        <v>57</v>
      </c>
      <c r="D717" t="str">
        <f t="shared" si="475"/>
        <v>32</v>
      </c>
      <c r="F717">
        <v>181</v>
      </c>
      <c r="G717">
        <v>5000</v>
      </c>
      <c r="H717">
        <f t="shared" si="441"/>
        <v>12</v>
      </c>
      <c r="I717">
        <v>1</v>
      </c>
      <c r="J717">
        <v>3</v>
      </c>
      <c r="K717">
        <f t="shared" si="461"/>
        <v>3103</v>
      </c>
      <c r="L717">
        <f t="shared" si="447"/>
        <v>101</v>
      </c>
      <c r="M717">
        <v>5000</v>
      </c>
      <c r="N717">
        <f t="shared" si="446"/>
        <v>12</v>
      </c>
      <c r="O717">
        <v>1</v>
      </c>
      <c r="P717">
        <f t="shared" si="462"/>
        <v>3103</v>
      </c>
      <c r="Q717">
        <v>53</v>
      </c>
      <c r="R717">
        <f t="shared" si="448"/>
        <v>102</v>
      </c>
      <c r="S717">
        <v>5000</v>
      </c>
      <c r="T717">
        <f t="shared" si="466"/>
        <v>12</v>
      </c>
      <c r="U717">
        <v>1</v>
      </c>
      <c r="V717">
        <f t="shared" si="463"/>
        <v>3103</v>
      </c>
      <c r="W717">
        <v>56</v>
      </c>
      <c r="X717">
        <f t="shared" si="449"/>
        <v>103</v>
      </c>
      <c r="Y717">
        <v>5000</v>
      </c>
      <c r="Z717">
        <f t="shared" si="467"/>
        <v>12</v>
      </c>
      <c r="AA717">
        <v>1</v>
      </c>
      <c r="AB717">
        <f t="shared" si="464"/>
        <v>3103</v>
      </c>
      <c r="AC717">
        <v>75</v>
      </c>
      <c r="AD717">
        <f t="shared" si="450"/>
        <v>113</v>
      </c>
      <c r="AE717">
        <v>5000</v>
      </c>
      <c r="AF717">
        <f t="shared" si="468"/>
        <v>12</v>
      </c>
      <c r="AG717">
        <v>1</v>
      </c>
      <c r="AH717">
        <f t="shared" si="465"/>
        <v>3103</v>
      </c>
      <c r="AI717">
        <v>78</v>
      </c>
      <c r="AJ717">
        <f t="shared" si="451"/>
        <v>111</v>
      </c>
      <c r="AP717" t="str">
        <f t="shared" si="469"/>
        <v>{5000,12,1,3103,101}</v>
      </c>
      <c r="AQ717" t="str">
        <f t="shared" si="470"/>
        <v>{5000,12,1,3103,102}</v>
      </c>
      <c r="AR717" t="str">
        <f t="shared" si="471"/>
        <v>{5000,12,1,3103,103}</v>
      </c>
      <c r="AS717" t="str">
        <f t="shared" si="472"/>
        <v>{5000,12,1,3103,113}</v>
      </c>
      <c r="AT717" t="str">
        <f t="shared" si="473"/>
        <v>{5000,12,1,3103,111}</v>
      </c>
      <c r="AU717" t="str">
        <f t="shared" si="474"/>
        <v/>
      </c>
      <c r="AV717">
        <v>4124</v>
      </c>
      <c r="AW717" t="str">
        <f t="shared" si="477"/>
        <v>[{5000,12,1,3103,101},{5000,12,1,3103,102},{5000,12,1,3103,103},{5000,12,1,3103,113},{5000,12,1,3103,111}]</v>
      </c>
    </row>
    <row r="718" spans="2:49">
      <c r="B718">
        <v>4125</v>
      </c>
      <c r="C718" t="s">
        <v>57</v>
      </c>
      <c r="D718" t="str">
        <f t="shared" si="475"/>
        <v>32</v>
      </c>
      <c r="F718">
        <v>196</v>
      </c>
      <c r="G718">
        <v>5000</v>
      </c>
      <c r="H718">
        <f t="shared" si="441"/>
        <v>12</v>
      </c>
      <c r="I718">
        <v>1</v>
      </c>
      <c r="J718">
        <v>2</v>
      </c>
      <c r="K718">
        <f t="shared" si="461"/>
        <v>3102</v>
      </c>
      <c r="L718">
        <f t="shared" si="447"/>
        <v>101</v>
      </c>
      <c r="M718">
        <v>5000</v>
      </c>
      <c r="N718">
        <f t="shared" si="446"/>
        <v>12</v>
      </c>
      <c r="O718">
        <v>1</v>
      </c>
      <c r="P718">
        <f t="shared" si="462"/>
        <v>3101</v>
      </c>
      <c r="Q718">
        <v>54</v>
      </c>
      <c r="R718">
        <f t="shared" si="448"/>
        <v>103</v>
      </c>
      <c r="S718">
        <v>5000</v>
      </c>
      <c r="T718">
        <f t="shared" si="466"/>
        <v>12</v>
      </c>
      <c r="U718">
        <v>1</v>
      </c>
      <c r="V718">
        <f t="shared" si="463"/>
        <v>3102</v>
      </c>
      <c r="W718">
        <v>77</v>
      </c>
      <c r="X718">
        <f t="shared" si="449"/>
        <v>111</v>
      </c>
      <c r="Y718">
        <v>5000</v>
      </c>
      <c r="Z718">
        <f t="shared" si="467"/>
        <v>12</v>
      </c>
      <c r="AA718">
        <v>1</v>
      </c>
      <c r="AB718">
        <f t="shared" si="464"/>
        <v>3101</v>
      </c>
      <c r="AC718">
        <v>72</v>
      </c>
      <c r="AD718">
        <f t="shared" si="450"/>
        <v>112</v>
      </c>
      <c r="AE718">
        <v>5000</v>
      </c>
      <c r="AF718">
        <f t="shared" si="468"/>
        <v>12</v>
      </c>
      <c r="AG718">
        <v>1</v>
      </c>
      <c r="AH718">
        <f t="shared" si="465"/>
        <v>3102</v>
      </c>
      <c r="AI718">
        <v>74</v>
      </c>
      <c r="AJ718">
        <f t="shared" si="451"/>
        <v>113</v>
      </c>
      <c r="AP718" t="str">
        <f t="shared" si="469"/>
        <v>{5000,12,1,3102,101}</v>
      </c>
      <c r="AQ718" t="str">
        <f t="shared" si="470"/>
        <v>{5000,12,1,3101,103}</v>
      </c>
      <c r="AR718" t="str">
        <f t="shared" si="471"/>
        <v>{5000,12,1,3102,111}</v>
      </c>
      <c r="AS718" t="str">
        <f t="shared" si="472"/>
        <v>{5000,12,1,3101,112}</v>
      </c>
      <c r="AT718" t="str">
        <f t="shared" si="473"/>
        <v>{5000,12,1,3102,113}</v>
      </c>
      <c r="AU718" t="str">
        <f t="shared" si="474"/>
        <v/>
      </c>
      <c r="AV718">
        <v>4125</v>
      </c>
      <c r="AW718" t="str">
        <f t="shared" si="477"/>
        <v>[{5000,12,1,3102,101},{5000,12,1,3101,103},{5000,12,1,3102,111},{5000,12,1,3101,112},{5000,12,1,3102,113}]</v>
      </c>
    </row>
    <row r="719" spans="2:48">
      <c r="B719">
        <v>4126</v>
      </c>
      <c r="C719" t="s">
        <v>57</v>
      </c>
      <c r="D719" t="str">
        <f t="shared" si="475"/>
        <v>32</v>
      </c>
      <c r="F719">
        <v>209</v>
      </c>
      <c r="H719">
        <f t="shared" si="441"/>
        <v>0</v>
      </c>
      <c r="K719" t="str">
        <f t="shared" si="461"/>
        <v/>
      </c>
      <c r="L719" t="str">
        <f t="shared" si="447"/>
        <v/>
      </c>
      <c r="N719">
        <f t="shared" si="446"/>
        <v>0</v>
      </c>
      <c r="P719" t="str">
        <f t="shared" si="462"/>
        <v/>
      </c>
      <c r="R719" t="str">
        <f t="shared" si="448"/>
        <v/>
      </c>
      <c r="T719">
        <f t="shared" si="466"/>
        <v>0</v>
      </c>
      <c r="V719" t="str">
        <f t="shared" si="463"/>
        <v/>
      </c>
      <c r="X719" t="str">
        <f t="shared" si="449"/>
        <v/>
      </c>
      <c r="Z719">
        <f t="shared" si="467"/>
        <v>0</v>
      </c>
      <c r="AB719" t="str">
        <f t="shared" si="464"/>
        <v/>
      </c>
      <c r="AD719" t="str">
        <f t="shared" si="450"/>
        <v/>
      </c>
      <c r="AF719">
        <f t="shared" si="468"/>
        <v>0</v>
      </c>
      <c r="AH719" t="str">
        <f t="shared" si="465"/>
        <v/>
      </c>
      <c r="AJ719" t="str">
        <f t="shared" si="451"/>
        <v/>
      </c>
      <c r="AP719" t="str">
        <f t="shared" si="469"/>
        <v/>
      </c>
      <c r="AQ719" t="str">
        <f t="shared" si="470"/>
        <v/>
      </c>
      <c r="AR719" t="str">
        <f t="shared" si="471"/>
        <v/>
      </c>
      <c r="AS719" t="str">
        <f t="shared" si="472"/>
        <v/>
      </c>
      <c r="AT719" t="str">
        <f t="shared" si="473"/>
        <v/>
      </c>
      <c r="AU719" t="str">
        <f t="shared" si="474"/>
        <v/>
      </c>
      <c r="AV719">
        <v>4126</v>
      </c>
    </row>
    <row r="720" spans="2:49">
      <c r="B720">
        <v>4127</v>
      </c>
      <c r="C720" t="s">
        <v>57</v>
      </c>
      <c r="D720" t="str">
        <f t="shared" si="475"/>
        <v>32</v>
      </c>
      <c r="F720">
        <v>211</v>
      </c>
      <c r="G720">
        <v>5000</v>
      </c>
      <c r="H720">
        <f t="shared" si="441"/>
        <v>11</v>
      </c>
      <c r="I720">
        <v>1</v>
      </c>
      <c r="J720">
        <v>2</v>
      </c>
      <c r="K720">
        <f t="shared" si="461"/>
        <v>3102</v>
      </c>
      <c r="L720">
        <f t="shared" si="447"/>
        <v>101</v>
      </c>
      <c r="M720">
        <v>5000</v>
      </c>
      <c r="N720">
        <f t="shared" si="446"/>
        <v>11</v>
      </c>
      <c r="O720">
        <v>1</v>
      </c>
      <c r="P720">
        <f t="shared" si="462"/>
        <v>3101</v>
      </c>
      <c r="Q720">
        <v>51</v>
      </c>
      <c r="R720">
        <f t="shared" si="448"/>
        <v>102</v>
      </c>
      <c r="S720">
        <v>5000</v>
      </c>
      <c r="T720">
        <f t="shared" si="466"/>
        <v>11</v>
      </c>
      <c r="U720">
        <v>1</v>
      </c>
      <c r="V720">
        <f t="shared" si="463"/>
        <v>3102</v>
      </c>
      <c r="W720">
        <v>57</v>
      </c>
      <c r="X720">
        <f t="shared" si="449"/>
        <v>103</v>
      </c>
      <c r="Y720">
        <v>5000</v>
      </c>
      <c r="Z720">
        <f t="shared" si="467"/>
        <v>11</v>
      </c>
      <c r="AA720">
        <v>1</v>
      </c>
      <c r="AB720">
        <f t="shared" si="464"/>
        <v>3101</v>
      </c>
      <c r="AC720">
        <v>79</v>
      </c>
      <c r="AD720">
        <f t="shared" si="450"/>
        <v>113</v>
      </c>
      <c r="AE720">
        <v>5000</v>
      </c>
      <c r="AF720">
        <f t="shared" si="468"/>
        <v>11</v>
      </c>
      <c r="AG720">
        <v>1</v>
      </c>
      <c r="AH720">
        <f t="shared" si="465"/>
        <v>3102</v>
      </c>
      <c r="AI720">
        <v>72</v>
      </c>
      <c r="AJ720">
        <f t="shared" si="451"/>
        <v>111</v>
      </c>
      <c r="AK720">
        <v>1000</v>
      </c>
      <c r="AL720">
        <v>1</v>
      </c>
      <c r="AM720">
        <v>0</v>
      </c>
      <c r="AN720">
        <f t="shared" ref="AN720" si="478">AN697+100</f>
        <v>3131</v>
      </c>
      <c r="AO720">
        <v>4</v>
      </c>
      <c r="AP720" t="str">
        <f t="shared" si="469"/>
        <v>{5000,11,1,3102,101}</v>
      </c>
      <c r="AQ720" t="str">
        <f t="shared" si="470"/>
        <v>{5000,11,1,3101,102}</v>
      </c>
      <c r="AR720" t="str">
        <f t="shared" si="471"/>
        <v>{5000,11,1,3102,103}</v>
      </c>
      <c r="AS720" t="str">
        <f t="shared" si="472"/>
        <v>{5000,11,1,3101,113}</v>
      </c>
      <c r="AT720" t="str">
        <f t="shared" si="473"/>
        <v>{5000,11,1,3102,111}</v>
      </c>
      <c r="AU720" t="str">
        <f t="shared" si="474"/>
        <v>{1000,1,0,3131,4}</v>
      </c>
      <c r="AV720">
        <v>4127</v>
      </c>
      <c r="AW720" t="str">
        <f t="shared" ref="AW720:AW734" si="479">IF(AU720="","["&amp;_xlfn.TEXTJOIN(",",1,AP720:AT720)&amp;"]","["&amp;_xlfn.TEXTJOIN(",",1,AP720:AU720)&amp;"]")</f>
        <v>[{5000,11,1,3102,101},{5000,11,1,3101,102},{5000,11,1,3102,103},{5000,11,1,3101,113},{5000,11,1,3102,111},{1000,1,0,3131,4}]</v>
      </c>
    </row>
    <row r="721" spans="2:49">
      <c r="B721">
        <v>4128</v>
      </c>
      <c r="C721" t="s">
        <v>57</v>
      </c>
      <c r="D721" t="str">
        <f t="shared" si="475"/>
        <v>32</v>
      </c>
      <c r="F721">
        <v>226</v>
      </c>
      <c r="G721">
        <v>5000</v>
      </c>
      <c r="H721">
        <f t="shared" si="441"/>
        <v>11</v>
      </c>
      <c r="I721">
        <v>1</v>
      </c>
      <c r="J721">
        <v>2</v>
      </c>
      <c r="K721">
        <f t="shared" si="461"/>
        <v>3102</v>
      </c>
      <c r="L721">
        <f t="shared" si="447"/>
        <v>101</v>
      </c>
      <c r="M721">
        <v>5000</v>
      </c>
      <c r="N721">
        <f t="shared" si="446"/>
        <v>11</v>
      </c>
      <c r="O721">
        <v>1</v>
      </c>
      <c r="P721">
        <f t="shared" si="462"/>
        <v>3101</v>
      </c>
      <c r="Q721">
        <v>51</v>
      </c>
      <c r="R721">
        <f t="shared" si="448"/>
        <v>103</v>
      </c>
      <c r="S721">
        <v>5000</v>
      </c>
      <c r="T721">
        <f t="shared" si="466"/>
        <v>11</v>
      </c>
      <c r="U721">
        <v>1</v>
      </c>
      <c r="V721">
        <f t="shared" si="463"/>
        <v>3102</v>
      </c>
      <c r="W721">
        <v>75</v>
      </c>
      <c r="X721">
        <f t="shared" si="449"/>
        <v>111</v>
      </c>
      <c r="Y721">
        <v>5000</v>
      </c>
      <c r="Z721">
        <f t="shared" si="467"/>
        <v>11</v>
      </c>
      <c r="AA721">
        <v>1</v>
      </c>
      <c r="AB721">
        <f t="shared" si="464"/>
        <v>3101</v>
      </c>
      <c r="AC721">
        <v>71</v>
      </c>
      <c r="AD721">
        <f t="shared" si="450"/>
        <v>112</v>
      </c>
      <c r="AE721">
        <v>5000</v>
      </c>
      <c r="AF721">
        <f t="shared" si="468"/>
        <v>11</v>
      </c>
      <c r="AG721">
        <v>1</v>
      </c>
      <c r="AH721">
        <f t="shared" si="465"/>
        <v>3102</v>
      </c>
      <c r="AI721">
        <v>77</v>
      </c>
      <c r="AJ721">
        <f t="shared" si="451"/>
        <v>113</v>
      </c>
      <c r="AP721" t="str">
        <f t="shared" si="469"/>
        <v>{5000,11,1,3102,101}</v>
      </c>
      <c r="AQ721" t="str">
        <f t="shared" si="470"/>
        <v>{5000,11,1,3101,103}</v>
      </c>
      <c r="AR721" t="str">
        <f t="shared" si="471"/>
        <v>{5000,11,1,3102,111}</v>
      </c>
      <c r="AS721" t="str">
        <f t="shared" si="472"/>
        <v>{5000,11,1,3101,112}</v>
      </c>
      <c r="AT721" t="str">
        <f t="shared" si="473"/>
        <v>{5000,11,1,3102,113}</v>
      </c>
      <c r="AU721" t="str">
        <f t="shared" si="474"/>
        <v/>
      </c>
      <c r="AV721">
        <v>4128</v>
      </c>
      <c r="AW721" t="str">
        <f t="shared" si="479"/>
        <v>[{5000,11,1,3102,101},{5000,11,1,3101,103},{5000,11,1,3102,111},{5000,11,1,3101,112},{5000,11,1,3102,113}]</v>
      </c>
    </row>
    <row r="722" spans="2:49">
      <c r="B722">
        <v>4129</v>
      </c>
      <c r="C722" t="s">
        <v>57</v>
      </c>
      <c r="D722" t="str">
        <f t="shared" si="475"/>
        <v>32</v>
      </c>
      <c r="F722">
        <v>241</v>
      </c>
      <c r="G722">
        <v>5000</v>
      </c>
      <c r="H722">
        <f t="shared" si="441"/>
        <v>13</v>
      </c>
      <c r="I722">
        <v>1</v>
      </c>
      <c r="J722">
        <v>3</v>
      </c>
      <c r="K722">
        <f t="shared" si="461"/>
        <v>3103</v>
      </c>
      <c r="L722">
        <f t="shared" si="447"/>
        <v>101</v>
      </c>
      <c r="M722">
        <v>5000</v>
      </c>
      <c r="N722">
        <f t="shared" si="446"/>
        <v>13</v>
      </c>
      <c r="O722">
        <v>1</v>
      </c>
      <c r="P722">
        <f t="shared" si="462"/>
        <v>3103</v>
      </c>
      <c r="Q722">
        <v>53</v>
      </c>
      <c r="R722">
        <f t="shared" si="448"/>
        <v>102</v>
      </c>
      <c r="S722">
        <v>5000</v>
      </c>
      <c r="T722">
        <f t="shared" si="466"/>
        <v>13</v>
      </c>
      <c r="U722">
        <v>1</v>
      </c>
      <c r="V722">
        <f t="shared" si="463"/>
        <v>3103</v>
      </c>
      <c r="W722">
        <v>56</v>
      </c>
      <c r="X722">
        <f t="shared" si="449"/>
        <v>103</v>
      </c>
      <c r="Y722">
        <v>5000</v>
      </c>
      <c r="Z722">
        <f t="shared" si="467"/>
        <v>13</v>
      </c>
      <c r="AA722">
        <v>1</v>
      </c>
      <c r="AB722">
        <f t="shared" si="464"/>
        <v>3103</v>
      </c>
      <c r="AC722">
        <v>74</v>
      </c>
      <c r="AD722">
        <f t="shared" si="450"/>
        <v>113</v>
      </c>
      <c r="AE722">
        <v>5000</v>
      </c>
      <c r="AF722">
        <f t="shared" si="468"/>
        <v>13</v>
      </c>
      <c r="AG722">
        <v>1</v>
      </c>
      <c r="AH722">
        <f t="shared" si="465"/>
        <v>3103</v>
      </c>
      <c r="AI722">
        <v>78</v>
      </c>
      <c r="AJ722">
        <f t="shared" si="451"/>
        <v>111</v>
      </c>
      <c r="AP722" t="str">
        <f t="shared" si="469"/>
        <v>{5000,13,1,3103,101}</v>
      </c>
      <c r="AQ722" t="str">
        <f t="shared" si="470"/>
        <v>{5000,13,1,3103,102}</v>
      </c>
      <c r="AR722" t="str">
        <f t="shared" si="471"/>
        <v>{5000,13,1,3103,103}</v>
      </c>
      <c r="AS722" t="str">
        <f t="shared" si="472"/>
        <v>{5000,13,1,3103,113}</v>
      </c>
      <c r="AT722" t="str">
        <f t="shared" si="473"/>
        <v>{5000,13,1,3103,111}</v>
      </c>
      <c r="AU722" t="str">
        <f t="shared" si="474"/>
        <v/>
      </c>
      <c r="AV722">
        <v>4129</v>
      </c>
      <c r="AW722" t="str">
        <f t="shared" si="479"/>
        <v>[{5000,13,1,3103,101},{5000,13,1,3103,102},{5000,13,1,3103,103},{5000,13,1,3103,113},{5000,13,1,3103,111}]</v>
      </c>
    </row>
    <row r="723" spans="2:49">
      <c r="B723">
        <v>4130</v>
      </c>
      <c r="C723" t="s">
        <v>57</v>
      </c>
      <c r="D723" t="str">
        <f t="shared" si="475"/>
        <v>32</v>
      </c>
      <c r="F723">
        <v>256</v>
      </c>
      <c r="G723">
        <v>5000</v>
      </c>
      <c r="H723">
        <f t="shared" si="441"/>
        <v>12</v>
      </c>
      <c r="I723">
        <v>1</v>
      </c>
      <c r="J723">
        <v>2</v>
      </c>
      <c r="K723">
        <f t="shared" si="461"/>
        <v>3102</v>
      </c>
      <c r="L723">
        <f t="shared" si="447"/>
        <v>101</v>
      </c>
      <c r="M723">
        <v>5000</v>
      </c>
      <c r="N723">
        <f t="shared" si="446"/>
        <v>12</v>
      </c>
      <c r="O723">
        <v>1</v>
      </c>
      <c r="P723">
        <f t="shared" si="462"/>
        <v>3102</v>
      </c>
      <c r="Q723">
        <v>59</v>
      </c>
      <c r="R723">
        <f t="shared" si="448"/>
        <v>103</v>
      </c>
      <c r="S723">
        <v>5000</v>
      </c>
      <c r="T723">
        <f t="shared" si="466"/>
        <v>12</v>
      </c>
      <c r="U723">
        <v>1</v>
      </c>
      <c r="V723">
        <f t="shared" si="463"/>
        <v>3102</v>
      </c>
      <c r="W723">
        <v>79</v>
      </c>
      <c r="X723">
        <f t="shared" si="449"/>
        <v>111</v>
      </c>
      <c r="Y723">
        <v>5000</v>
      </c>
      <c r="Z723">
        <f t="shared" si="467"/>
        <v>12</v>
      </c>
      <c r="AA723">
        <v>1</v>
      </c>
      <c r="AB723">
        <f t="shared" si="464"/>
        <v>3101</v>
      </c>
      <c r="AC723">
        <v>72</v>
      </c>
      <c r="AD723">
        <f t="shared" si="450"/>
        <v>112</v>
      </c>
      <c r="AE723">
        <v>5000</v>
      </c>
      <c r="AF723">
        <f t="shared" si="468"/>
        <v>12</v>
      </c>
      <c r="AG723">
        <v>1</v>
      </c>
      <c r="AH723">
        <f t="shared" si="465"/>
        <v>3102</v>
      </c>
      <c r="AI723">
        <v>74</v>
      </c>
      <c r="AJ723">
        <f t="shared" si="451"/>
        <v>113</v>
      </c>
      <c r="AP723" t="str">
        <f t="shared" si="469"/>
        <v>{5000,12,1,3102,101}</v>
      </c>
      <c r="AQ723" t="str">
        <f t="shared" si="470"/>
        <v>{5000,12,1,3102,103}</v>
      </c>
      <c r="AR723" t="str">
        <f t="shared" si="471"/>
        <v>{5000,12,1,3102,111}</v>
      </c>
      <c r="AS723" t="str">
        <f t="shared" si="472"/>
        <v>{5000,12,1,3101,112}</v>
      </c>
      <c r="AT723" t="str">
        <f t="shared" si="473"/>
        <v>{5000,12,1,3102,113}</v>
      </c>
      <c r="AU723" t="str">
        <f t="shared" si="474"/>
        <v/>
      </c>
      <c r="AV723">
        <v>4130</v>
      </c>
      <c r="AW723" t="str">
        <f t="shared" si="479"/>
        <v>[{5000,12,1,3102,101},{5000,12,1,3102,103},{5000,12,1,3102,111},{5000,12,1,3101,112},{5000,12,1,3102,113}]</v>
      </c>
    </row>
    <row r="724" spans="2:49">
      <c r="B724">
        <v>4131</v>
      </c>
      <c r="C724" t="s">
        <v>57</v>
      </c>
      <c r="D724" t="str">
        <f t="shared" si="475"/>
        <v>32</v>
      </c>
      <c r="F724">
        <v>271</v>
      </c>
      <c r="G724">
        <v>5000</v>
      </c>
      <c r="H724">
        <f t="shared" si="441"/>
        <v>13</v>
      </c>
      <c r="I724">
        <v>1</v>
      </c>
      <c r="J724">
        <v>2</v>
      </c>
      <c r="K724">
        <f t="shared" si="461"/>
        <v>3102</v>
      </c>
      <c r="L724">
        <f t="shared" si="447"/>
        <v>101</v>
      </c>
      <c r="M724">
        <v>5000</v>
      </c>
      <c r="N724">
        <f t="shared" si="446"/>
        <v>13</v>
      </c>
      <c r="O724">
        <v>1</v>
      </c>
      <c r="P724">
        <f t="shared" si="462"/>
        <v>3102</v>
      </c>
      <c r="Q724">
        <v>54</v>
      </c>
      <c r="R724">
        <f t="shared" si="448"/>
        <v>102</v>
      </c>
      <c r="S724">
        <v>5000</v>
      </c>
      <c r="T724">
        <f t="shared" si="466"/>
        <v>13</v>
      </c>
      <c r="U724">
        <v>1</v>
      </c>
      <c r="V724">
        <f t="shared" si="463"/>
        <v>3102</v>
      </c>
      <c r="W724">
        <v>56</v>
      </c>
      <c r="X724">
        <f t="shared" si="449"/>
        <v>103</v>
      </c>
      <c r="Y724">
        <v>5000</v>
      </c>
      <c r="Z724">
        <f t="shared" si="467"/>
        <v>13</v>
      </c>
      <c r="AA724">
        <v>1</v>
      </c>
      <c r="AB724">
        <f t="shared" si="464"/>
        <v>3102</v>
      </c>
      <c r="AC724">
        <v>73</v>
      </c>
      <c r="AD724">
        <f t="shared" si="450"/>
        <v>113</v>
      </c>
      <c r="AE724">
        <v>5000</v>
      </c>
      <c r="AF724">
        <f t="shared" si="468"/>
        <v>13</v>
      </c>
      <c r="AG724">
        <v>1</v>
      </c>
      <c r="AH724">
        <f t="shared" si="465"/>
        <v>3102</v>
      </c>
      <c r="AI724">
        <v>75</v>
      </c>
      <c r="AJ724">
        <f t="shared" si="451"/>
        <v>111</v>
      </c>
      <c r="AP724" t="str">
        <f t="shared" si="469"/>
        <v>{5000,13,1,3102,101}</v>
      </c>
      <c r="AQ724" t="str">
        <f t="shared" si="470"/>
        <v>{5000,13,1,3102,102}</v>
      </c>
      <c r="AR724" t="str">
        <f t="shared" si="471"/>
        <v>{5000,13,1,3102,103}</v>
      </c>
      <c r="AS724" t="str">
        <f t="shared" si="472"/>
        <v>{5000,13,1,3102,113}</v>
      </c>
      <c r="AT724" t="str">
        <f t="shared" si="473"/>
        <v>{5000,13,1,3102,111}</v>
      </c>
      <c r="AU724" t="str">
        <f t="shared" si="474"/>
        <v/>
      </c>
      <c r="AV724">
        <v>4131</v>
      </c>
      <c r="AW724" t="str">
        <f t="shared" si="479"/>
        <v>[{5000,13,1,3102,101},{5000,13,1,3102,102},{5000,13,1,3102,103},{5000,13,1,3102,113},{5000,13,1,3102,111}]</v>
      </c>
    </row>
    <row r="725" spans="2:49">
      <c r="B725">
        <v>4132</v>
      </c>
      <c r="C725" t="s">
        <v>57</v>
      </c>
      <c r="D725" t="str">
        <f t="shared" si="475"/>
        <v>32</v>
      </c>
      <c r="F725">
        <v>286</v>
      </c>
      <c r="G725">
        <v>5000</v>
      </c>
      <c r="H725">
        <f t="shared" si="441"/>
        <v>13</v>
      </c>
      <c r="I725">
        <v>1</v>
      </c>
      <c r="J725">
        <v>2</v>
      </c>
      <c r="K725">
        <f t="shared" si="461"/>
        <v>3102</v>
      </c>
      <c r="L725">
        <f t="shared" si="447"/>
        <v>101</v>
      </c>
      <c r="M725">
        <v>5000</v>
      </c>
      <c r="N725">
        <f t="shared" si="446"/>
        <v>13</v>
      </c>
      <c r="O725">
        <v>1</v>
      </c>
      <c r="P725">
        <f t="shared" si="462"/>
        <v>3102</v>
      </c>
      <c r="Q725">
        <v>53</v>
      </c>
      <c r="R725">
        <f t="shared" si="448"/>
        <v>103</v>
      </c>
      <c r="S725">
        <v>5000</v>
      </c>
      <c r="T725">
        <f t="shared" si="466"/>
        <v>13</v>
      </c>
      <c r="U725">
        <v>1</v>
      </c>
      <c r="V725">
        <f t="shared" si="463"/>
        <v>3102</v>
      </c>
      <c r="W725">
        <v>59</v>
      </c>
      <c r="X725">
        <f t="shared" si="449"/>
        <v>111</v>
      </c>
      <c r="Y725">
        <v>5000</v>
      </c>
      <c r="Z725">
        <f t="shared" si="467"/>
        <v>13</v>
      </c>
      <c r="AA725">
        <v>1</v>
      </c>
      <c r="AB725">
        <f t="shared" si="464"/>
        <v>3102</v>
      </c>
      <c r="AC725">
        <v>71</v>
      </c>
      <c r="AD725">
        <f t="shared" si="450"/>
        <v>112</v>
      </c>
      <c r="AE725">
        <v>5000</v>
      </c>
      <c r="AF725">
        <f t="shared" si="468"/>
        <v>13</v>
      </c>
      <c r="AG725">
        <v>1</v>
      </c>
      <c r="AH725">
        <f t="shared" si="465"/>
        <v>3102</v>
      </c>
      <c r="AI725">
        <v>77</v>
      </c>
      <c r="AJ725">
        <f t="shared" si="451"/>
        <v>113</v>
      </c>
      <c r="AP725" t="str">
        <f t="shared" si="469"/>
        <v>{5000,13,1,3102,101}</v>
      </c>
      <c r="AQ725" t="str">
        <f t="shared" si="470"/>
        <v>{5000,13,1,3102,103}</v>
      </c>
      <c r="AR725" t="str">
        <f t="shared" si="471"/>
        <v>{5000,13,1,3102,111}</v>
      </c>
      <c r="AS725" t="str">
        <f t="shared" si="472"/>
        <v>{5000,13,1,3102,112}</v>
      </c>
      <c r="AT725" t="str">
        <f t="shared" si="473"/>
        <v>{5000,13,1,3102,113}</v>
      </c>
      <c r="AU725" t="str">
        <f t="shared" si="474"/>
        <v/>
      </c>
      <c r="AV725">
        <v>4132</v>
      </c>
      <c r="AW725" t="str">
        <f t="shared" si="479"/>
        <v>[{5000,13,1,3102,101},{5000,13,1,3102,103},{5000,13,1,3102,111},{5000,13,1,3102,112},{5000,13,1,3102,113}]</v>
      </c>
    </row>
    <row r="726" spans="2:49">
      <c r="B726">
        <v>4133</v>
      </c>
      <c r="C726" t="s">
        <v>57</v>
      </c>
      <c r="D726" t="str">
        <f t="shared" si="475"/>
        <v>32</v>
      </c>
      <c r="F726">
        <v>290</v>
      </c>
      <c r="G726">
        <v>5000</v>
      </c>
      <c r="H726">
        <f t="shared" si="441"/>
        <v>13</v>
      </c>
      <c r="I726">
        <v>1</v>
      </c>
      <c r="J726">
        <v>2</v>
      </c>
      <c r="K726">
        <f t="shared" si="461"/>
        <v>3102</v>
      </c>
      <c r="L726">
        <f t="shared" si="447"/>
        <v>101</v>
      </c>
      <c r="M726">
        <v>5000</v>
      </c>
      <c r="N726">
        <f t="shared" si="446"/>
        <v>13</v>
      </c>
      <c r="O726">
        <v>1</v>
      </c>
      <c r="P726">
        <f t="shared" si="462"/>
        <v>3102</v>
      </c>
      <c r="Q726">
        <v>56</v>
      </c>
      <c r="R726">
        <f t="shared" si="448"/>
        <v>102</v>
      </c>
      <c r="S726">
        <v>5000</v>
      </c>
      <c r="T726">
        <f t="shared" si="466"/>
        <v>13</v>
      </c>
      <c r="U726">
        <v>1</v>
      </c>
      <c r="V726">
        <f t="shared" si="463"/>
        <v>3101</v>
      </c>
      <c r="W726">
        <v>77</v>
      </c>
      <c r="X726">
        <f t="shared" si="449"/>
        <v>103</v>
      </c>
      <c r="Y726">
        <v>5000</v>
      </c>
      <c r="Z726">
        <f t="shared" si="467"/>
        <v>13</v>
      </c>
      <c r="AA726">
        <v>1</v>
      </c>
      <c r="AB726">
        <f t="shared" si="464"/>
        <v>3102</v>
      </c>
      <c r="AC726">
        <v>72</v>
      </c>
      <c r="AD726">
        <f t="shared" si="450"/>
        <v>113</v>
      </c>
      <c r="AE726">
        <v>5000</v>
      </c>
      <c r="AF726">
        <f t="shared" si="468"/>
        <v>13</v>
      </c>
      <c r="AG726">
        <v>1</v>
      </c>
      <c r="AH726">
        <f t="shared" si="465"/>
        <v>3102</v>
      </c>
      <c r="AI726">
        <v>74</v>
      </c>
      <c r="AJ726">
        <f t="shared" si="451"/>
        <v>111</v>
      </c>
      <c r="AP726" t="str">
        <f t="shared" si="469"/>
        <v>{5000,13,1,3102,101}</v>
      </c>
      <c r="AQ726" t="str">
        <f t="shared" si="470"/>
        <v>{5000,13,1,3102,102}</v>
      </c>
      <c r="AR726" t="str">
        <f t="shared" si="471"/>
        <v>{5000,13,1,3101,103}</v>
      </c>
      <c r="AS726" t="str">
        <f t="shared" si="472"/>
        <v>{5000,13,1,3102,113}</v>
      </c>
      <c r="AT726" t="str">
        <f t="shared" si="473"/>
        <v>{5000,13,1,3102,111}</v>
      </c>
      <c r="AU726" t="str">
        <f t="shared" si="474"/>
        <v/>
      </c>
      <c r="AV726">
        <v>4133</v>
      </c>
      <c r="AW726" t="str">
        <f t="shared" si="479"/>
        <v>[{5000,13,1,3102,101},{5000,13,1,3102,102},{5000,13,1,3101,103},{5000,13,1,3102,113},{5000,13,1,3102,111}]</v>
      </c>
    </row>
    <row r="727" spans="2:49">
      <c r="B727">
        <v>4211</v>
      </c>
      <c r="C727" t="s">
        <v>58</v>
      </c>
      <c r="D727" s="5" t="str">
        <f t="shared" si="475"/>
        <v>33</v>
      </c>
      <c r="E727" s="5"/>
      <c r="F727">
        <v>1</v>
      </c>
      <c r="G727">
        <v>5000</v>
      </c>
      <c r="H727">
        <f t="shared" si="441"/>
        <v>3</v>
      </c>
      <c r="I727">
        <v>1</v>
      </c>
      <c r="J727">
        <v>1</v>
      </c>
      <c r="K727">
        <f t="shared" si="461"/>
        <v>3201</v>
      </c>
      <c r="L727">
        <f t="shared" si="447"/>
        <v>101</v>
      </c>
      <c r="M727">
        <v>5000</v>
      </c>
      <c r="N727">
        <f t="shared" si="446"/>
        <v>3</v>
      </c>
      <c r="O727">
        <v>1</v>
      </c>
      <c r="P727">
        <f t="shared" si="462"/>
        <v>3201</v>
      </c>
      <c r="Q727">
        <v>55</v>
      </c>
      <c r="R727">
        <f t="shared" si="448"/>
        <v>102</v>
      </c>
      <c r="S727">
        <v>5000</v>
      </c>
      <c r="T727">
        <f t="shared" si="466"/>
        <v>3</v>
      </c>
      <c r="U727">
        <v>1</v>
      </c>
      <c r="V727">
        <f t="shared" si="463"/>
        <v>3201</v>
      </c>
      <c r="W727">
        <v>60</v>
      </c>
      <c r="X727">
        <f t="shared" si="449"/>
        <v>103</v>
      </c>
      <c r="Y727">
        <v>5000</v>
      </c>
      <c r="Z727">
        <f t="shared" si="467"/>
        <v>3</v>
      </c>
      <c r="AA727">
        <v>1</v>
      </c>
      <c r="AB727">
        <f t="shared" si="464"/>
        <v>3201</v>
      </c>
      <c r="AC727">
        <v>71</v>
      </c>
      <c r="AD727">
        <f t="shared" si="450"/>
        <v>113</v>
      </c>
      <c r="AE727">
        <v>5000</v>
      </c>
      <c r="AF727">
        <f t="shared" si="468"/>
        <v>3</v>
      </c>
      <c r="AG727">
        <v>1</v>
      </c>
      <c r="AH727">
        <f t="shared" si="465"/>
        <v>3201</v>
      </c>
      <c r="AI727">
        <v>76</v>
      </c>
      <c r="AJ727">
        <f t="shared" si="451"/>
        <v>111</v>
      </c>
      <c r="AP727" t="str">
        <f t="shared" si="469"/>
        <v>{5000,3,1,3201,101}</v>
      </c>
      <c r="AQ727" t="str">
        <f t="shared" si="470"/>
        <v>{5000,3,1,3201,102}</v>
      </c>
      <c r="AR727" t="str">
        <f t="shared" si="471"/>
        <v>{5000,3,1,3201,103}</v>
      </c>
      <c r="AS727" t="str">
        <f t="shared" si="472"/>
        <v>{5000,3,1,3201,113}</v>
      </c>
      <c r="AT727" t="str">
        <f t="shared" si="473"/>
        <v>{5000,3,1,3201,111}</v>
      </c>
      <c r="AU727" t="str">
        <f t="shared" si="474"/>
        <v/>
      </c>
      <c r="AV727">
        <v>4211</v>
      </c>
      <c r="AW727" t="str">
        <f t="shared" si="479"/>
        <v>[{5000,3,1,3201,101},{5000,3,1,3201,102},{5000,3,1,3201,103},{5000,3,1,3201,113},{5000,3,1,3201,111}]</v>
      </c>
    </row>
    <row r="728" spans="2:49">
      <c r="B728">
        <v>4212</v>
      </c>
      <c r="C728" t="s">
        <v>58</v>
      </c>
      <c r="D728" t="str">
        <f t="shared" si="475"/>
        <v>33</v>
      </c>
      <c r="F728">
        <v>16</v>
      </c>
      <c r="G728">
        <v>5000</v>
      </c>
      <c r="H728">
        <f t="shared" si="441"/>
        <v>3</v>
      </c>
      <c r="I728">
        <v>1</v>
      </c>
      <c r="J728">
        <v>1</v>
      </c>
      <c r="K728">
        <f t="shared" ref="K728:K750" si="480">IF($J728="","",K705+100)</f>
        <v>3201</v>
      </c>
      <c r="L728">
        <f t="shared" si="447"/>
        <v>101</v>
      </c>
      <c r="M728">
        <v>5000</v>
      </c>
      <c r="N728">
        <f t="shared" si="446"/>
        <v>3</v>
      </c>
      <c r="O728">
        <v>1</v>
      </c>
      <c r="P728">
        <f t="shared" ref="P728:P750" si="481">IF($J728="","",P705+100)</f>
        <v>3201</v>
      </c>
      <c r="Q728">
        <v>55</v>
      </c>
      <c r="R728">
        <f t="shared" si="448"/>
        <v>103</v>
      </c>
      <c r="S728">
        <v>5000</v>
      </c>
      <c r="T728">
        <f t="shared" si="466"/>
        <v>3</v>
      </c>
      <c r="U728">
        <v>1</v>
      </c>
      <c r="V728">
        <f t="shared" ref="V728:V750" si="482">IF($J728="","",V705+100)</f>
        <v>3201</v>
      </c>
      <c r="W728">
        <v>75</v>
      </c>
      <c r="X728">
        <f t="shared" si="449"/>
        <v>111</v>
      </c>
      <c r="Y728">
        <v>5000</v>
      </c>
      <c r="Z728">
        <f t="shared" si="467"/>
        <v>3</v>
      </c>
      <c r="AA728">
        <v>1</v>
      </c>
      <c r="AB728">
        <f t="shared" ref="AB728:AB750" si="483">IF($J728="","",AB705+100)</f>
        <v>3201</v>
      </c>
      <c r="AC728">
        <v>73</v>
      </c>
      <c r="AD728">
        <f t="shared" si="450"/>
        <v>112</v>
      </c>
      <c r="AE728">
        <v>5000</v>
      </c>
      <c r="AF728">
        <f t="shared" si="468"/>
        <v>3</v>
      </c>
      <c r="AG728">
        <v>1</v>
      </c>
      <c r="AH728">
        <f t="shared" ref="AH728:AH750" si="484">IF($J728="","",AH705+100)</f>
        <v>3201</v>
      </c>
      <c r="AI728">
        <v>78</v>
      </c>
      <c r="AJ728">
        <f t="shared" si="451"/>
        <v>113</v>
      </c>
      <c r="AP728" t="str">
        <f t="shared" si="469"/>
        <v>{5000,3,1,3201,101}</v>
      </c>
      <c r="AQ728" t="str">
        <f t="shared" si="470"/>
        <v>{5000,3,1,3201,103}</v>
      </c>
      <c r="AR728" t="str">
        <f t="shared" si="471"/>
        <v>{5000,3,1,3201,111}</v>
      </c>
      <c r="AS728" t="str">
        <f t="shared" si="472"/>
        <v>{5000,3,1,3201,112}</v>
      </c>
      <c r="AT728" t="str">
        <f t="shared" si="473"/>
        <v>{5000,3,1,3201,113}</v>
      </c>
      <c r="AU728" t="str">
        <f t="shared" si="474"/>
        <v/>
      </c>
      <c r="AV728">
        <v>4212</v>
      </c>
      <c r="AW728" t="str">
        <f t="shared" si="479"/>
        <v>[{5000,3,1,3201,101},{5000,3,1,3201,103},{5000,3,1,3201,111},{5000,3,1,3201,112},{5000,3,1,3201,113}]</v>
      </c>
    </row>
    <row r="729" spans="2:49">
      <c r="B729">
        <v>4213</v>
      </c>
      <c r="C729" t="s">
        <v>58</v>
      </c>
      <c r="D729" t="str">
        <f t="shared" si="475"/>
        <v>33</v>
      </c>
      <c r="F729">
        <v>31</v>
      </c>
      <c r="G729">
        <v>5000</v>
      </c>
      <c r="H729">
        <f t="shared" si="441"/>
        <v>6</v>
      </c>
      <c r="I729">
        <v>1</v>
      </c>
      <c r="J729">
        <v>1</v>
      </c>
      <c r="K729">
        <f t="shared" si="480"/>
        <v>3201</v>
      </c>
      <c r="L729">
        <f t="shared" si="447"/>
        <v>101</v>
      </c>
      <c r="M729">
        <v>5000</v>
      </c>
      <c r="N729">
        <f t="shared" si="446"/>
        <v>6</v>
      </c>
      <c r="O729">
        <v>1</v>
      </c>
      <c r="P729">
        <f t="shared" si="481"/>
        <v>3201</v>
      </c>
      <c r="Q729">
        <v>55</v>
      </c>
      <c r="R729">
        <f t="shared" si="448"/>
        <v>102</v>
      </c>
      <c r="S729">
        <v>5000</v>
      </c>
      <c r="T729">
        <f t="shared" si="466"/>
        <v>6</v>
      </c>
      <c r="U729">
        <v>1</v>
      </c>
      <c r="V729">
        <f t="shared" si="482"/>
        <v>3201</v>
      </c>
      <c r="W729">
        <v>58</v>
      </c>
      <c r="X729">
        <f t="shared" si="449"/>
        <v>103</v>
      </c>
      <c r="Y729">
        <v>5000</v>
      </c>
      <c r="Z729">
        <f t="shared" si="467"/>
        <v>6</v>
      </c>
      <c r="AA729">
        <v>1</v>
      </c>
      <c r="AB729">
        <f t="shared" si="483"/>
        <v>3201</v>
      </c>
      <c r="AC729">
        <v>76</v>
      </c>
      <c r="AD729">
        <f t="shared" si="450"/>
        <v>113</v>
      </c>
      <c r="AE729">
        <v>5000</v>
      </c>
      <c r="AF729">
        <f t="shared" si="468"/>
        <v>6</v>
      </c>
      <c r="AG729">
        <v>1</v>
      </c>
      <c r="AH729">
        <f t="shared" si="484"/>
        <v>3201</v>
      </c>
      <c r="AI729">
        <v>79</v>
      </c>
      <c r="AJ729">
        <f t="shared" si="451"/>
        <v>111</v>
      </c>
      <c r="AP729" t="str">
        <f t="shared" si="469"/>
        <v>{5000,6,1,3201,101}</v>
      </c>
      <c r="AQ729" t="str">
        <f t="shared" si="470"/>
        <v>{5000,6,1,3201,102}</v>
      </c>
      <c r="AR729" t="str">
        <f t="shared" si="471"/>
        <v>{5000,6,1,3201,103}</v>
      </c>
      <c r="AS729" t="str">
        <f t="shared" si="472"/>
        <v>{5000,6,1,3201,113}</v>
      </c>
      <c r="AT729" t="str">
        <f t="shared" si="473"/>
        <v>{5000,6,1,3201,111}</v>
      </c>
      <c r="AU729" t="str">
        <f t="shared" si="474"/>
        <v/>
      </c>
      <c r="AV729">
        <v>4213</v>
      </c>
      <c r="AW729" t="str">
        <f t="shared" si="479"/>
        <v>[{5000,6,1,3201,101},{5000,6,1,3201,102},{5000,6,1,3201,103},{5000,6,1,3201,113},{5000,6,1,3201,111}]</v>
      </c>
    </row>
    <row r="730" spans="2:49">
      <c r="B730">
        <v>4214</v>
      </c>
      <c r="C730" t="s">
        <v>58</v>
      </c>
      <c r="D730" t="str">
        <f t="shared" si="475"/>
        <v>33</v>
      </c>
      <c r="F730">
        <v>46</v>
      </c>
      <c r="G730">
        <v>5000</v>
      </c>
      <c r="H730">
        <f t="shared" si="441"/>
        <v>6</v>
      </c>
      <c r="I730">
        <v>1</v>
      </c>
      <c r="J730">
        <v>1</v>
      </c>
      <c r="K730">
        <f t="shared" si="480"/>
        <v>3201</v>
      </c>
      <c r="L730">
        <f t="shared" si="447"/>
        <v>101</v>
      </c>
      <c r="M730">
        <v>5000</v>
      </c>
      <c r="N730">
        <f t="shared" si="446"/>
        <v>6</v>
      </c>
      <c r="O730">
        <v>1</v>
      </c>
      <c r="P730">
        <f t="shared" si="481"/>
        <v>3201</v>
      </c>
      <c r="Q730">
        <v>55</v>
      </c>
      <c r="R730">
        <f t="shared" si="448"/>
        <v>103</v>
      </c>
      <c r="S730">
        <v>5000</v>
      </c>
      <c r="T730">
        <f t="shared" si="466"/>
        <v>6</v>
      </c>
      <c r="U730">
        <v>1</v>
      </c>
      <c r="V730">
        <f t="shared" si="482"/>
        <v>3202</v>
      </c>
      <c r="W730">
        <v>76</v>
      </c>
      <c r="X730">
        <f t="shared" si="449"/>
        <v>111</v>
      </c>
      <c r="Y730">
        <v>5000</v>
      </c>
      <c r="Z730">
        <f t="shared" si="467"/>
        <v>6</v>
      </c>
      <c r="AA730">
        <v>1</v>
      </c>
      <c r="AB730">
        <f t="shared" si="483"/>
        <v>3201</v>
      </c>
      <c r="AC730">
        <v>71</v>
      </c>
      <c r="AD730">
        <f t="shared" si="450"/>
        <v>112</v>
      </c>
      <c r="AE730">
        <v>5000</v>
      </c>
      <c r="AF730">
        <f t="shared" si="468"/>
        <v>6</v>
      </c>
      <c r="AG730">
        <v>1</v>
      </c>
      <c r="AH730">
        <f t="shared" si="484"/>
        <v>3201</v>
      </c>
      <c r="AI730">
        <v>71</v>
      </c>
      <c r="AJ730">
        <f t="shared" si="451"/>
        <v>113</v>
      </c>
      <c r="AP730" t="str">
        <f t="shared" si="469"/>
        <v>{5000,6,1,3201,101}</v>
      </c>
      <c r="AQ730" t="str">
        <f t="shared" si="470"/>
        <v>{5000,6,1,3201,103}</v>
      </c>
      <c r="AR730" t="str">
        <f t="shared" si="471"/>
        <v>{5000,6,1,3202,111}</v>
      </c>
      <c r="AS730" t="str">
        <f t="shared" si="472"/>
        <v>{5000,6,1,3201,112}</v>
      </c>
      <c r="AT730" t="str">
        <f t="shared" si="473"/>
        <v>{5000,6,1,3201,113}</v>
      </c>
      <c r="AU730" t="str">
        <f t="shared" si="474"/>
        <v/>
      </c>
      <c r="AV730">
        <v>4214</v>
      </c>
      <c r="AW730" t="str">
        <f t="shared" si="479"/>
        <v>[{5000,6,1,3201,101},{5000,6,1,3201,103},{5000,6,1,3202,111},{5000,6,1,3201,112},{5000,6,1,3201,113}]</v>
      </c>
    </row>
    <row r="731" spans="2:49">
      <c r="B731">
        <v>4215</v>
      </c>
      <c r="C731" t="s">
        <v>58</v>
      </c>
      <c r="D731" t="str">
        <f t="shared" si="475"/>
        <v>33</v>
      </c>
      <c r="F731">
        <v>61</v>
      </c>
      <c r="G731">
        <v>5000</v>
      </c>
      <c r="H731">
        <f t="shared" ref="H731:H794" si="485">H708</f>
        <v>8</v>
      </c>
      <c r="I731">
        <v>1</v>
      </c>
      <c r="J731">
        <v>3</v>
      </c>
      <c r="K731">
        <f t="shared" si="480"/>
        <v>3203</v>
      </c>
      <c r="L731">
        <f t="shared" si="447"/>
        <v>101</v>
      </c>
      <c r="M731">
        <v>5000</v>
      </c>
      <c r="N731">
        <f t="shared" si="446"/>
        <v>8</v>
      </c>
      <c r="O731">
        <v>1</v>
      </c>
      <c r="P731">
        <f t="shared" si="481"/>
        <v>3203</v>
      </c>
      <c r="Q731">
        <v>56</v>
      </c>
      <c r="R731">
        <f t="shared" si="448"/>
        <v>102</v>
      </c>
      <c r="S731">
        <v>5000</v>
      </c>
      <c r="T731">
        <f t="shared" si="466"/>
        <v>8</v>
      </c>
      <c r="U731">
        <v>1</v>
      </c>
      <c r="V731">
        <f t="shared" si="482"/>
        <v>3203</v>
      </c>
      <c r="W731">
        <v>57</v>
      </c>
      <c r="X731">
        <f t="shared" si="449"/>
        <v>103</v>
      </c>
      <c r="Y731">
        <v>5000</v>
      </c>
      <c r="Z731">
        <f t="shared" si="467"/>
        <v>8</v>
      </c>
      <c r="AA731">
        <v>1</v>
      </c>
      <c r="AB731">
        <f t="shared" si="483"/>
        <v>3203</v>
      </c>
      <c r="AC731">
        <v>72</v>
      </c>
      <c r="AD731">
        <f t="shared" si="450"/>
        <v>113</v>
      </c>
      <c r="AE731">
        <v>5000</v>
      </c>
      <c r="AF731">
        <f t="shared" si="468"/>
        <v>8</v>
      </c>
      <c r="AG731">
        <v>1</v>
      </c>
      <c r="AH731">
        <f t="shared" si="484"/>
        <v>3203</v>
      </c>
      <c r="AI731">
        <v>71</v>
      </c>
      <c r="AJ731">
        <f t="shared" si="451"/>
        <v>111</v>
      </c>
      <c r="AP731" t="str">
        <f t="shared" si="469"/>
        <v>{5000,8,1,3203,101}</v>
      </c>
      <c r="AQ731" t="str">
        <f t="shared" si="470"/>
        <v>{5000,8,1,3203,102}</v>
      </c>
      <c r="AR731" t="str">
        <f t="shared" si="471"/>
        <v>{5000,8,1,3203,103}</v>
      </c>
      <c r="AS731" t="str">
        <f t="shared" si="472"/>
        <v>{5000,8,1,3203,113}</v>
      </c>
      <c r="AT731" t="str">
        <f t="shared" si="473"/>
        <v>{5000,8,1,3203,111}</v>
      </c>
      <c r="AU731" t="str">
        <f t="shared" si="474"/>
        <v/>
      </c>
      <c r="AV731">
        <v>4215</v>
      </c>
      <c r="AW731" t="str">
        <f t="shared" si="479"/>
        <v>[{5000,8,1,3203,101},{5000,8,1,3203,102},{5000,8,1,3203,103},{5000,8,1,3203,113},{5000,8,1,3203,111}]</v>
      </c>
    </row>
    <row r="732" spans="2:49">
      <c r="B732">
        <v>4216</v>
      </c>
      <c r="C732" t="s">
        <v>58</v>
      </c>
      <c r="D732" t="str">
        <f t="shared" si="475"/>
        <v>33</v>
      </c>
      <c r="F732">
        <v>76</v>
      </c>
      <c r="G732">
        <v>5000</v>
      </c>
      <c r="H732">
        <f t="shared" si="485"/>
        <v>8</v>
      </c>
      <c r="I732">
        <v>1</v>
      </c>
      <c r="J732">
        <v>1</v>
      </c>
      <c r="K732">
        <f t="shared" si="480"/>
        <v>3201</v>
      </c>
      <c r="L732">
        <f t="shared" si="447"/>
        <v>101</v>
      </c>
      <c r="M732">
        <v>5000</v>
      </c>
      <c r="N732">
        <f t="shared" si="446"/>
        <v>8</v>
      </c>
      <c r="O732">
        <v>1</v>
      </c>
      <c r="P732">
        <f t="shared" si="481"/>
        <v>3201</v>
      </c>
      <c r="Q732">
        <v>59</v>
      </c>
      <c r="R732">
        <f t="shared" si="448"/>
        <v>103</v>
      </c>
      <c r="S732">
        <v>5000</v>
      </c>
      <c r="T732">
        <f t="shared" si="466"/>
        <v>8</v>
      </c>
      <c r="U732">
        <v>1</v>
      </c>
      <c r="V732">
        <f t="shared" si="482"/>
        <v>3202</v>
      </c>
      <c r="W732">
        <v>71</v>
      </c>
      <c r="X732">
        <f t="shared" si="449"/>
        <v>111</v>
      </c>
      <c r="Y732">
        <v>5000</v>
      </c>
      <c r="Z732">
        <f t="shared" si="467"/>
        <v>8</v>
      </c>
      <c r="AA732">
        <v>1</v>
      </c>
      <c r="AB732">
        <f t="shared" si="483"/>
        <v>3201</v>
      </c>
      <c r="AC732">
        <v>71</v>
      </c>
      <c r="AD732">
        <f t="shared" si="450"/>
        <v>112</v>
      </c>
      <c r="AE732">
        <v>5000</v>
      </c>
      <c r="AF732">
        <f t="shared" si="468"/>
        <v>8</v>
      </c>
      <c r="AG732">
        <v>1</v>
      </c>
      <c r="AH732">
        <f t="shared" si="484"/>
        <v>3201</v>
      </c>
      <c r="AI732">
        <v>79</v>
      </c>
      <c r="AJ732">
        <f t="shared" si="451"/>
        <v>113</v>
      </c>
      <c r="AP732" t="str">
        <f t="shared" si="469"/>
        <v>{5000,8,1,3201,101}</v>
      </c>
      <c r="AQ732" t="str">
        <f t="shared" si="470"/>
        <v>{5000,8,1,3201,103}</v>
      </c>
      <c r="AR732" t="str">
        <f t="shared" si="471"/>
        <v>{5000,8,1,3202,111}</v>
      </c>
      <c r="AS732" t="str">
        <f t="shared" si="472"/>
        <v>{5000,8,1,3201,112}</v>
      </c>
      <c r="AT732" t="str">
        <f t="shared" si="473"/>
        <v>{5000,8,1,3201,113}</v>
      </c>
      <c r="AU732" t="str">
        <f t="shared" si="474"/>
        <v/>
      </c>
      <c r="AV732">
        <v>4216</v>
      </c>
      <c r="AW732" t="str">
        <f t="shared" si="479"/>
        <v>[{5000,8,1,3201,101},{5000,8,1,3201,103},{5000,8,1,3202,111},{5000,8,1,3201,112},{5000,8,1,3201,113}]</v>
      </c>
    </row>
    <row r="733" spans="2:49">
      <c r="B733">
        <v>4217</v>
      </c>
      <c r="C733" t="s">
        <v>58</v>
      </c>
      <c r="D733" t="str">
        <f t="shared" si="475"/>
        <v>33</v>
      </c>
      <c r="F733">
        <v>91</v>
      </c>
      <c r="G733">
        <v>5000</v>
      </c>
      <c r="H733">
        <f t="shared" si="485"/>
        <v>8</v>
      </c>
      <c r="I733">
        <v>1</v>
      </c>
      <c r="J733">
        <v>1</v>
      </c>
      <c r="K733">
        <f t="shared" si="480"/>
        <v>3201</v>
      </c>
      <c r="L733">
        <f t="shared" si="447"/>
        <v>101</v>
      </c>
      <c r="M733">
        <v>5000</v>
      </c>
      <c r="N733">
        <f t="shared" si="446"/>
        <v>8</v>
      </c>
      <c r="O733">
        <v>1</v>
      </c>
      <c r="P733">
        <f t="shared" si="481"/>
        <v>3201</v>
      </c>
      <c r="Q733">
        <v>54</v>
      </c>
      <c r="R733">
        <f t="shared" si="448"/>
        <v>102</v>
      </c>
      <c r="S733">
        <v>5000</v>
      </c>
      <c r="T733">
        <f t="shared" si="466"/>
        <v>8</v>
      </c>
      <c r="U733">
        <v>1</v>
      </c>
      <c r="V733">
        <f t="shared" si="482"/>
        <v>3202</v>
      </c>
      <c r="W733">
        <v>51</v>
      </c>
      <c r="X733">
        <f t="shared" si="449"/>
        <v>103</v>
      </c>
      <c r="Y733">
        <v>5000</v>
      </c>
      <c r="Z733">
        <f t="shared" si="467"/>
        <v>8</v>
      </c>
      <c r="AA733">
        <v>1</v>
      </c>
      <c r="AB733">
        <f t="shared" si="483"/>
        <v>3201</v>
      </c>
      <c r="AC733">
        <v>71</v>
      </c>
      <c r="AD733">
        <f t="shared" si="450"/>
        <v>113</v>
      </c>
      <c r="AE733">
        <v>5000</v>
      </c>
      <c r="AF733">
        <f t="shared" si="468"/>
        <v>8</v>
      </c>
      <c r="AG733">
        <v>1</v>
      </c>
      <c r="AH733">
        <f t="shared" si="484"/>
        <v>3202</v>
      </c>
      <c r="AI733">
        <v>77</v>
      </c>
      <c r="AJ733">
        <f t="shared" si="451"/>
        <v>111</v>
      </c>
      <c r="AP733" t="str">
        <f t="shared" si="469"/>
        <v>{5000,8,1,3201,101}</v>
      </c>
      <c r="AQ733" t="str">
        <f t="shared" si="470"/>
        <v>{5000,8,1,3201,102}</v>
      </c>
      <c r="AR733" t="str">
        <f t="shared" si="471"/>
        <v>{5000,8,1,3202,103}</v>
      </c>
      <c r="AS733" t="str">
        <f t="shared" si="472"/>
        <v>{5000,8,1,3201,113}</v>
      </c>
      <c r="AT733" t="str">
        <f t="shared" si="473"/>
        <v>{5000,8,1,3202,111}</v>
      </c>
      <c r="AU733" t="str">
        <f t="shared" si="474"/>
        <v/>
      </c>
      <c r="AV733">
        <v>4217</v>
      </c>
      <c r="AW733" t="str">
        <f t="shared" si="479"/>
        <v>[{5000,8,1,3201,101},{5000,8,1,3201,102},{5000,8,1,3202,103},{5000,8,1,3201,113},{5000,8,1,3202,111}]</v>
      </c>
    </row>
    <row r="734" spans="2:49">
      <c r="B734">
        <v>4218</v>
      </c>
      <c r="C734" t="s">
        <v>58</v>
      </c>
      <c r="D734" t="str">
        <f t="shared" si="475"/>
        <v>33</v>
      </c>
      <c r="F734">
        <v>106</v>
      </c>
      <c r="G734">
        <v>5000</v>
      </c>
      <c r="H734">
        <f t="shared" si="485"/>
        <v>8</v>
      </c>
      <c r="I734">
        <v>1</v>
      </c>
      <c r="J734">
        <v>1</v>
      </c>
      <c r="K734">
        <f t="shared" si="480"/>
        <v>3201</v>
      </c>
      <c r="L734">
        <f t="shared" si="447"/>
        <v>101</v>
      </c>
      <c r="M734">
        <v>5000</v>
      </c>
      <c r="N734">
        <f t="shared" si="446"/>
        <v>8</v>
      </c>
      <c r="O734">
        <v>1</v>
      </c>
      <c r="P734">
        <f t="shared" si="481"/>
        <v>3201</v>
      </c>
      <c r="Q734">
        <v>55</v>
      </c>
      <c r="R734">
        <f t="shared" si="448"/>
        <v>103</v>
      </c>
      <c r="S734">
        <v>5000</v>
      </c>
      <c r="T734">
        <f t="shared" si="466"/>
        <v>8</v>
      </c>
      <c r="U734">
        <v>1</v>
      </c>
      <c r="V734">
        <f t="shared" si="482"/>
        <v>3202</v>
      </c>
      <c r="W734">
        <v>73</v>
      </c>
      <c r="X734">
        <f t="shared" si="449"/>
        <v>111</v>
      </c>
      <c r="Y734">
        <v>5000</v>
      </c>
      <c r="Z734">
        <f t="shared" si="467"/>
        <v>8</v>
      </c>
      <c r="AA734">
        <v>1</v>
      </c>
      <c r="AB734">
        <f t="shared" si="483"/>
        <v>3201</v>
      </c>
      <c r="AC734">
        <v>78</v>
      </c>
      <c r="AD734">
        <f t="shared" si="450"/>
        <v>112</v>
      </c>
      <c r="AE734">
        <v>5000</v>
      </c>
      <c r="AF734">
        <f t="shared" si="468"/>
        <v>8</v>
      </c>
      <c r="AG734">
        <v>1</v>
      </c>
      <c r="AH734">
        <f t="shared" si="484"/>
        <v>3202</v>
      </c>
      <c r="AI734">
        <v>71</v>
      </c>
      <c r="AJ734">
        <f t="shared" si="451"/>
        <v>113</v>
      </c>
      <c r="AP734" t="str">
        <f t="shared" si="469"/>
        <v>{5000,8,1,3201,101}</v>
      </c>
      <c r="AQ734" t="str">
        <f t="shared" si="470"/>
        <v>{5000,8,1,3201,103}</v>
      </c>
      <c r="AR734" t="str">
        <f t="shared" si="471"/>
        <v>{5000,8,1,3202,111}</v>
      </c>
      <c r="AS734" t="str">
        <f t="shared" si="472"/>
        <v>{5000,8,1,3201,112}</v>
      </c>
      <c r="AT734" t="str">
        <f t="shared" si="473"/>
        <v>{5000,8,1,3202,113}</v>
      </c>
      <c r="AU734" t="str">
        <f t="shared" si="474"/>
        <v/>
      </c>
      <c r="AV734">
        <v>4218</v>
      </c>
      <c r="AW734" t="str">
        <f t="shared" si="479"/>
        <v>[{5000,8,1,3201,101},{5000,8,1,3201,103},{5000,8,1,3202,111},{5000,8,1,3201,112},{5000,8,1,3202,113}]</v>
      </c>
    </row>
    <row r="735" spans="2:48">
      <c r="B735">
        <v>4219</v>
      </c>
      <c r="C735" t="s">
        <v>58</v>
      </c>
      <c r="D735" t="str">
        <f t="shared" si="475"/>
        <v>33</v>
      </c>
      <c r="F735">
        <v>119</v>
      </c>
      <c r="H735">
        <f t="shared" si="485"/>
        <v>0</v>
      </c>
      <c r="K735" t="str">
        <f t="shared" si="480"/>
        <v/>
      </c>
      <c r="L735" t="str">
        <f t="shared" si="447"/>
        <v/>
      </c>
      <c r="N735">
        <f t="shared" si="446"/>
        <v>0</v>
      </c>
      <c r="P735" t="str">
        <f t="shared" si="481"/>
        <v/>
      </c>
      <c r="R735" t="str">
        <f t="shared" si="448"/>
        <v/>
      </c>
      <c r="T735">
        <f t="shared" si="466"/>
        <v>0</v>
      </c>
      <c r="V735" t="str">
        <f t="shared" si="482"/>
        <v/>
      </c>
      <c r="X735" t="str">
        <f t="shared" si="449"/>
        <v/>
      </c>
      <c r="Z735">
        <f t="shared" si="467"/>
        <v>0</v>
      </c>
      <c r="AB735" t="str">
        <f t="shared" si="483"/>
        <v/>
      </c>
      <c r="AD735" t="str">
        <f t="shared" si="450"/>
        <v/>
      </c>
      <c r="AF735">
        <f t="shared" si="468"/>
        <v>0</v>
      </c>
      <c r="AH735" t="str">
        <f t="shared" si="484"/>
        <v/>
      </c>
      <c r="AJ735" t="str">
        <f t="shared" si="451"/>
        <v/>
      </c>
      <c r="AP735" t="str">
        <f t="shared" si="469"/>
        <v/>
      </c>
      <c r="AQ735" t="str">
        <f t="shared" si="470"/>
        <v/>
      </c>
      <c r="AR735" t="str">
        <f t="shared" si="471"/>
        <v/>
      </c>
      <c r="AS735" t="str">
        <f t="shared" si="472"/>
        <v/>
      </c>
      <c r="AT735" t="str">
        <f t="shared" si="473"/>
        <v/>
      </c>
      <c r="AU735" t="str">
        <f t="shared" si="474"/>
        <v/>
      </c>
      <c r="AV735">
        <v>4219</v>
      </c>
    </row>
    <row r="736" spans="2:49">
      <c r="B736">
        <v>4220</v>
      </c>
      <c r="C736" t="s">
        <v>58</v>
      </c>
      <c r="D736" t="str">
        <f t="shared" si="475"/>
        <v>33</v>
      </c>
      <c r="F736">
        <v>121</v>
      </c>
      <c r="G736">
        <v>5000</v>
      </c>
      <c r="H736">
        <f t="shared" si="485"/>
        <v>10</v>
      </c>
      <c r="I736">
        <v>1</v>
      </c>
      <c r="J736">
        <v>3</v>
      </c>
      <c r="K736">
        <f t="shared" si="480"/>
        <v>3203</v>
      </c>
      <c r="L736">
        <f t="shared" si="447"/>
        <v>101</v>
      </c>
      <c r="M736">
        <v>5000</v>
      </c>
      <c r="N736">
        <f t="shared" si="446"/>
        <v>10</v>
      </c>
      <c r="O736">
        <v>1</v>
      </c>
      <c r="P736">
        <f t="shared" si="481"/>
        <v>3203</v>
      </c>
      <c r="Q736">
        <v>54</v>
      </c>
      <c r="R736">
        <f t="shared" si="448"/>
        <v>102</v>
      </c>
      <c r="S736">
        <v>5000</v>
      </c>
      <c r="T736">
        <f t="shared" si="466"/>
        <v>10</v>
      </c>
      <c r="U736">
        <v>1</v>
      </c>
      <c r="V736">
        <f t="shared" si="482"/>
        <v>3203</v>
      </c>
      <c r="W736">
        <v>51</v>
      </c>
      <c r="X736">
        <f t="shared" si="449"/>
        <v>103</v>
      </c>
      <c r="Y736">
        <v>5000</v>
      </c>
      <c r="Z736">
        <f t="shared" si="467"/>
        <v>10</v>
      </c>
      <c r="AA736">
        <v>1</v>
      </c>
      <c r="AB736">
        <f t="shared" si="483"/>
        <v>3203</v>
      </c>
      <c r="AC736">
        <v>71</v>
      </c>
      <c r="AD736">
        <f t="shared" si="450"/>
        <v>113</v>
      </c>
      <c r="AE736">
        <v>5000</v>
      </c>
      <c r="AF736">
        <f t="shared" si="468"/>
        <v>10</v>
      </c>
      <c r="AG736">
        <v>1</v>
      </c>
      <c r="AH736">
        <f t="shared" si="484"/>
        <v>3203</v>
      </c>
      <c r="AI736">
        <v>79</v>
      </c>
      <c r="AJ736">
        <f t="shared" si="451"/>
        <v>111</v>
      </c>
      <c r="AK736">
        <v>1000</v>
      </c>
      <c r="AL736">
        <v>1</v>
      </c>
      <c r="AM736">
        <v>0</v>
      </c>
      <c r="AN736">
        <f t="shared" ref="AN736" si="486">AN713+100</f>
        <v>3221</v>
      </c>
      <c r="AO736">
        <v>4</v>
      </c>
      <c r="AP736" t="str">
        <f t="shared" si="469"/>
        <v>{5000,10,1,3203,101}</v>
      </c>
      <c r="AQ736" t="str">
        <f t="shared" si="470"/>
        <v>{5000,10,1,3203,102}</v>
      </c>
      <c r="AR736" t="str">
        <f t="shared" si="471"/>
        <v>{5000,10,1,3203,103}</v>
      </c>
      <c r="AS736" t="str">
        <f t="shared" si="472"/>
        <v>{5000,10,1,3203,113}</v>
      </c>
      <c r="AT736" t="str">
        <f t="shared" si="473"/>
        <v>{5000,10,1,3203,111}</v>
      </c>
      <c r="AU736" t="str">
        <f t="shared" si="474"/>
        <v>{1000,1,0,3221,4}</v>
      </c>
      <c r="AV736">
        <v>4220</v>
      </c>
      <c r="AW736" t="str">
        <f t="shared" ref="AW736:AW741" si="487">IF(AU736="","["&amp;_xlfn.TEXTJOIN(",",1,AP736:AT736)&amp;"]","["&amp;_xlfn.TEXTJOIN(",",1,AP736:AU736)&amp;"]")</f>
        <v>[{5000,10,1,3203,101},{5000,10,1,3203,102},{5000,10,1,3203,103},{5000,10,1,3203,113},{5000,10,1,3203,111},{1000,1,0,3221,4}]</v>
      </c>
    </row>
    <row r="737" spans="2:49">
      <c r="B737">
        <v>4221</v>
      </c>
      <c r="C737" t="s">
        <v>58</v>
      </c>
      <c r="D737" t="str">
        <f t="shared" si="475"/>
        <v>33</v>
      </c>
      <c r="F737">
        <v>136</v>
      </c>
      <c r="G737">
        <v>5000</v>
      </c>
      <c r="H737">
        <f t="shared" si="485"/>
        <v>9</v>
      </c>
      <c r="I737">
        <v>1</v>
      </c>
      <c r="J737">
        <v>1</v>
      </c>
      <c r="K737">
        <f t="shared" si="480"/>
        <v>3201</v>
      </c>
      <c r="L737">
        <f t="shared" si="447"/>
        <v>101</v>
      </c>
      <c r="M737">
        <v>5000</v>
      </c>
      <c r="N737">
        <f t="shared" si="446"/>
        <v>9</v>
      </c>
      <c r="O737">
        <v>1</v>
      </c>
      <c r="P737">
        <f t="shared" si="481"/>
        <v>3201</v>
      </c>
      <c r="Q737">
        <v>54</v>
      </c>
      <c r="R737">
        <f t="shared" si="448"/>
        <v>103</v>
      </c>
      <c r="S737">
        <v>5000</v>
      </c>
      <c r="T737">
        <f t="shared" si="466"/>
        <v>9</v>
      </c>
      <c r="U737">
        <v>1</v>
      </c>
      <c r="V737">
        <f t="shared" si="482"/>
        <v>3202</v>
      </c>
      <c r="W737">
        <v>76</v>
      </c>
      <c r="X737">
        <f t="shared" si="449"/>
        <v>111</v>
      </c>
      <c r="Y737">
        <v>5000</v>
      </c>
      <c r="Z737">
        <f t="shared" si="467"/>
        <v>9</v>
      </c>
      <c r="AA737">
        <v>1</v>
      </c>
      <c r="AB737">
        <f t="shared" si="483"/>
        <v>3201</v>
      </c>
      <c r="AC737">
        <v>72</v>
      </c>
      <c r="AD737">
        <f t="shared" si="450"/>
        <v>112</v>
      </c>
      <c r="AE737">
        <v>5000</v>
      </c>
      <c r="AF737">
        <f t="shared" si="468"/>
        <v>9</v>
      </c>
      <c r="AG737">
        <v>1</v>
      </c>
      <c r="AH737">
        <f t="shared" si="484"/>
        <v>3202</v>
      </c>
      <c r="AI737">
        <v>74</v>
      </c>
      <c r="AJ737">
        <f t="shared" si="451"/>
        <v>113</v>
      </c>
      <c r="AP737" t="str">
        <f t="shared" si="469"/>
        <v>{5000,9,1,3201,101}</v>
      </c>
      <c r="AQ737" t="str">
        <f t="shared" si="470"/>
        <v>{5000,9,1,3201,103}</v>
      </c>
      <c r="AR737" t="str">
        <f t="shared" si="471"/>
        <v>{5000,9,1,3202,111}</v>
      </c>
      <c r="AS737" t="str">
        <f t="shared" si="472"/>
        <v>{5000,9,1,3201,112}</v>
      </c>
      <c r="AT737" t="str">
        <f t="shared" si="473"/>
        <v>{5000,9,1,3202,113}</v>
      </c>
      <c r="AU737" t="str">
        <f t="shared" si="474"/>
        <v/>
      </c>
      <c r="AV737">
        <v>4221</v>
      </c>
      <c r="AW737" t="str">
        <f t="shared" si="487"/>
        <v>[{5000,9,1,3201,101},{5000,9,1,3201,103},{5000,9,1,3202,111},{5000,9,1,3201,112},{5000,9,1,3202,113}]</v>
      </c>
    </row>
    <row r="738" spans="2:49">
      <c r="B738">
        <v>4222</v>
      </c>
      <c r="C738" t="s">
        <v>58</v>
      </c>
      <c r="D738" t="str">
        <f t="shared" si="475"/>
        <v>33</v>
      </c>
      <c r="F738">
        <v>151</v>
      </c>
      <c r="G738">
        <v>5000</v>
      </c>
      <c r="H738">
        <f t="shared" si="485"/>
        <v>10</v>
      </c>
      <c r="I738">
        <v>1</v>
      </c>
      <c r="J738">
        <v>1</v>
      </c>
      <c r="K738">
        <f t="shared" si="480"/>
        <v>3201</v>
      </c>
      <c r="L738">
        <f t="shared" si="447"/>
        <v>101</v>
      </c>
      <c r="M738">
        <v>5000</v>
      </c>
      <c r="N738">
        <f t="shared" si="446"/>
        <v>10</v>
      </c>
      <c r="O738">
        <v>1</v>
      </c>
      <c r="P738">
        <f t="shared" si="481"/>
        <v>3201</v>
      </c>
      <c r="Q738">
        <v>54</v>
      </c>
      <c r="R738">
        <f t="shared" si="448"/>
        <v>102</v>
      </c>
      <c r="S738">
        <v>5000</v>
      </c>
      <c r="T738">
        <f t="shared" si="466"/>
        <v>10</v>
      </c>
      <c r="U738">
        <v>1</v>
      </c>
      <c r="V738">
        <f t="shared" si="482"/>
        <v>3202</v>
      </c>
      <c r="W738">
        <v>56</v>
      </c>
      <c r="X738">
        <f t="shared" si="449"/>
        <v>103</v>
      </c>
      <c r="Y738">
        <v>5000</v>
      </c>
      <c r="Z738">
        <f t="shared" si="467"/>
        <v>10</v>
      </c>
      <c r="AA738">
        <v>1</v>
      </c>
      <c r="AB738">
        <f t="shared" si="483"/>
        <v>3201</v>
      </c>
      <c r="AC738">
        <v>72</v>
      </c>
      <c r="AD738">
        <f t="shared" si="450"/>
        <v>113</v>
      </c>
      <c r="AE738">
        <v>5000</v>
      </c>
      <c r="AF738">
        <f t="shared" si="468"/>
        <v>10</v>
      </c>
      <c r="AG738">
        <v>1</v>
      </c>
      <c r="AH738">
        <f t="shared" si="484"/>
        <v>3202</v>
      </c>
      <c r="AI738">
        <v>74</v>
      </c>
      <c r="AJ738">
        <f t="shared" si="451"/>
        <v>111</v>
      </c>
      <c r="AP738" t="str">
        <f t="shared" si="469"/>
        <v>{5000,10,1,3201,101}</v>
      </c>
      <c r="AQ738" t="str">
        <f t="shared" si="470"/>
        <v>{5000,10,1,3201,102}</v>
      </c>
      <c r="AR738" t="str">
        <f t="shared" si="471"/>
        <v>{5000,10,1,3202,103}</v>
      </c>
      <c r="AS738" t="str">
        <f t="shared" si="472"/>
        <v>{5000,10,1,3201,113}</v>
      </c>
      <c r="AT738" t="str">
        <f t="shared" si="473"/>
        <v>{5000,10,1,3202,111}</v>
      </c>
      <c r="AU738" t="str">
        <f t="shared" si="474"/>
        <v/>
      </c>
      <c r="AV738">
        <v>4222</v>
      </c>
      <c r="AW738" t="str">
        <f t="shared" si="487"/>
        <v>[{5000,10,1,3201,101},{5000,10,1,3201,102},{5000,10,1,3202,103},{5000,10,1,3201,113},{5000,10,1,3202,111}]</v>
      </c>
    </row>
    <row r="739" spans="2:49">
      <c r="B739">
        <v>4223</v>
      </c>
      <c r="C739" t="s">
        <v>58</v>
      </c>
      <c r="D739" t="str">
        <f t="shared" si="475"/>
        <v>33</v>
      </c>
      <c r="F739">
        <v>166</v>
      </c>
      <c r="G739">
        <v>5000</v>
      </c>
      <c r="H739">
        <f t="shared" si="485"/>
        <v>11</v>
      </c>
      <c r="I739">
        <v>1</v>
      </c>
      <c r="J739">
        <v>1</v>
      </c>
      <c r="K739">
        <f t="shared" si="480"/>
        <v>3201</v>
      </c>
      <c r="L739">
        <f t="shared" si="447"/>
        <v>101</v>
      </c>
      <c r="M739">
        <v>5000</v>
      </c>
      <c r="N739">
        <f t="shared" si="446"/>
        <v>11</v>
      </c>
      <c r="O739">
        <v>1</v>
      </c>
      <c r="P739">
        <f t="shared" si="481"/>
        <v>3201</v>
      </c>
      <c r="Q739">
        <v>59</v>
      </c>
      <c r="R739">
        <f t="shared" si="448"/>
        <v>103</v>
      </c>
      <c r="S739">
        <v>5000</v>
      </c>
      <c r="T739">
        <f t="shared" si="466"/>
        <v>11</v>
      </c>
      <c r="U739">
        <v>1</v>
      </c>
      <c r="V739">
        <f t="shared" si="482"/>
        <v>3202</v>
      </c>
      <c r="W739">
        <v>79</v>
      </c>
      <c r="X739">
        <f t="shared" si="449"/>
        <v>111</v>
      </c>
      <c r="Y739">
        <v>5000</v>
      </c>
      <c r="Z739">
        <f t="shared" si="467"/>
        <v>11</v>
      </c>
      <c r="AA739">
        <v>1</v>
      </c>
      <c r="AB739">
        <f t="shared" si="483"/>
        <v>3201</v>
      </c>
      <c r="AC739">
        <v>71</v>
      </c>
      <c r="AD739">
        <f t="shared" si="450"/>
        <v>112</v>
      </c>
      <c r="AE739">
        <v>5000</v>
      </c>
      <c r="AF739">
        <f t="shared" si="468"/>
        <v>11</v>
      </c>
      <c r="AG739">
        <v>1</v>
      </c>
      <c r="AH739">
        <f t="shared" si="484"/>
        <v>3202</v>
      </c>
      <c r="AI739">
        <v>74</v>
      </c>
      <c r="AJ739">
        <f t="shared" si="451"/>
        <v>113</v>
      </c>
      <c r="AP739" t="str">
        <f t="shared" si="469"/>
        <v>{5000,11,1,3201,101}</v>
      </c>
      <c r="AQ739" t="str">
        <f t="shared" si="470"/>
        <v>{5000,11,1,3201,103}</v>
      </c>
      <c r="AR739" t="str">
        <f t="shared" si="471"/>
        <v>{5000,11,1,3202,111}</v>
      </c>
      <c r="AS739" t="str">
        <f t="shared" si="472"/>
        <v>{5000,11,1,3201,112}</v>
      </c>
      <c r="AT739" t="str">
        <f t="shared" si="473"/>
        <v>{5000,11,1,3202,113}</v>
      </c>
      <c r="AU739" t="str">
        <f t="shared" si="474"/>
        <v/>
      </c>
      <c r="AV739">
        <v>4223</v>
      </c>
      <c r="AW739" t="str">
        <f t="shared" si="487"/>
        <v>[{5000,11,1,3201,101},{5000,11,1,3201,103},{5000,11,1,3202,111},{5000,11,1,3201,112},{5000,11,1,3202,113}]</v>
      </c>
    </row>
    <row r="740" spans="2:49">
      <c r="B740">
        <v>4224</v>
      </c>
      <c r="C740" t="s">
        <v>58</v>
      </c>
      <c r="D740" t="str">
        <f t="shared" si="475"/>
        <v>33</v>
      </c>
      <c r="F740">
        <v>181</v>
      </c>
      <c r="G740">
        <v>5000</v>
      </c>
      <c r="H740">
        <f t="shared" si="485"/>
        <v>12</v>
      </c>
      <c r="I740">
        <v>1</v>
      </c>
      <c r="J740">
        <v>3</v>
      </c>
      <c r="K740">
        <f t="shared" si="480"/>
        <v>3203</v>
      </c>
      <c r="L740">
        <f t="shared" si="447"/>
        <v>101</v>
      </c>
      <c r="M740">
        <v>5000</v>
      </c>
      <c r="N740">
        <f t="shared" si="446"/>
        <v>12</v>
      </c>
      <c r="O740">
        <v>1</v>
      </c>
      <c r="P740">
        <f t="shared" si="481"/>
        <v>3203</v>
      </c>
      <c r="Q740">
        <v>53</v>
      </c>
      <c r="R740">
        <f t="shared" si="448"/>
        <v>102</v>
      </c>
      <c r="S740">
        <v>5000</v>
      </c>
      <c r="T740">
        <f t="shared" si="466"/>
        <v>12</v>
      </c>
      <c r="U740">
        <v>1</v>
      </c>
      <c r="V740">
        <f t="shared" si="482"/>
        <v>3203</v>
      </c>
      <c r="W740">
        <v>56</v>
      </c>
      <c r="X740">
        <f t="shared" si="449"/>
        <v>103</v>
      </c>
      <c r="Y740">
        <v>5000</v>
      </c>
      <c r="Z740">
        <f t="shared" si="467"/>
        <v>12</v>
      </c>
      <c r="AA740">
        <v>1</v>
      </c>
      <c r="AB740">
        <f t="shared" si="483"/>
        <v>3203</v>
      </c>
      <c r="AC740">
        <v>75</v>
      </c>
      <c r="AD740">
        <f t="shared" si="450"/>
        <v>113</v>
      </c>
      <c r="AE740">
        <v>5000</v>
      </c>
      <c r="AF740">
        <f t="shared" si="468"/>
        <v>12</v>
      </c>
      <c r="AG740">
        <v>1</v>
      </c>
      <c r="AH740">
        <f t="shared" si="484"/>
        <v>3203</v>
      </c>
      <c r="AI740">
        <v>78</v>
      </c>
      <c r="AJ740">
        <f t="shared" si="451"/>
        <v>111</v>
      </c>
      <c r="AP740" t="str">
        <f t="shared" si="469"/>
        <v>{5000,12,1,3203,101}</v>
      </c>
      <c r="AQ740" t="str">
        <f t="shared" si="470"/>
        <v>{5000,12,1,3203,102}</v>
      </c>
      <c r="AR740" t="str">
        <f t="shared" si="471"/>
        <v>{5000,12,1,3203,103}</v>
      </c>
      <c r="AS740" t="str">
        <f t="shared" si="472"/>
        <v>{5000,12,1,3203,113}</v>
      </c>
      <c r="AT740" t="str">
        <f t="shared" si="473"/>
        <v>{5000,12,1,3203,111}</v>
      </c>
      <c r="AU740" t="str">
        <f t="shared" si="474"/>
        <v/>
      </c>
      <c r="AV740">
        <v>4224</v>
      </c>
      <c r="AW740" t="str">
        <f t="shared" si="487"/>
        <v>[{5000,12,1,3203,101},{5000,12,1,3203,102},{5000,12,1,3203,103},{5000,12,1,3203,113},{5000,12,1,3203,111}]</v>
      </c>
    </row>
    <row r="741" spans="2:49">
      <c r="B741">
        <v>4225</v>
      </c>
      <c r="C741" t="s">
        <v>58</v>
      </c>
      <c r="D741" t="str">
        <f t="shared" si="475"/>
        <v>33</v>
      </c>
      <c r="F741">
        <v>196</v>
      </c>
      <c r="G741">
        <v>5000</v>
      </c>
      <c r="H741">
        <f t="shared" si="485"/>
        <v>12</v>
      </c>
      <c r="I741">
        <v>1</v>
      </c>
      <c r="J741">
        <v>2</v>
      </c>
      <c r="K741">
        <f t="shared" si="480"/>
        <v>3202</v>
      </c>
      <c r="L741">
        <f t="shared" si="447"/>
        <v>101</v>
      </c>
      <c r="M741">
        <v>5000</v>
      </c>
      <c r="N741">
        <f t="shared" si="446"/>
        <v>12</v>
      </c>
      <c r="O741">
        <v>1</v>
      </c>
      <c r="P741">
        <f t="shared" si="481"/>
        <v>3201</v>
      </c>
      <c r="Q741">
        <v>54</v>
      </c>
      <c r="R741">
        <f t="shared" si="448"/>
        <v>103</v>
      </c>
      <c r="S741">
        <v>5000</v>
      </c>
      <c r="T741">
        <f t="shared" si="466"/>
        <v>12</v>
      </c>
      <c r="U741">
        <v>1</v>
      </c>
      <c r="V741">
        <f t="shared" si="482"/>
        <v>3202</v>
      </c>
      <c r="W741">
        <v>77</v>
      </c>
      <c r="X741">
        <f t="shared" si="449"/>
        <v>111</v>
      </c>
      <c r="Y741">
        <v>5000</v>
      </c>
      <c r="Z741">
        <f t="shared" si="467"/>
        <v>12</v>
      </c>
      <c r="AA741">
        <v>1</v>
      </c>
      <c r="AB741">
        <f t="shared" si="483"/>
        <v>3201</v>
      </c>
      <c r="AC741">
        <v>72</v>
      </c>
      <c r="AD741">
        <f t="shared" si="450"/>
        <v>112</v>
      </c>
      <c r="AE741">
        <v>5000</v>
      </c>
      <c r="AF741">
        <f t="shared" si="468"/>
        <v>12</v>
      </c>
      <c r="AG741">
        <v>1</v>
      </c>
      <c r="AH741">
        <f t="shared" si="484"/>
        <v>3202</v>
      </c>
      <c r="AI741">
        <v>74</v>
      </c>
      <c r="AJ741">
        <f t="shared" si="451"/>
        <v>113</v>
      </c>
      <c r="AP741" t="str">
        <f t="shared" si="469"/>
        <v>{5000,12,1,3202,101}</v>
      </c>
      <c r="AQ741" t="str">
        <f t="shared" si="470"/>
        <v>{5000,12,1,3201,103}</v>
      </c>
      <c r="AR741" t="str">
        <f t="shared" si="471"/>
        <v>{5000,12,1,3202,111}</v>
      </c>
      <c r="AS741" t="str">
        <f t="shared" si="472"/>
        <v>{5000,12,1,3201,112}</v>
      </c>
      <c r="AT741" t="str">
        <f t="shared" si="473"/>
        <v>{5000,12,1,3202,113}</v>
      </c>
      <c r="AU741" t="str">
        <f t="shared" si="474"/>
        <v/>
      </c>
      <c r="AV741">
        <v>4225</v>
      </c>
      <c r="AW741" t="str">
        <f t="shared" si="487"/>
        <v>[{5000,12,1,3202,101},{5000,12,1,3201,103},{5000,12,1,3202,111},{5000,12,1,3201,112},{5000,12,1,3202,113}]</v>
      </c>
    </row>
    <row r="742" spans="2:48">
      <c r="B742">
        <v>4226</v>
      </c>
      <c r="C742" t="s">
        <v>58</v>
      </c>
      <c r="D742" t="str">
        <f t="shared" si="475"/>
        <v>33</v>
      </c>
      <c r="F742">
        <v>209</v>
      </c>
      <c r="H742">
        <f t="shared" si="485"/>
        <v>0</v>
      </c>
      <c r="K742" t="str">
        <f t="shared" si="480"/>
        <v/>
      </c>
      <c r="L742" t="str">
        <f t="shared" si="447"/>
        <v/>
      </c>
      <c r="N742">
        <f t="shared" ref="N742:N795" si="488">H742</f>
        <v>0</v>
      </c>
      <c r="P742" t="str">
        <f t="shared" si="481"/>
        <v/>
      </c>
      <c r="R742" t="str">
        <f t="shared" si="448"/>
        <v/>
      </c>
      <c r="T742">
        <f t="shared" si="466"/>
        <v>0</v>
      </c>
      <c r="V742" t="str">
        <f t="shared" si="482"/>
        <v/>
      </c>
      <c r="X742" t="str">
        <f t="shared" si="449"/>
        <v/>
      </c>
      <c r="Z742">
        <f t="shared" si="467"/>
        <v>0</v>
      </c>
      <c r="AB742" t="str">
        <f t="shared" si="483"/>
        <v/>
      </c>
      <c r="AD742" t="str">
        <f t="shared" si="450"/>
        <v/>
      </c>
      <c r="AF742">
        <f t="shared" si="468"/>
        <v>0</v>
      </c>
      <c r="AH742" t="str">
        <f t="shared" si="484"/>
        <v/>
      </c>
      <c r="AJ742" t="str">
        <f t="shared" si="451"/>
        <v/>
      </c>
      <c r="AP742" t="str">
        <f t="shared" si="469"/>
        <v/>
      </c>
      <c r="AQ742" t="str">
        <f t="shared" si="470"/>
        <v/>
      </c>
      <c r="AR742" t="str">
        <f t="shared" si="471"/>
        <v/>
      </c>
      <c r="AS742" t="str">
        <f t="shared" si="472"/>
        <v/>
      </c>
      <c r="AT742" t="str">
        <f t="shared" si="473"/>
        <v/>
      </c>
      <c r="AU742" t="str">
        <f t="shared" si="474"/>
        <v/>
      </c>
      <c r="AV742">
        <v>4226</v>
      </c>
    </row>
    <row r="743" spans="2:49">
      <c r="B743">
        <v>4227</v>
      </c>
      <c r="C743" t="s">
        <v>58</v>
      </c>
      <c r="D743" t="str">
        <f t="shared" si="475"/>
        <v>33</v>
      </c>
      <c r="F743">
        <v>211</v>
      </c>
      <c r="G743">
        <v>5000</v>
      </c>
      <c r="H743">
        <f t="shared" si="485"/>
        <v>11</v>
      </c>
      <c r="I743">
        <v>1</v>
      </c>
      <c r="J743">
        <v>2</v>
      </c>
      <c r="K743">
        <f t="shared" si="480"/>
        <v>3202</v>
      </c>
      <c r="L743">
        <f t="shared" ref="L743:L795" si="489">IF(L720="","",L720)</f>
        <v>101</v>
      </c>
      <c r="M743">
        <v>5000</v>
      </c>
      <c r="N743">
        <f t="shared" si="488"/>
        <v>11</v>
      </c>
      <c r="O743">
        <v>1</v>
      </c>
      <c r="P743">
        <f t="shared" si="481"/>
        <v>3201</v>
      </c>
      <c r="Q743">
        <v>51</v>
      </c>
      <c r="R743">
        <f t="shared" ref="R743:R795" si="490">IF(R720="","",R720)</f>
        <v>102</v>
      </c>
      <c r="S743">
        <v>5000</v>
      </c>
      <c r="T743">
        <f t="shared" si="466"/>
        <v>11</v>
      </c>
      <c r="U743">
        <v>1</v>
      </c>
      <c r="V743">
        <f t="shared" si="482"/>
        <v>3202</v>
      </c>
      <c r="W743">
        <v>57</v>
      </c>
      <c r="X743">
        <f t="shared" ref="X743:X795" si="491">IF(X720="","",X720)</f>
        <v>103</v>
      </c>
      <c r="Y743">
        <v>5000</v>
      </c>
      <c r="Z743">
        <f t="shared" si="467"/>
        <v>11</v>
      </c>
      <c r="AA743">
        <v>1</v>
      </c>
      <c r="AB743">
        <f t="shared" si="483"/>
        <v>3201</v>
      </c>
      <c r="AC743">
        <v>79</v>
      </c>
      <c r="AD743">
        <f t="shared" ref="AD743:AD795" si="492">IF(AD720="","",AD720)</f>
        <v>113</v>
      </c>
      <c r="AE743">
        <v>5000</v>
      </c>
      <c r="AF743">
        <f t="shared" si="468"/>
        <v>11</v>
      </c>
      <c r="AG743">
        <v>1</v>
      </c>
      <c r="AH743">
        <f t="shared" si="484"/>
        <v>3202</v>
      </c>
      <c r="AI743">
        <v>72</v>
      </c>
      <c r="AJ743">
        <f t="shared" ref="AJ743:AJ795" si="493">IF(AJ720="","",AJ720)</f>
        <v>111</v>
      </c>
      <c r="AK743">
        <v>1000</v>
      </c>
      <c r="AL743">
        <v>1</v>
      </c>
      <c r="AM743">
        <v>0</v>
      </c>
      <c r="AN743">
        <f t="shared" ref="AN743" si="494">AN720+100</f>
        <v>3231</v>
      </c>
      <c r="AO743">
        <v>4</v>
      </c>
      <c r="AP743" t="str">
        <f t="shared" si="469"/>
        <v>{5000,11,1,3202,101}</v>
      </c>
      <c r="AQ743" t="str">
        <f t="shared" si="470"/>
        <v>{5000,11,1,3201,102}</v>
      </c>
      <c r="AR743" t="str">
        <f t="shared" si="471"/>
        <v>{5000,11,1,3202,103}</v>
      </c>
      <c r="AS743" t="str">
        <f t="shared" si="472"/>
        <v>{5000,11,1,3201,113}</v>
      </c>
      <c r="AT743" t="str">
        <f t="shared" si="473"/>
        <v>{5000,11,1,3202,111}</v>
      </c>
      <c r="AU743" t="str">
        <f t="shared" si="474"/>
        <v>{1000,1,0,3231,4}</v>
      </c>
      <c r="AV743">
        <v>4227</v>
      </c>
      <c r="AW743" t="str">
        <f t="shared" ref="AW743:AW757" si="495">IF(AU743="","["&amp;_xlfn.TEXTJOIN(",",1,AP743:AT743)&amp;"]","["&amp;_xlfn.TEXTJOIN(",",1,AP743:AU743)&amp;"]")</f>
        <v>[{5000,11,1,3202,101},{5000,11,1,3201,102},{5000,11,1,3202,103},{5000,11,1,3201,113},{5000,11,1,3202,111},{1000,1,0,3231,4}]</v>
      </c>
    </row>
    <row r="744" spans="2:49">
      <c r="B744">
        <v>4228</v>
      </c>
      <c r="C744" t="s">
        <v>58</v>
      </c>
      <c r="D744" t="str">
        <f t="shared" si="475"/>
        <v>33</v>
      </c>
      <c r="F744">
        <v>226</v>
      </c>
      <c r="G744">
        <v>5000</v>
      </c>
      <c r="H744">
        <f t="shared" si="485"/>
        <v>11</v>
      </c>
      <c r="I744">
        <v>1</v>
      </c>
      <c r="J744">
        <v>2</v>
      </c>
      <c r="K744">
        <f t="shared" si="480"/>
        <v>3202</v>
      </c>
      <c r="L744">
        <f t="shared" si="489"/>
        <v>101</v>
      </c>
      <c r="M744">
        <v>5000</v>
      </c>
      <c r="N744">
        <f t="shared" si="488"/>
        <v>11</v>
      </c>
      <c r="O744">
        <v>1</v>
      </c>
      <c r="P744">
        <f t="shared" si="481"/>
        <v>3201</v>
      </c>
      <c r="Q744">
        <v>51</v>
      </c>
      <c r="R744">
        <f t="shared" si="490"/>
        <v>103</v>
      </c>
      <c r="S744">
        <v>5000</v>
      </c>
      <c r="T744">
        <f t="shared" si="466"/>
        <v>11</v>
      </c>
      <c r="U744">
        <v>1</v>
      </c>
      <c r="V744">
        <f t="shared" si="482"/>
        <v>3202</v>
      </c>
      <c r="W744">
        <v>75</v>
      </c>
      <c r="X744">
        <f t="shared" si="491"/>
        <v>111</v>
      </c>
      <c r="Y744">
        <v>5000</v>
      </c>
      <c r="Z744">
        <f t="shared" si="467"/>
        <v>11</v>
      </c>
      <c r="AA744">
        <v>1</v>
      </c>
      <c r="AB744">
        <f t="shared" si="483"/>
        <v>3201</v>
      </c>
      <c r="AC744">
        <v>71</v>
      </c>
      <c r="AD744">
        <f t="shared" si="492"/>
        <v>112</v>
      </c>
      <c r="AE744">
        <v>5000</v>
      </c>
      <c r="AF744">
        <f t="shared" si="468"/>
        <v>11</v>
      </c>
      <c r="AG744">
        <v>1</v>
      </c>
      <c r="AH744">
        <f t="shared" si="484"/>
        <v>3202</v>
      </c>
      <c r="AI744">
        <v>77</v>
      </c>
      <c r="AJ744">
        <f t="shared" si="493"/>
        <v>113</v>
      </c>
      <c r="AP744" t="str">
        <f t="shared" si="469"/>
        <v>{5000,11,1,3202,101}</v>
      </c>
      <c r="AQ744" t="str">
        <f t="shared" si="470"/>
        <v>{5000,11,1,3201,103}</v>
      </c>
      <c r="AR744" t="str">
        <f t="shared" si="471"/>
        <v>{5000,11,1,3202,111}</v>
      </c>
      <c r="AS744" t="str">
        <f t="shared" si="472"/>
        <v>{5000,11,1,3201,112}</v>
      </c>
      <c r="AT744" t="str">
        <f t="shared" si="473"/>
        <v>{5000,11,1,3202,113}</v>
      </c>
      <c r="AU744" t="str">
        <f t="shared" si="474"/>
        <v/>
      </c>
      <c r="AV744">
        <v>4228</v>
      </c>
      <c r="AW744" t="str">
        <f t="shared" si="495"/>
        <v>[{5000,11,1,3202,101},{5000,11,1,3201,103},{5000,11,1,3202,111},{5000,11,1,3201,112},{5000,11,1,3202,113}]</v>
      </c>
    </row>
    <row r="745" spans="2:49">
      <c r="B745">
        <v>4229</v>
      </c>
      <c r="C745" t="s">
        <v>58</v>
      </c>
      <c r="D745" t="str">
        <f t="shared" si="475"/>
        <v>33</v>
      </c>
      <c r="F745">
        <v>241</v>
      </c>
      <c r="G745">
        <v>5000</v>
      </c>
      <c r="H745">
        <f t="shared" si="485"/>
        <v>13</v>
      </c>
      <c r="I745">
        <v>1</v>
      </c>
      <c r="J745">
        <v>3</v>
      </c>
      <c r="K745">
        <f t="shared" si="480"/>
        <v>3203</v>
      </c>
      <c r="L745">
        <f t="shared" si="489"/>
        <v>101</v>
      </c>
      <c r="M745">
        <v>5000</v>
      </c>
      <c r="N745">
        <f t="shared" si="488"/>
        <v>13</v>
      </c>
      <c r="O745">
        <v>1</v>
      </c>
      <c r="P745">
        <f t="shared" si="481"/>
        <v>3203</v>
      </c>
      <c r="Q745">
        <v>53</v>
      </c>
      <c r="R745">
        <f t="shared" si="490"/>
        <v>102</v>
      </c>
      <c r="S745">
        <v>5000</v>
      </c>
      <c r="T745">
        <f t="shared" si="466"/>
        <v>13</v>
      </c>
      <c r="U745">
        <v>1</v>
      </c>
      <c r="V745">
        <f t="shared" si="482"/>
        <v>3203</v>
      </c>
      <c r="W745">
        <v>56</v>
      </c>
      <c r="X745">
        <f t="shared" si="491"/>
        <v>103</v>
      </c>
      <c r="Y745">
        <v>5000</v>
      </c>
      <c r="Z745">
        <f t="shared" si="467"/>
        <v>13</v>
      </c>
      <c r="AA745">
        <v>1</v>
      </c>
      <c r="AB745">
        <f t="shared" si="483"/>
        <v>3203</v>
      </c>
      <c r="AC745">
        <v>74</v>
      </c>
      <c r="AD745">
        <f t="shared" si="492"/>
        <v>113</v>
      </c>
      <c r="AE745">
        <v>5000</v>
      </c>
      <c r="AF745">
        <f t="shared" si="468"/>
        <v>13</v>
      </c>
      <c r="AG745">
        <v>1</v>
      </c>
      <c r="AH745">
        <f t="shared" si="484"/>
        <v>3203</v>
      </c>
      <c r="AI745">
        <v>78</v>
      </c>
      <c r="AJ745">
        <f t="shared" si="493"/>
        <v>111</v>
      </c>
      <c r="AP745" t="str">
        <f t="shared" si="469"/>
        <v>{5000,13,1,3203,101}</v>
      </c>
      <c r="AQ745" t="str">
        <f t="shared" si="470"/>
        <v>{5000,13,1,3203,102}</v>
      </c>
      <c r="AR745" t="str">
        <f t="shared" si="471"/>
        <v>{5000,13,1,3203,103}</v>
      </c>
      <c r="AS745" t="str">
        <f t="shared" si="472"/>
        <v>{5000,13,1,3203,113}</v>
      </c>
      <c r="AT745" t="str">
        <f t="shared" si="473"/>
        <v>{5000,13,1,3203,111}</v>
      </c>
      <c r="AU745" t="str">
        <f t="shared" si="474"/>
        <v/>
      </c>
      <c r="AV745">
        <v>4229</v>
      </c>
      <c r="AW745" t="str">
        <f t="shared" si="495"/>
        <v>[{5000,13,1,3203,101},{5000,13,1,3203,102},{5000,13,1,3203,103},{5000,13,1,3203,113},{5000,13,1,3203,111}]</v>
      </c>
    </row>
    <row r="746" spans="2:49">
      <c r="B746">
        <v>4230</v>
      </c>
      <c r="C746" t="s">
        <v>58</v>
      </c>
      <c r="D746" t="str">
        <f t="shared" si="475"/>
        <v>33</v>
      </c>
      <c r="F746">
        <v>256</v>
      </c>
      <c r="G746">
        <v>5000</v>
      </c>
      <c r="H746">
        <f t="shared" si="485"/>
        <v>12</v>
      </c>
      <c r="I746">
        <v>1</v>
      </c>
      <c r="J746">
        <v>2</v>
      </c>
      <c r="K746">
        <f t="shared" si="480"/>
        <v>3202</v>
      </c>
      <c r="L746">
        <f t="shared" si="489"/>
        <v>101</v>
      </c>
      <c r="M746">
        <v>5000</v>
      </c>
      <c r="N746">
        <f t="shared" si="488"/>
        <v>12</v>
      </c>
      <c r="O746">
        <v>1</v>
      </c>
      <c r="P746">
        <f t="shared" si="481"/>
        <v>3202</v>
      </c>
      <c r="Q746">
        <v>59</v>
      </c>
      <c r="R746">
        <f t="shared" si="490"/>
        <v>103</v>
      </c>
      <c r="S746">
        <v>5000</v>
      </c>
      <c r="T746">
        <f t="shared" si="466"/>
        <v>12</v>
      </c>
      <c r="U746">
        <v>1</v>
      </c>
      <c r="V746">
        <f t="shared" si="482"/>
        <v>3202</v>
      </c>
      <c r="W746">
        <v>79</v>
      </c>
      <c r="X746">
        <f t="shared" si="491"/>
        <v>111</v>
      </c>
      <c r="Y746">
        <v>5000</v>
      </c>
      <c r="Z746">
        <f t="shared" si="467"/>
        <v>12</v>
      </c>
      <c r="AA746">
        <v>1</v>
      </c>
      <c r="AB746">
        <f t="shared" si="483"/>
        <v>3201</v>
      </c>
      <c r="AC746">
        <v>72</v>
      </c>
      <c r="AD746">
        <f t="shared" si="492"/>
        <v>112</v>
      </c>
      <c r="AE746">
        <v>5000</v>
      </c>
      <c r="AF746">
        <f t="shared" si="468"/>
        <v>12</v>
      </c>
      <c r="AG746">
        <v>1</v>
      </c>
      <c r="AH746">
        <f t="shared" si="484"/>
        <v>3202</v>
      </c>
      <c r="AI746">
        <v>74</v>
      </c>
      <c r="AJ746">
        <f t="shared" si="493"/>
        <v>113</v>
      </c>
      <c r="AP746" t="str">
        <f t="shared" si="469"/>
        <v>{5000,12,1,3202,101}</v>
      </c>
      <c r="AQ746" t="str">
        <f t="shared" si="470"/>
        <v>{5000,12,1,3202,103}</v>
      </c>
      <c r="AR746" t="str">
        <f t="shared" si="471"/>
        <v>{5000,12,1,3202,111}</v>
      </c>
      <c r="AS746" t="str">
        <f t="shared" si="472"/>
        <v>{5000,12,1,3201,112}</v>
      </c>
      <c r="AT746" t="str">
        <f t="shared" si="473"/>
        <v>{5000,12,1,3202,113}</v>
      </c>
      <c r="AU746" t="str">
        <f t="shared" si="474"/>
        <v/>
      </c>
      <c r="AV746">
        <v>4230</v>
      </c>
      <c r="AW746" t="str">
        <f t="shared" si="495"/>
        <v>[{5000,12,1,3202,101},{5000,12,1,3202,103},{5000,12,1,3202,111},{5000,12,1,3201,112},{5000,12,1,3202,113}]</v>
      </c>
    </row>
    <row r="747" spans="2:49">
      <c r="B747">
        <v>4231</v>
      </c>
      <c r="C747" t="s">
        <v>58</v>
      </c>
      <c r="D747" t="str">
        <f t="shared" si="475"/>
        <v>33</v>
      </c>
      <c r="F747">
        <v>271</v>
      </c>
      <c r="G747">
        <v>5000</v>
      </c>
      <c r="H747">
        <f t="shared" si="485"/>
        <v>13</v>
      </c>
      <c r="I747">
        <v>1</v>
      </c>
      <c r="J747">
        <v>2</v>
      </c>
      <c r="K747">
        <f t="shared" si="480"/>
        <v>3202</v>
      </c>
      <c r="L747">
        <f t="shared" si="489"/>
        <v>101</v>
      </c>
      <c r="M747">
        <v>5000</v>
      </c>
      <c r="N747">
        <f t="shared" si="488"/>
        <v>13</v>
      </c>
      <c r="O747">
        <v>1</v>
      </c>
      <c r="P747">
        <f t="shared" si="481"/>
        <v>3202</v>
      </c>
      <c r="Q747">
        <v>54</v>
      </c>
      <c r="R747">
        <f t="shared" si="490"/>
        <v>102</v>
      </c>
      <c r="S747">
        <v>5000</v>
      </c>
      <c r="T747">
        <f t="shared" si="466"/>
        <v>13</v>
      </c>
      <c r="U747">
        <v>1</v>
      </c>
      <c r="V747">
        <f t="shared" si="482"/>
        <v>3202</v>
      </c>
      <c r="W747">
        <v>56</v>
      </c>
      <c r="X747">
        <f t="shared" si="491"/>
        <v>103</v>
      </c>
      <c r="Y747">
        <v>5000</v>
      </c>
      <c r="Z747">
        <f t="shared" si="467"/>
        <v>13</v>
      </c>
      <c r="AA747">
        <v>1</v>
      </c>
      <c r="AB747">
        <f t="shared" si="483"/>
        <v>3202</v>
      </c>
      <c r="AC747">
        <v>73</v>
      </c>
      <c r="AD747">
        <f t="shared" si="492"/>
        <v>113</v>
      </c>
      <c r="AE747">
        <v>5000</v>
      </c>
      <c r="AF747">
        <f t="shared" si="468"/>
        <v>13</v>
      </c>
      <c r="AG747">
        <v>1</v>
      </c>
      <c r="AH747">
        <f t="shared" si="484"/>
        <v>3202</v>
      </c>
      <c r="AI747">
        <v>75</v>
      </c>
      <c r="AJ747">
        <f t="shared" si="493"/>
        <v>111</v>
      </c>
      <c r="AP747" t="str">
        <f t="shared" si="469"/>
        <v>{5000,13,1,3202,101}</v>
      </c>
      <c r="AQ747" t="str">
        <f t="shared" si="470"/>
        <v>{5000,13,1,3202,102}</v>
      </c>
      <c r="AR747" t="str">
        <f t="shared" si="471"/>
        <v>{5000,13,1,3202,103}</v>
      </c>
      <c r="AS747" t="str">
        <f t="shared" si="472"/>
        <v>{5000,13,1,3202,113}</v>
      </c>
      <c r="AT747" t="str">
        <f t="shared" si="473"/>
        <v>{5000,13,1,3202,111}</v>
      </c>
      <c r="AU747" t="str">
        <f t="shared" si="474"/>
        <v/>
      </c>
      <c r="AV747">
        <v>4231</v>
      </c>
      <c r="AW747" t="str">
        <f t="shared" si="495"/>
        <v>[{5000,13,1,3202,101},{5000,13,1,3202,102},{5000,13,1,3202,103},{5000,13,1,3202,113},{5000,13,1,3202,111}]</v>
      </c>
    </row>
    <row r="748" spans="2:49">
      <c r="B748">
        <v>4232</v>
      </c>
      <c r="C748" t="s">
        <v>58</v>
      </c>
      <c r="D748" t="str">
        <f t="shared" si="475"/>
        <v>33</v>
      </c>
      <c r="F748">
        <v>286</v>
      </c>
      <c r="G748">
        <v>5000</v>
      </c>
      <c r="H748">
        <f t="shared" si="485"/>
        <v>13</v>
      </c>
      <c r="I748">
        <v>1</v>
      </c>
      <c r="J748">
        <v>2</v>
      </c>
      <c r="K748">
        <f t="shared" si="480"/>
        <v>3202</v>
      </c>
      <c r="L748">
        <f t="shared" si="489"/>
        <v>101</v>
      </c>
      <c r="M748">
        <v>5000</v>
      </c>
      <c r="N748">
        <f t="shared" si="488"/>
        <v>13</v>
      </c>
      <c r="O748">
        <v>1</v>
      </c>
      <c r="P748">
        <f t="shared" si="481"/>
        <v>3202</v>
      </c>
      <c r="Q748">
        <v>53</v>
      </c>
      <c r="R748">
        <f t="shared" si="490"/>
        <v>103</v>
      </c>
      <c r="S748">
        <v>5000</v>
      </c>
      <c r="T748">
        <f t="shared" si="466"/>
        <v>13</v>
      </c>
      <c r="U748">
        <v>1</v>
      </c>
      <c r="V748">
        <f t="shared" si="482"/>
        <v>3202</v>
      </c>
      <c r="W748">
        <v>59</v>
      </c>
      <c r="X748">
        <f t="shared" si="491"/>
        <v>111</v>
      </c>
      <c r="Y748">
        <v>5000</v>
      </c>
      <c r="Z748">
        <f t="shared" si="467"/>
        <v>13</v>
      </c>
      <c r="AA748">
        <v>1</v>
      </c>
      <c r="AB748">
        <f t="shared" si="483"/>
        <v>3202</v>
      </c>
      <c r="AC748">
        <v>71</v>
      </c>
      <c r="AD748">
        <f t="shared" si="492"/>
        <v>112</v>
      </c>
      <c r="AE748">
        <v>5000</v>
      </c>
      <c r="AF748">
        <f t="shared" si="468"/>
        <v>13</v>
      </c>
      <c r="AG748">
        <v>1</v>
      </c>
      <c r="AH748">
        <f t="shared" si="484"/>
        <v>3202</v>
      </c>
      <c r="AI748">
        <v>77</v>
      </c>
      <c r="AJ748">
        <f t="shared" si="493"/>
        <v>113</v>
      </c>
      <c r="AP748" t="str">
        <f t="shared" si="469"/>
        <v>{5000,13,1,3202,101}</v>
      </c>
      <c r="AQ748" t="str">
        <f t="shared" si="470"/>
        <v>{5000,13,1,3202,103}</v>
      </c>
      <c r="AR748" t="str">
        <f t="shared" si="471"/>
        <v>{5000,13,1,3202,111}</v>
      </c>
      <c r="AS748" t="str">
        <f t="shared" si="472"/>
        <v>{5000,13,1,3202,112}</v>
      </c>
      <c r="AT748" t="str">
        <f t="shared" si="473"/>
        <v>{5000,13,1,3202,113}</v>
      </c>
      <c r="AU748" t="str">
        <f t="shared" si="474"/>
        <v/>
      </c>
      <c r="AV748">
        <v>4232</v>
      </c>
      <c r="AW748" t="str">
        <f t="shared" si="495"/>
        <v>[{5000,13,1,3202,101},{5000,13,1,3202,103},{5000,13,1,3202,111},{5000,13,1,3202,112},{5000,13,1,3202,113}]</v>
      </c>
    </row>
    <row r="749" spans="2:49">
      <c r="B749">
        <v>4233</v>
      </c>
      <c r="C749" t="s">
        <v>58</v>
      </c>
      <c r="D749" t="str">
        <f t="shared" si="475"/>
        <v>33</v>
      </c>
      <c r="F749">
        <v>290</v>
      </c>
      <c r="G749">
        <v>5000</v>
      </c>
      <c r="H749">
        <f t="shared" si="485"/>
        <v>13</v>
      </c>
      <c r="I749">
        <v>1</v>
      </c>
      <c r="J749">
        <v>2</v>
      </c>
      <c r="K749">
        <f t="shared" si="480"/>
        <v>3202</v>
      </c>
      <c r="L749">
        <f t="shared" si="489"/>
        <v>101</v>
      </c>
      <c r="M749">
        <v>5000</v>
      </c>
      <c r="N749">
        <f t="shared" si="488"/>
        <v>13</v>
      </c>
      <c r="O749">
        <v>1</v>
      </c>
      <c r="P749">
        <f t="shared" si="481"/>
        <v>3202</v>
      </c>
      <c r="Q749">
        <v>56</v>
      </c>
      <c r="R749">
        <f t="shared" si="490"/>
        <v>102</v>
      </c>
      <c r="S749">
        <v>5000</v>
      </c>
      <c r="T749">
        <f t="shared" si="466"/>
        <v>13</v>
      </c>
      <c r="U749">
        <v>1</v>
      </c>
      <c r="V749">
        <f t="shared" si="482"/>
        <v>3201</v>
      </c>
      <c r="W749">
        <v>77</v>
      </c>
      <c r="X749">
        <f t="shared" si="491"/>
        <v>103</v>
      </c>
      <c r="Y749">
        <v>5000</v>
      </c>
      <c r="Z749">
        <f t="shared" si="467"/>
        <v>13</v>
      </c>
      <c r="AA749">
        <v>1</v>
      </c>
      <c r="AB749">
        <f t="shared" si="483"/>
        <v>3202</v>
      </c>
      <c r="AC749">
        <v>72</v>
      </c>
      <c r="AD749">
        <f t="shared" si="492"/>
        <v>113</v>
      </c>
      <c r="AE749">
        <v>5000</v>
      </c>
      <c r="AF749">
        <f t="shared" si="468"/>
        <v>13</v>
      </c>
      <c r="AG749">
        <v>1</v>
      </c>
      <c r="AH749">
        <f t="shared" si="484"/>
        <v>3202</v>
      </c>
      <c r="AI749">
        <v>74</v>
      </c>
      <c r="AJ749">
        <f t="shared" si="493"/>
        <v>111</v>
      </c>
      <c r="AP749" t="str">
        <f t="shared" si="469"/>
        <v>{5000,13,1,3202,101}</v>
      </c>
      <c r="AQ749" t="str">
        <f t="shared" si="470"/>
        <v>{5000,13,1,3202,102}</v>
      </c>
      <c r="AR749" t="str">
        <f t="shared" si="471"/>
        <v>{5000,13,1,3201,103}</v>
      </c>
      <c r="AS749" t="str">
        <f t="shared" si="472"/>
        <v>{5000,13,1,3202,113}</v>
      </c>
      <c r="AT749" t="str">
        <f t="shared" si="473"/>
        <v>{5000,13,1,3202,111}</v>
      </c>
      <c r="AU749" t="str">
        <f t="shared" si="474"/>
        <v/>
      </c>
      <c r="AV749">
        <v>4233</v>
      </c>
      <c r="AW749" t="str">
        <f t="shared" si="495"/>
        <v>[{5000,13,1,3202,101},{5000,13,1,3202,102},{5000,13,1,3201,103},{5000,13,1,3202,113},{5000,13,1,3202,111}]</v>
      </c>
    </row>
    <row r="750" spans="2:49">
      <c r="B750">
        <v>4311</v>
      </c>
      <c r="C750" t="s">
        <v>59</v>
      </c>
      <c r="D750" s="4" t="str">
        <f t="shared" si="475"/>
        <v>34</v>
      </c>
      <c r="E750" s="4"/>
      <c r="F750">
        <v>1</v>
      </c>
      <c r="G750">
        <v>5000</v>
      </c>
      <c r="H750">
        <f t="shared" si="485"/>
        <v>3</v>
      </c>
      <c r="I750">
        <v>1</v>
      </c>
      <c r="J750">
        <v>1</v>
      </c>
      <c r="K750">
        <f t="shared" si="480"/>
        <v>3301</v>
      </c>
      <c r="L750">
        <f t="shared" si="489"/>
        <v>101</v>
      </c>
      <c r="M750">
        <v>5000</v>
      </c>
      <c r="N750">
        <f t="shared" si="488"/>
        <v>3</v>
      </c>
      <c r="O750">
        <v>1</v>
      </c>
      <c r="P750">
        <f t="shared" si="481"/>
        <v>3301</v>
      </c>
      <c r="Q750">
        <v>55</v>
      </c>
      <c r="R750">
        <f t="shared" si="490"/>
        <v>102</v>
      </c>
      <c r="S750">
        <v>5000</v>
      </c>
      <c r="T750">
        <f t="shared" si="466"/>
        <v>3</v>
      </c>
      <c r="U750">
        <v>1</v>
      </c>
      <c r="V750">
        <f t="shared" si="482"/>
        <v>3301</v>
      </c>
      <c r="W750">
        <v>60</v>
      </c>
      <c r="X750">
        <f t="shared" si="491"/>
        <v>103</v>
      </c>
      <c r="Y750">
        <v>5000</v>
      </c>
      <c r="Z750">
        <f t="shared" si="467"/>
        <v>3</v>
      </c>
      <c r="AA750">
        <v>1</v>
      </c>
      <c r="AB750">
        <f t="shared" si="483"/>
        <v>3301</v>
      </c>
      <c r="AC750">
        <v>71</v>
      </c>
      <c r="AD750">
        <f t="shared" si="492"/>
        <v>113</v>
      </c>
      <c r="AE750">
        <v>5000</v>
      </c>
      <c r="AF750">
        <f t="shared" si="468"/>
        <v>3</v>
      </c>
      <c r="AG750">
        <v>1</v>
      </c>
      <c r="AH750">
        <f t="shared" si="484"/>
        <v>3301</v>
      </c>
      <c r="AI750">
        <v>76</v>
      </c>
      <c r="AJ750">
        <f t="shared" si="493"/>
        <v>111</v>
      </c>
      <c r="AP750" t="str">
        <f t="shared" si="469"/>
        <v>{5000,3,1,3301,101}</v>
      </c>
      <c r="AQ750" t="str">
        <f t="shared" si="470"/>
        <v>{5000,3,1,3301,102}</v>
      </c>
      <c r="AR750" t="str">
        <f t="shared" si="471"/>
        <v>{5000,3,1,3301,103}</v>
      </c>
      <c r="AS750" t="str">
        <f t="shared" si="472"/>
        <v>{5000,3,1,3301,113}</v>
      </c>
      <c r="AT750" t="str">
        <f t="shared" si="473"/>
        <v>{5000,3,1,3301,111}</v>
      </c>
      <c r="AU750" t="str">
        <f t="shared" si="474"/>
        <v/>
      </c>
      <c r="AV750">
        <v>4311</v>
      </c>
      <c r="AW750" t="str">
        <f t="shared" si="495"/>
        <v>[{5000,3,1,3301,101},{5000,3,1,3301,102},{5000,3,1,3301,103},{5000,3,1,3301,113},{5000,3,1,3301,111}]</v>
      </c>
    </row>
    <row r="751" spans="2:49">
      <c r="B751">
        <v>4312</v>
      </c>
      <c r="C751" t="s">
        <v>59</v>
      </c>
      <c r="D751" t="str">
        <f t="shared" si="475"/>
        <v>34</v>
      </c>
      <c r="F751">
        <v>16</v>
      </c>
      <c r="G751">
        <v>5000</v>
      </c>
      <c r="H751">
        <f t="shared" si="485"/>
        <v>3</v>
      </c>
      <c r="I751">
        <v>1</v>
      </c>
      <c r="J751">
        <v>1</v>
      </c>
      <c r="K751">
        <f t="shared" ref="K751:K773" si="496">IF($J751="","",K728+100)</f>
        <v>3301</v>
      </c>
      <c r="L751">
        <f t="shared" si="489"/>
        <v>101</v>
      </c>
      <c r="M751">
        <v>5000</v>
      </c>
      <c r="N751">
        <f t="shared" si="488"/>
        <v>3</v>
      </c>
      <c r="O751">
        <v>1</v>
      </c>
      <c r="P751">
        <f t="shared" ref="P751:P773" si="497">IF($J751="","",P728+100)</f>
        <v>3301</v>
      </c>
      <c r="Q751">
        <v>55</v>
      </c>
      <c r="R751">
        <f t="shared" si="490"/>
        <v>103</v>
      </c>
      <c r="S751">
        <v>5000</v>
      </c>
      <c r="T751">
        <f t="shared" si="466"/>
        <v>3</v>
      </c>
      <c r="U751">
        <v>1</v>
      </c>
      <c r="V751">
        <f t="shared" ref="V751:V773" si="498">IF($J751="","",V728+100)</f>
        <v>3301</v>
      </c>
      <c r="W751">
        <v>75</v>
      </c>
      <c r="X751">
        <f t="shared" si="491"/>
        <v>111</v>
      </c>
      <c r="Y751">
        <v>5000</v>
      </c>
      <c r="Z751">
        <f t="shared" si="467"/>
        <v>3</v>
      </c>
      <c r="AA751">
        <v>1</v>
      </c>
      <c r="AB751">
        <f t="shared" ref="AB751:AB773" si="499">IF($J751="","",AB728+100)</f>
        <v>3301</v>
      </c>
      <c r="AC751">
        <v>73</v>
      </c>
      <c r="AD751">
        <f t="shared" si="492"/>
        <v>112</v>
      </c>
      <c r="AE751">
        <v>5000</v>
      </c>
      <c r="AF751">
        <f t="shared" si="468"/>
        <v>3</v>
      </c>
      <c r="AG751">
        <v>1</v>
      </c>
      <c r="AH751">
        <f t="shared" ref="AH751:AH773" si="500">IF($J751="","",AH728+100)</f>
        <v>3301</v>
      </c>
      <c r="AI751">
        <v>78</v>
      </c>
      <c r="AJ751">
        <f t="shared" si="493"/>
        <v>113</v>
      </c>
      <c r="AP751" t="str">
        <f t="shared" si="469"/>
        <v>{5000,3,1,3301,101}</v>
      </c>
      <c r="AQ751" t="str">
        <f t="shared" si="470"/>
        <v>{5000,3,1,3301,103}</v>
      </c>
      <c r="AR751" t="str">
        <f t="shared" si="471"/>
        <v>{5000,3,1,3301,111}</v>
      </c>
      <c r="AS751" t="str">
        <f t="shared" si="472"/>
        <v>{5000,3,1,3301,112}</v>
      </c>
      <c r="AT751" t="str">
        <f t="shared" si="473"/>
        <v>{5000,3,1,3301,113}</v>
      </c>
      <c r="AU751" t="str">
        <f t="shared" si="474"/>
        <v/>
      </c>
      <c r="AV751">
        <v>4312</v>
      </c>
      <c r="AW751" t="str">
        <f t="shared" si="495"/>
        <v>[{5000,3,1,3301,101},{5000,3,1,3301,103},{5000,3,1,3301,111},{5000,3,1,3301,112},{5000,3,1,3301,113}]</v>
      </c>
    </row>
    <row r="752" spans="2:49">
      <c r="B752">
        <v>4313</v>
      </c>
      <c r="C752" t="s">
        <v>59</v>
      </c>
      <c r="D752" t="str">
        <f t="shared" si="475"/>
        <v>34</v>
      </c>
      <c r="F752">
        <v>31</v>
      </c>
      <c r="G752">
        <v>5000</v>
      </c>
      <c r="H752">
        <f t="shared" si="485"/>
        <v>6</v>
      </c>
      <c r="I752">
        <v>1</v>
      </c>
      <c r="J752">
        <v>1</v>
      </c>
      <c r="K752">
        <f t="shared" si="496"/>
        <v>3301</v>
      </c>
      <c r="L752">
        <f t="shared" si="489"/>
        <v>101</v>
      </c>
      <c r="M752">
        <v>5000</v>
      </c>
      <c r="N752">
        <f t="shared" si="488"/>
        <v>6</v>
      </c>
      <c r="O752">
        <v>1</v>
      </c>
      <c r="P752">
        <f t="shared" si="497"/>
        <v>3301</v>
      </c>
      <c r="Q752">
        <v>55</v>
      </c>
      <c r="R752">
        <f t="shared" si="490"/>
        <v>102</v>
      </c>
      <c r="S752">
        <v>5000</v>
      </c>
      <c r="T752">
        <f t="shared" si="466"/>
        <v>6</v>
      </c>
      <c r="U752">
        <v>1</v>
      </c>
      <c r="V752">
        <f t="shared" si="498"/>
        <v>3301</v>
      </c>
      <c r="W752">
        <v>58</v>
      </c>
      <c r="X752">
        <f t="shared" si="491"/>
        <v>103</v>
      </c>
      <c r="Y752">
        <v>5000</v>
      </c>
      <c r="Z752">
        <f t="shared" si="467"/>
        <v>6</v>
      </c>
      <c r="AA752">
        <v>1</v>
      </c>
      <c r="AB752">
        <f t="shared" si="499"/>
        <v>3301</v>
      </c>
      <c r="AC752">
        <v>76</v>
      </c>
      <c r="AD752">
        <f t="shared" si="492"/>
        <v>113</v>
      </c>
      <c r="AE752">
        <v>5000</v>
      </c>
      <c r="AF752">
        <f t="shared" si="468"/>
        <v>6</v>
      </c>
      <c r="AG752">
        <v>1</v>
      </c>
      <c r="AH752">
        <f t="shared" si="500"/>
        <v>3301</v>
      </c>
      <c r="AI752">
        <v>79</v>
      </c>
      <c r="AJ752">
        <f t="shared" si="493"/>
        <v>111</v>
      </c>
      <c r="AP752" t="str">
        <f t="shared" si="469"/>
        <v>{5000,6,1,3301,101}</v>
      </c>
      <c r="AQ752" t="str">
        <f t="shared" si="470"/>
        <v>{5000,6,1,3301,102}</v>
      </c>
      <c r="AR752" t="str">
        <f t="shared" si="471"/>
        <v>{5000,6,1,3301,103}</v>
      </c>
      <c r="AS752" t="str">
        <f t="shared" si="472"/>
        <v>{5000,6,1,3301,113}</v>
      </c>
      <c r="AT752" t="str">
        <f t="shared" si="473"/>
        <v>{5000,6,1,3301,111}</v>
      </c>
      <c r="AU752" t="str">
        <f t="shared" si="474"/>
        <v/>
      </c>
      <c r="AV752">
        <v>4313</v>
      </c>
      <c r="AW752" t="str">
        <f t="shared" si="495"/>
        <v>[{5000,6,1,3301,101},{5000,6,1,3301,102},{5000,6,1,3301,103},{5000,6,1,3301,113},{5000,6,1,3301,111}]</v>
      </c>
    </row>
    <row r="753" spans="2:49">
      <c r="B753">
        <v>4314</v>
      </c>
      <c r="C753" t="s">
        <v>59</v>
      </c>
      <c r="D753" t="str">
        <f t="shared" si="475"/>
        <v>34</v>
      </c>
      <c r="F753">
        <v>46</v>
      </c>
      <c r="G753">
        <v>5000</v>
      </c>
      <c r="H753">
        <f t="shared" si="485"/>
        <v>6</v>
      </c>
      <c r="I753">
        <v>1</v>
      </c>
      <c r="J753">
        <v>1</v>
      </c>
      <c r="K753">
        <f t="shared" si="496"/>
        <v>3301</v>
      </c>
      <c r="L753">
        <f t="shared" si="489"/>
        <v>101</v>
      </c>
      <c r="M753">
        <v>5000</v>
      </c>
      <c r="N753">
        <f t="shared" si="488"/>
        <v>6</v>
      </c>
      <c r="O753">
        <v>1</v>
      </c>
      <c r="P753">
        <f t="shared" si="497"/>
        <v>3301</v>
      </c>
      <c r="Q753">
        <v>55</v>
      </c>
      <c r="R753">
        <f t="shared" si="490"/>
        <v>103</v>
      </c>
      <c r="S753">
        <v>5000</v>
      </c>
      <c r="T753">
        <f t="shared" si="466"/>
        <v>6</v>
      </c>
      <c r="U753">
        <v>1</v>
      </c>
      <c r="V753">
        <f t="shared" si="498"/>
        <v>3302</v>
      </c>
      <c r="W753">
        <v>76</v>
      </c>
      <c r="X753">
        <f t="shared" si="491"/>
        <v>111</v>
      </c>
      <c r="Y753">
        <v>5000</v>
      </c>
      <c r="Z753">
        <f t="shared" si="467"/>
        <v>6</v>
      </c>
      <c r="AA753">
        <v>1</v>
      </c>
      <c r="AB753">
        <f t="shared" si="499"/>
        <v>3301</v>
      </c>
      <c r="AC753">
        <v>71</v>
      </c>
      <c r="AD753">
        <f t="shared" si="492"/>
        <v>112</v>
      </c>
      <c r="AE753">
        <v>5000</v>
      </c>
      <c r="AF753">
        <f t="shared" si="468"/>
        <v>6</v>
      </c>
      <c r="AG753">
        <v>1</v>
      </c>
      <c r="AH753">
        <f t="shared" si="500"/>
        <v>3301</v>
      </c>
      <c r="AI753">
        <v>71</v>
      </c>
      <c r="AJ753">
        <f t="shared" si="493"/>
        <v>113</v>
      </c>
      <c r="AP753" t="str">
        <f t="shared" si="469"/>
        <v>{5000,6,1,3301,101}</v>
      </c>
      <c r="AQ753" t="str">
        <f t="shared" si="470"/>
        <v>{5000,6,1,3301,103}</v>
      </c>
      <c r="AR753" t="str">
        <f t="shared" si="471"/>
        <v>{5000,6,1,3302,111}</v>
      </c>
      <c r="AS753" t="str">
        <f t="shared" si="472"/>
        <v>{5000,6,1,3301,112}</v>
      </c>
      <c r="AT753" t="str">
        <f t="shared" si="473"/>
        <v>{5000,6,1,3301,113}</v>
      </c>
      <c r="AU753" t="str">
        <f t="shared" si="474"/>
        <v/>
      </c>
      <c r="AV753">
        <v>4314</v>
      </c>
      <c r="AW753" t="str">
        <f t="shared" si="495"/>
        <v>[{5000,6,1,3301,101},{5000,6,1,3301,103},{5000,6,1,3302,111},{5000,6,1,3301,112},{5000,6,1,3301,113}]</v>
      </c>
    </row>
    <row r="754" spans="2:49">
      <c r="B754">
        <v>4315</v>
      </c>
      <c r="C754" t="s">
        <v>59</v>
      </c>
      <c r="D754" t="str">
        <f t="shared" si="475"/>
        <v>34</v>
      </c>
      <c r="F754">
        <v>61</v>
      </c>
      <c r="G754">
        <v>5000</v>
      </c>
      <c r="H754">
        <f t="shared" si="485"/>
        <v>8</v>
      </c>
      <c r="I754">
        <v>1</v>
      </c>
      <c r="J754">
        <v>3</v>
      </c>
      <c r="K754">
        <f t="shared" si="496"/>
        <v>3303</v>
      </c>
      <c r="L754">
        <f t="shared" si="489"/>
        <v>101</v>
      </c>
      <c r="M754">
        <v>5000</v>
      </c>
      <c r="N754">
        <f t="shared" si="488"/>
        <v>8</v>
      </c>
      <c r="O754">
        <v>1</v>
      </c>
      <c r="P754">
        <f t="shared" si="497"/>
        <v>3303</v>
      </c>
      <c r="Q754">
        <v>56</v>
      </c>
      <c r="R754">
        <f t="shared" si="490"/>
        <v>102</v>
      </c>
      <c r="S754">
        <v>5000</v>
      </c>
      <c r="T754">
        <f t="shared" si="466"/>
        <v>8</v>
      </c>
      <c r="U754">
        <v>1</v>
      </c>
      <c r="V754">
        <f t="shared" si="498"/>
        <v>3303</v>
      </c>
      <c r="W754">
        <v>57</v>
      </c>
      <c r="X754">
        <f t="shared" si="491"/>
        <v>103</v>
      </c>
      <c r="Y754">
        <v>5000</v>
      </c>
      <c r="Z754">
        <f t="shared" si="467"/>
        <v>8</v>
      </c>
      <c r="AA754">
        <v>1</v>
      </c>
      <c r="AB754">
        <f t="shared" si="499"/>
        <v>3303</v>
      </c>
      <c r="AC754">
        <v>72</v>
      </c>
      <c r="AD754">
        <f t="shared" si="492"/>
        <v>113</v>
      </c>
      <c r="AE754">
        <v>5000</v>
      </c>
      <c r="AF754">
        <f t="shared" si="468"/>
        <v>8</v>
      </c>
      <c r="AG754">
        <v>1</v>
      </c>
      <c r="AH754">
        <f t="shared" si="500"/>
        <v>3303</v>
      </c>
      <c r="AI754">
        <v>71</v>
      </c>
      <c r="AJ754">
        <f t="shared" si="493"/>
        <v>111</v>
      </c>
      <c r="AP754" t="str">
        <f t="shared" si="469"/>
        <v>{5000,8,1,3303,101}</v>
      </c>
      <c r="AQ754" t="str">
        <f t="shared" si="470"/>
        <v>{5000,8,1,3303,102}</v>
      </c>
      <c r="AR754" t="str">
        <f t="shared" si="471"/>
        <v>{5000,8,1,3303,103}</v>
      </c>
      <c r="AS754" t="str">
        <f t="shared" si="472"/>
        <v>{5000,8,1,3303,113}</v>
      </c>
      <c r="AT754" t="str">
        <f t="shared" si="473"/>
        <v>{5000,8,1,3303,111}</v>
      </c>
      <c r="AU754" t="str">
        <f t="shared" si="474"/>
        <v/>
      </c>
      <c r="AV754">
        <v>4315</v>
      </c>
      <c r="AW754" t="str">
        <f t="shared" si="495"/>
        <v>[{5000,8,1,3303,101},{5000,8,1,3303,102},{5000,8,1,3303,103},{5000,8,1,3303,113},{5000,8,1,3303,111}]</v>
      </c>
    </row>
    <row r="755" spans="2:49">
      <c r="B755">
        <v>4316</v>
      </c>
      <c r="C755" t="s">
        <v>59</v>
      </c>
      <c r="D755" t="str">
        <f t="shared" si="475"/>
        <v>34</v>
      </c>
      <c r="F755">
        <v>76</v>
      </c>
      <c r="G755">
        <v>5000</v>
      </c>
      <c r="H755">
        <f t="shared" si="485"/>
        <v>8</v>
      </c>
      <c r="I755">
        <v>1</v>
      </c>
      <c r="J755">
        <v>1</v>
      </c>
      <c r="K755">
        <f t="shared" si="496"/>
        <v>3301</v>
      </c>
      <c r="L755">
        <f t="shared" si="489"/>
        <v>101</v>
      </c>
      <c r="M755">
        <v>5000</v>
      </c>
      <c r="N755">
        <f t="shared" si="488"/>
        <v>8</v>
      </c>
      <c r="O755">
        <v>1</v>
      </c>
      <c r="P755">
        <f t="shared" si="497"/>
        <v>3301</v>
      </c>
      <c r="Q755">
        <v>59</v>
      </c>
      <c r="R755">
        <f t="shared" si="490"/>
        <v>103</v>
      </c>
      <c r="S755">
        <v>5000</v>
      </c>
      <c r="T755">
        <f t="shared" si="466"/>
        <v>8</v>
      </c>
      <c r="U755">
        <v>1</v>
      </c>
      <c r="V755">
        <f t="shared" si="498"/>
        <v>3302</v>
      </c>
      <c r="W755">
        <v>71</v>
      </c>
      <c r="X755">
        <f t="shared" si="491"/>
        <v>111</v>
      </c>
      <c r="Y755">
        <v>5000</v>
      </c>
      <c r="Z755">
        <f t="shared" si="467"/>
        <v>8</v>
      </c>
      <c r="AA755">
        <v>1</v>
      </c>
      <c r="AB755">
        <f t="shared" si="499"/>
        <v>3301</v>
      </c>
      <c r="AC755">
        <v>71</v>
      </c>
      <c r="AD755">
        <f t="shared" si="492"/>
        <v>112</v>
      </c>
      <c r="AE755">
        <v>5000</v>
      </c>
      <c r="AF755">
        <f t="shared" si="468"/>
        <v>8</v>
      </c>
      <c r="AG755">
        <v>1</v>
      </c>
      <c r="AH755">
        <f t="shared" si="500"/>
        <v>3301</v>
      </c>
      <c r="AI755">
        <v>79</v>
      </c>
      <c r="AJ755">
        <f t="shared" si="493"/>
        <v>113</v>
      </c>
      <c r="AP755" t="str">
        <f t="shared" si="469"/>
        <v>{5000,8,1,3301,101}</v>
      </c>
      <c r="AQ755" t="str">
        <f t="shared" si="470"/>
        <v>{5000,8,1,3301,103}</v>
      </c>
      <c r="AR755" t="str">
        <f t="shared" si="471"/>
        <v>{5000,8,1,3302,111}</v>
      </c>
      <c r="AS755" t="str">
        <f t="shared" si="472"/>
        <v>{5000,8,1,3301,112}</v>
      </c>
      <c r="AT755" t="str">
        <f t="shared" si="473"/>
        <v>{5000,8,1,3301,113}</v>
      </c>
      <c r="AU755" t="str">
        <f t="shared" si="474"/>
        <v/>
      </c>
      <c r="AV755">
        <v>4316</v>
      </c>
      <c r="AW755" t="str">
        <f t="shared" si="495"/>
        <v>[{5000,8,1,3301,101},{5000,8,1,3301,103},{5000,8,1,3302,111},{5000,8,1,3301,112},{5000,8,1,3301,113}]</v>
      </c>
    </row>
    <row r="756" spans="2:49">
      <c r="B756">
        <v>4317</v>
      </c>
      <c r="C756" t="s">
        <v>59</v>
      </c>
      <c r="D756" t="str">
        <f t="shared" si="475"/>
        <v>34</v>
      </c>
      <c r="F756">
        <v>91</v>
      </c>
      <c r="G756">
        <v>5000</v>
      </c>
      <c r="H756">
        <f t="shared" si="485"/>
        <v>8</v>
      </c>
      <c r="I756">
        <v>1</v>
      </c>
      <c r="J756">
        <v>1</v>
      </c>
      <c r="K756">
        <f t="shared" si="496"/>
        <v>3301</v>
      </c>
      <c r="L756">
        <f t="shared" si="489"/>
        <v>101</v>
      </c>
      <c r="M756">
        <v>5000</v>
      </c>
      <c r="N756">
        <f t="shared" si="488"/>
        <v>8</v>
      </c>
      <c r="O756">
        <v>1</v>
      </c>
      <c r="P756">
        <f t="shared" si="497"/>
        <v>3301</v>
      </c>
      <c r="Q756">
        <v>54</v>
      </c>
      <c r="R756">
        <f t="shared" si="490"/>
        <v>102</v>
      </c>
      <c r="S756">
        <v>5000</v>
      </c>
      <c r="T756">
        <f t="shared" si="466"/>
        <v>8</v>
      </c>
      <c r="U756">
        <v>1</v>
      </c>
      <c r="V756">
        <f t="shared" si="498"/>
        <v>3302</v>
      </c>
      <c r="W756">
        <v>51</v>
      </c>
      <c r="X756">
        <f t="shared" si="491"/>
        <v>103</v>
      </c>
      <c r="Y756">
        <v>5000</v>
      </c>
      <c r="Z756">
        <f t="shared" si="467"/>
        <v>8</v>
      </c>
      <c r="AA756">
        <v>1</v>
      </c>
      <c r="AB756">
        <f t="shared" si="499"/>
        <v>3301</v>
      </c>
      <c r="AC756">
        <v>71</v>
      </c>
      <c r="AD756">
        <f t="shared" si="492"/>
        <v>113</v>
      </c>
      <c r="AE756">
        <v>5000</v>
      </c>
      <c r="AF756">
        <f t="shared" si="468"/>
        <v>8</v>
      </c>
      <c r="AG756">
        <v>1</v>
      </c>
      <c r="AH756">
        <f t="shared" si="500"/>
        <v>3302</v>
      </c>
      <c r="AI756">
        <v>77</v>
      </c>
      <c r="AJ756">
        <f t="shared" si="493"/>
        <v>111</v>
      </c>
      <c r="AP756" t="str">
        <f t="shared" si="469"/>
        <v>{5000,8,1,3301,101}</v>
      </c>
      <c r="AQ756" t="str">
        <f t="shared" si="470"/>
        <v>{5000,8,1,3301,102}</v>
      </c>
      <c r="AR756" t="str">
        <f t="shared" si="471"/>
        <v>{5000,8,1,3302,103}</v>
      </c>
      <c r="AS756" t="str">
        <f t="shared" si="472"/>
        <v>{5000,8,1,3301,113}</v>
      </c>
      <c r="AT756" t="str">
        <f t="shared" si="473"/>
        <v>{5000,8,1,3302,111}</v>
      </c>
      <c r="AU756" t="str">
        <f t="shared" si="474"/>
        <v/>
      </c>
      <c r="AV756">
        <v>4317</v>
      </c>
      <c r="AW756" t="str">
        <f t="shared" si="495"/>
        <v>[{5000,8,1,3301,101},{5000,8,1,3301,102},{5000,8,1,3302,103},{5000,8,1,3301,113},{5000,8,1,3302,111}]</v>
      </c>
    </row>
    <row r="757" spans="2:49">
      <c r="B757">
        <v>4318</v>
      </c>
      <c r="C757" t="s">
        <v>59</v>
      </c>
      <c r="D757" t="str">
        <f t="shared" si="475"/>
        <v>34</v>
      </c>
      <c r="F757">
        <v>106</v>
      </c>
      <c r="G757">
        <v>5000</v>
      </c>
      <c r="H757">
        <f t="shared" si="485"/>
        <v>8</v>
      </c>
      <c r="I757">
        <v>1</v>
      </c>
      <c r="J757">
        <v>1</v>
      </c>
      <c r="K757">
        <f t="shared" si="496"/>
        <v>3301</v>
      </c>
      <c r="L757">
        <f t="shared" si="489"/>
        <v>101</v>
      </c>
      <c r="M757">
        <v>5000</v>
      </c>
      <c r="N757">
        <f t="shared" si="488"/>
        <v>8</v>
      </c>
      <c r="O757">
        <v>1</v>
      </c>
      <c r="P757">
        <f t="shared" si="497"/>
        <v>3301</v>
      </c>
      <c r="Q757">
        <v>55</v>
      </c>
      <c r="R757">
        <f t="shared" si="490"/>
        <v>103</v>
      </c>
      <c r="S757">
        <v>5000</v>
      </c>
      <c r="T757">
        <f t="shared" si="466"/>
        <v>8</v>
      </c>
      <c r="U757">
        <v>1</v>
      </c>
      <c r="V757">
        <f t="shared" si="498"/>
        <v>3302</v>
      </c>
      <c r="W757">
        <v>73</v>
      </c>
      <c r="X757">
        <f t="shared" si="491"/>
        <v>111</v>
      </c>
      <c r="Y757">
        <v>5000</v>
      </c>
      <c r="Z757">
        <f t="shared" si="467"/>
        <v>8</v>
      </c>
      <c r="AA757">
        <v>1</v>
      </c>
      <c r="AB757">
        <f t="shared" si="499"/>
        <v>3301</v>
      </c>
      <c r="AC757">
        <v>78</v>
      </c>
      <c r="AD757">
        <f t="shared" si="492"/>
        <v>112</v>
      </c>
      <c r="AE757">
        <v>5000</v>
      </c>
      <c r="AF757">
        <f t="shared" si="468"/>
        <v>8</v>
      </c>
      <c r="AG757">
        <v>1</v>
      </c>
      <c r="AH757">
        <f t="shared" si="500"/>
        <v>3302</v>
      </c>
      <c r="AI757">
        <v>71</v>
      </c>
      <c r="AJ757">
        <f t="shared" si="493"/>
        <v>113</v>
      </c>
      <c r="AP757" t="str">
        <f t="shared" si="469"/>
        <v>{5000,8,1,3301,101}</v>
      </c>
      <c r="AQ757" t="str">
        <f t="shared" si="470"/>
        <v>{5000,8,1,3301,103}</v>
      </c>
      <c r="AR757" t="str">
        <f t="shared" si="471"/>
        <v>{5000,8,1,3302,111}</v>
      </c>
      <c r="AS757" t="str">
        <f t="shared" si="472"/>
        <v>{5000,8,1,3301,112}</v>
      </c>
      <c r="AT757" t="str">
        <f t="shared" si="473"/>
        <v>{5000,8,1,3302,113}</v>
      </c>
      <c r="AU757" t="str">
        <f t="shared" si="474"/>
        <v/>
      </c>
      <c r="AV757">
        <v>4318</v>
      </c>
      <c r="AW757" t="str">
        <f t="shared" si="495"/>
        <v>[{5000,8,1,3301,101},{5000,8,1,3301,103},{5000,8,1,3302,111},{5000,8,1,3301,112},{5000,8,1,3302,113}]</v>
      </c>
    </row>
    <row r="758" spans="2:48">
      <c r="B758">
        <v>4319</v>
      </c>
      <c r="C758" t="s">
        <v>59</v>
      </c>
      <c r="D758" t="str">
        <f t="shared" si="475"/>
        <v>34</v>
      </c>
      <c r="F758">
        <v>119</v>
      </c>
      <c r="H758">
        <f t="shared" si="485"/>
        <v>0</v>
      </c>
      <c r="K758" t="str">
        <f t="shared" si="496"/>
        <v/>
      </c>
      <c r="L758" t="str">
        <f t="shared" si="489"/>
        <v/>
      </c>
      <c r="N758">
        <f t="shared" si="488"/>
        <v>0</v>
      </c>
      <c r="P758" t="str">
        <f t="shared" si="497"/>
        <v/>
      </c>
      <c r="R758" t="str">
        <f t="shared" si="490"/>
        <v/>
      </c>
      <c r="T758">
        <f t="shared" si="466"/>
        <v>0</v>
      </c>
      <c r="V758" t="str">
        <f t="shared" si="498"/>
        <v/>
      </c>
      <c r="X758" t="str">
        <f t="shared" si="491"/>
        <v/>
      </c>
      <c r="Z758">
        <f t="shared" si="467"/>
        <v>0</v>
      </c>
      <c r="AB758" t="str">
        <f t="shared" si="499"/>
        <v/>
      </c>
      <c r="AD758" t="str">
        <f t="shared" si="492"/>
        <v/>
      </c>
      <c r="AF758">
        <f t="shared" si="468"/>
        <v>0</v>
      </c>
      <c r="AH758" t="str">
        <f t="shared" si="500"/>
        <v/>
      </c>
      <c r="AJ758" t="str">
        <f t="shared" si="493"/>
        <v/>
      </c>
      <c r="AP758" t="str">
        <f t="shared" si="469"/>
        <v/>
      </c>
      <c r="AQ758" t="str">
        <f t="shared" si="470"/>
        <v/>
      </c>
      <c r="AR758" t="str">
        <f t="shared" si="471"/>
        <v/>
      </c>
      <c r="AS758" t="str">
        <f t="shared" si="472"/>
        <v/>
      </c>
      <c r="AT758" t="str">
        <f t="shared" si="473"/>
        <v/>
      </c>
      <c r="AU758" t="str">
        <f t="shared" si="474"/>
        <v/>
      </c>
      <c r="AV758">
        <v>4319</v>
      </c>
    </row>
    <row r="759" spans="2:49">
      <c r="B759">
        <v>4320</v>
      </c>
      <c r="C759" t="s">
        <v>59</v>
      </c>
      <c r="D759" t="str">
        <f t="shared" si="475"/>
        <v>34</v>
      </c>
      <c r="F759">
        <v>121</v>
      </c>
      <c r="G759">
        <v>5000</v>
      </c>
      <c r="H759">
        <f t="shared" si="485"/>
        <v>10</v>
      </c>
      <c r="I759">
        <v>1</v>
      </c>
      <c r="J759">
        <v>3</v>
      </c>
      <c r="K759">
        <f t="shared" si="496"/>
        <v>3303</v>
      </c>
      <c r="L759">
        <f t="shared" si="489"/>
        <v>101</v>
      </c>
      <c r="M759">
        <v>5000</v>
      </c>
      <c r="N759">
        <f t="shared" si="488"/>
        <v>10</v>
      </c>
      <c r="O759">
        <v>1</v>
      </c>
      <c r="P759">
        <f t="shared" si="497"/>
        <v>3303</v>
      </c>
      <c r="Q759">
        <v>54</v>
      </c>
      <c r="R759">
        <f t="shared" si="490"/>
        <v>102</v>
      </c>
      <c r="S759">
        <v>5000</v>
      </c>
      <c r="T759">
        <f t="shared" si="466"/>
        <v>10</v>
      </c>
      <c r="U759">
        <v>1</v>
      </c>
      <c r="V759">
        <f t="shared" si="498"/>
        <v>3303</v>
      </c>
      <c r="W759">
        <v>51</v>
      </c>
      <c r="X759">
        <f t="shared" si="491"/>
        <v>103</v>
      </c>
      <c r="Y759">
        <v>5000</v>
      </c>
      <c r="Z759">
        <f t="shared" si="467"/>
        <v>10</v>
      </c>
      <c r="AA759">
        <v>1</v>
      </c>
      <c r="AB759">
        <f t="shared" si="499"/>
        <v>3303</v>
      </c>
      <c r="AC759">
        <v>71</v>
      </c>
      <c r="AD759">
        <f t="shared" si="492"/>
        <v>113</v>
      </c>
      <c r="AE759">
        <v>5000</v>
      </c>
      <c r="AF759">
        <f t="shared" si="468"/>
        <v>10</v>
      </c>
      <c r="AG759">
        <v>1</v>
      </c>
      <c r="AH759">
        <f t="shared" si="500"/>
        <v>3303</v>
      </c>
      <c r="AI759">
        <v>79</v>
      </c>
      <c r="AJ759">
        <f t="shared" si="493"/>
        <v>111</v>
      </c>
      <c r="AK759">
        <v>1000</v>
      </c>
      <c r="AL759">
        <v>1</v>
      </c>
      <c r="AM759">
        <v>0</v>
      </c>
      <c r="AN759">
        <f t="shared" ref="AN759" si="501">AN736+100</f>
        <v>3321</v>
      </c>
      <c r="AO759">
        <v>4</v>
      </c>
      <c r="AP759" t="str">
        <f t="shared" si="469"/>
        <v>{5000,10,1,3303,101}</v>
      </c>
      <c r="AQ759" t="str">
        <f t="shared" si="470"/>
        <v>{5000,10,1,3303,102}</v>
      </c>
      <c r="AR759" t="str">
        <f t="shared" si="471"/>
        <v>{5000,10,1,3303,103}</v>
      </c>
      <c r="AS759" t="str">
        <f t="shared" si="472"/>
        <v>{5000,10,1,3303,113}</v>
      </c>
      <c r="AT759" t="str">
        <f t="shared" si="473"/>
        <v>{5000,10,1,3303,111}</v>
      </c>
      <c r="AU759" t="str">
        <f t="shared" si="474"/>
        <v>{1000,1,0,3321,4}</v>
      </c>
      <c r="AV759">
        <v>4320</v>
      </c>
      <c r="AW759" t="str">
        <f t="shared" ref="AW759:AW764" si="502">IF(AU759="","["&amp;_xlfn.TEXTJOIN(",",1,AP759:AT759)&amp;"]","["&amp;_xlfn.TEXTJOIN(",",1,AP759:AU759)&amp;"]")</f>
        <v>[{5000,10,1,3303,101},{5000,10,1,3303,102},{5000,10,1,3303,103},{5000,10,1,3303,113},{5000,10,1,3303,111},{1000,1,0,3321,4}]</v>
      </c>
    </row>
    <row r="760" spans="2:49">
      <c r="B760">
        <v>4321</v>
      </c>
      <c r="C760" t="s">
        <v>59</v>
      </c>
      <c r="D760" t="str">
        <f t="shared" si="475"/>
        <v>34</v>
      </c>
      <c r="F760">
        <v>136</v>
      </c>
      <c r="G760">
        <v>5000</v>
      </c>
      <c r="H760">
        <f t="shared" si="485"/>
        <v>9</v>
      </c>
      <c r="I760">
        <v>1</v>
      </c>
      <c r="J760">
        <v>1</v>
      </c>
      <c r="K760">
        <f t="shared" si="496"/>
        <v>3301</v>
      </c>
      <c r="L760">
        <f t="shared" si="489"/>
        <v>101</v>
      </c>
      <c r="M760">
        <v>5000</v>
      </c>
      <c r="N760">
        <f t="shared" si="488"/>
        <v>9</v>
      </c>
      <c r="O760">
        <v>1</v>
      </c>
      <c r="P760">
        <f t="shared" si="497"/>
        <v>3301</v>
      </c>
      <c r="Q760">
        <v>54</v>
      </c>
      <c r="R760">
        <f t="shared" si="490"/>
        <v>103</v>
      </c>
      <c r="S760">
        <v>5000</v>
      </c>
      <c r="T760">
        <f t="shared" si="466"/>
        <v>9</v>
      </c>
      <c r="U760">
        <v>1</v>
      </c>
      <c r="V760">
        <f t="shared" si="498"/>
        <v>3302</v>
      </c>
      <c r="W760">
        <v>76</v>
      </c>
      <c r="X760">
        <f t="shared" si="491"/>
        <v>111</v>
      </c>
      <c r="Y760">
        <v>5000</v>
      </c>
      <c r="Z760">
        <f t="shared" si="467"/>
        <v>9</v>
      </c>
      <c r="AA760">
        <v>1</v>
      </c>
      <c r="AB760">
        <f t="shared" si="499"/>
        <v>3301</v>
      </c>
      <c r="AC760">
        <v>72</v>
      </c>
      <c r="AD760">
        <f t="shared" si="492"/>
        <v>112</v>
      </c>
      <c r="AE760">
        <v>5000</v>
      </c>
      <c r="AF760">
        <f t="shared" si="468"/>
        <v>9</v>
      </c>
      <c r="AG760">
        <v>1</v>
      </c>
      <c r="AH760">
        <f t="shared" si="500"/>
        <v>3302</v>
      </c>
      <c r="AI760">
        <v>74</v>
      </c>
      <c r="AJ760">
        <f t="shared" si="493"/>
        <v>113</v>
      </c>
      <c r="AP760" t="str">
        <f t="shared" si="469"/>
        <v>{5000,9,1,3301,101}</v>
      </c>
      <c r="AQ760" t="str">
        <f t="shared" si="470"/>
        <v>{5000,9,1,3301,103}</v>
      </c>
      <c r="AR760" t="str">
        <f t="shared" si="471"/>
        <v>{5000,9,1,3302,111}</v>
      </c>
      <c r="AS760" t="str">
        <f t="shared" si="472"/>
        <v>{5000,9,1,3301,112}</v>
      </c>
      <c r="AT760" t="str">
        <f t="shared" si="473"/>
        <v>{5000,9,1,3302,113}</v>
      </c>
      <c r="AU760" t="str">
        <f t="shared" si="474"/>
        <v/>
      </c>
      <c r="AV760">
        <v>4321</v>
      </c>
      <c r="AW760" t="str">
        <f t="shared" si="502"/>
        <v>[{5000,9,1,3301,101},{5000,9,1,3301,103},{5000,9,1,3302,111},{5000,9,1,3301,112},{5000,9,1,3302,113}]</v>
      </c>
    </row>
    <row r="761" spans="2:49">
      <c r="B761">
        <v>4322</v>
      </c>
      <c r="C761" t="s">
        <v>59</v>
      </c>
      <c r="D761" t="str">
        <f t="shared" si="475"/>
        <v>34</v>
      </c>
      <c r="F761">
        <v>151</v>
      </c>
      <c r="G761">
        <v>5000</v>
      </c>
      <c r="H761">
        <f t="shared" si="485"/>
        <v>10</v>
      </c>
      <c r="I761">
        <v>1</v>
      </c>
      <c r="J761">
        <v>1</v>
      </c>
      <c r="K761">
        <f t="shared" si="496"/>
        <v>3301</v>
      </c>
      <c r="L761">
        <f t="shared" si="489"/>
        <v>101</v>
      </c>
      <c r="M761">
        <v>5000</v>
      </c>
      <c r="N761">
        <f t="shared" si="488"/>
        <v>10</v>
      </c>
      <c r="O761">
        <v>1</v>
      </c>
      <c r="P761">
        <f t="shared" si="497"/>
        <v>3301</v>
      </c>
      <c r="Q761">
        <v>54</v>
      </c>
      <c r="R761">
        <f t="shared" si="490"/>
        <v>102</v>
      </c>
      <c r="S761">
        <v>5000</v>
      </c>
      <c r="T761">
        <f t="shared" si="466"/>
        <v>10</v>
      </c>
      <c r="U761">
        <v>1</v>
      </c>
      <c r="V761">
        <f t="shared" si="498"/>
        <v>3302</v>
      </c>
      <c r="W761">
        <v>56</v>
      </c>
      <c r="X761">
        <f t="shared" si="491"/>
        <v>103</v>
      </c>
      <c r="Y761">
        <v>5000</v>
      </c>
      <c r="Z761">
        <f t="shared" si="467"/>
        <v>10</v>
      </c>
      <c r="AA761">
        <v>1</v>
      </c>
      <c r="AB761">
        <f t="shared" si="499"/>
        <v>3301</v>
      </c>
      <c r="AC761">
        <v>72</v>
      </c>
      <c r="AD761">
        <f t="shared" si="492"/>
        <v>113</v>
      </c>
      <c r="AE761">
        <v>5000</v>
      </c>
      <c r="AF761">
        <f t="shared" si="468"/>
        <v>10</v>
      </c>
      <c r="AG761">
        <v>1</v>
      </c>
      <c r="AH761">
        <f t="shared" si="500"/>
        <v>3302</v>
      </c>
      <c r="AI761">
        <v>74</v>
      </c>
      <c r="AJ761">
        <f t="shared" si="493"/>
        <v>111</v>
      </c>
      <c r="AP761" t="str">
        <f t="shared" si="469"/>
        <v>{5000,10,1,3301,101}</v>
      </c>
      <c r="AQ761" t="str">
        <f t="shared" si="470"/>
        <v>{5000,10,1,3301,102}</v>
      </c>
      <c r="AR761" t="str">
        <f t="shared" si="471"/>
        <v>{5000,10,1,3302,103}</v>
      </c>
      <c r="AS761" t="str">
        <f t="shared" si="472"/>
        <v>{5000,10,1,3301,113}</v>
      </c>
      <c r="AT761" t="str">
        <f t="shared" si="473"/>
        <v>{5000,10,1,3302,111}</v>
      </c>
      <c r="AU761" t="str">
        <f t="shared" si="474"/>
        <v/>
      </c>
      <c r="AV761">
        <v>4322</v>
      </c>
      <c r="AW761" t="str">
        <f t="shared" si="502"/>
        <v>[{5000,10,1,3301,101},{5000,10,1,3301,102},{5000,10,1,3302,103},{5000,10,1,3301,113},{5000,10,1,3302,111}]</v>
      </c>
    </row>
    <row r="762" spans="2:49">
      <c r="B762">
        <v>4323</v>
      </c>
      <c r="C762" t="s">
        <v>59</v>
      </c>
      <c r="D762" t="str">
        <f t="shared" si="475"/>
        <v>34</v>
      </c>
      <c r="F762">
        <v>166</v>
      </c>
      <c r="G762">
        <v>5000</v>
      </c>
      <c r="H762">
        <f t="shared" si="485"/>
        <v>11</v>
      </c>
      <c r="I762">
        <v>1</v>
      </c>
      <c r="J762">
        <v>1</v>
      </c>
      <c r="K762">
        <f t="shared" si="496"/>
        <v>3301</v>
      </c>
      <c r="L762">
        <f t="shared" si="489"/>
        <v>101</v>
      </c>
      <c r="M762">
        <v>5000</v>
      </c>
      <c r="N762">
        <f t="shared" si="488"/>
        <v>11</v>
      </c>
      <c r="O762">
        <v>1</v>
      </c>
      <c r="P762">
        <f t="shared" si="497"/>
        <v>3301</v>
      </c>
      <c r="Q762">
        <v>59</v>
      </c>
      <c r="R762">
        <f t="shared" si="490"/>
        <v>103</v>
      </c>
      <c r="S762">
        <v>5000</v>
      </c>
      <c r="T762">
        <f t="shared" si="466"/>
        <v>11</v>
      </c>
      <c r="U762">
        <v>1</v>
      </c>
      <c r="V762">
        <f t="shared" si="498"/>
        <v>3302</v>
      </c>
      <c r="W762">
        <v>79</v>
      </c>
      <c r="X762">
        <f t="shared" si="491"/>
        <v>111</v>
      </c>
      <c r="Y762">
        <v>5000</v>
      </c>
      <c r="Z762">
        <f t="shared" si="467"/>
        <v>11</v>
      </c>
      <c r="AA762">
        <v>1</v>
      </c>
      <c r="AB762">
        <f t="shared" si="499"/>
        <v>3301</v>
      </c>
      <c r="AC762">
        <v>71</v>
      </c>
      <c r="AD762">
        <f t="shared" si="492"/>
        <v>112</v>
      </c>
      <c r="AE762">
        <v>5000</v>
      </c>
      <c r="AF762">
        <f t="shared" si="468"/>
        <v>11</v>
      </c>
      <c r="AG762">
        <v>1</v>
      </c>
      <c r="AH762">
        <f t="shared" si="500"/>
        <v>3302</v>
      </c>
      <c r="AI762">
        <v>74</v>
      </c>
      <c r="AJ762">
        <f t="shared" si="493"/>
        <v>113</v>
      </c>
      <c r="AP762" t="str">
        <f t="shared" si="469"/>
        <v>{5000,11,1,3301,101}</v>
      </c>
      <c r="AQ762" t="str">
        <f t="shared" si="470"/>
        <v>{5000,11,1,3301,103}</v>
      </c>
      <c r="AR762" t="str">
        <f t="shared" si="471"/>
        <v>{5000,11,1,3302,111}</v>
      </c>
      <c r="AS762" t="str">
        <f t="shared" si="472"/>
        <v>{5000,11,1,3301,112}</v>
      </c>
      <c r="AT762" t="str">
        <f t="shared" si="473"/>
        <v>{5000,11,1,3302,113}</v>
      </c>
      <c r="AU762" t="str">
        <f t="shared" si="474"/>
        <v/>
      </c>
      <c r="AV762">
        <v>4323</v>
      </c>
      <c r="AW762" t="str">
        <f t="shared" si="502"/>
        <v>[{5000,11,1,3301,101},{5000,11,1,3301,103},{5000,11,1,3302,111},{5000,11,1,3301,112},{5000,11,1,3302,113}]</v>
      </c>
    </row>
    <row r="763" spans="2:49">
      <c r="B763">
        <v>4324</v>
      </c>
      <c r="C763" t="s">
        <v>59</v>
      </c>
      <c r="D763" t="str">
        <f t="shared" si="475"/>
        <v>34</v>
      </c>
      <c r="F763">
        <v>181</v>
      </c>
      <c r="G763">
        <v>5000</v>
      </c>
      <c r="H763">
        <f t="shared" si="485"/>
        <v>12</v>
      </c>
      <c r="I763">
        <v>1</v>
      </c>
      <c r="J763">
        <v>3</v>
      </c>
      <c r="K763">
        <f t="shared" si="496"/>
        <v>3303</v>
      </c>
      <c r="L763">
        <f t="shared" si="489"/>
        <v>101</v>
      </c>
      <c r="M763">
        <v>5000</v>
      </c>
      <c r="N763">
        <f t="shared" si="488"/>
        <v>12</v>
      </c>
      <c r="O763">
        <v>1</v>
      </c>
      <c r="P763">
        <f t="shared" si="497"/>
        <v>3303</v>
      </c>
      <c r="Q763">
        <v>53</v>
      </c>
      <c r="R763">
        <f t="shared" si="490"/>
        <v>102</v>
      </c>
      <c r="S763">
        <v>5000</v>
      </c>
      <c r="T763">
        <f t="shared" si="466"/>
        <v>12</v>
      </c>
      <c r="U763">
        <v>1</v>
      </c>
      <c r="V763">
        <f t="shared" si="498"/>
        <v>3303</v>
      </c>
      <c r="W763">
        <v>56</v>
      </c>
      <c r="X763">
        <f t="shared" si="491"/>
        <v>103</v>
      </c>
      <c r="Y763">
        <v>5000</v>
      </c>
      <c r="Z763">
        <f t="shared" si="467"/>
        <v>12</v>
      </c>
      <c r="AA763">
        <v>1</v>
      </c>
      <c r="AB763">
        <f t="shared" si="499"/>
        <v>3303</v>
      </c>
      <c r="AC763">
        <v>75</v>
      </c>
      <c r="AD763">
        <f t="shared" si="492"/>
        <v>113</v>
      </c>
      <c r="AE763">
        <v>5000</v>
      </c>
      <c r="AF763">
        <f t="shared" si="468"/>
        <v>12</v>
      </c>
      <c r="AG763">
        <v>1</v>
      </c>
      <c r="AH763">
        <f t="shared" si="500"/>
        <v>3303</v>
      </c>
      <c r="AI763">
        <v>78</v>
      </c>
      <c r="AJ763">
        <f t="shared" si="493"/>
        <v>111</v>
      </c>
      <c r="AP763" t="str">
        <f t="shared" si="469"/>
        <v>{5000,12,1,3303,101}</v>
      </c>
      <c r="AQ763" t="str">
        <f t="shared" si="470"/>
        <v>{5000,12,1,3303,102}</v>
      </c>
      <c r="AR763" t="str">
        <f t="shared" si="471"/>
        <v>{5000,12,1,3303,103}</v>
      </c>
      <c r="AS763" t="str">
        <f t="shared" si="472"/>
        <v>{5000,12,1,3303,113}</v>
      </c>
      <c r="AT763" t="str">
        <f t="shared" si="473"/>
        <v>{5000,12,1,3303,111}</v>
      </c>
      <c r="AU763" t="str">
        <f t="shared" si="474"/>
        <v/>
      </c>
      <c r="AV763">
        <v>4324</v>
      </c>
      <c r="AW763" t="str">
        <f t="shared" si="502"/>
        <v>[{5000,12,1,3303,101},{5000,12,1,3303,102},{5000,12,1,3303,103},{5000,12,1,3303,113},{5000,12,1,3303,111}]</v>
      </c>
    </row>
    <row r="764" spans="2:49">
      <c r="B764">
        <v>4325</v>
      </c>
      <c r="C764" t="s">
        <v>59</v>
      </c>
      <c r="D764" t="str">
        <f t="shared" si="475"/>
        <v>34</v>
      </c>
      <c r="F764">
        <v>196</v>
      </c>
      <c r="G764">
        <v>5000</v>
      </c>
      <c r="H764">
        <f t="shared" si="485"/>
        <v>12</v>
      </c>
      <c r="I764">
        <v>1</v>
      </c>
      <c r="J764">
        <v>2</v>
      </c>
      <c r="K764">
        <f t="shared" si="496"/>
        <v>3302</v>
      </c>
      <c r="L764">
        <f t="shared" si="489"/>
        <v>101</v>
      </c>
      <c r="M764">
        <v>5000</v>
      </c>
      <c r="N764">
        <f t="shared" si="488"/>
        <v>12</v>
      </c>
      <c r="O764">
        <v>1</v>
      </c>
      <c r="P764">
        <f t="shared" si="497"/>
        <v>3301</v>
      </c>
      <c r="Q764">
        <v>54</v>
      </c>
      <c r="R764">
        <f t="shared" si="490"/>
        <v>103</v>
      </c>
      <c r="S764">
        <v>5000</v>
      </c>
      <c r="T764">
        <f t="shared" si="466"/>
        <v>12</v>
      </c>
      <c r="U764">
        <v>1</v>
      </c>
      <c r="V764">
        <f t="shared" si="498"/>
        <v>3302</v>
      </c>
      <c r="W764">
        <v>77</v>
      </c>
      <c r="X764">
        <f t="shared" si="491"/>
        <v>111</v>
      </c>
      <c r="Y764">
        <v>5000</v>
      </c>
      <c r="Z764">
        <f t="shared" si="467"/>
        <v>12</v>
      </c>
      <c r="AA764">
        <v>1</v>
      </c>
      <c r="AB764">
        <f t="shared" si="499"/>
        <v>3301</v>
      </c>
      <c r="AC764">
        <v>72</v>
      </c>
      <c r="AD764">
        <f t="shared" si="492"/>
        <v>112</v>
      </c>
      <c r="AE764">
        <v>5000</v>
      </c>
      <c r="AF764">
        <f t="shared" si="468"/>
        <v>12</v>
      </c>
      <c r="AG764">
        <v>1</v>
      </c>
      <c r="AH764">
        <f t="shared" si="500"/>
        <v>3302</v>
      </c>
      <c r="AI764">
        <v>74</v>
      </c>
      <c r="AJ764">
        <f t="shared" si="493"/>
        <v>113</v>
      </c>
      <c r="AP764" t="str">
        <f t="shared" si="469"/>
        <v>{5000,12,1,3302,101}</v>
      </c>
      <c r="AQ764" t="str">
        <f t="shared" si="470"/>
        <v>{5000,12,1,3301,103}</v>
      </c>
      <c r="AR764" t="str">
        <f t="shared" si="471"/>
        <v>{5000,12,1,3302,111}</v>
      </c>
      <c r="AS764" t="str">
        <f t="shared" si="472"/>
        <v>{5000,12,1,3301,112}</v>
      </c>
      <c r="AT764" t="str">
        <f t="shared" si="473"/>
        <v>{5000,12,1,3302,113}</v>
      </c>
      <c r="AU764" t="str">
        <f t="shared" si="474"/>
        <v/>
      </c>
      <c r="AV764">
        <v>4325</v>
      </c>
      <c r="AW764" t="str">
        <f t="shared" si="502"/>
        <v>[{5000,12,1,3302,101},{5000,12,1,3301,103},{5000,12,1,3302,111},{5000,12,1,3301,112},{5000,12,1,3302,113}]</v>
      </c>
    </row>
    <row r="765" spans="2:48">
      <c r="B765">
        <v>4326</v>
      </c>
      <c r="C765" t="s">
        <v>59</v>
      </c>
      <c r="D765" t="str">
        <f t="shared" si="475"/>
        <v>34</v>
      </c>
      <c r="F765">
        <v>209</v>
      </c>
      <c r="H765">
        <f t="shared" si="485"/>
        <v>0</v>
      </c>
      <c r="K765" t="str">
        <f t="shared" si="496"/>
        <v/>
      </c>
      <c r="L765" t="str">
        <f t="shared" si="489"/>
        <v/>
      </c>
      <c r="N765">
        <f t="shared" si="488"/>
        <v>0</v>
      </c>
      <c r="P765" t="str">
        <f t="shared" si="497"/>
        <v/>
      </c>
      <c r="R765" t="str">
        <f t="shared" si="490"/>
        <v/>
      </c>
      <c r="T765">
        <f t="shared" si="466"/>
        <v>0</v>
      </c>
      <c r="V765" t="str">
        <f t="shared" si="498"/>
        <v/>
      </c>
      <c r="X765" t="str">
        <f t="shared" si="491"/>
        <v/>
      </c>
      <c r="Z765">
        <f t="shared" si="467"/>
        <v>0</v>
      </c>
      <c r="AB765" t="str">
        <f t="shared" si="499"/>
        <v/>
      </c>
      <c r="AD765" t="str">
        <f t="shared" si="492"/>
        <v/>
      </c>
      <c r="AF765">
        <f t="shared" si="468"/>
        <v>0</v>
      </c>
      <c r="AH765" t="str">
        <f t="shared" si="500"/>
        <v/>
      </c>
      <c r="AJ765" t="str">
        <f t="shared" si="493"/>
        <v/>
      </c>
      <c r="AP765" t="str">
        <f t="shared" si="469"/>
        <v/>
      </c>
      <c r="AQ765" t="str">
        <f t="shared" si="470"/>
        <v/>
      </c>
      <c r="AR765" t="str">
        <f t="shared" si="471"/>
        <v/>
      </c>
      <c r="AS765" t="str">
        <f t="shared" si="472"/>
        <v/>
      </c>
      <c r="AT765" t="str">
        <f t="shared" si="473"/>
        <v/>
      </c>
      <c r="AU765" t="str">
        <f t="shared" si="474"/>
        <v/>
      </c>
      <c r="AV765">
        <v>4326</v>
      </c>
    </row>
    <row r="766" spans="2:49">
      <c r="B766">
        <v>4327</v>
      </c>
      <c r="C766" t="s">
        <v>59</v>
      </c>
      <c r="D766" t="str">
        <f t="shared" si="475"/>
        <v>34</v>
      </c>
      <c r="F766">
        <v>211</v>
      </c>
      <c r="G766">
        <v>5000</v>
      </c>
      <c r="H766">
        <f t="shared" si="485"/>
        <v>11</v>
      </c>
      <c r="I766">
        <v>1</v>
      </c>
      <c r="J766">
        <v>2</v>
      </c>
      <c r="K766">
        <f t="shared" si="496"/>
        <v>3302</v>
      </c>
      <c r="L766">
        <f t="shared" si="489"/>
        <v>101</v>
      </c>
      <c r="M766">
        <v>5000</v>
      </c>
      <c r="N766">
        <f t="shared" si="488"/>
        <v>11</v>
      </c>
      <c r="O766">
        <v>1</v>
      </c>
      <c r="P766">
        <f t="shared" si="497"/>
        <v>3301</v>
      </c>
      <c r="Q766">
        <v>51</v>
      </c>
      <c r="R766">
        <f t="shared" si="490"/>
        <v>102</v>
      </c>
      <c r="S766">
        <v>5000</v>
      </c>
      <c r="T766">
        <f t="shared" si="466"/>
        <v>11</v>
      </c>
      <c r="U766">
        <v>1</v>
      </c>
      <c r="V766">
        <f t="shared" si="498"/>
        <v>3302</v>
      </c>
      <c r="W766">
        <v>57</v>
      </c>
      <c r="X766">
        <f t="shared" si="491"/>
        <v>103</v>
      </c>
      <c r="Y766">
        <v>5000</v>
      </c>
      <c r="Z766">
        <f t="shared" si="467"/>
        <v>11</v>
      </c>
      <c r="AA766">
        <v>1</v>
      </c>
      <c r="AB766">
        <f t="shared" si="499"/>
        <v>3301</v>
      </c>
      <c r="AC766">
        <v>79</v>
      </c>
      <c r="AD766">
        <f t="shared" si="492"/>
        <v>113</v>
      </c>
      <c r="AE766">
        <v>5000</v>
      </c>
      <c r="AF766">
        <f t="shared" si="468"/>
        <v>11</v>
      </c>
      <c r="AG766">
        <v>1</v>
      </c>
      <c r="AH766">
        <f t="shared" si="500"/>
        <v>3302</v>
      </c>
      <c r="AI766">
        <v>72</v>
      </c>
      <c r="AJ766">
        <f t="shared" si="493"/>
        <v>111</v>
      </c>
      <c r="AK766">
        <v>1000</v>
      </c>
      <c r="AL766">
        <v>1</v>
      </c>
      <c r="AM766">
        <v>0</v>
      </c>
      <c r="AN766">
        <f t="shared" ref="AN766" si="503">AN743+100</f>
        <v>3331</v>
      </c>
      <c r="AO766">
        <v>4</v>
      </c>
      <c r="AP766" t="str">
        <f t="shared" si="469"/>
        <v>{5000,11,1,3302,101}</v>
      </c>
      <c r="AQ766" t="str">
        <f t="shared" si="470"/>
        <v>{5000,11,1,3301,102}</v>
      </c>
      <c r="AR766" t="str">
        <f t="shared" si="471"/>
        <v>{5000,11,1,3302,103}</v>
      </c>
      <c r="AS766" t="str">
        <f t="shared" si="472"/>
        <v>{5000,11,1,3301,113}</v>
      </c>
      <c r="AT766" t="str">
        <f t="shared" si="473"/>
        <v>{5000,11,1,3302,111}</v>
      </c>
      <c r="AU766" t="str">
        <f t="shared" si="474"/>
        <v>{1000,1,0,3331,4}</v>
      </c>
      <c r="AV766">
        <v>4327</v>
      </c>
      <c r="AW766" t="str">
        <f t="shared" ref="AW766:AW780" si="504">IF(AU766="","["&amp;_xlfn.TEXTJOIN(",",1,AP766:AT766)&amp;"]","["&amp;_xlfn.TEXTJOIN(",",1,AP766:AU766)&amp;"]")</f>
        <v>[{5000,11,1,3302,101},{5000,11,1,3301,102},{5000,11,1,3302,103},{5000,11,1,3301,113},{5000,11,1,3302,111},{1000,1,0,3331,4}]</v>
      </c>
    </row>
    <row r="767" spans="2:49">
      <c r="B767">
        <v>4328</v>
      </c>
      <c r="C767" t="s">
        <v>59</v>
      </c>
      <c r="D767" t="str">
        <f t="shared" si="475"/>
        <v>34</v>
      </c>
      <c r="F767">
        <v>226</v>
      </c>
      <c r="G767">
        <v>5000</v>
      </c>
      <c r="H767">
        <f t="shared" si="485"/>
        <v>11</v>
      </c>
      <c r="I767">
        <v>1</v>
      </c>
      <c r="J767">
        <v>2</v>
      </c>
      <c r="K767">
        <f t="shared" si="496"/>
        <v>3302</v>
      </c>
      <c r="L767">
        <f t="shared" si="489"/>
        <v>101</v>
      </c>
      <c r="M767">
        <v>5000</v>
      </c>
      <c r="N767">
        <f t="shared" si="488"/>
        <v>11</v>
      </c>
      <c r="O767">
        <v>1</v>
      </c>
      <c r="P767">
        <f t="shared" si="497"/>
        <v>3301</v>
      </c>
      <c r="Q767">
        <v>51</v>
      </c>
      <c r="R767">
        <f t="shared" si="490"/>
        <v>103</v>
      </c>
      <c r="S767">
        <v>5000</v>
      </c>
      <c r="T767">
        <f t="shared" si="466"/>
        <v>11</v>
      </c>
      <c r="U767">
        <v>1</v>
      </c>
      <c r="V767">
        <f t="shared" si="498"/>
        <v>3302</v>
      </c>
      <c r="W767">
        <v>75</v>
      </c>
      <c r="X767">
        <f t="shared" si="491"/>
        <v>111</v>
      </c>
      <c r="Y767">
        <v>5000</v>
      </c>
      <c r="Z767">
        <f t="shared" si="467"/>
        <v>11</v>
      </c>
      <c r="AA767">
        <v>1</v>
      </c>
      <c r="AB767">
        <f t="shared" si="499"/>
        <v>3301</v>
      </c>
      <c r="AC767">
        <v>71</v>
      </c>
      <c r="AD767">
        <f t="shared" si="492"/>
        <v>112</v>
      </c>
      <c r="AE767">
        <v>5000</v>
      </c>
      <c r="AF767">
        <f t="shared" si="468"/>
        <v>11</v>
      </c>
      <c r="AG767">
        <v>1</v>
      </c>
      <c r="AH767">
        <f t="shared" si="500"/>
        <v>3302</v>
      </c>
      <c r="AI767">
        <v>77</v>
      </c>
      <c r="AJ767">
        <f t="shared" si="493"/>
        <v>113</v>
      </c>
      <c r="AP767" t="str">
        <f t="shared" si="469"/>
        <v>{5000,11,1,3302,101}</v>
      </c>
      <c r="AQ767" t="str">
        <f t="shared" si="470"/>
        <v>{5000,11,1,3301,103}</v>
      </c>
      <c r="AR767" t="str">
        <f t="shared" si="471"/>
        <v>{5000,11,1,3302,111}</v>
      </c>
      <c r="AS767" t="str">
        <f t="shared" si="472"/>
        <v>{5000,11,1,3301,112}</v>
      </c>
      <c r="AT767" t="str">
        <f t="shared" si="473"/>
        <v>{5000,11,1,3302,113}</v>
      </c>
      <c r="AU767" t="str">
        <f t="shared" si="474"/>
        <v/>
      </c>
      <c r="AV767">
        <v>4328</v>
      </c>
      <c r="AW767" t="str">
        <f t="shared" si="504"/>
        <v>[{5000,11,1,3302,101},{5000,11,1,3301,103},{5000,11,1,3302,111},{5000,11,1,3301,112},{5000,11,1,3302,113}]</v>
      </c>
    </row>
    <row r="768" spans="2:49">
      <c r="B768">
        <v>4329</v>
      </c>
      <c r="C768" t="s">
        <v>59</v>
      </c>
      <c r="D768" t="str">
        <f t="shared" si="475"/>
        <v>34</v>
      </c>
      <c r="F768">
        <v>241</v>
      </c>
      <c r="G768">
        <v>5000</v>
      </c>
      <c r="H768">
        <f t="shared" si="485"/>
        <v>13</v>
      </c>
      <c r="I768">
        <v>1</v>
      </c>
      <c r="J768">
        <v>3</v>
      </c>
      <c r="K768">
        <f t="shared" si="496"/>
        <v>3303</v>
      </c>
      <c r="L768">
        <f t="shared" si="489"/>
        <v>101</v>
      </c>
      <c r="M768">
        <v>5000</v>
      </c>
      <c r="N768">
        <f t="shared" si="488"/>
        <v>13</v>
      </c>
      <c r="O768">
        <v>1</v>
      </c>
      <c r="P768">
        <f t="shared" si="497"/>
        <v>3303</v>
      </c>
      <c r="Q768">
        <v>53</v>
      </c>
      <c r="R768">
        <f t="shared" si="490"/>
        <v>102</v>
      </c>
      <c r="S768">
        <v>5000</v>
      </c>
      <c r="T768">
        <f t="shared" si="466"/>
        <v>13</v>
      </c>
      <c r="U768">
        <v>1</v>
      </c>
      <c r="V768">
        <f t="shared" si="498"/>
        <v>3303</v>
      </c>
      <c r="W768">
        <v>56</v>
      </c>
      <c r="X768">
        <f t="shared" si="491"/>
        <v>103</v>
      </c>
      <c r="Y768">
        <v>5000</v>
      </c>
      <c r="Z768">
        <f t="shared" si="467"/>
        <v>13</v>
      </c>
      <c r="AA768">
        <v>1</v>
      </c>
      <c r="AB768">
        <f t="shared" si="499"/>
        <v>3303</v>
      </c>
      <c r="AC768">
        <v>74</v>
      </c>
      <c r="AD768">
        <f t="shared" si="492"/>
        <v>113</v>
      </c>
      <c r="AE768">
        <v>5000</v>
      </c>
      <c r="AF768">
        <f t="shared" si="468"/>
        <v>13</v>
      </c>
      <c r="AG768">
        <v>1</v>
      </c>
      <c r="AH768">
        <f t="shared" si="500"/>
        <v>3303</v>
      </c>
      <c r="AI768">
        <v>78</v>
      </c>
      <c r="AJ768">
        <f t="shared" si="493"/>
        <v>111</v>
      </c>
      <c r="AP768" t="str">
        <f t="shared" si="469"/>
        <v>{5000,13,1,3303,101}</v>
      </c>
      <c r="AQ768" t="str">
        <f t="shared" si="470"/>
        <v>{5000,13,1,3303,102}</v>
      </c>
      <c r="AR768" t="str">
        <f t="shared" si="471"/>
        <v>{5000,13,1,3303,103}</v>
      </c>
      <c r="AS768" t="str">
        <f t="shared" si="472"/>
        <v>{5000,13,1,3303,113}</v>
      </c>
      <c r="AT768" t="str">
        <f t="shared" si="473"/>
        <v>{5000,13,1,3303,111}</v>
      </c>
      <c r="AU768" t="str">
        <f t="shared" si="474"/>
        <v/>
      </c>
      <c r="AV768">
        <v>4329</v>
      </c>
      <c r="AW768" t="str">
        <f t="shared" si="504"/>
        <v>[{5000,13,1,3303,101},{5000,13,1,3303,102},{5000,13,1,3303,103},{5000,13,1,3303,113},{5000,13,1,3303,111}]</v>
      </c>
    </row>
    <row r="769" spans="2:49">
      <c r="B769">
        <v>4330</v>
      </c>
      <c r="C769" t="s">
        <v>59</v>
      </c>
      <c r="D769" t="str">
        <f t="shared" si="475"/>
        <v>34</v>
      </c>
      <c r="F769">
        <v>256</v>
      </c>
      <c r="G769">
        <v>5000</v>
      </c>
      <c r="H769">
        <f t="shared" si="485"/>
        <v>12</v>
      </c>
      <c r="I769">
        <v>1</v>
      </c>
      <c r="J769">
        <v>2</v>
      </c>
      <c r="K769">
        <f t="shared" si="496"/>
        <v>3302</v>
      </c>
      <c r="L769">
        <f t="shared" si="489"/>
        <v>101</v>
      </c>
      <c r="M769">
        <v>5000</v>
      </c>
      <c r="N769">
        <f t="shared" si="488"/>
        <v>12</v>
      </c>
      <c r="O769">
        <v>1</v>
      </c>
      <c r="P769">
        <f t="shared" si="497"/>
        <v>3302</v>
      </c>
      <c r="Q769">
        <v>59</v>
      </c>
      <c r="R769">
        <f t="shared" si="490"/>
        <v>103</v>
      </c>
      <c r="S769">
        <v>5000</v>
      </c>
      <c r="T769">
        <f t="shared" si="466"/>
        <v>12</v>
      </c>
      <c r="U769">
        <v>1</v>
      </c>
      <c r="V769">
        <f t="shared" si="498"/>
        <v>3302</v>
      </c>
      <c r="W769">
        <v>79</v>
      </c>
      <c r="X769">
        <f t="shared" si="491"/>
        <v>111</v>
      </c>
      <c r="Y769">
        <v>5000</v>
      </c>
      <c r="Z769">
        <f t="shared" si="467"/>
        <v>12</v>
      </c>
      <c r="AA769">
        <v>1</v>
      </c>
      <c r="AB769">
        <f t="shared" si="499"/>
        <v>3301</v>
      </c>
      <c r="AC769">
        <v>72</v>
      </c>
      <c r="AD769">
        <f t="shared" si="492"/>
        <v>112</v>
      </c>
      <c r="AE769">
        <v>5000</v>
      </c>
      <c r="AF769">
        <f t="shared" si="468"/>
        <v>12</v>
      </c>
      <c r="AG769">
        <v>1</v>
      </c>
      <c r="AH769">
        <f t="shared" si="500"/>
        <v>3302</v>
      </c>
      <c r="AI769">
        <v>74</v>
      </c>
      <c r="AJ769">
        <f t="shared" si="493"/>
        <v>113</v>
      </c>
      <c r="AP769" t="str">
        <f t="shared" si="469"/>
        <v>{5000,12,1,3302,101}</v>
      </c>
      <c r="AQ769" t="str">
        <f t="shared" si="470"/>
        <v>{5000,12,1,3302,103}</v>
      </c>
      <c r="AR769" t="str">
        <f t="shared" si="471"/>
        <v>{5000,12,1,3302,111}</v>
      </c>
      <c r="AS769" t="str">
        <f t="shared" si="472"/>
        <v>{5000,12,1,3301,112}</v>
      </c>
      <c r="AT769" t="str">
        <f t="shared" si="473"/>
        <v>{5000,12,1,3302,113}</v>
      </c>
      <c r="AU769" t="str">
        <f t="shared" si="474"/>
        <v/>
      </c>
      <c r="AV769">
        <v>4330</v>
      </c>
      <c r="AW769" t="str">
        <f t="shared" si="504"/>
        <v>[{5000,12,1,3302,101},{5000,12,1,3302,103},{5000,12,1,3302,111},{5000,12,1,3301,112},{5000,12,1,3302,113}]</v>
      </c>
    </row>
    <row r="770" spans="2:49">
      <c r="B770">
        <v>4331</v>
      </c>
      <c r="C770" t="s">
        <v>59</v>
      </c>
      <c r="D770" t="str">
        <f t="shared" si="475"/>
        <v>34</v>
      </c>
      <c r="F770">
        <v>271</v>
      </c>
      <c r="G770">
        <v>5000</v>
      </c>
      <c r="H770">
        <f t="shared" si="485"/>
        <v>13</v>
      </c>
      <c r="I770">
        <v>1</v>
      </c>
      <c r="J770">
        <v>2</v>
      </c>
      <c r="K770">
        <f t="shared" si="496"/>
        <v>3302</v>
      </c>
      <c r="L770">
        <f t="shared" si="489"/>
        <v>101</v>
      </c>
      <c r="M770">
        <v>5000</v>
      </c>
      <c r="N770">
        <f t="shared" si="488"/>
        <v>13</v>
      </c>
      <c r="O770">
        <v>1</v>
      </c>
      <c r="P770">
        <f t="shared" si="497"/>
        <v>3302</v>
      </c>
      <c r="Q770">
        <v>54</v>
      </c>
      <c r="R770">
        <f t="shared" si="490"/>
        <v>102</v>
      </c>
      <c r="S770">
        <v>5000</v>
      </c>
      <c r="T770">
        <f t="shared" si="466"/>
        <v>13</v>
      </c>
      <c r="U770">
        <v>1</v>
      </c>
      <c r="V770">
        <f t="shared" si="498"/>
        <v>3302</v>
      </c>
      <c r="W770">
        <v>56</v>
      </c>
      <c r="X770">
        <f t="shared" si="491"/>
        <v>103</v>
      </c>
      <c r="Y770">
        <v>5000</v>
      </c>
      <c r="Z770">
        <f t="shared" si="467"/>
        <v>13</v>
      </c>
      <c r="AA770">
        <v>1</v>
      </c>
      <c r="AB770">
        <f t="shared" si="499"/>
        <v>3302</v>
      </c>
      <c r="AC770">
        <v>73</v>
      </c>
      <c r="AD770">
        <f t="shared" si="492"/>
        <v>113</v>
      </c>
      <c r="AE770">
        <v>5000</v>
      </c>
      <c r="AF770">
        <f t="shared" si="468"/>
        <v>13</v>
      </c>
      <c r="AG770">
        <v>1</v>
      </c>
      <c r="AH770">
        <f t="shared" si="500"/>
        <v>3302</v>
      </c>
      <c r="AI770">
        <v>75</v>
      </c>
      <c r="AJ770">
        <f t="shared" si="493"/>
        <v>111</v>
      </c>
      <c r="AP770" t="str">
        <f t="shared" si="469"/>
        <v>{5000,13,1,3302,101}</v>
      </c>
      <c r="AQ770" t="str">
        <f t="shared" si="470"/>
        <v>{5000,13,1,3302,102}</v>
      </c>
      <c r="AR770" t="str">
        <f t="shared" si="471"/>
        <v>{5000,13,1,3302,103}</v>
      </c>
      <c r="AS770" t="str">
        <f t="shared" si="472"/>
        <v>{5000,13,1,3302,113}</v>
      </c>
      <c r="AT770" t="str">
        <f t="shared" si="473"/>
        <v>{5000,13,1,3302,111}</v>
      </c>
      <c r="AU770" t="str">
        <f t="shared" si="474"/>
        <v/>
      </c>
      <c r="AV770">
        <v>4331</v>
      </c>
      <c r="AW770" t="str">
        <f t="shared" si="504"/>
        <v>[{5000,13,1,3302,101},{5000,13,1,3302,102},{5000,13,1,3302,103},{5000,13,1,3302,113},{5000,13,1,3302,111}]</v>
      </c>
    </row>
    <row r="771" spans="2:49">
      <c r="B771">
        <v>4332</v>
      </c>
      <c r="C771" t="s">
        <v>59</v>
      </c>
      <c r="D771" t="str">
        <f t="shared" si="475"/>
        <v>34</v>
      </c>
      <c r="F771">
        <v>286</v>
      </c>
      <c r="G771">
        <v>5000</v>
      </c>
      <c r="H771">
        <f t="shared" si="485"/>
        <v>13</v>
      </c>
      <c r="I771">
        <v>1</v>
      </c>
      <c r="J771">
        <v>2</v>
      </c>
      <c r="K771">
        <f t="shared" si="496"/>
        <v>3302</v>
      </c>
      <c r="L771">
        <f t="shared" si="489"/>
        <v>101</v>
      </c>
      <c r="M771">
        <v>5000</v>
      </c>
      <c r="N771">
        <f t="shared" si="488"/>
        <v>13</v>
      </c>
      <c r="O771">
        <v>1</v>
      </c>
      <c r="P771">
        <f t="shared" si="497"/>
        <v>3302</v>
      </c>
      <c r="Q771">
        <v>53</v>
      </c>
      <c r="R771">
        <f t="shared" si="490"/>
        <v>103</v>
      </c>
      <c r="S771">
        <v>5000</v>
      </c>
      <c r="T771">
        <f t="shared" ref="T771:T795" si="505">N771</f>
        <v>13</v>
      </c>
      <c r="U771">
        <v>1</v>
      </c>
      <c r="V771">
        <f t="shared" si="498"/>
        <v>3302</v>
      </c>
      <c r="W771">
        <v>59</v>
      </c>
      <c r="X771">
        <f t="shared" si="491"/>
        <v>111</v>
      </c>
      <c r="Y771">
        <v>5000</v>
      </c>
      <c r="Z771">
        <f t="shared" ref="Z771:Z795" si="506">T771</f>
        <v>13</v>
      </c>
      <c r="AA771">
        <v>1</v>
      </c>
      <c r="AB771">
        <f t="shared" si="499"/>
        <v>3302</v>
      </c>
      <c r="AC771">
        <v>71</v>
      </c>
      <c r="AD771">
        <f t="shared" si="492"/>
        <v>112</v>
      </c>
      <c r="AE771">
        <v>5000</v>
      </c>
      <c r="AF771">
        <f t="shared" ref="AF771:AF795" si="507">Z771</f>
        <v>13</v>
      </c>
      <c r="AG771">
        <v>1</v>
      </c>
      <c r="AH771">
        <f t="shared" si="500"/>
        <v>3302</v>
      </c>
      <c r="AI771">
        <v>77</v>
      </c>
      <c r="AJ771">
        <f t="shared" si="493"/>
        <v>113</v>
      </c>
      <c r="AP771" t="str">
        <f t="shared" ref="AP771:AP795" si="508">IF(G771="","",$AQ$1&amp;_xlfn.TEXTJOIN(",",1,G771:I771,K771,L771)&amp;$AR$1)</f>
        <v>{5000,13,1,3302,101}</v>
      </c>
      <c r="AQ771" t="str">
        <f t="shared" ref="AQ771:AQ795" si="509">IF(G771="","",$AQ$1&amp;_xlfn.TEXTJOIN(",",1,M771:P771,R771)&amp;$AR$1)</f>
        <v>{5000,13,1,3302,103}</v>
      </c>
      <c r="AR771" t="str">
        <f t="shared" ref="AR771:AR795" si="510">IF(G771="","",$AQ$1&amp;_xlfn.TEXTJOIN(",",1,S771:V771,X771)&amp;$AR$1)</f>
        <v>{5000,13,1,3302,111}</v>
      </c>
      <c r="AS771" t="str">
        <f t="shared" ref="AS771:AS795" si="511">IF(G771="","",$AQ$1&amp;_xlfn.TEXTJOIN(",",1,Y771:AB771,AD771)&amp;$AR$1)</f>
        <v>{5000,13,1,3302,112}</v>
      </c>
      <c r="AT771" t="str">
        <f t="shared" ref="AT771:AT795" si="512">IF(G771="","",$AQ$1&amp;_xlfn.TEXTJOIN(",",1,AE771:AH771,AJ771)&amp;$AR$1)</f>
        <v>{5000,13,1,3302,113}</v>
      </c>
      <c r="AU771" t="str">
        <f t="shared" ref="AU771:AU795" si="513">IF(AK771="","",IF(G771="","",$AQ$1&amp;_xlfn.TEXTJOIN(",",1,AK771:AO771)&amp;$AR$1))</f>
        <v/>
      </c>
      <c r="AV771">
        <v>4332</v>
      </c>
      <c r="AW771" t="str">
        <f t="shared" si="504"/>
        <v>[{5000,13,1,3302,101},{5000,13,1,3302,103},{5000,13,1,3302,111},{5000,13,1,3302,112},{5000,13,1,3302,113}]</v>
      </c>
    </row>
    <row r="772" spans="2:49">
      <c r="B772">
        <v>4333</v>
      </c>
      <c r="C772" t="s">
        <v>59</v>
      </c>
      <c r="D772" t="str">
        <f t="shared" si="475"/>
        <v>34</v>
      </c>
      <c r="F772">
        <v>290</v>
      </c>
      <c r="G772">
        <v>5000</v>
      </c>
      <c r="H772">
        <f t="shared" si="485"/>
        <v>13</v>
      </c>
      <c r="I772">
        <v>1</v>
      </c>
      <c r="J772">
        <v>2</v>
      </c>
      <c r="K772">
        <f t="shared" si="496"/>
        <v>3302</v>
      </c>
      <c r="L772">
        <f t="shared" si="489"/>
        <v>101</v>
      </c>
      <c r="M772">
        <v>5000</v>
      </c>
      <c r="N772">
        <f t="shared" si="488"/>
        <v>13</v>
      </c>
      <c r="O772">
        <v>1</v>
      </c>
      <c r="P772">
        <f t="shared" si="497"/>
        <v>3302</v>
      </c>
      <c r="Q772">
        <v>56</v>
      </c>
      <c r="R772">
        <f t="shared" si="490"/>
        <v>102</v>
      </c>
      <c r="S772">
        <v>5000</v>
      </c>
      <c r="T772">
        <f t="shared" si="505"/>
        <v>13</v>
      </c>
      <c r="U772">
        <v>1</v>
      </c>
      <c r="V772">
        <f t="shared" si="498"/>
        <v>3301</v>
      </c>
      <c r="W772">
        <v>77</v>
      </c>
      <c r="X772">
        <f t="shared" si="491"/>
        <v>103</v>
      </c>
      <c r="Y772">
        <v>5000</v>
      </c>
      <c r="Z772">
        <f t="shared" si="506"/>
        <v>13</v>
      </c>
      <c r="AA772">
        <v>1</v>
      </c>
      <c r="AB772">
        <f t="shared" si="499"/>
        <v>3302</v>
      </c>
      <c r="AC772">
        <v>72</v>
      </c>
      <c r="AD772">
        <f t="shared" si="492"/>
        <v>113</v>
      </c>
      <c r="AE772">
        <v>5000</v>
      </c>
      <c r="AF772">
        <f t="shared" si="507"/>
        <v>13</v>
      </c>
      <c r="AG772">
        <v>1</v>
      </c>
      <c r="AH772">
        <f t="shared" si="500"/>
        <v>3302</v>
      </c>
      <c r="AI772">
        <v>74</v>
      </c>
      <c r="AJ772">
        <f t="shared" si="493"/>
        <v>111</v>
      </c>
      <c r="AP772" t="str">
        <f t="shared" si="508"/>
        <v>{5000,13,1,3302,101}</v>
      </c>
      <c r="AQ772" t="str">
        <f t="shared" si="509"/>
        <v>{5000,13,1,3302,102}</v>
      </c>
      <c r="AR772" t="str">
        <f t="shared" si="510"/>
        <v>{5000,13,1,3301,103}</v>
      </c>
      <c r="AS772" t="str">
        <f t="shared" si="511"/>
        <v>{5000,13,1,3302,113}</v>
      </c>
      <c r="AT772" t="str">
        <f t="shared" si="512"/>
        <v>{5000,13,1,3302,111}</v>
      </c>
      <c r="AU772" t="str">
        <f t="shared" si="513"/>
        <v/>
      </c>
      <c r="AV772">
        <v>4333</v>
      </c>
      <c r="AW772" t="str">
        <f t="shared" si="504"/>
        <v>[{5000,13,1,3302,101},{5000,13,1,3302,102},{5000,13,1,3301,103},{5000,13,1,3302,113},{5000,13,1,3302,111}]</v>
      </c>
    </row>
    <row r="773" spans="2:49">
      <c r="B773">
        <v>4411</v>
      </c>
      <c r="C773" t="s">
        <v>60</v>
      </c>
      <c r="D773" s="4" t="str">
        <f t="shared" si="475"/>
        <v>35</v>
      </c>
      <c r="E773" s="4"/>
      <c r="F773">
        <v>1</v>
      </c>
      <c r="G773">
        <v>5000</v>
      </c>
      <c r="H773">
        <f t="shared" si="485"/>
        <v>3</v>
      </c>
      <c r="I773">
        <v>1</v>
      </c>
      <c r="J773">
        <v>1</v>
      </c>
      <c r="K773">
        <f t="shared" si="496"/>
        <v>3401</v>
      </c>
      <c r="L773">
        <f t="shared" si="489"/>
        <v>101</v>
      </c>
      <c r="M773">
        <v>5000</v>
      </c>
      <c r="N773">
        <f t="shared" si="488"/>
        <v>3</v>
      </c>
      <c r="O773">
        <v>1</v>
      </c>
      <c r="P773">
        <f t="shared" si="497"/>
        <v>3401</v>
      </c>
      <c r="Q773">
        <v>55</v>
      </c>
      <c r="R773">
        <f t="shared" si="490"/>
        <v>102</v>
      </c>
      <c r="S773">
        <v>5000</v>
      </c>
      <c r="T773">
        <f t="shared" si="505"/>
        <v>3</v>
      </c>
      <c r="U773">
        <v>1</v>
      </c>
      <c r="V773">
        <f t="shared" si="498"/>
        <v>3401</v>
      </c>
      <c r="W773">
        <v>60</v>
      </c>
      <c r="X773">
        <f t="shared" si="491"/>
        <v>103</v>
      </c>
      <c r="Y773">
        <v>5000</v>
      </c>
      <c r="Z773">
        <f t="shared" si="506"/>
        <v>3</v>
      </c>
      <c r="AA773">
        <v>1</v>
      </c>
      <c r="AB773">
        <f t="shared" si="499"/>
        <v>3401</v>
      </c>
      <c r="AC773">
        <v>71</v>
      </c>
      <c r="AD773">
        <f t="shared" si="492"/>
        <v>113</v>
      </c>
      <c r="AE773">
        <v>5000</v>
      </c>
      <c r="AF773">
        <f t="shared" si="507"/>
        <v>3</v>
      </c>
      <c r="AG773">
        <v>1</v>
      </c>
      <c r="AH773">
        <f t="shared" si="500"/>
        <v>3401</v>
      </c>
      <c r="AI773">
        <v>76</v>
      </c>
      <c r="AJ773">
        <f t="shared" si="493"/>
        <v>111</v>
      </c>
      <c r="AP773" t="str">
        <f t="shared" si="508"/>
        <v>{5000,3,1,3401,101}</v>
      </c>
      <c r="AQ773" t="str">
        <f t="shared" si="509"/>
        <v>{5000,3,1,3401,102}</v>
      </c>
      <c r="AR773" t="str">
        <f t="shared" si="510"/>
        <v>{5000,3,1,3401,103}</v>
      </c>
      <c r="AS773" t="str">
        <f t="shared" si="511"/>
        <v>{5000,3,1,3401,113}</v>
      </c>
      <c r="AT773" t="str">
        <f t="shared" si="512"/>
        <v>{5000,3,1,3401,111}</v>
      </c>
      <c r="AU773" t="str">
        <f t="shared" si="513"/>
        <v/>
      </c>
      <c r="AV773">
        <v>4411</v>
      </c>
      <c r="AW773" t="str">
        <f t="shared" si="504"/>
        <v>[{5000,3,1,3401,101},{5000,3,1,3401,102},{5000,3,1,3401,103},{5000,3,1,3401,113},{5000,3,1,3401,111}]</v>
      </c>
    </row>
    <row r="774" spans="2:49">
      <c r="B774">
        <v>4412</v>
      </c>
      <c r="C774" t="s">
        <v>60</v>
      </c>
      <c r="D774" t="str">
        <f t="shared" si="475"/>
        <v>35</v>
      </c>
      <c r="F774">
        <v>16</v>
      </c>
      <c r="G774">
        <v>5000</v>
      </c>
      <c r="H774">
        <f t="shared" si="485"/>
        <v>3</v>
      </c>
      <c r="I774">
        <v>1</v>
      </c>
      <c r="J774">
        <v>1</v>
      </c>
      <c r="K774">
        <f t="shared" ref="K774:K795" si="514">IF($J774="","",K751+100)</f>
        <v>3401</v>
      </c>
      <c r="L774">
        <f t="shared" si="489"/>
        <v>101</v>
      </c>
      <c r="M774">
        <v>5000</v>
      </c>
      <c r="N774">
        <f t="shared" si="488"/>
        <v>3</v>
      </c>
      <c r="O774">
        <v>1</v>
      </c>
      <c r="P774">
        <f t="shared" ref="P774:P795" si="515">IF($J774="","",P751+100)</f>
        <v>3401</v>
      </c>
      <c r="Q774">
        <v>55</v>
      </c>
      <c r="R774">
        <f t="shared" si="490"/>
        <v>103</v>
      </c>
      <c r="S774">
        <v>5000</v>
      </c>
      <c r="T774">
        <f t="shared" si="505"/>
        <v>3</v>
      </c>
      <c r="U774">
        <v>1</v>
      </c>
      <c r="V774">
        <f t="shared" ref="V774:V795" si="516">IF($J774="","",V751+100)</f>
        <v>3401</v>
      </c>
      <c r="W774">
        <v>75</v>
      </c>
      <c r="X774">
        <f t="shared" si="491"/>
        <v>111</v>
      </c>
      <c r="Y774">
        <v>5000</v>
      </c>
      <c r="Z774">
        <f t="shared" si="506"/>
        <v>3</v>
      </c>
      <c r="AA774">
        <v>1</v>
      </c>
      <c r="AB774">
        <f t="shared" ref="AB774:AB795" si="517">IF($J774="","",AB751+100)</f>
        <v>3401</v>
      </c>
      <c r="AC774">
        <v>73</v>
      </c>
      <c r="AD774">
        <f t="shared" si="492"/>
        <v>112</v>
      </c>
      <c r="AE774">
        <v>5000</v>
      </c>
      <c r="AF774">
        <f t="shared" si="507"/>
        <v>3</v>
      </c>
      <c r="AG774">
        <v>1</v>
      </c>
      <c r="AH774">
        <f t="shared" ref="AH774:AH795" si="518">IF($J774="","",AH751+100)</f>
        <v>3401</v>
      </c>
      <c r="AI774">
        <v>78</v>
      </c>
      <c r="AJ774">
        <f t="shared" si="493"/>
        <v>113</v>
      </c>
      <c r="AP774" t="str">
        <f t="shared" si="508"/>
        <v>{5000,3,1,3401,101}</v>
      </c>
      <c r="AQ774" t="str">
        <f t="shared" si="509"/>
        <v>{5000,3,1,3401,103}</v>
      </c>
      <c r="AR774" t="str">
        <f t="shared" si="510"/>
        <v>{5000,3,1,3401,111}</v>
      </c>
      <c r="AS774" t="str">
        <f t="shared" si="511"/>
        <v>{5000,3,1,3401,112}</v>
      </c>
      <c r="AT774" t="str">
        <f t="shared" si="512"/>
        <v>{5000,3,1,3401,113}</v>
      </c>
      <c r="AU774" t="str">
        <f t="shared" si="513"/>
        <v/>
      </c>
      <c r="AV774">
        <v>4412</v>
      </c>
      <c r="AW774" t="str">
        <f t="shared" si="504"/>
        <v>[{5000,3,1,3401,101},{5000,3,1,3401,103},{5000,3,1,3401,111},{5000,3,1,3401,112},{5000,3,1,3401,113}]</v>
      </c>
    </row>
    <row r="775" spans="2:49">
      <c r="B775">
        <v>4413</v>
      </c>
      <c r="C775" t="s">
        <v>60</v>
      </c>
      <c r="D775" t="str">
        <f t="shared" si="475"/>
        <v>35</v>
      </c>
      <c r="F775">
        <v>31</v>
      </c>
      <c r="G775">
        <v>5000</v>
      </c>
      <c r="H775">
        <f t="shared" si="485"/>
        <v>6</v>
      </c>
      <c r="I775">
        <v>1</v>
      </c>
      <c r="J775">
        <v>1</v>
      </c>
      <c r="K775">
        <f t="shared" si="514"/>
        <v>3401</v>
      </c>
      <c r="L775">
        <f t="shared" si="489"/>
        <v>101</v>
      </c>
      <c r="M775">
        <v>5000</v>
      </c>
      <c r="N775">
        <f t="shared" si="488"/>
        <v>6</v>
      </c>
      <c r="O775">
        <v>1</v>
      </c>
      <c r="P775">
        <f t="shared" si="515"/>
        <v>3401</v>
      </c>
      <c r="Q775">
        <v>55</v>
      </c>
      <c r="R775">
        <f t="shared" si="490"/>
        <v>102</v>
      </c>
      <c r="S775">
        <v>5000</v>
      </c>
      <c r="T775">
        <f t="shared" si="505"/>
        <v>6</v>
      </c>
      <c r="U775">
        <v>1</v>
      </c>
      <c r="V775">
        <f t="shared" si="516"/>
        <v>3401</v>
      </c>
      <c r="W775">
        <v>58</v>
      </c>
      <c r="X775">
        <f t="shared" si="491"/>
        <v>103</v>
      </c>
      <c r="Y775">
        <v>5000</v>
      </c>
      <c r="Z775">
        <f t="shared" si="506"/>
        <v>6</v>
      </c>
      <c r="AA775">
        <v>1</v>
      </c>
      <c r="AB775">
        <f t="shared" si="517"/>
        <v>3401</v>
      </c>
      <c r="AC775">
        <v>76</v>
      </c>
      <c r="AD775">
        <f t="shared" si="492"/>
        <v>113</v>
      </c>
      <c r="AE775">
        <v>5000</v>
      </c>
      <c r="AF775">
        <f t="shared" si="507"/>
        <v>6</v>
      </c>
      <c r="AG775">
        <v>1</v>
      </c>
      <c r="AH775">
        <f t="shared" si="518"/>
        <v>3401</v>
      </c>
      <c r="AI775">
        <v>79</v>
      </c>
      <c r="AJ775">
        <f t="shared" si="493"/>
        <v>111</v>
      </c>
      <c r="AP775" t="str">
        <f t="shared" si="508"/>
        <v>{5000,6,1,3401,101}</v>
      </c>
      <c r="AQ775" t="str">
        <f t="shared" si="509"/>
        <v>{5000,6,1,3401,102}</v>
      </c>
      <c r="AR775" t="str">
        <f t="shared" si="510"/>
        <v>{5000,6,1,3401,103}</v>
      </c>
      <c r="AS775" t="str">
        <f t="shared" si="511"/>
        <v>{5000,6,1,3401,113}</v>
      </c>
      <c r="AT775" t="str">
        <f t="shared" si="512"/>
        <v>{5000,6,1,3401,111}</v>
      </c>
      <c r="AU775" t="str">
        <f t="shared" si="513"/>
        <v/>
      </c>
      <c r="AV775">
        <v>4413</v>
      </c>
      <c r="AW775" t="str">
        <f t="shared" si="504"/>
        <v>[{5000,6,1,3401,101},{5000,6,1,3401,102},{5000,6,1,3401,103},{5000,6,1,3401,113},{5000,6,1,3401,111}]</v>
      </c>
    </row>
    <row r="776" spans="2:49">
      <c r="B776">
        <v>4414</v>
      </c>
      <c r="C776" t="s">
        <v>60</v>
      </c>
      <c r="D776" t="str">
        <f t="shared" ref="D776:D795" si="519">RIGHT(C776,2)</f>
        <v>35</v>
      </c>
      <c r="F776">
        <v>46</v>
      </c>
      <c r="G776">
        <v>5000</v>
      </c>
      <c r="H776">
        <f t="shared" si="485"/>
        <v>6</v>
      </c>
      <c r="I776">
        <v>1</v>
      </c>
      <c r="J776">
        <v>1</v>
      </c>
      <c r="K776">
        <f t="shared" si="514"/>
        <v>3401</v>
      </c>
      <c r="L776">
        <f t="shared" si="489"/>
        <v>101</v>
      </c>
      <c r="M776">
        <v>5000</v>
      </c>
      <c r="N776">
        <f t="shared" si="488"/>
        <v>6</v>
      </c>
      <c r="O776">
        <v>1</v>
      </c>
      <c r="P776">
        <f t="shared" si="515"/>
        <v>3401</v>
      </c>
      <c r="Q776">
        <v>55</v>
      </c>
      <c r="R776">
        <f t="shared" si="490"/>
        <v>103</v>
      </c>
      <c r="S776">
        <v>5000</v>
      </c>
      <c r="T776">
        <f t="shared" si="505"/>
        <v>6</v>
      </c>
      <c r="U776">
        <v>1</v>
      </c>
      <c r="V776">
        <f t="shared" si="516"/>
        <v>3402</v>
      </c>
      <c r="W776">
        <v>76</v>
      </c>
      <c r="X776">
        <f t="shared" si="491"/>
        <v>111</v>
      </c>
      <c r="Y776">
        <v>5000</v>
      </c>
      <c r="Z776">
        <f t="shared" si="506"/>
        <v>6</v>
      </c>
      <c r="AA776">
        <v>1</v>
      </c>
      <c r="AB776">
        <f t="shared" si="517"/>
        <v>3401</v>
      </c>
      <c r="AC776">
        <v>71</v>
      </c>
      <c r="AD776">
        <f t="shared" si="492"/>
        <v>112</v>
      </c>
      <c r="AE776">
        <v>5000</v>
      </c>
      <c r="AF776">
        <f t="shared" si="507"/>
        <v>6</v>
      </c>
      <c r="AG776">
        <v>1</v>
      </c>
      <c r="AH776">
        <f t="shared" si="518"/>
        <v>3401</v>
      </c>
      <c r="AI776">
        <v>71</v>
      </c>
      <c r="AJ776">
        <f t="shared" si="493"/>
        <v>113</v>
      </c>
      <c r="AP776" t="str">
        <f t="shared" si="508"/>
        <v>{5000,6,1,3401,101}</v>
      </c>
      <c r="AQ776" t="str">
        <f t="shared" si="509"/>
        <v>{5000,6,1,3401,103}</v>
      </c>
      <c r="AR776" t="str">
        <f t="shared" si="510"/>
        <v>{5000,6,1,3402,111}</v>
      </c>
      <c r="AS776" t="str">
        <f t="shared" si="511"/>
        <v>{5000,6,1,3401,112}</v>
      </c>
      <c r="AT776" t="str">
        <f t="shared" si="512"/>
        <v>{5000,6,1,3401,113}</v>
      </c>
      <c r="AU776" t="str">
        <f t="shared" si="513"/>
        <v/>
      </c>
      <c r="AV776">
        <v>4414</v>
      </c>
      <c r="AW776" t="str">
        <f t="shared" si="504"/>
        <v>[{5000,6,1,3401,101},{5000,6,1,3401,103},{5000,6,1,3402,111},{5000,6,1,3401,112},{5000,6,1,3401,113}]</v>
      </c>
    </row>
    <row r="777" spans="2:49">
      <c r="B777">
        <v>4415</v>
      </c>
      <c r="C777" t="s">
        <v>60</v>
      </c>
      <c r="D777" t="str">
        <f t="shared" si="519"/>
        <v>35</v>
      </c>
      <c r="F777">
        <v>61</v>
      </c>
      <c r="G777">
        <v>5000</v>
      </c>
      <c r="H777">
        <f t="shared" si="485"/>
        <v>8</v>
      </c>
      <c r="I777">
        <v>1</v>
      </c>
      <c r="J777">
        <v>3</v>
      </c>
      <c r="K777">
        <f t="shared" si="514"/>
        <v>3403</v>
      </c>
      <c r="L777">
        <f t="shared" si="489"/>
        <v>101</v>
      </c>
      <c r="M777">
        <v>5000</v>
      </c>
      <c r="N777">
        <f t="shared" si="488"/>
        <v>8</v>
      </c>
      <c r="O777">
        <v>1</v>
      </c>
      <c r="P777">
        <f t="shared" si="515"/>
        <v>3403</v>
      </c>
      <c r="Q777">
        <v>56</v>
      </c>
      <c r="R777">
        <f t="shared" si="490"/>
        <v>102</v>
      </c>
      <c r="S777">
        <v>5000</v>
      </c>
      <c r="T777">
        <f t="shared" si="505"/>
        <v>8</v>
      </c>
      <c r="U777">
        <v>1</v>
      </c>
      <c r="V777">
        <f t="shared" si="516"/>
        <v>3403</v>
      </c>
      <c r="W777">
        <v>57</v>
      </c>
      <c r="X777">
        <f t="shared" si="491"/>
        <v>103</v>
      </c>
      <c r="Y777">
        <v>5000</v>
      </c>
      <c r="Z777">
        <f t="shared" si="506"/>
        <v>8</v>
      </c>
      <c r="AA777">
        <v>1</v>
      </c>
      <c r="AB777">
        <f t="shared" si="517"/>
        <v>3403</v>
      </c>
      <c r="AC777">
        <v>72</v>
      </c>
      <c r="AD777">
        <f t="shared" si="492"/>
        <v>113</v>
      </c>
      <c r="AE777">
        <v>5000</v>
      </c>
      <c r="AF777">
        <f t="shared" si="507"/>
        <v>8</v>
      </c>
      <c r="AG777">
        <v>1</v>
      </c>
      <c r="AH777">
        <f t="shared" si="518"/>
        <v>3403</v>
      </c>
      <c r="AI777">
        <v>71</v>
      </c>
      <c r="AJ777">
        <f t="shared" si="493"/>
        <v>111</v>
      </c>
      <c r="AP777" t="str">
        <f t="shared" si="508"/>
        <v>{5000,8,1,3403,101}</v>
      </c>
      <c r="AQ777" t="str">
        <f t="shared" si="509"/>
        <v>{5000,8,1,3403,102}</v>
      </c>
      <c r="AR777" t="str">
        <f t="shared" si="510"/>
        <v>{5000,8,1,3403,103}</v>
      </c>
      <c r="AS777" t="str">
        <f t="shared" si="511"/>
        <v>{5000,8,1,3403,113}</v>
      </c>
      <c r="AT777" t="str">
        <f t="shared" si="512"/>
        <v>{5000,8,1,3403,111}</v>
      </c>
      <c r="AU777" t="str">
        <f t="shared" si="513"/>
        <v/>
      </c>
      <c r="AV777">
        <v>4415</v>
      </c>
      <c r="AW777" t="str">
        <f t="shared" si="504"/>
        <v>[{5000,8,1,3403,101},{5000,8,1,3403,102},{5000,8,1,3403,103},{5000,8,1,3403,113},{5000,8,1,3403,111}]</v>
      </c>
    </row>
    <row r="778" spans="2:49">
      <c r="B778">
        <v>4416</v>
      </c>
      <c r="C778" t="s">
        <v>60</v>
      </c>
      <c r="D778" t="str">
        <f t="shared" si="519"/>
        <v>35</v>
      </c>
      <c r="F778">
        <v>76</v>
      </c>
      <c r="G778">
        <v>5000</v>
      </c>
      <c r="H778">
        <f t="shared" si="485"/>
        <v>8</v>
      </c>
      <c r="I778">
        <v>1</v>
      </c>
      <c r="J778">
        <v>1</v>
      </c>
      <c r="K778">
        <f t="shared" si="514"/>
        <v>3401</v>
      </c>
      <c r="L778">
        <f t="shared" si="489"/>
        <v>101</v>
      </c>
      <c r="M778">
        <v>5000</v>
      </c>
      <c r="N778">
        <f t="shared" si="488"/>
        <v>8</v>
      </c>
      <c r="O778">
        <v>1</v>
      </c>
      <c r="P778">
        <f t="shared" si="515"/>
        <v>3401</v>
      </c>
      <c r="Q778">
        <v>59</v>
      </c>
      <c r="R778">
        <f t="shared" si="490"/>
        <v>103</v>
      </c>
      <c r="S778">
        <v>5000</v>
      </c>
      <c r="T778">
        <f t="shared" si="505"/>
        <v>8</v>
      </c>
      <c r="U778">
        <v>1</v>
      </c>
      <c r="V778">
        <f t="shared" si="516"/>
        <v>3402</v>
      </c>
      <c r="W778">
        <v>71</v>
      </c>
      <c r="X778">
        <f t="shared" si="491"/>
        <v>111</v>
      </c>
      <c r="Y778">
        <v>5000</v>
      </c>
      <c r="Z778">
        <f t="shared" si="506"/>
        <v>8</v>
      </c>
      <c r="AA778">
        <v>1</v>
      </c>
      <c r="AB778">
        <f t="shared" si="517"/>
        <v>3401</v>
      </c>
      <c r="AC778">
        <v>71</v>
      </c>
      <c r="AD778">
        <f t="shared" si="492"/>
        <v>112</v>
      </c>
      <c r="AE778">
        <v>5000</v>
      </c>
      <c r="AF778">
        <f t="shared" si="507"/>
        <v>8</v>
      </c>
      <c r="AG778">
        <v>1</v>
      </c>
      <c r="AH778">
        <f t="shared" si="518"/>
        <v>3401</v>
      </c>
      <c r="AI778">
        <v>79</v>
      </c>
      <c r="AJ778">
        <f t="shared" si="493"/>
        <v>113</v>
      </c>
      <c r="AP778" t="str">
        <f t="shared" si="508"/>
        <v>{5000,8,1,3401,101}</v>
      </c>
      <c r="AQ778" t="str">
        <f t="shared" si="509"/>
        <v>{5000,8,1,3401,103}</v>
      </c>
      <c r="AR778" t="str">
        <f t="shared" si="510"/>
        <v>{5000,8,1,3402,111}</v>
      </c>
      <c r="AS778" t="str">
        <f t="shared" si="511"/>
        <v>{5000,8,1,3401,112}</v>
      </c>
      <c r="AT778" t="str">
        <f t="shared" si="512"/>
        <v>{5000,8,1,3401,113}</v>
      </c>
      <c r="AU778" t="str">
        <f t="shared" si="513"/>
        <v/>
      </c>
      <c r="AV778">
        <v>4416</v>
      </c>
      <c r="AW778" t="str">
        <f t="shared" si="504"/>
        <v>[{5000,8,1,3401,101},{5000,8,1,3401,103},{5000,8,1,3402,111},{5000,8,1,3401,112},{5000,8,1,3401,113}]</v>
      </c>
    </row>
    <row r="779" spans="2:49">
      <c r="B779">
        <v>4417</v>
      </c>
      <c r="C779" t="s">
        <v>60</v>
      </c>
      <c r="D779" t="str">
        <f t="shared" si="519"/>
        <v>35</v>
      </c>
      <c r="F779">
        <v>91</v>
      </c>
      <c r="G779">
        <v>5000</v>
      </c>
      <c r="H779">
        <f t="shared" si="485"/>
        <v>8</v>
      </c>
      <c r="I779">
        <v>1</v>
      </c>
      <c r="J779">
        <v>1</v>
      </c>
      <c r="K779">
        <f t="shared" si="514"/>
        <v>3401</v>
      </c>
      <c r="L779">
        <f t="shared" si="489"/>
        <v>101</v>
      </c>
      <c r="M779">
        <v>5000</v>
      </c>
      <c r="N779">
        <f t="shared" si="488"/>
        <v>8</v>
      </c>
      <c r="O779">
        <v>1</v>
      </c>
      <c r="P779">
        <f t="shared" si="515"/>
        <v>3401</v>
      </c>
      <c r="Q779">
        <v>54</v>
      </c>
      <c r="R779">
        <f t="shared" si="490"/>
        <v>102</v>
      </c>
      <c r="S779">
        <v>5000</v>
      </c>
      <c r="T779">
        <f t="shared" si="505"/>
        <v>8</v>
      </c>
      <c r="U779">
        <v>1</v>
      </c>
      <c r="V779">
        <f t="shared" si="516"/>
        <v>3402</v>
      </c>
      <c r="W779">
        <v>51</v>
      </c>
      <c r="X779">
        <f t="shared" si="491"/>
        <v>103</v>
      </c>
      <c r="Y779">
        <v>5000</v>
      </c>
      <c r="Z779">
        <f t="shared" si="506"/>
        <v>8</v>
      </c>
      <c r="AA779">
        <v>1</v>
      </c>
      <c r="AB779">
        <f t="shared" si="517"/>
        <v>3401</v>
      </c>
      <c r="AC779">
        <v>71</v>
      </c>
      <c r="AD779">
        <f t="shared" si="492"/>
        <v>113</v>
      </c>
      <c r="AE779">
        <v>5000</v>
      </c>
      <c r="AF779">
        <f t="shared" si="507"/>
        <v>8</v>
      </c>
      <c r="AG779">
        <v>1</v>
      </c>
      <c r="AH779">
        <f t="shared" si="518"/>
        <v>3402</v>
      </c>
      <c r="AI779">
        <v>77</v>
      </c>
      <c r="AJ779">
        <f t="shared" si="493"/>
        <v>111</v>
      </c>
      <c r="AP779" t="str">
        <f t="shared" si="508"/>
        <v>{5000,8,1,3401,101}</v>
      </c>
      <c r="AQ779" t="str">
        <f t="shared" si="509"/>
        <v>{5000,8,1,3401,102}</v>
      </c>
      <c r="AR779" t="str">
        <f t="shared" si="510"/>
        <v>{5000,8,1,3402,103}</v>
      </c>
      <c r="AS779" t="str">
        <f t="shared" si="511"/>
        <v>{5000,8,1,3401,113}</v>
      </c>
      <c r="AT779" t="str">
        <f t="shared" si="512"/>
        <v>{5000,8,1,3402,111}</v>
      </c>
      <c r="AU779" t="str">
        <f t="shared" si="513"/>
        <v/>
      </c>
      <c r="AV779">
        <v>4417</v>
      </c>
      <c r="AW779" t="str">
        <f t="shared" si="504"/>
        <v>[{5000,8,1,3401,101},{5000,8,1,3401,102},{5000,8,1,3402,103},{5000,8,1,3401,113},{5000,8,1,3402,111}]</v>
      </c>
    </row>
    <row r="780" spans="2:49">
      <c r="B780">
        <v>4418</v>
      </c>
      <c r="C780" t="s">
        <v>60</v>
      </c>
      <c r="D780" t="str">
        <f t="shared" si="519"/>
        <v>35</v>
      </c>
      <c r="F780">
        <v>106</v>
      </c>
      <c r="G780">
        <v>5000</v>
      </c>
      <c r="H780">
        <f t="shared" si="485"/>
        <v>8</v>
      </c>
      <c r="I780">
        <v>1</v>
      </c>
      <c r="J780">
        <v>1</v>
      </c>
      <c r="K780">
        <f t="shared" si="514"/>
        <v>3401</v>
      </c>
      <c r="L780">
        <f t="shared" si="489"/>
        <v>101</v>
      </c>
      <c r="M780">
        <v>5000</v>
      </c>
      <c r="N780">
        <f t="shared" si="488"/>
        <v>8</v>
      </c>
      <c r="O780">
        <v>1</v>
      </c>
      <c r="P780">
        <f t="shared" si="515"/>
        <v>3401</v>
      </c>
      <c r="Q780">
        <v>55</v>
      </c>
      <c r="R780">
        <f t="shared" si="490"/>
        <v>103</v>
      </c>
      <c r="S780">
        <v>5000</v>
      </c>
      <c r="T780">
        <f t="shared" si="505"/>
        <v>8</v>
      </c>
      <c r="U780">
        <v>1</v>
      </c>
      <c r="V780">
        <f t="shared" si="516"/>
        <v>3402</v>
      </c>
      <c r="W780">
        <v>73</v>
      </c>
      <c r="X780">
        <f t="shared" si="491"/>
        <v>111</v>
      </c>
      <c r="Y780">
        <v>5000</v>
      </c>
      <c r="Z780">
        <f t="shared" si="506"/>
        <v>8</v>
      </c>
      <c r="AA780">
        <v>1</v>
      </c>
      <c r="AB780">
        <f t="shared" si="517"/>
        <v>3401</v>
      </c>
      <c r="AC780">
        <v>78</v>
      </c>
      <c r="AD780">
        <f t="shared" si="492"/>
        <v>112</v>
      </c>
      <c r="AE780">
        <v>5000</v>
      </c>
      <c r="AF780">
        <f t="shared" si="507"/>
        <v>8</v>
      </c>
      <c r="AG780">
        <v>1</v>
      </c>
      <c r="AH780">
        <f t="shared" si="518"/>
        <v>3402</v>
      </c>
      <c r="AI780">
        <v>71</v>
      </c>
      <c r="AJ780">
        <f t="shared" si="493"/>
        <v>113</v>
      </c>
      <c r="AP780" t="str">
        <f t="shared" si="508"/>
        <v>{5000,8,1,3401,101}</v>
      </c>
      <c r="AQ780" t="str">
        <f t="shared" si="509"/>
        <v>{5000,8,1,3401,103}</v>
      </c>
      <c r="AR780" t="str">
        <f t="shared" si="510"/>
        <v>{5000,8,1,3402,111}</v>
      </c>
      <c r="AS780" t="str">
        <f t="shared" si="511"/>
        <v>{5000,8,1,3401,112}</v>
      </c>
      <c r="AT780" t="str">
        <f t="shared" si="512"/>
        <v>{5000,8,1,3402,113}</v>
      </c>
      <c r="AU780" t="str">
        <f t="shared" si="513"/>
        <v/>
      </c>
      <c r="AV780">
        <v>4418</v>
      </c>
      <c r="AW780" t="str">
        <f t="shared" si="504"/>
        <v>[{5000,8,1,3401,101},{5000,8,1,3401,103},{5000,8,1,3402,111},{5000,8,1,3401,112},{5000,8,1,3402,113}]</v>
      </c>
    </row>
    <row r="781" spans="2:48">
      <c r="B781">
        <v>4419</v>
      </c>
      <c r="C781" t="s">
        <v>60</v>
      </c>
      <c r="D781" t="str">
        <f t="shared" si="519"/>
        <v>35</v>
      </c>
      <c r="F781">
        <v>119</v>
      </c>
      <c r="H781">
        <f t="shared" si="485"/>
        <v>0</v>
      </c>
      <c r="K781" t="str">
        <f t="shared" si="514"/>
        <v/>
      </c>
      <c r="L781" t="str">
        <f t="shared" si="489"/>
        <v/>
      </c>
      <c r="N781">
        <f t="shared" si="488"/>
        <v>0</v>
      </c>
      <c r="P781" t="str">
        <f t="shared" si="515"/>
        <v/>
      </c>
      <c r="R781" t="str">
        <f t="shared" si="490"/>
        <v/>
      </c>
      <c r="T781">
        <f t="shared" si="505"/>
        <v>0</v>
      </c>
      <c r="V781" t="str">
        <f t="shared" si="516"/>
        <v/>
      </c>
      <c r="X781" t="str">
        <f t="shared" si="491"/>
        <v/>
      </c>
      <c r="Z781">
        <f t="shared" si="506"/>
        <v>0</v>
      </c>
      <c r="AB781" t="str">
        <f t="shared" si="517"/>
        <v/>
      </c>
      <c r="AD781" t="str">
        <f t="shared" si="492"/>
        <v/>
      </c>
      <c r="AF781">
        <f t="shared" si="507"/>
        <v>0</v>
      </c>
      <c r="AH781" t="str">
        <f t="shared" si="518"/>
        <v/>
      </c>
      <c r="AJ781" t="str">
        <f t="shared" si="493"/>
        <v/>
      </c>
      <c r="AP781" t="str">
        <f t="shared" si="508"/>
        <v/>
      </c>
      <c r="AQ781" t="str">
        <f t="shared" si="509"/>
        <v/>
      </c>
      <c r="AR781" t="str">
        <f t="shared" si="510"/>
        <v/>
      </c>
      <c r="AS781" t="str">
        <f t="shared" si="511"/>
        <v/>
      </c>
      <c r="AT781" t="str">
        <f t="shared" si="512"/>
        <v/>
      </c>
      <c r="AU781" t="str">
        <f t="shared" si="513"/>
        <v/>
      </c>
      <c r="AV781">
        <v>4419</v>
      </c>
    </row>
    <row r="782" spans="2:49">
      <c r="B782">
        <v>4420</v>
      </c>
      <c r="C782" t="s">
        <v>60</v>
      </c>
      <c r="D782" t="str">
        <f t="shared" si="519"/>
        <v>35</v>
      </c>
      <c r="F782">
        <v>121</v>
      </c>
      <c r="G782">
        <v>5000</v>
      </c>
      <c r="H782">
        <f t="shared" si="485"/>
        <v>10</v>
      </c>
      <c r="I782">
        <v>1</v>
      </c>
      <c r="J782">
        <v>3</v>
      </c>
      <c r="K782">
        <f t="shared" si="514"/>
        <v>3403</v>
      </c>
      <c r="L782">
        <f t="shared" si="489"/>
        <v>101</v>
      </c>
      <c r="M782">
        <v>5000</v>
      </c>
      <c r="N782">
        <f t="shared" si="488"/>
        <v>10</v>
      </c>
      <c r="O782">
        <v>1</v>
      </c>
      <c r="P782">
        <f t="shared" si="515"/>
        <v>3403</v>
      </c>
      <c r="Q782">
        <v>54</v>
      </c>
      <c r="R782">
        <f t="shared" si="490"/>
        <v>102</v>
      </c>
      <c r="S782">
        <v>5000</v>
      </c>
      <c r="T782">
        <f t="shared" si="505"/>
        <v>10</v>
      </c>
      <c r="U782">
        <v>1</v>
      </c>
      <c r="V782">
        <f t="shared" si="516"/>
        <v>3403</v>
      </c>
      <c r="W782">
        <v>51</v>
      </c>
      <c r="X782">
        <f t="shared" si="491"/>
        <v>103</v>
      </c>
      <c r="Y782">
        <v>5000</v>
      </c>
      <c r="Z782">
        <f t="shared" si="506"/>
        <v>10</v>
      </c>
      <c r="AA782">
        <v>1</v>
      </c>
      <c r="AB782">
        <f t="shared" si="517"/>
        <v>3403</v>
      </c>
      <c r="AC782">
        <v>71</v>
      </c>
      <c r="AD782">
        <f t="shared" si="492"/>
        <v>113</v>
      </c>
      <c r="AE782">
        <v>5000</v>
      </c>
      <c r="AF782">
        <f t="shared" si="507"/>
        <v>10</v>
      </c>
      <c r="AG782">
        <v>1</v>
      </c>
      <c r="AH782">
        <f t="shared" si="518"/>
        <v>3403</v>
      </c>
      <c r="AI782">
        <v>79</v>
      </c>
      <c r="AJ782">
        <f t="shared" si="493"/>
        <v>111</v>
      </c>
      <c r="AK782">
        <v>1000</v>
      </c>
      <c r="AL782">
        <v>1</v>
      </c>
      <c r="AM782">
        <v>0</v>
      </c>
      <c r="AN782">
        <f t="shared" ref="AN782" si="520">AN759+100</f>
        <v>3421</v>
      </c>
      <c r="AO782">
        <v>4</v>
      </c>
      <c r="AP782" t="str">
        <f t="shared" si="508"/>
        <v>{5000,10,1,3403,101}</v>
      </c>
      <c r="AQ782" t="str">
        <f t="shared" si="509"/>
        <v>{5000,10,1,3403,102}</v>
      </c>
      <c r="AR782" t="str">
        <f t="shared" si="510"/>
        <v>{5000,10,1,3403,103}</v>
      </c>
      <c r="AS782" t="str">
        <f t="shared" si="511"/>
        <v>{5000,10,1,3403,113}</v>
      </c>
      <c r="AT782" t="str">
        <f t="shared" si="512"/>
        <v>{5000,10,1,3403,111}</v>
      </c>
      <c r="AU782" t="str">
        <f t="shared" si="513"/>
        <v>{1000,1,0,3421,4}</v>
      </c>
      <c r="AV782">
        <v>4420</v>
      </c>
      <c r="AW782" t="str">
        <f t="shared" ref="AW782:AW787" si="521">IF(AU782="","["&amp;_xlfn.TEXTJOIN(",",1,AP782:AT782)&amp;"]","["&amp;_xlfn.TEXTJOIN(",",1,AP782:AU782)&amp;"]")</f>
        <v>[{5000,10,1,3403,101},{5000,10,1,3403,102},{5000,10,1,3403,103},{5000,10,1,3403,113},{5000,10,1,3403,111},{1000,1,0,3421,4}]</v>
      </c>
    </row>
    <row r="783" spans="2:49">
      <c r="B783">
        <v>4421</v>
      </c>
      <c r="C783" t="s">
        <v>60</v>
      </c>
      <c r="D783" t="str">
        <f t="shared" si="519"/>
        <v>35</v>
      </c>
      <c r="F783">
        <v>136</v>
      </c>
      <c r="G783">
        <v>5000</v>
      </c>
      <c r="H783">
        <f t="shared" si="485"/>
        <v>9</v>
      </c>
      <c r="I783">
        <v>1</v>
      </c>
      <c r="J783">
        <v>1</v>
      </c>
      <c r="K783">
        <f t="shared" si="514"/>
        <v>3401</v>
      </c>
      <c r="L783">
        <f t="shared" si="489"/>
        <v>101</v>
      </c>
      <c r="M783">
        <v>5000</v>
      </c>
      <c r="N783">
        <f t="shared" si="488"/>
        <v>9</v>
      </c>
      <c r="O783">
        <v>1</v>
      </c>
      <c r="P783">
        <f t="shared" si="515"/>
        <v>3401</v>
      </c>
      <c r="Q783">
        <v>54</v>
      </c>
      <c r="R783">
        <f t="shared" si="490"/>
        <v>103</v>
      </c>
      <c r="S783">
        <v>5000</v>
      </c>
      <c r="T783">
        <f t="shared" si="505"/>
        <v>9</v>
      </c>
      <c r="U783">
        <v>1</v>
      </c>
      <c r="V783">
        <f t="shared" si="516"/>
        <v>3402</v>
      </c>
      <c r="W783">
        <v>76</v>
      </c>
      <c r="X783">
        <f t="shared" si="491"/>
        <v>111</v>
      </c>
      <c r="Y783">
        <v>5000</v>
      </c>
      <c r="Z783">
        <f t="shared" si="506"/>
        <v>9</v>
      </c>
      <c r="AA783">
        <v>1</v>
      </c>
      <c r="AB783">
        <f t="shared" si="517"/>
        <v>3401</v>
      </c>
      <c r="AC783">
        <v>72</v>
      </c>
      <c r="AD783">
        <f t="shared" si="492"/>
        <v>112</v>
      </c>
      <c r="AE783">
        <v>5000</v>
      </c>
      <c r="AF783">
        <f t="shared" si="507"/>
        <v>9</v>
      </c>
      <c r="AG783">
        <v>1</v>
      </c>
      <c r="AH783">
        <f t="shared" si="518"/>
        <v>3402</v>
      </c>
      <c r="AI783">
        <v>74</v>
      </c>
      <c r="AJ783">
        <f t="shared" si="493"/>
        <v>113</v>
      </c>
      <c r="AP783" t="str">
        <f t="shared" si="508"/>
        <v>{5000,9,1,3401,101}</v>
      </c>
      <c r="AQ783" t="str">
        <f t="shared" si="509"/>
        <v>{5000,9,1,3401,103}</v>
      </c>
      <c r="AR783" t="str">
        <f t="shared" si="510"/>
        <v>{5000,9,1,3402,111}</v>
      </c>
      <c r="AS783" t="str">
        <f t="shared" si="511"/>
        <v>{5000,9,1,3401,112}</v>
      </c>
      <c r="AT783" t="str">
        <f t="shared" si="512"/>
        <v>{5000,9,1,3402,113}</v>
      </c>
      <c r="AU783" t="str">
        <f t="shared" si="513"/>
        <v/>
      </c>
      <c r="AV783">
        <v>4421</v>
      </c>
      <c r="AW783" t="str">
        <f t="shared" si="521"/>
        <v>[{5000,9,1,3401,101},{5000,9,1,3401,103},{5000,9,1,3402,111},{5000,9,1,3401,112},{5000,9,1,3402,113}]</v>
      </c>
    </row>
    <row r="784" spans="2:49">
      <c r="B784">
        <v>4422</v>
      </c>
      <c r="C784" t="s">
        <v>60</v>
      </c>
      <c r="D784" t="str">
        <f t="shared" si="519"/>
        <v>35</v>
      </c>
      <c r="F784">
        <v>151</v>
      </c>
      <c r="G784">
        <v>5000</v>
      </c>
      <c r="H784">
        <f t="shared" si="485"/>
        <v>10</v>
      </c>
      <c r="I784">
        <v>1</v>
      </c>
      <c r="J784">
        <v>1</v>
      </c>
      <c r="K784">
        <f t="shared" si="514"/>
        <v>3401</v>
      </c>
      <c r="L784">
        <f t="shared" si="489"/>
        <v>101</v>
      </c>
      <c r="M784">
        <v>5000</v>
      </c>
      <c r="N784">
        <f t="shared" si="488"/>
        <v>10</v>
      </c>
      <c r="O784">
        <v>1</v>
      </c>
      <c r="P784">
        <f t="shared" si="515"/>
        <v>3401</v>
      </c>
      <c r="Q784">
        <v>54</v>
      </c>
      <c r="R784">
        <f t="shared" si="490"/>
        <v>102</v>
      </c>
      <c r="S784">
        <v>5000</v>
      </c>
      <c r="T784">
        <f t="shared" si="505"/>
        <v>10</v>
      </c>
      <c r="U784">
        <v>1</v>
      </c>
      <c r="V784">
        <f t="shared" si="516"/>
        <v>3402</v>
      </c>
      <c r="W784">
        <v>56</v>
      </c>
      <c r="X784">
        <f t="shared" si="491"/>
        <v>103</v>
      </c>
      <c r="Y784">
        <v>5000</v>
      </c>
      <c r="Z784">
        <f t="shared" si="506"/>
        <v>10</v>
      </c>
      <c r="AA784">
        <v>1</v>
      </c>
      <c r="AB784">
        <f t="shared" si="517"/>
        <v>3401</v>
      </c>
      <c r="AC784">
        <v>72</v>
      </c>
      <c r="AD784">
        <f t="shared" si="492"/>
        <v>113</v>
      </c>
      <c r="AE784">
        <v>5000</v>
      </c>
      <c r="AF784">
        <f t="shared" si="507"/>
        <v>10</v>
      </c>
      <c r="AG784">
        <v>1</v>
      </c>
      <c r="AH784">
        <f t="shared" si="518"/>
        <v>3402</v>
      </c>
      <c r="AI784">
        <v>74</v>
      </c>
      <c r="AJ784">
        <f t="shared" si="493"/>
        <v>111</v>
      </c>
      <c r="AP784" t="str">
        <f t="shared" si="508"/>
        <v>{5000,10,1,3401,101}</v>
      </c>
      <c r="AQ784" t="str">
        <f t="shared" si="509"/>
        <v>{5000,10,1,3401,102}</v>
      </c>
      <c r="AR784" t="str">
        <f t="shared" si="510"/>
        <v>{5000,10,1,3402,103}</v>
      </c>
      <c r="AS784" t="str">
        <f t="shared" si="511"/>
        <v>{5000,10,1,3401,113}</v>
      </c>
      <c r="AT784" t="str">
        <f t="shared" si="512"/>
        <v>{5000,10,1,3402,111}</v>
      </c>
      <c r="AU784" t="str">
        <f t="shared" si="513"/>
        <v/>
      </c>
      <c r="AV784">
        <v>4422</v>
      </c>
      <c r="AW784" t="str">
        <f t="shared" si="521"/>
        <v>[{5000,10,1,3401,101},{5000,10,1,3401,102},{5000,10,1,3402,103},{5000,10,1,3401,113},{5000,10,1,3402,111}]</v>
      </c>
    </row>
    <row r="785" spans="2:49">
      <c r="B785">
        <v>4423</v>
      </c>
      <c r="C785" t="s">
        <v>60</v>
      </c>
      <c r="D785" t="str">
        <f t="shared" si="519"/>
        <v>35</v>
      </c>
      <c r="F785">
        <v>166</v>
      </c>
      <c r="G785">
        <v>5000</v>
      </c>
      <c r="H785">
        <f t="shared" si="485"/>
        <v>11</v>
      </c>
      <c r="I785">
        <v>1</v>
      </c>
      <c r="J785">
        <v>1</v>
      </c>
      <c r="K785">
        <f t="shared" si="514"/>
        <v>3401</v>
      </c>
      <c r="L785">
        <f t="shared" si="489"/>
        <v>101</v>
      </c>
      <c r="M785">
        <v>5000</v>
      </c>
      <c r="N785">
        <f t="shared" si="488"/>
        <v>11</v>
      </c>
      <c r="O785">
        <v>1</v>
      </c>
      <c r="P785">
        <f t="shared" si="515"/>
        <v>3401</v>
      </c>
      <c r="Q785">
        <v>59</v>
      </c>
      <c r="R785">
        <f t="shared" si="490"/>
        <v>103</v>
      </c>
      <c r="S785">
        <v>5000</v>
      </c>
      <c r="T785">
        <f t="shared" si="505"/>
        <v>11</v>
      </c>
      <c r="U785">
        <v>1</v>
      </c>
      <c r="V785">
        <f t="shared" si="516"/>
        <v>3402</v>
      </c>
      <c r="W785">
        <v>79</v>
      </c>
      <c r="X785">
        <f t="shared" si="491"/>
        <v>111</v>
      </c>
      <c r="Y785">
        <v>5000</v>
      </c>
      <c r="Z785">
        <f t="shared" si="506"/>
        <v>11</v>
      </c>
      <c r="AA785">
        <v>1</v>
      </c>
      <c r="AB785">
        <f t="shared" si="517"/>
        <v>3401</v>
      </c>
      <c r="AC785">
        <v>71</v>
      </c>
      <c r="AD785">
        <f t="shared" si="492"/>
        <v>112</v>
      </c>
      <c r="AE785">
        <v>5000</v>
      </c>
      <c r="AF785">
        <f t="shared" si="507"/>
        <v>11</v>
      </c>
      <c r="AG785">
        <v>1</v>
      </c>
      <c r="AH785">
        <f t="shared" si="518"/>
        <v>3402</v>
      </c>
      <c r="AI785">
        <v>74</v>
      </c>
      <c r="AJ785">
        <f t="shared" si="493"/>
        <v>113</v>
      </c>
      <c r="AP785" t="str">
        <f t="shared" si="508"/>
        <v>{5000,11,1,3401,101}</v>
      </c>
      <c r="AQ785" t="str">
        <f t="shared" si="509"/>
        <v>{5000,11,1,3401,103}</v>
      </c>
      <c r="AR785" t="str">
        <f t="shared" si="510"/>
        <v>{5000,11,1,3402,111}</v>
      </c>
      <c r="AS785" t="str">
        <f t="shared" si="511"/>
        <v>{5000,11,1,3401,112}</v>
      </c>
      <c r="AT785" t="str">
        <f t="shared" si="512"/>
        <v>{5000,11,1,3402,113}</v>
      </c>
      <c r="AU785" t="str">
        <f t="shared" si="513"/>
        <v/>
      </c>
      <c r="AV785">
        <v>4423</v>
      </c>
      <c r="AW785" t="str">
        <f t="shared" si="521"/>
        <v>[{5000,11,1,3401,101},{5000,11,1,3401,103},{5000,11,1,3402,111},{5000,11,1,3401,112},{5000,11,1,3402,113}]</v>
      </c>
    </row>
    <row r="786" spans="2:49">
      <c r="B786">
        <v>4424</v>
      </c>
      <c r="C786" t="s">
        <v>60</v>
      </c>
      <c r="D786" t="str">
        <f t="shared" si="519"/>
        <v>35</v>
      </c>
      <c r="F786">
        <v>181</v>
      </c>
      <c r="G786">
        <v>5000</v>
      </c>
      <c r="H786">
        <f t="shared" si="485"/>
        <v>12</v>
      </c>
      <c r="I786">
        <v>1</v>
      </c>
      <c r="J786">
        <v>3</v>
      </c>
      <c r="K786">
        <f t="shared" si="514"/>
        <v>3403</v>
      </c>
      <c r="L786">
        <f t="shared" si="489"/>
        <v>101</v>
      </c>
      <c r="M786">
        <v>5000</v>
      </c>
      <c r="N786">
        <f t="shared" si="488"/>
        <v>12</v>
      </c>
      <c r="O786">
        <v>1</v>
      </c>
      <c r="P786">
        <f t="shared" si="515"/>
        <v>3403</v>
      </c>
      <c r="Q786">
        <v>53</v>
      </c>
      <c r="R786">
        <f t="shared" si="490"/>
        <v>102</v>
      </c>
      <c r="S786">
        <v>5000</v>
      </c>
      <c r="T786">
        <f t="shared" si="505"/>
        <v>12</v>
      </c>
      <c r="U786">
        <v>1</v>
      </c>
      <c r="V786">
        <f t="shared" si="516"/>
        <v>3403</v>
      </c>
      <c r="W786">
        <v>56</v>
      </c>
      <c r="X786">
        <f t="shared" si="491"/>
        <v>103</v>
      </c>
      <c r="Y786">
        <v>5000</v>
      </c>
      <c r="Z786">
        <f t="shared" si="506"/>
        <v>12</v>
      </c>
      <c r="AA786">
        <v>1</v>
      </c>
      <c r="AB786">
        <f t="shared" si="517"/>
        <v>3403</v>
      </c>
      <c r="AC786">
        <v>75</v>
      </c>
      <c r="AD786">
        <f t="shared" si="492"/>
        <v>113</v>
      </c>
      <c r="AE786">
        <v>5000</v>
      </c>
      <c r="AF786">
        <f t="shared" si="507"/>
        <v>12</v>
      </c>
      <c r="AG786">
        <v>1</v>
      </c>
      <c r="AH786">
        <f t="shared" si="518"/>
        <v>3403</v>
      </c>
      <c r="AI786">
        <v>78</v>
      </c>
      <c r="AJ786">
        <f t="shared" si="493"/>
        <v>111</v>
      </c>
      <c r="AP786" t="str">
        <f t="shared" si="508"/>
        <v>{5000,12,1,3403,101}</v>
      </c>
      <c r="AQ786" t="str">
        <f t="shared" si="509"/>
        <v>{5000,12,1,3403,102}</v>
      </c>
      <c r="AR786" t="str">
        <f t="shared" si="510"/>
        <v>{5000,12,1,3403,103}</v>
      </c>
      <c r="AS786" t="str">
        <f t="shared" si="511"/>
        <v>{5000,12,1,3403,113}</v>
      </c>
      <c r="AT786" t="str">
        <f t="shared" si="512"/>
        <v>{5000,12,1,3403,111}</v>
      </c>
      <c r="AU786" t="str">
        <f t="shared" si="513"/>
        <v/>
      </c>
      <c r="AV786">
        <v>4424</v>
      </c>
      <c r="AW786" t="str">
        <f t="shared" si="521"/>
        <v>[{5000,12,1,3403,101},{5000,12,1,3403,102},{5000,12,1,3403,103},{5000,12,1,3403,113},{5000,12,1,3403,111}]</v>
      </c>
    </row>
    <row r="787" spans="2:49">
      <c r="B787">
        <v>4425</v>
      </c>
      <c r="C787" t="s">
        <v>60</v>
      </c>
      <c r="D787" t="str">
        <f t="shared" si="519"/>
        <v>35</v>
      </c>
      <c r="F787">
        <v>196</v>
      </c>
      <c r="G787">
        <v>5000</v>
      </c>
      <c r="H787">
        <f t="shared" si="485"/>
        <v>12</v>
      </c>
      <c r="I787">
        <v>1</v>
      </c>
      <c r="J787">
        <v>2</v>
      </c>
      <c r="K787">
        <f t="shared" si="514"/>
        <v>3402</v>
      </c>
      <c r="L787">
        <f t="shared" si="489"/>
        <v>101</v>
      </c>
      <c r="M787">
        <v>5000</v>
      </c>
      <c r="N787">
        <f t="shared" si="488"/>
        <v>12</v>
      </c>
      <c r="O787">
        <v>1</v>
      </c>
      <c r="P787">
        <f t="shared" si="515"/>
        <v>3401</v>
      </c>
      <c r="Q787">
        <v>54</v>
      </c>
      <c r="R787">
        <f t="shared" si="490"/>
        <v>103</v>
      </c>
      <c r="S787">
        <v>5000</v>
      </c>
      <c r="T787">
        <f t="shared" si="505"/>
        <v>12</v>
      </c>
      <c r="U787">
        <v>1</v>
      </c>
      <c r="V787">
        <f t="shared" si="516"/>
        <v>3402</v>
      </c>
      <c r="W787">
        <v>77</v>
      </c>
      <c r="X787">
        <f t="shared" si="491"/>
        <v>111</v>
      </c>
      <c r="Y787">
        <v>5000</v>
      </c>
      <c r="Z787">
        <f t="shared" si="506"/>
        <v>12</v>
      </c>
      <c r="AA787">
        <v>1</v>
      </c>
      <c r="AB787">
        <f t="shared" si="517"/>
        <v>3401</v>
      </c>
      <c r="AC787">
        <v>72</v>
      </c>
      <c r="AD787">
        <f t="shared" si="492"/>
        <v>112</v>
      </c>
      <c r="AE787">
        <v>5000</v>
      </c>
      <c r="AF787">
        <f t="shared" si="507"/>
        <v>12</v>
      </c>
      <c r="AG787">
        <v>1</v>
      </c>
      <c r="AH787">
        <f t="shared" si="518"/>
        <v>3402</v>
      </c>
      <c r="AI787">
        <v>74</v>
      </c>
      <c r="AJ787">
        <f t="shared" si="493"/>
        <v>113</v>
      </c>
      <c r="AP787" t="str">
        <f t="shared" si="508"/>
        <v>{5000,12,1,3402,101}</v>
      </c>
      <c r="AQ787" t="str">
        <f t="shared" si="509"/>
        <v>{5000,12,1,3401,103}</v>
      </c>
      <c r="AR787" t="str">
        <f t="shared" si="510"/>
        <v>{5000,12,1,3402,111}</v>
      </c>
      <c r="AS787" t="str">
        <f t="shared" si="511"/>
        <v>{5000,12,1,3401,112}</v>
      </c>
      <c r="AT787" t="str">
        <f t="shared" si="512"/>
        <v>{5000,12,1,3402,113}</v>
      </c>
      <c r="AU787" t="str">
        <f t="shared" si="513"/>
        <v/>
      </c>
      <c r="AV787">
        <v>4425</v>
      </c>
      <c r="AW787" t="str">
        <f t="shared" si="521"/>
        <v>[{5000,12,1,3402,101},{5000,12,1,3401,103},{5000,12,1,3402,111},{5000,12,1,3401,112},{5000,12,1,3402,113}]</v>
      </c>
    </row>
    <row r="788" spans="2:48">
      <c r="B788">
        <v>4426</v>
      </c>
      <c r="C788" t="s">
        <v>60</v>
      </c>
      <c r="D788" t="str">
        <f t="shared" si="519"/>
        <v>35</v>
      </c>
      <c r="F788">
        <v>209</v>
      </c>
      <c r="H788">
        <f t="shared" si="485"/>
        <v>0</v>
      </c>
      <c r="K788" t="str">
        <f t="shared" si="514"/>
        <v/>
      </c>
      <c r="L788" t="str">
        <f t="shared" si="489"/>
        <v/>
      </c>
      <c r="N788">
        <f t="shared" si="488"/>
        <v>0</v>
      </c>
      <c r="P788" t="str">
        <f t="shared" si="515"/>
        <v/>
      </c>
      <c r="R788" t="str">
        <f t="shared" si="490"/>
        <v/>
      </c>
      <c r="T788">
        <f t="shared" si="505"/>
        <v>0</v>
      </c>
      <c r="V788" t="str">
        <f t="shared" si="516"/>
        <v/>
      </c>
      <c r="X788" t="str">
        <f t="shared" si="491"/>
        <v/>
      </c>
      <c r="Z788">
        <f t="shared" si="506"/>
        <v>0</v>
      </c>
      <c r="AB788" t="str">
        <f t="shared" si="517"/>
        <v/>
      </c>
      <c r="AD788" t="str">
        <f t="shared" si="492"/>
        <v/>
      </c>
      <c r="AF788">
        <f t="shared" si="507"/>
        <v>0</v>
      </c>
      <c r="AH788" t="str">
        <f t="shared" si="518"/>
        <v/>
      </c>
      <c r="AJ788" t="str">
        <f t="shared" si="493"/>
        <v/>
      </c>
      <c r="AP788" t="str">
        <f t="shared" si="508"/>
        <v/>
      </c>
      <c r="AQ788" t="str">
        <f t="shared" si="509"/>
        <v/>
      </c>
      <c r="AR788" t="str">
        <f t="shared" si="510"/>
        <v/>
      </c>
      <c r="AS788" t="str">
        <f t="shared" si="511"/>
        <v/>
      </c>
      <c r="AT788" t="str">
        <f t="shared" si="512"/>
        <v/>
      </c>
      <c r="AU788" t="str">
        <f t="shared" si="513"/>
        <v/>
      </c>
      <c r="AV788">
        <v>4426</v>
      </c>
    </row>
    <row r="789" spans="2:49">
      <c r="B789">
        <v>4427</v>
      </c>
      <c r="C789" t="s">
        <v>60</v>
      </c>
      <c r="D789" t="str">
        <f t="shared" si="519"/>
        <v>35</v>
      </c>
      <c r="F789">
        <v>211</v>
      </c>
      <c r="G789">
        <v>5000</v>
      </c>
      <c r="H789">
        <f t="shared" si="485"/>
        <v>11</v>
      </c>
      <c r="I789">
        <v>1</v>
      </c>
      <c r="J789">
        <v>2</v>
      </c>
      <c r="K789">
        <f t="shared" si="514"/>
        <v>3402</v>
      </c>
      <c r="L789">
        <f t="shared" si="489"/>
        <v>101</v>
      </c>
      <c r="M789">
        <v>5000</v>
      </c>
      <c r="N789">
        <f t="shared" si="488"/>
        <v>11</v>
      </c>
      <c r="O789">
        <v>1</v>
      </c>
      <c r="P789">
        <f t="shared" si="515"/>
        <v>3401</v>
      </c>
      <c r="Q789">
        <v>51</v>
      </c>
      <c r="R789">
        <f t="shared" si="490"/>
        <v>102</v>
      </c>
      <c r="S789">
        <v>5000</v>
      </c>
      <c r="T789">
        <f t="shared" si="505"/>
        <v>11</v>
      </c>
      <c r="U789">
        <v>1</v>
      </c>
      <c r="V789">
        <f t="shared" si="516"/>
        <v>3402</v>
      </c>
      <c r="W789">
        <v>57</v>
      </c>
      <c r="X789">
        <f t="shared" si="491"/>
        <v>103</v>
      </c>
      <c r="Y789">
        <v>5000</v>
      </c>
      <c r="Z789">
        <f t="shared" si="506"/>
        <v>11</v>
      </c>
      <c r="AA789">
        <v>1</v>
      </c>
      <c r="AB789">
        <f t="shared" si="517"/>
        <v>3401</v>
      </c>
      <c r="AC789">
        <v>79</v>
      </c>
      <c r="AD789">
        <f t="shared" si="492"/>
        <v>113</v>
      </c>
      <c r="AE789">
        <v>5000</v>
      </c>
      <c r="AF789">
        <f t="shared" si="507"/>
        <v>11</v>
      </c>
      <c r="AG789">
        <v>1</v>
      </c>
      <c r="AH789">
        <f t="shared" si="518"/>
        <v>3402</v>
      </c>
      <c r="AI789">
        <v>72</v>
      </c>
      <c r="AJ789">
        <f t="shared" si="493"/>
        <v>111</v>
      </c>
      <c r="AK789">
        <v>1000</v>
      </c>
      <c r="AL789">
        <v>1</v>
      </c>
      <c r="AM789">
        <v>0</v>
      </c>
      <c r="AN789">
        <f t="shared" ref="AN789" si="522">AN766+100</f>
        <v>3431</v>
      </c>
      <c r="AO789">
        <v>4</v>
      </c>
      <c r="AP789" t="str">
        <f t="shared" si="508"/>
        <v>{5000,11,1,3402,101}</v>
      </c>
      <c r="AQ789" t="str">
        <f t="shared" si="509"/>
        <v>{5000,11,1,3401,102}</v>
      </c>
      <c r="AR789" t="str">
        <f t="shared" si="510"/>
        <v>{5000,11,1,3402,103}</v>
      </c>
      <c r="AS789" t="str">
        <f t="shared" si="511"/>
        <v>{5000,11,1,3401,113}</v>
      </c>
      <c r="AT789" t="str">
        <f t="shared" si="512"/>
        <v>{5000,11,1,3402,111}</v>
      </c>
      <c r="AU789" t="str">
        <f t="shared" si="513"/>
        <v>{1000,1,0,3431,4}</v>
      </c>
      <c r="AV789">
        <v>4427</v>
      </c>
      <c r="AW789" t="str">
        <f t="shared" ref="AW789:AW795" si="523">IF(AU789="","["&amp;_xlfn.TEXTJOIN(",",1,AP789:AT789)&amp;"]","["&amp;_xlfn.TEXTJOIN(",",1,AP789:AU789)&amp;"]")</f>
        <v>[{5000,11,1,3402,101},{5000,11,1,3401,102},{5000,11,1,3402,103},{5000,11,1,3401,113},{5000,11,1,3402,111},{1000,1,0,3431,4}]</v>
      </c>
    </row>
    <row r="790" spans="2:49">
      <c r="B790">
        <v>4428</v>
      </c>
      <c r="C790" t="s">
        <v>60</v>
      </c>
      <c r="D790" t="str">
        <f t="shared" si="519"/>
        <v>35</v>
      </c>
      <c r="F790">
        <v>226</v>
      </c>
      <c r="G790">
        <v>5000</v>
      </c>
      <c r="H790">
        <f t="shared" si="485"/>
        <v>11</v>
      </c>
      <c r="I790">
        <v>1</v>
      </c>
      <c r="J790">
        <v>2</v>
      </c>
      <c r="K790">
        <f t="shared" si="514"/>
        <v>3402</v>
      </c>
      <c r="L790">
        <f t="shared" si="489"/>
        <v>101</v>
      </c>
      <c r="M790">
        <v>5000</v>
      </c>
      <c r="N790">
        <f t="shared" si="488"/>
        <v>11</v>
      </c>
      <c r="O790">
        <v>1</v>
      </c>
      <c r="P790">
        <f t="shared" si="515"/>
        <v>3401</v>
      </c>
      <c r="Q790">
        <v>51</v>
      </c>
      <c r="R790">
        <f t="shared" si="490"/>
        <v>103</v>
      </c>
      <c r="S790">
        <v>5000</v>
      </c>
      <c r="T790">
        <f t="shared" si="505"/>
        <v>11</v>
      </c>
      <c r="U790">
        <v>1</v>
      </c>
      <c r="V790">
        <f t="shared" si="516"/>
        <v>3402</v>
      </c>
      <c r="W790">
        <v>75</v>
      </c>
      <c r="X790">
        <f t="shared" si="491"/>
        <v>111</v>
      </c>
      <c r="Y790">
        <v>5000</v>
      </c>
      <c r="Z790">
        <f t="shared" si="506"/>
        <v>11</v>
      </c>
      <c r="AA790">
        <v>1</v>
      </c>
      <c r="AB790">
        <f t="shared" si="517"/>
        <v>3401</v>
      </c>
      <c r="AC790">
        <v>71</v>
      </c>
      <c r="AD790">
        <f t="shared" si="492"/>
        <v>112</v>
      </c>
      <c r="AE790">
        <v>5000</v>
      </c>
      <c r="AF790">
        <f t="shared" si="507"/>
        <v>11</v>
      </c>
      <c r="AG790">
        <v>1</v>
      </c>
      <c r="AH790">
        <f t="shared" si="518"/>
        <v>3402</v>
      </c>
      <c r="AI790">
        <v>77</v>
      </c>
      <c r="AJ790">
        <f t="shared" si="493"/>
        <v>113</v>
      </c>
      <c r="AP790" t="str">
        <f t="shared" si="508"/>
        <v>{5000,11,1,3402,101}</v>
      </c>
      <c r="AQ790" t="str">
        <f t="shared" si="509"/>
        <v>{5000,11,1,3401,103}</v>
      </c>
      <c r="AR790" t="str">
        <f t="shared" si="510"/>
        <v>{5000,11,1,3402,111}</v>
      </c>
      <c r="AS790" t="str">
        <f t="shared" si="511"/>
        <v>{5000,11,1,3401,112}</v>
      </c>
      <c r="AT790" t="str">
        <f t="shared" si="512"/>
        <v>{5000,11,1,3402,113}</v>
      </c>
      <c r="AU790" t="str">
        <f t="shared" si="513"/>
        <v/>
      </c>
      <c r="AV790">
        <v>4428</v>
      </c>
      <c r="AW790" t="str">
        <f t="shared" si="523"/>
        <v>[{5000,11,1,3402,101},{5000,11,1,3401,103},{5000,11,1,3402,111},{5000,11,1,3401,112},{5000,11,1,3402,113}]</v>
      </c>
    </row>
    <row r="791" spans="2:49">
      <c r="B791">
        <v>4429</v>
      </c>
      <c r="C791" t="s">
        <v>60</v>
      </c>
      <c r="D791" t="str">
        <f t="shared" si="519"/>
        <v>35</v>
      </c>
      <c r="F791">
        <v>241</v>
      </c>
      <c r="G791">
        <v>5000</v>
      </c>
      <c r="H791">
        <f t="shared" si="485"/>
        <v>13</v>
      </c>
      <c r="I791">
        <v>1</v>
      </c>
      <c r="J791">
        <v>3</v>
      </c>
      <c r="K791">
        <f t="shared" si="514"/>
        <v>3403</v>
      </c>
      <c r="L791">
        <f t="shared" si="489"/>
        <v>101</v>
      </c>
      <c r="M791">
        <v>5000</v>
      </c>
      <c r="N791">
        <f t="shared" si="488"/>
        <v>13</v>
      </c>
      <c r="O791">
        <v>1</v>
      </c>
      <c r="P791">
        <f t="shared" si="515"/>
        <v>3403</v>
      </c>
      <c r="Q791">
        <v>53</v>
      </c>
      <c r="R791">
        <f t="shared" si="490"/>
        <v>102</v>
      </c>
      <c r="S791">
        <v>5000</v>
      </c>
      <c r="T791">
        <f t="shared" si="505"/>
        <v>13</v>
      </c>
      <c r="U791">
        <v>1</v>
      </c>
      <c r="V791">
        <f t="shared" si="516"/>
        <v>3403</v>
      </c>
      <c r="W791">
        <v>56</v>
      </c>
      <c r="X791">
        <f t="shared" si="491"/>
        <v>103</v>
      </c>
      <c r="Y791">
        <v>5000</v>
      </c>
      <c r="Z791">
        <f t="shared" si="506"/>
        <v>13</v>
      </c>
      <c r="AA791">
        <v>1</v>
      </c>
      <c r="AB791">
        <f t="shared" si="517"/>
        <v>3403</v>
      </c>
      <c r="AC791">
        <v>74</v>
      </c>
      <c r="AD791">
        <f t="shared" si="492"/>
        <v>113</v>
      </c>
      <c r="AE791">
        <v>5000</v>
      </c>
      <c r="AF791">
        <f t="shared" si="507"/>
        <v>13</v>
      </c>
      <c r="AG791">
        <v>1</v>
      </c>
      <c r="AH791">
        <f t="shared" si="518"/>
        <v>3403</v>
      </c>
      <c r="AI791">
        <v>78</v>
      </c>
      <c r="AJ791">
        <f t="shared" si="493"/>
        <v>111</v>
      </c>
      <c r="AP791" t="str">
        <f t="shared" si="508"/>
        <v>{5000,13,1,3403,101}</v>
      </c>
      <c r="AQ791" t="str">
        <f t="shared" si="509"/>
        <v>{5000,13,1,3403,102}</v>
      </c>
      <c r="AR791" t="str">
        <f t="shared" si="510"/>
        <v>{5000,13,1,3403,103}</v>
      </c>
      <c r="AS791" t="str">
        <f t="shared" si="511"/>
        <v>{5000,13,1,3403,113}</v>
      </c>
      <c r="AT791" t="str">
        <f t="shared" si="512"/>
        <v>{5000,13,1,3403,111}</v>
      </c>
      <c r="AU791" t="str">
        <f t="shared" si="513"/>
        <v/>
      </c>
      <c r="AV791">
        <v>4429</v>
      </c>
      <c r="AW791" t="str">
        <f t="shared" si="523"/>
        <v>[{5000,13,1,3403,101},{5000,13,1,3403,102},{5000,13,1,3403,103},{5000,13,1,3403,113},{5000,13,1,3403,111}]</v>
      </c>
    </row>
    <row r="792" spans="2:49">
      <c r="B792">
        <v>4430</v>
      </c>
      <c r="C792" t="s">
        <v>60</v>
      </c>
      <c r="D792" t="str">
        <f t="shared" si="519"/>
        <v>35</v>
      </c>
      <c r="F792">
        <v>256</v>
      </c>
      <c r="G792">
        <v>5000</v>
      </c>
      <c r="H792">
        <f t="shared" si="485"/>
        <v>12</v>
      </c>
      <c r="I792">
        <v>1</v>
      </c>
      <c r="J792">
        <v>2</v>
      </c>
      <c r="K792">
        <f t="shared" si="514"/>
        <v>3402</v>
      </c>
      <c r="L792">
        <f t="shared" si="489"/>
        <v>101</v>
      </c>
      <c r="M792">
        <v>5000</v>
      </c>
      <c r="N792">
        <f t="shared" si="488"/>
        <v>12</v>
      </c>
      <c r="O792">
        <v>1</v>
      </c>
      <c r="P792">
        <f t="shared" si="515"/>
        <v>3402</v>
      </c>
      <c r="Q792">
        <v>59</v>
      </c>
      <c r="R792">
        <f t="shared" si="490"/>
        <v>103</v>
      </c>
      <c r="S792">
        <v>5000</v>
      </c>
      <c r="T792">
        <f t="shared" si="505"/>
        <v>12</v>
      </c>
      <c r="U792">
        <v>1</v>
      </c>
      <c r="V792">
        <f t="shared" si="516"/>
        <v>3402</v>
      </c>
      <c r="W792">
        <v>79</v>
      </c>
      <c r="X792">
        <f t="shared" si="491"/>
        <v>111</v>
      </c>
      <c r="Y792">
        <v>5000</v>
      </c>
      <c r="Z792">
        <f t="shared" si="506"/>
        <v>12</v>
      </c>
      <c r="AA792">
        <v>1</v>
      </c>
      <c r="AB792">
        <f t="shared" si="517"/>
        <v>3401</v>
      </c>
      <c r="AC792">
        <v>72</v>
      </c>
      <c r="AD792">
        <f t="shared" si="492"/>
        <v>112</v>
      </c>
      <c r="AE792">
        <v>5000</v>
      </c>
      <c r="AF792">
        <f t="shared" si="507"/>
        <v>12</v>
      </c>
      <c r="AG792">
        <v>1</v>
      </c>
      <c r="AH792">
        <f t="shared" si="518"/>
        <v>3402</v>
      </c>
      <c r="AI792">
        <v>74</v>
      </c>
      <c r="AJ792">
        <f t="shared" si="493"/>
        <v>113</v>
      </c>
      <c r="AP792" t="str">
        <f t="shared" si="508"/>
        <v>{5000,12,1,3402,101}</v>
      </c>
      <c r="AQ792" t="str">
        <f t="shared" si="509"/>
        <v>{5000,12,1,3402,103}</v>
      </c>
      <c r="AR792" t="str">
        <f t="shared" si="510"/>
        <v>{5000,12,1,3402,111}</v>
      </c>
      <c r="AS792" t="str">
        <f t="shared" si="511"/>
        <v>{5000,12,1,3401,112}</v>
      </c>
      <c r="AT792" t="str">
        <f t="shared" si="512"/>
        <v>{5000,12,1,3402,113}</v>
      </c>
      <c r="AU792" t="str">
        <f t="shared" si="513"/>
        <v/>
      </c>
      <c r="AV792">
        <v>4430</v>
      </c>
      <c r="AW792" t="str">
        <f t="shared" si="523"/>
        <v>[{5000,12,1,3402,101},{5000,12,1,3402,103},{5000,12,1,3402,111},{5000,12,1,3401,112},{5000,12,1,3402,113}]</v>
      </c>
    </row>
    <row r="793" spans="2:49">
      <c r="B793">
        <v>4431</v>
      </c>
      <c r="C793" t="s">
        <v>60</v>
      </c>
      <c r="D793" t="str">
        <f t="shared" si="519"/>
        <v>35</v>
      </c>
      <c r="F793">
        <v>271</v>
      </c>
      <c r="G793">
        <v>5000</v>
      </c>
      <c r="H793">
        <f t="shared" si="485"/>
        <v>13</v>
      </c>
      <c r="I793">
        <v>1</v>
      </c>
      <c r="J793">
        <v>2</v>
      </c>
      <c r="K793">
        <f t="shared" si="514"/>
        <v>3402</v>
      </c>
      <c r="L793">
        <f t="shared" si="489"/>
        <v>101</v>
      </c>
      <c r="M793">
        <v>5000</v>
      </c>
      <c r="N793">
        <f t="shared" si="488"/>
        <v>13</v>
      </c>
      <c r="O793">
        <v>1</v>
      </c>
      <c r="P793">
        <f t="shared" si="515"/>
        <v>3402</v>
      </c>
      <c r="Q793">
        <v>54</v>
      </c>
      <c r="R793">
        <f t="shared" si="490"/>
        <v>102</v>
      </c>
      <c r="S793">
        <v>5000</v>
      </c>
      <c r="T793">
        <f t="shared" si="505"/>
        <v>13</v>
      </c>
      <c r="U793">
        <v>1</v>
      </c>
      <c r="V793">
        <f t="shared" si="516"/>
        <v>3402</v>
      </c>
      <c r="W793">
        <v>56</v>
      </c>
      <c r="X793">
        <f t="shared" si="491"/>
        <v>103</v>
      </c>
      <c r="Y793">
        <v>5000</v>
      </c>
      <c r="Z793">
        <f t="shared" si="506"/>
        <v>13</v>
      </c>
      <c r="AA793">
        <v>1</v>
      </c>
      <c r="AB793">
        <f t="shared" si="517"/>
        <v>3402</v>
      </c>
      <c r="AC793">
        <v>73</v>
      </c>
      <c r="AD793">
        <f t="shared" si="492"/>
        <v>113</v>
      </c>
      <c r="AE793">
        <v>5000</v>
      </c>
      <c r="AF793">
        <f t="shared" si="507"/>
        <v>13</v>
      </c>
      <c r="AG793">
        <v>1</v>
      </c>
      <c r="AH793">
        <f t="shared" si="518"/>
        <v>3402</v>
      </c>
      <c r="AI793">
        <v>75</v>
      </c>
      <c r="AJ793">
        <f t="shared" si="493"/>
        <v>111</v>
      </c>
      <c r="AP793" t="str">
        <f t="shared" si="508"/>
        <v>{5000,13,1,3402,101}</v>
      </c>
      <c r="AQ793" t="str">
        <f t="shared" si="509"/>
        <v>{5000,13,1,3402,102}</v>
      </c>
      <c r="AR793" t="str">
        <f t="shared" si="510"/>
        <v>{5000,13,1,3402,103}</v>
      </c>
      <c r="AS793" t="str">
        <f t="shared" si="511"/>
        <v>{5000,13,1,3402,113}</v>
      </c>
      <c r="AT793" t="str">
        <f t="shared" si="512"/>
        <v>{5000,13,1,3402,111}</v>
      </c>
      <c r="AU793" t="str">
        <f t="shared" si="513"/>
        <v/>
      </c>
      <c r="AV793">
        <v>4431</v>
      </c>
      <c r="AW793" t="str">
        <f t="shared" si="523"/>
        <v>[{5000,13,1,3402,101},{5000,13,1,3402,102},{5000,13,1,3402,103},{5000,13,1,3402,113},{5000,13,1,3402,111}]</v>
      </c>
    </row>
    <row r="794" spans="2:49">
      <c r="B794">
        <v>4432</v>
      </c>
      <c r="C794" t="s">
        <v>60</v>
      </c>
      <c r="D794" t="str">
        <f t="shared" si="519"/>
        <v>35</v>
      </c>
      <c r="F794">
        <v>286</v>
      </c>
      <c r="G794">
        <v>5000</v>
      </c>
      <c r="H794">
        <f t="shared" si="485"/>
        <v>13</v>
      </c>
      <c r="I794">
        <v>1</v>
      </c>
      <c r="J794">
        <v>2</v>
      </c>
      <c r="K794">
        <f t="shared" si="514"/>
        <v>3402</v>
      </c>
      <c r="L794">
        <f t="shared" si="489"/>
        <v>101</v>
      </c>
      <c r="M794">
        <v>5000</v>
      </c>
      <c r="N794">
        <f t="shared" si="488"/>
        <v>13</v>
      </c>
      <c r="O794">
        <v>1</v>
      </c>
      <c r="P794">
        <f t="shared" si="515"/>
        <v>3402</v>
      </c>
      <c r="Q794">
        <v>53</v>
      </c>
      <c r="R794">
        <f t="shared" si="490"/>
        <v>103</v>
      </c>
      <c r="S794">
        <v>5000</v>
      </c>
      <c r="T794">
        <f t="shared" si="505"/>
        <v>13</v>
      </c>
      <c r="U794">
        <v>1</v>
      </c>
      <c r="V794">
        <f t="shared" si="516"/>
        <v>3402</v>
      </c>
      <c r="W794">
        <v>59</v>
      </c>
      <c r="X794">
        <f t="shared" si="491"/>
        <v>111</v>
      </c>
      <c r="Y794">
        <v>5000</v>
      </c>
      <c r="Z794">
        <f t="shared" si="506"/>
        <v>13</v>
      </c>
      <c r="AA794">
        <v>1</v>
      </c>
      <c r="AB794">
        <f t="shared" si="517"/>
        <v>3402</v>
      </c>
      <c r="AC794">
        <v>71</v>
      </c>
      <c r="AD794">
        <f t="shared" si="492"/>
        <v>112</v>
      </c>
      <c r="AE794">
        <v>5000</v>
      </c>
      <c r="AF794">
        <f t="shared" si="507"/>
        <v>13</v>
      </c>
      <c r="AG794">
        <v>1</v>
      </c>
      <c r="AH794">
        <f t="shared" si="518"/>
        <v>3402</v>
      </c>
      <c r="AI794">
        <v>77</v>
      </c>
      <c r="AJ794">
        <f t="shared" si="493"/>
        <v>113</v>
      </c>
      <c r="AP794" t="str">
        <f t="shared" si="508"/>
        <v>{5000,13,1,3402,101}</v>
      </c>
      <c r="AQ794" t="str">
        <f t="shared" si="509"/>
        <v>{5000,13,1,3402,103}</v>
      </c>
      <c r="AR794" t="str">
        <f t="shared" si="510"/>
        <v>{5000,13,1,3402,111}</v>
      </c>
      <c r="AS794" t="str">
        <f t="shared" si="511"/>
        <v>{5000,13,1,3402,112}</v>
      </c>
      <c r="AT794" t="str">
        <f t="shared" si="512"/>
        <v>{5000,13,1,3402,113}</v>
      </c>
      <c r="AU794" t="str">
        <f t="shared" si="513"/>
        <v/>
      </c>
      <c r="AV794">
        <v>4432</v>
      </c>
      <c r="AW794" t="str">
        <f t="shared" si="523"/>
        <v>[{5000,13,1,3402,101},{5000,13,1,3402,103},{5000,13,1,3402,111},{5000,13,1,3402,112},{5000,13,1,3402,113}]</v>
      </c>
    </row>
    <row r="795" spans="2:49">
      <c r="B795">
        <v>4433</v>
      </c>
      <c r="C795" t="s">
        <v>60</v>
      </c>
      <c r="D795" t="str">
        <f t="shared" si="519"/>
        <v>35</v>
      </c>
      <c r="F795">
        <v>290</v>
      </c>
      <c r="G795">
        <v>5000</v>
      </c>
      <c r="H795">
        <f t="shared" ref="H795" si="524">H772</f>
        <v>13</v>
      </c>
      <c r="I795">
        <v>1</v>
      </c>
      <c r="J795">
        <v>2</v>
      </c>
      <c r="K795">
        <f t="shared" si="514"/>
        <v>3402</v>
      </c>
      <c r="L795">
        <f t="shared" si="489"/>
        <v>101</v>
      </c>
      <c r="M795">
        <v>5000</v>
      </c>
      <c r="N795">
        <f t="shared" si="488"/>
        <v>13</v>
      </c>
      <c r="O795">
        <v>1</v>
      </c>
      <c r="P795">
        <f t="shared" si="515"/>
        <v>3402</v>
      </c>
      <c r="Q795">
        <v>56</v>
      </c>
      <c r="R795">
        <f t="shared" si="490"/>
        <v>102</v>
      </c>
      <c r="S795">
        <v>5000</v>
      </c>
      <c r="T795">
        <f t="shared" si="505"/>
        <v>13</v>
      </c>
      <c r="U795">
        <v>1</v>
      </c>
      <c r="V795">
        <f t="shared" si="516"/>
        <v>3401</v>
      </c>
      <c r="W795">
        <v>77</v>
      </c>
      <c r="X795">
        <f t="shared" si="491"/>
        <v>103</v>
      </c>
      <c r="Y795">
        <v>5000</v>
      </c>
      <c r="Z795">
        <f t="shared" si="506"/>
        <v>13</v>
      </c>
      <c r="AA795">
        <v>1</v>
      </c>
      <c r="AB795">
        <f t="shared" si="517"/>
        <v>3402</v>
      </c>
      <c r="AC795">
        <v>72</v>
      </c>
      <c r="AD795">
        <f t="shared" si="492"/>
        <v>113</v>
      </c>
      <c r="AE795">
        <v>5000</v>
      </c>
      <c r="AF795">
        <f t="shared" si="507"/>
        <v>13</v>
      </c>
      <c r="AG795">
        <v>1</v>
      </c>
      <c r="AH795">
        <f t="shared" si="518"/>
        <v>3402</v>
      </c>
      <c r="AI795">
        <v>74</v>
      </c>
      <c r="AJ795">
        <f t="shared" si="493"/>
        <v>111</v>
      </c>
      <c r="AP795" t="str">
        <f t="shared" si="508"/>
        <v>{5000,13,1,3402,101}</v>
      </c>
      <c r="AQ795" t="str">
        <f t="shared" si="509"/>
        <v>{5000,13,1,3402,102}</v>
      </c>
      <c r="AR795" t="str">
        <f t="shared" si="510"/>
        <v>{5000,13,1,3401,103}</v>
      </c>
      <c r="AS795" t="str">
        <f t="shared" si="511"/>
        <v>{5000,13,1,3402,113}</v>
      </c>
      <c r="AT795" t="str">
        <f t="shared" si="512"/>
        <v>{5000,13,1,3402,111}</v>
      </c>
      <c r="AU795" t="str">
        <f t="shared" si="513"/>
        <v/>
      </c>
      <c r="AV795">
        <v>4433</v>
      </c>
      <c r="AW795" t="str">
        <f t="shared" si="523"/>
        <v>[{5000,13,1,3402,101},{5000,13,1,3402,102},{5000,13,1,3401,103},{5000,13,1,3402,113},{5000,13,1,3402,111}]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6:AH94"/>
  <sheetViews>
    <sheetView workbookViewId="0">
      <selection activeCell="T84" sqref="T84"/>
    </sheetView>
  </sheetViews>
  <sheetFormatPr defaultColWidth="9" defaultRowHeight="13.5"/>
  <sheetData>
    <row r="6" spans="10:34">
      <c r="J6" t="s">
        <v>91</v>
      </c>
      <c r="K6">
        <v>1</v>
      </c>
      <c r="L6">
        <v>1</v>
      </c>
      <c r="M6">
        <v>1</v>
      </c>
      <c r="N6" t="s">
        <v>92</v>
      </c>
      <c r="O6" t="s">
        <v>93</v>
      </c>
      <c r="P6">
        <v>1</v>
      </c>
      <c r="Q6">
        <v>1</v>
      </c>
      <c r="R6">
        <v>1</v>
      </c>
      <c r="S6" t="s">
        <v>94</v>
      </c>
      <c r="T6" t="s">
        <v>93</v>
      </c>
      <c r="U6">
        <v>1</v>
      </c>
      <c r="V6">
        <v>1</v>
      </c>
      <c r="W6">
        <v>1</v>
      </c>
      <c r="X6" t="s">
        <v>95</v>
      </c>
      <c r="Y6" t="s">
        <v>93</v>
      </c>
      <c r="Z6">
        <v>1</v>
      </c>
      <c r="AA6">
        <v>1</v>
      </c>
      <c r="AB6">
        <v>1</v>
      </c>
      <c r="AC6" t="s">
        <v>96</v>
      </c>
      <c r="AD6" t="s">
        <v>93</v>
      </c>
      <c r="AE6">
        <v>1</v>
      </c>
      <c r="AF6">
        <v>1</v>
      </c>
      <c r="AG6">
        <v>1</v>
      </c>
      <c r="AH6" t="s">
        <v>97</v>
      </c>
    </row>
    <row r="7" spans="10:34">
      <c r="J7" t="s">
        <v>91</v>
      </c>
      <c r="K7">
        <v>1</v>
      </c>
      <c r="L7">
        <v>1</v>
      </c>
      <c r="M7">
        <v>1</v>
      </c>
      <c r="N7" t="s">
        <v>98</v>
      </c>
      <c r="O7" t="s">
        <v>93</v>
      </c>
      <c r="P7">
        <v>1</v>
      </c>
      <c r="Q7">
        <v>1</v>
      </c>
      <c r="R7">
        <v>1</v>
      </c>
      <c r="S7" t="s">
        <v>94</v>
      </c>
      <c r="T7" t="s">
        <v>93</v>
      </c>
      <c r="U7">
        <v>1</v>
      </c>
      <c r="V7">
        <v>1</v>
      </c>
      <c r="W7">
        <v>1</v>
      </c>
      <c r="X7" t="s">
        <v>99</v>
      </c>
      <c r="Y7" t="s">
        <v>93</v>
      </c>
      <c r="Z7">
        <v>1</v>
      </c>
      <c r="AA7">
        <v>1</v>
      </c>
      <c r="AB7">
        <v>1</v>
      </c>
      <c r="AC7" t="s">
        <v>100</v>
      </c>
      <c r="AD7" t="s">
        <v>93</v>
      </c>
      <c r="AE7">
        <v>1</v>
      </c>
      <c r="AF7">
        <v>1</v>
      </c>
      <c r="AG7">
        <v>1</v>
      </c>
      <c r="AH7" t="s">
        <v>101</v>
      </c>
    </row>
    <row r="8" spans="10:34">
      <c r="J8" t="s">
        <v>91</v>
      </c>
      <c r="K8">
        <v>2</v>
      </c>
      <c r="L8">
        <v>1</v>
      </c>
      <c r="M8">
        <v>1</v>
      </c>
      <c r="N8" t="s">
        <v>98</v>
      </c>
      <c r="O8" t="s">
        <v>93</v>
      </c>
      <c r="P8">
        <v>2</v>
      </c>
      <c r="Q8">
        <v>1</v>
      </c>
      <c r="R8">
        <v>1</v>
      </c>
      <c r="S8" t="s">
        <v>94</v>
      </c>
      <c r="T8" t="s">
        <v>93</v>
      </c>
      <c r="U8">
        <v>2</v>
      </c>
      <c r="V8">
        <v>1</v>
      </c>
      <c r="W8">
        <v>1</v>
      </c>
      <c r="X8" t="s">
        <v>102</v>
      </c>
      <c r="Y8" t="s">
        <v>93</v>
      </c>
      <c r="Z8">
        <v>2</v>
      </c>
      <c r="AA8">
        <v>1</v>
      </c>
      <c r="AB8">
        <v>1</v>
      </c>
      <c r="AC8" t="s">
        <v>103</v>
      </c>
      <c r="AD8" t="s">
        <v>93</v>
      </c>
      <c r="AE8">
        <v>2</v>
      </c>
      <c r="AF8">
        <v>1</v>
      </c>
      <c r="AG8">
        <v>1</v>
      </c>
      <c r="AH8" t="s">
        <v>104</v>
      </c>
    </row>
    <row r="9" spans="10:34">
      <c r="J9" t="s">
        <v>91</v>
      </c>
      <c r="K9">
        <v>2</v>
      </c>
      <c r="L9">
        <v>1</v>
      </c>
      <c r="M9">
        <v>1</v>
      </c>
      <c r="N9" t="s">
        <v>105</v>
      </c>
      <c r="O9" t="s">
        <v>93</v>
      </c>
      <c r="P9">
        <v>2</v>
      </c>
      <c r="Q9">
        <v>1</v>
      </c>
      <c r="R9">
        <v>1</v>
      </c>
      <c r="S9" t="s">
        <v>94</v>
      </c>
      <c r="T9" t="s">
        <v>93</v>
      </c>
      <c r="U9">
        <v>2</v>
      </c>
      <c r="V9">
        <v>1</v>
      </c>
      <c r="W9">
        <v>2</v>
      </c>
      <c r="X9" t="s">
        <v>103</v>
      </c>
      <c r="Y9" t="s">
        <v>93</v>
      </c>
      <c r="Z9">
        <v>2</v>
      </c>
      <c r="AA9">
        <v>1</v>
      </c>
      <c r="AB9">
        <v>1</v>
      </c>
      <c r="AC9" t="s">
        <v>96</v>
      </c>
      <c r="AD9" t="s">
        <v>93</v>
      </c>
      <c r="AE9">
        <v>2</v>
      </c>
      <c r="AF9">
        <v>1</v>
      </c>
      <c r="AG9">
        <v>1</v>
      </c>
      <c r="AH9" t="s">
        <v>106</v>
      </c>
    </row>
    <row r="10" spans="10:34">
      <c r="J10" t="s">
        <v>91</v>
      </c>
      <c r="K10">
        <v>2</v>
      </c>
      <c r="L10">
        <v>1</v>
      </c>
      <c r="M10">
        <v>3</v>
      </c>
      <c r="N10" t="s">
        <v>94</v>
      </c>
      <c r="O10" t="s">
        <v>93</v>
      </c>
      <c r="P10">
        <v>2</v>
      </c>
      <c r="Q10">
        <v>1</v>
      </c>
      <c r="R10">
        <v>3</v>
      </c>
      <c r="S10" t="s">
        <v>107</v>
      </c>
      <c r="T10" t="s">
        <v>93</v>
      </c>
      <c r="U10">
        <v>2</v>
      </c>
      <c r="V10">
        <v>1</v>
      </c>
      <c r="W10">
        <v>3</v>
      </c>
      <c r="X10" t="s">
        <v>108</v>
      </c>
      <c r="Y10" t="s">
        <v>93</v>
      </c>
      <c r="Z10">
        <v>2</v>
      </c>
      <c r="AA10">
        <v>1</v>
      </c>
      <c r="AB10">
        <v>3</v>
      </c>
      <c r="AC10" t="s">
        <v>109</v>
      </c>
      <c r="AD10" t="s">
        <v>93</v>
      </c>
      <c r="AE10">
        <v>2</v>
      </c>
      <c r="AF10">
        <v>1</v>
      </c>
      <c r="AG10">
        <v>3</v>
      </c>
      <c r="AH10" t="s">
        <v>106</v>
      </c>
    </row>
    <row r="11" ht="16.5" spans="6:34">
      <c r="F11" s="2" t="s">
        <v>110</v>
      </c>
      <c r="J11" t="s">
        <v>91</v>
      </c>
      <c r="K11">
        <v>2</v>
      </c>
      <c r="L11">
        <v>1</v>
      </c>
      <c r="M11">
        <v>1</v>
      </c>
      <c r="N11" t="s">
        <v>98</v>
      </c>
      <c r="O11" t="s">
        <v>93</v>
      </c>
      <c r="P11">
        <v>2</v>
      </c>
      <c r="Q11">
        <v>1</v>
      </c>
      <c r="R11">
        <v>1</v>
      </c>
      <c r="S11" t="s">
        <v>111</v>
      </c>
      <c r="T11" t="s">
        <v>93</v>
      </c>
      <c r="U11">
        <v>2</v>
      </c>
      <c r="V11">
        <v>1</v>
      </c>
      <c r="W11">
        <v>2</v>
      </c>
      <c r="X11" t="s">
        <v>96</v>
      </c>
      <c r="Y11" t="s">
        <v>93</v>
      </c>
      <c r="Z11">
        <v>2</v>
      </c>
      <c r="AA11">
        <v>1</v>
      </c>
      <c r="AB11">
        <v>1</v>
      </c>
      <c r="AC11" t="s">
        <v>96</v>
      </c>
      <c r="AD11" t="s">
        <v>93</v>
      </c>
      <c r="AE11">
        <v>2</v>
      </c>
      <c r="AF11">
        <v>1</v>
      </c>
      <c r="AG11">
        <v>1</v>
      </c>
      <c r="AH11" t="s">
        <v>104</v>
      </c>
    </row>
    <row r="12" spans="10:34">
      <c r="J12" t="s">
        <v>91</v>
      </c>
      <c r="K12">
        <v>2</v>
      </c>
      <c r="L12">
        <v>1</v>
      </c>
      <c r="M12">
        <v>1</v>
      </c>
      <c r="N12" t="s">
        <v>112</v>
      </c>
      <c r="O12" t="s">
        <v>93</v>
      </c>
      <c r="P12">
        <v>2</v>
      </c>
      <c r="Q12">
        <v>1</v>
      </c>
      <c r="R12">
        <v>1</v>
      </c>
      <c r="S12" t="s">
        <v>105</v>
      </c>
      <c r="T12" t="s">
        <v>93</v>
      </c>
      <c r="U12">
        <v>2</v>
      </c>
      <c r="V12">
        <v>1</v>
      </c>
      <c r="W12">
        <v>2</v>
      </c>
      <c r="X12" t="s">
        <v>98</v>
      </c>
      <c r="Y12" t="s">
        <v>93</v>
      </c>
      <c r="Z12">
        <v>2</v>
      </c>
      <c r="AA12">
        <v>1</v>
      </c>
      <c r="AB12">
        <v>1</v>
      </c>
      <c r="AC12" t="s">
        <v>96</v>
      </c>
      <c r="AD12" t="s">
        <v>93</v>
      </c>
      <c r="AE12">
        <v>2</v>
      </c>
      <c r="AF12">
        <v>1</v>
      </c>
      <c r="AG12">
        <v>2</v>
      </c>
      <c r="AH12" t="s">
        <v>113</v>
      </c>
    </row>
    <row r="13" spans="10:34">
      <c r="J13" t="s">
        <v>91</v>
      </c>
      <c r="K13">
        <v>2</v>
      </c>
      <c r="L13">
        <v>1</v>
      </c>
      <c r="M13">
        <v>1</v>
      </c>
      <c r="N13" t="s">
        <v>92</v>
      </c>
      <c r="O13" t="s">
        <v>93</v>
      </c>
      <c r="P13">
        <v>2</v>
      </c>
      <c r="Q13">
        <v>1</v>
      </c>
      <c r="R13">
        <v>1</v>
      </c>
      <c r="S13" t="s">
        <v>94</v>
      </c>
      <c r="T13" t="s">
        <v>93</v>
      </c>
      <c r="U13">
        <v>2</v>
      </c>
      <c r="V13">
        <v>1</v>
      </c>
      <c r="W13">
        <v>2</v>
      </c>
      <c r="X13" t="s">
        <v>100</v>
      </c>
      <c r="Y13" t="s">
        <v>93</v>
      </c>
      <c r="Z13">
        <v>2</v>
      </c>
      <c r="AA13">
        <v>1</v>
      </c>
      <c r="AB13">
        <v>1</v>
      </c>
      <c r="AC13" t="s">
        <v>114</v>
      </c>
      <c r="AD13" t="s">
        <v>93</v>
      </c>
      <c r="AE13">
        <v>2</v>
      </c>
      <c r="AF13">
        <v>1</v>
      </c>
      <c r="AG13">
        <v>2</v>
      </c>
      <c r="AH13" t="s">
        <v>106</v>
      </c>
    </row>
    <row r="14" spans="10:34">
      <c r="J14" t="s">
        <v>91</v>
      </c>
      <c r="K14">
        <v>3</v>
      </c>
      <c r="L14">
        <v>1</v>
      </c>
      <c r="M14">
        <v>3</v>
      </c>
      <c r="N14" t="s">
        <v>107</v>
      </c>
      <c r="O14" t="s">
        <v>93</v>
      </c>
      <c r="P14">
        <v>3</v>
      </c>
      <c r="Q14">
        <v>1</v>
      </c>
      <c r="R14">
        <v>3</v>
      </c>
      <c r="S14" t="s">
        <v>105</v>
      </c>
      <c r="T14" t="s">
        <v>93</v>
      </c>
      <c r="U14">
        <v>3</v>
      </c>
      <c r="V14">
        <v>1</v>
      </c>
      <c r="W14">
        <v>3</v>
      </c>
      <c r="X14" t="s">
        <v>98</v>
      </c>
      <c r="Y14" t="s">
        <v>93</v>
      </c>
      <c r="Z14">
        <v>3</v>
      </c>
      <c r="AA14">
        <v>1</v>
      </c>
      <c r="AB14">
        <v>3</v>
      </c>
      <c r="AC14" t="s">
        <v>96</v>
      </c>
      <c r="AD14" t="s">
        <v>93</v>
      </c>
      <c r="AE14">
        <v>3</v>
      </c>
      <c r="AF14">
        <v>1</v>
      </c>
      <c r="AG14">
        <v>3</v>
      </c>
      <c r="AH14" t="s">
        <v>104</v>
      </c>
    </row>
    <row r="15" spans="10:34">
      <c r="J15" t="s">
        <v>91</v>
      </c>
      <c r="K15">
        <v>3</v>
      </c>
      <c r="L15">
        <v>1</v>
      </c>
      <c r="M15">
        <v>1</v>
      </c>
      <c r="N15" t="s">
        <v>107</v>
      </c>
      <c r="O15" t="s">
        <v>93</v>
      </c>
      <c r="P15">
        <v>3</v>
      </c>
      <c r="Q15">
        <v>1</v>
      </c>
      <c r="R15">
        <v>1</v>
      </c>
      <c r="S15" t="s">
        <v>105</v>
      </c>
      <c r="T15" t="s">
        <v>93</v>
      </c>
      <c r="U15">
        <v>3</v>
      </c>
      <c r="V15">
        <v>1</v>
      </c>
      <c r="W15">
        <v>2</v>
      </c>
      <c r="X15" t="s">
        <v>103</v>
      </c>
      <c r="Y15" t="s">
        <v>93</v>
      </c>
      <c r="Z15">
        <v>3</v>
      </c>
      <c r="AA15">
        <v>1</v>
      </c>
      <c r="AB15">
        <v>1</v>
      </c>
      <c r="AC15" t="s">
        <v>109</v>
      </c>
      <c r="AD15" t="s">
        <v>93</v>
      </c>
      <c r="AE15">
        <v>3</v>
      </c>
      <c r="AF15">
        <v>1</v>
      </c>
      <c r="AG15">
        <v>2</v>
      </c>
      <c r="AH15" t="s">
        <v>115</v>
      </c>
    </row>
    <row r="16" spans="5:34">
      <c r="E16" t="s">
        <v>116</v>
      </c>
      <c r="F16" t="s">
        <v>117</v>
      </c>
      <c r="G16" t="s">
        <v>118</v>
      </c>
      <c r="J16" t="s">
        <v>91</v>
      </c>
      <c r="K16">
        <v>3</v>
      </c>
      <c r="L16">
        <v>1</v>
      </c>
      <c r="M16">
        <v>1</v>
      </c>
      <c r="N16" t="s">
        <v>112</v>
      </c>
      <c r="O16" t="s">
        <v>93</v>
      </c>
      <c r="P16">
        <v>3</v>
      </c>
      <c r="Q16">
        <v>1</v>
      </c>
      <c r="R16">
        <v>1</v>
      </c>
      <c r="S16" t="s">
        <v>105</v>
      </c>
      <c r="T16" t="s">
        <v>93</v>
      </c>
      <c r="U16">
        <v>3</v>
      </c>
      <c r="V16">
        <v>1</v>
      </c>
      <c r="W16">
        <v>2</v>
      </c>
      <c r="X16" t="s">
        <v>107</v>
      </c>
      <c r="Y16" t="s">
        <v>93</v>
      </c>
      <c r="Z16">
        <v>3</v>
      </c>
      <c r="AA16">
        <v>1</v>
      </c>
      <c r="AB16">
        <v>1</v>
      </c>
      <c r="AC16" t="s">
        <v>109</v>
      </c>
      <c r="AD16" t="s">
        <v>93</v>
      </c>
      <c r="AE16">
        <v>3</v>
      </c>
      <c r="AF16">
        <v>1</v>
      </c>
      <c r="AG16">
        <v>2</v>
      </c>
      <c r="AH16" t="s">
        <v>115</v>
      </c>
    </row>
    <row r="17" spans="10:34">
      <c r="J17" t="s">
        <v>91</v>
      </c>
      <c r="K17">
        <v>3</v>
      </c>
      <c r="L17">
        <v>1</v>
      </c>
      <c r="M17">
        <v>1</v>
      </c>
      <c r="N17" t="s">
        <v>98</v>
      </c>
      <c r="O17" t="s">
        <v>93</v>
      </c>
      <c r="P17">
        <v>3</v>
      </c>
      <c r="Q17">
        <v>1</v>
      </c>
      <c r="R17">
        <v>1</v>
      </c>
      <c r="S17" t="s">
        <v>111</v>
      </c>
      <c r="T17" t="s">
        <v>93</v>
      </c>
      <c r="U17">
        <v>3</v>
      </c>
      <c r="V17">
        <v>1</v>
      </c>
      <c r="W17">
        <v>2</v>
      </c>
      <c r="X17" t="s">
        <v>119</v>
      </c>
      <c r="Y17" t="s">
        <v>93</v>
      </c>
      <c r="Z17">
        <v>3</v>
      </c>
      <c r="AA17">
        <v>1</v>
      </c>
      <c r="AB17">
        <v>1</v>
      </c>
      <c r="AC17" t="s">
        <v>96</v>
      </c>
      <c r="AD17" t="s">
        <v>93</v>
      </c>
      <c r="AE17">
        <v>3</v>
      </c>
      <c r="AF17">
        <v>1</v>
      </c>
      <c r="AG17">
        <v>2</v>
      </c>
      <c r="AH17" t="s">
        <v>115</v>
      </c>
    </row>
    <row r="18" spans="10:34">
      <c r="J18" t="s">
        <v>91</v>
      </c>
      <c r="K18">
        <v>4</v>
      </c>
      <c r="L18">
        <v>1</v>
      </c>
      <c r="M18">
        <v>3</v>
      </c>
      <c r="N18" t="s">
        <v>98</v>
      </c>
      <c r="O18" t="s">
        <v>93</v>
      </c>
      <c r="P18">
        <v>4</v>
      </c>
      <c r="Q18">
        <v>1</v>
      </c>
      <c r="R18">
        <v>3</v>
      </c>
      <c r="S18" t="s">
        <v>92</v>
      </c>
      <c r="T18" t="s">
        <v>93</v>
      </c>
      <c r="U18">
        <v>4</v>
      </c>
      <c r="V18">
        <v>1</v>
      </c>
      <c r="W18">
        <v>3</v>
      </c>
      <c r="X18" t="s">
        <v>107</v>
      </c>
      <c r="Y18" t="s">
        <v>93</v>
      </c>
      <c r="Z18">
        <v>4</v>
      </c>
      <c r="AA18">
        <v>1</v>
      </c>
      <c r="AB18">
        <v>3</v>
      </c>
      <c r="AC18" t="s">
        <v>99</v>
      </c>
      <c r="AD18" t="s">
        <v>93</v>
      </c>
      <c r="AE18">
        <v>4</v>
      </c>
      <c r="AF18">
        <v>1</v>
      </c>
      <c r="AG18">
        <v>3</v>
      </c>
      <c r="AH18" t="s">
        <v>101</v>
      </c>
    </row>
    <row r="19" spans="10:34">
      <c r="J19" t="s">
        <v>91</v>
      </c>
      <c r="K19">
        <v>3</v>
      </c>
      <c r="L19">
        <v>1</v>
      </c>
      <c r="M19">
        <v>2</v>
      </c>
      <c r="N19" t="s">
        <v>112</v>
      </c>
      <c r="O19" t="s">
        <v>93</v>
      </c>
      <c r="P19">
        <v>3</v>
      </c>
      <c r="Q19">
        <v>1</v>
      </c>
      <c r="R19">
        <v>1</v>
      </c>
      <c r="S19" t="s">
        <v>105</v>
      </c>
      <c r="T19" t="s">
        <v>93</v>
      </c>
      <c r="U19">
        <v>3</v>
      </c>
      <c r="V19">
        <v>1</v>
      </c>
      <c r="W19">
        <v>2</v>
      </c>
      <c r="X19" t="s">
        <v>120</v>
      </c>
      <c r="Y19" t="s">
        <v>93</v>
      </c>
      <c r="Z19">
        <v>3</v>
      </c>
      <c r="AA19">
        <v>1</v>
      </c>
      <c r="AB19">
        <v>1</v>
      </c>
      <c r="AC19" t="s">
        <v>109</v>
      </c>
      <c r="AD19" t="s">
        <v>93</v>
      </c>
      <c r="AE19">
        <v>3</v>
      </c>
      <c r="AF19">
        <v>1</v>
      </c>
      <c r="AG19">
        <v>2</v>
      </c>
      <c r="AH19" t="s">
        <v>115</v>
      </c>
    </row>
    <row r="20" spans="10:34">
      <c r="J20" t="s">
        <v>91</v>
      </c>
      <c r="K20">
        <v>4</v>
      </c>
      <c r="L20">
        <v>1</v>
      </c>
      <c r="M20">
        <v>2</v>
      </c>
      <c r="N20" t="s">
        <v>92</v>
      </c>
      <c r="O20" t="s">
        <v>93</v>
      </c>
      <c r="P20">
        <v>4</v>
      </c>
      <c r="Q20">
        <v>1</v>
      </c>
      <c r="R20">
        <v>1</v>
      </c>
      <c r="S20" t="s">
        <v>98</v>
      </c>
      <c r="T20" t="s">
        <v>93</v>
      </c>
      <c r="U20">
        <v>4</v>
      </c>
      <c r="V20">
        <v>1</v>
      </c>
      <c r="W20">
        <v>2</v>
      </c>
      <c r="X20" t="s">
        <v>108</v>
      </c>
      <c r="Y20" t="s">
        <v>93</v>
      </c>
      <c r="Z20">
        <v>4</v>
      </c>
      <c r="AA20">
        <v>1</v>
      </c>
      <c r="AB20">
        <v>1</v>
      </c>
      <c r="AC20" t="s">
        <v>119</v>
      </c>
      <c r="AD20" t="s">
        <v>93</v>
      </c>
      <c r="AE20">
        <v>4</v>
      </c>
      <c r="AF20">
        <v>1</v>
      </c>
      <c r="AG20">
        <v>2</v>
      </c>
      <c r="AH20" t="s">
        <v>121</v>
      </c>
    </row>
    <row r="21" spans="10:34">
      <c r="J21" t="s">
        <v>91</v>
      </c>
      <c r="K21">
        <v>4</v>
      </c>
      <c r="L21">
        <v>1</v>
      </c>
      <c r="M21">
        <v>2</v>
      </c>
      <c r="N21" t="s">
        <v>98</v>
      </c>
      <c r="O21" t="s">
        <v>93</v>
      </c>
      <c r="P21">
        <v>4</v>
      </c>
      <c r="Q21">
        <v>1</v>
      </c>
      <c r="R21">
        <v>1</v>
      </c>
      <c r="S21" t="s">
        <v>98</v>
      </c>
      <c r="T21" t="s">
        <v>93</v>
      </c>
      <c r="U21">
        <v>4</v>
      </c>
      <c r="V21">
        <v>1</v>
      </c>
      <c r="W21">
        <v>2</v>
      </c>
      <c r="X21" t="s">
        <v>99</v>
      </c>
      <c r="Y21" t="s">
        <v>93</v>
      </c>
      <c r="Z21">
        <v>4</v>
      </c>
      <c r="AA21">
        <v>1</v>
      </c>
      <c r="AB21">
        <v>1</v>
      </c>
      <c r="AC21" t="s">
        <v>96</v>
      </c>
      <c r="AD21" t="s">
        <v>93</v>
      </c>
      <c r="AE21">
        <v>4</v>
      </c>
      <c r="AF21">
        <v>1</v>
      </c>
      <c r="AG21">
        <v>2</v>
      </c>
      <c r="AH21" t="s">
        <v>113</v>
      </c>
    </row>
    <row r="22" spans="10:34">
      <c r="J22" t="s">
        <v>91</v>
      </c>
      <c r="K22">
        <v>5</v>
      </c>
      <c r="L22">
        <v>1</v>
      </c>
      <c r="M22">
        <v>3</v>
      </c>
      <c r="N22" t="s">
        <v>102</v>
      </c>
      <c r="O22" t="s">
        <v>93</v>
      </c>
      <c r="P22">
        <v>5</v>
      </c>
      <c r="Q22">
        <v>1</v>
      </c>
      <c r="R22">
        <v>3</v>
      </c>
      <c r="S22" t="s">
        <v>92</v>
      </c>
      <c r="T22" t="s">
        <v>93</v>
      </c>
      <c r="U22">
        <v>5</v>
      </c>
      <c r="V22">
        <v>1</v>
      </c>
      <c r="W22">
        <v>3</v>
      </c>
      <c r="X22" t="s">
        <v>107</v>
      </c>
      <c r="Y22" t="s">
        <v>93</v>
      </c>
      <c r="Z22">
        <v>5</v>
      </c>
      <c r="AA22">
        <v>1</v>
      </c>
      <c r="AB22">
        <v>3</v>
      </c>
      <c r="AC22" t="s">
        <v>122</v>
      </c>
      <c r="AD22" t="s">
        <v>93</v>
      </c>
      <c r="AE22">
        <v>5</v>
      </c>
      <c r="AF22">
        <v>1</v>
      </c>
      <c r="AG22">
        <v>3</v>
      </c>
      <c r="AH22" t="s">
        <v>101</v>
      </c>
    </row>
    <row r="23" spans="10:34">
      <c r="J23" t="s">
        <v>91</v>
      </c>
      <c r="K23">
        <v>4</v>
      </c>
      <c r="L23">
        <v>1</v>
      </c>
      <c r="M23">
        <v>2</v>
      </c>
      <c r="N23" t="s">
        <v>98</v>
      </c>
      <c r="O23" t="s">
        <v>93</v>
      </c>
      <c r="P23">
        <v>4</v>
      </c>
      <c r="Q23">
        <v>1</v>
      </c>
      <c r="R23">
        <v>2</v>
      </c>
      <c r="S23" t="s">
        <v>111</v>
      </c>
      <c r="T23" t="s">
        <v>93</v>
      </c>
      <c r="U23">
        <v>4</v>
      </c>
      <c r="V23">
        <v>1</v>
      </c>
      <c r="W23">
        <v>2</v>
      </c>
      <c r="X23" t="s">
        <v>119</v>
      </c>
      <c r="Y23" t="s">
        <v>93</v>
      </c>
      <c r="Z23">
        <v>4</v>
      </c>
      <c r="AA23">
        <v>1</v>
      </c>
      <c r="AB23">
        <v>1</v>
      </c>
      <c r="AC23" t="s">
        <v>109</v>
      </c>
      <c r="AD23" t="s">
        <v>93</v>
      </c>
      <c r="AE23">
        <v>4</v>
      </c>
      <c r="AF23">
        <v>1</v>
      </c>
      <c r="AG23">
        <v>2</v>
      </c>
      <c r="AH23" t="s">
        <v>115</v>
      </c>
    </row>
    <row r="24" spans="10:34">
      <c r="J24" t="s">
        <v>91</v>
      </c>
      <c r="K24">
        <v>4</v>
      </c>
      <c r="L24">
        <v>1</v>
      </c>
      <c r="M24">
        <v>2</v>
      </c>
      <c r="N24" t="s">
        <v>112</v>
      </c>
      <c r="O24" t="s">
        <v>93</v>
      </c>
      <c r="P24">
        <v>4</v>
      </c>
      <c r="Q24">
        <v>1</v>
      </c>
      <c r="R24">
        <v>2</v>
      </c>
      <c r="S24" t="s">
        <v>105</v>
      </c>
      <c r="T24" t="s">
        <v>93</v>
      </c>
      <c r="U24">
        <v>4</v>
      </c>
      <c r="V24">
        <v>1</v>
      </c>
      <c r="W24">
        <v>2</v>
      </c>
      <c r="X24" t="s">
        <v>107</v>
      </c>
      <c r="Y24" t="s">
        <v>93</v>
      </c>
      <c r="Z24">
        <v>4</v>
      </c>
      <c r="AA24">
        <v>1</v>
      </c>
      <c r="AB24">
        <v>2</v>
      </c>
      <c r="AC24" t="s">
        <v>100</v>
      </c>
      <c r="AD24" t="s">
        <v>93</v>
      </c>
      <c r="AE24">
        <v>4</v>
      </c>
      <c r="AF24">
        <v>1</v>
      </c>
      <c r="AG24">
        <v>2</v>
      </c>
      <c r="AH24" t="s">
        <v>123</v>
      </c>
    </row>
    <row r="25" spans="10:34">
      <c r="J25" t="s">
        <v>91</v>
      </c>
      <c r="K25">
        <v>4</v>
      </c>
      <c r="L25">
        <v>1</v>
      </c>
      <c r="M25">
        <v>2</v>
      </c>
      <c r="N25" t="s">
        <v>98</v>
      </c>
      <c r="O25" t="s">
        <v>93</v>
      </c>
      <c r="P25">
        <v>4</v>
      </c>
      <c r="Q25">
        <v>1</v>
      </c>
      <c r="R25">
        <v>2</v>
      </c>
      <c r="S25" t="s">
        <v>92</v>
      </c>
      <c r="T25" t="s">
        <v>93</v>
      </c>
      <c r="U25">
        <v>4</v>
      </c>
      <c r="V25">
        <v>1</v>
      </c>
      <c r="W25">
        <v>2</v>
      </c>
      <c r="X25" t="s">
        <v>111</v>
      </c>
      <c r="Y25" t="s">
        <v>93</v>
      </c>
      <c r="Z25">
        <v>4</v>
      </c>
      <c r="AA25">
        <v>1</v>
      </c>
      <c r="AB25">
        <v>2</v>
      </c>
      <c r="AC25" t="s">
        <v>96</v>
      </c>
      <c r="AD25" t="s">
        <v>93</v>
      </c>
      <c r="AE25">
        <v>4</v>
      </c>
      <c r="AF25">
        <v>1</v>
      </c>
      <c r="AG25">
        <v>2</v>
      </c>
      <c r="AH25" t="s">
        <v>113</v>
      </c>
    </row>
    <row r="26" spans="10:34">
      <c r="J26" t="s">
        <v>91</v>
      </c>
      <c r="K26">
        <v>4</v>
      </c>
      <c r="L26">
        <v>1</v>
      </c>
      <c r="M26">
        <v>2</v>
      </c>
      <c r="N26" t="s">
        <v>102</v>
      </c>
      <c r="O26" t="s">
        <v>93</v>
      </c>
      <c r="P26">
        <v>4</v>
      </c>
      <c r="Q26">
        <v>1</v>
      </c>
      <c r="R26">
        <v>2</v>
      </c>
      <c r="S26" t="s">
        <v>107</v>
      </c>
      <c r="T26" t="s">
        <v>93</v>
      </c>
      <c r="U26">
        <v>4</v>
      </c>
      <c r="V26">
        <v>1</v>
      </c>
      <c r="W26">
        <v>1</v>
      </c>
      <c r="X26" t="s">
        <v>120</v>
      </c>
      <c r="Y26" t="s">
        <v>93</v>
      </c>
      <c r="Z26">
        <v>4</v>
      </c>
      <c r="AA26">
        <v>1</v>
      </c>
      <c r="AB26">
        <v>2</v>
      </c>
      <c r="AC26" t="s">
        <v>109</v>
      </c>
      <c r="AD26" t="s">
        <v>93</v>
      </c>
      <c r="AE26">
        <v>4</v>
      </c>
      <c r="AF26">
        <v>1</v>
      </c>
      <c r="AG26">
        <v>2</v>
      </c>
      <c r="AH26" t="s">
        <v>115</v>
      </c>
    </row>
    <row r="31" spans="9:17">
      <c r="I31">
        <v>1</v>
      </c>
      <c r="J31">
        <v>1</v>
      </c>
      <c r="K31">
        <v>2</v>
      </c>
      <c r="O31">
        <v>2</v>
      </c>
      <c r="Q31">
        <f>O31/2</f>
        <v>1</v>
      </c>
    </row>
    <row r="32" spans="9:17">
      <c r="I32">
        <v>2</v>
      </c>
      <c r="J32">
        <v>8</v>
      </c>
      <c r="K32">
        <v>4</v>
      </c>
      <c r="O32">
        <v>4</v>
      </c>
      <c r="Q32">
        <f t="shared" ref="Q32:Q50" si="0">O32/2</f>
        <v>2</v>
      </c>
    </row>
    <row r="33" spans="9:17">
      <c r="I33">
        <v>3</v>
      </c>
      <c r="J33">
        <v>20</v>
      </c>
      <c r="K33">
        <v>6</v>
      </c>
      <c r="O33">
        <v>6</v>
      </c>
      <c r="Q33">
        <f t="shared" si="0"/>
        <v>3</v>
      </c>
    </row>
    <row r="34" spans="9:17">
      <c r="I34">
        <v>4</v>
      </c>
      <c r="J34">
        <v>33</v>
      </c>
      <c r="K34">
        <v>6</v>
      </c>
      <c r="L34">
        <v>1</v>
      </c>
      <c r="O34">
        <v>8</v>
      </c>
      <c r="Q34">
        <f t="shared" si="0"/>
        <v>4</v>
      </c>
    </row>
    <row r="35" spans="9:17">
      <c r="I35">
        <v>5</v>
      </c>
      <c r="J35">
        <v>44</v>
      </c>
      <c r="K35">
        <v>8</v>
      </c>
      <c r="L35">
        <v>1</v>
      </c>
      <c r="O35">
        <v>10</v>
      </c>
      <c r="Q35">
        <f t="shared" si="0"/>
        <v>5</v>
      </c>
    </row>
    <row r="36" spans="9:18">
      <c r="I36">
        <v>6</v>
      </c>
      <c r="J36">
        <v>55</v>
      </c>
      <c r="K36">
        <v>10</v>
      </c>
      <c r="L36">
        <v>2</v>
      </c>
      <c r="O36">
        <v>10</v>
      </c>
      <c r="P36">
        <v>2</v>
      </c>
      <c r="Q36">
        <f t="shared" si="0"/>
        <v>5</v>
      </c>
      <c r="R36">
        <f t="shared" ref="R36:R50" si="1">P36/2</f>
        <v>1</v>
      </c>
    </row>
    <row r="37" spans="9:18">
      <c r="I37">
        <v>7</v>
      </c>
      <c r="J37">
        <v>68</v>
      </c>
      <c r="K37">
        <v>10</v>
      </c>
      <c r="L37">
        <v>4</v>
      </c>
      <c r="O37">
        <v>12</v>
      </c>
      <c r="P37">
        <v>4</v>
      </c>
      <c r="Q37">
        <f t="shared" si="0"/>
        <v>6</v>
      </c>
      <c r="R37">
        <f t="shared" si="1"/>
        <v>2</v>
      </c>
    </row>
    <row r="38" spans="9:18">
      <c r="I38">
        <v>8</v>
      </c>
      <c r="J38">
        <v>80</v>
      </c>
      <c r="K38">
        <v>12</v>
      </c>
      <c r="L38">
        <v>6</v>
      </c>
      <c r="O38">
        <v>12</v>
      </c>
      <c r="P38">
        <v>6</v>
      </c>
      <c r="Q38">
        <f t="shared" si="0"/>
        <v>6</v>
      </c>
      <c r="R38">
        <f t="shared" si="1"/>
        <v>3</v>
      </c>
    </row>
    <row r="39" spans="9:18">
      <c r="I39">
        <v>9</v>
      </c>
      <c r="J39">
        <v>94</v>
      </c>
      <c r="K39">
        <v>12</v>
      </c>
      <c r="L39">
        <v>8</v>
      </c>
      <c r="O39">
        <v>14</v>
      </c>
      <c r="P39">
        <v>8</v>
      </c>
      <c r="Q39">
        <f t="shared" si="0"/>
        <v>7</v>
      </c>
      <c r="R39">
        <f t="shared" si="1"/>
        <v>4</v>
      </c>
    </row>
    <row r="40" spans="9:18">
      <c r="I40">
        <v>10</v>
      </c>
      <c r="J40">
        <v>107</v>
      </c>
      <c r="K40">
        <v>14</v>
      </c>
      <c r="L40">
        <v>10</v>
      </c>
      <c r="O40">
        <v>14</v>
      </c>
      <c r="P40">
        <v>10</v>
      </c>
      <c r="Q40">
        <f t="shared" si="0"/>
        <v>7</v>
      </c>
      <c r="R40">
        <f t="shared" si="1"/>
        <v>5</v>
      </c>
    </row>
    <row r="41" spans="9:18">
      <c r="I41">
        <v>11</v>
      </c>
      <c r="J41">
        <v>118</v>
      </c>
      <c r="K41">
        <v>14</v>
      </c>
      <c r="L41">
        <v>12</v>
      </c>
      <c r="O41">
        <v>16</v>
      </c>
      <c r="P41">
        <v>12</v>
      </c>
      <c r="Q41">
        <f t="shared" si="0"/>
        <v>8</v>
      </c>
      <c r="R41">
        <f t="shared" si="1"/>
        <v>6</v>
      </c>
    </row>
    <row r="42" spans="9:18">
      <c r="I42">
        <v>12</v>
      </c>
      <c r="J42">
        <v>132</v>
      </c>
      <c r="K42">
        <v>16</v>
      </c>
      <c r="L42">
        <v>14</v>
      </c>
      <c r="O42">
        <v>16</v>
      </c>
      <c r="P42">
        <v>14</v>
      </c>
      <c r="Q42">
        <f t="shared" si="0"/>
        <v>8</v>
      </c>
      <c r="R42">
        <f t="shared" si="1"/>
        <v>7</v>
      </c>
    </row>
    <row r="43" spans="9:18">
      <c r="I43">
        <v>13</v>
      </c>
      <c r="J43">
        <v>144</v>
      </c>
      <c r="K43">
        <v>16</v>
      </c>
      <c r="L43">
        <v>16</v>
      </c>
      <c r="O43">
        <v>18</v>
      </c>
      <c r="P43">
        <v>16</v>
      </c>
      <c r="Q43">
        <f t="shared" si="0"/>
        <v>9</v>
      </c>
      <c r="R43">
        <f t="shared" si="1"/>
        <v>8</v>
      </c>
    </row>
    <row r="44" spans="9:18">
      <c r="I44">
        <v>14</v>
      </c>
      <c r="J44">
        <v>156</v>
      </c>
      <c r="K44">
        <v>18</v>
      </c>
      <c r="L44">
        <v>20</v>
      </c>
      <c r="O44">
        <v>18</v>
      </c>
      <c r="P44">
        <v>20</v>
      </c>
      <c r="Q44">
        <f t="shared" si="0"/>
        <v>9</v>
      </c>
      <c r="R44">
        <f t="shared" si="1"/>
        <v>10</v>
      </c>
    </row>
    <row r="45" spans="9:18">
      <c r="I45">
        <v>15</v>
      </c>
      <c r="J45">
        <v>175</v>
      </c>
      <c r="K45">
        <v>18</v>
      </c>
      <c r="L45">
        <v>24</v>
      </c>
      <c r="O45">
        <v>20</v>
      </c>
      <c r="P45">
        <v>24</v>
      </c>
      <c r="Q45">
        <f t="shared" si="0"/>
        <v>10</v>
      </c>
      <c r="R45">
        <f t="shared" si="1"/>
        <v>12</v>
      </c>
    </row>
    <row r="46" spans="9:18">
      <c r="I46">
        <v>16</v>
      </c>
      <c r="J46">
        <v>190</v>
      </c>
      <c r="K46">
        <v>20</v>
      </c>
      <c r="L46">
        <v>28</v>
      </c>
      <c r="O46">
        <v>20</v>
      </c>
      <c r="P46">
        <v>28</v>
      </c>
      <c r="Q46">
        <f t="shared" si="0"/>
        <v>10</v>
      </c>
      <c r="R46">
        <f t="shared" si="1"/>
        <v>14</v>
      </c>
    </row>
    <row r="47" spans="9:18">
      <c r="I47">
        <v>17</v>
      </c>
      <c r="J47">
        <v>206</v>
      </c>
      <c r="K47">
        <v>20</v>
      </c>
      <c r="L47">
        <v>30</v>
      </c>
      <c r="O47">
        <v>20</v>
      </c>
      <c r="P47">
        <v>32</v>
      </c>
      <c r="Q47">
        <f t="shared" si="0"/>
        <v>10</v>
      </c>
      <c r="R47">
        <f t="shared" si="1"/>
        <v>16</v>
      </c>
    </row>
    <row r="48" spans="9:18">
      <c r="I48">
        <v>18</v>
      </c>
      <c r="J48">
        <v>224</v>
      </c>
      <c r="K48">
        <v>20</v>
      </c>
      <c r="L48">
        <v>32</v>
      </c>
      <c r="O48">
        <v>20</v>
      </c>
      <c r="P48">
        <v>36</v>
      </c>
      <c r="Q48">
        <f t="shared" si="0"/>
        <v>10</v>
      </c>
      <c r="R48">
        <f t="shared" si="1"/>
        <v>18</v>
      </c>
    </row>
    <row r="49" spans="9:18">
      <c r="I49">
        <v>19</v>
      </c>
      <c r="J49">
        <v>240</v>
      </c>
      <c r="K49">
        <v>22</v>
      </c>
      <c r="L49">
        <v>34</v>
      </c>
      <c r="O49">
        <v>20</v>
      </c>
      <c r="P49">
        <v>40</v>
      </c>
      <c r="Q49">
        <f t="shared" si="0"/>
        <v>10</v>
      </c>
      <c r="R49">
        <f t="shared" si="1"/>
        <v>20</v>
      </c>
    </row>
    <row r="50" spans="9:18">
      <c r="I50">
        <v>20</v>
      </c>
      <c r="J50">
        <v>256</v>
      </c>
      <c r="K50">
        <v>22</v>
      </c>
      <c r="L50">
        <v>36</v>
      </c>
      <c r="O50">
        <v>20</v>
      </c>
      <c r="P50">
        <v>44</v>
      </c>
      <c r="Q50">
        <f t="shared" si="0"/>
        <v>10</v>
      </c>
      <c r="R50">
        <f t="shared" si="1"/>
        <v>22</v>
      </c>
    </row>
    <row r="53" spans="9:15">
      <c r="I53">
        <v>1</v>
      </c>
      <c r="J53">
        <v>1</v>
      </c>
      <c r="K53" s="3">
        <v>4</v>
      </c>
      <c r="L53" s="3"/>
      <c r="M53" s="3"/>
      <c r="O53">
        <f>K53/2</f>
        <v>2</v>
      </c>
    </row>
    <row r="54" spans="9:15">
      <c r="I54">
        <v>2</v>
      </c>
      <c r="J54">
        <v>10</v>
      </c>
      <c r="K54" s="3">
        <v>6</v>
      </c>
      <c r="L54" s="3"/>
      <c r="M54" s="3"/>
      <c r="O54">
        <f t="shared" ref="O54:O72" si="2">K54/2</f>
        <v>3</v>
      </c>
    </row>
    <row r="55" spans="9:15">
      <c r="I55">
        <v>3</v>
      </c>
      <c r="J55">
        <v>20</v>
      </c>
      <c r="K55" s="3">
        <v>8</v>
      </c>
      <c r="L55" s="3"/>
      <c r="M55" s="3"/>
      <c r="O55">
        <f t="shared" si="2"/>
        <v>4</v>
      </c>
    </row>
    <row r="56" spans="9:15">
      <c r="I56">
        <v>4</v>
      </c>
      <c r="J56">
        <v>30</v>
      </c>
      <c r="K56" s="3">
        <v>10</v>
      </c>
      <c r="L56" s="3"/>
      <c r="M56" s="3"/>
      <c r="O56">
        <f t="shared" si="2"/>
        <v>5</v>
      </c>
    </row>
    <row r="57" spans="9:16">
      <c r="I57">
        <v>5</v>
      </c>
      <c r="J57">
        <f>J56+13</f>
        <v>43</v>
      </c>
      <c r="K57" s="3">
        <v>10</v>
      </c>
      <c r="L57" s="3">
        <v>2</v>
      </c>
      <c r="M57" s="3"/>
      <c r="O57">
        <f t="shared" si="2"/>
        <v>5</v>
      </c>
      <c r="P57">
        <f>L57/2</f>
        <v>1</v>
      </c>
    </row>
    <row r="58" spans="9:17">
      <c r="I58">
        <v>6</v>
      </c>
      <c r="J58">
        <f t="shared" ref="J58:J64" si="3">J57+13</f>
        <v>56</v>
      </c>
      <c r="K58" s="3">
        <v>10</v>
      </c>
      <c r="L58" s="3">
        <v>2</v>
      </c>
      <c r="M58" s="3">
        <v>2</v>
      </c>
      <c r="O58">
        <f t="shared" si="2"/>
        <v>5</v>
      </c>
      <c r="P58">
        <f t="shared" ref="P58:P72" si="4">L58/2</f>
        <v>1</v>
      </c>
      <c r="Q58">
        <f>M58/2</f>
        <v>1</v>
      </c>
    </row>
    <row r="59" spans="9:17">
      <c r="I59">
        <v>7</v>
      </c>
      <c r="J59">
        <f t="shared" si="3"/>
        <v>69</v>
      </c>
      <c r="K59" s="3">
        <v>10</v>
      </c>
      <c r="L59" s="3">
        <v>4</v>
      </c>
      <c r="M59" s="3">
        <v>2</v>
      </c>
      <c r="O59">
        <f t="shared" si="2"/>
        <v>5</v>
      </c>
      <c r="P59">
        <f t="shared" si="4"/>
        <v>2</v>
      </c>
      <c r="Q59">
        <f t="shared" ref="Q59:Q72" si="5">M59/2</f>
        <v>1</v>
      </c>
    </row>
    <row r="60" spans="9:17">
      <c r="I60">
        <v>8</v>
      </c>
      <c r="J60">
        <f t="shared" si="3"/>
        <v>82</v>
      </c>
      <c r="K60" s="3">
        <v>10</v>
      </c>
      <c r="L60" s="3">
        <v>6</v>
      </c>
      <c r="M60" s="3">
        <v>2</v>
      </c>
      <c r="O60">
        <f t="shared" si="2"/>
        <v>5</v>
      </c>
      <c r="P60">
        <f t="shared" si="4"/>
        <v>3</v>
      </c>
      <c r="Q60">
        <f t="shared" si="5"/>
        <v>1</v>
      </c>
    </row>
    <row r="61" spans="9:17">
      <c r="I61">
        <v>9</v>
      </c>
      <c r="J61">
        <f t="shared" si="3"/>
        <v>95</v>
      </c>
      <c r="K61" s="3">
        <v>12</v>
      </c>
      <c r="L61" s="3">
        <v>8</v>
      </c>
      <c r="M61" s="3">
        <v>2</v>
      </c>
      <c r="O61">
        <f t="shared" si="2"/>
        <v>6</v>
      </c>
      <c r="P61">
        <f t="shared" si="4"/>
        <v>4</v>
      </c>
      <c r="Q61">
        <f t="shared" si="5"/>
        <v>1</v>
      </c>
    </row>
    <row r="62" spans="9:17">
      <c r="I62">
        <v>10</v>
      </c>
      <c r="J62">
        <f t="shared" si="3"/>
        <v>108</v>
      </c>
      <c r="K62" s="3">
        <v>12</v>
      </c>
      <c r="L62" s="3">
        <v>8</v>
      </c>
      <c r="M62" s="3">
        <v>4</v>
      </c>
      <c r="O62">
        <f t="shared" si="2"/>
        <v>6</v>
      </c>
      <c r="P62">
        <f t="shared" si="4"/>
        <v>4</v>
      </c>
      <c r="Q62">
        <f t="shared" si="5"/>
        <v>2</v>
      </c>
    </row>
    <row r="63" spans="9:17">
      <c r="I63">
        <v>11</v>
      </c>
      <c r="J63">
        <f t="shared" si="3"/>
        <v>121</v>
      </c>
      <c r="K63" s="3">
        <v>12</v>
      </c>
      <c r="L63" s="3">
        <v>10</v>
      </c>
      <c r="M63" s="3">
        <v>4</v>
      </c>
      <c r="O63">
        <f t="shared" si="2"/>
        <v>6</v>
      </c>
      <c r="P63">
        <f t="shared" si="4"/>
        <v>5</v>
      </c>
      <c r="Q63">
        <f t="shared" si="5"/>
        <v>2</v>
      </c>
    </row>
    <row r="64" spans="9:17">
      <c r="I64">
        <v>12</v>
      </c>
      <c r="J64">
        <f t="shared" si="3"/>
        <v>134</v>
      </c>
      <c r="K64" s="3">
        <v>12</v>
      </c>
      <c r="L64" s="3">
        <v>10</v>
      </c>
      <c r="M64" s="3">
        <v>4</v>
      </c>
      <c r="O64">
        <f t="shared" si="2"/>
        <v>6</v>
      </c>
      <c r="P64">
        <f t="shared" si="4"/>
        <v>5</v>
      </c>
      <c r="Q64">
        <f t="shared" si="5"/>
        <v>2</v>
      </c>
    </row>
    <row r="65" spans="9:17">
      <c r="I65">
        <v>13</v>
      </c>
      <c r="J65">
        <f t="shared" ref="J65:J71" si="6">J64+13</f>
        <v>147</v>
      </c>
      <c r="K65" s="3">
        <v>12</v>
      </c>
      <c r="L65" s="3">
        <v>12</v>
      </c>
      <c r="M65" s="3">
        <v>4</v>
      </c>
      <c r="O65">
        <f t="shared" si="2"/>
        <v>6</v>
      </c>
      <c r="P65">
        <f t="shared" si="4"/>
        <v>6</v>
      </c>
      <c r="Q65">
        <f t="shared" si="5"/>
        <v>2</v>
      </c>
    </row>
    <row r="66" spans="9:17">
      <c r="I66">
        <v>14</v>
      </c>
      <c r="J66">
        <f t="shared" si="6"/>
        <v>160</v>
      </c>
      <c r="K66" s="3">
        <v>14</v>
      </c>
      <c r="L66" s="3">
        <v>12</v>
      </c>
      <c r="M66" s="3">
        <v>6</v>
      </c>
      <c r="O66">
        <f t="shared" si="2"/>
        <v>7</v>
      </c>
      <c r="P66">
        <f t="shared" si="4"/>
        <v>6</v>
      </c>
      <c r="Q66">
        <f t="shared" si="5"/>
        <v>3</v>
      </c>
    </row>
    <row r="67" spans="9:17">
      <c r="I67">
        <v>15</v>
      </c>
      <c r="J67">
        <f t="shared" si="6"/>
        <v>173</v>
      </c>
      <c r="K67" s="3">
        <v>14</v>
      </c>
      <c r="L67" s="3">
        <v>14</v>
      </c>
      <c r="M67" s="3">
        <v>6</v>
      </c>
      <c r="O67">
        <f t="shared" si="2"/>
        <v>7</v>
      </c>
      <c r="P67">
        <f t="shared" si="4"/>
        <v>7</v>
      </c>
      <c r="Q67">
        <f t="shared" si="5"/>
        <v>3</v>
      </c>
    </row>
    <row r="68" spans="9:17">
      <c r="I68">
        <v>16</v>
      </c>
      <c r="J68">
        <f t="shared" si="6"/>
        <v>186</v>
      </c>
      <c r="K68" s="3">
        <v>14</v>
      </c>
      <c r="L68" s="3">
        <v>16</v>
      </c>
      <c r="M68" s="3">
        <v>6</v>
      </c>
      <c r="O68">
        <f t="shared" si="2"/>
        <v>7</v>
      </c>
      <c r="P68">
        <f t="shared" si="4"/>
        <v>8</v>
      </c>
      <c r="Q68">
        <f t="shared" si="5"/>
        <v>3</v>
      </c>
    </row>
    <row r="69" spans="9:17">
      <c r="I69">
        <v>17</v>
      </c>
      <c r="J69">
        <f t="shared" si="6"/>
        <v>199</v>
      </c>
      <c r="K69" s="3">
        <v>14</v>
      </c>
      <c r="L69" s="3">
        <v>18</v>
      </c>
      <c r="M69" s="3">
        <v>6</v>
      </c>
      <c r="O69">
        <f t="shared" si="2"/>
        <v>7</v>
      </c>
      <c r="P69">
        <f t="shared" si="4"/>
        <v>9</v>
      </c>
      <c r="Q69">
        <f t="shared" si="5"/>
        <v>3</v>
      </c>
    </row>
    <row r="70" spans="9:17">
      <c r="I70">
        <v>18</v>
      </c>
      <c r="J70">
        <f t="shared" si="6"/>
        <v>212</v>
      </c>
      <c r="K70" s="3">
        <v>16</v>
      </c>
      <c r="L70" s="3">
        <v>20</v>
      </c>
      <c r="M70" s="3">
        <v>8</v>
      </c>
      <c r="O70">
        <f t="shared" si="2"/>
        <v>8</v>
      </c>
      <c r="P70">
        <f t="shared" si="4"/>
        <v>10</v>
      </c>
      <c r="Q70">
        <f t="shared" si="5"/>
        <v>4</v>
      </c>
    </row>
    <row r="71" spans="9:17">
      <c r="I71">
        <v>19</v>
      </c>
      <c r="J71">
        <f t="shared" si="6"/>
        <v>225</v>
      </c>
      <c r="K71" s="3">
        <v>16</v>
      </c>
      <c r="L71" s="3">
        <v>22</v>
      </c>
      <c r="M71" s="3">
        <v>8</v>
      </c>
      <c r="O71">
        <f t="shared" si="2"/>
        <v>8</v>
      </c>
      <c r="P71">
        <f t="shared" si="4"/>
        <v>11</v>
      </c>
      <c r="Q71">
        <f t="shared" si="5"/>
        <v>4</v>
      </c>
    </row>
    <row r="72" spans="9:17">
      <c r="I72">
        <v>20</v>
      </c>
      <c r="J72">
        <f>J71+15</f>
        <v>240</v>
      </c>
      <c r="K72" s="3">
        <v>16</v>
      </c>
      <c r="L72" s="3">
        <v>24</v>
      </c>
      <c r="M72" s="3">
        <v>8</v>
      </c>
      <c r="O72">
        <f t="shared" si="2"/>
        <v>8</v>
      </c>
      <c r="P72">
        <f t="shared" si="4"/>
        <v>12</v>
      </c>
      <c r="Q72">
        <f t="shared" si="5"/>
        <v>4</v>
      </c>
    </row>
    <row r="74" spans="10:14">
      <c r="J74" t="s">
        <v>124</v>
      </c>
      <c r="K74" t="s">
        <v>125</v>
      </c>
      <c r="L74" t="s">
        <v>126</v>
      </c>
      <c r="M74" t="s">
        <v>127</v>
      </c>
      <c r="N74" t="s">
        <v>128</v>
      </c>
    </row>
    <row r="75" spans="8:14">
      <c r="H75" t="s">
        <v>124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</row>
    <row r="76" spans="9:14">
      <c r="I76">
        <v>2</v>
      </c>
      <c r="J76">
        <v>10</v>
      </c>
      <c r="K76">
        <v>10</v>
      </c>
      <c r="L76">
        <v>10</v>
      </c>
      <c r="M76">
        <v>12</v>
      </c>
      <c r="N76">
        <v>10</v>
      </c>
    </row>
    <row r="77" spans="9:14">
      <c r="I77">
        <v>3</v>
      </c>
      <c r="J77">
        <v>24</v>
      </c>
      <c r="K77">
        <v>23</v>
      </c>
      <c r="L77">
        <v>23</v>
      </c>
      <c r="M77">
        <v>25</v>
      </c>
      <c r="N77">
        <v>25</v>
      </c>
    </row>
    <row r="78" spans="9:14">
      <c r="I78">
        <v>4</v>
      </c>
      <c r="J78">
        <v>36</v>
      </c>
      <c r="K78">
        <v>36</v>
      </c>
      <c r="L78">
        <v>33</v>
      </c>
      <c r="M78">
        <v>35</v>
      </c>
      <c r="N78">
        <v>34</v>
      </c>
    </row>
    <row r="79" spans="9:14">
      <c r="I79">
        <v>5</v>
      </c>
      <c r="J79">
        <v>48</v>
      </c>
      <c r="K79">
        <v>45</v>
      </c>
      <c r="L79">
        <v>44</v>
      </c>
      <c r="M79">
        <v>45</v>
      </c>
      <c r="N79">
        <v>45</v>
      </c>
    </row>
    <row r="80" spans="9:14">
      <c r="I80">
        <v>6</v>
      </c>
      <c r="J80">
        <v>60</v>
      </c>
      <c r="K80">
        <v>59</v>
      </c>
      <c r="L80">
        <v>56</v>
      </c>
      <c r="M80">
        <v>58</v>
      </c>
      <c r="N80">
        <v>56</v>
      </c>
    </row>
    <row r="81" spans="9:19">
      <c r="I81">
        <v>7</v>
      </c>
      <c r="J81">
        <v>73</v>
      </c>
      <c r="K81">
        <v>72</v>
      </c>
      <c r="L81">
        <v>70</v>
      </c>
      <c r="M81">
        <v>71</v>
      </c>
      <c r="N81">
        <v>68</v>
      </c>
      <c r="R81">
        <f>385*1.25</f>
        <v>481.25</v>
      </c>
      <c r="S81">
        <f>481/385</f>
        <v>1.24935064935065</v>
      </c>
    </row>
    <row r="82" spans="9:19">
      <c r="I82">
        <v>8</v>
      </c>
      <c r="J82">
        <v>89</v>
      </c>
      <c r="K82">
        <v>86</v>
      </c>
      <c r="L82">
        <v>85</v>
      </c>
      <c r="M82">
        <v>86</v>
      </c>
      <c r="N82">
        <v>83</v>
      </c>
      <c r="R82">
        <f>R81+385</f>
        <v>866.25</v>
      </c>
      <c r="S82">
        <f>92/385</f>
        <v>0.238961038961039</v>
      </c>
    </row>
    <row r="83" spans="9:19">
      <c r="I83">
        <v>9</v>
      </c>
      <c r="J83">
        <v>103</v>
      </c>
      <c r="K83">
        <v>101</v>
      </c>
      <c r="L83">
        <v>102</v>
      </c>
      <c r="M83">
        <v>106</v>
      </c>
      <c r="N83">
        <v>104</v>
      </c>
      <c r="S83">
        <f>S82/4</f>
        <v>0.0597402597402597</v>
      </c>
    </row>
    <row r="84" spans="9:14">
      <c r="I84">
        <v>10</v>
      </c>
      <c r="J84">
        <v>117</v>
      </c>
      <c r="K84">
        <v>115</v>
      </c>
      <c r="L84">
        <v>121</v>
      </c>
      <c r="M84">
        <v>125</v>
      </c>
      <c r="N84">
        <v>124</v>
      </c>
    </row>
    <row r="85" spans="9:14">
      <c r="I85">
        <v>11</v>
      </c>
      <c r="J85">
        <v>132</v>
      </c>
      <c r="K85">
        <v>131</v>
      </c>
      <c r="L85">
        <v>138</v>
      </c>
      <c r="M85">
        <v>141</v>
      </c>
      <c r="N85">
        <v>141</v>
      </c>
    </row>
    <row r="86" spans="9:14">
      <c r="I86">
        <v>12</v>
      </c>
      <c r="J86">
        <v>148</v>
      </c>
      <c r="K86">
        <v>149</v>
      </c>
      <c r="L86">
        <v>155</v>
      </c>
      <c r="M86">
        <v>160</v>
      </c>
      <c r="N86">
        <v>157</v>
      </c>
    </row>
    <row r="87" spans="9:14">
      <c r="I87">
        <v>13</v>
      </c>
      <c r="J87">
        <v>166</v>
      </c>
      <c r="K87">
        <v>166</v>
      </c>
      <c r="L87">
        <v>172</v>
      </c>
      <c r="M87">
        <v>175</v>
      </c>
      <c r="N87">
        <v>176</v>
      </c>
    </row>
    <row r="88" spans="9:14">
      <c r="I88">
        <v>14</v>
      </c>
      <c r="J88">
        <v>183</v>
      </c>
      <c r="K88">
        <v>180</v>
      </c>
      <c r="L88">
        <v>192</v>
      </c>
      <c r="M88">
        <v>192</v>
      </c>
      <c r="N88">
        <v>198</v>
      </c>
    </row>
    <row r="89" spans="9:14">
      <c r="I89">
        <v>15</v>
      </c>
      <c r="J89">
        <v>203</v>
      </c>
      <c r="K89">
        <v>202</v>
      </c>
      <c r="L89">
        <v>213</v>
      </c>
      <c r="M89">
        <v>207</v>
      </c>
      <c r="N89">
        <v>219</v>
      </c>
    </row>
    <row r="90" spans="9:14">
      <c r="I90">
        <v>16</v>
      </c>
      <c r="J90">
        <v>222</v>
      </c>
      <c r="K90">
        <v>225</v>
      </c>
      <c r="L90">
        <v>237</v>
      </c>
      <c r="M90">
        <v>235</v>
      </c>
      <c r="N90">
        <v>241</v>
      </c>
    </row>
    <row r="91" spans="9:14">
      <c r="I91">
        <v>17</v>
      </c>
      <c r="J91">
        <v>240</v>
      </c>
      <c r="K91">
        <v>244</v>
      </c>
      <c r="L91">
        <v>264</v>
      </c>
      <c r="M91">
        <v>259</v>
      </c>
      <c r="N91">
        <v>266</v>
      </c>
    </row>
    <row r="92" spans="9:14">
      <c r="I92">
        <v>18</v>
      </c>
      <c r="J92">
        <v>260</v>
      </c>
      <c r="K92">
        <v>266</v>
      </c>
      <c r="L92">
        <v>287</v>
      </c>
      <c r="M92">
        <v>285</v>
      </c>
      <c r="N92">
        <v>294</v>
      </c>
    </row>
    <row r="93" spans="9:14">
      <c r="I93">
        <v>19</v>
      </c>
      <c r="J93">
        <v>278</v>
      </c>
      <c r="K93">
        <v>287</v>
      </c>
      <c r="L93">
        <v>307</v>
      </c>
      <c r="M93">
        <v>309</v>
      </c>
      <c r="N93">
        <v>315</v>
      </c>
    </row>
    <row r="94" spans="9:14">
      <c r="I94">
        <v>20</v>
      </c>
      <c r="J94">
        <v>302</v>
      </c>
      <c r="K94">
        <v>308</v>
      </c>
      <c r="L94">
        <v>330</v>
      </c>
      <c r="M94">
        <v>333</v>
      </c>
      <c r="N94">
        <v>337</v>
      </c>
    </row>
  </sheetData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7:T55"/>
  <sheetViews>
    <sheetView workbookViewId="0">
      <selection activeCell="C17" sqref="C17"/>
    </sheetView>
  </sheetViews>
  <sheetFormatPr defaultColWidth="9" defaultRowHeight="13.5"/>
  <sheetData>
    <row r="7" spans="4:4">
      <c r="D7" t="s">
        <v>129</v>
      </c>
    </row>
    <row r="9" spans="3:4">
      <c r="C9" t="s">
        <v>130</v>
      </c>
      <c r="D9">
        <v>10</v>
      </c>
    </row>
    <row r="10" spans="3:4">
      <c r="C10" t="s">
        <v>131</v>
      </c>
      <c r="D10">
        <v>5</v>
      </c>
    </row>
    <row r="12" spans="4:4">
      <c r="D12">
        <f>100*(1+1+1.8)</f>
        <v>380</v>
      </c>
    </row>
    <row r="26" spans="4:4">
      <c r="D26" t="s">
        <v>132</v>
      </c>
    </row>
    <row r="30" spans="7:20">
      <c r="G30" s="1" t="s">
        <v>133</v>
      </c>
      <c r="H30" t="s">
        <v>134</v>
      </c>
      <c r="I30" t="s">
        <v>135</v>
      </c>
      <c r="J30" t="s">
        <v>136</v>
      </c>
      <c r="P30" t="s">
        <v>137</v>
      </c>
      <c r="S30" t="s">
        <v>138</v>
      </c>
      <c r="T30" t="s">
        <v>139</v>
      </c>
    </row>
    <row r="31" spans="4:20">
      <c r="D31">
        <v>3</v>
      </c>
      <c r="E31">
        <v>10</v>
      </c>
      <c r="F31">
        <f t="shared" ref="F31:F38" si="0">E31/D31</f>
        <v>3.33333333333333</v>
      </c>
      <c r="G31" s="1">
        <v>1</v>
      </c>
      <c r="H31">
        <v>0</v>
      </c>
      <c r="I31">
        <f t="shared" ref="I31:I46" si="1">H31+G31</f>
        <v>1</v>
      </c>
      <c r="J31">
        <f t="shared" ref="J31:J46" si="2">G31/D31</f>
        <v>0.333333333333333</v>
      </c>
      <c r="P31">
        <v>5000</v>
      </c>
      <c r="R31">
        <f>I31*100</f>
        <v>100</v>
      </c>
      <c r="S31">
        <f t="shared" ref="S31:S46" si="3">ROUNDUP($P$31/R31,0)</f>
        <v>50</v>
      </c>
      <c r="T31">
        <f t="shared" ref="T31:T46" si="4">S31*D31</f>
        <v>150</v>
      </c>
    </row>
    <row r="32" spans="4:20">
      <c r="D32">
        <v>4</v>
      </c>
      <c r="E32">
        <v>15</v>
      </c>
      <c r="F32">
        <f t="shared" si="0"/>
        <v>3.75</v>
      </c>
      <c r="G32" s="1">
        <v>1.5</v>
      </c>
      <c r="H32">
        <v>0</v>
      </c>
      <c r="I32">
        <f t="shared" si="1"/>
        <v>1.5</v>
      </c>
      <c r="J32">
        <f t="shared" si="2"/>
        <v>0.375</v>
      </c>
      <c r="R32">
        <f t="shared" ref="R32:R46" si="5">I32*100</f>
        <v>150</v>
      </c>
      <c r="S32">
        <f t="shared" si="3"/>
        <v>34</v>
      </c>
      <c r="T32">
        <f t="shared" si="4"/>
        <v>136</v>
      </c>
    </row>
    <row r="33" spans="4:20">
      <c r="D33">
        <v>5</v>
      </c>
      <c r="E33">
        <v>20</v>
      </c>
      <c r="F33">
        <f t="shared" si="0"/>
        <v>4</v>
      </c>
      <c r="G33" s="1">
        <v>2</v>
      </c>
      <c r="H33">
        <v>0</v>
      </c>
      <c r="I33">
        <f t="shared" si="1"/>
        <v>2</v>
      </c>
      <c r="J33">
        <f t="shared" si="2"/>
        <v>0.4</v>
      </c>
      <c r="R33">
        <f t="shared" si="5"/>
        <v>200</v>
      </c>
      <c r="S33">
        <f t="shared" si="3"/>
        <v>25</v>
      </c>
      <c r="T33">
        <f t="shared" si="4"/>
        <v>125</v>
      </c>
    </row>
    <row r="34" spans="4:20">
      <c r="D34">
        <v>6</v>
      </c>
      <c r="E34">
        <v>25</v>
      </c>
      <c r="F34">
        <f t="shared" si="0"/>
        <v>4.16666666666667</v>
      </c>
      <c r="G34" s="1">
        <v>2.5</v>
      </c>
      <c r="H34">
        <v>0</v>
      </c>
      <c r="I34">
        <f t="shared" si="1"/>
        <v>2.5</v>
      </c>
      <c r="J34">
        <f t="shared" si="2"/>
        <v>0.416666666666667</v>
      </c>
      <c r="R34">
        <f t="shared" si="5"/>
        <v>250</v>
      </c>
      <c r="S34">
        <f t="shared" si="3"/>
        <v>20</v>
      </c>
      <c r="T34">
        <f t="shared" si="4"/>
        <v>120</v>
      </c>
    </row>
    <row r="35" spans="4:20">
      <c r="D35">
        <v>7</v>
      </c>
      <c r="E35">
        <v>30</v>
      </c>
      <c r="F35">
        <f t="shared" si="0"/>
        <v>4.28571428571429</v>
      </c>
      <c r="G35" s="1">
        <v>3</v>
      </c>
      <c r="H35">
        <v>0</v>
      </c>
      <c r="I35">
        <f t="shared" si="1"/>
        <v>3</v>
      </c>
      <c r="J35">
        <f t="shared" si="2"/>
        <v>0.428571428571429</v>
      </c>
      <c r="R35">
        <f t="shared" si="5"/>
        <v>300</v>
      </c>
      <c r="S35">
        <f t="shared" si="3"/>
        <v>17</v>
      </c>
      <c r="T35">
        <f t="shared" si="4"/>
        <v>119</v>
      </c>
    </row>
    <row r="36" spans="4:20">
      <c r="D36">
        <v>8</v>
      </c>
      <c r="E36">
        <v>35</v>
      </c>
      <c r="F36">
        <f t="shared" si="0"/>
        <v>4.375</v>
      </c>
      <c r="G36" s="1">
        <v>3.5</v>
      </c>
      <c r="H36">
        <v>0</v>
      </c>
      <c r="I36">
        <f t="shared" si="1"/>
        <v>3.5</v>
      </c>
      <c r="J36">
        <f t="shared" si="2"/>
        <v>0.4375</v>
      </c>
      <c r="R36">
        <f t="shared" si="5"/>
        <v>350</v>
      </c>
      <c r="S36">
        <f t="shared" si="3"/>
        <v>15</v>
      </c>
      <c r="T36">
        <f t="shared" si="4"/>
        <v>120</v>
      </c>
    </row>
    <row r="37" spans="4:20">
      <c r="D37">
        <v>9</v>
      </c>
      <c r="E37">
        <v>40</v>
      </c>
      <c r="F37">
        <f t="shared" si="0"/>
        <v>4.44444444444444</v>
      </c>
      <c r="G37" s="1">
        <v>4</v>
      </c>
      <c r="H37">
        <v>0</v>
      </c>
      <c r="I37">
        <f t="shared" si="1"/>
        <v>4</v>
      </c>
      <c r="J37">
        <f t="shared" si="2"/>
        <v>0.444444444444444</v>
      </c>
      <c r="R37">
        <f t="shared" si="5"/>
        <v>400</v>
      </c>
      <c r="S37">
        <f t="shared" si="3"/>
        <v>13</v>
      </c>
      <c r="T37">
        <f t="shared" si="4"/>
        <v>117</v>
      </c>
    </row>
    <row r="38" spans="4:20">
      <c r="D38">
        <v>10</v>
      </c>
      <c r="E38">
        <v>45</v>
      </c>
      <c r="F38">
        <f t="shared" si="0"/>
        <v>4.5</v>
      </c>
      <c r="G38" s="1">
        <v>4.5</v>
      </c>
      <c r="H38">
        <v>0.5</v>
      </c>
      <c r="I38">
        <f t="shared" si="1"/>
        <v>5</v>
      </c>
      <c r="J38">
        <f t="shared" si="2"/>
        <v>0.45</v>
      </c>
      <c r="R38">
        <f t="shared" si="5"/>
        <v>500</v>
      </c>
      <c r="S38">
        <f t="shared" si="3"/>
        <v>10</v>
      </c>
      <c r="T38">
        <f t="shared" si="4"/>
        <v>100</v>
      </c>
    </row>
    <row r="39" spans="4:20">
      <c r="D39">
        <v>15</v>
      </c>
      <c r="G39" s="1">
        <v>7</v>
      </c>
      <c r="H39">
        <v>0.5</v>
      </c>
      <c r="I39">
        <f t="shared" si="1"/>
        <v>7.5</v>
      </c>
      <c r="J39">
        <f t="shared" si="2"/>
        <v>0.466666666666667</v>
      </c>
      <c r="R39">
        <f t="shared" si="5"/>
        <v>750</v>
      </c>
      <c r="S39">
        <f t="shared" si="3"/>
        <v>7</v>
      </c>
      <c r="T39">
        <f t="shared" si="4"/>
        <v>105</v>
      </c>
    </row>
    <row r="40" spans="4:20">
      <c r="D40">
        <v>20</v>
      </c>
      <c r="G40" s="1">
        <v>9.5</v>
      </c>
      <c r="H40">
        <v>0.5</v>
      </c>
      <c r="I40">
        <f t="shared" si="1"/>
        <v>10</v>
      </c>
      <c r="J40">
        <f t="shared" si="2"/>
        <v>0.475</v>
      </c>
      <c r="R40">
        <f t="shared" si="5"/>
        <v>1000</v>
      </c>
      <c r="S40">
        <f t="shared" si="3"/>
        <v>5</v>
      </c>
      <c r="T40">
        <f t="shared" si="4"/>
        <v>100</v>
      </c>
    </row>
    <row r="41" spans="4:20">
      <c r="D41">
        <v>25</v>
      </c>
      <c r="G41" s="1">
        <v>12</v>
      </c>
      <c r="H41">
        <v>1</v>
      </c>
      <c r="I41">
        <f t="shared" si="1"/>
        <v>13</v>
      </c>
      <c r="J41">
        <f t="shared" si="2"/>
        <v>0.48</v>
      </c>
      <c r="R41">
        <f t="shared" si="5"/>
        <v>1300</v>
      </c>
      <c r="S41">
        <f t="shared" si="3"/>
        <v>4</v>
      </c>
      <c r="T41">
        <f t="shared" si="4"/>
        <v>100</v>
      </c>
    </row>
    <row r="42" spans="4:20">
      <c r="D42">
        <v>30</v>
      </c>
      <c r="G42" s="1">
        <v>14.5</v>
      </c>
      <c r="H42">
        <v>1</v>
      </c>
      <c r="I42">
        <f t="shared" si="1"/>
        <v>15.5</v>
      </c>
      <c r="J42">
        <f t="shared" si="2"/>
        <v>0.483333333333333</v>
      </c>
      <c r="R42">
        <f t="shared" si="5"/>
        <v>1550</v>
      </c>
      <c r="S42">
        <f t="shared" si="3"/>
        <v>4</v>
      </c>
      <c r="T42">
        <f t="shared" si="4"/>
        <v>120</v>
      </c>
    </row>
    <row r="43" spans="4:20">
      <c r="D43">
        <v>35</v>
      </c>
      <c r="G43" s="1">
        <v>17</v>
      </c>
      <c r="H43">
        <v>1.5</v>
      </c>
      <c r="I43">
        <f t="shared" si="1"/>
        <v>18.5</v>
      </c>
      <c r="J43">
        <f t="shared" si="2"/>
        <v>0.485714285714286</v>
      </c>
      <c r="R43">
        <f t="shared" si="5"/>
        <v>1850</v>
      </c>
      <c r="S43">
        <f t="shared" si="3"/>
        <v>3</v>
      </c>
      <c r="T43">
        <f t="shared" si="4"/>
        <v>105</v>
      </c>
    </row>
    <row r="44" spans="4:20">
      <c r="D44">
        <v>40</v>
      </c>
      <c r="G44" s="1">
        <v>19.5</v>
      </c>
      <c r="H44">
        <v>1.5</v>
      </c>
      <c r="I44">
        <f t="shared" si="1"/>
        <v>21</v>
      </c>
      <c r="J44">
        <f t="shared" si="2"/>
        <v>0.4875</v>
      </c>
      <c r="R44">
        <f t="shared" si="5"/>
        <v>2100</v>
      </c>
      <c r="S44">
        <f t="shared" si="3"/>
        <v>3</v>
      </c>
      <c r="T44">
        <f t="shared" si="4"/>
        <v>120</v>
      </c>
    </row>
    <row r="45" spans="4:20">
      <c r="D45">
        <v>45</v>
      </c>
      <c r="G45" s="1">
        <v>22</v>
      </c>
      <c r="H45">
        <v>2</v>
      </c>
      <c r="I45">
        <f t="shared" si="1"/>
        <v>24</v>
      </c>
      <c r="J45">
        <f t="shared" si="2"/>
        <v>0.488888888888889</v>
      </c>
      <c r="R45">
        <f t="shared" si="5"/>
        <v>2400</v>
      </c>
      <c r="S45">
        <f t="shared" si="3"/>
        <v>3</v>
      </c>
      <c r="T45">
        <f t="shared" si="4"/>
        <v>135</v>
      </c>
    </row>
    <row r="46" spans="4:20">
      <c r="D46">
        <v>50</v>
      </c>
      <c r="G46" s="1">
        <v>25</v>
      </c>
      <c r="H46">
        <v>2</v>
      </c>
      <c r="I46">
        <f t="shared" si="1"/>
        <v>27</v>
      </c>
      <c r="J46">
        <f t="shared" si="2"/>
        <v>0.5</v>
      </c>
      <c r="R46">
        <f t="shared" si="5"/>
        <v>2700</v>
      </c>
      <c r="S46">
        <f t="shared" si="3"/>
        <v>2</v>
      </c>
      <c r="T46">
        <f t="shared" si="4"/>
        <v>100</v>
      </c>
    </row>
    <row r="52" spans="13:15">
      <c r="M52">
        <v>1</v>
      </c>
      <c r="N52">
        <v>100</v>
      </c>
      <c r="O52">
        <f t="shared" ref="O52:O55" si="6">N52/M52</f>
        <v>100</v>
      </c>
    </row>
    <row r="53" spans="13:15">
      <c r="M53">
        <v>2</v>
      </c>
      <c r="N53">
        <v>300</v>
      </c>
      <c r="O53">
        <f t="shared" si="6"/>
        <v>150</v>
      </c>
    </row>
    <row r="54" spans="13:15">
      <c r="M54">
        <v>3</v>
      </c>
      <c r="N54">
        <v>700</v>
      </c>
      <c r="O54">
        <f t="shared" si="6"/>
        <v>233.333333333333</v>
      </c>
    </row>
    <row r="55" spans="13:15">
      <c r="M55">
        <v>4</v>
      </c>
      <c r="N55">
        <v>1500</v>
      </c>
      <c r="O55">
        <f t="shared" si="6"/>
        <v>375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Sheet5</vt:lpstr>
      <vt:lpstr>Sheet6</vt:lpstr>
      <vt:lpstr>Sheet4</vt:lpstr>
      <vt:lpstr>Sheet3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droidhang</dc:creator>
  <cp:lastModifiedBy>Chen</cp:lastModifiedBy>
  <dcterms:created xsi:type="dcterms:W3CDTF">2023-02-15T09:33:00Z</dcterms:created>
  <dcterms:modified xsi:type="dcterms:W3CDTF">2024-08-15T09:50:54Z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8E681237B87547D29189FA8178E52905</vt:lpwstr>
  </property>
  <property fmtid="{D5CDD505-2E9C-101B-9397-08002B2CF9AE}" pid="3" name="KSOProductBuildVer">
    <vt:lpwstr>2052-12.1.0.17827</vt:lpwstr>
  </property>
  <property fmtid="{D5CDD505-2E9C-101B-9397-08002B2CF9AE}" pid="4" name="KSOReadingLayout">
    <vt:bool>false</vt:bool>
  </property>
</Properties>
</file>