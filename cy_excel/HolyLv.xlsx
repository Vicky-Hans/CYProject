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ph_li</author>
  </authors>
  <commentList>
    <comment ref="B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1级为解锁自动消耗</t>
        </r>
      </text>
    </comment>
    <comment ref="D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{圣物id，属性名，增加属性值}</t>
        </r>
      </text>
    </comment>
  </commentList>
</comments>
</file>

<file path=xl/sharedStrings.xml><?xml version="1.0" encoding="utf-8"?>
<sst xmlns="http://schemas.openxmlformats.org/spreadsheetml/2006/main" count="360" uniqueCount="50">
  <si>
    <t>圣物等级</t>
  </si>
  <si>
    <t>同名消耗数量</t>
  </si>
  <si>
    <t>金币消耗数量</t>
  </si>
  <si>
    <t>属性成长（绿字）</t>
  </si>
  <si>
    <t>both</t>
  </si>
  <si>
    <t>id</t>
  </si>
  <si>
    <t>holyCost</t>
  </si>
  <si>
    <t>coinCost</t>
  </si>
  <si>
    <t>attrAdd</t>
  </si>
  <si>
    <t>int</t>
  </si>
  <si>
    <t>[Reward]</t>
  </si>
  <si>
    <t>[WeaponAttrAdd]</t>
  </si>
  <si>
    <t>[{1,atk,7},{2,atk,4},{3,atk,3}]</t>
  </si>
  <si>
    <t>[{Item,1,200}]</t>
  </si>
  <si>
    <t>[{Item,1,500}]</t>
  </si>
  <si>
    <t>1,hurtRate,800</t>
  </si>
  <si>
    <t>2,hurtRate,800</t>
  </si>
  <si>
    <t>3,hurtRate,800</t>
  </si>
  <si>
    <t>3,explosionDmg,600</t>
  </si>
  <si>
    <t>4,hurtRate,800</t>
  </si>
  <si>
    <t>4,continueDmg,40</t>
  </si>
  <si>
    <t>5,hurtRate,800</t>
  </si>
  <si>
    <t>6,hurtRate,800</t>
  </si>
  <si>
    <t>7,hurtRate,800</t>
  </si>
  <si>
    <t>8,hurtRate,250</t>
  </si>
  <si>
    <t>9,hurtRate,800</t>
  </si>
  <si>
    <t>9,explosionDmg,800</t>
  </si>
  <si>
    <t>10,hurtRate,800</t>
  </si>
  <si>
    <t>11,hurtRate,400</t>
  </si>
  <si>
    <t>1,pierce,1</t>
  </si>
  <si>
    <t>2,attackInterval,-1500</t>
  </si>
  <si>
    <t>3,attackInterval,-500</t>
  </si>
  <si>
    <t>4,bulletSize,1125</t>
  </si>
  <si>
    <t>5,duration,200</t>
  </si>
  <si>
    <t>6,attackInterval,-1000</t>
  </si>
  <si>
    <t>7,pierce,1</t>
  </si>
  <si>
    <t>9,attackInterval,-500</t>
  </si>
  <si>
    <t>10,attackInterval,-500</t>
  </si>
  <si>
    <t>11,bulletSize,1000</t>
  </si>
  <si>
    <t>1,attackInterval,-100</t>
  </si>
  <si>
    <t>3,explosionRange,2500</t>
  </si>
  <si>
    <t>4,duration,500</t>
  </si>
  <si>
    <t>5,attackInterval,-500</t>
  </si>
  <si>
    <t>6,duration,1000</t>
  </si>
  <si>
    <t>7,attackInterval,-500</t>
  </si>
  <si>
    <t>11,duration,1800</t>
  </si>
  <si>
    <t>4,attackInterval,-500</t>
  </si>
  <si>
    <t>11,attackInterval,-2000</t>
  </si>
  <si>
    <t>8,frequency,1</t>
  </si>
  <si>
    <t>9,num,1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</si>
</sst>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4C3D5"/>
      <color rgb="00E40D08"/>
      <color rgb="008C67AF"/>
      <color rgb="00AD7469"/>
      <color rgb="00BF5757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pane xSplit="1" topLeftCell="B1" activePane="topRight" state="frozen"/>
      <selection/>
      <selection pane="topRight" activeCell="F21" sqref="F21"/>
    </sheetView>
  </sheetViews>
  <sheetFormatPr defaultColWidth="24.25" defaultRowHeight="17.25" outlineLevelCol="3"/>
  <cols>
    <col min="1" max="1" width="10.75" style="3" customWidth="1"/>
    <col min="2" max="3" width="13.75" style="3" customWidth="1"/>
    <col min="4" max="4" width="47.125" style="3" customWidth="1"/>
    <col min="5" max="16384" width="24.25" style="3"/>
  </cols>
  <sheetData>
    <row r="1" s="1" customFormat="1" spans="1:4">
      <c r="A1" s="4" t="s">
        <v>0</v>
      </c>
      <c r="B1" s="4" t="s">
        <v>1</v>
      </c>
      <c r="C1" s="4" t="s">
        <v>2</v>
      </c>
      <c r="D1" s="4" t="s">
        <v>3</v>
      </c>
    </row>
    <row r="2" s="1" customFormat="1" spans="1:4">
      <c r="A2" s="4" t="s">
        <v>4</v>
      </c>
      <c r="B2" s="4" t="s">
        <v>4</v>
      </c>
      <c r="C2" s="4" t="s">
        <v>4</v>
      </c>
      <c r="D2" s="4" t="s">
        <v>4</v>
      </c>
    </row>
    <row r="3" s="1" customFormat="1" spans="1:4">
      <c r="A3" s="4" t="s">
        <v>5</v>
      </c>
      <c r="B3" s="4" t="s">
        <v>6</v>
      </c>
      <c r="C3" s="4" t="s">
        <v>7</v>
      </c>
      <c r="D3" s="4" t="s">
        <v>8</v>
      </c>
    </row>
    <row r="4" s="1" customFormat="1" spans="1:4">
      <c r="A4" s="4" t="s">
        <v>9</v>
      </c>
      <c r="B4" s="4" t="s">
        <v>9</v>
      </c>
      <c r="C4" s="4" t="s">
        <v>10</v>
      </c>
      <c r="D4" s="4" t="s">
        <v>11</v>
      </c>
    </row>
    <row r="5" s="1" customFormat="1" spans="1:4">
      <c r="A5" s="5"/>
      <c r="B5" s="5"/>
      <c r="C5" s="5"/>
      <c r="D5" s="5"/>
    </row>
    <row r="6" s="2" customFormat="1" spans="1:4">
      <c r="A6" s="6">
        <v>1</v>
      </c>
      <c r="B6" s="6">
        <v>1</v>
      </c>
      <c r="C6" s="6"/>
      <c r="D6" s="6" t="s">
        <v>12</v>
      </c>
    </row>
    <row r="7" s="2" customFormat="1" spans="1:4">
      <c r="A7" s="6">
        <v>2</v>
      </c>
      <c r="B7" s="6">
        <v>2</v>
      </c>
      <c r="C7" s="6" t="s">
        <v>13</v>
      </c>
      <c r="D7" s="6" t="s">
        <v>12</v>
      </c>
    </row>
    <row r="8" s="2" customFormat="1" spans="1:4">
      <c r="A8" s="6">
        <v>3</v>
      </c>
      <c r="B8" s="6">
        <v>3</v>
      </c>
      <c r="C8" s="6" t="s">
        <v>13</v>
      </c>
      <c r="D8" s="6" t="s">
        <v>12</v>
      </c>
    </row>
    <row r="9" s="2" customFormat="1" spans="1:4">
      <c r="A9" s="6">
        <v>4</v>
      </c>
      <c r="B9" s="6">
        <v>4</v>
      </c>
      <c r="C9" s="6" t="s">
        <v>14</v>
      </c>
      <c r="D9" s="6" t="s">
        <v>12</v>
      </c>
    </row>
    <row r="10" s="2" customFormat="1" spans="1:4">
      <c r="A10" s="6">
        <v>5</v>
      </c>
      <c r="B10" s="6">
        <v>5</v>
      </c>
      <c r="C10" s="6" t="s">
        <v>14</v>
      </c>
      <c r="D10" s="6" t="s">
        <v>12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D26"/>
  <sheetViews>
    <sheetView topLeftCell="M1" workbookViewId="0">
      <selection activeCell="AD2" sqref="AD2:AD26"/>
    </sheetView>
  </sheetViews>
  <sheetFormatPr defaultColWidth="9" defaultRowHeight="13.5"/>
  <cols>
    <col min="2" max="2" width="28.75" customWidth="1"/>
    <col min="3" max="3" width="31.25" customWidth="1"/>
    <col min="4" max="4" width="28.625" customWidth="1"/>
    <col min="5" max="5" width="29.125" customWidth="1"/>
    <col min="6" max="7" width="27.125" customWidth="1"/>
    <col min="8" max="8" width="27.625" customWidth="1"/>
    <col min="9" max="9" width="31.75" customWidth="1"/>
    <col min="10" max="10" width="29.625" customWidth="1"/>
    <col min="11" max="11" width="26.75" customWidth="1"/>
    <col min="12" max="12" width="28.75" customWidth="1"/>
    <col min="13" max="13" width="24.625" customWidth="1"/>
    <col min="14" max="15" width="28.75" customWidth="1"/>
  </cols>
  <sheetData>
    <row r="2" spans="2:30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tr">
        <f t="shared" ref="P2:AC2" si="0">IF(B2="","","{"&amp;B2&amp;"}")</f>
        <v>{1,hurtRate,800}</v>
      </c>
      <c r="Q2" t="str">
        <f t="shared" si="0"/>
        <v>{2,hurtRate,800}</v>
      </c>
      <c r="R2" t="str">
        <f t="shared" si="0"/>
        <v>{3,hurtRate,800}</v>
      </c>
      <c r="S2" t="str">
        <f t="shared" si="0"/>
        <v>{3,explosionDmg,600}</v>
      </c>
      <c r="T2" t="str">
        <f t="shared" si="0"/>
        <v>{4,hurtRate,800}</v>
      </c>
      <c r="U2" t="str">
        <f t="shared" si="0"/>
        <v>{4,continueDmg,40}</v>
      </c>
      <c r="V2" t="str">
        <f t="shared" si="0"/>
        <v>{5,hurtRate,800}</v>
      </c>
      <c r="W2" t="str">
        <f t="shared" si="0"/>
        <v>{6,hurtRate,800}</v>
      </c>
      <c r="X2" t="str">
        <f t="shared" si="0"/>
        <v>{7,hurtRate,800}</v>
      </c>
      <c r="Y2" t="str">
        <f t="shared" si="0"/>
        <v>{8,hurtRate,250}</v>
      </c>
      <c r="Z2" t="str">
        <f t="shared" si="0"/>
        <v>{9,hurtRate,800}</v>
      </c>
      <c r="AA2" t="str">
        <f t="shared" si="0"/>
        <v>{9,explosionDmg,800}</v>
      </c>
      <c r="AB2" t="str">
        <f t="shared" si="0"/>
        <v>{10,hurtRate,800}</v>
      </c>
      <c r="AC2" t="str">
        <f t="shared" si="0"/>
        <v>{11,hurtRate,400}</v>
      </c>
      <c r="AD2" t="str">
        <f>"["&amp;_xlfn.TEXTJOIN(",",1,P2:AC2)&amp;"]"</f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3" spans="2:30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tr">
        <f t="shared" ref="P3:P26" si="1">IF(B3="","","{"&amp;B3&amp;"}")</f>
        <v>{1,hurtRate,800}</v>
      </c>
      <c r="Q3" t="str">
        <f t="shared" ref="Q3:Q26" si="2">IF(C3="","","{"&amp;C3&amp;"}")</f>
        <v>{2,hurtRate,800}</v>
      </c>
      <c r="R3" t="str">
        <f t="shared" ref="R3:R26" si="3">IF(D3="","","{"&amp;D3&amp;"}")</f>
        <v>{3,hurtRate,800}</v>
      </c>
      <c r="S3" t="str">
        <f t="shared" ref="S3:S26" si="4">IF(E3="","","{"&amp;E3&amp;"}")</f>
        <v>{3,explosionDmg,600}</v>
      </c>
      <c r="T3" t="str">
        <f t="shared" ref="T3:T26" si="5">IF(F3="","","{"&amp;F3&amp;"}")</f>
        <v>{4,hurtRate,800}</v>
      </c>
      <c r="U3" t="str">
        <f t="shared" ref="U3:U26" si="6">IF(G3="","","{"&amp;G3&amp;"}")</f>
        <v>{4,continueDmg,40}</v>
      </c>
      <c r="V3" t="str">
        <f t="shared" ref="V3:V26" si="7">IF(H3="","","{"&amp;H3&amp;"}")</f>
        <v>{5,hurtRate,800}</v>
      </c>
      <c r="W3" t="str">
        <f t="shared" ref="W3:W26" si="8">IF(I3="","","{"&amp;I3&amp;"}")</f>
        <v>{6,hurtRate,800}</v>
      </c>
      <c r="X3" t="str">
        <f t="shared" ref="X3:X26" si="9">IF(J3="","","{"&amp;J3&amp;"}")</f>
        <v>{7,hurtRate,800}</v>
      </c>
      <c r="Y3" t="str">
        <f t="shared" ref="Y3:Y26" si="10">IF(K3="","","{"&amp;K3&amp;"}")</f>
        <v>{8,hurtRate,250}</v>
      </c>
      <c r="Z3" t="str">
        <f t="shared" ref="Z3:Z26" si="11">IF(L3="","","{"&amp;L3&amp;"}")</f>
        <v>{9,hurtRate,800}</v>
      </c>
      <c r="AA3" t="str">
        <f t="shared" ref="AA3:AA26" si="12">IF(M3="","","{"&amp;M3&amp;"}")</f>
        <v>{9,explosionDmg,800}</v>
      </c>
      <c r="AB3" t="str">
        <f t="shared" ref="AB3:AB26" si="13">IF(N3="","","{"&amp;N3&amp;"}")</f>
        <v>{10,hurtRate,800}</v>
      </c>
      <c r="AC3" t="str">
        <f t="shared" ref="AC3:AC26" si="14">IF(O3="","","{"&amp;O3&amp;"}")</f>
        <v>{11,hurtRate,400}</v>
      </c>
      <c r="AD3" t="str">
        <f t="shared" ref="AD3:AD26" si="15">"["&amp;_xlfn.TEXTJOIN(",",1,P3:AC3)&amp;"]"</f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4" spans="2:30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tr">
        <f t="shared" si="1"/>
        <v>{1,hurtRate,800}</v>
      </c>
      <c r="Q4" t="str">
        <f t="shared" si="2"/>
        <v>{2,hurtRate,800}</v>
      </c>
      <c r="R4" t="str">
        <f t="shared" si="3"/>
        <v>{3,hurtRate,800}</v>
      </c>
      <c r="S4" t="str">
        <f t="shared" si="4"/>
        <v>{3,explosionDmg,600}</v>
      </c>
      <c r="T4" t="str">
        <f t="shared" si="5"/>
        <v>{4,hurtRate,800}</v>
      </c>
      <c r="U4" t="str">
        <f t="shared" si="6"/>
        <v>{4,continueDmg,40}</v>
      </c>
      <c r="V4" t="str">
        <f t="shared" si="7"/>
        <v>{5,hurtRate,800}</v>
      </c>
      <c r="W4" t="str">
        <f t="shared" si="8"/>
        <v>{6,hurtRate,800}</v>
      </c>
      <c r="X4" t="str">
        <f t="shared" si="9"/>
        <v>{7,hurtRate,800}</v>
      </c>
      <c r="Y4" t="str">
        <f t="shared" si="10"/>
        <v>{8,hurtRate,250}</v>
      </c>
      <c r="Z4" t="str">
        <f t="shared" si="11"/>
        <v>{9,hurtRate,800}</v>
      </c>
      <c r="AA4" t="str">
        <f t="shared" si="12"/>
        <v>{9,explosionDmg,800}</v>
      </c>
      <c r="AB4" t="str">
        <f t="shared" si="13"/>
        <v>{10,hurtRate,800}</v>
      </c>
      <c r="AC4" t="str">
        <f t="shared" si="14"/>
        <v>{11,hurtRate,400}</v>
      </c>
      <c r="AD4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5" spans="2:30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tr">
        <f t="shared" si="1"/>
        <v>{1,hurtRate,800}</v>
      </c>
      <c r="Q5" t="str">
        <f t="shared" si="2"/>
        <v>{2,hurtRate,800}</v>
      </c>
      <c r="R5" t="str">
        <f t="shared" si="3"/>
        <v>{3,hurtRate,800}</v>
      </c>
      <c r="S5" t="str">
        <f t="shared" si="4"/>
        <v>{3,explosionDmg,600}</v>
      </c>
      <c r="T5" t="str">
        <f t="shared" si="5"/>
        <v>{4,hurtRate,800}</v>
      </c>
      <c r="U5" t="str">
        <f t="shared" si="6"/>
        <v>{4,continueDmg,40}</v>
      </c>
      <c r="V5" t="str">
        <f t="shared" si="7"/>
        <v>{5,hurtRate,800}</v>
      </c>
      <c r="W5" t="str">
        <f t="shared" si="8"/>
        <v>{6,hurtRate,800}</v>
      </c>
      <c r="X5" t="str">
        <f t="shared" si="9"/>
        <v>{7,hurtRate,800}</v>
      </c>
      <c r="Y5" t="str">
        <f t="shared" si="10"/>
        <v>{8,hurtRate,250}</v>
      </c>
      <c r="Z5" t="str">
        <f t="shared" si="11"/>
        <v>{9,hurtRate,800}</v>
      </c>
      <c r="AA5" t="str">
        <f t="shared" si="12"/>
        <v>{9,explosionDmg,800}</v>
      </c>
      <c r="AB5" t="str">
        <f t="shared" si="13"/>
        <v>{10,hurtRate,800}</v>
      </c>
      <c r="AC5" t="str">
        <f t="shared" si="14"/>
        <v>{11,hurtRate,400}</v>
      </c>
      <c r="AD5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6" spans="2:30">
      <c r="B6" t="s">
        <v>29</v>
      </c>
      <c r="C6" t="s">
        <v>30</v>
      </c>
      <c r="D6" t="s">
        <v>31</v>
      </c>
      <c r="E6" t="s">
        <v>32</v>
      </c>
      <c r="F6" t="s">
        <v>33</v>
      </c>
      <c r="H6" t="s">
        <v>34</v>
      </c>
      <c r="I6" t="s">
        <v>35</v>
      </c>
      <c r="J6" t="s">
        <v>24</v>
      </c>
      <c r="K6" t="s">
        <v>36</v>
      </c>
      <c r="L6" t="s">
        <v>37</v>
      </c>
      <c r="M6" t="s">
        <v>38</v>
      </c>
      <c r="P6" t="str">
        <f t="shared" si="1"/>
        <v>{1,pierce,1}</v>
      </c>
      <c r="Q6" t="str">
        <f t="shared" si="2"/>
        <v>{2,attackInterval,-1500}</v>
      </c>
      <c r="R6" t="str">
        <f t="shared" si="3"/>
        <v>{3,attackInterval,-500}</v>
      </c>
      <c r="S6" t="str">
        <f t="shared" si="4"/>
        <v>{4,bulletSize,1125}</v>
      </c>
      <c r="T6" t="str">
        <f t="shared" si="5"/>
        <v>{5,duration,200}</v>
      </c>
      <c r="U6" t="str">
        <f t="shared" si="6"/>
        <v/>
      </c>
      <c r="V6" t="str">
        <f t="shared" si="7"/>
        <v>{6,attackInterval,-1000}</v>
      </c>
      <c r="W6" t="str">
        <f t="shared" si="8"/>
        <v>{7,pierce,1}</v>
      </c>
      <c r="X6" t="str">
        <f t="shared" si="9"/>
        <v>{8,hurtRate,250}</v>
      </c>
      <c r="Y6" t="str">
        <f t="shared" si="10"/>
        <v>{9,attackInterval,-500}</v>
      </c>
      <c r="Z6" t="str">
        <f t="shared" si="11"/>
        <v>{10,attackInterval,-500}</v>
      </c>
      <c r="AA6" t="str">
        <f t="shared" si="12"/>
        <v>{11,bulletSize,1000}</v>
      </c>
      <c r="AB6" t="str">
        <f t="shared" si="13"/>
        <v/>
      </c>
      <c r="AC6" t="str">
        <f t="shared" si="14"/>
        <v/>
      </c>
      <c r="AD6" t="str">
        <f t="shared" si="15"/>
        <v>[{1,pierce,1},{2,attackInterval,-1500},{3,attackInterval,-500},{4,bulletSize,1125},{5,duration,200},{6,attackInterval,-1000},{7,pierce,1},{8,hurtRate,250},{9,attackInterval,-500},{10,attackInterval,-500},{11,bulletSize,1000}]</v>
      </c>
    </row>
    <row r="7" spans="2:30"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t="s">
        <v>28</v>
      </c>
      <c r="P7" t="str">
        <f t="shared" si="1"/>
        <v>{1,hurtRate,800}</v>
      </c>
      <c r="Q7" t="str">
        <f t="shared" si="2"/>
        <v>{2,hurtRate,800}</v>
      </c>
      <c r="R7" t="str">
        <f t="shared" si="3"/>
        <v>{3,hurtRate,800}</v>
      </c>
      <c r="S7" t="str">
        <f t="shared" si="4"/>
        <v>{3,explosionDmg,600}</v>
      </c>
      <c r="T7" t="str">
        <f t="shared" si="5"/>
        <v>{4,hurtRate,800}</v>
      </c>
      <c r="U7" t="str">
        <f t="shared" si="6"/>
        <v>{4,continueDmg,40}</v>
      </c>
      <c r="V7" t="str">
        <f t="shared" si="7"/>
        <v>{5,hurtRate,800}</v>
      </c>
      <c r="W7" t="str">
        <f t="shared" si="8"/>
        <v>{6,hurtRate,800}</v>
      </c>
      <c r="X7" t="str">
        <f t="shared" si="9"/>
        <v>{7,hurtRate,800}</v>
      </c>
      <c r="Y7" t="str">
        <f t="shared" si="10"/>
        <v>{8,hurtRate,250}</v>
      </c>
      <c r="Z7" t="str">
        <f t="shared" si="11"/>
        <v>{9,hurtRate,800}</v>
      </c>
      <c r="AA7" t="str">
        <f t="shared" si="12"/>
        <v>{9,explosionDmg,800}</v>
      </c>
      <c r="AB7" t="str">
        <f t="shared" si="13"/>
        <v>{10,hurtRate,800}</v>
      </c>
      <c r="AC7" t="str">
        <f t="shared" si="14"/>
        <v>{11,hurtRate,400}</v>
      </c>
      <c r="AD7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8" spans="2:30"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t="s">
        <v>28</v>
      </c>
      <c r="P8" t="str">
        <f t="shared" si="1"/>
        <v>{1,hurtRate,800}</v>
      </c>
      <c r="Q8" t="str">
        <f t="shared" si="2"/>
        <v>{2,hurtRate,800}</v>
      </c>
      <c r="R8" t="str">
        <f t="shared" si="3"/>
        <v>{3,hurtRate,800}</v>
      </c>
      <c r="S8" t="str">
        <f t="shared" si="4"/>
        <v>{3,explosionDmg,600}</v>
      </c>
      <c r="T8" t="str">
        <f t="shared" si="5"/>
        <v>{4,hurtRate,800}</v>
      </c>
      <c r="U8" t="str">
        <f t="shared" si="6"/>
        <v>{4,continueDmg,40}</v>
      </c>
      <c r="V8" t="str">
        <f t="shared" si="7"/>
        <v>{5,hurtRate,800}</v>
      </c>
      <c r="W8" t="str">
        <f t="shared" si="8"/>
        <v>{6,hurtRate,800}</v>
      </c>
      <c r="X8" t="str">
        <f t="shared" si="9"/>
        <v>{7,hurtRate,800}</v>
      </c>
      <c r="Y8" t="str">
        <f t="shared" si="10"/>
        <v>{8,hurtRate,250}</v>
      </c>
      <c r="Z8" t="str">
        <f t="shared" si="11"/>
        <v>{9,hurtRate,800}</v>
      </c>
      <c r="AA8" t="str">
        <f t="shared" si="12"/>
        <v>{9,explosionDmg,800}</v>
      </c>
      <c r="AB8" t="str">
        <f t="shared" si="13"/>
        <v>{10,hurtRate,800}</v>
      </c>
      <c r="AC8" t="str">
        <f t="shared" si="14"/>
        <v>{11,hurtRate,400}</v>
      </c>
      <c r="AD8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9" spans="2:30"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t="s">
        <v>28</v>
      </c>
      <c r="P9" t="str">
        <f t="shared" si="1"/>
        <v>{1,hurtRate,800}</v>
      </c>
      <c r="Q9" t="str">
        <f t="shared" si="2"/>
        <v>{2,hurtRate,800}</v>
      </c>
      <c r="R9" t="str">
        <f t="shared" si="3"/>
        <v>{3,hurtRate,800}</v>
      </c>
      <c r="S9" t="str">
        <f t="shared" si="4"/>
        <v>{3,explosionDmg,600}</v>
      </c>
      <c r="T9" t="str">
        <f t="shared" si="5"/>
        <v>{4,hurtRate,800}</v>
      </c>
      <c r="U9" t="str">
        <f t="shared" si="6"/>
        <v>{4,continueDmg,40}</v>
      </c>
      <c r="V9" t="str">
        <f t="shared" si="7"/>
        <v>{5,hurtRate,800}</v>
      </c>
      <c r="W9" t="str">
        <f t="shared" si="8"/>
        <v>{6,hurtRate,800}</v>
      </c>
      <c r="X9" t="str">
        <f t="shared" si="9"/>
        <v>{7,hurtRate,800}</v>
      </c>
      <c r="Y9" t="str">
        <f t="shared" si="10"/>
        <v>{8,hurtRate,250}</v>
      </c>
      <c r="Z9" t="str">
        <f t="shared" si="11"/>
        <v>{9,hurtRate,800}</v>
      </c>
      <c r="AA9" t="str">
        <f t="shared" si="12"/>
        <v>{9,explosionDmg,800}</v>
      </c>
      <c r="AB9" t="str">
        <f t="shared" si="13"/>
        <v>{10,hurtRate,800}</v>
      </c>
      <c r="AC9" t="str">
        <f t="shared" si="14"/>
        <v>{11,hurtRate,400}</v>
      </c>
      <c r="AD9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0" spans="2:30"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t="s">
        <v>28</v>
      </c>
      <c r="P10" t="str">
        <f t="shared" si="1"/>
        <v>{1,hurtRate,800}</v>
      </c>
      <c r="Q10" t="str">
        <f t="shared" si="2"/>
        <v>{2,hurtRate,800}</v>
      </c>
      <c r="R10" t="str">
        <f t="shared" si="3"/>
        <v>{3,hurtRate,800}</v>
      </c>
      <c r="S10" t="str">
        <f t="shared" si="4"/>
        <v>{3,explosionDmg,600}</v>
      </c>
      <c r="T10" t="str">
        <f t="shared" si="5"/>
        <v>{4,hurtRate,800}</v>
      </c>
      <c r="U10" t="str">
        <f t="shared" si="6"/>
        <v>{4,continueDmg,40}</v>
      </c>
      <c r="V10" t="str">
        <f t="shared" si="7"/>
        <v>{5,hurtRate,800}</v>
      </c>
      <c r="W10" t="str">
        <f t="shared" si="8"/>
        <v>{6,hurtRate,800}</v>
      </c>
      <c r="X10" t="str">
        <f t="shared" si="9"/>
        <v>{7,hurtRate,800}</v>
      </c>
      <c r="Y10" t="str">
        <f t="shared" si="10"/>
        <v>{8,hurtRate,250}</v>
      </c>
      <c r="Z10" t="str">
        <f t="shared" si="11"/>
        <v>{9,hurtRate,800}</v>
      </c>
      <c r="AA10" t="str">
        <f t="shared" si="12"/>
        <v>{9,explosionDmg,800}</v>
      </c>
      <c r="AB10" t="str">
        <f t="shared" si="13"/>
        <v>{10,hurtRate,800}</v>
      </c>
      <c r="AC10" t="str">
        <f t="shared" si="14"/>
        <v>{11,hurtRate,400}</v>
      </c>
      <c r="AD10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1" spans="2:30">
      <c r="B11" t="s">
        <v>39</v>
      </c>
      <c r="C11" t="s">
        <v>30</v>
      </c>
      <c r="D11" t="s">
        <v>40</v>
      </c>
      <c r="E11" t="s">
        <v>41</v>
      </c>
      <c r="F11" t="s">
        <v>42</v>
      </c>
      <c r="H11" t="s">
        <v>43</v>
      </c>
      <c r="I11" t="s">
        <v>44</v>
      </c>
      <c r="J11" t="s">
        <v>24</v>
      </c>
      <c r="K11" t="s">
        <v>36</v>
      </c>
      <c r="L11" t="s">
        <v>37</v>
      </c>
      <c r="M11" t="s">
        <v>45</v>
      </c>
      <c r="P11" t="str">
        <f t="shared" si="1"/>
        <v>{1,attackInterval,-100}</v>
      </c>
      <c r="Q11" t="str">
        <f t="shared" si="2"/>
        <v>{2,attackInterval,-1500}</v>
      </c>
      <c r="R11" t="str">
        <f t="shared" si="3"/>
        <v>{3,explosionRange,2500}</v>
      </c>
      <c r="S11" t="str">
        <f t="shared" si="4"/>
        <v>{4,duration,500}</v>
      </c>
      <c r="T11" t="str">
        <f t="shared" si="5"/>
        <v>{5,attackInterval,-500}</v>
      </c>
      <c r="U11" t="str">
        <f t="shared" si="6"/>
        <v/>
      </c>
      <c r="V11" t="str">
        <f t="shared" si="7"/>
        <v>{6,duration,1000}</v>
      </c>
      <c r="W11" t="str">
        <f t="shared" si="8"/>
        <v>{7,attackInterval,-500}</v>
      </c>
      <c r="X11" t="str">
        <f t="shared" si="9"/>
        <v>{8,hurtRate,250}</v>
      </c>
      <c r="Y11" t="str">
        <f t="shared" si="10"/>
        <v>{9,attackInterval,-500}</v>
      </c>
      <c r="Z11" t="str">
        <f t="shared" si="11"/>
        <v>{10,attackInterval,-500}</v>
      </c>
      <c r="AA11" t="str">
        <f t="shared" si="12"/>
        <v>{11,duration,1800}</v>
      </c>
      <c r="AB11" t="str">
        <f t="shared" si="13"/>
        <v/>
      </c>
      <c r="AC11" t="str">
        <f t="shared" si="14"/>
        <v/>
      </c>
      <c r="AD11" t="str">
        <f t="shared" si="15"/>
        <v>[{1,attackInterval,-100},{2,attackInterval,-1500},{3,explosionRange,2500},{4,duration,500},{5,attackInterval,-500},{6,duration,1000},{7,attackInterval,-500},{8,hurtRate,250},{9,attackInterval,-500},{10,attackInterval,-500},{11,duration,1800}]</v>
      </c>
    </row>
    <row r="12" spans="2:30"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t="s">
        <v>28</v>
      </c>
      <c r="P12" t="str">
        <f t="shared" si="1"/>
        <v>{1,hurtRate,800}</v>
      </c>
      <c r="Q12" t="str">
        <f t="shared" si="2"/>
        <v>{2,hurtRate,800}</v>
      </c>
      <c r="R12" t="str">
        <f t="shared" si="3"/>
        <v>{3,hurtRate,800}</v>
      </c>
      <c r="S12" t="str">
        <f t="shared" si="4"/>
        <v>{3,explosionDmg,600}</v>
      </c>
      <c r="T12" t="str">
        <f t="shared" si="5"/>
        <v>{4,hurtRate,800}</v>
      </c>
      <c r="U12" t="str">
        <f t="shared" si="6"/>
        <v>{4,continueDmg,40}</v>
      </c>
      <c r="V12" t="str">
        <f t="shared" si="7"/>
        <v>{5,hurtRate,800}</v>
      </c>
      <c r="W12" t="str">
        <f t="shared" si="8"/>
        <v>{6,hurtRate,800}</v>
      </c>
      <c r="X12" t="str">
        <f t="shared" si="9"/>
        <v>{7,hurtRate,800}</v>
      </c>
      <c r="Y12" t="str">
        <f t="shared" si="10"/>
        <v>{8,hurtRate,250}</v>
      </c>
      <c r="Z12" t="str">
        <f t="shared" si="11"/>
        <v>{9,hurtRate,800}</v>
      </c>
      <c r="AA12" t="str">
        <f t="shared" si="12"/>
        <v>{9,explosionDmg,800}</v>
      </c>
      <c r="AB12" t="str">
        <f t="shared" si="13"/>
        <v>{10,hurtRate,800}</v>
      </c>
      <c r="AC12" t="str">
        <f t="shared" si="14"/>
        <v>{11,hurtRate,400}</v>
      </c>
      <c r="AD12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3" spans="2:30"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  <c r="P13" t="str">
        <f t="shared" si="1"/>
        <v>{1,hurtRate,800}</v>
      </c>
      <c r="Q13" t="str">
        <f t="shared" si="2"/>
        <v>{2,hurtRate,800}</v>
      </c>
      <c r="R13" t="str">
        <f t="shared" si="3"/>
        <v>{3,hurtRate,800}</v>
      </c>
      <c r="S13" t="str">
        <f t="shared" si="4"/>
        <v>{3,explosionDmg,600}</v>
      </c>
      <c r="T13" t="str">
        <f t="shared" si="5"/>
        <v>{4,hurtRate,800}</v>
      </c>
      <c r="U13" t="str">
        <f t="shared" si="6"/>
        <v>{4,continueDmg,40}</v>
      </c>
      <c r="V13" t="str">
        <f t="shared" si="7"/>
        <v>{5,hurtRate,800}</v>
      </c>
      <c r="W13" t="str">
        <f t="shared" si="8"/>
        <v>{6,hurtRate,800}</v>
      </c>
      <c r="X13" t="str">
        <f t="shared" si="9"/>
        <v>{7,hurtRate,800}</v>
      </c>
      <c r="Y13" t="str">
        <f t="shared" si="10"/>
        <v>{8,hurtRate,250}</v>
      </c>
      <c r="Z13" t="str">
        <f t="shared" si="11"/>
        <v>{9,hurtRate,800}</v>
      </c>
      <c r="AA13" t="str">
        <f t="shared" si="12"/>
        <v>{9,explosionDmg,800}</v>
      </c>
      <c r="AB13" t="str">
        <f t="shared" si="13"/>
        <v>{10,hurtRate,800}</v>
      </c>
      <c r="AC13" t="str">
        <f t="shared" si="14"/>
        <v>{11,hurtRate,400}</v>
      </c>
      <c r="AD13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4" spans="2:30"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 t="s">
        <v>28</v>
      </c>
      <c r="P14" t="str">
        <f t="shared" si="1"/>
        <v>{1,hurtRate,800}</v>
      </c>
      <c r="Q14" t="str">
        <f t="shared" si="2"/>
        <v>{2,hurtRate,800}</v>
      </c>
      <c r="R14" t="str">
        <f t="shared" si="3"/>
        <v>{3,hurtRate,800}</v>
      </c>
      <c r="S14" t="str">
        <f t="shared" si="4"/>
        <v>{3,explosionDmg,600}</v>
      </c>
      <c r="T14" t="str">
        <f t="shared" si="5"/>
        <v>{4,hurtRate,800}</v>
      </c>
      <c r="U14" t="str">
        <f t="shared" si="6"/>
        <v>{4,continueDmg,40}</v>
      </c>
      <c r="V14" t="str">
        <f t="shared" si="7"/>
        <v>{5,hurtRate,800}</v>
      </c>
      <c r="W14" t="str">
        <f t="shared" si="8"/>
        <v>{6,hurtRate,800}</v>
      </c>
      <c r="X14" t="str">
        <f t="shared" si="9"/>
        <v>{7,hurtRate,800}</v>
      </c>
      <c r="Y14" t="str">
        <f t="shared" si="10"/>
        <v>{8,hurtRate,250}</v>
      </c>
      <c r="Z14" t="str">
        <f t="shared" si="11"/>
        <v>{9,hurtRate,800}</v>
      </c>
      <c r="AA14" t="str">
        <f t="shared" si="12"/>
        <v>{9,explosionDmg,800}</v>
      </c>
      <c r="AB14" t="str">
        <f t="shared" si="13"/>
        <v>{10,hurtRate,800}</v>
      </c>
      <c r="AC14" t="str">
        <f t="shared" si="14"/>
        <v>{11,hurtRate,400}</v>
      </c>
      <c r="AD14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5" spans="2:30"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 t="s">
        <v>28</v>
      </c>
      <c r="P15" t="str">
        <f t="shared" si="1"/>
        <v>{1,hurtRate,800}</v>
      </c>
      <c r="Q15" t="str">
        <f t="shared" si="2"/>
        <v>{2,hurtRate,800}</v>
      </c>
      <c r="R15" t="str">
        <f t="shared" si="3"/>
        <v>{3,hurtRate,800}</v>
      </c>
      <c r="S15" t="str">
        <f t="shared" si="4"/>
        <v>{3,explosionDmg,600}</v>
      </c>
      <c r="T15" t="str">
        <f t="shared" si="5"/>
        <v>{4,hurtRate,800}</v>
      </c>
      <c r="U15" t="str">
        <f t="shared" si="6"/>
        <v>{4,continueDmg,40}</v>
      </c>
      <c r="V15" t="str">
        <f t="shared" si="7"/>
        <v>{5,hurtRate,800}</v>
      </c>
      <c r="W15" t="str">
        <f t="shared" si="8"/>
        <v>{6,hurtRate,800}</v>
      </c>
      <c r="X15" t="str">
        <f t="shared" si="9"/>
        <v>{7,hurtRate,800}</v>
      </c>
      <c r="Y15" t="str">
        <f t="shared" si="10"/>
        <v>{8,hurtRate,250}</v>
      </c>
      <c r="Z15" t="str">
        <f t="shared" si="11"/>
        <v>{9,hurtRate,800}</v>
      </c>
      <c r="AA15" t="str">
        <f t="shared" si="12"/>
        <v>{9,explosionDmg,800}</v>
      </c>
      <c r="AB15" t="str">
        <f t="shared" si="13"/>
        <v>{10,hurtRate,800}</v>
      </c>
      <c r="AC15" t="str">
        <f t="shared" si="14"/>
        <v>{11,hurtRate,400}</v>
      </c>
      <c r="AD15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6" spans="2:30">
      <c r="B16" t="s">
        <v>29</v>
      </c>
      <c r="C16" t="s">
        <v>30</v>
      </c>
      <c r="D16" t="s">
        <v>31</v>
      </c>
      <c r="E16" t="s">
        <v>46</v>
      </c>
      <c r="F16" t="s">
        <v>33</v>
      </c>
      <c r="H16" t="s">
        <v>43</v>
      </c>
      <c r="I16" t="s">
        <v>35</v>
      </c>
      <c r="J16" t="s">
        <v>24</v>
      </c>
      <c r="K16" t="s">
        <v>36</v>
      </c>
      <c r="L16" t="s">
        <v>37</v>
      </c>
      <c r="M16" t="s">
        <v>47</v>
      </c>
      <c r="P16" t="str">
        <f t="shared" si="1"/>
        <v>{1,pierce,1}</v>
      </c>
      <c r="Q16" t="str">
        <f t="shared" si="2"/>
        <v>{2,attackInterval,-1500}</v>
      </c>
      <c r="R16" t="str">
        <f t="shared" si="3"/>
        <v>{3,attackInterval,-500}</v>
      </c>
      <c r="S16" t="str">
        <f t="shared" si="4"/>
        <v>{4,attackInterval,-500}</v>
      </c>
      <c r="T16" t="str">
        <f t="shared" si="5"/>
        <v>{5,duration,200}</v>
      </c>
      <c r="U16" t="str">
        <f t="shared" si="6"/>
        <v/>
      </c>
      <c r="V16" t="str">
        <f t="shared" si="7"/>
        <v>{6,duration,1000}</v>
      </c>
      <c r="W16" t="str">
        <f t="shared" si="8"/>
        <v>{7,pierce,1}</v>
      </c>
      <c r="X16" t="str">
        <f t="shared" si="9"/>
        <v>{8,hurtRate,250}</v>
      </c>
      <c r="Y16" t="str">
        <f t="shared" si="10"/>
        <v>{9,attackInterval,-500}</v>
      </c>
      <c r="Z16" t="str">
        <f t="shared" si="11"/>
        <v>{10,attackInterval,-500}</v>
      </c>
      <c r="AA16" t="str">
        <f t="shared" si="12"/>
        <v>{11,attackInterval,-2000}</v>
      </c>
      <c r="AB16" t="str">
        <f t="shared" si="13"/>
        <v/>
      </c>
      <c r="AC16" t="str">
        <f t="shared" si="14"/>
        <v/>
      </c>
      <c r="AD16" t="str">
        <f t="shared" si="15"/>
        <v>[{1,pierce,1},{2,attackInterval,-1500},{3,attackInterval,-500},{4,attackInterval,-500},{5,duration,200},{6,duration,1000},{7,pierce,1},{8,hurtRate,250},{9,attackInterval,-500},{10,attackInterval,-500},{11,attackInterval,-2000}]</v>
      </c>
    </row>
    <row r="17" spans="2:30"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 t="s">
        <v>28</v>
      </c>
      <c r="P17" t="str">
        <f t="shared" si="1"/>
        <v>{1,hurtRate,800}</v>
      </c>
      <c r="Q17" t="str">
        <f t="shared" si="2"/>
        <v>{2,hurtRate,800}</v>
      </c>
      <c r="R17" t="str">
        <f t="shared" si="3"/>
        <v>{3,hurtRate,800}</v>
      </c>
      <c r="S17" t="str">
        <f t="shared" si="4"/>
        <v>{3,explosionDmg,600}</v>
      </c>
      <c r="T17" t="str">
        <f t="shared" si="5"/>
        <v>{4,hurtRate,800}</v>
      </c>
      <c r="U17" t="str">
        <f t="shared" si="6"/>
        <v>{4,continueDmg,40}</v>
      </c>
      <c r="V17" t="str">
        <f t="shared" si="7"/>
        <v>{5,hurtRate,800}</v>
      </c>
      <c r="W17" t="str">
        <f t="shared" si="8"/>
        <v>{6,hurtRate,800}</v>
      </c>
      <c r="X17" t="str">
        <f t="shared" si="9"/>
        <v>{7,hurtRate,800}</v>
      </c>
      <c r="Y17" t="str">
        <f t="shared" si="10"/>
        <v>{8,hurtRate,250}</v>
      </c>
      <c r="Z17" t="str">
        <f t="shared" si="11"/>
        <v>{9,hurtRate,800}</v>
      </c>
      <c r="AA17" t="str">
        <f t="shared" si="12"/>
        <v>{9,explosionDmg,800}</v>
      </c>
      <c r="AB17" t="str">
        <f t="shared" si="13"/>
        <v>{10,hurtRate,800}</v>
      </c>
      <c r="AC17" t="str">
        <f t="shared" si="14"/>
        <v>{11,hurtRate,400}</v>
      </c>
      <c r="AD17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8" spans="2:30"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 t="s">
        <v>27</v>
      </c>
      <c r="O18" t="s">
        <v>28</v>
      </c>
      <c r="P18" t="str">
        <f t="shared" si="1"/>
        <v>{1,hurtRate,800}</v>
      </c>
      <c r="Q18" t="str">
        <f t="shared" si="2"/>
        <v>{2,hurtRate,800}</v>
      </c>
      <c r="R18" t="str">
        <f t="shared" si="3"/>
        <v>{3,hurtRate,800}</v>
      </c>
      <c r="S18" t="str">
        <f t="shared" si="4"/>
        <v>{3,explosionDmg,600}</v>
      </c>
      <c r="T18" t="str">
        <f t="shared" si="5"/>
        <v>{4,hurtRate,800}</v>
      </c>
      <c r="U18" t="str">
        <f t="shared" si="6"/>
        <v>{4,continueDmg,40}</v>
      </c>
      <c r="V18" t="str">
        <f t="shared" si="7"/>
        <v>{5,hurtRate,800}</v>
      </c>
      <c r="W18" t="str">
        <f t="shared" si="8"/>
        <v>{6,hurtRate,800}</v>
      </c>
      <c r="X18" t="str">
        <f t="shared" si="9"/>
        <v>{7,hurtRate,800}</v>
      </c>
      <c r="Y18" t="str">
        <f t="shared" si="10"/>
        <v>{8,hurtRate,250}</v>
      </c>
      <c r="Z18" t="str">
        <f t="shared" si="11"/>
        <v>{9,hurtRate,800}</v>
      </c>
      <c r="AA18" t="str">
        <f t="shared" si="12"/>
        <v>{9,explosionDmg,800}</v>
      </c>
      <c r="AB18" t="str">
        <f t="shared" si="13"/>
        <v>{10,hurtRate,800}</v>
      </c>
      <c r="AC18" t="str">
        <f t="shared" si="14"/>
        <v>{11,hurtRate,400}</v>
      </c>
      <c r="AD18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9" spans="2:30"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 t="s">
        <v>28</v>
      </c>
      <c r="P19" t="str">
        <f t="shared" si="1"/>
        <v>{1,hurtRate,800}</v>
      </c>
      <c r="Q19" t="str">
        <f t="shared" si="2"/>
        <v>{2,hurtRate,800}</v>
      </c>
      <c r="R19" t="str">
        <f t="shared" si="3"/>
        <v>{3,hurtRate,800}</v>
      </c>
      <c r="S19" t="str">
        <f t="shared" si="4"/>
        <v>{3,explosionDmg,600}</v>
      </c>
      <c r="T19" t="str">
        <f t="shared" si="5"/>
        <v>{4,hurtRate,800}</v>
      </c>
      <c r="U19" t="str">
        <f t="shared" si="6"/>
        <v>{4,continueDmg,40}</v>
      </c>
      <c r="V19" t="str">
        <f t="shared" si="7"/>
        <v>{5,hurtRate,800}</v>
      </c>
      <c r="W19" t="str">
        <f t="shared" si="8"/>
        <v>{6,hurtRate,800}</v>
      </c>
      <c r="X19" t="str">
        <f t="shared" si="9"/>
        <v>{7,hurtRate,800}</v>
      </c>
      <c r="Y19" t="str">
        <f t="shared" si="10"/>
        <v>{8,hurtRate,250}</v>
      </c>
      <c r="Z19" t="str">
        <f t="shared" si="11"/>
        <v>{9,hurtRate,800}</v>
      </c>
      <c r="AA19" t="str">
        <f t="shared" si="12"/>
        <v>{9,explosionDmg,800}</v>
      </c>
      <c r="AB19" t="str">
        <f t="shared" si="13"/>
        <v>{10,hurtRate,800}</v>
      </c>
      <c r="AC19" t="str">
        <f t="shared" si="14"/>
        <v>{11,hurtRate,400}</v>
      </c>
      <c r="AD19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20" spans="2:30"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  <c r="P20" t="str">
        <f t="shared" si="1"/>
        <v>{1,hurtRate,800}</v>
      </c>
      <c r="Q20" t="str">
        <f t="shared" si="2"/>
        <v>{2,hurtRate,800}</v>
      </c>
      <c r="R20" t="str">
        <f t="shared" si="3"/>
        <v>{3,hurtRate,800}</v>
      </c>
      <c r="S20" t="str">
        <f t="shared" si="4"/>
        <v>{3,explosionDmg,600}</v>
      </c>
      <c r="T20" t="str">
        <f t="shared" si="5"/>
        <v>{4,hurtRate,800}</v>
      </c>
      <c r="U20" t="str">
        <f t="shared" si="6"/>
        <v>{4,continueDmg,40}</v>
      </c>
      <c r="V20" t="str">
        <f t="shared" si="7"/>
        <v>{5,hurtRate,800}</v>
      </c>
      <c r="W20" t="str">
        <f t="shared" si="8"/>
        <v>{6,hurtRate,800}</v>
      </c>
      <c r="X20" t="str">
        <f t="shared" si="9"/>
        <v>{7,hurtRate,800}</v>
      </c>
      <c r="Y20" t="str">
        <f t="shared" si="10"/>
        <v>{8,hurtRate,250}</v>
      </c>
      <c r="Z20" t="str">
        <f t="shared" si="11"/>
        <v>{9,hurtRate,800}</v>
      </c>
      <c r="AA20" t="str">
        <f t="shared" si="12"/>
        <v>{9,explosionDmg,800}</v>
      </c>
      <c r="AB20" t="str">
        <f t="shared" si="13"/>
        <v>{10,hurtRate,800}</v>
      </c>
      <c r="AC20" t="str">
        <f t="shared" si="14"/>
        <v>{11,hurtRate,400}</v>
      </c>
      <c r="AD20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21" spans="2:30">
      <c r="B21" t="s">
        <v>39</v>
      </c>
      <c r="C21" t="s">
        <v>30</v>
      </c>
      <c r="D21" t="s">
        <v>40</v>
      </c>
      <c r="E21" t="s">
        <v>41</v>
      </c>
      <c r="F21" t="s">
        <v>42</v>
      </c>
      <c r="H21" t="s">
        <v>34</v>
      </c>
      <c r="I21" t="s">
        <v>44</v>
      </c>
      <c r="J21" t="s">
        <v>24</v>
      </c>
      <c r="K21" t="s">
        <v>36</v>
      </c>
      <c r="L21" t="s">
        <v>37</v>
      </c>
      <c r="M21" t="s">
        <v>38</v>
      </c>
      <c r="P21" t="str">
        <f t="shared" si="1"/>
        <v>{1,attackInterval,-100}</v>
      </c>
      <c r="Q21" t="str">
        <f t="shared" si="2"/>
        <v>{2,attackInterval,-1500}</v>
      </c>
      <c r="R21" t="str">
        <f t="shared" si="3"/>
        <v>{3,explosionRange,2500}</v>
      </c>
      <c r="S21" t="str">
        <f t="shared" si="4"/>
        <v>{4,duration,500}</v>
      </c>
      <c r="T21" t="str">
        <f t="shared" si="5"/>
        <v>{5,attackInterval,-500}</v>
      </c>
      <c r="U21" t="str">
        <f t="shared" si="6"/>
        <v/>
      </c>
      <c r="V21" t="str">
        <f t="shared" si="7"/>
        <v>{6,attackInterval,-1000}</v>
      </c>
      <c r="W21" t="str">
        <f t="shared" si="8"/>
        <v>{7,attackInterval,-500}</v>
      </c>
      <c r="X21" t="str">
        <f t="shared" si="9"/>
        <v>{8,hurtRate,250}</v>
      </c>
      <c r="Y21" t="str">
        <f t="shared" si="10"/>
        <v>{9,attackInterval,-500}</v>
      </c>
      <c r="Z21" t="str">
        <f t="shared" si="11"/>
        <v>{10,attackInterval,-500}</v>
      </c>
      <c r="AA21" t="str">
        <f t="shared" si="12"/>
        <v>{11,bulletSize,1000}</v>
      </c>
      <c r="AB21" t="str">
        <f t="shared" si="13"/>
        <v/>
      </c>
      <c r="AC21" t="str">
        <f t="shared" si="14"/>
        <v/>
      </c>
      <c r="AD21" t="str">
        <f t="shared" si="15"/>
        <v>[{1,attackInterval,-100},{2,attackInterval,-1500},{3,explosionRange,2500},{4,duration,500},{5,attackInterval,-500},{6,attackInterval,-1000},{7,attackInterval,-500},{8,hurtRate,250},{9,attackInterval,-500},{10,attackInterval,-500},{11,bulletSize,1000}]</v>
      </c>
    </row>
    <row r="22" spans="2:30"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  <c r="O22" t="s">
        <v>28</v>
      </c>
      <c r="P22" t="str">
        <f t="shared" si="1"/>
        <v>{1,hurtRate,800}</v>
      </c>
      <c r="Q22" t="str">
        <f t="shared" si="2"/>
        <v>{2,hurtRate,800}</v>
      </c>
      <c r="R22" t="str">
        <f t="shared" si="3"/>
        <v>{3,hurtRate,800}</v>
      </c>
      <c r="S22" t="str">
        <f t="shared" si="4"/>
        <v>{3,explosionDmg,600}</v>
      </c>
      <c r="T22" t="str">
        <f t="shared" si="5"/>
        <v>{4,hurtRate,800}</v>
      </c>
      <c r="U22" t="str">
        <f t="shared" si="6"/>
        <v>{4,continueDmg,40}</v>
      </c>
      <c r="V22" t="str">
        <f t="shared" si="7"/>
        <v>{5,hurtRate,800}</v>
      </c>
      <c r="W22" t="str">
        <f t="shared" si="8"/>
        <v>{6,hurtRate,800}</v>
      </c>
      <c r="X22" t="str">
        <f t="shared" si="9"/>
        <v>{7,hurtRate,800}</v>
      </c>
      <c r="Y22" t="str">
        <f t="shared" si="10"/>
        <v>{8,hurtRate,250}</v>
      </c>
      <c r="Z22" t="str">
        <f t="shared" si="11"/>
        <v>{9,hurtRate,800}</v>
      </c>
      <c r="AA22" t="str">
        <f t="shared" si="12"/>
        <v>{9,explosionDmg,800}</v>
      </c>
      <c r="AB22" t="str">
        <f t="shared" si="13"/>
        <v>{10,hurtRate,800}</v>
      </c>
      <c r="AC22" t="str">
        <f t="shared" si="14"/>
        <v>{11,hurtRate,400}</v>
      </c>
      <c r="AD22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23" spans="2:30"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 t="s">
        <v>27</v>
      </c>
      <c r="O23" t="s">
        <v>28</v>
      </c>
      <c r="P23" t="str">
        <f t="shared" si="1"/>
        <v>{1,hurtRate,800}</v>
      </c>
      <c r="Q23" t="str">
        <f t="shared" si="2"/>
        <v>{2,hurtRate,800}</v>
      </c>
      <c r="R23" t="str">
        <f t="shared" si="3"/>
        <v>{3,hurtRate,800}</v>
      </c>
      <c r="S23" t="str">
        <f t="shared" si="4"/>
        <v>{3,explosionDmg,600}</v>
      </c>
      <c r="T23" t="str">
        <f t="shared" si="5"/>
        <v>{4,hurtRate,800}</v>
      </c>
      <c r="U23" t="str">
        <f t="shared" si="6"/>
        <v>{4,continueDmg,40}</v>
      </c>
      <c r="V23" t="str">
        <f t="shared" si="7"/>
        <v>{5,hurtRate,800}</v>
      </c>
      <c r="W23" t="str">
        <f t="shared" si="8"/>
        <v>{6,hurtRate,800}</v>
      </c>
      <c r="X23" t="str">
        <f t="shared" si="9"/>
        <v>{7,hurtRate,800}</v>
      </c>
      <c r="Y23" t="str">
        <f t="shared" si="10"/>
        <v>{8,hurtRate,250}</v>
      </c>
      <c r="Z23" t="str">
        <f t="shared" si="11"/>
        <v>{9,hurtRate,800}</v>
      </c>
      <c r="AA23" t="str">
        <f t="shared" si="12"/>
        <v>{9,explosionDmg,800}</v>
      </c>
      <c r="AB23" t="str">
        <f t="shared" si="13"/>
        <v>{10,hurtRate,800}</v>
      </c>
      <c r="AC23" t="str">
        <f t="shared" si="14"/>
        <v>{11,hurtRate,400}</v>
      </c>
      <c r="AD23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24" spans="2:30"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N24" t="s">
        <v>27</v>
      </c>
      <c r="O24" t="s">
        <v>28</v>
      </c>
      <c r="P24" t="str">
        <f t="shared" si="1"/>
        <v>{1,hurtRate,800}</v>
      </c>
      <c r="Q24" t="str">
        <f t="shared" si="2"/>
        <v>{2,hurtRate,800}</v>
      </c>
      <c r="R24" t="str">
        <f t="shared" si="3"/>
        <v>{3,hurtRate,800}</v>
      </c>
      <c r="S24" t="str">
        <f t="shared" si="4"/>
        <v>{3,explosionDmg,600}</v>
      </c>
      <c r="T24" t="str">
        <f t="shared" si="5"/>
        <v>{4,hurtRate,800}</v>
      </c>
      <c r="U24" t="str">
        <f t="shared" si="6"/>
        <v>{4,continueDmg,40}</v>
      </c>
      <c r="V24" t="str">
        <f t="shared" si="7"/>
        <v>{5,hurtRate,800}</v>
      </c>
      <c r="W24" t="str">
        <f t="shared" si="8"/>
        <v>{6,hurtRate,800}</v>
      </c>
      <c r="X24" t="str">
        <f t="shared" si="9"/>
        <v>{7,hurtRate,800}</v>
      </c>
      <c r="Y24" t="str">
        <f t="shared" si="10"/>
        <v>{8,hurtRate,250}</v>
      </c>
      <c r="Z24" t="str">
        <f t="shared" si="11"/>
        <v>{9,hurtRate,800}</v>
      </c>
      <c r="AA24" t="str">
        <f t="shared" si="12"/>
        <v>{9,explosionDmg,800}</v>
      </c>
      <c r="AB24" t="str">
        <f t="shared" si="13"/>
        <v>{10,hurtRate,800}</v>
      </c>
      <c r="AC24" t="str">
        <f t="shared" si="14"/>
        <v>{11,hurtRate,400}</v>
      </c>
      <c r="AD24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25" spans="2:30"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26</v>
      </c>
      <c r="N25" t="s">
        <v>27</v>
      </c>
      <c r="O25" t="s">
        <v>28</v>
      </c>
      <c r="P25" t="str">
        <f t="shared" si="1"/>
        <v>{1,hurtRate,800}</v>
      </c>
      <c r="Q25" t="str">
        <f t="shared" si="2"/>
        <v>{2,hurtRate,800}</v>
      </c>
      <c r="R25" t="str">
        <f t="shared" si="3"/>
        <v>{3,hurtRate,800}</v>
      </c>
      <c r="S25" t="str">
        <f t="shared" si="4"/>
        <v>{3,explosionDmg,600}</v>
      </c>
      <c r="T25" t="str">
        <f t="shared" si="5"/>
        <v>{4,hurtRate,800}</v>
      </c>
      <c r="U25" t="str">
        <f t="shared" si="6"/>
        <v>{4,continueDmg,40}</v>
      </c>
      <c r="V25" t="str">
        <f t="shared" si="7"/>
        <v>{5,hurtRate,800}</v>
      </c>
      <c r="W25" t="str">
        <f t="shared" si="8"/>
        <v>{6,hurtRate,800}</v>
      </c>
      <c r="X25" t="str">
        <f t="shared" si="9"/>
        <v>{7,hurtRate,800}</v>
      </c>
      <c r="Y25" t="str">
        <f t="shared" si="10"/>
        <v>{8,hurtRate,250}</v>
      </c>
      <c r="Z25" t="str">
        <f t="shared" si="11"/>
        <v>{9,hurtRate,800}</v>
      </c>
      <c r="AA25" t="str">
        <f t="shared" si="12"/>
        <v>{9,explosionDmg,800}</v>
      </c>
      <c r="AB25" t="str">
        <f t="shared" si="13"/>
        <v>{10,hurtRate,800}</v>
      </c>
      <c r="AC25" t="str">
        <f t="shared" si="14"/>
        <v>{11,hurtRate,400}</v>
      </c>
      <c r="AD25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26" spans="2:30">
      <c r="B26" t="s">
        <v>29</v>
      </c>
      <c r="C26" t="s">
        <v>30</v>
      </c>
      <c r="D26" t="s">
        <v>40</v>
      </c>
      <c r="E26" t="s">
        <v>46</v>
      </c>
      <c r="F26" t="s">
        <v>33</v>
      </c>
      <c r="H26" t="s">
        <v>43</v>
      </c>
      <c r="I26" t="s">
        <v>35</v>
      </c>
      <c r="J26" t="s">
        <v>48</v>
      </c>
      <c r="K26" t="s">
        <v>49</v>
      </c>
      <c r="L26" t="s">
        <v>37</v>
      </c>
      <c r="M26" t="s">
        <v>47</v>
      </c>
      <c r="P26" t="str">
        <f t="shared" si="1"/>
        <v>{1,pierce,1}</v>
      </c>
      <c r="Q26" t="str">
        <f t="shared" si="2"/>
        <v>{2,attackInterval,-1500}</v>
      </c>
      <c r="R26" t="str">
        <f t="shared" si="3"/>
        <v>{3,explosionRange,2500}</v>
      </c>
      <c r="S26" t="str">
        <f t="shared" si="4"/>
        <v>{4,attackInterval,-500}</v>
      </c>
      <c r="T26" t="str">
        <f t="shared" si="5"/>
        <v>{5,duration,200}</v>
      </c>
      <c r="U26" t="str">
        <f t="shared" si="6"/>
        <v/>
      </c>
      <c r="V26" t="str">
        <f t="shared" si="7"/>
        <v>{6,duration,1000}</v>
      </c>
      <c r="W26" t="str">
        <f t="shared" si="8"/>
        <v>{7,pierce,1}</v>
      </c>
      <c r="X26" t="str">
        <f t="shared" si="9"/>
        <v>{8,frequency,1}</v>
      </c>
      <c r="Y26" t="str">
        <f t="shared" si="10"/>
        <v>{9,num,1}</v>
      </c>
      <c r="Z26" t="str">
        <f t="shared" si="11"/>
        <v>{10,attackInterval,-500}</v>
      </c>
      <c r="AA26" t="str">
        <f t="shared" si="12"/>
        <v>{11,attackInterval,-2000}</v>
      </c>
      <c r="AB26" t="str">
        <f t="shared" si="13"/>
        <v/>
      </c>
      <c r="AC26" t="str">
        <f t="shared" si="14"/>
        <v/>
      </c>
      <c r="AD26" t="str">
        <f t="shared" si="15"/>
        <v>[{1,pierce,1},{2,attackInterval,-1500},{3,explosionRange,2500},{4,attackInterval,-500},{5,duration,200},{6,duration,1000},{7,pierce,1},{8,frequency,1},{9,num,1},{10,attackInterval,-500},{11,attackInterval,-2000}]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2024-08-09T03:32:37Z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2D44307DC4B24D52B59DD2F5B1A42912</vt:lpwstr>
  </property>
</Properties>
</file>