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B1" authorId="0">
      <text>
        <r>
          <rPr>
            <sz val="9"/>
            <rFont val="宋体"/>
            <charset val="134"/>
          </rPr>
          <t>对应武器道具的数量。Weapon.xlsx 升级材料</t>
        </r>
      </text>
    </comment>
    <comment ref="C1" authorId="0">
      <text>
        <r>
          <rPr>
            <sz val="9"/>
            <rFont val="宋体"/>
            <charset val="134"/>
          </rPr>
          <t>对应武器道具的数量。Weapon.xlsx 升级材料</t>
        </r>
      </text>
    </comment>
    <comment ref="D1" authorId="0">
      <text>
        <r>
          <rPr>
            <sz val="9"/>
            <rFont val="宋体"/>
            <charset val="134"/>
          </rPr>
          <t>对应武器道具的数量。Weapon.xlsx 升级材料</t>
        </r>
      </text>
    </comment>
    <comment ref="F1" authorId="0">
      <text>
        <r>
          <rPr>
            <sz val="9"/>
            <rFont val="宋体"/>
            <charset val="134"/>
          </rPr>
          <t>对应武器道具的数量。Weapon.xlsx 升级材料</t>
        </r>
      </text>
    </comment>
    <comment ref="G1" authorId="0">
      <text>
        <r>
          <rPr>
            <sz val="9"/>
            <rFont val="宋体"/>
            <charset val="134"/>
          </rPr>
          <t>对应武器道具的数量。Weapon.xlsx 升级材料</t>
        </r>
      </text>
    </comment>
    <comment ref="H1" authorId="0">
      <text>
        <r>
          <rPr>
            <sz val="9"/>
            <rFont val="宋体"/>
            <charset val="134"/>
          </rPr>
          <t>对应武器道具的数量。Weapon.xlsx 升级材料</t>
        </r>
      </text>
    </comment>
    <comment ref="J1" authorId="0">
      <text>
        <r>
          <rPr>
            <sz val="9"/>
            <rFont val="宋体"/>
            <charset val="134"/>
          </rPr>
          <t>chenjiahui：
武器id，属性类型，加成值</t>
        </r>
      </text>
    </comment>
  </commentList>
</comments>
</file>

<file path=xl/sharedStrings.xml><?xml version="1.0" encoding="utf-8"?>
<sst xmlns="http://schemas.openxmlformats.org/spreadsheetml/2006/main" count="459" uniqueCount="108">
  <si>
    <t>武器等级</t>
  </si>
  <si>
    <t>2品质（道具）消耗</t>
  </si>
  <si>
    <t>3品质（道具）消耗</t>
  </si>
  <si>
    <t>4品质（道具）消耗</t>
  </si>
  <si>
    <t>5品质（道具）消耗</t>
  </si>
  <si>
    <t>2品质（金币）消耗</t>
  </si>
  <si>
    <t>3品质（金币）消耗</t>
  </si>
  <si>
    <t>4品质（金币）消耗</t>
  </si>
  <si>
    <t>5品质（金币）消耗</t>
  </si>
  <si>
    <t>属性成长（绿字）</t>
  </si>
  <si>
    <t>both</t>
  </si>
  <si>
    <t>id</t>
  </si>
  <si>
    <t>consume1</t>
  </si>
  <si>
    <t>consume2</t>
  </si>
  <si>
    <t>consume3</t>
  </si>
  <si>
    <t>consume4</t>
  </si>
  <si>
    <t>consumeCoin1</t>
  </si>
  <si>
    <t>consumeCoin2</t>
  </si>
  <si>
    <t>consumeCoin3</t>
  </si>
  <si>
    <t>consumeCoin4</t>
  </si>
  <si>
    <t>attrAdd</t>
  </si>
  <si>
    <t>int</t>
  </si>
  <si>
    <t>[Reward]</t>
  </si>
  <si>
    <t>[WeaponAttrAdd]</t>
  </si>
  <si>
    <t>[{Item,1,100}]</t>
  </si>
  <si>
    <t>[{Item,1,150}]</t>
  </si>
  <si>
    <t>[{Item,1,300}]</t>
  </si>
  <si>
    <t>[{Item,1,900}]</t>
  </si>
  <si>
    <t>[{Item,1,200}]</t>
  </si>
  <si>
    <t>[{Item,1,600}]</t>
  </si>
  <si>
    <t>[{Item,1,1800}]</t>
  </si>
  <si>
    <t>[{1,atk,7},{2,atk,4},{3,atk,3},{4,atk,2},{5,hp,11},{5,cdRevert,1},{6,hp,5},{6,cdArmor,1},{7,atk,3},{8,atk,1},{11,atk,3},{12,atk,5},{13,atk,7},{14,atk,14},{15,hp,16},{16,atk,7},{17,atk,9},{18,atk,27},{19,hp,31},{20,hp,10},{22,atk,5},{24,atk,34},{25,atk,22}]</t>
  </si>
  <si>
    <t>[{Item,1,3000}]</t>
  </si>
  <si>
    <t>[{1,atk,8},{2,atk,5},{3,atk,4},{4,atk,2},{5,hp,13},{5,cdRevert,1},{6,hp,7},{6,cdArmor,1},{7,atk,5},{8,atk,2},{11,atk,4},{12,atk,6},{13,atk,9},{14,atk,17},{15,hp,21},{16,atk,10},{17,atk,11},{18,atk,35},{19,hp,41},{20,hp,13},{22,atk,6},{24,atk,44},{25,atk,27}]</t>
  </si>
  <si>
    <t>[{Item,1,500}]</t>
  </si>
  <si>
    <t>[{Item,1,1000}]</t>
  </si>
  <si>
    <t>[{Item,1,1500}]</t>
  </si>
  <si>
    <t>[{Item,1,4500}]</t>
  </si>
  <si>
    <t>[{1,atk,10},{2,atk,6},{3,atk,5},{4,atk,3},{5,hp,18},{5,cdRevert,1},{6,hp,9},{6,cdArmor,1},{7,atk,7},{8,atk,3},{11,atk,5},{12,atk,8},{13,atk,11},{14,atk,23},{15,hp,27},{16,atk,12},{17,atk,13},{18,atk,46},{19,hp,52},{20,hp,17},{22,atk,8},{24,atk,58},{25,atk,37}]</t>
  </si>
  <si>
    <t>[{Item,1,6000}]</t>
  </si>
  <si>
    <t>[{1,atk,14},{2,atk,8},{3,atk,6},{4,atk,4},{5,hp,23},{5,cdRevert,1},{6,hp,11},{6,cdArmor,1},{7,atk,9},{8,atk,4},{11,atk,6},{12,atk,11},{13,atk,15},{14,atk,30},{15,hp,35},{16,atk,16},{17,atk,15},{18,atk,59},{19,hp,68},{20,hp,22},{22,atk,9},{24,atk,74},{25,atk,48}]</t>
  </si>
  <si>
    <t>[{Item,1,2000}]</t>
  </si>
  <si>
    <t>[{Item,1,9000}]</t>
  </si>
  <si>
    <t>[{1,atk,19},{2,atk,10},{3,atk,7},{4,atk,5},{5,hp,30},{5,cdRevert,1},{6,hp,14},{6,cdArmor,1},{7,atk,11},{8,atk,5},{11,atk,8},{12,atk,14},{13,atk,20},{14,atk,38},{15,hp,46},{16,atk,20},{17,atk,20},{18,atk,77},{19,hp,89},{20,hp,29},{22,atk,14},{24,atk,96},{25,atk,61}]</t>
  </si>
  <si>
    <t>[{Item,1,12000}]</t>
  </si>
  <si>
    <t>[{1,atk,24},{2,atk,13},{3,atk,8},{4,atk,7},{5,hp,39},{5,cdRevert,3},{6,hp,18},{6,cdArmor,1},{7,atk,13},{8,atk,6},{11,atk,10},{12,atk,17},{13,atk,25},{14,atk,48},{15,hp,59},{16,atk,26},{17,atk,25},{18,atk,100},{19,hp,115},{20,hp,37},{22,atk,17},{24,atk,125},{25,atk,77}]</t>
  </si>
  <si>
    <t>[{Item,1,4000}]</t>
  </si>
  <si>
    <t>[{Item,1,18000}]</t>
  </si>
  <si>
    <t>[{1,atk,31},{2,atk,18},{3,atk,10},{4,atk,9},{5,hp,51},{5,cdRevert,3},{6,hp,24},{6,cdArmor,1},{7,atk,17},{8,atk,7},{11,atk,13},{12,atk,21},{13,atk,33},{14,atk,62},{15,hp,74},{16,atk,32},{17,atk,30},{18,atk,128},{19,hp,150},{20,hp,46},{22,atk,21},{24,atk,160},{25,atk,99}]</t>
  </si>
  <si>
    <t>[{Item,1,31000}]</t>
  </si>
  <si>
    <t>[{1,atk,41},{2,atk,25},{3,atk,14},{4,atk,11},{5,hp,66},{5,cdRevert,3},{6,hp,31},{6,cdArmor,1},{7,atk,22},{8,atk,9},{11,atk,17},{12,atk,26},{13,atk,43},{14,atk,78},{15,hp,92},{16,atk,38},{17,atk,35},{18,atk,161},{19,hp,198},{20,hp,58},{22,atk,27},{24,atk,202},{25,atk,125}]</t>
  </si>
  <si>
    <t>[{Item,1,5000}]</t>
  </si>
  <si>
    <t>[{Item,1,10000}]</t>
  </si>
  <si>
    <t>[{Item,1,15000}]</t>
  </si>
  <si>
    <t>[{Item,1,45000}]</t>
  </si>
  <si>
    <t>[{1,atk,54},{2,atk,34},{3,atk,19},{4,atk,13},{5,hp,84},{5,cdRevert,3},{6,hp,41},{6,cdArmor,2},{7,atk,29},{8,atk,12},{11,atk,23},{12,atk,30},{13,atk,55},{14,atk,101},{15,hp,113},{16,atk,44},{17,atk,40},{18,atk,199},{19,hp,259},{20,hp,71},{22,atk,33},{24,atk,249},{25,atk,162}]</t>
  </si>
  <si>
    <t>[{Item,1,60000}]</t>
  </si>
  <si>
    <t>[{1,atk,70},{2,atk,45},{3,atk,25},{4,atk,15},{5,hp,105},{5,cdRevert,3},{6,hp,54},{6,cdArmor,2},{7,atk,37},{8,atk,17},{11,atk,29},{12,atk,36},{13,atk,70},{14,atk,128},{15,hp,136},{16,atk,50},{17,atk,48},{18,atk,245},{19,hp,333},{20,hp,85},{22,atk,41},{24,atk,307},{25,atk,205}]</t>
  </si>
  <si>
    <t>[{Item,1,20000}]</t>
  </si>
  <si>
    <t>[{Item,1,30000}]</t>
  </si>
  <si>
    <t>[{Item,1,90000}]</t>
  </si>
  <si>
    <t>[{1,atk,89},{2,atk,58},{3,atk,32},{4,atk,18},{5,hp,129},{5,cdRevert,5},{6,hp,69},{6,cdArmor,2},{7,atk,46},{8,atk,23},{11,atk,36},{12,atk,44},{13,atk,88},{14,atk,159},{15,hp,161},{16,atk,58},{17,atk,56},{18,atk,299},{19,hp,420},{20,hp,101},{22,atk,48},{24,atk,374},{25,atk,254}]</t>
  </si>
  <si>
    <t>[{Item,1,120000}]</t>
  </si>
  <si>
    <t>[{1,atk,110},{2,atk,73},{3,atk,40},{4,atk,21},{5,hp,156},{5,cdRevert,5},{6,hp,86},{6,cdArmor,2},{7,atk,56},{8,atk,30},{11,atk,44},{12,atk,54},{13,atk,109},{14,atk,194},{15,hp,189},{16,atk,66},{17,atk,64},{18,atk,361},{19,hp,520},{20,hp,118},{22,atk,56},{24,atk,452},{25,atk,310}]</t>
  </si>
  <si>
    <t>[{Item,1,40000}]</t>
  </si>
  <si>
    <t>[{Item,1,150000}]</t>
  </si>
  <si>
    <t>[{1,atk,134},{2,atk,90},{3,atk,49},{4,atk,24},{5,hp,186},{5,cdRevert,5},{6,hp,105},{6,cdArmor,2},{7,atk,67},{8,atk,38},{11,atk,53},{12,atk,66},{13,atk,133},{14,atk,233},{15,hp,220},{16,atk,74},{17,atk,72},{18,atk,431},{19,hp,633},{20,hp,138},{22,atk,65},{24,atk,540},{25,atk,373}]</t>
  </si>
  <si>
    <t>[{Item,1,180000}]</t>
  </si>
  <si>
    <t>[{1,atk,161},{2,atk,109},{3,atk,59},{4,atk,27},{5,hp,219},{5,cdRevert,5},{6,hp,126},{6,cdArmor,2},{7,atk,79},{8,atk,47},{11,atk,63},{12,atk,80},{13,atk,160},{14,atk,276},{15,hp,253},{16,atk,82},{17,atk,80},{18,atk,509},{19,hp,759},{20,hp,158},{22,atk,74},{24,atk,638},{25,atk,442}]</t>
  </si>
  <si>
    <t>[{Item,1,210000}]</t>
  </si>
  <si>
    <t>[{1,atk,191},{2,atk,130},{3,atk,70},{4,atk,30},{5,hp,255},{5,cdRevert,5},{6,hp,149},{6,cdArmor,2},{7,atk,92},{8,atk,57},{11,atk,74},{12,atk,96},{13,atk,190},{14,atk,323},{15,hp,288},{16,atk,90},{17,atk,93},{18,atk,600},{19,hp,898},{20,hp,180},{22,atk,83},{24,atk,752},{25,atk,517}]</t>
  </si>
  <si>
    <t>[{Item,1,0}]</t>
  </si>
  <si>
    <t>[{1,atk,224},{2,atk,153},{3,atk,82},{4,atk,35},{5,hp,294},{5,cdRevert,5},{6,hp,174},{6,cdArmor,3},{7,atk,106},{8,atk,68},{11,atk,86},{12,atk,114},{13,atk,223},{14,atk,374},{15,hp,326},{16,atk,100},{17,atk,106},{18,atk,704},{19,hp,1050},{20,hp,204},{22,atk,95},{24,atk,882},{25,atk,598}]</t>
  </si>
  <si>
    <t>1,hurtRate,800</t>
  </si>
  <si>
    <t>2,hurtRate,800</t>
  </si>
  <si>
    <t>3,hurtRate,800</t>
  </si>
  <si>
    <t>3,explosionDmg,600</t>
  </si>
  <si>
    <t>4,hurtRate,800</t>
  </si>
  <si>
    <t>4,continueDmg,40</t>
  </si>
  <si>
    <t>5,hurtRate,800</t>
  </si>
  <si>
    <t>6,hurtRate,800</t>
  </si>
  <si>
    <t>7,hurtRate,800</t>
  </si>
  <si>
    <t>8,hurtRate,250</t>
  </si>
  <si>
    <t>9,hurtRate,800</t>
  </si>
  <si>
    <t>9,explosionDmg,800</t>
  </si>
  <si>
    <t>10,hurtRate,800</t>
  </si>
  <si>
    <t>11,hurtRate,400</t>
  </si>
  <si>
    <t>1,pierce,1</t>
  </si>
  <si>
    <t>2,attackInterval,-1500</t>
  </si>
  <si>
    <t>3,attackInterval,-500</t>
  </si>
  <si>
    <t>4,bulletSize,1125</t>
  </si>
  <si>
    <t>5,duration,200</t>
  </si>
  <si>
    <t>6,attackInterval,-1000</t>
  </si>
  <si>
    <t>7,pierce,1</t>
  </si>
  <si>
    <t>9,attackInterval,-500</t>
  </si>
  <si>
    <t>10,attackInterval,-500</t>
  </si>
  <si>
    <t>11,bulletSize,1000</t>
  </si>
  <si>
    <t>1,attackInterval,-100</t>
  </si>
  <si>
    <t>3,explosionRange,2500</t>
  </si>
  <si>
    <t>4,duration,500</t>
  </si>
  <si>
    <t>5,attackInterval,-500</t>
  </si>
  <si>
    <t>6,duration,1000</t>
  </si>
  <si>
    <t>7,attackInterval,-500</t>
  </si>
  <si>
    <t>11,duration,1800</t>
  </si>
  <si>
    <t>4,attackInterval,-500</t>
  </si>
  <si>
    <t>11,attackInterval,-2000</t>
  </si>
  <si>
    <t>8,frequency,1</t>
  </si>
  <si>
    <t>9,num,1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</si>
</sst>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4C3D5"/>
      <color rgb="00E40D08"/>
      <color rgb="008C67AF"/>
      <color rgb="00AD7469"/>
      <color rgb="00BF5757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pane xSplit="1" topLeftCell="J1" activePane="topRight" state="frozen"/>
      <selection/>
      <selection pane="topRight" activeCell="J23" sqref="J23"/>
    </sheetView>
  </sheetViews>
  <sheetFormatPr defaultColWidth="24.25" defaultRowHeight="17.25"/>
  <cols>
    <col min="1" max="1" width="10.75" style="4" customWidth="1"/>
    <col min="2" max="3" width="22.625" style="4" customWidth="1"/>
    <col min="4" max="4" width="23.125" style="4" customWidth="1"/>
    <col min="5" max="6" width="22.625" style="4" customWidth="1"/>
    <col min="7" max="9" width="19.5" style="4" customWidth="1"/>
    <col min="10" max="10" width="223.75" style="4" customWidth="1"/>
    <col min="11" max="16384" width="24.25" style="4"/>
  </cols>
  <sheetData>
    <row r="1" s="1" customFormat="1" spans="1:10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5" t="s">
        <v>10</v>
      </c>
      <c r="B2" s="5" t="s">
        <v>10</v>
      </c>
      <c r="C2" s="5" t="s">
        <v>10</v>
      </c>
      <c r="D2" s="5" t="s">
        <v>10</v>
      </c>
      <c r="E2" s="5" t="s">
        <v>10</v>
      </c>
      <c r="F2" s="5" t="s">
        <v>10</v>
      </c>
      <c r="G2" s="5" t="s">
        <v>10</v>
      </c>
      <c r="H2" s="5" t="s">
        <v>10</v>
      </c>
      <c r="I2" s="5" t="s">
        <v>10</v>
      </c>
      <c r="J2" s="5" t="s">
        <v>10</v>
      </c>
    </row>
    <row r="3" s="1" customFormat="1" spans="1:10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1" t="s">
        <v>20</v>
      </c>
    </row>
    <row r="4" s="1" customFormat="1" spans="1:10">
      <c r="A4" s="5" t="s">
        <v>21</v>
      </c>
      <c r="B4" s="5" t="s">
        <v>21</v>
      </c>
      <c r="C4" s="5" t="s">
        <v>21</v>
      </c>
      <c r="D4" s="5" t="s">
        <v>21</v>
      </c>
      <c r="E4" s="5" t="s">
        <v>21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23</v>
      </c>
    </row>
    <row r="5" s="1" customFormat="1" spans="1:1">
      <c r="A5" s="6"/>
    </row>
    <row r="6" s="2" customFormat="1" spans="1:10">
      <c r="A6" s="7">
        <v>1</v>
      </c>
      <c r="B6" s="8">
        <v>5</v>
      </c>
      <c r="C6" s="8">
        <v>2</v>
      </c>
      <c r="D6" s="9">
        <v>1</v>
      </c>
      <c r="E6" s="10">
        <v>1</v>
      </c>
      <c r="F6" s="10" t="s">
        <v>24</v>
      </c>
      <c r="G6" s="10" t="s">
        <v>25</v>
      </c>
      <c r="H6" s="10" t="s">
        <v>26</v>
      </c>
      <c r="I6" s="10" t="s">
        <v>27</v>
      </c>
      <c r="J6" s="7"/>
    </row>
    <row r="7" s="2" customFormat="1" spans="1:10">
      <c r="A7" s="7">
        <v>2</v>
      </c>
      <c r="B7" s="8">
        <v>10</v>
      </c>
      <c r="C7" s="8">
        <v>5</v>
      </c>
      <c r="D7" s="9">
        <v>2</v>
      </c>
      <c r="E7" s="10">
        <v>2</v>
      </c>
      <c r="F7" s="10" t="s">
        <v>28</v>
      </c>
      <c r="G7" s="10" t="s">
        <v>26</v>
      </c>
      <c r="H7" s="10" t="s">
        <v>29</v>
      </c>
      <c r="I7" s="10" t="s">
        <v>30</v>
      </c>
      <c r="J7" s="13" t="s">
        <v>31</v>
      </c>
    </row>
    <row r="8" s="2" customFormat="1" spans="1:10">
      <c r="A8" s="7">
        <v>3</v>
      </c>
      <c r="B8" s="8">
        <v>15</v>
      </c>
      <c r="C8" s="8">
        <v>10</v>
      </c>
      <c r="D8" s="9">
        <v>2</v>
      </c>
      <c r="E8" s="10">
        <v>3</v>
      </c>
      <c r="F8" s="10" t="s">
        <v>28</v>
      </c>
      <c r="G8" s="10" t="s">
        <v>26</v>
      </c>
      <c r="H8" s="10" t="s">
        <v>29</v>
      </c>
      <c r="I8" s="10" t="s">
        <v>32</v>
      </c>
      <c r="J8" s="13" t="s">
        <v>33</v>
      </c>
    </row>
    <row r="9" s="2" customFormat="1" spans="1:10">
      <c r="A9" s="7">
        <v>4</v>
      </c>
      <c r="B9" s="8">
        <v>30</v>
      </c>
      <c r="C9" s="8">
        <v>20</v>
      </c>
      <c r="D9" s="9">
        <v>3</v>
      </c>
      <c r="E9" s="10">
        <v>4</v>
      </c>
      <c r="F9" s="10" t="s">
        <v>34</v>
      </c>
      <c r="G9" s="10" t="s">
        <v>35</v>
      </c>
      <c r="H9" s="10" t="s">
        <v>36</v>
      </c>
      <c r="I9" s="10" t="s">
        <v>37</v>
      </c>
      <c r="J9" s="13" t="s">
        <v>38</v>
      </c>
    </row>
    <row r="10" s="2" customFormat="1" spans="1:10">
      <c r="A10" s="7">
        <v>5</v>
      </c>
      <c r="B10" s="8">
        <v>50</v>
      </c>
      <c r="C10" s="8">
        <v>30</v>
      </c>
      <c r="D10" s="9">
        <v>3</v>
      </c>
      <c r="E10" s="10">
        <v>5</v>
      </c>
      <c r="F10" s="10" t="s">
        <v>34</v>
      </c>
      <c r="G10" s="10" t="s">
        <v>35</v>
      </c>
      <c r="H10" s="10" t="s">
        <v>36</v>
      </c>
      <c r="I10" s="10" t="s">
        <v>39</v>
      </c>
      <c r="J10" s="13" t="s">
        <v>40</v>
      </c>
    </row>
    <row r="11" s="2" customFormat="1" spans="1:10">
      <c r="A11" s="7">
        <v>6</v>
      </c>
      <c r="B11" s="8">
        <v>80</v>
      </c>
      <c r="C11" s="8">
        <v>50</v>
      </c>
      <c r="D11" s="9">
        <v>5</v>
      </c>
      <c r="E11" s="10">
        <v>8</v>
      </c>
      <c r="F11" s="10" t="s">
        <v>35</v>
      </c>
      <c r="G11" s="10" t="s">
        <v>41</v>
      </c>
      <c r="H11" s="10" t="s">
        <v>32</v>
      </c>
      <c r="I11" s="10" t="s">
        <v>42</v>
      </c>
      <c r="J11" s="13" t="s">
        <v>43</v>
      </c>
    </row>
    <row r="12" s="2" customFormat="1" spans="1:10">
      <c r="A12" s="7">
        <v>7</v>
      </c>
      <c r="B12" s="8">
        <v>120</v>
      </c>
      <c r="C12" s="8">
        <v>70</v>
      </c>
      <c r="D12" s="9">
        <v>5</v>
      </c>
      <c r="E12" s="10">
        <v>11</v>
      </c>
      <c r="F12" s="10" t="s">
        <v>35</v>
      </c>
      <c r="G12" s="10" t="s">
        <v>41</v>
      </c>
      <c r="H12" s="10" t="s">
        <v>32</v>
      </c>
      <c r="I12" s="10" t="s">
        <v>44</v>
      </c>
      <c r="J12" s="13" t="s">
        <v>45</v>
      </c>
    </row>
    <row r="13" s="2" customFormat="1" spans="1:10">
      <c r="A13" s="7">
        <v>8</v>
      </c>
      <c r="B13" s="8">
        <v>160</v>
      </c>
      <c r="C13" s="8">
        <v>100</v>
      </c>
      <c r="D13" s="9">
        <v>10</v>
      </c>
      <c r="E13" s="10">
        <v>15</v>
      </c>
      <c r="F13" s="10" t="s">
        <v>41</v>
      </c>
      <c r="G13" s="10" t="s">
        <v>46</v>
      </c>
      <c r="H13" s="10" t="s">
        <v>39</v>
      </c>
      <c r="I13" s="10" t="s">
        <v>47</v>
      </c>
      <c r="J13" s="13" t="s">
        <v>48</v>
      </c>
    </row>
    <row r="14" s="3" customFormat="1" spans="1:10">
      <c r="A14" s="7">
        <v>9</v>
      </c>
      <c r="B14" s="8">
        <v>240</v>
      </c>
      <c r="C14" s="8">
        <v>130</v>
      </c>
      <c r="D14" s="8">
        <v>10</v>
      </c>
      <c r="E14" s="11">
        <v>20</v>
      </c>
      <c r="F14" s="11" t="s">
        <v>41</v>
      </c>
      <c r="G14" s="11" t="s">
        <v>46</v>
      </c>
      <c r="H14" s="11" t="s">
        <v>39</v>
      </c>
      <c r="I14" s="10" t="s">
        <v>49</v>
      </c>
      <c r="J14" s="13" t="s">
        <v>50</v>
      </c>
    </row>
    <row r="15" s="3" customFormat="1" spans="1:10">
      <c r="A15" s="7">
        <v>10</v>
      </c>
      <c r="B15" s="8">
        <v>320</v>
      </c>
      <c r="C15" s="8">
        <v>160</v>
      </c>
      <c r="D15" s="8">
        <v>25</v>
      </c>
      <c r="E15" s="11">
        <v>50</v>
      </c>
      <c r="F15" s="11" t="s">
        <v>51</v>
      </c>
      <c r="G15" s="11" t="s">
        <v>52</v>
      </c>
      <c r="H15" s="11" t="s">
        <v>53</v>
      </c>
      <c r="I15" s="10" t="s">
        <v>54</v>
      </c>
      <c r="J15" s="13" t="s">
        <v>55</v>
      </c>
    </row>
    <row r="16" spans="1:10">
      <c r="A16" s="7">
        <v>11</v>
      </c>
      <c r="B16" s="8">
        <v>400</v>
      </c>
      <c r="C16" s="8">
        <v>200</v>
      </c>
      <c r="D16" s="8">
        <v>25</v>
      </c>
      <c r="E16" s="10">
        <v>100</v>
      </c>
      <c r="F16" s="10" t="s">
        <v>51</v>
      </c>
      <c r="G16" s="10" t="s">
        <v>52</v>
      </c>
      <c r="H16" s="10" t="s">
        <v>53</v>
      </c>
      <c r="I16" s="10" t="s">
        <v>56</v>
      </c>
      <c r="J16" s="13" t="s">
        <v>57</v>
      </c>
    </row>
    <row r="17" spans="1:10">
      <c r="A17" s="7">
        <v>12</v>
      </c>
      <c r="B17" s="8">
        <v>480</v>
      </c>
      <c r="C17" s="8">
        <v>250</v>
      </c>
      <c r="D17" s="8">
        <v>50</v>
      </c>
      <c r="E17" s="11">
        <v>150</v>
      </c>
      <c r="F17" s="4" t="s">
        <v>52</v>
      </c>
      <c r="G17" s="4" t="s">
        <v>58</v>
      </c>
      <c r="H17" s="4" t="s">
        <v>59</v>
      </c>
      <c r="I17" s="10" t="s">
        <v>60</v>
      </c>
      <c r="J17" s="13" t="s">
        <v>61</v>
      </c>
    </row>
    <row r="18" spans="1:10">
      <c r="A18" s="7">
        <v>13</v>
      </c>
      <c r="B18" s="8">
        <v>560</v>
      </c>
      <c r="C18" s="8">
        <v>300</v>
      </c>
      <c r="D18" s="8">
        <v>50</v>
      </c>
      <c r="E18" s="10">
        <v>200</v>
      </c>
      <c r="F18" s="4" t="s">
        <v>52</v>
      </c>
      <c r="G18" s="4" t="s">
        <v>58</v>
      </c>
      <c r="H18" s="4" t="s">
        <v>59</v>
      </c>
      <c r="I18" s="10" t="s">
        <v>62</v>
      </c>
      <c r="J18" s="13" t="s">
        <v>63</v>
      </c>
    </row>
    <row r="19" spans="1:10">
      <c r="A19" s="7">
        <v>14</v>
      </c>
      <c r="B19" s="8">
        <v>640</v>
      </c>
      <c r="C19" s="8">
        <v>350</v>
      </c>
      <c r="D19" s="8">
        <v>100</v>
      </c>
      <c r="E19" s="11">
        <v>250</v>
      </c>
      <c r="F19" s="4" t="s">
        <v>58</v>
      </c>
      <c r="G19" s="4" t="s">
        <v>64</v>
      </c>
      <c r="H19" s="4" t="s">
        <v>56</v>
      </c>
      <c r="I19" s="10" t="s">
        <v>65</v>
      </c>
      <c r="J19" s="13" t="s">
        <v>66</v>
      </c>
    </row>
    <row r="20" spans="1:10">
      <c r="A20" s="7">
        <v>15</v>
      </c>
      <c r="B20" s="8">
        <v>720</v>
      </c>
      <c r="C20" s="8">
        <v>400</v>
      </c>
      <c r="D20" s="9">
        <v>200</v>
      </c>
      <c r="E20" s="10">
        <v>300</v>
      </c>
      <c r="F20" s="4" t="s">
        <v>58</v>
      </c>
      <c r="G20" s="4" t="s">
        <v>64</v>
      </c>
      <c r="H20" s="4" t="s">
        <v>56</v>
      </c>
      <c r="I20" s="10" t="s">
        <v>67</v>
      </c>
      <c r="J20" s="13" t="s">
        <v>68</v>
      </c>
    </row>
    <row r="21" spans="1:10">
      <c r="A21" s="7">
        <v>16</v>
      </c>
      <c r="B21" s="8">
        <v>800</v>
      </c>
      <c r="C21" s="8">
        <v>450</v>
      </c>
      <c r="D21" s="9">
        <v>300</v>
      </c>
      <c r="E21" s="11">
        <v>350</v>
      </c>
      <c r="F21" s="4" t="s">
        <v>59</v>
      </c>
      <c r="G21" s="4" t="s">
        <v>56</v>
      </c>
      <c r="H21" s="4" t="s">
        <v>60</v>
      </c>
      <c r="I21" s="10" t="s">
        <v>69</v>
      </c>
      <c r="J21" s="13" t="s">
        <v>70</v>
      </c>
    </row>
    <row r="22" spans="1:10">
      <c r="A22" s="7">
        <v>17</v>
      </c>
      <c r="B22" s="12">
        <v>0</v>
      </c>
      <c r="C22" s="12">
        <v>0</v>
      </c>
      <c r="D22" s="12">
        <v>0</v>
      </c>
      <c r="E22" s="12">
        <v>0</v>
      </c>
      <c r="F22" s="10" t="s">
        <v>71</v>
      </c>
      <c r="G22" s="10" t="s">
        <v>71</v>
      </c>
      <c r="H22" s="10" t="s">
        <v>71</v>
      </c>
      <c r="I22" s="10" t="s">
        <v>71</v>
      </c>
      <c r="J22" s="13" t="s">
        <v>72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26"/>
  <sheetViews>
    <sheetView topLeftCell="M1" workbookViewId="0">
      <selection activeCell="AD2" sqref="AD2:AD26"/>
    </sheetView>
  </sheetViews>
  <sheetFormatPr defaultColWidth="9" defaultRowHeight="13.5"/>
  <cols>
    <col min="2" max="2" width="28.75" customWidth="1"/>
    <col min="3" max="3" width="31.25" customWidth="1"/>
    <col min="4" max="4" width="28.625" customWidth="1"/>
    <col min="5" max="5" width="29.125" customWidth="1"/>
    <col min="6" max="7" width="27.125" customWidth="1"/>
    <col min="8" max="8" width="27.625" customWidth="1"/>
    <col min="9" max="9" width="31.75" customWidth="1"/>
    <col min="10" max="10" width="29.625" customWidth="1"/>
    <col min="11" max="11" width="26.75" customWidth="1"/>
    <col min="12" max="12" width="28.75" customWidth="1"/>
    <col min="13" max="13" width="24.625" customWidth="1"/>
    <col min="14" max="15" width="28.75" customWidth="1"/>
  </cols>
  <sheetData>
    <row r="2" spans="2:30"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tr">
        <f t="shared" ref="P2:AC2" si="0">IF(B2="","","{"&amp;B2&amp;"}")</f>
        <v>{1,hurtRate,800}</v>
      </c>
      <c r="Q2" t="str">
        <f t="shared" si="0"/>
        <v>{2,hurtRate,800}</v>
      </c>
      <c r="R2" t="str">
        <f t="shared" si="0"/>
        <v>{3,hurtRate,800}</v>
      </c>
      <c r="S2" t="str">
        <f t="shared" si="0"/>
        <v>{3,explosionDmg,600}</v>
      </c>
      <c r="T2" t="str">
        <f t="shared" si="0"/>
        <v>{4,hurtRate,800}</v>
      </c>
      <c r="U2" t="str">
        <f t="shared" si="0"/>
        <v>{4,continueDmg,40}</v>
      </c>
      <c r="V2" t="str">
        <f t="shared" si="0"/>
        <v>{5,hurtRate,800}</v>
      </c>
      <c r="W2" t="str">
        <f t="shared" si="0"/>
        <v>{6,hurtRate,800}</v>
      </c>
      <c r="X2" t="str">
        <f t="shared" si="0"/>
        <v>{7,hurtRate,800}</v>
      </c>
      <c r="Y2" t="str">
        <f t="shared" si="0"/>
        <v>{8,hurtRate,250}</v>
      </c>
      <c r="Z2" t="str">
        <f t="shared" si="0"/>
        <v>{9,hurtRate,800}</v>
      </c>
      <c r="AA2" t="str">
        <f t="shared" si="0"/>
        <v>{9,explosionDmg,800}</v>
      </c>
      <c r="AB2" t="str">
        <f t="shared" si="0"/>
        <v>{10,hurtRate,800}</v>
      </c>
      <c r="AC2" t="str">
        <f t="shared" si="0"/>
        <v>{11,hurtRate,400}</v>
      </c>
      <c r="AD2" t="str">
        <f>"["&amp;_xlfn.TEXTJOIN(",",1,P2:AC2)&amp;"]"</f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3" spans="2:30"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84</v>
      </c>
      <c r="N3" t="s">
        <v>85</v>
      </c>
      <c r="O3" t="s">
        <v>86</v>
      </c>
      <c r="P3" t="str">
        <f t="shared" ref="P3:P26" si="1">IF(B3="","","{"&amp;B3&amp;"}")</f>
        <v>{1,hurtRate,800}</v>
      </c>
      <c r="Q3" t="str">
        <f t="shared" ref="Q3:Q26" si="2">IF(C3="","","{"&amp;C3&amp;"}")</f>
        <v>{2,hurtRate,800}</v>
      </c>
      <c r="R3" t="str">
        <f t="shared" ref="R3:R26" si="3">IF(D3="","","{"&amp;D3&amp;"}")</f>
        <v>{3,hurtRate,800}</v>
      </c>
      <c r="S3" t="str">
        <f t="shared" ref="S3:S26" si="4">IF(E3="","","{"&amp;E3&amp;"}")</f>
        <v>{3,explosionDmg,600}</v>
      </c>
      <c r="T3" t="str">
        <f t="shared" ref="T3:T26" si="5">IF(F3="","","{"&amp;F3&amp;"}")</f>
        <v>{4,hurtRate,800}</v>
      </c>
      <c r="U3" t="str">
        <f t="shared" ref="U3:U26" si="6">IF(G3="","","{"&amp;G3&amp;"}")</f>
        <v>{4,continueDmg,40}</v>
      </c>
      <c r="V3" t="str">
        <f t="shared" ref="V3:V26" si="7">IF(H3="","","{"&amp;H3&amp;"}")</f>
        <v>{5,hurtRate,800}</v>
      </c>
      <c r="W3" t="str">
        <f t="shared" ref="W3:W26" si="8">IF(I3="","","{"&amp;I3&amp;"}")</f>
        <v>{6,hurtRate,800}</v>
      </c>
      <c r="X3" t="str">
        <f t="shared" ref="X3:X26" si="9">IF(J3="","","{"&amp;J3&amp;"}")</f>
        <v>{7,hurtRate,800}</v>
      </c>
      <c r="Y3" t="str">
        <f t="shared" ref="Y3:Y26" si="10">IF(K3="","","{"&amp;K3&amp;"}")</f>
        <v>{8,hurtRate,250}</v>
      </c>
      <c r="Z3" t="str">
        <f t="shared" ref="Z3:Z26" si="11">IF(L3="","","{"&amp;L3&amp;"}")</f>
        <v>{9,hurtRate,800}</v>
      </c>
      <c r="AA3" t="str">
        <f t="shared" ref="AA3:AA26" si="12">IF(M3="","","{"&amp;M3&amp;"}")</f>
        <v>{9,explosionDmg,800}</v>
      </c>
      <c r="AB3" t="str">
        <f t="shared" ref="AB3:AB26" si="13">IF(N3="","","{"&amp;N3&amp;"}")</f>
        <v>{10,hurtRate,800}</v>
      </c>
      <c r="AC3" t="str">
        <f t="shared" ref="AC3:AC26" si="14">IF(O3="","","{"&amp;O3&amp;"}")</f>
        <v>{11,hurtRate,400}</v>
      </c>
      <c r="AD3" t="str">
        <f t="shared" ref="AD3:AD26" si="15">"["&amp;_xlfn.TEXTJOIN(",",1,P3:AC3)&amp;"]"</f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4" spans="2:30"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 t="s">
        <v>85</v>
      </c>
      <c r="O4" t="s">
        <v>86</v>
      </c>
      <c r="P4" t="str">
        <f t="shared" si="1"/>
        <v>{1,hurtRate,800}</v>
      </c>
      <c r="Q4" t="str">
        <f t="shared" si="2"/>
        <v>{2,hurtRate,800}</v>
      </c>
      <c r="R4" t="str">
        <f t="shared" si="3"/>
        <v>{3,hurtRate,800}</v>
      </c>
      <c r="S4" t="str">
        <f t="shared" si="4"/>
        <v>{3,explosionDmg,600}</v>
      </c>
      <c r="T4" t="str">
        <f t="shared" si="5"/>
        <v>{4,hurtRate,800}</v>
      </c>
      <c r="U4" t="str">
        <f t="shared" si="6"/>
        <v>{4,continueDmg,40}</v>
      </c>
      <c r="V4" t="str">
        <f t="shared" si="7"/>
        <v>{5,hurtRate,800}</v>
      </c>
      <c r="W4" t="str">
        <f t="shared" si="8"/>
        <v>{6,hurtRate,800}</v>
      </c>
      <c r="X4" t="str">
        <f t="shared" si="9"/>
        <v>{7,hurtRate,800}</v>
      </c>
      <c r="Y4" t="str">
        <f t="shared" si="10"/>
        <v>{8,hurtRate,250}</v>
      </c>
      <c r="Z4" t="str">
        <f t="shared" si="11"/>
        <v>{9,hurtRate,800}</v>
      </c>
      <c r="AA4" t="str">
        <f t="shared" si="12"/>
        <v>{9,explosionDmg,800}</v>
      </c>
      <c r="AB4" t="str">
        <f t="shared" si="13"/>
        <v>{10,hurtRate,800}</v>
      </c>
      <c r="AC4" t="str">
        <f t="shared" si="14"/>
        <v>{11,hurtRate,400}</v>
      </c>
      <c r="AD4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5" spans="2:30"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tr">
        <f t="shared" si="1"/>
        <v>{1,hurtRate,800}</v>
      </c>
      <c r="Q5" t="str">
        <f t="shared" si="2"/>
        <v>{2,hurtRate,800}</v>
      </c>
      <c r="R5" t="str">
        <f t="shared" si="3"/>
        <v>{3,hurtRate,800}</v>
      </c>
      <c r="S5" t="str">
        <f t="shared" si="4"/>
        <v>{3,explosionDmg,600}</v>
      </c>
      <c r="T5" t="str">
        <f t="shared" si="5"/>
        <v>{4,hurtRate,800}</v>
      </c>
      <c r="U5" t="str">
        <f t="shared" si="6"/>
        <v>{4,continueDmg,40}</v>
      </c>
      <c r="V5" t="str">
        <f t="shared" si="7"/>
        <v>{5,hurtRate,800}</v>
      </c>
      <c r="W5" t="str">
        <f t="shared" si="8"/>
        <v>{6,hurtRate,800}</v>
      </c>
      <c r="X5" t="str">
        <f t="shared" si="9"/>
        <v>{7,hurtRate,800}</v>
      </c>
      <c r="Y5" t="str">
        <f t="shared" si="10"/>
        <v>{8,hurtRate,250}</v>
      </c>
      <c r="Z5" t="str">
        <f t="shared" si="11"/>
        <v>{9,hurtRate,800}</v>
      </c>
      <c r="AA5" t="str">
        <f t="shared" si="12"/>
        <v>{9,explosionDmg,800}</v>
      </c>
      <c r="AB5" t="str">
        <f t="shared" si="13"/>
        <v>{10,hurtRate,800}</v>
      </c>
      <c r="AC5" t="str">
        <f t="shared" si="14"/>
        <v>{11,hurtRate,400}</v>
      </c>
      <c r="AD5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6" spans="2:30">
      <c r="B6" t="s">
        <v>87</v>
      </c>
      <c r="C6" t="s">
        <v>88</v>
      </c>
      <c r="D6" t="s">
        <v>89</v>
      </c>
      <c r="E6" t="s">
        <v>90</v>
      </c>
      <c r="F6" t="s">
        <v>91</v>
      </c>
      <c r="H6" t="s">
        <v>92</v>
      </c>
      <c r="I6" t="s">
        <v>93</v>
      </c>
      <c r="J6" t="s">
        <v>82</v>
      </c>
      <c r="K6" t="s">
        <v>94</v>
      </c>
      <c r="L6" t="s">
        <v>95</v>
      </c>
      <c r="M6" t="s">
        <v>96</v>
      </c>
      <c r="P6" t="str">
        <f t="shared" si="1"/>
        <v>{1,pierce,1}</v>
      </c>
      <c r="Q6" t="str">
        <f t="shared" si="2"/>
        <v>{2,attackInterval,-1500}</v>
      </c>
      <c r="R6" t="str">
        <f t="shared" si="3"/>
        <v>{3,attackInterval,-500}</v>
      </c>
      <c r="S6" t="str">
        <f t="shared" si="4"/>
        <v>{4,bulletSize,1125}</v>
      </c>
      <c r="T6" t="str">
        <f t="shared" si="5"/>
        <v>{5,duration,200}</v>
      </c>
      <c r="U6" t="str">
        <f t="shared" si="6"/>
        <v/>
      </c>
      <c r="V6" t="str">
        <f t="shared" si="7"/>
        <v>{6,attackInterval,-1000}</v>
      </c>
      <c r="W6" t="str">
        <f t="shared" si="8"/>
        <v>{7,pierce,1}</v>
      </c>
      <c r="X6" t="str">
        <f t="shared" si="9"/>
        <v>{8,hurtRate,250}</v>
      </c>
      <c r="Y6" t="str">
        <f t="shared" si="10"/>
        <v>{9,attackInterval,-500}</v>
      </c>
      <c r="Z6" t="str">
        <f t="shared" si="11"/>
        <v>{10,attackInterval,-500}</v>
      </c>
      <c r="AA6" t="str">
        <f t="shared" si="12"/>
        <v>{11,bulletSize,1000}</v>
      </c>
      <c r="AB6" t="str">
        <f t="shared" si="13"/>
        <v/>
      </c>
      <c r="AC6" t="str">
        <f t="shared" si="14"/>
        <v/>
      </c>
      <c r="AD6" t="str">
        <f t="shared" si="15"/>
        <v>[{1,pierce,1},{2,attackInterval,-1500},{3,attackInterval,-500},{4,bulletSize,1125},{5,duration,200},{6,attackInterval,-1000},{7,pierce,1},{8,hurtRate,250},{9,attackInterval,-500},{10,attackInterval,-500},{11,bulletSize,1000}]</v>
      </c>
    </row>
    <row r="7" spans="2:30"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85</v>
      </c>
      <c r="O7" t="s">
        <v>86</v>
      </c>
      <c r="P7" t="str">
        <f t="shared" si="1"/>
        <v>{1,hurtRate,800}</v>
      </c>
      <c r="Q7" t="str">
        <f t="shared" si="2"/>
        <v>{2,hurtRate,800}</v>
      </c>
      <c r="R7" t="str">
        <f t="shared" si="3"/>
        <v>{3,hurtRate,800}</v>
      </c>
      <c r="S7" t="str">
        <f t="shared" si="4"/>
        <v>{3,explosionDmg,600}</v>
      </c>
      <c r="T7" t="str">
        <f t="shared" si="5"/>
        <v>{4,hurtRate,800}</v>
      </c>
      <c r="U7" t="str">
        <f t="shared" si="6"/>
        <v>{4,continueDmg,40}</v>
      </c>
      <c r="V7" t="str">
        <f t="shared" si="7"/>
        <v>{5,hurtRate,800}</v>
      </c>
      <c r="W7" t="str">
        <f t="shared" si="8"/>
        <v>{6,hurtRate,800}</v>
      </c>
      <c r="X7" t="str">
        <f t="shared" si="9"/>
        <v>{7,hurtRate,800}</v>
      </c>
      <c r="Y7" t="str">
        <f t="shared" si="10"/>
        <v>{8,hurtRate,250}</v>
      </c>
      <c r="Z7" t="str">
        <f t="shared" si="11"/>
        <v>{9,hurtRate,800}</v>
      </c>
      <c r="AA7" t="str">
        <f t="shared" si="12"/>
        <v>{9,explosionDmg,800}</v>
      </c>
      <c r="AB7" t="str">
        <f t="shared" si="13"/>
        <v>{10,hurtRate,800}</v>
      </c>
      <c r="AC7" t="str">
        <f t="shared" si="14"/>
        <v>{11,hurtRate,400}</v>
      </c>
      <c r="AD7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8" spans="2:30"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  <c r="M8" t="s">
        <v>84</v>
      </c>
      <c r="N8" t="s">
        <v>85</v>
      </c>
      <c r="O8" t="s">
        <v>86</v>
      </c>
      <c r="P8" t="str">
        <f t="shared" si="1"/>
        <v>{1,hurtRate,800}</v>
      </c>
      <c r="Q8" t="str">
        <f t="shared" si="2"/>
        <v>{2,hurtRate,800}</v>
      </c>
      <c r="R8" t="str">
        <f t="shared" si="3"/>
        <v>{3,hurtRate,800}</v>
      </c>
      <c r="S8" t="str">
        <f t="shared" si="4"/>
        <v>{3,explosionDmg,600}</v>
      </c>
      <c r="T8" t="str">
        <f t="shared" si="5"/>
        <v>{4,hurtRate,800}</v>
      </c>
      <c r="U8" t="str">
        <f t="shared" si="6"/>
        <v>{4,continueDmg,40}</v>
      </c>
      <c r="V8" t="str">
        <f t="shared" si="7"/>
        <v>{5,hurtRate,800}</v>
      </c>
      <c r="W8" t="str">
        <f t="shared" si="8"/>
        <v>{6,hurtRate,800}</v>
      </c>
      <c r="X8" t="str">
        <f t="shared" si="9"/>
        <v>{7,hurtRate,800}</v>
      </c>
      <c r="Y8" t="str">
        <f t="shared" si="10"/>
        <v>{8,hurtRate,250}</v>
      </c>
      <c r="Z8" t="str">
        <f t="shared" si="11"/>
        <v>{9,hurtRate,800}</v>
      </c>
      <c r="AA8" t="str">
        <f t="shared" si="12"/>
        <v>{9,explosionDmg,800}</v>
      </c>
      <c r="AB8" t="str">
        <f t="shared" si="13"/>
        <v>{10,hurtRate,800}</v>
      </c>
      <c r="AC8" t="str">
        <f t="shared" si="14"/>
        <v>{11,hurtRate,400}</v>
      </c>
      <c r="AD8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9" spans="2:30"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  <c r="M9" t="s">
        <v>84</v>
      </c>
      <c r="N9" t="s">
        <v>85</v>
      </c>
      <c r="O9" t="s">
        <v>86</v>
      </c>
      <c r="P9" t="str">
        <f t="shared" si="1"/>
        <v>{1,hurtRate,800}</v>
      </c>
      <c r="Q9" t="str">
        <f t="shared" si="2"/>
        <v>{2,hurtRate,800}</v>
      </c>
      <c r="R9" t="str">
        <f t="shared" si="3"/>
        <v>{3,hurtRate,800}</v>
      </c>
      <c r="S9" t="str">
        <f t="shared" si="4"/>
        <v>{3,explosionDmg,600}</v>
      </c>
      <c r="T9" t="str">
        <f t="shared" si="5"/>
        <v>{4,hurtRate,800}</v>
      </c>
      <c r="U9" t="str">
        <f t="shared" si="6"/>
        <v>{4,continueDmg,40}</v>
      </c>
      <c r="V9" t="str">
        <f t="shared" si="7"/>
        <v>{5,hurtRate,800}</v>
      </c>
      <c r="W9" t="str">
        <f t="shared" si="8"/>
        <v>{6,hurtRate,800}</v>
      </c>
      <c r="X9" t="str">
        <f t="shared" si="9"/>
        <v>{7,hurtRate,800}</v>
      </c>
      <c r="Y9" t="str">
        <f t="shared" si="10"/>
        <v>{8,hurtRate,250}</v>
      </c>
      <c r="Z9" t="str">
        <f t="shared" si="11"/>
        <v>{9,hurtRate,800}</v>
      </c>
      <c r="AA9" t="str">
        <f t="shared" si="12"/>
        <v>{9,explosionDmg,800}</v>
      </c>
      <c r="AB9" t="str">
        <f t="shared" si="13"/>
        <v>{10,hurtRate,800}</v>
      </c>
      <c r="AC9" t="str">
        <f t="shared" si="14"/>
        <v>{11,hurtRate,400}</v>
      </c>
      <c r="AD9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0" spans="2:30"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85</v>
      </c>
      <c r="O10" t="s">
        <v>86</v>
      </c>
      <c r="P10" t="str">
        <f t="shared" si="1"/>
        <v>{1,hurtRate,800}</v>
      </c>
      <c r="Q10" t="str">
        <f t="shared" si="2"/>
        <v>{2,hurtRate,800}</v>
      </c>
      <c r="R10" t="str">
        <f t="shared" si="3"/>
        <v>{3,hurtRate,800}</v>
      </c>
      <c r="S10" t="str">
        <f t="shared" si="4"/>
        <v>{3,explosionDmg,600}</v>
      </c>
      <c r="T10" t="str">
        <f t="shared" si="5"/>
        <v>{4,hurtRate,800}</v>
      </c>
      <c r="U10" t="str">
        <f t="shared" si="6"/>
        <v>{4,continueDmg,40}</v>
      </c>
      <c r="V10" t="str">
        <f t="shared" si="7"/>
        <v>{5,hurtRate,800}</v>
      </c>
      <c r="W10" t="str">
        <f t="shared" si="8"/>
        <v>{6,hurtRate,800}</v>
      </c>
      <c r="X10" t="str">
        <f t="shared" si="9"/>
        <v>{7,hurtRate,800}</v>
      </c>
      <c r="Y10" t="str">
        <f t="shared" si="10"/>
        <v>{8,hurtRate,250}</v>
      </c>
      <c r="Z10" t="str">
        <f t="shared" si="11"/>
        <v>{9,hurtRate,800}</v>
      </c>
      <c r="AA10" t="str">
        <f t="shared" si="12"/>
        <v>{9,explosionDmg,800}</v>
      </c>
      <c r="AB10" t="str">
        <f t="shared" si="13"/>
        <v>{10,hurtRate,800}</v>
      </c>
      <c r="AC10" t="str">
        <f t="shared" si="14"/>
        <v>{11,hurtRate,400}</v>
      </c>
      <c r="AD10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1" spans="2:30">
      <c r="B11" t="s">
        <v>97</v>
      </c>
      <c r="C11" t="s">
        <v>88</v>
      </c>
      <c r="D11" t="s">
        <v>98</v>
      </c>
      <c r="E11" t="s">
        <v>99</v>
      </c>
      <c r="F11" t="s">
        <v>100</v>
      </c>
      <c r="H11" t="s">
        <v>101</v>
      </c>
      <c r="I11" t="s">
        <v>102</v>
      </c>
      <c r="J11" t="s">
        <v>82</v>
      </c>
      <c r="K11" t="s">
        <v>94</v>
      </c>
      <c r="L11" t="s">
        <v>95</v>
      </c>
      <c r="M11" t="s">
        <v>103</v>
      </c>
      <c r="P11" t="str">
        <f t="shared" si="1"/>
        <v>{1,attackInterval,-100}</v>
      </c>
      <c r="Q11" t="str">
        <f t="shared" si="2"/>
        <v>{2,attackInterval,-1500}</v>
      </c>
      <c r="R11" t="str">
        <f t="shared" si="3"/>
        <v>{3,explosionRange,2500}</v>
      </c>
      <c r="S11" t="str">
        <f t="shared" si="4"/>
        <v>{4,duration,500}</v>
      </c>
      <c r="T11" t="str">
        <f t="shared" si="5"/>
        <v>{5,attackInterval,-500}</v>
      </c>
      <c r="U11" t="str">
        <f t="shared" si="6"/>
        <v/>
      </c>
      <c r="V11" t="str">
        <f t="shared" si="7"/>
        <v>{6,duration,1000}</v>
      </c>
      <c r="W11" t="str">
        <f t="shared" si="8"/>
        <v>{7,attackInterval,-500}</v>
      </c>
      <c r="X11" t="str">
        <f t="shared" si="9"/>
        <v>{8,hurtRate,250}</v>
      </c>
      <c r="Y11" t="str">
        <f t="shared" si="10"/>
        <v>{9,attackInterval,-500}</v>
      </c>
      <c r="Z11" t="str">
        <f t="shared" si="11"/>
        <v>{10,attackInterval,-500}</v>
      </c>
      <c r="AA11" t="str">
        <f t="shared" si="12"/>
        <v>{11,duration,1800}</v>
      </c>
      <c r="AB11" t="str">
        <f t="shared" si="13"/>
        <v/>
      </c>
      <c r="AC11" t="str">
        <f t="shared" si="14"/>
        <v/>
      </c>
      <c r="AD11" t="str">
        <f t="shared" si="15"/>
        <v>[{1,attackInterval,-100},{2,attackInterval,-1500},{3,explosionRange,2500},{4,duration,500},{5,attackInterval,-500},{6,duration,1000},{7,attackInterval,-500},{8,hurtRate,250},{9,attackInterval,-500},{10,attackInterval,-500},{11,duration,1800}]</v>
      </c>
    </row>
    <row r="12" spans="2:30"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  <c r="L12" t="s">
        <v>83</v>
      </c>
      <c r="M12" t="s">
        <v>84</v>
      </c>
      <c r="N12" t="s">
        <v>85</v>
      </c>
      <c r="O12" t="s">
        <v>86</v>
      </c>
      <c r="P12" t="str">
        <f t="shared" si="1"/>
        <v>{1,hurtRate,800}</v>
      </c>
      <c r="Q12" t="str">
        <f t="shared" si="2"/>
        <v>{2,hurtRate,800}</v>
      </c>
      <c r="R12" t="str">
        <f t="shared" si="3"/>
        <v>{3,hurtRate,800}</v>
      </c>
      <c r="S12" t="str">
        <f t="shared" si="4"/>
        <v>{3,explosionDmg,600}</v>
      </c>
      <c r="T12" t="str">
        <f t="shared" si="5"/>
        <v>{4,hurtRate,800}</v>
      </c>
      <c r="U12" t="str">
        <f t="shared" si="6"/>
        <v>{4,continueDmg,40}</v>
      </c>
      <c r="V12" t="str">
        <f t="shared" si="7"/>
        <v>{5,hurtRate,800}</v>
      </c>
      <c r="W12" t="str">
        <f t="shared" si="8"/>
        <v>{6,hurtRate,800}</v>
      </c>
      <c r="X12" t="str">
        <f t="shared" si="9"/>
        <v>{7,hurtRate,800}</v>
      </c>
      <c r="Y12" t="str">
        <f t="shared" si="10"/>
        <v>{8,hurtRate,250}</v>
      </c>
      <c r="Z12" t="str">
        <f t="shared" si="11"/>
        <v>{9,hurtRate,800}</v>
      </c>
      <c r="AA12" t="str">
        <f t="shared" si="12"/>
        <v>{9,explosionDmg,800}</v>
      </c>
      <c r="AB12" t="str">
        <f t="shared" si="13"/>
        <v>{10,hurtRate,800}</v>
      </c>
      <c r="AC12" t="str">
        <f t="shared" si="14"/>
        <v>{11,hurtRate,400}</v>
      </c>
      <c r="AD12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3" spans="2:30"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82</v>
      </c>
      <c r="L13" t="s">
        <v>83</v>
      </c>
      <c r="M13" t="s">
        <v>84</v>
      </c>
      <c r="N13" t="s">
        <v>85</v>
      </c>
      <c r="O13" t="s">
        <v>86</v>
      </c>
      <c r="P13" t="str">
        <f t="shared" si="1"/>
        <v>{1,hurtRate,800}</v>
      </c>
      <c r="Q13" t="str">
        <f t="shared" si="2"/>
        <v>{2,hurtRate,800}</v>
      </c>
      <c r="R13" t="str">
        <f t="shared" si="3"/>
        <v>{3,hurtRate,800}</v>
      </c>
      <c r="S13" t="str">
        <f t="shared" si="4"/>
        <v>{3,explosionDmg,600}</v>
      </c>
      <c r="T13" t="str">
        <f t="shared" si="5"/>
        <v>{4,hurtRate,800}</v>
      </c>
      <c r="U13" t="str">
        <f t="shared" si="6"/>
        <v>{4,continueDmg,40}</v>
      </c>
      <c r="V13" t="str">
        <f t="shared" si="7"/>
        <v>{5,hurtRate,800}</v>
      </c>
      <c r="W13" t="str">
        <f t="shared" si="8"/>
        <v>{6,hurtRate,800}</v>
      </c>
      <c r="X13" t="str">
        <f t="shared" si="9"/>
        <v>{7,hurtRate,800}</v>
      </c>
      <c r="Y13" t="str">
        <f t="shared" si="10"/>
        <v>{8,hurtRate,250}</v>
      </c>
      <c r="Z13" t="str">
        <f t="shared" si="11"/>
        <v>{9,hurtRate,800}</v>
      </c>
      <c r="AA13" t="str">
        <f t="shared" si="12"/>
        <v>{9,explosionDmg,800}</v>
      </c>
      <c r="AB13" t="str">
        <f t="shared" si="13"/>
        <v>{10,hurtRate,800}</v>
      </c>
      <c r="AC13" t="str">
        <f t="shared" si="14"/>
        <v>{11,hurtRate,400}</v>
      </c>
      <c r="AD13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4" spans="2:30"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82</v>
      </c>
      <c r="L14" t="s">
        <v>83</v>
      </c>
      <c r="M14" t="s">
        <v>84</v>
      </c>
      <c r="N14" t="s">
        <v>85</v>
      </c>
      <c r="O14" t="s">
        <v>86</v>
      </c>
      <c r="P14" t="str">
        <f t="shared" si="1"/>
        <v>{1,hurtRate,800}</v>
      </c>
      <c r="Q14" t="str">
        <f t="shared" si="2"/>
        <v>{2,hurtRate,800}</v>
      </c>
      <c r="R14" t="str">
        <f t="shared" si="3"/>
        <v>{3,hurtRate,800}</v>
      </c>
      <c r="S14" t="str">
        <f t="shared" si="4"/>
        <v>{3,explosionDmg,600}</v>
      </c>
      <c r="T14" t="str">
        <f t="shared" si="5"/>
        <v>{4,hurtRate,800}</v>
      </c>
      <c r="U14" t="str">
        <f t="shared" si="6"/>
        <v>{4,continueDmg,40}</v>
      </c>
      <c r="V14" t="str">
        <f t="shared" si="7"/>
        <v>{5,hurtRate,800}</v>
      </c>
      <c r="W14" t="str">
        <f t="shared" si="8"/>
        <v>{6,hurtRate,800}</v>
      </c>
      <c r="X14" t="str">
        <f t="shared" si="9"/>
        <v>{7,hurtRate,800}</v>
      </c>
      <c r="Y14" t="str">
        <f t="shared" si="10"/>
        <v>{8,hurtRate,250}</v>
      </c>
      <c r="Z14" t="str">
        <f t="shared" si="11"/>
        <v>{9,hurtRate,800}</v>
      </c>
      <c r="AA14" t="str">
        <f t="shared" si="12"/>
        <v>{9,explosionDmg,800}</v>
      </c>
      <c r="AB14" t="str">
        <f t="shared" si="13"/>
        <v>{10,hurtRate,800}</v>
      </c>
      <c r="AC14" t="str">
        <f t="shared" si="14"/>
        <v>{11,hurtRate,400}</v>
      </c>
      <c r="AD14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5" spans="2:30"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82</v>
      </c>
      <c r="L15" t="s">
        <v>83</v>
      </c>
      <c r="M15" t="s">
        <v>84</v>
      </c>
      <c r="N15" t="s">
        <v>85</v>
      </c>
      <c r="O15" t="s">
        <v>86</v>
      </c>
      <c r="P15" t="str">
        <f t="shared" si="1"/>
        <v>{1,hurtRate,800}</v>
      </c>
      <c r="Q15" t="str">
        <f t="shared" si="2"/>
        <v>{2,hurtRate,800}</v>
      </c>
      <c r="R15" t="str">
        <f t="shared" si="3"/>
        <v>{3,hurtRate,800}</v>
      </c>
      <c r="S15" t="str">
        <f t="shared" si="4"/>
        <v>{3,explosionDmg,600}</v>
      </c>
      <c r="T15" t="str">
        <f t="shared" si="5"/>
        <v>{4,hurtRate,800}</v>
      </c>
      <c r="U15" t="str">
        <f t="shared" si="6"/>
        <v>{4,continueDmg,40}</v>
      </c>
      <c r="V15" t="str">
        <f t="shared" si="7"/>
        <v>{5,hurtRate,800}</v>
      </c>
      <c r="W15" t="str">
        <f t="shared" si="8"/>
        <v>{6,hurtRate,800}</v>
      </c>
      <c r="X15" t="str">
        <f t="shared" si="9"/>
        <v>{7,hurtRate,800}</v>
      </c>
      <c r="Y15" t="str">
        <f t="shared" si="10"/>
        <v>{8,hurtRate,250}</v>
      </c>
      <c r="Z15" t="str">
        <f t="shared" si="11"/>
        <v>{9,hurtRate,800}</v>
      </c>
      <c r="AA15" t="str">
        <f t="shared" si="12"/>
        <v>{9,explosionDmg,800}</v>
      </c>
      <c r="AB15" t="str">
        <f t="shared" si="13"/>
        <v>{10,hurtRate,800}</v>
      </c>
      <c r="AC15" t="str">
        <f t="shared" si="14"/>
        <v>{11,hurtRate,400}</v>
      </c>
      <c r="AD15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6" spans="2:30">
      <c r="B16" t="s">
        <v>87</v>
      </c>
      <c r="C16" t="s">
        <v>88</v>
      </c>
      <c r="D16" t="s">
        <v>89</v>
      </c>
      <c r="E16" t="s">
        <v>104</v>
      </c>
      <c r="F16" t="s">
        <v>91</v>
      </c>
      <c r="H16" t="s">
        <v>101</v>
      </c>
      <c r="I16" t="s">
        <v>93</v>
      </c>
      <c r="J16" t="s">
        <v>82</v>
      </c>
      <c r="K16" t="s">
        <v>94</v>
      </c>
      <c r="L16" t="s">
        <v>95</v>
      </c>
      <c r="M16" t="s">
        <v>105</v>
      </c>
      <c r="P16" t="str">
        <f t="shared" si="1"/>
        <v>{1,pierce,1}</v>
      </c>
      <c r="Q16" t="str">
        <f t="shared" si="2"/>
        <v>{2,attackInterval,-1500}</v>
      </c>
      <c r="R16" t="str">
        <f t="shared" si="3"/>
        <v>{3,attackInterval,-500}</v>
      </c>
      <c r="S16" t="str">
        <f t="shared" si="4"/>
        <v>{4,attackInterval,-500}</v>
      </c>
      <c r="T16" t="str">
        <f t="shared" si="5"/>
        <v>{5,duration,200}</v>
      </c>
      <c r="U16" t="str">
        <f t="shared" si="6"/>
        <v/>
      </c>
      <c r="V16" t="str">
        <f t="shared" si="7"/>
        <v>{6,duration,1000}</v>
      </c>
      <c r="W16" t="str">
        <f t="shared" si="8"/>
        <v>{7,pierce,1}</v>
      </c>
      <c r="X16" t="str">
        <f t="shared" si="9"/>
        <v>{8,hurtRate,250}</v>
      </c>
      <c r="Y16" t="str">
        <f t="shared" si="10"/>
        <v>{9,attackInterval,-500}</v>
      </c>
      <c r="Z16" t="str">
        <f t="shared" si="11"/>
        <v>{10,attackInterval,-500}</v>
      </c>
      <c r="AA16" t="str">
        <f t="shared" si="12"/>
        <v>{11,attackInterval,-2000}</v>
      </c>
      <c r="AB16" t="str">
        <f t="shared" si="13"/>
        <v/>
      </c>
      <c r="AC16" t="str">
        <f t="shared" si="14"/>
        <v/>
      </c>
      <c r="AD16" t="str">
        <f t="shared" si="15"/>
        <v>[{1,pierce,1},{2,attackInterval,-1500},{3,attackInterval,-500},{4,attackInterval,-500},{5,duration,200},{6,duration,1000},{7,pierce,1},{8,hurtRate,250},{9,attackInterval,-500},{10,attackInterval,-500},{11,attackInterval,-2000}]</v>
      </c>
    </row>
    <row r="17" spans="2:30"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82</v>
      </c>
      <c r="L17" t="s">
        <v>83</v>
      </c>
      <c r="M17" t="s">
        <v>84</v>
      </c>
      <c r="N17" t="s">
        <v>85</v>
      </c>
      <c r="O17" t="s">
        <v>86</v>
      </c>
      <c r="P17" t="str">
        <f t="shared" si="1"/>
        <v>{1,hurtRate,800}</v>
      </c>
      <c r="Q17" t="str">
        <f t="shared" si="2"/>
        <v>{2,hurtRate,800}</v>
      </c>
      <c r="R17" t="str">
        <f t="shared" si="3"/>
        <v>{3,hurtRate,800}</v>
      </c>
      <c r="S17" t="str">
        <f t="shared" si="4"/>
        <v>{3,explosionDmg,600}</v>
      </c>
      <c r="T17" t="str">
        <f t="shared" si="5"/>
        <v>{4,hurtRate,800}</v>
      </c>
      <c r="U17" t="str">
        <f t="shared" si="6"/>
        <v>{4,continueDmg,40}</v>
      </c>
      <c r="V17" t="str">
        <f t="shared" si="7"/>
        <v>{5,hurtRate,800}</v>
      </c>
      <c r="W17" t="str">
        <f t="shared" si="8"/>
        <v>{6,hurtRate,800}</v>
      </c>
      <c r="X17" t="str">
        <f t="shared" si="9"/>
        <v>{7,hurtRate,800}</v>
      </c>
      <c r="Y17" t="str">
        <f t="shared" si="10"/>
        <v>{8,hurtRate,250}</v>
      </c>
      <c r="Z17" t="str">
        <f t="shared" si="11"/>
        <v>{9,hurtRate,800}</v>
      </c>
      <c r="AA17" t="str">
        <f t="shared" si="12"/>
        <v>{9,explosionDmg,800}</v>
      </c>
      <c r="AB17" t="str">
        <f t="shared" si="13"/>
        <v>{10,hurtRate,800}</v>
      </c>
      <c r="AC17" t="str">
        <f t="shared" si="14"/>
        <v>{11,hurtRate,400}</v>
      </c>
      <c r="AD17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8" spans="2:30"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  <c r="O18" t="s">
        <v>86</v>
      </c>
      <c r="P18" t="str">
        <f t="shared" si="1"/>
        <v>{1,hurtRate,800}</v>
      </c>
      <c r="Q18" t="str">
        <f t="shared" si="2"/>
        <v>{2,hurtRate,800}</v>
      </c>
      <c r="R18" t="str">
        <f t="shared" si="3"/>
        <v>{3,hurtRate,800}</v>
      </c>
      <c r="S18" t="str">
        <f t="shared" si="4"/>
        <v>{3,explosionDmg,600}</v>
      </c>
      <c r="T18" t="str">
        <f t="shared" si="5"/>
        <v>{4,hurtRate,800}</v>
      </c>
      <c r="U18" t="str">
        <f t="shared" si="6"/>
        <v>{4,continueDmg,40}</v>
      </c>
      <c r="V18" t="str">
        <f t="shared" si="7"/>
        <v>{5,hurtRate,800}</v>
      </c>
      <c r="W18" t="str">
        <f t="shared" si="8"/>
        <v>{6,hurtRate,800}</v>
      </c>
      <c r="X18" t="str">
        <f t="shared" si="9"/>
        <v>{7,hurtRate,800}</v>
      </c>
      <c r="Y18" t="str">
        <f t="shared" si="10"/>
        <v>{8,hurtRate,250}</v>
      </c>
      <c r="Z18" t="str">
        <f t="shared" si="11"/>
        <v>{9,hurtRate,800}</v>
      </c>
      <c r="AA18" t="str">
        <f t="shared" si="12"/>
        <v>{9,explosionDmg,800}</v>
      </c>
      <c r="AB18" t="str">
        <f t="shared" si="13"/>
        <v>{10,hurtRate,800}</v>
      </c>
      <c r="AC18" t="str">
        <f t="shared" si="14"/>
        <v>{11,hurtRate,400}</v>
      </c>
      <c r="AD18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19" spans="2:30"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  <c r="P19" t="str">
        <f t="shared" si="1"/>
        <v>{1,hurtRate,800}</v>
      </c>
      <c r="Q19" t="str">
        <f t="shared" si="2"/>
        <v>{2,hurtRate,800}</v>
      </c>
      <c r="R19" t="str">
        <f t="shared" si="3"/>
        <v>{3,hurtRate,800}</v>
      </c>
      <c r="S19" t="str">
        <f t="shared" si="4"/>
        <v>{3,explosionDmg,600}</v>
      </c>
      <c r="T19" t="str">
        <f t="shared" si="5"/>
        <v>{4,hurtRate,800}</v>
      </c>
      <c r="U19" t="str">
        <f t="shared" si="6"/>
        <v>{4,continueDmg,40}</v>
      </c>
      <c r="V19" t="str">
        <f t="shared" si="7"/>
        <v>{5,hurtRate,800}</v>
      </c>
      <c r="W19" t="str">
        <f t="shared" si="8"/>
        <v>{6,hurtRate,800}</v>
      </c>
      <c r="X19" t="str">
        <f t="shared" si="9"/>
        <v>{7,hurtRate,800}</v>
      </c>
      <c r="Y19" t="str">
        <f t="shared" si="10"/>
        <v>{8,hurtRate,250}</v>
      </c>
      <c r="Z19" t="str">
        <f t="shared" si="11"/>
        <v>{9,hurtRate,800}</v>
      </c>
      <c r="AA19" t="str">
        <f t="shared" si="12"/>
        <v>{9,explosionDmg,800}</v>
      </c>
      <c r="AB19" t="str">
        <f t="shared" si="13"/>
        <v>{10,hurtRate,800}</v>
      </c>
      <c r="AC19" t="str">
        <f t="shared" si="14"/>
        <v>{11,hurtRate,400}</v>
      </c>
      <c r="AD19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0" spans="2:30"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82</v>
      </c>
      <c r="L20" t="s">
        <v>83</v>
      </c>
      <c r="M20" t="s">
        <v>84</v>
      </c>
      <c r="N20" t="s">
        <v>85</v>
      </c>
      <c r="O20" t="s">
        <v>86</v>
      </c>
      <c r="P20" t="str">
        <f t="shared" si="1"/>
        <v>{1,hurtRate,800}</v>
      </c>
      <c r="Q20" t="str">
        <f t="shared" si="2"/>
        <v>{2,hurtRate,800}</v>
      </c>
      <c r="R20" t="str">
        <f t="shared" si="3"/>
        <v>{3,hurtRate,800}</v>
      </c>
      <c r="S20" t="str">
        <f t="shared" si="4"/>
        <v>{3,explosionDmg,600}</v>
      </c>
      <c r="T20" t="str">
        <f t="shared" si="5"/>
        <v>{4,hurtRate,800}</v>
      </c>
      <c r="U20" t="str">
        <f t="shared" si="6"/>
        <v>{4,continueDmg,40}</v>
      </c>
      <c r="V20" t="str">
        <f t="shared" si="7"/>
        <v>{5,hurtRate,800}</v>
      </c>
      <c r="W20" t="str">
        <f t="shared" si="8"/>
        <v>{6,hurtRate,800}</v>
      </c>
      <c r="X20" t="str">
        <f t="shared" si="9"/>
        <v>{7,hurtRate,800}</v>
      </c>
      <c r="Y20" t="str">
        <f t="shared" si="10"/>
        <v>{8,hurtRate,250}</v>
      </c>
      <c r="Z20" t="str">
        <f t="shared" si="11"/>
        <v>{9,hurtRate,800}</v>
      </c>
      <c r="AA20" t="str">
        <f t="shared" si="12"/>
        <v>{9,explosionDmg,800}</v>
      </c>
      <c r="AB20" t="str">
        <f t="shared" si="13"/>
        <v>{10,hurtRate,800}</v>
      </c>
      <c r="AC20" t="str">
        <f t="shared" si="14"/>
        <v>{11,hurtRate,400}</v>
      </c>
      <c r="AD20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1" spans="2:30">
      <c r="B21" t="s">
        <v>97</v>
      </c>
      <c r="C21" t="s">
        <v>88</v>
      </c>
      <c r="D21" t="s">
        <v>98</v>
      </c>
      <c r="E21" t="s">
        <v>99</v>
      </c>
      <c r="F21" t="s">
        <v>100</v>
      </c>
      <c r="H21" t="s">
        <v>92</v>
      </c>
      <c r="I21" t="s">
        <v>102</v>
      </c>
      <c r="J21" t="s">
        <v>82</v>
      </c>
      <c r="K21" t="s">
        <v>94</v>
      </c>
      <c r="L21" t="s">
        <v>95</v>
      </c>
      <c r="M21" t="s">
        <v>96</v>
      </c>
      <c r="P21" t="str">
        <f t="shared" si="1"/>
        <v>{1,attackInterval,-100}</v>
      </c>
      <c r="Q21" t="str">
        <f t="shared" si="2"/>
        <v>{2,attackInterval,-1500}</v>
      </c>
      <c r="R21" t="str">
        <f t="shared" si="3"/>
        <v>{3,explosionRange,2500}</v>
      </c>
      <c r="S21" t="str">
        <f t="shared" si="4"/>
        <v>{4,duration,500}</v>
      </c>
      <c r="T21" t="str">
        <f t="shared" si="5"/>
        <v>{5,attackInterval,-500}</v>
      </c>
      <c r="U21" t="str">
        <f t="shared" si="6"/>
        <v/>
      </c>
      <c r="V21" t="str">
        <f t="shared" si="7"/>
        <v>{6,attackInterval,-1000}</v>
      </c>
      <c r="W21" t="str">
        <f t="shared" si="8"/>
        <v>{7,attackInterval,-500}</v>
      </c>
      <c r="X21" t="str">
        <f t="shared" si="9"/>
        <v>{8,hurtRate,250}</v>
      </c>
      <c r="Y21" t="str">
        <f t="shared" si="10"/>
        <v>{9,attackInterval,-500}</v>
      </c>
      <c r="Z21" t="str">
        <f t="shared" si="11"/>
        <v>{10,attackInterval,-500}</v>
      </c>
      <c r="AA21" t="str">
        <f t="shared" si="12"/>
        <v>{11,bulletSize,1000}</v>
      </c>
      <c r="AB21" t="str">
        <f t="shared" si="13"/>
        <v/>
      </c>
      <c r="AC21" t="str">
        <f t="shared" si="14"/>
        <v/>
      </c>
      <c r="AD21" t="str">
        <f t="shared" si="15"/>
        <v>[{1,attackInterval,-100},{2,attackInterval,-1500},{3,explosionRange,2500},{4,duration,500},{5,attackInterval,-500},{6,attackInterval,-1000},{7,attackInterval,-500},{8,hurtRate,250},{9,attackInterval,-500},{10,attackInterval,-500},{11,bulletSize,1000}]</v>
      </c>
    </row>
    <row r="22" spans="2:30"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  <c r="M22" t="s">
        <v>84</v>
      </c>
      <c r="N22" t="s">
        <v>85</v>
      </c>
      <c r="O22" t="s">
        <v>86</v>
      </c>
      <c r="P22" t="str">
        <f t="shared" si="1"/>
        <v>{1,hurtRate,800}</v>
      </c>
      <c r="Q22" t="str">
        <f t="shared" si="2"/>
        <v>{2,hurtRate,800}</v>
      </c>
      <c r="R22" t="str">
        <f t="shared" si="3"/>
        <v>{3,hurtRate,800}</v>
      </c>
      <c r="S22" t="str">
        <f t="shared" si="4"/>
        <v>{3,explosionDmg,600}</v>
      </c>
      <c r="T22" t="str">
        <f t="shared" si="5"/>
        <v>{4,hurtRate,800}</v>
      </c>
      <c r="U22" t="str">
        <f t="shared" si="6"/>
        <v>{4,continueDmg,40}</v>
      </c>
      <c r="V22" t="str">
        <f t="shared" si="7"/>
        <v>{5,hurtRate,800}</v>
      </c>
      <c r="W22" t="str">
        <f t="shared" si="8"/>
        <v>{6,hurtRate,800}</v>
      </c>
      <c r="X22" t="str">
        <f t="shared" si="9"/>
        <v>{7,hurtRate,800}</v>
      </c>
      <c r="Y22" t="str">
        <f t="shared" si="10"/>
        <v>{8,hurtRate,250}</v>
      </c>
      <c r="Z22" t="str">
        <f t="shared" si="11"/>
        <v>{9,hurtRate,800}</v>
      </c>
      <c r="AA22" t="str">
        <f t="shared" si="12"/>
        <v>{9,explosionDmg,800}</v>
      </c>
      <c r="AB22" t="str">
        <f t="shared" si="13"/>
        <v>{10,hurtRate,800}</v>
      </c>
      <c r="AC22" t="str">
        <f t="shared" si="14"/>
        <v>{11,hurtRate,400}</v>
      </c>
      <c r="AD22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3" spans="2:30"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t="s">
        <v>83</v>
      </c>
      <c r="M23" t="s">
        <v>84</v>
      </c>
      <c r="N23" t="s">
        <v>85</v>
      </c>
      <c r="O23" t="s">
        <v>86</v>
      </c>
      <c r="P23" t="str">
        <f t="shared" si="1"/>
        <v>{1,hurtRate,800}</v>
      </c>
      <c r="Q23" t="str">
        <f t="shared" si="2"/>
        <v>{2,hurtRate,800}</v>
      </c>
      <c r="R23" t="str">
        <f t="shared" si="3"/>
        <v>{3,hurtRate,800}</v>
      </c>
      <c r="S23" t="str">
        <f t="shared" si="4"/>
        <v>{3,explosionDmg,600}</v>
      </c>
      <c r="T23" t="str">
        <f t="shared" si="5"/>
        <v>{4,hurtRate,800}</v>
      </c>
      <c r="U23" t="str">
        <f t="shared" si="6"/>
        <v>{4,continueDmg,40}</v>
      </c>
      <c r="V23" t="str">
        <f t="shared" si="7"/>
        <v>{5,hurtRate,800}</v>
      </c>
      <c r="W23" t="str">
        <f t="shared" si="8"/>
        <v>{6,hurtRate,800}</v>
      </c>
      <c r="X23" t="str">
        <f t="shared" si="9"/>
        <v>{7,hurtRate,800}</v>
      </c>
      <c r="Y23" t="str">
        <f t="shared" si="10"/>
        <v>{8,hurtRate,250}</v>
      </c>
      <c r="Z23" t="str">
        <f t="shared" si="11"/>
        <v>{9,hurtRate,800}</v>
      </c>
      <c r="AA23" t="str">
        <f t="shared" si="12"/>
        <v>{9,explosionDmg,800}</v>
      </c>
      <c r="AB23" t="str">
        <f t="shared" si="13"/>
        <v>{10,hurtRate,800}</v>
      </c>
      <c r="AC23" t="str">
        <f t="shared" si="14"/>
        <v>{11,hurtRate,400}</v>
      </c>
      <c r="AD23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4" spans="2:30"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  <c r="N24" t="s">
        <v>85</v>
      </c>
      <c r="O24" t="s">
        <v>86</v>
      </c>
      <c r="P24" t="str">
        <f t="shared" si="1"/>
        <v>{1,hurtRate,800}</v>
      </c>
      <c r="Q24" t="str">
        <f t="shared" si="2"/>
        <v>{2,hurtRate,800}</v>
      </c>
      <c r="R24" t="str">
        <f t="shared" si="3"/>
        <v>{3,hurtRate,800}</v>
      </c>
      <c r="S24" t="str">
        <f t="shared" si="4"/>
        <v>{3,explosionDmg,600}</v>
      </c>
      <c r="T24" t="str">
        <f t="shared" si="5"/>
        <v>{4,hurtRate,800}</v>
      </c>
      <c r="U24" t="str">
        <f t="shared" si="6"/>
        <v>{4,continueDmg,40}</v>
      </c>
      <c r="V24" t="str">
        <f t="shared" si="7"/>
        <v>{5,hurtRate,800}</v>
      </c>
      <c r="W24" t="str">
        <f t="shared" si="8"/>
        <v>{6,hurtRate,800}</v>
      </c>
      <c r="X24" t="str">
        <f t="shared" si="9"/>
        <v>{7,hurtRate,800}</v>
      </c>
      <c r="Y24" t="str">
        <f t="shared" si="10"/>
        <v>{8,hurtRate,250}</v>
      </c>
      <c r="Z24" t="str">
        <f t="shared" si="11"/>
        <v>{9,hurtRate,800}</v>
      </c>
      <c r="AA24" t="str">
        <f t="shared" si="12"/>
        <v>{9,explosionDmg,800}</v>
      </c>
      <c r="AB24" t="str">
        <f t="shared" si="13"/>
        <v>{10,hurtRate,800}</v>
      </c>
      <c r="AC24" t="str">
        <f t="shared" si="14"/>
        <v>{11,hurtRate,400}</v>
      </c>
      <c r="AD24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5" spans="2:30"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82</v>
      </c>
      <c r="L25" t="s">
        <v>83</v>
      </c>
      <c r="M25" t="s">
        <v>84</v>
      </c>
      <c r="N25" t="s">
        <v>85</v>
      </c>
      <c r="O25" t="s">
        <v>86</v>
      </c>
      <c r="P25" t="str">
        <f t="shared" si="1"/>
        <v>{1,hurtRate,800}</v>
      </c>
      <c r="Q25" t="str">
        <f t="shared" si="2"/>
        <v>{2,hurtRate,800}</v>
      </c>
      <c r="R25" t="str">
        <f t="shared" si="3"/>
        <v>{3,hurtRate,800}</v>
      </c>
      <c r="S25" t="str">
        <f t="shared" si="4"/>
        <v>{3,explosionDmg,600}</v>
      </c>
      <c r="T25" t="str">
        <f t="shared" si="5"/>
        <v>{4,hurtRate,800}</v>
      </c>
      <c r="U25" t="str">
        <f t="shared" si="6"/>
        <v>{4,continueDmg,40}</v>
      </c>
      <c r="V25" t="str">
        <f t="shared" si="7"/>
        <v>{5,hurtRate,800}</v>
      </c>
      <c r="W25" t="str">
        <f t="shared" si="8"/>
        <v>{6,hurtRate,800}</v>
      </c>
      <c r="X25" t="str">
        <f t="shared" si="9"/>
        <v>{7,hurtRate,800}</v>
      </c>
      <c r="Y25" t="str">
        <f t="shared" si="10"/>
        <v>{8,hurtRate,250}</v>
      </c>
      <c r="Z25" t="str">
        <f t="shared" si="11"/>
        <v>{9,hurtRate,800}</v>
      </c>
      <c r="AA25" t="str">
        <f t="shared" si="12"/>
        <v>{9,explosionDmg,800}</v>
      </c>
      <c r="AB25" t="str">
        <f t="shared" si="13"/>
        <v>{10,hurtRate,800}</v>
      </c>
      <c r="AC25" t="str">
        <f t="shared" si="14"/>
        <v>{11,hurtRate,400}</v>
      </c>
      <c r="AD25" t="str">
        <f t="shared" si="15"/>
        <v>[{1,hurtRate,800},{2,hurtRate,800},{3,hurtRate,800},{3,explosionDmg,600},{4,hurtRate,800},{4,continueDmg,40},{5,hurtRate,800},{6,hurtRate,800},{7,hurtRate,800},{8,hurtRate,250},{9,hurtRate,800},{9,explosionDmg,800},{10,hurtRate,800},{11,hurtRate,400}]</v>
      </c>
    </row>
    <row r="26" spans="2:30">
      <c r="B26" t="s">
        <v>87</v>
      </c>
      <c r="C26" t="s">
        <v>88</v>
      </c>
      <c r="D26" t="s">
        <v>98</v>
      </c>
      <c r="E26" t="s">
        <v>104</v>
      </c>
      <c r="F26" t="s">
        <v>91</v>
      </c>
      <c r="H26" t="s">
        <v>101</v>
      </c>
      <c r="I26" t="s">
        <v>93</v>
      </c>
      <c r="J26" t="s">
        <v>106</v>
      </c>
      <c r="K26" t="s">
        <v>107</v>
      </c>
      <c r="L26" t="s">
        <v>95</v>
      </c>
      <c r="M26" t="s">
        <v>105</v>
      </c>
      <c r="P26" t="str">
        <f t="shared" si="1"/>
        <v>{1,pierce,1}</v>
      </c>
      <c r="Q26" t="str">
        <f t="shared" si="2"/>
        <v>{2,attackInterval,-1500}</v>
      </c>
      <c r="R26" t="str">
        <f t="shared" si="3"/>
        <v>{3,explosionRange,2500}</v>
      </c>
      <c r="S26" t="str">
        <f t="shared" si="4"/>
        <v>{4,attackInterval,-500}</v>
      </c>
      <c r="T26" t="str">
        <f t="shared" si="5"/>
        <v>{5,duration,200}</v>
      </c>
      <c r="U26" t="str">
        <f t="shared" si="6"/>
        <v/>
      </c>
      <c r="V26" t="str">
        <f t="shared" si="7"/>
        <v>{6,duration,1000}</v>
      </c>
      <c r="W26" t="str">
        <f t="shared" si="8"/>
        <v>{7,pierce,1}</v>
      </c>
      <c r="X26" t="str">
        <f t="shared" si="9"/>
        <v>{8,frequency,1}</v>
      </c>
      <c r="Y26" t="str">
        <f t="shared" si="10"/>
        <v>{9,num,1}</v>
      </c>
      <c r="Z26" t="str">
        <f t="shared" si="11"/>
        <v>{10,attackInterval,-500}</v>
      </c>
      <c r="AA26" t="str">
        <f t="shared" si="12"/>
        <v>{11,attackInterval,-2000}</v>
      </c>
      <c r="AB26" t="str">
        <f t="shared" si="13"/>
        <v/>
      </c>
      <c r="AC26" t="str">
        <f t="shared" si="14"/>
        <v/>
      </c>
      <c r="AD26" t="str">
        <f t="shared" si="15"/>
        <v>[{1,pierce,1},{2,attackInterval,-1500},{3,explosionRange,2500},{4,attackInterval,-500},{5,duration,200},{6,duration,1000},{7,pierce,1},{8,frequency,1},{9,num,1},{10,attackInterval,-500},{11,attackInterval,-2000}]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2024-10-12T03:27:10Z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2D44307DC4B24D52B59DD2F5B1A42912</vt:lpwstr>
  </property>
</Properties>
</file>