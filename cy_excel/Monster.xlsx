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05"/>
  </bookViews>
  <sheets>
    <sheet name="Sheet1" sheetId="6" r:id="rId1"/>
    <sheet name="Sheet2" sheetId="7" r:id="rId2"/>
    <sheet name="Sheet3" sheetId="8" r:id="rId3"/>
  </sheets>
  <externalReferences>
    <externalReference r:id="rId4"/>
    <externalReference r:id="rId5"/>
  </externalReferences>
  <definedNames>
    <definedName name="_xlnm._FilterDatabase" localSheetId="0" hidden="1">Sheet1!$A$5:$R$1057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<sst xmlns="http://schemas.openxmlformats.org/spreadsheetml/2006/main" count="1634" uniqueCount="1523">
  <si>
    <t>随机id【KEY】</t>
  </si>
  <si>
    <t>所属关卡</t>
  </si>
  <si>
    <t>所属类型</t>
  </si>
  <si>
    <t>注释字段</t>
  </si>
  <si>
    <t>调用怪物形象id</t>
  </si>
  <si>
    <t>怪物形象图片</t>
  </si>
  <si>
    <t>怪物属性</t>
  </si>
  <si>
    <t>怪物类型 0小怪 1精英 2boss</t>
  </si>
  <si>
    <t>怪物特性id</t>
  </si>
  <si>
    <t>攻击类型 0碰撞 1自爆</t>
  </si>
  <si>
    <t>是否相互拥挤0否 1是</t>
  </si>
  <si>
    <t>技能类型（1 远程 ）</t>
  </si>
  <si>
    <t>攻击距离</t>
  </si>
  <si>
    <t>分裂怪物id</t>
  </si>
  <si>
    <t>召唤怪物id</t>
  </si>
  <si>
    <t>击杀掉落</t>
  </si>
  <si>
    <t>普攻id(技能id+施法时间)</t>
  </si>
  <si>
    <t>怪物击杀经验</t>
  </si>
  <si>
    <t>怪物击杀获取能量</t>
  </si>
  <si>
    <t>both</t>
  </si>
  <si>
    <t>client</t>
  </si>
  <si>
    <t>id</t>
  </si>
  <si>
    <t>stageId</t>
  </si>
  <si>
    <t>type</t>
  </si>
  <si>
    <t>string</t>
  </si>
  <si>
    <t>modelId</t>
  </si>
  <si>
    <t>modelPicture</t>
  </si>
  <si>
    <t>monsterPro</t>
  </si>
  <si>
    <t>monsterType</t>
  </si>
  <si>
    <t>characterId</t>
  </si>
  <si>
    <t>atkType</t>
  </si>
  <si>
    <t>crowd</t>
  </si>
  <si>
    <t>skillType</t>
  </si>
  <si>
    <t>atkDistance</t>
  </si>
  <si>
    <t>splitModelId</t>
  </si>
  <si>
    <t>summonMonsterId</t>
  </si>
  <si>
    <t>drop</t>
  </si>
  <si>
    <t>atkId</t>
  </si>
  <si>
    <t>killExp</t>
  </si>
  <si>
    <t>killEnergy</t>
  </si>
  <si>
    <t>int</t>
  </si>
  <si>
    <t>[Attribute]</t>
  </si>
  <si>
    <t>[int]</t>
  </si>
  <si>
    <t>[Reward]</t>
  </si>
  <si>
    <t>[MonsterSkill]</t>
  </si>
  <si>
    <t>index</t>
  </si>
  <si>
    <t>关卡1怪物1</t>
  </si>
  <si>
    <t>[{cd,3000},{hp,60},{atk,6},{spd,8500}]</t>
  </si>
  <si>
    <t/>
  </si>
  <si>
    <t>关卡1怪物2</t>
  </si>
  <si>
    <t>[{cd,3000},{hp,50},{atk,4},{spd,8500}]</t>
  </si>
  <si>
    <t>[60002]</t>
  </si>
  <si>
    <t>关卡1怪物3</t>
  </si>
  <si>
    <t>[{cd,3000},{hp,40},{atk,6},{spd,8500}]</t>
  </si>
  <si>
    <t>关卡1BOSS1</t>
  </si>
  <si>
    <t>[{cd,3000},{hp,1350},{atk,15},{spd,8500}]</t>
  </si>
  <si>
    <t>关卡1BOSS2</t>
  </si>
  <si>
    <t>[{cd,3000},{hp,2250},{atk,30},{spd,8500}]</t>
  </si>
  <si>
    <t>关卡2怪物1</t>
  </si>
  <si>
    <t>关卡2怪物2</t>
  </si>
  <si>
    <t>关卡2怪物3</t>
  </si>
  <si>
    <t>[{cd,3000},{hp,40},{atk,3},{spd,8500}]</t>
  </si>
  <si>
    <t>[{50011,6}]</t>
  </si>
  <si>
    <t>关卡2BOSS1</t>
  </si>
  <si>
    <t>关卡2BOSS2</t>
  </si>
  <si>
    <t>关卡3怪物1</t>
  </si>
  <si>
    <t>[60001]</t>
  </si>
  <si>
    <t>关卡3怪物2</t>
  </si>
  <si>
    <t>[{cd,3000},{hp,50},{atk,9},{spd,8500}]</t>
  </si>
  <si>
    <t>关卡3怪物3</t>
  </si>
  <si>
    <t>[{cd,3000},{hp,40},{atk,9},{spd,8500}]</t>
  </si>
  <si>
    <t>关卡3BOSS1</t>
  </si>
  <si>
    <t>[{cd,3000},{hp,1350},{atk,22},{spd,8500}]</t>
  </si>
  <si>
    <t>关卡3BOSS2</t>
  </si>
  <si>
    <t>[{cd,3000},{hp,2250},{atk,45},{spd,8500}]</t>
  </si>
  <si>
    <t>关卡4怪物1</t>
  </si>
  <si>
    <t>[{cd,3000},{hp,80},{atk,6},{spd,8500}]</t>
  </si>
  <si>
    <t>关卡4怪物2</t>
  </si>
  <si>
    <t>[{cd,3000},{hp,70},{atk,9},{spd,8500}]</t>
  </si>
  <si>
    <t>关卡4怪物3</t>
  </si>
  <si>
    <t>[{cd,3000},{hp,60},{atk,5},{spd,8500}]</t>
  </si>
  <si>
    <t>[{50012,6}]</t>
  </si>
  <si>
    <t>关卡4BOSS1</t>
  </si>
  <si>
    <t>[{cd,3000},{hp,1800},{atk,15},{spd,8500}]</t>
  </si>
  <si>
    <t>关卡4BOSS2</t>
  </si>
  <si>
    <t>[{cd,3000},{hp,3000},{atk,30},{spd,8500}]</t>
  </si>
  <si>
    <t>关卡5怪物1</t>
  </si>
  <si>
    <t>[{cd,3000},{hp,100},{atk,4},{spd,8500}]</t>
  </si>
  <si>
    <t>关卡5怪物2</t>
  </si>
  <si>
    <t>[{cd,3000},{hp,90},{atk,3},{spd,8500}]</t>
  </si>
  <si>
    <t>关卡5怪物3</t>
  </si>
  <si>
    <t>[60003]</t>
  </si>
  <si>
    <t>关卡5BOSS1</t>
  </si>
  <si>
    <t>[{cd,3000},{hp,2250},{atk,10},{spd,8500}]</t>
  </si>
  <si>
    <t>[{50021,6}]</t>
  </si>
  <si>
    <t>关卡5BOSS2</t>
  </si>
  <si>
    <t>[{cd,3000},{hp,3750},{atk,20},{spd,8500}]</t>
  </si>
  <si>
    <t>关卡6怪物1</t>
  </si>
  <si>
    <t>[{cd,3000},{hp,120},{atk,4},{spd,8500}]</t>
  </si>
  <si>
    <t>关卡6怪物2</t>
  </si>
  <si>
    <t>[{cd,3000},{hp,110},{atk,6},{spd,8500}]</t>
  </si>
  <si>
    <t>关卡6怪物3</t>
  </si>
  <si>
    <t>[{cd,3000},{hp,100},{atk,3},{spd,8500}]</t>
  </si>
  <si>
    <t>关卡6BOSS1</t>
  </si>
  <si>
    <t>[{cd,3000},{hp,2700},{atk,10},{spd,8500}]</t>
  </si>
  <si>
    <t>关卡6BOSS2</t>
  </si>
  <si>
    <t>[{cd,3000},{hp,4500},{atk,21},{spd,8500}]</t>
  </si>
  <si>
    <t>关卡7怪物1</t>
  </si>
  <si>
    <t>[{cd,3000},{hp,140},{atk,9},{spd,8500}]</t>
  </si>
  <si>
    <t>关卡7怪物2</t>
  </si>
  <si>
    <t>[{cd,3000},{hp,130},{atk,5},{spd,8500}]</t>
  </si>
  <si>
    <t>关卡7怪物3</t>
  </si>
  <si>
    <t>[60004]</t>
  </si>
  <si>
    <t>[{50013,6}]</t>
  </si>
  <si>
    <t>关卡7BOSS1</t>
  </si>
  <si>
    <t>[{cd,3000},{hp,3150},{atk,15},{spd,8500}]</t>
  </si>
  <si>
    <t>关卡7BOSS2</t>
  </si>
  <si>
    <t>[{cd,3000},{hp,5250},{atk,30},{spd,8500}]</t>
  </si>
  <si>
    <t>关卡8怪物1</t>
  </si>
  <si>
    <t>[{cd,3000},{hp,160},{atk,6},{spd,8500}]</t>
  </si>
  <si>
    <t>关卡8怪物2</t>
  </si>
  <si>
    <t>[{cd,3000},{hp,150},{atk,4},{spd,8500}]</t>
  </si>
  <si>
    <t>关卡8怪物3</t>
  </si>
  <si>
    <t>[{cd,3000},{hp,140},{atk,5},{spd,8500}]</t>
  </si>
  <si>
    <t>关卡8BOSS1</t>
  </si>
  <si>
    <t>[{cd,3000},{hp,3600},{atk,13},{spd,8500}]</t>
  </si>
  <si>
    <t>[{50022,6}]</t>
  </si>
  <si>
    <t>关卡8BOSS2</t>
  </si>
  <si>
    <t>[{cd,3000},{hp,6000},{atk,26},{spd,8500}]</t>
  </si>
  <si>
    <t>关卡9怪物1</t>
  </si>
  <si>
    <t>[{cd,3000},{hp,180},{atk,10},{spd,8500}]</t>
  </si>
  <si>
    <t>关卡9怪物2</t>
  </si>
  <si>
    <t>[{cd,3000},{hp,170},{atk,4},{spd,8500}]</t>
  </si>
  <si>
    <t>[{50014,6}]</t>
  </si>
  <si>
    <t>关卡9怪物3</t>
  </si>
  <si>
    <t>[{cd,3000},{hp,160},{atk,4},{spd,8500}]</t>
  </si>
  <si>
    <t>关卡9BOSS1</t>
  </si>
  <si>
    <t>[{cd,3000},{hp,4050},{atk,25},{spd,8500}]</t>
  </si>
  <si>
    <t>关卡9BOSS2</t>
  </si>
  <si>
    <t>[{cd,3000},{hp,6750},{atk,50},{spd,8500}]</t>
  </si>
  <si>
    <t>关卡10怪物1</t>
  </si>
  <si>
    <t>[{cd,3000},{hp,200},{atk,10},{spd,8500}]</t>
  </si>
  <si>
    <t>关卡10怪物2</t>
  </si>
  <si>
    <t>[{cd,3000},{hp,190},{atk,4},{spd,8500}]</t>
  </si>
  <si>
    <t>关卡10怪物3</t>
  </si>
  <si>
    <t>关卡10BOSS1</t>
  </si>
  <si>
    <t>[{cd,3000},{hp,8438},{atk,14},{spd,8500}]</t>
  </si>
  <si>
    <t>[{50024,6}]</t>
  </si>
  <si>
    <t>关卡10BOSS2</t>
  </si>
  <si>
    <t>[{cd,3000},{hp,11250},{atk,28},{spd,8500}]</t>
  </si>
  <si>
    <t>关卡11怪物1</t>
  </si>
  <si>
    <t>[{cd,3000},{hp,240},{atk,9},{spd,8500}]</t>
  </si>
  <si>
    <t>关卡11怪物2</t>
  </si>
  <si>
    <t>[{cd,3000},{hp,230},{atk,6},{spd,8500}]</t>
  </si>
  <si>
    <t>关卡11怪物3</t>
  </si>
  <si>
    <t>[{cd,3000},{hp,220},{atk,5},{spd,8500}]</t>
  </si>
  <si>
    <t>关卡11BOSS1</t>
  </si>
  <si>
    <t>[{cd,3000},{hp,10125},{atk,45},{spd,8500}]</t>
  </si>
  <si>
    <t>关卡11BOSS2</t>
  </si>
  <si>
    <t>[{cd,3000},{hp,13500},{atk,90},{spd,8500}]</t>
  </si>
  <si>
    <t>关卡12怪物1</t>
  </si>
  <si>
    <t>[{cd,3000},{hp,280},{atk,9},{spd,8500}]</t>
  </si>
  <si>
    <t>关卡12怪物2</t>
  </si>
  <si>
    <t>[{cd,3000},{hp,270},{atk,6},{spd,8500}]</t>
  </si>
  <si>
    <t>关卡12怪物3</t>
  </si>
  <si>
    <t>[{cd,3000},{hp,260},{atk,5},{spd,8500}]</t>
  </si>
  <si>
    <t>关卡12BOSS1</t>
  </si>
  <si>
    <t>[{cd,3000},{hp,11813},{atk,25},{spd,8500}]</t>
  </si>
  <si>
    <t>关卡12BOSS2</t>
  </si>
  <si>
    <t>[{cd,3000},{hp,15750},{atk,50},{spd,8500}]</t>
  </si>
  <si>
    <t>关卡13怪物1</t>
  </si>
  <si>
    <t>[{cd,3000},{hp,320},{atk,9},{spd,8500}]</t>
  </si>
  <si>
    <t>关卡13怪物2</t>
  </si>
  <si>
    <t>[{cd,3000},{hp,310},{atk,14},{spd,8500}]</t>
  </si>
  <si>
    <t>关卡13怪物3</t>
  </si>
  <si>
    <t>[{cd,3000},{hp,300},{atk,6},{spd,8500}]</t>
  </si>
  <si>
    <t>关卡13BOSS1</t>
  </si>
  <si>
    <t>[{cd,3000},{hp,13500},{atk,70},{spd,8500}]</t>
  </si>
  <si>
    <t>关卡13BOSS2</t>
  </si>
  <si>
    <t>[{cd,3000},{hp,18000},{atk,140},{spd,8500}]</t>
  </si>
  <si>
    <t>关卡14怪物1</t>
  </si>
  <si>
    <t>[{cd,3000},{hp,360},{atk,9},{spd,8500}]</t>
  </si>
  <si>
    <t>关卡14怪物2</t>
  </si>
  <si>
    <t>[{cd,3000},{hp,432},{atk,14},{spd,8500}]</t>
  </si>
  <si>
    <t>关卡14怪物3</t>
  </si>
  <si>
    <t>[{cd,3000},{hp,540},{atk,8},{spd,8500}]</t>
  </si>
  <si>
    <t>关卡14BOSS1</t>
  </si>
  <si>
    <t>[{cd,3000},{hp,15188},{atk,45},{spd,8500}]</t>
  </si>
  <si>
    <t>关卡14BOSS2</t>
  </si>
  <si>
    <t>[{cd,3000},{hp,20250},{atk,90},{spd,8500}]</t>
  </si>
  <si>
    <t>关卡15怪物1</t>
  </si>
  <si>
    <t>[{cd,3000},{hp,400},{atk,15},{spd,8500}]</t>
  </si>
  <si>
    <t>关卡15怪物2</t>
  </si>
  <si>
    <t>[{cd,3000},{hp,480},{atk,15},{spd,8500}]</t>
  </si>
  <si>
    <t>关卡15怪物3</t>
  </si>
  <si>
    <t>[{cd,3000},{hp,600},{atk,8},{spd,8500}]</t>
  </si>
  <si>
    <t>关卡15BOSS1</t>
  </si>
  <si>
    <t>[{cd,3000},{hp,16875},{atk,75},{spd,8500}]</t>
  </si>
  <si>
    <t>关卡15BOSS2</t>
  </si>
  <si>
    <t>[{cd,3000},{hp,22500},{atk,150},{spd,8500}]</t>
  </si>
  <si>
    <t>关卡16怪物1</t>
  </si>
  <si>
    <t>[{cd,3000},{hp,460},{atk,15},{spd,8500}]</t>
  </si>
  <si>
    <t>关卡16怪物2</t>
  </si>
  <si>
    <t>[{cd,3000},{hp,552},{atk,8},{spd,8500}]</t>
  </si>
  <si>
    <t>关卡16怪物3</t>
  </si>
  <si>
    <t>[{cd,3000},{hp,690},{atk,6},{spd,8500}]</t>
  </si>
  <si>
    <t>关卡16BOSS1</t>
  </si>
  <si>
    <t>[{cd,3000},{hp,19406},{atk,40},{spd,8500}]</t>
  </si>
  <si>
    <t>关卡16BOSS2</t>
  </si>
  <si>
    <t>[{cd,3000},{hp,25875},{atk,80},{spd,8500}]</t>
  </si>
  <si>
    <t>关卡17怪物1</t>
  </si>
  <si>
    <t>[{cd,3000},{hp,520},{atk,6},{spd,8500}]</t>
  </si>
  <si>
    <t>关卡17怪物2</t>
  </si>
  <si>
    <t>[{cd,3000},{hp,624},{atk,5},{spd,8500}]</t>
  </si>
  <si>
    <t>关卡17怪物3</t>
  </si>
  <si>
    <t>[{cd,3000},{hp,780},{atk,9},{spd,8500}]</t>
  </si>
  <si>
    <t>关卡17BOSS1</t>
  </si>
  <si>
    <t>[{cd,3000},{hp,21938},{atk,25},{spd,8500}]</t>
  </si>
  <si>
    <t>关卡17BOSS2</t>
  </si>
  <si>
    <t>[{cd,3000},{hp,29250},{atk,50},{spd,8500}]</t>
  </si>
  <si>
    <t>关卡18怪物1</t>
  </si>
  <si>
    <t>[{cd,3000},{hp,580},{atk,6},{spd,8500}]</t>
  </si>
  <si>
    <t>关卡18怪物2</t>
  </si>
  <si>
    <t>[{cd,3000},{hp,696},{atk,9},{spd,8500}]</t>
  </si>
  <si>
    <t>关卡18怪物3</t>
  </si>
  <si>
    <t>[{cd,3000},{hp,870},{atk,5},{spd,8500}]</t>
  </si>
  <si>
    <t>关卡18BOSS1</t>
  </si>
  <si>
    <t>[{cd,3000},{hp,24469},{atk,25},{spd,8500}]</t>
  </si>
  <si>
    <t>关卡18BOSS2</t>
  </si>
  <si>
    <t>[{cd,3000},{hp,32625},{atk,50},{spd,8500}]</t>
  </si>
  <si>
    <t>关卡19怪物1</t>
  </si>
  <si>
    <t>[{cd,3000},{hp,640},{atk,14},{spd,8500}]</t>
  </si>
  <si>
    <t>关卡19怪物2</t>
  </si>
  <si>
    <t>[{cd,3000},{hp,768},{atk,8},{spd,8500}]</t>
  </si>
  <si>
    <t>关卡19怪物3</t>
  </si>
  <si>
    <t>[{cd,3000},{hp,960},{atk,6},{spd,8500}]</t>
  </si>
  <si>
    <t>关卡19BOSS1</t>
  </si>
  <si>
    <t>[{cd,3000},{hp,27000},{atk,45},{spd,8500}]</t>
  </si>
  <si>
    <t>关卡19BOSS2</t>
  </si>
  <si>
    <t>[{cd,3000},{hp,36000},{atk,90},{spd,8500}]</t>
  </si>
  <si>
    <t>关卡20怪物1</t>
  </si>
  <si>
    <t>[{cd,3000},{hp,700},{atk,9},{spd,8500}]</t>
  </si>
  <si>
    <t>关卡20怪物2</t>
  </si>
  <si>
    <t>[{cd,3000},{hp,840},{atk,6},{spd,8500}]</t>
  </si>
  <si>
    <t>关卡20怪物3</t>
  </si>
  <si>
    <t>[{cd,3000},{hp,1050},{atk,8},{spd,8500}]</t>
  </si>
  <si>
    <t>关卡20BOSS1</t>
  </si>
  <si>
    <t>[{cd,3000},{hp,42000},{atk,40},{spd,8500}]</t>
  </si>
  <si>
    <t>关卡20BOSS2</t>
  </si>
  <si>
    <t>[{cd,3000},{hp,56000},{atk,80},{spd,8500}]</t>
  </si>
  <si>
    <t>关卡21怪物1</t>
  </si>
  <si>
    <t>[{cd,3000},{hp,800},{atk,40},{spd,8500}]</t>
  </si>
  <si>
    <t>关卡21怪物2</t>
  </si>
  <si>
    <t>[{cd,3000},{hp,960},{atk,16},{spd,8500}]</t>
  </si>
  <si>
    <t>关卡21怪物3</t>
  </si>
  <si>
    <t>[{cd,3000},{hp,1200},{atk,16},{spd,8500}]</t>
  </si>
  <si>
    <t>关卡21BOSS1</t>
  </si>
  <si>
    <t>[{cd,3000},{hp,48000},{atk,100},{spd,8500}]</t>
  </si>
  <si>
    <t>关卡21BOSS2</t>
  </si>
  <si>
    <t>[{cd,3000},{hp,64000},{atk,200},{spd,8500}]</t>
  </si>
  <si>
    <t>关卡22怪物1</t>
  </si>
  <si>
    <t>[{cd,3000},{hp,900},{atk,40},{spd,8500}]</t>
  </si>
  <si>
    <t>关卡22怪物2</t>
  </si>
  <si>
    <t>[{cd,3000},{hp,1080},{atk,16},{spd,8500}]</t>
  </si>
  <si>
    <t>关卡22怪物3</t>
  </si>
  <si>
    <t>[{cd,3000},{hp,1350},{atk,40},{spd,8500}]</t>
  </si>
  <si>
    <t>关卡22BOSS1</t>
  </si>
  <si>
    <t>[{cd,3000},{hp,54000},{atk,40},{spd,8500}]</t>
  </si>
  <si>
    <t>关卡22BOSS2</t>
  </si>
  <si>
    <t>[{cd,3000},{hp,72000},{atk,80},{spd,8500}]</t>
  </si>
  <si>
    <t>关卡23怪物1</t>
  </si>
  <si>
    <t>[{cd,3000},{hp,1000},{atk,24},{spd,8500}]</t>
  </si>
  <si>
    <t>关卡23怪物2</t>
  </si>
  <si>
    <t>关卡23怪物3</t>
  </si>
  <si>
    <t>[{cd,3000},{hp,1500},{atk,16},{spd,8500}]</t>
  </si>
  <si>
    <t>关卡23BOSS1</t>
  </si>
  <si>
    <t>[{cd,3000},{hp,60000},{atk,60},{spd,8500}]</t>
  </si>
  <si>
    <t>关卡23BOSS2</t>
  </si>
  <si>
    <t>[{cd,3000},{hp,80000},{atk,120},{spd,8500}]</t>
  </si>
  <si>
    <t>关卡24怪物1</t>
  </si>
  <si>
    <t>[{cd,3000},{hp,1100},{atk,24},{spd,8500}]</t>
  </si>
  <si>
    <t>关卡24怪物2</t>
  </si>
  <si>
    <t>[{cd,3000},{hp,1320},{atk,16},{spd,8500}]</t>
  </si>
  <si>
    <t>关卡24怪物3</t>
  </si>
  <si>
    <t>[{cd,3000},{hp,1650},{atk,40},{spd,8500}]</t>
  </si>
  <si>
    <t>关卡24BOSS1</t>
  </si>
  <si>
    <t>[{cd,3000},{hp,66000},{atk,40},{spd,8500}]</t>
  </si>
  <si>
    <t>关卡24BOSS2</t>
  </si>
  <si>
    <t>[{cd,3000},{hp,88000},{atk,80},{spd,8500}]</t>
  </si>
  <si>
    <t>关卡25怪物1</t>
  </si>
  <si>
    <t>[{cd,3000},{hp,1200},{atk,24},{spd,8500}]</t>
  </si>
  <si>
    <t>关卡25怪物2</t>
  </si>
  <si>
    <t>[{cd,3000},{hp,1440},{atk,16},{spd,8500}]</t>
  </si>
  <si>
    <t>关卡25怪物3</t>
  </si>
  <si>
    <t>[{cd,3000},{hp,1800},{atk,12},{spd,8500}]</t>
  </si>
  <si>
    <t>关卡25BOSS1</t>
  </si>
  <si>
    <t>[{cd,3000},{hp,72000},{atk,60},{spd,8500}]</t>
  </si>
  <si>
    <t>关卡25BOSS2</t>
  </si>
  <si>
    <t>[{cd,3000},{hp,96000},{atk,120},{spd,8500}]</t>
  </si>
  <si>
    <t>关卡26怪物1</t>
  </si>
  <si>
    <t>[{cd,3000},{hp,1300},{atk,24},{spd,8500}]</t>
  </si>
  <si>
    <t>关卡26怪物2</t>
  </si>
  <si>
    <t>[{cd,3000},{hp,1560},{atk,16},{spd,8500}]</t>
  </si>
  <si>
    <t>关卡26怪物3</t>
  </si>
  <si>
    <t>[{cd,3000},{hp,1950},{atk,12},{spd,8500}]</t>
  </si>
  <si>
    <t>关卡26BOSS1</t>
  </si>
  <si>
    <t>[{cd,3000},{hp,78000},{atk,30},{spd,8500}]</t>
  </si>
  <si>
    <t>关卡26BOSS2</t>
  </si>
  <si>
    <t>[{cd,3000},{hp,104000},{atk,60},{spd,8500}]</t>
  </si>
  <si>
    <t>关卡27怪物1</t>
  </si>
  <si>
    <t>[{cd,3000},{hp,1400},{atk,24},{spd,8500}]</t>
  </si>
  <si>
    <t>关卡27怪物2</t>
  </si>
  <si>
    <t>[{cd,3000},{hp,1680},{atk,36},{spd,8500}]</t>
  </si>
  <si>
    <t>关卡27怪物3</t>
  </si>
  <si>
    <t>[{cd,3000},{hp,2100},{atk,36},{spd,8500}]</t>
  </si>
  <si>
    <t>关卡27BOSS1</t>
  </si>
  <si>
    <t>[{cd,3000},{hp,84000},{atk,90},{spd,8500}]</t>
  </si>
  <si>
    <t>关卡27BOSS2</t>
  </si>
  <si>
    <t>[{cd,3000},{hp,112000},{atk,180},{spd,8500}]</t>
  </si>
  <si>
    <t>关卡28怪物1</t>
  </si>
  <si>
    <t>[{cd,3000},{hp,1500},{atk,24},{spd,8500}]</t>
  </si>
  <si>
    <t>关卡28怪物2</t>
  </si>
  <si>
    <t>[{cd,3000},{hp,1800},{atk,36},{spd,8500}]</t>
  </si>
  <si>
    <t>关卡28怪物3</t>
  </si>
  <si>
    <t>[{cd,3000},{hp,2250},{atk,20},{spd,8500}]</t>
  </si>
  <si>
    <t>关卡28BOSS1</t>
  </si>
  <si>
    <t>[{cd,3000},{hp,90000},{atk,60},{spd,8500}]</t>
  </si>
  <si>
    <t>关卡28BOSS2</t>
  </si>
  <si>
    <t>[{cd,3000},{hp,120000},{atk,120},{spd,8500}]</t>
  </si>
  <si>
    <t>关卡29怪物1</t>
  </si>
  <si>
    <t>[{cd,3000},{hp,1600},{atk,40},{spd,8500}]</t>
  </si>
  <si>
    <t>关卡29怪物2</t>
  </si>
  <si>
    <t>[{cd,3000},{hp,1920},{atk,40},{spd,8500}]</t>
  </si>
  <si>
    <t>关卡29怪物3</t>
  </si>
  <si>
    <t>[{cd,3000},{hp,2400},{atk,20},{spd,8500}]</t>
  </si>
  <si>
    <t>关卡29BOSS1</t>
  </si>
  <si>
    <t>[{cd,3000},{hp,96000},{atk,100},{spd,8500}]</t>
  </si>
  <si>
    <t>关卡29BOSS2</t>
  </si>
  <si>
    <t>[{cd,3000},{hp,128000},{atk,200},{spd,8500}]</t>
  </si>
  <si>
    <t>关卡30怪物1</t>
  </si>
  <si>
    <t>[{cd,3000},{hp,1700},{atk,40},{spd,8500}]</t>
  </si>
  <si>
    <t>关卡30怪物2</t>
  </si>
  <si>
    <t>[{cd,3000},{hp,2040},{atk,20},{spd,8500}]</t>
  </si>
  <si>
    <t>关卡30怪物3</t>
  </si>
  <si>
    <t>[{cd,3000},{hp,2550},{atk,16},{spd,8500}]</t>
  </si>
  <si>
    <t>关卡30BOSS1</t>
  </si>
  <si>
    <t>[{cd,3000},{hp,102000},{atk,50},{spd,8500}]</t>
  </si>
  <si>
    <t>关卡30BOSS2</t>
  </si>
  <si>
    <t>[{cd,3000},{hp,136000},{atk,100},{spd,8500}]</t>
  </si>
  <si>
    <t>关卡31怪物1</t>
  </si>
  <si>
    <t>[{cd,3000},{hp,1900},{atk,30},{spd,8500}]</t>
  </si>
  <si>
    <t>关卡31怪物2</t>
  </si>
  <si>
    <t>[{cd,3000},{hp,2280},{atk,36},{spd,8500}]</t>
  </si>
  <si>
    <t>关卡31怪物3</t>
  </si>
  <si>
    <t>[{cd,3000},{hp,2850},{atk,45},{spd,8500}]</t>
  </si>
  <si>
    <t>关卡31BOSS1</t>
  </si>
  <si>
    <t>[{cd,3000},{hp,114000},{atk,75},{spd,8500}]</t>
  </si>
  <si>
    <t>关卡31BOSS2</t>
  </si>
  <si>
    <t>[{cd,3000},{hp,152000},{atk,150},{spd,8500}]</t>
  </si>
  <si>
    <t>关卡32怪物1</t>
  </si>
  <si>
    <t>[{cd,3000},{hp,2100},{atk,32},{spd,8500}]</t>
  </si>
  <si>
    <t>关卡32怪物2</t>
  </si>
  <si>
    <t>[{cd,3000},{hp,2520},{atk,38},{spd,8500}]</t>
  </si>
  <si>
    <t>关卡32怪物3</t>
  </si>
  <si>
    <t>[{cd,3000},{hp,3150},{atk,48},{spd,8500}]</t>
  </si>
  <si>
    <t>关卡32BOSS1</t>
  </si>
  <si>
    <t>[{cd,3000},{hp,126000},{atk,80},{spd,8500}]</t>
  </si>
  <si>
    <t>关卡32BOSS2</t>
  </si>
  <si>
    <t>[{cd,3000},{hp,168000},{atk,160},{spd,8500}]</t>
  </si>
  <si>
    <t>关卡33怪物1</t>
  </si>
  <si>
    <t>[{cd,3000},{hp,2300},{atk,34},{spd,8500}]</t>
  </si>
  <si>
    <t>关卡33怪物2</t>
  </si>
  <si>
    <t>[{cd,3000},{hp,2760},{atk,41},{spd,8500}]</t>
  </si>
  <si>
    <t>关卡33怪物3</t>
  </si>
  <si>
    <t>[{cd,3000},{hp,3450},{atk,51},{spd,8500}]</t>
  </si>
  <si>
    <t>关卡33BOSS1</t>
  </si>
  <si>
    <t>[{cd,3000},{hp,138000},{atk,85},{spd,8500}]</t>
  </si>
  <si>
    <t>关卡33BOSS2</t>
  </si>
  <si>
    <t>[{cd,3000},{hp,184000},{atk,170},{spd,8500}]</t>
  </si>
  <si>
    <t>关卡34怪物1</t>
  </si>
  <si>
    <t>[{cd,3000},{hp,3500},{atk,45},{spd,8500}]</t>
  </si>
  <si>
    <t>关卡34怪物2</t>
  </si>
  <si>
    <t>[{cd,3000},{hp,4200},{atk,54},{spd,8500}]</t>
  </si>
  <si>
    <t>关卡34怪物3</t>
  </si>
  <si>
    <t>[{cd,3000},{hp,5250},{atk,68},{spd,8500}]</t>
  </si>
  <si>
    <t>关卡34BOSS1</t>
  </si>
  <si>
    <t>[{cd,3000},{hp,210000},{atk,113},{spd,8500}]</t>
  </si>
  <si>
    <t>关卡34BOSS2</t>
  </si>
  <si>
    <t>[{cd,3000},{hp,280000},{atk,225},{spd,8500}]</t>
  </si>
  <si>
    <t>关卡35怪物1</t>
  </si>
  <si>
    <t>[{cd,3000},{hp,2500},{atk,36},{spd,8500}]</t>
  </si>
  <si>
    <t>关卡35怪物2</t>
  </si>
  <si>
    <t>[{cd,3000},{hp,3000},{atk,43},{spd,8500}]</t>
  </si>
  <si>
    <t>关卡35怪物3</t>
  </si>
  <si>
    <t>[{cd,3000},{hp,3750},{atk,54},{spd,8500}]</t>
  </si>
  <si>
    <t>关卡35BOSS1</t>
  </si>
  <si>
    <t>[{cd,3000},{hp,150000},{atk,90},{spd,8500}]</t>
  </si>
  <si>
    <t>关卡35BOSS2</t>
  </si>
  <si>
    <t>[{cd,3000},{hp,200000},{atk,180},{spd,8500}]</t>
  </si>
  <si>
    <t>关卡36怪物1</t>
  </si>
  <si>
    <t>[{cd,3000},{hp,2700},{atk,36},{spd,8500}]</t>
  </si>
  <si>
    <t>关卡36怪物2</t>
  </si>
  <si>
    <t>[{cd,3000},{hp,3240},{atk,43},{spd,8500}]</t>
  </si>
  <si>
    <t>关卡36怪物3</t>
  </si>
  <si>
    <t>[{cd,3000},{hp,4050},{atk,54},{spd,8500}]</t>
  </si>
  <si>
    <t>关卡36BOSS1</t>
  </si>
  <si>
    <t>[{cd,3000},{hp,162000},{atk,90},{spd,8500}]</t>
  </si>
  <si>
    <t>关卡36BOSS2</t>
  </si>
  <si>
    <t>[{cd,3000},{hp,216000},{atk,180},{spd,8500}]</t>
  </si>
  <si>
    <t>关卡37怪物1</t>
  </si>
  <si>
    <t>[{cd,3000},{hp,2900},{atk,38},{spd,8500}]</t>
  </si>
  <si>
    <t>关卡37怪物2</t>
  </si>
  <si>
    <t>[{cd,3000},{hp,3480},{atk,46},{spd,8500}]</t>
  </si>
  <si>
    <t>关卡37怪物3</t>
  </si>
  <si>
    <t>[{cd,3000},{hp,4350},{atk,57},{spd,8500}]</t>
  </si>
  <si>
    <t>关卡37BOSS1</t>
  </si>
  <si>
    <t>[{cd,3000},{hp,174000},{atk,95},{spd,8500}]</t>
  </si>
  <si>
    <t>关卡37BOSS2</t>
  </si>
  <si>
    <t>[{cd,3000},{hp,232000},{atk,190},{spd,8500}]</t>
  </si>
  <si>
    <t>关卡38怪物1</t>
  </si>
  <si>
    <t>[{cd,3000},{hp,3100},{atk,40},{spd,8500}]</t>
  </si>
  <si>
    <t>关卡38怪物2</t>
  </si>
  <si>
    <t>[{cd,3000},{hp,3720},{atk,48},{spd,8500}]</t>
  </si>
  <si>
    <t>关卡38怪物3</t>
  </si>
  <si>
    <t>[{cd,3000},{hp,4650},{atk,60},{spd,8500}]</t>
  </si>
  <si>
    <t>关卡38BOSS1</t>
  </si>
  <si>
    <t>[{cd,3000},{hp,186000},{atk,100},{spd,8500}]</t>
  </si>
  <si>
    <t>关卡38BOSS2</t>
  </si>
  <si>
    <t>[{cd,3000},{hp,248000},{atk,200},{spd,8500}]</t>
  </si>
  <si>
    <t>关卡39怪物1</t>
  </si>
  <si>
    <t>[{cd,3000},{hp,3300},{atk,42},{spd,8500}]</t>
  </si>
  <si>
    <t>关卡39怪物2</t>
  </si>
  <si>
    <t>[{cd,3000},{hp,3960},{atk,50},{spd,8500}]</t>
  </si>
  <si>
    <t>关卡39怪物3</t>
  </si>
  <si>
    <t>[{cd,3000},{hp,4950},{atk,63},{spd,8500}]</t>
  </si>
  <si>
    <t>关卡39BOSS1</t>
  </si>
  <si>
    <t>[{cd,3000},{hp,198000},{atk,105},{spd,8500}]</t>
  </si>
  <si>
    <t>关卡39BOSS2</t>
  </si>
  <si>
    <t>[{cd,3000},{hp,264000},{atk,210},{spd,8500}]</t>
  </si>
  <si>
    <t>关卡40怪物1</t>
  </si>
  <si>
    <t>[{cd,3000},{hp,4500},{atk,50},{spd,8500}]</t>
  </si>
  <si>
    <t>关卡40怪物2</t>
  </si>
  <si>
    <t>[{cd,3000},{hp,5400},{atk,60},{spd,8500}]</t>
  </si>
  <si>
    <t>关卡40怪物3</t>
  </si>
  <si>
    <t>[{cd,3000},{hp,6750},{atk,75},{spd,8500}]</t>
  </si>
  <si>
    <t>关卡40BOSS1</t>
  </si>
  <si>
    <t>[{cd,3000},{hp,270000},{atk,125},{spd,8500}]</t>
  </si>
  <si>
    <t>关卡40BOSS2</t>
  </si>
  <si>
    <t>[{cd,3000},{hp,360000},{atk,250},{spd,8500}]</t>
  </si>
  <si>
    <t>关卡41怪物1</t>
  </si>
  <si>
    <t>[{cd,3000},{hp,3700},{atk,44},{spd,8500}]</t>
  </si>
  <si>
    <t>关卡41怪物2</t>
  </si>
  <si>
    <t>[{cd,3000},{hp,4440},{atk,53},{spd,8500}]</t>
  </si>
  <si>
    <t>关卡41怪物3</t>
  </si>
  <si>
    <t>[{cd,3000},{hp,5550},{atk,66},{spd,8500}]</t>
  </si>
  <si>
    <t>关卡41BOSS1</t>
  </si>
  <si>
    <t>[{cd,3000},{hp,222000},{atk,110},{spd,8500}]</t>
  </si>
  <si>
    <t>关卡41BOSS2</t>
  </si>
  <si>
    <t>[{cd,3000},{hp,296000},{atk,220},{spd,8500}]</t>
  </si>
  <si>
    <t>关卡42怪物1</t>
  </si>
  <si>
    <t>[{cd,3000},{hp,4100},{atk,46},{spd,8500}]</t>
  </si>
  <si>
    <t>[60018]</t>
  </si>
  <si>
    <t>关卡42怪物2</t>
  </si>
  <si>
    <t>[{cd,3000},{hp,4920},{atk,55},{spd,8500}]</t>
  </si>
  <si>
    <t>[60019]</t>
  </si>
  <si>
    <t>关卡42怪物3</t>
  </si>
  <si>
    <t>[{cd,3000},{hp,6150},{atk,69},{spd,8500}]</t>
  </si>
  <si>
    <t>[{50033,6}]</t>
  </si>
  <si>
    <t>关卡42BOSS1</t>
  </si>
  <si>
    <t>[{cd,3000},{hp,246000},{atk,115},{spd,8500}]</t>
  </si>
  <si>
    <t>[{50034,6}]</t>
  </si>
  <si>
    <t>关卡42BOSS2</t>
  </si>
  <si>
    <t>[{cd,3000},{hp,328000},{atk,230},{spd,8500}]</t>
  </si>
  <si>
    <t>关卡43怪物1</t>
  </si>
  <si>
    <t>[{cd,3000},{hp,4500},{atk,48},{spd,8500}]</t>
  </si>
  <si>
    <t>关卡43怪物2</t>
  </si>
  <si>
    <t>[{cd,3000},{hp,5400},{atk,58},{spd,8500}]</t>
  </si>
  <si>
    <t>关卡43怪物3</t>
  </si>
  <si>
    <t>[{cd,3000},{hp,6750},{atk,72},{spd,8500}]</t>
  </si>
  <si>
    <t>关卡43BOSS1</t>
  </si>
  <si>
    <t>[{cd,3000},{hp,270000},{atk,120},{spd,8500}]</t>
  </si>
  <si>
    <t>关卡43BOSS2</t>
  </si>
  <si>
    <t>[{cd,3000},{hp,360000},{atk,240},{spd,8500}]</t>
  </si>
  <si>
    <t>关卡44怪物1</t>
  </si>
  <si>
    <t>[{cd,3000},{hp,6000},{atk,60},{spd,8500}]</t>
  </si>
  <si>
    <t>关卡44怪物2</t>
  </si>
  <si>
    <t>[{cd,3000},{hp,7200},{atk,72},{spd,8500}]</t>
  </si>
  <si>
    <t>关卡44怪物3</t>
  </si>
  <si>
    <t>[{cd,3000},{hp,9000},{atk,90},{spd,8500}]</t>
  </si>
  <si>
    <t>关卡44BOSS1</t>
  </si>
  <si>
    <t>[{cd,3000},{hp,360000},{atk,150},{spd,8500}]</t>
  </si>
  <si>
    <t>关卡44BOSS2</t>
  </si>
  <si>
    <t>[{cd,3000},{hp,480000},{atk,300},{spd,8500}]</t>
  </si>
  <si>
    <t>关卡45怪物1</t>
  </si>
  <si>
    <t>[{cd,3000},{hp,4900},{atk,50},{spd,8500}]</t>
  </si>
  <si>
    <t>关卡45怪物2</t>
  </si>
  <si>
    <t>[{cd,3000},{hp,5880},{atk,60},{spd,8500}]</t>
  </si>
  <si>
    <t>关卡45怪物3</t>
  </si>
  <si>
    <t>[{cd,3000},{hp,7350},{atk,75},{spd,8500}]</t>
  </si>
  <si>
    <t>关卡45BOSS1</t>
  </si>
  <si>
    <t>[{cd,3000},{hp,294000},{atk,125},{spd,8500}]</t>
  </si>
  <si>
    <t>关卡45BOSS2</t>
  </si>
  <si>
    <t>[{cd,3000},{hp,392000},{atk,250},{spd,8500}]</t>
  </si>
  <si>
    <t>关卡46怪物1</t>
  </si>
  <si>
    <t>[{cd,3000},{hp,5300},{atk,54},{spd,8500}]</t>
  </si>
  <si>
    <t>关卡46怪物2</t>
  </si>
  <si>
    <t>[{cd,3000},{hp,6360},{atk,65},{spd,8500}]</t>
  </si>
  <si>
    <t>关卡46怪物3</t>
  </si>
  <si>
    <t>[{cd,3000},{hp,7950},{atk,81},{spd,8500}]</t>
  </si>
  <si>
    <t>关卡46BOSS1</t>
  </si>
  <si>
    <t>[{cd,3000},{hp,318000},{atk,135},{spd,8500}]</t>
  </si>
  <si>
    <t>关卡46BOSS2</t>
  </si>
  <si>
    <t>[{cd,3000},{hp,424000},{atk,270},{spd,8500}]</t>
  </si>
  <si>
    <t>关卡47怪物1</t>
  </si>
  <si>
    <t>[{cd,3000},{hp,5700},{atk,56},{spd,8500}]</t>
  </si>
  <si>
    <t>关卡47怪物2</t>
  </si>
  <si>
    <t>[{cd,3000},{hp,6840},{atk,67},{spd,8500}]</t>
  </si>
  <si>
    <t>关卡47怪物3</t>
  </si>
  <si>
    <t>[{cd,3000},{hp,8550},{atk,84},{spd,8500}]</t>
  </si>
  <si>
    <t>关卡47BOSS1</t>
  </si>
  <si>
    <t>[{cd,3000},{hp,342000},{atk,140},{spd,8500}]</t>
  </si>
  <si>
    <t>关卡47BOSS2</t>
  </si>
  <si>
    <t>[{cd,3000},{hp,456000},{atk,280},{spd,8500}]</t>
  </si>
  <si>
    <t>关卡48怪物1</t>
  </si>
  <si>
    <t>[{cd,3000},{hp,6100},{atk,58},{spd,8500}]</t>
  </si>
  <si>
    <t>关卡48怪物2</t>
  </si>
  <si>
    <t>[{cd,3000},{hp,7320},{atk,70},{spd,8500}]</t>
  </si>
  <si>
    <t>关卡48怪物3</t>
  </si>
  <si>
    <t>[{cd,3000},{hp,9150},{atk,87},{spd,8500}]</t>
  </si>
  <si>
    <t>关卡48BOSS1</t>
  </si>
  <si>
    <t>[{cd,3000},{hp,366000},{atk,145},{spd,8500}]</t>
  </si>
  <si>
    <t>关卡48BOSS2</t>
  </si>
  <si>
    <t>[{cd,3000},{hp,488000},{atk,290},{spd,8500}]</t>
  </si>
  <si>
    <t>关卡49怪物1</t>
  </si>
  <si>
    <t>[{cd,3000},{hp,6500},{atk,60},{spd,8500}]</t>
  </si>
  <si>
    <t>关卡49怪物2</t>
  </si>
  <si>
    <t>[{cd,3000},{hp,7800},{atk,72},{spd,8500}]</t>
  </si>
  <si>
    <t>关卡49怪物3</t>
  </si>
  <si>
    <t>[{cd,3000},{hp,9750},{atk,90},{spd,8500}]</t>
  </si>
  <si>
    <t>关卡49BOSS1</t>
  </si>
  <si>
    <t>[{cd,3000},{hp,390000},{atk,150},{spd,8500}]</t>
  </si>
  <si>
    <t>关卡49BOSS2</t>
  </si>
  <si>
    <t>[{cd,3000},{hp,520000},{atk,300},{spd,8500}]</t>
  </si>
  <si>
    <t>关卡50怪物1</t>
  </si>
  <si>
    <t>[{cd,3000},{hp,7500},{atk,70},{spd,8500}]</t>
  </si>
  <si>
    <t>关卡50怪物2</t>
  </si>
  <si>
    <t>[{cd,3000},{hp,9000},{atk,84},{spd,8500}]</t>
  </si>
  <si>
    <t>关卡50怪物3</t>
  </si>
  <si>
    <t>[{cd,3000},{hp,11250},{atk,105},{spd,8500}]</t>
  </si>
  <si>
    <t>关卡50BOSS1</t>
  </si>
  <si>
    <t>[{cd,3000},{hp,450000},{atk,175},{spd,8500}]</t>
  </si>
  <si>
    <t>关卡50BOSS2</t>
  </si>
  <si>
    <t>[{cd,3000},{hp,600000},{atk,350},{spd,8500}]</t>
  </si>
  <si>
    <t>关卡51怪物1</t>
  </si>
  <si>
    <t>[{cd,3000},{hp,6900},{atk,64},{spd,8500}]</t>
  </si>
  <si>
    <t>关卡51怪物2</t>
  </si>
  <si>
    <t>[{cd,3000},{hp,8280},{atk,77},{spd,8500}]</t>
  </si>
  <si>
    <t>关卡51怪物3</t>
  </si>
  <si>
    <t>[{cd,3000},{hp,10350},{atk,96},{spd,8500}]</t>
  </si>
  <si>
    <t>关卡51BOSS1</t>
  </si>
  <si>
    <t>[{cd,3000},{hp,414000},{atk,160},{spd,8500}]</t>
  </si>
  <si>
    <t>关卡51BOSS2</t>
  </si>
  <si>
    <t>[{cd,3000},{hp,552000},{atk,320},{spd,8500}]</t>
  </si>
  <si>
    <t>关卡52怪物1</t>
  </si>
  <si>
    <t>[{cd,3000},{hp,7300},{atk,66},{spd,8500}]</t>
  </si>
  <si>
    <t>关卡52怪物2</t>
  </si>
  <si>
    <t>[{cd,3000},{hp,8760},{atk,79},{spd,8500}]</t>
  </si>
  <si>
    <t>关卡52怪物3</t>
  </si>
  <si>
    <t>[{cd,3000},{hp,10950},{atk,99},{spd,8500}]</t>
  </si>
  <si>
    <t>关卡52BOSS1</t>
  </si>
  <si>
    <t>[{cd,3000},{hp,438000},{atk,165},{spd,8500}]</t>
  </si>
  <si>
    <t>关卡52BOSS2</t>
  </si>
  <si>
    <t>[{cd,3000},{hp,584000},{atk,330},{spd,8500}]</t>
  </si>
  <si>
    <t>关卡53怪物1</t>
  </si>
  <si>
    <t>[{cd,3000},{hp,7700},{atk,68},{spd,8500}]</t>
  </si>
  <si>
    <t>关卡53怪物2</t>
  </si>
  <si>
    <t>[{cd,3000},{hp,9240},{atk,82},{spd,8500}]</t>
  </si>
  <si>
    <t>关卡53怪物3</t>
  </si>
  <si>
    <t>[{cd,3000},{hp,11550},{atk,102},{spd,8500}]</t>
  </si>
  <si>
    <t>关卡53BOSS1</t>
  </si>
  <si>
    <t>[{cd,3000},{hp,462000},{atk,170},{spd,8500}]</t>
  </si>
  <si>
    <t>关卡53BOSS2</t>
  </si>
  <si>
    <t>[{cd,3000},{hp,616000},{atk,340},{spd,8500}]</t>
  </si>
  <si>
    <t>关卡54怪物1</t>
  </si>
  <si>
    <t>[{cd,3000},{hp,9000},{atk,80},{spd,8500}]</t>
  </si>
  <si>
    <t>关卡54怪物2</t>
  </si>
  <si>
    <t>[{cd,3000},{hp,10800},{atk,96},{spd,8500}]</t>
  </si>
  <si>
    <t>关卡54怪物3</t>
  </si>
  <si>
    <t>[{cd,3000},{hp,13500},{atk,120},{spd,8500}]</t>
  </si>
  <si>
    <t>关卡54BOSS1</t>
  </si>
  <si>
    <t>[{cd,3000},{hp,540000},{atk,200},{spd,8500}]</t>
  </si>
  <si>
    <t>关卡54BOSS2</t>
  </si>
  <si>
    <t>[{cd,3000},{hp,720000},{atk,400},{spd,8500}]</t>
  </si>
  <si>
    <t>关卡55怪物1</t>
  </si>
  <si>
    <t>[{cd,3000},{hp,8100},{atk,70},{spd,8500}]</t>
  </si>
  <si>
    <t>关卡55怪物2</t>
  </si>
  <si>
    <t>[{cd,3000},{hp,9720},{atk,84},{spd,8500}]</t>
  </si>
  <si>
    <t>关卡55怪物3</t>
  </si>
  <si>
    <t>[{cd,3000},{hp,12150},{atk,105},{spd,8500}]</t>
  </si>
  <si>
    <t>关卡55BOSS1</t>
  </si>
  <si>
    <t>[{cd,3000},{hp,486000},{atk,175},{spd,8500}]</t>
  </si>
  <si>
    <t>关卡55BOSS2</t>
  </si>
  <si>
    <t>[{cd,3000},{hp,648000},{atk,350},{spd,8500}]</t>
  </si>
  <si>
    <t>关卡56怪物1</t>
  </si>
  <si>
    <t>[{cd,3000},{hp,8600},{atk,79},{spd,8500}]</t>
  </si>
  <si>
    <t>关卡56怪物2</t>
  </si>
  <si>
    <t>[{cd,3000},{hp,10320},{atk,95},{spd,8500}]</t>
  </si>
  <si>
    <t>关卡56怪物3</t>
  </si>
  <si>
    <t>[{cd,3000},{hp,12900},{atk,119},{spd,8500}]</t>
  </si>
  <si>
    <t>关卡56BOSS1</t>
  </si>
  <si>
    <t>[{cd,3000},{hp,516000},{atk,198},{spd,8500}]</t>
  </si>
  <si>
    <t>关卡56BOSS2</t>
  </si>
  <si>
    <t>[{cd,3000},{hp,688000},{atk,395},{spd,8500}]</t>
  </si>
  <si>
    <t>关卡57怪物1</t>
  </si>
  <si>
    <t>[{cd,3000},{hp,9100},{atk,81},{spd,8500}]</t>
  </si>
  <si>
    <t>关卡57怪物2</t>
  </si>
  <si>
    <t>[{cd,3000},{hp,10920},{atk,97},{spd,8500}]</t>
  </si>
  <si>
    <t>关卡57怪物3</t>
  </si>
  <si>
    <t>[{cd,3000},{hp,13650},{atk,122},{spd,8500}]</t>
  </si>
  <si>
    <t>关卡57BOSS1</t>
  </si>
  <si>
    <t>[{cd,3000},{hp,546000},{atk,203},{spd,8500}]</t>
  </si>
  <si>
    <t>关卡57BOSS2</t>
  </si>
  <si>
    <t>[{cd,3000},{hp,728000},{atk,405},{spd,8500}]</t>
  </si>
  <si>
    <t>关卡58怪物1</t>
  </si>
  <si>
    <t>[{cd,3000},{hp,9600},{atk,83},{spd,8500}]</t>
  </si>
  <si>
    <t>关卡58怪物2</t>
  </si>
  <si>
    <t>[{cd,3000},{hp,11520},{atk,100},{spd,8500}]</t>
  </si>
  <si>
    <t>关卡58怪物3</t>
  </si>
  <si>
    <t>[{cd,3000},{hp,14400},{atk,125},{spd,8500}]</t>
  </si>
  <si>
    <t>关卡58BOSS1</t>
  </si>
  <si>
    <t>[{cd,3000},{hp,576000},{atk,208},{spd,8500}]</t>
  </si>
  <si>
    <t>关卡58BOSS2</t>
  </si>
  <si>
    <t>[{cd,3000},{hp,768000},{atk,415},{spd,8500}]</t>
  </si>
  <si>
    <t>关卡59怪物1</t>
  </si>
  <si>
    <t>[{cd,3000},{hp,10100},{atk,85},{spd,8500}]</t>
  </si>
  <si>
    <t>关卡59怪物2</t>
  </si>
  <si>
    <t>[{cd,3000},{hp,12120},{atk,102},{spd,8500}]</t>
  </si>
  <si>
    <t>关卡59怪物3</t>
  </si>
  <si>
    <t>[{cd,3000},{hp,15150},{atk,128},{spd,8500}]</t>
  </si>
  <si>
    <t>关卡59BOSS1</t>
  </si>
  <si>
    <t>[{cd,3000},{hp,606000},{atk,213},{spd,8500}]</t>
  </si>
  <si>
    <t>关卡59BOSS2</t>
  </si>
  <si>
    <t>[{cd,3000},{hp,808000},{atk,425},{spd,8500}]</t>
  </si>
  <si>
    <t>关卡60怪物1</t>
  </si>
  <si>
    <t>[{cd,3000},{hp,11400},{atk,90},{spd,8500}]</t>
  </si>
  <si>
    <t>关卡60怪物2</t>
  </si>
  <si>
    <t>[{cd,3000},{hp,13680},{atk,108},{spd,8500}]</t>
  </si>
  <si>
    <t>关卡60怪物3</t>
  </si>
  <si>
    <t>[{cd,3000},{hp,17100},{atk,135},{spd,8500}]</t>
  </si>
  <si>
    <t>关卡60BOSS1</t>
  </si>
  <si>
    <t>[{cd,3000},{hp,684000},{atk,225},{spd,8500}]</t>
  </si>
  <si>
    <t>关卡60BOSS2</t>
  </si>
  <si>
    <t>[{cd,3000},{hp,912000},{atk,450},{spd,8500}]</t>
  </si>
  <si>
    <t>关卡61怪物1</t>
  </si>
  <si>
    <t>[{cd,3000},{hp,10500},{atk,87},{spd,8500}]</t>
  </si>
  <si>
    <t>关卡61怪物2</t>
  </si>
  <si>
    <t>[{cd,3000},{hp,12600},{atk,104},{spd,8500}]</t>
  </si>
  <si>
    <t>关卡61怪物3</t>
  </si>
  <si>
    <t>[{cd,3000},{hp,15750},{atk,131},{spd,8500}]</t>
  </si>
  <si>
    <t>关卡61BOSS1</t>
  </si>
  <si>
    <t>[{cd,3000},{hp,630000},{atk,218},{spd,8500}]</t>
  </si>
  <si>
    <t>关卡61BOSS2</t>
  </si>
  <si>
    <t>[{cd,3000},{hp,840000},{atk,435},{spd,8500}]</t>
  </si>
  <si>
    <t>关卡62怪物1</t>
  </si>
  <si>
    <t>[{cd,3000},{hp,10900},{atk,89},{spd,8500}]</t>
  </si>
  <si>
    <t>关卡62怪物2</t>
  </si>
  <si>
    <t>[{cd,3000},{hp,13080},{atk,107},{spd,8500}]</t>
  </si>
  <si>
    <t>关卡62怪物3</t>
  </si>
  <si>
    <t>[{cd,3000},{hp,16350},{atk,134},{spd,8500}]</t>
  </si>
  <si>
    <t>关卡62BOSS1</t>
  </si>
  <si>
    <t>[{cd,3000},{hp,654000},{atk,223},{spd,8500}]</t>
  </si>
  <si>
    <t>关卡62BOSS2</t>
  </si>
  <si>
    <t>[{cd,3000},{hp,872000},{atk,445},{spd,8500}]</t>
  </si>
  <si>
    <t>关卡63怪物1</t>
  </si>
  <si>
    <t>[{cd,3000},{hp,11500},{atk,91},{spd,8500}]</t>
  </si>
  <si>
    <t>关卡63怪物2</t>
  </si>
  <si>
    <t>[{cd,3000},{hp,13800},{atk,109},{spd,8500}]</t>
  </si>
  <si>
    <t>关卡63怪物3</t>
  </si>
  <si>
    <t>[{cd,3000},{hp,17250},{atk,137},{spd,8500}]</t>
  </si>
  <si>
    <t>关卡63BOSS1</t>
  </si>
  <si>
    <t>[{cd,3000},{hp,690000},{atk,228},{spd,8500}]</t>
  </si>
  <si>
    <t>关卡63BOSS2</t>
  </si>
  <si>
    <t>[{cd,3000},{hp,920000},{atk,455},{spd,8500}]</t>
  </si>
  <si>
    <t>关卡64怪物1</t>
  </si>
  <si>
    <t>[{cd,3000},{hp,13000},{atk,100},{spd,8500}]</t>
  </si>
  <si>
    <t>关卡64怪物2</t>
  </si>
  <si>
    <t>[{cd,3000},{hp,15600},{atk,120},{spd,8500}]</t>
  </si>
  <si>
    <t>关卡64怪物3</t>
  </si>
  <si>
    <t>[{cd,3000},{hp,19500},{atk,150},{spd,8500}]</t>
  </si>
  <si>
    <t>关卡64BOSS1</t>
  </si>
  <si>
    <t>[{cd,3000},{hp,780000},{atk,250},{spd,8500}]</t>
  </si>
  <si>
    <t>关卡64BOSS2</t>
  </si>
  <si>
    <t>[{cd,3000},{hp,1040000},{atk,500},{spd,8500}]</t>
  </si>
  <si>
    <t>关卡65怪物1</t>
  </si>
  <si>
    <t>[{cd,3000},{hp,12300},{atk,93},{spd,8500}]</t>
  </si>
  <si>
    <t>关卡65怪物2</t>
  </si>
  <si>
    <t>[{cd,3000},{hp,14760},{atk,112},{spd,8500}]</t>
  </si>
  <si>
    <t>关卡65怪物3</t>
  </si>
  <si>
    <t>[{cd,3000},{hp,18450},{atk,140},{spd,8500}]</t>
  </si>
  <si>
    <t>关卡65BOSS1</t>
  </si>
  <si>
    <t>[{cd,3000},{hp,738000},{atk,233},{spd,8500}]</t>
  </si>
  <si>
    <t>关卡65BOSS2</t>
  </si>
  <si>
    <t>[{cd,3000},{hp,984000},{atk,465},{spd,8500}]</t>
  </si>
  <si>
    <t>关卡66怪物1</t>
  </si>
  <si>
    <t>[{cd,3000},{hp,12500},{atk,95},{spd,8500}]</t>
  </si>
  <si>
    <t>关卡66怪物2</t>
  </si>
  <si>
    <t>[{cd,3000},{hp,15000},{atk,114},{spd,8500}]</t>
  </si>
  <si>
    <t>关卡66怪物3</t>
  </si>
  <si>
    <t>[{cd,3000},{hp,18750},{atk,143},{spd,8500}]</t>
  </si>
  <si>
    <t>关卡66BOSS1</t>
  </si>
  <si>
    <t>[{cd,3000},{hp,750000},{atk,238},{spd,8500}]</t>
  </si>
  <si>
    <t>关卡66BOSS2</t>
  </si>
  <si>
    <t>[{cd,3000},{hp,1000000},{atk,475},{spd,8500}]</t>
  </si>
  <si>
    <t>关卡67怪物1</t>
  </si>
  <si>
    <t>[{cd,3000},{hp,12900},{atk,97},{spd,8500}]</t>
  </si>
  <si>
    <t>关卡67怪物2</t>
  </si>
  <si>
    <t>[{cd,3000},{hp,15480},{atk,116},{spd,8500}]</t>
  </si>
  <si>
    <t>关卡67怪物3</t>
  </si>
  <si>
    <t>[{cd,3000},{hp,19350},{atk,146},{spd,8500}]</t>
  </si>
  <si>
    <t>关卡67BOSS1</t>
  </si>
  <si>
    <t>[{cd,3000},{hp,774000},{atk,243},{spd,8500}]</t>
  </si>
  <si>
    <t>关卡67BOSS2</t>
  </si>
  <si>
    <t>[{cd,3000},{hp,1032000},{atk,485},{spd,8500}]</t>
  </si>
  <si>
    <t>关卡68怪物1</t>
  </si>
  <si>
    <t>[{cd,3000},{hp,13500},{atk,99},{spd,8500}]</t>
  </si>
  <si>
    <t>关卡68怪物2</t>
  </si>
  <si>
    <t>[{cd,3000},{hp,16200},{atk,119},{spd,8500}]</t>
  </si>
  <si>
    <t>关卡68怪物3</t>
  </si>
  <si>
    <t>[{cd,3000},{hp,20250},{atk,149},{spd,8500}]</t>
  </si>
  <si>
    <t>关卡68BOSS1</t>
  </si>
  <si>
    <t>[{cd,3000},{hp,810000},{atk,248},{spd,8500}]</t>
  </si>
  <si>
    <t>关卡68BOSS2</t>
  </si>
  <si>
    <t>[{cd,3000},{hp,1080000},{atk,495},{spd,8500}]</t>
  </si>
  <si>
    <t>关卡69怪物1</t>
  </si>
  <si>
    <t>[{cd,3000},{hp,14300},{atk,101},{spd,8500}]</t>
  </si>
  <si>
    <t>关卡69怪物2</t>
  </si>
  <si>
    <t>[{cd,3000},{hp,17160},{atk,121},{spd,8500}]</t>
  </si>
  <si>
    <t>关卡69怪物3</t>
  </si>
  <si>
    <t>[{cd,3000},{hp,21450},{atk,152},{spd,8500}]</t>
  </si>
  <si>
    <t>关卡69BOSS1</t>
  </si>
  <si>
    <t>[{cd,3000},{hp,858000},{atk,253},{spd,8500}]</t>
  </si>
  <si>
    <t>关卡69BOSS2</t>
  </si>
  <si>
    <t>[{cd,3000},{hp,1144000},{atk,505},{spd,8500}]</t>
  </si>
  <si>
    <t>关卡70怪物1</t>
  </si>
  <si>
    <t>[{cd,3000},{hp,15000},{atk,110},{spd,8500}]</t>
  </si>
  <si>
    <t>关卡70怪物2</t>
  </si>
  <si>
    <t>[{cd,3000},{hp,18000},{atk,132},{spd,8500}]</t>
  </si>
  <si>
    <t>关卡70怪物3</t>
  </si>
  <si>
    <t>[{cd,3000},{hp,22500},{atk,165},{spd,8500}]</t>
  </si>
  <si>
    <t>关卡70BOSS1</t>
  </si>
  <si>
    <t>[{cd,3000},{hp,900000},{atk,275},{spd,8500}]</t>
  </si>
  <si>
    <t>关卡70BOSS2</t>
  </si>
  <si>
    <t>[{cd,3000},{hp,1200000},{atk,550},{spd,8500}]</t>
  </si>
  <si>
    <t>关卡71怪物1</t>
  </si>
  <si>
    <t>[{cd,3000},{hp,16100},{atk,103},{spd,8500}]</t>
  </si>
  <si>
    <t>关卡71怪物2</t>
  </si>
  <si>
    <t>[{cd,3000},{hp,19320},{atk,124},{spd,8500}]</t>
  </si>
  <si>
    <t>关卡71怪物3</t>
  </si>
  <si>
    <t>[{cd,3000},{hp,24150},{atk,155},{spd,8500}]</t>
  </si>
  <si>
    <t>关卡71BOSS1</t>
  </si>
  <si>
    <t>[{cd,3000},{hp,966000},{atk,258},{spd,8500}]</t>
  </si>
  <si>
    <t>关卡71BOSS2</t>
  </si>
  <si>
    <t>[{cd,3000},{hp,1288000},{atk,515},{spd,8500}]</t>
  </si>
  <si>
    <t>关卡72怪物1</t>
  </si>
  <si>
    <t>[{cd,3000},{hp,16900},{atk,105},{spd,8500}]</t>
  </si>
  <si>
    <t>关卡72怪物2</t>
  </si>
  <si>
    <t>[{cd,3000},{hp,20280},{atk,126},{spd,8500}]</t>
  </si>
  <si>
    <t>关卡72怪物3</t>
  </si>
  <si>
    <t>[{cd,3000},{hp,25350},{atk,158},{spd,8500}]</t>
  </si>
  <si>
    <t>关卡72BOSS1</t>
  </si>
  <si>
    <t>[{cd,3000},{hp,1014000},{atk,263},{spd,8500}]</t>
  </si>
  <si>
    <t>关卡72BOSS2</t>
  </si>
  <si>
    <t>[{cd,3000},{hp,1352000},{atk,525},{spd,8500}]</t>
  </si>
  <si>
    <t>关卡73怪物1</t>
  </si>
  <si>
    <t>[{cd,3000},{hp,17700},{atk,107},{spd,8500}]</t>
  </si>
  <si>
    <t>关卡73怪物2</t>
  </si>
  <si>
    <t>[{cd,3000},{hp,21240},{atk,128},{spd,8500}]</t>
  </si>
  <si>
    <t>关卡73怪物3</t>
  </si>
  <si>
    <t>[{cd,3000},{hp,26550},{atk,161},{spd,8500}]</t>
  </si>
  <si>
    <t>关卡73BOSS1</t>
  </si>
  <si>
    <t>[{cd,3000},{hp,1062000},{atk,268},{spd,8500}]</t>
  </si>
  <si>
    <t>关卡73BOSS2</t>
  </si>
  <si>
    <t>[{cd,3000},{hp,1416000},{atk,535},{spd,8500}]</t>
  </si>
  <si>
    <t>关卡74怪物1</t>
  </si>
  <si>
    <t>[{cd,3000},{hp,18500},{atk,109},{spd,8500}]</t>
  </si>
  <si>
    <t>关卡74怪物2</t>
  </si>
  <si>
    <t>[{cd,3000},{hp,22200},{atk,131},{spd,8500}]</t>
  </si>
  <si>
    <t>关卡74怪物3</t>
  </si>
  <si>
    <t>[{cd,3000},{hp,27750},{atk,164},{spd,8500}]</t>
  </si>
  <si>
    <t>关卡74BOSS1</t>
  </si>
  <si>
    <t>[{cd,3000},{hp,1110000},{atk,273},{spd,8500}]</t>
  </si>
  <si>
    <t>关卡74BOSS2</t>
  </si>
  <si>
    <t>[{cd,3000},{hp,1480000},{atk,545},{spd,8500}]</t>
  </si>
  <si>
    <t>关卡75怪物1</t>
  </si>
  <si>
    <t>[{cd,3000},{hp,19500},{atk,120},{spd,8500}]</t>
  </si>
  <si>
    <t>关卡75怪物2</t>
  </si>
  <si>
    <t>[{cd,3000},{hp,23400},{atk,144},{spd,8500}]</t>
  </si>
  <si>
    <t>关卡75怪物3</t>
  </si>
  <si>
    <t>[{cd,3000},{hp,29250},{atk,180},{spd,8500}]</t>
  </si>
  <si>
    <t>关卡75BOSS1</t>
  </si>
  <si>
    <t>[{cd,3000},{hp,1170000},{atk,300},{spd,8500}]</t>
  </si>
  <si>
    <t>关卡75BOSS2</t>
  </si>
  <si>
    <t>[{cd,3000},{hp,1560000},{atk,600},{spd,8500}]</t>
  </si>
  <si>
    <t>[{cd,3000},{hp,16500},{atk,111},{spd,8500}]</t>
  </si>
  <si>
    <t>[{cd,3000},{hp,19800},{atk,133},{spd,8500}]</t>
  </si>
  <si>
    <t>[{cd,3000},{hp,24750},{atk,167},{spd,8500}]</t>
  </si>
  <si>
    <t>[{cd,3000},{hp,990000},{atk,278},{spd,8500}]</t>
  </si>
  <si>
    <t>[{cd,3000},{hp,1320000},{atk,555},{spd,8500}]</t>
  </si>
  <si>
    <t>[{cd,3000},{hp,16900},{atk,122},{spd,8500}]</t>
  </si>
  <si>
    <t>[{cd,3000},{hp,20280},{atk,146},{spd,8500}]</t>
  </si>
  <si>
    <t>[{cd,3000},{hp,25350},{atk,183},{spd,8500}]</t>
  </si>
  <si>
    <t>[{cd,3000},{hp,1014000},{atk,305},{spd,8500}]</t>
  </si>
  <si>
    <t>[{cd,3000},{hp,1352000},{atk,610},{spd,8500}]</t>
  </si>
  <si>
    <t>[{cd,3000},{hp,17500},{atk,113},{spd,8500}]</t>
  </si>
  <si>
    <t>[{cd,3000},{hp,21000},{atk,136},{spd,8500}]</t>
  </si>
  <si>
    <t>[{cd,3000},{hp,26250},{atk,170},{spd,8500}]</t>
  </si>
  <si>
    <t>[{cd,3000},{hp,1050000},{atk,283},{spd,8500}]</t>
  </si>
  <si>
    <t>[{cd,3000},{hp,1400000},{atk,565},{spd,8500}]</t>
  </si>
  <si>
    <t>[{cd,3000},{hp,18300},{atk,124},{spd,8500}]</t>
  </si>
  <si>
    <t>[{cd,3000},{hp,21960},{atk,149},{spd,8500}]</t>
  </si>
  <si>
    <t>[{cd,3000},{hp,27450},{atk,186},{spd,8500}]</t>
  </si>
  <si>
    <t>[{cd,3000},{hp,1098000},{atk,310},{spd,8500}]</t>
  </si>
  <si>
    <t>[{cd,3000},{hp,1464000},{atk,620},{spd,8500}]</t>
  </si>
  <si>
    <t>[{cd,3000},{hp,19000},{atk,130},{spd,8500}]</t>
  </si>
  <si>
    <t>[{cd,3000},{hp,22800},{atk,156},{spd,8500}]</t>
  </si>
  <si>
    <t>[{cd,3000},{hp,28500},{atk,195},{spd,8500}]</t>
  </si>
  <si>
    <t>[{cd,3000},{hp,1140000},{atk,325},{spd,8500}]</t>
  </si>
  <si>
    <t>[{cd,3000},{hp,1520000},{atk,650},{spd,8500}]</t>
  </si>
  <si>
    <t>[{cd,3000},{hp,18500},{atk,126},{spd,8500}]</t>
  </si>
  <si>
    <t>[{cd,3000},{hp,22200},{atk,151},{spd,8500}]</t>
  </si>
  <si>
    <t>[{cd,3000},{hp,27750},{atk,189},{spd,8500}]</t>
  </si>
  <si>
    <t>[{cd,3000},{hp,1110000},{atk,315},{spd,8500}]</t>
  </si>
  <si>
    <t>[{cd,3000},{hp,1480000},{atk,630},{spd,8500}]</t>
  </si>
  <si>
    <t>[{cd,3000},{hp,18900},{atk,128},{spd,8500}]</t>
  </si>
  <si>
    <t>[{cd,3000},{hp,22680},{atk,154},{spd,8500}]</t>
  </si>
  <si>
    <t>[{cd,3000},{hp,28350},{atk,192},{spd,8500}]</t>
  </si>
  <si>
    <t>[{cd,3000},{hp,1134000},{atk,320},{spd,8500}]</t>
  </si>
  <si>
    <t>[{cd,3000},{hp,1512000},{atk,640},{spd,8500}]</t>
  </si>
  <si>
    <t>[{cd,3000},{hp,19500},{atk,130},{spd,8500}]</t>
  </si>
  <si>
    <t>[{cd,3000},{hp,23400},{atk,156},{spd,8500}]</t>
  </si>
  <si>
    <t>[{cd,3000},{hp,29250},{atk,195},{spd,8500}]</t>
  </si>
  <si>
    <t>[{cd,3000},{hp,1170000},{atk,325},{spd,8500}]</t>
  </si>
  <si>
    <t>[{cd,3000},{hp,1560000},{atk,650},{spd,8500}]</t>
  </si>
  <si>
    <t>[{cd,3000},{hp,20300},{atk,132},{spd,8500}]</t>
  </si>
  <si>
    <t>[{cd,3000},{hp,24360},{atk,158},{spd,8500}]</t>
  </si>
  <si>
    <t>[{cd,3000},{hp,30450},{atk,198},{spd,8500}]</t>
  </si>
  <si>
    <t>[{cd,3000},{hp,1218000},{atk,330},{spd,8500}]</t>
  </si>
  <si>
    <t>[{cd,3000},{hp,1624000},{atk,660},{spd,8500}]</t>
  </si>
  <si>
    <t>[{cd,3000},{hp,21000},{atk,140},{spd,8500}]</t>
  </si>
  <si>
    <t>[{cd,3000},{hp,25200},{atk,168},{spd,8500}]</t>
  </si>
  <si>
    <t>[{cd,3000},{hp,31500},{atk,210},{spd,8500}]</t>
  </si>
  <si>
    <t>[{cd,3000},{hp,1260000},{atk,350},{spd,8500}]</t>
  </si>
  <si>
    <t>[{cd,3000},{hp,1680000},{atk,700},{spd,8500}]</t>
  </si>
  <si>
    <t>[{cd,3000},{hp,20500},{atk,134},{spd,8500}]</t>
  </si>
  <si>
    <t>[{cd,3000},{hp,24600},{atk,161},{spd,8500}]</t>
  </si>
  <si>
    <t>[{cd,3000},{hp,30750},{atk,201},{spd,8500}]</t>
  </si>
  <si>
    <t>[{cd,3000},{hp,1230000},{atk,335},{spd,8500}]</t>
  </si>
  <si>
    <t>[{cd,3000},{hp,1640000},{atk,670},{spd,8500}]</t>
  </si>
  <si>
    <t>[{cd,3000},{hp,20900},{atk,136},{spd,8500}]</t>
  </si>
  <si>
    <t>[{cd,3000},{hp,25080},{atk,163},{spd,8500}]</t>
  </si>
  <si>
    <t>[{cd,3000},{hp,31350},{atk,204},{spd,8500}]</t>
  </si>
  <si>
    <t>[{cd,3000},{hp,1254000},{atk,340},{spd,8500}]</t>
  </si>
  <si>
    <t>[{cd,3000},{hp,1672000},{atk,680},{spd,8500}]</t>
  </si>
  <si>
    <t>[{cd,3000},{hp,21500},{atk,138},{spd,8500}]</t>
  </si>
  <si>
    <t>[{cd,3000},{hp,25800},{atk,166},{spd,8500}]</t>
  </si>
  <si>
    <t>[{cd,3000},{hp,32250},{atk,207},{spd,8500}]</t>
  </si>
  <si>
    <t>[{cd,3000},{hp,1290000},{atk,345},{spd,8500}]</t>
  </si>
  <si>
    <t>[{cd,3000},{hp,1720000},{atk,690},{spd,8500}]</t>
  </si>
  <si>
    <t>[{cd,3000},{hp,22300},{atk,140},{spd,8500}]</t>
  </si>
  <si>
    <t>[{cd,3000},{hp,26760},{atk,168},{spd,8500}]</t>
  </si>
  <si>
    <t>[{cd,3000},{hp,33450},{atk,210},{spd,8500}]</t>
  </si>
  <si>
    <t>[{cd,3000},{hp,1338000},{atk,350},{spd,8500}]</t>
  </si>
  <si>
    <t>[{cd,3000},{hp,1784000},{atk,700},{spd,8500}]</t>
  </si>
  <si>
    <t>[{cd,3000},{hp,23000},{atk,150},{spd,8500}]</t>
  </si>
  <si>
    <t>[{cd,3000},{hp,27600},{atk,180},{spd,8500}]</t>
  </si>
  <si>
    <t>[{cd,3000},{hp,34500},{atk,225},{spd,8500}]</t>
  </si>
  <si>
    <t>[{cd,3000},{hp,1380000},{atk,375},{spd,8500}]</t>
  </si>
  <si>
    <t>[{cd,3000},{hp,1840000},{atk,750},{spd,8500}]</t>
  </si>
  <si>
    <t>[{cd,3000},{hp,22600},{atk,142},{spd,8500}]</t>
  </si>
  <si>
    <t>[{cd,3000},{hp,27120},{atk,170},{spd,8500},{downUnderPhAtk,5000}]</t>
  </si>
  <si>
    <t>[{cd,3000},{hp,33900},{atk,213},{spd,8500}]</t>
  </si>
  <si>
    <t>[{cd,3000},{hp,1356000},{atk,355},{spd,8500},{downUnderPhAtk,5000}]</t>
  </si>
  <si>
    <t>[{cd,3000},{hp,1808000},{atk,710},{spd,8500},{downUnderPhAtk,5000}]</t>
  </si>
  <si>
    <t>[{cd,3000},{hp,23200},{atk,144},{spd,8500}]</t>
  </si>
  <si>
    <t>[{cd,3000},{hp,27840},{atk,173},{spd,8500}]</t>
  </si>
  <si>
    <t>[{cd,3000},{hp,34800},{atk,216},{spd,8500}]</t>
  </si>
  <si>
    <t>[{cd,3000},{hp,1392000},{atk,360},{spd,8500}]</t>
  </si>
  <si>
    <t>[{cd,3000},{hp,1856000},{atk,720},{spd,8500}]</t>
  </si>
  <si>
    <t>[{cd,3000},{hp,24100},{atk,146},{spd,8500}]</t>
  </si>
  <si>
    <t>[{cd,3000},{hp,28920},{atk,175},{spd,8500},{downUnderPhAtk,5000}]</t>
  </si>
  <si>
    <t>[{cd,3000},{hp,36150},{atk,219},{spd,8500}]</t>
  </si>
  <si>
    <t>[{cd,3000},{hp,1446000},{atk,365},{spd,8500},{downUnderPhAtk,5000}]</t>
  </si>
  <si>
    <t>[{cd,3000},{hp,1928000},{atk,730},{spd,8500},{downUnderPhAtk,5000}]</t>
  </si>
  <si>
    <t>[{cd,3000},{hp,25300},{atk,148},{spd,8500}]</t>
  </si>
  <si>
    <t>[{cd,3000},{hp,30360},{atk,178},{spd,8500}]</t>
  </si>
  <si>
    <t>[{cd,3000},{hp,37950},{atk,222},{spd,8500}]</t>
  </si>
  <si>
    <t>[{cd,3000},{hp,1518000},{atk,370},{spd,8500}]</t>
  </si>
  <si>
    <t>[{cd,3000},{hp,2024000},{atk,740},{spd,8500}]</t>
  </si>
  <si>
    <t>[{cd,3000},{hp,26500},{atk,160},{spd,8500}]</t>
  </si>
  <si>
    <t>[{cd,3000},{hp,31800},{atk,192},{spd,8500}]</t>
  </si>
  <si>
    <t>[{cd,3000},{hp,39750},{atk,240},{spd,8500}]</t>
  </si>
  <si>
    <t>[{cd,3000},{hp,1590000},{atk,400},{spd,8500}]</t>
  </si>
  <si>
    <t>[{cd,3000},{hp,2120000},{atk,800},{spd,8500}]</t>
  </si>
  <si>
    <t>[{cd,3000},{hp,25600},{atk,150},{spd,8500}]</t>
  </si>
  <si>
    <t>[{cd,3000},{hp,30720},{atk,180},{spd,8500}]</t>
  </si>
  <si>
    <t>[{cd,3000},{hp,38400},{atk,225},{spd,8500}]</t>
  </si>
  <si>
    <t>[{cd,3000},{hp,1536000},{atk,375},{spd,8500}]</t>
  </si>
  <si>
    <t>[{cd,3000},{hp,2048000},{atk,750},{spd,8500}]</t>
  </si>
  <si>
    <t>[{cd,3000},{hp,26200},{atk,152},{spd,8500}]</t>
  </si>
  <si>
    <t>[{cd,3000},{hp,31440},{atk,182},{spd,8500},{downUnderMagicAtk,5000}]</t>
  </si>
  <si>
    <t>[{cd,3000},{hp,39300},{atk,228},{spd,8500}]</t>
  </si>
  <si>
    <t>[{cd,3000},{hp,1572000},{atk,380},{spd,8500},{downUnderMagicAtk,5000}]</t>
  </si>
  <si>
    <t>[{cd,3000},{hp,2096000},{atk,760},{spd,8500},{downUnderMagicAtk,5000}]</t>
  </si>
  <si>
    <t>[{cd,3000},{hp,27100},{atk,154},{spd,8500}]</t>
  </si>
  <si>
    <t>[{cd,3000},{hp,32520},{atk,185},{spd,8500}]</t>
  </si>
  <si>
    <t>[{cd,3000},{hp,40650},{atk,231},{spd,8500}]</t>
  </si>
  <si>
    <t>[{cd,3000},{hp,1626000},{atk,385},{spd,8500}]</t>
  </si>
  <si>
    <t>[{cd,3000},{hp,2168000},{atk,770},{spd,8500}]</t>
  </si>
  <si>
    <t>[{cd,3000},{hp,28300},{atk,156},{spd,8500}]</t>
  </si>
  <si>
    <t>[{cd,3000},{hp,33960},{atk,187},{spd,8500},{downUnderMagicAtk,5000}]</t>
  </si>
  <si>
    <t>[{cd,3000},{hp,42450},{atk,234},{spd,8500}]</t>
  </si>
  <si>
    <t>[{cd,3000},{hp,1698000},{atk,390},{spd,8500},{downUnderMagicAtk,5000}]</t>
  </si>
  <si>
    <t>[{cd,3000},{hp,2264000},{atk,780},{spd,8500},{downUnderMagicAtk,5000}]</t>
  </si>
  <si>
    <t>[{cd,3000},{hp,30000},{atk,170},{spd,8500}]</t>
  </si>
  <si>
    <t>[{cd,3000},{hp,36000},{atk,204},{spd,8500}]</t>
  </si>
  <si>
    <t>[{cd,3000},{hp,45000},{atk,255},{spd,8500}]</t>
  </si>
  <si>
    <t>[{cd,3000},{hp,1800000},{atk,425},{spd,8500}]</t>
  </si>
  <si>
    <t>[{cd,3000},{hp,2400000},{atk,850},{spd,8500}]</t>
  </si>
  <si>
    <t>[{cd,3000},{hp,28700},{atk,160},{spd,8500},{downUnderPhAtk,5000}]</t>
  </si>
  <si>
    <t>[{cd,3000},{hp,34440},{atk,192},{spd,20000}]</t>
  </si>
  <si>
    <t>[{cd,3000},{hp,43050},{atk,240},{spd,8500}]</t>
  </si>
  <si>
    <t>[{cd,3000},{hp,1722000},{atk,400},{spd,8500},{downUnderPhAtk,5000}]</t>
  </si>
  <si>
    <t>[{cd,3000},{hp,2296000},{atk,800},{spd,8500},{downUnderPhAtk,5000}]</t>
  </si>
  <si>
    <t>[{cd,3000},{hp,29500},{atk,164},{spd,8500}]</t>
  </si>
  <si>
    <t>[{cd,3000},{hp,35400},{atk,197},{spd,8500},{downUnderMagicAtk,5000}]</t>
  </si>
  <si>
    <t>[{cd,3000},{hp,44250},{atk,246},{spd,8500}]</t>
  </si>
  <si>
    <t>[{cd,3000},{hp,1770000},{atk,410},{spd,8500},{downUnderMagicAtk,5000}]</t>
  </si>
  <si>
    <t>[{cd,3000},{hp,2360000},{atk,820},{spd,8500},{downUnderMagicAtk,5000}]</t>
  </si>
  <si>
    <t>[{cd,3000},{hp,30700},{atk,168},{spd,8500},{downUnderMagicAtk,5000}]</t>
  </si>
  <si>
    <t>[{cd,3000},{hp,36840},{atk,202},{spd,20000}]</t>
  </si>
  <si>
    <t>[{cd,3000},{hp,46050},{atk,252},{spd,8500}]</t>
  </si>
  <si>
    <t>[{cd,3000},{hp,1842000},{atk,420},{spd,8500},{downUnderMagicAtk,5000}]</t>
  </si>
  <si>
    <t>[{cd,3000},{hp,2456000},{atk,840},{spd,8500},{downUnderMagicAtk,5000}]</t>
  </si>
  <si>
    <t>[{cd,3000},{hp,32400},{atk,200},{spd,8500}]</t>
  </si>
  <si>
    <t>[{cd,3000},{hp,38880},{atk,240},{spd,8500}]</t>
  </si>
  <si>
    <t>[{cd,3000},{hp,48600},{atk,300},{spd,8500}]</t>
  </si>
  <si>
    <t>[{cd,3000},{hp,1944000},{atk,500},{spd,8500}]</t>
  </si>
  <si>
    <t>[{cd,3000},{hp,2592000},{atk,1000},{spd,8500}]</t>
  </si>
  <si>
    <t>[{cd,3000},{hp,31100},{atk,172},{spd,8500}]</t>
  </si>
  <si>
    <t>[{cd,3000},{hp,37320},{atk,206},{spd,8500}]</t>
  </si>
  <si>
    <t>[{cd,3000},{hp,46650},{atk,258},{spd,8500}]</t>
  </si>
  <si>
    <t>[{cd,3000},{hp,1866000},{atk,430},{spd,8500}]</t>
  </si>
  <si>
    <t>[{cd,3000},{hp,2488000},{atk,860},{spd,8500}]</t>
  </si>
  <si>
    <t>[{cd,3000},{hp,31700},{atk,176},{spd,8500}]</t>
  </si>
  <si>
    <t>[{cd,3000},{hp,38040},{atk,211},{spd,8500}]</t>
  </si>
  <si>
    <t>[{cd,3000},{hp,47550},{atk,264},{spd,8500}]</t>
  </si>
  <si>
    <t>[{cd,3000},{hp,1902000},{atk,440},{spd,8500}]</t>
  </si>
  <si>
    <t>[{cd,3000},{hp,2536000},{atk,880},{spd,8500}]</t>
  </si>
  <si>
    <t>[{cd,3000},{hp,32500},{atk,180},{spd,8500},{downUnderPhAtk,5000}]</t>
  </si>
  <si>
    <t>[{cd,3000},{hp,39000},{atk,216},{spd,20000}]</t>
  </si>
  <si>
    <t>[{cd,3000},{hp,48750},{atk,270},{spd,8500}]</t>
  </si>
  <si>
    <t>[{cd,3000},{hp,1950000},{atk,450},{spd,8500},{downUnderPhAtk,5000}]</t>
  </si>
  <si>
    <t>[{cd,3000},{hp,2600000},{atk,900},{spd,8500},{downUnderPhAtk,5000}]</t>
  </si>
  <si>
    <t>[{cd,3000},{hp,33500},{atk,184},{spd,8500},{downUnderMagicAtk,5000}]</t>
  </si>
  <si>
    <t>[{cd,3000},{hp,40200},{atk,221},{spd,20000}]</t>
  </si>
  <si>
    <t>[{cd,3000},{hp,50250},{atk,276},{spd,8500}]</t>
  </si>
  <si>
    <t>[{cd,3000},{hp,2010000},{atk,460},{spd,8500},{downUnderMagicAtk,5000}]</t>
  </si>
  <si>
    <t>[{cd,3000},{hp,2680000},{atk,920},{spd,8500},{downUnderMagicAtk,5000}]</t>
  </si>
  <si>
    <t>[{cd,3000},{hp,34700},{atk,188},{spd,8500}]</t>
  </si>
  <si>
    <t>[{cd,3000},{hp,41640},{atk,226},{spd,8500}]</t>
  </si>
  <si>
    <t>[{cd,3000},{hp,52050},{atk,282},{spd,8500}]</t>
  </si>
  <si>
    <t>[{cd,3000},{hp,2082000},{atk,470},{spd,8500}]</t>
  </si>
  <si>
    <t>[{cd,3000},{hp,2776000},{atk,940},{spd,8500}]</t>
  </si>
  <si>
    <t>[{cd,3000},{hp,36400},{atk,220},{spd,8500}]</t>
  </si>
  <si>
    <t>[{cd,3000},{hp,43680},{atk,264},{spd,8500}]</t>
  </si>
  <si>
    <t>[{cd,3000},{hp,54600},{atk,330},{spd,8500}]</t>
  </si>
  <si>
    <t>[{cd,3000},{hp,2184000},{atk,550},{spd,8500}]</t>
  </si>
  <si>
    <t>[{cd,3000},{hp,2912000},{atk,1100},{spd,8500}]</t>
  </si>
  <si>
    <t>[{cd,3000},{hp,35100},{atk,192},{spd,8500}]</t>
  </si>
  <si>
    <t>[{cd,3000},{hp,42120},{atk,230},{spd,8500}]</t>
  </si>
  <si>
    <t>[{cd,3000},{hp,52650},{atk,288},{spd,8500}]</t>
  </si>
  <si>
    <t>[{cd,3000},{hp,2106000},{atk,480},{spd,8500}]</t>
  </si>
  <si>
    <t>[{cd,3000},{hp,2808000},{atk,960},{spd,8500}]</t>
  </si>
  <si>
    <t>[{cd,3000},{hp,35700},{atk,196},{spd,8500}]</t>
  </si>
  <si>
    <t>[{cd,3000},{hp,42840},{atk,235},{spd,8500}]</t>
  </si>
  <si>
    <t>[{cd,3000},{hp,53550},{atk,294},{spd,8500}]</t>
  </si>
  <si>
    <t>[{cd,3000},{hp,2142000},{atk,490},{spd,8500}]</t>
  </si>
  <si>
    <t>[{cd,3000},{hp,2856000},{atk,980},{spd,8500}]</t>
  </si>
  <si>
    <t>[{cd,3000},{hp,36500},{atk,200},{spd,8500}]</t>
  </si>
  <si>
    <t>[{cd,3000},{hp,43800},{atk,240},{spd,8500}]</t>
  </si>
  <si>
    <t>[{cd,3000},{hp,54750},{atk,300},{spd,8500}]</t>
  </si>
  <si>
    <t>[{cd,3000},{hp,2190000},{atk,500},{spd,8500},{downUnderMagicAtk,5000}]</t>
  </si>
  <si>
    <t>[{cd,3000},{hp,2920000},{atk,1000},{spd,8500},{downUnderMagicAtk,5000}]</t>
  </si>
  <si>
    <t>[{cd,3000},{hp,38400},{atk,240},{spd,8500}]</t>
  </si>
  <si>
    <t>[{cd,3000},{hp,46080},{atk,288},{spd,8500}]</t>
  </si>
  <si>
    <t>[{cd,3000},{hp,57600},{atk,360},{spd,8500}]</t>
  </si>
  <si>
    <t>[{cd,3000},{hp,2304000},{atk,600},{spd,8500}]</t>
  </si>
  <si>
    <t>[{cd,3000},{hp,3072000},{atk,1200},{spd,8500}]</t>
  </si>
  <si>
    <t>[{cd,3000},{hp,36900},{atk,204},{spd,8500},{downUnderPhAtk,5000}]</t>
  </si>
  <si>
    <t>[{cd,3000},{hp,44280},{atk,245},{spd,20000}]</t>
  </si>
  <si>
    <t>[{cd,3000},{hp,55350},{atk,306},{spd,8500}]</t>
  </si>
  <si>
    <t>[{cd,3000},{hp,2214000},{atk,510},{spd,8500},{downUnderPhAtk,5000}]</t>
  </si>
  <si>
    <t>[{cd,3000},{hp,2952000},{atk,1020},{spd,8500},{downUnderPhAtk,5000}]</t>
  </si>
  <si>
    <t>[{cd,3000},{hp,37500},{atk,208},{spd,8500}]</t>
  </si>
  <si>
    <t>[{cd,3000},{hp,45000},{atk,250},{spd,8500},{downUnderMagicAtk,5000}]</t>
  </si>
  <si>
    <t>[{cd,3000},{hp,56250},{atk,312},{spd,8500}]</t>
  </si>
  <si>
    <t>[{cd,3000},{hp,2250000},{atk,520},{spd,8500},{downUnderMagicAtk,5000}]</t>
  </si>
  <si>
    <t>[{cd,3000},{hp,3000000},{atk,1040},{spd,8500},{downUnderMagicAtk,5000}]</t>
  </si>
  <si>
    <t>[{cd,3000},{hp,38300},{atk,212},{spd,8500}]</t>
  </si>
  <si>
    <t>[{cd,3000},{hp,45960},{atk,254},{spd,8500},{downUnderMagicAtk,5000}]</t>
  </si>
  <si>
    <t>[{cd,3000},{hp,57450},{atk,318},{spd,8500}]</t>
  </si>
  <si>
    <t>[{cd,3000},{hp,2298000},{atk,530},{spd,8500},{downUnderMagicAtk,5000}]</t>
  </si>
  <si>
    <t>[{cd,3000},{hp,3064000},{atk,1060},{spd,8500},{downUnderMagicAtk,5000}]</t>
  </si>
  <si>
    <t>[{cd,3000},{hp,39500},{atk,216},{spd,8500},{downUnderMagicAtk,5000}]</t>
  </si>
  <si>
    <t>[{cd,3000},{hp,47400},{atk,259},{spd,20000}]</t>
  </si>
  <si>
    <t>[{cd,3000},{hp,59250},{atk,324},{spd,8500}]</t>
  </si>
  <si>
    <t>[{cd,3000},{hp,2370000},{atk,540},{spd,8500},{downUnderMagicAtk,5000}]</t>
  </si>
  <si>
    <t>[{cd,3000},{hp,3160000},{atk,1080},{spd,8500},{downUnderMagicAtk,5000}]</t>
  </si>
  <si>
    <t>[{cd,3000},{hp,41100},{atk,220},{spd,8500}]</t>
  </si>
  <si>
    <t>[{cd,3000},{hp,49320},{atk,264},{spd,8500}]</t>
  </si>
  <si>
    <t>[{cd,3000},{hp,61650},{atk,330},{spd,8500}]</t>
  </si>
  <si>
    <t>[{cd,3000},{hp,2466000},{atk,550},{spd,8500}]</t>
  </si>
  <si>
    <t>[{cd,3000},{hp,3288000},{atk,1100},{spd,8500}]</t>
  </si>
  <si>
    <t>[{cd,3000},{hp,42400},{atk,260},{spd,8500}]</t>
  </si>
  <si>
    <t>[{cd,3000},{hp,50880},{atk,312},{spd,8500}]</t>
  </si>
  <si>
    <t>[{cd,3000},{hp,63600},{atk,390},{spd,8500}]</t>
  </si>
  <si>
    <t>[{cd,3000},{hp,2544000},{atk,650},{spd,8500}]</t>
  </si>
  <si>
    <t>[{cd,3000},{hp,3392000},{atk,1300},{spd,8500}]</t>
  </si>
  <si>
    <t>[{cd,3000},{hp,41500},{atk,226},{spd,8500},{downUnderPhAtk,5000}]</t>
  </si>
  <si>
    <t>[{cd,3000},{hp,49800},{atk,271},{spd,20000}]</t>
  </si>
  <si>
    <t>[{cd,3000},{hp,62250},{atk,339},{spd,8500}]</t>
  </si>
  <si>
    <t>[{cd,3000},{hp,2490000},{atk,565},{spd,8500},{downUnderPhAtk,5000}]</t>
  </si>
  <si>
    <t>[{cd,3000},{hp,3320000},{atk,1130},{spd,8500},{downUnderPhAtk,5000}]</t>
  </si>
  <si>
    <t>[{cd,3000},{hp,42100},{atk,232},{spd,8500}]</t>
  </si>
  <si>
    <t>[{cd,3000},{hp,50520},{atk,278},{spd,8500},{downUnderMagicAtk,5000}]</t>
  </si>
  <si>
    <t>[{cd,3000},{hp,63150},{atk,348},{spd,8500}]</t>
  </si>
  <si>
    <t>[{cd,3000},{hp,2526000},{atk,580},{spd,8500},{downUnderMagicAtk,5000}]</t>
  </si>
  <si>
    <t>[{cd,3000},{hp,3368000},{atk,1160},{spd,8500},{downUnderMagicAtk,5000}]</t>
  </si>
  <si>
    <t>[{cd,3000},{hp,42900},{atk,238},{spd,8500},{downUnderMagicAtk,5000}]</t>
  </si>
  <si>
    <t>[{cd,3000},{hp,51480},{atk,286},{spd,20000}]</t>
  </si>
  <si>
    <t>[{cd,3000},{hp,64350},{atk,357},{spd,8500}]</t>
  </si>
  <si>
    <t>[{cd,3000},{hp,2574000},{atk,595},{spd,8500},{downUnderMagicAtk,5000}]</t>
  </si>
  <si>
    <t>[{cd,3000},{hp,3432000},{atk,1190},{spd,8500},{downUnderMagicAtk,5000}]</t>
  </si>
  <si>
    <t>[{cd,3000},{hp,44400},{atk,280},{spd,8500}]</t>
  </si>
  <si>
    <t>[{cd,3000},{hp,53280},{atk,336},{spd,8500}]</t>
  </si>
  <si>
    <t>[{cd,3000},{hp,66600},{atk,420},{spd,8500}]</t>
  </si>
  <si>
    <t>[{cd,3000},{hp,2664000},{atk,700},{spd,8500}]</t>
  </si>
  <si>
    <t>[{cd,3000},{hp,3552000},{atk,1400},{spd,8500}]</t>
  </si>
  <si>
    <t>[{cd,3000},{hp,43300},{atk,244},{spd,8500}]</t>
  </si>
  <si>
    <t>[{cd,3000},{hp,51960},{atk,293},{spd,8500}]</t>
  </si>
  <si>
    <t>[{cd,3000},{hp,64950},{atk,366},{spd,8500}]</t>
  </si>
  <si>
    <t>[{cd,3000},{hp,2598000},{atk,610},{spd,8500}]</t>
  </si>
  <si>
    <t>[{cd,3000},{hp,3464000},{atk,1220},{spd,8500}]</t>
  </si>
  <si>
    <t>[{cd,3000},{hp,43900},{atk,250},{spd,8500}]</t>
  </si>
  <si>
    <t>[{cd,3000},{hp,52680},{atk,300},{spd,8500}]</t>
  </si>
  <si>
    <t>[{cd,3000},{hp,65850},{atk,375},{spd,8500}]</t>
  </si>
  <si>
    <t>[{cd,3000},{hp,2634000},{atk,625},{spd,8500}]</t>
  </si>
  <si>
    <t>[{cd,3000},{hp,3512000},{atk,1250},{spd,8500}]</t>
  </si>
  <si>
    <t>[{cd,3000},{hp,44700},{atk,256},{spd,8500},{downUnderPhAtk,5000}]</t>
  </si>
  <si>
    <t>[{cd,3000},{hp,53640},{atk,307},{spd,20000}]</t>
  </si>
  <si>
    <t>[{cd,3000},{hp,67050},{atk,384},{spd,8500}]</t>
  </si>
  <si>
    <t>[{cd,3000},{hp,2682000},{atk,640},{spd,8500},{downUnderPhAtk,5000}]</t>
  </si>
  <si>
    <t>[{cd,3000},{hp,3576000},{atk,1280},{spd,8500},{downUnderPhAtk,5000}]</t>
  </si>
  <si>
    <t>[{cd,3000},{hp,45900},{atk,262},{spd,8500},{downUnderMagicAtk,5000}]</t>
  </si>
  <si>
    <t>[{cd,3000},{hp,55080},{atk,314},{spd,20000}]</t>
  </si>
  <si>
    <t>[{cd,3000},{hp,68850},{atk,393},{spd,8500}]</t>
  </si>
  <si>
    <t>[{cd,3000},{hp,2754000},{atk,655},{spd,8500},{downUnderMagicAtk,5000}]</t>
  </si>
  <si>
    <t>[{cd,3000},{hp,3672000},{atk,1310},{spd,8500},{downUnderMagicAtk,5000}]</t>
  </si>
  <si>
    <t>[{cd,3000},{hp,47500},{atk,268},{spd,8500}]</t>
  </si>
  <si>
    <t>[{cd,3000},{hp,57000},{atk,322},{spd,8500}]</t>
  </si>
  <si>
    <t>[{cd,3000},{hp,71250},{atk,402},{spd,8500}]</t>
  </si>
  <si>
    <t>[{cd,3000},{hp,2850000},{atk,670},{spd,8500}]</t>
  </si>
  <si>
    <t>[{cd,3000},{hp,3800000},{atk,1340},{spd,8500}]</t>
  </si>
  <si>
    <t>[{cd,3000},{hp,48900},{atk,300},{spd,8500}]</t>
  </si>
  <si>
    <t>[{cd,3000},{hp,58680},{atk,360},{spd,8500}]</t>
  </si>
  <si>
    <t>[{cd,3000},{hp,73350},{atk,450},{spd,8500}]</t>
  </si>
  <si>
    <t>[{cd,3000},{hp,2934000},{atk,750},{spd,8500}]</t>
  </si>
  <si>
    <t>[{cd,3000},{hp,3912000},{atk,1500},{spd,8500}]</t>
  </si>
  <si>
    <t>[{cd,3000},{hp,48100},{atk,274},{spd,8500},{firingDmgDown,5000}]</t>
  </si>
  <si>
    <t>[{cd,3000},{hp,57720},{atk,329},{spd,8500}]</t>
  </si>
  <si>
    <t>[{cd,3000},{hp,72150},{atk,411},{spd,8500}]</t>
  </si>
  <si>
    <t>[{cd,3000},{hp,2886000},{atk,685},{spd,8500},{firingDmgDown,5000}]</t>
  </si>
  <si>
    <t>[{cd,3000},{hp,3848000},{atk,1370},{spd,8500},{firingDmgDown,5000}]</t>
  </si>
  <si>
    <t>[{cd,3000},{hp,48900},{atk,280},{spd,8500}]</t>
  </si>
  <si>
    <t>[{cd,3000},{hp,58680},{atk,336},{spd,8500}]</t>
  </si>
  <si>
    <t>[{cd,3000},{hp,73350},{atk,420},{spd,8500}]</t>
  </si>
  <si>
    <t>[{cd,3000},{hp,2934000},{atk,700},{spd,8500}]</t>
  </si>
  <si>
    <t>[{cd,3000},{hp,3912000},{atk,1400},{spd,8500}]</t>
  </si>
  <si>
    <t>[{cd,3000},{hp,49900},{atk,286},{spd,8500}]</t>
  </si>
  <si>
    <t>[{cd,3000},{hp,59880},{atk,343},{spd,8500}]</t>
  </si>
  <si>
    <t>[{cd,3000},{hp,74850},{atk,429},{spd,8500}]</t>
  </si>
  <si>
    <t>[{cd,3000},{hp,2994000},{atk,715},{spd,8500}]</t>
  </si>
  <si>
    <t>[{cd,3000},{hp,3992000},{atk,1430},{spd,8500}]</t>
  </si>
  <si>
    <t>[{cd,3000},{hp,51400},{atk,320},{spd,8500}]</t>
  </si>
  <si>
    <t>[{cd,3000},{hp,61680},{atk,384},{spd,8500}]</t>
  </si>
  <si>
    <t>[{cd,3000},{hp,77100},{atk,480},{spd,8500}]</t>
  </si>
  <si>
    <t>[{cd,3000},{hp,3084000},{atk,800},{spd,8500}]</t>
  </si>
  <si>
    <t>[{cd,3000},{hp,4112000},{atk,1600},{spd,8500}]</t>
  </si>
  <si>
    <t>[{cd,3000},{hp,50500},{atk,292},{spd,8500}]</t>
  </si>
  <si>
    <t>[{cd,3000},{hp,60600},{atk,350},{spd,8500}]</t>
  </si>
  <si>
    <t>[{cd,3000},{hp,75750},{atk,438},{spd,8500}]</t>
  </si>
  <si>
    <t>[{cd,3000},{hp,3030000},{atk,730},{spd,8500}]</t>
  </si>
  <si>
    <t>[{cd,3000},{hp,4040000},{atk,1460},{spd,8500}]</t>
  </si>
  <si>
    <t>[{cd,3000},{hp,51300},{atk,298},{spd,8500}]</t>
  </si>
  <si>
    <t>[{cd,3000},{hp,61560},{atk,358},{spd,8500}]</t>
  </si>
  <si>
    <t>[{cd,3000},{hp,76950},{atk,447},{spd,8500}]</t>
  </si>
  <si>
    <t>[{cd,3000},{hp,3078000},{atk,745},{spd,8500}]</t>
  </si>
  <si>
    <t>[{cd,3000},{hp,4104000},{atk,1490},{spd,8500}]</t>
  </si>
  <si>
    <t>[{cd,3000},{hp,52300},{atk,304},{spd,8500},{downUnderPhAtk,5000}]</t>
  </si>
  <si>
    <t>[{cd,3000},{hp,62760},{atk,365},{spd,20000}]</t>
  </si>
  <si>
    <t>[{cd,3000},{hp,78450},{atk,456},{spd,8500}]</t>
  </si>
  <si>
    <t>[{cd,3000},{hp,3138000},{atk,760},{spd,8500},{downUnderPhAtk,5000}]</t>
  </si>
  <si>
    <t>[{cd,3000},{hp,4184000},{atk,1520},{spd,8500},{downUnderPhAtk,5000}]</t>
  </si>
  <si>
    <t>[{cd,3000},{hp,53500},{atk,310},{spd,8500},{downUnderMagicAtk,5000}]</t>
  </si>
  <si>
    <t>[{cd,3000},{hp,64200},{atk,372},{spd,20000}]</t>
  </si>
  <si>
    <t>[{cd,3000},{hp,80250},{atk,465},{spd,8500}]</t>
  </si>
  <si>
    <t>[{cd,3000},{hp,3210000},{atk,775},{spd,8500},{downUnderMagicAtk,5000}]</t>
  </si>
  <si>
    <t>[{cd,3000},{hp,4280000},{atk,1550},{spd,8500},{downUnderMagicAtk,5000}]</t>
  </si>
  <si>
    <t>[{cd,3000},{hp,54900},{atk,316},{spd,8500},{firingDmgDown,5000}]</t>
  </si>
  <si>
    <t>[{cd,3000},{hp,65880},{atk,379},{spd,8500}]</t>
  </si>
  <si>
    <t>[{cd,3000},{hp,82350},{atk,474},{spd,8500}]</t>
  </si>
  <si>
    <t>[{cd,3000},{hp,3294000},{atk,790},{spd,8500},{firingDmgDown,5000}]</t>
  </si>
  <si>
    <t>[{cd,3000},{hp,4392000},{atk,1580},{spd,8500},{firingDmgDown,5000}]</t>
  </si>
  <si>
    <t>[{cd,3000},{hp,56400},{atk,340},{spd,8500}]</t>
  </si>
  <si>
    <t>[{cd,3000},{hp,67680},{atk,408},{spd,8500}]</t>
  </si>
  <si>
    <t>[{cd,3000},{hp,84600},{atk,510},{spd,8500}]</t>
  </si>
  <si>
    <t>[{cd,3000},{hp,3384000},{atk,850},{spd,8500}]</t>
  </si>
  <si>
    <t>[{cd,3000},{hp,4512000},{atk,1700},{spd,8500}]</t>
  </si>
  <si>
    <t>[{cd,3000},{hp,55500},{atk,324},{spd,8500}]</t>
  </si>
  <si>
    <t>[{cd,3000},{hp,66600},{atk,389},{spd,8500}]</t>
  </si>
  <si>
    <t>[{cd,3000},{hp,83250},{atk,486},{spd,8500}]</t>
  </si>
  <si>
    <t>[{cd,3000},{hp,3330000},{atk,810},{spd,8500}]</t>
  </si>
  <si>
    <t>[{cd,3000},{hp,4440000},{atk,1620},{spd,8500}]</t>
  </si>
  <si>
    <t>[{cd,3000},{hp,56300},{atk,332},{spd,8500},{downUnderPhAtk,5000}]</t>
  </si>
  <si>
    <t>[{cd,3000},{hp,67560},{atk,398},{spd,8500},{downUnderMagicAtk,5000}]</t>
  </si>
  <si>
    <t>[{cd,3000},{hp,84450},{atk,498},{spd,8500}]</t>
  </si>
  <si>
    <t>[{cd,3000},{hp,3378000},{atk,830},{spd,8500},{downUnderPhAtk,5000}]</t>
  </si>
  <si>
    <t>[{cd,3000},{hp,4504000},{atk,1660},{spd,8500},{downUnderPhAtk,5000}]</t>
  </si>
  <si>
    <t>[{cd,3000},{hp,57300},{atk,340},{spd,8500}]</t>
  </si>
  <si>
    <t>[{cd,3000},{hp,68760},{atk,408},{spd,8500}]</t>
  </si>
  <si>
    <t>[{cd,3000},{hp,85950},{atk,510},{spd,8500}]</t>
  </si>
  <si>
    <t>[{cd,3000},{hp,3438000},{atk,850},{spd,8500}]</t>
  </si>
  <si>
    <t>[{cd,3000},{hp,4584000},{atk,1700},{spd,8500}]</t>
  </si>
  <si>
    <t>[{cd,3000},{hp,59300},{atk,380},{spd,8500}]</t>
  </si>
  <si>
    <t>[{cd,3000},{hp,71160},{atk,456},{spd,8500}]</t>
  </si>
  <si>
    <t>[{cd,3000},{hp,88950},{atk,570},{spd,8500}]</t>
  </si>
  <si>
    <t>[{cd,3000},{hp,3558000},{atk,950},{spd,8500}]</t>
  </si>
  <si>
    <t>[{cd,3000},{hp,4744000},{atk,1900},{spd,8500}]</t>
  </si>
  <si>
    <t>[{cd,3000},{hp,57900},{atk,348},{spd,8500},{downUnderPhAtk,5000}]</t>
  </si>
  <si>
    <t>[{cd,3000},{hp,69480},{atk,418},{spd,20000}]</t>
  </si>
  <si>
    <t>[{cd,3000},{hp,86850},{atk,522},{spd,20000}]</t>
  </si>
  <si>
    <t>[{cd,3000},{hp,3474000},{atk,870},{spd,8500},{downUnderPhAtk,5000}]</t>
  </si>
  <si>
    <t>[{cd,3000},{hp,4632000},{atk,1740},{spd,8500},{downUnderPhAtk,5000}]</t>
  </si>
  <si>
    <t>[{cd,3000},{hp,58700},{atk,356},{spd,8500},{firingDmgDown,5000}]</t>
  </si>
  <si>
    <t>[{cd,3000},{hp,70440},{atk,427},{spd,8500},{downUnderMagicAtk,5000}]</t>
  </si>
  <si>
    <t>[{cd,3000},{hp,88050},{atk,534},{spd,8500}]</t>
  </si>
  <si>
    <t>[{cd,3000},{hp,3522000},{atk,890},{spd,8500},{firingDmgDown,5000}]</t>
  </si>
  <si>
    <t>[{cd,3000},{hp,4696000},{atk,1780},{spd,8500},{firingDmgDown,5000}]</t>
  </si>
  <si>
    <t>[{cd,3000},{hp,59700},{atk,364},{spd,8500}]</t>
  </si>
  <si>
    <t>[{cd,3000},{hp,71640},{atk,437},{spd,8500}]</t>
  </si>
  <si>
    <t>[{cd,3000},{hp,89550},{atk,546},{spd,8500}]</t>
  </si>
  <si>
    <t>[{cd,3000},{hp,3582000},{atk,910},{spd,8500}]</t>
  </si>
  <si>
    <t>[{cd,3000},{hp,4776000},{atk,1820},{spd,8500}]</t>
  </si>
  <si>
    <t>[{cd,3000},{hp,60900},{atk,372},{spd,8500},{firingDmgDown,5000}]</t>
  </si>
  <si>
    <t>[{cd,3000},{hp,73080},{atk,446},{spd,8500}]</t>
  </si>
  <si>
    <t>[{cd,3000},{hp,91350},{atk,558},{spd,8500}]</t>
  </si>
  <si>
    <t>[{cd,3000},{hp,3654000},{atk,930},{spd,8500},{firingDmgDown,5000}]</t>
  </si>
  <si>
    <t>[{cd,3000},{hp,4872000},{atk,1860},{spd,8500},{firingDmgDown,5000}]</t>
  </si>
  <si>
    <t>[{cd,3000},{hp,62300},{atk,380},{spd,8500}]</t>
  </si>
  <si>
    <t>[{cd,3000},{hp,74760},{atk,456},{spd,8500}]</t>
  </si>
  <si>
    <t>[{cd,3000},{hp,93450},{atk,570},{spd,8500}]</t>
  </si>
  <si>
    <t>[{cd,3000},{hp,3738000},{atk,950},{spd,8500}]</t>
  </si>
  <si>
    <t>[{cd,3000},{hp,4984000},{atk,1900},{spd,8500}]</t>
  </si>
  <si>
    <t>[{cd,3000},{hp,64300},{atk,420},{spd,8500}]</t>
  </si>
  <si>
    <t>[{cd,3000},{hp,77160},{atk,504},{spd,8500}]</t>
  </si>
  <si>
    <t>[{cd,3000},{hp,96450},{atk,630},{spd,8500}]</t>
  </si>
  <si>
    <t>[{cd,3000},{hp,3858000},{atk,1050},{spd,8500}]</t>
  </si>
  <si>
    <t>[{cd,3000},{hp,5144000},{atk,2100},{spd,8500}]</t>
  </si>
  <si>
    <t>[{cd,3000},{hp,62900},{atk,388},{spd,8500}]</t>
  </si>
  <si>
    <t>[{cd,3000},{hp,75480},{atk,466},{spd,8500}]</t>
  </si>
  <si>
    <t>[{cd,3000},{hp,94350},{atk,582},{spd,8500},{downCritDmg,5000},{resRate,2000}]</t>
  </si>
  <si>
    <t>[{cd,3000},{hp,3774000},{atk,970},{spd,8500}]</t>
  </si>
  <si>
    <t>[{cd,3000},{hp,5032000},{atk,1940},{spd,8500}]</t>
  </si>
  <si>
    <t>[{cd,3000},{hp,63700},{atk,396},{spd,8500},{downUnderPhAtk,5000}]</t>
  </si>
  <si>
    <t>[{cd,3000},{hp,76440},{atk,475},{spd,8500},{downUnderMagicAtk,5000}]</t>
  </si>
  <si>
    <t>[{cd,3000},{hp,95550},{atk,594},{spd,8500}]</t>
  </si>
  <si>
    <t>[{cd,3000},{hp,3822000},{atk,990},{spd,8500},{downUnderPhAtk,5000}]</t>
  </si>
  <si>
    <t>[{cd,3000},{hp,5096000},{atk,1980},{spd,8500},{downUnderPhAtk,5000}]</t>
  </si>
  <si>
    <t>[{cd,3000},{hp,64700},{atk,404},{spd,8500}]</t>
  </si>
  <si>
    <t>[{cd,3000},{hp,77640},{atk,485},{spd,8500}]</t>
  </si>
  <si>
    <t>[{cd,3000},{hp,97050},{atk,606},{spd,8500}]</t>
  </si>
  <si>
    <t>[{cd,3000},{hp,3882000},{atk,1010},{spd,8500}]</t>
  </si>
  <si>
    <t>[{cd,3000},{hp,5176000},{atk,2020},{spd,8500}]</t>
  </si>
  <si>
    <t>[{cd,3000},{hp,66700},{atk,460},{spd,8500}]</t>
  </si>
  <si>
    <t>[{cd,3000},{hp,80040},{atk,552},{spd,8500}]</t>
  </si>
  <si>
    <t>[{cd,3000},{hp,100050},{atk,690},{spd,8500}]</t>
  </si>
  <si>
    <t>[{cd,3000},{hp,4002000},{atk,1150},{spd,8500}]</t>
  </si>
  <si>
    <t>[{cd,3000},{hp,5336000},{atk,2300},{spd,8500}]</t>
  </si>
  <si>
    <t>[{cd,3000},{hp,65300},{atk,412},{spd,8500},{downCritDmg,5000},{resRate,2000}]</t>
  </si>
  <si>
    <t>[{cd,3000},{hp,78360},{atk,494},{spd,8500},{miss,1500}]</t>
  </si>
  <si>
    <t>[{cd,3000},{hp,97950},{atk,618},{spd,8500},{miss,1500}]</t>
  </si>
  <si>
    <t>[{cd,3000},{hp,3918000},{atk,1030},{spd,8500},{downCritDmg,5000},{resRate,2000}]</t>
  </si>
  <si>
    <t>[{cd,3000},{hp,5224000},{atk,2060},{spd,8500},{downCritDmg,5000},{resRate,2000}]</t>
  </si>
  <si>
    <t>[{cd,3000},{hp,66100},{atk,420},{spd,8500},{firingDmgDown,5000}]</t>
  </si>
  <si>
    <t>[{cd,3000},{hp,79320},{atk,504},{spd,8500},{downUnderMagicAtk,5000}]</t>
  </si>
  <si>
    <t>[{cd,3000},{hp,99150},{atk,630},{spd,8500}]</t>
  </si>
  <si>
    <t>[{cd,3000},{hp,3966000},{atk,1050},{spd,8500},{firingDmgDown,5000}]</t>
  </si>
  <si>
    <t>[{cd,3000},{hp,5288000},{atk,2100},{spd,8500},{firingDmgDown,5000}]</t>
  </si>
  <si>
    <t>[{cd,3000},{hp,67100},{atk,428},{spd,8500}]</t>
  </si>
  <si>
    <t>[{cd,3000},{hp,80520},{atk,514},{spd,8500}]</t>
  </si>
  <si>
    <t>[{cd,3000},{hp,100650},{atk,642},{spd,8500}]</t>
  </si>
  <si>
    <t>[{cd,3000},{hp,4026000},{atk,1070},{spd,8500}]</t>
  </si>
  <si>
    <t>[{cd,3000},{hp,5368000},{atk,2140},{spd,8500}]</t>
  </si>
  <si>
    <t>[{cd,3000},{hp,68300},{atk,436},{spd,8500},{firingDmgDown,5000}]</t>
  </si>
  <si>
    <t>[{cd,3000},{hp,81960},{atk,523},{spd,8500}]</t>
  </si>
  <si>
    <t>[{cd,3000},{hp,102450},{atk,654},{spd,8500},{miss,1500}]</t>
  </si>
  <si>
    <t>[{cd,3000},{hp,4098000},{atk,1090},{spd,8500},{firingDmgDown,5000}]</t>
  </si>
  <si>
    <t>[{cd,3000},{hp,5464000},{atk,2180},{spd,8500},{firingDmgDown,5000}]</t>
  </si>
  <si>
    <t>[{cd,3000},{hp,69700},{atk,444},{spd,8500}]</t>
  </si>
  <si>
    <t>[{cd,3000},{hp,83640},{atk,533},{spd,8500}]</t>
  </si>
  <si>
    <t>[{cd,3000},{hp,104550},{atk,666},{spd,8500}]</t>
  </si>
  <si>
    <t>[{cd,3000},{hp,4182000},{atk,1110},{spd,8500}]</t>
  </si>
  <si>
    <t>[{cd,3000},{hp,5576000},{atk,2220},{spd,8500}]</t>
  </si>
  <si>
    <t>[{cd,3000},{hp,71700},{atk,500},{spd,8500}]</t>
  </si>
  <si>
    <t>[{cd,3000},{hp,86040},{atk,600},{spd,8500}]</t>
  </si>
  <si>
    <t>[{cd,3000},{hp,107550},{atk,750},{spd,8500}]</t>
  </si>
  <si>
    <t>[{cd,3000},{hp,4302000},{atk,1250},{spd,8500}]</t>
  </si>
  <si>
    <t>[{cd,3000},{hp,5736000},{atk,2500},{spd,8500}]</t>
  </si>
  <si>
    <t>[{cd,3000},{hp,70500},{atk,454},{spd,8500}]</t>
  </si>
  <si>
    <t>[{cd,3000},{hp,84600},{atk,545},{spd,8500}]</t>
  </si>
  <si>
    <t>[{cd,3000},{hp,105750},{atk,681},{spd,8500},{downCritDmg,5000},{resRate,2000}]</t>
  </si>
  <si>
    <t>[{cd,3000},{hp,4230000},{atk,1135},{spd,8500}]</t>
  </si>
  <si>
    <t>[{cd,3000},{hp,5640000},{atk,2270},{spd,8500}]</t>
  </si>
  <si>
    <t>[{cd,3000},{hp,71500},{atk,464},{spd,8500},{downUnderPhAtk,5000}]</t>
  </si>
  <si>
    <t>[{cd,3000},{hp,85800},{atk,557},{spd,8500},{downUnderMagicAtk,5000}]</t>
  </si>
  <si>
    <t>[{cd,3000},{hp,107250},{atk,696},{spd,8500}]</t>
  </si>
  <si>
    <t>[{cd,3000},{hp,4290000},{atk,1160},{spd,8500},{downUnderPhAtk,5000}]</t>
  </si>
  <si>
    <t>[{cd,3000},{hp,5720000},{atk,2320},{spd,8500},{downUnderPhAtk,5000}]</t>
  </si>
  <si>
    <t>[{cd,3000},{hp,72700},{atk,474},{spd,8500}]</t>
  </si>
  <si>
    <t>[{cd,3000},{hp,87240},{atk,569},{spd,8500}]</t>
  </si>
  <si>
    <t>[{cd,3000},{hp,109050},{atk,711},{spd,8500},{upUnderPhAtk,8000}]</t>
  </si>
  <si>
    <t>[{cd,3000},{hp,4362000},{atk,1185},{spd,8500}]</t>
  </si>
  <si>
    <t>[{cd,3000},{hp,5816000},{atk,2370},{spd,8500}]</t>
  </si>
  <si>
    <t>[{cd,3000},{hp,75200},{atk,540},{spd,8500}]</t>
  </si>
  <si>
    <t>[{cd,3000},{hp,90240},{atk,648},{spd,8500}]</t>
  </si>
  <si>
    <t>[{cd,3000},{hp,112800},{atk,810},{spd,8500}]</t>
  </si>
  <si>
    <t>[{cd,3000},{hp,4512000},{atk,1350},{spd,8500}]</t>
  </si>
  <si>
    <t>[{cd,3000},{hp,6016000},{atk,2700},{spd,8500}]</t>
  </si>
  <si>
    <t>[{cd,3000},{hp,73500},{atk,484},{spd,8500},{downCritDmg,5000},{resRate,2000}]</t>
  </si>
  <si>
    <t>[{cd,3000},{hp,88200},{atk,581},{spd,8500},{miss,1500}]</t>
  </si>
  <si>
    <t>[{cd,3000},{hp,110250},{atk,726},{spd,8500},{miss,1500}]</t>
  </si>
  <si>
    <t>[{cd,3000},{hp,4410000},{atk,1210},{spd,8500},{downCritDmg,5000},{resRate,2000}]</t>
  </si>
  <si>
    <t>[{cd,3000},{hp,5880000},{atk,2420},{spd,8500},{downCritDmg,5000},{resRate,2000}]</t>
  </si>
  <si>
    <t>[{cd,3000},{hp,74500},{atk,494},{spd,8500},{firingDmgDown,5000}]</t>
  </si>
  <si>
    <t>[{cd,3000},{hp,89400},{atk,593},{spd,8500},{downUnderMagicAtk,5000}]</t>
  </si>
  <si>
    <t>[{cd,3000},{hp,111750},{atk,741},{spd,8500}]</t>
  </si>
  <si>
    <t>[{cd,3000},{hp,4470000},{atk,1235},{spd,8500},{firingDmgDown,5000}]</t>
  </si>
  <si>
    <t>[{cd,3000},{hp,5960000},{atk,2470},{spd,8500},{firingDmgDown,5000}]</t>
  </si>
  <si>
    <t>[{cd,3000},{hp,75700},{atk,504},{spd,8500}]</t>
  </si>
  <si>
    <t>[{cd,3000},{hp,90840},{atk,605},{spd,8500}]</t>
  </si>
  <si>
    <t>[{cd,3000},{hp,113550},{atk,756},{spd,8500}]</t>
  </si>
  <si>
    <t>[{cd,3000},{hp,4542000},{atk,1260},{spd,8500}]</t>
  </si>
  <si>
    <t>[{cd,3000},{hp,6056000},{atk,2520},{spd,8500}]</t>
  </si>
  <si>
    <t>[{cd,3000},{hp,77100},{atk,514},{spd,8500},{firingDmgDown,5000}]</t>
  </si>
  <si>
    <t>[{cd,3000},{hp,92520},{atk,617},{spd,8500}]</t>
  </si>
  <si>
    <t>[{cd,3000},{hp,115650},{atk,771},{spd,8500},{miss,1500}]</t>
  </si>
  <si>
    <t>[{cd,3000},{hp,4626000},{atk,1285},{spd,8500},{firingDmgDown,5000}]</t>
  </si>
  <si>
    <t>[{cd,3000},{hp,6168000},{atk,2570},{spd,8500},{firingDmgDown,5000}]</t>
  </si>
  <si>
    <t>[{cd,3000},{hp,78700},{atk,524},{spd,8500}]</t>
  </si>
  <si>
    <t>[{cd,3000},{hp,94440},{atk,629},{spd,8500}]</t>
  </si>
  <si>
    <t>[{cd,3000},{hp,118050},{atk,786},{spd,8500},{upUnderPhAtk,8000}]</t>
  </si>
  <si>
    <t>[{cd,3000},{hp,4722000},{atk,1310},{spd,8500}]</t>
  </si>
  <si>
    <t>[{cd,3000},{hp,6296000},{atk,2620},{spd,8500}]</t>
  </si>
  <si>
    <t>[{cd,3000},{hp,81200},{atk,580},{spd,8500}]</t>
  </si>
  <si>
    <t>[{cd,3000},{hp,97440},{atk,696},{spd,8500}]</t>
  </si>
  <si>
    <t>[{cd,3000},{hp,121800},{atk,870},{spd,8500}]</t>
  </si>
  <si>
    <t>[{cd,3000},{hp,4872000},{atk,1450},{spd,8500}]</t>
  </si>
  <si>
    <t>[{cd,3000},{hp,6496000},{atk,2900},{spd,8500}]</t>
  </si>
  <si>
    <t>[{cd,3000},{hp,79500},{atk,534},{spd,8500}]</t>
  </si>
  <si>
    <t>[{cd,3000},{hp,95400},{atk,641},{spd,8500}]</t>
  </si>
  <si>
    <t>[{cd,3000},{hp,119250},{atk,801},{spd,8500},{miss,1500}]</t>
  </si>
  <si>
    <t>[{cd,3000},{hp,4770000},{atk,2003},{spd,8500}]</t>
  </si>
  <si>
    <t>[{cd,3000},{hp,6360000},{atk,4005},{spd,8500}]</t>
  </si>
  <si>
    <t>[{cd,3000},{hp,80500},{atk,544},{spd,8500}]</t>
  </si>
  <si>
    <t>[{cd,3000},{hp,96600},{atk,653},{spd,8500}]</t>
  </si>
  <si>
    <t>[{cd,3000},{hp,120750},{atk,816},{spd,8500}]</t>
  </si>
  <si>
    <t>[{cd,3000},{hp,4830000},{atk,2040},{spd,8500}]</t>
  </si>
  <si>
    <t>[{cd,3000},{hp,6440000},{atk,4080},{spd,8500}]</t>
  </si>
  <si>
    <t>[{cd,3000},{hp,81700},{atk,554},{spd,8500}]</t>
  </si>
  <si>
    <t>[{cd,3000},{hp,98040},{atk,665},{spd,8500}]</t>
  </si>
  <si>
    <t>[{cd,3000},{hp,122550},{atk,831},{spd,8500}]</t>
  </si>
  <si>
    <t>[{cd,3000},{hp,4902000},{atk,2078},{spd,8500}]</t>
  </si>
  <si>
    <t>[{cd,3000},{hp,6536000},{atk,4155},{spd,8500}]</t>
  </si>
  <si>
    <t>[{cd,3000},{hp,84200},{atk,620},{spd,8500}]</t>
  </si>
  <si>
    <t>[{cd,3000},{hp,101040},{atk,744},{spd,8500}]</t>
  </si>
  <si>
    <t>[{cd,3000},{hp,126300},{atk,930},{spd,8500}]</t>
  </si>
  <si>
    <t>[{cd,3000},{hp,5052000},{atk,2325},{spd,8500}]</t>
  </si>
  <si>
    <t>[{cd,3000},{hp,6736000},{atk,4650},{spd,8500}]</t>
  </si>
  <si>
    <t>[{cd,3000},{hp,82500},{atk,564},{spd,8500}]</t>
  </si>
  <si>
    <t>[{cd,3000},{hp,99000},{atk,677},{spd,8500}]</t>
  </si>
  <si>
    <t>[{cd,3000},{hp,123750},{atk,846},{spd,8500}]</t>
  </si>
  <si>
    <t>[{cd,3000},{hp,4950000},{atk,2115},{spd,8500}]</t>
  </si>
  <si>
    <t>[{cd,3000},{hp,6600000},{atk,4230},{spd,8500}]</t>
  </si>
  <si>
    <t>[{cd,3000},{hp,83500},{atk,574},{spd,8500}]</t>
  </si>
  <si>
    <t>[{cd,3000},{hp,100200},{atk,689},{spd,8500}]</t>
  </si>
  <si>
    <t>[{cd,3000},{hp,125250},{atk,861},{spd,8500}]</t>
  </si>
  <si>
    <t>[{cd,3000},{hp,5010000},{atk,2153},{spd,8500}]</t>
  </si>
  <si>
    <t>[{cd,3000},{hp,6680000},{atk,4305},{spd,8500}]</t>
  </si>
  <si>
    <t>[{cd,3000},{hp,84700},{atk,584},{spd,8500}]</t>
  </si>
  <si>
    <t>[{cd,3000},{hp,101640},{atk,701},{spd,8500}]</t>
  </si>
  <si>
    <t>[{cd,3000},{hp,127050},{atk,876},{spd,8500}]</t>
  </si>
  <si>
    <t>[{cd,3000},{hp,5082000},{atk,2190},{spd,8500}]</t>
  </si>
  <si>
    <t>[{cd,3000},{hp,6776000},{atk,4380},{spd,8500}]</t>
  </si>
  <si>
    <t>[{cd,3000},{hp,86100},{atk,594},{spd,8500},{downUnderPhAtk,5000}]</t>
  </si>
  <si>
    <t>[{cd,3000},{hp,103320},{atk,713},{spd,20000}]</t>
  </si>
  <si>
    <t>[{cd,3000},{hp,129150},{atk,891},{spd,8500},{downUnderMagicAtk,5000}]</t>
  </si>
  <si>
    <t>[{cd,3000},{hp,5166000},{atk,2228},{spd,8500},{downUnderPhAtk,5000}]</t>
  </si>
  <si>
    <t>[{cd,3000},{hp,6888000},{atk,4455},{spd,8500},{downUnderPhAtk,5000}]</t>
  </si>
  <si>
    <t>[{cd,3000},{hp,87700},{atk,604},{spd,8500}]</t>
  </si>
  <si>
    <t>[{cd,3000},{hp,105240},{atk,725},{spd,8500},{downCritDmg,5000},{resRate,2000}]</t>
  </si>
  <si>
    <t>[{cd,3000},{hp,131550},{atk,906},{spd,8500}]</t>
  </si>
  <si>
    <t>[{cd,3000},{hp,5262000},{atk,2265},{spd,8500},{downCritDmg,5000},{resRate,2000}]</t>
  </si>
  <si>
    <t>[{cd,3000},{hp,7016000},{atk,4530},{spd,8500},{downCritDmg,5000},{resRate,2000}]</t>
  </si>
  <si>
    <t>[{cd,3000},{hp,90200},{atk,680},{spd,8500}]</t>
  </si>
  <si>
    <t>[{cd,3000},{hp,108240},{atk,816},{spd,8500}]</t>
  </si>
  <si>
    <t>[{cd,3000},{hp,135300},{atk,1020},{spd,8500}]</t>
  </si>
  <si>
    <t>[{cd,3000},{hp,5412000},{atk,2550},{spd,8500}]</t>
  </si>
  <si>
    <t>[{cd,3000},{hp,7216000},{atk,5100},{spd,8500}]</t>
  </si>
  <si>
    <t>[{cd,3000},{hp,88700},{atk,616},{spd,8500}]</t>
  </si>
  <si>
    <t>[{cd,3000},{hp,106440},{atk,739},{spd,8500}]</t>
  </si>
  <si>
    <t>[{cd,3000},{hp,133050},{atk,924},{spd,8500},{miss,1500}]</t>
  </si>
  <si>
    <t>[{cd,3000},{hp,5322000},{atk,2310},{spd,8500}]</t>
  </si>
  <si>
    <t>[{cd,3000},{hp,7096000},{atk,4620},{spd,8500}]</t>
  </si>
  <si>
    <t>[{cd,3000},{hp,89900},{atk,628},{spd,8500}]</t>
  </si>
  <si>
    <t>[{cd,3000},{hp,107880},{atk,754},{spd,8500}]</t>
  </si>
  <si>
    <t>[{cd,3000},{hp,134850},{atk,942},{spd,8500}]</t>
  </si>
  <si>
    <t>[{cd,3000},{hp,5394000},{atk,2355},{spd,8500}]</t>
  </si>
  <si>
    <t>[{cd,3000},{hp,7192000},{atk,4710},{spd,8500}]</t>
  </si>
  <si>
    <t>[{cd,3000},{hp,91300},{atk,640},{spd,8500}]</t>
  </si>
  <si>
    <t>[{cd,3000},{hp,109560},{atk,768},{spd,8500}]</t>
  </si>
  <si>
    <t>[{cd,3000},{hp,136950},{atk,960},{spd,8500}]</t>
  </si>
  <si>
    <t>[{cd,3000},{hp,5478000},{atk,2400},{spd,8500}]</t>
  </si>
  <si>
    <t>[{cd,3000},{hp,7304000},{atk,4800},{spd,8500}]</t>
  </si>
  <si>
    <t>[{cd,3000},{hp,94300},{atk,740},{spd,8500}]</t>
  </si>
  <si>
    <t>[{cd,3000},{hp,113160},{atk,888},{spd,8500}]</t>
  </si>
  <si>
    <t>[{cd,3000},{hp,141450},{atk,1110},{spd,8500}]</t>
  </si>
  <si>
    <t>[{cd,3000},{hp,5658000},{atk,2775},{spd,8500}]</t>
  </si>
  <si>
    <t>[{cd,3000},{hp,7544000},{atk,5550},{spd,8500}]</t>
  </si>
  <si>
    <t>[{cd,3000},{hp,92300},{atk,652},{spd,8500}]</t>
  </si>
  <si>
    <t>[{cd,3000},{hp,110760},{atk,782},{spd,8500}]</t>
  </si>
  <si>
    <t>[{cd,3000},{hp,138450},{atk,978},{spd,8500}]</t>
  </si>
  <si>
    <t>[{cd,3000},{hp,5538000},{atk,2445},{spd,8500}]</t>
  </si>
  <si>
    <t>[{cd,3000},{hp,7384000},{atk,4890},{spd,8500}]</t>
  </si>
  <si>
    <t>[{cd,3000},{hp,93500},{atk,664},{spd,8500}]</t>
  </si>
  <si>
    <t>[{cd,3000},{hp,112200},{atk,797},{spd,8500}]</t>
  </si>
  <si>
    <t>[{cd,3000},{hp,140250},{atk,996},{spd,8500}]</t>
  </si>
  <si>
    <t>[{cd,3000},{hp,5610000},{atk,2490},{spd,8500}]</t>
  </si>
  <si>
    <t>[{cd,3000},{hp,7480000},{atk,4980},{spd,8500}]</t>
  </si>
  <si>
    <t>[{cd,3000},{hp,94900},{atk,676},{spd,8500}]</t>
  </si>
  <si>
    <t>[{cd,3000},{hp,113880},{atk,811},{spd,8500}]</t>
  </si>
  <si>
    <t>[{cd,3000},{hp,142350},{atk,1014},{spd,8500},{miss,1500}]</t>
  </si>
  <si>
    <t>[{cd,3000},{hp,5694000},{atk,2535},{spd,8500}]</t>
  </si>
  <si>
    <t>[{cd,3000},{hp,7592000},{atk,5070},{spd,8500}]</t>
  </si>
  <si>
    <t>[{cd,3000},{hp,96500},{atk,688},{spd,8500},{downUnderPhAtk,5000}]</t>
  </si>
  <si>
    <t>[{cd,3000},{hp,115800},{atk,826},{spd,20000}]</t>
  </si>
  <si>
    <t>[{cd,3000},{hp,144750},{atk,1032},{spd,8500},{downUnderMagicAtk,5000}]</t>
  </si>
  <si>
    <t>[{cd,3000},{hp,5790000},{atk,2580},{spd,8500},{downUnderPhAtk,5000}]</t>
  </si>
  <si>
    <t>[{cd,3000},{hp,7720000},{atk,5160},{spd,8500},{downUnderPhAtk,5000}]</t>
  </si>
  <si>
    <t>[{cd,3000},{hp,98300},{atk,700},{spd,8500}]</t>
  </si>
  <si>
    <t>[{cd,3000},{hp,117960},{atk,840},{spd,8500},{downCritDmg,5000},{resRate,2000}]</t>
  </si>
  <si>
    <t>[{cd,3000},{hp,147450},{atk,1050},{spd,8500},{upUnderPhAtk,8000}]</t>
  </si>
  <si>
    <t>[{cd,3000},{hp,5898000},{atk,2625},{spd,8500},{downCritDmg,5000},{resRate,2000}]</t>
  </si>
  <si>
    <t>[{cd,3000},{hp,7864000},{atk,5250},{spd,8500},{downCritDmg,5000},{resRate,2000}]</t>
  </si>
  <si>
    <t>[{cd,3000},{hp,101300},{atk,800},{spd,8500}]</t>
  </si>
  <si>
    <t>[{cd,3000},{hp,121560},{atk,960},{spd,8500}]</t>
  </si>
  <si>
    <t>[{cd,3000},{hp,151950},{atk,1200},{spd,8500}]</t>
  </si>
  <si>
    <t>[{cd,3000},{hp,6078000},{atk,3000},{spd,8500}]</t>
  </si>
  <si>
    <t>[{cd,3000},{hp,8104000},{atk,6000},{spd,8500}]</t>
  </si>
  <si>
    <t>[{cd,3000},{hp,99300},{atk,712},{spd,8500}]</t>
  </si>
  <si>
    <t>[{cd,3000},{hp,119160},{atk,854},{spd,8500}]</t>
  </si>
  <si>
    <t>[{cd,3000},{hp,148950},{atk,1068},{spd,8500},{miss,1500}]</t>
  </si>
  <si>
    <t>[{cd,3000},{hp,5958000},{atk,2670},{spd,8500}]</t>
  </si>
  <si>
    <t>[{cd,3000},{hp,7944000},{atk,5340},{spd,8500}]</t>
  </si>
  <si>
    <t>[{cd,3000},{hp,100500},{atk,724},{spd,8500}]</t>
  </si>
  <si>
    <t>[{cd,3000},{hp,120600},{atk,869},{spd,8500}]</t>
  </si>
  <si>
    <t>[{cd,3000},{hp,150750},{atk,1086},{spd,8500}]</t>
  </si>
  <si>
    <t>[{cd,3000},{hp,6030000},{atk,2715},{spd,8500}]</t>
  </si>
  <si>
    <t>[{cd,3000},{hp,8040000},{atk,5430},{spd,8500}]</t>
  </si>
  <si>
    <t>[{cd,3000},{hp,101900},{atk,736},{spd,8500}]</t>
  </si>
  <si>
    <t>[{cd,3000},{hp,122280},{atk,883},{spd,8500}]</t>
  </si>
  <si>
    <t>[{cd,3000},{hp,152850},{atk,1104},{spd,8500}]</t>
  </si>
  <si>
    <t>[{cd,3000},{hp,6114000},{atk,2760},{spd,8500}]</t>
  </si>
  <si>
    <t>[{cd,3000},{hp,8152000},{atk,5520},{spd,8500}]</t>
  </si>
  <si>
    <t>[{cd,3000},{hp,104900},{atk,860},{spd,8500}]</t>
  </si>
  <si>
    <t>[{cd,3000},{hp,125880},{atk,1032},{spd,8500}]</t>
  </si>
  <si>
    <t>[{cd,3000},{hp,157350},{atk,1290},{spd,8500}]</t>
  </si>
  <si>
    <t>[{cd,3000},{hp,6294000},{atk,3225},{spd,8500}]</t>
  </si>
  <si>
    <t>[{cd,3000},{hp,8392000},{atk,6450},{spd,8500}]</t>
  </si>
  <si>
    <t>[{cd,3000},{hp,102900},{atk,748},{spd,8500}]</t>
  </si>
  <si>
    <t>[{cd,3000},{hp,123480},{atk,898},{spd,8500}]</t>
  </si>
  <si>
    <t>[{cd,3000},{hp,154350},{atk,1122},{spd,8500}]</t>
  </si>
  <si>
    <t>[{cd,3000},{hp,6174000},{atk,2805},{spd,8500}]</t>
  </si>
  <si>
    <t>[{cd,3000},{hp,8232000},{atk,5610},{spd,8500}]</t>
  </si>
  <si>
    <t>[{cd,3000},{hp,104100},{atk,760},{spd,8500}]</t>
  </si>
  <si>
    <t>[{cd,3000},{hp,124920},{atk,912},{spd,8500}]</t>
  </si>
  <si>
    <t>[{cd,3000},{hp,156150},{atk,1140},{spd,8500}]</t>
  </si>
  <si>
    <t>[{cd,3000},{hp,6246000},{atk,2850},{spd,8500}]</t>
  </si>
  <si>
    <t>[{cd,3000},{hp,8328000},{atk,5700},{spd,8500}]</t>
  </si>
  <si>
    <t>[{cd,3000},{hp,105500},{atk,772},{spd,8500}]</t>
  </si>
  <si>
    <t>[{cd,3000},{hp,126600},{atk,926},{spd,8500}]</t>
  </si>
  <si>
    <t>[{cd,3000},{hp,158250},{atk,1158},{spd,8500},{miss,1500}]</t>
  </si>
  <si>
    <t>[{cd,3000},{hp,6330000},{atk,2895},{spd,8500}]</t>
  </si>
  <si>
    <t>[{cd,3000},{hp,8440000},{atk,5790},{spd,8500}]</t>
  </si>
  <si>
    <t>[{cd,3000},{hp,107100},{atk,784},{spd,8500},{downUnderPhAtk,5000}]</t>
  </si>
  <si>
    <t>[{cd,3000},{hp,128520},{atk,941},{spd,20000}]</t>
  </si>
  <si>
    <t>[{cd,3000},{hp,160650},{atk,1176},{spd,8500},{downUnderMagicAtk,5000}]</t>
  </si>
  <si>
    <t>[{cd,3000},{hp,6426000},{atk,2940},{spd,8500},{downUnderPhAtk,5000}]</t>
  </si>
  <si>
    <t>[{cd,3000},{hp,8568000},{atk,5880},{spd,8500},{downUnderPhAtk,5000}]</t>
  </si>
  <si>
    <t>[{cd,3000},{hp,108900},{atk,796},{spd,8500}]</t>
  </si>
  <si>
    <t>[{cd,3000},{hp,130680},{atk,955},{spd,8500},{downCritDmg,5000},{resRate,2000}]</t>
  </si>
  <si>
    <t>[{cd,3000},{hp,163350},{atk,1194},{spd,8500},{upUnderPhAtk,8000}]</t>
  </si>
  <si>
    <t>[{cd,3000},{hp,6534000},{atk,2985},{spd,8500},{downCritDmg,5000},{resRate,2000}]</t>
  </si>
  <si>
    <t>[{cd,3000},{hp,8712000},{atk,5970},{spd,8500},{downCritDmg,5000},{resRate,2000}]</t>
  </si>
  <si>
    <t>[{cd,3000},{hp,111900},{atk,920},{spd,8500}]</t>
  </si>
  <si>
    <t>[{cd,3000},{hp,134280},{atk,1104},{spd,8500}]</t>
  </si>
  <si>
    <t>[{cd,3000},{hp,167850},{atk,1380},{spd,8500}]</t>
  </si>
  <si>
    <t>[{cd,3000},{hp,6714000},{atk,3450},{spd,8500}]</t>
  </si>
  <si>
    <t>[{cd,3000},{hp,8952000},{atk,6900},{spd,8500}]</t>
  </si>
  <si>
    <t>[{cd,3000},{hp,110100},{atk,808},{spd,8500}]</t>
  </si>
  <si>
    <t>[{cd,3000},{hp,132120},{atk,970},{spd,8500}]</t>
  </si>
  <si>
    <t>[{cd,3000},{hp,165150},{atk,1212},{spd,8500},{miss,1500}]</t>
  </si>
  <si>
    <t>[{cd,3000},{hp,6606000},{atk,3030},{spd,8500}]</t>
  </si>
  <si>
    <t>[{cd,3000},{hp,8808000},{atk,6060},{spd,8500}]</t>
  </si>
  <si>
    <t>[{cd,3000},{hp,111500},{atk,820},{spd,8500}]</t>
  </si>
  <si>
    <t>[{cd,3000},{hp,133800},{atk,984},{spd,8500}]</t>
  </si>
  <si>
    <t>[{cd,3000},{hp,167250},{atk,1230},{spd,8500}]</t>
  </si>
  <si>
    <t>[{cd,3000},{hp,6690000},{atk,3075},{spd,8500}]</t>
  </si>
  <si>
    <t>[{cd,3000},{hp,8920000},{atk,6150},{spd,8500}]</t>
  </si>
  <si>
    <t>[{cd,3000},{hp,113100},{atk,832},{spd,8500}]</t>
  </si>
  <si>
    <t>[{cd,3000},{hp,135720},{atk,998},{spd,8500}]</t>
  </si>
  <si>
    <t>[{cd,3000},{hp,169650},{atk,1248},{spd,8500}]</t>
  </si>
  <si>
    <t>[{cd,3000},{hp,6786000},{atk,3120},{spd,8500}]</t>
  </si>
  <si>
    <t>[{cd,3000},{hp,9048000},{atk,6240},{spd,8500}]</t>
  </si>
  <si>
    <t>[{cd,3000},{hp,116100},{atk,980},{spd,8500}]</t>
  </si>
  <si>
    <t>[{cd,3000},{hp,139320},{atk,1176},{spd,8500}]</t>
  </si>
  <si>
    <t>[{cd,3000},{hp,174150},{atk,1470},{spd,8500}]</t>
  </si>
  <si>
    <t>[{cd,3000},{hp,6966000},{atk,3675},{spd,8500}]</t>
  </si>
  <si>
    <t>[{cd,3000},{hp,9288000},{atk,7350},{spd,8500}]</t>
  </si>
  <si>
    <t>[{cd,3000},{hp,114300},{atk,844},{spd,8500}]</t>
  </si>
  <si>
    <t>[{cd,3000},{hp,137160},{atk,1013},{spd,8500}]</t>
  </si>
  <si>
    <t>[{cd,3000},{hp,171450},{atk,1266},{spd,8500}]</t>
  </si>
  <si>
    <t>[{cd,3000},{hp,6858000},{atk,3165},{spd,8500}]</t>
  </si>
  <si>
    <t>[{cd,3000},{hp,9144000},{atk,6330},{spd,8500}]</t>
  </si>
  <si>
    <t>[{cd,3000},{hp,115700},{atk,856},{spd,8500}]</t>
  </si>
  <si>
    <t>[{cd,3000},{hp,138840},{atk,1027},{spd,8500}]</t>
  </si>
  <si>
    <t>[{cd,3000},{hp,173550},{atk,1284},{spd,8500}]</t>
  </si>
  <si>
    <t>[{cd,3000},{hp,6942000},{atk,3210},{spd,8500}]</t>
  </si>
  <si>
    <t>[{cd,3000},{hp,9256000},{atk,6420},{spd,8500}]</t>
  </si>
  <si>
    <t>[{cd,3000},{hp,117300},{atk,868},{spd,8500}]</t>
  </si>
  <si>
    <t>[{cd,3000},{hp,140760},{atk,1042},{spd,8500}]</t>
  </si>
  <si>
    <t>[{cd,3000},{hp,175950},{atk,1302},{spd,8500},{miss,1500}]</t>
  </si>
  <si>
    <t>[{cd,3000},{hp,7038000},{atk,3255},{spd,8500}]</t>
  </si>
  <si>
    <t>[{cd,3000},{hp,9384000},{atk,6510},{spd,8500}]</t>
  </si>
  <si>
    <t>[{cd,3000},{hp,119100},{atk,880},{spd,8500},{downUnderPhAtk,5000}]</t>
  </si>
  <si>
    <t>[{cd,3000},{hp,142920},{atk,1056},{spd,20000}]</t>
  </si>
  <si>
    <t>[{cd,3000},{hp,178650},{atk,1320},{spd,8500},{downUnderMagicAtk,5000}]</t>
  </si>
  <si>
    <t>[{cd,3000},{hp,7146000},{atk,3300},{spd,8500},{downUnderPhAtk,5000}]</t>
  </si>
  <si>
    <t>[{cd,3000},{hp,9528000},{atk,6600},{spd,8500},{downUnderPhAtk,5000}]</t>
  </si>
  <si>
    <t>[{cd,3000},{hp,121100},{atk,892},{spd,8500}]</t>
  </si>
  <si>
    <t>[{cd,3000},{hp,145320},{atk,1070},{spd,8500},{downCritDmg,5000},{resRate,2000}]</t>
  </si>
  <si>
    <t>[{cd,3000},{hp,181650},{atk,1338},{spd,8500},{upUnderPhAtk,8000}]</t>
  </si>
  <si>
    <t>[{cd,3000},{hp,7266000},{atk,3345},{spd,8500},{downCritDmg,5000},{resRate,2000}]</t>
  </si>
  <si>
    <t>[{cd,3000},{hp,9688000},{atk,6690},{spd,8500},{downCritDmg,5000},{resRate,2000}]</t>
  </si>
  <si>
    <t>[{cd,3000},{hp,124100},{atk,1040},{spd,8500}]</t>
  </si>
  <si>
    <t>[{cd,3000},{hp,148920},{atk,1248},{spd,8500}]</t>
  </si>
  <si>
    <t>[{cd,3000},{hp,186150},{atk,1560},{spd,8500}]</t>
  </si>
  <si>
    <t>[{cd,3000},{hp,7446000},{atk,3900},{spd,8500}]</t>
  </si>
  <si>
    <t>[{cd,3000},{hp,9928000},{atk,7800},{spd,8500}]</t>
  </si>
  <si>
    <t>秘林专用boss1</t>
  </si>
  <si>
    <t>[{cd,6000},{hp,1},{atk,1},{spd,8500}]</t>
  </si>
  <si>
    <t>[60011,60012,60014,60020]</t>
  </si>
  <si>
    <t>[{51001,6},{51002,6}]</t>
  </si>
  <si>
    <t>秘林专用boss2</t>
  </si>
  <si>
    <t>[{51003,6},{51004,6}]</t>
  </si>
  <si>
    <t>{downUnderPhAtk,5000}</t>
  </si>
  <si>
    <t>{</t>
  </si>
  <si>
    <t>,</t>
  </si>
  <si>
    <t>}</t>
  </si>
  <si>
    <t>{downUnderMagicAtk,5000}</t>
  </si>
  <si>
    <t>怪物id</t>
  </si>
  <si>
    <t>关卡</t>
  </si>
  <si>
    <t>cd</t>
  </si>
  <si>
    <t>hp</t>
  </si>
  <si>
    <t>atk</t>
  </si>
  <si>
    <t>spd</t>
  </si>
  <si>
    <t>ySpd</t>
  </si>
  <si>
    <t>[{50015,6}]</t>
  </si>
  <si>
    <t>[{50016,6}]</t>
  </si>
  <si>
    <t>[60005]</t>
  </si>
  <si>
    <t>[60007]</t>
  </si>
  <si>
    <t>[{50017,6}]</t>
  </si>
  <si>
    <t>[60009]</t>
  </si>
  <si>
    <t>[{50018,6}]</t>
  </si>
  <si>
    <t>{firingDmgDown,5000}</t>
  </si>
  <si>
    <t>[60011,60012]</t>
  </si>
  <si>
    <t>[{50019,6}]</t>
  </si>
  <si>
    <t>[60010]</t>
  </si>
  <si>
    <t>[60013]</t>
  </si>
  <si>
    <t>{downCritDmg,5000},{resRate,2000}</t>
  </si>
  <si>
    <t>[60016]</t>
  </si>
  <si>
    <t>[{50031,6}]</t>
  </si>
  <si>
    <t>[60014]</t>
  </si>
  <si>
    <t>{miss,1500}</t>
  </si>
  <si>
    <t>[60015]</t>
  </si>
  <si>
    <t>[60017]</t>
  </si>
  <si>
    <t>{upUnderPhAtk,8000}</t>
  </si>
  <si>
    <t>[{50023,6}]</t>
  </si>
  <si>
    <t>[{50025,6}]</t>
  </si>
  <si>
    <t>[{50026,6}]</t>
  </si>
  <si>
    <t>[{50027,6}]</t>
  </si>
  <si>
    <t>[{50028,6}]</t>
  </si>
  <si>
    <t>[{50029,6}]</t>
  </si>
  <si>
    <t>[{50032,6}]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</si>
</sst>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roidhang\Desktop\&#33457;&#22253;&#25112;&#2600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roidhang\Desktop\CY\&#33457;&#22253;&#25112;&#2600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伤害结算流程"/>
      <sheetName val="战斗流程"/>
      <sheetName val="属性来源规划"/>
      <sheetName val="触发条件和效果"/>
      <sheetName val="技能"/>
      <sheetName val="武器等级"/>
      <sheetName val="怪物"/>
      <sheetName val="角色"/>
      <sheetName val="角色2.0"/>
      <sheetName val="装备等级"/>
      <sheetName val="装备被动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N3">
            <v>100</v>
          </cell>
          <cell r="O3">
            <v>3000</v>
          </cell>
          <cell r="P3">
            <v>50</v>
          </cell>
          <cell r="Q3">
            <v>4</v>
          </cell>
          <cell r="R3">
            <v>500</v>
          </cell>
          <cell r="S3">
            <v>10</v>
          </cell>
          <cell r="T3">
            <v>20</v>
          </cell>
        </row>
        <row r="3">
          <cell r="V3">
            <v>100</v>
          </cell>
          <cell r="W3">
            <v>3000</v>
          </cell>
          <cell r="X3">
            <v>50</v>
          </cell>
          <cell r="Y3">
            <v>6</v>
          </cell>
          <cell r="Z3">
            <v>500</v>
          </cell>
          <cell r="AA3">
            <v>30</v>
          </cell>
          <cell r="AB3">
            <v>60</v>
          </cell>
        </row>
        <row r="3">
          <cell r="AD3">
            <v>100</v>
          </cell>
          <cell r="AE3">
            <v>3000</v>
          </cell>
          <cell r="AF3">
            <v>50</v>
          </cell>
          <cell r="AG3">
            <v>16</v>
          </cell>
          <cell r="AH3">
            <v>500</v>
          </cell>
          <cell r="AI3">
            <v>40</v>
          </cell>
          <cell r="AJ3">
            <v>80</v>
          </cell>
        </row>
        <row r="4">
          <cell r="N4">
            <v>101</v>
          </cell>
          <cell r="O4">
            <v>3000</v>
          </cell>
          <cell r="P4">
            <v>50</v>
          </cell>
          <cell r="Q4">
            <v>6</v>
          </cell>
          <cell r="R4">
            <v>501</v>
          </cell>
          <cell r="S4">
            <v>15</v>
          </cell>
          <cell r="T4">
            <v>30</v>
          </cell>
        </row>
        <row r="4">
          <cell r="V4">
            <v>101</v>
          </cell>
          <cell r="W4">
            <v>3000</v>
          </cell>
          <cell r="X4">
            <v>50</v>
          </cell>
          <cell r="Y4">
            <v>9</v>
          </cell>
          <cell r="Z4">
            <v>501</v>
          </cell>
          <cell r="AA4">
            <v>45</v>
          </cell>
          <cell r="AB4">
            <v>90</v>
          </cell>
        </row>
        <row r="4">
          <cell r="AD4">
            <v>101</v>
          </cell>
          <cell r="AE4">
            <v>3000</v>
          </cell>
          <cell r="AF4">
            <v>50</v>
          </cell>
          <cell r="AG4">
            <v>24</v>
          </cell>
          <cell r="AH4">
            <v>501</v>
          </cell>
          <cell r="AI4">
            <v>60</v>
          </cell>
          <cell r="AJ4">
            <v>120</v>
          </cell>
        </row>
        <row r="5">
          <cell r="N5">
            <v>102</v>
          </cell>
          <cell r="O5">
            <v>3000</v>
          </cell>
          <cell r="P5">
            <v>50</v>
          </cell>
          <cell r="Q5">
            <v>3</v>
          </cell>
          <cell r="R5">
            <v>502</v>
          </cell>
          <cell r="S5">
            <v>10</v>
          </cell>
          <cell r="T5">
            <v>21</v>
          </cell>
        </row>
        <row r="5">
          <cell r="V5">
            <v>102</v>
          </cell>
          <cell r="W5">
            <v>3000</v>
          </cell>
          <cell r="X5">
            <v>50</v>
          </cell>
          <cell r="Y5">
            <v>5</v>
          </cell>
          <cell r="Z5">
            <v>502</v>
          </cell>
          <cell r="AA5">
            <v>25</v>
          </cell>
          <cell r="AB5">
            <v>50</v>
          </cell>
        </row>
        <row r="5">
          <cell r="AD5">
            <v>102</v>
          </cell>
          <cell r="AE5">
            <v>3000</v>
          </cell>
          <cell r="AF5">
            <v>50</v>
          </cell>
          <cell r="AG5">
            <v>12</v>
          </cell>
          <cell r="AH5">
            <v>502</v>
          </cell>
          <cell r="AI5">
            <v>30</v>
          </cell>
          <cell r="AJ5">
            <v>60</v>
          </cell>
        </row>
        <row r="6">
          <cell r="N6">
            <v>103</v>
          </cell>
          <cell r="O6">
            <v>3000</v>
          </cell>
          <cell r="P6">
            <v>50</v>
          </cell>
          <cell r="Q6">
            <v>6</v>
          </cell>
          <cell r="R6">
            <v>503</v>
          </cell>
          <cell r="S6">
            <v>15</v>
          </cell>
          <cell r="T6">
            <v>30</v>
          </cell>
        </row>
        <row r="6">
          <cell r="V6">
            <v>103</v>
          </cell>
          <cell r="W6">
            <v>3000</v>
          </cell>
          <cell r="X6">
            <v>50</v>
          </cell>
          <cell r="Y6">
            <v>9</v>
          </cell>
          <cell r="Z6">
            <v>503</v>
          </cell>
          <cell r="AA6">
            <v>45</v>
          </cell>
          <cell r="AB6">
            <v>90</v>
          </cell>
        </row>
        <row r="6">
          <cell r="AD6">
            <v>103</v>
          </cell>
          <cell r="AE6">
            <v>3000</v>
          </cell>
          <cell r="AF6">
            <v>50</v>
          </cell>
          <cell r="AG6">
            <v>24</v>
          </cell>
          <cell r="AH6">
            <v>503</v>
          </cell>
          <cell r="AI6">
            <v>60</v>
          </cell>
          <cell r="AJ6">
            <v>120</v>
          </cell>
        </row>
        <row r="7">
          <cell r="N7">
            <v>104</v>
          </cell>
          <cell r="O7">
            <v>3000</v>
          </cell>
          <cell r="P7">
            <v>50</v>
          </cell>
          <cell r="Q7">
            <v>9</v>
          </cell>
          <cell r="R7">
            <v>504</v>
          </cell>
          <cell r="S7">
            <v>22</v>
          </cell>
          <cell r="T7">
            <v>45</v>
          </cell>
        </row>
        <row r="7">
          <cell r="V7">
            <v>104</v>
          </cell>
          <cell r="W7">
            <v>3000</v>
          </cell>
          <cell r="X7">
            <v>50</v>
          </cell>
          <cell r="Y7">
            <v>14</v>
          </cell>
          <cell r="Z7">
            <v>504</v>
          </cell>
          <cell r="AA7">
            <v>70</v>
          </cell>
          <cell r="AB7">
            <v>140</v>
          </cell>
        </row>
        <row r="7">
          <cell r="AD7">
            <v>104</v>
          </cell>
          <cell r="AE7">
            <v>3000</v>
          </cell>
          <cell r="AF7">
            <v>50</v>
          </cell>
          <cell r="AG7">
            <v>36</v>
          </cell>
          <cell r="AH7">
            <v>504</v>
          </cell>
          <cell r="AI7">
            <v>90</v>
          </cell>
          <cell r="AJ7">
            <v>180</v>
          </cell>
        </row>
        <row r="8">
          <cell r="N8">
            <v>105</v>
          </cell>
          <cell r="O8">
            <v>3000</v>
          </cell>
          <cell r="P8">
            <v>50</v>
          </cell>
          <cell r="Q8">
            <v>6</v>
          </cell>
          <cell r="R8">
            <v>505</v>
          </cell>
          <cell r="S8">
            <v>15</v>
          </cell>
          <cell r="T8">
            <v>30</v>
          </cell>
        </row>
        <row r="8">
          <cell r="V8">
            <v>105</v>
          </cell>
          <cell r="W8">
            <v>3000</v>
          </cell>
          <cell r="X8">
            <v>50</v>
          </cell>
          <cell r="Y8">
            <v>9</v>
          </cell>
          <cell r="Z8">
            <v>505</v>
          </cell>
          <cell r="AA8">
            <v>45</v>
          </cell>
          <cell r="AB8">
            <v>90</v>
          </cell>
        </row>
        <row r="8">
          <cell r="AD8">
            <v>105</v>
          </cell>
          <cell r="AE8">
            <v>3000</v>
          </cell>
          <cell r="AF8">
            <v>50</v>
          </cell>
          <cell r="AG8">
            <v>24</v>
          </cell>
          <cell r="AH8">
            <v>505</v>
          </cell>
          <cell r="AI8">
            <v>60</v>
          </cell>
          <cell r="AJ8">
            <v>120</v>
          </cell>
        </row>
        <row r="9">
          <cell r="N9">
            <v>106</v>
          </cell>
          <cell r="O9">
            <v>3000</v>
          </cell>
          <cell r="P9">
            <v>50</v>
          </cell>
          <cell r="Q9">
            <v>5</v>
          </cell>
          <cell r="R9">
            <v>506</v>
          </cell>
          <cell r="S9">
            <v>13</v>
          </cell>
          <cell r="T9">
            <v>26</v>
          </cell>
        </row>
        <row r="9">
          <cell r="V9">
            <v>106</v>
          </cell>
          <cell r="W9">
            <v>3000</v>
          </cell>
          <cell r="X9">
            <v>50</v>
          </cell>
          <cell r="Y9">
            <v>8</v>
          </cell>
          <cell r="Z9">
            <v>506</v>
          </cell>
          <cell r="AA9">
            <v>40</v>
          </cell>
          <cell r="AB9">
            <v>80</v>
          </cell>
        </row>
        <row r="9">
          <cell r="AD9">
            <v>106</v>
          </cell>
          <cell r="AE9">
            <v>3000</v>
          </cell>
          <cell r="AF9">
            <v>50</v>
          </cell>
          <cell r="AG9">
            <v>20</v>
          </cell>
          <cell r="AH9">
            <v>506</v>
          </cell>
          <cell r="AI9">
            <v>50</v>
          </cell>
          <cell r="AJ9">
            <v>100</v>
          </cell>
        </row>
        <row r="10">
          <cell r="N10">
            <v>107</v>
          </cell>
          <cell r="O10">
            <v>3000</v>
          </cell>
          <cell r="P10">
            <v>50</v>
          </cell>
          <cell r="Q10">
            <v>4</v>
          </cell>
          <cell r="R10">
            <v>507</v>
          </cell>
          <cell r="S10">
            <v>14</v>
          </cell>
          <cell r="T10">
            <v>28</v>
          </cell>
        </row>
        <row r="10">
          <cell r="V10">
            <v>107</v>
          </cell>
          <cell r="W10">
            <v>3000</v>
          </cell>
          <cell r="X10">
            <v>50</v>
          </cell>
          <cell r="Y10">
            <v>6</v>
          </cell>
          <cell r="Z10">
            <v>507</v>
          </cell>
          <cell r="AA10">
            <v>30</v>
          </cell>
          <cell r="AB10">
            <v>60</v>
          </cell>
        </row>
        <row r="10">
          <cell r="AD10">
            <v>107</v>
          </cell>
          <cell r="AE10">
            <v>3000</v>
          </cell>
          <cell r="AF10">
            <v>50</v>
          </cell>
          <cell r="AG10">
            <v>16</v>
          </cell>
          <cell r="AH10">
            <v>507</v>
          </cell>
          <cell r="AI10">
            <v>40</v>
          </cell>
          <cell r="AJ10">
            <v>80</v>
          </cell>
        </row>
        <row r="11">
          <cell r="N11">
            <v>108</v>
          </cell>
          <cell r="O11">
            <v>3000</v>
          </cell>
          <cell r="P11">
            <v>50</v>
          </cell>
          <cell r="Q11">
            <v>10</v>
          </cell>
          <cell r="R11">
            <v>508</v>
          </cell>
          <cell r="S11">
            <v>25</v>
          </cell>
          <cell r="T11">
            <v>50</v>
          </cell>
        </row>
        <row r="11">
          <cell r="V11">
            <v>108</v>
          </cell>
          <cell r="W11">
            <v>3000</v>
          </cell>
          <cell r="X11">
            <v>50</v>
          </cell>
          <cell r="Y11">
            <v>15</v>
          </cell>
          <cell r="Z11">
            <v>508</v>
          </cell>
          <cell r="AA11">
            <v>75</v>
          </cell>
          <cell r="AB11">
            <v>150</v>
          </cell>
        </row>
        <row r="11">
          <cell r="AD11">
            <v>108</v>
          </cell>
          <cell r="AE11">
            <v>3000</v>
          </cell>
          <cell r="AF11">
            <v>50</v>
          </cell>
          <cell r="AG11">
            <v>40</v>
          </cell>
          <cell r="AH11">
            <v>508</v>
          </cell>
          <cell r="AI11">
            <v>100</v>
          </cell>
          <cell r="AJ11">
            <v>200</v>
          </cell>
        </row>
        <row r="12">
          <cell r="N12">
            <v>109</v>
          </cell>
          <cell r="O12">
            <v>3000</v>
          </cell>
          <cell r="P12">
            <v>50</v>
          </cell>
          <cell r="Q12">
            <v>4</v>
          </cell>
          <cell r="R12">
            <v>509</v>
          </cell>
          <cell r="S12">
            <v>14</v>
          </cell>
          <cell r="T12">
            <v>28</v>
          </cell>
        </row>
        <row r="12">
          <cell r="V12">
            <v>109</v>
          </cell>
          <cell r="W12">
            <v>3000</v>
          </cell>
          <cell r="X12">
            <v>50</v>
          </cell>
          <cell r="Y12">
            <v>6</v>
          </cell>
          <cell r="Z12">
            <v>509</v>
          </cell>
          <cell r="AA12">
            <v>30</v>
          </cell>
          <cell r="AB12">
            <v>60</v>
          </cell>
        </row>
        <row r="12">
          <cell r="AD12">
            <v>109</v>
          </cell>
          <cell r="AE12">
            <v>3000</v>
          </cell>
          <cell r="AF12">
            <v>50</v>
          </cell>
          <cell r="AG12">
            <v>16</v>
          </cell>
          <cell r="AH12">
            <v>509</v>
          </cell>
          <cell r="AI12">
            <v>40</v>
          </cell>
          <cell r="AJ12">
            <v>80</v>
          </cell>
        </row>
        <row r="13">
          <cell r="N13">
            <v>110</v>
          </cell>
          <cell r="O13">
            <v>3000</v>
          </cell>
          <cell r="P13">
            <v>50</v>
          </cell>
          <cell r="Q13">
            <v>10</v>
          </cell>
          <cell r="R13">
            <v>510</v>
          </cell>
          <cell r="S13">
            <v>25</v>
          </cell>
          <cell r="T13">
            <v>50</v>
          </cell>
        </row>
        <row r="13">
          <cell r="V13">
            <v>110</v>
          </cell>
          <cell r="W13">
            <v>3000</v>
          </cell>
          <cell r="X13">
            <v>50</v>
          </cell>
          <cell r="Y13">
            <v>15</v>
          </cell>
          <cell r="Z13">
            <v>510</v>
          </cell>
          <cell r="AA13">
            <v>75</v>
          </cell>
          <cell r="AB13">
            <v>150</v>
          </cell>
        </row>
        <row r="13">
          <cell r="AD13">
            <v>110</v>
          </cell>
          <cell r="AE13">
            <v>3000</v>
          </cell>
          <cell r="AF13">
            <v>50</v>
          </cell>
          <cell r="AG13">
            <v>40</v>
          </cell>
          <cell r="AH13">
            <v>510</v>
          </cell>
          <cell r="AI13">
            <v>100</v>
          </cell>
          <cell r="AJ13">
            <v>200</v>
          </cell>
        </row>
        <row r="14">
          <cell r="V14">
            <v>111</v>
          </cell>
          <cell r="W14">
            <v>3000</v>
          </cell>
          <cell r="X14">
            <v>50</v>
          </cell>
          <cell r="Y14">
            <v>9</v>
          </cell>
          <cell r="Z14">
            <v>511</v>
          </cell>
          <cell r="AA14">
            <v>45</v>
          </cell>
          <cell r="AB14">
            <v>90</v>
          </cell>
        </row>
        <row r="14">
          <cell r="AD14">
            <v>111</v>
          </cell>
          <cell r="AE14">
            <v>3000</v>
          </cell>
          <cell r="AF14">
            <v>50</v>
          </cell>
          <cell r="AG14">
            <v>24</v>
          </cell>
          <cell r="AH14">
            <v>511</v>
          </cell>
          <cell r="AI14">
            <v>60</v>
          </cell>
          <cell r="AJ14">
            <v>120</v>
          </cell>
        </row>
        <row r="15">
          <cell r="V15">
            <v>112</v>
          </cell>
          <cell r="W15">
            <v>3000</v>
          </cell>
          <cell r="X15">
            <v>50</v>
          </cell>
          <cell r="Y15">
            <v>6</v>
          </cell>
          <cell r="Z15">
            <v>512</v>
          </cell>
          <cell r="AA15">
            <v>30</v>
          </cell>
          <cell r="AB15">
            <v>60</v>
          </cell>
        </row>
        <row r="15">
          <cell r="AD15">
            <v>112</v>
          </cell>
          <cell r="AE15">
            <v>3000</v>
          </cell>
          <cell r="AF15">
            <v>50</v>
          </cell>
          <cell r="AG15">
            <v>16</v>
          </cell>
          <cell r="AH15">
            <v>512</v>
          </cell>
          <cell r="AI15">
            <v>40</v>
          </cell>
          <cell r="AJ15">
            <v>80</v>
          </cell>
        </row>
        <row r="16">
          <cell r="V16">
            <v>113</v>
          </cell>
          <cell r="W16">
            <v>3000</v>
          </cell>
          <cell r="X16">
            <v>50</v>
          </cell>
          <cell r="Y16">
            <v>6</v>
          </cell>
          <cell r="Z16">
            <v>513</v>
          </cell>
          <cell r="AA16">
            <v>30</v>
          </cell>
          <cell r="AB16">
            <v>60</v>
          </cell>
        </row>
        <row r="16">
          <cell r="AD16">
            <v>113</v>
          </cell>
          <cell r="AE16">
            <v>3000</v>
          </cell>
          <cell r="AF16">
            <v>50</v>
          </cell>
          <cell r="AG16">
            <v>16</v>
          </cell>
          <cell r="AH16">
            <v>513</v>
          </cell>
          <cell r="AI16">
            <v>40</v>
          </cell>
          <cell r="AJ16">
            <v>80</v>
          </cell>
        </row>
        <row r="17">
          <cell r="V17">
            <v>114</v>
          </cell>
          <cell r="W17">
            <v>3000</v>
          </cell>
          <cell r="X17">
            <v>50</v>
          </cell>
          <cell r="Y17">
            <v>8</v>
          </cell>
          <cell r="Z17">
            <v>514</v>
          </cell>
          <cell r="AA17">
            <v>40</v>
          </cell>
          <cell r="AB17">
            <v>80</v>
          </cell>
        </row>
        <row r="17">
          <cell r="AD17">
            <v>114</v>
          </cell>
          <cell r="AE17">
            <v>3000</v>
          </cell>
          <cell r="AF17">
            <v>50</v>
          </cell>
          <cell r="AG17">
            <v>20</v>
          </cell>
          <cell r="AH17">
            <v>514</v>
          </cell>
          <cell r="AI17">
            <v>50</v>
          </cell>
          <cell r="AJ17">
            <v>100</v>
          </cell>
        </row>
        <row r="18">
          <cell r="V18">
            <v>115</v>
          </cell>
          <cell r="W18">
            <v>3000</v>
          </cell>
          <cell r="X18">
            <v>50</v>
          </cell>
          <cell r="Y18">
            <v>15</v>
          </cell>
          <cell r="Z18">
            <v>515</v>
          </cell>
          <cell r="AA18">
            <v>75</v>
          </cell>
          <cell r="AB18">
            <v>150</v>
          </cell>
        </row>
        <row r="18">
          <cell r="AD18">
            <v>115</v>
          </cell>
          <cell r="AE18">
            <v>3000</v>
          </cell>
          <cell r="AF18">
            <v>50</v>
          </cell>
          <cell r="AG18">
            <v>40</v>
          </cell>
          <cell r="AH18">
            <v>515</v>
          </cell>
          <cell r="AI18">
            <v>100</v>
          </cell>
          <cell r="AJ18">
            <v>200</v>
          </cell>
        </row>
        <row r="34">
          <cell r="N34">
            <v>1</v>
          </cell>
          <cell r="O34">
            <v>60</v>
          </cell>
          <cell r="P34">
            <v>50</v>
          </cell>
          <cell r="Q34">
            <v>40</v>
          </cell>
        </row>
        <row r="34">
          <cell r="U34">
            <v>1</v>
          </cell>
          <cell r="V34">
            <v>1350</v>
          </cell>
          <cell r="W34">
            <v>2250</v>
          </cell>
        </row>
        <row r="35">
          <cell r="N35">
            <v>2</v>
          </cell>
          <cell r="O35">
            <v>60</v>
          </cell>
          <cell r="P35">
            <v>50</v>
          </cell>
          <cell r="Q35">
            <v>40</v>
          </cell>
        </row>
        <row r="35">
          <cell r="U35">
            <v>2</v>
          </cell>
          <cell r="V35">
            <v>1350</v>
          </cell>
          <cell r="W35">
            <v>2250</v>
          </cell>
        </row>
        <row r="36">
          <cell r="N36">
            <v>3</v>
          </cell>
          <cell r="O36">
            <v>60</v>
          </cell>
          <cell r="P36">
            <v>50</v>
          </cell>
          <cell r="Q36">
            <v>40</v>
          </cell>
        </row>
        <row r="36">
          <cell r="U36">
            <v>3</v>
          </cell>
          <cell r="V36">
            <v>1350</v>
          </cell>
          <cell r="W36">
            <v>2250</v>
          </cell>
        </row>
        <row r="37">
          <cell r="N37">
            <v>4</v>
          </cell>
          <cell r="O37">
            <v>80</v>
          </cell>
          <cell r="P37">
            <v>70</v>
          </cell>
          <cell r="Q37">
            <v>60</v>
          </cell>
        </row>
        <row r="37">
          <cell r="U37">
            <v>4</v>
          </cell>
          <cell r="V37">
            <v>1800</v>
          </cell>
          <cell r="W37">
            <v>3000</v>
          </cell>
        </row>
        <row r="38">
          <cell r="N38">
            <v>5</v>
          </cell>
          <cell r="O38">
            <v>100</v>
          </cell>
          <cell r="P38">
            <v>90</v>
          </cell>
          <cell r="Q38">
            <v>80</v>
          </cell>
        </row>
        <row r="38">
          <cell r="U38">
            <v>5</v>
          </cell>
          <cell r="V38">
            <v>2250</v>
          </cell>
          <cell r="W38">
            <v>3750</v>
          </cell>
        </row>
        <row r="39">
          <cell r="N39">
            <v>6</v>
          </cell>
          <cell r="O39">
            <v>120</v>
          </cell>
          <cell r="P39">
            <v>110</v>
          </cell>
          <cell r="Q39">
            <v>100</v>
          </cell>
        </row>
        <row r="39">
          <cell r="U39">
            <v>6</v>
          </cell>
          <cell r="V39">
            <v>2700</v>
          </cell>
          <cell r="W39">
            <v>4500</v>
          </cell>
        </row>
        <row r="40">
          <cell r="N40">
            <v>7</v>
          </cell>
          <cell r="O40">
            <v>140</v>
          </cell>
          <cell r="P40">
            <v>130</v>
          </cell>
          <cell r="Q40">
            <v>120</v>
          </cell>
        </row>
        <row r="40">
          <cell r="U40">
            <v>7</v>
          </cell>
          <cell r="V40">
            <v>3150</v>
          </cell>
          <cell r="W40">
            <v>5250</v>
          </cell>
        </row>
        <row r="41">
          <cell r="N41">
            <v>8</v>
          </cell>
          <cell r="O41">
            <v>160</v>
          </cell>
          <cell r="P41">
            <v>150</v>
          </cell>
          <cell r="Q41">
            <v>140</v>
          </cell>
        </row>
        <row r="41">
          <cell r="U41">
            <v>8</v>
          </cell>
          <cell r="V41">
            <v>3600</v>
          </cell>
          <cell r="W41">
            <v>6000</v>
          </cell>
        </row>
        <row r="42">
          <cell r="N42">
            <v>9</v>
          </cell>
          <cell r="O42">
            <v>180</v>
          </cell>
          <cell r="P42">
            <v>170</v>
          </cell>
          <cell r="Q42">
            <v>160</v>
          </cell>
        </row>
        <row r="42">
          <cell r="U42">
            <v>9</v>
          </cell>
          <cell r="V42">
            <v>4050</v>
          </cell>
          <cell r="W42">
            <v>6750</v>
          </cell>
        </row>
        <row r="43">
          <cell r="N43">
            <v>10</v>
          </cell>
          <cell r="O43">
            <v>200</v>
          </cell>
          <cell r="P43">
            <v>190</v>
          </cell>
          <cell r="Q43">
            <v>180</v>
          </cell>
        </row>
        <row r="43">
          <cell r="U43">
            <v>10</v>
          </cell>
          <cell r="V43">
            <v>8438</v>
          </cell>
          <cell r="W43">
            <v>11250</v>
          </cell>
        </row>
        <row r="44">
          <cell r="N44">
            <v>11</v>
          </cell>
          <cell r="O44">
            <v>240</v>
          </cell>
          <cell r="P44">
            <v>230</v>
          </cell>
          <cell r="Q44">
            <v>220</v>
          </cell>
        </row>
        <row r="44">
          <cell r="U44">
            <v>11</v>
          </cell>
          <cell r="V44">
            <v>10125</v>
          </cell>
          <cell r="W44">
            <v>13500</v>
          </cell>
        </row>
        <row r="45">
          <cell r="N45">
            <v>12</v>
          </cell>
          <cell r="O45">
            <v>280</v>
          </cell>
          <cell r="P45">
            <v>270</v>
          </cell>
          <cell r="Q45">
            <v>260</v>
          </cell>
        </row>
        <row r="45">
          <cell r="U45">
            <v>12</v>
          </cell>
          <cell r="V45">
            <v>11813</v>
          </cell>
          <cell r="W45">
            <v>15750</v>
          </cell>
        </row>
        <row r="46">
          <cell r="N46">
            <v>13</v>
          </cell>
          <cell r="O46">
            <v>320</v>
          </cell>
          <cell r="P46">
            <v>310</v>
          </cell>
          <cell r="Q46">
            <v>300</v>
          </cell>
        </row>
        <row r="46">
          <cell r="U46">
            <v>13</v>
          </cell>
          <cell r="V46">
            <v>13500</v>
          </cell>
          <cell r="W46">
            <v>18000</v>
          </cell>
        </row>
        <row r="47">
          <cell r="N47">
            <v>14</v>
          </cell>
          <cell r="O47">
            <v>360</v>
          </cell>
          <cell r="P47">
            <v>432</v>
          </cell>
          <cell r="Q47">
            <v>540</v>
          </cell>
        </row>
        <row r="47">
          <cell r="U47">
            <v>14</v>
          </cell>
          <cell r="V47">
            <v>15188</v>
          </cell>
          <cell r="W47">
            <v>20250</v>
          </cell>
        </row>
        <row r="48">
          <cell r="N48">
            <v>15</v>
          </cell>
          <cell r="O48">
            <v>400</v>
          </cell>
          <cell r="P48">
            <v>480</v>
          </cell>
          <cell r="Q48">
            <v>600</v>
          </cell>
        </row>
        <row r="48">
          <cell r="U48">
            <v>15</v>
          </cell>
          <cell r="V48">
            <v>16875</v>
          </cell>
          <cell r="W48">
            <v>22500</v>
          </cell>
        </row>
        <row r="49">
          <cell r="N49">
            <v>16</v>
          </cell>
          <cell r="O49">
            <v>460</v>
          </cell>
          <cell r="P49">
            <v>552</v>
          </cell>
          <cell r="Q49">
            <v>690</v>
          </cell>
        </row>
        <row r="49">
          <cell r="U49">
            <v>16</v>
          </cell>
          <cell r="V49">
            <v>19406</v>
          </cell>
          <cell r="W49">
            <v>25875</v>
          </cell>
        </row>
        <row r="50">
          <cell r="N50">
            <v>17</v>
          </cell>
          <cell r="O50">
            <v>520</v>
          </cell>
          <cell r="P50">
            <v>624</v>
          </cell>
          <cell r="Q50">
            <v>780</v>
          </cell>
        </row>
        <row r="50">
          <cell r="U50">
            <v>17</v>
          </cell>
          <cell r="V50">
            <v>21938</v>
          </cell>
          <cell r="W50">
            <v>29250</v>
          </cell>
        </row>
        <row r="51">
          <cell r="N51">
            <v>18</v>
          </cell>
          <cell r="O51">
            <v>580</v>
          </cell>
          <cell r="P51">
            <v>696</v>
          </cell>
          <cell r="Q51">
            <v>870</v>
          </cell>
        </row>
        <row r="51">
          <cell r="U51">
            <v>18</v>
          </cell>
          <cell r="V51">
            <v>24469</v>
          </cell>
          <cell r="W51">
            <v>32625</v>
          </cell>
        </row>
        <row r="52">
          <cell r="N52">
            <v>19</v>
          </cell>
          <cell r="O52">
            <v>640</v>
          </cell>
          <cell r="P52">
            <v>768</v>
          </cell>
          <cell r="Q52">
            <v>960</v>
          </cell>
        </row>
        <row r="52">
          <cell r="U52">
            <v>19</v>
          </cell>
          <cell r="V52">
            <v>27000</v>
          </cell>
          <cell r="W52">
            <v>36000</v>
          </cell>
        </row>
        <row r="53">
          <cell r="N53">
            <v>20</v>
          </cell>
          <cell r="O53">
            <v>700</v>
          </cell>
          <cell r="P53">
            <v>840</v>
          </cell>
          <cell r="Q53">
            <v>1050</v>
          </cell>
        </row>
        <row r="53">
          <cell r="U53">
            <v>20</v>
          </cell>
          <cell r="V53">
            <v>42000</v>
          </cell>
          <cell r="W53">
            <v>56000</v>
          </cell>
        </row>
        <row r="54">
          <cell r="N54">
            <v>21</v>
          </cell>
          <cell r="O54">
            <v>800</v>
          </cell>
          <cell r="P54">
            <v>960</v>
          </cell>
          <cell r="Q54">
            <v>1200</v>
          </cell>
        </row>
        <row r="54">
          <cell r="U54">
            <v>21</v>
          </cell>
          <cell r="V54">
            <v>48000</v>
          </cell>
          <cell r="W54">
            <v>64000</v>
          </cell>
        </row>
        <row r="55">
          <cell r="N55">
            <v>22</v>
          </cell>
          <cell r="O55">
            <v>900</v>
          </cell>
          <cell r="P55">
            <v>1080</v>
          </cell>
          <cell r="Q55">
            <v>1350</v>
          </cell>
        </row>
        <row r="55">
          <cell r="U55">
            <v>22</v>
          </cell>
          <cell r="V55">
            <v>54000</v>
          </cell>
          <cell r="W55">
            <v>72000</v>
          </cell>
        </row>
        <row r="56">
          <cell r="N56">
            <v>23</v>
          </cell>
          <cell r="O56">
            <v>1000</v>
          </cell>
          <cell r="P56">
            <v>1200</v>
          </cell>
          <cell r="Q56">
            <v>1500</v>
          </cell>
        </row>
        <row r="56">
          <cell r="U56">
            <v>23</v>
          </cell>
          <cell r="V56">
            <v>60000</v>
          </cell>
          <cell r="W56">
            <v>80000</v>
          </cell>
        </row>
        <row r="57">
          <cell r="N57">
            <v>24</v>
          </cell>
          <cell r="O57">
            <v>1100</v>
          </cell>
          <cell r="P57">
            <v>1320</v>
          </cell>
          <cell r="Q57">
            <v>1650</v>
          </cell>
        </row>
        <row r="57">
          <cell r="U57">
            <v>24</v>
          </cell>
          <cell r="V57">
            <v>66000</v>
          </cell>
          <cell r="W57">
            <v>88000</v>
          </cell>
        </row>
        <row r="58">
          <cell r="N58">
            <v>25</v>
          </cell>
          <cell r="O58">
            <v>1200</v>
          </cell>
          <cell r="P58">
            <v>1440</v>
          </cell>
          <cell r="Q58">
            <v>1800</v>
          </cell>
        </row>
        <row r="58">
          <cell r="U58">
            <v>25</v>
          </cell>
          <cell r="V58">
            <v>72000</v>
          </cell>
          <cell r="W58">
            <v>96000</v>
          </cell>
        </row>
        <row r="59">
          <cell r="N59">
            <v>26</v>
          </cell>
          <cell r="O59">
            <v>1300</v>
          </cell>
          <cell r="P59">
            <v>1560</v>
          </cell>
          <cell r="Q59">
            <v>1950</v>
          </cell>
        </row>
        <row r="59">
          <cell r="U59">
            <v>26</v>
          </cell>
          <cell r="V59">
            <v>78000</v>
          </cell>
          <cell r="W59">
            <v>104000</v>
          </cell>
        </row>
        <row r="60">
          <cell r="N60">
            <v>27</v>
          </cell>
          <cell r="O60">
            <v>1400</v>
          </cell>
          <cell r="P60">
            <v>1680</v>
          </cell>
          <cell r="Q60">
            <v>2100</v>
          </cell>
        </row>
        <row r="60">
          <cell r="U60">
            <v>27</v>
          </cell>
          <cell r="V60">
            <v>84000</v>
          </cell>
          <cell r="W60">
            <v>112000</v>
          </cell>
        </row>
        <row r="61">
          <cell r="N61">
            <v>28</v>
          </cell>
          <cell r="O61">
            <v>1500</v>
          </cell>
          <cell r="P61">
            <v>1800</v>
          </cell>
          <cell r="Q61">
            <v>2250</v>
          </cell>
        </row>
        <row r="61">
          <cell r="U61">
            <v>28</v>
          </cell>
          <cell r="V61">
            <v>90000</v>
          </cell>
          <cell r="W61">
            <v>120000</v>
          </cell>
        </row>
        <row r="62">
          <cell r="N62">
            <v>29</v>
          </cell>
          <cell r="O62">
            <v>1600</v>
          </cell>
          <cell r="P62">
            <v>1920</v>
          </cell>
          <cell r="Q62">
            <v>2400</v>
          </cell>
        </row>
        <row r="62">
          <cell r="U62">
            <v>29</v>
          </cell>
          <cell r="V62">
            <v>96000</v>
          </cell>
          <cell r="W62">
            <v>128000</v>
          </cell>
        </row>
        <row r="63">
          <cell r="N63">
            <v>30</v>
          </cell>
          <cell r="O63">
            <v>1700</v>
          </cell>
          <cell r="P63">
            <v>2040</v>
          </cell>
          <cell r="Q63">
            <v>2550</v>
          </cell>
        </row>
        <row r="63">
          <cell r="U63">
            <v>30</v>
          </cell>
          <cell r="V63">
            <v>102000</v>
          </cell>
          <cell r="W63">
            <v>136000</v>
          </cell>
        </row>
        <row r="64">
          <cell r="N64">
            <v>31</v>
          </cell>
          <cell r="O64">
            <v>1900</v>
          </cell>
          <cell r="P64">
            <v>2280</v>
          </cell>
          <cell r="Q64">
            <v>2850</v>
          </cell>
          <cell r="R64">
            <v>30</v>
          </cell>
          <cell r="S64">
            <v>36</v>
          </cell>
          <cell r="T64">
            <v>45</v>
          </cell>
          <cell r="U64">
            <v>31</v>
          </cell>
          <cell r="V64">
            <v>114000</v>
          </cell>
          <cell r="W64">
            <v>152000</v>
          </cell>
          <cell r="X64">
            <v>75</v>
          </cell>
          <cell r="Y64">
            <v>150</v>
          </cell>
        </row>
        <row r="65">
          <cell r="N65">
            <v>32</v>
          </cell>
          <cell r="O65">
            <v>2100</v>
          </cell>
          <cell r="P65">
            <v>2520</v>
          </cell>
          <cell r="Q65">
            <v>3150</v>
          </cell>
          <cell r="R65">
            <v>32</v>
          </cell>
          <cell r="S65">
            <v>38</v>
          </cell>
          <cell r="T65">
            <v>48</v>
          </cell>
          <cell r="U65">
            <v>32</v>
          </cell>
          <cell r="V65">
            <v>126000</v>
          </cell>
          <cell r="W65">
            <v>168000</v>
          </cell>
          <cell r="X65">
            <v>80</v>
          </cell>
          <cell r="Y65">
            <v>160</v>
          </cell>
        </row>
        <row r="66">
          <cell r="N66">
            <v>33</v>
          </cell>
          <cell r="O66">
            <v>2300</v>
          </cell>
          <cell r="P66">
            <v>2760</v>
          </cell>
          <cell r="Q66">
            <v>3450</v>
          </cell>
          <cell r="R66">
            <v>34</v>
          </cell>
          <cell r="S66">
            <v>41</v>
          </cell>
          <cell r="T66">
            <v>51</v>
          </cell>
          <cell r="U66">
            <v>33</v>
          </cell>
          <cell r="V66">
            <v>138000</v>
          </cell>
          <cell r="W66">
            <v>184000</v>
          </cell>
          <cell r="X66">
            <v>85</v>
          </cell>
          <cell r="Y66">
            <v>170</v>
          </cell>
        </row>
        <row r="67">
          <cell r="N67">
            <v>34</v>
          </cell>
          <cell r="O67">
            <v>3500</v>
          </cell>
          <cell r="P67">
            <v>4200</v>
          </cell>
          <cell r="Q67">
            <v>5250</v>
          </cell>
          <cell r="R67">
            <v>45</v>
          </cell>
          <cell r="S67">
            <v>54</v>
          </cell>
          <cell r="T67">
            <v>68</v>
          </cell>
          <cell r="U67">
            <v>34</v>
          </cell>
          <cell r="V67">
            <v>210000</v>
          </cell>
          <cell r="W67">
            <v>280000</v>
          </cell>
          <cell r="X67">
            <v>113</v>
          </cell>
          <cell r="Y67">
            <v>225</v>
          </cell>
        </row>
        <row r="68">
          <cell r="N68">
            <v>35</v>
          </cell>
          <cell r="O68">
            <v>2500</v>
          </cell>
          <cell r="P68">
            <v>3000</v>
          </cell>
          <cell r="Q68">
            <v>3750</v>
          </cell>
          <cell r="R68">
            <v>36</v>
          </cell>
          <cell r="S68">
            <v>43</v>
          </cell>
          <cell r="T68">
            <v>54</v>
          </cell>
          <cell r="U68">
            <v>35</v>
          </cell>
          <cell r="V68">
            <v>150000</v>
          </cell>
          <cell r="W68">
            <v>200000</v>
          </cell>
          <cell r="X68">
            <v>90</v>
          </cell>
          <cell r="Y68">
            <v>180</v>
          </cell>
        </row>
        <row r="69">
          <cell r="N69">
            <v>36</v>
          </cell>
          <cell r="O69">
            <v>2700</v>
          </cell>
          <cell r="P69">
            <v>3240</v>
          </cell>
          <cell r="Q69">
            <v>4050</v>
          </cell>
          <cell r="R69">
            <v>36</v>
          </cell>
          <cell r="S69">
            <v>43</v>
          </cell>
          <cell r="T69">
            <v>54</v>
          </cell>
          <cell r="U69">
            <v>36</v>
          </cell>
          <cell r="V69">
            <v>162000</v>
          </cell>
          <cell r="W69">
            <v>216000</v>
          </cell>
          <cell r="X69">
            <v>90</v>
          </cell>
          <cell r="Y69">
            <v>180</v>
          </cell>
        </row>
        <row r="70">
          <cell r="N70">
            <v>37</v>
          </cell>
          <cell r="O70">
            <v>2900</v>
          </cell>
          <cell r="P70">
            <v>3480</v>
          </cell>
          <cell r="Q70">
            <v>4350</v>
          </cell>
          <cell r="R70">
            <v>38</v>
          </cell>
          <cell r="S70">
            <v>46</v>
          </cell>
          <cell r="T70">
            <v>57</v>
          </cell>
          <cell r="U70">
            <v>37</v>
          </cell>
          <cell r="V70">
            <v>174000</v>
          </cell>
          <cell r="W70">
            <v>232000</v>
          </cell>
          <cell r="X70">
            <v>95</v>
          </cell>
          <cell r="Y70">
            <v>190</v>
          </cell>
        </row>
        <row r="71">
          <cell r="N71">
            <v>38</v>
          </cell>
          <cell r="O71">
            <v>3100</v>
          </cell>
          <cell r="P71">
            <v>3720</v>
          </cell>
          <cell r="Q71">
            <v>4650</v>
          </cell>
          <cell r="R71">
            <v>40</v>
          </cell>
          <cell r="S71">
            <v>48</v>
          </cell>
          <cell r="T71">
            <v>60</v>
          </cell>
          <cell r="U71">
            <v>38</v>
          </cell>
          <cell r="V71">
            <v>186000</v>
          </cell>
          <cell r="W71">
            <v>248000</v>
          </cell>
          <cell r="X71">
            <v>100</v>
          </cell>
          <cell r="Y71">
            <v>200</v>
          </cell>
        </row>
        <row r="72">
          <cell r="N72">
            <v>39</v>
          </cell>
          <cell r="O72">
            <v>3300</v>
          </cell>
          <cell r="P72">
            <v>3960</v>
          </cell>
          <cell r="Q72">
            <v>4950</v>
          </cell>
          <cell r="R72">
            <v>42</v>
          </cell>
          <cell r="S72">
            <v>50</v>
          </cell>
          <cell r="T72">
            <v>63</v>
          </cell>
          <cell r="U72">
            <v>39</v>
          </cell>
          <cell r="V72">
            <v>198000</v>
          </cell>
          <cell r="W72">
            <v>264000</v>
          </cell>
          <cell r="X72">
            <v>105</v>
          </cell>
          <cell r="Y72">
            <v>210</v>
          </cell>
        </row>
        <row r="73">
          <cell r="N73">
            <v>40</v>
          </cell>
          <cell r="O73">
            <v>4500</v>
          </cell>
          <cell r="P73">
            <v>5400</v>
          </cell>
          <cell r="Q73">
            <v>6750</v>
          </cell>
          <cell r="R73">
            <v>50</v>
          </cell>
          <cell r="S73">
            <v>60</v>
          </cell>
          <cell r="T73">
            <v>75</v>
          </cell>
          <cell r="U73">
            <v>40</v>
          </cell>
          <cell r="V73">
            <v>270000</v>
          </cell>
          <cell r="W73">
            <v>360000</v>
          </cell>
          <cell r="X73">
            <v>125</v>
          </cell>
          <cell r="Y73">
            <v>250</v>
          </cell>
        </row>
        <row r="74">
          <cell r="N74">
            <v>41</v>
          </cell>
          <cell r="O74">
            <v>3700</v>
          </cell>
          <cell r="P74">
            <v>4440</v>
          </cell>
          <cell r="Q74">
            <v>5550</v>
          </cell>
          <cell r="R74">
            <v>44</v>
          </cell>
          <cell r="S74">
            <v>53</v>
          </cell>
          <cell r="T74">
            <v>66</v>
          </cell>
          <cell r="U74">
            <v>41</v>
          </cell>
          <cell r="V74">
            <v>222000</v>
          </cell>
          <cell r="W74">
            <v>296000</v>
          </cell>
          <cell r="X74">
            <v>110</v>
          </cell>
          <cell r="Y74">
            <v>220</v>
          </cell>
        </row>
        <row r="75">
          <cell r="N75">
            <v>42</v>
          </cell>
          <cell r="O75">
            <v>4100</v>
          </cell>
          <cell r="P75">
            <v>4920</v>
          </cell>
          <cell r="Q75">
            <v>6150</v>
          </cell>
          <cell r="R75">
            <v>46</v>
          </cell>
          <cell r="S75">
            <v>55</v>
          </cell>
          <cell r="T75">
            <v>69</v>
          </cell>
          <cell r="U75">
            <v>42</v>
          </cell>
          <cell r="V75">
            <v>246000</v>
          </cell>
          <cell r="W75">
            <v>328000</v>
          </cell>
          <cell r="X75">
            <v>115</v>
          </cell>
          <cell r="Y75">
            <v>230</v>
          </cell>
        </row>
        <row r="76">
          <cell r="N76">
            <v>43</v>
          </cell>
          <cell r="O76">
            <v>4500</v>
          </cell>
          <cell r="P76">
            <v>5400</v>
          </cell>
          <cell r="Q76">
            <v>6750</v>
          </cell>
          <cell r="R76">
            <v>48</v>
          </cell>
          <cell r="S76">
            <v>58</v>
          </cell>
          <cell r="T76">
            <v>72</v>
          </cell>
          <cell r="U76">
            <v>43</v>
          </cell>
          <cell r="V76">
            <v>270000</v>
          </cell>
          <cell r="W76">
            <v>360000</v>
          </cell>
          <cell r="X76">
            <v>120</v>
          </cell>
          <cell r="Y76">
            <v>240</v>
          </cell>
        </row>
        <row r="77">
          <cell r="N77">
            <v>44</v>
          </cell>
          <cell r="O77">
            <v>6000</v>
          </cell>
          <cell r="P77">
            <v>7200</v>
          </cell>
          <cell r="Q77">
            <v>9000</v>
          </cell>
          <cell r="R77">
            <v>60</v>
          </cell>
          <cell r="S77">
            <v>72</v>
          </cell>
          <cell r="T77">
            <v>90</v>
          </cell>
          <cell r="U77">
            <v>44</v>
          </cell>
          <cell r="V77">
            <v>360000</v>
          </cell>
          <cell r="W77">
            <v>480000</v>
          </cell>
          <cell r="X77">
            <v>150</v>
          </cell>
          <cell r="Y77">
            <v>300</v>
          </cell>
        </row>
        <row r="78">
          <cell r="N78">
            <v>45</v>
          </cell>
          <cell r="O78">
            <v>4900</v>
          </cell>
          <cell r="P78">
            <v>5880</v>
          </cell>
          <cell r="Q78">
            <v>7350</v>
          </cell>
          <cell r="R78">
            <v>50</v>
          </cell>
          <cell r="S78">
            <v>60</v>
          </cell>
          <cell r="T78">
            <v>75</v>
          </cell>
          <cell r="U78">
            <v>45</v>
          </cell>
          <cell r="V78">
            <v>294000</v>
          </cell>
          <cell r="W78">
            <v>392000</v>
          </cell>
          <cell r="X78">
            <v>125</v>
          </cell>
          <cell r="Y78">
            <v>250</v>
          </cell>
        </row>
        <row r="79">
          <cell r="N79">
            <v>46</v>
          </cell>
          <cell r="O79">
            <v>5300</v>
          </cell>
          <cell r="P79">
            <v>6360</v>
          </cell>
          <cell r="Q79">
            <v>7950</v>
          </cell>
          <cell r="R79">
            <v>54</v>
          </cell>
          <cell r="S79">
            <v>65</v>
          </cell>
          <cell r="T79">
            <v>81</v>
          </cell>
          <cell r="U79">
            <v>46</v>
          </cell>
          <cell r="V79">
            <v>318000</v>
          </cell>
          <cell r="W79">
            <v>424000</v>
          </cell>
          <cell r="X79">
            <v>135</v>
          </cell>
          <cell r="Y79">
            <v>270</v>
          </cell>
        </row>
        <row r="80">
          <cell r="N80">
            <v>47</v>
          </cell>
          <cell r="O80">
            <v>5700</v>
          </cell>
          <cell r="P80">
            <v>6840</v>
          </cell>
          <cell r="Q80">
            <v>8550</v>
          </cell>
          <cell r="R80">
            <v>56</v>
          </cell>
          <cell r="S80">
            <v>67</v>
          </cell>
          <cell r="T80">
            <v>84</v>
          </cell>
          <cell r="U80">
            <v>47</v>
          </cell>
          <cell r="V80">
            <v>342000</v>
          </cell>
          <cell r="W80">
            <v>456000</v>
          </cell>
          <cell r="X80">
            <v>140</v>
          </cell>
          <cell r="Y80">
            <v>280</v>
          </cell>
        </row>
        <row r="81">
          <cell r="N81">
            <v>48</v>
          </cell>
          <cell r="O81">
            <v>6100</v>
          </cell>
          <cell r="P81">
            <v>7320</v>
          </cell>
          <cell r="Q81">
            <v>9150</v>
          </cell>
          <cell r="R81">
            <v>58</v>
          </cell>
          <cell r="S81">
            <v>70</v>
          </cell>
          <cell r="T81">
            <v>87</v>
          </cell>
          <cell r="U81">
            <v>48</v>
          </cell>
          <cell r="V81">
            <v>366000</v>
          </cell>
          <cell r="W81">
            <v>488000</v>
          </cell>
          <cell r="X81">
            <v>145</v>
          </cell>
          <cell r="Y81">
            <v>290</v>
          </cell>
        </row>
        <row r="82">
          <cell r="N82">
            <v>49</v>
          </cell>
          <cell r="O82">
            <v>6500</v>
          </cell>
          <cell r="P82">
            <v>7800</v>
          </cell>
          <cell r="Q82">
            <v>9750</v>
          </cell>
          <cell r="R82">
            <v>60</v>
          </cell>
          <cell r="S82">
            <v>72</v>
          </cell>
          <cell r="T82">
            <v>90</v>
          </cell>
          <cell r="U82">
            <v>49</v>
          </cell>
          <cell r="V82">
            <v>390000</v>
          </cell>
          <cell r="W82">
            <v>520000</v>
          </cell>
          <cell r="X82">
            <v>150</v>
          </cell>
          <cell r="Y82">
            <v>300</v>
          </cell>
        </row>
        <row r="83">
          <cell r="N83">
            <v>50</v>
          </cell>
          <cell r="O83">
            <v>7500</v>
          </cell>
          <cell r="P83">
            <v>9000</v>
          </cell>
          <cell r="Q83">
            <v>11250</v>
          </cell>
          <cell r="R83">
            <v>70</v>
          </cell>
          <cell r="S83">
            <v>84</v>
          </cell>
          <cell r="T83">
            <v>105</v>
          </cell>
          <cell r="U83">
            <v>50</v>
          </cell>
          <cell r="V83">
            <v>450000</v>
          </cell>
          <cell r="W83">
            <v>600000</v>
          </cell>
          <cell r="X83">
            <v>175</v>
          </cell>
          <cell r="Y83">
            <v>350</v>
          </cell>
        </row>
        <row r="84">
          <cell r="N84">
            <v>51</v>
          </cell>
          <cell r="O84">
            <v>6900</v>
          </cell>
          <cell r="P84">
            <v>8280</v>
          </cell>
          <cell r="Q84">
            <v>10350</v>
          </cell>
          <cell r="R84">
            <v>64</v>
          </cell>
          <cell r="S84">
            <v>77</v>
          </cell>
          <cell r="T84">
            <v>96</v>
          </cell>
          <cell r="U84">
            <v>51</v>
          </cell>
          <cell r="V84">
            <v>414000</v>
          </cell>
          <cell r="W84">
            <v>552000</v>
          </cell>
          <cell r="X84">
            <v>160</v>
          </cell>
          <cell r="Y84">
            <v>320</v>
          </cell>
        </row>
        <row r="85">
          <cell r="N85">
            <v>52</v>
          </cell>
          <cell r="O85">
            <v>7300</v>
          </cell>
          <cell r="P85">
            <v>8760</v>
          </cell>
          <cell r="Q85">
            <v>10950</v>
          </cell>
          <cell r="R85">
            <v>66</v>
          </cell>
          <cell r="S85">
            <v>79</v>
          </cell>
          <cell r="T85">
            <v>99</v>
          </cell>
          <cell r="U85">
            <v>52</v>
          </cell>
          <cell r="V85">
            <v>438000</v>
          </cell>
          <cell r="W85">
            <v>584000</v>
          </cell>
          <cell r="X85">
            <v>165</v>
          </cell>
          <cell r="Y85">
            <v>330</v>
          </cell>
        </row>
        <row r="86">
          <cell r="N86">
            <v>53</v>
          </cell>
          <cell r="O86">
            <v>7700</v>
          </cell>
          <cell r="P86">
            <v>9240</v>
          </cell>
          <cell r="Q86">
            <v>11550</v>
          </cell>
          <cell r="R86">
            <v>68</v>
          </cell>
          <cell r="S86">
            <v>82</v>
          </cell>
          <cell r="T86">
            <v>102</v>
          </cell>
          <cell r="U86">
            <v>53</v>
          </cell>
          <cell r="V86">
            <v>462000</v>
          </cell>
          <cell r="W86">
            <v>616000</v>
          </cell>
          <cell r="X86">
            <v>170</v>
          </cell>
          <cell r="Y86">
            <v>340</v>
          </cell>
        </row>
        <row r="87">
          <cell r="N87">
            <v>54</v>
          </cell>
          <cell r="O87">
            <v>9000</v>
          </cell>
          <cell r="P87">
            <v>10800</v>
          </cell>
          <cell r="Q87">
            <v>13500</v>
          </cell>
          <cell r="R87">
            <v>80</v>
          </cell>
          <cell r="S87">
            <v>96</v>
          </cell>
          <cell r="T87">
            <v>120</v>
          </cell>
          <cell r="U87">
            <v>54</v>
          </cell>
          <cell r="V87">
            <v>540000</v>
          </cell>
          <cell r="W87">
            <v>720000</v>
          </cell>
          <cell r="X87">
            <v>200</v>
          </cell>
          <cell r="Y87">
            <v>400</v>
          </cell>
        </row>
        <row r="88">
          <cell r="N88">
            <v>55</v>
          </cell>
          <cell r="O88">
            <v>8100</v>
          </cell>
          <cell r="P88">
            <v>9720</v>
          </cell>
          <cell r="Q88">
            <v>12150</v>
          </cell>
          <cell r="R88">
            <v>70</v>
          </cell>
          <cell r="S88">
            <v>84</v>
          </cell>
          <cell r="T88">
            <v>105</v>
          </cell>
          <cell r="U88">
            <v>55</v>
          </cell>
          <cell r="V88">
            <v>486000</v>
          </cell>
          <cell r="W88">
            <v>648000</v>
          </cell>
          <cell r="X88">
            <v>175</v>
          </cell>
          <cell r="Y88">
            <v>350</v>
          </cell>
        </row>
        <row r="89">
          <cell r="N89">
            <v>56</v>
          </cell>
          <cell r="O89">
            <v>8600</v>
          </cell>
          <cell r="P89">
            <v>10320</v>
          </cell>
          <cell r="Q89">
            <v>12900</v>
          </cell>
          <cell r="R89">
            <v>79</v>
          </cell>
          <cell r="S89">
            <v>95</v>
          </cell>
          <cell r="T89">
            <v>119</v>
          </cell>
          <cell r="U89">
            <v>56</v>
          </cell>
          <cell r="V89">
            <v>516000</v>
          </cell>
          <cell r="W89">
            <v>688000</v>
          </cell>
          <cell r="X89">
            <v>198</v>
          </cell>
          <cell r="Y89">
            <v>395</v>
          </cell>
        </row>
        <row r="90">
          <cell r="N90">
            <v>57</v>
          </cell>
          <cell r="O90">
            <v>9100</v>
          </cell>
          <cell r="P90">
            <v>10920</v>
          </cell>
          <cell r="Q90">
            <v>13650</v>
          </cell>
          <cell r="R90">
            <v>81</v>
          </cell>
          <cell r="S90">
            <v>97</v>
          </cell>
          <cell r="T90">
            <v>122</v>
          </cell>
          <cell r="U90">
            <v>57</v>
          </cell>
          <cell r="V90">
            <v>546000</v>
          </cell>
          <cell r="W90">
            <v>728000</v>
          </cell>
          <cell r="X90">
            <v>203</v>
          </cell>
          <cell r="Y90">
            <v>405</v>
          </cell>
        </row>
        <row r="91">
          <cell r="N91">
            <v>58</v>
          </cell>
          <cell r="O91">
            <v>9600</v>
          </cell>
          <cell r="P91">
            <v>11520</v>
          </cell>
          <cell r="Q91">
            <v>14400</v>
          </cell>
          <cell r="R91">
            <v>83</v>
          </cell>
          <cell r="S91">
            <v>100</v>
          </cell>
          <cell r="T91">
            <v>125</v>
          </cell>
          <cell r="U91">
            <v>58</v>
          </cell>
          <cell r="V91">
            <v>576000</v>
          </cell>
          <cell r="W91">
            <v>768000</v>
          </cell>
          <cell r="X91">
            <v>208</v>
          </cell>
          <cell r="Y91">
            <v>415</v>
          </cell>
        </row>
        <row r="92">
          <cell r="N92">
            <v>59</v>
          </cell>
          <cell r="O92">
            <v>10100</v>
          </cell>
          <cell r="P92">
            <v>12120</v>
          </cell>
          <cell r="Q92">
            <v>15150</v>
          </cell>
          <cell r="R92">
            <v>85</v>
          </cell>
          <cell r="S92">
            <v>102</v>
          </cell>
          <cell r="T92">
            <v>128</v>
          </cell>
          <cell r="U92">
            <v>59</v>
          </cell>
          <cell r="V92">
            <v>606000</v>
          </cell>
          <cell r="W92">
            <v>808000</v>
          </cell>
          <cell r="X92">
            <v>213</v>
          </cell>
          <cell r="Y92">
            <v>425</v>
          </cell>
        </row>
        <row r="93">
          <cell r="N93">
            <v>60</v>
          </cell>
          <cell r="O93">
            <v>11400</v>
          </cell>
          <cell r="P93">
            <v>13680</v>
          </cell>
          <cell r="Q93">
            <v>17100</v>
          </cell>
          <cell r="R93">
            <v>90</v>
          </cell>
          <cell r="S93">
            <v>108</v>
          </cell>
          <cell r="T93">
            <v>135</v>
          </cell>
          <cell r="U93">
            <v>60</v>
          </cell>
          <cell r="V93">
            <v>684000</v>
          </cell>
          <cell r="W93">
            <v>912000</v>
          </cell>
          <cell r="X93">
            <v>225</v>
          </cell>
          <cell r="Y93">
            <v>450</v>
          </cell>
        </row>
        <row r="94">
          <cell r="N94">
            <v>61</v>
          </cell>
          <cell r="O94">
            <v>10500</v>
          </cell>
          <cell r="P94">
            <v>12600</v>
          </cell>
          <cell r="Q94">
            <v>15750</v>
          </cell>
          <cell r="R94">
            <v>87</v>
          </cell>
          <cell r="S94">
            <v>104</v>
          </cell>
          <cell r="T94">
            <v>131</v>
          </cell>
          <cell r="U94">
            <v>61</v>
          </cell>
          <cell r="V94">
            <v>630000</v>
          </cell>
          <cell r="W94">
            <v>840000</v>
          </cell>
          <cell r="X94">
            <v>218</v>
          </cell>
          <cell r="Y94">
            <v>435</v>
          </cell>
        </row>
        <row r="95">
          <cell r="N95">
            <v>62</v>
          </cell>
          <cell r="O95">
            <v>10900</v>
          </cell>
          <cell r="P95">
            <v>13080</v>
          </cell>
          <cell r="Q95">
            <v>16350</v>
          </cell>
          <cell r="R95">
            <v>89</v>
          </cell>
          <cell r="S95">
            <v>107</v>
          </cell>
          <cell r="T95">
            <v>134</v>
          </cell>
          <cell r="U95">
            <v>62</v>
          </cell>
          <cell r="V95">
            <v>654000</v>
          </cell>
          <cell r="W95">
            <v>872000</v>
          </cell>
          <cell r="X95">
            <v>223</v>
          </cell>
          <cell r="Y95">
            <v>445</v>
          </cell>
        </row>
        <row r="96">
          <cell r="N96">
            <v>63</v>
          </cell>
          <cell r="O96">
            <v>11500</v>
          </cell>
          <cell r="P96">
            <v>13800</v>
          </cell>
          <cell r="Q96">
            <v>17250</v>
          </cell>
          <cell r="R96">
            <v>91</v>
          </cell>
          <cell r="S96">
            <v>109</v>
          </cell>
          <cell r="T96">
            <v>137</v>
          </cell>
          <cell r="U96">
            <v>63</v>
          </cell>
          <cell r="V96">
            <v>690000</v>
          </cell>
          <cell r="W96">
            <v>920000</v>
          </cell>
          <cell r="X96">
            <v>228</v>
          </cell>
          <cell r="Y96">
            <v>455</v>
          </cell>
        </row>
        <row r="97">
          <cell r="N97">
            <v>64</v>
          </cell>
          <cell r="O97">
            <v>13000</v>
          </cell>
          <cell r="P97">
            <v>15600</v>
          </cell>
          <cell r="Q97">
            <v>19500</v>
          </cell>
          <cell r="R97">
            <v>100</v>
          </cell>
          <cell r="S97">
            <v>120</v>
          </cell>
          <cell r="T97">
            <v>150</v>
          </cell>
          <cell r="U97">
            <v>64</v>
          </cell>
          <cell r="V97">
            <v>780000</v>
          </cell>
          <cell r="W97">
            <v>1040000</v>
          </cell>
          <cell r="X97">
            <v>250</v>
          </cell>
          <cell r="Y97">
            <v>500</v>
          </cell>
        </row>
        <row r="98">
          <cell r="N98">
            <v>65</v>
          </cell>
          <cell r="O98">
            <v>12300</v>
          </cell>
          <cell r="P98">
            <v>14760</v>
          </cell>
          <cell r="Q98">
            <v>18450</v>
          </cell>
          <cell r="R98">
            <v>93</v>
          </cell>
          <cell r="S98">
            <v>112</v>
          </cell>
          <cell r="T98">
            <v>140</v>
          </cell>
          <cell r="U98">
            <v>65</v>
          </cell>
          <cell r="V98">
            <v>738000</v>
          </cell>
          <cell r="W98">
            <v>984000</v>
          </cell>
          <cell r="X98">
            <v>233</v>
          </cell>
          <cell r="Y98">
            <v>465</v>
          </cell>
        </row>
        <row r="99">
          <cell r="N99">
            <v>66</v>
          </cell>
          <cell r="O99">
            <v>12500</v>
          </cell>
          <cell r="P99">
            <v>15000</v>
          </cell>
          <cell r="Q99">
            <v>18750</v>
          </cell>
          <cell r="R99">
            <v>95</v>
          </cell>
          <cell r="S99">
            <v>114</v>
          </cell>
          <cell r="T99">
            <v>143</v>
          </cell>
          <cell r="U99">
            <v>66</v>
          </cell>
          <cell r="V99">
            <v>750000</v>
          </cell>
          <cell r="W99">
            <v>1000000</v>
          </cell>
          <cell r="X99">
            <v>238</v>
          </cell>
          <cell r="Y99">
            <v>475</v>
          </cell>
        </row>
        <row r="100">
          <cell r="N100">
            <v>67</v>
          </cell>
          <cell r="O100">
            <v>12900</v>
          </cell>
          <cell r="P100">
            <v>15480</v>
          </cell>
          <cell r="Q100">
            <v>19350</v>
          </cell>
          <cell r="R100">
            <v>97</v>
          </cell>
          <cell r="S100">
            <v>116</v>
          </cell>
          <cell r="T100">
            <v>146</v>
          </cell>
          <cell r="U100">
            <v>67</v>
          </cell>
          <cell r="V100">
            <v>774000</v>
          </cell>
          <cell r="W100">
            <v>1032000</v>
          </cell>
          <cell r="X100">
            <v>243</v>
          </cell>
          <cell r="Y100">
            <v>485</v>
          </cell>
        </row>
        <row r="101">
          <cell r="N101">
            <v>68</v>
          </cell>
          <cell r="O101">
            <v>13500</v>
          </cell>
          <cell r="P101">
            <v>16200</v>
          </cell>
          <cell r="Q101">
            <v>20250</v>
          </cell>
          <cell r="R101">
            <v>99</v>
          </cell>
          <cell r="S101">
            <v>119</v>
          </cell>
          <cell r="T101">
            <v>149</v>
          </cell>
          <cell r="U101">
            <v>68</v>
          </cell>
          <cell r="V101">
            <v>810000</v>
          </cell>
          <cell r="W101">
            <v>1080000</v>
          </cell>
          <cell r="X101">
            <v>248</v>
          </cell>
          <cell r="Y101">
            <v>495</v>
          </cell>
        </row>
        <row r="102">
          <cell r="N102">
            <v>69</v>
          </cell>
          <cell r="O102">
            <v>14300</v>
          </cell>
          <cell r="P102">
            <v>17160</v>
          </cell>
          <cell r="Q102">
            <v>21450</v>
          </cell>
          <cell r="R102">
            <v>101</v>
          </cell>
          <cell r="S102">
            <v>121</v>
          </cell>
          <cell r="T102">
            <v>152</v>
          </cell>
          <cell r="U102">
            <v>69</v>
          </cell>
          <cell r="V102">
            <v>858000</v>
          </cell>
          <cell r="W102">
            <v>1144000</v>
          </cell>
          <cell r="X102">
            <v>253</v>
          </cell>
          <cell r="Y102">
            <v>505</v>
          </cell>
        </row>
        <row r="103">
          <cell r="N103">
            <v>70</v>
          </cell>
          <cell r="O103">
            <v>15000</v>
          </cell>
          <cell r="P103">
            <v>18000</v>
          </cell>
          <cell r="Q103">
            <v>22500</v>
          </cell>
          <cell r="R103">
            <v>110</v>
          </cell>
          <cell r="S103">
            <v>132</v>
          </cell>
          <cell r="T103">
            <v>165</v>
          </cell>
          <cell r="U103">
            <v>70</v>
          </cell>
          <cell r="V103">
            <v>900000</v>
          </cell>
          <cell r="W103">
            <v>1200000</v>
          </cell>
          <cell r="X103">
            <v>275</v>
          </cell>
          <cell r="Y103">
            <v>550</v>
          </cell>
        </row>
        <row r="104">
          <cell r="N104">
            <v>71</v>
          </cell>
          <cell r="O104">
            <v>14500</v>
          </cell>
          <cell r="P104">
            <v>17400</v>
          </cell>
          <cell r="Q104">
            <v>21750</v>
          </cell>
          <cell r="R104">
            <v>103</v>
          </cell>
          <cell r="S104">
            <v>124</v>
          </cell>
          <cell r="T104">
            <v>155</v>
          </cell>
          <cell r="U104">
            <v>71</v>
          </cell>
          <cell r="V104">
            <v>870000</v>
          </cell>
          <cell r="W104">
            <v>1160000</v>
          </cell>
          <cell r="X104">
            <v>258</v>
          </cell>
          <cell r="Y104">
            <v>515</v>
          </cell>
        </row>
        <row r="105">
          <cell r="N105">
            <v>72</v>
          </cell>
          <cell r="O105">
            <v>14900</v>
          </cell>
          <cell r="P105">
            <v>17880</v>
          </cell>
          <cell r="Q105">
            <v>22350</v>
          </cell>
          <cell r="R105">
            <v>105</v>
          </cell>
          <cell r="S105">
            <v>126</v>
          </cell>
          <cell r="T105">
            <v>158</v>
          </cell>
          <cell r="U105">
            <v>72</v>
          </cell>
          <cell r="V105">
            <v>894000</v>
          </cell>
          <cell r="W105">
            <v>1192000</v>
          </cell>
          <cell r="X105">
            <v>263</v>
          </cell>
          <cell r="Y105">
            <v>525</v>
          </cell>
        </row>
        <row r="106">
          <cell r="N106">
            <v>73</v>
          </cell>
          <cell r="O106">
            <v>15500</v>
          </cell>
          <cell r="P106">
            <v>18600</v>
          </cell>
          <cell r="Q106">
            <v>23250</v>
          </cell>
          <cell r="R106">
            <v>107</v>
          </cell>
          <cell r="S106">
            <v>128</v>
          </cell>
          <cell r="T106">
            <v>161</v>
          </cell>
          <cell r="U106">
            <v>73</v>
          </cell>
          <cell r="V106">
            <v>930000</v>
          </cell>
          <cell r="W106">
            <v>1240000</v>
          </cell>
          <cell r="X106">
            <v>268</v>
          </cell>
          <cell r="Y106">
            <v>535</v>
          </cell>
        </row>
        <row r="107">
          <cell r="N107">
            <v>74</v>
          </cell>
          <cell r="O107">
            <v>16300</v>
          </cell>
          <cell r="P107">
            <v>19560</v>
          </cell>
          <cell r="Q107">
            <v>24450</v>
          </cell>
          <cell r="R107">
            <v>109</v>
          </cell>
          <cell r="S107">
            <v>131</v>
          </cell>
          <cell r="T107">
            <v>164</v>
          </cell>
          <cell r="U107">
            <v>74</v>
          </cell>
          <cell r="V107">
            <v>978000</v>
          </cell>
          <cell r="W107">
            <v>1304000</v>
          </cell>
          <cell r="X107">
            <v>273</v>
          </cell>
          <cell r="Y107">
            <v>545</v>
          </cell>
        </row>
        <row r="108">
          <cell r="N108">
            <v>75</v>
          </cell>
          <cell r="O108">
            <v>17000</v>
          </cell>
          <cell r="P108">
            <v>20400</v>
          </cell>
          <cell r="Q108">
            <v>25500</v>
          </cell>
          <cell r="R108">
            <v>120</v>
          </cell>
          <cell r="S108">
            <v>144</v>
          </cell>
          <cell r="T108">
            <v>180</v>
          </cell>
          <cell r="U108">
            <v>75</v>
          </cell>
          <cell r="V108">
            <v>1020000</v>
          </cell>
          <cell r="W108">
            <v>1360000</v>
          </cell>
          <cell r="X108">
            <v>300</v>
          </cell>
          <cell r="Y108">
            <v>600</v>
          </cell>
        </row>
        <row r="109">
          <cell r="N109">
            <v>76</v>
          </cell>
          <cell r="O109">
            <v>16500</v>
          </cell>
          <cell r="P109">
            <v>19800</v>
          </cell>
          <cell r="Q109">
            <v>24750</v>
          </cell>
          <cell r="R109">
            <v>111</v>
          </cell>
          <cell r="S109">
            <v>133</v>
          </cell>
          <cell r="T109">
            <v>167</v>
          </cell>
          <cell r="U109">
            <v>76</v>
          </cell>
          <cell r="V109">
            <v>990000</v>
          </cell>
          <cell r="W109">
            <v>1320000</v>
          </cell>
          <cell r="X109">
            <v>278</v>
          </cell>
          <cell r="Y109">
            <v>555</v>
          </cell>
        </row>
        <row r="110">
          <cell r="N110">
            <v>77</v>
          </cell>
          <cell r="O110">
            <v>16900</v>
          </cell>
          <cell r="P110">
            <v>20280</v>
          </cell>
          <cell r="Q110">
            <v>25350</v>
          </cell>
          <cell r="R110">
            <v>122</v>
          </cell>
          <cell r="S110">
            <v>146</v>
          </cell>
          <cell r="T110">
            <v>183</v>
          </cell>
          <cell r="U110">
            <v>77</v>
          </cell>
          <cell r="V110">
            <v>1014000</v>
          </cell>
          <cell r="W110">
            <v>1352000</v>
          </cell>
          <cell r="X110">
            <v>305</v>
          </cell>
          <cell r="Y110">
            <v>610</v>
          </cell>
        </row>
        <row r="111">
          <cell r="N111">
            <v>78</v>
          </cell>
          <cell r="O111">
            <v>17500</v>
          </cell>
          <cell r="P111">
            <v>21000</v>
          </cell>
          <cell r="Q111">
            <v>26250</v>
          </cell>
          <cell r="R111">
            <v>113</v>
          </cell>
          <cell r="S111">
            <v>136</v>
          </cell>
          <cell r="T111">
            <v>170</v>
          </cell>
          <cell r="U111">
            <v>78</v>
          </cell>
          <cell r="V111">
            <v>1050000</v>
          </cell>
          <cell r="W111">
            <v>1400000</v>
          </cell>
          <cell r="X111">
            <v>283</v>
          </cell>
          <cell r="Y111">
            <v>565</v>
          </cell>
        </row>
        <row r="112">
          <cell r="N112">
            <v>79</v>
          </cell>
          <cell r="O112">
            <v>18300</v>
          </cell>
          <cell r="P112">
            <v>21960</v>
          </cell>
          <cell r="Q112">
            <v>27450</v>
          </cell>
          <cell r="R112">
            <v>124</v>
          </cell>
          <cell r="S112">
            <v>149</v>
          </cell>
          <cell r="T112">
            <v>186</v>
          </cell>
          <cell r="U112">
            <v>79</v>
          </cell>
          <cell r="V112">
            <v>1098000</v>
          </cell>
          <cell r="W112">
            <v>1464000</v>
          </cell>
          <cell r="X112">
            <v>310</v>
          </cell>
          <cell r="Y112">
            <v>620</v>
          </cell>
        </row>
        <row r="113">
          <cell r="N113">
            <v>80</v>
          </cell>
          <cell r="O113">
            <v>19000</v>
          </cell>
          <cell r="P113">
            <v>22800</v>
          </cell>
          <cell r="Q113">
            <v>28500</v>
          </cell>
          <cell r="R113">
            <v>130</v>
          </cell>
          <cell r="S113">
            <v>156</v>
          </cell>
          <cell r="T113">
            <v>195</v>
          </cell>
          <cell r="U113">
            <v>80</v>
          </cell>
          <cell r="V113">
            <v>1140000</v>
          </cell>
          <cell r="W113">
            <v>1520000</v>
          </cell>
          <cell r="X113">
            <v>325</v>
          </cell>
          <cell r="Y113">
            <v>650</v>
          </cell>
        </row>
        <row r="114">
          <cell r="N114">
            <v>81</v>
          </cell>
          <cell r="O114">
            <v>18500</v>
          </cell>
          <cell r="P114">
            <v>22200</v>
          </cell>
          <cell r="Q114">
            <v>27750</v>
          </cell>
          <cell r="R114">
            <v>126</v>
          </cell>
          <cell r="S114">
            <v>151</v>
          </cell>
          <cell r="T114">
            <v>189</v>
          </cell>
          <cell r="U114">
            <v>81</v>
          </cell>
          <cell r="V114">
            <v>1110000</v>
          </cell>
          <cell r="W114">
            <v>1480000</v>
          </cell>
          <cell r="X114">
            <v>315</v>
          </cell>
          <cell r="Y114">
            <v>630</v>
          </cell>
        </row>
        <row r="115">
          <cell r="N115">
            <v>82</v>
          </cell>
          <cell r="O115">
            <v>18900</v>
          </cell>
          <cell r="P115">
            <v>22680</v>
          </cell>
          <cell r="Q115">
            <v>28350</v>
          </cell>
          <cell r="R115">
            <v>128</v>
          </cell>
          <cell r="S115">
            <v>154</v>
          </cell>
          <cell r="T115">
            <v>192</v>
          </cell>
          <cell r="U115">
            <v>82</v>
          </cell>
          <cell r="V115">
            <v>1134000</v>
          </cell>
          <cell r="W115">
            <v>1512000</v>
          </cell>
          <cell r="X115">
            <v>320</v>
          </cell>
          <cell r="Y115">
            <v>640</v>
          </cell>
        </row>
        <row r="116">
          <cell r="N116">
            <v>83</v>
          </cell>
          <cell r="O116">
            <v>19500</v>
          </cell>
          <cell r="P116">
            <v>23400</v>
          </cell>
          <cell r="Q116">
            <v>29250</v>
          </cell>
          <cell r="R116">
            <v>130</v>
          </cell>
          <cell r="S116">
            <v>156</v>
          </cell>
          <cell r="T116">
            <v>195</v>
          </cell>
          <cell r="U116">
            <v>83</v>
          </cell>
          <cell r="V116">
            <v>1170000</v>
          </cell>
          <cell r="W116">
            <v>1560000</v>
          </cell>
          <cell r="X116">
            <v>325</v>
          </cell>
          <cell r="Y116">
            <v>650</v>
          </cell>
        </row>
        <row r="117">
          <cell r="N117">
            <v>84</v>
          </cell>
          <cell r="O117">
            <v>20300</v>
          </cell>
          <cell r="P117">
            <v>24360</v>
          </cell>
          <cell r="Q117">
            <v>30450</v>
          </cell>
          <cell r="R117">
            <v>132</v>
          </cell>
          <cell r="S117">
            <v>158</v>
          </cell>
          <cell r="T117">
            <v>198</v>
          </cell>
          <cell r="U117">
            <v>84</v>
          </cell>
          <cell r="V117">
            <v>1218000</v>
          </cell>
          <cell r="W117">
            <v>1624000</v>
          </cell>
          <cell r="X117">
            <v>330</v>
          </cell>
          <cell r="Y117">
            <v>660</v>
          </cell>
        </row>
        <row r="118">
          <cell r="N118">
            <v>85</v>
          </cell>
          <cell r="O118">
            <v>21000</v>
          </cell>
          <cell r="P118">
            <v>25200</v>
          </cell>
          <cell r="Q118">
            <v>31500</v>
          </cell>
          <cell r="R118">
            <v>140</v>
          </cell>
          <cell r="S118">
            <v>168</v>
          </cell>
          <cell r="T118">
            <v>210</v>
          </cell>
          <cell r="U118">
            <v>85</v>
          </cell>
          <cell r="V118">
            <v>1260000</v>
          </cell>
          <cell r="W118">
            <v>1680000</v>
          </cell>
          <cell r="X118">
            <v>350</v>
          </cell>
          <cell r="Y118">
            <v>700</v>
          </cell>
        </row>
        <row r="119">
          <cell r="N119">
            <v>86</v>
          </cell>
          <cell r="O119">
            <v>20500</v>
          </cell>
          <cell r="P119">
            <v>24600</v>
          </cell>
          <cell r="Q119">
            <v>30750</v>
          </cell>
          <cell r="R119">
            <v>134</v>
          </cell>
          <cell r="S119">
            <v>161</v>
          </cell>
          <cell r="T119">
            <v>201</v>
          </cell>
          <cell r="U119">
            <v>86</v>
          </cell>
          <cell r="V119">
            <v>1230000</v>
          </cell>
          <cell r="W119">
            <v>1640000</v>
          </cell>
          <cell r="X119">
            <v>335</v>
          </cell>
          <cell r="Y119">
            <v>670</v>
          </cell>
        </row>
        <row r="120">
          <cell r="N120">
            <v>87</v>
          </cell>
          <cell r="O120">
            <v>20900</v>
          </cell>
          <cell r="P120">
            <v>25080</v>
          </cell>
          <cell r="Q120">
            <v>31350</v>
          </cell>
          <cell r="R120">
            <v>136</v>
          </cell>
          <cell r="S120">
            <v>163</v>
          </cell>
          <cell r="T120">
            <v>204</v>
          </cell>
          <cell r="U120">
            <v>87</v>
          </cell>
          <cell r="V120">
            <v>1254000</v>
          </cell>
          <cell r="W120">
            <v>1672000</v>
          </cell>
          <cell r="X120">
            <v>340</v>
          </cell>
          <cell r="Y120">
            <v>680</v>
          </cell>
        </row>
        <row r="121">
          <cell r="N121">
            <v>88</v>
          </cell>
          <cell r="O121">
            <v>21500</v>
          </cell>
          <cell r="P121">
            <v>25800</v>
          </cell>
          <cell r="Q121">
            <v>32250</v>
          </cell>
          <cell r="R121">
            <v>138</v>
          </cell>
          <cell r="S121">
            <v>166</v>
          </cell>
          <cell r="T121">
            <v>207</v>
          </cell>
          <cell r="U121">
            <v>88</v>
          </cell>
          <cell r="V121">
            <v>1290000</v>
          </cell>
          <cell r="W121">
            <v>1720000</v>
          </cell>
          <cell r="X121">
            <v>345</v>
          </cell>
          <cell r="Y121">
            <v>690</v>
          </cell>
        </row>
        <row r="122">
          <cell r="N122">
            <v>89</v>
          </cell>
          <cell r="O122">
            <v>22300</v>
          </cell>
          <cell r="P122">
            <v>26760</v>
          </cell>
          <cell r="Q122">
            <v>33450</v>
          </cell>
          <cell r="R122">
            <v>140</v>
          </cell>
          <cell r="S122">
            <v>168</v>
          </cell>
          <cell r="T122">
            <v>210</v>
          </cell>
          <cell r="U122">
            <v>89</v>
          </cell>
          <cell r="V122">
            <v>1338000</v>
          </cell>
          <cell r="W122">
            <v>1784000</v>
          </cell>
          <cell r="X122">
            <v>350</v>
          </cell>
          <cell r="Y122">
            <v>700</v>
          </cell>
        </row>
        <row r="123">
          <cell r="N123">
            <v>90</v>
          </cell>
          <cell r="O123">
            <v>23000</v>
          </cell>
          <cell r="P123">
            <v>27600</v>
          </cell>
          <cell r="Q123">
            <v>34500</v>
          </cell>
          <cell r="R123">
            <v>150</v>
          </cell>
          <cell r="S123">
            <v>180</v>
          </cell>
          <cell r="T123">
            <v>225</v>
          </cell>
          <cell r="U123">
            <v>90</v>
          </cell>
          <cell r="V123">
            <v>1380000</v>
          </cell>
          <cell r="W123">
            <v>1840000</v>
          </cell>
          <cell r="X123">
            <v>375</v>
          </cell>
          <cell r="Y123">
            <v>750</v>
          </cell>
        </row>
        <row r="124">
          <cell r="N124">
            <v>91</v>
          </cell>
          <cell r="O124">
            <v>22600</v>
          </cell>
          <cell r="P124">
            <v>27120</v>
          </cell>
          <cell r="Q124">
            <v>33900</v>
          </cell>
          <cell r="R124">
            <v>142</v>
          </cell>
          <cell r="S124">
            <v>170</v>
          </cell>
          <cell r="T124">
            <v>213</v>
          </cell>
          <cell r="U124">
            <v>91</v>
          </cell>
          <cell r="V124">
            <v>1356000</v>
          </cell>
          <cell r="W124">
            <v>1808000</v>
          </cell>
          <cell r="X124">
            <v>355</v>
          </cell>
          <cell r="Y124">
            <v>710</v>
          </cell>
        </row>
        <row r="125">
          <cell r="N125">
            <v>92</v>
          </cell>
          <cell r="O125">
            <v>23200</v>
          </cell>
          <cell r="P125">
            <v>27840</v>
          </cell>
          <cell r="Q125">
            <v>34800</v>
          </cell>
          <cell r="R125">
            <v>144</v>
          </cell>
          <cell r="S125">
            <v>173</v>
          </cell>
          <cell r="T125">
            <v>216</v>
          </cell>
          <cell r="U125">
            <v>92</v>
          </cell>
          <cell r="V125">
            <v>1392000</v>
          </cell>
          <cell r="W125">
            <v>1856000</v>
          </cell>
          <cell r="X125">
            <v>360</v>
          </cell>
          <cell r="Y125">
            <v>720</v>
          </cell>
        </row>
        <row r="126">
          <cell r="N126">
            <v>93</v>
          </cell>
          <cell r="O126">
            <v>24100</v>
          </cell>
          <cell r="P126">
            <v>28920</v>
          </cell>
          <cell r="Q126">
            <v>36150</v>
          </cell>
          <cell r="R126">
            <v>146</v>
          </cell>
          <cell r="S126">
            <v>175</v>
          </cell>
          <cell r="T126">
            <v>219</v>
          </cell>
          <cell r="U126">
            <v>93</v>
          </cell>
          <cell r="V126">
            <v>1446000</v>
          </cell>
          <cell r="W126">
            <v>1928000</v>
          </cell>
          <cell r="X126">
            <v>365</v>
          </cell>
          <cell r="Y126">
            <v>730</v>
          </cell>
        </row>
        <row r="127">
          <cell r="N127">
            <v>94</v>
          </cell>
          <cell r="O127">
            <v>25300</v>
          </cell>
          <cell r="P127">
            <v>30360</v>
          </cell>
          <cell r="Q127">
            <v>37950</v>
          </cell>
          <cell r="R127">
            <v>148</v>
          </cell>
          <cell r="S127">
            <v>178</v>
          </cell>
          <cell r="T127">
            <v>222</v>
          </cell>
          <cell r="U127">
            <v>94</v>
          </cell>
          <cell r="V127">
            <v>1518000</v>
          </cell>
          <cell r="W127">
            <v>2024000</v>
          </cell>
          <cell r="X127">
            <v>370</v>
          </cell>
          <cell r="Y127">
            <v>740</v>
          </cell>
        </row>
        <row r="128">
          <cell r="N128">
            <v>95</v>
          </cell>
          <cell r="O128">
            <v>26500</v>
          </cell>
          <cell r="P128">
            <v>31800</v>
          </cell>
          <cell r="Q128">
            <v>39750</v>
          </cell>
          <cell r="R128">
            <v>160</v>
          </cell>
          <cell r="S128">
            <v>192</v>
          </cell>
          <cell r="T128">
            <v>240</v>
          </cell>
          <cell r="U128">
            <v>95</v>
          </cell>
          <cell r="V128">
            <v>1590000</v>
          </cell>
          <cell r="W128">
            <v>2120000</v>
          </cell>
          <cell r="X128">
            <v>400</v>
          </cell>
          <cell r="Y128">
            <v>800</v>
          </cell>
        </row>
        <row r="129">
          <cell r="N129">
            <v>96</v>
          </cell>
          <cell r="O129">
            <v>25600</v>
          </cell>
          <cell r="P129">
            <v>30720</v>
          </cell>
          <cell r="Q129">
            <v>38400</v>
          </cell>
          <cell r="R129">
            <v>150</v>
          </cell>
          <cell r="S129">
            <v>180</v>
          </cell>
          <cell r="T129">
            <v>225</v>
          </cell>
          <cell r="U129">
            <v>96</v>
          </cell>
          <cell r="V129">
            <v>1536000</v>
          </cell>
          <cell r="W129">
            <v>2048000</v>
          </cell>
          <cell r="X129">
            <v>375</v>
          </cell>
          <cell r="Y129">
            <v>750</v>
          </cell>
        </row>
        <row r="130">
          <cell r="N130">
            <v>97</v>
          </cell>
          <cell r="O130">
            <v>26200</v>
          </cell>
          <cell r="P130">
            <v>31440</v>
          </cell>
          <cell r="Q130">
            <v>39300</v>
          </cell>
          <cell r="R130">
            <v>152</v>
          </cell>
          <cell r="S130">
            <v>182</v>
          </cell>
          <cell r="T130">
            <v>228</v>
          </cell>
          <cell r="U130">
            <v>97</v>
          </cell>
          <cell r="V130">
            <v>1572000</v>
          </cell>
          <cell r="W130">
            <v>2096000</v>
          </cell>
          <cell r="X130">
            <v>380</v>
          </cell>
          <cell r="Y130">
            <v>760</v>
          </cell>
        </row>
        <row r="131">
          <cell r="N131">
            <v>98</v>
          </cell>
          <cell r="O131">
            <v>27100</v>
          </cell>
          <cell r="P131">
            <v>32520</v>
          </cell>
          <cell r="Q131">
            <v>40650</v>
          </cell>
          <cell r="R131">
            <v>154</v>
          </cell>
          <cell r="S131">
            <v>185</v>
          </cell>
          <cell r="T131">
            <v>231</v>
          </cell>
          <cell r="U131">
            <v>98</v>
          </cell>
          <cell r="V131">
            <v>1626000</v>
          </cell>
          <cell r="W131">
            <v>2168000</v>
          </cell>
          <cell r="X131">
            <v>385</v>
          </cell>
          <cell r="Y131">
            <v>770</v>
          </cell>
        </row>
        <row r="132">
          <cell r="N132">
            <v>99</v>
          </cell>
          <cell r="O132">
            <v>28300</v>
          </cell>
          <cell r="P132">
            <v>33960</v>
          </cell>
          <cell r="Q132">
            <v>42450</v>
          </cell>
          <cell r="R132">
            <v>156</v>
          </cell>
          <cell r="S132">
            <v>187</v>
          </cell>
          <cell r="T132">
            <v>234</v>
          </cell>
          <cell r="U132">
            <v>99</v>
          </cell>
          <cell r="V132">
            <v>1698000</v>
          </cell>
          <cell r="W132">
            <v>2264000</v>
          </cell>
          <cell r="X132">
            <v>390</v>
          </cell>
          <cell r="Y132">
            <v>780</v>
          </cell>
        </row>
        <row r="133">
          <cell r="N133">
            <v>100</v>
          </cell>
          <cell r="O133">
            <v>30000</v>
          </cell>
          <cell r="P133">
            <v>36000</v>
          </cell>
          <cell r="Q133">
            <v>45000</v>
          </cell>
          <cell r="R133">
            <v>170</v>
          </cell>
          <cell r="S133">
            <v>204</v>
          </cell>
          <cell r="T133">
            <v>255</v>
          </cell>
          <cell r="U133">
            <v>100</v>
          </cell>
          <cell r="V133">
            <v>1800000</v>
          </cell>
          <cell r="W133">
            <v>2400000</v>
          </cell>
          <cell r="X133">
            <v>425</v>
          </cell>
          <cell r="Y133">
            <v>850</v>
          </cell>
        </row>
        <row r="134">
          <cell r="N134">
            <v>101</v>
          </cell>
          <cell r="O134">
            <v>28700</v>
          </cell>
          <cell r="P134">
            <v>34440</v>
          </cell>
          <cell r="Q134">
            <v>43050</v>
          </cell>
          <cell r="R134">
            <v>160</v>
          </cell>
          <cell r="S134">
            <v>192</v>
          </cell>
          <cell r="T134">
            <v>240</v>
          </cell>
          <cell r="U134">
            <v>101</v>
          </cell>
          <cell r="V134">
            <v>1722000</v>
          </cell>
          <cell r="W134">
            <v>2296000</v>
          </cell>
          <cell r="X134">
            <v>400</v>
          </cell>
          <cell r="Y134">
            <v>800</v>
          </cell>
        </row>
        <row r="135">
          <cell r="N135">
            <v>102</v>
          </cell>
          <cell r="O135">
            <v>29500</v>
          </cell>
          <cell r="P135">
            <v>35400</v>
          </cell>
          <cell r="Q135">
            <v>44250</v>
          </cell>
          <cell r="R135">
            <v>164</v>
          </cell>
          <cell r="S135">
            <v>197</v>
          </cell>
          <cell r="T135">
            <v>246</v>
          </cell>
          <cell r="U135">
            <v>102</v>
          </cell>
          <cell r="V135">
            <v>1770000</v>
          </cell>
          <cell r="W135">
            <v>2360000</v>
          </cell>
          <cell r="X135">
            <v>410</v>
          </cell>
          <cell r="Y135">
            <v>820</v>
          </cell>
        </row>
        <row r="136">
          <cell r="N136">
            <v>103</v>
          </cell>
          <cell r="O136">
            <v>30700</v>
          </cell>
          <cell r="P136">
            <v>36840</v>
          </cell>
          <cell r="Q136">
            <v>46050</v>
          </cell>
          <cell r="R136">
            <v>168</v>
          </cell>
          <cell r="S136">
            <v>202</v>
          </cell>
          <cell r="T136">
            <v>252</v>
          </cell>
          <cell r="U136">
            <v>103</v>
          </cell>
          <cell r="V136">
            <v>1842000</v>
          </cell>
          <cell r="W136">
            <v>2456000</v>
          </cell>
          <cell r="X136">
            <v>420</v>
          </cell>
          <cell r="Y136">
            <v>840</v>
          </cell>
        </row>
        <row r="137">
          <cell r="N137">
            <v>104</v>
          </cell>
          <cell r="O137">
            <v>32400</v>
          </cell>
          <cell r="P137">
            <v>38880</v>
          </cell>
          <cell r="Q137">
            <v>48600</v>
          </cell>
          <cell r="R137">
            <v>180</v>
          </cell>
          <cell r="S137">
            <v>216</v>
          </cell>
          <cell r="T137">
            <v>270</v>
          </cell>
          <cell r="U137">
            <v>104</v>
          </cell>
          <cell r="V137">
            <v>1944000</v>
          </cell>
          <cell r="W137">
            <v>2592000</v>
          </cell>
          <cell r="X137">
            <v>450</v>
          </cell>
          <cell r="Y137">
            <v>900</v>
          </cell>
        </row>
        <row r="138">
          <cell r="N138">
            <v>105</v>
          </cell>
          <cell r="O138">
            <v>31100</v>
          </cell>
          <cell r="P138">
            <v>37320</v>
          </cell>
          <cell r="Q138">
            <v>46650</v>
          </cell>
          <cell r="R138">
            <v>172</v>
          </cell>
          <cell r="S138">
            <v>206</v>
          </cell>
          <cell r="T138">
            <v>258</v>
          </cell>
          <cell r="U138">
            <v>105</v>
          </cell>
          <cell r="V138">
            <v>1866000</v>
          </cell>
          <cell r="W138">
            <v>2488000</v>
          </cell>
          <cell r="X138">
            <v>430</v>
          </cell>
          <cell r="Y138">
            <v>860</v>
          </cell>
        </row>
        <row r="139">
          <cell r="N139">
            <v>106</v>
          </cell>
          <cell r="O139">
            <v>31700</v>
          </cell>
          <cell r="P139">
            <v>38040</v>
          </cell>
          <cell r="Q139">
            <v>47550</v>
          </cell>
          <cell r="R139">
            <v>176</v>
          </cell>
          <cell r="S139">
            <v>211</v>
          </cell>
          <cell r="T139">
            <v>264</v>
          </cell>
          <cell r="U139">
            <v>106</v>
          </cell>
          <cell r="V139">
            <v>1902000</v>
          </cell>
          <cell r="W139">
            <v>2536000</v>
          </cell>
          <cell r="X139">
            <v>440</v>
          </cell>
          <cell r="Y139">
            <v>880</v>
          </cell>
        </row>
        <row r="140">
          <cell r="N140">
            <v>107</v>
          </cell>
          <cell r="O140">
            <v>32500</v>
          </cell>
          <cell r="P140">
            <v>39000</v>
          </cell>
          <cell r="Q140">
            <v>48750</v>
          </cell>
          <cell r="R140">
            <v>180</v>
          </cell>
          <cell r="S140">
            <v>216</v>
          </cell>
          <cell r="T140">
            <v>270</v>
          </cell>
          <cell r="U140">
            <v>107</v>
          </cell>
          <cell r="V140">
            <v>1950000</v>
          </cell>
          <cell r="W140">
            <v>2600000</v>
          </cell>
          <cell r="X140">
            <v>450</v>
          </cell>
          <cell r="Y140">
            <v>900</v>
          </cell>
        </row>
        <row r="141">
          <cell r="N141">
            <v>108</v>
          </cell>
          <cell r="O141">
            <v>33500</v>
          </cell>
          <cell r="P141">
            <v>40200</v>
          </cell>
          <cell r="Q141">
            <v>50250</v>
          </cell>
          <cell r="R141">
            <v>184</v>
          </cell>
          <cell r="S141">
            <v>221</v>
          </cell>
          <cell r="T141">
            <v>276</v>
          </cell>
          <cell r="U141">
            <v>108</v>
          </cell>
          <cell r="V141">
            <v>2010000</v>
          </cell>
          <cell r="W141">
            <v>2680000</v>
          </cell>
          <cell r="X141">
            <v>460</v>
          </cell>
          <cell r="Y141">
            <v>920</v>
          </cell>
        </row>
        <row r="142">
          <cell r="N142">
            <v>109</v>
          </cell>
          <cell r="O142">
            <v>34700</v>
          </cell>
          <cell r="P142">
            <v>41640</v>
          </cell>
          <cell r="Q142">
            <v>52050</v>
          </cell>
          <cell r="R142">
            <v>188</v>
          </cell>
          <cell r="S142">
            <v>226</v>
          </cell>
          <cell r="T142">
            <v>282</v>
          </cell>
          <cell r="U142">
            <v>109</v>
          </cell>
          <cell r="V142">
            <v>2082000</v>
          </cell>
          <cell r="W142">
            <v>2776000</v>
          </cell>
          <cell r="X142">
            <v>470</v>
          </cell>
          <cell r="Y142">
            <v>940</v>
          </cell>
        </row>
        <row r="143">
          <cell r="N143">
            <v>110</v>
          </cell>
          <cell r="O143">
            <v>36400</v>
          </cell>
          <cell r="P143">
            <v>43680</v>
          </cell>
          <cell r="Q143">
            <v>54600</v>
          </cell>
          <cell r="R143">
            <v>200</v>
          </cell>
          <cell r="S143">
            <v>240</v>
          </cell>
          <cell r="T143">
            <v>300</v>
          </cell>
          <cell r="U143">
            <v>110</v>
          </cell>
          <cell r="V143">
            <v>2184000</v>
          </cell>
          <cell r="W143">
            <v>2912000</v>
          </cell>
          <cell r="X143">
            <v>500</v>
          </cell>
          <cell r="Y143">
            <v>1000</v>
          </cell>
        </row>
        <row r="144">
          <cell r="N144">
            <v>111</v>
          </cell>
          <cell r="O144">
            <v>35100</v>
          </cell>
          <cell r="P144">
            <v>42120</v>
          </cell>
          <cell r="Q144">
            <v>52650</v>
          </cell>
          <cell r="R144">
            <v>194</v>
          </cell>
          <cell r="S144">
            <v>233</v>
          </cell>
          <cell r="T144">
            <v>291</v>
          </cell>
          <cell r="U144">
            <v>111</v>
          </cell>
          <cell r="V144">
            <v>2106000</v>
          </cell>
          <cell r="W144">
            <v>2808000</v>
          </cell>
          <cell r="X144">
            <v>485</v>
          </cell>
          <cell r="Y144">
            <v>970</v>
          </cell>
        </row>
        <row r="145">
          <cell r="N145">
            <v>112</v>
          </cell>
          <cell r="O145">
            <v>35700</v>
          </cell>
          <cell r="P145">
            <v>42840</v>
          </cell>
          <cell r="Q145">
            <v>53550</v>
          </cell>
          <cell r="R145">
            <v>200</v>
          </cell>
          <cell r="S145">
            <v>240</v>
          </cell>
          <cell r="T145">
            <v>300</v>
          </cell>
          <cell r="U145">
            <v>112</v>
          </cell>
          <cell r="V145">
            <v>2142000</v>
          </cell>
          <cell r="W145">
            <v>2856000</v>
          </cell>
          <cell r="X145">
            <v>500</v>
          </cell>
          <cell r="Y145">
            <v>1000</v>
          </cell>
        </row>
        <row r="146">
          <cell r="N146">
            <v>113</v>
          </cell>
          <cell r="O146">
            <v>36500</v>
          </cell>
          <cell r="P146">
            <v>43800</v>
          </cell>
          <cell r="Q146">
            <v>54750</v>
          </cell>
          <cell r="R146">
            <v>206</v>
          </cell>
          <cell r="S146">
            <v>247</v>
          </cell>
          <cell r="T146">
            <v>309</v>
          </cell>
          <cell r="U146">
            <v>113</v>
          </cell>
          <cell r="V146">
            <v>2190000</v>
          </cell>
          <cell r="W146">
            <v>2920000</v>
          </cell>
          <cell r="X146">
            <v>515</v>
          </cell>
          <cell r="Y146">
            <v>1030</v>
          </cell>
        </row>
        <row r="147">
          <cell r="N147">
            <v>114</v>
          </cell>
          <cell r="O147">
            <v>38400</v>
          </cell>
          <cell r="P147">
            <v>46080</v>
          </cell>
          <cell r="Q147">
            <v>57600</v>
          </cell>
          <cell r="R147">
            <v>212</v>
          </cell>
          <cell r="S147">
            <v>254</v>
          </cell>
          <cell r="T147">
            <v>318</v>
          </cell>
          <cell r="U147">
            <v>114</v>
          </cell>
          <cell r="V147">
            <v>2304000</v>
          </cell>
          <cell r="W147">
            <v>3072000</v>
          </cell>
          <cell r="X147">
            <v>530</v>
          </cell>
          <cell r="Y147">
            <v>1060</v>
          </cell>
        </row>
        <row r="148">
          <cell r="N148">
            <v>115</v>
          </cell>
          <cell r="O148">
            <v>36900</v>
          </cell>
          <cell r="P148">
            <v>44280</v>
          </cell>
          <cell r="Q148">
            <v>55350</v>
          </cell>
          <cell r="R148">
            <v>220</v>
          </cell>
          <cell r="S148">
            <v>264</v>
          </cell>
          <cell r="T148">
            <v>330</v>
          </cell>
          <cell r="U148">
            <v>115</v>
          </cell>
          <cell r="V148">
            <v>2214000</v>
          </cell>
          <cell r="W148">
            <v>2952000</v>
          </cell>
          <cell r="X148">
            <v>550</v>
          </cell>
          <cell r="Y148">
            <v>1100</v>
          </cell>
        </row>
        <row r="149">
          <cell r="N149">
            <v>116</v>
          </cell>
          <cell r="O149">
            <v>37500</v>
          </cell>
          <cell r="P149">
            <v>45000</v>
          </cell>
          <cell r="Q149">
            <v>56250</v>
          </cell>
          <cell r="R149">
            <v>218</v>
          </cell>
          <cell r="S149">
            <v>262</v>
          </cell>
          <cell r="T149">
            <v>327</v>
          </cell>
          <cell r="U149">
            <v>116</v>
          </cell>
          <cell r="V149">
            <v>2250000</v>
          </cell>
          <cell r="W149">
            <v>3000000</v>
          </cell>
          <cell r="X149">
            <v>545</v>
          </cell>
          <cell r="Y149">
            <v>1090</v>
          </cell>
        </row>
        <row r="150">
          <cell r="N150">
            <v>117</v>
          </cell>
          <cell r="O150">
            <v>38300</v>
          </cell>
          <cell r="P150">
            <v>45960</v>
          </cell>
          <cell r="Q150">
            <v>57450</v>
          </cell>
          <cell r="R150">
            <v>224</v>
          </cell>
          <cell r="S150">
            <v>269</v>
          </cell>
          <cell r="T150">
            <v>336</v>
          </cell>
          <cell r="U150">
            <v>117</v>
          </cell>
          <cell r="V150">
            <v>2298000</v>
          </cell>
          <cell r="W150">
            <v>3064000</v>
          </cell>
          <cell r="X150">
            <v>560</v>
          </cell>
          <cell r="Y150">
            <v>1120</v>
          </cell>
        </row>
        <row r="151">
          <cell r="N151">
            <v>118</v>
          </cell>
          <cell r="O151">
            <v>39500</v>
          </cell>
          <cell r="P151">
            <v>47400</v>
          </cell>
          <cell r="Q151">
            <v>59250</v>
          </cell>
          <cell r="R151">
            <v>230</v>
          </cell>
          <cell r="S151">
            <v>276</v>
          </cell>
          <cell r="T151">
            <v>345</v>
          </cell>
          <cell r="U151">
            <v>118</v>
          </cell>
          <cell r="V151">
            <v>2370000</v>
          </cell>
          <cell r="W151">
            <v>3160000</v>
          </cell>
          <cell r="X151">
            <v>575</v>
          </cell>
          <cell r="Y151">
            <v>1150</v>
          </cell>
        </row>
        <row r="152">
          <cell r="N152">
            <v>119</v>
          </cell>
          <cell r="O152">
            <v>41100</v>
          </cell>
          <cell r="P152">
            <v>49320</v>
          </cell>
          <cell r="Q152">
            <v>61650</v>
          </cell>
          <cell r="R152">
            <v>236</v>
          </cell>
          <cell r="S152">
            <v>283</v>
          </cell>
          <cell r="T152">
            <v>354</v>
          </cell>
          <cell r="U152">
            <v>119</v>
          </cell>
          <cell r="V152">
            <v>2466000</v>
          </cell>
          <cell r="W152">
            <v>3288000</v>
          </cell>
          <cell r="X152">
            <v>590</v>
          </cell>
          <cell r="Y152">
            <v>1180</v>
          </cell>
        </row>
        <row r="153">
          <cell r="N153">
            <v>120</v>
          </cell>
          <cell r="O153">
            <v>42400</v>
          </cell>
          <cell r="P153">
            <v>50880</v>
          </cell>
          <cell r="Q153">
            <v>63600</v>
          </cell>
          <cell r="R153">
            <v>240</v>
          </cell>
          <cell r="S153">
            <v>288</v>
          </cell>
          <cell r="T153">
            <v>360</v>
          </cell>
          <cell r="U153">
            <v>120</v>
          </cell>
          <cell r="V153">
            <v>2544000</v>
          </cell>
          <cell r="W153">
            <v>3392000</v>
          </cell>
          <cell r="X153">
            <v>600</v>
          </cell>
          <cell r="Y153">
            <v>1200</v>
          </cell>
        </row>
        <row r="154">
          <cell r="N154">
            <v>121</v>
          </cell>
          <cell r="O154">
            <v>41500</v>
          </cell>
          <cell r="P154">
            <v>49800</v>
          </cell>
          <cell r="Q154">
            <v>62250</v>
          </cell>
          <cell r="R154">
            <v>244</v>
          </cell>
          <cell r="S154">
            <v>293</v>
          </cell>
          <cell r="T154">
            <v>366</v>
          </cell>
          <cell r="U154">
            <v>121</v>
          </cell>
          <cell r="V154">
            <v>2490000</v>
          </cell>
          <cell r="W154">
            <v>3320000</v>
          </cell>
          <cell r="X154">
            <v>610</v>
          </cell>
          <cell r="Y154">
            <v>1220</v>
          </cell>
        </row>
        <row r="155">
          <cell r="N155">
            <v>122</v>
          </cell>
          <cell r="O155">
            <v>42100</v>
          </cell>
          <cell r="P155">
            <v>50520</v>
          </cell>
          <cell r="Q155">
            <v>63150</v>
          </cell>
          <cell r="R155">
            <v>252</v>
          </cell>
          <cell r="S155">
            <v>302</v>
          </cell>
          <cell r="T155">
            <v>378</v>
          </cell>
          <cell r="U155">
            <v>122</v>
          </cell>
          <cell r="V155">
            <v>2526000</v>
          </cell>
          <cell r="W155">
            <v>3368000</v>
          </cell>
          <cell r="X155">
            <v>630</v>
          </cell>
          <cell r="Y155">
            <v>1260</v>
          </cell>
        </row>
        <row r="156">
          <cell r="N156">
            <v>123</v>
          </cell>
          <cell r="O156">
            <v>42900</v>
          </cell>
          <cell r="P156">
            <v>51480</v>
          </cell>
          <cell r="Q156">
            <v>64350</v>
          </cell>
          <cell r="R156">
            <v>260</v>
          </cell>
          <cell r="S156">
            <v>312</v>
          </cell>
          <cell r="T156">
            <v>390</v>
          </cell>
          <cell r="U156">
            <v>123</v>
          </cell>
          <cell r="V156">
            <v>2574000</v>
          </cell>
          <cell r="W156">
            <v>3432000</v>
          </cell>
          <cell r="X156">
            <v>650</v>
          </cell>
          <cell r="Y156">
            <v>1300</v>
          </cell>
        </row>
        <row r="157">
          <cell r="N157">
            <v>124</v>
          </cell>
          <cell r="O157">
            <v>44400</v>
          </cell>
          <cell r="P157">
            <v>53280</v>
          </cell>
          <cell r="Q157">
            <v>66600</v>
          </cell>
          <cell r="R157">
            <v>268</v>
          </cell>
          <cell r="S157">
            <v>322</v>
          </cell>
          <cell r="T157">
            <v>402</v>
          </cell>
          <cell r="U157">
            <v>124</v>
          </cell>
          <cell r="V157">
            <v>2664000</v>
          </cell>
          <cell r="W157">
            <v>3552000</v>
          </cell>
          <cell r="X157">
            <v>670</v>
          </cell>
          <cell r="Y157">
            <v>1340</v>
          </cell>
        </row>
        <row r="158">
          <cell r="N158">
            <v>125</v>
          </cell>
          <cell r="O158">
            <v>43300</v>
          </cell>
          <cell r="P158">
            <v>51960</v>
          </cell>
          <cell r="Q158">
            <v>64950</v>
          </cell>
          <cell r="R158">
            <v>260</v>
          </cell>
          <cell r="S158">
            <v>312</v>
          </cell>
          <cell r="T158">
            <v>390</v>
          </cell>
          <cell r="U158">
            <v>125</v>
          </cell>
          <cell r="V158">
            <v>2598000</v>
          </cell>
          <cell r="W158">
            <v>3464000</v>
          </cell>
          <cell r="X158">
            <v>650</v>
          </cell>
          <cell r="Y158">
            <v>1300</v>
          </cell>
        </row>
        <row r="159">
          <cell r="N159">
            <v>126</v>
          </cell>
          <cell r="O159">
            <v>43900</v>
          </cell>
          <cell r="P159">
            <v>52680</v>
          </cell>
          <cell r="Q159">
            <v>65850</v>
          </cell>
          <cell r="R159">
            <v>276</v>
          </cell>
          <cell r="S159">
            <v>331</v>
          </cell>
          <cell r="T159">
            <v>414</v>
          </cell>
          <cell r="U159">
            <v>126</v>
          </cell>
          <cell r="V159">
            <v>2634000</v>
          </cell>
          <cell r="W159">
            <v>3512000</v>
          </cell>
          <cell r="X159">
            <v>690</v>
          </cell>
          <cell r="Y159">
            <v>1380</v>
          </cell>
        </row>
        <row r="160">
          <cell r="N160">
            <v>127</v>
          </cell>
          <cell r="O160">
            <v>44700</v>
          </cell>
          <cell r="P160">
            <v>53640</v>
          </cell>
          <cell r="Q160">
            <v>67050</v>
          </cell>
          <cell r="R160">
            <v>284</v>
          </cell>
          <cell r="S160">
            <v>341</v>
          </cell>
          <cell r="T160">
            <v>426</v>
          </cell>
          <cell r="U160">
            <v>127</v>
          </cell>
          <cell r="V160">
            <v>2682000</v>
          </cell>
          <cell r="W160">
            <v>3576000</v>
          </cell>
          <cell r="X160">
            <v>710</v>
          </cell>
          <cell r="Y160">
            <v>1420</v>
          </cell>
        </row>
        <row r="161">
          <cell r="N161">
            <v>128</v>
          </cell>
          <cell r="O161">
            <v>45900</v>
          </cell>
          <cell r="P161">
            <v>55080</v>
          </cell>
          <cell r="Q161">
            <v>68850</v>
          </cell>
          <cell r="R161">
            <v>292</v>
          </cell>
          <cell r="S161">
            <v>350</v>
          </cell>
          <cell r="T161">
            <v>438</v>
          </cell>
          <cell r="U161">
            <v>128</v>
          </cell>
          <cell r="V161">
            <v>2754000</v>
          </cell>
          <cell r="W161">
            <v>3672000</v>
          </cell>
          <cell r="X161">
            <v>730</v>
          </cell>
          <cell r="Y161">
            <v>1460</v>
          </cell>
        </row>
        <row r="162">
          <cell r="N162">
            <v>129</v>
          </cell>
          <cell r="O162">
            <v>47500</v>
          </cell>
          <cell r="P162">
            <v>57000</v>
          </cell>
          <cell r="Q162">
            <v>71250</v>
          </cell>
          <cell r="R162">
            <v>300</v>
          </cell>
          <cell r="S162">
            <v>360</v>
          </cell>
          <cell r="T162">
            <v>450</v>
          </cell>
          <cell r="U162">
            <v>129</v>
          </cell>
          <cell r="V162">
            <v>2850000</v>
          </cell>
          <cell r="W162">
            <v>3800000</v>
          </cell>
          <cell r="X162">
            <v>750</v>
          </cell>
          <cell r="Y162">
            <v>1500</v>
          </cell>
        </row>
        <row r="163">
          <cell r="N163">
            <v>130</v>
          </cell>
          <cell r="O163">
            <v>48900</v>
          </cell>
          <cell r="P163">
            <v>58680</v>
          </cell>
          <cell r="Q163">
            <v>73350</v>
          </cell>
          <cell r="R163">
            <v>320</v>
          </cell>
          <cell r="S163">
            <v>384</v>
          </cell>
          <cell r="T163">
            <v>480</v>
          </cell>
          <cell r="U163">
            <v>130</v>
          </cell>
          <cell r="V163">
            <v>2934000</v>
          </cell>
          <cell r="W163">
            <v>3912000</v>
          </cell>
          <cell r="X163">
            <v>800</v>
          </cell>
          <cell r="Y163">
            <v>1600</v>
          </cell>
        </row>
        <row r="164">
          <cell r="N164">
            <v>131</v>
          </cell>
          <cell r="O164">
            <v>48100</v>
          </cell>
          <cell r="P164">
            <v>57720</v>
          </cell>
          <cell r="Q164">
            <v>72150</v>
          </cell>
          <cell r="R164">
            <v>310</v>
          </cell>
          <cell r="S164">
            <v>372</v>
          </cell>
          <cell r="T164">
            <v>465</v>
          </cell>
          <cell r="U164">
            <v>131</v>
          </cell>
          <cell r="V164">
            <v>2886000</v>
          </cell>
          <cell r="W164">
            <v>3848000</v>
          </cell>
          <cell r="X164">
            <v>775</v>
          </cell>
          <cell r="Y164">
            <v>1550</v>
          </cell>
        </row>
        <row r="165">
          <cell r="N165">
            <v>132</v>
          </cell>
          <cell r="O165">
            <v>48900</v>
          </cell>
          <cell r="P165">
            <v>58680</v>
          </cell>
          <cell r="Q165">
            <v>73350</v>
          </cell>
          <cell r="R165">
            <v>320</v>
          </cell>
          <cell r="S165">
            <v>384</v>
          </cell>
          <cell r="T165">
            <v>480</v>
          </cell>
          <cell r="U165">
            <v>132</v>
          </cell>
          <cell r="V165">
            <v>2934000</v>
          </cell>
          <cell r="W165">
            <v>3912000</v>
          </cell>
          <cell r="X165">
            <v>800</v>
          </cell>
          <cell r="Y165">
            <v>1600</v>
          </cell>
        </row>
        <row r="166">
          <cell r="N166">
            <v>133</v>
          </cell>
          <cell r="O166">
            <v>49900</v>
          </cell>
          <cell r="P166">
            <v>59880</v>
          </cell>
          <cell r="Q166">
            <v>74850</v>
          </cell>
          <cell r="R166">
            <v>330</v>
          </cell>
          <cell r="S166">
            <v>396</v>
          </cell>
          <cell r="T166">
            <v>495</v>
          </cell>
          <cell r="U166">
            <v>133</v>
          </cell>
          <cell r="V166">
            <v>2994000</v>
          </cell>
          <cell r="W166">
            <v>3992000</v>
          </cell>
          <cell r="X166">
            <v>825</v>
          </cell>
          <cell r="Y166">
            <v>1650</v>
          </cell>
        </row>
        <row r="167">
          <cell r="N167">
            <v>134</v>
          </cell>
          <cell r="O167">
            <v>51400</v>
          </cell>
          <cell r="P167">
            <v>61680</v>
          </cell>
          <cell r="Q167">
            <v>77100</v>
          </cell>
          <cell r="R167">
            <v>340</v>
          </cell>
          <cell r="S167">
            <v>408</v>
          </cell>
          <cell r="T167">
            <v>510</v>
          </cell>
          <cell r="U167">
            <v>134</v>
          </cell>
          <cell r="V167">
            <v>3084000</v>
          </cell>
          <cell r="W167">
            <v>4112000</v>
          </cell>
          <cell r="X167">
            <v>850</v>
          </cell>
          <cell r="Y167">
            <v>1700</v>
          </cell>
        </row>
        <row r="168">
          <cell r="N168">
            <v>135</v>
          </cell>
          <cell r="O168">
            <v>50500</v>
          </cell>
          <cell r="P168">
            <v>60600</v>
          </cell>
          <cell r="Q168">
            <v>75750</v>
          </cell>
          <cell r="R168">
            <v>380</v>
          </cell>
          <cell r="S168">
            <v>456</v>
          </cell>
          <cell r="T168">
            <v>570</v>
          </cell>
          <cell r="U168">
            <v>135</v>
          </cell>
          <cell r="V168">
            <v>3030000</v>
          </cell>
          <cell r="W168">
            <v>4040000</v>
          </cell>
          <cell r="X168">
            <v>950</v>
          </cell>
          <cell r="Y168">
            <v>1900</v>
          </cell>
        </row>
        <row r="169">
          <cell r="N169">
            <v>136</v>
          </cell>
          <cell r="O169">
            <v>51300</v>
          </cell>
          <cell r="P169">
            <v>61560</v>
          </cell>
          <cell r="Q169">
            <v>76950</v>
          </cell>
          <cell r="R169">
            <v>350</v>
          </cell>
          <cell r="S169">
            <v>420</v>
          </cell>
          <cell r="T169">
            <v>525</v>
          </cell>
          <cell r="U169">
            <v>136</v>
          </cell>
          <cell r="V169">
            <v>3078000</v>
          </cell>
          <cell r="W169">
            <v>4104000</v>
          </cell>
          <cell r="X169">
            <v>875</v>
          </cell>
          <cell r="Y169">
            <v>1750</v>
          </cell>
        </row>
        <row r="170">
          <cell r="N170">
            <v>137</v>
          </cell>
          <cell r="O170">
            <v>52300</v>
          </cell>
          <cell r="P170">
            <v>62760</v>
          </cell>
          <cell r="Q170">
            <v>78450</v>
          </cell>
          <cell r="R170">
            <v>360</v>
          </cell>
          <cell r="S170">
            <v>432</v>
          </cell>
          <cell r="T170">
            <v>540</v>
          </cell>
          <cell r="U170">
            <v>137</v>
          </cell>
          <cell r="V170">
            <v>3138000</v>
          </cell>
          <cell r="W170">
            <v>4184000</v>
          </cell>
          <cell r="X170">
            <v>900</v>
          </cell>
          <cell r="Y170">
            <v>1800</v>
          </cell>
        </row>
        <row r="171">
          <cell r="N171">
            <v>138</v>
          </cell>
          <cell r="O171">
            <v>53500</v>
          </cell>
          <cell r="P171">
            <v>64200</v>
          </cell>
          <cell r="Q171">
            <v>80250</v>
          </cell>
          <cell r="R171">
            <v>370</v>
          </cell>
          <cell r="S171">
            <v>444</v>
          </cell>
          <cell r="T171">
            <v>555</v>
          </cell>
          <cell r="U171">
            <v>138</v>
          </cell>
          <cell r="V171">
            <v>3210000</v>
          </cell>
          <cell r="W171">
            <v>4280000</v>
          </cell>
          <cell r="X171">
            <v>925</v>
          </cell>
          <cell r="Y171">
            <v>1850</v>
          </cell>
        </row>
        <row r="172">
          <cell r="N172">
            <v>139</v>
          </cell>
          <cell r="O172">
            <v>54900</v>
          </cell>
          <cell r="P172">
            <v>65880</v>
          </cell>
          <cell r="Q172">
            <v>82350</v>
          </cell>
          <cell r="R172">
            <v>380</v>
          </cell>
          <cell r="S172">
            <v>456</v>
          </cell>
          <cell r="T172">
            <v>570</v>
          </cell>
          <cell r="U172">
            <v>139</v>
          </cell>
          <cell r="V172">
            <v>3294000</v>
          </cell>
          <cell r="W172">
            <v>4392000</v>
          </cell>
          <cell r="X172">
            <v>950</v>
          </cell>
          <cell r="Y172">
            <v>1900</v>
          </cell>
        </row>
        <row r="173">
          <cell r="N173">
            <v>140</v>
          </cell>
          <cell r="O173">
            <v>56400</v>
          </cell>
          <cell r="P173">
            <v>67680</v>
          </cell>
          <cell r="Q173">
            <v>84600</v>
          </cell>
          <cell r="R173">
            <v>420</v>
          </cell>
          <cell r="S173">
            <v>504</v>
          </cell>
          <cell r="T173">
            <v>630</v>
          </cell>
          <cell r="U173">
            <v>140</v>
          </cell>
          <cell r="V173">
            <v>3384000</v>
          </cell>
          <cell r="W173">
            <v>4512000</v>
          </cell>
          <cell r="X173">
            <v>1050</v>
          </cell>
          <cell r="Y173">
            <v>2100</v>
          </cell>
        </row>
        <row r="174">
          <cell r="N174">
            <v>141</v>
          </cell>
          <cell r="O174">
            <v>55500</v>
          </cell>
          <cell r="P174">
            <v>66600</v>
          </cell>
          <cell r="Q174">
            <v>83250</v>
          </cell>
          <cell r="R174">
            <v>390</v>
          </cell>
          <cell r="S174">
            <v>468</v>
          </cell>
          <cell r="T174">
            <v>585</v>
          </cell>
          <cell r="U174">
            <v>141</v>
          </cell>
          <cell r="V174">
            <v>3330000</v>
          </cell>
          <cell r="W174">
            <v>4440000</v>
          </cell>
          <cell r="X174">
            <v>975</v>
          </cell>
          <cell r="Y174">
            <v>1950</v>
          </cell>
        </row>
        <row r="175">
          <cell r="N175">
            <v>142</v>
          </cell>
          <cell r="O175">
            <v>56300</v>
          </cell>
          <cell r="P175">
            <v>67560</v>
          </cell>
          <cell r="Q175">
            <v>84450</v>
          </cell>
          <cell r="R175">
            <v>400</v>
          </cell>
          <cell r="S175">
            <v>480</v>
          </cell>
          <cell r="T175">
            <v>600</v>
          </cell>
          <cell r="U175">
            <v>142</v>
          </cell>
          <cell r="V175">
            <v>3378000</v>
          </cell>
          <cell r="W175">
            <v>4504000</v>
          </cell>
          <cell r="X175">
            <v>1000</v>
          </cell>
          <cell r="Y175">
            <v>2000</v>
          </cell>
        </row>
        <row r="176">
          <cell r="N176">
            <v>143</v>
          </cell>
          <cell r="O176">
            <v>57300</v>
          </cell>
          <cell r="P176">
            <v>68760</v>
          </cell>
          <cell r="Q176">
            <v>85950</v>
          </cell>
          <cell r="R176">
            <v>410</v>
          </cell>
          <cell r="S176">
            <v>492</v>
          </cell>
          <cell r="T176">
            <v>615</v>
          </cell>
          <cell r="U176">
            <v>143</v>
          </cell>
          <cell r="V176">
            <v>3438000</v>
          </cell>
          <cell r="W176">
            <v>4584000</v>
          </cell>
          <cell r="X176">
            <v>1025</v>
          </cell>
          <cell r="Y176">
            <v>2050</v>
          </cell>
        </row>
        <row r="177">
          <cell r="N177">
            <v>144</v>
          </cell>
          <cell r="O177">
            <v>59300</v>
          </cell>
          <cell r="P177">
            <v>71160</v>
          </cell>
          <cell r="Q177">
            <v>88950</v>
          </cell>
          <cell r="R177">
            <v>420</v>
          </cell>
          <cell r="S177">
            <v>504</v>
          </cell>
          <cell r="T177">
            <v>630</v>
          </cell>
          <cell r="U177">
            <v>144</v>
          </cell>
          <cell r="V177">
            <v>3558000</v>
          </cell>
          <cell r="W177">
            <v>4744000</v>
          </cell>
          <cell r="X177">
            <v>1050</v>
          </cell>
          <cell r="Y177">
            <v>2100</v>
          </cell>
        </row>
        <row r="178">
          <cell r="N178">
            <v>145</v>
          </cell>
          <cell r="O178">
            <v>57900</v>
          </cell>
          <cell r="P178">
            <v>69480</v>
          </cell>
          <cell r="Q178">
            <v>86850</v>
          </cell>
          <cell r="R178">
            <v>460</v>
          </cell>
          <cell r="S178">
            <v>552</v>
          </cell>
          <cell r="T178">
            <v>690</v>
          </cell>
          <cell r="U178">
            <v>145</v>
          </cell>
          <cell r="V178">
            <v>3474000</v>
          </cell>
          <cell r="W178">
            <v>4632000</v>
          </cell>
          <cell r="X178">
            <v>1150</v>
          </cell>
          <cell r="Y178">
            <v>2300</v>
          </cell>
        </row>
        <row r="179">
          <cell r="N179">
            <v>146</v>
          </cell>
          <cell r="O179">
            <v>58700</v>
          </cell>
          <cell r="P179">
            <v>70440</v>
          </cell>
          <cell r="Q179">
            <v>88050</v>
          </cell>
          <cell r="R179">
            <v>430</v>
          </cell>
          <cell r="S179">
            <v>516</v>
          </cell>
          <cell r="T179">
            <v>645</v>
          </cell>
          <cell r="U179">
            <v>146</v>
          </cell>
          <cell r="V179">
            <v>3522000</v>
          </cell>
          <cell r="W179">
            <v>4696000</v>
          </cell>
          <cell r="X179">
            <v>1075</v>
          </cell>
          <cell r="Y179">
            <v>2150</v>
          </cell>
        </row>
        <row r="180">
          <cell r="N180">
            <v>147</v>
          </cell>
          <cell r="O180">
            <v>59700</v>
          </cell>
          <cell r="P180">
            <v>71640</v>
          </cell>
          <cell r="Q180">
            <v>89550</v>
          </cell>
          <cell r="R180">
            <v>440</v>
          </cell>
          <cell r="S180">
            <v>528</v>
          </cell>
          <cell r="T180">
            <v>660</v>
          </cell>
          <cell r="U180">
            <v>147</v>
          </cell>
          <cell r="V180">
            <v>3582000</v>
          </cell>
          <cell r="W180">
            <v>4776000</v>
          </cell>
          <cell r="X180">
            <v>1100</v>
          </cell>
          <cell r="Y180">
            <v>2200</v>
          </cell>
        </row>
        <row r="181">
          <cell r="N181">
            <v>148</v>
          </cell>
          <cell r="O181">
            <v>60900</v>
          </cell>
          <cell r="P181">
            <v>73080</v>
          </cell>
          <cell r="Q181">
            <v>91350</v>
          </cell>
          <cell r="R181">
            <v>450</v>
          </cell>
          <cell r="S181">
            <v>540</v>
          </cell>
          <cell r="T181">
            <v>675</v>
          </cell>
          <cell r="U181">
            <v>148</v>
          </cell>
          <cell r="V181">
            <v>3654000</v>
          </cell>
          <cell r="W181">
            <v>4872000</v>
          </cell>
          <cell r="X181">
            <v>1125</v>
          </cell>
          <cell r="Y181">
            <v>2250</v>
          </cell>
        </row>
        <row r="182">
          <cell r="N182">
            <v>149</v>
          </cell>
          <cell r="O182">
            <v>62300</v>
          </cell>
          <cell r="P182">
            <v>74760</v>
          </cell>
          <cell r="Q182">
            <v>93450</v>
          </cell>
          <cell r="R182">
            <v>460</v>
          </cell>
          <cell r="S182">
            <v>552</v>
          </cell>
          <cell r="T182">
            <v>690</v>
          </cell>
          <cell r="U182">
            <v>149</v>
          </cell>
          <cell r="V182">
            <v>3738000</v>
          </cell>
          <cell r="W182">
            <v>4984000</v>
          </cell>
          <cell r="X182">
            <v>1150</v>
          </cell>
          <cell r="Y182">
            <v>2300</v>
          </cell>
        </row>
        <row r="183">
          <cell r="N183">
            <v>150</v>
          </cell>
          <cell r="O183">
            <v>64300</v>
          </cell>
          <cell r="P183">
            <v>77160</v>
          </cell>
          <cell r="Q183">
            <v>96450</v>
          </cell>
          <cell r="R183">
            <v>500</v>
          </cell>
          <cell r="S183">
            <v>600</v>
          </cell>
          <cell r="T183">
            <v>750</v>
          </cell>
          <cell r="U183">
            <v>150</v>
          </cell>
          <cell r="V183">
            <v>3858000</v>
          </cell>
          <cell r="W183">
            <v>5144000</v>
          </cell>
          <cell r="X183">
            <v>1250</v>
          </cell>
          <cell r="Y183">
            <v>2500</v>
          </cell>
        </row>
        <row r="184">
          <cell r="N184">
            <v>151</v>
          </cell>
          <cell r="O184">
            <v>62900</v>
          </cell>
          <cell r="P184">
            <v>75480</v>
          </cell>
          <cell r="Q184">
            <v>94350</v>
          </cell>
          <cell r="R184">
            <v>470</v>
          </cell>
          <cell r="S184">
            <v>564</v>
          </cell>
          <cell r="T184">
            <v>705</v>
          </cell>
          <cell r="U184">
            <v>151</v>
          </cell>
          <cell r="V184">
            <v>3774000</v>
          </cell>
          <cell r="W184">
            <v>5032000</v>
          </cell>
          <cell r="X184">
            <v>1175</v>
          </cell>
          <cell r="Y184">
            <v>2350</v>
          </cell>
        </row>
        <row r="185">
          <cell r="N185">
            <v>152</v>
          </cell>
          <cell r="O185">
            <v>63700</v>
          </cell>
          <cell r="P185">
            <v>76440</v>
          </cell>
          <cell r="Q185">
            <v>95550</v>
          </cell>
          <cell r="R185">
            <v>480</v>
          </cell>
          <cell r="S185">
            <v>576</v>
          </cell>
          <cell r="T185">
            <v>720</v>
          </cell>
          <cell r="U185">
            <v>152</v>
          </cell>
          <cell r="V185">
            <v>3822000</v>
          </cell>
          <cell r="W185">
            <v>5096000</v>
          </cell>
          <cell r="X185">
            <v>1200</v>
          </cell>
          <cell r="Y185">
            <v>2400</v>
          </cell>
        </row>
        <row r="186">
          <cell r="N186">
            <v>153</v>
          </cell>
          <cell r="O186">
            <v>64700</v>
          </cell>
          <cell r="P186">
            <v>77640</v>
          </cell>
          <cell r="Q186">
            <v>97050</v>
          </cell>
          <cell r="R186">
            <v>490</v>
          </cell>
          <cell r="S186">
            <v>588</v>
          </cell>
          <cell r="T186">
            <v>735</v>
          </cell>
          <cell r="U186">
            <v>153</v>
          </cell>
          <cell r="V186">
            <v>3882000</v>
          </cell>
          <cell r="W186">
            <v>5176000</v>
          </cell>
          <cell r="X186">
            <v>1225</v>
          </cell>
          <cell r="Y186">
            <v>2450</v>
          </cell>
        </row>
        <row r="187">
          <cell r="N187">
            <v>154</v>
          </cell>
          <cell r="O187">
            <v>66700</v>
          </cell>
          <cell r="P187">
            <v>80040</v>
          </cell>
          <cell r="Q187">
            <v>100050</v>
          </cell>
          <cell r="R187">
            <v>500</v>
          </cell>
          <cell r="S187">
            <v>600</v>
          </cell>
          <cell r="T187">
            <v>750</v>
          </cell>
          <cell r="U187">
            <v>154</v>
          </cell>
          <cell r="V187">
            <v>4002000</v>
          </cell>
          <cell r="W187">
            <v>5336000</v>
          </cell>
          <cell r="X187">
            <v>1250</v>
          </cell>
          <cell r="Y187">
            <v>2500</v>
          </cell>
        </row>
        <row r="188">
          <cell r="N188">
            <v>155</v>
          </cell>
          <cell r="O188">
            <v>65300</v>
          </cell>
          <cell r="P188">
            <v>78360</v>
          </cell>
          <cell r="Q188">
            <v>97950</v>
          </cell>
          <cell r="R188">
            <v>540</v>
          </cell>
          <cell r="S188">
            <v>648</v>
          </cell>
          <cell r="T188">
            <v>810</v>
          </cell>
          <cell r="U188">
            <v>155</v>
          </cell>
          <cell r="V188">
            <v>3918000</v>
          </cell>
          <cell r="W188">
            <v>5224000</v>
          </cell>
          <cell r="X188">
            <v>1350</v>
          </cell>
          <cell r="Y188">
            <v>2700</v>
          </cell>
        </row>
        <row r="189">
          <cell r="N189">
            <v>156</v>
          </cell>
          <cell r="O189">
            <v>66100</v>
          </cell>
          <cell r="P189">
            <v>79320</v>
          </cell>
          <cell r="Q189">
            <v>99150</v>
          </cell>
          <cell r="R189">
            <v>510</v>
          </cell>
          <cell r="S189">
            <v>612</v>
          </cell>
          <cell r="T189">
            <v>765</v>
          </cell>
          <cell r="U189">
            <v>156</v>
          </cell>
          <cell r="V189">
            <v>3966000</v>
          </cell>
          <cell r="W189">
            <v>5288000</v>
          </cell>
          <cell r="X189">
            <v>1275</v>
          </cell>
          <cell r="Y189">
            <v>2550</v>
          </cell>
        </row>
        <row r="190">
          <cell r="N190">
            <v>157</v>
          </cell>
          <cell r="O190">
            <v>67100</v>
          </cell>
          <cell r="P190">
            <v>80520</v>
          </cell>
          <cell r="Q190">
            <v>100650</v>
          </cell>
          <cell r="R190">
            <v>520</v>
          </cell>
          <cell r="S190">
            <v>624</v>
          </cell>
          <cell r="T190">
            <v>780</v>
          </cell>
          <cell r="U190">
            <v>157</v>
          </cell>
          <cell r="V190">
            <v>4026000</v>
          </cell>
          <cell r="W190">
            <v>5368000</v>
          </cell>
          <cell r="X190">
            <v>1300</v>
          </cell>
          <cell r="Y190">
            <v>2600</v>
          </cell>
        </row>
        <row r="191">
          <cell r="N191">
            <v>158</v>
          </cell>
          <cell r="O191">
            <v>68300</v>
          </cell>
          <cell r="P191">
            <v>81960</v>
          </cell>
          <cell r="Q191">
            <v>102450</v>
          </cell>
          <cell r="R191">
            <v>530</v>
          </cell>
          <cell r="S191">
            <v>636</v>
          </cell>
          <cell r="T191">
            <v>795</v>
          </cell>
          <cell r="U191">
            <v>158</v>
          </cell>
          <cell r="V191">
            <v>4098000</v>
          </cell>
          <cell r="W191">
            <v>5464000</v>
          </cell>
          <cell r="X191">
            <v>1325</v>
          </cell>
          <cell r="Y191">
            <v>2650</v>
          </cell>
        </row>
        <row r="192">
          <cell r="N192">
            <v>159</v>
          </cell>
          <cell r="O192">
            <v>69700</v>
          </cell>
          <cell r="P192">
            <v>83640</v>
          </cell>
          <cell r="Q192">
            <v>104550</v>
          </cell>
          <cell r="R192">
            <v>540</v>
          </cell>
          <cell r="S192">
            <v>648</v>
          </cell>
          <cell r="T192">
            <v>810</v>
          </cell>
          <cell r="U192">
            <v>159</v>
          </cell>
          <cell r="V192">
            <v>4182000</v>
          </cell>
          <cell r="W192">
            <v>5576000</v>
          </cell>
          <cell r="X192">
            <v>1350</v>
          </cell>
          <cell r="Y192">
            <v>2700</v>
          </cell>
        </row>
        <row r="193">
          <cell r="N193">
            <v>160</v>
          </cell>
          <cell r="O193">
            <v>71700</v>
          </cell>
          <cell r="P193">
            <v>86040</v>
          </cell>
          <cell r="Q193">
            <v>107550</v>
          </cell>
          <cell r="R193">
            <v>580</v>
          </cell>
          <cell r="S193">
            <v>696</v>
          </cell>
          <cell r="T193">
            <v>870</v>
          </cell>
          <cell r="U193">
            <v>160</v>
          </cell>
          <cell r="V193">
            <v>4302000</v>
          </cell>
          <cell r="W193">
            <v>5736000</v>
          </cell>
          <cell r="X193">
            <v>1450</v>
          </cell>
          <cell r="Y193">
            <v>2900</v>
          </cell>
        </row>
        <row r="194">
          <cell r="N194">
            <v>161</v>
          </cell>
          <cell r="O194">
            <v>70500</v>
          </cell>
          <cell r="P194">
            <v>84600</v>
          </cell>
          <cell r="Q194">
            <v>105750</v>
          </cell>
          <cell r="R194">
            <v>550</v>
          </cell>
          <cell r="S194">
            <v>660</v>
          </cell>
          <cell r="T194">
            <v>825</v>
          </cell>
          <cell r="U194">
            <v>161</v>
          </cell>
          <cell r="V194">
            <v>4230000</v>
          </cell>
          <cell r="W194">
            <v>5640000</v>
          </cell>
          <cell r="X194">
            <v>1375</v>
          </cell>
          <cell r="Y194">
            <v>2750</v>
          </cell>
        </row>
        <row r="195">
          <cell r="N195">
            <v>162</v>
          </cell>
          <cell r="O195">
            <v>71500</v>
          </cell>
          <cell r="P195">
            <v>85800</v>
          </cell>
          <cell r="Q195">
            <v>107250</v>
          </cell>
          <cell r="R195">
            <v>560</v>
          </cell>
          <cell r="S195">
            <v>672</v>
          </cell>
          <cell r="T195">
            <v>840</v>
          </cell>
          <cell r="U195">
            <v>162</v>
          </cell>
          <cell r="V195">
            <v>4290000</v>
          </cell>
          <cell r="W195">
            <v>5720000</v>
          </cell>
          <cell r="X195">
            <v>1400</v>
          </cell>
          <cell r="Y195">
            <v>2800</v>
          </cell>
        </row>
        <row r="196">
          <cell r="N196">
            <v>163</v>
          </cell>
          <cell r="O196">
            <v>72700</v>
          </cell>
          <cell r="P196">
            <v>87240</v>
          </cell>
          <cell r="Q196">
            <v>109050</v>
          </cell>
          <cell r="R196">
            <v>570</v>
          </cell>
          <cell r="S196">
            <v>684</v>
          </cell>
          <cell r="T196">
            <v>855</v>
          </cell>
          <cell r="U196">
            <v>163</v>
          </cell>
          <cell r="V196">
            <v>4362000</v>
          </cell>
          <cell r="W196">
            <v>5816000</v>
          </cell>
          <cell r="X196">
            <v>1425</v>
          </cell>
          <cell r="Y196">
            <v>2850</v>
          </cell>
        </row>
        <row r="197">
          <cell r="N197">
            <v>164</v>
          </cell>
          <cell r="O197">
            <v>75200</v>
          </cell>
          <cell r="P197">
            <v>90240</v>
          </cell>
          <cell r="Q197">
            <v>112800</v>
          </cell>
          <cell r="R197">
            <v>580</v>
          </cell>
          <cell r="S197">
            <v>696</v>
          </cell>
          <cell r="T197">
            <v>870</v>
          </cell>
          <cell r="U197">
            <v>164</v>
          </cell>
          <cell r="V197">
            <v>4512000</v>
          </cell>
          <cell r="W197">
            <v>6016000</v>
          </cell>
          <cell r="X197">
            <v>1450</v>
          </cell>
          <cell r="Y197">
            <v>2900</v>
          </cell>
        </row>
        <row r="198">
          <cell r="N198">
            <v>165</v>
          </cell>
          <cell r="O198">
            <v>73500</v>
          </cell>
          <cell r="P198">
            <v>88200</v>
          </cell>
          <cell r="Q198">
            <v>110250</v>
          </cell>
          <cell r="R198">
            <v>620</v>
          </cell>
          <cell r="S198">
            <v>744</v>
          </cell>
          <cell r="T198">
            <v>930</v>
          </cell>
          <cell r="U198">
            <v>165</v>
          </cell>
          <cell r="V198">
            <v>4410000</v>
          </cell>
          <cell r="W198">
            <v>5880000</v>
          </cell>
          <cell r="X198">
            <v>1550</v>
          </cell>
          <cell r="Y198">
            <v>3100</v>
          </cell>
        </row>
        <row r="199">
          <cell r="N199">
            <v>166</v>
          </cell>
          <cell r="O199">
            <v>74500</v>
          </cell>
          <cell r="P199">
            <v>89400</v>
          </cell>
          <cell r="Q199">
            <v>111750</v>
          </cell>
          <cell r="R199">
            <v>590</v>
          </cell>
          <cell r="S199">
            <v>708</v>
          </cell>
          <cell r="T199">
            <v>885</v>
          </cell>
          <cell r="U199">
            <v>166</v>
          </cell>
          <cell r="V199">
            <v>4470000</v>
          </cell>
          <cell r="W199">
            <v>5960000</v>
          </cell>
          <cell r="X199">
            <v>1475</v>
          </cell>
          <cell r="Y199">
            <v>2950</v>
          </cell>
        </row>
        <row r="200">
          <cell r="N200">
            <v>167</v>
          </cell>
          <cell r="O200">
            <v>75700</v>
          </cell>
          <cell r="P200">
            <v>90840</v>
          </cell>
          <cell r="Q200">
            <v>113550</v>
          </cell>
          <cell r="R200">
            <v>600</v>
          </cell>
          <cell r="S200">
            <v>720</v>
          </cell>
          <cell r="T200">
            <v>900</v>
          </cell>
          <cell r="U200">
            <v>167</v>
          </cell>
          <cell r="V200">
            <v>4542000</v>
          </cell>
          <cell r="W200">
            <v>6056000</v>
          </cell>
          <cell r="X200">
            <v>1500</v>
          </cell>
          <cell r="Y200">
            <v>3000</v>
          </cell>
        </row>
        <row r="201">
          <cell r="N201">
            <v>168</v>
          </cell>
          <cell r="O201">
            <v>77100</v>
          </cell>
          <cell r="P201">
            <v>92520</v>
          </cell>
          <cell r="Q201">
            <v>115650</v>
          </cell>
          <cell r="R201">
            <v>610</v>
          </cell>
          <cell r="S201">
            <v>732</v>
          </cell>
          <cell r="T201">
            <v>915</v>
          </cell>
          <cell r="U201">
            <v>168</v>
          </cell>
          <cell r="V201">
            <v>4626000</v>
          </cell>
          <cell r="W201">
            <v>6168000</v>
          </cell>
          <cell r="X201">
            <v>1525</v>
          </cell>
          <cell r="Y201">
            <v>3050</v>
          </cell>
        </row>
        <row r="202">
          <cell r="N202">
            <v>169</v>
          </cell>
          <cell r="O202">
            <v>78700</v>
          </cell>
          <cell r="P202">
            <v>94440</v>
          </cell>
          <cell r="Q202">
            <v>118050</v>
          </cell>
          <cell r="R202">
            <v>620</v>
          </cell>
          <cell r="S202">
            <v>744</v>
          </cell>
          <cell r="T202">
            <v>930</v>
          </cell>
          <cell r="U202">
            <v>169</v>
          </cell>
          <cell r="V202">
            <v>4722000</v>
          </cell>
          <cell r="W202">
            <v>6296000</v>
          </cell>
          <cell r="X202">
            <v>1550</v>
          </cell>
          <cell r="Y202">
            <v>3100</v>
          </cell>
        </row>
        <row r="203">
          <cell r="N203">
            <v>170</v>
          </cell>
          <cell r="O203">
            <v>81200</v>
          </cell>
          <cell r="P203">
            <v>97440</v>
          </cell>
          <cell r="Q203">
            <v>121800</v>
          </cell>
          <cell r="R203">
            <v>660</v>
          </cell>
          <cell r="S203">
            <v>792</v>
          </cell>
          <cell r="T203">
            <v>990</v>
          </cell>
          <cell r="U203">
            <v>170</v>
          </cell>
          <cell r="V203">
            <v>4872000</v>
          </cell>
          <cell r="W203">
            <v>6496000</v>
          </cell>
          <cell r="X203">
            <v>1650</v>
          </cell>
          <cell r="Y203">
            <v>3300</v>
          </cell>
        </row>
        <row r="204">
          <cell r="N204">
            <v>171</v>
          </cell>
          <cell r="O204">
            <v>79500</v>
          </cell>
          <cell r="P204">
            <v>95400</v>
          </cell>
          <cell r="Q204">
            <v>119250</v>
          </cell>
          <cell r="R204">
            <v>630</v>
          </cell>
          <cell r="S204">
            <v>756</v>
          </cell>
          <cell r="T204">
            <v>945</v>
          </cell>
          <cell r="U204">
            <v>171</v>
          </cell>
          <cell r="V204">
            <v>4770000</v>
          </cell>
          <cell r="W204">
            <v>6360000</v>
          </cell>
          <cell r="X204">
            <v>1575</v>
          </cell>
          <cell r="Y204">
            <v>3150</v>
          </cell>
        </row>
        <row r="205">
          <cell r="N205">
            <v>172</v>
          </cell>
          <cell r="O205">
            <v>80500</v>
          </cell>
          <cell r="P205">
            <v>96600</v>
          </cell>
          <cell r="Q205">
            <v>120750</v>
          </cell>
          <cell r="R205">
            <v>640</v>
          </cell>
          <cell r="S205">
            <v>768</v>
          </cell>
          <cell r="T205">
            <v>960</v>
          </cell>
          <cell r="U205">
            <v>172</v>
          </cell>
          <cell r="V205">
            <v>4830000</v>
          </cell>
          <cell r="W205">
            <v>6440000</v>
          </cell>
          <cell r="X205">
            <v>1600</v>
          </cell>
          <cell r="Y205">
            <v>3200</v>
          </cell>
        </row>
        <row r="206">
          <cell r="N206">
            <v>173</v>
          </cell>
          <cell r="O206">
            <v>81700</v>
          </cell>
          <cell r="P206">
            <v>98040</v>
          </cell>
          <cell r="Q206">
            <v>122550</v>
          </cell>
          <cell r="R206">
            <v>650</v>
          </cell>
          <cell r="S206">
            <v>780</v>
          </cell>
          <cell r="T206">
            <v>975</v>
          </cell>
          <cell r="U206">
            <v>173</v>
          </cell>
          <cell r="V206">
            <v>4902000</v>
          </cell>
          <cell r="W206">
            <v>6536000</v>
          </cell>
          <cell r="X206">
            <v>1625</v>
          </cell>
          <cell r="Y206">
            <v>3250</v>
          </cell>
        </row>
        <row r="207">
          <cell r="N207">
            <v>174</v>
          </cell>
          <cell r="O207">
            <v>84200</v>
          </cell>
          <cell r="P207">
            <v>101040</v>
          </cell>
          <cell r="Q207">
            <v>126300</v>
          </cell>
          <cell r="R207">
            <v>660</v>
          </cell>
          <cell r="S207">
            <v>792</v>
          </cell>
          <cell r="T207">
            <v>990</v>
          </cell>
          <cell r="U207">
            <v>174</v>
          </cell>
          <cell r="V207">
            <v>5052000</v>
          </cell>
          <cell r="W207">
            <v>6736000</v>
          </cell>
          <cell r="X207">
            <v>1650</v>
          </cell>
          <cell r="Y207">
            <v>3300</v>
          </cell>
        </row>
        <row r="208">
          <cell r="N208">
            <v>175</v>
          </cell>
          <cell r="O208">
            <v>82500</v>
          </cell>
          <cell r="P208">
            <v>99000</v>
          </cell>
          <cell r="Q208">
            <v>123750</v>
          </cell>
          <cell r="R208">
            <v>700</v>
          </cell>
          <cell r="S208">
            <v>840</v>
          </cell>
          <cell r="T208">
            <v>1050</v>
          </cell>
          <cell r="U208">
            <v>175</v>
          </cell>
          <cell r="V208">
            <v>4950000</v>
          </cell>
          <cell r="W208">
            <v>6600000</v>
          </cell>
          <cell r="X208">
            <v>1750</v>
          </cell>
          <cell r="Y208">
            <v>3500</v>
          </cell>
        </row>
        <row r="209">
          <cell r="N209">
            <v>176</v>
          </cell>
          <cell r="O209">
            <v>83500</v>
          </cell>
          <cell r="P209">
            <v>100200</v>
          </cell>
          <cell r="Q209">
            <v>125250</v>
          </cell>
          <cell r="R209">
            <v>670</v>
          </cell>
          <cell r="S209">
            <v>804</v>
          </cell>
          <cell r="T209">
            <v>1005</v>
          </cell>
          <cell r="U209">
            <v>176</v>
          </cell>
          <cell r="V209">
            <v>5010000</v>
          </cell>
          <cell r="W209">
            <v>6680000</v>
          </cell>
          <cell r="X209">
            <v>1675</v>
          </cell>
          <cell r="Y209">
            <v>3350</v>
          </cell>
        </row>
        <row r="210">
          <cell r="N210">
            <v>177</v>
          </cell>
          <cell r="O210">
            <v>84700</v>
          </cell>
          <cell r="P210">
            <v>101640</v>
          </cell>
          <cell r="Q210">
            <v>127050</v>
          </cell>
          <cell r="R210">
            <v>680</v>
          </cell>
          <cell r="S210">
            <v>816</v>
          </cell>
          <cell r="T210">
            <v>1020</v>
          </cell>
          <cell r="U210">
            <v>177</v>
          </cell>
          <cell r="V210">
            <v>5082000</v>
          </cell>
          <cell r="W210">
            <v>6776000</v>
          </cell>
          <cell r="X210">
            <v>1700</v>
          </cell>
          <cell r="Y210">
            <v>3400</v>
          </cell>
        </row>
        <row r="211">
          <cell r="N211">
            <v>178</v>
          </cell>
          <cell r="O211">
            <v>86100</v>
          </cell>
          <cell r="P211">
            <v>103320</v>
          </cell>
          <cell r="Q211">
            <v>129150</v>
          </cell>
          <cell r="R211">
            <v>690</v>
          </cell>
          <cell r="S211">
            <v>828</v>
          </cell>
          <cell r="T211">
            <v>1035</v>
          </cell>
          <cell r="U211">
            <v>178</v>
          </cell>
          <cell r="V211">
            <v>5166000</v>
          </cell>
          <cell r="W211">
            <v>6888000</v>
          </cell>
          <cell r="X211">
            <v>1725</v>
          </cell>
          <cell r="Y211">
            <v>3450</v>
          </cell>
        </row>
        <row r="212">
          <cell r="N212">
            <v>179</v>
          </cell>
          <cell r="O212">
            <v>87700</v>
          </cell>
          <cell r="P212">
            <v>105240</v>
          </cell>
          <cell r="Q212">
            <v>131550</v>
          </cell>
          <cell r="R212">
            <v>700</v>
          </cell>
          <cell r="S212">
            <v>840</v>
          </cell>
          <cell r="T212">
            <v>1050</v>
          </cell>
          <cell r="U212">
            <v>179</v>
          </cell>
          <cell r="V212">
            <v>5262000</v>
          </cell>
          <cell r="W212">
            <v>7016000</v>
          </cell>
          <cell r="X212">
            <v>1750</v>
          </cell>
          <cell r="Y212">
            <v>3500</v>
          </cell>
        </row>
        <row r="213">
          <cell r="N213">
            <v>180</v>
          </cell>
          <cell r="O213">
            <v>90200</v>
          </cell>
          <cell r="P213">
            <v>108240</v>
          </cell>
          <cell r="Q213">
            <v>135300</v>
          </cell>
          <cell r="R213">
            <v>740</v>
          </cell>
          <cell r="S213">
            <v>888</v>
          </cell>
          <cell r="T213">
            <v>1110</v>
          </cell>
          <cell r="U213">
            <v>180</v>
          </cell>
          <cell r="V213">
            <v>5412000</v>
          </cell>
          <cell r="W213">
            <v>7216000</v>
          </cell>
          <cell r="X213">
            <v>1850</v>
          </cell>
          <cell r="Y213">
            <v>3700</v>
          </cell>
        </row>
        <row r="214">
          <cell r="N214">
            <v>181</v>
          </cell>
          <cell r="O214">
            <v>88700</v>
          </cell>
          <cell r="P214">
            <v>106440</v>
          </cell>
          <cell r="Q214">
            <v>133050</v>
          </cell>
          <cell r="R214">
            <v>710</v>
          </cell>
          <cell r="S214">
            <v>852</v>
          </cell>
          <cell r="T214">
            <v>1065</v>
          </cell>
          <cell r="U214">
            <v>181</v>
          </cell>
          <cell r="V214">
            <v>5322000</v>
          </cell>
          <cell r="W214">
            <v>7096000</v>
          </cell>
          <cell r="X214">
            <v>1775</v>
          </cell>
          <cell r="Y214">
            <v>3550</v>
          </cell>
        </row>
        <row r="215">
          <cell r="N215">
            <v>182</v>
          </cell>
          <cell r="O215">
            <v>89900</v>
          </cell>
          <cell r="P215">
            <v>107880</v>
          </cell>
          <cell r="Q215">
            <v>134850</v>
          </cell>
          <cell r="R215">
            <v>720</v>
          </cell>
          <cell r="S215">
            <v>864</v>
          </cell>
          <cell r="T215">
            <v>1080</v>
          </cell>
          <cell r="U215">
            <v>182</v>
          </cell>
          <cell r="V215">
            <v>5394000</v>
          </cell>
          <cell r="W215">
            <v>7192000</v>
          </cell>
          <cell r="X215">
            <v>1800</v>
          </cell>
          <cell r="Y215">
            <v>3600</v>
          </cell>
        </row>
        <row r="216">
          <cell r="N216">
            <v>183</v>
          </cell>
          <cell r="O216">
            <v>91300</v>
          </cell>
          <cell r="P216">
            <v>109560</v>
          </cell>
          <cell r="Q216">
            <v>136950</v>
          </cell>
          <cell r="R216">
            <v>730</v>
          </cell>
          <cell r="S216">
            <v>876</v>
          </cell>
          <cell r="T216">
            <v>1095</v>
          </cell>
          <cell r="U216">
            <v>183</v>
          </cell>
          <cell r="V216">
            <v>5478000</v>
          </cell>
          <cell r="W216">
            <v>7304000</v>
          </cell>
          <cell r="X216">
            <v>1825</v>
          </cell>
          <cell r="Y216">
            <v>3650</v>
          </cell>
        </row>
        <row r="217">
          <cell r="N217">
            <v>184</v>
          </cell>
          <cell r="O217">
            <v>94300</v>
          </cell>
          <cell r="P217">
            <v>113160</v>
          </cell>
          <cell r="Q217">
            <v>141450</v>
          </cell>
          <cell r="R217">
            <v>740</v>
          </cell>
          <cell r="S217">
            <v>888</v>
          </cell>
          <cell r="T217">
            <v>1110</v>
          </cell>
          <cell r="U217">
            <v>184</v>
          </cell>
          <cell r="V217">
            <v>5658000</v>
          </cell>
          <cell r="W217">
            <v>7544000</v>
          </cell>
          <cell r="X217">
            <v>1850</v>
          </cell>
          <cell r="Y217">
            <v>3700</v>
          </cell>
        </row>
        <row r="218">
          <cell r="N218">
            <v>185</v>
          </cell>
          <cell r="O218">
            <v>92300</v>
          </cell>
          <cell r="P218">
            <v>110760</v>
          </cell>
          <cell r="Q218">
            <v>138450</v>
          </cell>
          <cell r="R218">
            <v>780</v>
          </cell>
          <cell r="S218">
            <v>936</v>
          </cell>
          <cell r="T218">
            <v>1170</v>
          </cell>
          <cell r="U218">
            <v>185</v>
          </cell>
          <cell r="V218">
            <v>5538000</v>
          </cell>
          <cell r="W218">
            <v>7384000</v>
          </cell>
          <cell r="X218">
            <v>1950</v>
          </cell>
          <cell r="Y218">
            <v>3900</v>
          </cell>
        </row>
        <row r="219">
          <cell r="N219">
            <v>186</v>
          </cell>
          <cell r="O219">
            <v>93500</v>
          </cell>
          <cell r="P219">
            <v>112200</v>
          </cell>
          <cell r="Q219">
            <v>140250</v>
          </cell>
          <cell r="R219">
            <v>750</v>
          </cell>
          <cell r="S219">
            <v>900</v>
          </cell>
          <cell r="T219">
            <v>1125</v>
          </cell>
          <cell r="U219">
            <v>186</v>
          </cell>
          <cell r="V219">
            <v>5610000</v>
          </cell>
          <cell r="W219">
            <v>7480000</v>
          </cell>
          <cell r="X219">
            <v>1875</v>
          </cell>
          <cell r="Y219">
            <v>3750</v>
          </cell>
        </row>
        <row r="220">
          <cell r="N220">
            <v>187</v>
          </cell>
          <cell r="O220">
            <v>94900</v>
          </cell>
          <cell r="P220">
            <v>113880</v>
          </cell>
          <cell r="Q220">
            <v>142350</v>
          </cell>
          <cell r="R220">
            <v>760</v>
          </cell>
          <cell r="S220">
            <v>912</v>
          </cell>
          <cell r="T220">
            <v>1140</v>
          </cell>
          <cell r="U220">
            <v>187</v>
          </cell>
          <cell r="V220">
            <v>5694000</v>
          </cell>
          <cell r="W220">
            <v>7592000</v>
          </cell>
          <cell r="X220">
            <v>1900</v>
          </cell>
          <cell r="Y220">
            <v>3800</v>
          </cell>
        </row>
        <row r="221">
          <cell r="N221">
            <v>188</v>
          </cell>
          <cell r="O221">
            <v>96500</v>
          </cell>
          <cell r="P221">
            <v>115800</v>
          </cell>
          <cell r="Q221">
            <v>144750</v>
          </cell>
          <cell r="R221">
            <v>770</v>
          </cell>
          <cell r="S221">
            <v>924</v>
          </cell>
          <cell r="T221">
            <v>1155</v>
          </cell>
          <cell r="U221">
            <v>188</v>
          </cell>
          <cell r="V221">
            <v>5790000</v>
          </cell>
          <cell r="W221">
            <v>7720000</v>
          </cell>
          <cell r="X221">
            <v>1925</v>
          </cell>
          <cell r="Y221">
            <v>3850</v>
          </cell>
        </row>
        <row r="222">
          <cell r="N222">
            <v>189</v>
          </cell>
          <cell r="O222">
            <v>98300</v>
          </cell>
          <cell r="P222">
            <v>117960</v>
          </cell>
          <cell r="Q222">
            <v>147450</v>
          </cell>
          <cell r="R222">
            <v>780</v>
          </cell>
          <cell r="S222">
            <v>936</v>
          </cell>
          <cell r="T222">
            <v>1170</v>
          </cell>
          <cell r="U222">
            <v>189</v>
          </cell>
          <cell r="V222">
            <v>5898000</v>
          </cell>
          <cell r="W222">
            <v>7864000</v>
          </cell>
          <cell r="X222">
            <v>1950</v>
          </cell>
          <cell r="Y222">
            <v>3900</v>
          </cell>
        </row>
        <row r="223">
          <cell r="N223">
            <v>190</v>
          </cell>
          <cell r="O223">
            <v>101300</v>
          </cell>
          <cell r="P223">
            <v>121560</v>
          </cell>
          <cell r="Q223">
            <v>151950</v>
          </cell>
          <cell r="R223">
            <v>820</v>
          </cell>
          <cell r="S223">
            <v>984</v>
          </cell>
          <cell r="T223">
            <v>1230</v>
          </cell>
          <cell r="U223">
            <v>190</v>
          </cell>
          <cell r="V223">
            <v>6078000</v>
          </cell>
          <cell r="W223">
            <v>8104000</v>
          </cell>
          <cell r="X223">
            <v>2050</v>
          </cell>
          <cell r="Y223">
            <v>4100</v>
          </cell>
        </row>
        <row r="224">
          <cell r="N224">
            <v>191</v>
          </cell>
          <cell r="O224">
            <v>99300</v>
          </cell>
          <cell r="P224">
            <v>119160</v>
          </cell>
          <cell r="Q224">
            <v>148950</v>
          </cell>
          <cell r="R224">
            <v>790</v>
          </cell>
          <cell r="S224">
            <v>948</v>
          </cell>
          <cell r="T224">
            <v>1185</v>
          </cell>
          <cell r="U224">
            <v>191</v>
          </cell>
          <cell r="V224">
            <v>5958000</v>
          </cell>
          <cell r="W224">
            <v>7944000</v>
          </cell>
          <cell r="X224">
            <v>1975</v>
          </cell>
          <cell r="Y224">
            <v>3950</v>
          </cell>
        </row>
        <row r="225">
          <cell r="N225">
            <v>192</v>
          </cell>
          <cell r="O225">
            <v>100500</v>
          </cell>
          <cell r="P225">
            <v>120600</v>
          </cell>
          <cell r="Q225">
            <v>150750</v>
          </cell>
          <cell r="R225">
            <v>800</v>
          </cell>
          <cell r="S225">
            <v>960</v>
          </cell>
          <cell r="T225">
            <v>1200</v>
          </cell>
          <cell r="U225">
            <v>192</v>
          </cell>
          <cell r="V225">
            <v>6030000</v>
          </cell>
          <cell r="W225">
            <v>8040000</v>
          </cell>
          <cell r="X225">
            <v>2000</v>
          </cell>
          <cell r="Y225">
            <v>4000</v>
          </cell>
        </row>
        <row r="226">
          <cell r="N226">
            <v>193</v>
          </cell>
          <cell r="O226">
            <v>101900</v>
          </cell>
          <cell r="P226">
            <v>122280</v>
          </cell>
          <cell r="Q226">
            <v>152850</v>
          </cell>
          <cell r="R226">
            <v>810</v>
          </cell>
          <cell r="S226">
            <v>972</v>
          </cell>
          <cell r="T226">
            <v>1215</v>
          </cell>
          <cell r="U226">
            <v>193</v>
          </cell>
          <cell r="V226">
            <v>6114000</v>
          </cell>
          <cell r="W226">
            <v>8152000</v>
          </cell>
          <cell r="X226">
            <v>2025</v>
          </cell>
          <cell r="Y226">
            <v>4050</v>
          </cell>
        </row>
        <row r="227">
          <cell r="N227">
            <v>194</v>
          </cell>
          <cell r="O227">
            <v>104900</v>
          </cell>
          <cell r="P227">
            <v>125880</v>
          </cell>
          <cell r="Q227">
            <v>157350</v>
          </cell>
          <cell r="R227">
            <v>820</v>
          </cell>
          <cell r="S227">
            <v>984</v>
          </cell>
          <cell r="T227">
            <v>1230</v>
          </cell>
          <cell r="U227">
            <v>194</v>
          </cell>
          <cell r="V227">
            <v>6294000</v>
          </cell>
          <cell r="W227">
            <v>8392000</v>
          </cell>
          <cell r="X227">
            <v>2050</v>
          </cell>
          <cell r="Y227">
            <v>4100</v>
          </cell>
        </row>
        <row r="228">
          <cell r="N228">
            <v>195</v>
          </cell>
          <cell r="O228">
            <v>102900</v>
          </cell>
          <cell r="P228">
            <v>123480</v>
          </cell>
          <cell r="Q228">
            <v>154350</v>
          </cell>
          <cell r="R228">
            <v>860</v>
          </cell>
          <cell r="S228">
            <v>1032</v>
          </cell>
          <cell r="T228">
            <v>1290</v>
          </cell>
          <cell r="U228">
            <v>195</v>
          </cell>
          <cell r="V228">
            <v>6174000</v>
          </cell>
          <cell r="W228">
            <v>8232000</v>
          </cell>
          <cell r="X228">
            <v>2150</v>
          </cell>
          <cell r="Y228">
            <v>4300</v>
          </cell>
        </row>
        <row r="229">
          <cell r="N229">
            <v>196</v>
          </cell>
          <cell r="O229">
            <v>104100</v>
          </cell>
          <cell r="P229">
            <v>124920</v>
          </cell>
          <cell r="Q229">
            <v>156150</v>
          </cell>
          <cell r="R229">
            <v>830</v>
          </cell>
          <cell r="S229">
            <v>996</v>
          </cell>
          <cell r="T229">
            <v>1245</v>
          </cell>
          <cell r="U229">
            <v>196</v>
          </cell>
          <cell r="V229">
            <v>6246000</v>
          </cell>
          <cell r="W229">
            <v>8328000</v>
          </cell>
          <cell r="X229">
            <v>2075</v>
          </cell>
          <cell r="Y229">
            <v>4150</v>
          </cell>
        </row>
        <row r="230">
          <cell r="N230">
            <v>197</v>
          </cell>
          <cell r="O230">
            <v>105500</v>
          </cell>
          <cell r="P230">
            <v>126600</v>
          </cell>
          <cell r="Q230">
            <v>158250</v>
          </cell>
          <cell r="R230">
            <v>840</v>
          </cell>
          <cell r="S230">
            <v>1008</v>
          </cell>
          <cell r="T230">
            <v>1260</v>
          </cell>
          <cell r="U230">
            <v>197</v>
          </cell>
          <cell r="V230">
            <v>6330000</v>
          </cell>
          <cell r="W230">
            <v>8440000</v>
          </cell>
          <cell r="X230">
            <v>2100</v>
          </cell>
          <cell r="Y230">
            <v>4200</v>
          </cell>
        </row>
        <row r="231">
          <cell r="N231">
            <v>198</v>
          </cell>
          <cell r="O231">
            <v>107100</v>
          </cell>
          <cell r="P231">
            <v>128520</v>
          </cell>
          <cell r="Q231">
            <v>160650</v>
          </cell>
          <cell r="R231">
            <v>850</v>
          </cell>
          <cell r="S231">
            <v>1020</v>
          </cell>
          <cell r="T231">
            <v>1275</v>
          </cell>
          <cell r="U231">
            <v>198</v>
          </cell>
          <cell r="V231">
            <v>6426000</v>
          </cell>
          <cell r="W231">
            <v>8568000</v>
          </cell>
          <cell r="X231">
            <v>2125</v>
          </cell>
          <cell r="Y231">
            <v>4250</v>
          </cell>
        </row>
        <row r="232">
          <cell r="N232">
            <v>199</v>
          </cell>
          <cell r="O232">
            <v>108900</v>
          </cell>
          <cell r="P232">
            <v>130680</v>
          </cell>
          <cell r="Q232">
            <v>163350</v>
          </cell>
          <cell r="R232">
            <v>860</v>
          </cell>
          <cell r="S232">
            <v>1032</v>
          </cell>
          <cell r="T232">
            <v>1290</v>
          </cell>
          <cell r="U232">
            <v>199</v>
          </cell>
          <cell r="V232">
            <v>6534000</v>
          </cell>
          <cell r="W232">
            <v>8712000</v>
          </cell>
          <cell r="X232">
            <v>2150</v>
          </cell>
          <cell r="Y232">
            <v>4300</v>
          </cell>
        </row>
        <row r="233">
          <cell r="N233">
            <v>200</v>
          </cell>
          <cell r="O233">
            <v>111900</v>
          </cell>
          <cell r="P233">
            <v>134280</v>
          </cell>
          <cell r="Q233">
            <v>167850</v>
          </cell>
          <cell r="R233">
            <v>900</v>
          </cell>
          <cell r="S233">
            <v>1080</v>
          </cell>
          <cell r="T233">
            <v>1350</v>
          </cell>
          <cell r="U233">
            <v>200</v>
          </cell>
          <cell r="V233">
            <v>6714000</v>
          </cell>
          <cell r="W233">
            <v>8952000</v>
          </cell>
          <cell r="X233">
            <v>2250</v>
          </cell>
          <cell r="Y233">
            <v>4500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伤害结算流程"/>
      <sheetName val="战斗流程"/>
      <sheetName val="属性来源规划"/>
      <sheetName val="触发条件和效果"/>
      <sheetName val="技能"/>
      <sheetName val="武器等级"/>
      <sheetName val="怪物"/>
      <sheetName val="角色"/>
      <sheetName val="角色2.0"/>
      <sheetName val="装备等级"/>
      <sheetName val="装备被动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134">
          <cell r="N134">
            <v>101</v>
          </cell>
          <cell r="O134">
            <v>28700</v>
          </cell>
          <cell r="P134">
            <v>34440</v>
          </cell>
          <cell r="Q134">
            <v>43050</v>
          </cell>
          <cell r="R134">
            <v>160</v>
          </cell>
          <cell r="S134">
            <v>192</v>
          </cell>
          <cell r="T134">
            <v>240</v>
          </cell>
          <cell r="U134">
            <v>101</v>
          </cell>
          <cell r="V134">
            <v>1722000</v>
          </cell>
          <cell r="W134">
            <v>2296000</v>
          </cell>
          <cell r="X134">
            <v>400</v>
          </cell>
          <cell r="Y134">
            <v>800</v>
          </cell>
        </row>
        <row r="135">
          <cell r="N135">
            <v>102</v>
          </cell>
          <cell r="O135">
            <v>29500</v>
          </cell>
          <cell r="P135">
            <v>35400</v>
          </cell>
          <cell r="Q135">
            <v>44250</v>
          </cell>
          <cell r="R135">
            <v>164</v>
          </cell>
          <cell r="S135">
            <v>197</v>
          </cell>
          <cell r="T135">
            <v>246</v>
          </cell>
          <cell r="U135">
            <v>102</v>
          </cell>
          <cell r="V135">
            <v>1770000</v>
          </cell>
          <cell r="W135">
            <v>2360000</v>
          </cell>
          <cell r="X135">
            <v>410</v>
          </cell>
          <cell r="Y135">
            <v>820</v>
          </cell>
        </row>
        <row r="136">
          <cell r="N136">
            <v>103</v>
          </cell>
          <cell r="O136">
            <v>30700</v>
          </cell>
          <cell r="P136">
            <v>36840</v>
          </cell>
          <cell r="Q136">
            <v>46050</v>
          </cell>
          <cell r="R136">
            <v>168</v>
          </cell>
          <cell r="S136">
            <v>202</v>
          </cell>
          <cell r="T136">
            <v>252</v>
          </cell>
          <cell r="U136">
            <v>103</v>
          </cell>
          <cell r="V136">
            <v>1842000</v>
          </cell>
          <cell r="W136">
            <v>2456000</v>
          </cell>
          <cell r="X136">
            <v>420</v>
          </cell>
          <cell r="Y136">
            <v>840</v>
          </cell>
        </row>
        <row r="137">
          <cell r="N137">
            <v>104</v>
          </cell>
          <cell r="O137">
            <v>32400</v>
          </cell>
          <cell r="P137">
            <v>38880</v>
          </cell>
          <cell r="Q137">
            <v>48600</v>
          </cell>
          <cell r="R137">
            <v>200</v>
          </cell>
          <cell r="S137">
            <v>240</v>
          </cell>
          <cell r="T137">
            <v>300</v>
          </cell>
          <cell r="U137">
            <v>104</v>
          </cell>
          <cell r="V137">
            <v>1944000</v>
          </cell>
          <cell r="W137">
            <v>2592000</v>
          </cell>
          <cell r="X137">
            <v>500</v>
          </cell>
          <cell r="Y137">
            <v>1000</v>
          </cell>
        </row>
        <row r="138">
          <cell r="N138">
            <v>105</v>
          </cell>
          <cell r="O138">
            <v>31100</v>
          </cell>
          <cell r="P138">
            <v>37320</v>
          </cell>
          <cell r="Q138">
            <v>46650</v>
          </cell>
          <cell r="R138">
            <v>172</v>
          </cell>
          <cell r="S138">
            <v>206</v>
          </cell>
          <cell r="T138">
            <v>258</v>
          </cell>
          <cell r="U138">
            <v>105</v>
          </cell>
          <cell r="V138">
            <v>1866000</v>
          </cell>
          <cell r="W138">
            <v>2488000</v>
          </cell>
          <cell r="X138">
            <v>430</v>
          </cell>
          <cell r="Y138">
            <v>860</v>
          </cell>
        </row>
        <row r="139">
          <cell r="N139">
            <v>106</v>
          </cell>
          <cell r="O139">
            <v>31700</v>
          </cell>
          <cell r="P139">
            <v>38040</v>
          </cell>
          <cell r="Q139">
            <v>47550</v>
          </cell>
          <cell r="R139">
            <v>176</v>
          </cell>
          <cell r="S139">
            <v>211</v>
          </cell>
          <cell r="T139">
            <v>264</v>
          </cell>
          <cell r="U139">
            <v>106</v>
          </cell>
          <cell r="V139">
            <v>1902000</v>
          </cell>
          <cell r="W139">
            <v>2536000</v>
          </cell>
          <cell r="X139">
            <v>440</v>
          </cell>
          <cell r="Y139">
            <v>880</v>
          </cell>
        </row>
        <row r="140">
          <cell r="N140">
            <v>107</v>
          </cell>
          <cell r="O140">
            <v>32500</v>
          </cell>
          <cell r="P140">
            <v>39000</v>
          </cell>
          <cell r="Q140">
            <v>48750</v>
          </cell>
          <cell r="R140">
            <v>180</v>
          </cell>
          <cell r="S140">
            <v>216</v>
          </cell>
          <cell r="T140">
            <v>270</v>
          </cell>
          <cell r="U140">
            <v>107</v>
          </cell>
          <cell r="V140">
            <v>1950000</v>
          </cell>
          <cell r="W140">
            <v>2600000</v>
          </cell>
          <cell r="X140">
            <v>450</v>
          </cell>
          <cell r="Y140">
            <v>900</v>
          </cell>
        </row>
        <row r="141">
          <cell r="N141">
            <v>108</v>
          </cell>
          <cell r="O141">
            <v>33500</v>
          </cell>
          <cell r="P141">
            <v>40200</v>
          </cell>
          <cell r="Q141">
            <v>50250</v>
          </cell>
          <cell r="R141">
            <v>184</v>
          </cell>
          <cell r="S141">
            <v>221</v>
          </cell>
          <cell r="T141">
            <v>276</v>
          </cell>
          <cell r="U141">
            <v>108</v>
          </cell>
          <cell r="V141">
            <v>2010000</v>
          </cell>
          <cell r="W141">
            <v>2680000</v>
          </cell>
          <cell r="X141">
            <v>460</v>
          </cell>
          <cell r="Y141">
            <v>920</v>
          </cell>
        </row>
        <row r="142">
          <cell r="N142">
            <v>109</v>
          </cell>
          <cell r="O142">
            <v>34700</v>
          </cell>
          <cell r="P142">
            <v>41640</v>
          </cell>
          <cell r="Q142">
            <v>52050</v>
          </cell>
          <cell r="R142">
            <v>188</v>
          </cell>
          <cell r="S142">
            <v>226</v>
          </cell>
          <cell r="T142">
            <v>282</v>
          </cell>
          <cell r="U142">
            <v>109</v>
          </cell>
          <cell r="V142">
            <v>2082000</v>
          </cell>
          <cell r="W142">
            <v>2776000</v>
          </cell>
          <cell r="X142">
            <v>470</v>
          </cell>
          <cell r="Y142">
            <v>940</v>
          </cell>
        </row>
        <row r="143">
          <cell r="N143">
            <v>110</v>
          </cell>
          <cell r="O143">
            <v>36400</v>
          </cell>
          <cell r="P143">
            <v>43680</v>
          </cell>
          <cell r="Q143">
            <v>54600</v>
          </cell>
          <cell r="R143">
            <v>220</v>
          </cell>
          <cell r="S143">
            <v>264</v>
          </cell>
          <cell r="T143">
            <v>330</v>
          </cell>
          <cell r="U143">
            <v>110</v>
          </cell>
          <cell r="V143">
            <v>2184000</v>
          </cell>
          <cell r="W143">
            <v>2912000</v>
          </cell>
          <cell r="X143">
            <v>550</v>
          </cell>
          <cell r="Y143">
            <v>1100</v>
          </cell>
        </row>
        <row r="144">
          <cell r="N144">
            <v>111</v>
          </cell>
          <cell r="O144">
            <v>35100</v>
          </cell>
          <cell r="P144">
            <v>42120</v>
          </cell>
          <cell r="Q144">
            <v>52650</v>
          </cell>
          <cell r="R144">
            <v>192</v>
          </cell>
          <cell r="S144">
            <v>230</v>
          </cell>
          <cell r="T144">
            <v>288</v>
          </cell>
          <cell r="U144">
            <v>111</v>
          </cell>
          <cell r="V144">
            <v>2106000</v>
          </cell>
          <cell r="W144">
            <v>2808000</v>
          </cell>
          <cell r="X144">
            <v>480</v>
          </cell>
          <cell r="Y144">
            <v>960</v>
          </cell>
        </row>
        <row r="145">
          <cell r="N145">
            <v>112</v>
          </cell>
          <cell r="O145">
            <v>35700</v>
          </cell>
          <cell r="P145">
            <v>42840</v>
          </cell>
          <cell r="Q145">
            <v>53550</v>
          </cell>
          <cell r="R145">
            <v>196</v>
          </cell>
          <cell r="S145">
            <v>235</v>
          </cell>
          <cell r="T145">
            <v>294</v>
          </cell>
          <cell r="U145">
            <v>112</v>
          </cell>
          <cell r="V145">
            <v>2142000</v>
          </cell>
          <cell r="W145">
            <v>2856000</v>
          </cell>
          <cell r="X145">
            <v>490</v>
          </cell>
          <cell r="Y145">
            <v>980</v>
          </cell>
        </row>
        <row r="146">
          <cell r="N146">
            <v>113</v>
          </cell>
          <cell r="O146">
            <v>36500</v>
          </cell>
          <cell r="P146">
            <v>43800</v>
          </cell>
          <cell r="Q146">
            <v>54750</v>
          </cell>
          <cell r="R146">
            <v>200</v>
          </cell>
          <cell r="S146">
            <v>240</v>
          </cell>
          <cell r="T146">
            <v>300</v>
          </cell>
          <cell r="U146">
            <v>113</v>
          </cell>
          <cell r="V146">
            <v>2190000</v>
          </cell>
          <cell r="W146">
            <v>2920000</v>
          </cell>
          <cell r="X146">
            <v>500</v>
          </cell>
          <cell r="Y146">
            <v>1000</v>
          </cell>
        </row>
        <row r="147">
          <cell r="N147">
            <v>114</v>
          </cell>
          <cell r="O147">
            <v>38400</v>
          </cell>
          <cell r="P147">
            <v>46080</v>
          </cell>
          <cell r="Q147">
            <v>57600</v>
          </cell>
          <cell r="R147">
            <v>240</v>
          </cell>
          <cell r="S147">
            <v>288</v>
          </cell>
          <cell r="T147">
            <v>360</v>
          </cell>
          <cell r="U147">
            <v>114</v>
          </cell>
          <cell r="V147">
            <v>2304000</v>
          </cell>
          <cell r="W147">
            <v>3072000</v>
          </cell>
          <cell r="X147">
            <v>600</v>
          </cell>
          <cell r="Y147">
            <v>1200</v>
          </cell>
        </row>
        <row r="148">
          <cell r="N148">
            <v>115</v>
          </cell>
          <cell r="O148">
            <v>36900</v>
          </cell>
          <cell r="P148">
            <v>44280</v>
          </cell>
          <cell r="Q148">
            <v>55350</v>
          </cell>
          <cell r="R148">
            <v>204</v>
          </cell>
          <cell r="S148">
            <v>245</v>
          </cell>
          <cell r="T148">
            <v>306</v>
          </cell>
          <cell r="U148">
            <v>115</v>
          </cell>
          <cell r="V148">
            <v>2214000</v>
          </cell>
          <cell r="W148">
            <v>2952000</v>
          </cell>
          <cell r="X148">
            <v>510</v>
          </cell>
          <cell r="Y148">
            <v>1020</v>
          </cell>
        </row>
        <row r="149">
          <cell r="N149">
            <v>116</v>
          </cell>
          <cell r="O149">
            <v>37500</v>
          </cell>
          <cell r="P149">
            <v>45000</v>
          </cell>
          <cell r="Q149">
            <v>56250</v>
          </cell>
          <cell r="R149">
            <v>208</v>
          </cell>
          <cell r="S149">
            <v>250</v>
          </cell>
          <cell r="T149">
            <v>312</v>
          </cell>
          <cell r="U149">
            <v>116</v>
          </cell>
          <cell r="V149">
            <v>2250000</v>
          </cell>
          <cell r="W149">
            <v>3000000</v>
          </cell>
          <cell r="X149">
            <v>520</v>
          </cell>
          <cell r="Y149">
            <v>1040</v>
          </cell>
        </row>
        <row r="150">
          <cell r="N150">
            <v>117</v>
          </cell>
          <cell r="O150">
            <v>38300</v>
          </cell>
          <cell r="P150">
            <v>45960</v>
          </cell>
          <cell r="Q150">
            <v>57450</v>
          </cell>
          <cell r="R150">
            <v>212</v>
          </cell>
          <cell r="S150">
            <v>254</v>
          </cell>
          <cell r="T150">
            <v>318</v>
          </cell>
          <cell r="U150">
            <v>117</v>
          </cell>
          <cell r="V150">
            <v>2298000</v>
          </cell>
          <cell r="W150">
            <v>3064000</v>
          </cell>
          <cell r="X150">
            <v>530</v>
          </cell>
          <cell r="Y150">
            <v>1060</v>
          </cell>
        </row>
        <row r="151">
          <cell r="N151">
            <v>118</v>
          </cell>
          <cell r="O151">
            <v>39500</v>
          </cell>
          <cell r="P151">
            <v>47400</v>
          </cell>
          <cell r="Q151">
            <v>59250</v>
          </cell>
          <cell r="R151">
            <v>216</v>
          </cell>
          <cell r="S151">
            <v>259</v>
          </cell>
          <cell r="T151">
            <v>324</v>
          </cell>
          <cell r="U151">
            <v>118</v>
          </cell>
          <cell r="V151">
            <v>2370000</v>
          </cell>
          <cell r="W151">
            <v>3160000</v>
          </cell>
          <cell r="X151">
            <v>540</v>
          </cell>
          <cell r="Y151">
            <v>1080</v>
          </cell>
        </row>
        <row r="152">
          <cell r="N152">
            <v>119</v>
          </cell>
          <cell r="O152">
            <v>41100</v>
          </cell>
          <cell r="P152">
            <v>49320</v>
          </cell>
          <cell r="Q152">
            <v>61650</v>
          </cell>
          <cell r="R152">
            <v>220</v>
          </cell>
          <cell r="S152">
            <v>264</v>
          </cell>
          <cell r="T152">
            <v>330</v>
          </cell>
          <cell r="U152">
            <v>119</v>
          </cell>
          <cell r="V152">
            <v>2466000</v>
          </cell>
          <cell r="W152">
            <v>3288000</v>
          </cell>
          <cell r="X152">
            <v>550</v>
          </cell>
          <cell r="Y152">
            <v>1100</v>
          </cell>
        </row>
        <row r="153">
          <cell r="N153">
            <v>120</v>
          </cell>
          <cell r="O153">
            <v>42400</v>
          </cell>
          <cell r="P153">
            <v>50880</v>
          </cell>
          <cell r="Q153">
            <v>63600</v>
          </cell>
          <cell r="R153">
            <v>260</v>
          </cell>
          <cell r="S153">
            <v>312</v>
          </cell>
          <cell r="T153">
            <v>390</v>
          </cell>
          <cell r="U153">
            <v>120</v>
          </cell>
          <cell r="V153">
            <v>2544000</v>
          </cell>
          <cell r="W153">
            <v>3392000</v>
          </cell>
          <cell r="X153">
            <v>650</v>
          </cell>
          <cell r="Y153">
            <v>1300</v>
          </cell>
        </row>
        <row r="154">
          <cell r="N154">
            <v>121</v>
          </cell>
          <cell r="O154">
            <v>41500</v>
          </cell>
          <cell r="P154">
            <v>49800</v>
          </cell>
          <cell r="Q154">
            <v>62250</v>
          </cell>
          <cell r="R154">
            <v>226</v>
          </cell>
          <cell r="S154">
            <v>271</v>
          </cell>
          <cell r="T154">
            <v>339</v>
          </cell>
          <cell r="U154">
            <v>121</v>
          </cell>
          <cell r="V154">
            <v>2490000</v>
          </cell>
          <cell r="W154">
            <v>3320000</v>
          </cell>
          <cell r="X154">
            <v>565</v>
          </cell>
          <cell r="Y154">
            <v>1130</v>
          </cell>
        </row>
        <row r="155">
          <cell r="N155">
            <v>122</v>
          </cell>
          <cell r="O155">
            <v>42100</v>
          </cell>
          <cell r="P155">
            <v>50520</v>
          </cell>
          <cell r="Q155">
            <v>63150</v>
          </cell>
          <cell r="R155">
            <v>232</v>
          </cell>
          <cell r="S155">
            <v>278</v>
          </cell>
          <cell r="T155">
            <v>348</v>
          </cell>
          <cell r="U155">
            <v>122</v>
          </cell>
          <cell r="V155">
            <v>2526000</v>
          </cell>
          <cell r="W155">
            <v>3368000</v>
          </cell>
          <cell r="X155">
            <v>580</v>
          </cell>
          <cell r="Y155">
            <v>1160</v>
          </cell>
        </row>
        <row r="156">
          <cell r="N156">
            <v>123</v>
          </cell>
          <cell r="O156">
            <v>42900</v>
          </cell>
          <cell r="P156">
            <v>51480</v>
          </cell>
          <cell r="Q156">
            <v>64350</v>
          </cell>
          <cell r="R156">
            <v>238</v>
          </cell>
          <cell r="S156">
            <v>286</v>
          </cell>
          <cell r="T156">
            <v>357</v>
          </cell>
          <cell r="U156">
            <v>123</v>
          </cell>
          <cell r="V156">
            <v>2574000</v>
          </cell>
          <cell r="W156">
            <v>3432000</v>
          </cell>
          <cell r="X156">
            <v>595</v>
          </cell>
          <cell r="Y156">
            <v>1190</v>
          </cell>
        </row>
        <row r="157">
          <cell r="N157">
            <v>124</v>
          </cell>
          <cell r="O157">
            <v>44400</v>
          </cell>
          <cell r="P157">
            <v>53280</v>
          </cell>
          <cell r="Q157">
            <v>66600</v>
          </cell>
          <cell r="R157">
            <v>280</v>
          </cell>
          <cell r="S157">
            <v>336</v>
          </cell>
          <cell r="T157">
            <v>420</v>
          </cell>
          <cell r="U157">
            <v>124</v>
          </cell>
          <cell r="V157">
            <v>2664000</v>
          </cell>
          <cell r="W157">
            <v>3552000</v>
          </cell>
          <cell r="X157">
            <v>700</v>
          </cell>
          <cell r="Y157">
            <v>1400</v>
          </cell>
        </row>
        <row r="158">
          <cell r="N158">
            <v>125</v>
          </cell>
          <cell r="O158">
            <v>43300</v>
          </cell>
          <cell r="P158">
            <v>51960</v>
          </cell>
          <cell r="Q158">
            <v>64950</v>
          </cell>
          <cell r="R158">
            <v>244</v>
          </cell>
          <cell r="S158">
            <v>293</v>
          </cell>
          <cell r="T158">
            <v>366</v>
          </cell>
          <cell r="U158">
            <v>125</v>
          </cell>
          <cell r="V158">
            <v>2598000</v>
          </cell>
          <cell r="W158">
            <v>3464000</v>
          </cell>
          <cell r="X158">
            <v>610</v>
          </cell>
          <cell r="Y158">
            <v>1220</v>
          </cell>
        </row>
        <row r="159">
          <cell r="N159">
            <v>126</v>
          </cell>
          <cell r="O159">
            <v>43900</v>
          </cell>
          <cell r="P159">
            <v>52680</v>
          </cell>
          <cell r="Q159">
            <v>65850</v>
          </cell>
          <cell r="R159">
            <v>250</v>
          </cell>
          <cell r="S159">
            <v>300</v>
          </cell>
          <cell r="T159">
            <v>375</v>
          </cell>
          <cell r="U159">
            <v>126</v>
          </cell>
          <cell r="V159">
            <v>2634000</v>
          </cell>
          <cell r="W159">
            <v>3512000</v>
          </cell>
          <cell r="X159">
            <v>625</v>
          </cell>
          <cell r="Y159">
            <v>1250</v>
          </cell>
        </row>
        <row r="160">
          <cell r="N160">
            <v>127</v>
          </cell>
          <cell r="O160">
            <v>44700</v>
          </cell>
          <cell r="P160">
            <v>53640</v>
          </cell>
          <cell r="Q160">
            <v>67050</v>
          </cell>
          <cell r="R160">
            <v>256</v>
          </cell>
          <cell r="S160">
            <v>307</v>
          </cell>
          <cell r="T160">
            <v>384</v>
          </cell>
          <cell r="U160">
            <v>127</v>
          </cell>
          <cell r="V160">
            <v>2682000</v>
          </cell>
          <cell r="W160">
            <v>3576000</v>
          </cell>
          <cell r="X160">
            <v>640</v>
          </cell>
          <cell r="Y160">
            <v>1280</v>
          </cell>
        </row>
        <row r="161">
          <cell r="N161">
            <v>128</v>
          </cell>
          <cell r="O161">
            <v>45900</v>
          </cell>
          <cell r="P161">
            <v>55080</v>
          </cell>
          <cell r="Q161">
            <v>68850</v>
          </cell>
          <cell r="R161">
            <v>262</v>
          </cell>
          <cell r="S161">
            <v>314</v>
          </cell>
          <cell r="T161">
            <v>393</v>
          </cell>
          <cell r="U161">
            <v>128</v>
          </cell>
          <cell r="V161">
            <v>2754000</v>
          </cell>
          <cell r="W161">
            <v>3672000</v>
          </cell>
          <cell r="X161">
            <v>655</v>
          </cell>
          <cell r="Y161">
            <v>1310</v>
          </cell>
        </row>
        <row r="162">
          <cell r="N162">
            <v>129</v>
          </cell>
          <cell r="O162">
            <v>47500</v>
          </cell>
          <cell r="P162">
            <v>57000</v>
          </cell>
          <cell r="Q162">
            <v>71250</v>
          </cell>
          <cell r="R162">
            <v>268</v>
          </cell>
          <cell r="S162">
            <v>322</v>
          </cell>
          <cell r="T162">
            <v>402</v>
          </cell>
          <cell r="U162">
            <v>129</v>
          </cell>
          <cell r="V162">
            <v>2850000</v>
          </cell>
          <cell r="W162">
            <v>3800000</v>
          </cell>
          <cell r="X162">
            <v>670</v>
          </cell>
          <cell r="Y162">
            <v>1340</v>
          </cell>
        </row>
        <row r="163">
          <cell r="N163">
            <v>130</v>
          </cell>
          <cell r="O163">
            <v>48900</v>
          </cell>
          <cell r="P163">
            <v>58680</v>
          </cell>
          <cell r="Q163">
            <v>73350</v>
          </cell>
          <cell r="R163">
            <v>300</v>
          </cell>
          <cell r="S163">
            <v>360</v>
          </cell>
          <cell r="T163">
            <v>450</v>
          </cell>
          <cell r="U163">
            <v>130</v>
          </cell>
          <cell r="V163">
            <v>2934000</v>
          </cell>
          <cell r="W163">
            <v>3912000</v>
          </cell>
          <cell r="X163">
            <v>750</v>
          </cell>
          <cell r="Y163">
            <v>1500</v>
          </cell>
        </row>
        <row r="164">
          <cell r="N164">
            <v>131</v>
          </cell>
          <cell r="O164">
            <v>48100</v>
          </cell>
          <cell r="P164">
            <v>57720</v>
          </cell>
          <cell r="Q164">
            <v>72150</v>
          </cell>
          <cell r="R164">
            <v>274</v>
          </cell>
          <cell r="S164">
            <v>329</v>
          </cell>
          <cell r="T164">
            <v>411</v>
          </cell>
          <cell r="U164">
            <v>131</v>
          </cell>
          <cell r="V164">
            <v>2886000</v>
          </cell>
          <cell r="W164">
            <v>3848000</v>
          </cell>
          <cell r="X164">
            <v>685</v>
          </cell>
          <cell r="Y164">
            <v>1370</v>
          </cell>
        </row>
        <row r="165">
          <cell r="N165">
            <v>132</v>
          </cell>
          <cell r="O165">
            <v>48900</v>
          </cell>
          <cell r="P165">
            <v>58680</v>
          </cell>
          <cell r="Q165">
            <v>73350</v>
          </cell>
          <cell r="R165">
            <v>280</v>
          </cell>
          <cell r="S165">
            <v>336</v>
          </cell>
          <cell r="T165">
            <v>420</v>
          </cell>
          <cell r="U165">
            <v>132</v>
          </cell>
          <cell r="V165">
            <v>2934000</v>
          </cell>
          <cell r="W165">
            <v>3912000</v>
          </cell>
          <cell r="X165">
            <v>700</v>
          </cell>
          <cell r="Y165">
            <v>1400</v>
          </cell>
        </row>
        <row r="166">
          <cell r="N166">
            <v>133</v>
          </cell>
          <cell r="O166">
            <v>49900</v>
          </cell>
          <cell r="P166">
            <v>59880</v>
          </cell>
          <cell r="Q166">
            <v>74850</v>
          </cell>
          <cell r="R166">
            <v>286</v>
          </cell>
          <cell r="S166">
            <v>343</v>
          </cell>
          <cell r="T166">
            <v>429</v>
          </cell>
          <cell r="U166">
            <v>133</v>
          </cell>
          <cell r="V166">
            <v>2994000</v>
          </cell>
          <cell r="W166">
            <v>3992000</v>
          </cell>
          <cell r="X166">
            <v>715</v>
          </cell>
          <cell r="Y166">
            <v>1430</v>
          </cell>
        </row>
        <row r="167">
          <cell r="N167">
            <v>134</v>
          </cell>
          <cell r="O167">
            <v>51400</v>
          </cell>
          <cell r="P167">
            <v>61680</v>
          </cell>
          <cell r="Q167">
            <v>77100</v>
          </cell>
          <cell r="R167">
            <v>320</v>
          </cell>
          <cell r="S167">
            <v>384</v>
          </cell>
          <cell r="T167">
            <v>480</v>
          </cell>
          <cell r="U167">
            <v>134</v>
          </cell>
          <cell r="V167">
            <v>3084000</v>
          </cell>
          <cell r="W167">
            <v>4112000</v>
          </cell>
          <cell r="X167">
            <v>800</v>
          </cell>
          <cell r="Y167">
            <v>1600</v>
          </cell>
        </row>
        <row r="168">
          <cell r="N168">
            <v>135</v>
          </cell>
          <cell r="O168">
            <v>50500</v>
          </cell>
          <cell r="P168">
            <v>60600</v>
          </cell>
          <cell r="Q168">
            <v>75750</v>
          </cell>
          <cell r="R168">
            <v>292</v>
          </cell>
          <cell r="S168">
            <v>350</v>
          </cell>
          <cell r="T168">
            <v>438</v>
          </cell>
          <cell r="U168">
            <v>135</v>
          </cell>
          <cell r="V168">
            <v>3030000</v>
          </cell>
          <cell r="W168">
            <v>4040000</v>
          </cell>
          <cell r="X168">
            <v>730</v>
          </cell>
          <cell r="Y168">
            <v>1460</v>
          </cell>
        </row>
        <row r="169">
          <cell r="N169">
            <v>136</v>
          </cell>
          <cell r="O169">
            <v>51300</v>
          </cell>
          <cell r="P169">
            <v>61560</v>
          </cell>
          <cell r="Q169">
            <v>76950</v>
          </cell>
          <cell r="R169">
            <v>298</v>
          </cell>
          <cell r="S169">
            <v>358</v>
          </cell>
          <cell r="T169">
            <v>447</v>
          </cell>
          <cell r="U169">
            <v>136</v>
          </cell>
          <cell r="V169">
            <v>3078000</v>
          </cell>
          <cell r="W169">
            <v>4104000</v>
          </cell>
          <cell r="X169">
            <v>745</v>
          </cell>
          <cell r="Y169">
            <v>1490</v>
          </cell>
        </row>
        <row r="170">
          <cell r="N170">
            <v>137</v>
          </cell>
          <cell r="O170">
            <v>52300</v>
          </cell>
          <cell r="P170">
            <v>62760</v>
          </cell>
          <cell r="Q170">
            <v>78450</v>
          </cell>
          <cell r="R170">
            <v>304</v>
          </cell>
          <cell r="S170">
            <v>365</v>
          </cell>
          <cell r="T170">
            <v>456</v>
          </cell>
          <cell r="U170">
            <v>137</v>
          </cell>
          <cell r="V170">
            <v>3138000</v>
          </cell>
          <cell r="W170">
            <v>4184000</v>
          </cell>
          <cell r="X170">
            <v>760</v>
          </cell>
          <cell r="Y170">
            <v>1520</v>
          </cell>
        </row>
        <row r="171">
          <cell r="N171">
            <v>138</v>
          </cell>
          <cell r="O171">
            <v>53500</v>
          </cell>
          <cell r="P171">
            <v>64200</v>
          </cell>
          <cell r="Q171">
            <v>80250</v>
          </cell>
          <cell r="R171">
            <v>310</v>
          </cell>
          <cell r="S171">
            <v>372</v>
          </cell>
          <cell r="T171">
            <v>465</v>
          </cell>
          <cell r="U171">
            <v>138</v>
          </cell>
          <cell r="V171">
            <v>3210000</v>
          </cell>
          <cell r="W171">
            <v>4280000</v>
          </cell>
          <cell r="X171">
            <v>775</v>
          </cell>
          <cell r="Y171">
            <v>1550</v>
          </cell>
        </row>
        <row r="172">
          <cell r="N172">
            <v>139</v>
          </cell>
          <cell r="O172">
            <v>54900</v>
          </cell>
          <cell r="P172">
            <v>65880</v>
          </cell>
          <cell r="Q172">
            <v>82350</v>
          </cell>
          <cell r="R172">
            <v>316</v>
          </cell>
          <cell r="S172">
            <v>379</v>
          </cell>
          <cell r="T172">
            <v>474</v>
          </cell>
          <cell r="U172">
            <v>139</v>
          </cell>
          <cell r="V172">
            <v>3294000</v>
          </cell>
          <cell r="W172">
            <v>4392000</v>
          </cell>
          <cell r="X172">
            <v>790</v>
          </cell>
          <cell r="Y172">
            <v>1580</v>
          </cell>
        </row>
        <row r="173">
          <cell r="N173">
            <v>140</v>
          </cell>
          <cell r="O173">
            <v>56400</v>
          </cell>
          <cell r="P173">
            <v>67680</v>
          </cell>
          <cell r="Q173">
            <v>84600</v>
          </cell>
          <cell r="R173">
            <v>340</v>
          </cell>
          <cell r="S173">
            <v>408</v>
          </cell>
          <cell r="T173">
            <v>510</v>
          </cell>
          <cell r="U173">
            <v>140</v>
          </cell>
          <cell r="V173">
            <v>3384000</v>
          </cell>
          <cell r="W173">
            <v>4512000</v>
          </cell>
          <cell r="X173">
            <v>850</v>
          </cell>
          <cell r="Y173">
            <v>1700</v>
          </cell>
        </row>
        <row r="174">
          <cell r="N174">
            <v>141</v>
          </cell>
          <cell r="O174">
            <v>55500</v>
          </cell>
          <cell r="P174">
            <v>66600</v>
          </cell>
          <cell r="Q174">
            <v>83250</v>
          </cell>
          <cell r="R174">
            <v>324</v>
          </cell>
          <cell r="S174">
            <v>389</v>
          </cell>
          <cell r="T174">
            <v>486</v>
          </cell>
          <cell r="U174">
            <v>141</v>
          </cell>
          <cell r="V174">
            <v>3330000</v>
          </cell>
          <cell r="W174">
            <v>4440000</v>
          </cell>
          <cell r="X174">
            <v>810</v>
          </cell>
          <cell r="Y174">
            <v>1620</v>
          </cell>
        </row>
        <row r="175">
          <cell r="N175">
            <v>142</v>
          </cell>
          <cell r="O175">
            <v>56300</v>
          </cell>
          <cell r="P175">
            <v>67560</v>
          </cell>
          <cell r="Q175">
            <v>84450</v>
          </cell>
          <cell r="R175">
            <v>332</v>
          </cell>
          <cell r="S175">
            <v>398</v>
          </cell>
          <cell r="T175">
            <v>498</v>
          </cell>
          <cell r="U175">
            <v>142</v>
          </cell>
          <cell r="V175">
            <v>3378000</v>
          </cell>
          <cell r="W175">
            <v>4504000</v>
          </cell>
          <cell r="X175">
            <v>830</v>
          </cell>
          <cell r="Y175">
            <v>1660</v>
          </cell>
        </row>
        <row r="176">
          <cell r="N176">
            <v>143</v>
          </cell>
          <cell r="O176">
            <v>57300</v>
          </cell>
          <cell r="P176">
            <v>68760</v>
          </cell>
          <cell r="Q176">
            <v>85950</v>
          </cell>
          <cell r="R176">
            <v>340</v>
          </cell>
          <cell r="S176">
            <v>408</v>
          </cell>
          <cell r="T176">
            <v>510</v>
          </cell>
          <cell r="U176">
            <v>143</v>
          </cell>
          <cell r="V176">
            <v>3438000</v>
          </cell>
          <cell r="W176">
            <v>4584000</v>
          </cell>
          <cell r="X176">
            <v>850</v>
          </cell>
          <cell r="Y176">
            <v>1700</v>
          </cell>
        </row>
        <row r="177">
          <cell r="N177">
            <v>144</v>
          </cell>
          <cell r="O177">
            <v>59300</v>
          </cell>
          <cell r="P177">
            <v>71160</v>
          </cell>
          <cell r="Q177">
            <v>88950</v>
          </cell>
          <cell r="R177">
            <v>380</v>
          </cell>
          <cell r="S177">
            <v>456</v>
          </cell>
          <cell r="T177">
            <v>570</v>
          </cell>
          <cell r="U177">
            <v>144</v>
          </cell>
          <cell r="V177">
            <v>3558000</v>
          </cell>
          <cell r="W177">
            <v>4744000</v>
          </cell>
          <cell r="X177">
            <v>950</v>
          </cell>
          <cell r="Y177">
            <v>1900</v>
          </cell>
        </row>
        <row r="178">
          <cell r="N178">
            <v>145</v>
          </cell>
          <cell r="O178">
            <v>57900</v>
          </cell>
          <cell r="P178">
            <v>69480</v>
          </cell>
          <cell r="Q178">
            <v>86850</v>
          </cell>
          <cell r="R178">
            <v>348</v>
          </cell>
          <cell r="S178">
            <v>418</v>
          </cell>
          <cell r="T178">
            <v>522</v>
          </cell>
          <cell r="U178">
            <v>145</v>
          </cell>
          <cell r="V178">
            <v>3474000</v>
          </cell>
          <cell r="W178">
            <v>4632000</v>
          </cell>
          <cell r="X178">
            <v>870</v>
          </cell>
          <cell r="Y178">
            <v>1740</v>
          </cell>
        </row>
        <row r="179">
          <cell r="N179">
            <v>146</v>
          </cell>
          <cell r="O179">
            <v>58700</v>
          </cell>
          <cell r="P179">
            <v>70440</v>
          </cell>
          <cell r="Q179">
            <v>88050</v>
          </cell>
          <cell r="R179">
            <v>356</v>
          </cell>
          <cell r="S179">
            <v>427</v>
          </cell>
          <cell r="T179">
            <v>534</v>
          </cell>
          <cell r="U179">
            <v>146</v>
          </cell>
          <cell r="V179">
            <v>3522000</v>
          </cell>
          <cell r="W179">
            <v>4696000</v>
          </cell>
          <cell r="X179">
            <v>890</v>
          </cell>
          <cell r="Y179">
            <v>1780</v>
          </cell>
        </row>
        <row r="180">
          <cell r="N180">
            <v>147</v>
          </cell>
          <cell r="O180">
            <v>59700</v>
          </cell>
          <cell r="P180">
            <v>71640</v>
          </cell>
          <cell r="Q180">
            <v>89550</v>
          </cell>
          <cell r="R180">
            <v>364</v>
          </cell>
          <cell r="S180">
            <v>437</v>
          </cell>
          <cell r="T180">
            <v>546</v>
          </cell>
          <cell r="U180">
            <v>147</v>
          </cell>
          <cell r="V180">
            <v>3582000</v>
          </cell>
          <cell r="W180">
            <v>4776000</v>
          </cell>
          <cell r="X180">
            <v>910</v>
          </cell>
          <cell r="Y180">
            <v>1820</v>
          </cell>
        </row>
        <row r="181">
          <cell r="N181">
            <v>148</v>
          </cell>
          <cell r="O181">
            <v>60900</v>
          </cell>
          <cell r="P181">
            <v>73080</v>
          </cell>
          <cell r="Q181">
            <v>91350</v>
          </cell>
          <cell r="R181">
            <v>372</v>
          </cell>
          <cell r="S181">
            <v>446</v>
          </cell>
          <cell r="T181">
            <v>558</v>
          </cell>
          <cell r="U181">
            <v>148</v>
          </cell>
          <cell r="V181">
            <v>3654000</v>
          </cell>
          <cell r="W181">
            <v>4872000</v>
          </cell>
          <cell r="X181">
            <v>930</v>
          </cell>
          <cell r="Y181">
            <v>1860</v>
          </cell>
        </row>
        <row r="182">
          <cell r="N182">
            <v>149</v>
          </cell>
          <cell r="O182">
            <v>62300</v>
          </cell>
          <cell r="P182">
            <v>74760</v>
          </cell>
          <cell r="Q182">
            <v>93450</v>
          </cell>
          <cell r="R182">
            <v>380</v>
          </cell>
          <cell r="S182">
            <v>456</v>
          </cell>
          <cell r="T182">
            <v>570</v>
          </cell>
          <cell r="U182">
            <v>149</v>
          </cell>
          <cell r="V182">
            <v>3738000</v>
          </cell>
          <cell r="W182">
            <v>4984000</v>
          </cell>
          <cell r="X182">
            <v>950</v>
          </cell>
          <cell r="Y182">
            <v>1900</v>
          </cell>
        </row>
        <row r="183">
          <cell r="N183">
            <v>150</v>
          </cell>
          <cell r="O183">
            <v>64300</v>
          </cell>
          <cell r="P183">
            <v>77160</v>
          </cell>
          <cell r="Q183">
            <v>96450</v>
          </cell>
          <cell r="R183">
            <v>420</v>
          </cell>
          <cell r="S183">
            <v>504</v>
          </cell>
          <cell r="T183">
            <v>630</v>
          </cell>
          <cell r="U183">
            <v>150</v>
          </cell>
          <cell r="V183">
            <v>3858000</v>
          </cell>
          <cell r="W183">
            <v>5144000</v>
          </cell>
          <cell r="X183">
            <v>1050</v>
          </cell>
          <cell r="Y183">
            <v>2100</v>
          </cell>
        </row>
        <row r="184">
          <cell r="N184">
            <v>151</v>
          </cell>
          <cell r="O184">
            <v>62900</v>
          </cell>
          <cell r="P184">
            <v>75480</v>
          </cell>
          <cell r="Q184">
            <v>94350</v>
          </cell>
          <cell r="R184">
            <v>388</v>
          </cell>
          <cell r="S184">
            <v>466</v>
          </cell>
          <cell r="T184">
            <v>582</v>
          </cell>
          <cell r="U184">
            <v>151</v>
          </cell>
          <cell r="V184">
            <v>3774000</v>
          </cell>
          <cell r="W184">
            <v>5032000</v>
          </cell>
          <cell r="X184">
            <v>970</v>
          </cell>
          <cell r="Y184">
            <v>1940</v>
          </cell>
        </row>
        <row r="185">
          <cell r="N185">
            <v>152</v>
          </cell>
          <cell r="O185">
            <v>63700</v>
          </cell>
          <cell r="P185">
            <v>76440</v>
          </cell>
          <cell r="Q185">
            <v>95550</v>
          </cell>
          <cell r="R185">
            <v>396</v>
          </cell>
          <cell r="S185">
            <v>475</v>
          </cell>
          <cell r="T185">
            <v>594</v>
          </cell>
          <cell r="U185">
            <v>152</v>
          </cell>
          <cell r="V185">
            <v>3822000</v>
          </cell>
          <cell r="W185">
            <v>5096000</v>
          </cell>
          <cell r="X185">
            <v>990</v>
          </cell>
          <cell r="Y185">
            <v>1980</v>
          </cell>
        </row>
        <row r="186">
          <cell r="N186">
            <v>153</v>
          </cell>
          <cell r="O186">
            <v>64700</v>
          </cell>
          <cell r="P186">
            <v>77640</v>
          </cell>
          <cell r="Q186">
            <v>97050</v>
          </cell>
          <cell r="R186">
            <v>404</v>
          </cell>
          <cell r="S186">
            <v>485</v>
          </cell>
          <cell r="T186">
            <v>606</v>
          </cell>
          <cell r="U186">
            <v>153</v>
          </cell>
          <cell r="V186">
            <v>3882000</v>
          </cell>
          <cell r="W186">
            <v>5176000</v>
          </cell>
          <cell r="X186">
            <v>1010</v>
          </cell>
          <cell r="Y186">
            <v>2020</v>
          </cell>
        </row>
        <row r="187">
          <cell r="N187">
            <v>154</v>
          </cell>
          <cell r="O187">
            <v>66700</v>
          </cell>
          <cell r="P187">
            <v>80040</v>
          </cell>
          <cell r="Q187">
            <v>100050</v>
          </cell>
          <cell r="R187">
            <v>460</v>
          </cell>
          <cell r="S187">
            <v>552</v>
          </cell>
          <cell r="T187">
            <v>690</v>
          </cell>
          <cell r="U187">
            <v>154</v>
          </cell>
          <cell r="V187">
            <v>4002000</v>
          </cell>
          <cell r="W187">
            <v>5336000</v>
          </cell>
          <cell r="X187">
            <v>1150</v>
          </cell>
          <cell r="Y187">
            <v>2300</v>
          </cell>
        </row>
        <row r="188">
          <cell r="N188">
            <v>155</v>
          </cell>
          <cell r="O188">
            <v>65300</v>
          </cell>
          <cell r="P188">
            <v>78360</v>
          </cell>
          <cell r="Q188">
            <v>97950</v>
          </cell>
          <cell r="R188">
            <v>412</v>
          </cell>
          <cell r="S188">
            <v>494</v>
          </cell>
          <cell r="T188">
            <v>618</v>
          </cell>
          <cell r="U188">
            <v>155</v>
          </cell>
          <cell r="V188">
            <v>3918000</v>
          </cell>
          <cell r="W188">
            <v>5224000</v>
          </cell>
          <cell r="X188">
            <v>1030</v>
          </cell>
          <cell r="Y188">
            <v>2060</v>
          </cell>
        </row>
        <row r="189">
          <cell r="N189">
            <v>156</v>
          </cell>
          <cell r="O189">
            <v>66100</v>
          </cell>
          <cell r="P189">
            <v>79320</v>
          </cell>
          <cell r="Q189">
            <v>99150</v>
          </cell>
          <cell r="R189">
            <v>420</v>
          </cell>
          <cell r="S189">
            <v>504</v>
          </cell>
          <cell r="T189">
            <v>630</v>
          </cell>
          <cell r="U189">
            <v>156</v>
          </cell>
          <cell r="V189">
            <v>3966000</v>
          </cell>
          <cell r="W189">
            <v>5288000</v>
          </cell>
          <cell r="X189">
            <v>1050</v>
          </cell>
          <cell r="Y189">
            <v>2100</v>
          </cell>
        </row>
        <row r="190">
          <cell r="N190">
            <v>157</v>
          </cell>
          <cell r="O190">
            <v>67100</v>
          </cell>
          <cell r="P190">
            <v>80520</v>
          </cell>
          <cell r="Q190">
            <v>100650</v>
          </cell>
          <cell r="R190">
            <v>428</v>
          </cell>
          <cell r="S190">
            <v>514</v>
          </cell>
          <cell r="T190">
            <v>642</v>
          </cell>
          <cell r="U190">
            <v>157</v>
          </cell>
          <cell r="V190">
            <v>4026000</v>
          </cell>
          <cell r="W190">
            <v>5368000</v>
          </cell>
          <cell r="X190">
            <v>1070</v>
          </cell>
          <cell r="Y190">
            <v>2140</v>
          </cell>
        </row>
        <row r="191">
          <cell r="N191">
            <v>158</v>
          </cell>
          <cell r="O191">
            <v>68300</v>
          </cell>
          <cell r="P191">
            <v>81960</v>
          </cell>
          <cell r="Q191">
            <v>102450</v>
          </cell>
          <cell r="R191">
            <v>436</v>
          </cell>
          <cell r="S191">
            <v>523</v>
          </cell>
          <cell r="T191">
            <v>654</v>
          </cell>
          <cell r="U191">
            <v>158</v>
          </cell>
          <cell r="V191">
            <v>4098000</v>
          </cell>
          <cell r="W191">
            <v>5464000</v>
          </cell>
          <cell r="X191">
            <v>1090</v>
          </cell>
          <cell r="Y191">
            <v>2180</v>
          </cell>
        </row>
        <row r="192">
          <cell r="N192">
            <v>159</v>
          </cell>
          <cell r="O192">
            <v>69700</v>
          </cell>
          <cell r="P192">
            <v>83640</v>
          </cell>
          <cell r="Q192">
            <v>104550</v>
          </cell>
          <cell r="R192">
            <v>444</v>
          </cell>
          <cell r="S192">
            <v>533</v>
          </cell>
          <cell r="T192">
            <v>666</v>
          </cell>
          <cell r="U192">
            <v>159</v>
          </cell>
          <cell r="V192">
            <v>4182000</v>
          </cell>
          <cell r="W192">
            <v>5576000</v>
          </cell>
          <cell r="X192">
            <v>1110</v>
          </cell>
          <cell r="Y192">
            <v>2220</v>
          </cell>
        </row>
        <row r="193">
          <cell r="N193">
            <v>160</v>
          </cell>
          <cell r="O193">
            <v>71700</v>
          </cell>
          <cell r="P193">
            <v>86040</v>
          </cell>
          <cell r="Q193">
            <v>107550</v>
          </cell>
          <cell r="R193">
            <v>500</v>
          </cell>
          <cell r="S193">
            <v>600</v>
          </cell>
          <cell r="T193">
            <v>750</v>
          </cell>
          <cell r="U193">
            <v>160</v>
          </cell>
          <cell r="V193">
            <v>4302000</v>
          </cell>
          <cell r="W193">
            <v>5736000</v>
          </cell>
          <cell r="X193">
            <v>1250</v>
          </cell>
          <cell r="Y193">
            <v>2500</v>
          </cell>
        </row>
        <row r="194">
          <cell r="N194">
            <v>161</v>
          </cell>
          <cell r="O194">
            <v>70500</v>
          </cell>
          <cell r="P194">
            <v>84600</v>
          </cell>
          <cell r="Q194">
            <v>105750</v>
          </cell>
          <cell r="R194">
            <v>454</v>
          </cell>
          <cell r="S194">
            <v>545</v>
          </cell>
          <cell r="T194">
            <v>681</v>
          </cell>
          <cell r="U194">
            <v>161</v>
          </cell>
          <cell r="V194">
            <v>4230000</v>
          </cell>
          <cell r="W194">
            <v>5640000</v>
          </cell>
          <cell r="X194">
            <v>1135</v>
          </cell>
          <cell r="Y194">
            <v>2270</v>
          </cell>
        </row>
        <row r="195">
          <cell r="N195">
            <v>162</v>
          </cell>
          <cell r="O195">
            <v>71500</v>
          </cell>
          <cell r="P195">
            <v>85800</v>
          </cell>
          <cell r="Q195">
            <v>107250</v>
          </cell>
          <cell r="R195">
            <v>464</v>
          </cell>
          <cell r="S195">
            <v>557</v>
          </cell>
          <cell r="T195">
            <v>696</v>
          </cell>
          <cell r="U195">
            <v>162</v>
          </cell>
          <cell r="V195">
            <v>4290000</v>
          </cell>
          <cell r="W195">
            <v>5720000</v>
          </cell>
          <cell r="X195">
            <v>1160</v>
          </cell>
          <cell r="Y195">
            <v>2320</v>
          </cell>
        </row>
        <row r="196">
          <cell r="N196">
            <v>163</v>
          </cell>
          <cell r="O196">
            <v>72700</v>
          </cell>
          <cell r="P196">
            <v>87240</v>
          </cell>
          <cell r="Q196">
            <v>109050</v>
          </cell>
          <cell r="R196">
            <v>474</v>
          </cell>
          <cell r="S196">
            <v>569</v>
          </cell>
          <cell r="T196">
            <v>711</v>
          </cell>
          <cell r="U196">
            <v>163</v>
          </cell>
          <cell r="V196">
            <v>4362000</v>
          </cell>
          <cell r="W196">
            <v>5816000</v>
          </cell>
          <cell r="X196">
            <v>1185</v>
          </cell>
          <cell r="Y196">
            <v>2370</v>
          </cell>
        </row>
        <row r="197">
          <cell r="N197">
            <v>164</v>
          </cell>
          <cell r="O197">
            <v>75200</v>
          </cell>
          <cell r="P197">
            <v>90240</v>
          </cell>
          <cell r="Q197">
            <v>112800</v>
          </cell>
          <cell r="R197">
            <v>540</v>
          </cell>
          <cell r="S197">
            <v>648</v>
          </cell>
          <cell r="T197">
            <v>810</v>
          </cell>
          <cell r="U197">
            <v>164</v>
          </cell>
          <cell r="V197">
            <v>4512000</v>
          </cell>
          <cell r="W197">
            <v>6016000</v>
          </cell>
          <cell r="X197">
            <v>1350</v>
          </cell>
          <cell r="Y197">
            <v>2700</v>
          </cell>
        </row>
        <row r="198">
          <cell r="N198">
            <v>165</v>
          </cell>
          <cell r="O198">
            <v>73500</v>
          </cell>
          <cell r="P198">
            <v>88200</v>
          </cell>
          <cell r="Q198">
            <v>110250</v>
          </cell>
          <cell r="R198">
            <v>484</v>
          </cell>
          <cell r="S198">
            <v>581</v>
          </cell>
          <cell r="T198">
            <v>726</v>
          </cell>
          <cell r="U198">
            <v>165</v>
          </cell>
          <cell r="V198">
            <v>4410000</v>
          </cell>
          <cell r="W198">
            <v>5880000</v>
          </cell>
          <cell r="X198">
            <v>1210</v>
          </cell>
          <cell r="Y198">
            <v>2420</v>
          </cell>
        </row>
        <row r="199">
          <cell r="N199">
            <v>166</v>
          </cell>
          <cell r="O199">
            <v>74500</v>
          </cell>
          <cell r="P199">
            <v>89400</v>
          </cell>
          <cell r="Q199">
            <v>111750</v>
          </cell>
          <cell r="R199">
            <v>494</v>
          </cell>
          <cell r="S199">
            <v>593</v>
          </cell>
          <cell r="T199">
            <v>741</v>
          </cell>
          <cell r="U199">
            <v>166</v>
          </cell>
          <cell r="V199">
            <v>4470000</v>
          </cell>
          <cell r="W199">
            <v>5960000</v>
          </cell>
          <cell r="X199">
            <v>1235</v>
          </cell>
          <cell r="Y199">
            <v>2470</v>
          </cell>
        </row>
        <row r="200">
          <cell r="N200">
            <v>167</v>
          </cell>
          <cell r="O200">
            <v>75700</v>
          </cell>
          <cell r="P200">
            <v>90840</v>
          </cell>
          <cell r="Q200">
            <v>113550</v>
          </cell>
          <cell r="R200">
            <v>504</v>
          </cell>
          <cell r="S200">
            <v>605</v>
          </cell>
          <cell r="T200">
            <v>756</v>
          </cell>
          <cell r="U200">
            <v>167</v>
          </cell>
          <cell r="V200">
            <v>4542000</v>
          </cell>
          <cell r="W200">
            <v>6056000</v>
          </cell>
          <cell r="X200">
            <v>1260</v>
          </cell>
          <cell r="Y200">
            <v>2520</v>
          </cell>
        </row>
        <row r="201">
          <cell r="N201">
            <v>168</v>
          </cell>
          <cell r="O201">
            <v>77100</v>
          </cell>
          <cell r="P201">
            <v>92520</v>
          </cell>
          <cell r="Q201">
            <v>115650</v>
          </cell>
          <cell r="R201">
            <v>514</v>
          </cell>
          <cell r="S201">
            <v>617</v>
          </cell>
          <cell r="T201">
            <v>771</v>
          </cell>
          <cell r="U201">
            <v>168</v>
          </cell>
          <cell r="V201">
            <v>4626000</v>
          </cell>
          <cell r="W201">
            <v>6168000</v>
          </cell>
          <cell r="X201">
            <v>1285</v>
          </cell>
          <cell r="Y201">
            <v>2570</v>
          </cell>
        </row>
        <row r="202">
          <cell r="N202">
            <v>169</v>
          </cell>
          <cell r="O202">
            <v>78700</v>
          </cell>
          <cell r="P202">
            <v>94440</v>
          </cell>
          <cell r="Q202">
            <v>118050</v>
          </cell>
          <cell r="R202">
            <v>524</v>
          </cell>
          <cell r="S202">
            <v>629</v>
          </cell>
          <cell r="T202">
            <v>786</v>
          </cell>
          <cell r="U202">
            <v>169</v>
          </cell>
          <cell r="V202">
            <v>4722000</v>
          </cell>
          <cell r="W202">
            <v>6296000</v>
          </cell>
          <cell r="X202">
            <v>1310</v>
          </cell>
          <cell r="Y202">
            <v>2620</v>
          </cell>
        </row>
        <row r="203">
          <cell r="N203">
            <v>170</v>
          </cell>
          <cell r="O203">
            <v>81200</v>
          </cell>
          <cell r="P203">
            <v>97440</v>
          </cell>
          <cell r="Q203">
            <v>121800</v>
          </cell>
          <cell r="R203">
            <v>580</v>
          </cell>
          <cell r="S203">
            <v>696</v>
          </cell>
          <cell r="T203">
            <v>870</v>
          </cell>
          <cell r="U203">
            <v>170</v>
          </cell>
          <cell r="V203">
            <v>4872000</v>
          </cell>
          <cell r="W203">
            <v>6496000</v>
          </cell>
          <cell r="X203">
            <v>1450</v>
          </cell>
          <cell r="Y203">
            <v>2900</v>
          </cell>
        </row>
        <row r="204">
          <cell r="N204">
            <v>171</v>
          </cell>
          <cell r="O204">
            <v>79500</v>
          </cell>
          <cell r="P204">
            <v>95400</v>
          </cell>
          <cell r="Q204">
            <v>119250</v>
          </cell>
          <cell r="R204">
            <v>534</v>
          </cell>
          <cell r="S204">
            <v>641</v>
          </cell>
          <cell r="T204">
            <v>801</v>
          </cell>
          <cell r="U204">
            <v>171</v>
          </cell>
          <cell r="V204">
            <v>4770000</v>
          </cell>
          <cell r="W204">
            <v>6360000</v>
          </cell>
          <cell r="X204">
            <v>2003</v>
          </cell>
          <cell r="Y204">
            <v>4005</v>
          </cell>
        </row>
        <row r="205">
          <cell r="N205">
            <v>172</v>
          </cell>
          <cell r="O205">
            <v>80500</v>
          </cell>
          <cell r="P205">
            <v>96600</v>
          </cell>
          <cell r="Q205">
            <v>120750</v>
          </cell>
          <cell r="R205">
            <v>544</v>
          </cell>
          <cell r="S205">
            <v>653</v>
          </cell>
          <cell r="T205">
            <v>816</v>
          </cell>
          <cell r="U205">
            <v>172</v>
          </cell>
          <cell r="V205">
            <v>4830000</v>
          </cell>
          <cell r="W205">
            <v>6440000</v>
          </cell>
          <cell r="X205">
            <v>2040</v>
          </cell>
          <cell r="Y205">
            <v>4080</v>
          </cell>
        </row>
        <row r="206">
          <cell r="N206">
            <v>173</v>
          </cell>
          <cell r="O206">
            <v>81700</v>
          </cell>
          <cell r="P206">
            <v>98040</v>
          </cell>
          <cell r="Q206">
            <v>122550</v>
          </cell>
          <cell r="R206">
            <v>554</v>
          </cell>
          <cell r="S206">
            <v>665</v>
          </cell>
          <cell r="T206">
            <v>831</v>
          </cell>
          <cell r="U206">
            <v>173</v>
          </cell>
          <cell r="V206">
            <v>4902000</v>
          </cell>
          <cell r="W206">
            <v>6536000</v>
          </cell>
          <cell r="X206">
            <v>2078</v>
          </cell>
          <cell r="Y206">
            <v>4155</v>
          </cell>
        </row>
        <row r="207">
          <cell r="N207">
            <v>174</v>
          </cell>
          <cell r="O207">
            <v>84200</v>
          </cell>
          <cell r="P207">
            <v>101040</v>
          </cell>
          <cell r="Q207">
            <v>126300</v>
          </cell>
          <cell r="R207">
            <v>620</v>
          </cell>
          <cell r="S207">
            <v>744</v>
          </cell>
          <cell r="T207">
            <v>930</v>
          </cell>
          <cell r="U207">
            <v>174</v>
          </cell>
          <cell r="V207">
            <v>5052000</v>
          </cell>
          <cell r="W207">
            <v>6736000</v>
          </cell>
          <cell r="X207">
            <v>2325</v>
          </cell>
          <cell r="Y207">
            <v>4650</v>
          </cell>
        </row>
        <row r="208">
          <cell r="N208">
            <v>175</v>
          </cell>
          <cell r="O208">
            <v>82500</v>
          </cell>
          <cell r="P208">
            <v>99000</v>
          </cell>
          <cell r="Q208">
            <v>123750</v>
          </cell>
          <cell r="R208">
            <v>564</v>
          </cell>
          <cell r="S208">
            <v>677</v>
          </cell>
          <cell r="T208">
            <v>846</v>
          </cell>
          <cell r="U208">
            <v>175</v>
          </cell>
          <cell r="V208">
            <v>4950000</v>
          </cell>
          <cell r="W208">
            <v>6600000</v>
          </cell>
          <cell r="X208">
            <v>2115</v>
          </cell>
          <cell r="Y208">
            <v>4230</v>
          </cell>
        </row>
        <row r="209">
          <cell r="N209">
            <v>176</v>
          </cell>
          <cell r="O209">
            <v>83500</v>
          </cell>
          <cell r="P209">
            <v>100200</v>
          </cell>
          <cell r="Q209">
            <v>125250</v>
          </cell>
          <cell r="R209">
            <v>574</v>
          </cell>
          <cell r="S209">
            <v>689</v>
          </cell>
          <cell r="T209">
            <v>861</v>
          </cell>
          <cell r="U209">
            <v>176</v>
          </cell>
          <cell r="V209">
            <v>5010000</v>
          </cell>
          <cell r="W209">
            <v>6680000</v>
          </cell>
          <cell r="X209">
            <v>2153</v>
          </cell>
          <cell r="Y209">
            <v>4305</v>
          </cell>
        </row>
        <row r="210">
          <cell r="N210">
            <v>177</v>
          </cell>
          <cell r="O210">
            <v>84700</v>
          </cell>
          <cell r="P210">
            <v>101640</v>
          </cell>
          <cell r="Q210">
            <v>127050</v>
          </cell>
          <cell r="R210">
            <v>584</v>
          </cell>
          <cell r="S210">
            <v>701</v>
          </cell>
          <cell r="T210">
            <v>876</v>
          </cell>
          <cell r="U210">
            <v>177</v>
          </cell>
          <cell r="V210">
            <v>5082000</v>
          </cell>
          <cell r="W210">
            <v>6776000</v>
          </cell>
          <cell r="X210">
            <v>2190</v>
          </cell>
          <cell r="Y210">
            <v>4380</v>
          </cell>
        </row>
        <row r="211">
          <cell r="N211">
            <v>178</v>
          </cell>
          <cell r="O211">
            <v>86100</v>
          </cell>
          <cell r="P211">
            <v>103320</v>
          </cell>
          <cell r="Q211">
            <v>129150</v>
          </cell>
          <cell r="R211">
            <v>594</v>
          </cell>
          <cell r="S211">
            <v>713</v>
          </cell>
          <cell r="T211">
            <v>891</v>
          </cell>
          <cell r="U211">
            <v>178</v>
          </cell>
          <cell r="V211">
            <v>5166000</v>
          </cell>
          <cell r="W211">
            <v>6888000</v>
          </cell>
          <cell r="X211">
            <v>2228</v>
          </cell>
          <cell r="Y211">
            <v>4455</v>
          </cell>
        </row>
        <row r="212">
          <cell r="N212">
            <v>179</v>
          </cell>
          <cell r="O212">
            <v>87700</v>
          </cell>
          <cell r="P212">
            <v>105240</v>
          </cell>
          <cell r="Q212">
            <v>131550</v>
          </cell>
          <cell r="R212">
            <v>604</v>
          </cell>
          <cell r="S212">
            <v>725</v>
          </cell>
          <cell r="T212">
            <v>906</v>
          </cell>
          <cell r="U212">
            <v>179</v>
          </cell>
          <cell r="V212">
            <v>5262000</v>
          </cell>
          <cell r="W212">
            <v>7016000</v>
          </cell>
          <cell r="X212">
            <v>2265</v>
          </cell>
          <cell r="Y212">
            <v>4530</v>
          </cell>
        </row>
        <row r="213">
          <cell r="N213">
            <v>180</v>
          </cell>
          <cell r="O213">
            <v>90200</v>
          </cell>
          <cell r="P213">
            <v>108240</v>
          </cell>
          <cell r="Q213">
            <v>135300</v>
          </cell>
          <cell r="R213">
            <v>680</v>
          </cell>
          <cell r="S213">
            <v>816</v>
          </cell>
          <cell r="T213">
            <v>1020</v>
          </cell>
          <cell r="U213">
            <v>180</v>
          </cell>
          <cell r="V213">
            <v>5412000</v>
          </cell>
          <cell r="W213">
            <v>7216000</v>
          </cell>
          <cell r="X213">
            <v>2550</v>
          </cell>
          <cell r="Y213">
            <v>5100</v>
          </cell>
        </row>
        <row r="214">
          <cell r="N214">
            <v>181</v>
          </cell>
          <cell r="O214">
            <v>88700</v>
          </cell>
          <cell r="P214">
            <v>106440</v>
          </cell>
          <cell r="Q214">
            <v>133050</v>
          </cell>
          <cell r="R214">
            <v>616</v>
          </cell>
          <cell r="S214">
            <v>739</v>
          </cell>
          <cell r="T214">
            <v>924</v>
          </cell>
          <cell r="U214">
            <v>181</v>
          </cell>
          <cell r="V214">
            <v>5322000</v>
          </cell>
          <cell r="W214">
            <v>7096000</v>
          </cell>
          <cell r="X214">
            <v>2310</v>
          </cell>
          <cell r="Y214">
            <v>4620</v>
          </cell>
        </row>
        <row r="215">
          <cell r="N215">
            <v>182</v>
          </cell>
          <cell r="O215">
            <v>89900</v>
          </cell>
          <cell r="P215">
            <v>107880</v>
          </cell>
          <cell r="Q215">
            <v>134850</v>
          </cell>
          <cell r="R215">
            <v>628</v>
          </cell>
          <cell r="S215">
            <v>754</v>
          </cell>
          <cell r="T215">
            <v>942</v>
          </cell>
          <cell r="U215">
            <v>182</v>
          </cell>
          <cell r="V215">
            <v>5394000</v>
          </cell>
          <cell r="W215">
            <v>7192000</v>
          </cell>
          <cell r="X215">
            <v>2355</v>
          </cell>
          <cell r="Y215">
            <v>4710</v>
          </cell>
        </row>
        <row r="216">
          <cell r="N216">
            <v>183</v>
          </cell>
          <cell r="O216">
            <v>91300</v>
          </cell>
          <cell r="P216">
            <v>109560</v>
          </cell>
          <cell r="Q216">
            <v>136950</v>
          </cell>
          <cell r="R216">
            <v>640</v>
          </cell>
          <cell r="S216">
            <v>768</v>
          </cell>
          <cell r="T216">
            <v>960</v>
          </cell>
          <cell r="U216">
            <v>183</v>
          </cell>
          <cell r="V216">
            <v>5478000</v>
          </cell>
          <cell r="W216">
            <v>7304000</v>
          </cell>
          <cell r="X216">
            <v>2400</v>
          </cell>
          <cell r="Y216">
            <v>4800</v>
          </cell>
        </row>
        <row r="217">
          <cell r="N217">
            <v>184</v>
          </cell>
          <cell r="O217">
            <v>94300</v>
          </cell>
          <cell r="P217">
            <v>113160</v>
          </cell>
          <cell r="Q217">
            <v>141450</v>
          </cell>
          <cell r="R217">
            <v>740</v>
          </cell>
          <cell r="S217">
            <v>888</v>
          </cell>
          <cell r="T217">
            <v>1110</v>
          </cell>
          <cell r="U217">
            <v>184</v>
          </cell>
          <cell r="V217">
            <v>5658000</v>
          </cell>
          <cell r="W217">
            <v>7544000</v>
          </cell>
          <cell r="X217">
            <v>2775</v>
          </cell>
          <cell r="Y217">
            <v>5550</v>
          </cell>
        </row>
        <row r="218">
          <cell r="N218">
            <v>185</v>
          </cell>
          <cell r="O218">
            <v>92300</v>
          </cell>
          <cell r="P218">
            <v>110760</v>
          </cell>
          <cell r="Q218">
            <v>138450</v>
          </cell>
          <cell r="R218">
            <v>652</v>
          </cell>
          <cell r="S218">
            <v>782</v>
          </cell>
          <cell r="T218">
            <v>978</v>
          </cell>
          <cell r="U218">
            <v>185</v>
          </cell>
          <cell r="V218">
            <v>5538000</v>
          </cell>
          <cell r="W218">
            <v>7384000</v>
          </cell>
          <cell r="X218">
            <v>2445</v>
          </cell>
          <cell r="Y218">
            <v>4890</v>
          </cell>
        </row>
        <row r="219">
          <cell r="N219">
            <v>186</v>
          </cell>
          <cell r="O219">
            <v>93500</v>
          </cell>
          <cell r="P219">
            <v>112200</v>
          </cell>
          <cell r="Q219">
            <v>140250</v>
          </cell>
          <cell r="R219">
            <v>664</v>
          </cell>
          <cell r="S219">
            <v>797</v>
          </cell>
          <cell r="T219">
            <v>996</v>
          </cell>
          <cell r="U219">
            <v>186</v>
          </cell>
          <cell r="V219">
            <v>5610000</v>
          </cell>
          <cell r="W219">
            <v>7480000</v>
          </cell>
          <cell r="X219">
            <v>2490</v>
          </cell>
          <cell r="Y219">
            <v>4980</v>
          </cell>
        </row>
        <row r="220">
          <cell r="N220">
            <v>187</v>
          </cell>
          <cell r="O220">
            <v>94900</v>
          </cell>
          <cell r="P220">
            <v>113880</v>
          </cell>
          <cell r="Q220">
            <v>142350</v>
          </cell>
          <cell r="R220">
            <v>676</v>
          </cell>
          <cell r="S220">
            <v>811</v>
          </cell>
          <cell r="T220">
            <v>1014</v>
          </cell>
          <cell r="U220">
            <v>187</v>
          </cell>
          <cell r="V220">
            <v>5694000</v>
          </cell>
          <cell r="W220">
            <v>7592000</v>
          </cell>
          <cell r="X220">
            <v>2535</v>
          </cell>
          <cell r="Y220">
            <v>5070</v>
          </cell>
        </row>
        <row r="221">
          <cell r="N221">
            <v>188</v>
          </cell>
          <cell r="O221">
            <v>96500</v>
          </cell>
          <cell r="P221">
            <v>115800</v>
          </cell>
          <cell r="Q221">
            <v>144750</v>
          </cell>
          <cell r="R221">
            <v>688</v>
          </cell>
          <cell r="S221">
            <v>826</v>
          </cell>
          <cell r="T221">
            <v>1032</v>
          </cell>
          <cell r="U221">
            <v>188</v>
          </cell>
          <cell r="V221">
            <v>5790000</v>
          </cell>
          <cell r="W221">
            <v>7720000</v>
          </cell>
          <cell r="X221">
            <v>2580</v>
          </cell>
          <cell r="Y221">
            <v>5160</v>
          </cell>
        </row>
        <row r="222">
          <cell r="N222">
            <v>189</v>
          </cell>
          <cell r="O222">
            <v>98300</v>
          </cell>
          <cell r="P222">
            <v>117960</v>
          </cell>
          <cell r="Q222">
            <v>147450</v>
          </cell>
          <cell r="R222">
            <v>700</v>
          </cell>
          <cell r="S222">
            <v>840</v>
          </cell>
          <cell r="T222">
            <v>1050</v>
          </cell>
          <cell r="U222">
            <v>189</v>
          </cell>
          <cell r="V222">
            <v>5898000</v>
          </cell>
          <cell r="W222">
            <v>7864000</v>
          </cell>
          <cell r="X222">
            <v>2625</v>
          </cell>
          <cell r="Y222">
            <v>5250</v>
          </cell>
        </row>
        <row r="223">
          <cell r="N223">
            <v>190</v>
          </cell>
          <cell r="O223">
            <v>101300</v>
          </cell>
          <cell r="P223">
            <v>121560</v>
          </cell>
          <cell r="Q223">
            <v>151950</v>
          </cell>
          <cell r="R223">
            <v>800</v>
          </cell>
          <cell r="S223">
            <v>960</v>
          </cell>
          <cell r="T223">
            <v>1200</v>
          </cell>
          <cell r="U223">
            <v>190</v>
          </cell>
          <cell r="V223">
            <v>6078000</v>
          </cell>
          <cell r="W223">
            <v>8104000</v>
          </cell>
          <cell r="X223">
            <v>3000</v>
          </cell>
          <cell r="Y223">
            <v>6000</v>
          </cell>
        </row>
        <row r="224">
          <cell r="N224">
            <v>191</v>
          </cell>
          <cell r="O224">
            <v>99300</v>
          </cell>
          <cell r="P224">
            <v>119160</v>
          </cell>
          <cell r="Q224">
            <v>148950</v>
          </cell>
          <cell r="R224">
            <v>712</v>
          </cell>
          <cell r="S224">
            <v>854</v>
          </cell>
          <cell r="T224">
            <v>1068</v>
          </cell>
          <cell r="U224">
            <v>191</v>
          </cell>
          <cell r="V224">
            <v>5958000</v>
          </cell>
          <cell r="W224">
            <v>7944000</v>
          </cell>
          <cell r="X224">
            <v>2670</v>
          </cell>
          <cell r="Y224">
            <v>5340</v>
          </cell>
        </row>
        <row r="225">
          <cell r="N225">
            <v>192</v>
          </cell>
          <cell r="O225">
            <v>100500</v>
          </cell>
          <cell r="P225">
            <v>120600</v>
          </cell>
          <cell r="Q225">
            <v>150750</v>
          </cell>
          <cell r="R225">
            <v>724</v>
          </cell>
          <cell r="S225">
            <v>869</v>
          </cell>
          <cell r="T225">
            <v>1086</v>
          </cell>
          <cell r="U225">
            <v>192</v>
          </cell>
          <cell r="V225">
            <v>6030000</v>
          </cell>
          <cell r="W225">
            <v>8040000</v>
          </cell>
          <cell r="X225">
            <v>2715</v>
          </cell>
          <cell r="Y225">
            <v>5430</v>
          </cell>
        </row>
        <row r="226">
          <cell r="N226">
            <v>193</v>
          </cell>
          <cell r="O226">
            <v>101900</v>
          </cell>
          <cell r="P226">
            <v>122280</v>
          </cell>
          <cell r="Q226">
            <v>152850</v>
          </cell>
          <cell r="R226">
            <v>736</v>
          </cell>
          <cell r="S226">
            <v>883</v>
          </cell>
          <cell r="T226">
            <v>1104</v>
          </cell>
          <cell r="U226">
            <v>193</v>
          </cell>
          <cell r="V226">
            <v>6114000</v>
          </cell>
          <cell r="W226">
            <v>8152000</v>
          </cell>
          <cell r="X226">
            <v>2760</v>
          </cell>
          <cell r="Y226">
            <v>5520</v>
          </cell>
        </row>
        <row r="227">
          <cell r="N227">
            <v>194</v>
          </cell>
          <cell r="O227">
            <v>104900</v>
          </cell>
          <cell r="P227">
            <v>125880</v>
          </cell>
          <cell r="Q227">
            <v>157350</v>
          </cell>
          <cell r="R227">
            <v>860</v>
          </cell>
          <cell r="S227">
            <v>1032</v>
          </cell>
          <cell r="T227">
            <v>1290</v>
          </cell>
          <cell r="U227">
            <v>194</v>
          </cell>
          <cell r="V227">
            <v>6294000</v>
          </cell>
          <cell r="W227">
            <v>8392000</v>
          </cell>
          <cell r="X227">
            <v>3225</v>
          </cell>
          <cell r="Y227">
            <v>6450</v>
          </cell>
        </row>
        <row r="228">
          <cell r="N228">
            <v>195</v>
          </cell>
          <cell r="O228">
            <v>102900</v>
          </cell>
          <cell r="P228">
            <v>123480</v>
          </cell>
          <cell r="Q228">
            <v>154350</v>
          </cell>
          <cell r="R228">
            <v>748</v>
          </cell>
          <cell r="S228">
            <v>898</v>
          </cell>
          <cell r="T228">
            <v>1122</v>
          </cell>
          <cell r="U228">
            <v>195</v>
          </cell>
          <cell r="V228">
            <v>6174000</v>
          </cell>
          <cell r="W228">
            <v>8232000</v>
          </cell>
          <cell r="X228">
            <v>2805</v>
          </cell>
          <cell r="Y228">
            <v>5610</v>
          </cell>
        </row>
        <row r="229">
          <cell r="N229">
            <v>196</v>
          </cell>
          <cell r="O229">
            <v>104100</v>
          </cell>
          <cell r="P229">
            <v>124920</v>
          </cell>
          <cell r="Q229">
            <v>156150</v>
          </cell>
          <cell r="R229">
            <v>760</v>
          </cell>
          <cell r="S229">
            <v>912</v>
          </cell>
          <cell r="T229">
            <v>1140</v>
          </cell>
          <cell r="U229">
            <v>196</v>
          </cell>
          <cell r="V229">
            <v>6246000</v>
          </cell>
          <cell r="W229">
            <v>8328000</v>
          </cell>
          <cell r="X229">
            <v>2850</v>
          </cell>
          <cell r="Y229">
            <v>5700</v>
          </cell>
        </row>
        <row r="230">
          <cell r="N230">
            <v>197</v>
          </cell>
          <cell r="O230">
            <v>105500</v>
          </cell>
          <cell r="P230">
            <v>126600</v>
          </cell>
          <cell r="Q230">
            <v>158250</v>
          </cell>
          <cell r="R230">
            <v>772</v>
          </cell>
          <cell r="S230">
            <v>926</v>
          </cell>
          <cell r="T230">
            <v>1158</v>
          </cell>
          <cell r="U230">
            <v>197</v>
          </cell>
          <cell r="V230">
            <v>6330000</v>
          </cell>
          <cell r="W230">
            <v>8440000</v>
          </cell>
          <cell r="X230">
            <v>2895</v>
          </cell>
          <cell r="Y230">
            <v>5790</v>
          </cell>
        </row>
        <row r="231">
          <cell r="N231">
            <v>198</v>
          </cell>
          <cell r="O231">
            <v>107100</v>
          </cell>
          <cell r="P231">
            <v>128520</v>
          </cell>
          <cell r="Q231">
            <v>160650</v>
          </cell>
          <cell r="R231">
            <v>784</v>
          </cell>
          <cell r="S231">
            <v>941</v>
          </cell>
          <cell r="T231">
            <v>1176</v>
          </cell>
          <cell r="U231">
            <v>198</v>
          </cell>
          <cell r="V231">
            <v>6426000</v>
          </cell>
          <cell r="W231">
            <v>8568000</v>
          </cell>
          <cell r="X231">
            <v>2940</v>
          </cell>
          <cell r="Y231">
            <v>5880</v>
          </cell>
        </row>
        <row r="232">
          <cell r="N232">
            <v>199</v>
          </cell>
          <cell r="O232">
            <v>108900</v>
          </cell>
          <cell r="P232">
            <v>130680</v>
          </cell>
          <cell r="Q232">
            <v>163350</v>
          </cell>
          <cell r="R232">
            <v>796</v>
          </cell>
          <cell r="S232">
            <v>955</v>
          </cell>
          <cell r="T232">
            <v>1194</v>
          </cell>
          <cell r="U232">
            <v>199</v>
          </cell>
          <cell r="V232">
            <v>6534000</v>
          </cell>
          <cell r="W232">
            <v>8712000</v>
          </cell>
          <cell r="X232">
            <v>2985</v>
          </cell>
          <cell r="Y232">
            <v>5970</v>
          </cell>
        </row>
        <row r="233">
          <cell r="N233">
            <v>200</v>
          </cell>
          <cell r="O233">
            <v>111900</v>
          </cell>
          <cell r="P233">
            <v>134280</v>
          </cell>
          <cell r="Q233">
            <v>167850</v>
          </cell>
          <cell r="R233">
            <v>920</v>
          </cell>
          <cell r="S233">
            <v>1104</v>
          </cell>
          <cell r="T233">
            <v>1380</v>
          </cell>
          <cell r="U233">
            <v>200</v>
          </cell>
          <cell r="V233">
            <v>6714000</v>
          </cell>
          <cell r="W233">
            <v>8952000</v>
          </cell>
          <cell r="X233">
            <v>3450</v>
          </cell>
          <cell r="Y233">
            <v>6900</v>
          </cell>
        </row>
        <row r="234">
          <cell r="N234">
            <v>201</v>
          </cell>
          <cell r="O234">
            <v>110100</v>
          </cell>
          <cell r="P234">
            <v>132120</v>
          </cell>
          <cell r="Q234">
            <v>165150</v>
          </cell>
          <cell r="R234">
            <v>808</v>
          </cell>
          <cell r="S234">
            <v>970</v>
          </cell>
          <cell r="T234">
            <v>1212</v>
          </cell>
          <cell r="U234">
            <v>201</v>
          </cell>
          <cell r="V234">
            <v>6606000</v>
          </cell>
          <cell r="W234">
            <v>8808000</v>
          </cell>
          <cell r="X234">
            <v>3030</v>
          </cell>
          <cell r="Y234">
            <v>6060</v>
          </cell>
        </row>
        <row r="235">
          <cell r="N235">
            <v>202</v>
          </cell>
          <cell r="O235">
            <v>111500</v>
          </cell>
          <cell r="P235">
            <v>133800</v>
          </cell>
          <cell r="Q235">
            <v>167250</v>
          </cell>
          <cell r="R235">
            <v>820</v>
          </cell>
          <cell r="S235">
            <v>984</v>
          </cell>
          <cell r="T235">
            <v>1230</v>
          </cell>
          <cell r="U235">
            <v>202</v>
          </cell>
          <cell r="V235">
            <v>6690000</v>
          </cell>
          <cell r="W235">
            <v>8920000</v>
          </cell>
          <cell r="X235">
            <v>3075</v>
          </cell>
          <cell r="Y235">
            <v>6150</v>
          </cell>
        </row>
        <row r="236">
          <cell r="N236">
            <v>203</v>
          </cell>
          <cell r="O236">
            <v>113100</v>
          </cell>
          <cell r="P236">
            <v>135720</v>
          </cell>
          <cell r="Q236">
            <v>169650</v>
          </cell>
          <cell r="R236">
            <v>832</v>
          </cell>
          <cell r="S236">
            <v>998</v>
          </cell>
          <cell r="T236">
            <v>1248</v>
          </cell>
          <cell r="U236">
            <v>203</v>
          </cell>
          <cell r="V236">
            <v>6786000</v>
          </cell>
          <cell r="W236">
            <v>9048000</v>
          </cell>
          <cell r="X236">
            <v>3120</v>
          </cell>
          <cell r="Y236">
            <v>6240</v>
          </cell>
        </row>
        <row r="237">
          <cell r="N237">
            <v>204</v>
          </cell>
          <cell r="O237">
            <v>116100</v>
          </cell>
          <cell r="P237">
            <v>139320</v>
          </cell>
          <cell r="Q237">
            <v>174150</v>
          </cell>
          <cell r="R237">
            <v>980</v>
          </cell>
          <cell r="S237">
            <v>1176</v>
          </cell>
          <cell r="T237">
            <v>1470</v>
          </cell>
          <cell r="U237">
            <v>204</v>
          </cell>
          <cell r="V237">
            <v>6966000</v>
          </cell>
          <cell r="W237">
            <v>9288000</v>
          </cell>
          <cell r="X237">
            <v>3675</v>
          </cell>
          <cell r="Y237">
            <v>7350</v>
          </cell>
        </row>
        <row r="238">
          <cell r="N238">
            <v>205</v>
          </cell>
          <cell r="O238">
            <v>114300</v>
          </cell>
          <cell r="P238">
            <v>137160</v>
          </cell>
          <cell r="Q238">
            <v>171450</v>
          </cell>
          <cell r="R238">
            <v>844</v>
          </cell>
          <cell r="S238">
            <v>1013</v>
          </cell>
          <cell r="T238">
            <v>1266</v>
          </cell>
          <cell r="U238">
            <v>205</v>
          </cell>
          <cell r="V238">
            <v>6858000</v>
          </cell>
          <cell r="W238">
            <v>9144000</v>
          </cell>
          <cell r="X238">
            <v>3165</v>
          </cell>
          <cell r="Y238">
            <v>6330</v>
          </cell>
        </row>
        <row r="239">
          <cell r="N239">
            <v>206</v>
          </cell>
          <cell r="O239">
            <v>115700</v>
          </cell>
          <cell r="P239">
            <v>138840</v>
          </cell>
          <cell r="Q239">
            <v>173550</v>
          </cell>
          <cell r="R239">
            <v>856</v>
          </cell>
          <cell r="S239">
            <v>1027</v>
          </cell>
          <cell r="T239">
            <v>1284</v>
          </cell>
          <cell r="U239">
            <v>206</v>
          </cell>
          <cell r="V239">
            <v>6942000</v>
          </cell>
          <cell r="W239">
            <v>9256000</v>
          </cell>
          <cell r="X239">
            <v>3210</v>
          </cell>
          <cell r="Y239">
            <v>6420</v>
          </cell>
        </row>
        <row r="240">
          <cell r="N240">
            <v>207</v>
          </cell>
          <cell r="O240">
            <v>117300</v>
          </cell>
          <cell r="P240">
            <v>140760</v>
          </cell>
          <cell r="Q240">
            <v>175950</v>
          </cell>
          <cell r="R240">
            <v>868</v>
          </cell>
          <cell r="S240">
            <v>1042</v>
          </cell>
          <cell r="T240">
            <v>1302</v>
          </cell>
          <cell r="U240">
            <v>207</v>
          </cell>
          <cell r="V240">
            <v>7038000</v>
          </cell>
          <cell r="W240">
            <v>9384000</v>
          </cell>
          <cell r="X240">
            <v>3255</v>
          </cell>
          <cell r="Y240">
            <v>6510</v>
          </cell>
        </row>
        <row r="241">
          <cell r="N241">
            <v>208</v>
          </cell>
          <cell r="O241">
            <v>119100</v>
          </cell>
          <cell r="P241">
            <v>142920</v>
          </cell>
          <cell r="Q241">
            <v>178650</v>
          </cell>
          <cell r="R241">
            <v>880</v>
          </cell>
          <cell r="S241">
            <v>1056</v>
          </cell>
          <cell r="T241">
            <v>1320</v>
          </cell>
          <cell r="U241">
            <v>208</v>
          </cell>
          <cell r="V241">
            <v>7146000</v>
          </cell>
          <cell r="W241">
            <v>9528000</v>
          </cell>
          <cell r="X241">
            <v>3300</v>
          </cell>
          <cell r="Y241">
            <v>6600</v>
          </cell>
        </row>
        <row r="242">
          <cell r="N242">
            <v>209</v>
          </cell>
          <cell r="O242">
            <v>121100</v>
          </cell>
          <cell r="P242">
            <v>145320</v>
          </cell>
          <cell r="Q242">
            <v>181650</v>
          </cell>
          <cell r="R242">
            <v>892</v>
          </cell>
          <cell r="S242">
            <v>1070</v>
          </cell>
          <cell r="T242">
            <v>1338</v>
          </cell>
          <cell r="U242">
            <v>209</v>
          </cell>
          <cell r="V242">
            <v>7266000</v>
          </cell>
          <cell r="W242">
            <v>9688000</v>
          </cell>
          <cell r="X242">
            <v>3345</v>
          </cell>
          <cell r="Y242">
            <v>6690</v>
          </cell>
        </row>
        <row r="243">
          <cell r="N243">
            <v>210</v>
          </cell>
          <cell r="O243">
            <v>124100</v>
          </cell>
          <cell r="P243">
            <v>148920</v>
          </cell>
          <cell r="Q243">
            <v>186150</v>
          </cell>
          <cell r="R243">
            <v>1040</v>
          </cell>
          <cell r="S243">
            <v>1248</v>
          </cell>
          <cell r="T243">
            <v>1560</v>
          </cell>
          <cell r="U243">
            <v>210</v>
          </cell>
          <cell r="V243">
            <v>7446000</v>
          </cell>
          <cell r="W243">
            <v>9928000</v>
          </cell>
          <cell r="X243">
            <v>3900</v>
          </cell>
          <cell r="Y243">
            <v>7800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57"/>
  <sheetViews>
    <sheetView tabSelected="1" zoomScale="85" zoomScaleNormal="85" topLeftCell="A192" workbookViewId="0">
      <pane xSplit="5" topLeftCell="G1" activePane="topRight" state="frozen"/>
      <selection/>
      <selection pane="topRight" activeCell="A211" sqref="A211"/>
    </sheetView>
  </sheetViews>
  <sheetFormatPr defaultColWidth="9" defaultRowHeight="16.5"/>
  <cols>
    <col min="1" max="3" width="16.875" style="6" customWidth="1"/>
    <col min="4" max="4" width="11.25" style="6" customWidth="1"/>
    <col min="5" max="5" width="13.5" style="6" customWidth="1"/>
    <col min="6" max="6" width="12.5" style="6" customWidth="1"/>
    <col min="7" max="7" width="32.875" style="6" customWidth="1"/>
    <col min="8" max="8" width="10" style="6" customWidth="1"/>
    <col min="9" max="9" width="11.25" style="6" customWidth="1"/>
    <col min="10" max="10" width="17.125" style="6" customWidth="1"/>
    <col min="11" max="11" width="16.875" style="6" customWidth="1"/>
    <col min="12" max="12" width="9.75" style="6" customWidth="1"/>
    <col min="13" max="13" width="10.125" style="6" customWidth="1"/>
    <col min="14" max="14" width="13.375" style="6" customWidth="1"/>
    <col min="15" max="15" width="10.625" style="7" hidden="1" customWidth="1"/>
    <col min="16" max="16" width="14.125" style="7" hidden="1" customWidth="1"/>
    <col min="17" max="17" width="16.25" style="6" customWidth="1"/>
    <col min="18" max="19" width="13.375" style="8" customWidth="1"/>
    <col min="20" max="16384" width="9" style="9"/>
  </cols>
  <sheetData>
    <row r="1" spans="1:19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1" t="s">
        <v>14</v>
      </c>
      <c r="P1" s="11" t="s">
        <v>15</v>
      </c>
      <c r="Q1" s="10" t="s">
        <v>16</v>
      </c>
      <c r="R1" s="13" t="s">
        <v>17</v>
      </c>
      <c r="S1" s="13" t="s">
        <v>18</v>
      </c>
    </row>
    <row r="2" spans="1:19">
      <c r="A2" s="6" t="s">
        <v>19</v>
      </c>
      <c r="B2" s="6" t="s">
        <v>19</v>
      </c>
      <c r="C2" s="6" t="s">
        <v>19</v>
      </c>
      <c r="E2" s="6" t="s">
        <v>19</v>
      </c>
      <c r="F2" s="6" t="s">
        <v>20</v>
      </c>
      <c r="G2" s="6" t="s">
        <v>19</v>
      </c>
      <c r="H2" s="6" t="s">
        <v>19</v>
      </c>
      <c r="I2" s="6" t="s">
        <v>19</v>
      </c>
      <c r="J2" s="6" t="s">
        <v>19</v>
      </c>
      <c r="K2" s="6" t="s">
        <v>20</v>
      </c>
      <c r="L2" s="6" t="s">
        <v>20</v>
      </c>
      <c r="M2" s="6" t="s">
        <v>20</v>
      </c>
      <c r="N2" s="6" t="s">
        <v>20</v>
      </c>
      <c r="O2" s="7" t="s">
        <v>20</v>
      </c>
      <c r="P2" s="7" t="s">
        <v>19</v>
      </c>
      <c r="Q2" s="6" t="s">
        <v>19</v>
      </c>
      <c r="R2" s="8" t="s">
        <v>20</v>
      </c>
      <c r="S2" s="8" t="s">
        <v>20</v>
      </c>
    </row>
    <row r="3" spans="1:19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7" t="s">
        <v>35</v>
      </c>
      <c r="P3" s="7" t="s">
        <v>36</v>
      </c>
      <c r="Q3" s="6" t="s">
        <v>37</v>
      </c>
      <c r="R3" s="8" t="s">
        <v>38</v>
      </c>
      <c r="S3" s="8" t="s">
        <v>39</v>
      </c>
    </row>
    <row r="4" spans="1:19">
      <c r="A4" s="6" t="s">
        <v>40</v>
      </c>
      <c r="B4" s="6" t="s">
        <v>40</v>
      </c>
      <c r="C4" s="6" t="s">
        <v>40</v>
      </c>
      <c r="D4" s="6" t="s">
        <v>24</v>
      </c>
      <c r="E4" s="6" t="s">
        <v>40</v>
      </c>
      <c r="F4" s="6" t="s">
        <v>24</v>
      </c>
      <c r="G4" s="6" t="s">
        <v>41</v>
      </c>
      <c r="H4" s="6" t="s">
        <v>40</v>
      </c>
      <c r="I4" s="6" t="s">
        <v>42</v>
      </c>
      <c r="J4" s="6" t="s">
        <v>40</v>
      </c>
      <c r="K4" s="6" t="s">
        <v>40</v>
      </c>
      <c r="L4" s="6" t="s">
        <v>40</v>
      </c>
      <c r="M4" s="6" t="s">
        <v>40</v>
      </c>
      <c r="N4" s="6" t="s">
        <v>40</v>
      </c>
      <c r="O4" s="7" t="s">
        <v>42</v>
      </c>
      <c r="P4" s="7" t="s">
        <v>43</v>
      </c>
      <c r="Q4" s="6" t="s">
        <v>44</v>
      </c>
      <c r="R4" s="8" t="s">
        <v>40</v>
      </c>
      <c r="S4" s="8" t="s">
        <v>40</v>
      </c>
    </row>
    <row r="5" spans="2:2">
      <c r="B5" s="6" t="s">
        <v>45</v>
      </c>
    </row>
    <row r="6" spans="1:19">
      <c r="A6" s="6">
        <v>101</v>
      </c>
      <c r="B6" s="6">
        <v>1</v>
      </c>
      <c r="C6" s="6">
        <v>1</v>
      </c>
      <c r="D6" s="6" t="s">
        <v>46</v>
      </c>
      <c r="E6" s="6">
        <v>101</v>
      </c>
      <c r="G6" s="6" t="s">
        <v>47</v>
      </c>
      <c r="H6" s="6">
        <v>0</v>
      </c>
      <c r="J6" s="6">
        <v>0</v>
      </c>
      <c r="K6" s="6">
        <v>0</v>
      </c>
      <c r="L6" s="6" t="s">
        <v>48</v>
      </c>
      <c r="R6" s="14">
        <v>65</v>
      </c>
      <c r="S6" s="14">
        <v>2</v>
      </c>
    </row>
    <row r="7" spans="1:19">
      <c r="A7" s="6">
        <v>102</v>
      </c>
      <c r="B7" s="6">
        <v>1</v>
      </c>
      <c r="C7" s="6">
        <v>2</v>
      </c>
      <c r="D7" s="6" t="s">
        <v>49</v>
      </c>
      <c r="E7" s="6">
        <v>100</v>
      </c>
      <c r="G7" s="6" t="s">
        <v>50</v>
      </c>
      <c r="H7" s="6">
        <v>0</v>
      </c>
      <c r="I7" s="12" t="s">
        <v>51</v>
      </c>
      <c r="J7" s="6">
        <v>0</v>
      </c>
      <c r="K7" s="6">
        <v>0</v>
      </c>
      <c r="N7" s="6">
        <v>2001</v>
      </c>
      <c r="R7" s="14">
        <v>65</v>
      </c>
      <c r="S7" s="14">
        <v>2</v>
      </c>
    </row>
    <row r="8" spans="1:19">
      <c r="A8" s="6">
        <v>103</v>
      </c>
      <c r="B8" s="6">
        <v>1</v>
      </c>
      <c r="C8" s="6">
        <v>3</v>
      </c>
      <c r="D8" s="6" t="s">
        <v>52</v>
      </c>
      <c r="E8" s="6">
        <v>101</v>
      </c>
      <c r="G8" s="6" t="s">
        <v>53</v>
      </c>
      <c r="H8" s="6">
        <v>0</v>
      </c>
      <c r="J8" s="6">
        <v>0</v>
      </c>
      <c r="K8" s="6">
        <v>0</v>
      </c>
      <c r="R8" s="14">
        <v>65</v>
      </c>
      <c r="S8" s="14">
        <v>2</v>
      </c>
    </row>
    <row r="9" spans="1:19">
      <c r="A9" s="6">
        <v>121</v>
      </c>
      <c r="B9" s="6">
        <v>1</v>
      </c>
      <c r="C9" s="6">
        <v>4</v>
      </c>
      <c r="D9" s="6" t="s">
        <v>54</v>
      </c>
      <c r="E9" s="6">
        <v>501</v>
      </c>
      <c r="G9" s="6" t="s">
        <v>55</v>
      </c>
      <c r="H9" s="6">
        <v>2</v>
      </c>
      <c r="J9" s="6">
        <v>0</v>
      </c>
      <c r="K9" s="6">
        <v>0</v>
      </c>
      <c r="R9" s="14">
        <v>65</v>
      </c>
      <c r="S9" s="14">
        <v>2</v>
      </c>
    </row>
    <row r="10" spans="1:19">
      <c r="A10" s="6">
        <v>131</v>
      </c>
      <c r="B10" s="6">
        <v>1</v>
      </c>
      <c r="C10" s="6">
        <v>5</v>
      </c>
      <c r="D10" s="6" t="s">
        <v>56</v>
      </c>
      <c r="E10" s="6">
        <v>501</v>
      </c>
      <c r="G10" s="6" t="s">
        <v>57</v>
      </c>
      <c r="H10" s="6">
        <v>2</v>
      </c>
      <c r="J10" s="6">
        <v>0</v>
      </c>
      <c r="K10" s="6">
        <v>0</v>
      </c>
      <c r="R10" s="14">
        <v>65</v>
      </c>
      <c r="S10" s="14">
        <v>2</v>
      </c>
    </row>
    <row r="11" spans="1:19">
      <c r="A11" s="6">
        <f>A6+100</f>
        <v>201</v>
      </c>
      <c r="B11" s="6">
        <v>2</v>
      </c>
      <c r="C11" s="6">
        <v>1</v>
      </c>
      <c r="D11" s="6" t="s">
        <v>58</v>
      </c>
      <c r="E11" s="6">
        <v>101</v>
      </c>
      <c r="G11" s="6" t="s">
        <v>47</v>
      </c>
      <c r="H11" s="6">
        <f>H6</f>
        <v>0</v>
      </c>
      <c r="J11" s="6">
        <v>0</v>
      </c>
      <c r="K11" s="6">
        <v>0</v>
      </c>
      <c r="R11" s="8">
        <v>45</v>
      </c>
      <c r="S11" s="14">
        <v>2</v>
      </c>
    </row>
    <row r="12" spans="1:19">
      <c r="A12" s="6">
        <f t="shared" ref="A12:A70" si="0">A7+100</f>
        <v>202</v>
      </c>
      <c r="B12" s="6">
        <v>2</v>
      </c>
      <c r="C12" s="6">
        <v>2</v>
      </c>
      <c r="D12" s="6" t="s">
        <v>59</v>
      </c>
      <c r="E12" s="6">
        <v>100</v>
      </c>
      <c r="G12" s="6" t="s">
        <v>50</v>
      </c>
      <c r="H12" s="6">
        <f t="shared" ref="H12:H77" si="1">H7</f>
        <v>0</v>
      </c>
      <c r="I12" s="12" t="s">
        <v>51</v>
      </c>
      <c r="J12" s="6">
        <v>0</v>
      </c>
      <c r="K12" s="6">
        <v>0</v>
      </c>
      <c r="N12" s="6">
        <v>2001</v>
      </c>
      <c r="R12" s="8">
        <v>45</v>
      </c>
      <c r="S12" s="14">
        <v>2</v>
      </c>
    </row>
    <row r="13" spans="1:19">
      <c r="A13" s="6">
        <f t="shared" si="0"/>
        <v>203</v>
      </c>
      <c r="B13" s="6">
        <v>2</v>
      </c>
      <c r="C13" s="6">
        <v>3</v>
      </c>
      <c r="D13" s="6" t="s">
        <v>60</v>
      </c>
      <c r="E13" s="6">
        <v>102</v>
      </c>
      <c r="G13" s="6" t="s">
        <v>61</v>
      </c>
      <c r="H13" s="6">
        <f t="shared" si="1"/>
        <v>0</v>
      </c>
      <c r="J13" s="6">
        <v>0</v>
      </c>
      <c r="K13" s="6">
        <v>0</v>
      </c>
      <c r="L13" s="6">
        <v>1</v>
      </c>
      <c r="Q13" s="6" t="s">
        <v>62</v>
      </c>
      <c r="R13" s="8">
        <v>45</v>
      </c>
      <c r="S13" s="14">
        <v>2</v>
      </c>
    </row>
    <row r="14" spans="1:19">
      <c r="A14" s="6">
        <f t="shared" si="0"/>
        <v>221</v>
      </c>
      <c r="B14" s="6">
        <v>2</v>
      </c>
      <c r="C14" s="6">
        <v>4</v>
      </c>
      <c r="D14" s="6" t="s">
        <v>63</v>
      </c>
      <c r="E14" s="6">
        <v>501</v>
      </c>
      <c r="G14" s="6" t="s">
        <v>55</v>
      </c>
      <c r="H14" s="6">
        <f t="shared" si="1"/>
        <v>2</v>
      </c>
      <c r="J14" s="6">
        <v>0</v>
      </c>
      <c r="K14" s="6">
        <v>0</v>
      </c>
      <c r="R14" s="8">
        <v>100</v>
      </c>
      <c r="S14" s="14">
        <v>2</v>
      </c>
    </row>
    <row r="15" spans="1:19">
      <c r="A15" s="6">
        <f t="shared" si="0"/>
        <v>231</v>
      </c>
      <c r="B15" s="6">
        <v>2</v>
      </c>
      <c r="C15" s="6">
        <v>5</v>
      </c>
      <c r="D15" s="6" t="s">
        <v>64</v>
      </c>
      <c r="E15" s="6">
        <v>501</v>
      </c>
      <c r="G15" s="6" t="s">
        <v>57</v>
      </c>
      <c r="H15" s="6">
        <f t="shared" si="1"/>
        <v>2</v>
      </c>
      <c r="J15" s="6">
        <v>0</v>
      </c>
      <c r="K15" s="6">
        <v>0</v>
      </c>
      <c r="R15" s="8">
        <v>100</v>
      </c>
      <c r="S15" s="14">
        <v>2</v>
      </c>
    </row>
    <row r="16" spans="1:19">
      <c r="A16" s="6">
        <f t="shared" si="0"/>
        <v>301</v>
      </c>
      <c r="B16" s="6">
        <v>3</v>
      </c>
      <c r="C16" s="6">
        <v>1</v>
      </c>
      <c r="D16" s="6" t="s">
        <v>65</v>
      </c>
      <c r="E16" s="6">
        <v>103</v>
      </c>
      <c r="G16" s="6" t="s">
        <v>47</v>
      </c>
      <c r="H16" s="6">
        <f t="shared" si="1"/>
        <v>0</v>
      </c>
      <c r="I16" s="6" t="s">
        <v>66</v>
      </c>
      <c r="J16" s="6">
        <v>0</v>
      </c>
      <c r="K16" s="6">
        <v>0</v>
      </c>
      <c r="R16" s="8">
        <v>37</v>
      </c>
      <c r="S16" s="14">
        <v>2</v>
      </c>
    </row>
    <row r="17" spans="1:19">
      <c r="A17" s="6">
        <f t="shared" si="0"/>
        <v>302</v>
      </c>
      <c r="B17" s="6">
        <v>3</v>
      </c>
      <c r="C17" s="6">
        <v>2</v>
      </c>
      <c r="D17" s="6" t="s">
        <v>67</v>
      </c>
      <c r="E17" s="6">
        <v>104</v>
      </c>
      <c r="G17" s="6" t="s">
        <v>68</v>
      </c>
      <c r="H17" s="6">
        <f t="shared" si="1"/>
        <v>0</v>
      </c>
      <c r="J17" s="6">
        <v>0</v>
      </c>
      <c r="K17" s="6">
        <v>0</v>
      </c>
      <c r="R17" s="8">
        <v>37</v>
      </c>
      <c r="S17" s="14">
        <v>2</v>
      </c>
    </row>
    <row r="18" spans="1:19">
      <c r="A18" s="6">
        <f t="shared" si="0"/>
        <v>303</v>
      </c>
      <c r="B18" s="6">
        <v>3</v>
      </c>
      <c r="C18" s="6">
        <v>3</v>
      </c>
      <c r="D18" s="6" t="s">
        <v>69</v>
      </c>
      <c r="E18" s="6">
        <v>104</v>
      </c>
      <c r="G18" s="6" t="s">
        <v>70</v>
      </c>
      <c r="H18" s="6">
        <f t="shared" si="1"/>
        <v>0</v>
      </c>
      <c r="J18" s="6">
        <v>0</v>
      </c>
      <c r="K18" s="6">
        <v>0</v>
      </c>
      <c r="R18" s="8">
        <v>37</v>
      </c>
      <c r="S18" s="14">
        <v>2</v>
      </c>
    </row>
    <row r="19" spans="1:19">
      <c r="A19" s="6">
        <f t="shared" si="0"/>
        <v>321</v>
      </c>
      <c r="B19" s="6">
        <v>3</v>
      </c>
      <c r="C19" s="6">
        <v>4</v>
      </c>
      <c r="D19" s="6" t="s">
        <v>71</v>
      </c>
      <c r="E19" s="6">
        <v>504</v>
      </c>
      <c r="G19" s="6" t="s">
        <v>72</v>
      </c>
      <c r="H19" s="6">
        <f t="shared" si="1"/>
        <v>2</v>
      </c>
      <c r="J19" s="6">
        <v>0</v>
      </c>
      <c r="K19" s="6">
        <v>0</v>
      </c>
      <c r="R19" s="8">
        <v>120</v>
      </c>
      <c r="S19" s="14">
        <v>2</v>
      </c>
    </row>
    <row r="20" spans="1:19">
      <c r="A20" s="6">
        <f t="shared" si="0"/>
        <v>331</v>
      </c>
      <c r="B20" s="6">
        <v>3</v>
      </c>
      <c r="C20" s="6">
        <v>5</v>
      </c>
      <c r="D20" s="6" t="s">
        <v>73</v>
      </c>
      <c r="E20" s="6">
        <v>504</v>
      </c>
      <c r="G20" s="6" t="s">
        <v>74</v>
      </c>
      <c r="H20" s="6">
        <f t="shared" si="1"/>
        <v>2</v>
      </c>
      <c r="J20" s="6">
        <v>0</v>
      </c>
      <c r="K20" s="6">
        <v>0</v>
      </c>
      <c r="R20" s="8">
        <v>120</v>
      </c>
      <c r="S20" s="14">
        <v>2</v>
      </c>
    </row>
    <row r="21" spans="1:19">
      <c r="A21" s="6">
        <f t="shared" si="0"/>
        <v>401</v>
      </c>
      <c r="B21" s="6">
        <v>4</v>
      </c>
      <c r="C21" s="6">
        <v>1</v>
      </c>
      <c r="D21" s="6" t="s">
        <v>75</v>
      </c>
      <c r="E21" s="6">
        <v>103</v>
      </c>
      <c r="G21" s="6" t="s">
        <v>76</v>
      </c>
      <c r="H21" s="6">
        <f t="shared" si="1"/>
        <v>0</v>
      </c>
      <c r="I21" s="6" t="s">
        <v>66</v>
      </c>
      <c r="J21" s="6">
        <v>0</v>
      </c>
      <c r="K21" s="6">
        <v>0</v>
      </c>
      <c r="R21" s="8">
        <v>35</v>
      </c>
      <c r="S21" s="14">
        <v>2</v>
      </c>
    </row>
    <row r="22" spans="1:19">
      <c r="A22" s="6">
        <f t="shared" si="0"/>
        <v>402</v>
      </c>
      <c r="B22" s="6">
        <v>4</v>
      </c>
      <c r="C22" s="6">
        <v>2</v>
      </c>
      <c r="D22" s="6" t="s">
        <v>77</v>
      </c>
      <c r="E22" s="6">
        <v>104</v>
      </c>
      <c r="G22" s="6" t="s">
        <v>78</v>
      </c>
      <c r="H22" s="6">
        <f t="shared" si="1"/>
        <v>0</v>
      </c>
      <c r="J22" s="6">
        <v>0</v>
      </c>
      <c r="K22" s="6">
        <v>0</v>
      </c>
      <c r="R22" s="8">
        <v>35</v>
      </c>
      <c r="S22" s="14">
        <v>2</v>
      </c>
    </row>
    <row r="23" spans="1:19">
      <c r="A23" s="6">
        <f t="shared" si="0"/>
        <v>403</v>
      </c>
      <c r="B23" s="6">
        <v>4</v>
      </c>
      <c r="C23" s="6">
        <v>3</v>
      </c>
      <c r="D23" s="6" t="s">
        <v>79</v>
      </c>
      <c r="E23" s="6">
        <v>106</v>
      </c>
      <c r="G23" s="6" t="s">
        <v>80</v>
      </c>
      <c r="H23" s="6">
        <f t="shared" si="1"/>
        <v>0</v>
      </c>
      <c r="I23" s="12" t="s">
        <v>51</v>
      </c>
      <c r="J23" s="6">
        <v>0</v>
      </c>
      <c r="K23" s="6">
        <v>0</v>
      </c>
      <c r="L23" s="6">
        <v>1</v>
      </c>
      <c r="N23" s="6">
        <v>2002</v>
      </c>
      <c r="Q23" s="6" t="s">
        <v>81</v>
      </c>
      <c r="R23" s="8">
        <v>35</v>
      </c>
      <c r="S23" s="14">
        <v>2</v>
      </c>
    </row>
    <row r="24" spans="1:19">
      <c r="A24" s="6">
        <f t="shared" si="0"/>
        <v>421</v>
      </c>
      <c r="B24" s="6">
        <v>4</v>
      </c>
      <c r="C24" s="6">
        <v>4</v>
      </c>
      <c r="D24" s="6" t="s">
        <v>82</v>
      </c>
      <c r="E24" s="6">
        <v>503</v>
      </c>
      <c r="G24" s="6" t="s">
        <v>83</v>
      </c>
      <c r="H24" s="6">
        <f t="shared" si="1"/>
        <v>2</v>
      </c>
      <c r="I24" s="6" t="s">
        <v>66</v>
      </c>
      <c r="J24" s="6">
        <v>0</v>
      </c>
      <c r="K24" s="6">
        <v>0</v>
      </c>
      <c r="R24" s="8">
        <v>200</v>
      </c>
      <c r="S24" s="14">
        <v>2</v>
      </c>
    </row>
    <row r="25" spans="1:19">
      <c r="A25" s="6">
        <f t="shared" si="0"/>
        <v>431</v>
      </c>
      <c r="B25" s="6">
        <v>4</v>
      </c>
      <c r="C25" s="6">
        <v>5</v>
      </c>
      <c r="D25" s="6" t="s">
        <v>84</v>
      </c>
      <c r="E25" s="6">
        <v>503</v>
      </c>
      <c r="G25" s="6" t="s">
        <v>85</v>
      </c>
      <c r="H25" s="6">
        <f t="shared" si="1"/>
        <v>2</v>
      </c>
      <c r="I25" s="6" t="s">
        <v>66</v>
      </c>
      <c r="J25" s="6">
        <v>0</v>
      </c>
      <c r="K25" s="6">
        <v>0</v>
      </c>
      <c r="R25" s="8">
        <v>200</v>
      </c>
      <c r="S25" s="14">
        <v>2</v>
      </c>
    </row>
    <row r="26" spans="1:19">
      <c r="A26" s="6">
        <f t="shared" si="0"/>
        <v>501</v>
      </c>
      <c r="B26" s="6">
        <v>5</v>
      </c>
      <c r="C26" s="6">
        <v>1</v>
      </c>
      <c r="D26" s="6" t="s">
        <v>86</v>
      </c>
      <c r="E26" s="6">
        <v>100</v>
      </c>
      <c r="G26" s="6" t="s">
        <v>87</v>
      </c>
      <c r="H26" s="6">
        <f t="shared" si="1"/>
        <v>0</v>
      </c>
      <c r="I26" s="12" t="s">
        <v>51</v>
      </c>
      <c r="J26" s="6">
        <v>0</v>
      </c>
      <c r="K26" s="6">
        <v>0</v>
      </c>
      <c r="N26" s="6">
        <v>2001</v>
      </c>
      <c r="R26" s="8">
        <v>35</v>
      </c>
      <c r="S26" s="14">
        <v>2</v>
      </c>
    </row>
    <row r="27" spans="1:19">
      <c r="A27" s="6">
        <f t="shared" si="0"/>
        <v>502</v>
      </c>
      <c r="B27" s="6">
        <v>5</v>
      </c>
      <c r="C27" s="6">
        <v>2</v>
      </c>
      <c r="D27" s="6" t="s">
        <v>88</v>
      </c>
      <c r="E27" s="6">
        <v>102</v>
      </c>
      <c r="G27" s="6" t="s">
        <v>89</v>
      </c>
      <c r="H27" s="6">
        <f t="shared" si="1"/>
        <v>0</v>
      </c>
      <c r="J27" s="6">
        <v>0</v>
      </c>
      <c r="K27" s="6">
        <v>0</v>
      </c>
      <c r="L27" s="6">
        <v>1</v>
      </c>
      <c r="Q27" s="6" t="s">
        <v>62</v>
      </c>
      <c r="R27" s="8">
        <v>35</v>
      </c>
      <c r="S27" s="14">
        <v>2</v>
      </c>
    </row>
    <row r="28" spans="1:19">
      <c r="A28" s="6">
        <f t="shared" si="0"/>
        <v>503</v>
      </c>
      <c r="B28" s="6">
        <v>5</v>
      </c>
      <c r="C28" s="6">
        <v>3</v>
      </c>
      <c r="D28" s="6" t="s">
        <v>90</v>
      </c>
      <c r="E28" s="6">
        <v>105</v>
      </c>
      <c r="G28" s="6" t="s">
        <v>76</v>
      </c>
      <c r="H28" s="6">
        <f t="shared" si="1"/>
        <v>0</v>
      </c>
      <c r="I28" s="6" t="s">
        <v>91</v>
      </c>
      <c r="J28" s="6">
        <v>0</v>
      </c>
      <c r="K28" s="6">
        <v>0</v>
      </c>
      <c r="R28" s="8">
        <v>35</v>
      </c>
      <c r="S28" s="14">
        <v>2</v>
      </c>
    </row>
    <row r="29" spans="1:19">
      <c r="A29" s="6">
        <f t="shared" si="0"/>
        <v>521</v>
      </c>
      <c r="B29" s="6">
        <v>5</v>
      </c>
      <c r="C29" s="6">
        <v>4</v>
      </c>
      <c r="D29" s="6" t="s">
        <v>92</v>
      </c>
      <c r="E29" s="6">
        <v>502</v>
      </c>
      <c r="G29" s="6" t="s">
        <v>93</v>
      </c>
      <c r="H29" s="6">
        <f t="shared" si="1"/>
        <v>2</v>
      </c>
      <c r="J29" s="6">
        <v>0</v>
      </c>
      <c r="K29" s="6">
        <v>0</v>
      </c>
      <c r="L29" s="6">
        <v>1</v>
      </c>
      <c r="Q29" s="6" t="s">
        <v>94</v>
      </c>
      <c r="R29" s="8">
        <v>150</v>
      </c>
      <c r="S29" s="14">
        <v>2</v>
      </c>
    </row>
    <row r="30" spans="1:19">
      <c r="A30" s="6">
        <f t="shared" si="0"/>
        <v>531</v>
      </c>
      <c r="B30" s="6">
        <v>5</v>
      </c>
      <c r="C30" s="6">
        <v>5</v>
      </c>
      <c r="D30" s="6" t="s">
        <v>95</v>
      </c>
      <c r="E30" s="6">
        <v>500</v>
      </c>
      <c r="G30" s="6" t="s">
        <v>96</v>
      </c>
      <c r="H30" s="6">
        <f t="shared" si="1"/>
        <v>2</v>
      </c>
      <c r="I30" s="12" t="s">
        <v>51</v>
      </c>
      <c r="J30" s="6">
        <v>0</v>
      </c>
      <c r="K30" s="6">
        <v>0</v>
      </c>
      <c r="R30" s="8">
        <v>150</v>
      </c>
      <c r="S30" s="14">
        <v>2</v>
      </c>
    </row>
    <row r="31" spans="1:19">
      <c r="A31" s="6">
        <f t="shared" si="0"/>
        <v>601</v>
      </c>
      <c r="B31" s="6">
        <v>6</v>
      </c>
      <c r="C31" s="6">
        <v>1</v>
      </c>
      <c r="D31" s="6" t="s">
        <v>97</v>
      </c>
      <c r="E31" s="6">
        <v>100</v>
      </c>
      <c r="G31" s="6" t="s">
        <v>98</v>
      </c>
      <c r="H31" s="6">
        <f t="shared" si="1"/>
        <v>0</v>
      </c>
      <c r="I31" s="12" t="s">
        <v>51</v>
      </c>
      <c r="J31" s="6">
        <v>0</v>
      </c>
      <c r="K31" s="6">
        <v>0</v>
      </c>
      <c r="N31" s="6">
        <v>2001</v>
      </c>
      <c r="R31" s="8">
        <v>40</v>
      </c>
      <c r="S31" s="14">
        <v>2</v>
      </c>
    </row>
    <row r="32" spans="1:19">
      <c r="A32" s="6">
        <f t="shared" si="0"/>
        <v>602</v>
      </c>
      <c r="B32" s="6">
        <v>6</v>
      </c>
      <c r="C32" s="6">
        <v>2</v>
      </c>
      <c r="D32" s="6" t="s">
        <v>99</v>
      </c>
      <c r="E32" s="6">
        <v>105</v>
      </c>
      <c r="G32" s="6" t="s">
        <v>100</v>
      </c>
      <c r="H32" s="6">
        <f t="shared" si="1"/>
        <v>0</v>
      </c>
      <c r="I32" s="6" t="s">
        <v>91</v>
      </c>
      <c r="J32" s="6">
        <v>0</v>
      </c>
      <c r="K32" s="6">
        <v>0</v>
      </c>
      <c r="R32" s="8">
        <v>40</v>
      </c>
      <c r="S32" s="14">
        <v>2</v>
      </c>
    </row>
    <row r="33" spans="1:19">
      <c r="A33" s="6">
        <f t="shared" si="0"/>
        <v>603</v>
      </c>
      <c r="B33" s="6">
        <v>6</v>
      </c>
      <c r="C33" s="6">
        <v>3</v>
      </c>
      <c r="D33" s="6" t="s">
        <v>101</v>
      </c>
      <c r="E33" s="6">
        <v>102</v>
      </c>
      <c r="G33" s="6" t="s">
        <v>102</v>
      </c>
      <c r="H33" s="6">
        <f t="shared" si="1"/>
        <v>0</v>
      </c>
      <c r="J33" s="6">
        <v>0</v>
      </c>
      <c r="K33" s="6">
        <v>0</v>
      </c>
      <c r="L33" s="6">
        <v>1</v>
      </c>
      <c r="Q33" s="6" t="s">
        <v>62</v>
      </c>
      <c r="R33" s="8">
        <v>40</v>
      </c>
      <c r="S33" s="14">
        <v>2</v>
      </c>
    </row>
    <row r="34" spans="1:19">
      <c r="A34" s="6">
        <f t="shared" si="0"/>
        <v>621</v>
      </c>
      <c r="B34" s="6">
        <v>6</v>
      </c>
      <c r="C34" s="6">
        <v>4</v>
      </c>
      <c r="D34" s="6" t="s">
        <v>103</v>
      </c>
      <c r="E34" s="6">
        <v>502</v>
      </c>
      <c r="G34" s="6" t="s">
        <v>104</v>
      </c>
      <c r="H34" s="6">
        <f t="shared" si="1"/>
        <v>2</v>
      </c>
      <c r="J34" s="6">
        <v>0</v>
      </c>
      <c r="K34" s="6">
        <v>0</v>
      </c>
      <c r="L34" s="6">
        <v>1</v>
      </c>
      <c r="Q34" s="6" t="s">
        <v>94</v>
      </c>
      <c r="R34" s="8">
        <v>100</v>
      </c>
      <c r="S34" s="14">
        <v>2</v>
      </c>
    </row>
    <row r="35" spans="1:19">
      <c r="A35" s="6">
        <f t="shared" si="0"/>
        <v>631</v>
      </c>
      <c r="B35" s="6">
        <v>6</v>
      </c>
      <c r="C35" s="6">
        <v>5</v>
      </c>
      <c r="D35" s="6" t="s">
        <v>105</v>
      </c>
      <c r="E35" s="6">
        <v>502</v>
      </c>
      <c r="G35" s="6" t="s">
        <v>106</v>
      </c>
      <c r="H35" s="6">
        <f t="shared" si="1"/>
        <v>2</v>
      </c>
      <c r="J35" s="6">
        <v>0</v>
      </c>
      <c r="K35" s="6">
        <v>0</v>
      </c>
      <c r="L35" s="6">
        <v>1</v>
      </c>
      <c r="Q35" s="6" t="s">
        <v>94</v>
      </c>
      <c r="R35" s="8">
        <v>100</v>
      </c>
      <c r="S35" s="14">
        <v>2</v>
      </c>
    </row>
    <row r="36" spans="1:19">
      <c r="A36" s="6">
        <f t="shared" si="0"/>
        <v>701</v>
      </c>
      <c r="B36" s="6">
        <v>7</v>
      </c>
      <c r="C36" s="6">
        <v>1</v>
      </c>
      <c r="D36" s="6" t="s">
        <v>107</v>
      </c>
      <c r="E36" s="6">
        <v>104</v>
      </c>
      <c r="G36" s="6" t="s">
        <v>108</v>
      </c>
      <c r="H36" s="6">
        <f t="shared" si="1"/>
        <v>0</v>
      </c>
      <c r="J36" s="6">
        <v>0</v>
      </c>
      <c r="K36" s="6">
        <v>0</v>
      </c>
      <c r="R36" s="8">
        <v>35</v>
      </c>
      <c r="S36" s="14">
        <v>2</v>
      </c>
    </row>
    <row r="37" spans="1:19">
      <c r="A37" s="6">
        <f t="shared" si="0"/>
        <v>702</v>
      </c>
      <c r="B37" s="6">
        <v>7</v>
      </c>
      <c r="C37" s="6">
        <v>2</v>
      </c>
      <c r="D37" s="6" t="s">
        <v>109</v>
      </c>
      <c r="E37" s="6">
        <v>106</v>
      </c>
      <c r="G37" s="6" t="s">
        <v>110</v>
      </c>
      <c r="H37" s="6">
        <f t="shared" si="1"/>
        <v>0</v>
      </c>
      <c r="I37" s="12" t="s">
        <v>51</v>
      </c>
      <c r="J37" s="6">
        <v>0</v>
      </c>
      <c r="K37" s="6">
        <v>0</v>
      </c>
      <c r="L37" s="6">
        <v>1</v>
      </c>
      <c r="N37" s="6">
        <v>2002</v>
      </c>
      <c r="Q37" s="6" t="s">
        <v>81</v>
      </c>
      <c r="R37" s="8">
        <v>35</v>
      </c>
      <c r="S37" s="14">
        <v>2</v>
      </c>
    </row>
    <row r="38" spans="1:19">
      <c r="A38" s="6">
        <f t="shared" si="0"/>
        <v>703</v>
      </c>
      <c r="B38" s="6">
        <v>7</v>
      </c>
      <c r="C38" s="6">
        <v>3</v>
      </c>
      <c r="D38" s="6" t="s">
        <v>111</v>
      </c>
      <c r="E38" s="6">
        <v>107</v>
      </c>
      <c r="G38" s="6" t="s">
        <v>98</v>
      </c>
      <c r="H38" s="6">
        <f t="shared" si="1"/>
        <v>0</v>
      </c>
      <c r="I38" s="6" t="s">
        <v>112</v>
      </c>
      <c r="J38" s="6">
        <v>0</v>
      </c>
      <c r="K38" s="6">
        <v>0</v>
      </c>
      <c r="L38" s="6">
        <v>1</v>
      </c>
      <c r="Q38" s="6" t="s">
        <v>113</v>
      </c>
      <c r="R38" s="8">
        <v>35</v>
      </c>
      <c r="S38" s="14">
        <v>2</v>
      </c>
    </row>
    <row r="39" spans="1:19">
      <c r="A39" s="6">
        <f t="shared" si="0"/>
        <v>721</v>
      </c>
      <c r="B39" s="6">
        <v>7</v>
      </c>
      <c r="C39" s="6">
        <v>4</v>
      </c>
      <c r="D39" s="6" t="s">
        <v>114</v>
      </c>
      <c r="E39" s="6">
        <v>503</v>
      </c>
      <c r="G39" s="6" t="s">
        <v>115</v>
      </c>
      <c r="H39" s="6">
        <f t="shared" si="1"/>
        <v>2</v>
      </c>
      <c r="I39" s="6" t="s">
        <v>66</v>
      </c>
      <c r="J39" s="6">
        <v>0</v>
      </c>
      <c r="K39" s="6">
        <v>0</v>
      </c>
      <c r="R39" s="8">
        <v>100</v>
      </c>
      <c r="S39" s="14">
        <v>2</v>
      </c>
    </row>
    <row r="40" spans="1:19">
      <c r="A40" s="6">
        <f t="shared" si="0"/>
        <v>731</v>
      </c>
      <c r="B40" s="6">
        <v>7</v>
      </c>
      <c r="C40" s="6">
        <v>5</v>
      </c>
      <c r="D40" s="6" t="s">
        <v>116</v>
      </c>
      <c r="E40" s="6">
        <v>503</v>
      </c>
      <c r="G40" s="6" t="s">
        <v>117</v>
      </c>
      <c r="H40" s="6">
        <f t="shared" si="1"/>
        <v>2</v>
      </c>
      <c r="I40" s="6" t="s">
        <v>66</v>
      </c>
      <c r="J40" s="6">
        <v>0</v>
      </c>
      <c r="K40" s="6">
        <v>0</v>
      </c>
      <c r="R40" s="8">
        <v>100</v>
      </c>
      <c r="S40" s="14">
        <v>2</v>
      </c>
    </row>
    <row r="41" spans="1:19">
      <c r="A41" s="6">
        <f t="shared" si="0"/>
        <v>801</v>
      </c>
      <c r="B41" s="6">
        <v>8</v>
      </c>
      <c r="C41" s="6">
        <v>1</v>
      </c>
      <c r="D41" s="6" t="s">
        <v>118</v>
      </c>
      <c r="E41" s="6">
        <v>103</v>
      </c>
      <c r="G41" s="6" t="s">
        <v>119</v>
      </c>
      <c r="H41" s="6">
        <f t="shared" si="1"/>
        <v>0</v>
      </c>
      <c r="I41" s="6" t="s">
        <v>66</v>
      </c>
      <c r="J41" s="6">
        <v>0</v>
      </c>
      <c r="K41" s="6">
        <v>0</v>
      </c>
      <c r="R41" s="8">
        <v>35</v>
      </c>
      <c r="S41" s="14">
        <v>2</v>
      </c>
    </row>
    <row r="42" spans="1:19">
      <c r="A42" s="6">
        <f t="shared" si="0"/>
        <v>802</v>
      </c>
      <c r="B42" s="6">
        <v>8</v>
      </c>
      <c r="C42" s="6">
        <v>2</v>
      </c>
      <c r="D42" s="6" t="s">
        <v>120</v>
      </c>
      <c r="E42" s="6">
        <v>107</v>
      </c>
      <c r="G42" s="6" t="s">
        <v>121</v>
      </c>
      <c r="H42" s="6">
        <f t="shared" si="1"/>
        <v>0</v>
      </c>
      <c r="I42" s="6" t="s">
        <v>112</v>
      </c>
      <c r="J42" s="6">
        <v>0</v>
      </c>
      <c r="K42" s="6">
        <v>0</v>
      </c>
      <c r="L42" s="6">
        <v>1</v>
      </c>
      <c r="Q42" s="6" t="s">
        <v>113</v>
      </c>
      <c r="R42" s="8">
        <v>35</v>
      </c>
      <c r="S42" s="14">
        <v>2</v>
      </c>
    </row>
    <row r="43" spans="1:19">
      <c r="A43" s="6">
        <f t="shared" si="0"/>
        <v>803</v>
      </c>
      <c r="B43" s="6">
        <v>8</v>
      </c>
      <c r="C43" s="6">
        <v>3</v>
      </c>
      <c r="D43" s="6" t="s">
        <v>122</v>
      </c>
      <c r="E43" s="6">
        <v>106</v>
      </c>
      <c r="G43" s="6" t="s">
        <v>123</v>
      </c>
      <c r="H43" s="6">
        <f t="shared" si="1"/>
        <v>0</v>
      </c>
      <c r="I43" s="12" t="s">
        <v>51</v>
      </c>
      <c r="J43" s="6">
        <v>0</v>
      </c>
      <c r="K43" s="6">
        <v>0</v>
      </c>
      <c r="L43" s="6">
        <v>1</v>
      </c>
      <c r="N43" s="6">
        <v>2002</v>
      </c>
      <c r="Q43" s="6" t="s">
        <v>81</v>
      </c>
      <c r="R43" s="8">
        <v>35</v>
      </c>
      <c r="S43" s="14">
        <v>2</v>
      </c>
    </row>
    <row r="44" spans="1:19">
      <c r="A44" s="6">
        <f t="shared" si="0"/>
        <v>821</v>
      </c>
      <c r="B44" s="6">
        <v>8</v>
      </c>
      <c r="C44" s="6">
        <v>4</v>
      </c>
      <c r="D44" s="6" t="s">
        <v>124</v>
      </c>
      <c r="E44" s="6">
        <v>506</v>
      </c>
      <c r="G44" s="6" t="s">
        <v>125</v>
      </c>
      <c r="H44" s="6">
        <f t="shared" si="1"/>
        <v>2</v>
      </c>
      <c r="I44" s="12" t="s">
        <v>51</v>
      </c>
      <c r="J44" s="6">
        <v>0</v>
      </c>
      <c r="K44" s="6">
        <v>0</v>
      </c>
      <c r="L44" s="6">
        <v>1</v>
      </c>
      <c r="N44" s="6">
        <v>2002</v>
      </c>
      <c r="Q44" s="6" t="s">
        <v>126</v>
      </c>
      <c r="R44" s="8">
        <v>150</v>
      </c>
      <c r="S44" s="14">
        <v>2</v>
      </c>
    </row>
    <row r="45" spans="1:19">
      <c r="A45" s="6">
        <f t="shared" si="0"/>
        <v>831</v>
      </c>
      <c r="B45" s="6">
        <v>8</v>
      </c>
      <c r="C45" s="6">
        <v>5</v>
      </c>
      <c r="D45" s="6" t="s">
        <v>127</v>
      </c>
      <c r="E45" s="6">
        <v>506</v>
      </c>
      <c r="G45" s="6" t="s">
        <v>128</v>
      </c>
      <c r="H45" s="6">
        <f t="shared" si="1"/>
        <v>2</v>
      </c>
      <c r="I45" s="12" t="s">
        <v>51</v>
      </c>
      <c r="J45" s="6">
        <v>0</v>
      </c>
      <c r="K45" s="6">
        <v>0</v>
      </c>
      <c r="L45" s="6">
        <v>1</v>
      </c>
      <c r="N45" s="6">
        <v>2002</v>
      </c>
      <c r="Q45" s="6" t="s">
        <v>126</v>
      </c>
      <c r="R45" s="8">
        <v>150</v>
      </c>
      <c r="S45" s="14">
        <v>2</v>
      </c>
    </row>
    <row r="46" spans="1:19">
      <c r="A46" s="6">
        <f t="shared" si="0"/>
        <v>901</v>
      </c>
      <c r="B46" s="6">
        <v>9</v>
      </c>
      <c r="C46" s="6">
        <v>1</v>
      </c>
      <c r="D46" s="6" t="s">
        <v>129</v>
      </c>
      <c r="E46" s="6">
        <v>108</v>
      </c>
      <c r="G46" s="6" t="s">
        <v>130</v>
      </c>
      <c r="H46" s="6">
        <f t="shared" si="1"/>
        <v>0</v>
      </c>
      <c r="J46" s="6">
        <v>0</v>
      </c>
      <c r="K46" s="6">
        <v>0</v>
      </c>
      <c r="R46" s="8">
        <v>35</v>
      </c>
      <c r="S46" s="14">
        <v>2</v>
      </c>
    </row>
    <row r="47" spans="1:19">
      <c r="A47" s="6">
        <f t="shared" si="0"/>
        <v>902</v>
      </c>
      <c r="B47" s="6">
        <v>9</v>
      </c>
      <c r="C47" s="6">
        <v>2</v>
      </c>
      <c r="D47" s="6" t="s">
        <v>131</v>
      </c>
      <c r="E47" s="6">
        <v>109</v>
      </c>
      <c r="G47" s="6" t="s">
        <v>132</v>
      </c>
      <c r="H47" s="6">
        <f t="shared" si="1"/>
        <v>0</v>
      </c>
      <c r="J47" s="6">
        <v>0</v>
      </c>
      <c r="K47" s="6">
        <v>0</v>
      </c>
      <c r="L47" s="6">
        <v>1</v>
      </c>
      <c r="Q47" s="6" t="s">
        <v>133</v>
      </c>
      <c r="R47" s="8">
        <v>35</v>
      </c>
      <c r="S47" s="14">
        <v>2</v>
      </c>
    </row>
    <row r="48" spans="1:19">
      <c r="A48" s="6">
        <f t="shared" si="0"/>
        <v>903</v>
      </c>
      <c r="B48" s="6">
        <v>9</v>
      </c>
      <c r="C48" s="6">
        <v>3</v>
      </c>
      <c r="D48" s="6" t="s">
        <v>134</v>
      </c>
      <c r="E48" s="6">
        <v>109</v>
      </c>
      <c r="G48" s="6" t="s">
        <v>135</v>
      </c>
      <c r="H48" s="6">
        <f t="shared" si="1"/>
        <v>0</v>
      </c>
      <c r="J48" s="6">
        <v>0</v>
      </c>
      <c r="K48" s="6">
        <v>0</v>
      </c>
      <c r="L48" s="6">
        <v>1</v>
      </c>
      <c r="Q48" s="6" t="s">
        <v>133</v>
      </c>
      <c r="R48" s="8">
        <v>35</v>
      </c>
      <c r="S48" s="14">
        <v>2</v>
      </c>
    </row>
    <row r="49" spans="1:19">
      <c r="A49" s="6">
        <f t="shared" si="0"/>
        <v>921</v>
      </c>
      <c r="B49" s="6">
        <v>9</v>
      </c>
      <c r="C49" s="6">
        <v>4</v>
      </c>
      <c r="D49" s="6" t="s">
        <v>136</v>
      </c>
      <c r="E49" s="6">
        <v>508</v>
      </c>
      <c r="G49" s="6" t="s">
        <v>137</v>
      </c>
      <c r="H49" s="6">
        <f t="shared" si="1"/>
        <v>2</v>
      </c>
      <c r="J49" s="6">
        <v>0</v>
      </c>
      <c r="K49" s="6">
        <v>0</v>
      </c>
      <c r="R49" s="8">
        <v>150</v>
      </c>
      <c r="S49" s="14">
        <v>2</v>
      </c>
    </row>
    <row r="50" spans="1:19">
      <c r="A50" s="6">
        <f t="shared" si="0"/>
        <v>931</v>
      </c>
      <c r="B50" s="6">
        <v>9</v>
      </c>
      <c r="C50" s="6">
        <v>5</v>
      </c>
      <c r="D50" s="6" t="s">
        <v>138</v>
      </c>
      <c r="E50" s="6">
        <v>508</v>
      </c>
      <c r="G50" s="6" t="s">
        <v>139</v>
      </c>
      <c r="H50" s="6">
        <f t="shared" si="1"/>
        <v>2</v>
      </c>
      <c r="J50" s="6">
        <v>0</v>
      </c>
      <c r="K50" s="6">
        <v>0</v>
      </c>
      <c r="R50" s="8">
        <v>150</v>
      </c>
      <c r="S50" s="14">
        <v>2</v>
      </c>
    </row>
    <row r="51" spans="1:19">
      <c r="A51" s="6">
        <f t="shared" si="0"/>
        <v>1001</v>
      </c>
      <c r="B51" s="6">
        <v>10</v>
      </c>
      <c r="C51" s="6">
        <v>1</v>
      </c>
      <c r="D51" s="6" t="s">
        <v>140</v>
      </c>
      <c r="E51" s="6">
        <v>108</v>
      </c>
      <c r="G51" s="6" t="s">
        <v>141</v>
      </c>
      <c r="H51" s="6">
        <f t="shared" si="1"/>
        <v>0</v>
      </c>
      <c r="J51" s="6">
        <v>0</v>
      </c>
      <c r="K51" s="6">
        <v>0</v>
      </c>
      <c r="R51" s="8">
        <v>35</v>
      </c>
      <c r="S51" s="14">
        <v>2</v>
      </c>
    </row>
    <row r="52" spans="1:19">
      <c r="A52" s="6">
        <f t="shared" si="0"/>
        <v>1002</v>
      </c>
      <c r="B52" s="6">
        <v>10</v>
      </c>
      <c r="C52" s="6">
        <v>2</v>
      </c>
      <c r="D52" s="6" t="s">
        <v>142</v>
      </c>
      <c r="E52" s="6">
        <v>109</v>
      </c>
      <c r="G52" s="6" t="s">
        <v>143</v>
      </c>
      <c r="H52" s="6">
        <f t="shared" si="1"/>
        <v>0</v>
      </c>
      <c r="J52" s="6">
        <v>0</v>
      </c>
      <c r="K52" s="6">
        <v>0</v>
      </c>
      <c r="L52" s="6">
        <v>1</v>
      </c>
      <c r="Q52" s="6" t="s">
        <v>133</v>
      </c>
      <c r="R52" s="8">
        <v>35</v>
      </c>
      <c r="S52" s="14">
        <v>2</v>
      </c>
    </row>
    <row r="53" spans="1:19">
      <c r="A53" s="6">
        <f t="shared" si="0"/>
        <v>1003</v>
      </c>
      <c r="B53" s="6">
        <v>10</v>
      </c>
      <c r="C53" s="6">
        <v>3</v>
      </c>
      <c r="D53" s="6" t="s">
        <v>144</v>
      </c>
      <c r="E53" s="6">
        <v>110</v>
      </c>
      <c r="G53" s="6" t="s">
        <v>130</v>
      </c>
      <c r="H53" s="6">
        <f t="shared" si="1"/>
        <v>0</v>
      </c>
      <c r="J53" s="6">
        <v>0</v>
      </c>
      <c r="K53" s="6">
        <v>0</v>
      </c>
      <c r="R53" s="8">
        <v>35</v>
      </c>
      <c r="S53" s="14">
        <v>2</v>
      </c>
    </row>
    <row r="54" spans="1:19">
      <c r="A54" s="6">
        <f t="shared" si="0"/>
        <v>1021</v>
      </c>
      <c r="B54" s="6">
        <v>10</v>
      </c>
      <c r="C54" s="6">
        <v>4</v>
      </c>
      <c r="D54" s="6" t="s">
        <v>145</v>
      </c>
      <c r="E54" s="6">
        <v>509</v>
      </c>
      <c r="G54" s="6" t="s">
        <v>146</v>
      </c>
      <c r="H54" s="6">
        <f t="shared" si="1"/>
        <v>2</v>
      </c>
      <c r="J54" s="6">
        <v>0</v>
      </c>
      <c r="K54" s="6">
        <v>0</v>
      </c>
      <c r="L54" s="6">
        <v>1</v>
      </c>
      <c r="Q54" s="6" t="s">
        <v>147</v>
      </c>
      <c r="R54" s="8">
        <v>150</v>
      </c>
      <c r="S54" s="14">
        <v>2</v>
      </c>
    </row>
    <row r="55" spans="1:19">
      <c r="A55" s="6">
        <f t="shared" si="0"/>
        <v>1031</v>
      </c>
      <c r="B55" s="6">
        <v>10</v>
      </c>
      <c r="C55" s="6">
        <v>5</v>
      </c>
      <c r="D55" s="6" t="s">
        <v>148</v>
      </c>
      <c r="E55" s="6">
        <v>509</v>
      </c>
      <c r="G55" s="6" t="s">
        <v>149</v>
      </c>
      <c r="H55" s="6">
        <f t="shared" si="1"/>
        <v>2</v>
      </c>
      <c r="J55" s="6">
        <v>0</v>
      </c>
      <c r="K55" s="6">
        <v>0</v>
      </c>
      <c r="L55" s="6">
        <v>1</v>
      </c>
      <c r="Q55" s="6" t="s">
        <v>147</v>
      </c>
      <c r="R55" s="8">
        <v>150</v>
      </c>
      <c r="S55" s="14">
        <v>2</v>
      </c>
    </row>
    <row r="56" spans="1:19">
      <c r="A56" s="6">
        <f t="shared" si="0"/>
        <v>1101</v>
      </c>
      <c r="B56" s="6">
        <v>11</v>
      </c>
      <c r="C56" s="6">
        <v>1</v>
      </c>
      <c r="D56" s="6" t="s">
        <v>150</v>
      </c>
      <c r="E56" s="6">
        <v>101</v>
      </c>
      <c r="G56" s="6" t="s">
        <v>151</v>
      </c>
      <c r="H56" s="6">
        <f t="shared" si="1"/>
        <v>0</v>
      </c>
      <c r="J56" s="6">
        <v>0</v>
      </c>
      <c r="K56" s="6">
        <v>0</v>
      </c>
      <c r="R56" s="8">
        <v>35</v>
      </c>
      <c r="S56" s="14">
        <v>2</v>
      </c>
    </row>
    <row r="57" spans="1:19">
      <c r="A57" s="6">
        <f t="shared" si="0"/>
        <v>1102</v>
      </c>
      <c r="B57" s="6">
        <v>11</v>
      </c>
      <c r="C57" s="6">
        <v>2</v>
      </c>
      <c r="D57" s="6" t="s">
        <v>152</v>
      </c>
      <c r="E57" s="6">
        <v>100</v>
      </c>
      <c r="G57" s="6" t="s">
        <v>153</v>
      </c>
      <c r="H57" s="6">
        <v>0</v>
      </c>
      <c r="I57" s="12" t="s">
        <v>51</v>
      </c>
      <c r="J57" s="6">
        <v>0</v>
      </c>
      <c r="K57" s="6">
        <v>0</v>
      </c>
      <c r="N57" s="6">
        <v>2001</v>
      </c>
      <c r="R57" s="8">
        <v>35</v>
      </c>
      <c r="S57" s="14">
        <v>2</v>
      </c>
    </row>
    <row r="58" spans="1:19">
      <c r="A58" s="6">
        <f t="shared" si="0"/>
        <v>1103</v>
      </c>
      <c r="B58" s="6">
        <v>11</v>
      </c>
      <c r="C58" s="6">
        <v>3</v>
      </c>
      <c r="D58" s="6" t="s">
        <v>154</v>
      </c>
      <c r="E58" s="6">
        <v>102</v>
      </c>
      <c r="G58" s="6" t="s">
        <v>155</v>
      </c>
      <c r="H58" s="6">
        <f t="shared" si="1"/>
        <v>0</v>
      </c>
      <c r="J58" s="6">
        <v>0</v>
      </c>
      <c r="K58" s="6">
        <v>0</v>
      </c>
      <c r="L58" s="6">
        <v>1</v>
      </c>
      <c r="Q58" s="6" t="s">
        <v>62</v>
      </c>
      <c r="R58" s="8">
        <v>35</v>
      </c>
      <c r="S58" s="14">
        <v>2</v>
      </c>
    </row>
    <row r="59" spans="1:19">
      <c r="A59" s="6">
        <f t="shared" si="0"/>
        <v>1121</v>
      </c>
      <c r="B59" s="6">
        <v>11</v>
      </c>
      <c r="C59" s="6">
        <v>4</v>
      </c>
      <c r="D59" s="6" t="s">
        <v>156</v>
      </c>
      <c r="E59" s="6">
        <v>501</v>
      </c>
      <c r="G59" s="6" t="s">
        <v>157</v>
      </c>
      <c r="H59" s="6">
        <f t="shared" si="1"/>
        <v>2</v>
      </c>
      <c r="J59" s="6">
        <v>0</v>
      </c>
      <c r="K59" s="6">
        <v>0</v>
      </c>
      <c r="R59" s="8">
        <v>150</v>
      </c>
      <c r="S59" s="14">
        <v>2</v>
      </c>
    </row>
    <row r="60" spans="1:19">
      <c r="A60" s="6">
        <f t="shared" si="0"/>
        <v>1131</v>
      </c>
      <c r="B60" s="6">
        <v>11</v>
      </c>
      <c r="C60" s="6">
        <v>5</v>
      </c>
      <c r="D60" s="6" t="s">
        <v>158</v>
      </c>
      <c r="E60" s="6">
        <v>501</v>
      </c>
      <c r="G60" s="6" t="s">
        <v>159</v>
      </c>
      <c r="H60" s="6">
        <f t="shared" si="1"/>
        <v>2</v>
      </c>
      <c r="J60" s="6">
        <v>0</v>
      </c>
      <c r="K60" s="6">
        <v>0</v>
      </c>
      <c r="R60" s="8">
        <v>150</v>
      </c>
      <c r="S60" s="14">
        <v>2</v>
      </c>
    </row>
    <row r="61" spans="1:19">
      <c r="A61" s="6">
        <f t="shared" si="0"/>
        <v>1201</v>
      </c>
      <c r="B61" s="6">
        <v>12</v>
      </c>
      <c r="C61" s="6">
        <v>1</v>
      </c>
      <c r="D61" s="6" t="s">
        <v>160</v>
      </c>
      <c r="E61" s="6">
        <v>101</v>
      </c>
      <c r="G61" s="6" t="s">
        <v>161</v>
      </c>
      <c r="H61" s="6">
        <f t="shared" si="1"/>
        <v>0</v>
      </c>
      <c r="J61" s="6">
        <v>0</v>
      </c>
      <c r="K61" s="6">
        <v>0</v>
      </c>
      <c r="R61" s="8">
        <v>35</v>
      </c>
      <c r="S61" s="14">
        <v>2</v>
      </c>
    </row>
    <row r="62" spans="1:19">
      <c r="A62" s="6">
        <f t="shared" si="0"/>
        <v>1202</v>
      </c>
      <c r="B62" s="6">
        <v>12</v>
      </c>
      <c r="C62" s="6">
        <v>2</v>
      </c>
      <c r="D62" s="6" t="s">
        <v>162</v>
      </c>
      <c r="E62" s="6">
        <v>100</v>
      </c>
      <c r="G62" s="6" t="s">
        <v>163</v>
      </c>
      <c r="H62" s="6">
        <v>0</v>
      </c>
      <c r="I62" s="12" t="s">
        <v>51</v>
      </c>
      <c r="J62" s="6">
        <v>0</v>
      </c>
      <c r="K62" s="6">
        <v>0</v>
      </c>
      <c r="N62" s="6">
        <v>2001</v>
      </c>
      <c r="R62" s="8">
        <v>35</v>
      </c>
      <c r="S62" s="14">
        <v>2</v>
      </c>
    </row>
    <row r="63" spans="1:19">
      <c r="A63" s="6">
        <f t="shared" si="0"/>
        <v>1203</v>
      </c>
      <c r="B63" s="6">
        <v>12</v>
      </c>
      <c r="C63" s="6">
        <v>3</v>
      </c>
      <c r="D63" s="6" t="s">
        <v>164</v>
      </c>
      <c r="E63" s="6">
        <v>102</v>
      </c>
      <c r="G63" s="6" t="s">
        <v>165</v>
      </c>
      <c r="H63" s="6">
        <f t="shared" si="1"/>
        <v>0</v>
      </c>
      <c r="J63" s="6">
        <v>0</v>
      </c>
      <c r="K63" s="6">
        <v>0</v>
      </c>
      <c r="L63" s="6">
        <v>1</v>
      </c>
      <c r="Q63" s="6" t="s">
        <v>62</v>
      </c>
      <c r="R63" s="8">
        <v>35</v>
      </c>
      <c r="S63" s="14">
        <v>2</v>
      </c>
    </row>
    <row r="64" spans="1:19">
      <c r="A64" s="6">
        <f t="shared" si="0"/>
        <v>1221</v>
      </c>
      <c r="B64" s="6">
        <v>12</v>
      </c>
      <c r="C64" s="6">
        <v>4</v>
      </c>
      <c r="D64" s="6" t="s">
        <v>166</v>
      </c>
      <c r="E64" s="6">
        <v>502</v>
      </c>
      <c r="G64" s="6" t="s">
        <v>167</v>
      </c>
      <c r="H64" s="6">
        <f t="shared" si="1"/>
        <v>2</v>
      </c>
      <c r="J64" s="6">
        <v>0</v>
      </c>
      <c r="K64" s="6">
        <v>0</v>
      </c>
      <c r="L64" s="6">
        <v>1</v>
      </c>
      <c r="Q64" s="6" t="s">
        <v>94</v>
      </c>
      <c r="R64" s="8">
        <v>100</v>
      </c>
      <c r="S64" s="14">
        <v>2</v>
      </c>
    </row>
    <row r="65" spans="1:19">
      <c r="A65" s="6">
        <f t="shared" si="0"/>
        <v>1231</v>
      </c>
      <c r="B65" s="6">
        <v>12</v>
      </c>
      <c r="C65" s="6">
        <v>5</v>
      </c>
      <c r="D65" s="6" t="s">
        <v>168</v>
      </c>
      <c r="E65" s="6">
        <v>502</v>
      </c>
      <c r="G65" s="6" t="s">
        <v>169</v>
      </c>
      <c r="H65" s="6">
        <f t="shared" si="1"/>
        <v>2</v>
      </c>
      <c r="J65" s="6">
        <v>0</v>
      </c>
      <c r="K65" s="6">
        <v>0</v>
      </c>
      <c r="L65" s="6">
        <v>1</v>
      </c>
      <c r="Q65" s="6" t="s">
        <v>94</v>
      </c>
      <c r="R65" s="8">
        <v>100</v>
      </c>
      <c r="S65" s="14">
        <v>2</v>
      </c>
    </row>
    <row r="66" spans="1:19">
      <c r="A66" s="6">
        <f t="shared" si="0"/>
        <v>1301</v>
      </c>
      <c r="B66" s="6">
        <v>13</v>
      </c>
      <c r="C66" s="6">
        <v>1</v>
      </c>
      <c r="D66" s="6" t="s">
        <v>170</v>
      </c>
      <c r="E66" s="6">
        <v>103</v>
      </c>
      <c r="G66" s="6" t="s">
        <v>171</v>
      </c>
      <c r="H66" s="6">
        <f t="shared" si="1"/>
        <v>0</v>
      </c>
      <c r="I66" s="6" t="s">
        <v>66</v>
      </c>
      <c r="J66" s="6">
        <v>0</v>
      </c>
      <c r="K66" s="6">
        <v>0</v>
      </c>
      <c r="R66" s="8">
        <v>37</v>
      </c>
      <c r="S66" s="14">
        <v>2</v>
      </c>
    </row>
    <row r="67" spans="1:19">
      <c r="A67" s="6">
        <f t="shared" si="0"/>
        <v>1302</v>
      </c>
      <c r="B67" s="6">
        <v>13</v>
      </c>
      <c r="C67" s="6">
        <v>2</v>
      </c>
      <c r="D67" s="6" t="s">
        <v>172</v>
      </c>
      <c r="E67" s="6">
        <v>104</v>
      </c>
      <c r="G67" s="6" t="s">
        <v>173</v>
      </c>
      <c r="H67" s="6">
        <f t="shared" si="1"/>
        <v>0</v>
      </c>
      <c r="J67" s="6">
        <v>0</v>
      </c>
      <c r="K67" s="6">
        <v>0</v>
      </c>
      <c r="R67" s="8">
        <v>37</v>
      </c>
      <c r="S67" s="14">
        <v>2</v>
      </c>
    </row>
    <row r="68" spans="1:19">
      <c r="A68" s="6">
        <f t="shared" si="0"/>
        <v>1303</v>
      </c>
      <c r="B68" s="6">
        <v>13</v>
      </c>
      <c r="C68" s="6">
        <v>3</v>
      </c>
      <c r="D68" s="6" t="s">
        <v>174</v>
      </c>
      <c r="E68" s="6">
        <v>100</v>
      </c>
      <c r="G68" s="6" t="s">
        <v>175</v>
      </c>
      <c r="H68" s="6">
        <v>0</v>
      </c>
      <c r="I68" s="12" t="s">
        <v>51</v>
      </c>
      <c r="J68" s="6">
        <v>0</v>
      </c>
      <c r="K68" s="6">
        <v>0</v>
      </c>
      <c r="N68" s="6">
        <v>2001</v>
      </c>
      <c r="R68" s="8">
        <v>37</v>
      </c>
      <c r="S68" s="14">
        <v>2</v>
      </c>
    </row>
    <row r="69" spans="1:19">
      <c r="A69" s="6">
        <f t="shared" si="0"/>
        <v>1321</v>
      </c>
      <c r="B69" s="6">
        <v>13</v>
      </c>
      <c r="C69" s="6">
        <v>4</v>
      </c>
      <c r="D69" s="6" t="s">
        <v>176</v>
      </c>
      <c r="E69" s="6">
        <v>504</v>
      </c>
      <c r="G69" s="6" t="s">
        <v>177</v>
      </c>
      <c r="H69" s="6">
        <f t="shared" si="1"/>
        <v>2</v>
      </c>
      <c r="J69" s="6">
        <v>0</v>
      </c>
      <c r="K69" s="6">
        <v>0</v>
      </c>
      <c r="L69" s="6" t="str">
        <f>IF(VLOOKUP(E69,Sheet2!$W$4:$X$49,2,0)=0,"",VLOOKUP(E69,Sheet2!$W$4:$X$49,2,0))</f>
        <v/>
      </c>
      <c r="R69" s="8">
        <v>120</v>
      </c>
      <c r="S69" s="14">
        <v>2</v>
      </c>
    </row>
    <row r="70" spans="1:19">
      <c r="A70" s="6">
        <f t="shared" si="0"/>
        <v>1331</v>
      </c>
      <c r="B70" s="6">
        <v>13</v>
      </c>
      <c r="C70" s="6">
        <v>5</v>
      </c>
      <c r="D70" s="6" t="s">
        <v>178</v>
      </c>
      <c r="E70" s="6">
        <v>504</v>
      </c>
      <c r="G70" s="6" t="s">
        <v>179</v>
      </c>
      <c r="H70" s="6">
        <f t="shared" si="1"/>
        <v>2</v>
      </c>
      <c r="J70" s="6">
        <v>0</v>
      </c>
      <c r="K70" s="6">
        <v>0</v>
      </c>
      <c r="L70" s="6" t="str">
        <f>IF(VLOOKUP(E70,Sheet2!$W$4:$X$49,2,0)=0,"",VLOOKUP(E70,Sheet2!$W$4:$X$49,2,0))</f>
        <v/>
      </c>
      <c r="R70" s="8">
        <v>120</v>
      </c>
      <c r="S70" s="14">
        <v>2</v>
      </c>
    </row>
    <row r="71" spans="1:19">
      <c r="A71" s="6">
        <f t="shared" ref="A71:A134" si="2">A66+100</f>
        <v>1401</v>
      </c>
      <c r="B71" s="6">
        <v>14</v>
      </c>
      <c r="C71" s="6">
        <v>1</v>
      </c>
      <c r="D71" s="6" t="s">
        <v>180</v>
      </c>
      <c r="E71" s="6">
        <v>103</v>
      </c>
      <c r="G71" s="6" t="s">
        <v>181</v>
      </c>
      <c r="H71" s="6">
        <f t="shared" si="1"/>
        <v>0</v>
      </c>
      <c r="I71" s="6" t="str">
        <f>IF(VLOOKUP(E71,Sheet2!$W$4:$AA$49,5,0)=0,"",VLOOKUP(E71,Sheet2!$W$4:$AA$49,5,0))</f>
        <v>[60001]</v>
      </c>
      <c r="J71" s="6">
        <v>0</v>
      </c>
      <c r="K71" s="6">
        <v>0</v>
      </c>
      <c r="L71" s="6" t="str">
        <f>IF(VLOOKUP(E71,Sheet2!$W$4:$X$49,2,0)=0,"",VLOOKUP(E71,Sheet2!$W$4:$X$49,2,0))</f>
        <v/>
      </c>
      <c r="N71" s="6" t="str">
        <f>IF(VLOOKUP(E71,Sheet2!$W$4:$Y$49,3,0)=0,"",VLOOKUP(E71,Sheet2!$W$4:$Y$49,3,0))</f>
        <v/>
      </c>
      <c r="Q71" s="6" t="str">
        <f>IF(VLOOKUP(E71,Sheet2!$W$4:$Z$49,4,0)=0,"",VLOOKUP(E71,Sheet2!$W$4:$Z$49,4,0))</f>
        <v/>
      </c>
      <c r="R71" s="8">
        <v>35</v>
      </c>
      <c r="S71" s="14">
        <v>2</v>
      </c>
    </row>
    <row r="72" spans="1:19">
      <c r="A72" s="6">
        <f t="shared" si="2"/>
        <v>1402</v>
      </c>
      <c r="B72" s="6">
        <v>14</v>
      </c>
      <c r="C72" s="6">
        <v>2</v>
      </c>
      <c r="D72" s="6" t="s">
        <v>182</v>
      </c>
      <c r="E72" s="6">
        <v>104</v>
      </c>
      <c r="G72" s="6" t="s">
        <v>183</v>
      </c>
      <c r="H72" s="6">
        <f t="shared" si="1"/>
        <v>0</v>
      </c>
      <c r="I72" s="6" t="str">
        <f>IF(VLOOKUP(E72,Sheet2!$W$4:$AA$49,5,0)=0,"",VLOOKUP(E72,Sheet2!$W$4:$AA$49,5,0))</f>
        <v/>
      </c>
      <c r="J72" s="6">
        <v>0</v>
      </c>
      <c r="K72" s="6">
        <v>0</v>
      </c>
      <c r="L72" s="6" t="str">
        <f>IF(VLOOKUP(E72,Sheet2!$W$4:$X$49,2,0)=0,"",VLOOKUP(E72,Sheet2!$W$4:$X$49,2,0))</f>
        <v/>
      </c>
      <c r="N72" s="6" t="str">
        <f>IF(VLOOKUP(E72,Sheet2!$W$4:$Y$49,3,0)=0,"",VLOOKUP(E72,Sheet2!$W$4:$Y$49,3,0))</f>
        <v/>
      </c>
      <c r="Q72" s="6" t="str">
        <f>IF(VLOOKUP(E72,Sheet2!$W$4:$Z$49,4,0)=0,"",VLOOKUP(E72,Sheet2!$W$4:$Z$49,4,0))</f>
        <v/>
      </c>
      <c r="R72" s="8">
        <v>35</v>
      </c>
      <c r="S72" s="14">
        <v>2</v>
      </c>
    </row>
    <row r="73" spans="1:19">
      <c r="A73" s="6">
        <f t="shared" si="2"/>
        <v>1403</v>
      </c>
      <c r="B73" s="6">
        <v>14</v>
      </c>
      <c r="C73" s="6">
        <v>3</v>
      </c>
      <c r="D73" s="6" t="s">
        <v>184</v>
      </c>
      <c r="E73" s="6">
        <v>106</v>
      </c>
      <c r="G73" s="6" t="s">
        <v>185</v>
      </c>
      <c r="H73" s="6">
        <v>0</v>
      </c>
      <c r="I73" s="6" t="str">
        <f>IF(VLOOKUP(E73,Sheet2!$W$4:$AA$49,5,0)=0,"",VLOOKUP(E73,Sheet2!$W$4:$AA$49,5,0))</f>
        <v>[60002]</v>
      </c>
      <c r="J73" s="6">
        <v>0</v>
      </c>
      <c r="K73" s="6">
        <v>0</v>
      </c>
      <c r="L73" s="6">
        <f>IF(VLOOKUP(E73,Sheet2!$W$4:$X$49,2,0)=0,"",VLOOKUP(E73,Sheet2!$W$4:$X$49,2,0))</f>
        <v>1</v>
      </c>
      <c r="N73" s="6">
        <f>IF(VLOOKUP(E73,Sheet2!$W$4:$Y$49,3,0)=0,"",VLOOKUP(E73,Sheet2!$W$4:$Y$49,3,0))</f>
        <v>2002</v>
      </c>
      <c r="Q73" s="6" t="str">
        <f>IF(VLOOKUP(E73,Sheet2!$W$4:$Z$49,4,0)=0,"",VLOOKUP(E73,Sheet2!$W$4:$Z$49,4,0))</f>
        <v>[{50012,6}]</v>
      </c>
      <c r="R73" s="8">
        <v>35</v>
      </c>
      <c r="S73" s="14">
        <v>2</v>
      </c>
    </row>
    <row r="74" spans="1:19">
      <c r="A74" s="6">
        <f t="shared" si="2"/>
        <v>1421</v>
      </c>
      <c r="B74" s="6">
        <v>14</v>
      </c>
      <c r="C74" s="6">
        <v>4</v>
      </c>
      <c r="D74" s="6" t="s">
        <v>186</v>
      </c>
      <c r="E74" s="6">
        <v>503</v>
      </c>
      <c r="G74" s="6" t="s">
        <v>187</v>
      </c>
      <c r="H74" s="6">
        <f t="shared" si="1"/>
        <v>2</v>
      </c>
      <c r="I74" s="6" t="str">
        <f>IF(VLOOKUP(E74,Sheet2!$W$4:$AA$49,5,0)=0,"",VLOOKUP(E74,Sheet2!$W$4:$AA$49,5,0))</f>
        <v>[60001]</v>
      </c>
      <c r="J74" s="6">
        <v>0</v>
      </c>
      <c r="K74" s="6">
        <v>0</v>
      </c>
      <c r="L74" s="6" t="str">
        <f>IF(VLOOKUP(E74,Sheet2!$W$4:$X$49,2,0)=0,"",VLOOKUP(E74,Sheet2!$W$4:$X$49,2,0))</f>
        <v/>
      </c>
      <c r="N74" s="6" t="str">
        <f>IF(VLOOKUP(E74,Sheet2!$W$4:$Y$49,3,0)=0,"",VLOOKUP(E74,Sheet2!$W$4:$Y$49,3,0))</f>
        <v/>
      </c>
      <c r="Q74" s="6" t="str">
        <f>IF(VLOOKUP(E74,Sheet2!$W$4:$Z$49,4,0)=0,"",VLOOKUP(E74,Sheet2!$W$4:$Z$49,4,0))</f>
        <v/>
      </c>
      <c r="R74" s="8">
        <v>200</v>
      </c>
      <c r="S74" s="14">
        <v>2</v>
      </c>
    </row>
    <row r="75" spans="1:19">
      <c r="A75" s="6">
        <f t="shared" si="2"/>
        <v>1431</v>
      </c>
      <c r="B75" s="6">
        <v>14</v>
      </c>
      <c r="C75" s="6">
        <v>5</v>
      </c>
      <c r="D75" s="6" t="s">
        <v>188</v>
      </c>
      <c r="E75" s="6">
        <v>503</v>
      </c>
      <c r="G75" s="6" t="s">
        <v>189</v>
      </c>
      <c r="H75" s="6">
        <f t="shared" si="1"/>
        <v>2</v>
      </c>
      <c r="I75" s="6" t="str">
        <f>IF(VLOOKUP(E75,Sheet2!$W$4:$AA$49,5,0)=0,"",VLOOKUP(E75,Sheet2!$W$4:$AA$49,5,0))</f>
        <v>[60001]</v>
      </c>
      <c r="J75" s="6">
        <v>0</v>
      </c>
      <c r="K75" s="6">
        <v>0</v>
      </c>
      <c r="L75" s="6" t="str">
        <f>IF(VLOOKUP(E75,Sheet2!$W$4:$X$49,2,0)=0,"",VLOOKUP(E75,Sheet2!$W$4:$X$49,2,0))</f>
        <v/>
      </c>
      <c r="N75" s="6" t="str">
        <f>IF(VLOOKUP(E75,Sheet2!$W$4:$Y$49,3,0)=0,"",VLOOKUP(E75,Sheet2!$W$4:$Y$49,3,0))</f>
        <v/>
      </c>
      <c r="Q75" s="6" t="str">
        <f>IF(VLOOKUP(E75,Sheet2!$W$4:$Z$49,4,0)=0,"",VLOOKUP(E75,Sheet2!$W$4:$Z$49,4,0))</f>
        <v/>
      </c>
      <c r="R75" s="8">
        <v>200</v>
      </c>
      <c r="S75" s="14">
        <v>2</v>
      </c>
    </row>
    <row r="76" spans="1:19">
      <c r="A76" s="6">
        <f t="shared" si="2"/>
        <v>1501</v>
      </c>
      <c r="B76" s="6">
        <v>15</v>
      </c>
      <c r="C76" s="6">
        <v>1</v>
      </c>
      <c r="D76" s="6" t="s">
        <v>190</v>
      </c>
      <c r="E76" s="6">
        <v>108</v>
      </c>
      <c r="G76" s="6" t="s">
        <v>191</v>
      </c>
      <c r="H76" s="6">
        <f t="shared" si="1"/>
        <v>0</v>
      </c>
      <c r="I76" s="6" t="str">
        <f>IF(VLOOKUP(E76,Sheet2!$W$4:$AA$49,5,0)=0,"",VLOOKUP(E76,Sheet2!$W$4:$AA$49,5,0))</f>
        <v/>
      </c>
      <c r="J76" s="6">
        <v>0</v>
      </c>
      <c r="K76" s="6">
        <v>0</v>
      </c>
      <c r="L76" s="6" t="str">
        <f>IF(VLOOKUP(E76,Sheet2!$W$4:$X$49,2,0)=0,"",VLOOKUP(E76,Sheet2!$W$4:$X$49,2,0))</f>
        <v/>
      </c>
      <c r="N76" s="6" t="str">
        <f>IF(VLOOKUP(E76,Sheet2!$W$4:$Y$49,3,0)=0,"",VLOOKUP(E76,Sheet2!$W$4:$Y$49,3,0))</f>
        <v/>
      </c>
      <c r="Q76" s="6" t="str">
        <f>IF(VLOOKUP(E76,Sheet2!$W$4:$Z$49,4,0)=0,"",VLOOKUP(E76,Sheet2!$W$4:$Z$49,4,0))</f>
        <v/>
      </c>
      <c r="R76" s="8">
        <v>35</v>
      </c>
      <c r="S76" s="14">
        <v>2</v>
      </c>
    </row>
    <row r="77" spans="1:19">
      <c r="A77" s="6">
        <f t="shared" si="2"/>
        <v>1502</v>
      </c>
      <c r="B77" s="6">
        <v>15</v>
      </c>
      <c r="C77" s="6">
        <v>2</v>
      </c>
      <c r="D77" s="6" t="s">
        <v>192</v>
      </c>
      <c r="E77" s="6">
        <v>110</v>
      </c>
      <c r="G77" s="6" t="s">
        <v>193</v>
      </c>
      <c r="H77" s="6">
        <f t="shared" si="1"/>
        <v>0</v>
      </c>
      <c r="I77" s="6" t="str">
        <f>IF(VLOOKUP(E77,Sheet2!$W$4:$AA$49,5,0)=0,"",VLOOKUP(E77,Sheet2!$W$4:$AA$49,5,0))</f>
        <v/>
      </c>
      <c r="J77" s="6">
        <v>0</v>
      </c>
      <c r="K77" s="6">
        <v>0</v>
      </c>
      <c r="L77" s="6" t="str">
        <f>IF(VLOOKUP(E77,Sheet2!$W$4:$X$49,2,0)=0,"",VLOOKUP(E77,Sheet2!$W$4:$X$49,2,0))</f>
        <v/>
      </c>
      <c r="N77" s="6" t="str">
        <f>IF(VLOOKUP(E77,Sheet2!$W$4:$Y$49,3,0)=0,"",VLOOKUP(E77,Sheet2!$W$4:$Y$49,3,0))</f>
        <v/>
      </c>
      <c r="Q77" s="6" t="str">
        <f>IF(VLOOKUP(E77,Sheet2!$W$4:$Z$49,4,0)=0,"",VLOOKUP(E77,Sheet2!$W$4:$Z$49,4,0))</f>
        <v/>
      </c>
      <c r="R77" s="8">
        <v>35</v>
      </c>
      <c r="S77" s="14">
        <v>2</v>
      </c>
    </row>
    <row r="78" spans="1:19">
      <c r="A78" s="6">
        <f t="shared" si="2"/>
        <v>1503</v>
      </c>
      <c r="B78" s="6">
        <v>15</v>
      </c>
      <c r="C78" s="6">
        <v>3</v>
      </c>
      <c r="D78" s="6" t="s">
        <v>194</v>
      </c>
      <c r="E78" s="6">
        <v>114</v>
      </c>
      <c r="G78" s="6" t="s">
        <v>195</v>
      </c>
      <c r="H78" s="6">
        <v>0</v>
      </c>
      <c r="I78" s="6" t="str">
        <f>IF(VLOOKUP(E78,Sheet2!$W$4:$AA$49,5,0)=0,"",VLOOKUP(E78,Sheet2!$W$4:$AA$49,5,0))</f>
        <v/>
      </c>
      <c r="J78" s="6">
        <v>0</v>
      </c>
      <c r="K78" s="6">
        <v>0</v>
      </c>
      <c r="L78" s="6" t="str">
        <f>IF(VLOOKUP(E78,Sheet2!$W$4:$X$49,2,0)=0,"",VLOOKUP(E78,Sheet2!$W$4:$X$49,2,0))</f>
        <v/>
      </c>
      <c r="N78" s="6" t="str">
        <f>IF(VLOOKUP(E78,Sheet2!$W$4:$Y$49,3,0)=0,"",VLOOKUP(E78,Sheet2!$W$4:$Y$49,3,0))</f>
        <v/>
      </c>
      <c r="Q78" s="6" t="str">
        <f>IF(VLOOKUP(E78,Sheet2!$W$4:$Z$49,4,0)=0,"",VLOOKUP(E78,Sheet2!$W$4:$Z$49,4,0))</f>
        <v/>
      </c>
      <c r="R78" s="8">
        <v>35</v>
      </c>
      <c r="S78" s="14">
        <v>2</v>
      </c>
    </row>
    <row r="79" spans="1:19">
      <c r="A79" s="6">
        <f t="shared" si="2"/>
        <v>1521</v>
      </c>
      <c r="B79" s="6">
        <v>15</v>
      </c>
      <c r="C79" s="6">
        <v>4</v>
      </c>
      <c r="D79" s="6" t="s">
        <v>196</v>
      </c>
      <c r="E79" s="6">
        <v>508</v>
      </c>
      <c r="G79" s="6" t="s">
        <v>197</v>
      </c>
      <c r="H79" s="6">
        <f>H74</f>
        <v>2</v>
      </c>
      <c r="I79" s="6" t="str">
        <f>IF(VLOOKUP(E79,Sheet2!$W$4:$AA$49,5,0)=0,"",VLOOKUP(E79,Sheet2!$W$4:$AA$49,5,0))</f>
        <v/>
      </c>
      <c r="J79" s="6">
        <v>0</v>
      </c>
      <c r="K79" s="6">
        <v>0</v>
      </c>
      <c r="L79" s="6" t="str">
        <f>IF(VLOOKUP(E79,Sheet2!$W$4:$X$49,2,0)=0,"",VLOOKUP(E79,Sheet2!$W$4:$X$49,2,0))</f>
        <v/>
      </c>
      <c r="N79" s="6" t="str">
        <f>IF(VLOOKUP(E79,Sheet2!$W$4:$Y$49,3,0)=0,"",VLOOKUP(E79,Sheet2!$W$4:$Y$49,3,0))</f>
        <v/>
      </c>
      <c r="Q79" s="6" t="str">
        <f>IF(VLOOKUP(E79,Sheet2!$W$4:$Z$49,4,0)=0,"",VLOOKUP(E79,Sheet2!$W$4:$Z$49,4,0))</f>
        <v/>
      </c>
      <c r="R79" s="8">
        <v>200</v>
      </c>
      <c r="S79" s="14">
        <v>2</v>
      </c>
    </row>
    <row r="80" spans="1:19">
      <c r="A80" s="6">
        <f t="shared" si="2"/>
        <v>1531</v>
      </c>
      <c r="B80" s="6">
        <v>15</v>
      </c>
      <c r="C80" s="6">
        <v>5</v>
      </c>
      <c r="D80" s="6" t="s">
        <v>198</v>
      </c>
      <c r="E80" s="6">
        <v>508</v>
      </c>
      <c r="G80" s="6" t="s">
        <v>199</v>
      </c>
      <c r="H80" s="6">
        <f>H75</f>
        <v>2</v>
      </c>
      <c r="I80" s="6" t="str">
        <f>IF(VLOOKUP(E80,Sheet2!$W$4:$AA$49,5,0)=0,"",VLOOKUP(E80,Sheet2!$W$4:$AA$49,5,0))</f>
        <v/>
      </c>
      <c r="J80" s="6">
        <v>0</v>
      </c>
      <c r="K80" s="6">
        <v>0</v>
      </c>
      <c r="L80" s="6" t="str">
        <f>IF(VLOOKUP(E80,Sheet2!$W$4:$X$49,2,0)=0,"",VLOOKUP(E80,Sheet2!$W$4:$X$49,2,0))</f>
        <v/>
      </c>
      <c r="N80" s="6" t="str">
        <f>IF(VLOOKUP(E80,Sheet2!$W$4:$Y$49,3,0)=0,"",VLOOKUP(E80,Sheet2!$W$4:$Y$49,3,0))</f>
        <v/>
      </c>
      <c r="Q80" s="6" t="str">
        <f>IF(VLOOKUP(E80,Sheet2!$W$4:$Z$49,4,0)=0,"",VLOOKUP(E80,Sheet2!$W$4:$Z$49,4,0))</f>
        <v/>
      </c>
      <c r="R80" s="8">
        <v>200</v>
      </c>
      <c r="S80" s="14">
        <v>2</v>
      </c>
    </row>
    <row r="81" spans="1:19">
      <c r="A81" s="6">
        <f t="shared" si="2"/>
        <v>1601</v>
      </c>
      <c r="B81" s="6">
        <v>16</v>
      </c>
      <c r="C81" s="6">
        <v>1</v>
      </c>
      <c r="D81" s="6" t="s">
        <v>200</v>
      </c>
      <c r="E81" s="6">
        <v>110</v>
      </c>
      <c r="G81" s="6" t="s">
        <v>201</v>
      </c>
      <c r="H81" s="6">
        <f t="shared" ref="H81:H140" si="3">H76</f>
        <v>0</v>
      </c>
      <c r="I81" s="6" t="str">
        <f>IF(VLOOKUP(E81,Sheet2!$W$4:$AA$49,5,0)=0,"",VLOOKUP(E81,Sheet2!$W$4:$AA$49,5,0))</f>
        <v/>
      </c>
      <c r="J81" s="6">
        <v>0</v>
      </c>
      <c r="K81" s="6">
        <v>0</v>
      </c>
      <c r="L81" s="6" t="str">
        <f>IF(VLOOKUP(E81,Sheet2!$W$4:$X$49,2,0)=0,"",VLOOKUP(E81,Sheet2!$W$4:$X$49,2,0))</f>
        <v/>
      </c>
      <c r="N81" s="6" t="str">
        <f>IF(VLOOKUP(E81,Sheet2!$W$4:$Y$49,3,0)=0,"",VLOOKUP(E81,Sheet2!$W$4:$Y$49,3,0))</f>
        <v/>
      </c>
      <c r="Q81" s="6" t="str">
        <f>IF(VLOOKUP(E81,Sheet2!$W$4:$Z$49,4,0)=0,"",VLOOKUP(E81,Sheet2!$W$4:$Z$49,4,0))</f>
        <v/>
      </c>
      <c r="R81" s="8">
        <v>35</v>
      </c>
      <c r="S81" s="14">
        <v>2</v>
      </c>
    </row>
    <row r="82" spans="1:19">
      <c r="A82" s="6">
        <f t="shared" si="2"/>
        <v>1602</v>
      </c>
      <c r="B82" s="6">
        <v>16</v>
      </c>
      <c r="C82" s="6">
        <v>2</v>
      </c>
      <c r="D82" s="6" t="s">
        <v>202</v>
      </c>
      <c r="E82" s="6">
        <v>114</v>
      </c>
      <c r="G82" s="6" t="s">
        <v>203</v>
      </c>
      <c r="H82" s="6">
        <f t="shared" si="3"/>
        <v>0</v>
      </c>
      <c r="I82" s="6" t="str">
        <f>IF(VLOOKUP(E82,Sheet2!$W$4:$AA$49,5,0)=0,"",VLOOKUP(E82,Sheet2!$W$4:$AA$49,5,0))</f>
        <v/>
      </c>
      <c r="J82" s="6">
        <v>0</v>
      </c>
      <c r="K82" s="6">
        <v>0</v>
      </c>
      <c r="L82" s="6" t="str">
        <f>IF(VLOOKUP(E82,Sheet2!$W$4:$X$49,2,0)=0,"",VLOOKUP(E82,Sheet2!$W$4:$X$49,2,0))</f>
        <v/>
      </c>
      <c r="N82" s="6" t="str">
        <f>IF(VLOOKUP(E82,Sheet2!$W$4:$Y$49,3,0)=0,"",VLOOKUP(E82,Sheet2!$W$4:$Y$49,3,0))</f>
        <v/>
      </c>
      <c r="Q82" s="6" t="str">
        <f>IF(VLOOKUP(E82,Sheet2!$W$4:$Z$49,4,0)=0,"",VLOOKUP(E82,Sheet2!$W$4:$Z$49,4,0))</f>
        <v/>
      </c>
      <c r="R82" s="8">
        <v>35</v>
      </c>
      <c r="S82" s="14">
        <v>2</v>
      </c>
    </row>
    <row r="83" spans="1:19">
      <c r="A83" s="6">
        <f t="shared" si="2"/>
        <v>1603</v>
      </c>
      <c r="B83" s="6">
        <v>16</v>
      </c>
      <c r="C83" s="6">
        <v>3</v>
      </c>
      <c r="D83" s="6" t="s">
        <v>204</v>
      </c>
      <c r="E83" s="6">
        <v>109</v>
      </c>
      <c r="G83" s="6" t="s">
        <v>205</v>
      </c>
      <c r="H83" s="6">
        <v>0</v>
      </c>
      <c r="I83" s="6" t="str">
        <f>IF(VLOOKUP(E83,Sheet2!$W$4:$AA$49,5,0)=0,"",VLOOKUP(E83,Sheet2!$W$4:$AA$49,5,0))</f>
        <v/>
      </c>
      <c r="J83" s="6">
        <v>0</v>
      </c>
      <c r="K83" s="6">
        <v>0</v>
      </c>
      <c r="L83" s="6">
        <f>IF(VLOOKUP(E83,Sheet2!$W$4:$X$49,2,0)=0,"",VLOOKUP(E83,Sheet2!$W$4:$X$49,2,0))</f>
        <v>1</v>
      </c>
      <c r="N83" s="6" t="str">
        <f>IF(VLOOKUP(E83,Sheet2!$W$4:$Y$49,3,0)=0,"",VLOOKUP(E83,Sheet2!$W$4:$Y$49,3,0))</f>
        <v/>
      </c>
      <c r="Q83" s="6" t="str">
        <f>IF(VLOOKUP(E83,Sheet2!$W$4:$Z$49,4,0)=0,"",VLOOKUP(E83,Sheet2!$W$4:$Z$49,4,0))</f>
        <v>[{50014,6}]</v>
      </c>
      <c r="R83" s="8">
        <v>35</v>
      </c>
      <c r="S83" s="14">
        <v>2</v>
      </c>
    </row>
    <row r="84" spans="1:19">
      <c r="A84" s="6">
        <f t="shared" si="2"/>
        <v>1621</v>
      </c>
      <c r="B84" s="6">
        <v>16</v>
      </c>
      <c r="C84" s="6">
        <v>4</v>
      </c>
      <c r="D84" s="6" t="s">
        <v>206</v>
      </c>
      <c r="E84" s="6">
        <v>514</v>
      </c>
      <c r="G84" s="6" t="s">
        <v>207</v>
      </c>
      <c r="H84" s="6">
        <f t="shared" si="3"/>
        <v>2</v>
      </c>
      <c r="I84" s="6" t="str">
        <f>IF(VLOOKUP(E84,Sheet2!$W$4:$AA$49,5,0)=0,"",VLOOKUP(E84,Sheet2!$W$4:$AA$49,5,0))</f>
        <v/>
      </c>
      <c r="J84" s="6">
        <v>0</v>
      </c>
      <c r="K84" s="6">
        <v>0</v>
      </c>
      <c r="L84" s="6" t="str">
        <f>IF(VLOOKUP(E84,Sheet2!$W$4:$X$49,2,0)=0,"",VLOOKUP(E84,Sheet2!$W$4:$X$49,2,0))</f>
        <v/>
      </c>
      <c r="N84" s="6" t="str">
        <f>IF(VLOOKUP(E84,Sheet2!$W$4:$Y$49,3,0)=0,"",VLOOKUP(E84,Sheet2!$W$4:$Y$49,3,0))</f>
        <v/>
      </c>
      <c r="Q84" s="6" t="str">
        <f>IF(VLOOKUP(E84,Sheet2!$W$4:$Z$49,4,0)=0,"",VLOOKUP(E84,Sheet2!$W$4:$Z$49,4,0))</f>
        <v/>
      </c>
      <c r="R84" s="8">
        <v>200</v>
      </c>
      <c r="S84" s="14">
        <v>2</v>
      </c>
    </row>
    <row r="85" spans="1:19">
      <c r="A85" s="6">
        <f t="shared" si="2"/>
        <v>1631</v>
      </c>
      <c r="B85" s="6">
        <v>16</v>
      </c>
      <c r="C85" s="6">
        <v>5</v>
      </c>
      <c r="D85" s="6" t="s">
        <v>208</v>
      </c>
      <c r="E85" s="6">
        <v>514</v>
      </c>
      <c r="G85" s="6" t="s">
        <v>209</v>
      </c>
      <c r="H85" s="6">
        <f t="shared" si="3"/>
        <v>2</v>
      </c>
      <c r="I85" s="6" t="str">
        <f>IF(VLOOKUP(E85,Sheet2!$W$4:$AA$49,5,0)=0,"",VLOOKUP(E85,Sheet2!$W$4:$AA$49,5,0))</f>
        <v/>
      </c>
      <c r="J85" s="6">
        <v>0</v>
      </c>
      <c r="K85" s="6">
        <v>0</v>
      </c>
      <c r="L85" s="6" t="str">
        <f>IF(VLOOKUP(E85,Sheet2!$W$4:$X$49,2,0)=0,"",VLOOKUP(E85,Sheet2!$W$4:$X$49,2,0))</f>
        <v/>
      </c>
      <c r="N85" s="6" t="str">
        <f>IF(VLOOKUP(E85,Sheet2!$W$4:$Y$49,3,0)=0,"",VLOOKUP(E85,Sheet2!$W$4:$Y$49,3,0))</f>
        <v/>
      </c>
      <c r="Q85" s="6" t="str">
        <f>IF(VLOOKUP(E85,Sheet2!$W$4:$Z$49,4,0)=0,"",VLOOKUP(E85,Sheet2!$W$4:$Z$49,4,0))</f>
        <v/>
      </c>
      <c r="R85" s="8">
        <v>200</v>
      </c>
      <c r="S85" s="14">
        <v>2</v>
      </c>
    </row>
    <row r="86" spans="1:19">
      <c r="A86" s="6">
        <f t="shared" si="2"/>
        <v>1701</v>
      </c>
      <c r="B86" s="6">
        <v>17</v>
      </c>
      <c r="C86" s="6">
        <v>1</v>
      </c>
      <c r="D86" s="6" t="s">
        <v>210</v>
      </c>
      <c r="E86" s="6">
        <v>100</v>
      </c>
      <c r="G86" s="6" t="s">
        <v>211</v>
      </c>
      <c r="H86" s="6">
        <f t="shared" si="3"/>
        <v>0</v>
      </c>
      <c r="I86" s="6" t="str">
        <f>IF(VLOOKUP(E86,Sheet2!$W$4:$AA$49,5,0)=0,"",VLOOKUP(E86,Sheet2!$W$4:$AA$49,5,0))</f>
        <v>[60002]</v>
      </c>
      <c r="J86" s="6">
        <v>0</v>
      </c>
      <c r="K86" s="6">
        <v>0</v>
      </c>
      <c r="L86" s="6" t="str">
        <f>IF(VLOOKUP(E86,Sheet2!$W$4:$X$49,2,0)=0,"",VLOOKUP(E86,Sheet2!$W$4:$X$49,2,0))</f>
        <v/>
      </c>
      <c r="N86" s="6">
        <f>IF(VLOOKUP(E86,Sheet2!$W$4:$Y$49,3,0)=0,"",VLOOKUP(E86,Sheet2!$W$4:$Y$49,3,0))</f>
        <v>2001</v>
      </c>
      <c r="Q86" s="6" t="str">
        <f>IF(VLOOKUP(E86,Sheet2!$W$4:$Z$49,4,0)=0,"",VLOOKUP(E86,Sheet2!$W$4:$Z$49,4,0))</f>
        <v/>
      </c>
      <c r="R86" s="8">
        <v>35</v>
      </c>
      <c r="S86" s="14">
        <v>2</v>
      </c>
    </row>
    <row r="87" spans="1:19">
      <c r="A87" s="6">
        <f t="shared" si="2"/>
        <v>1702</v>
      </c>
      <c r="B87" s="6">
        <v>17</v>
      </c>
      <c r="C87" s="6">
        <v>2</v>
      </c>
      <c r="D87" s="6" t="s">
        <v>212</v>
      </c>
      <c r="E87" s="6">
        <v>102</v>
      </c>
      <c r="G87" s="6" t="s">
        <v>213</v>
      </c>
      <c r="H87" s="6">
        <f t="shared" si="3"/>
        <v>0</v>
      </c>
      <c r="I87" s="6" t="str">
        <f>IF(VLOOKUP(E87,Sheet2!$W$4:$AA$49,5,0)=0,"",VLOOKUP(E87,Sheet2!$W$4:$AA$49,5,0))</f>
        <v/>
      </c>
      <c r="J87" s="6">
        <v>0</v>
      </c>
      <c r="K87" s="6">
        <v>0</v>
      </c>
      <c r="L87" s="6">
        <f>IF(VLOOKUP(E87,Sheet2!$W$4:$X$49,2,0)=0,"",VLOOKUP(E87,Sheet2!$W$4:$X$49,2,0))</f>
        <v>1</v>
      </c>
      <c r="N87" s="6" t="str">
        <f>IF(VLOOKUP(E87,Sheet2!$W$4:$Y$49,3,0)=0,"",VLOOKUP(E87,Sheet2!$W$4:$Y$49,3,0))</f>
        <v/>
      </c>
      <c r="Q87" s="6" t="str">
        <f>IF(VLOOKUP(E87,Sheet2!$W$4:$Z$49,4,0)=0,"",VLOOKUP(E87,Sheet2!$W$4:$Z$49,4,0))</f>
        <v>[{50011,6}]</v>
      </c>
      <c r="R87" s="8">
        <v>35</v>
      </c>
      <c r="S87" s="14">
        <v>2</v>
      </c>
    </row>
    <row r="88" spans="1:19">
      <c r="A88" s="6">
        <f t="shared" si="2"/>
        <v>1703</v>
      </c>
      <c r="B88" s="6">
        <v>17</v>
      </c>
      <c r="C88" s="6">
        <v>3</v>
      </c>
      <c r="D88" s="6" t="s">
        <v>214</v>
      </c>
      <c r="E88" s="6">
        <v>105</v>
      </c>
      <c r="G88" s="6" t="s">
        <v>215</v>
      </c>
      <c r="H88" s="6">
        <v>0</v>
      </c>
      <c r="I88" s="6" t="str">
        <f>IF(VLOOKUP(E88,Sheet2!$W$4:$AA$49,5,0)=0,"",VLOOKUP(E88,Sheet2!$W$4:$AA$49,5,0))</f>
        <v>[60003]</v>
      </c>
      <c r="J88" s="6">
        <v>0</v>
      </c>
      <c r="K88" s="6">
        <v>0</v>
      </c>
      <c r="L88" s="6" t="str">
        <f>IF(VLOOKUP(E88,Sheet2!$W$4:$X$49,2,0)=0,"",VLOOKUP(E88,Sheet2!$W$4:$X$49,2,0))</f>
        <v/>
      </c>
      <c r="N88" s="6" t="str">
        <f>IF(VLOOKUP(E88,Sheet2!$W$4:$Y$49,3,0)=0,"",VLOOKUP(E88,Sheet2!$W$4:$Y$49,3,0))</f>
        <v/>
      </c>
      <c r="Q88" s="6" t="str">
        <f>IF(VLOOKUP(E88,Sheet2!$W$4:$Z$49,4,0)=0,"",VLOOKUP(E88,Sheet2!$W$4:$Z$49,4,0))</f>
        <v/>
      </c>
      <c r="R88" s="8">
        <v>35</v>
      </c>
      <c r="S88" s="14">
        <v>2</v>
      </c>
    </row>
    <row r="89" spans="1:19">
      <c r="A89" s="6">
        <f t="shared" si="2"/>
        <v>1721</v>
      </c>
      <c r="B89" s="6">
        <v>17</v>
      </c>
      <c r="C89" s="6">
        <v>4</v>
      </c>
      <c r="D89" s="6" t="s">
        <v>216</v>
      </c>
      <c r="E89" s="6">
        <v>502</v>
      </c>
      <c r="G89" s="6" t="s">
        <v>217</v>
      </c>
      <c r="H89" s="6">
        <f t="shared" si="3"/>
        <v>2</v>
      </c>
      <c r="I89" s="6" t="str">
        <f>IF(VLOOKUP(E89,Sheet2!$W$4:$AA$49,5,0)=0,"",VLOOKUP(E89,Sheet2!$W$4:$AA$49,5,0))</f>
        <v/>
      </c>
      <c r="J89" s="6">
        <v>0</v>
      </c>
      <c r="K89" s="6">
        <v>0</v>
      </c>
      <c r="L89" s="6">
        <f>IF(VLOOKUP(E89,Sheet2!$W$4:$X$49,2,0)=0,"",VLOOKUP(E89,Sheet2!$W$4:$X$49,2,0))</f>
        <v>1</v>
      </c>
      <c r="N89" s="6" t="str">
        <f>IF(VLOOKUP(E89,Sheet2!$W$4:$Y$49,3,0)=0,"",VLOOKUP(E89,Sheet2!$W$4:$Y$49,3,0))</f>
        <v/>
      </c>
      <c r="Q89" s="6" t="str">
        <f>IF(VLOOKUP(E89,Sheet2!$W$4:$Z$49,4,0)=0,"",VLOOKUP(E89,Sheet2!$W$4:$Z$49,4,0))</f>
        <v>[{50021,6}]</v>
      </c>
      <c r="R89" s="8">
        <v>150</v>
      </c>
      <c r="S89" s="14">
        <v>2</v>
      </c>
    </row>
    <row r="90" spans="1:19">
      <c r="A90" s="6">
        <f t="shared" si="2"/>
        <v>1731</v>
      </c>
      <c r="B90" s="6">
        <v>17</v>
      </c>
      <c r="C90" s="6">
        <v>5</v>
      </c>
      <c r="D90" s="6" t="s">
        <v>218</v>
      </c>
      <c r="E90" s="6">
        <v>502</v>
      </c>
      <c r="G90" s="6" t="s">
        <v>219</v>
      </c>
      <c r="H90" s="6">
        <f t="shared" si="3"/>
        <v>2</v>
      </c>
      <c r="I90" s="6" t="str">
        <f>IF(VLOOKUP(E90,Sheet2!$W$4:$AA$49,5,0)=0,"",VLOOKUP(E90,Sheet2!$W$4:$AA$49,5,0))</f>
        <v/>
      </c>
      <c r="J90" s="6">
        <v>0</v>
      </c>
      <c r="K90" s="6">
        <v>0</v>
      </c>
      <c r="L90" s="6">
        <f>IF(VLOOKUP(E90,Sheet2!$W$4:$X$49,2,0)=0,"",VLOOKUP(E90,Sheet2!$W$4:$X$49,2,0))</f>
        <v>1</v>
      </c>
      <c r="N90" s="6" t="str">
        <f>IF(VLOOKUP(E90,Sheet2!$W$4:$Y$49,3,0)=0,"",VLOOKUP(E90,Sheet2!$W$4:$Y$49,3,0))</f>
        <v/>
      </c>
      <c r="Q90" s="6" t="str">
        <f>IF(VLOOKUP(E90,Sheet2!$W$4:$Z$49,4,0)=0,"",VLOOKUP(E90,Sheet2!$W$4:$Z$49,4,0))</f>
        <v>[{50021,6}]</v>
      </c>
      <c r="R90" s="8">
        <v>150</v>
      </c>
      <c r="S90" s="14">
        <v>2</v>
      </c>
    </row>
    <row r="91" spans="1:19">
      <c r="A91" s="6">
        <f t="shared" si="2"/>
        <v>1801</v>
      </c>
      <c r="B91" s="6">
        <v>18</v>
      </c>
      <c r="C91" s="6">
        <v>1</v>
      </c>
      <c r="D91" s="6" t="s">
        <v>220</v>
      </c>
      <c r="E91" s="6">
        <v>100</v>
      </c>
      <c r="G91" s="6" t="s">
        <v>221</v>
      </c>
      <c r="H91" s="6">
        <f t="shared" si="3"/>
        <v>0</v>
      </c>
      <c r="I91" s="6" t="str">
        <f>IF(VLOOKUP(E91,Sheet2!$W$4:$AA$49,5,0)=0,"",VLOOKUP(E91,Sheet2!$W$4:$AA$49,5,0))</f>
        <v>[60002]</v>
      </c>
      <c r="J91" s="6">
        <v>0</v>
      </c>
      <c r="K91" s="6">
        <v>0</v>
      </c>
      <c r="L91" s="6" t="str">
        <f>IF(VLOOKUP(E91,Sheet2!$W$4:$X$49,2,0)=0,"",VLOOKUP(E91,Sheet2!$W$4:$X$49,2,0))</f>
        <v/>
      </c>
      <c r="N91" s="6">
        <f>IF(VLOOKUP(E91,Sheet2!$W$4:$Y$49,3,0)=0,"",VLOOKUP(E91,Sheet2!$W$4:$Y$49,3,0))</f>
        <v>2001</v>
      </c>
      <c r="Q91" s="6" t="str">
        <f>IF(VLOOKUP(E91,Sheet2!$W$4:$Z$49,4,0)=0,"",VLOOKUP(E91,Sheet2!$W$4:$Z$49,4,0))</f>
        <v/>
      </c>
      <c r="R91" s="8">
        <v>40</v>
      </c>
      <c r="S91" s="14">
        <v>2</v>
      </c>
    </row>
    <row r="92" spans="1:19">
      <c r="A92" s="6">
        <f t="shared" si="2"/>
        <v>1802</v>
      </c>
      <c r="B92" s="6">
        <v>18</v>
      </c>
      <c r="C92" s="6">
        <v>2</v>
      </c>
      <c r="D92" s="6" t="s">
        <v>222</v>
      </c>
      <c r="E92" s="6">
        <v>105</v>
      </c>
      <c r="G92" s="6" t="s">
        <v>223</v>
      </c>
      <c r="H92" s="6">
        <f t="shared" si="3"/>
        <v>0</v>
      </c>
      <c r="I92" s="6" t="str">
        <f>IF(VLOOKUP(E92,Sheet2!$W$4:$AA$49,5,0)=0,"",VLOOKUP(E92,Sheet2!$W$4:$AA$49,5,0))</f>
        <v>[60003]</v>
      </c>
      <c r="J92" s="6">
        <v>0</v>
      </c>
      <c r="K92" s="6">
        <v>0</v>
      </c>
      <c r="L92" s="6" t="str">
        <f>IF(VLOOKUP(E92,Sheet2!$W$4:$X$49,2,0)=0,"",VLOOKUP(E92,Sheet2!$W$4:$X$49,2,0))</f>
        <v/>
      </c>
      <c r="N92" s="6" t="str">
        <f>IF(VLOOKUP(E92,Sheet2!$W$4:$Y$49,3,0)=0,"",VLOOKUP(E92,Sheet2!$W$4:$Y$49,3,0))</f>
        <v/>
      </c>
      <c r="Q92" s="6" t="str">
        <f>IF(VLOOKUP(E92,Sheet2!$W$4:$Z$49,4,0)=0,"",VLOOKUP(E92,Sheet2!$W$4:$Z$49,4,0))</f>
        <v/>
      </c>
      <c r="R92" s="8">
        <v>40</v>
      </c>
      <c r="S92" s="14">
        <v>2</v>
      </c>
    </row>
    <row r="93" spans="1:19">
      <c r="A93" s="6">
        <f t="shared" si="2"/>
        <v>1803</v>
      </c>
      <c r="B93" s="6">
        <v>18</v>
      </c>
      <c r="C93" s="6">
        <v>3</v>
      </c>
      <c r="D93" s="6" t="s">
        <v>224</v>
      </c>
      <c r="E93" s="6">
        <v>102</v>
      </c>
      <c r="G93" s="6" t="s">
        <v>225</v>
      </c>
      <c r="H93" s="6">
        <v>0</v>
      </c>
      <c r="I93" s="6" t="str">
        <f>IF(VLOOKUP(E93,Sheet2!$W$4:$AA$49,5,0)=0,"",VLOOKUP(E93,Sheet2!$W$4:$AA$49,5,0))</f>
        <v/>
      </c>
      <c r="J93" s="6">
        <v>0</v>
      </c>
      <c r="K93" s="6">
        <v>0</v>
      </c>
      <c r="L93" s="6">
        <f>IF(VLOOKUP(E93,Sheet2!$W$4:$X$49,2,0)=0,"",VLOOKUP(E93,Sheet2!$W$4:$X$49,2,0))</f>
        <v>1</v>
      </c>
      <c r="N93" s="6" t="str">
        <f>IF(VLOOKUP(E93,Sheet2!$W$4:$Y$49,3,0)=0,"",VLOOKUP(E93,Sheet2!$W$4:$Y$49,3,0))</f>
        <v/>
      </c>
      <c r="Q93" s="6" t="str">
        <f>IF(VLOOKUP(E93,Sheet2!$W$4:$Z$49,4,0)=0,"",VLOOKUP(E93,Sheet2!$W$4:$Z$49,4,0))</f>
        <v>[{50011,6}]</v>
      </c>
      <c r="R93" s="8">
        <v>40</v>
      </c>
      <c r="S93" s="14">
        <v>2</v>
      </c>
    </row>
    <row r="94" spans="1:19">
      <c r="A94" s="6">
        <f t="shared" si="2"/>
        <v>1821</v>
      </c>
      <c r="B94" s="6">
        <v>18</v>
      </c>
      <c r="C94" s="6">
        <v>4</v>
      </c>
      <c r="D94" s="6" t="s">
        <v>226</v>
      </c>
      <c r="E94" s="6">
        <v>502</v>
      </c>
      <c r="G94" s="6" t="s">
        <v>227</v>
      </c>
      <c r="H94" s="6">
        <f t="shared" si="3"/>
        <v>2</v>
      </c>
      <c r="I94" s="6" t="str">
        <f>IF(VLOOKUP(E94,Sheet2!$W$4:$AA$49,5,0)=0,"",VLOOKUP(E94,Sheet2!$W$4:$AA$49,5,0))</f>
        <v/>
      </c>
      <c r="J94" s="6">
        <v>0</v>
      </c>
      <c r="K94" s="6">
        <v>0</v>
      </c>
      <c r="L94" s="6">
        <f>IF(VLOOKUP(E94,Sheet2!$W$4:$X$49,2,0)=0,"",VLOOKUP(E94,Sheet2!$W$4:$X$49,2,0))</f>
        <v>1</v>
      </c>
      <c r="N94" s="6" t="str">
        <f>IF(VLOOKUP(E94,Sheet2!$W$4:$Y$49,3,0)=0,"",VLOOKUP(E94,Sheet2!$W$4:$Y$49,3,0))</f>
        <v/>
      </c>
      <c r="Q94" s="6" t="str">
        <f>IF(VLOOKUP(E94,Sheet2!$W$4:$Z$49,4,0)=0,"",VLOOKUP(E94,Sheet2!$W$4:$Z$49,4,0))</f>
        <v>[{50021,6}]</v>
      </c>
      <c r="R94" s="8">
        <v>100</v>
      </c>
      <c r="S94" s="14">
        <v>2</v>
      </c>
    </row>
    <row r="95" spans="1:19">
      <c r="A95" s="6">
        <f t="shared" si="2"/>
        <v>1831</v>
      </c>
      <c r="B95" s="6">
        <v>18</v>
      </c>
      <c r="C95" s="6">
        <v>5</v>
      </c>
      <c r="D95" s="6" t="s">
        <v>228</v>
      </c>
      <c r="E95" s="6">
        <v>502</v>
      </c>
      <c r="G95" s="6" t="s">
        <v>229</v>
      </c>
      <c r="H95" s="6">
        <f t="shared" si="3"/>
        <v>2</v>
      </c>
      <c r="I95" s="6" t="str">
        <f>IF(VLOOKUP(E95,Sheet2!$W$4:$AA$49,5,0)=0,"",VLOOKUP(E95,Sheet2!$W$4:$AA$49,5,0))</f>
        <v/>
      </c>
      <c r="J95" s="6">
        <v>0</v>
      </c>
      <c r="K95" s="6">
        <v>0</v>
      </c>
      <c r="L95" s="6">
        <f>IF(VLOOKUP(E95,Sheet2!$W$4:$X$49,2,0)=0,"",VLOOKUP(E95,Sheet2!$W$4:$X$49,2,0))</f>
        <v>1</v>
      </c>
      <c r="N95" s="6" t="str">
        <f>IF(VLOOKUP(E95,Sheet2!$W$4:$Y$49,3,0)=0,"",VLOOKUP(E95,Sheet2!$W$4:$Y$49,3,0))</f>
        <v/>
      </c>
      <c r="Q95" s="6" t="str">
        <f>IF(VLOOKUP(E95,Sheet2!$W$4:$Z$49,4,0)=0,"",VLOOKUP(E95,Sheet2!$W$4:$Z$49,4,0))</f>
        <v>[{50021,6}]</v>
      </c>
      <c r="R95" s="8">
        <v>100</v>
      </c>
      <c r="S95" s="14">
        <v>2</v>
      </c>
    </row>
    <row r="96" spans="1:19">
      <c r="A96" s="6">
        <f t="shared" si="2"/>
        <v>1901</v>
      </c>
      <c r="B96" s="6">
        <v>19</v>
      </c>
      <c r="C96" s="6">
        <v>1</v>
      </c>
      <c r="D96" s="6" t="s">
        <v>230</v>
      </c>
      <c r="E96" s="6">
        <v>104</v>
      </c>
      <c r="G96" s="6" t="s">
        <v>231</v>
      </c>
      <c r="H96" s="6">
        <f t="shared" si="3"/>
        <v>0</v>
      </c>
      <c r="I96" s="6" t="str">
        <f>IF(VLOOKUP(E96,Sheet2!$W$4:$AA$49,5,0)=0,"",VLOOKUP(E96,Sheet2!$W$4:$AA$49,5,0))</f>
        <v/>
      </c>
      <c r="J96" s="6">
        <v>0</v>
      </c>
      <c r="K96" s="6">
        <v>0</v>
      </c>
      <c r="L96" s="6" t="str">
        <f>IF(VLOOKUP(E96,Sheet2!$W$4:$X$49,2,0)=0,"",VLOOKUP(E96,Sheet2!$W$4:$X$49,2,0))</f>
        <v/>
      </c>
      <c r="N96" s="6" t="str">
        <f>IF(VLOOKUP(E96,Sheet2!$W$4:$Y$49,3,0)=0,"",VLOOKUP(E96,Sheet2!$W$4:$Y$49,3,0))</f>
        <v/>
      </c>
      <c r="Q96" s="6" t="str">
        <f>IF(VLOOKUP(E96,Sheet2!$W$4:$Z$49,4,0)=0,"",VLOOKUP(E96,Sheet2!$W$4:$Z$49,4,0))</f>
        <v/>
      </c>
      <c r="R96" s="8">
        <v>35</v>
      </c>
      <c r="S96" s="14">
        <v>2</v>
      </c>
    </row>
    <row r="97" spans="1:19">
      <c r="A97" s="6">
        <f t="shared" si="2"/>
        <v>1902</v>
      </c>
      <c r="B97" s="6">
        <v>19</v>
      </c>
      <c r="C97" s="6">
        <v>2</v>
      </c>
      <c r="D97" s="6" t="s">
        <v>232</v>
      </c>
      <c r="E97" s="6">
        <v>106</v>
      </c>
      <c r="G97" s="6" t="s">
        <v>233</v>
      </c>
      <c r="H97" s="6">
        <f t="shared" si="3"/>
        <v>0</v>
      </c>
      <c r="I97" s="6" t="str">
        <f>IF(VLOOKUP(E97,Sheet2!$W$4:$AA$49,5,0)=0,"",VLOOKUP(E97,Sheet2!$W$4:$AA$49,5,0))</f>
        <v>[60002]</v>
      </c>
      <c r="J97" s="6">
        <v>0</v>
      </c>
      <c r="K97" s="6">
        <v>0</v>
      </c>
      <c r="L97" s="6">
        <f>IF(VLOOKUP(E97,Sheet2!$W$4:$X$49,2,0)=0,"",VLOOKUP(E97,Sheet2!$W$4:$X$49,2,0))</f>
        <v>1</v>
      </c>
      <c r="N97" s="6">
        <f>IF(VLOOKUP(E97,Sheet2!$W$4:$Y$49,3,0)=0,"",VLOOKUP(E97,Sheet2!$W$4:$Y$49,3,0))</f>
        <v>2002</v>
      </c>
      <c r="Q97" s="6" t="str">
        <f>IF(VLOOKUP(E97,Sheet2!$W$4:$Z$49,4,0)=0,"",VLOOKUP(E97,Sheet2!$W$4:$Z$49,4,0))</f>
        <v>[{50012,6}]</v>
      </c>
      <c r="R97" s="8">
        <v>35</v>
      </c>
      <c r="S97" s="14">
        <v>2</v>
      </c>
    </row>
    <row r="98" spans="1:19">
      <c r="A98" s="6">
        <f t="shared" si="2"/>
        <v>1903</v>
      </c>
      <c r="B98" s="6">
        <v>19</v>
      </c>
      <c r="C98" s="6">
        <v>3</v>
      </c>
      <c r="D98" s="6" t="s">
        <v>234</v>
      </c>
      <c r="E98" s="6">
        <v>107</v>
      </c>
      <c r="G98" s="6" t="s">
        <v>235</v>
      </c>
      <c r="H98" s="6">
        <v>0</v>
      </c>
      <c r="I98" s="6" t="str">
        <f>IF(VLOOKUP(E98,Sheet2!$W$4:$AA$49,5,0)=0,"",VLOOKUP(E98,Sheet2!$W$4:$AA$49,5,0))</f>
        <v>[60004]</v>
      </c>
      <c r="J98" s="6">
        <v>0</v>
      </c>
      <c r="K98" s="6">
        <v>0</v>
      </c>
      <c r="L98" s="6">
        <f>IF(VLOOKUP(E98,Sheet2!$W$4:$X$49,2,0)=0,"",VLOOKUP(E98,Sheet2!$W$4:$X$49,2,0))</f>
        <v>1</v>
      </c>
      <c r="N98" s="6" t="str">
        <f>IF(VLOOKUP(E98,Sheet2!$W$4:$Y$49,3,0)=0,"",VLOOKUP(E98,Sheet2!$W$4:$Y$49,3,0))</f>
        <v/>
      </c>
      <c r="Q98" s="6" t="str">
        <f>IF(VLOOKUP(E98,Sheet2!$W$4:$Z$49,4,0)=0,"",VLOOKUP(E98,Sheet2!$W$4:$Z$49,4,0))</f>
        <v>[{50013,6}]</v>
      </c>
      <c r="R98" s="8">
        <v>35</v>
      </c>
      <c r="S98" s="14">
        <v>2</v>
      </c>
    </row>
    <row r="99" spans="1:19">
      <c r="A99" s="6">
        <f t="shared" si="2"/>
        <v>1921</v>
      </c>
      <c r="B99" s="6">
        <v>19</v>
      </c>
      <c r="C99" s="6">
        <v>4</v>
      </c>
      <c r="D99" s="6" t="s">
        <v>236</v>
      </c>
      <c r="E99" s="6">
        <v>503</v>
      </c>
      <c r="G99" s="6" t="s">
        <v>237</v>
      </c>
      <c r="H99" s="6">
        <f t="shared" si="3"/>
        <v>2</v>
      </c>
      <c r="I99" s="6" t="str">
        <f>IF(VLOOKUP(E99,Sheet2!$W$4:$AA$49,5,0)=0,"",VLOOKUP(E99,Sheet2!$W$4:$AA$49,5,0))</f>
        <v>[60001]</v>
      </c>
      <c r="J99" s="6">
        <v>0</v>
      </c>
      <c r="K99" s="6">
        <v>0</v>
      </c>
      <c r="L99" s="6" t="str">
        <f>IF(VLOOKUP(E99,Sheet2!$W$4:$X$49,2,0)=0,"",VLOOKUP(E99,Sheet2!$W$4:$X$49,2,0))</f>
        <v/>
      </c>
      <c r="N99" s="6" t="str">
        <f>IF(VLOOKUP(E99,Sheet2!$W$4:$Y$49,3,0)=0,"",VLOOKUP(E99,Sheet2!$W$4:$Y$49,3,0))</f>
        <v/>
      </c>
      <c r="Q99" s="6" t="str">
        <f>IF(VLOOKUP(E99,Sheet2!$W$4:$Z$49,4,0)=0,"",VLOOKUP(E99,Sheet2!$W$4:$Z$49,4,0))</f>
        <v/>
      </c>
      <c r="R99" s="8">
        <v>100</v>
      </c>
      <c r="S99" s="14">
        <v>2</v>
      </c>
    </row>
    <row r="100" spans="1:19">
      <c r="A100" s="6">
        <f t="shared" si="2"/>
        <v>1931</v>
      </c>
      <c r="B100" s="6">
        <v>19</v>
      </c>
      <c r="C100" s="6">
        <v>5</v>
      </c>
      <c r="D100" s="6" t="s">
        <v>238</v>
      </c>
      <c r="E100" s="6">
        <v>503</v>
      </c>
      <c r="G100" s="6" t="s">
        <v>239</v>
      </c>
      <c r="H100" s="6">
        <f t="shared" si="3"/>
        <v>2</v>
      </c>
      <c r="I100" s="6" t="str">
        <f>IF(VLOOKUP(E100,Sheet2!$W$4:$AA$49,5,0)=0,"",VLOOKUP(E100,Sheet2!$W$4:$AA$49,5,0))</f>
        <v>[60001]</v>
      </c>
      <c r="J100" s="6">
        <v>0</v>
      </c>
      <c r="K100" s="6">
        <v>0</v>
      </c>
      <c r="L100" s="6" t="str">
        <f>IF(VLOOKUP(E100,Sheet2!$W$4:$X$49,2,0)=0,"",VLOOKUP(E100,Sheet2!$W$4:$X$49,2,0))</f>
        <v/>
      </c>
      <c r="N100" s="6" t="str">
        <f>IF(VLOOKUP(E100,Sheet2!$W$4:$Y$49,3,0)=0,"",VLOOKUP(E100,Sheet2!$W$4:$Y$49,3,0))</f>
        <v/>
      </c>
      <c r="Q100" s="6" t="str">
        <f>IF(VLOOKUP(E100,Sheet2!$W$4:$Z$49,4,0)=0,"",VLOOKUP(E100,Sheet2!$W$4:$Z$49,4,0))</f>
        <v/>
      </c>
      <c r="R100" s="8">
        <v>100</v>
      </c>
      <c r="S100" s="14">
        <v>2</v>
      </c>
    </row>
    <row r="101" spans="1:19">
      <c r="A101" s="6">
        <f t="shared" si="2"/>
        <v>2001</v>
      </c>
      <c r="B101" s="6">
        <v>20</v>
      </c>
      <c r="C101" s="6">
        <v>1</v>
      </c>
      <c r="D101" s="6" t="s">
        <v>240</v>
      </c>
      <c r="E101" s="6">
        <v>103</v>
      </c>
      <c r="G101" s="6" t="s">
        <v>241</v>
      </c>
      <c r="H101" s="6">
        <f t="shared" si="3"/>
        <v>0</v>
      </c>
      <c r="I101" s="6" t="str">
        <f>IF(VLOOKUP(E101,Sheet2!$W$4:$AA$49,5,0)=0,"",VLOOKUP(E101,Sheet2!$W$4:$AA$49,5,0))</f>
        <v>[60001]</v>
      </c>
      <c r="J101" s="6">
        <v>0</v>
      </c>
      <c r="K101" s="6">
        <v>0</v>
      </c>
      <c r="L101" s="6" t="str">
        <f>IF(VLOOKUP(E101,Sheet2!$W$4:$X$49,2,0)=0,"",VLOOKUP(E101,Sheet2!$W$4:$X$49,2,0))</f>
        <v/>
      </c>
      <c r="N101" s="6" t="str">
        <f>IF(VLOOKUP(E101,Sheet2!$W$4:$Y$49,3,0)=0,"",VLOOKUP(E101,Sheet2!$W$4:$Y$49,3,0))</f>
        <v/>
      </c>
      <c r="Q101" s="6" t="str">
        <f>IF(VLOOKUP(E101,Sheet2!$W$4:$Z$49,4,0)=0,"",VLOOKUP(E101,Sheet2!$W$4:$Z$49,4,0))</f>
        <v/>
      </c>
      <c r="R101" s="8">
        <v>35</v>
      </c>
      <c r="S101" s="14">
        <v>2</v>
      </c>
    </row>
    <row r="102" spans="1:19">
      <c r="A102" s="6">
        <f t="shared" si="2"/>
        <v>2002</v>
      </c>
      <c r="B102" s="6">
        <v>20</v>
      </c>
      <c r="C102" s="6">
        <v>2</v>
      </c>
      <c r="D102" s="6" t="s">
        <v>242</v>
      </c>
      <c r="E102" s="6">
        <v>107</v>
      </c>
      <c r="G102" s="6" t="s">
        <v>243</v>
      </c>
      <c r="H102" s="6">
        <f t="shared" si="3"/>
        <v>0</v>
      </c>
      <c r="I102" s="6" t="str">
        <f>IF(VLOOKUP(E102,Sheet2!$W$4:$AA$49,5,0)=0,"",VLOOKUP(E102,Sheet2!$W$4:$AA$49,5,0))</f>
        <v>[60004]</v>
      </c>
      <c r="J102" s="6">
        <v>0</v>
      </c>
      <c r="K102" s="6">
        <v>0</v>
      </c>
      <c r="L102" s="6">
        <f>IF(VLOOKUP(E102,Sheet2!$W$4:$X$49,2,0)=0,"",VLOOKUP(E102,Sheet2!$W$4:$X$49,2,0))</f>
        <v>1</v>
      </c>
      <c r="N102" s="6" t="str">
        <f>IF(VLOOKUP(E102,Sheet2!$W$4:$Y$49,3,0)=0,"",VLOOKUP(E102,Sheet2!$W$4:$Y$49,3,0))</f>
        <v/>
      </c>
      <c r="Q102" s="6" t="str">
        <f>IF(VLOOKUP(E102,Sheet2!$W$4:$Z$49,4,0)=0,"",VLOOKUP(E102,Sheet2!$W$4:$Z$49,4,0))</f>
        <v>[{50013,6}]</v>
      </c>
      <c r="R102" s="8">
        <v>35</v>
      </c>
      <c r="S102" s="14">
        <v>2</v>
      </c>
    </row>
    <row r="103" spans="1:19">
      <c r="A103" s="6">
        <f t="shared" si="2"/>
        <v>2003</v>
      </c>
      <c r="B103" s="6">
        <v>20</v>
      </c>
      <c r="C103" s="6">
        <v>3</v>
      </c>
      <c r="D103" s="6" t="s">
        <v>244</v>
      </c>
      <c r="E103" s="6">
        <v>106</v>
      </c>
      <c r="G103" s="6" t="s">
        <v>245</v>
      </c>
      <c r="H103" s="6">
        <v>0</v>
      </c>
      <c r="I103" s="6" t="str">
        <f>IF(VLOOKUP(E103,Sheet2!$W$4:$AA$49,5,0)=0,"",VLOOKUP(E103,Sheet2!$W$4:$AA$49,5,0))</f>
        <v>[60002]</v>
      </c>
      <c r="J103" s="6">
        <v>0</v>
      </c>
      <c r="K103" s="6">
        <v>0</v>
      </c>
      <c r="L103" s="6">
        <f>IF(VLOOKUP(E103,Sheet2!$W$4:$X$49,2,0)=0,"",VLOOKUP(E103,Sheet2!$W$4:$X$49,2,0))</f>
        <v>1</v>
      </c>
      <c r="N103" s="6">
        <f>IF(VLOOKUP(E103,Sheet2!$W$4:$Y$49,3,0)=0,"",VLOOKUP(E103,Sheet2!$W$4:$Y$49,3,0))</f>
        <v>2002</v>
      </c>
      <c r="Q103" s="6" t="str">
        <f>IF(VLOOKUP(E103,Sheet2!$W$4:$Z$49,4,0)=0,"",VLOOKUP(E103,Sheet2!$W$4:$Z$49,4,0))</f>
        <v>[{50012,6}]</v>
      </c>
      <c r="R103" s="8">
        <v>35</v>
      </c>
      <c r="S103" s="14">
        <v>2</v>
      </c>
    </row>
    <row r="104" spans="1:19">
      <c r="A104" s="6">
        <f t="shared" si="2"/>
        <v>2021</v>
      </c>
      <c r="B104" s="6">
        <v>20</v>
      </c>
      <c r="C104" s="6">
        <v>4</v>
      </c>
      <c r="D104" s="6" t="s">
        <v>246</v>
      </c>
      <c r="E104" s="6">
        <v>506</v>
      </c>
      <c r="G104" s="6" t="s">
        <v>247</v>
      </c>
      <c r="H104" s="6">
        <f t="shared" si="3"/>
        <v>2</v>
      </c>
      <c r="I104" s="6" t="str">
        <f>IF(VLOOKUP(E104,Sheet2!$W$4:$AA$49,5,0)=0,"",VLOOKUP(E104,Sheet2!$W$4:$AA$49,5,0))</f>
        <v>[60002]</v>
      </c>
      <c r="J104" s="6">
        <v>0</v>
      </c>
      <c r="K104" s="6">
        <v>0</v>
      </c>
      <c r="L104" s="6">
        <f>IF(VLOOKUP(E104,Sheet2!$W$4:$X$49,2,0)=0,"",VLOOKUP(E104,Sheet2!$W$4:$X$49,2,0))</f>
        <v>1</v>
      </c>
      <c r="N104" s="6">
        <f>IF(VLOOKUP(E104,Sheet2!$W$4:$Y$49,3,0)=0,"",VLOOKUP(E104,Sheet2!$W$4:$Y$49,3,0))</f>
        <v>2002</v>
      </c>
      <c r="Q104" s="6" t="str">
        <f>IF(VLOOKUP(E104,Sheet2!$W$4:$Z$49,4,0)=0,"",VLOOKUP(E104,Sheet2!$W$4:$Z$49,4,0))</f>
        <v>[{50022,6}]</v>
      </c>
      <c r="R104" s="8">
        <v>150</v>
      </c>
      <c r="S104" s="14">
        <v>2</v>
      </c>
    </row>
    <row r="105" spans="1:19">
      <c r="A105" s="6">
        <f t="shared" si="2"/>
        <v>2031</v>
      </c>
      <c r="B105" s="6">
        <v>20</v>
      </c>
      <c r="C105" s="6">
        <v>5</v>
      </c>
      <c r="D105" s="6" t="s">
        <v>248</v>
      </c>
      <c r="E105" s="6">
        <v>506</v>
      </c>
      <c r="G105" s="6" t="s">
        <v>249</v>
      </c>
      <c r="H105" s="6">
        <f t="shared" si="3"/>
        <v>2</v>
      </c>
      <c r="I105" s="6" t="str">
        <f>IF(VLOOKUP(E105,Sheet2!$W$4:$AA$49,5,0)=0,"",VLOOKUP(E105,Sheet2!$W$4:$AA$49,5,0))</f>
        <v>[60002]</v>
      </c>
      <c r="J105" s="6">
        <v>0</v>
      </c>
      <c r="K105" s="6">
        <v>0</v>
      </c>
      <c r="L105" s="6">
        <f>IF(VLOOKUP(E105,Sheet2!$W$4:$X$49,2,0)=0,"",VLOOKUP(E105,Sheet2!$W$4:$X$49,2,0))</f>
        <v>1</v>
      </c>
      <c r="N105" s="6">
        <f>IF(VLOOKUP(E105,Sheet2!$W$4:$Y$49,3,0)=0,"",VLOOKUP(E105,Sheet2!$W$4:$Y$49,3,0))</f>
        <v>2002</v>
      </c>
      <c r="Q105" s="6" t="str">
        <f>IF(VLOOKUP(E105,Sheet2!$W$4:$Z$49,4,0)=0,"",VLOOKUP(E105,Sheet2!$W$4:$Z$49,4,0))</f>
        <v>[{50022,6}]</v>
      </c>
      <c r="R105" s="8">
        <v>150</v>
      </c>
      <c r="S105" s="14">
        <v>2</v>
      </c>
    </row>
    <row r="106" spans="1:19">
      <c r="A106" s="6">
        <f t="shared" si="2"/>
        <v>2101</v>
      </c>
      <c r="B106" s="6">
        <v>21</v>
      </c>
      <c r="C106" s="6">
        <v>1</v>
      </c>
      <c r="D106" s="6" t="s">
        <v>250</v>
      </c>
      <c r="E106" s="6">
        <v>108</v>
      </c>
      <c r="G106" s="6" t="s">
        <v>251</v>
      </c>
      <c r="H106" s="6">
        <f t="shared" si="3"/>
        <v>0</v>
      </c>
      <c r="I106" s="6" t="str">
        <f>IF(VLOOKUP(E106,Sheet2!$W$4:$AA$49,5,0)=0,"",VLOOKUP(E106,Sheet2!$W$4:$AA$49,5,0))</f>
        <v/>
      </c>
      <c r="J106" s="6">
        <v>0</v>
      </c>
      <c r="K106" s="6">
        <v>0</v>
      </c>
      <c r="L106" s="6" t="str">
        <f>IF(VLOOKUP(E106,Sheet2!$W$4:$X$49,2,0)=0,"",VLOOKUP(E106,Sheet2!$W$4:$X$49,2,0))</f>
        <v/>
      </c>
      <c r="N106" s="6" t="str">
        <f>IF(VLOOKUP(E106,Sheet2!$W$4:$Y$49,3,0)=0,"",VLOOKUP(E106,Sheet2!$W$4:$Y$49,3,0))</f>
        <v/>
      </c>
      <c r="Q106" s="6" t="str">
        <f>IF(VLOOKUP(E106,Sheet2!$W$4:$Z$49,4,0)=0,"",VLOOKUP(E106,Sheet2!$W$4:$Z$49,4,0))</f>
        <v/>
      </c>
      <c r="R106" s="8">
        <v>35</v>
      </c>
      <c r="S106" s="14">
        <v>2</v>
      </c>
    </row>
    <row r="107" spans="1:19">
      <c r="A107" s="6">
        <f t="shared" si="2"/>
        <v>2102</v>
      </c>
      <c r="B107" s="6">
        <v>21</v>
      </c>
      <c r="C107" s="6">
        <v>2</v>
      </c>
      <c r="D107" s="6" t="s">
        <v>252</v>
      </c>
      <c r="E107" s="6">
        <v>109</v>
      </c>
      <c r="G107" s="6" t="s">
        <v>253</v>
      </c>
      <c r="H107" s="6">
        <f t="shared" si="3"/>
        <v>0</v>
      </c>
      <c r="I107" s="6" t="str">
        <f>IF(VLOOKUP(E107,Sheet2!$W$4:$AA$49,5,0)=0,"",VLOOKUP(E107,Sheet2!$W$4:$AA$49,5,0))</f>
        <v/>
      </c>
      <c r="J107" s="6">
        <v>0</v>
      </c>
      <c r="K107" s="6">
        <v>0</v>
      </c>
      <c r="L107" s="6">
        <f>IF(VLOOKUP(E107,Sheet2!$W$4:$X$49,2,0)=0,"",VLOOKUP(E107,Sheet2!$W$4:$X$49,2,0))</f>
        <v>1</v>
      </c>
      <c r="N107" s="6" t="str">
        <f>IF(VLOOKUP(E107,Sheet2!$W$4:$Y$49,3,0)=0,"",VLOOKUP(E107,Sheet2!$W$4:$Y$49,3,0))</f>
        <v/>
      </c>
      <c r="Q107" s="6" t="str">
        <f>IF(VLOOKUP(E107,Sheet2!$W$4:$Z$49,4,0)=0,"",VLOOKUP(E107,Sheet2!$W$4:$Z$49,4,0))</f>
        <v>[{50014,6}]</v>
      </c>
      <c r="R107" s="8">
        <v>35</v>
      </c>
      <c r="S107" s="14">
        <v>2</v>
      </c>
    </row>
    <row r="108" spans="1:19">
      <c r="A108" s="6">
        <f t="shared" si="2"/>
        <v>2103</v>
      </c>
      <c r="B108" s="6">
        <v>21</v>
      </c>
      <c r="C108" s="6">
        <v>3</v>
      </c>
      <c r="D108" s="6" t="s">
        <v>254</v>
      </c>
      <c r="E108" s="6">
        <v>109</v>
      </c>
      <c r="G108" s="6" t="s">
        <v>255</v>
      </c>
      <c r="H108" s="6">
        <v>0</v>
      </c>
      <c r="I108" s="6" t="str">
        <f>IF(VLOOKUP(E108,Sheet2!$W$4:$AA$49,5,0)=0,"",VLOOKUP(E108,Sheet2!$W$4:$AA$49,5,0))</f>
        <v/>
      </c>
      <c r="J108" s="6">
        <v>0</v>
      </c>
      <c r="K108" s="6">
        <v>0</v>
      </c>
      <c r="L108" s="6">
        <f>IF(VLOOKUP(E108,Sheet2!$W$4:$X$49,2,0)=0,"",VLOOKUP(E108,Sheet2!$W$4:$X$49,2,0))</f>
        <v>1</v>
      </c>
      <c r="N108" s="6" t="str">
        <f>IF(VLOOKUP(E108,Sheet2!$W$4:$Y$49,3,0)=0,"",VLOOKUP(E108,Sheet2!$W$4:$Y$49,3,0))</f>
        <v/>
      </c>
      <c r="Q108" s="6" t="str">
        <f>IF(VLOOKUP(E108,Sheet2!$W$4:$Z$49,4,0)=0,"",VLOOKUP(E108,Sheet2!$W$4:$Z$49,4,0))</f>
        <v>[{50014,6}]</v>
      </c>
      <c r="R108" s="8">
        <v>35</v>
      </c>
      <c r="S108" s="14">
        <v>2</v>
      </c>
    </row>
    <row r="109" spans="1:19">
      <c r="A109" s="6">
        <f t="shared" si="2"/>
        <v>2121</v>
      </c>
      <c r="B109" s="6">
        <v>21</v>
      </c>
      <c r="C109" s="6">
        <v>4</v>
      </c>
      <c r="D109" s="6" t="s">
        <v>256</v>
      </c>
      <c r="E109" s="6">
        <v>508</v>
      </c>
      <c r="G109" s="6" t="s">
        <v>257</v>
      </c>
      <c r="H109" s="6">
        <f t="shared" si="3"/>
        <v>2</v>
      </c>
      <c r="I109" s="6" t="str">
        <f>IF(VLOOKUP(E109,Sheet2!$W$4:$AA$49,5,0)=0,"",VLOOKUP(E109,Sheet2!$W$4:$AA$49,5,0))</f>
        <v/>
      </c>
      <c r="J109" s="6">
        <v>0</v>
      </c>
      <c r="K109" s="6">
        <v>0</v>
      </c>
      <c r="L109" s="6" t="str">
        <f>IF(VLOOKUP(E109,Sheet2!$W$4:$X$49,2,0)=0,"",VLOOKUP(E109,Sheet2!$W$4:$X$49,2,0))</f>
        <v/>
      </c>
      <c r="N109" s="6" t="str">
        <f>IF(VLOOKUP(E109,Sheet2!$W$4:$Y$49,3,0)=0,"",VLOOKUP(E109,Sheet2!$W$4:$Y$49,3,0))</f>
        <v/>
      </c>
      <c r="Q109" s="6" t="str">
        <f>IF(VLOOKUP(E109,Sheet2!$W$4:$Z$49,4,0)=0,"",VLOOKUP(E109,Sheet2!$W$4:$Z$49,4,0))</f>
        <v/>
      </c>
      <c r="R109" s="8">
        <v>150</v>
      </c>
      <c r="S109" s="14">
        <v>2</v>
      </c>
    </row>
    <row r="110" spans="1:19">
      <c r="A110" s="6">
        <f t="shared" si="2"/>
        <v>2131</v>
      </c>
      <c r="B110" s="6">
        <v>21</v>
      </c>
      <c r="C110" s="6">
        <v>5</v>
      </c>
      <c r="D110" s="6" t="s">
        <v>258</v>
      </c>
      <c r="E110" s="6">
        <v>508</v>
      </c>
      <c r="G110" s="6" t="s">
        <v>259</v>
      </c>
      <c r="H110" s="6">
        <f t="shared" si="3"/>
        <v>2</v>
      </c>
      <c r="I110" s="6" t="str">
        <f>IF(VLOOKUP(E110,Sheet2!$W$4:$AA$49,5,0)=0,"",VLOOKUP(E110,Sheet2!$W$4:$AA$49,5,0))</f>
        <v/>
      </c>
      <c r="J110" s="6">
        <v>0</v>
      </c>
      <c r="K110" s="6">
        <v>0</v>
      </c>
      <c r="L110" s="6" t="str">
        <f>IF(VLOOKUP(E110,Sheet2!$W$4:$X$49,2,0)=0,"",VLOOKUP(E110,Sheet2!$W$4:$X$49,2,0))</f>
        <v/>
      </c>
      <c r="N110" s="6" t="str">
        <f>IF(VLOOKUP(E110,Sheet2!$W$4:$Y$49,3,0)=0,"",VLOOKUP(E110,Sheet2!$W$4:$Y$49,3,0))</f>
        <v/>
      </c>
      <c r="Q110" s="6" t="str">
        <f>IF(VLOOKUP(E110,Sheet2!$W$4:$Z$49,4,0)=0,"",VLOOKUP(E110,Sheet2!$W$4:$Z$49,4,0))</f>
        <v/>
      </c>
      <c r="R110" s="8">
        <v>150</v>
      </c>
      <c r="S110" s="14">
        <v>2</v>
      </c>
    </row>
    <row r="111" spans="1:19">
      <c r="A111" s="6">
        <f t="shared" si="2"/>
        <v>2201</v>
      </c>
      <c r="B111" s="6">
        <v>22</v>
      </c>
      <c r="C111" s="6">
        <v>1</v>
      </c>
      <c r="D111" s="6" t="s">
        <v>260</v>
      </c>
      <c r="E111" s="6">
        <v>108</v>
      </c>
      <c r="G111" s="6" t="s">
        <v>261</v>
      </c>
      <c r="H111" s="6">
        <f t="shared" si="3"/>
        <v>0</v>
      </c>
      <c r="I111" s="6" t="str">
        <f>IF(VLOOKUP(E111,Sheet2!$W$4:$AA$49,5,0)=0,"",VLOOKUP(E111,Sheet2!$W$4:$AA$49,5,0))</f>
        <v/>
      </c>
      <c r="J111" s="6">
        <v>0</v>
      </c>
      <c r="K111" s="6">
        <v>0</v>
      </c>
      <c r="L111" s="6" t="str">
        <f>IF(VLOOKUP(E111,Sheet2!$W$4:$X$49,2,0)=0,"",VLOOKUP(E111,Sheet2!$W$4:$X$49,2,0))</f>
        <v/>
      </c>
      <c r="N111" s="6" t="str">
        <f>IF(VLOOKUP(E111,Sheet2!$W$4:$Y$49,3,0)=0,"",VLOOKUP(E111,Sheet2!$W$4:$Y$49,3,0))</f>
        <v/>
      </c>
      <c r="Q111" s="6" t="str">
        <f>IF(VLOOKUP(E111,Sheet2!$W$4:$Z$49,4,0)=0,"",VLOOKUP(E111,Sheet2!$W$4:$Z$49,4,0))</f>
        <v/>
      </c>
      <c r="R111" s="8">
        <v>35</v>
      </c>
      <c r="S111" s="14">
        <v>2</v>
      </c>
    </row>
    <row r="112" spans="1:19">
      <c r="A112" s="6">
        <f t="shared" si="2"/>
        <v>2202</v>
      </c>
      <c r="B112" s="6">
        <v>22</v>
      </c>
      <c r="C112" s="6">
        <v>2</v>
      </c>
      <c r="D112" s="6" t="s">
        <v>262</v>
      </c>
      <c r="E112" s="6">
        <v>109</v>
      </c>
      <c r="G112" s="6" t="s">
        <v>263</v>
      </c>
      <c r="H112" s="6">
        <f t="shared" si="3"/>
        <v>0</v>
      </c>
      <c r="I112" s="6" t="str">
        <f>IF(VLOOKUP(E112,Sheet2!$W$4:$AA$49,5,0)=0,"",VLOOKUP(E112,Sheet2!$W$4:$AA$49,5,0))</f>
        <v/>
      </c>
      <c r="J112" s="6">
        <v>0</v>
      </c>
      <c r="K112" s="6">
        <v>0</v>
      </c>
      <c r="L112" s="6">
        <f>IF(VLOOKUP(E112,Sheet2!$W$4:$X$49,2,0)=0,"",VLOOKUP(E112,Sheet2!$W$4:$X$49,2,0))</f>
        <v>1</v>
      </c>
      <c r="N112" s="6" t="str">
        <f>IF(VLOOKUP(E112,Sheet2!$W$4:$Y$49,3,0)=0,"",VLOOKUP(E112,Sheet2!$W$4:$Y$49,3,0))</f>
        <v/>
      </c>
      <c r="Q112" s="6" t="str">
        <f>IF(VLOOKUP(E112,Sheet2!$W$4:$Z$49,4,0)=0,"",VLOOKUP(E112,Sheet2!$W$4:$Z$49,4,0))</f>
        <v>[{50014,6}]</v>
      </c>
      <c r="R112" s="8">
        <v>35</v>
      </c>
      <c r="S112" s="14">
        <v>2</v>
      </c>
    </row>
    <row r="113" spans="1:19">
      <c r="A113" s="6">
        <f t="shared" si="2"/>
        <v>2203</v>
      </c>
      <c r="B113" s="6">
        <v>22</v>
      </c>
      <c r="C113" s="6">
        <v>3</v>
      </c>
      <c r="D113" s="6" t="s">
        <v>264</v>
      </c>
      <c r="E113" s="6">
        <v>110</v>
      </c>
      <c r="G113" s="6" t="s">
        <v>265</v>
      </c>
      <c r="H113" s="6">
        <v>0</v>
      </c>
      <c r="I113" s="6" t="str">
        <f>IF(VLOOKUP(E113,Sheet2!$W$4:$AA$49,5,0)=0,"",VLOOKUP(E113,Sheet2!$W$4:$AA$49,5,0))</f>
        <v/>
      </c>
      <c r="J113" s="6">
        <v>0</v>
      </c>
      <c r="K113" s="6">
        <v>0</v>
      </c>
      <c r="L113" s="6" t="str">
        <f>IF(VLOOKUP(E113,Sheet2!$W$4:$X$49,2,0)=0,"",VLOOKUP(E113,Sheet2!$W$4:$X$49,2,0))</f>
        <v/>
      </c>
      <c r="N113" s="6" t="str">
        <f>IF(VLOOKUP(E113,Sheet2!$W$4:$Y$49,3,0)=0,"",VLOOKUP(E113,Sheet2!$W$4:$Y$49,3,0))</f>
        <v/>
      </c>
      <c r="Q113" s="6" t="str">
        <f>IF(VLOOKUP(E113,Sheet2!$W$4:$Z$49,4,0)=0,"",VLOOKUP(E113,Sheet2!$W$4:$Z$49,4,0))</f>
        <v/>
      </c>
      <c r="R113" s="8">
        <v>35</v>
      </c>
      <c r="S113" s="14">
        <v>2</v>
      </c>
    </row>
    <row r="114" spans="1:19">
      <c r="A114" s="6">
        <f t="shared" si="2"/>
        <v>2221</v>
      </c>
      <c r="B114" s="6">
        <v>22</v>
      </c>
      <c r="C114" s="6">
        <v>4</v>
      </c>
      <c r="D114" s="6" t="s">
        <v>266</v>
      </c>
      <c r="E114" s="6">
        <v>509</v>
      </c>
      <c r="G114" s="6" t="s">
        <v>267</v>
      </c>
      <c r="H114" s="6">
        <f t="shared" si="3"/>
        <v>2</v>
      </c>
      <c r="I114" s="6" t="str">
        <f>IF(VLOOKUP(E114,Sheet2!$W$4:$AA$49,5,0)=0,"",VLOOKUP(E114,Sheet2!$W$4:$AA$49,5,0))</f>
        <v/>
      </c>
      <c r="J114" s="6">
        <v>0</v>
      </c>
      <c r="K114" s="6">
        <v>0</v>
      </c>
      <c r="L114" s="6">
        <f>IF(VLOOKUP(E114,Sheet2!$W$4:$X$49,2,0)=0,"",VLOOKUP(E114,Sheet2!$W$4:$X$49,2,0))</f>
        <v>1</v>
      </c>
      <c r="N114" s="6" t="str">
        <f>IF(VLOOKUP(E114,Sheet2!$W$4:$Y$49,3,0)=0,"",VLOOKUP(E114,Sheet2!$W$4:$Y$49,3,0))</f>
        <v/>
      </c>
      <c r="Q114" s="6" t="str">
        <f>IF(VLOOKUP(E114,Sheet2!$W$4:$Z$49,4,0)=0,"",VLOOKUP(E114,Sheet2!$W$4:$Z$49,4,0))</f>
        <v>[{50024,6}]</v>
      </c>
      <c r="R114" s="8">
        <v>150</v>
      </c>
      <c r="S114" s="14">
        <v>2</v>
      </c>
    </row>
    <row r="115" spans="1:19">
      <c r="A115" s="6">
        <f t="shared" si="2"/>
        <v>2231</v>
      </c>
      <c r="B115" s="6">
        <v>22</v>
      </c>
      <c r="C115" s="6">
        <v>5</v>
      </c>
      <c r="D115" s="6" t="s">
        <v>268</v>
      </c>
      <c r="E115" s="6">
        <v>509</v>
      </c>
      <c r="G115" s="6" t="s">
        <v>269</v>
      </c>
      <c r="H115" s="6">
        <f t="shared" si="3"/>
        <v>2</v>
      </c>
      <c r="I115" s="6" t="str">
        <f>IF(VLOOKUP(E115,Sheet2!$W$4:$AA$49,5,0)=0,"",VLOOKUP(E115,Sheet2!$W$4:$AA$49,5,0))</f>
        <v/>
      </c>
      <c r="J115" s="6">
        <v>0</v>
      </c>
      <c r="K115" s="6">
        <v>0</v>
      </c>
      <c r="L115" s="6">
        <f>IF(VLOOKUP(E115,Sheet2!$W$4:$X$49,2,0)=0,"",VLOOKUP(E115,Sheet2!$W$4:$X$49,2,0))</f>
        <v>1</v>
      </c>
      <c r="N115" s="6" t="str">
        <f>IF(VLOOKUP(E115,Sheet2!$W$4:$Y$49,3,0)=0,"",VLOOKUP(E115,Sheet2!$W$4:$Y$49,3,0))</f>
        <v/>
      </c>
      <c r="Q115" s="6" t="str">
        <f>IF(VLOOKUP(E115,Sheet2!$W$4:$Z$49,4,0)=0,"",VLOOKUP(E115,Sheet2!$W$4:$Z$49,4,0))</f>
        <v>[{50024,6}]</v>
      </c>
      <c r="R115" s="8">
        <v>150</v>
      </c>
      <c r="S115" s="14">
        <v>2</v>
      </c>
    </row>
    <row r="116" spans="1:19">
      <c r="A116" s="6">
        <f t="shared" si="2"/>
        <v>2301</v>
      </c>
      <c r="B116" s="6">
        <v>23</v>
      </c>
      <c r="C116" s="6">
        <v>1</v>
      </c>
      <c r="D116" s="6" t="s">
        <v>270</v>
      </c>
      <c r="E116" s="6">
        <v>111</v>
      </c>
      <c r="G116" s="6" t="s">
        <v>271</v>
      </c>
      <c r="H116" s="6">
        <f t="shared" si="3"/>
        <v>0</v>
      </c>
      <c r="I116" s="6" t="str">
        <f>IF(VLOOKUP(E116,Sheet2!$W$4:$AA$49,5,0)=0,"",VLOOKUP(E116,Sheet2!$W$4:$AA$49,5,0))</f>
        <v/>
      </c>
      <c r="J116" s="6">
        <v>0</v>
      </c>
      <c r="K116" s="6">
        <v>0</v>
      </c>
      <c r="L116" s="6" t="str">
        <f>IF(VLOOKUP(E116,Sheet2!$W$4:$X$49,2,0)=0,"",VLOOKUP(E116,Sheet2!$W$4:$X$49,2,0))</f>
        <v/>
      </c>
      <c r="N116" s="6" t="str">
        <f>IF(VLOOKUP(E116,Sheet2!$W$4:$Y$49,3,0)=0,"",VLOOKUP(E116,Sheet2!$W$4:$Y$49,3,0))</f>
        <v/>
      </c>
      <c r="Q116" s="6" t="str">
        <f>IF(VLOOKUP(E116,Sheet2!$W$4:$Z$49,4,0)=0,"",VLOOKUP(E116,Sheet2!$W$4:$Z$49,4,0))</f>
        <v/>
      </c>
      <c r="R116" s="8">
        <v>35</v>
      </c>
      <c r="S116" s="14">
        <v>2</v>
      </c>
    </row>
    <row r="117" spans="1:19">
      <c r="A117" s="6">
        <f t="shared" si="2"/>
        <v>2302</v>
      </c>
      <c r="B117" s="6">
        <v>23</v>
      </c>
      <c r="C117" s="6">
        <v>2</v>
      </c>
      <c r="D117" s="6" t="s">
        <v>272</v>
      </c>
      <c r="E117" s="6">
        <v>112</v>
      </c>
      <c r="G117" s="6" t="s">
        <v>255</v>
      </c>
      <c r="H117" s="6">
        <f t="shared" si="3"/>
        <v>0</v>
      </c>
      <c r="I117" s="6" t="str">
        <f>IF(VLOOKUP(E117,Sheet2!$W$4:$AA$49,5,0)=0,"",VLOOKUP(E117,Sheet2!$W$4:$AA$49,5,0))</f>
        <v/>
      </c>
      <c r="J117" s="6">
        <v>0</v>
      </c>
      <c r="K117" s="6">
        <v>0</v>
      </c>
      <c r="L117" s="6">
        <f>IF(VLOOKUP(E117,Sheet2!$W$4:$X$49,2,0)=0,"",VLOOKUP(E117,Sheet2!$W$4:$X$49,2,0))</f>
        <v>1</v>
      </c>
      <c r="N117" s="6" t="str">
        <f>IF(VLOOKUP(E117,Sheet2!$W$4:$Y$49,3,0)=0,"",VLOOKUP(E117,Sheet2!$W$4:$Y$49,3,0))</f>
        <v/>
      </c>
      <c r="Q117" s="6" t="str">
        <f>IF(VLOOKUP(E117,Sheet2!$W$4:$Z$49,4,0)=0,"",VLOOKUP(E117,Sheet2!$W$4:$Z$49,4,0))</f>
        <v>[{50015,6}]</v>
      </c>
      <c r="R117" s="8">
        <v>35</v>
      </c>
      <c r="S117" s="14">
        <v>2</v>
      </c>
    </row>
    <row r="118" spans="1:19">
      <c r="A118" s="6">
        <f t="shared" si="2"/>
        <v>2303</v>
      </c>
      <c r="B118" s="6">
        <v>23</v>
      </c>
      <c r="C118" s="6">
        <v>3</v>
      </c>
      <c r="D118" s="6" t="s">
        <v>273</v>
      </c>
      <c r="E118" s="6">
        <v>113</v>
      </c>
      <c r="G118" s="6" t="s">
        <v>274</v>
      </c>
      <c r="H118" s="6">
        <v>0</v>
      </c>
      <c r="I118" s="6" t="str">
        <f>IF(VLOOKUP(E118,Sheet2!$W$4:$AA$49,5,0)=0,"",VLOOKUP(E118,Sheet2!$W$4:$AA$49,5,0))</f>
        <v>[60005]</v>
      </c>
      <c r="J118" s="6">
        <v>0</v>
      </c>
      <c r="K118" s="6">
        <v>0</v>
      </c>
      <c r="L118" s="6">
        <f>IF(VLOOKUP(E118,Sheet2!$W$4:$X$49,2,0)=0,"",VLOOKUP(E118,Sheet2!$W$4:$X$49,2,0))</f>
        <v>1</v>
      </c>
      <c r="N118" s="6" t="str">
        <f>IF(VLOOKUP(E118,Sheet2!$W$4:$Y$49,3,0)=0,"",VLOOKUP(E118,Sheet2!$W$4:$Y$49,3,0))</f>
        <v/>
      </c>
      <c r="Q118" s="6" t="str">
        <f>IF(VLOOKUP(E118,Sheet2!$W$4:$Z$49,4,0)=0,"",VLOOKUP(E118,Sheet2!$W$4:$Z$49,4,0))</f>
        <v>[{50016,6}]</v>
      </c>
      <c r="R118" s="8">
        <v>35</v>
      </c>
      <c r="S118" s="14">
        <v>2</v>
      </c>
    </row>
    <row r="119" spans="1:19">
      <c r="A119" s="6">
        <f t="shared" si="2"/>
        <v>2321</v>
      </c>
      <c r="B119" s="6">
        <v>23</v>
      </c>
      <c r="C119" s="6">
        <v>4</v>
      </c>
      <c r="D119" s="6" t="s">
        <v>275</v>
      </c>
      <c r="E119" s="6">
        <v>511</v>
      </c>
      <c r="G119" s="6" t="s">
        <v>276</v>
      </c>
      <c r="H119" s="6">
        <f t="shared" si="3"/>
        <v>2</v>
      </c>
      <c r="I119" s="6" t="str">
        <f>IF(VLOOKUP(E119,Sheet2!$W$4:$AA$49,5,0)=0,"",VLOOKUP(E119,Sheet2!$W$4:$AA$49,5,0))</f>
        <v/>
      </c>
      <c r="J119" s="6">
        <v>0</v>
      </c>
      <c r="K119" s="6">
        <v>0</v>
      </c>
      <c r="L119" s="6" t="str">
        <f>IF(VLOOKUP(E119,Sheet2!$W$4:$X$49,2,0)=0,"",VLOOKUP(E119,Sheet2!$W$4:$X$49,2,0))</f>
        <v/>
      </c>
      <c r="N119" s="6" t="str">
        <f>IF(VLOOKUP(E119,Sheet2!$W$4:$Y$49,3,0)=0,"",VLOOKUP(E119,Sheet2!$W$4:$Y$49,3,0))</f>
        <v/>
      </c>
      <c r="Q119" s="6" t="str">
        <f>IF(VLOOKUP(E119,Sheet2!$W$4:$Z$49,4,0)=0,"",VLOOKUP(E119,Sheet2!$W$4:$Z$49,4,0))</f>
        <v/>
      </c>
      <c r="R119" s="8">
        <v>150</v>
      </c>
      <c r="S119" s="14">
        <v>2</v>
      </c>
    </row>
    <row r="120" spans="1:19">
      <c r="A120" s="6">
        <f t="shared" si="2"/>
        <v>2331</v>
      </c>
      <c r="B120" s="6">
        <v>23</v>
      </c>
      <c r="C120" s="6">
        <v>5</v>
      </c>
      <c r="D120" s="6" t="s">
        <v>277</v>
      </c>
      <c r="E120" s="6">
        <v>511</v>
      </c>
      <c r="G120" s="6" t="s">
        <v>278</v>
      </c>
      <c r="H120" s="6">
        <f t="shared" si="3"/>
        <v>2</v>
      </c>
      <c r="I120" s="6" t="str">
        <f>IF(VLOOKUP(E120,Sheet2!$W$4:$AA$49,5,0)=0,"",VLOOKUP(E120,Sheet2!$W$4:$AA$49,5,0))</f>
        <v/>
      </c>
      <c r="J120" s="6">
        <v>0</v>
      </c>
      <c r="K120" s="6">
        <v>0</v>
      </c>
      <c r="L120" s="6" t="str">
        <f>IF(VLOOKUP(E120,Sheet2!$W$4:$X$49,2,0)=0,"",VLOOKUP(E120,Sheet2!$W$4:$X$49,2,0))</f>
        <v/>
      </c>
      <c r="N120" s="6" t="str">
        <f>IF(VLOOKUP(E120,Sheet2!$W$4:$Y$49,3,0)=0,"",VLOOKUP(E120,Sheet2!$W$4:$Y$49,3,0))</f>
        <v/>
      </c>
      <c r="Q120" s="6" t="str">
        <f>IF(VLOOKUP(E120,Sheet2!$W$4:$Z$49,4,0)=0,"",VLOOKUP(E120,Sheet2!$W$4:$Z$49,4,0))</f>
        <v/>
      </c>
      <c r="R120" s="8">
        <v>150</v>
      </c>
      <c r="S120" s="14">
        <v>2</v>
      </c>
    </row>
    <row r="121" spans="1:19">
      <c r="A121" s="6">
        <f t="shared" si="2"/>
        <v>2401</v>
      </c>
      <c r="B121" s="6">
        <v>24</v>
      </c>
      <c r="C121" s="6">
        <v>1</v>
      </c>
      <c r="D121" s="6" t="s">
        <v>279</v>
      </c>
      <c r="E121" s="6">
        <v>111</v>
      </c>
      <c r="G121" s="6" t="s">
        <v>280</v>
      </c>
      <c r="H121" s="6">
        <f t="shared" si="3"/>
        <v>0</v>
      </c>
      <c r="I121" s="6" t="str">
        <f>IF(VLOOKUP(E121,Sheet2!$W$4:$AA$49,5,0)=0,"",VLOOKUP(E121,Sheet2!$W$4:$AA$49,5,0))</f>
        <v/>
      </c>
      <c r="J121" s="6">
        <v>0</v>
      </c>
      <c r="K121" s="6">
        <v>0</v>
      </c>
      <c r="L121" s="6" t="str">
        <f>IF(VLOOKUP(E121,Sheet2!$W$4:$X$49,2,0)=0,"",VLOOKUP(E121,Sheet2!$W$4:$X$49,2,0))</f>
        <v/>
      </c>
      <c r="N121" s="6" t="str">
        <f>IF(VLOOKUP(E121,Sheet2!$W$4:$Y$49,3,0)=0,"",VLOOKUP(E121,Sheet2!$W$4:$Y$49,3,0))</f>
        <v/>
      </c>
      <c r="Q121" s="6" t="str">
        <f>IF(VLOOKUP(E121,Sheet2!$W$4:$Z$49,4,0)=0,"",VLOOKUP(E121,Sheet2!$W$4:$Z$49,4,0))</f>
        <v/>
      </c>
      <c r="R121" s="8">
        <v>35</v>
      </c>
      <c r="S121" s="14">
        <v>2</v>
      </c>
    </row>
    <row r="122" spans="1:19">
      <c r="A122" s="6">
        <f t="shared" si="2"/>
        <v>2402</v>
      </c>
      <c r="B122" s="6">
        <v>24</v>
      </c>
      <c r="C122" s="6">
        <v>2</v>
      </c>
      <c r="D122" s="6" t="s">
        <v>281</v>
      </c>
      <c r="E122" s="6">
        <v>112</v>
      </c>
      <c r="G122" s="6" t="s">
        <v>282</v>
      </c>
      <c r="H122" s="6">
        <f t="shared" si="3"/>
        <v>0</v>
      </c>
      <c r="I122" s="6" t="str">
        <f>IF(VLOOKUP(E122,Sheet2!$W$4:$AA$49,5,0)=0,"",VLOOKUP(E122,Sheet2!$W$4:$AA$49,5,0))</f>
        <v/>
      </c>
      <c r="J122" s="6">
        <v>0</v>
      </c>
      <c r="K122" s="6">
        <v>0</v>
      </c>
      <c r="L122" s="6">
        <f>IF(VLOOKUP(E122,Sheet2!$W$4:$X$49,2,0)=0,"",VLOOKUP(E122,Sheet2!$W$4:$X$49,2,0))</f>
        <v>1</v>
      </c>
      <c r="N122" s="6" t="str">
        <f>IF(VLOOKUP(E122,Sheet2!$W$4:$Y$49,3,0)=0,"",VLOOKUP(E122,Sheet2!$W$4:$Y$49,3,0))</f>
        <v/>
      </c>
      <c r="Q122" s="6" t="str">
        <f>IF(VLOOKUP(E122,Sheet2!$W$4:$Z$49,4,0)=0,"",VLOOKUP(E122,Sheet2!$W$4:$Z$49,4,0))</f>
        <v>[{50015,6}]</v>
      </c>
      <c r="R122" s="8">
        <v>35</v>
      </c>
      <c r="S122" s="14">
        <v>2</v>
      </c>
    </row>
    <row r="123" spans="1:19">
      <c r="A123" s="6">
        <f t="shared" si="2"/>
        <v>2403</v>
      </c>
      <c r="B123" s="6">
        <v>24</v>
      </c>
      <c r="C123" s="6">
        <v>3</v>
      </c>
      <c r="D123" s="6" t="s">
        <v>283</v>
      </c>
      <c r="E123" s="6">
        <v>115</v>
      </c>
      <c r="G123" s="6" t="s">
        <v>284</v>
      </c>
      <c r="H123" s="6">
        <v>0</v>
      </c>
      <c r="I123" s="6" t="str">
        <f>IF(VLOOKUP(E123,Sheet2!$W$4:$AA$49,5,0)=0,"",VLOOKUP(E123,Sheet2!$W$4:$AA$49,5,0))</f>
        <v/>
      </c>
      <c r="J123" s="6">
        <v>0</v>
      </c>
      <c r="K123" s="6">
        <v>0</v>
      </c>
      <c r="L123" s="6" t="str">
        <f>IF(VLOOKUP(E123,Sheet2!$W$4:$X$49,2,0)=0,"",VLOOKUP(E123,Sheet2!$W$4:$X$49,2,0))</f>
        <v/>
      </c>
      <c r="N123" s="6" t="str">
        <f>IF(VLOOKUP(E123,Sheet2!$W$4:$Y$49,3,0)=0,"",VLOOKUP(E123,Sheet2!$W$4:$Y$49,3,0))</f>
        <v/>
      </c>
      <c r="Q123" s="6" t="str">
        <f>IF(VLOOKUP(E123,Sheet2!$W$4:$Z$49,4,0)=0,"",VLOOKUP(E123,Sheet2!$W$4:$Z$49,4,0))</f>
        <v/>
      </c>
      <c r="R123" s="8">
        <v>35</v>
      </c>
      <c r="S123" s="14">
        <v>2</v>
      </c>
    </row>
    <row r="124" spans="1:19">
      <c r="A124" s="6">
        <f t="shared" si="2"/>
        <v>2421</v>
      </c>
      <c r="B124" s="6">
        <v>24</v>
      </c>
      <c r="C124" s="6">
        <v>4</v>
      </c>
      <c r="D124" s="6" t="s">
        <v>285</v>
      </c>
      <c r="E124" s="6">
        <v>512</v>
      </c>
      <c r="G124" s="6" t="s">
        <v>286</v>
      </c>
      <c r="H124" s="6">
        <f t="shared" si="3"/>
        <v>2</v>
      </c>
      <c r="I124" s="6" t="str">
        <f>IF(VLOOKUP(E124,Sheet2!$W$4:$AA$49,5,0)=0,"",VLOOKUP(E124,Sheet2!$W$4:$AA$49,5,0))</f>
        <v/>
      </c>
      <c r="J124" s="6">
        <v>0</v>
      </c>
      <c r="K124" s="6">
        <v>0</v>
      </c>
      <c r="L124" s="6">
        <f>IF(VLOOKUP(E124,Sheet2!$W$4:$X$49,2,0)=0,"",VLOOKUP(E124,Sheet2!$W$4:$X$49,2,0))</f>
        <v>1</v>
      </c>
      <c r="N124" s="6" t="str">
        <f>IF(VLOOKUP(E124,Sheet2!$W$4:$Y$49,3,0)=0,"",VLOOKUP(E124,Sheet2!$W$4:$Y$49,3,0))</f>
        <v/>
      </c>
      <c r="Q124" s="6" t="str">
        <f>IF(VLOOKUP(E124,Sheet2!$W$4:$Z$49,4,0)=0,"",VLOOKUP(E124,Sheet2!$W$4:$Z$49,4,0))</f>
        <v>[{50025,6}]</v>
      </c>
      <c r="R124" s="8">
        <v>150</v>
      </c>
      <c r="S124" s="14">
        <v>2</v>
      </c>
    </row>
    <row r="125" spans="1:19">
      <c r="A125" s="6">
        <f t="shared" si="2"/>
        <v>2431</v>
      </c>
      <c r="B125" s="6">
        <v>24</v>
      </c>
      <c r="C125" s="6">
        <v>5</v>
      </c>
      <c r="D125" s="6" t="s">
        <v>287</v>
      </c>
      <c r="E125" s="6">
        <v>512</v>
      </c>
      <c r="G125" s="6" t="s">
        <v>288</v>
      </c>
      <c r="H125" s="6">
        <f t="shared" si="3"/>
        <v>2</v>
      </c>
      <c r="I125" s="6" t="str">
        <f>IF(VLOOKUP(E125,Sheet2!$W$4:$AA$49,5,0)=0,"",VLOOKUP(E125,Sheet2!$W$4:$AA$49,5,0))</f>
        <v/>
      </c>
      <c r="J125" s="6">
        <v>0</v>
      </c>
      <c r="K125" s="6">
        <v>0</v>
      </c>
      <c r="L125" s="6">
        <f>IF(VLOOKUP(E125,Sheet2!$W$4:$X$49,2,0)=0,"",VLOOKUP(E125,Sheet2!$W$4:$X$49,2,0))</f>
        <v>1</v>
      </c>
      <c r="N125" s="6" t="str">
        <f>IF(VLOOKUP(E125,Sheet2!$W$4:$Y$49,3,0)=0,"",VLOOKUP(E125,Sheet2!$W$4:$Y$49,3,0))</f>
        <v/>
      </c>
      <c r="Q125" s="6" t="str">
        <f>IF(VLOOKUP(E125,Sheet2!$W$4:$Z$49,4,0)=0,"",VLOOKUP(E125,Sheet2!$W$4:$Z$49,4,0))</f>
        <v>[{50025,6}]</v>
      </c>
      <c r="R125" s="8">
        <v>150</v>
      </c>
      <c r="S125" s="14">
        <v>2</v>
      </c>
    </row>
    <row r="126" spans="1:19">
      <c r="A126" s="6">
        <f t="shared" si="2"/>
        <v>2501</v>
      </c>
      <c r="B126" s="6">
        <v>25</v>
      </c>
      <c r="C126" s="6">
        <v>1</v>
      </c>
      <c r="D126" s="6" t="s">
        <v>289</v>
      </c>
      <c r="E126" s="6">
        <v>101</v>
      </c>
      <c r="G126" s="6" t="s">
        <v>290</v>
      </c>
      <c r="H126" s="6">
        <f t="shared" si="3"/>
        <v>0</v>
      </c>
      <c r="I126" s="6" t="str">
        <f>IF(VLOOKUP(E126,Sheet2!$W$4:$AA$49,5,0)=0,"",VLOOKUP(E126,Sheet2!$W$4:$AA$49,5,0))</f>
        <v/>
      </c>
      <c r="J126" s="6">
        <v>0</v>
      </c>
      <c r="K126" s="6">
        <v>0</v>
      </c>
      <c r="L126" s="6" t="str">
        <f>IF(VLOOKUP(E126,Sheet2!$W$4:$X$49,2,0)=0,"",VLOOKUP(E126,Sheet2!$W$4:$X$49,2,0))</f>
        <v/>
      </c>
      <c r="N126" s="6" t="str">
        <f>IF(VLOOKUP(E126,Sheet2!$W$4:$Y$49,3,0)=0,"",VLOOKUP(E126,Sheet2!$W$4:$Y$49,3,0))</f>
        <v/>
      </c>
      <c r="Q126" s="6" t="str">
        <f>IF(VLOOKUP(E126,Sheet2!$W$4:$Z$49,4,0)=0,"",VLOOKUP(E126,Sheet2!$W$4:$Z$49,4,0))</f>
        <v/>
      </c>
      <c r="R126" s="8">
        <v>35</v>
      </c>
      <c r="S126" s="14">
        <v>2</v>
      </c>
    </row>
    <row r="127" spans="1:19">
      <c r="A127" s="6">
        <f t="shared" si="2"/>
        <v>2502</v>
      </c>
      <c r="B127" s="6">
        <v>25</v>
      </c>
      <c r="C127" s="6">
        <v>2</v>
      </c>
      <c r="D127" s="6" t="s">
        <v>291</v>
      </c>
      <c r="E127" s="6">
        <v>100</v>
      </c>
      <c r="G127" s="6" t="s">
        <v>292</v>
      </c>
      <c r="H127" s="6">
        <f t="shared" si="3"/>
        <v>0</v>
      </c>
      <c r="I127" s="6" t="str">
        <f>IF(VLOOKUP(E127,Sheet2!$W$4:$AA$49,5,0)=0,"",VLOOKUP(E127,Sheet2!$W$4:$AA$49,5,0))</f>
        <v>[60002]</v>
      </c>
      <c r="J127" s="6">
        <v>0</v>
      </c>
      <c r="K127" s="6">
        <v>0</v>
      </c>
      <c r="L127" s="6" t="str">
        <f>IF(VLOOKUP(E127,Sheet2!$W$4:$X$49,2,0)=0,"",VLOOKUP(E127,Sheet2!$W$4:$X$49,2,0))</f>
        <v/>
      </c>
      <c r="N127" s="6">
        <f>IF(VLOOKUP(E127,Sheet2!$W$4:$Y$49,3,0)=0,"",VLOOKUP(E127,Sheet2!$W$4:$Y$49,3,0))</f>
        <v>2001</v>
      </c>
      <c r="Q127" s="6" t="str">
        <f>IF(VLOOKUP(E127,Sheet2!$W$4:$Z$49,4,0)=0,"",VLOOKUP(E127,Sheet2!$W$4:$Z$49,4,0))</f>
        <v/>
      </c>
      <c r="R127" s="8">
        <v>35</v>
      </c>
      <c r="S127" s="14">
        <v>2</v>
      </c>
    </row>
    <row r="128" spans="1:19">
      <c r="A128" s="6">
        <f t="shared" si="2"/>
        <v>2503</v>
      </c>
      <c r="B128" s="6">
        <v>25</v>
      </c>
      <c r="C128" s="6">
        <v>3</v>
      </c>
      <c r="D128" s="6" t="s">
        <v>293</v>
      </c>
      <c r="E128" s="6">
        <v>102</v>
      </c>
      <c r="G128" s="6" t="s">
        <v>294</v>
      </c>
      <c r="H128" s="6">
        <v>0</v>
      </c>
      <c r="I128" s="6" t="str">
        <f>IF(VLOOKUP(E128,Sheet2!$W$4:$AA$49,5,0)=0,"",VLOOKUP(E128,Sheet2!$W$4:$AA$49,5,0))</f>
        <v/>
      </c>
      <c r="J128" s="6">
        <v>0</v>
      </c>
      <c r="K128" s="6">
        <v>0</v>
      </c>
      <c r="L128" s="6">
        <f>IF(VLOOKUP(E128,Sheet2!$W$4:$X$49,2,0)=0,"",VLOOKUP(E128,Sheet2!$W$4:$X$49,2,0))</f>
        <v>1</v>
      </c>
      <c r="N128" s="6" t="str">
        <f>IF(VLOOKUP(E128,Sheet2!$W$4:$Y$49,3,0)=0,"",VLOOKUP(E128,Sheet2!$W$4:$Y$49,3,0))</f>
        <v/>
      </c>
      <c r="Q128" s="6" t="str">
        <f>IF(VLOOKUP(E128,Sheet2!$W$4:$Z$49,4,0)=0,"",VLOOKUP(E128,Sheet2!$W$4:$Z$49,4,0))</f>
        <v>[{50011,6}]</v>
      </c>
      <c r="R128" s="8">
        <v>35</v>
      </c>
      <c r="S128" s="14">
        <v>2</v>
      </c>
    </row>
    <row r="129" spans="1:19">
      <c r="A129" s="6">
        <f t="shared" si="2"/>
        <v>2521</v>
      </c>
      <c r="B129" s="6">
        <v>25</v>
      </c>
      <c r="C129" s="6">
        <v>4</v>
      </c>
      <c r="D129" s="6" t="s">
        <v>295</v>
      </c>
      <c r="E129" s="6">
        <v>501</v>
      </c>
      <c r="G129" s="6" t="s">
        <v>296</v>
      </c>
      <c r="H129" s="6">
        <f t="shared" si="3"/>
        <v>2</v>
      </c>
      <c r="I129" s="6" t="str">
        <f>IF(VLOOKUP(E129,Sheet2!$W$4:$AA$49,5,0)=0,"",VLOOKUP(E129,Sheet2!$W$4:$AA$49,5,0))</f>
        <v/>
      </c>
      <c r="J129" s="6">
        <v>0</v>
      </c>
      <c r="K129" s="6">
        <v>0</v>
      </c>
      <c r="L129" s="6" t="str">
        <f>IF(VLOOKUP(E129,Sheet2!$W$4:$X$49,2,0)=0,"",VLOOKUP(E129,Sheet2!$W$4:$X$49,2,0))</f>
        <v/>
      </c>
      <c r="N129" s="6" t="str">
        <f>IF(VLOOKUP(E129,Sheet2!$W$4:$Y$49,3,0)=0,"",VLOOKUP(E129,Sheet2!$W$4:$Y$49,3,0))</f>
        <v/>
      </c>
      <c r="Q129" s="6" t="str">
        <f>IF(VLOOKUP(E129,Sheet2!$W$4:$Z$49,4,0)=0,"",VLOOKUP(E129,Sheet2!$W$4:$Z$49,4,0))</f>
        <v/>
      </c>
      <c r="R129" s="8">
        <v>150</v>
      </c>
      <c r="S129" s="14">
        <v>2</v>
      </c>
    </row>
    <row r="130" spans="1:19">
      <c r="A130" s="6">
        <f t="shared" si="2"/>
        <v>2531</v>
      </c>
      <c r="B130" s="6">
        <v>25</v>
      </c>
      <c r="C130" s="6">
        <v>5</v>
      </c>
      <c r="D130" s="6" t="s">
        <v>297</v>
      </c>
      <c r="E130" s="6">
        <v>501</v>
      </c>
      <c r="G130" s="6" t="s">
        <v>298</v>
      </c>
      <c r="H130" s="6">
        <f t="shared" si="3"/>
        <v>2</v>
      </c>
      <c r="I130" s="6" t="str">
        <f>IF(VLOOKUP(E130,Sheet2!$W$4:$AA$49,5,0)=0,"",VLOOKUP(E130,Sheet2!$W$4:$AA$49,5,0))</f>
        <v/>
      </c>
      <c r="J130" s="6">
        <v>0</v>
      </c>
      <c r="K130" s="6">
        <v>0</v>
      </c>
      <c r="L130" s="6" t="str">
        <f>IF(VLOOKUP(E130,Sheet2!$W$4:$X$49,2,0)=0,"",VLOOKUP(E130,Sheet2!$W$4:$X$49,2,0))</f>
        <v/>
      </c>
      <c r="N130" s="6" t="str">
        <f>IF(VLOOKUP(E130,Sheet2!$W$4:$Y$49,3,0)=0,"",VLOOKUP(E130,Sheet2!$W$4:$Y$49,3,0))</f>
        <v/>
      </c>
      <c r="Q130" s="6" t="str">
        <f>IF(VLOOKUP(E130,Sheet2!$W$4:$Z$49,4,0)=0,"",VLOOKUP(E130,Sheet2!$W$4:$Z$49,4,0))</f>
        <v/>
      </c>
      <c r="R130" s="8">
        <v>150</v>
      </c>
      <c r="S130" s="14">
        <v>2</v>
      </c>
    </row>
    <row r="131" spans="1:19">
      <c r="A131" s="6">
        <f t="shared" si="2"/>
        <v>2601</v>
      </c>
      <c r="B131" s="6">
        <v>26</v>
      </c>
      <c r="C131" s="6">
        <v>1</v>
      </c>
      <c r="D131" s="6" t="s">
        <v>299</v>
      </c>
      <c r="E131" s="6">
        <v>101</v>
      </c>
      <c r="G131" s="6" t="s">
        <v>300</v>
      </c>
      <c r="H131" s="6">
        <f t="shared" si="3"/>
        <v>0</v>
      </c>
      <c r="I131" s="6" t="str">
        <f>IF(VLOOKUP(E131,Sheet2!$W$4:$AA$49,5,0)=0,"",VLOOKUP(E131,Sheet2!$W$4:$AA$49,5,0))</f>
        <v/>
      </c>
      <c r="J131" s="6">
        <v>0</v>
      </c>
      <c r="K131" s="6">
        <v>0</v>
      </c>
      <c r="L131" s="6" t="str">
        <f>IF(VLOOKUP(E131,Sheet2!$W$4:$X$49,2,0)=0,"",VLOOKUP(E131,Sheet2!$W$4:$X$49,2,0))</f>
        <v/>
      </c>
      <c r="N131" s="6" t="str">
        <f>IF(VLOOKUP(E131,Sheet2!$W$4:$Y$49,3,0)=0,"",VLOOKUP(E131,Sheet2!$W$4:$Y$49,3,0))</f>
        <v/>
      </c>
      <c r="Q131" s="6" t="str">
        <f>IF(VLOOKUP(E131,Sheet2!$W$4:$Z$49,4,0)=0,"",VLOOKUP(E131,Sheet2!$W$4:$Z$49,4,0))</f>
        <v/>
      </c>
      <c r="R131" s="8">
        <v>35</v>
      </c>
      <c r="S131" s="14">
        <v>2</v>
      </c>
    </row>
    <row r="132" spans="1:19">
      <c r="A132" s="6">
        <f t="shared" si="2"/>
        <v>2602</v>
      </c>
      <c r="B132" s="6">
        <v>26</v>
      </c>
      <c r="C132" s="6">
        <v>2</v>
      </c>
      <c r="D132" s="6" t="s">
        <v>301</v>
      </c>
      <c r="E132" s="6">
        <v>100</v>
      </c>
      <c r="G132" s="6" t="s">
        <v>302</v>
      </c>
      <c r="H132" s="6">
        <f t="shared" si="3"/>
        <v>0</v>
      </c>
      <c r="I132" s="6" t="str">
        <f>IF(VLOOKUP(E132,Sheet2!$W$4:$AA$49,5,0)=0,"",VLOOKUP(E132,Sheet2!$W$4:$AA$49,5,0))</f>
        <v>[60002]</v>
      </c>
      <c r="J132" s="6">
        <v>0</v>
      </c>
      <c r="K132" s="6">
        <v>0</v>
      </c>
      <c r="L132" s="6" t="str">
        <f>IF(VLOOKUP(E132,Sheet2!$W$4:$X$49,2,0)=0,"",VLOOKUP(E132,Sheet2!$W$4:$X$49,2,0))</f>
        <v/>
      </c>
      <c r="N132" s="6">
        <f>IF(VLOOKUP(E132,Sheet2!$W$4:$Y$49,3,0)=0,"",VLOOKUP(E132,Sheet2!$W$4:$Y$49,3,0))</f>
        <v>2001</v>
      </c>
      <c r="Q132" s="6" t="str">
        <f>IF(VLOOKUP(E132,Sheet2!$W$4:$Z$49,4,0)=0,"",VLOOKUP(E132,Sheet2!$W$4:$Z$49,4,0))</f>
        <v/>
      </c>
      <c r="R132" s="8">
        <v>35</v>
      </c>
      <c r="S132" s="14">
        <v>2</v>
      </c>
    </row>
    <row r="133" spans="1:19">
      <c r="A133" s="6">
        <f t="shared" si="2"/>
        <v>2603</v>
      </c>
      <c r="B133" s="6">
        <v>26</v>
      </c>
      <c r="C133" s="6">
        <v>3</v>
      </c>
      <c r="D133" s="6" t="s">
        <v>303</v>
      </c>
      <c r="E133" s="6">
        <v>102</v>
      </c>
      <c r="G133" s="6" t="s">
        <v>304</v>
      </c>
      <c r="H133" s="6">
        <v>0</v>
      </c>
      <c r="I133" s="6" t="str">
        <f>IF(VLOOKUP(E133,Sheet2!$W$4:$AA$49,5,0)=0,"",VLOOKUP(E133,Sheet2!$W$4:$AA$49,5,0))</f>
        <v/>
      </c>
      <c r="J133" s="6">
        <v>0</v>
      </c>
      <c r="K133" s="6">
        <v>0</v>
      </c>
      <c r="L133" s="6">
        <f>IF(VLOOKUP(E133,Sheet2!$W$4:$X$49,2,0)=0,"",VLOOKUP(E133,Sheet2!$W$4:$X$49,2,0))</f>
        <v>1</v>
      </c>
      <c r="N133" s="6" t="str">
        <f>IF(VLOOKUP(E133,Sheet2!$W$4:$Y$49,3,0)=0,"",VLOOKUP(E133,Sheet2!$W$4:$Y$49,3,0))</f>
        <v/>
      </c>
      <c r="Q133" s="6" t="str">
        <f>IF(VLOOKUP(E133,Sheet2!$W$4:$Z$49,4,0)=0,"",VLOOKUP(E133,Sheet2!$W$4:$Z$49,4,0))</f>
        <v>[{50011,6}]</v>
      </c>
      <c r="R133" s="8">
        <v>35</v>
      </c>
      <c r="S133" s="14">
        <v>2</v>
      </c>
    </row>
    <row r="134" spans="1:19">
      <c r="A134" s="6">
        <f t="shared" si="2"/>
        <v>2621</v>
      </c>
      <c r="B134" s="6">
        <v>26</v>
      </c>
      <c r="C134" s="6">
        <v>4</v>
      </c>
      <c r="D134" s="6" t="s">
        <v>305</v>
      </c>
      <c r="E134" s="6">
        <v>502</v>
      </c>
      <c r="G134" s="6" t="s">
        <v>306</v>
      </c>
      <c r="H134" s="6">
        <f t="shared" si="3"/>
        <v>2</v>
      </c>
      <c r="I134" s="6" t="str">
        <f>IF(VLOOKUP(E134,Sheet2!$W$4:$AA$49,5,0)=0,"",VLOOKUP(E134,Sheet2!$W$4:$AA$49,5,0))</f>
        <v/>
      </c>
      <c r="J134" s="6">
        <v>0</v>
      </c>
      <c r="K134" s="6">
        <v>0</v>
      </c>
      <c r="L134" s="6">
        <f>IF(VLOOKUP(E134,Sheet2!$W$4:$X$49,2,0)=0,"",VLOOKUP(E134,Sheet2!$W$4:$X$49,2,0))</f>
        <v>1</v>
      </c>
      <c r="N134" s="6" t="str">
        <f>IF(VLOOKUP(E134,Sheet2!$W$4:$Y$49,3,0)=0,"",VLOOKUP(E134,Sheet2!$W$4:$Y$49,3,0))</f>
        <v/>
      </c>
      <c r="Q134" s="6" t="str">
        <f>IF(VLOOKUP(E134,Sheet2!$W$4:$Z$49,4,0)=0,"",VLOOKUP(E134,Sheet2!$W$4:$Z$49,4,0))</f>
        <v>[{50021,6}]</v>
      </c>
      <c r="R134" s="8">
        <v>100</v>
      </c>
      <c r="S134" s="14">
        <v>2</v>
      </c>
    </row>
    <row r="135" spans="1:19">
      <c r="A135" s="6">
        <f t="shared" ref="A135:A155" si="4">A130+100</f>
        <v>2631</v>
      </c>
      <c r="B135" s="6">
        <v>26</v>
      </c>
      <c r="C135" s="6">
        <v>5</v>
      </c>
      <c r="D135" s="6" t="s">
        <v>307</v>
      </c>
      <c r="E135" s="6">
        <v>502</v>
      </c>
      <c r="G135" s="6" t="s">
        <v>308</v>
      </c>
      <c r="H135" s="6">
        <f t="shared" si="3"/>
        <v>2</v>
      </c>
      <c r="I135" s="6" t="str">
        <f>IF(VLOOKUP(E135,Sheet2!$W$4:$AA$49,5,0)=0,"",VLOOKUP(E135,Sheet2!$W$4:$AA$49,5,0))</f>
        <v/>
      </c>
      <c r="J135" s="6">
        <v>0</v>
      </c>
      <c r="K135" s="6">
        <v>0</v>
      </c>
      <c r="L135" s="6">
        <f>IF(VLOOKUP(E135,Sheet2!$W$4:$X$49,2,0)=0,"",VLOOKUP(E135,Sheet2!$W$4:$X$49,2,0))</f>
        <v>1</v>
      </c>
      <c r="N135" s="6" t="str">
        <f>IF(VLOOKUP(E135,Sheet2!$W$4:$Y$49,3,0)=0,"",VLOOKUP(E135,Sheet2!$W$4:$Y$49,3,0))</f>
        <v/>
      </c>
      <c r="Q135" s="6" t="str">
        <f>IF(VLOOKUP(E135,Sheet2!$W$4:$Z$49,4,0)=0,"",VLOOKUP(E135,Sheet2!$W$4:$Z$49,4,0))</f>
        <v>[{50021,6}]</v>
      </c>
      <c r="R135" s="8">
        <v>100</v>
      </c>
      <c r="S135" s="14">
        <v>2</v>
      </c>
    </row>
    <row r="136" spans="1:19">
      <c r="A136" s="6">
        <f t="shared" si="4"/>
        <v>2701</v>
      </c>
      <c r="B136" s="6">
        <v>27</v>
      </c>
      <c r="C136" s="6">
        <v>1</v>
      </c>
      <c r="D136" s="6" t="s">
        <v>309</v>
      </c>
      <c r="E136" s="6">
        <v>103</v>
      </c>
      <c r="G136" s="6" t="s">
        <v>310</v>
      </c>
      <c r="H136" s="6">
        <f t="shared" si="3"/>
        <v>0</v>
      </c>
      <c r="I136" s="6" t="str">
        <f>IF(VLOOKUP(E136,Sheet2!$W$4:$AA$49,5,0)=0,"",VLOOKUP(E136,Sheet2!$W$4:$AA$49,5,0))</f>
        <v>[60001]</v>
      </c>
      <c r="J136" s="6">
        <v>0</v>
      </c>
      <c r="K136" s="6">
        <v>0</v>
      </c>
      <c r="L136" s="6" t="str">
        <f>IF(VLOOKUP(E136,Sheet2!$W$4:$X$49,2,0)=0,"",VLOOKUP(E136,Sheet2!$W$4:$X$49,2,0))</f>
        <v/>
      </c>
      <c r="N136" s="6" t="str">
        <f>IF(VLOOKUP(E136,Sheet2!$W$4:$Y$49,3,0)=0,"",VLOOKUP(E136,Sheet2!$W$4:$Y$49,3,0))</f>
        <v/>
      </c>
      <c r="Q136" s="6" t="str">
        <f>IF(VLOOKUP(E136,Sheet2!$W$4:$Z$49,4,0)=0,"",VLOOKUP(E136,Sheet2!$W$4:$Z$49,4,0))</f>
        <v/>
      </c>
      <c r="R136" s="8">
        <v>37</v>
      </c>
      <c r="S136" s="14">
        <v>2</v>
      </c>
    </row>
    <row r="137" spans="1:19">
      <c r="A137" s="6">
        <f t="shared" si="4"/>
        <v>2702</v>
      </c>
      <c r="B137" s="6">
        <v>27</v>
      </c>
      <c r="C137" s="6">
        <v>2</v>
      </c>
      <c r="D137" s="6" t="s">
        <v>311</v>
      </c>
      <c r="E137" s="6">
        <v>104</v>
      </c>
      <c r="G137" s="6" t="s">
        <v>312</v>
      </c>
      <c r="H137" s="6">
        <f t="shared" si="3"/>
        <v>0</v>
      </c>
      <c r="I137" s="6" t="str">
        <f>IF(VLOOKUP(E137,Sheet2!$W$4:$AA$49,5,0)=0,"",VLOOKUP(E137,Sheet2!$W$4:$AA$49,5,0))</f>
        <v/>
      </c>
      <c r="J137" s="6">
        <v>0</v>
      </c>
      <c r="K137" s="6">
        <v>0</v>
      </c>
      <c r="L137" s="6" t="str">
        <f>IF(VLOOKUP(E137,Sheet2!$W$4:$X$49,2,0)=0,"",VLOOKUP(E137,Sheet2!$W$4:$X$49,2,0))</f>
        <v/>
      </c>
      <c r="N137" s="6" t="str">
        <f>IF(VLOOKUP(E137,Sheet2!$W$4:$Y$49,3,0)=0,"",VLOOKUP(E137,Sheet2!$W$4:$Y$49,3,0))</f>
        <v/>
      </c>
      <c r="Q137" s="6" t="str">
        <f>IF(VLOOKUP(E137,Sheet2!$W$4:$Z$49,4,0)=0,"",VLOOKUP(E137,Sheet2!$W$4:$Z$49,4,0))</f>
        <v/>
      </c>
      <c r="R137" s="8">
        <v>37</v>
      </c>
      <c r="S137" s="14">
        <v>2</v>
      </c>
    </row>
    <row r="138" spans="1:19">
      <c r="A138" s="6">
        <f t="shared" si="4"/>
        <v>2703</v>
      </c>
      <c r="B138" s="6">
        <v>27</v>
      </c>
      <c r="C138" s="6">
        <v>3</v>
      </c>
      <c r="D138" s="6" t="s">
        <v>313</v>
      </c>
      <c r="E138" s="6">
        <v>104</v>
      </c>
      <c r="G138" s="6" t="s">
        <v>314</v>
      </c>
      <c r="H138" s="6">
        <v>0</v>
      </c>
      <c r="I138" s="6" t="str">
        <f>IF(VLOOKUP(E138,Sheet2!$W$4:$AA$49,5,0)=0,"",VLOOKUP(E138,Sheet2!$W$4:$AA$49,5,0))</f>
        <v/>
      </c>
      <c r="J138" s="6">
        <v>0</v>
      </c>
      <c r="K138" s="6">
        <v>0</v>
      </c>
      <c r="L138" s="6" t="str">
        <f>IF(VLOOKUP(E138,Sheet2!$W$4:$X$49,2,0)=0,"",VLOOKUP(E138,Sheet2!$W$4:$X$49,2,0))</f>
        <v/>
      </c>
      <c r="N138" s="6" t="str">
        <f>IF(VLOOKUP(E138,Sheet2!$W$4:$Y$49,3,0)=0,"",VLOOKUP(E138,Sheet2!$W$4:$Y$49,3,0))</f>
        <v/>
      </c>
      <c r="Q138" s="6" t="str">
        <f>IF(VLOOKUP(E138,Sheet2!$W$4:$Z$49,4,0)=0,"",VLOOKUP(E138,Sheet2!$W$4:$Z$49,4,0))</f>
        <v/>
      </c>
      <c r="R138" s="8">
        <v>37</v>
      </c>
      <c r="S138" s="14">
        <v>2</v>
      </c>
    </row>
    <row r="139" spans="1:19">
      <c r="A139" s="6">
        <f t="shared" si="4"/>
        <v>2721</v>
      </c>
      <c r="B139" s="6">
        <v>27</v>
      </c>
      <c r="C139" s="6">
        <v>4</v>
      </c>
      <c r="D139" s="6" t="s">
        <v>315</v>
      </c>
      <c r="E139" s="6">
        <v>504</v>
      </c>
      <c r="G139" s="6" t="s">
        <v>316</v>
      </c>
      <c r="H139" s="6">
        <f t="shared" si="3"/>
        <v>2</v>
      </c>
      <c r="I139" s="6" t="str">
        <f>IF(VLOOKUP(E139,Sheet2!$W$4:$AA$49,5,0)=0,"",VLOOKUP(E139,Sheet2!$W$4:$AA$49,5,0))</f>
        <v/>
      </c>
      <c r="J139" s="6">
        <v>0</v>
      </c>
      <c r="K139" s="6">
        <v>0</v>
      </c>
      <c r="L139" s="6" t="str">
        <f>IF(VLOOKUP(E139,Sheet2!$W$4:$X$49,2,0)=0,"",VLOOKUP(E139,Sheet2!$W$4:$X$49,2,0))</f>
        <v/>
      </c>
      <c r="N139" s="6" t="str">
        <f>IF(VLOOKUP(E139,Sheet2!$W$4:$Y$49,3,0)=0,"",VLOOKUP(E139,Sheet2!$W$4:$Y$49,3,0))</f>
        <v/>
      </c>
      <c r="Q139" s="6" t="str">
        <f>IF(VLOOKUP(E139,Sheet2!$W$4:$Z$49,4,0)=0,"",VLOOKUP(E139,Sheet2!$W$4:$Z$49,4,0))</f>
        <v/>
      </c>
      <c r="R139" s="8">
        <v>120</v>
      </c>
      <c r="S139" s="14">
        <v>2</v>
      </c>
    </row>
    <row r="140" spans="1:19">
      <c r="A140" s="6">
        <f t="shared" si="4"/>
        <v>2731</v>
      </c>
      <c r="B140" s="6">
        <v>27</v>
      </c>
      <c r="C140" s="6">
        <v>5</v>
      </c>
      <c r="D140" s="6" t="s">
        <v>317</v>
      </c>
      <c r="E140" s="6">
        <v>504</v>
      </c>
      <c r="G140" s="6" t="s">
        <v>318</v>
      </c>
      <c r="H140" s="6">
        <f t="shared" si="3"/>
        <v>2</v>
      </c>
      <c r="I140" s="6" t="str">
        <f>IF(VLOOKUP(E140,Sheet2!$W$4:$AA$49,5,0)=0,"",VLOOKUP(E140,Sheet2!$W$4:$AA$49,5,0))</f>
        <v/>
      </c>
      <c r="J140" s="6">
        <v>0</v>
      </c>
      <c r="K140" s="6">
        <v>0</v>
      </c>
      <c r="L140" s="6" t="str">
        <f>IF(VLOOKUP(E140,Sheet2!$W$4:$X$49,2,0)=0,"",VLOOKUP(E140,Sheet2!$W$4:$X$49,2,0))</f>
        <v/>
      </c>
      <c r="N140" s="6" t="str">
        <f>IF(VLOOKUP(E140,Sheet2!$W$4:$Y$49,3,0)=0,"",VLOOKUP(E140,Sheet2!$W$4:$Y$49,3,0))</f>
        <v/>
      </c>
      <c r="Q140" s="6" t="str">
        <f>IF(VLOOKUP(E140,Sheet2!$W$4:$Z$49,4,0)=0,"",VLOOKUP(E140,Sheet2!$W$4:$Z$49,4,0))</f>
        <v/>
      </c>
      <c r="R140" s="8">
        <v>120</v>
      </c>
      <c r="S140" s="14">
        <v>2</v>
      </c>
    </row>
    <row r="141" spans="1:19">
      <c r="A141" s="6">
        <f t="shared" si="4"/>
        <v>2801</v>
      </c>
      <c r="B141" s="6">
        <v>28</v>
      </c>
      <c r="C141" s="6">
        <v>1</v>
      </c>
      <c r="D141" s="6" t="s">
        <v>319</v>
      </c>
      <c r="E141" s="6">
        <v>103</v>
      </c>
      <c r="G141" s="6" t="s">
        <v>320</v>
      </c>
      <c r="H141" s="6">
        <f t="shared" ref="H141:H152" si="5">H136</f>
        <v>0</v>
      </c>
      <c r="I141" s="6" t="str">
        <f>IF(VLOOKUP(E141,Sheet2!$W$4:$AA$49,5,0)=0,"",VLOOKUP(E141,Sheet2!$W$4:$AA$49,5,0))</f>
        <v>[60001]</v>
      </c>
      <c r="J141" s="6">
        <v>0</v>
      </c>
      <c r="K141" s="6">
        <v>0</v>
      </c>
      <c r="L141" s="6" t="str">
        <f>IF(VLOOKUP(E141,Sheet2!$W$4:$X$49,2,0)=0,"",VLOOKUP(E141,Sheet2!$W$4:$X$49,2,0))</f>
        <v/>
      </c>
      <c r="N141" s="6" t="str">
        <f>IF(VLOOKUP(E141,Sheet2!$W$4:$Y$49,3,0)=0,"",VLOOKUP(E141,Sheet2!$W$4:$Y$49,3,0))</f>
        <v/>
      </c>
      <c r="Q141" s="6" t="str">
        <f>IF(VLOOKUP(E141,Sheet2!$W$4:$Z$49,4,0)=0,"",VLOOKUP(E141,Sheet2!$W$4:$Z$49,4,0))</f>
        <v/>
      </c>
      <c r="R141" s="8">
        <v>35</v>
      </c>
      <c r="S141" s="14">
        <v>2</v>
      </c>
    </row>
    <row r="142" spans="1:19">
      <c r="A142" s="6">
        <f t="shared" si="4"/>
        <v>2802</v>
      </c>
      <c r="B142" s="6">
        <v>28</v>
      </c>
      <c r="C142" s="6">
        <v>2</v>
      </c>
      <c r="D142" s="6" t="s">
        <v>321</v>
      </c>
      <c r="E142" s="6">
        <v>104</v>
      </c>
      <c r="G142" s="6" t="s">
        <v>322</v>
      </c>
      <c r="H142" s="6">
        <f t="shared" si="5"/>
        <v>0</v>
      </c>
      <c r="I142" s="6" t="str">
        <f>IF(VLOOKUP(E142,Sheet2!$W$4:$AA$49,5,0)=0,"",VLOOKUP(E142,Sheet2!$W$4:$AA$49,5,0))</f>
        <v/>
      </c>
      <c r="J142" s="6">
        <v>0</v>
      </c>
      <c r="K142" s="6">
        <v>0</v>
      </c>
      <c r="L142" s="6" t="str">
        <f>IF(VLOOKUP(E142,Sheet2!$W$4:$X$49,2,0)=0,"",VLOOKUP(E142,Sheet2!$W$4:$X$49,2,0))</f>
        <v/>
      </c>
      <c r="N142" s="6" t="str">
        <f>IF(VLOOKUP(E142,Sheet2!$W$4:$Y$49,3,0)=0,"",VLOOKUP(E142,Sheet2!$W$4:$Y$49,3,0))</f>
        <v/>
      </c>
      <c r="Q142" s="6" t="str">
        <f>IF(VLOOKUP(E142,Sheet2!$W$4:$Z$49,4,0)=0,"",VLOOKUP(E142,Sheet2!$W$4:$Z$49,4,0))</f>
        <v/>
      </c>
      <c r="R142" s="8">
        <v>35</v>
      </c>
      <c r="S142" s="14">
        <v>2</v>
      </c>
    </row>
    <row r="143" spans="1:19">
      <c r="A143" s="6">
        <f t="shared" si="4"/>
        <v>2803</v>
      </c>
      <c r="B143" s="6">
        <v>28</v>
      </c>
      <c r="C143" s="6">
        <v>3</v>
      </c>
      <c r="D143" s="6" t="s">
        <v>323</v>
      </c>
      <c r="E143" s="6">
        <v>106</v>
      </c>
      <c r="G143" s="6" t="s">
        <v>324</v>
      </c>
      <c r="H143" s="6">
        <v>0</v>
      </c>
      <c r="I143" s="6" t="str">
        <f>IF(VLOOKUP(E143,Sheet2!$W$4:$AA$49,5,0)=0,"",VLOOKUP(E143,Sheet2!$W$4:$AA$49,5,0))</f>
        <v>[60002]</v>
      </c>
      <c r="J143" s="6">
        <v>0</v>
      </c>
      <c r="K143" s="6">
        <v>0</v>
      </c>
      <c r="L143" s="6">
        <f>IF(VLOOKUP(E143,Sheet2!$W$4:$X$49,2,0)=0,"",VLOOKUP(E143,Sheet2!$W$4:$X$49,2,0))</f>
        <v>1</v>
      </c>
      <c r="N143" s="6">
        <f>IF(VLOOKUP(E143,Sheet2!$W$4:$Y$49,3,0)=0,"",VLOOKUP(E143,Sheet2!$W$4:$Y$49,3,0))</f>
        <v>2002</v>
      </c>
      <c r="Q143" s="6" t="str">
        <f>IF(VLOOKUP(E143,Sheet2!$W$4:$Z$49,4,0)=0,"",VLOOKUP(E143,Sheet2!$W$4:$Z$49,4,0))</f>
        <v>[{50012,6}]</v>
      </c>
      <c r="R143" s="8">
        <v>35</v>
      </c>
      <c r="S143" s="14">
        <v>2</v>
      </c>
    </row>
    <row r="144" spans="1:19">
      <c r="A144" s="6">
        <f t="shared" si="4"/>
        <v>2821</v>
      </c>
      <c r="B144" s="6">
        <v>28</v>
      </c>
      <c r="C144" s="6">
        <v>4</v>
      </c>
      <c r="D144" s="6" t="s">
        <v>325</v>
      </c>
      <c r="E144" s="6">
        <v>503</v>
      </c>
      <c r="G144" s="6" t="s">
        <v>326</v>
      </c>
      <c r="H144" s="6">
        <f t="shared" si="5"/>
        <v>2</v>
      </c>
      <c r="I144" s="6" t="str">
        <f>IF(VLOOKUP(E144,Sheet2!$W$4:$AA$49,5,0)=0,"",VLOOKUP(E144,Sheet2!$W$4:$AA$49,5,0))</f>
        <v>[60001]</v>
      </c>
      <c r="J144" s="6">
        <v>0</v>
      </c>
      <c r="K144" s="6">
        <v>0</v>
      </c>
      <c r="L144" s="6" t="str">
        <f>IF(VLOOKUP(E144,Sheet2!$W$4:$X$49,2,0)=0,"",VLOOKUP(E144,Sheet2!$W$4:$X$49,2,0))</f>
        <v/>
      </c>
      <c r="N144" s="6" t="str">
        <f>IF(VLOOKUP(E144,Sheet2!$W$4:$Y$49,3,0)=0,"",VLOOKUP(E144,Sheet2!$W$4:$Y$49,3,0))</f>
        <v/>
      </c>
      <c r="Q144" s="6" t="str">
        <f>IF(VLOOKUP(E144,Sheet2!$W$4:$Z$49,4,0)=0,"",VLOOKUP(E144,Sheet2!$W$4:$Z$49,4,0))</f>
        <v/>
      </c>
      <c r="R144" s="8">
        <v>200</v>
      </c>
      <c r="S144" s="14">
        <v>2</v>
      </c>
    </row>
    <row r="145" spans="1:19">
      <c r="A145" s="6">
        <f t="shared" si="4"/>
        <v>2831</v>
      </c>
      <c r="B145" s="6">
        <v>28</v>
      </c>
      <c r="C145" s="6">
        <v>5</v>
      </c>
      <c r="D145" s="6" t="s">
        <v>327</v>
      </c>
      <c r="E145" s="6">
        <v>503</v>
      </c>
      <c r="G145" s="6" t="s">
        <v>328</v>
      </c>
      <c r="H145" s="6">
        <f t="shared" si="5"/>
        <v>2</v>
      </c>
      <c r="I145" s="6" t="str">
        <f>IF(VLOOKUP(E145,Sheet2!$W$4:$AA$49,5,0)=0,"",VLOOKUP(E145,Sheet2!$W$4:$AA$49,5,0))</f>
        <v>[60001]</v>
      </c>
      <c r="J145" s="6">
        <v>0</v>
      </c>
      <c r="K145" s="6">
        <v>0</v>
      </c>
      <c r="L145" s="6" t="str">
        <f>IF(VLOOKUP(E145,Sheet2!$W$4:$X$49,2,0)=0,"",VLOOKUP(E145,Sheet2!$W$4:$X$49,2,0))</f>
        <v/>
      </c>
      <c r="N145" s="6" t="str">
        <f>IF(VLOOKUP(E145,Sheet2!$W$4:$Y$49,3,0)=0,"",VLOOKUP(E145,Sheet2!$W$4:$Y$49,3,0))</f>
        <v/>
      </c>
      <c r="Q145" s="6" t="str">
        <f>IF(VLOOKUP(E145,Sheet2!$W$4:$Z$49,4,0)=0,"",VLOOKUP(E145,Sheet2!$W$4:$Z$49,4,0))</f>
        <v/>
      </c>
      <c r="R145" s="8">
        <v>200</v>
      </c>
      <c r="S145" s="14">
        <v>2</v>
      </c>
    </row>
    <row r="146" spans="1:19">
      <c r="A146" s="6">
        <f t="shared" si="4"/>
        <v>2901</v>
      </c>
      <c r="B146" s="6">
        <v>29</v>
      </c>
      <c r="C146" s="6">
        <v>1</v>
      </c>
      <c r="D146" s="6" t="s">
        <v>329</v>
      </c>
      <c r="E146" s="6">
        <v>108</v>
      </c>
      <c r="G146" s="6" t="s">
        <v>330</v>
      </c>
      <c r="H146" s="6">
        <f t="shared" si="5"/>
        <v>0</v>
      </c>
      <c r="I146" s="6" t="str">
        <f>IF(VLOOKUP(E146,Sheet2!$W$4:$AA$49,5,0)=0,"",VLOOKUP(E146,Sheet2!$W$4:$AA$49,5,0))</f>
        <v/>
      </c>
      <c r="J146" s="6">
        <v>0</v>
      </c>
      <c r="K146" s="6">
        <v>0</v>
      </c>
      <c r="L146" s="6" t="str">
        <f>IF(VLOOKUP(E146,Sheet2!$W$4:$X$49,2,0)=0,"",VLOOKUP(E146,Sheet2!$W$4:$X$49,2,0))</f>
        <v/>
      </c>
      <c r="N146" s="6" t="str">
        <f>IF(VLOOKUP(E146,Sheet2!$W$4:$Y$49,3,0)=0,"",VLOOKUP(E146,Sheet2!$W$4:$Y$49,3,0))</f>
        <v/>
      </c>
      <c r="Q146" s="6" t="str">
        <f>IF(VLOOKUP(E146,Sheet2!$W$4:$Z$49,4,0)=0,"",VLOOKUP(E146,Sheet2!$W$4:$Z$49,4,0))</f>
        <v/>
      </c>
      <c r="R146" s="8">
        <v>35</v>
      </c>
      <c r="S146" s="14">
        <v>2</v>
      </c>
    </row>
    <row r="147" spans="1:19">
      <c r="A147" s="6">
        <f t="shared" si="4"/>
        <v>2902</v>
      </c>
      <c r="B147" s="6">
        <v>29</v>
      </c>
      <c r="C147" s="6">
        <v>2</v>
      </c>
      <c r="D147" s="6" t="s">
        <v>331</v>
      </c>
      <c r="E147" s="6">
        <v>110</v>
      </c>
      <c r="G147" s="6" t="s">
        <v>332</v>
      </c>
      <c r="H147" s="6">
        <f t="shared" si="5"/>
        <v>0</v>
      </c>
      <c r="I147" s="6" t="str">
        <f>IF(VLOOKUP(E147,Sheet2!$W$4:$AA$49,5,0)=0,"",VLOOKUP(E147,Sheet2!$W$4:$AA$49,5,0))</f>
        <v/>
      </c>
      <c r="J147" s="6">
        <v>0</v>
      </c>
      <c r="K147" s="6">
        <v>0</v>
      </c>
      <c r="L147" s="6" t="str">
        <f>IF(VLOOKUP(E147,Sheet2!$W$4:$X$49,2,0)=0,"",VLOOKUP(E147,Sheet2!$W$4:$X$49,2,0))</f>
        <v/>
      </c>
      <c r="N147" s="6" t="str">
        <f>IF(VLOOKUP(E147,Sheet2!$W$4:$Y$49,3,0)=0,"",VLOOKUP(E147,Sheet2!$W$4:$Y$49,3,0))</f>
        <v/>
      </c>
      <c r="Q147" s="6" t="str">
        <f>IF(VLOOKUP(E147,Sheet2!$W$4:$Z$49,4,0)=0,"",VLOOKUP(E147,Sheet2!$W$4:$Z$49,4,0))</f>
        <v/>
      </c>
      <c r="R147" s="8">
        <v>35</v>
      </c>
      <c r="S147" s="14">
        <v>2</v>
      </c>
    </row>
    <row r="148" spans="1:19">
      <c r="A148" s="6">
        <f t="shared" si="4"/>
        <v>2903</v>
      </c>
      <c r="B148" s="6">
        <v>29</v>
      </c>
      <c r="C148" s="6">
        <v>3</v>
      </c>
      <c r="D148" s="6" t="s">
        <v>333</v>
      </c>
      <c r="E148" s="6">
        <v>114</v>
      </c>
      <c r="G148" s="6" t="s">
        <v>334</v>
      </c>
      <c r="H148" s="6">
        <v>0</v>
      </c>
      <c r="I148" s="6" t="str">
        <f>IF(VLOOKUP(E148,Sheet2!$W$4:$AA$49,5,0)=0,"",VLOOKUP(E148,Sheet2!$W$4:$AA$49,5,0))</f>
        <v/>
      </c>
      <c r="J148" s="6">
        <v>0</v>
      </c>
      <c r="K148" s="6">
        <v>0</v>
      </c>
      <c r="L148" s="6" t="str">
        <f>IF(VLOOKUP(E148,Sheet2!$W$4:$X$49,2,0)=0,"",VLOOKUP(E148,Sheet2!$W$4:$X$49,2,0))</f>
        <v/>
      </c>
      <c r="N148" s="6" t="str">
        <f>IF(VLOOKUP(E148,Sheet2!$W$4:$Y$49,3,0)=0,"",VLOOKUP(E148,Sheet2!$W$4:$Y$49,3,0))</f>
        <v/>
      </c>
      <c r="Q148" s="6" t="str">
        <f>IF(VLOOKUP(E148,Sheet2!$W$4:$Z$49,4,0)=0,"",VLOOKUP(E148,Sheet2!$W$4:$Z$49,4,0))</f>
        <v/>
      </c>
      <c r="R148" s="8">
        <v>35</v>
      </c>
      <c r="S148" s="14">
        <v>2</v>
      </c>
    </row>
    <row r="149" spans="1:19">
      <c r="A149" s="6">
        <f t="shared" si="4"/>
        <v>2921</v>
      </c>
      <c r="B149" s="6">
        <v>29</v>
      </c>
      <c r="C149" s="6">
        <v>4</v>
      </c>
      <c r="D149" s="6" t="s">
        <v>335</v>
      </c>
      <c r="E149" s="6">
        <v>508</v>
      </c>
      <c r="G149" s="6" t="s">
        <v>336</v>
      </c>
      <c r="H149" s="6">
        <f>H144</f>
        <v>2</v>
      </c>
      <c r="I149" s="6" t="str">
        <f>IF(VLOOKUP(E149,Sheet2!$W$4:$AA$49,5,0)=0,"",VLOOKUP(E149,Sheet2!$W$4:$AA$49,5,0))</f>
        <v/>
      </c>
      <c r="J149" s="6">
        <v>0</v>
      </c>
      <c r="K149" s="6">
        <v>0</v>
      </c>
      <c r="L149" s="6" t="str">
        <f>IF(VLOOKUP(E149,Sheet2!$W$4:$X$49,2,0)=0,"",VLOOKUP(E149,Sheet2!$W$4:$X$49,2,0))</f>
        <v/>
      </c>
      <c r="N149" s="6" t="str">
        <f>IF(VLOOKUP(E149,Sheet2!$W$4:$Y$49,3,0)=0,"",VLOOKUP(E149,Sheet2!$W$4:$Y$49,3,0))</f>
        <v/>
      </c>
      <c r="Q149" s="6" t="str">
        <f>IF(VLOOKUP(E149,Sheet2!$W$4:$Z$49,4,0)=0,"",VLOOKUP(E149,Sheet2!$W$4:$Z$49,4,0))</f>
        <v/>
      </c>
      <c r="R149" s="8">
        <v>200</v>
      </c>
      <c r="S149" s="14">
        <v>2</v>
      </c>
    </row>
    <row r="150" spans="1:19">
      <c r="A150" s="6">
        <f t="shared" si="4"/>
        <v>2931</v>
      </c>
      <c r="B150" s="6">
        <v>29</v>
      </c>
      <c r="C150" s="6">
        <v>5</v>
      </c>
      <c r="D150" s="6" t="s">
        <v>337</v>
      </c>
      <c r="E150" s="6">
        <v>508</v>
      </c>
      <c r="G150" s="6" t="s">
        <v>338</v>
      </c>
      <c r="H150" s="6">
        <f>H145</f>
        <v>2</v>
      </c>
      <c r="I150" s="6" t="str">
        <f>IF(VLOOKUP(E150,Sheet2!$W$4:$AA$49,5,0)=0,"",VLOOKUP(E150,Sheet2!$W$4:$AA$49,5,0))</f>
        <v/>
      </c>
      <c r="J150" s="6">
        <v>0</v>
      </c>
      <c r="K150" s="6">
        <v>0</v>
      </c>
      <c r="L150" s="6" t="str">
        <f>IF(VLOOKUP(E150,Sheet2!$W$4:$X$49,2,0)=0,"",VLOOKUP(E150,Sheet2!$W$4:$X$49,2,0))</f>
        <v/>
      </c>
      <c r="N150" s="6" t="str">
        <f>IF(VLOOKUP(E150,Sheet2!$W$4:$Y$49,3,0)=0,"",VLOOKUP(E150,Sheet2!$W$4:$Y$49,3,0))</f>
        <v/>
      </c>
      <c r="Q150" s="6" t="str">
        <f>IF(VLOOKUP(E150,Sheet2!$W$4:$Z$49,4,0)=0,"",VLOOKUP(E150,Sheet2!$W$4:$Z$49,4,0))</f>
        <v/>
      </c>
      <c r="R150" s="8">
        <v>200</v>
      </c>
      <c r="S150" s="14">
        <v>2</v>
      </c>
    </row>
    <row r="151" spans="1:19">
      <c r="A151" s="6">
        <f t="shared" si="4"/>
        <v>3001</v>
      </c>
      <c r="B151" s="6">
        <v>30</v>
      </c>
      <c r="C151" s="6">
        <v>1</v>
      </c>
      <c r="D151" s="6" t="s">
        <v>339</v>
      </c>
      <c r="E151" s="6">
        <v>110</v>
      </c>
      <c r="G151" s="6" t="s">
        <v>340</v>
      </c>
      <c r="H151" s="6">
        <f t="shared" si="5"/>
        <v>0</v>
      </c>
      <c r="I151" s="6" t="str">
        <f>IF(VLOOKUP(E151,Sheet2!$W$4:$AA$49,5,0)=0,"",VLOOKUP(E151,Sheet2!$W$4:$AA$49,5,0))</f>
        <v/>
      </c>
      <c r="J151" s="6">
        <v>0</v>
      </c>
      <c r="K151" s="6">
        <v>0</v>
      </c>
      <c r="L151" s="6" t="str">
        <f>IF(VLOOKUP(E151,Sheet2!$W$4:$X$49,2,0)=0,"",VLOOKUP(E151,Sheet2!$W$4:$X$49,2,0))</f>
        <v/>
      </c>
      <c r="N151" s="6" t="str">
        <f>IF(VLOOKUP(E151,Sheet2!$W$4:$Y$49,3,0)=0,"",VLOOKUP(E151,Sheet2!$W$4:$Y$49,3,0))</f>
        <v/>
      </c>
      <c r="Q151" s="6" t="str">
        <f>IF(VLOOKUP(E151,Sheet2!$W$4:$Z$49,4,0)=0,"",VLOOKUP(E151,Sheet2!$W$4:$Z$49,4,0))</f>
        <v/>
      </c>
      <c r="R151" s="8">
        <v>35</v>
      </c>
      <c r="S151" s="14">
        <v>2</v>
      </c>
    </row>
    <row r="152" spans="1:19">
      <c r="A152" s="6">
        <f t="shared" si="4"/>
        <v>3002</v>
      </c>
      <c r="B152" s="6">
        <v>30</v>
      </c>
      <c r="C152" s="6">
        <v>2</v>
      </c>
      <c r="D152" s="6" t="s">
        <v>341</v>
      </c>
      <c r="E152" s="6">
        <v>114</v>
      </c>
      <c r="G152" s="6" t="s">
        <v>342</v>
      </c>
      <c r="H152" s="6">
        <f t="shared" si="5"/>
        <v>0</v>
      </c>
      <c r="I152" s="6" t="str">
        <f>IF(VLOOKUP(E152,Sheet2!$W$4:$AA$49,5,0)=0,"",VLOOKUP(E152,Sheet2!$W$4:$AA$49,5,0))</f>
        <v/>
      </c>
      <c r="J152" s="6">
        <v>0</v>
      </c>
      <c r="K152" s="6">
        <v>0</v>
      </c>
      <c r="L152" s="6" t="str">
        <f>IF(VLOOKUP(E152,Sheet2!$W$4:$X$49,2,0)=0,"",VLOOKUP(E152,Sheet2!$W$4:$X$49,2,0))</f>
        <v/>
      </c>
      <c r="N152" s="6" t="str">
        <f>IF(VLOOKUP(E152,Sheet2!$W$4:$Y$49,3,0)=0,"",VLOOKUP(E152,Sheet2!$W$4:$Y$49,3,0))</f>
        <v/>
      </c>
      <c r="Q152" s="6" t="str">
        <f>IF(VLOOKUP(E152,Sheet2!$W$4:$Z$49,4,0)=0,"",VLOOKUP(E152,Sheet2!$W$4:$Z$49,4,0))</f>
        <v/>
      </c>
      <c r="R152" s="8">
        <v>35</v>
      </c>
      <c r="S152" s="14">
        <v>2</v>
      </c>
    </row>
    <row r="153" spans="1:19">
      <c r="A153" s="6">
        <f t="shared" si="4"/>
        <v>3003</v>
      </c>
      <c r="B153" s="6">
        <v>30</v>
      </c>
      <c r="C153" s="6">
        <v>3</v>
      </c>
      <c r="D153" s="6" t="s">
        <v>343</v>
      </c>
      <c r="E153" s="6">
        <v>109</v>
      </c>
      <c r="G153" s="6" t="s">
        <v>344</v>
      </c>
      <c r="H153" s="6">
        <v>0</v>
      </c>
      <c r="I153" s="6" t="str">
        <f>IF(VLOOKUP(E153,Sheet2!$W$4:$AA$49,5,0)=0,"",VLOOKUP(E153,Sheet2!$W$4:$AA$49,5,0))</f>
        <v/>
      </c>
      <c r="J153" s="6">
        <v>0</v>
      </c>
      <c r="K153" s="6">
        <v>0</v>
      </c>
      <c r="L153" s="6">
        <f>IF(VLOOKUP(E153,Sheet2!$W$4:$X$49,2,0)=0,"",VLOOKUP(E153,Sheet2!$W$4:$X$49,2,0))</f>
        <v>1</v>
      </c>
      <c r="N153" s="6" t="str">
        <f>IF(VLOOKUP(E153,Sheet2!$W$4:$Y$49,3,0)=0,"",VLOOKUP(E153,Sheet2!$W$4:$Y$49,3,0))</f>
        <v/>
      </c>
      <c r="Q153" s="6" t="str">
        <f>IF(VLOOKUP(E153,Sheet2!$W$4:$Z$49,4,0)=0,"",VLOOKUP(E153,Sheet2!$W$4:$Z$49,4,0))</f>
        <v>[{50014,6}]</v>
      </c>
      <c r="R153" s="8">
        <v>35</v>
      </c>
      <c r="S153" s="14">
        <v>2</v>
      </c>
    </row>
    <row r="154" spans="1:19">
      <c r="A154" s="6">
        <f t="shared" si="4"/>
        <v>3021</v>
      </c>
      <c r="B154" s="6">
        <v>30</v>
      </c>
      <c r="C154" s="6">
        <v>4</v>
      </c>
      <c r="D154" s="6" t="s">
        <v>345</v>
      </c>
      <c r="E154" s="6">
        <v>514</v>
      </c>
      <c r="G154" s="6" t="s">
        <v>346</v>
      </c>
      <c r="H154" s="6">
        <f>H149</f>
        <v>2</v>
      </c>
      <c r="I154" s="6" t="str">
        <f>IF(VLOOKUP(E154,Sheet2!$W$4:$AA$49,5,0)=0,"",VLOOKUP(E154,Sheet2!$W$4:$AA$49,5,0))</f>
        <v/>
      </c>
      <c r="J154" s="6">
        <v>0</v>
      </c>
      <c r="K154" s="6">
        <v>0</v>
      </c>
      <c r="L154" s="6" t="str">
        <f>IF(VLOOKUP(E154,Sheet2!$W$4:$X$49,2,0)=0,"",VLOOKUP(E154,Sheet2!$W$4:$X$49,2,0))</f>
        <v/>
      </c>
      <c r="N154" s="6" t="str">
        <f>IF(VLOOKUP(E154,Sheet2!$W$4:$Y$49,3,0)=0,"",VLOOKUP(E154,Sheet2!$W$4:$Y$49,3,0))</f>
        <v/>
      </c>
      <c r="Q154" s="6" t="str">
        <f>IF(VLOOKUP(E154,Sheet2!$W$4:$Z$49,4,0)=0,"",VLOOKUP(E154,Sheet2!$W$4:$Z$49,4,0))</f>
        <v/>
      </c>
      <c r="R154" s="8">
        <v>200</v>
      </c>
      <c r="S154" s="14">
        <v>2</v>
      </c>
    </row>
    <row r="155" spans="1:19">
      <c r="A155" s="6">
        <f t="shared" si="4"/>
        <v>3031</v>
      </c>
      <c r="B155" s="6">
        <v>30</v>
      </c>
      <c r="C155" s="6">
        <v>5</v>
      </c>
      <c r="D155" s="6" t="s">
        <v>347</v>
      </c>
      <c r="E155" s="6">
        <v>514</v>
      </c>
      <c r="G155" s="6" t="s">
        <v>348</v>
      </c>
      <c r="H155" s="6">
        <f>H150</f>
        <v>2</v>
      </c>
      <c r="I155" s="6" t="str">
        <f>IF(VLOOKUP(E155,Sheet2!$W$4:$AA$49,5,0)=0,"",VLOOKUP(E155,Sheet2!$W$4:$AA$49,5,0))</f>
        <v/>
      </c>
      <c r="J155" s="6">
        <v>0</v>
      </c>
      <c r="K155" s="6">
        <v>0</v>
      </c>
      <c r="L155" s="6" t="str">
        <f>IF(VLOOKUP(E155,Sheet2!$W$4:$X$49,2,0)=0,"",VLOOKUP(E155,Sheet2!$W$4:$X$49,2,0))</f>
        <v/>
      </c>
      <c r="N155" s="6" t="str">
        <f>IF(VLOOKUP(E155,Sheet2!$W$4:$Y$49,3,0)=0,"",VLOOKUP(E155,Sheet2!$W$4:$Y$49,3,0))</f>
        <v/>
      </c>
      <c r="Q155" s="6" t="str">
        <f>IF(VLOOKUP(E155,Sheet2!$W$4:$Z$49,4,0)=0,"",VLOOKUP(E155,Sheet2!$W$4:$Z$49,4,0))</f>
        <v/>
      </c>
      <c r="R155" s="8">
        <v>200</v>
      </c>
      <c r="S155" s="14">
        <v>2</v>
      </c>
    </row>
    <row r="156" spans="1:19">
      <c r="A156" s="6">
        <f t="shared" ref="A156:A180" si="6">A151+100</f>
        <v>3101</v>
      </c>
      <c r="B156" s="6">
        <f>B151+1</f>
        <v>31</v>
      </c>
      <c r="C156" s="6">
        <f>C151</f>
        <v>1</v>
      </c>
      <c r="D156" s="6" t="s">
        <v>349</v>
      </c>
      <c r="E156" s="6">
        <v>111</v>
      </c>
      <c r="G156" s="6" t="s">
        <v>350</v>
      </c>
      <c r="H156" s="6">
        <f t="shared" ref="H156:H180" si="7">H151</f>
        <v>0</v>
      </c>
      <c r="I156" s="6" t="str">
        <f>IF(VLOOKUP(E156,Sheet2!$W$4:$AA$49,5,0)=0,"",VLOOKUP(E156,Sheet2!$W$4:$AA$49,5,0))</f>
        <v/>
      </c>
      <c r="J156" s="6">
        <v>0</v>
      </c>
      <c r="K156" s="6">
        <v>0</v>
      </c>
      <c r="L156" s="6" t="str">
        <f>IF(VLOOKUP(E156,Sheet2!$W$4:$X$49,2,0)=0,"",VLOOKUP(E156,Sheet2!$W$4:$X$49,2,0))</f>
        <v/>
      </c>
      <c r="N156" s="6" t="str">
        <f>IF(VLOOKUP(E156,Sheet2!$W$4:$Y$49,3,0)=0,"",VLOOKUP(E156,Sheet2!$W$4:$Y$49,3,0))</f>
        <v/>
      </c>
      <c r="Q156" s="6" t="str">
        <f>IF(VLOOKUP(E156,Sheet2!$W$4:$Z$49,4,0)=0,"",VLOOKUP(E156,Sheet2!$W$4:$Z$49,4,0))</f>
        <v/>
      </c>
      <c r="R156" s="8">
        <v>28</v>
      </c>
      <c r="S156" s="14">
        <v>2</v>
      </c>
    </row>
    <row r="157" spans="1:19">
      <c r="A157" s="6">
        <f t="shared" si="6"/>
        <v>3102</v>
      </c>
      <c r="B157" s="6">
        <f t="shared" ref="B157:B180" si="8">B152+1</f>
        <v>31</v>
      </c>
      <c r="C157" s="6">
        <f t="shared" ref="C157:C180" si="9">C152</f>
        <v>2</v>
      </c>
      <c r="D157" s="6" t="s">
        <v>351</v>
      </c>
      <c r="E157" s="6">
        <v>115</v>
      </c>
      <c r="G157" s="6" t="s">
        <v>352</v>
      </c>
      <c r="H157" s="6">
        <f t="shared" si="7"/>
        <v>0</v>
      </c>
      <c r="I157" s="6" t="str">
        <f>IF(VLOOKUP(E157,Sheet2!$W$4:$AA$49,5,0)=0,"",VLOOKUP(E157,Sheet2!$W$4:$AA$49,5,0))</f>
        <v/>
      </c>
      <c r="J157" s="6">
        <v>0</v>
      </c>
      <c r="K157" s="6">
        <v>0</v>
      </c>
      <c r="L157" s="6" t="str">
        <f>IF(VLOOKUP(E157,Sheet2!$W$4:$X$49,2,0)=0,"",VLOOKUP(E157,Sheet2!$W$4:$X$49,2,0))</f>
        <v/>
      </c>
      <c r="N157" s="6" t="str">
        <f>IF(VLOOKUP(E157,Sheet2!$W$4:$Y$49,3,0)=0,"",VLOOKUP(E157,Sheet2!$W$4:$Y$49,3,0))</f>
        <v/>
      </c>
      <c r="Q157" s="6" t="str">
        <f>IF(VLOOKUP(E157,Sheet2!$W$4:$Z$49,4,0)=0,"",VLOOKUP(E157,Sheet2!$W$4:$Z$49,4,0))</f>
        <v/>
      </c>
      <c r="R157" s="8">
        <v>28</v>
      </c>
      <c r="S157" s="14">
        <v>2</v>
      </c>
    </row>
    <row r="158" spans="1:19">
      <c r="A158" s="6">
        <f t="shared" si="6"/>
        <v>3103</v>
      </c>
      <c r="B158" s="6">
        <f t="shared" si="8"/>
        <v>31</v>
      </c>
      <c r="C158" s="6">
        <f t="shared" si="9"/>
        <v>3</v>
      </c>
      <c r="D158" s="6" t="s">
        <v>353</v>
      </c>
      <c r="E158" s="6">
        <v>113</v>
      </c>
      <c r="G158" s="6" t="s">
        <v>354</v>
      </c>
      <c r="H158" s="6">
        <f t="shared" si="7"/>
        <v>0</v>
      </c>
      <c r="I158" s="6" t="str">
        <f>IF(VLOOKUP(E158,Sheet2!$W$4:$AA$49,5,0)=0,"",VLOOKUP(E158,Sheet2!$W$4:$AA$49,5,0))</f>
        <v>[60005]</v>
      </c>
      <c r="J158" s="6">
        <v>0</v>
      </c>
      <c r="K158" s="6">
        <v>0</v>
      </c>
      <c r="L158" s="6">
        <f>IF(VLOOKUP(E158,Sheet2!$W$4:$X$49,2,0)=0,"",VLOOKUP(E158,Sheet2!$W$4:$X$49,2,0))</f>
        <v>1</v>
      </c>
      <c r="N158" s="6" t="str">
        <f>IF(VLOOKUP(E158,Sheet2!$W$4:$Y$49,3,0)=0,"",VLOOKUP(E158,Sheet2!$W$4:$Y$49,3,0))</f>
        <v/>
      </c>
      <c r="Q158" s="6" t="str">
        <f>IF(VLOOKUP(E158,Sheet2!$W$4:$Z$49,4,0)=0,"",VLOOKUP(E158,Sheet2!$W$4:$Z$49,4,0))</f>
        <v>[{50016,6}]</v>
      </c>
      <c r="R158" s="8">
        <v>28</v>
      </c>
      <c r="S158" s="14">
        <v>2</v>
      </c>
    </row>
    <row r="159" spans="1:19">
      <c r="A159" s="6">
        <f t="shared" si="6"/>
        <v>3121</v>
      </c>
      <c r="B159" s="6">
        <f t="shared" si="8"/>
        <v>31</v>
      </c>
      <c r="C159" s="6">
        <f t="shared" si="9"/>
        <v>4</v>
      </c>
      <c r="D159" s="6" t="s">
        <v>355</v>
      </c>
      <c r="E159" s="6">
        <v>515</v>
      </c>
      <c r="G159" s="6" t="s">
        <v>356</v>
      </c>
      <c r="H159" s="6">
        <f t="shared" si="7"/>
        <v>2</v>
      </c>
      <c r="I159" s="6" t="str">
        <f>IF(VLOOKUP(E159,Sheet2!$W$4:$AA$49,5,0)=0,"",VLOOKUP(E159,Sheet2!$W$4:$AA$49,5,0))</f>
        <v/>
      </c>
      <c r="J159" s="6">
        <v>0</v>
      </c>
      <c r="K159" s="6">
        <v>0</v>
      </c>
      <c r="L159" s="6" t="str">
        <f>IF(VLOOKUP(E159,Sheet2!$W$4:$X$49,2,0)=0,"",VLOOKUP(E159,Sheet2!$W$4:$X$49,2,0))</f>
        <v/>
      </c>
      <c r="N159" s="6" t="str">
        <f>IF(VLOOKUP(E159,Sheet2!$W$4:$Y$49,3,0)=0,"",VLOOKUP(E159,Sheet2!$W$4:$Y$49,3,0))</f>
        <v/>
      </c>
      <c r="Q159" s="6" t="str">
        <f>IF(VLOOKUP(E159,Sheet2!$W$4:$Z$49,4,0)=0,"",VLOOKUP(E159,Sheet2!$W$4:$Z$49,4,0))</f>
        <v/>
      </c>
      <c r="R159" s="8">
        <v>200</v>
      </c>
      <c r="S159" s="14">
        <v>2</v>
      </c>
    </row>
    <row r="160" spans="1:19">
      <c r="A160" s="6">
        <f t="shared" si="6"/>
        <v>3131</v>
      </c>
      <c r="B160" s="6">
        <f t="shared" si="8"/>
        <v>31</v>
      </c>
      <c r="C160" s="6">
        <f t="shared" si="9"/>
        <v>5</v>
      </c>
      <c r="D160" s="6" t="s">
        <v>357</v>
      </c>
      <c r="E160" s="6">
        <v>515</v>
      </c>
      <c r="G160" s="6" t="s">
        <v>358</v>
      </c>
      <c r="H160" s="6">
        <f t="shared" si="7"/>
        <v>2</v>
      </c>
      <c r="I160" s="6" t="str">
        <f>IF(VLOOKUP(E160,Sheet2!$W$4:$AA$49,5,0)=0,"",VLOOKUP(E160,Sheet2!$W$4:$AA$49,5,0))</f>
        <v/>
      </c>
      <c r="J160" s="6">
        <v>0</v>
      </c>
      <c r="K160" s="6">
        <v>0</v>
      </c>
      <c r="L160" s="6" t="str">
        <f>IF(VLOOKUP(E160,Sheet2!$W$4:$X$49,2,0)=0,"",VLOOKUP(E160,Sheet2!$W$4:$X$49,2,0))</f>
        <v/>
      </c>
      <c r="N160" s="6" t="str">
        <f>IF(VLOOKUP(E160,Sheet2!$W$4:$Y$49,3,0)=0,"",VLOOKUP(E160,Sheet2!$W$4:$Y$49,3,0))</f>
        <v/>
      </c>
      <c r="Q160" s="6" t="str">
        <f>IF(VLOOKUP(E160,Sheet2!$W$4:$Z$49,4,0)=0,"",VLOOKUP(E160,Sheet2!$W$4:$Z$49,4,0))</f>
        <v/>
      </c>
      <c r="R160" s="8">
        <v>200</v>
      </c>
      <c r="S160" s="14">
        <v>2</v>
      </c>
    </row>
    <row r="161" spans="1:19">
      <c r="A161" s="6">
        <f t="shared" si="6"/>
        <v>3201</v>
      </c>
      <c r="B161" s="6">
        <f t="shared" si="8"/>
        <v>32</v>
      </c>
      <c r="C161" s="6">
        <f t="shared" si="9"/>
        <v>1</v>
      </c>
      <c r="D161" s="6" t="s">
        <v>359</v>
      </c>
      <c r="E161" s="6">
        <v>111</v>
      </c>
      <c r="G161" s="6" t="s">
        <v>360</v>
      </c>
      <c r="H161" s="6">
        <f t="shared" si="7"/>
        <v>0</v>
      </c>
      <c r="I161" s="6" t="str">
        <f>IF(VLOOKUP(E161,Sheet2!$W$4:$AA$49,5,0)=0,"",VLOOKUP(E161,Sheet2!$W$4:$AA$49,5,0))</f>
        <v/>
      </c>
      <c r="J161" s="6">
        <v>0</v>
      </c>
      <c r="K161" s="6">
        <v>0</v>
      </c>
      <c r="L161" s="6" t="str">
        <f>IF(VLOOKUP(E161,Sheet2!$W$4:$X$49,2,0)=0,"",VLOOKUP(E161,Sheet2!$W$4:$X$49,2,0))</f>
        <v/>
      </c>
      <c r="N161" s="6" t="str">
        <f>IF(VLOOKUP(E161,Sheet2!$W$4:$Y$49,3,0)=0,"",VLOOKUP(E161,Sheet2!$W$4:$Y$49,3,0))</f>
        <v/>
      </c>
      <c r="Q161" s="6" t="str">
        <f>IF(VLOOKUP(E161,Sheet2!$W$4:$Z$49,4,0)=0,"",VLOOKUP(E161,Sheet2!$W$4:$Z$49,4,0))</f>
        <v/>
      </c>
      <c r="R161" s="8">
        <v>27</v>
      </c>
      <c r="S161" s="14">
        <v>2</v>
      </c>
    </row>
    <row r="162" spans="1:19">
      <c r="A162" s="6">
        <f t="shared" si="6"/>
        <v>3202</v>
      </c>
      <c r="B162" s="6">
        <f t="shared" si="8"/>
        <v>32</v>
      </c>
      <c r="C162" s="6">
        <f t="shared" si="9"/>
        <v>2</v>
      </c>
      <c r="D162" s="6" t="s">
        <v>361</v>
      </c>
      <c r="E162" s="6">
        <v>115</v>
      </c>
      <c r="G162" s="6" t="s">
        <v>362</v>
      </c>
      <c r="H162" s="6">
        <f t="shared" si="7"/>
        <v>0</v>
      </c>
      <c r="I162" s="6" t="str">
        <f>IF(VLOOKUP(E162,Sheet2!$W$4:$AA$49,5,0)=0,"",VLOOKUP(E162,Sheet2!$W$4:$AA$49,5,0))</f>
        <v/>
      </c>
      <c r="J162" s="6">
        <v>0</v>
      </c>
      <c r="K162" s="6">
        <v>0</v>
      </c>
      <c r="L162" s="6" t="str">
        <f>IF(VLOOKUP(E162,Sheet2!$W$4:$X$49,2,0)=0,"",VLOOKUP(E162,Sheet2!$W$4:$X$49,2,0))</f>
        <v/>
      </c>
      <c r="N162" s="6" t="str">
        <f>IF(VLOOKUP(E162,Sheet2!$W$4:$Y$49,3,0)=0,"",VLOOKUP(E162,Sheet2!$W$4:$Y$49,3,0))</f>
        <v/>
      </c>
      <c r="Q162" s="6" t="str">
        <f>IF(VLOOKUP(E162,Sheet2!$W$4:$Z$49,4,0)=0,"",VLOOKUP(E162,Sheet2!$W$4:$Z$49,4,0))</f>
        <v/>
      </c>
      <c r="R162" s="8">
        <v>27</v>
      </c>
      <c r="S162" s="14">
        <v>2</v>
      </c>
    </row>
    <row r="163" spans="1:19">
      <c r="A163" s="6">
        <f t="shared" si="6"/>
        <v>3203</v>
      </c>
      <c r="B163" s="6">
        <f t="shared" si="8"/>
        <v>32</v>
      </c>
      <c r="C163" s="6">
        <f t="shared" si="9"/>
        <v>3</v>
      </c>
      <c r="D163" s="6" t="s">
        <v>363</v>
      </c>
      <c r="E163" s="6">
        <v>113</v>
      </c>
      <c r="G163" s="6" t="s">
        <v>364</v>
      </c>
      <c r="H163" s="6">
        <f t="shared" si="7"/>
        <v>0</v>
      </c>
      <c r="I163" s="6" t="str">
        <f>IF(VLOOKUP(E163,Sheet2!$W$4:$AA$49,5,0)=0,"",VLOOKUP(E163,Sheet2!$W$4:$AA$49,5,0))</f>
        <v>[60005]</v>
      </c>
      <c r="J163" s="6">
        <v>0</v>
      </c>
      <c r="K163" s="6">
        <v>0</v>
      </c>
      <c r="L163" s="6">
        <f>IF(VLOOKUP(E163,Sheet2!$W$4:$X$49,2,0)=0,"",VLOOKUP(E163,Sheet2!$W$4:$X$49,2,0))</f>
        <v>1</v>
      </c>
      <c r="N163" s="6" t="str">
        <f>IF(VLOOKUP(E163,Sheet2!$W$4:$Y$49,3,0)=0,"",VLOOKUP(E163,Sheet2!$W$4:$Y$49,3,0))</f>
        <v/>
      </c>
      <c r="Q163" s="6" t="str">
        <f>IF(VLOOKUP(E163,Sheet2!$W$4:$Z$49,4,0)=0,"",VLOOKUP(E163,Sheet2!$W$4:$Z$49,4,0))</f>
        <v>[{50016,6}]</v>
      </c>
      <c r="R163" s="8">
        <v>27</v>
      </c>
      <c r="S163" s="14">
        <v>2</v>
      </c>
    </row>
    <row r="164" spans="1:19">
      <c r="A164" s="6">
        <f t="shared" si="6"/>
        <v>3221</v>
      </c>
      <c r="B164" s="6">
        <f t="shared" si="8"/>
        <v>32</v>
      </c>
      <c r="C164" s="6">
        <f t="shared" si="9"/>
        <v>4</v>
      </c>
      <c r="D164" s="6" t="s">
        <v>365</v>
      </c>
      <c r="E164" s="6">
        <v>515</v>
      </c>
      <c r="G164" s="6" t="s">
        <v>366</v>
      </c>
      <c r="H164" s="6">
        <f t="shared" si="7"/>
        <v>2</v>
      </c>
      <c r="I164" s="6" t="str">
        <f>IF(VLOOKUP(E164,Sheet2!$W$4:$AA$49,5,0)=0,"",VLOOKUP(E164,Sheet2!$W$4:$AA$49,5,0))</f>
        <v/>
      </c>
      <c r="J164" s="6">
        <v>0</v>
      </c>
      <c r="K164" s="6">
        <v>0</v>
      </c>
      <c r="L164" s="6" t="str">
        <f>IF(VLOOKUP(E164,Sheet2!$W$4:$X$49,2,0)=0,"",VLOOKUP(E164,Sheet2!$W$4:$X$49,2,0))</f>
        <v/>
      </c>
      <c r="N164" s="6" t="str">
        <f>IF(VLOOKUP(E164,Sheet2!$W$4:$Y$49,3,0)=0,"",VLOOKUP(E164,Sheet2!$W$4:$Y$49,3,0))</f>
        <v/>
      </c>
      <c r="Q164" s="6" t="str">
        <f>IF(VLOOKUP(E164,Sheet2!$W$4:$Z$49,4,0)=0,"",VLOOKUP(E164,Sheet2!$W$4:$Z$49,4,0))</f>
        <v/>
      </c>
      <c r="R164" s="8">
        <v>200</v>
      </c>
      <c r="S164" s="14">
        <v>2</v>
      </c>
    </row>
    <row r="165" spans="1:19">
      <c r="A165" s="6">
        <f t="shared" si="6"/>
        <v>3231</v>
      </c>
      <c r="B165" s="6">
        <f t="shared" si="8"/>
        <v>32</v>
      </c>
      <c r="C165" s="6">
        <f t="shared" si="9"/>
        <v>5</v>
      </c>
      <c r="D165" s="6" t="s">
        <v>367</v>
      </c>
      <c r="E165" s="6">
        <v>515</v>
      </c>
      <c r="G165" s="6" t="s">
        <v>368</v>
      </c>
      <c r="H165" s="6">
        <f t="shared" si="7"/>
        <v>2</v>
      </c>
      <c r="I165" s="6" t="str">
        <f>IF(VLOOKUP(E165,Sheet2!$W$4:$AA$49,5,0)=0,"",VLOOKUP(E165,Sheet2!$W$4:$AA$49,5,0))</f>
        <v/>
      </c>
      <c r="J165" s="6">
        <v>0</v>
      </c>
      <c r="K165" s="6">
        <v>0</v>
      </c>
      <c r="L165" s="6" t="str">
        <f>IF(VLOOKUP(E165,Sheet2!$W$4:$X$49,2,0)=0,"",VLOOKUP(E165,Sheet2!$W$4:$X$49,2,0))</f>
        <v/>
      </c>
      <c r="N165" s="6" t="str">
        <f>IF(VLOOKUP(E165,Sheet2!$W$4:$Y$49,3,0)=0,"",VLOOKUP(E165,Sheet2!$W$4:$Y$49,3,0))</f>
        <v/>
      </c>
      <c r="Q165" s="6" t="str">
        <f>IF(VLOOKUP(E165,Sheet2!$W$4:$Z$49,4,0)=0,"",VLOOKUP(E165,Sheet2!$W$4:$Z$49,4,0))</f>
        <v/>
      </c>
      <c r="R165" s="8">
        <v>200</v>
      </c>
      <c r="S165" s="14">
        <v>2</v>
      </c>
    </row>
    <row r="166" spans="1:19">
      <c r="A166" s="6">
        <f t="shared" si="6"/>
        <v>3301</v>
      </c>
      <c r="B166" s="6">
        <f t="shared" si="8"/>
        <v>33</v>
      </c>
      <c r="C166" s="6">
        <f t="shared" si="9"/>
        <v>1</v>
      </c>
      <c r="D166" s="6" t="s">
        <v>369</v>
      </c>
      <c r="E166" s="6">
        <v>110</v>
      </c>
      <c r="G166" s="6" t="s">
        <v>370</v>
      </c>
      <c r="H166" s="6">
        <f t="shared" si="7"/>
        <v>0</v>
      </c>
      <c r="I166" s="6" t="str">
        <f>IF(VLOOKUP(E166,Sheet2!$W$4:$AA$49,5,0)=0,"",VLOOKUP(E166,Sheet2!$W$4:$AA$49,5,0))</f>
        <v/>
      </c>
      <c r="J166" s="6">
        <v>0</v>
      </c>
      <c r="K166" s="6">
        <v>0</v>
      </c>
      <c r="L166" s="6" t="str">
        <f>IF(VLOOKUP(E166,Sheet2!$W$4:$X$49,2,0)=0,"",VLOOKUP(E166,Sheet2!$W$4:$X$49,2,0))</f>
        <v/>
      </c>
      <c r="N166" s="6" t="str">
        <f>IF(VLOOKUP(E166,Sheet2!$W$4:$Y$49,3,0)=0,"",VLOOKUP(E166,Sheet2!$W$4:$Y$49,3,0))</f>
        <v/>
      </c>
      <c r="Q166" s="6" t="str">
        <f>IF(VLOOKUP(E166,Sheet2!$W$4:$Z$49,4,0)=0,"",VLOOKUP(E166,Sheet2!$W$4:$Z$49,4,0))</f>
        <v/>
      </c>
      <c r="R166" s="8">
        <v>28</v>
      </c>
      <c r="S166" s="14">
        <v>2</v>
      </c>
    </row>
    <row r="167" spans="1:19">
      <c r="A167" s="6">
        <f t="shared" si="6"/>
        <v>3302</v>
      </c>
      <c r="B167" s="6">
        <f t="shared" si="8"/>
        <v>33</v>
      </c>
      <c r="C167" s="6">
        <f t="shared" si="9"/>
        <v>2</v>
      </c>
      <c r="D167" s="6" t="s">
        <v>371</v>
      </c>
      <c r="E167" s="6">
        <v>114</v>
      </c>
      <c r="G167" s="6" t="s">
        <v>372</v>
      </c>
      <c r="H167" s="6">
        <f t="shared" si="7"/>
        <v>0</v>
      </c>
      <c r="I167" s="6" t="str">
        <f>IF(VLOOKUP(E167,Sheet2!$W$4:$AA$49,5,0)=0,"",VLOOKUP(E167,Sheet2!$W$4:$AA$49,5,0))</f>
        <v/>
      </c>
      <c r="J167" s="6">
        <v>0</v>
      </c>
      <c r="K167" s="6">
        <v>0</v>
      </c>
      <c r="L167" s="6" t="str">
        <f>IF(VLOOKUP(E167,Sheet2!$W$4:$X$49,2,0)=0,"",VLOOKUP(E167,Sheet2!$W$4:$X$49,2,0))</f>
        <v/>
      </c>
      <c r="N167" s="6" t="str">
        <f>IF(VLOOKUP(E167,Sheet2!$W$4:$Y$49,3,0)=0,"",VLOOKUP(E167,Sheet2!$W$4:$Y$49,3,0))</f>
        <v/>
      </c>
      <c r="Q167" s="6" t="str">
        <f>IF(VLOOKUP(E167,Sheet2!$W$4:$Z$49,4,0)=0,"",VLOOKUP(E167,Sheet2!$W$4:$Z$49,4,0))</f>
        <v/>
      </c>
      <c r="R167" s="8">
        <v>28</v>
      </c>
      <c r="S167" s="14">
        <v>2</v>
      </c>
    </row>
    <row r="168" spans="1:19">
      <c r="A168" s="6">
        <f t="shared" si="6"/>
        <v>3303</v>
      </c>
      <c r="B168" s="6">
        <f t="shared" si="8"/>
        <v>33</v>
      </c>
      <c r="C168" s="6">
        <f t="shared" si="9"/>
        <v>3</v>
      </c>
      <c r="D168" s="6" t="s">
        <v>373</v>
      </c>
      <c r="E168" s="6">
        <v>109</v>
      </c>
      <c r="G168" s="6" t="s">
        <v>374</v>
      </c>
      <c r="H168" s="6">
        <f t="shared" si="7"/>
        <v>0</v>
      </c>
      <c r="I168" s="6" t="str">
        <f>IF(VLOOKUP(E168,Sheet2!$W$4:$AA$49,5,0)=0,"",VLOOKUP(E168,Sheet2!$W$4:$AA$49,5,0))</f>
        <v/>
      </c>
      <c r="J168" s="6">
        <v>0</v>
      </c>
      <c r="K168" s="6">
        <v>0</v>
      </c>
      <c r="L168" s="6">
        <f>IF(VLOOKUP(E168,Sheet2!$W$4:$X$49,2,0)=0,"",VLOOKUP(E168,Sheet2!$W$4:$X$49,2,0))</f>
        <v>1</v>
      </c>
      <c r="N168" s="6" t="str">
        <f>IF(VLOOKUP(E168,Sheet2!$W$4:$Y$49,3,0)=0,"",VLOOKUP(E168,Sheet2!$W$4:$Y$49,3,0))</f>
        <v/>
      </c>
      <c r="Q168" s="6" t="str">
        <f>IF(VLOOKUP(E168,Sheet2!$W$4:$Z$49,4,0)=0,"",VLOOKUP(E168,Sheet2!$W$4:$Z$49,4,0))</f>
        <v>[{50014,6}]</v>
      </c>
      <c r="R168" s="8">
        <v>28</v>
      </c>
      <c r="S168" s="14">
        <v>2</v>
      </c>
    </row>
    <row r="169" spans="1:19">
      <c r="A169" s="6">
        <f t="shared" si="6"/>
        <v>3321</v>
      </c>
      <c r="B169" s="6">
        <f t="shared" si="8"/>
        <v>33</v>
      </c>
      <c r="C169" s="6">
        <f t="shared" si="9"/>
        <v>4</v>
      </c>
      <c r="D169" s="6" t="s">
        <v>375</v>
      </c>
      <c r="E169" s="6">
        <v>514</v>
      </c>
      <c r="G169" s="6" t="s">
        <v>376</v>
      </c>
      <c r="H169" s="6">
        <f t="shared" si="7"/>
        <v>2</v>
      </c>
      <c r="I169" s="6" t="str">
        <f>IF(VLOOKUP(E169,Sheet2!$W$4:$AA$49,5,0)=0,"",VLOOKUP(E169,Sheet2!$W$4:$AA$49,5,0))</f>
        <v/>
      </c>
      <c r="J169" s="6">
        <v>0</v>
      </c>
      <c r="K169" s="6">
        <v>0</v>
      </c>
      <c r="L169" s="6" t="str">
        <f>IF(VLOOKUP(E169,Sheet2!$W$4:$X$49,2,0)=0,"",VLOOKUP(E169,Sheet2!$W$4:$X$49,2,0))</f>
        <v/>
      </c>
      <c r="N169" s="6" t="str">
        <f>IF(VLOOKUP(E169,Sheet2!$W$4:$Y$49,3,0)=0,"",VLOOKUP(E169,Sheet2!$W$4:$Y$49,3,0))</f>
        <v/>
      </c>
      <c r="Q169" s="6" t="str">
        <f>IF(VLOOKUP(E169,Sheet2!$W$4:$Z$49,4,0)=0,"",VLOOKUP(E169,Sheet2!$W$4:$Z$49,4,0))</f>
        <v/>
      </c>
      <c r="R169" s="8">
        <v>200</v>
      </c>
      <c r="S169" s="14">
        <v>2</v>
      </c>
    </row>
    <row r="170" spans="1:19">
      <c r="A170" s="6">
        <f t="shared" si="6"/>
        <v>3331</v>
      </c>
      <c r="B170" s="6">
        <f t="shared" si="8"/>
        <v>33</v>
      </c>
      <c r="C170" s="6">
        <f t="shared" si="9"/>
        <v>5</v>
      </c>
      <c r="D170" s="6" t="s">
        <v>377</v>
      </c>
      <c r="E170" s="6">
        <v>514</v>
      </c>
      <c r="G170" s="6" t="s">
        <v>378</v>
      </c>
      <c r="H170" s="6">
        <f t="shared" si="7"/>
        <v>2</v>
      </c>
      <c r="I170" s="6" t="str">
        <f>IF(VLOOKUP(E170,Sheet2!$W$4:$AA$49,5,0)=0,"",VLOOKUP(E170,Sheet2!$W$4:$AA$49,5,0))</f>
        <v/>
      </c>
      <c r="J170" s="6">
        <v>0</v>
      </c>
      <c r="K170" s="6">
        <v>0</v>
      </c>
      <c r="L170" s="6" t="str">
        <f>IF(VLOOKUP(E170,Sheet2!$W$4:$X$49,2,0)=0,"",VLOOKUP(E170,Sheet2!$W$4:$X$49,2,0))</f>
        <v/>
      </c>
      <c r="N170" s="6" t="str">
        <f>IF(VLOOKUP(E170,Sheet2!$W$4:$Y$49,3,0)=0,"",VLOOKUP(E170,Sheet2!$W$4:$Y$49,3,0))</f>
        <v/>
      </c>
      <c r="Q170" s="6" t="str">
        <f>IF(VLOOKUP(E170,Sheet2!$W$4:$Z$49,4,0)=0,"",VLOOKUP(E170,Sheet2!$W$4:$Z$49,4,0))</f>
        <v/>
      </c>
      <c r="R170" s="8">
        <v>200</v>
      </c>
      <c r="S170" s="14">
        <v>2</v>
      </c>
    </row>
    <row r="171" spans="1:19">
      <c r="A171" s="6">
        <f t="shared" si="6"/>
        <v>3401</v>
      </c>
      <c r="B171" s="6">
        <f t="shared" si="8"/>
        <v>34</v>
      </c>
      <c r="C171" s="6">
        <f t="shared" si="9"/>
        <v>1</v>
      </c>
      <c r="D171" s="6" t="s">
        <v>379</v>
      </c>
      <c r="E171" s="6">
        <v>100</v>
      </c>
      <c r="G171" s="6" t="s">
        <v>380</v>
      </c>
      <c r="H171" s="6">
        <f t="shared" si="7"/>
        <v>0</v>
      </c>
      <c r="I171" s="6" t="str">
        <f>IF(VLOOKUP(E171,Sheet2!$W$4:$AA$49,5,0)=0,"",VLOOKUP(E171,Sheet2!$W$4:$AA$49,5,0))</f>
        <v>[60002]</v>
      </c>
      <c r="J171" s="6">
        <v>0</v>
      </c>
      <c r="K171" s="6">
        <v>0</v>
      </c>
      <c r="L171" s="6" t="str">
        <f>IF(VLOOKUP(E171,Sheet2!$W$4:$X$49,2,0)=0,"",VLOOKUP(E171,Sheet2!$W$4:$X$49,2,0))</f>
        <v/>
      </c>
      <c r="N171" s="6">
        <f>IF(VLOOKUP(E171,Sheet2!$W$4:$Y$49,3,0)=0,"",VLOOKUP(E171,Sheet2!$W$4:$Y$49,3,0))</f>
        <v>2001</v>
      </c>
      <c r="Q171" s="6" t="str">
        <f>IF(VLOOKUP(E171,Sheet2!$W$4:$Z$49,4,0)=0,"",VLOOKUP(E171,Sheet2!$W$4:$Z$49,4,0))</f>
        <v/>
      </c>
      <c r="R171" s="8">
        <v>28</v>
      </c>
      <c r="S171" s="14">
        <v>2</v>
      </c>
    </row>
    <row r="172" spans="1:19">
      <c r="A172" s="6">
        <f t="shared" si="6"/>
        <v>3402</v>
      </c>
      <c r="B172" s="6">
        <f t="shared" si="8"/>
        <v>34</v>
      </c>
      <c r="C172" s="6">
        <f t="shared" si="9"/>
        <v>2</v>
      </c>
      <c r="D172" s="6" t="s">
        <v>381</v>
      </c>
      <c r="E172" s="6">
        <v>102</v>
      </c>
      <c r="G172" s="6" t="s">
        <v>382</v>
      </c>
      <c r="H172" s="6">
        <f t="shared" si="7"/>
        <v>0</v>
      </c>
      <c r="I172" s="6" t="str">
        <f>IF(VLOOKUP(E172,Sheet2!$W$4:$AA$49,5,0)=0,"",VLOOKUP(E172,Sheet2!$W$4:$AA$49,5,0))</f>
        <v/>
      </c>
      <c r="J172" s="6">
        <v>0</v>
      </c>
      <c r="K172" s="6">
        <v>0</v>
      </c>
      <c r="L172" s="6">
        <f>IF(VLOOKUP(E172,Sheet2!$W$4:$X$49,2,0)=0,"",VLOOKUP(E172,Sheet2!$W$4:$X$49,2,0))</f>
        <v>1</v>
      </c>
      <c r="N172" s="6" t="str">
        <f>IF(VLOOKUP(E172,Sheet2!$W$4:$Y$49,3,0)=0,"",VLOOKUP(E172,Sheet2!$W$4:$Y$49,3,0))</f>
        <v/>
      </c>
      <c r="Q172" s="6" t="str">
        <f>IF(VLOOKUP(E172,Sheet2!$W$4:$Z$49,4,0)=0,"",VLOOKUP(E172,Sheet2!$W$4:$Z$49,4,0))</f>
        <v>[{50011,6}]</v>
      </c>
      <c r="R172" s="8">
        <v>28</v>
      </c>
      <c r="S172" s="14">
        <v>2</v>
      </c>
    </row>
    <row r="173" spans="1:19">
      <c r="A173" s="6">
        <f t="shared" si="6"/>
        <v>3403</v>
      </c>
      <c r="B173" s="6">
        <f t="shared" si="8"/>
        <v>34</v>
      </c>
      <c r="C173" s="6">
        <f t="shared" si="9"/>
        <v>3</v>
      </c>
      <c r="D173" s="6" t="s">
        <v>383</v>
      </c>
      <c r="E173" s="6">
        <v>105</v>
      </c>
      <c r="G173" s="6" t="s">
        <v>384</v>
      </c>
      <c r="H173" s="6">
        <f t="shared" si="7"/>
        <v>0</v>
      </c>
      <c r="I173" s="6" t="str">
        <f>IF(VLOOKUP(E173,Sheet2!$W$4:$AA$49,5,0)=0,"",VLOOKUP(E173,Sheet2!$W$4:$AA$49,5,0))</f>
        <v>[60003]</v>
      </c>
      <c r="J173" s="6">
        <v>0</v>
      </c>
      <c r="K173" s="6">
        <v>0</v>
      </c>
      <c r="L173" s="6" t="str">
        <f>IF(VLOOKUP(E173,Sheet2!$W$4:$X$49,2,0)=0,"",VLOOKUP(E173,Sheet2!$W$4:$X$49,2,0))</f>
        <v/>
      </c>
      <c r="N173" s="6" t="str">
        <f>IF(VLOOKUP(E173,Sheet2!$W$4:$Y$49,3,0)=0,"",VLOOKUP(E173,Sheet2!$W$4:$Y$49,3,0))</f>
        <v/>
      </c>
      <c r="Q173" s="6" t="str">
        <f>IF(VLOOKUP(E173,Sheet2!$W$4:$Z$49,4,0)=0,"",VLOOKUP(E173,Sheet2!$W$4:$Z$49,4,0))</f>
        <v/>
      </c>
      <c r="R173" s="8">
        <v>28</v>
      </c>
      <c r="S173" s="14">
        <v>2</v>
      </c>
    </row>
    <row r="174" spans="1:19">
      <c r="A174" s="6">
        <f t="shared" si="6"/>
        <v>3421</v>
      </c>
      <c r="B174" s="6">
        <f t="shared" si="8"/>
        <v>34</v>
      </c>
      <c r="C174" s="6">
        <f t="shared" si="9"/>
        <v>4</v>
      </c>
      <c r="D174" s="6" t="s">
        <v>385</v>
      </c>
      <c r="E174" s="6">
        <v>502</v>
      </c>
      <c r="G174" s="6" t="s">
        <v>386</v>
      </c>
      <c r="H174" s="6">
        <f t="shared" si="7"/>
        <v>2</v>
      </c>
      <c r="I174" s="6" t="str">
        <f>IF(VLOOKUP(E174,Sheet2!$W$4:$AA$49,5,0)=0,"",VLOOKUP(E174,Sheet2!$W$4:$AA$49,5,0))</f>
        <v/>
      </c>
      <c r="J174" s="6">
        <v>0</v>
      </c>
      <c r="K174" s="6">
        <v>0</v>
      </c>
      <c r="L174" s="6">
        <f>IF(VLOOKUP(E174,Sheet2!$W$4:$X$49,2,0)=0,"",VLOOKUP(E174,Sheet2!$W$4:$X$49,2,0))</f>
        <v>1</v>
      </c>
      <c r="N174" s="6" t="str">
        <f>IF(VLOOKUP(E174,Sheet2!$W$4:$Y$49,3,0)=0,"",VLOOKUP(E174,Sheet2!$W$4:$Y$49,3,0))</f>
        <v/>
      </c>
      <c r="Q174" s="6" t="str">
        <f>IF(VLOOKUP(E174,Sheet2!$W$4:$Z$49,4,0)=0,"",VLOOKUP(E174,Sheet2!$W$4:$Z$49,4,0))</f>
        <v>[{50021,6}]</v>
      </c>
      <c r="R174" s="8">
        <v>200</v>
      </c>
      <c r="S174" s="14">
        <v>2</v>
      </c>
    </row>
    <row r="175" spans="1:19">
      <c r="A175" s="6">
        <f t="shared" si="6"/>
        <v>3431</v>
      </c>
      <c r="B175" s="6">
        <f t="shared" si="8"/>
        <v>34</v>
      </c>
      <c r="C175" s="6">
        <f t="shared" si="9"/>
        <v>5</v>
      </c>
      <c r="D175" s="6" t="s">
        <v>387</v>
      </c>
      <c r="E175" s="6">
        <v>500</v>
      </c>
      <c r="G175" s="6" t="s">
        <v>388</v>
      </c>
      <c r="H175" s="6">
        <f t="shared" si="7"/>
        <v>2</v>
      </c>
      <c r="I175" s="6" t="str">
        <f>IF(VLOOKUP(E175,Sheet2!$W$4:$AA$49,5,0)=0,"",VLOOKUP(E175,Sheet2!$W$4:$AA$49,5,0))</f>
        <v>[60002]</v>
      </c>
      <c r="J175" s="6">
        <v>0</v>
      </c>
      <c r="K175" s="6">
        <v>0</v>
      </c>
      <c r="L175" s="6" t="str">
        <f>IF(VLOOKUP(E175,Sheet2!$W$4:$X$49,2,0)=0,"",VLOOKUP(E175,Sheet2!$W$4:$X$49,2,0))</f>
        <v/>
      </c>
      <c r="N175" s="6">
        <f>IF(VLOOKUP(E175,Sheet2!$W$4:$Y$49,3,0)=0,"",VLOOKUP(E175,Sheet2!$W$4:$Y$49,3,0))</f>
        <v>2001</v>
      </c>
      <c r="Q175" s="6" t="str">
        <f>IF(VLOOKUP(E175,Sheet2!$W$4:$Z$49,4,0)=0,"",VLOOKUP(E175,Sheet2!$W$4:$Z$49,4,0))</f>
        <v/>
      </c>
      <c r="R175" s="8">
        <v>200</v>
      </c>
      <c r="S175" s="14">
        <v>2</v>
      </c>
    </row>
    <row r="176" spans="1:19">
      <c r="A176" s="6">
        <f t="shared" si="6"/>
        <v>3501</v>
      </c>
      <c r="B176" s="6">
        <f t="shared" si="8"/>
        <v>35</v>
      </c>
      <c r="C176" s="6">
        <f t="shared" si="9"/>
        <v>1</v>
      </c>
      <c r="D176" s="6" t="s">
        <v>389</v>
      </c>
      <c r="E176" s="6">
        <v>108</v>
      </c>
      <c r="G176" s="6" t="s">
        <v>390</v>
      </c>
      <c r="H176" s="6">
        <f t="shared" si="7"/>
        <v>0</v>
      </c>
      <c r="I176" s="6" t="str">
        <f>IF(VLOOKUP(E176,Sheet2!$W$4:$AA$49,5,0)=0,"",VLOOKUP(E176,Sheet2!$W$4:$AA$49,5,0))</f>
        <v/>
      </c>
      <c r="J176" s="6">
        <v>0</v>
      </c>
      <c r="K176" s="6">
        <v>0</v>
      </c>
      <c r="L176" s="6" t="str">
        <f>IF(VLOOKUP(E176,Sheet2!$W$4:$X$49,2,0)=0,"",VLOOKUP(E176,Sheet2!$W$4:$X$49,2,0))</f>
        <v/>
      </c>
      <c r="N176" s="6" t="str">
        <f>IF(VLOOKUP(E176,Sheet2!$W$4:$Y$49,3,0)=0,"",VLOOKUP(E176,Sheet2!$W$4:$Y$49,3,0))</f>
        <v/>
      </c>
      <c r="Q176" s="6" t="str">
        <f>IF(VLOOKUP(E176,Sheet2!$W$4:$Z$49,4,0)=0,"",VLOOKUP(E176,Sheet2!$W$4:$Z$49,4,0))</f>
        <v/>
      </c>
      <c r="R176" s="8">
        <v>28</v>
      </c>
      <c r="S176" s="14">
        <v>2</v>
      </c>
    </row>
    <row r="177" spans="1:19">
      <c r="A177" s="6">
        <f t="shared" si="6"/>
        <v>3502</v>
      </c>
      <c r="B177" s="6">
        <f t="shared" si="8"/>
        <v>35</v>
      </c>
      <c r="C177" s="6">
        <f t="shared" si="9"/>
        <v>2</v>
      </c>
      <c r="D177" s="6" t="s">
        <v>391</v>
      </c>
      <c r="E177" s="6">
        <v>109</v>
      </c>
      <c r="G177" s="6" t="s">
        <v>392</v>
      </c>
      <c r="H177" s="6">
        <f t="shared" si="7"/>
        <v>0</v>
      </c>
      <c r="I177" s="6" t="str">
        <f>IF(VLOOKUP(E177,Sheet2!$W$4:$AA$49,5,0)=0,"",VLOOKUP(E177,Sheet2!$W$4:$AA$49,5,0))</f>
        <v/>
      </c>
      <c r="J177" s="6">
        <v>0</v>
      </c>
      <c r="K177" s="6">
        <v>0</v>
      </c>
      <c r="L177" s="6">
        <f>IF(VLOOKUP(E177,Sheet2!$W$4:$X$49,2,0)=0,"",VLOOKUP(E177,Sheet2!$W$4:$X$49,2,0))</f>
        <v>1</v>
      </c>
      <c r="N177" s="6" t="str">
        <f>IF(VLOOKUP(E177,Sheet2!$W$4:$Y$49,3,0)=0,"",VLOOKUP(E177,Sheet2!$W$4:$Y$49,3,0))</f>
        <v/>
      </c>
      <c r="Q177" s="6" t="str">
        <f>IF(VLOOKUP(E177,Sheet2!$W$4:$Z$49,4,0)=0,"",VLOOKUP(E177,Sheet2!$W$4:$Z$49,4,0))</f>
        <v>[{50014,6}]</v>
      </c>
      <c r="R177" s="8">
        <v>28</v>
      </c>
      <c r="S177" s="14">
        <v>2</v>
      </c>
    </row>
    <row r="178" spans="1:19">
      <c r="A178" s="6">
        <f t="shared" si="6"/>
        <v>3503</v>
      </c>
      <c r="B178" s="6">
        <f t="shared" si="8"/>
        <v>35</v>
      </c>
      <c r="C178" s="6">
        <f t="shared" si="9"/>
        <v>3</v>
      </c>
      <c r="D178" s="6" t="s">
        <v>393</v>
      </c>
      <c r="E178" s="6">
        <v>109</v>
      </c>
      <c r="G178" s="6" t="s">
        <v>394</v>
      </c>
      <c r="H178" s="6">
        <f t="shared" si="7"/>
        <v>0</v>
      </c>
      <c r="I178" s="6" t="str">
        <f>IF(VLOOKUP(E178,Sheet2!$W$4:$AA$49,5,0)=0,"",VLOOKUP(E178,Sheet2!$W$4:$AA$49,5,0))</f>
        <v/>
      </c>
      <c r="J178" s="6">
        <v>0</v>
      </c>
      <c r="K178" s="6">
        <v>0</v>
      </c>
      <c r="L178" s="6">
        <f>IF(VLOOKUP(E178,Sheet2!$W$4:$X$49,2,0)=0,"",VLOOKUP(E178,Sheet2!$W$4:$X$49,2,0))</f>
        <v>1</v>
      </c>
      <c r="N178" s="6" t="str">
        <f>IF(VLOOKUP(E178,Sheet2!$W$4:$Y$49,3,0)=0,"",VLOOKUP(E178,Sheet2!$W$4:$Y$49,3,0))</f>
        <v/>
      </c>
      <c r="Q178" s="6" t="str">
        <f>IF(VLOOKUP(E178,Sheet2!$W$4:$Z$49,4,0)=0,"",VLOOKUP(E178,Sheet2!$W$4:$Z$49,4,0))</f>
        <v>[{50014,6}]</v>
      </c>
      <c r="R178" s="8">
        <v>28</v>
      </c>
      <c r="S178" s="14">
        <v>2</v>
      </c>
    </row>
    <row r="179" spans="1:19">
      <c r="A179" s="6">
        <f t="shared" si="6"/>
        <v>3521</v>
      </c>
      <c r="B179" s="6">
        <f t="shared" si="8"/>
        <v>35</v>
      </c>
      <c r="C179" s="6">
        <f t="shared" si="9"/>
        <v>4</v>
      </c>
      <c r="D179" s="6" t="s">
        <v>395</v>
      </c>
      <c r="E179" s="6">
        <v>508</v>
      </c>
      <c r="G179" s="6" t="s">
        <v>396</v>
      </c>
      <c r="H179" s="6">
        <f t="shared" si="7"/>
        <v>2</v>
      </c>
      <c r="I179" s="6" t="str">
        <f>IF(VLOOKUP(E179,Sheet2!$W$4:$AA$49,5,0)=0,"",VLOOKUP(E179,Sheet2!$W$4:$AA$49,5,0))</f>
        <v/>
      </c>
      <c r="J179" s="6">
        <v>0</v>
      </c>
      <c r="K179" s="6">
        <v>0</v>
      </c>
      <c r="L179" s="6" t="str">
        <f>IF(VLOOKUP(E179,Sheet2!$W$4:$X$49,2,0)=0,"",VLOOKUP(E179,Sheet2!$W$4:$X$49,2,0))</f>
        <v/>
      </c>
      <c r="N179" s="6" t="str">
        <f>IF(VLOOKUP(E179,Sheet2!$W$4:$Y$49,3,0)=0,"",VLOOKUP(E179,Sheet2!$W$4:$Y$49,3,0))</f>
        <v/>
      </c>
      <c r="Q179" s="6" t="str">
        <f>IF(VLOOKUP(E179,Sheet2!$W$4:$Z$49,4,0)=0,"",VLOOKUP(E179,Sheet2!$W$4:$Z$49,4,0))</f>
        <v/>
      </c>
      <c r="R179" s="8">
        <v>200</v>
      </c>
      <c r="S179" s="14">
        <v>2</v>
      </c>
    </row>
    <row r="180" spans="1:19">
      <c r="A180" s="6">
        <f t="shared" si="6"/>
        <v>3531</v>
      </c>
      <c r="B180" s="6">
        <f t="shared" si="8"/>
        <v>35</v>
      </c>
      <c r="C180" s="6">
        <f t="shared" si="9"/>
        <v>5</v>
      </c>
      <c r="D180" s="6" t="s">
        <v>397</v>
      </c>
      <c r="E180" s="6">
        <v>508</v>
      </c>
      <c r="G180" s="6" t="s">
        <v>398</v>
      </c>
      <c r="H180" s="6">
        <f t="shared" si="7"/>
        <v>2</v>
      </c>
      <c r="I180" s="6" t="str">
        <f>IF(VLOOKUP(E180,Sheet2!$W$4:$AA$49,5,0)=0,"",VLOOKUP(E180,Sheet2!$W$4:$AA$49,5,0))</f>
        <v/>
      </c>
      <c r="J180" s="6">
        <v>0</v>
      </c>
      <c r="K180" s="6">
        <v>0</v>
      </c>
      <c r="L180" s="6" t="str">
        <f>IF(VLOOKUP(E180,Sheet2!$W$4:$X$49,2,0)=0,"",VLOOKUP(E180,Sheet2!$W$4:$X$49,2,0))</f>
        <v/>
      </c>
      <c r="N180" s="6" t="str">
        <f>IF(VLOOKUP(E180,Sheet2!$W$4:$Y$49,3,0)=0,"",VLOOKUP(E180,Sheet2!$W$4:$Y$49,3,0))</f>
        <v/>
      </c>
      <c r="Q180" s="6" t="str">
        <f>IF(VLOOKUP(E180,Sheet2!$W$4:$Z$49,4,0)=0,"",VLOOKUP(E180,Sheet2!$W$4:$Z$49,4,0))</f>
        <v/>
      </c>
      <c r="R180" s="8">
        <v>200</v>
      </c>
      <c r="S180" s="14">
        <v>2</v>
      </c>
    </row>
    <row r="181" spans="1:19">
      <c r="A181" s="6">
        <f t="shared" ref="A181:A244" si="10">A176+100</f>
        <v>3601</v>
      </c>
      <c r="B181" s="6">
        <f t="shared" ref="B181:B244" si="11">B176+1</f>
        <v>36</v>
      </c>
      <c r="C181" s="6">
        <f t="shared" ref="C181:C244" si="12">C176</f>
        <v>1</v>
      </c>
      <c r="D181" s="6" t="s">
        <v>399</v>
      </c>
      <c r="E181" s="6">
        <v>103</v>
      </c>
      <c r="G181" s="6" t="s">
        <v>400</v>
      </c>
      <c r="H181" s="6">
        <f t="shared" ref="H181:H205" si="13">H176</f>
        <v>0</v>
      </c>
      <c r="I181" s="6" t="str">
        <f>IF(VLOOKUP(E181,Sheet2!$W$4:$AA$49,5,0)=0,"",VLOOKUP(E181,Sheet2!$W$4:$AA$49,5,0))</f>
        <v>[60001]</v>
      </c>
      <c r="J181" s="6">
        <v>0</v>
      </c>
      <c r="K181" s="6">
        <v>0</v>
      </c>
      <c r="L181" s="6" t="str">
        <f>IF(VLOOKUP(E181,Sheet2!$W$4:$X$49,2,0)=0,"",VLOOKUP(E181,Sheet2!$W$4:$X$49,2,0))</f>
        <v/>
      </c>
      <c r="N181" s="6" t="str">
        <f>IF(VLOOKUP(E181,Sheet2!$W$4:$Y$49,3,0)=0,"",VLOOKUP(E181,Sheet2!$W$4:$Y$49,3,0))</f>
        <v/>
      </c>
      <c r="Q181" s="6" t="str">
        <f>IF(VLOOKUP(E181,Sheet2!$W$4:$Z$49,4,0)=0,"",VLOOKUP(E181,Sheet2!$W$4:$Z$49,4,0))</f>
        <v/>
      </c>
      <c r="R181" s="8">
        <v>28</v>
      </c>
      <c r="S181" s="14">
        <v>2</v>
      </c>
    </row>
    <row r="182" spans="1:19">
      <c r="A182" s="6">
        <f t="shared" si="10"/>
        <v>3602</v>
      </c>
      <c r="B182" s="6">
        <f t="shared" si="11"/>
        <v>36</v>
      </c>
      <c r="C182" s="6">
        <f t="shared" si="12"/>
        <v>2</v>
      </c>
      <c r="D182" s="6" t="s">
        <v>401</v>
      </c>
      <c r="E182" s="6">
        <v>107</v>
      </c>
      <c r="G182" s="6" t="s">
        <v>402</v>
      </c>
      <c r="H182" s="6">
        <f t="shared" si="13"/>
        <v>0</v>
      </c>
      <c r="I182" s="6" t="str">
        <f>IF(VLOOKUP(E182,Sheet2!$W$4:$AA$49,5,0)=0,"",VLOOKUP(E182,Sheet2!$W$4:$AA$49,5,0))</f>
        <v>[60004]</v>
      </c>
      <c r="J182" s="6">
        <v>0</v>
      </c>
      <c r="K182" s="6">
        <v>0</v>
      </c>
      <c r="L182" s="6">
        <f>IF(VLOOKUP(E182,Sheet2!$W$4:$X$49,2,0)=0,"",VLOOKUP(E182,Sheet2!$W$4:$X$49,2,0))</f>
        <v>1</v>
      </c>
      <c r="N182" s="6" t="str">
        <f>IF(VLOOKUP(E182,Sheet2!$W$4:$Y$49,3,0)=0,"",VLOOKUP(E182,Sheet2!$W$4:$Y$49,3,0))</f>
        <v/>
      </c>
      <c r="Q182" s="6" t="str">
        <f>IF(VLOOKUP(E182,Sheet2!$W$4:$Z$49,4,0)=0,"",VLOOKUP(E182,Sheet2!$W$4:$Z$49,4,0))</f>
        <v>[{50013,6}]</v>
      </c>
      <c r="R182" s="8">
        <v>28</v>
      </c>
      <c r="S182" s="14">
        <v>2</v>
      </c>
    </row>
    <row r="183" spans="1:19">
      <c r="A183" s="6">
        <f t="shared" si="10"/>
        <v>3603</v>
      </c>
      <c r="B183" s="6">
        <f t="shared" si="11"/>
        <v>36</v>
      </c>
      <c r="C183" s="6">
        <f t="shared" si="12"/>
        <v>3</v>
      </c>
      <c r="D183" s="6" t="s">
        <v>403</v>
      </c>
      <c r="E183" s="6">
        <v>106</v>
      </c>
      <c r="G183" s="6" t="s">
        <v>404</v>
      </c>
      <c r="H183" s="6">
        <f t="shared" si="13"/>
        <v>0</v>
      </c>
      <c r="I183" s="6" t="str">
        <f>IF(VLOOKUP(E183,Sheet2!$W$4:$AA$49,5,0)=0,"",VLOOKUP(E183,Sheet2!$W$4:$AA$49,5,0))</f>
        <v>[60002]</v>
      </c>
      <c r="J183" s="6">
        <v>0</v>
      </c>
      <c r="K183" s="6">
        <v>0</v>
      </c>
      <c r="L183" s="6">
        <f>IF(VLOOKUP(E183,Sheet2!$W$4:$X$49,2,0)=0,"",VLOOKUP(E183,Sheet2!$W$4:$X$49,2,0))</f>
        <v>1</v>
      </c>
      <c r="N183" s="6">
        <f>IF(VLOOKUP(E183,Sheet2!$W$4:$Y$49,3,0)=0,"",VLOOKUP(E183,Sheet2!$W$4:$Y$49,3,0))</f>
        <v>2002</v>
      </c>
      <c r="Q183" s="6" t="str">
        <f>IF(VLOOKUP(E183,Sheet2!$W$4:$Z$49,4,0)=0,"",VLOOKUP(E183,Sheet2!$W$4:$Z$49,4,0))</f>
        <v>[{50012,6}]</v>
      </c>
      <c r="R183" s="8">
        <v>28</v>
      </c>
      <c r="S183" s="14">
        <v>2</v>
      </c>
    </row>
    <row r="184" spans="1:19">
      <c r="A184" s="6">
        <f t="shared" si="10"/>
        <v>3621</v>
      </c>
      <c r="B184" s="6">
        <f t="shared" si="11"/>
        <v>36</v>
      </c>
      <c r="C184" s="6">
        <f t="shared" si="12"/>
        <v>4</v>
      </c>
      <c r="D184" s="6" t="s">
        <v>405</v>
      </c>
      <c r="E184" s="6">
        <v>506</v>
      </c>
      <c r="G184" s="6" t="s">
        <v>406</v>
      </c>
      <c r="H184" s="6">
        <f t="shared" si="13"/>
        <v>2</v>
      </c>
      <c r="I184" s="6" t="str">
        <f>IF(VLOOKUP(E184,Sheet2!$W$4:$AA$49,5,0)=0,"",VLOOKUP(E184,Sheet2!$W$4:$AA$49,5,0))</f>
        <v>[60002]</v>
      </c>
      <c r="J184" s="6">
        <v>0</v>
      </c>
      <c r="K184" s="6">
        <v>0</v>
      </c>
      <c r="L184" s="6">
        <f>IF(VLOOKUP(E184,Sheet2!$W$4:$X$49,2,0)=0,"",VLOOKUP(E184,Sheet2!$W$4:$X$49,2,0))</f>
        <v>1</v>
      </c>
      <c r="N184" s="6">
        <f>IF(VLOOKUP(E184,Sheet2!$W$4:$Y$49,3,0)=0,"",VLOOKUP(E184,Sheet2!$W$4:$Y$49,3,0))</f>
        <v>2002</v>
      </c>
      <c r="Q184" s="6" t="str">
        <f>IF(VLOOKUP(E184,Sheet2!$W$4:$Z$49,4,0)=0,"",VLOOKUP(E184,Sheet2!$W$4:$Z$49,4,0))</f>
        <v>[{50022,6}]</v>
      </c>
      <c r="R184" s="8">
        <v>200</v>
      </c>
      <c r="S184" s="14">
        <v>2</v>
      </c>
    </row>
    <row r="185" spans="1:19">
      <c r="A185" s="6">
        <f t="shared" si="10"/>
        <v>3631</v>
      </c>
      <c r="B185" s="6">
        <f t="shared" si="11"/>
        <v>36</v>
      </c>
      <c r="C185" s="6">
        <f t="shared" si="12"/>
        <v>5</v>
      </c>
      <c r="D185" s="6" t="s">
        <v>407</v>
      </c>
      <c r="E185" s="6">
        <v>506</v>
      </c>
      <c r="G185" s="6" t="s">
        <v>408</v>
      </c>
      <c r="H185" s="6">
        <f t="shared" si="13"/>
        <v>2</v>
      </c>
      <c r="I185" s="6" t="str">
        <f>IF(VLOOKUP(E185,Sheet2!$W$4:$AA$49,5,0)=0,"",VLOOKUP(E185,Sheet2!$W$4:$AA$49,5,0))</f>
        <v>[60002]</v>
      </c>
      <c r="J185" s="6">
        <v>0</v>
      </c>
      <c r="K185" s="6">
        <v>0</v>
      </c>
      <c r="L185" s="6">
        <f>IF(VLOOKUP(E185,Sheet2!$W$4:$X$49,2,0)=0,"",VLOOKUP(E185,Sheet2!$W$4:$X$49,2,0))</f>
        <v>1</v>
      </c>
      <c r="N185" s="6">
        <f>IF(VLOOKUP(E185,Sheet2!$W$4:$Y$49,3,0)=0,"",VLOOKUP(E185,Sheet2!$W$4:$Y$49,3,0))</f>
        <v>2002</v>
      </c>
      <c r="Q185" s="6" t="str">
        <f>IF(VLOOKUP(E185,Sheet2!$W$4:$Z$49,4,0)=0,"",VLOOKUP(E185,Sheet2!$W$4:$Z$49,4,0))</f>
        <v>[{50022,6}]</v>
      </c>
      <c r="R185" s="8">
        <v>200</v>
      </c>
      <c r="S185" s="14">
        <v>2</v>
      </c>
    </row>
    <row r="186" spans="1:19">
      <c r="A186" s="6">
        <f t="shared" si="10"/>
        <v>3701</v>
      </c>
      <c r="B186" s="6">
        <f t="shared" si="11"/>
        <v>37</v>
      </c>
      <c r="C186" s="6">
        <f t="shared" si="12"/>
        <v>1</v>
      </c>
      <c r="D186" s="6" t="s">
        <v>409</v>
      </c>
      <c r="E186" s="6">
        <v>108</v>
      </c>
      <c r="G186" s="6" t="s">
        <v>410</v>
      </c>
      <c r="H186" s="6">
        <f t="shared" si="13"/>
        <v>0</v>
      </c>
      <c r="I186" s="6" t="str">
        <f>IF(VLOOKUP(E186,Sheet2!$W$4:$AA$49,5,0)=0,"",VLOOKUP(E186,Sheet2!$W$4:$AA$49,5,0))</f>
        <v/>
      </c>
      <c r="J186" s="6">
        <v>0</v>
      </c>
      <c r="K186" s="6">
        <v>0</v>
      </c>
      <c r="L186" s="6" t="str">
        <f>IF(VLOOKUP(E186,Sheet2!$W$4:$X$49,2,0)=0,"",VLOOKUP(E186,Sheet2!$W$4:$X$49,2,0))</f>
        <v/>
      </c>
      <c r="N186" s="6" t="str">
        <f>IF(VLOOKUP(E186,Sheet2!$W$4:$Y$49,3,0)=0,"",VLOOKUP(E186,Sheet2!$W$4:$Y$49,3,0))</f>
        <v/>
      </c>
      <c r="Q186" s="6" t="str">
        <f>IF(VLOOKUP(E186,Sheet2!$W$4:$Z$49,4,0)=0,"",VLOOKUP(E186,Sheet2!$W$4:$Z$49,4,0))</f>
        <v/>
      </c>
      <c r="R186" s="8">
        <v>27</v>
      </c>
      <c r="S186" s="14">
        <v>2</v>
      </c>
    </row>
    <row r="187" spans="1:19">
      <c r="A187" s="6">
        <f t="shared" si="10"/>
        <v>3702</v>
      </c>
      <c r="B187" s="6">
        <f t="shared" si="11"/>
        <v>37</v>
      </c>
      <c r="C187" s="6">
        <f t="shared" si="12"/>
        <v>2</v>
      </c>
      <c r="D187" s="6" t="s">
        <v>411</v>
      </c>
      <c r="E187" s="6">
        <v>109</v>
      </c>
      <c r="G187" s="6" t="s">
        <v>412</v>
      </c>
      <c r="H187" s="6">
        <f t="shared" si="13"/>
        <v>0</v>
      </c>
      <c r="I187" s="6" t="str">
        <f>IF(VLOOKUP(E187,Sheet2!$W$4:$AA$49,5,0)=0,"",VLOOKUP(E187,Sheet2!$W$4:$AA$49,5,0))</f>
        <v/>
      </c>
      <c r="J187" s="6">
        <v>0</v>
      </c>
      <c r="K187" s="6">
        <v>0</v>
      </c>
      <c r="L187" s="6">
        <f>IF(VLOOKUP(E187,Sheet2!$W$4:$X$49,2,0)=0,"",VLOOKUP(E187,Sheet2!$W$4:$X$49,2,0))</f>
        <v>1</v>
      </c>
      <c r="N187" s="6" t="str">
        <f>IF(VLOOKUP(E187,Sheet2!$W$4:$Y$49,3,0)=0,"",VLOOKUP(E187,Sheet2!$W$4:$Y$49,3,0))</f>
        <v/>
      </c>
      <c r="Q187" s="6" t="str">
        <f>IF(VLOOKUP(E187,Sheet2!$W$4:$Z$49,4,0)=0,"",VLOOKUP(E187,Sheet2!$W$4:$Z$49,4,0))</f>
        <v>[{50014,6}]</v>
      </c>
      <c r="R187" s="8">
        <v>27</v>
      </c>
      <c r="S187" s="14">
        <v>2</v>
      </c>
    </row>
    <row r="188" spans="1:19">
      <c r="A188" s="6">
        <f t="shared" si="10"/>
        <v>3703</v>
      </c>
      <c r="B188" s="6">
        <f t="shared" si="11"/>
        <v>37</v>
      </c>
      <c r="C188" s="6">
        <f t="shared" si="12"/>
        <v>3</v>
      </c>
      <c r="D188" s="6" t="s">
        <v>413</v>
      </c>
      <c r="E188" s="6">
        <v>109</v>
      </c>
      <c r="G188" s="6" t="s">
        <v>414</v>
      </c>
      <c r="H188" s="6">
        <f t="shared" si="13"/>
        <v>0</v>
      </c>
      <c r="I188" s="6" t="str">
        <f>IF(VLOOKUP(E188,Sheet2!$W$4:$AA$49,5,0)=0,"",VLOOKUP(E188,Sheet2!$W$4:$AA$49,5,0))</f>
        <v/>
      </c>
      <c r="J188" s="6">
        <v>0</v>
      </c>
      <c r="K188" s="6">
        <v>0</v>
      </c>
      <c r="L188" s="6">
        <f>IF(VLOOKUP(E188,Sheet2!$W$4:$X$49,2,0)=0,"",VLOOKUP(E188,Sheet2!$W$4:$X$49,2,0))</f>
        <v>1</v>
      </c>
      <c r="N188" s="6" t="str">
        <f>IF(VLOOKUP(E188,Sheet2!$W$4:$Y$49,3,0)=0,"",VLOOKUP(E188,Sheet2!$W$4:$Y$49,3,0))</f>
        <v/>
      </c>
      <c r="Q188" s="6" t="str">
        <f>IF(VLOOKUP(E188,Sheet2!$W$4:$Z$49,4,0)=0,"",VLOOKUP(E188,Sheet2!$W$4:$Z$49,4,0))</f>
        <v>[{50014,6}]</v>
      </c>
      <c r="R188" s="8">
        <v>27</v>
      </c>
      <c r="S188" s="14">
        <v>2</v>
      </c>
    </row>
    <row r="189" spans="1:19">
      <c r="A189" s="6">
        <f t="shared" si="10"/>
        <v>3721</v>
      </c>
      <c r="B189" s="6">
        <f t="shared" si="11"/>
        <v>37</v>
      </c>
      <c r="C189" s="6">
        <f t="shared" si="12"/>
        <v>4</v>
      </c>
      <c r="D189" s="6" t="s">
        <v>415</v>
      </c>
      <c r="E189" s="6">
        <v>508</v>
      </c>
      <c r="G189" s="6" t="s">
        <v>416</v>
      </c>
      <c r="H189" s="6">
        <f t="shared" si="13"/>
        <v>2</v>
      </c>
      <c r="I189" s="6" t="str">
        <f>IF(VLOOKUP(E189,Sheet2!$W$4:$AA$49,5,0)=0,"",VLOOKUP(E189,Sheet2!$W$4:$AA$49,5,0))</f>
        <v/>
      </c>
      <c r="J189" s="6">
        <v>0</v>
      </c>
      <c r="K189" s="6">
        <v>0</v>
      </c>
      <c r="L189" s="6" t="str">
        <f>IF(VLOOKUP(E189,Sheet2!$W$4:$X$49,2,0)=0,"",VLOOKUP(E189,Sheet2!$W$4:$X$49,2,0))</f>
        <v/>
      </c>
      <c r="N189" s="6" t="str">
        <f>IF(VLOOKUP(E189,Sheet2!$W$4:$Y$49,3,0)=0,"",VLOOKUP(E189,Sheet2!$W$4:$Y$49,3,0))</f>
        <v/>
      </c>
      <c r="Q189" s="6" t="str">
        <f>IF(VLOOKUP(E189,Sheet2!$W$4:$Z$49,4,0)=0,"",VLOOKUP(E189,Sheet2!$W$4:$Z$49,4,0))</f>
        <v/>
      </c>
      <c r="R189" s="8">
        <v>200</v>
      </c>
      <c r="S189" s="14">
        <v>2</v>
      </c>
    </row>
    <row r="190" spans="1:19">
      <c r="A190" s="6">
        <f t="shared" si="10"/>
        <v>3731</v>
      </c>
      <c r="B190" s="6">
        <f t="shared" si="11"/>
        <v>37</v>
      </c>
      <c r="C190" s="6">
        <f t="shared" si="12"/>
        <v>5</v>
      </c>
      <c r="D190" s="6" t="s">
        <v>417</v>
      </c>
      <c r="E190" s="6">
        <v>508</v>
      </c>
      <c r="G190" s="6" t="s">
        <v>418</v>
      </c>
      <c r="H190" s="6">
        <f t="shared" si="13"/>
        <v>2</v>
      </c>
      <c r="I190" s="6" t="str">
        <f>IF(VLOOKUP(E190,Sheet2!$W$4:$AA$49,5,0)=0,"",VLOOKUP(E190,Sheet2!$W$4:$AA$49,5,0))</f>
        <v/>
      </c>
      <c r="J190" s="6">
        <v>0</v>
      </c>
      <c r="K190" s="6">
        <v>0</v>
      </c>
      <c r="L190" s="6" t="str">
        <f>IF(VLOOKUP(E190,Sheet2!$W$4:$X$49,2,0)=0,"",VLOOKUP(E190,Sheet2!$W$4:$X$49,2,0))</f>
        <v/>
      </c>
      <c r="N190" s="6" t="str">
        <f>IF(VLOOKUP(E190,Sheet2!$W$4:$Y$49,3,0)=0,"",VLOOKUP(E190,Sheet2!$W$4:$Y$49,3,0))</f>
        <v/>
      </c>
      <c r="Q190" s="6" t="str">
        <f>IF(VLOOKUP(E190,Sheet2!$W$4:$Z$49,4,0)=0,"",VLOOKUP(E190,Sheet2!$W$4:$Z$49,4,0))</f>
        <v/>
      </c>
      <c r="R190" s="8">
        <v>200</v>
      </c>
      <c r="S190" s="14">
        <v>2</v>
      </c>
    </row>
    <row r="191" spans="1:19">
      <c r="A191" s="6">
        <f t="shared" si="10"/>
        <v>3801</v>
      </c>
      <c r="B191" s="6">
        <f t="shared" si="11"/>
        <v>38</v>
      </c>
      <c r="C191" s="6">
        <f t="shared" si="12"/>
        <v>1</v>
      </c>
      <c r="D191" s="6" t="s">
        <v>419</v>
      </c>
      <c r="E191" s="6">
        <v>108</v>
      </c>
      <c r="G191" s="6" t="s">
        <v>420</v>
      </c>
      <c r="H191" s="6">
        <f t="shared" si="13"/>
        <v>0</v>
      </c>
      <c r="I191" s="6" t="str">
        <f>IF(VLOOKUP(E191,Sheet2!$W$4:$AA$49,5,0)=0,"",VLOOKUP(E191,Sheet2!$W$4:$AA$49,5,0))</f>
        <v/>
      </c>
      <c r="J191" s="6">
        <v>0</v>
      </c>
      <c r="K191" s="6">
        <v>0</v>
      </c>
      <c r="L191" s="6" t="str">
        <f>IF(VLOOKUP(E191,Sheet2!$W$4:$X$49,2,0)=0,"",VLOOKUP(E191,Sheet2!$W$4:$X$49,2,0))</f>
        <v/>
      </c>
      <c r="N191" s="6" t="str">
        <f>IF(VLOOKUP(E191,Sheet2!$W$4:$Y$49,3,0)=0,"",VLOOKUP(E191,Sheet2!$W$4:$Y$49,3,0))</f>
        <v/>
      </c>
      <c r="Q191" s="6" t="str">
        <f>IF(VLOOKUP(E191,Sheet2!$W$4:$Z$49,4,0)=0,"",VLOOKUP(E191,Sheet2!$W$4:$Z$49,4,0))</f>
        <v/>
      </c>
      <c r="R191" s="8">
        <v>28</v>
      </c>
      <c r="S191" s="14">
        <v>2</v>
      </c>
    </row>
    <row r="192" spans="1:19">
      <c r="A192" s="6">
        <f t="shared" si="10"/>
        <v>3802</v>
      </c>
      <c r="B192" s="6">
        <f t="shared" si="11"/>
        <v>38</v>
      </c>
      <c r="C192" s="6">
        <f t="shared" si="12"/>
        <v>2</v>
      </c>
      <c r="D192" s="6" t="s">
        <v>421</v>
      </c>
      <c r="E192" s="6">
        <v>109</v>
      </c>
      <c r="G192" s="6" t="s">
        <v>422</v>
      </c>
      <c r="H192" s="6">
        <f t="shared" si="13"/>
        <v>0</v>
      </c>
      <c r="I192" s="6" t="str">
        <f>IF(VLOOKUP(E192,Sheet2!$W$4:$AA$49,5,0)=0,"",VLOOKUP(E192,Sheet2!$W$4:$AA$49,5,0))</f>
        <v/>
      </c>
      <c r="J192" s="6">
        <v>0</v>
      </c>
      <c r="K192" s="6">
        <v>0</v>
      </c>
      <c r="L192" s="6">
        <f>IF(VLOOKUP(E192,Sheet2!$W$4:$X$49,2,0)=0,"",VLOOKUP(E192,Sheet2!$W$4:$X$49,2,0))</f>
        <v>1</v>
      </c>
      <c r="N192" s="6" t="str">
        <f>IF(VLOOKUP(E192,Sheet2!$W$4:$Y$49,3,0)=0,"",VLOOKUP(E192,Sheet2!$W$4:$Y$49,3,0))</f>
        <v/>
      </c>
      <c r="Q192" s="6" t="str">
        <f>IF(VLOOKUP(E192,Sheet2!$W$4:$Z$49,4,0)=0,"",VLOOKUP(E192,Sheet2!$W$4:$Z$49,4,0))</f>
        <v>[{50014,6}]</v>
      </c>
      <c r="R192" s="8">
        <v>28</v>
      </c>
      <c r="S192" s="14">
        <v>2</v>
      </c>
    </row>
    <row r="193" spans="1:19">
      <c r="A193" s="6">
        <f t="shared" si="10"/>
        <v>3803</v>
      </c>
      <c r="B193" s="6">
        <f t="shared" si="11"/>
        <v>38</v>
      </c>
      <c r="C193" s="6">
        <f t="shared" si="12"/>
        <v>3</v>
      </c>
      <c r="D193" s="6" t="s">
        <v>423</v>
      </c>
      <c r="E193" s="6">
        <v>110</v>
      </c>
      <c r="G193" s="6" t="s">
        <v>424</v>
      </c>
      <c r="H193" s="6">
        <f t="shared" si="13"/>
        <v>0</v>
      </c>
      <c r="I193" s="6" t="str">
        <f>IF(VLOOKUP(E193,Sheet2!$W$4:$AA$49,5,0)=0,"",VLOOKUP(E193,Sheet2!$W$4:$AA$49,5,0))</f>
        <v/>
      </c>
      <c r="J193" s="6">
        <v>0</v>
      </c>
      <c r="K193" s="6">
        <v>0</v>
      </c>
      <c r="L193" s="6" t="str">
        <f>IF(VLOOKUP(E193,Sheet2!$W$4:$X$49,2,0)=0,"",VLOOKUP(E193,Sheet2!$W$4:$X$49,2,0))</f>
        <v/>
      </c>
      <c r="N193" s="6" t="str">
        <f>IF(VLOOKUP(E193,Sheet2!$W$4:$Y$49,3,0)=0,"",VLOOKUP(E193,Sheet2!$W$4:$Y$49,3,0))</f>
        <v/>
      </c>
      <c r="Q193" s="6" t="str">
        <f>IF(VLOOKUP(E193,Sheet2!$W$4:$Z$49,4,0)=0,"",VLOOKUP(E193,Sheet2!$W$4:$Z$49,4,0))</f>
        <v/>
      </c>
      <c r="R193" s="8">
        <v>28</v>
      </c>
      <c r="S193" s="14">
        <v>2</v>
      </c>
    </row>
    <row r="194" spans="1:19">
      <c r="A194" s="6">
        <f t="shared" si="10"/>
        <v>3821</v>
      </c>
      <c r="B194" s="6">
        <f t="shared" si="11"/>
        <v>38</v>
      </c>
      <c r="C194" s="6">
        <f t="shared" si="12"/>
        <v>4</v>
      </c>
      <c r="D194" s="6" t="s">
        <v>425</v>
      </c>
      <c r="E194" s="6">
        <v>509</v>
      </c>
      <c r="G194" s="6" t="s">
        <v>426</v>
      </c>
      <c r="H194" s="6">
        <f t="shared" si="13"/>
        <v>2</v>
      </c>
      <c r="I194" s="6" t="str">
        <f>IF(VLOOKUP(E194,Sheet2!$W$4:$AA$49,5,0)=0,"",VLOOKUP(E194,Sheet2!$W$4:$AA$49,5,0))</f>
        <v/>
      </c>
      <c r="J194" s="6">
        <v>0</v>
      </c>
      <c r="K194" s="6">
        <v>0</v>
      </c>
      <c r="L194" s="6">
        <f>IF(VLOOKUP(E194,Sheet2!$W$4:$X$49,2,0)=0,"",VLOOKUP(E194,Sheet2!$W$4:$X$49,2,0))</f>
        <v>1</v>
      </c>
      <c r="N194" s="6" t="str">
        <f>IF(VLOOKUP(E194,Sheet2!$W$4:$Y$49,3,0)=0,"",VLOOKUP(E194,Sheet2!$W$4:$Y$49,3,0))</f>
        <v/>
      </c>
      <c r="Q194" s="6" t="str">
        <f>IF(VLOOKUP(E194,Sheet2!$W$4:$Z$49,4,0)=0,"",VLOOKUP(E194,Sheet2!$W$4:$Z$49,4,0))</f>
        <v>[{50024,6}]</v>
      </c>
      <c r="R194" s="8">
        <v>200</v>
      </c>
      <c r="S194" s="14">
        <v>2</v>
      </c>
    </row>
    <row r="195" spans="1:19">
      <c r="A195" s="6">
        <f t="shared" si="10"/>
        <v>3831</v>
      </c>
      <c r="B195" s="6">
        <f t="shared" si="11"/>
        <v>38</v>
      </c>
      <c r="C195" s="6">
        <f t="shared" si="12"/>
        <v>5</v>
      </c>
      <c r="D195" s="6" t="s">
        <v>427</v>
      </c>
      <c r="E195" s="6">
        <v>509</v>
      </c>
      <c r="G195" s="6" t="s">
        <v>428</v>
      </c>
      <c r="H195" s="6">
        <f t="shared" si="13"/>
        <v>2</v>
      </c>
      <c r="I195" s="6" t="str">
        <f>IF(VLOOKUP(E195,Sheet2!$W$4:$AA$49,5,0)=0,"",VLOOKUP(E195,Sheet2!$W$4:$AA$49,5,0))</f>
        <v/>
      </c>
      <c r="J195" s="6">
        <v>0</v>
      </c>
      <c r="K195" s="6">
        <v>0</v>
      </c>
      <c r="L195" s="6">
        <f>IF(VLOOKUP(E195,Sheet2!$W$4:$X$49,2,0)=0,"",VLOOKUP(E195,Sheet2!$W$4:$X$49,2,0))</f>
        <v>1</v>
      </c>
      <c r="N195" s="6" t="str">
        <f>IF(VLOOKUP(E195,Sheet2!$W$4:$Y$49,3,0)=0,"",VLOOKUP(E195,Sheet2!$W$4:$Y$49,3,0))</f>
        <v/>
      </c>
      <c r="Q195" s="6" t="str">
        <f>IF(VLOOKUP(E195,Sheet2!$W$4:$Z$49,4,0)=0,"",VLOOKUP(E195,Sheet2!$W$4:$Z$49,4,0))</f>
        <v>[{50024,6}]</v>
      </c>
      <c r="R195" s="8">
        <v>200</v>
      </c>
      <c r="S195" s="14">
        <v>2</v>
      </c>
    </row>
    <row r="196" spans="1:19">
      <c r="A196" s="6">
        <f t="shared" si="10"/>
        <v>3901</v>
      </c>
      <c r="B196" s="6">
        <f t="shared" si="11"/>
        <v>39</v>
      </c>
      <c r="C196" s="6">
        <f t="shared" si="12"/>
        <v>1</v>
      </c>
      <c r="D196" s="6" t="s">
        <v>429</v>
      </c>
      <c r="E196" s="6">
        <v>111</v>
      </c>
      <c r="G196" s="6" t="s">
        <v>430</v>
      </c>
      <c r="H196" s="6">
        <f t="shared" si="13"/>
        <v>0</v>
      </c>
      <c r="I196" s="6" t="str">
        <f>IF(VLOOKUP(E196,Sheet2!$W$4:$AA$49,5,0)=0,"",VLOOKUP(E196,Sheet2!$W$4:$AA$49,5,0))</f>
        <v/>
      </c>
      <c r="J196" s="6">
        <v>0</v>
      </c>
      <c r="K196" s="6">
        <v>0</v>
      </c>
      <c r="L196" s="6" t="str">
        <f>IF(VLOOKUP(E196,Sheet2!$W$4:$X$49,2,0)=0,"",VLOOKUP(E196,Sheet2!$W$4:$X$49,2,0))</f>
        <v/>
      </c>
      <c r="N196" s="6" t="str">
        <f>IF(VLOOKUP(E196,Sheet2!$W$4:$Y$49,3,0)=0,"",VLOOKUP(E196,Sheet2!$W$4:$Y$49,3,0))</f>
        <v/>
      </c>
      <c r="Q196" s="6" t="str">
        <f>IF(VLOOKUP(E196,Sheet2!$W$4:$Z$49,4,0)=0,"",VLOOKUP(E196,Sheet2!$W$4:$Z$49,4,0))</f>
        <v/>
      </c>
      <c r="R196" s="8">
        <v>28</v>
      </c>
      <c r="S196" s="14">
        <v>2</v>
      </c>
    </row>
    <row r="197" spans="1:19">
      <c r="A197" s="6">
        <f t="shared" si="10"/>
        <v>3902</v>
      </c>
      <c r="B197" s="6">
        <f t="shared" si="11"/>
        <v>39</v>
      </c>
      <c r="C197" s="6">
        <f t="shared" si="12"/>
        <v>2</v>
      </c>
      <c r="D197" s="6" t="s">
        <v>431</v>
      </c>
      <c r="E197" s="6">
        <v>112</v>
      </c>
      <c r="G197" s="6" t="s">
        <v>432</v>
      </c>
      <c r="H197" s="6">
        <f t="shared" si="13"/>
        <v>0</v>
      </c>
      <c r="I197" s="6" t="str">
        <f>IF(VLOOKUP(E197,Sheet2!$W$4:$AA$49,5,0)=0,"",VLOOKUP(E197,Sheet2!$W$4:$AA$49,5,0))</f>
        <v/>
      </c>
      <c r="J197" s="6">
        <v>0</v>
      </c>
      <c r="K197" s="6">
        <v>0</v>
      </c>
      <c r="L197" s="6">
        <f>IF(VLOOKUP(E197,Sheet2!$W$4:$X$49,2,0)=0,"",VLOOKUP(E197,Sheet2!$W$4:$X$49,2,0))</f>
        <v>1</v>
      </c>
      <c r="N197" s="6" t="str">
        <f>IF(VLOOKUP(E197,Sheet2!$W$4:$Y$49,3,0)=0,"",VLOOKUP(E197,Sheet2!$W$4:$Y$49,3,0))</f>
        <v/>
      </c>
      <c r="Q197" s="6" t="str">
        <f>IF(VLOOKUP(E197,Sheet2!$W$4:$Z$49,4,0)=0,"",VLOOKUP(E197,Sheet2!$W$4:$Z$49,4,0))</f>
        <v>[{50015,6}]</v>
      </c>
      <c r="R197" s="8">
        <v>28</v>
      </c>
      <c r="S197" s="14">
        <v>2</v>
      </c>
    </row>
    <row r="198" spans="1:19">
      <c r="A198" s="6">
        <f t="shared" si="10"/>
        <v>3903</v>
      </c>
      <c r="B198" s="6">
        <f t="shared" si="11"/>
        <v>39</v>
      </c>
      <c r="C198" s="6">
        <f t="shared" si="12"/>
        <v>3</v>
      </c>
      <c r="D198" s="6" t="s">
        <v>433</v>
      </c>
      <c r="E198" s="6">
        <v>113</v>
      </c>
      <c r="G198" s="6" t="s">
        <v>434</v>
      </c>
      <c r="H198" s="6">
        <f t="shared" si="13"/>
        <v>0</v>
      </c>
      <c r="I198" s="6" t="str">
        <f>IF(VLOOKUP(E198,Sheet2!$W$4:$AA$49,5,0)=0,"",VLOOKUP(E198,Sheet2!$W$4:$AA$49,5,0))</f>
        <v>[60005]</v>
      </c>
      <c r="J198" s="6">
        <v>0</v>
      </c>
      <c r="K198" s="6">
        <v>0</v>
      </c>
      <c r="L198" s="6">
        <f>IF(VLOOKUP(E198,Sheet2!$W$4:$X$49,2,0)=0,"",VLOOKUP(E198,Sheet2!$W$4:$X$49,2,0))</f>
        <v>1</v>
      </c>
      <c r="N198" s="6" t="str">
        <f>IF(VLOOKUP(E198,Sheet2!$W$4:$Y$49,3,0)=0,"",VLOOKUP(E198,Sheet2!$W$4:$Y$49,3,0))</f>
        <v/>
      </c>
      <c r="Q198" s="6" t="str">
        <f>IF(VLOOKUP(E198,Sheet2!$W$4:$Z$49,4,0)=0,"",VLOOKUP(E198,Sheet2!$W$4:$Z$49,4,0))</f>
        <v>[{50016,6}]</v>
      </c>
      <c r="R198" s="8">
        <v>28</v>
      </c>
      <c r="S198" s="14">
        <v>2</v>
      </c>
    </row>
    <row r="199" spans="1:19">
      <c r="A199" s="6">
        <f t="shared" si="10"/>
        <v>3921</v>
      </c>
      <c r="B199" s="6">
        <f t="shared" si="11"/>
        <v>39</v>
      </c>
      <c r="C199" s="6">
        <f t="shared" si="12"/>
        <v>4</v>
      </c>
      <c r="D199" s="6" t="s">
        <v>435</v>
      </c>
      <c r="E199" s="6">
        <v>511</v>
      </c>
      <c r="G199" s="6" t="s">
        <v>436</v>
      </c>
      <c r="H199" s="6">
        <f t="shared" si="13"/>
        <v>2</v>
      </c>
      <c r="I199" s="6" t="str">
        <f>IF(VLOOKUP(E199,Sheet2!$W$4:$AA$49,5,0)=0,"",VLOOKUP(E199,Sheet2!$W$4:$AA$49,5,0))</f>
        <v/>
      </c>
      <c r="J199" s="6">
        <v>0</v>
      </c>
      <c r="K199" s="6">
        <v>0</v>
      </c>
      <c r="L199" s="6" t="str">
        <f>IF(VLOOKUP(E199,Sheet2!$W$4:$X$49,2,0)=0,"",VLOOKUP(E199,Sheet2!$W$4:$X$49,2,0))</f>
        <v/>
      </c>
      <c r="N199" s="6" t="str">
        <f>IF(VLOOKUP(E199,Sheet2!$W$4:$Y$49,3,0)=0,"",VLOOKUP(E199,Sheet2!$W$4:$Y$49,3,0))</f>
        <v/>
      </c>
      <c r="Q199" s="6" t="str">
        <f>IF(VLOOKUP(E199,Sheet2!$W$4:$Z$49,4,0)=0,"",VLOOKUP(E199,Sheet2!$W$4:$Z$49,4,0))</f>
        <v/>
      </c>
      <c r="R199" s="8">
        <v>200</v>
      </c>
      <c r="S199" s="14">
        <v>2</v>
      </c>
    </row>
    <row r="200" spans="1:19">
      <c r="A200" s="6">
        <f t="shared" si="10"/>
        <v>3931</v>
      </c>
      <c r="B200" s="6">
        <f t="shared" si="11"/>
        <v>39</v>
      </c>
      <c r="C200" s="6">
        <f t="shared" si="12"/>
        <v>5</v>
      </c>
      <c r="D200" s="6" t="s">
        <v>437</v>
      </c>
      <c r="E200" s="6">
        <v>511</v>
      </c>
      <c r="G200" s="6" t="s">
        <v>438</v>
      </c>
      <c r="H200" s="6">
        <f t="shared" si="13"/>
        <v>2</v>
      </c>
      <c r="I200" s="6" t="str">
        <f>IF(VLOOKUP(E200,Sheet2!$W$4:$AA$49,5,0)=0,"",VLOOKUP(E200,Sheet2!$W$4:$AA$49,5,0))</f>
        <v/>
      </c>
      <c r="J200" s="6">
        <v>0</v>
      </c>
      <c r="K200" s="6">
        <v>0</v>
      </c>
      <c r="L200" s="6" t="str">
        <f>IF(VLOOKUP(E200,Sheet2!$W$4:$X$49,2,0)=0,"",VLOOKUP(E200,Sheet2!$W$4:$X$49,2,0))</f>
        <v/>
      </c>
      <c r="N200" s="6" t="str">
        <f>IF(VLOOKUP(E200,Sheet2!$W$4:$Y$49,3,0)=0,"",VLOOKUP(E200,Sheet2!$W$4:$Y$49,3,0))</f>
        <v/>
      </c>
      <c r="Q200" s="6" t="str">
        <f>IF(VLOOKUP(E200,Sheet2!$W$4:$Z$49,4,0)=0,"",VLOOKUP(E200,Sheet2!$W$4:$Z$49,4,0))</f>
        <v/>
      </c>
      <c r="R200" s="8">
        <v>200</v>
      </c>
      <c r="S200" s="14">
        <v>2</v>
      </c>
    </row>
    <row r="201" spans="1:19">
      <c r="A201" s="6">
        <f t="shared" si="10"/>
        <v>4001</v>
      </c>
      <c r="B201" s="6">
        <f t="shared" si="11"/>
        <v>40</v>
      </c>
      <c r="C201" s="6">
        <f t="shared" si="12"/>
        <v>1</v>
      </c>
      <c r="D201" s="6" t="s">
        <v>439</v>
      </c>
      <c r="E201" s="6">
        <v>100</v>
      </c>
      <c r="G201" s="6" t="s">
        <v>440</v>
      </c>
      <c r="H201" s="6">
        <f t="shared" si="13"/>
        <v>0</v>
      </c>
      <c r="I201" s="6" t="str">
        <f>IF(VLOOKUP(E201,Sheet2!$W$4:$AA$49,5,0)=0,"",VLOOKUP(E201,Sheet2!$W$4:$AA$49,5,0))</f>
        <v>[60002]</v>
      </c>
      <c r="J201" s="6">
        <v>0</v>
      </c>
      <c r="K201" s="6">
        <v>0</v>
      </c>
      <c r="L201" s="6" t="str">
        <f>IF(VLOOKUP(E201,Sheet2!$W$4:$X$49,2,0)=0,"",VLOOKUP(E201,Sheet2!$W$4:$X$49,2,0))</f>
        <v/>
      </c>
      <c r="N201" s="6">
        <f>IF(VLOOKUP(E201,Sheet2!$W$4:$Y$49,3,0)=0,"",VLOOKUP(E201,Sheet2!$W$4:$Y$49,3,0))</f>
        <v>2001</v>
      </c>
      <c r="Q201" s="6" t="str">
        <f>IF(VLOOKUP(E201,Sheet2!$W$4:$Z$49,4,0)=0,"",VLOOKUP(E201,Sheet2!$W$4:$Z$49,4,0))</f>
        <v/>
      </c>
      <c r="R201" s="8">
        <v>28</v>
      </c>
      <c r="S201" s="14">
        <v>2</v>
      </c>
    </row>
    <row r="202" spans="1:19">
      <c r="A202" s="6">
        <f t="shared" si="10"/>
        <v>4002</v>
      </c>
      <c r="B202" s="6">
        <f t="shared" si="11"/>
        <v>40</v>
      </c>
      <c r="C202" s="6">
        <f t="shared" si="12"/>
        <v>2</v>
      </c>
      <c r="D202" s="6" t="s">
        <v>441</v>
      </c>
      <c r="E202" s="6">
        <v>102</v>
      </c>
      <c r="G202" s="6" t="s">
        <v>442</v>
      </c>
      <c r="H202" s="6">
        <f t="shared" si="13"/>
        <v>0</v>
      </c>
      <c r="I202" s="6" t="str">
        <f>IF(VLOOKUP(E202,Sheet2!$W$4:$AA$49,5,0)=0,"",VLOOKUP(E202,Sheet2!$W$4:$AA$49,5,0))</f>
        <v/>
      </c>
      <c r="J202" s="6">
        <v>0</v>
      </c>
      <c r="K202" s="6">
        <v>0</v>
      </c>
      <c r="L202" s="6">
        <f>IF(VLOOKUP(E202,Sheet2!$W$4:$X$49,2,0)=0,"",VLOOKUP(E202,Sheet2!$W$4:$X$49,2,0))</f>
        <v>1</v>
      </c>
      <c r="N202" s="6" t="str">
        <f>IF(VLOOKUP(E202,Sheet2!$W$4:$Y$49,3,0)=0,"",VLOOKUP(E202,Sheet2!$W$4:$Y$49,3,0))</f>
        <v/>
      </c>
      <c r="Q202" s="6" t="str">
        <f>IF(VLOOKUP(E202,Sheet2!$W$4:$Z$49,4,0)=0,"",VLOOKUP(E202,Sheet2!$W$4:$Z$49,4,0))</f>
        <v>[{50011,6}]</v>
      </c>
      <c r="R202" s="8">
        <v>28</v>
      </c>
      <c r="S202" s="14">
        <v>2</v>
      </c>
    </row>
    <row r="203" spans="1:19">
      <c r="A203" s="6">
        <f t="shared" si="10"/>
        <v>4003</v>
      </c>
      <c r="B203" s="6">
        <f t="shared" si="11"/>
        <v>40</v>
      </c>
      <c r="C203" s="6">
        <f t="shared" si="12"/>
        <v>3</v>
      </c>
      <c r="D203" s="6" t="s">
        <v>443</v>
      </c>
      <c r="E203" s="6">
        <v>105</v>
      </c>
      <c r="G203" s="6" t="s">
        <v>444</v>
      </c>
      <c r="H203" s="6">
        <f t="shared" si="13"/>
        <v>0</v>
      </c>
      <c r="I203" s="6" t="str">
        <f>IF(VLOOKUP(E203,Sheet2!$W$4:$AA$49,5,0)=0,"",VLOOKUP(E203,Sheet2!$W$4:$AA$49,5,0))</f>
        <v>[60003]</v>
      </c>
      <c r="J203" s="6">
        <v>0</v>
      </c>
      <c r="K203" s="6">
        <v>0</v>
      </c>
      <c r="L203" s="6" t="str">
        <f>IF(VLOOKUP(E203,Sheet2!$W$4:$X$49,2,0)=0,"",VLOOKUP(E203,Sheet2!$W$4:$X$49,2,0))</f>
        <v/>
      </c>
      <c r="N203" s="6" t="str">
        <f>IF(VLOOKUP(E203,Sheet2!$W$4:$Y$49,3,0)=0,"",VLOOKUP(E203,Sheet2!$W$4:$Y$49,3,0))</f>
        <v/>
      </c>
      <c r="Q203" s="6" t="str">
        <f>IF(VLOOKUP(E203,Sheet2!$W$4:$Z$49,4,0)=0,"",VLOOKUP(E203,Sheet2!$W$4:$Z$49,4,0))</f>
        <v/>
      </c>
      <c r="R203" s="8">
        <v>28</v>
      </c>
      <c r="S203" s="14">
        <v>2</v>
      </c>
    </row>
    <row r="204" spans="1:19">
      <c r="A204" s="6">
        <f t="shared" si="10"/>
        <v>4021</v>
      </c>
      <c r="B204" s="6">
        <f t="shared" si="11"/>
        <v>40</v>
      </c>
      <c r="C204" s="6">
        <f t="shared" si="12"/>
        <v>4</v>
      </c>
      <c r="D204" s="6" t="s">
        <v>445</v>
      </c>
      <c r="E204" s="6">
        <v>502</v>
      </c>
      <c r="G204" s="6" t="s">
        <v>446</v>
      </c>
      <c r="H204" s="6">
        <f t="shared" si="13"/>
        <v>2</v>
      </c>
      <c r="I204" s="6" t="str">
        <f>IF(VLOOKUP(E204,Sheet2!$W$4:$AA$49,5,0)=0,"",VLOOKUP(E204,Sheet2!$W$4:$AA$49,5,0))</f>
        <v/>
      </c>
      <c r="J204" s="6">
        <v>0</v>
      </c>
      <c r="K204" s="6">
        <v>0</v>
      </c>
      <c r="L204" s="6">
        <f>IF(VLOOKUP(E204,Sheet2!$W$4:$X$49,2,0)=0,"",VLOOKUP(E204,Sheet2!$W$4:$X$49,2,0))</f>
        <v>1</v>
      </c>
      <c r="N204" s="6" t="str">
        <f>IF(VLOOKUP(E204,Sheet2!$W$4:$Y$49,3,0)=0,"",VLOOKUP(E204,Sheet2!$W$4:$Y$49,3,0))</f>
        <v/>
      </c>
      <c r="Q204" s="6" t="str">
        <f>IF(VLOOKUP(E204,Sheet2!$W$4:$Z$49,4,0)=0,"",VLOOKUP(E204,Sheet2!$W$4:$Z$49,4,0))</f>
        <v>[{50021,6}]</v>
      </c>
      <c r="R204" s="8">
        <v>200</v>
      </c>
      <c r="S204" s="14">
        <v>2</v>
      </c>
    </row>
    <row r="205" spans="1:19">
      <c r="A205" s="6">
        <f t="shared" si="10"/>
        <v>4031</v>
      </c>
      <c r="B205" s="6">
        <f t="shared" si="11"/>
        <v>40</v>
      </c>
      <c r="C205" s="6">
        <f t="shared" si="12"/>
        <v>5</v>
      </c>
      <c r="D205" s="6" t="s">
        <v>447</v>
      </c>
      <c r="E205" s="6">
        <v>500</v>
      </c>
      <c r="G205" s="6" t="s">
        <v>448</v>
      </c>
      <c r="H205" s="6">
        <f t="shared" si="13"/>
        <v>2</v>
      </c>
      <c r="I205" s="6" t="str">
        <f>IF(VLOOKUP(E205,Sheet2!$W$4:$AA$49,5,0)=0,"",VLOOKUP(E205,Sheet2!$W$4:$AA$49,5,0))</f>
        <v>[60002]</v>
      </c>
      <c r="J205" s="6">
        <v>0</v>
      </c>
      <c r="K205" s="6">
        <v>0</v>
      </c>
      <c r="L205" s="6" t="str">
        <f>IF(VLOOKUP(E205,Sheet2!$W$4:$X$49,2,0)=0,"",VLOOKUP(E205,Sheet2!$W$4:$X$49,2,0))</f>
        <v/>
      </c>
      <c r="N205" s="6">
        <f>IF(VLOOKUP(E205,Sheet2!$W$4:$Y$49,3,0)=0,"",VLOOKUP(E205,Sheet2!$W$4:$Y$49,3,0))</f>
        <v>2001</v>
      </c>
      <c r="Q205" s="6" t="str">
        <f>IF(VLOOKUP(E205,Sheet2!$W$4:$Z$49,4,0)=0,"",VLOOKUP(E205,Sheet2!$W$4:$Z$49,4,0))</f>
        <v/>
      </c>
      <c r="R205" s="8">
        <v>200</v>
      </c>
      <c r="S205" s="14">
        <v>2</v>
      </c>
    </row>
    <row r="206" spans="1:19">
      <c r="A206" s="6">
        <f t="shared" si="10"/>
        <v>4101</v>
      </c>
      <c r="B206" s="6">
        <f t="shared" si="11"/>
        <v>41</v>
      </c>
      <c r="C206" s="6">
        <f t="shared" si="12"/>
        <v>1</v>
      </c>
      <c r="D206" s="6" t="s">
        <v>449</v>
      </c>
      <c r="E206" s="6">
        <v>101</v>
      </c>
      <c r="G206" s="6" t="s">
        <v>450</v>
      </c>
      <c r="H206" s="6">
        <f t="shared" ref="H206:H230" si="14">H201</f>
        <v>0</v>
      </c>
      <c r="I206" s="6" t="str">
        <f>IF(VLOOKUP(E206,Sheet2!$W$4:$AA$49,5,0)=0,"",VLOOKUP(E206,Sheet2!$W$4:$AA$49,5,0))</f>
        <v/>
      </c>
      <c r="J206" s="6">
        <v>0</v>
      </c>
      <c r="K206" s="6">
        <v>0</v>
      </c>
      <c r="L206" s="6" t="str">
        <f>IF(VLOOKUP(E206,Sheet2!$W$4:$X$49,2,0)=0,"",VLOOKUP(E206,Sheet2!$W$4:$X$49,2,0))</f>
        <v/>
      </c>
      <c r="N206" s="6" t="str">
        <f>IF(VLOOKUP(E206,Sheet2!$W$4:$Y$49,3,0)=0,"",VLOOKUP(E206,Sheet2!$W$4:$Y$49,3,0))</f>
        <v/>
      </c>
      <c r="Q206" s="6" t="str">
        <f>IF(VLOOKUP(E206,Sheet2!$W$4:$Z$49,4,0)=0,"",VLOOKUP(E206,Sheet2!$W$4:$Z$49,4,0))</f>
        <v/>
      </c>
      <c r="R206" s="8">
        <v>24</v>
      </c>
      <c r="S206" s="14">
        <v>2</v>
      </c>
    </row>
    <row r="207" spans="1:19">
      <c r="A207" s="6">
        <f t="shared" si="10"/>
        <v>4102</v>
      </c>
      <c r="B207" s="6">
        <f t="shared" si="11"/>
        <v>41</v>
      </c>
      <c r="C207" s="6">
        <f t="shared" si="12"/>
        <v>2</v>
      </c>
      <c r="D207" s="6" t="s">
        <v>451</v>
      </c>
      <c r="E207" s="6">
        <v>104</v>
      </c>
      <c r="G207" s="6" t="s">
        <v>452</v>
      </c>
      <c r="H207" s="6">
        <f t="shared" si="14"/>
        <v>0</v>
      </c>
      <c r="I207" s="6" t="str">
        <f>IF(VLOOKUP(E207,Sheet2!$W$4:$AA$49,5,0)=0,"",VLOOKUP(E207,Sheet2!$W$4:$AA$49,5,0))</f>
        <v/>
      </c>
      <c r="J207" s="6">
        <v>0</v>
      </c>
      <c r="K207" s="6">
        <v>0</v>
      </c>
      <c r="L207" s="6" t="str">
        <f>IF(VLOOKUP(E207,Sheet2!$W$4:$X$49,2,0)=0,"",VLOOKUP(E207,Sheet2!$W$4:$X$49,2,0))</f>
        <v/>
      </c>
      <c r="N207" s="6" t="str">
        <f>IF(VLOOKUP(E207,Sheet2!$W$4:$Y$49,3,0)=0,"",VLOOKUP(E207,Sheet2!$W$4:$Y$49,3,0))</f>
        <v/>
      </c>
      <c r="Q207" s="6" t="str">
        <f>IF(VLOOKUP(E207,Sheet2!$W$4:$Z$49,4,0)=0,"",VLOOKUP(E207,Sheet2!$W$4:$Z$49,4,0))</f>
        <v/>
      </c>
      <c r="R207" s="8">
        <v>24</v>
      </c>
      <c r="S207" s="14">
        <v>2</v>
      </c>
    </row>
    <row r="208" spans="1:19">
      <c r="A208" s="6">
        <f t="shared" si="10"/>
        <v>4103</v>
      </c>
      <c r="B208" s="6">
        <f t="shared" si="11"/>
        <v>41</v>
      </c>
      <c r="C208" s="6">
        <f t="shared" si="12"/>
        <v>3</v>
      </c>
      <c r="D208" s="6" t="s">
        <v>453</v>
      </c>
      <c r="E208" s="6">
        <v>102</v>
      </c>
      <c r="G208" s="6" t="s">
        <v>454</v>
      </c>
      <c r="H208" s="6">
        <f t="shared" si="14"/>
        <v>0</v>
      </c>
      <c r="I208" s="6" t="str">
        <f>IF(VLOOKUP(E208,Sheet2!$W$4:$AA$49,5,0)=0,"",VLOOKUP(E208,Sheet2!$W$4:$AA$49,5,0))</f>
        <v/>
      </c>
      <c r="J208" s="6">
        <v>0</v>
      </c>
      <c r="K208" s="6">
        <v>0</v>
      </c>
      <c r="L208" s="6">
        <f>IF(VLOOKUP(E208,Sheet2!$W$4:$X$49,2,0)=0,"",VLOOKUP(E208,Sheet2!$W$4:$X$49,2,0))</f>
        <v>1</v>
      </c>
      <c r="N208" s="6" t="str">
        <f>IF(VLOOKUP(E208,Sheet2!$W$4:$Y$49,3,0)=0,"",VLOOKUP(E208,Sheet2!$W$4:$Y$49,3,0))</f>
        <v/>
      </c>
      <c r="Q208" s="6" t="str">
        <f>IF(VLOOKUP(E208,Sheet2!$W$4:$Z$49,4,0)=0,"",VLOOKUP(E208,Sheet2!$W$4:$Z$49,4,0))</f>
        <v>[{50011,6}]</v>
      </c>
      <c r="R208" s="8">
        <v>24</v>
      </c>
      <c r="S208" s="14">
        <v>2</v>
      </c>
    </row>
    <row r="209" spans="1:19">
      <c r="A209" s="6">
        <f t="shared" si="10"/>
        <v>4121</v>
      </c>
      <c r="B209" s="6">
        <f t="shared" si="11"/>
        <v>41</v>
      </c>
      <c r="C209" s="6">
        <f t="shared" si="12"/>
        <v>4</v>
      </c>
      <c r="D209" s="6" t="s">
        <v>455</v>
      </c>
      <c r="E209" s="6">
        <v>501</v>
      </c>
      <c r="G209" s="6" t="s">
        <v>456</v>
      </c>
      <c r="H209" s="6">
        <f t="shared" si="14"/>
        <v>2</v>
      </c>
      <c r="I209" s="6" t="str">
        <f>IF(VLOOKUP(E209,Sheet2!$W$4:$AA$49,5,0)=0,"",VLOOKUP(E209,Sheet2!$W$4:$AA$49,5,0))</f>
        <v/>
      </c>
      <c r="J209" s="6">
        <v>0</v>
      </c>
      <c r="K209" s="6">
        <v>0</v>
      </c>
      <c r="L209" s="6" t="str">
        <f>IF(VLOOKUP(E209,Sheet2!$W$4:$X$49,2,0)=0,"",VLOOKUP(E209,Sheet2!$W$4:$X$49,2,0))</f>
        <v/>
      </c>
      <c r="N209" s="6" t="str">
        <f>IF(VLOOKUP(E209,Sheet2!$W$4:$Y$49,3,0)=0,"",VLOOKUP(E209,Sheet2!$W$4:$Y$49,3,0))</f>
        <v/>
      </c>
      <c r="Q209" s="6" t="str">
        <f>IF(VLOOKUP(E209,Sheet2!$W$4:$Z$49,4,0)=0,"",VLOOKUP(E209,Sheet2!$W$4:$Z$49,4,0))</f>
        <v/>
      </c>
      <c r="R209" s="8">
        <v>100</v>
      </c>
      <c r="S209" s="14">
        <v>2</v>
      </c>
    </row>
    <row r="210" spans="1:19">
      <c r="A210" s="6">
        <f t="shared" si="10"/>
        <v>4131</v>
      </c>
      <c r="B210" s="6">
        <f t="shared" si="11"/>
        <v>41</v>
      </c>
      <c r="C210" s="6">
        <f t="shared" si="12"/>
        <v>5</v>
      </c>
      <c r="D210" s="6" t="s">
        <v>457</v>
      </c>
      <c r="E210" s="6">
        <v>501</v>
      </c>
      <c r="G210" s="6" t="s">
        <v>458</v>
      </c>
      <c r="H210" s="6">
        <f t="shared" si="14"/>
        <v>2</v>
      </c>
      <c r="I210" s="6" t="str">
        <f>IF(VLOOKUP(E210,Sheet2!$W$4:$AA$49,5,0)=0,"",VLOOKUP(E210,Sheet2!$W$4:$AA$49,5,0))</f>
        <v/>
      </c>
      <c r="J210" s="6">
        <v>0</v>
      </c>
      <c r="K210" s="6">
        <v>0</v>
      </c>
      <c r="L210" s="6" t="str">
        <f>IF(VLOOKUP(E210,Sheet2!$W$4:$X$49,2,0)=0,"",VLOOKUP(E210,Sheet2!$W$4:$X$49,2,0))</f>
        <v/>
      </c>
      <c r="N210" s="6" t="str">
        <f>IF(VLOOKUP(E210,Sheet2!$W$4:$Y$49,3,0)=0,"",VLOOKUP(E210,Sheet2!$W$4:$Y$49,3,0))</f>
        <v/>
      </c>
      <c r="Q210" s="6" t="str">
        <f>IF(VLOOKUP(E210,Sheet2!$W$4:$Z$49,4,0)=0,"",VLOOKUP(E210,Sheet2!$W$4:$Z$49,4,0))</f>
        <v/>
      </c>
      <c r="R210" s="8">
        <v>100</v>
      </c>
      <c r="S210" s="14">
        <v>2</v>
      </c>
    </row>
    <row r="211" s="5" customFormat="1" spans="1:19">
      <c r="A211" s="15">
        <f t="shared" si="10"/>
        <v>4201</v>
      </c>
      <c r="B211" s="15">
        <f t="shared" si="11"/>
        <v>42</v>
      </c>
      <c r="C211" s="15">
        <f t="shared" si="12"/>
        <v>1</v>
      </c>
      <c r="D211" s="15" t="s">
        <v>459</v>
      </c>
      <c r="E211" s="15">
        <v>101</v>
      </c>
      <c r="F211" s="15"/>
      <c r="G211" s="15" t="s">
        <v>460</v>
      </c>
      <c r="H211" s="15">
        <f t="shared" si="14"/>
        <v>0</v>
      </c>
      <c r="I211" s="15" t="s">
        <v>461</v>
      </c>
      <c r="J211" s="15">
        <v>0</v>
      </c>
      <c r="K211" s="15">
        <v>0</v>
      </c>
      <c r="L211" s="15" t="str">
        <f>IF(VLOOKUP(E211,Sheet2!$W$4:$X$49,2,0)=0,"",VLOOKUP(E211,Sheet2!$W$4:$X$49,2,0))</f>
        <v/>
      </c>
      <c r="M211" s="15"/>
      <c r="N211" s="15" t="str">
        <f>IF(VLOOKUP(E211,Sheet2!$W$4:$Y$49,3,0)=0,"",VLOOKUP(E211,Sheet2!$W$4:$Y$49,3,0))</f>
        <v/>
      </c>
      <c r="Q211" s="15" t="str">
        <f>IF(VLOOKUP(E211,Sheet2!$W$4:$Z$49,4,0)=0,"",VLOOKUP(E211,Sheet2!$W$4:$Z$49,4,0))</f>
        <v/>
      </c>
      <c r="R211" s="16">
        <v>24</v>
      </c>
      <c r="S211" s="16">
        <v>2</v>
      </c>
    </row>
    <row r="212" s="5" customFormat="1" spans="1:19">
      <c r="A212" s="15">
        <f t="shared" si="10"/>
        <v>4202</v>
      </c>
      <c r="B212" s="15">
        <f t="shared" si="11"/>
        <v>42</v>
      </c>
      <c r="C212" s="15">
        <f t="shared" si="12"/>
        <v>2</v>
      </c>
      <c r="D212" s="15" t="s">
        <v>462</v>
      </c>
      <c r="E212" s="15">
        <v>104</v>
      </c>
      <c r="F212" s="15"/>
      <c r="G212" s="15" t="s">
        <v>463</v>
      </c>
      <c r="H212" s="15">
        <f t="shared" si="14"/>
        <v>0</v>
      </c>
      <c r="I212" s="15" t="s">
        <v>464</v>
      </c>
      <c r="J212" s="15">
        <v>0</v>
      </c>
      <c r="K212" s="15">
        <v>0</v>
      </c>
      <c r="L212" s="15" t="str">
        <f>IF(VLOOKUP(E212,Sheet2!$W$4:$X$49,2,0)=0,"",VLOOKUP(E212,Sheet2!$W$4:$X$49,2,0))</f>
        <v/>
      </c>
      <c r="M212" s="15"/>
      <c r="N212" s="15" t="str">
        <f>IF(VLOOKUP(E212,Sheet2!$W$4:$Y$49,3,0)=0,"",VLOOKUP(E212,Sheet2!$W$4:$Y$49,3,0))</f>
        <v/>
      </c>
      <c r="Q212" s="15"/>
      <c r="R212" s="16">
        <v>24</v>
      </c>
      <c r="S212" s="16">
        <v>2</v>
      </c>
    </row>
    <row r="213" s="5" customFormat="1" spans="1:19">
      <c r="A213" s="15">
        <f t="shared" si="10"/>
        <v>4203</v>
      </c>
      <c r="B213" s="15">
        <f t="shared" si="11"/>
        <v>42</v>
      </c>
      <c r="C213" s="15">
        <f t="shared" si="12"/>
        <v>3</v>
      </c>
      <c r="D213" s="15" t="s">
        <v>465</v>
      </c>
      <c r="E213" s="15">
        <v>102</v>
      </c>
      <c r="F213" s="15"/>
      <c r="G213" s="15" t="s">
        <v>466</v>
      </c>
      <c r="H213" s="15">
        <f t="shared" si="14"/>
        <v>0</v>
      </c>
      <c r="I213" s="15" t="str">
        <f>IF(VLOOKUP(E213,Sheet2!$W$4:$AA$49,5,0)=0,"",VLOOKUP(E213,Sheet2!$W$4:$AA$49,5,0))</f>
        <v/>
      </c>
      <c r="J213" s="15">
        <v>0</v>
      </c>
      <c r="K213" s="15">
        <v>0</v>
      </c>
      <c r="L213" s="15">
        <f>IF(VLOOKUP(E213,Sheet2!$W$4:$X$49,2,0)=0,"",VLOOKUP(E213,Sheet2!$W$4:$X$49,2,0))</f>
        <v>1</v>
      </c>
      <c r="M213" s="15"/>
      <c r="N213" s="15" t="str">
        <f>IF(VLOOKUP(E213,Sheet2!$W$4:$Y$49,3,0)=0,"",VLOOKUP(E213,Sheet2!$W$4:$Y$49,3,0))</f>
        <v/>
      </c>
      <c r="Q213" s="15" t="s">
        <v>467</v>
      </c>
      <c r="R213" s="16">
        <v>24</v>
      </c>
      <c r="S213" s="16">
        <v>2</v>
      </c>
    </row>
    <row r="214" s="5" customFormat="1" spans="1:19">
      <c r="A214" s="15">
        <f t="shared" si="10"/>
        <v>4221</v>
      </c>
      <c r="B214" s="15">
        <f t="shared" si="11"/>
        <v>42</v>
      </c>
      <c r="C214" s="15">
        <f t="shared" si="12"/>
        <v>4</v>
      </c>
      <c r="D214" s="15" t="s">
        <v>468</v>
      </c>
      <c r="E214" s="15">
        <v>502</v>
      </c>
      <c r="F214" s="15"/>
      <c r="G214" s="15" t="s">
        <v>469</v>
      </c>
      <c r="H214" s="15">
        <f t="shared" si="14"/>
        <v>2</v>
      </c>
      <c r="I214" s="15" t="str">
        <f>IF(VLOOKUP(E214,Sheet2!$W$4:$AA$49,5,0)=0,"",VLOOKUP(E214,Sheet2!$W$4:$AA$49,5,0))</f>
        <v/>
      </c>
      <c r="J214" s="15">
        <v>0</v>
      </c>
      <c r="K214" s="15">
        <v>0</v>
      </c>
      <c r="L214" s="15">
        <f>IF(VLOOKUP(E214,Sheet2!$W$4:$X$49,2,0)=0,"",VLOOKUP(E214,Sheet2!$W$4:$X$49,2,0))</f>
        <v>1</v>
      </c>
      <c r="M214" s="15"/>
      <c r="N214" s="15" t="str">
        <f>IF(VLOOKUP(E214,Sheet2!$W$4:$Y$49,3,0)=0,"",VLOOKUP(E214,Sheet2!$W$4:$Y$49,3,0))</f>
        <v/>
      </c>
      <c r="Q214" s="15" t="s">
        <v>470</v>
      </c>
      <c r="R214" s="16">
        <v>100</v>
      </c>
      <c r="S214" s="16">
        <v>2</v>
      </c>
    </row>
    <row r="215" s="5" customFormat="1" spans="1:19">
      <c r="A215" s="15">
        <f t="shared" si="10"/>
        <v>4231</v>
      </c>
      <c r="B215" s="15">
        <f t="shared" si="11"/>
        <v>42</v>
      </c>
      <c r="C215" s="15">
        <f t="shared" si="12"/>
        <v>5</v>
      </c>
      <c r="D215" s="15" t="s">
        <v>471</v>
      </c>
      <c r="E215" s="15">
        <v>502</v>
      </c>
      <c r="F215" s="15"/>
      <c r="G215" s="15" t="s">
        <v>472</v>
      </c>
      <c r="H215" s="15">
        <f t="shared" si="14"/>
        <v>2</v>
      </c>
      <c r="I215" s="15" t="str">
        <f>IF(VLOOKUP(E215,Sheet2!$W$4:$AA$49,5,0)=0,"",VLOOKUP(E215,Sheet2!$W$4:$AA$49,5,0))</f>
        <v/>
      </c>
      <c r="J215" s="15">
        <v>0</v>
      </c>
      <c r="K215" s="15">
        <v>0</v>
      </c>
      <c r="L215" s="15">
        <f>IF(VLOOKUP(E215,Sheet2!$W$4:$X$49,2,0)=0,"",VLOOKUP(E215,Sheet2!$W$4:$X$49,2,0))</f>
        <v>1</v>
      </c>
      <c r="M215" s="15"/>
      <c r="N215" s="15" t="str">
        <f>IF(VLOOKUP(E215,Sheet2!$W$4:$Y$49,3,0)=0,"",VLOOKUP(E215,Sheet2!$W$4:$Y$49,3,0))</f>
        <v/>
      </c>
      <c r="Q215" s="15" t="s">
        <v>470</v>
      </c>
      <c r="R215" s="16">
        <v>100</v>
      </c>
      <c r="S215" s="16">
        <v>2</v>
      </c>
    </row>
    <row r="216" spans="1:19">
      <c r="A216" s="6">
        <f t="shared" si="10"/>
        <v>4301</v>
      </c>
      <c r="B216" s="6">
        <f t="shared" si="11"/>
        <v>43</v>
      </c>
      <c r="C216" s="6">
        <f t="shared" si="12"/>
        <v>1</v>
      </c>
      <c r="D216" s="6" t="s">
        <v>473</v>
      </c>
      <c r="E216" s="6">
        <v>103</v>
      </c>
      <c r="G216" s="6" t="s">
        <v>474</v>
      </c>
      <c r="H216" s="6">
        <f t="shared" si="14"/>
        <v>0</v>
      </c>
      <c r="I216" s="6" t="str">
        <f>IF(VLOOKUP(E216,Sheet2!$W$4:$AA$49,5,0)=0,"",VLOOKUP(E216,Sheet2!$W$4:$AA$49,5,0))</f>
        <v>[60001]</v>
      </c>
      <c r="J216" s="6">
        <v>0</v>
      </c>
      <c r="K216" s="6">
        <v>0</v>
      </c>
      <c r="L216" s="6" t="str">
        <f>IF(VLOOKUP(E216,Sheet2!$W$4:$X$49,2,0)=0,"",VLOOKUP(E216,Sheet2!$W$4:$X$49,2,0))</f>
        <v/>
      </c>
      <c r="N216" s="6" t="str">
        <f>IF(VLOOKUP(E216,Sheet2!$W$4:$Y$49,3,0)=0,"",VLOOKUP(E216,Sheet2!$W$4:$Y$49,3,0))</f>
        <v/>
      </c>
      <c r="Q216" s="6" t="str">
        <f>IF(VLOOKUP(E216,Sheet2!$W$4:$Z$49,4,0)=0,"",VLOOKUP(E216,Sheet2!$W$4:$Z$49,4,0))</f>
        <v/>
      </c>
      <c r="R216" s="8">
        <v>24</v>
      </c>
      <c r="S216" s="14">
        <v>2</v>
      </c>
    </row>
    <row r="217" spans="1:19">
      <c r="A217" s="6">
        <f t="shared" si="10"/>
        <v>4302</v>
      </c>
      <c r="B217" s="6">
        <f t="shared" si="11"/>
        <v>43</v>
      </c>
      <c r="C217" s="6">
        <f t="shared" si="12"/>
        <v>2</v>
      </c>
      <c r="D217" s="6" t="s">
        <v>475</v>
      </c>
      <c r="E217" s="6">
        <v>104</v>
      </c>
      <c r="G217" s="6" t="s">
        <v>476</v>
      </c>
      <c r="H217" s="6">
        <f t="shared" si="14"/>
        <v>0</v>
      </c>
      <c r="I217" s="6" t="str">
        <f>IF(VLOOKUP(E217,Sheet2!$W$4:$AA$49,5,0)=0,"",VLOOKUP(E217,Sheet2!$W$4:$AA$49,5,0))</f>
        <v/>
      </c>
      <c r="J217" s="6">
        <v>0</v>
      </c>
      <c r="K217" s="6">
        <v>0</v>
      </c>
      <c r="L217" s="6" t="str">
        <f>IF(VLOOKUP(E217,Sheet2!$W$4:$X$49,2,0)=0,"",VLOOKUP(E217,Sheet2!$W$4:$X$49,2,0))</f>
        <v/>
      </c>
      <c r="N217" s="6" t="str">
        <f>IF(VLOOKUP(E217,Sheet2!$W$4:$Y$49,3,0)=0,"",VLOOKUP(E217,Sheet2!$W$4:$Y$49,3,0))</f>
        <v/>
      </c>
      <c r="Q217" s="6" t="str">
        <f>IF(VLOOKUP(E217,Sheet2!$W$4:$Z$49,4,0)=0,"",VLOOKUP(E217,Sheet2!$W$4:$Z$49,4,0))</f>
        <v/>
      </c>
      <c r="R217" s="8">
        <v>24</v>
      </c>
      <c r="S217" s="14">
        <v>2</v>
      </c>
    </row>
    <row r="218" spans="1:19">
      <c r="A218" s="6">
        <f t="shared" si="10"/>
        <v>4303</v>
      </c>
      <c r="B218" s="6">
        <f t="shared" si="11"/>
        <v>43</v>
      </c>
      <c r="C218" s="6">
        <f t="shared" si="12"/>
        <v>3</v>
      </c>
      <c r="D218" s="6" t="s">
        <v>477</v>
      </c>
      <c r="E218" s="6">
        <v>104</v>
      </c>
      <c r="G218" s="6" t="s">
        <v>478</v>
      </c>
      <c r="H218" s="6">
        <f t="shared" si="14"/>
        <v>0</v>
      </c>
      <c r="I218" s="6" t="str">
        <f>IF(VLOOKUP(E218,Sheet2!$W$4:$AA$49,5,0)=0,"",VLOOKUP(E218,Sheet2!$W$4:$AA$49,5,0))</f>
        <v/>
      </c>
      <c r="J218" s="6">
        <v>0</v>
      </c>
      <c r="K218" s="6">
        <v>0</v>
      </c>
      <c r="L218" s="6" t="str">
        <f>IF(VLOOKUP(E218,Sheet2!$W$4:$X$49,2,0)=0,"",VLOOKUP(E218,Sheet2!$W$4:$X$49,2,0))</f>
        <v/>
      </c>
      <c r="N218" s="6" t="str">
        <f>IF(VLOOKUP(E218,Sheet2!$W$4:$Y$49,3,0)=0,"",VLOOKUP(E218,Sheet2!$W$4:$Y$49,3,0))</f>
        <v/>
      </c>
      <c r="Q218" s="6" t="str">
        <f>IF(VLOOKUP(E218,Sheet2!$W$4:$Z$49,4,0)=0,"",VLOOKUP(E218,Sheet2!$W$4:$Z$49,4,0))</f>
        <v/>
      </c>
      <c r="R218" s="8">
        <v>24</v>
      </c>
      <c r="S218" s="14">
        <v>2</v>
      </c>
    </row>
    <row r="219" spans="1:19">
      <c r="A219" s="6">
        <f t="shared" si="10"/>
        <v>4321</v>
      </c>
      <c r="B219" s="6">
        <f t="shared" si="11"/>
        <v>43</v>
      </c>
      <c r="C219" s="6">
        <f t="shared" si="12"/>
        <v>4</v>
      </c>
      <c r="D219" s="6" t="s">
        <v>479</v>
      </c>
      <c r="E219" s="6">
        <v>504</v>
      </c>
      <c r="G219" s="6" t="s">
        <v>480</v>
      </c>
      <c r="H219" s="6">
        <f t="shared" si="14"/>
        <v>2</v>
      </c>
      <c r="I219" s="6" t="str">
        <f>IF(VLOOKUP(E219,Sheet2!$W$4:$AA$49,5,0)=0,"",VLOOKUP(E219,Sheet2!$W$4:$AA$49,5,0))</f>
        <v/>
      </c>
      <c r="J219" s="6">
        <v>0</v>
      </c>
      <c r="K219" s="6">
        <v>0</v>
      </c>
      <c r="L219" s="6" t="str">
        <f>IF(VLOOKUP(E219,Sheet2!$W$4:$X$49,2,0)=0,"",VLOOKUP(E219,Sheet2!$W$4:$X$49,2,0))</f>
        <v/>
      </c>
      <c r="N219" s="6" t="str">
        <f>IF(VLOOKUP(E219,Sheet2!$W$4:$Y$49,3,0)=0,"",VLOOKUP(E219,Sheet2!$W$4:$Y$49,3,0))</f>
        <v/>
      </c>
      <c r="Q219" s="6" t="str">
        <f>IF(VLOOKUP(E219,Sheet2!$W$4:$Z$49,4,0)=0,"",VLOOKUP(E219,Sheet2!$W$4:$Z$49,4,0))</f>
        <v/>
      </c>
      <c r="R219" s="8">
        <v>100</v>
      </c>
      <c r="S219" s="14">
        <v>2</v>
      </c>
    </row>
    <row r="220" spans="1:19">
      <c r="A220" s="6">
        <f t="shared" si="10"/>
        <v>4331</v>
      </c>
      <c r="B220" s="6">
        <f t="shared" si="11"/>
        <v>43</v>
      </c>
      <c r="C220" s="6">
        <f t="shared" si="12"/>
        <v>5</v>
      </c>
      <c r="D220" s="6" t="s">
        <v>481</v>
      </c>
      <c r="E220" s="6">
        <v>504</v>
      </c>
      <c r="G220" s="6" t="s">
        <v>482</v>
      </c>
      <c r="H220" s="6">
        <f t="shared" si="14"/>
        <v>2</v>
      </c>
      <c r="I220" s="6" t="str">
        <f>IF(VLOOKUP(E220,Sheet2!$W$4:$AA$49,5,0)=0,"",VLOOKUP(E220,Sheet2!$W$4:$AA$49,5,0))</f>
        <v/>
      </c>
      <c r="J220" s="6">
        <v>0</v>
      </c>
      <c r="K220" s="6">
        <v>0</v>
      </c>
      <c r="L220" s="6" t="str">
        <f>IF(VLOOKUP(E220,Sheet2!$W$4:$X$49,2,0)=0,"",VLOOKUP(E220,Sheet2!$W$4:$X$49,2,0))</f>
        <v/>
      </c>
      <c r="N220" s="6" t="str">
        <f>IF(VLOOKUP(E220,Sheet2!$W$4:$Y$49,3,0)=0,"",VLOOKUP(E220,Sheet2!$W$4:$Y$49,3,0))</f>
        <v/>
      </c>
      <c r="Q220" s="6" t="str">
        <f>IF(VLOOKUP(E220,Sheet2!$W$4:$Z$49,4,0)=0,"",VLOOKUP(E220,Sheet2!$W$4:$Z$49,4,0))</f>
        <v/>
      </c>
      <c r="R220" s="8">
        <v>100</v>
      </c>
      <c r="S220" s="14">
        <v>2</v>
      </c>
    </row>
    <row r="221" spans="1:19">
      <c r="A221" s="6">
        <f t="shared" si="10"/>
        <v>4401</v>
      </c>
      <c r="B221" s="6">
        <f t="shared" si="11"/>
        <v>44</v>
      </c>
      <c r="C221" s="6">
        <f t="shared" si="12"/>
        <v>1</v>
      </c>
      <c r="D221" s="6" t="s">
        <v>483</v>
      </c>
      <c r="E221" s="6">
        <v>100</v>
      </c>
      <c r="G221" s="6" t="s">
        <v>484</v>
      </c>
      <c r="H221" s="6">
        <f t="shared" si="14"/>
        <v>0</v>
      </c>
      <c r="I221" s="6" t="str">
        <f>IF(VLOOKUP(E221,Sheet2!$W$4:$AA$49,5,0)=0,"",VLOOKUP(E221,Sheet2!$W$4:$AA$49,5,0))</f>
        <v>[60002]</v>
      </c>
      <c r="J221" s="6">
        <v>0</v>
      </c>
      <c r="K221" s="6">
        <v>0</v>
      </c>
      <c r="L221" s="6" t="str">
        <f>IF(VLOOKUP(E221,Sheet2!$W$4:$X$49,2,0)=0,"",VLOOKUP(E221,Sheet2!$W$4:$X$49,2,0))</f>
        <v/>
      </c>
      <c r="N221" s="6">
        <f>IF(VLOOKUP(E221,Sheet2!$W$4:$Y$49,3,0)=0,"",VLOOKUP(E221,Sheet2!$W$4:$Y$49,3,0))</f>
        <v>2001</v>
      </c>
      <c r="Q221" s="6" t="str">
        <f>IF(VLOOKUP(E221,Sheet2!$W$4:$Z$49,4,0)=0,"",VLOOKUP(E221,Sheet2!$W$4:$Z$49,4,0))</f>
        <v/>
      </c>
      <c r="R221" s="8">
        <v>24</v>
      </c>
      <c r="S221" s="14">
        <v>2</v>
      </c>
    </row>
    <row r="222" spans="1:19">
      <c r="A222" s="6">
        <f t="shared" si="10"/>
        <v>4402</v>
      </c>
      <c r="B222" s="6">
        <f t="shared" si="11"/>
        <v>44</v>
      </c>
      <c r="C222" s="6">
        <f t="shared" si="12"/>
        <v>2</v>
      </c>
      <c r="D222" s="6" t="s">
        <v>485</v>
      </c>
      <c r="E222" s="6">
        <v>102</v>
      </c>
      <c r="G222" s="6" t="s">
        <v>486</v>
      </c>
      <c r="H222" s="6">
        <f t="shared" si="14"/>
        <v>0</v>
      </c>
      <c r="I222" s="6" t="str">
        <f>IF(VLOOKUP(E222,Sheet2!$W$4:$AA$49,5,0)=0,"",VLOOKUP(E222,Sheet2!$W$4:$AA$49,5,0))</f>
        <v/>
      </c>
      <c r="J222" s="6">
        <v>0</v>
      </c>
      <c r="K222" s="6">
        <v>0</v>
      </c>
      <c r="L222" s="6">
        <f>IF(VLOOKUP(E222,Sheet2!$W$4:$X$49,2,0)=0,"",VLOOKUP(E222,Sheet2!$W$4:$X$49,2,0))</f>
        <v>1</v>
      </c>
      <c r="N222" s="6" t="str">
        <f>IF(VLOOKUP(E222,Sheet2!$W$4:$Y$49,3,0)=0,"",VLOOKUP(E222,Sheet2!$W$4:$Y$49,3,0))</f>
        <v/>
      </c>
      <c r="Q222" s="6" t="str">
        <f>IF(VLOOKUP(E222,Sheet2!$W$4:$Z$49,4,0)=0,"",VLOOKUP(E222,Sheet2!$W$4:$Z$49,4,0))</f>
        <v>[{50011,6}]</v>
      </c>
      <c r="R222" s="8">
        <v>24</v>
      </c>
      <c r="S222" s="14">
        <v>2</v>
      </c>
    </row>
    <row r="223" spans="1:19">
      <c r="A223" s="6">
        <f t="shared" si="10"/>
        <v>4403</v>
      </c>
      <c r="B223" s="6">
        <f t="shared" si="11"/>
        <v>44</v>
      </c>
      <c r="C223" s="6">
        <f t="shared" si="12"/>
        <v>3</v>
      </c>
      <c r="D223" s="6" t="s">
        <v>487</v>
      </c>
      <c r="E223" s="6">
        <v>105</v>
      </c>
      <c r="G223" s="6" t="s">
        <v>488</v>
      </c>
      <c r="H223" s="6">
        <f t="shared" si="14"/>
        <v>0</v>
      </c>
      <c r="I223" s="6" t="str">
        <f>IF(VLOOKUP(E223,Sheet2!$W$4:$AA$49,5,0)=0,"",VLOOKUP(E223,Sheet2!$W$4:$AA$49,5,0))</f>
        <v>[60003]</v>
      </c>
      <c r="J223" s="6">
        <v>0</v>
      </c>
      <c r="K223" s="6">
        <v>0</v>
      </c>
      <c r="L223" s="6" t="str">
        <f>IF(VLOOKUP(E223,Sheet2!$W$4:$X$49,2,0)=0,"",VLOOKUP(E223,Sheet2!$W$4:$X$49,2,0))</f>
        <v/>
      </c>
      <c r="N223" s="6" t="str">
        <f>IF(VLOOKUP(E223,Sheet2!$W$4:$Y$49,3,0)=0,"",VLOOKUP(E223,Sheet2!$W$4:$Y$49,3,0))</f>
        <v/>
      </c>
      <c r="Q223" s="6" t="str">
        <f>IF(VLOOKUP(E223,Sheet2!$W$4:$Z$49,4,0)=0,"",VLOOKUP(E223,Sheet2!$W$4:$Z$49,4,0))</f>
        <v/>
      </c>
      <c r="R223" s="8">
        <v>24</v>
      </c>
      <c r="S223" s="14">
        <v>2</v>
      </c>
    </row>
    <row r="224" spans="1:19">
      <c r="A224" s="6">
        <f t="shared" si="10"/>
        <v>4421</v>
      </c>
      <c r="B224" s="6">
        <f t="shared" si="11"/>
        <v>44</v>
      </c>
      <c r="C224" s="6">
        <f t="shared" si="12"/>
        <v>4</v>
      </c>
      <c r="D224" s="6" t="s">
        <v>489</v>
      </c>
      <c r="E224" s="6">
        <v>502</v>
      </c>
      <c r="G224" s="6" t="s">
        <v>490</v>
      </c>
      <c r="H224" s="6">
        <f t="shared" si="14"/>
        <v>2</v>
      </c>
      <c r="I224" s="6" t="str">
        <f>IF(VLOOKUP(E224,Sheet2!$W$4:$AA$49,5,0)=0,"",VLOOKUP(E224,Sheet2!$W$4:$AA$49,5,0))</f>
        <v/>
      </c>
      <c r="J224" s="6">
        <v>0</v>
      </c>
      <c r="K224" s="6">
        <v>0</v>
      </c>
      <c r="L224" s="6">
        <f>IF(VLOOKUP(E224,Sheet2!$W$4:$X$49,2,0)=0,"",VLOOKUP(E224,Sheet2!$W$4:$X$49,2,0))</f>
        <v>1</v>
      </c>
      <c r="N224" s="6" t="str">
        <f>IF(VLOOKUP(E224,Sheet2!$W$4:$Y$49,3,0)=0,"",VLOOKUP(E224,Sheet2!$W$4:$Y$49,3,0))</f>
        <v/>
      </c>
      <c r="Q224" s="6" t="str">
        <f>IF(VLOOKUP(E224,Sheet2!$W$4:$Z$49,4,0)=0,"",VLOOKUP(E224,Sheet2!$W$4:$Z$49,4,0))</f>
        <v>[{50021,6}]</v>
      </c>
      <c r="R224" s="8">
        <v>100</v>
      </c>
      <c r="S224" s="14">
        <v>2</v>
      </c>
    </row>
    <row r="225" spans="1:19">
      <c r="A225" s="6">
        <f t="shared" si="10"/>
        <v>4431</v>
      </c>
      <c r="B225" s="6">
        <f t="shared" si="11"/>
        <v>44</v>
      </c>
      <c r="C225" s="6">
        <f t="shared" si="12"/>
        <v>5</v>
      </c>
      <c r="D225" s="6" t="s">
        <v>491</v>
      </c>
      <c r="E225" s="6">
        <v>500</v>
      </c>
      <c r="G225" s="6" t="s">
        <v>492</v>
      </c>
      <c r="H225" s="6">
        <f t="shared" si="14"/>
        <v>2</v>
      </c>
      <c r="I225" s="6" t="str">
        <f>IF(VLOOKUP(E225,Sheet2!$W$4:$AA$49,5,0)=0,"",VLOOKUP(E225,Sheet2!$W$4:$AA$49,5,0))</f>
        <v>[60002]</v>
      </c>
      <c r="J225" s="6">
        <v>0</v>
      </c>
      <c r="K225" s="6">
        <v>0</v>
      </c>
      <c r="L225" s="6" t="str">
        <f>IF(VLOOKUP(E225,Sheet2!$W$4:$X$49,2,0)=0,"",VLOOKUP(E225,Sheet2!$W$4:$X$49,2,0))</f>
        <v/>
      </c>
      <c r="N225" s="6">
        <f>IF(VLOOKUP(E225,Sheet2!$W$4:$Y$49,3,0)=0,"",VLOOKUP(E225,Sheet2!$W$4:$Y$49,3,0))</f>
        <v>2001</v>
      </c>
      <c r="Q225" s="6" t="str">
        <f>IF(VLOOKUP(E225,Sheet2!$W$4:$Z$49,4,0)=0,"",VLOOKUP(E225,Sheet2!$W$4:$Z$49,4,0))</f>
        <v/>
      </c>
      <c r="R225" s="8">
        <v>100</v>
      </c>
      <c r="S225" s="14">
        <v>2</v>
      </c>
    </row>
    <row r="226" spans="1:19">
      <c r="A226" s="6">
        <f t="shared" si="10"/>
        <v>4501</v>
      </c>
      <c r="B226" s="6">
        <f t="shared" si="11"/>
        <v>45</v>
      </c>
      <c r="C226" s="6">
        <f t="shared" si="12"/>
        <v>1</v>
      </c>
      <c r="D226" s="6" t="s">
        <v>493</v>
      </c>
      <c r="E226" s="6">
        <v>108</v>
      </c>
      <c r="G226" s="6" t="s">
        <v>494</v>
      </c>
      <c r="H226" s="6">
        <f t="shared" si="14"/>
        <v>0</v>
      </c>
      <c r="I226" s="6" t="str">
        <f>IF(VLOOKUP(E226,Sheet2!$W$4:$AA$49,5,0)=0,"",VLOOKUP(E226,Sheet2!$W$4:$AA$49,5,0))</f>
        <v/>
      </c>
      <c r="J226" s="6">
        <v>0</v>
      </c>
      <c r="K226" s="6">
        <v>0</v>
      </c>
      <c r="L226" s="6" t="str">
        <f>IF(VLOOKUP(E226,Sheet2!$W$4:$X$49,2,0)=0,"",VLOOKUP(E226,Sheet2!$W$4:$X$49,2,0))</f>
        <v/>
      </c>
      <c r="N226" s="6" t="str">
        <f>IF(VLOOKUP(E226,Sheet2!$W$4:$Y$49,3,0)=0,"",VLOOKUP(E226,Sheet2!$W$4:$Y$49,3,0))</f>
        <v/>
      </c>
      <c r="Q226" s="6" t="str">
        <f>IF(VLOOKUP(E226,Sheet2!$W$4:$Z$49,4,0)=0,"",VLOOKUP(E226,Sheet2!$W$4:$Z$49,4,0))</f>
        <v/>
      </c>
      <c r="R226" s="8">
        <v>24</v>
      </c>
      <c r="S226" s="14">
        <v>2</v>
      </c>
    </row>
    <row r="227" spans="1:19">
      <c r="A227" s="6">
        <f t="shared" si="10"/>
        <v>4502</v>
      </c>
      <c r="B227" s="6">
        <f t="shared" si="11"/>
        <v>45</v>
      </c>
      <c r="C227" s="6">
        <f t="shared" si="12"/>
        <v>2</v>
      </c>
      <c r="D227" s="6" t="s">
        <v>495</v>
      </c>
      <c r="E227" s="6">
        <v>109</v>
      </c>
      <c r="G227" s="6" t="s">
        <v>496</v>
      </c>
      <c r="H227" s="6">
        <f t="shared" si="14"/>
        <v>0</v>
      </c>
      <c r="I227" s="6" t="str">
        <f>IF(VLOOKUP(E227,Sheet2!$W$4:$AA$49,5,0)=0,"",VLOOKUP(E227,Sheet2!$W$4:$AA$49,5,0))</f>
        <v/>
      </c>
      <c r="J227" s="6">
        <v>0</v>
      </c>
      <c r="K227" s="6">
        <v>0</v>
      </c>
      <c r="L227" s="6">
        <f>IF(VLOOKUP(E227,Sheet2!$W$4:$X$49,2,0)=0,"",VLOOKUP(E227,Sheet2!$W$4:$X$49,2,0))</f>
        <v>1</v>
      </c>
      <c r="N227" s="6" t="str">
        <f>IF(VLOOKUP(E227,Sheet2!$W$4:$Y$49,3,0)=0,"",VLOOKUP(E227,Sheet2!$W$4:$Y$49,3,0))</f>
        <v/>
      </c>
      <c r="Q227" s="6" t="str">
        <f>IF(VLOOKUP(E227,Sheet2!$W$4:$Z$49,4,0)=0,"",VLOOKUP(E227,Sheet2!$W$4:$Z$49,4,0))</f>
        <v>[{50014,6}]</v>
      </c>
      <c r="R227" s="8">
        <v>24</v>
      </c>
      <c r="S227" s="14">
        <v>2</v>
      </c>
    </row>
    <row r="228" spans="1:19">
      <c r="A228" s="6">
        <f t="shared" si="10"/>
        <v>4503</v>
      </c>
      <c r="B228" s="6">
        <f t="shared" si="11"/>
        <v>45</v>
      </c>
      <c r="C228" s="6">
        <f t="shared" si="12"/>
        <v>3</v>
      </c>
      <c r="D228" s="6" t="s">
        <v>497</v>
      </c>
      <c r="E228" s="6">
        <v>110</v>
      </c>
      <c r="G228" s="6" t="s">
        <v>498</v>
      </c>
      <c r="H228" s="6">
        <f t="shared" si="14"/>
        <v>0</v>
      </c>
      <c r="I228" s="6" t="str">
        <f>IF(VLOOKUP(E228,Sheet2!$W$4:$AA$49,5,0)=0,"",VLOOKUP(E228,Sheet2!$W$4:$AA$49,5,0))</f>
        <v/>
      </c>
      <c r="J228" s="6">
        <v>0</v>
      </c>
      <c r="K228" s="6">
        <v>0</v>
      </c>
      <c r="L228" s="6" t="str">
        <f>IF(VLOOKUP(E228,Sheet2!$W$4:$X$49,2,0)=0,"",VLOOKUP(E228,Sheet2!$W$4:$X$49,2,0))</f>
        <v/>
      </c>
      <c r="N228" s="6" t="str">
        <f>IF(VLOOKUP(E228,Sheet2!$W$4:$Y$49,3,0)=0,"",VLOOKUP(E228,Sheet2!$W$4:$Y$49,3,0))</f>
        <v/>
      </c>
      <c r="Q228" s="6" t="str">
        <f>IF(VLOOKUP(E228,Sheet2!$W$4:$Z$49,4,0)=0,"",VLOOKUP(E228,Sheet2!$W$4:$Z$49,4,0))</f>
        <v/>
      </c>
      <c r="R228" s="8">
        <v>24</v>
      </c>
      <c r="S228" s="14">
        <v>2</v>
      </c>
    </row>
    <row r="229" spans="1:19">
      <c r="A229" s="6">
        <f t="shared" si="10"/>
        <v>4521</v>
      </c>
      <c r="B229" s="6">
        <f t="shared" si="11"/>
        <v>45</v>
      </c>
      <c r="C229" s="6">
        <f t="shared" si="12"/>
        <v>4</v>
      </c>
      <c r="D229" s="6" t="s">
        <v>499</v>
      </c>
      <c r="E229" s="6">
        <v>509</v>
      </c>
      <c r="G229" s="6" t="s">
        <v>500</v>
      </c>
      <c r="H229" s="6">
        <f t="shared" si="14"/>
        <v>2</v>
      </c>
      <c r="I229" s="6" t="str">
        <f>IF(VLOOKUP(E229,Sheet2!$W$4:$AA$49,5,0)=0,"",VLOOKUP(E229,Sheet2!$W$4:$AA$49,5,0))</f>
        <v/>
      </c>
      <c r="J229" s="6">
        <v>0</v>
      </c>
      <c r="K229" s="6">
        <v>0</v>
      </c>
      <c r="L229" s="6">
        <f>IF(VLOOKUP(E229,Sheet2!$W$4:$X$49,2,0)=0,"",VLOOKUP(E229,Sheet2!$W$4:$X$49,2,0))</f>
        <v>1</v>
      </c>
      <c r="N229" s="6" t="str">
        <f>IF(VLOOKUP(E229,Sheet2!$W$4:$Y$49,3,0)=0,"",VLOOKUP(E229,Sheet2!$W$4:$Y$49,3,0))</f>
        <v/>
      </c>
      <c r="Q229" s="6" t="str">
        <f>IF(VLOOKUP(E229,Sheet2!$W$4:$Z$49,4,0)=0,"",VLOOKUP(E229,Sheet2!$W$4:$Z$49,4,0))</f>
        <v>[{50024,6}]</v>
      </c>
      <c r="R229" s="8">
        <v>100</v>
      </c>
      <c r="S229" s="14">
        <v>2</v>
      </c>
    </row>
    <row r="230" spans="1:19">
      <c r="A230" s="6">
        <f t="shared" si="10"/>
        <v>4531</v>
      </c>
      <c r="B230" s="6">
        <f t="shared" si="11"/>
        <v>45</v>
      </c>
      <c r="C230" s="6">
        <f t="shared" si="12"/>
        <v>5</v>
      </c>
      <c r="D230" s="6" t="s">
        <v>501</v>
      </c>
      <c r="E230" s="6">
        <v>509</v>
      </c>
      <c r="G230" s="6" t="s">
        <v>502</v>
      </c>
      <c r="H230" s="6">
        <f t="shared" si="14"/>
        <v>2</v>
      </c>
      <c r="I230" s="6" t="str">
        <f>IF(VLOOKUP(E230,Sheet2!$W$4:$AA$49,5,0)=0,"",VLOOKUP(E230,Sheet2!$W$4:$AA$49,5,0))</f>
        <v/>
      </c>
      <c r="J230" s="6">
        <v>0</v>
      </c>
      <c r="K230" s="6">
        <v>0</v>
      </c>
      <c r="L230" s="6">
        <f>IF(VLOOKUP(E230,Sheet2!$W$4:$X$49,2,0)=0,"",VLOOKUP(E230,Sheet2!$W$4:$X$49,2,0))</f>
        <v>1</v>
      </c>
      <c r="N230" s="6" t="str">
        <f>IF(VLOOKUP(E230,Sheet2!$W$4:$Y$49,3,0)=0,"",VLOOKUP(E230,Sheet2!$W$4:$Y$49,3,0))</f>
        <v/>
      </c>
      <c r="Q230" s="6" t="str">
        <f>IF(VLOOKUP(E230,Sheet2!$W$4:$Z$49,4,0)=0,"",VLOOKUP(E230,Sheet2!$W$4:$Z$49,4,0))</f>
        <v>[{50024,6}]</v>
      </c>
      <c r="R230" s="8">
        <v>100</v>
      </c>
      <c r="S230" s="14">
        <v>2</v>
      </c>
    </row>
    <row r="231" spans="1:19">
      <c r="A231" s="6">
        <f t="shared" si="10"/>
        <v>4601</v>
      </c>
      <c r="B231" s="6">
        <f t="shared" si="11"/>
        <v>46</v>
      </c>
      <c r="C231" s="6">
        <f t="shared" si="12"/>
        <v>1</v>
      </c>
      <c r="D231" s="6" t="s">
        <v>503</v>
      </c>
      <c r="E231" s="6">
        <v>111</v>
      </c>
      <c r="G231" s="6" t="s">
        <v>504</v>
      </c>
      <c r="H231" s="6">
        <f t="shared" ref="H231:H255" si="15">H226</f>
        <v>0</v>
      </c>
      <c r="I231" s="6" t="str">
        <f>IF(VLOOKUP(E231,Sheet2!$W$4:$AA$49,5,0)=0,"",VLOOKUP(E231,Sheet2!$W$4:$AA$49,5,0))</f>
        <v/>
      </c>
      <c r="J231" s="6">
        <v>0</v>
      </c>
      <c r="K231" s="6">
        <v>0</v>
      </c>
      <c r="L231" s="6" t="str">
        <f>IF(VLOOKUP(E231,Sheet2!$W$4:$X$49,2,0)=0,"",VLOOKUP(E231,Sheet2!$W$4:$X$49,2,0))</f>
        <v/>
      </c>
      <c r="N231" s="6" t="str">
        <f>IF(VLOOKUP(E231,Sheet2!$W$4:$Y$49,3,0)=0,"",VLOOKUP(E231,Sheet2!$W$4:$Y$49,3,0))</f>
        <v/>
      </c>
      <c r="Q231" s="6" t="str">
        <f>IF(VLOOKUP(E231,Sheet2!$W$4:$Z$49,4,0)=0,"",VLOOKUP(E231,Sheet2!$W$4:$Z$49,4,0))</f>
        <v/>
      </c>
      <c r="R231" s="8">
        <v>24</v>
      </c>
      <c r="S231" s="14">
        <v>2</v>
      </c>
    </row>
    <row r="232" spans="1:19">
      <c r="A232" s="6">
        <f t="shared" si="10"/>
        <v>4602</v>
      </c>
      <c r="B232" s="6">
        <f t="shared" si="11"/>
        <v>46</v>
      </c>
      <c r="C232" s="6">
        <f t="shared" si="12"/>
        <v>2</v>
      </c>
      <c r="D232" s="6" t="s">
        <v>505</v>
      </c>
      <c r="E232" s="6">
        <v>112</v>
      </c>
      <c r="G232" s="6" t="s">
        <v>506</v>
      </c>
      <c r="H232" s="6">
        <f t="shared" si="15"/>
        <v>0</v>
      </c>
      <c r="I232" s="6" t="str">
        <f>IF(VLOOKUP(E232,Sheet2!$W$4:$AA$49,5,0)=0,"",VLOOKUP(E232,Sheet2!$W$4:$AA$49,5,0))</f>
        <v/>
      </c>
      <c r="J232" s="6">
        <v>0</v>
      </c>
      <c r="K232" s="6">
        <v>0</v>
      </c>
      <c r="L232" s="6">
        <f>IF(VLOOKUP(E232,Sheet2!$W$4:$X$49,2,0)=0,"",VLOOKUP(E232,Sheet2!$W$4:$X$49,2,0))</f>
        <v>1</v>
      </c>
      <c r="N232" s="6" t="str">
        <f>IF(VLOOKUP(E232,Sheet2!$W$4:$Y$49,3,0)=0,"",VLOOKUP(E232,Sheet2!$W$4:$Y$49,3,0))</f>
        <v/>
      </c>
      <c r="Q232" s="6" t="str">
        <f>IF(VLOOKUP(E232,Sheet2!$W$4:$Z$49,4,0)=0,"",VLOOKUP(E232,Sheet2!$W$4:$Z$49,4,0))</f>
        <v>[{50015,6}]</v>
      </c>
      <c r="R232" s="8">
        <v>24</v>
      </c>
      <c r="S232" s="14">
        <v>2</v>
      </c>
    </row>
    <row r="233" spans="1:19">
      <c r="A233" s="6">
        <f t="shared" si="10"/>
        <v>4603</v>
      </c>
      <c r="B233" s="6">
        <f t="shared" si="11"/>
        <v>46</v>
      </c>
      <c r="C233" s="6">
        <f t="shared" si="12"/>
        <v>3</v>
      </c>
      <c r="D233" s="6" t="s">
        <v>507</v>
      </c>
      <c r="E233" s="6">
        <v>113</v>
      </c>
      <c r="G233" s="6" t="s">
        <v>508</v>
      </c>
      <c r="H233" s="6">
        <f t="shared" si="15"/>
        <v>0</v>
      </c>
      <c r="I233" s="6" t="str">
        <f>IF(VLOOKUP(E233,Sheet2!$W$4:$AA$49,5,0)=0,"",VLOOKUP(E233,Sheet2!$W$4:$AA$49,5,0))</f>
        <v>[60005]</v>
      </c>
      <c r="J233" s="6">
        <v>0</v>
      </c>
      <c r="K233" s="6">
        <v>0</v>
      </c>
      <c r="L233" s="6">
        <f>IF(VLOOKUP(E233,Sheet2!$W$4:$X$49,2,0)=0,"",VLOOKUP(E233,Sheet2!$W$4:$X$49,2,0))</f>
        <v>1</v>
      </c>
      <c r="N233" s="6" t="str">
        <f>IF(VLOOKUP(E233,Sheet2!$W$4:$Y$49,3,0)=0,"",VLOOKUP(E233,Sheet2!$W$4:$Y$49,3,0))</f>
        <v/>
      </c>
      <c r="Q233" s="6" t="str">
        <f>IF(VLOOKUP(E233,Sheet2!$W$4:$Z$49,4,0)=0,"",VLOOKUP(E233,Sheet2!$W$4:$Z$49,4,0))</f>
        <v>[{50016,6}]</v>
      </c>
      <c r="R233" s="8">
        <v>24</v>
      </c>
      <c r="S233" s="14">
        <v>2</v>
      </c>
    </row>
    <row r="234" spans="1:19">
      <c r="A234" s="6">
        <f t="shared" si="10"/>
        <v>4621</v>
      </c>
      <c r="B234" s="6">
        <f t="shared" si="11"/>
        <v>46</v>
      </c>
      <c r="C234" s="6">
        <f t="shared" si="12"/>
        <v>4</v>
      </c>
      <c r="D234" s="6" t="s">
        <v>509</v>
      </c>
      <c r="E234" s="6">
        <v>511</v>
      </c>
      <c r="G234" s="6" t="s">
        <v>510</v>
      </c>
      <c r="H234" s="6">
        <f t="shared" si="15"/>
        <v>2</v>
      </c>
      <c r="I234" s="6" t="str">
        <f>IF(VLOOKUP(E234,Sheet2!$W$4:$AA$49,5,0)=0,"",VLOOKUP(E234,Sheet2!$W$4:$AA$49,5,0))</f>
        <v/>
      </c>
      <c r="J234" s="6">
        <v>0</v>
      </c>
      <c r="K234" s="6">
        <v>0</v>
      </c>
      <c r="L234" s="6" t="str">
        <f>IF(VLOOKUP(E234,Sheet2!$W$4:$X$49,2,0)=0,"",VLOOKUP(E234,Sheet2!$W$4:$X$49,2,0))</f>
        <v/>
      </c>
      <c r="N234" s="6" t="str">
        <f>IF(VLOOKUP(E234,Sheet2!$W$4:$Y$49,3,0)=0,"",VLOOKUP(E234,Sheet2!$W$4:$Y$49,3,0))</f>
        <v/>
      </c>
      <c r="Q234" s="6" t="str">
        <f>IF(VLOOKUP(E234,Sheet2!$W$4:$Z$49,4,0)=0,"",VLOOKUP(E234,Sheet2!$W$4:$Z$49,4,0))</f>
        <v/>
      </c>
      <c r="R234" s="8">
        <v>100</v>
      </c>
      <c r="S234" s="14">
        <v>2</v>
      </c>
    </row>
    <row r="235" spans="1:19">
      <c r="A235" s="6">
        <f t="shared" si="10"/>
        <v>4631</v>
      </c>
      <c r="B235" s="6">
        <f t="shared" si="11"/>
        <v>46</v>
      </c>
      <c r="C235" s="6">
        <f t="shared" si="12"/>
        <v>5</v>
      </c>
      <c r="D235" s="6" t="s">
        <v>511</v>
      </c>
      <c r="E235" s="6">
        <v>511</v>
      </c>
      <c r="G235" s="6" t="s">
        <v>512</v>
      </c>
      <c r="H235" s="6">
        <f t="shared" si="15"/>
        <v>2</v>
      </c>
      <c r="I235" s="6" t="str">
        <f>IF(VLOOKUP(E235,Sheet2!$W$4:$AA$49,5,0)=0,"",VLOOKUP(E235,Sheet2!$W$4:$AA$49,5,0))</f>
        <v/>
      </c>
      <c r="J235" s="6">
        <v>0</v>
      </c>
      <c r="K235" s="6">
        <v>0</v>
      </c>
      <c r="L235" s="6" t="str">
        <f>IF(VLOOKUP(E235,Sheet2!$W$4:$X$49,2,0)=0,"",VLOOKUP(E235,Sheet2!$W$4:$X$49,2,0))</f>
        <v/>
      </c>
      <c r="N235" s="6" t="str">
        <f>IF(VLOOKUP(E235,Sheet2!$W$4:$Y$49,3,0)=0,"",VLOOKUP(E235,Sheet2!$W$4:$Y$49,3,0))</f>
        <v/>
      </c>
      <c r="Q235" s="6" t="str">
        <f>IF(VLOOKUP(E235,Sheet2!$W$4:$Z$49,4,0)=0,"",VLOOKUP(E235,Sheet2!$W$4:$Z$49,4,0))</f>
        <v/>
      </c>
      <c r="R235" s="8">
        <v>100</v>
      </c>
      <c r="S235" s="14">
        <v>2</v>
      </c>
    </row>
    <row r="236" spans="1:19">
      <c r="A236" s="6">
        <f t="shared" si="10"/>
        <v>4701</v>
      </c>
      <c r="B236" s="6">
        <f t="shared" si="11"/>
        <v>47</v>
      </c>
      <c r="C236" s="6">
        <f t="shared" si="12"/>
        <v>1</v>
      </c>
      <c r="D236" s="6" t="s">
        <v>513</v>
      </c>
      <c r="E236" s="6">
        <v>111</v>
      </c>
      <c r="G236" s="6" t="s">
        <v>514</v>
      </c>
      <c r="H236" s="6">
        <f t="shared" si="15"/>
        <v>0</v>
      </c>
      <c r="I236" s="6" t="str">
        <f>IF(VLOOKUP(E236,Sheet2!$W$4:$AA$49,5,0)=0,"",VLOOKUP(E236,Sheet2!$W$4:$AA$49,5,0))</f>
        <v/>
      </c>
      <c r="J236" s="6">
        <v>0</v>
      </c>
      <c r="K236" s="6">
        <v>0</v>
      </c>
      <c r="L236" s="6" t="str">
        <f>IF(VLOOKUP(E236,Sheet2!$W$4:$X$49,2,0)=0,"",VLOOKUP(E236,Sheet2!$W$4:$X$49,2,0))</f>
        <v/>
      </c>
      <c r="N236" s="6" t="str">
        <f>IF(VLOOKUP(E236,Sheet2!$W$4:$Y$49,3,0)=0,"",VLOOKUP(E236,Sheet2!$W$4:$Y$49,3,0))</f>
        <v/>
      </c>
      <c r="Q236" s="6" t="str">
        <f>IF(VLOOKUP(E236,Sheet2!$W$4:$Z$49,4,0)=0,"",VLOOKUP(E236,Sheet2!$W$4:$Z$49,4,0))</f>
        <v/>
      </c>
      <c r="R236" s="8">
        <v>24</v>
      </c>
      <c r="S236" s="14">
        <v>2</v>
      </c>
    </row>
    <row r="237" spans="1:19">
      <c r="A237" s="6">
        <f t="shared" si="10"/>
        <v>4702</v>
      </c>
      <c r="B237" s="6">
        <f t="shared" si="11"/>
        <v>47</v>
      </c>
      <c r="C237" s="6">
        <f t="shared" si="12"/>
        <v>2</v>
      </c>
      <c r="D237" s="6" t="s">
        <v>515</v>
      </c>
      <c r="E237" s="6">
        <v>112</v>
      </c>
      <c r="G237" s="6" t="s">
        <v>516</v>
      </c>
      <c r="H237" s="6">
        <f t="shared" si="15"/>
        <v>0</v>
      </c>
      <c r="I237" s="6" t="str">
        <f>IF(VLOOKUP(E237,Sheet2!$W$4:$AA$49,5,0)=0,"",VLOOKUP(E237,Sheet2!$W$4:$AA$49,5,0))</f>
        <v/>
      </c>
      <c r="J237" s="6">
        <v>0</v>
      </c>
      <c r="K237" s="6">
        <v>0</v>
      </c>
      <c r="L237" s="6">
        <f>IF(VLOOKUP(E237,Sheet2!$W$4:$X$49,2,0)=0,"",VLOOKUP(E237,Sheet2!$W$4:$X$49,2,0))</f>
        <v>1</v>
      </c>
      <c r="N237" s="6" t="str">
        <f>IF(VLOOKUP(E237,Sheet2!$W$4:$Y$49,3,0)=0,"",VLOOKUP(E237,Sheet2!$W$4:$Y$49,3,0))</f>
        <v/>
      </c>
      <c r="Q237" s="6" t="str">
        <f>IF(VLOOKUP(E237,Sheet2!$W$4:$Z$49,4,0)=0,"",VLOOKUP(E237,Sheet2!$W$4:$Z$49,4,0))</f>
        <v>[{50015,6}]</v>
      </c>
      <c r="R237" s="8">
        <v>24</v>
      </c>
      <c r="S237" s="14">
        <v>2</v>
      </c>
    </row>
    <row r="238" spans="1:19">
      <c r="A238" s="6">
        <f t="shared" si="10"/>
        <v>4703</v>
      </c>
      <c r="B238" s="6">
        <f t="shared" si="11"/>
        <v>47</v>
      </c>
      <c r="C238" s="6">
        <f t="shared" si="12"/>
        <v>3</v>
      </c>
      <c r="D238" s="6" t="s">
        <v>517</v>
      </c>
      <c r="E238" s="6">
        <v>115</v>
      </c>
      <c r="G238" s="6" t="s">
        <v>518</v>
      </c>
      <c r="H238" s="6">
        <f t="shared" si="15"/>
        <v>0</v>
      </c>
      <c r="I238" s="6" t="str">
        <f>IF(VLOOKUP(E238,Sheet2!$W$4:$AA$49,5,0)=0,"",VLOOKUP(E238,Sheet2!$W$4:$AA$49,5,0))</f>
        <v/>
      </c>
      <c r="J238" s="6">
        <v>0</v>
      </c>
      <c r="K238" s="6">
        <v>0</v>
      </c>
      <c r="L238" s="6" t="str">
        <f>IF(VLOOKUP(E238,Sheet2!$W$4:$X$49,2,0)=0,"",VLOOKUP(E238,Sheet2!$W$4:$X$49,2,0))</f>
        <v/>
      </c>
      <c r="N238" s="6" t="str">
        <f>IF(VLOOKUP(E238,Sheet2!$W$4:$Y$49,3,0)=0,"",VLOOKUP(E238,Sheet2!$W$4:$Y$49,3,0))</f>
        <v/>
      </c>
      <c r="Q238" s="6" t="str">
        <f>IF(VLOOKUP(E238,Sheet2!$W$4:$Z$49,4,0)=0,"",VLOOKUP(E238,Sheet2!$W$4:$Z$49,4,0))</f>
        <v/>
      </c>
      <c r="R238" s="8">
        <v>24</v>
      </c>
      <c r="S238" s="14">
        <v>2</v>
      </c>
    </row>
    <row r="239" spans="1:19">
      <c r="A239" s="6">
        <f t="shared" si="10"/>
        <v>4721</v>
      </c>
      <c r="B239" s="6">
        <f t="shared" si="11"/>
        <v>47</v>
      </c>
      <c r="C239" s="6">
        <f t="shared" si="12"/>
        <v>4</v>
      </c>
      <c r="D239" s="6" t="s">
        <v>519</v>
      </c>
      <c r="E239" s="6">
        <v>512</v>
      </c>
      <c r="G239" s="6" t="s">
        <v>520</v>
      </c>
      <c r="H239" s="6">
        <f t="shared" si="15"/>
        <v>2</v>
      </c>
      <c r="I239" s="6" t="str">
        <f>IF(VLOOKUP(E239,Sheet2!$W$4:$AA$49,5,0)=0,"",VLOOKUP(E239,Sheet2!$W$4:$AA$49,5,0))</f>
        <v/>
      </c>
      <c r="J239" s="6">
        <v>0</v>
      </c>
      <c r="K239" s="6">
        <v>0</v>
      </c>
      <c r="L239" s="6">
        <f>IF(VLOOKUP(E239,Sheet2!$W$4:$X$49,2,0)=0,"",VLOOKUP(E239,Sheet2!$W$4:$X$49,2,0))</f>
        <v>1</v>
      </c>
      <c r="N239" s="6" t="str">
        <f>IF(VLOOKUP(E239,Sheet2!$W$4:$Y$49,3,0)=0,"",VLOOKUP(E239,Sheet2!$W$4:$Y$49,3,0))</f>
        <v/>
      </c>
      <c r="Q239" s="6" t="str">
        <f>IF(VLOOKUP(E239,Sheet2!$W$4:$Z$49,4,0)=0,"",VLOOKUP(E239,Sheet2!$W$4:$Z$49,4,0))</f>
        <v>[{50025,6}]</v>
      </c>
      <c r="R239" s="8">
        <v>100</v>
      </c>
      <c r="S239" s="14">
        <v>2</v>
      </c>
    </row>
    <row r="240" spans="1:19">
      <c r="A240" s="6">
        <f t="shared" si="10"/>
        <v>4731</v>
      </c>
      <c r="B240" s="6">
        <f t="shared" si="11"/>
        <v>47</v>
      </c>
      <c r="C240" s="6">
        <f t="shared" si="12"/>
        <v>5</v>
      </c>
      <c r="D240" s="6" t="s">
        <v>521</v>
      </c>
      <c r="E240" s="6">
        <v>512</v>
      </c>
      <c r="G240" s="6" t="s">
        <v>522</v>
      </c>
      <c r="H240" s="6">
        <f t="shared" si="15"/>
        <v>2</v>
      </c>
      <c r="I240" s="6" t="str">
        <f>IF(VLOOKUP(E240,Sheet2!$W$4:$AA$49,5,0)=0,"",VLOOKUP(E240,Sheet2!$W$4:$AA$49,5,0))</f>
        <v/>
      </c>
      <c r="J240" s="6">
        <v>0</v>
      </c>
      <c r="K240" s="6">
        <v>0</v>
      </c>
      <c r="L240" s="6">
        <f>IF(VLOOKUP(E240,Sheet2!$W$4:$X$49,2,0)=0,"",VLOOKUP(E240,Sheet2!$W$4:$X$49,2,0))</f>
        <v>1</v>
      </c>
      <c r="N240" s="6" t="str">
        <f>IF(VLOOKUP(E240,Sheet2!$W$4:$Y$49,3,0)=0,"",VLOOKUP(E240,Sheet2!$W$4:$Y$49,3,0))</f>
        <v/>
      </c>
      <c r="Q240" s="6" t="str">
        <f>IF(VLOOKUP(E240,Sheet2!$W$4:$Z$49,4,0)=0,"",VLOOKUP(E240,Sheet2!$W$4:$Z$49,4,0))</f>
        <v>[{50025,6}]</v>
      </c>
      <c r="R240" s="8">
        <v>100</v>
      </c>
      <c r="S240" s="14">
        <v>2</v>
      </c>
    </row>
    <row r="241" spans="1:19">
      <c r="A241" s="6">
        <f t="shared" si="10"/>
        <v>4801</v>
      </c>
      <c r="B241" s="6">
        <f t="shared" si="11"/>
        <v>48</v>
      </c>
      <c r="C241" s="6">
        <f t="shared" si="12"/>
        <v>1</v>
      </c>
      <c r="D241" s="6" t="s">
        <v>523</v>
      </c>
      <c r="E241" s="6">
        <v>103</v>
      </c>
      <c r="G241" s="6" t="s">
        <v>524</v>
      </c>
      <c r="H241" s="6">
        <f t="shared" si="15"/>
        <v>0</v>
      </c>
      <c r="I241" s="6" t="str">
        <f>IF(VLOOKUP(E241,Sheet2!$W$4:$AA$49,5,0)=0,"",VLOOKUP(E241,Sheet2!$W$4:$AA$49,5,0))</f>
        <v>[60001]</v>
      </c>
      <c r="J241" s="6">
        <v>0</v>
      </c>
      <c r="K241" s="6">
        <v>0</v>
      </c>
      <c r="L241" s="6" t="str">
        <f>IF(VLOOKUP(E241,Sheet2!$W$4:$X$49,2,0)=0,"",VLOOKUP(E241,Sheet2!$W$4:$X$49,2,0))</f>
        <v/>
      </c>
      <c r="N241" s="6" t="str">
        <f>IF(VLOOKUP(E241,Sheet2!$W$4:$Y$49,3,0)=0,"",VLOOKUP(E241,Sheet2!$W$4:$Y$49,3,0))</f>
        <v/>
      </c>
      <c r="Q241" s="6" t="str">
        <f>IF(VLOOKUP(E241,Sheet2!$W$4:$Z$49,4,0)=0,"",VLOOKUP(E241,Sheet2!$W$4:$Z$49,4,0))</f>
        <v/>
      </c>
      <c r="R241" s="8">
        <v>24</v>
      </c>
      <c r="S241" s="14">
        <v>2</v>
      </c>
    </row>
    <row r="242" spans="1:19">
      <c r="A242" s="6">
        <f t="shared" si="10"/>
        <v>4802</v>
      </c>
      <c r="B242" s="6">
        <f t="shared" si="11"/>
        <v>48</v>
      </c>
      <c r="C242" s="6">
        <f t="shared" si="12"/>
        <v>2</v>
      </c>
      <c r="D242" s="6" t="s">
        <v>525</v>
      </c>
      <c r="E242" s="6">
        <v>107</v>
      </c>
      <c r="G242" s="6" t="s">
        <v>526</v>
      </c>
      <c r="H242" s="6">
        <f t="shared" si="15"/>
        <v>0</v>
      </c>
      <c r="I242" s="6" t="str">
        <f>IF(VLOOKUP(E242,Sheet2!$W$4:$AA$49,5,0)=0,"",VLOOKUP(E242,Sheet2!$W$4:$AA$49,5,0))</f>
        <v>[60004]</v>
      </c>
      <c r="J242" s="6">
        <v>0</v>
      </c>
      <c r="K242" s="6">
        <v>0</v>
      </c>
      <c r="L242" s="6">
        <f>IF(VLOOKUP(E242,Sheet2!$W$4:$X$49,2,0)=0,"",VLOOKUP(E242,Sheet2!$W$4:$X$49,2,0))</f>
        <v>1</v>
      </c>
      <c r="N242" s="6" t="str">
        <f>IF(VLOOKUP(E242,Sheet2!$W$4:$Y$49,3,0)=0,"",VLOOKUP(E242,Sheet2!$W$4:$Y$49,3,0))</f>
        <v/>
      </c>
      <c r="Q242" s="6" t="str">
        <f>IF(VLOOKUP(E242,Sheet2!$W$4:$Z$49,4,0)=0,"",VLOOKUP(E242,Sheet2!$W$4:$Z$49,4,0))</f>
        <v>[{50013,6}]</v>
      </c>
      <c r="R242" s="8">
        <v>24</v>
      </c>
      <c r="S242" s="14">
        <v>2</v>
      </c>
    </row>
    <row r="243" spans="1:19">
      <c r="A243" s="6">
        <f t="shared" si="10"/>
        <v>4803</v>
      </c>
      <c r="B243" s="6">
        <f t="shared" si="11"/>
        <v>48</v>
      </c>
      <c r="C243" s="6">
        <f t="shared" si="12"/>
        <v>3</v>
      </c>
      <c r="D243" s="6" t="s">
        <v>527</v>
      </c>
      <c r="E243" s="6">
        <v>106</v>
      </c>
      <c r="G243" s="6" t="s">
        <v>528</v>
      </c>
      <c r="H243" s="6">
        <f t="shared" si="15"/>
        <v>0</v>
      </c>
      <c r="I243" s="6" t="str">
        <f>IF(VLOOKUP(E243,Sheet2!$W$4:$AA$49,5,0)=0,"",VLOOKUP(E243,Sheet2!$W$4:$AA$49,5,0))</f>
        <v>[60002]</v>
      </c>
      <c r="J243" s="6">
        <v>0</v>
      </c>
      <c r="K243" s="6">
        <v>0</v>
      </c>
      <c r="L243" s="6">
        <f>IF(VLOOKUP(E243,Sheet2!$W$4:$X$49,2,0)=0,"",VLOOKUP(E243,Sheet2!$W$4:$X$49,2,0))</f>
        <v>1</v>
      </c>
      <c r="N243" s="6">
        <f>IF(VLOOKUP(E243,Sheet2!$W$4:$Y$49,3,0)=0,"",VLOOKUP(E243,Sheet2!$W$4:$Y$49,3,0))</f>
        <v>2002</v>
      </c>
      <c r="Q243" s="6" t="str">
        <f>IF(VLOOKUP(E243,Sheet2!$W$4:$Z$49,4,0)=0,"",VLOOKUP(E243,Sheet2!$W$4:$Z$49,4,0))</f>
        <v>[{50012,6}]</v>
      </c>
      <c r="R243" s="8">
        <v>24</v>
      </c>
      <c r="S243" s="14">
        <v>2</v>
      </c>
    </row>
    <row r="244" spans="1:19">
      <c r="A244" s="6">
        <f t="shared" si="10"/>
        <v>4821</v>
      </c>
      <c r="B244" s="6">
        <f t="shared" si="11"/>
        <v>48</v>
      </c>
      <c r="C244" s="6">
        <f t="shared" si="12"/>
        <v>4</v>
      </c>
      <c r="D244" s="6" t="s">
        <v>529</v>
      </c>
      <c r="E244" s="6">
        <v>506</v>
      </c>
      <c r="G244" s="6" t="s">
        <v>530</v>
      </c>
      <c r="H244" s="6">
        <f t="shared" si="15"/>
        <v>2</v>
      </c>
      <c r="I244" s="6" t="str">
        <f>IF(VLOOKUP(E244,Sheet2!$W$4:$AA$49,5,0)=0,"",VLOOKUP(E244,Sheet2!$W$4:$AA$49,5,0))</f>
        <v>[60002]</v>
      </c>
      <c r="J244" s="6">
        <v>0</v>
      </c>
      <c r="K244" s="6">
        <v>0</v>
      </c>
      <c r="L244" s="6">
        <f>IF(VLOOKUP(E244,Sheet2!$W$4:$X$49,2,0)=0,"",VLOOKUP(E244,Sheet2!$W$4:$X$49,2,0))</f>
        <v>1</v>
      </c>
      <c r="N244" s="6">
        <f>IF(VLOOKUP(E244,Sheet2!$W$4:$Y$49,3,0)=0,"",VLOOKUP(E244,Sheet2!$W$4:$Y$49,3,0))</f>
        <v>2002</v>
      </c>
      <c r="Q244" s="6" t="str">
        <f>IF(VLOOKUP(E244,Sheet2!$W$4:$Z$49,4,0)=0,"",VLOOKUP(E244,Sheet2!$W$4:$Z$49,4,0))</f>
        <v>[{50022,6}]</v>
      </c>
      <c r="R244" s="8">
        <v>100</v>
      </c>
      <c r="S244" s="14">
        <v>2</v>
      </c>
    </row>
    <row r="245" spans="1:19">
      <c r="A245" s="6">
        <f t="shared" ref="A245:A255" si="16">A240+100</f>
        <v>4831</v>
      </c>
      <c r="B245" s="6">
        <f t="shared" ref="B245:B255" si="17">B240+1</f>
        <v>48</v>
      </c>
      <c r="C245" s="6">
        <f t="shared" ref="C245:C308" si="18">C240</f>
        <v>5</v>
      </c>
      <c r="D245" s="6" t="s">
        <v>531</v>
      </c>
      <c r="E245" s="6">
        <v>506</v>
      </c>
      <c r="G245" s="6" t="s">
        <v>532</v>
      </c>
      <c r="H245" s="6">
        <f t="shared" si="15"/>
        <v>2</v>
      </c>
      <c r="I245" s="6" t="str">
        <f>IF(VLOOKUP(E245,Sheet2!$W$4:$AA$49,5,0)=0,"",VLOOKUP(E245,Sheet2!$W$4:$AA$49,5,0))</f>
        <v>[60002]</v>
      </c>
      <c r="J245" s="6">
        <v>0</v>
      </c>
      <c r="K245" s="6">
        <v>0</v>
      </c>
      <c r="L245" s="6">
        <f>IF(VLOOKUP(E245,Sheet2!$W$4:$X$49,2,0)=0,"",VLOOKUP(E245,Sheet2!$W$4:$X$49,2,0))</f>
        <v>1</v>
      </c>
      <c r="N245" s="6">
        <f>IF(VLOOKUP(E245,Sheet2!$W$4:$Y$49,3,0)=0,"",VLOOKUP(E245,Sheet2!$W$4:$Y$49,3,0))</f>
        <v>2002</v>
      </c>
      <c r="Q245" s="6" t="str">
        <f>IF(VLOOKUP(E245,Sheet2!$W$4:$Z$49,4,0)=0,"",VLOOKUP(E245,Sheet2!$W$4:$Z$49,4,0))</f>
        <v>[{50022,6}]</v>
      </c>
      <c r="R245" s="8">
        <v>100</v>
      </c>
      <c r="S245" s="14">
        <v>2</v>
      </c>
    </row>
    <row r="246" spans="1:19">
      <c r="A246" s="6">
        <f t="shared" si="16"/>
        <v>4901</v>
      </c>
      <c r="B246" s="6">
        <f t="shared" si="17"/>
        <v>49</v>
      </c>
      <c r="C246" s="6">
        <f t="shared" si="18"/>
        <v>1</v>
      </c>
      <c r="D246" s="6" t="s">
        <v>533</v>
      </c>
      <c r="E246" s="6">
        <v>108</v>
      </c>
      <c r="G246" s="6" t="s">
        <v>534</v>
      </c>
      <c r="H246" s="6">
        <f t="shared" si="15"/>
        <v>0</v>
      </c>
      <c r="I246" s="6" t="str">
        <f>IF(VLOOKUP(E246,Sheet2!$W$4:$AA$49,5,0)=0,"",VLOOKUP(E246,Sheet2!$W$4:$AA$49,5,0))</f>
        <v/>
      </c>
      <c r="J246" s="6">
        <v>0</v>
      </c>
      <c r="K246" s="6">
        <v>0</v>
      </c>
      <c r="L246" s="6" t="str">
        <f>IF(VLOOKUP(E246,Sheet2!$W$4:$X$49,2,0)=0,"",VLOOKUP(E246,Sheet2!$W$4:$X$49,2,0))</f>
        <v/>
      </c>
      <c r="N246" s="6" t="str">
        <f>IF(VLOOKUP(E246,Sheet2!$W$4:$Y$49,3,0)=0,"",VLOOKUP(E246,Sheet2!$W$4:$Y$49,3,0))</f>
        <v/>
      </c>
      <c r="Q246" s="6" t="str">
        <f>IF(VLOOKUP(E246,Sheet2!$W$4:$Z$49,4,0)=0,"",VLOOKUP(E246,Sheet2!$W$4:$Z$49,4,0))</f>
        <v/>
      </c>
      <c r="R246" s="8">
        <v>24</v>
      </c>
      <c r="S246" s="14">
        <v>2</v>
      </c>
    </row>
    <row r="247" spans="1:19">
      <c r="A247" s="6">
        <f t="shared" si="16"/>
        <v>4902</v>
      </c>
      <c r="B247" s="6">
        <f t="shared" si="17"/>
        <v>49</v>
      </c>
      <c r="C247" s="6">
        <f t="shared" si="18"/>
        <v>2</v>
      </c>
      <c r="D247" s="6" t="s">
        <v>535</v>
      </c>
      <c r="E247" s="6">
        <v>109</v>
      </c>
      <c r="G247" s="6" t="s">
        <v>536</v>
      </c>
      <c r="H247" s="6">
        <f t="shared" si="15"/>
        <v>0</v>
      </c>
      <c r="I247" s="6" t="str">
        <f>IF(VLOOKUP(E247,Sheet2!$W$4:$AA$49,5,0)=0,"",VLOOKUP(E247,Sheet2!$W$4:$AA$49,5,0))</f>
        <v/>
      </c>
      <c r="J247" s="6">
        <v>0</v>
      </c>
      <c r="K247" s="6">
        <v>0</v>
      </c>
      <c r="L247" s="6">
        <f>IF(VLOOKUP(E247,Sheet2!$W$4:$X$49,2,0)=0,"",VLOOKUP(E247,Sheet2!$W$4:$X$49,2,0))</f>
        <v>1</v>
      </c>
      <c r="N247" s="6" t="str">
        <f>IF(VLOOKUP(E247,Sheet2!$W$4:$Y$49,3,0)=0,"",VLOOKUP(E247,Sheet2!$W$4:$Y$49,3,0))</f>
        <v/>
      </c>
      <c r="Q247" s="6" t="str">
        <f>IF(VLOOKUP(E247,Sheet2!$W$4:$Z$49,4,0)=0,"",VLOOKUP(E247,Sheet2!$W$4:$Z$49,4,0))</f>
        <v>[{50014,6}]</v>
      </c>
      <c r="R247" s="8">
        <v>24</v>
      </c>
      <c r="S247" s="14">
        <v>2</v>
      </c>
    </row>
    <row r="248" spans="1:19">
      <c r="A248" s="6">
        <f t="shared" si="16"/>
        <v>4903</v>
      </c>
      <c r="B248" s="6">
        <f t="shared" si="17"/>
        <v>49</v>
      </c>
      <c r="C248" s="6">
        <f t="shared" si="18"/>
        <v>3</v>
      </c>
      <c r="D248" s="6" t="s">
        <v>537</v>
      </c>
      <c r="E248" s="6">
        <v>109</v>
      </c>
      <c r="G248" s="6" t="s">
        <v>538</v>
      </c>
      <c r="H248" s="6">
        <f t="shared" si="15"/>
        <v>0</v>
      </c>
      <c r="I248" s="6" t="str">
        <f>IF(VLOOKUP(E248,Sheet2!$W$4:$AA$49,5,0)=0,"",VLOOKUP(E248,Sheet2!$W$4:$AA$49,5,0))</f>
        <v/>
      </c>
      <c r="J248" s="6">
        <v>0</v>
      </c>
      <c r="K248" s="6">
        <v>0</v>
      </c>
      <c r="L248" s="6">
        <f>IF(VLOOKUP(E248,Sheet2!$W$4:$X$49,2,0)=0,"",VLOOKUP(E248,Sheet2!$W$4:$X$49,2,0))</f>
        <v>1</v>
      </c>
      <c r="N248" s="6" t="str">
        <f>IF(VLOOKUP(E248,Sheet2!$W$4:$Y$49,3,0)=0,"",VLOOKUP(E248,Sheet2!$W$4:$Y$49,3,0))</f>
        <v/>
      </c>
      <c r="Q248" s="6" t="str">
        <f>IF(VLOOKUP(E248,Sheet2!$W$4:$Z$49,4,0)=0,"",VLOOKUP(E248,Sheet2!$W$4:$Z$49,4,0))</f>
        <v>[{50014,6}]</v>
      </c>
      <c r="R248" s="8">
        <v>24</v>
      </c>
      <c r="S248" s="14">
        <v>2</v>
      </c>
    </row>
    <row r="249" spans="1:19">
      <c r="A249" s="6">
        <f t="shared" si="16"/>
        <v>4921</v>
      </c>
      <c r="B249" s="6">
        <f t="shared" si="17"/>
        <v>49</v>
      </c>
      <c r="C249" s="6">
        <f t="shared" si="18"/>
        <v>4</v>
      </c>
      <c r="D249" s="6" t="s">
        <v>539</v>
      </c>
      <c r="E249" s="6">
        <v>508</v>
      </c>
      <c r="G249" s="6" t="s">
        <v>540</v>
      </c>
      <c r="H249" s="6">
        <f t="shared" si="15"/>
        <v>2</v>
      </c>
      <c r="I249" s="6" t="str">
        <f>IF(VLOOKUP(E249,Sheet2!$W$4:$AA$49,5,0)=0,"",VLOOKUP(E249,Sheet2!$W$4:$AA$49,5,0))</f>
        <v/>
      </c>
      <c r="J249" s="6">
        <v>0</v>
      </c>
      <c r="K249" s="6">
        <v>0</v>
      </c>
      <c r="L249" s="6" t="str">
        <f>IF(VLOOKUP(E249,Sheet2!$W$4:$X$49,2,0)=0,"",VLOOKUP(E249,Sheet2!$W$4:$X$49,2,0))</f>
        <v/>
      </c>
      <c r="N249" s="6" t="str">
        <f>IF(VLOOKUP(E249,Sheet2!$W$4:$Y$49,3,0)=0,"",VLOOKUP(E249,Sheet2!$W$4:$Y$49,3,0))</f>
        <v/>
      </c>
      <c r="Q249" s="6" t="str">
        <f>IF(VLOOKUP(E249,Sheet2!$W$4:$Z$49,4,0)=0,"",VLOOKUP(E249,Sheet2!$W$4:$Z$49,4,0))</f>
        <v/>
      </c>
      <c r="R249" s="8">
        <v>100</v>
      </c>
      <c r="S249" s="14">
        <v>2</v>
      </c>
    </row>
    <row r="250" spans="1:19">
      <c r="A250" s="6">
        <f t="shared" si="16"/>
        <v>4931</v>
      </c>
      <c r="B250" s="6">
        <f t="shared" si="17"/>
        <v>49</v>
      </c>
      <c r="C250" s="6">
        <f t="shared" si="18"/>
        <v>5</v>
      </c>
      <c r="D250" s="6" t="s">
        <v>541</v>
      </c>
      <c r="E250" s="6">
        <v>508</v>
      </c>
      <c r="G250" s="6" t="s">
        <v>542</v>
      </c>
      <c r="H250" s="6">
        <f t="shared" si="15"/>
        <v>2</v>
      </c>
      <c r="I250" s="6" t="str">
        <f>IF(VLOOKUP(E250,Sheet2!$W$4:$AA$49,5,0)=0,"",VLOOKUP(E250,Sheet2!$W$4:$AA$49,5,0))</f>
        <v/>
      </c>
      <c r="J250" s="6">
        <v>0</v>
      </c>
      <c r="K250" s="6">
        <v>0</v>
      </c>
      <c r="L250" s="6" t="str">
        <f>IF(VLOOKUP(E250,Sheet2!$W$4:$X$49,2,0)=0,"",VLOOKUP(E250,Sheet2!$W$4:$X$49,2,0))</f>
        <v/>
      </c>
      <c r="N250" s="6" t="str">
        <f>IF(VLOOKUP(E250,Sheet2!$W$4:$Y$49,3,0)=0,"",VLOOKUP(E250,Sheet2!$W$4:$Y$49,3,0))</f>
        <v/>
      </c>
      <c r="Q250" s="6" t="str">
        <f>IF(VLOOKUP(E250,Sheet2!$W$4:$Z$49,4,0)=0,"",VLOOKUP(E250,Sheet2!$W$4:$Z$49,4,0))</f>
        <v/>
      </c>
      <c r="R250" s="8">
        <v>100</v>
      </c>
      <c r="S250" s="14">
        <v>2</v>
      </c>
    </row>
    <row r="251" spans="1:19">
      <c r="A251" s="6">
        <f t="shared" si="16"/>
        <v>5001</v>
      </c>
      <c r="B251" s="6">
        <f t="shared" si="17"/>
        <v>50</v>
      </c>
      <c r="C251" s="6">
        <f t="shared" si="18"/>
        <v>1</v>
      </c>
      <c r="D251" s="6" t="s">
        <v>543</v>
      </c>
      <c r="E251" s="6">
        <v>100</v>
      </c>
      <c r="G251" s="6" t="s">
        <v>544</v>
      </c>
      <c r="H251" s="6">
        <f t="shared" si="15"/>
        <v>0</v>
      </c>
      <c r="I251" s="6" t="str">
        <f>IF(VLOOKUP(E251,Sheet2!$W$4:$AA$49,5,0)=0,"",VLOOKUP(E251,Sheet2!$W$4:$AA$49,5,0))</f>
        <v>[60002]</v>
      </c>
      <c r="J251" s="6">
        <v>0</v>
      </c>
      <c r="K251" s="6">
        <v>0</v>
      </c>
      <c r="L251" s="6" t="str">
        <f>IF(VLOOKUP(E251,Sheet2!$W$4:$X$49,2,0)=0,"",VLOOKUP(E251,Sheet2!$W$4:$X$49,2,0))</f>
        <v/>
      </c>
      <c r="N251" s="6">
        <f>IF(VLOOKUP(E251,Sheet2!$W$4:$Y$49,3,0)=0,"",VLOOKUP(E251,Sheet2!$W$4:$Y$49,3,0))</f>
        <v>2001</v>
      </c>
      <c r="Q251" s="6" t="str">
        <f>IF(VLOOKUP(E251,Sheet2!$W$4:$Z$49,4,0)=0,"",VLOOKUP(E251,Sheet2!$W$4:$Z$49,4,0))</f>
        <v/>
      </c>
      <c r="R251" s="8">
        <v>24</v>
      </c>
      <c r="S251" s="14">
        <v>2</v>
      </c>
    </row>
    <row r="252" spans="1:19">
      <c r="A252" s="6">
        <f t="shared" si="16"/>
        <v>5002</v>
      </c>
      <c r="B252" s="6">
        <f t="shared" si="17"/>
        <v>50</v>
      </c>
      <c r="C252" s="6">
        <f t="shared" si="18"/>
        <v>2</v>
      </c>
      <c r="D252" s="6" t="s">
        <v>545</v>
      </c>
      <c r="E252" s="6">
        <v>105</v>
      </c>
      <c r="G252" s="6" t="s">
        <v>546</v>
      </c>
      <c r="H252" s="6">
        <f t="shared" si="15"/>
        <v>0</v>
      </c>
      <c r="I252" s="6" t="str">
        <f>IF(VLOOKUP(E252,Sheet2!$W$4:$AA$49,5,0)=0,"",VLOOKUP(E252,Sheet2!$W$4:$AA$49,5,0))</f>
        <v>[60003]</v>
      </c>
      <c r="J252" s="6">
        <v>0</v>
      </c>
      <c r="K252" s="6">
        <v>0</v>
      </c>
      <c r="L252" s="6" t="str">
        <f>IF(VLOOKUP(E252,Sheet2!$W$4:$X$49,2,0)=0,"",VLOOKUP(E252,Sheet2!$W$4:$X$49,2,0))</f>
        <v/>
      </c>
      <c r="N252" s="6" t="str">
        <f>IF(VLOOKUP(E252,Sheet2!$W$4:$Y$49,3,0)=0,"",VLOOKUP(E252,Sheet2!$W$4:$Y$49,3,0))</f>
        <v/>
      </c>
      <c r="Q252" s="6" t="str">
        <f>IF(VLOOKUP(E252,Sheet2!$W$4:$Z$49,4,0)=0,"",VLOOKUP(E252,Sheet2!$W$4:$Z$49,4,0))</f>
        <v/>
      </c>
      <c r="R252" s="8">
        <v>24</v>
      </c>
      <c r="S252" s="14">
        <v>2</v>
      </c>
    </row>
    <row r="253" spans="1:19">
      <c r="A253" s="6">
        <f t="shared" si="16"/>
        <v>5003</v>
      </c>
      <c r="B253" s="6">
        <f t="shared" si="17"/>
        <v>50</v>
      </c>
      <c r="C253" s="6">
        <f t="shared" si="18"/>
        <v>3</v>
      </c>
      <c r="D253" s="6" t="s">
        <v>547</v>
      </c>
      <c r="E253" s="6">
        <v>102</v>
      </c>
      <c r="G253" s="6" t="s">
        <v>548</v>
      </c>
      <c r="H253" s="6">
        <f t="shared" si="15"/>
        <v>0</v>
      </c>
      <c r="I253" s="6" t="str">
        <f>IF(VLOOKUP(E253,Sheet2!$W$4:$AA$49,5,0)=0,"",VLOOKUP(E253,Sheet2!$W$4:$AA$49,5,0))</f>
        <v/>
      </c>
      <c r="J253" s="6">
        <v>0</v>
      </c>
      <c r="K253" s="6">
        <v>0</v>
      </c>
      <c r="L253" s="6">
        <f>IF(VLOOKUP(E253,Sheet2!$W$4:$X$49,2,0)=0,"",VLOOKUP(E253,Sheet2!$W$4:$X$49,2,0))</f>
        <v>1</v>
      </c>
      <c r="N253" s="6" t="str">
        <f>IF(VLOOKUP(E253,Sheet2!$W$4:$Y$49,3,0)=0,"",VLOOKUP(E253,Sheet2!$W$4:$Y$49,3,0))</f>
        <v/>
      </c>
      <c r="Q253" s="6" t="str">
        <f>IF(VLOOKUP(E253,Sheet2!$W$4:$Z$49,4,0)=0,"",VLOOKUP(E253,Sheet2!$W$4:$Z$49,4,0))</f>
        <v>[{50011,6}]</v>
      </c>
      <c r="R253" s="8">
        <v>24</v>
      </c>
      <c r="S253" s="14">
        <v>2</v>
      </c>
    </row>
    <row r="254" spans="1:19">
      <c r="A254" s="6">
        <f t="shared" si="16"/>
        <v>5021</v>
      </c>
      <c r="B254" s="6">
        <f t="shared" si="17"/>
        <v>50</v>
      </c>
      <c r="C254" s="6">
        <f t="shared" si="18"/>
        <v>4</v>
      </c>
      <c r="D254" s="6" t="s">
        <v>549</v>
      </c>
      <c r="E254" s="6">
        <v>502</v>
      </c>
      <c r="G254" s="6" t="s">
        <v>550</v>
      </c>
      <c r="H254" s="6">
        <f t="shared" si="15"/>
        <v>2</v>
      </c>
      <c r="I254" s="6" t="str">
        <f>IF(VLOOKUP(E254,Sheet2!$W$4:$AA$49,5,0)=0,"",VLOOKUP(E254,Sheet2!$W$4:$AA$49,5,0))</f>
        <v/>
      </c>
      <c r="J254" s="6">
        <v>0</v>
      </c>
      <c r="K254" s="6">
        <v>0</v>
      </c>
      <c r="L254" s="6">
        <f>IF(VLOOKUP(E254,Sheet2!$W$4:$X$49,2,0)=0,"",VLOOKUP(E254,Sheet2!$W$4:$X$49,2,0))</f>
        <v>1</v>
      </c>
      <c r="N254" s="6" t="str">
        <f>IF(VLOOKUP(E254,Sheet2!$W$4:$Y$49,3,0)=0,"",VLOOKUP(E254,Sheet2!$W$4:$Y$49,3,0))</f>
        <v/>
      </c>
      <c r="Q254" s="6" t="str">
        <f>IF(VLOOKUP(E254,Sheet2!$W$4:$Z$49,4,0)=0,"",VLOOKUP(E254,Sheet2!$W$4:$Z$49,4,0))</f>
        <v>[{50021,6}]</v>
      </c>
      <c r="R254" s="8">
        <v>100</v>
      </c>
      <c r="S254" s="14">
        <v>2</v>
      </c>
    </row>
    <row r="255" spans="1:19">
      <c r="A255" s="6">
        <f t="shared" si="16"/>
        <v>5031</v>
      </c>
      <c r="B255" s="6">
        <f t="shared" si="17"/>
        <v>50</v>
      </c>
      <c r="C255" s="6">
        <f t="shared" si="18"/>
        <v>5</v>
      </c>
      <c r="D255" s="6" t="s">
        <v>551</v>
      </c>
      <c r="E255" s="6">
        <v>502</v>
      </c>
      <c r="G255" s="6" t="s">
        <v>552</v>
      </c>
      <c r="H255" s="6">
        <f t="shared" si="15"/>
        <v>2</v>
      </c>
      <c r="I255" s="6" t="str">
        <f>IF(VLOOKUP(E255,Sheet2!$W$4:$AA$49,5,0)=0,"",VLOOKUP(E255,Sheet2!$W$4:$AA$49,5,0))</f>
        <v/>
      </c>
      <c r="J255" s="6">
        <v>0</v>
      </c>
      <c r="K255" s="6">
        <v>0</v>
      </c>
      <c r="L255" s="6">
        <f>IF(VLOOKUP(E255,Sheet2!$W$4:$X$49,2,0)=0,"",VLOOKUP(E255,Sheet2!$W$4:$X$49,2,0))</f>
        <v>1</v>
      </c>
      <c r="N255" s="6" t="str">
        <f>IF(VLOOKUP(E255,Sheet2!$W$4:$Y$49,3,0)=0,"",VLOOKUP(E255,Sheet2!$W$4:$Y$49,3,0))</f>
        <v/>
      </c>
      <c r="Q255" s="6" t="str">
        <f>IF(VLOOKUP(E255,Sheet2!$W$4:$Z$49,4,0)=0,"",VLOOKUP(E255,Sheet2!$W$4:$Z$49,4,0))</f>
        <v>[{50021,6}]</v>
      </c>
      <c r="R255" s="8">
        <v>100</v>
      </c>
      <c r="S255" s="14">
        <v>2</v>
      </c>
    </row>
    <row r="256" spans="1:19">
      <c r="A256" s="6">
        <f t="shared" ref="A256:A305" si="19">A251+100</f>
        <v>5101</v>
      </c>
      <c r="B256" s="6">
        <f t="shared" ref="B256:B319" si="20">B251+1</f>
        <v>51</v>
      </c>
      <c r="C256" s="6">
        <f t="shared" si="18"/>
        <v>1</v>
      </c>
      <c r="D256" s="6" t="s">
        <v>553</v>
      </c>
      <c r="E256" s="6">
        <v>111</v>
      </c>
      <c r="G256" s="6" t="s">
        <v>554</v>
      </c>
      <c r="H256" s="6">
        <f t="shared" ref="H256:H305" si="21">H251</f>
        <v>0</v>
      </c>
      <c r="I256" s="6" t="str">
        <f>IF(VLOOKUP(E256,Sheet2!$W$4:$AA$49,5,0)=0,"",VLOOKUP(E256,Sheet2!$W$4:$AA$49,5,0))</f>
        <v/>
      </c>
      <c r="J256" s="6">
        <v>0</v>
      </c>
      <c r="K256" s="6">
        <v>0</v>
      </c>
      <c r="L256" s="6" t="str">
        <f>IF(VLOOKUP(E256,Sheet2!$W$4:$X$49,2,0)=0,"",VLOOKUP(E256,Sheet2!$W$4:$X$49,2,0))</f>
        <v/>
      </c>
      <c r="N256" s="6" t="str">
        <f>IF(VLOOKUP(E256,Sheet2!$W$4:$Y$49,3,0)=0,"",VLOOKUP(E256,Sheet2!$W$4:$Y$49,3,0))</f>
        <v/>
      </c>
      <c r="Q256" s="6" t="str">
        <f>IF(VLOOKUP(E256,Sheet2!$W$4:$Z$49,4,0)=0,"",VLOOKUP(E256,Sheet2!$W$4:$Z$49,4,0))</f>
        <v/>
      </c>
      <c r="R256" s="8">
        <v>24</v>
      </c>
      <c r="S256" s="14">
        <v>2</v>
      </c>
    </row>
    <row r="257" spans="1:19">
      <c r="A257" s="6">
        <f t="shared" si="19"/>
        <v>5102</v>
      </c>
      <c r="B257" s="6">
        <f t="shared" si="20"/>
        <v>51</v>
      </c>
      <c r="C257" s="6">
        <f t="shared" si="18"/>
        <v>2</v>
      </c>
      <c r="D257" s="6" t="s">
        <v>555</v>
      </c>
      <c r="E257" s="6">
        <v>112</v>
      </c>
      <c r="G257" s="6" t="s">
        <v>556</v>
      </c>
      <c r="H257" s="6">
        <f t="shared" si="21"/>
        <v>0</v>
      </c>
      <c r="I257" s="6" t="str">
        <f>IF(VLOOKUP(E257,Sheet2!$W$4:$AA$49,5,0)=0,"",VLOOKUP(E257,Sheet2!$W$4:$AA$49,5,0))</f>
        <v/>
      </c>
      <c r="J257" s="6">
        <v>0</v>
      </c>
      <c r="K257" s="6">
        <v>0</v>
      </c>
      <c r="L257" s="6">
        <f>IF(VLOOKUP(E257,Sheet2!$W$4:$X$49,2,0)=0,"",VLOOKUP(E257,Sheet2!$W$4:$X$49,2,0))</f>
        <v>1</v>
      </c>
      <c r="N257" s="6" t="str">
        <f>IF(VLOOKUP(E257,Sheet2!$W$4:$Y$49,3,0)=0,"",VLOOKUP(E257,Sheet2!$W$4:$Y$49,3,0))</f>
        <v/>
      </c>
      <c r="Q257" s="6" t="str">
        <f>IF(VLOOKUP(E257,Sheet2!$W$4:$Z$49,4,0)=0,"",VLOOKUP(E257,Sheet2!$W$4:$Z$49,4,0))</f>
        <v>[{50015,6}]</v>
      </c>
      <c r="R257" s="8">
        <v>24</v>
      </c>
      <c r="S257" s="14">
        <v>2</v>
      </c>
    </row>
    <row r="258" spans="1:19">
      <c r="A258" s="6">
        <f t="shared" si="19"/>
        <v>5103</v>
      </c>
      <c r="B258" s="6">
        <f t="shared" si="20"/>
        <v>51</v>
      </c>
      <c r="C258" s="6">
        <f t="shared" si="18"/>
        <v>3</v>
      </c>
      <c r="D258" s="6" t="s">
        <v>557</v>
      </c>
      <c r="E258" s="6">
        <v>113</v>
      </c>
      <c r="G258" s="6" t="s">
        <v>558</v>
      </c>
      <c r="H258" s="6">
        <f t="shared" si="21"/>
        <v>0</v>
      </c>
      <c r="I258" s="6" t="str">
        <f>IF(VLOOKUP(E258,Sheet2!$W$4:$AA$49,5,0)=0,"",VLOOKUP(E258,Sheet2!$W$4:$AA$49,5,0))</f>
        <v>[60005]</v>
      </c>
      <c r="J258" s="6">
        <v>0</v>
      </c>
      <c r="K258" s="6">
        <v>0</v>
      </c>
      <c r="L258" s="6">
        <f>IF(VLOOKUP(E258,Sheet2!$W$4:$X$49,2,0)=0,"",VLOOKUP(E258,Sheet2!$W$4:$X$49,2,0))</f>
        <v>1</v>
      </c>
      <c r="N258" s="6" t="str">
        <f>IF(VLOOKUP(E258,Sheet2!$W$4:$Y$49,3,0)=0,"",VLOOKUP(E258,Sheet2!$W$4:$Y$49,3,0))</f>
        <v/>
      </c>
      <c r="Q258" s="6" t="str">
        <f>IF(VLOOKUP(E258,Sheet2!$W$4:$Z$49,4,0)=0,"",VLOOKUP(E258,Sheet2!$W$4:$Z$49,4,0))</f>
        <v>[{50016,6}]</v>
      </c>
      <c r="R258" s="8">
        <v>24</v>
      </c>
      <c r="S258" s="14">
        <v>2</v>
      </c>
    </row>
    <row r="259" spans="1:19">
      <c r="A259" s="6">
        <f t="shared" si="19"/>
        <v>5121</v>
      </c>
      <c r="B259" s="6">
        <f t="shared" si="20"/>
        <v>51</v>
      </c>
      <c r="C259" s="6">
        <f t="shared" si="18"/>
        <v>4</v>
      </c>
      <c r="D259" s="6" t="s">
        <v>559</v>
      </c>
      <c r="E259" s="6">
        <v>511</v>
      </c>
      <c r="G259" s="6" t="s">
        <v>560</v>
      </c>
      <c r="H259" s="6">
        <f t="shared" si="21"/>
        <v>2</v>
      </c>
      <c r="I259" s="6" t="str">
        <f>IF(VLOOKUP(E259,Sheet2!$W$4:$AA$49,5,0)=0,"",VLOOKUP(E259,Sheet2!$W$4:$AA$49,5,0))</f>
        <v/>
      </c>
      <c r="J259" s="6">
        <v>0</v>
      </c>
      <c r="K259" s="6">
        <v>0</v>
      </c>
      <c r="L259" s="6" t="str">
        <f>IF(VLOOKUP(E259,Sheet2!$W$4:$X$49,2,0)=0,"",VLOOKUP(E259,Sheet2!$W$4:$X$49,2,0))</f>
        <v/>
      </c>
      <c r="N259" s="6" t="str">
        <f>IF(VLOOKUP(E259,Sheet2!$W$4:$Y$49,3,0)=0,"",VLOOKUP(E259,Sheet2!$W$4:$Y$49,3,0))</f>
        <v/>
      </c>
      <c r="Q259" s="6" t="str">
        <f>IF(VLOOKUP(E259,Sheet2!$W$4:$Z$49,4,0)=0,"",VLOOKUP(E259,Sheet2!$W$4:$Z$49,4,0))</f>
        <v/>
      </c>
      <c r="R259" s="8">
        <v>100</v>
      </c>
      <c r="S259" s="14">
        <v>2</v>
      </c>
    </row>
    <row r="260" spans="1:19">
      <c r="A260" s="6">
        <f t="shared" si="19"/>
        <v>5131</v>
      </c>
      <c r="B260" s="6">
        <f t="shared" si="20"/>
        <v>51</v>
      </c>
      <c r="C260" s="6">
        <f t="shared" si="18"/>
        <v>5</v>
      </c>
      <c r="D260" s="6" t="s">
        <v>561</v>
      </c>
      <c r="E260" s="6">
        <v>511</v>
      </c>
      <c r="G260" s="6" t="s">
        <v>562</v>
      </c>
      <c r="H260" s="6">
        <f t="shared" si="21"/>
        <v>2</v>
      </c>
      <c r="I260" s="6" t="str">
        <f>IF(VLOOKUP(E260,Sheet2!$W$4:$AA$49,5,0)=0,"",VLOOKUP(E260,Sheet2!$W$4:$AA$49,5,0))</f>
        <v/>
      </c>
      <c r="J260" s="6">
        <v>0</v>
      </c>
      <c r="K260" s="6">
        <v>0</v>
      </c>
      <c r="L260" s="6" t="str">
        <f>IF(VLOOKUP(E260,Sheet2!$W$4:$X$49,2,0)=0,"",VLOOKUP(E260,Sheet2!$W$4:$X$49,2,0))</f>
        <v/>
      </c>
      <c r="N260" s="6" t="str">
        <f>IF(VLOOKUP(E260,Sheet2!$W$4:$Y$49,3,0)=0,"",VLOOKUP(E260,Sheet2!$W$4:$Y$49,3,0))</f>
        <v/>
      </c>
      <c r="Q260" s="6" t="str">
        <f>IF(VLOOKUP(E260,Sheet2!$W$4:$Z$49,4,0)=0,"",VLOOKUP(E260,Sheet2!$W$4:$Z$49,4,0))</f>
        <v/>
      </c>
      <c r="R260" s="8">
        <v>100</v>
      </c>
      <c r="S260" s="14">
        <v>2</v>
      </c>
    </row>
    <row r="261" spans="1:19">
      <c r="A261" s="6">
        <f t="shared" si="19"/>
        <v>5201</v>
      </c>
      <c r="B261" s="6">
        <f t="shared" si="20"/>
        <v>52</v>
      </c>
      <c r="C261" s="6">
        <f t="shared" si="18"/>
        <v>1</v>
      </c>
      <c r="D261" s="6" t="s">
        <v>563</v>
      </c>
      <c r="E261" s="6">
        <v>103</v>
      </c>
      <c r="G261" s="6" t="s">
        <v>564</v>
      </c>
      <c r="H261" s="6">
        <f t="shared" si="21"/>
        <v>0</v>
      </c>
      <c r="I261" s="6" t="str">
        <f>IF(VLOOKUP(E261,Sheet2!$W$4:$AA$49,5,0)=0,"",VLOOKUP(E261,Sheet2!$W$4:$AA$49,5,0))</f>
        <v>[60001]</v>
      </c>
      <c r="J261" s="6">
        <v>0</v>
      </c>
      <c r="K261" s="6">
        <v>0</v>
      </c>
      <c r="L261" s="6" t="str">
        <f>IF(VLOOKUP(E261,Sheet2!$W$4:$X$49,2,0)=0,"",VLOOKUP(E261,Sheet2!$W$4:$X$49,2,0))</f>
        <v/>
      </c>
      <c r="N261" s="6" t="str">
        <f>IF(VLOOKUP(E261,Sheet2!$W$4:$Y$49,3,0)=0,"",VLOOKUP(E261,Sheet2!$W$4:$Y$49,3,0))</f>
        <v/>
      </c>
      <c r="Q261" s="6" t="str">
        <f>IF(VLOOKUP(E261,Sheet2!$W$4:$Z$49,4,0)=0,"",VLOOKUP(E261,Sheet2!$W$4:$Z$49,4,0))</f>
        <v/>
      </c>
      <c r="R261" s="8">
        <v>24</v>
      </c>
      <c r="S261" s="14">
        <v>2</v>
      </c>
    </row>
    <row r="262" spans="1:19">
      <c r="A262" s="6">
        <f t="shared" si="19"/>
        <v>5202</v>
      </c>
      <c r="B262" s="6">
        <f t="shared" si="20"/>
        <v>52</v>
      </c>
      <c r="C262" s="6">
        <f t="shared" si="18"/>
        <v>2</v>
      </c>
      <c r="D262" s="6" t="s">
        <v>565</v>
      </c>
      <c r="E262" s="6">
        <v>107</v>
      </c>
      <c r="G262" s="6" t="s">
        <v>566</v>
      </c>
      <c r="H262" s="6">
        <f t="shared" si="21"/>
        <v>0</v>
      </c>
      <c r="I262" s="6" t="str">
        <f>IF(VLOOKUP(E262,Sheet2!$W$4:$AA$49,5,0)=0,"",VLOOKUP(E262,Sheet2!$W$4:$AA$49,5,0))</f>
        <v>[60004]</v>
      </c>
      <c r="J262" s="6">
        <v>0</v>
      </c>
      <c r="K262" s="6">
        <v>0</v>
      </c>
      <c r="L262" s="6">
        <f>IF(VLOOKUP(E262,Sheet2!$W$4:$X$49,2,0)=0,"",VLOOKUP(E262,Sheet2!$W$4:$X$49,2,0))</f>
        <v>1</v>
      </c>
      <c r="N262" s="6" t="str">
        <f>IF(VLOOKUP(E262,Sheet2!$W$4:$Y$49,3,0)=0,"",VLOOKUP(E262,Sheet2!$W$4:$Y$49,3,0))</f>
        <v/>
      </c>
      <c r="Q262" s="6" t="str">
        <f>IF(VLOOKUP(E262,Sheet2!$W$4:$Z$49,4,0)=0,"",VLOOKUP(E262,Sheet2!$W$4:$Z$49,4,0))</f>
        <v>[{50013,6}]</v>
      </c>
      <c r="R262" s="8">
        <v>24</v>
      </c>
      <c r="S262" s="14">
        <v>2</v>
      </c>
    </row>
    <row r="263" spans="1:19">
      <c r="A263" s="6">
        <f t="shared" si="19"/>
        <v>5203</v>
      </c>
      <c r="B263" s="6">
        <f t="shared" si="20"/>
        <v>52</v>
      </c>
      <c r="C263" s="6">
        <f t="shared" si="18"/>
        <v>3</v>
      </c>
      <c r="D263" s="6" t="s">
        <v>567</v>
      </c>
      <c r="E263" s="6">
        <v>106</v>
      </c>
      <c r="G263" s="6" t="s">
        <v>568</v>
      </c>
      <c r="H263" s="6">
        <f t="shared" si="21"/>
        <v>0</v>
      </c>
      <c r="I263" s="6" t="str">
        <f>IF(VLOOKUP(E263,Sheet2!$W$4:$AA$49,5,0)=0,"",VLOOKUP(E263,Sheet2!$W$4:$AA$49,5,0))</f>
        <v>[60002]</v>
      </c>
      <c r="J263" s="6">
        <v>0</v>
      </c>
      <c r="K263" s="6">
        <v>0</v>
      </c>
      <c r="L263" s="6">
        <f>IF(VLOOKUP(E263,Sheet2!$W$4:$X$49,2,0)=0,"",VLOOKUP(E263,Sheet2!$W$4:$X$49,2,0))</f>
        <v>1</v>
      </c>
      <c r="N263" s="6">
        <f>IF(VLOOKUP(E263,Sheet2!$W$4:$Y$49,3,0)=0,"",VLOOKUP(E263,Sheet2!$W$4:$Y$49,3,0))</f>
        <v>2002</v>
      </c>
      <c r="Q263" s="6" t="str">
        <f>IF(VLOOKUP(E263,Sheet2!$W$4:$Z$49,4,0)=0,"",VLOOKUP(E263,Sheet2!$W$4:$Z$49,4,0))</f>
        <v>[{50012,6}]</v>
      </c>
      <c r="R263" s="8">
        <v>24</v>
      </c>
      <c r="S263" s="14">
        <v>2</v>
      </c>
    </row>
    <row r="264" spans="1:19">
      <c r="A264" s="6">
        <f t="shared" si="19"/>
        <v>5221</v>
      </c>
      <c r="B264" s="6">
        <f t="shared" si="20"/>
        <v>52</v>
      </c>
      <c r="C264" s="6">
        <f t="shared" si="18"/>
        <v>4</v>
      </c>
      <c r="D264" s="6" t="s">
        <v>569</v>
      </c>
      <c r="E264" s="6">
        <v>506</v>
      </c>
      <c r="G264" s="6" t="s">
        <v>570</v>
      </c>
      <c r="H264" s="6">
        <f t="shared" si="21"/>
        <v>2</v>
      </c>
      <c r="I264" s="6" t="str">
        <f>IF(VLOOKUP(E264,Sheet2!$W$4:$AA$49,5,0)=0,"",VLOOKUP(E264,Sheet2!$W$4:$AA$49,5,0))</f>
        <v>[60002]</v>
      </c>
      <c r="J264" s="6">
        <v>0</v>
      </c>
      <c r="K264" s="6">
        <v>0</v>
      </c>
      <c r="L264" s="6">
        <f>IF(VLOOKUP(E264,Sheet2!$W$4:$X$49,2,0)=0,"",VLOOKUP(E264,Sheet2!$W$4:$X$49,2,0))</f>
        <v>1</v>
      </c>
      <c r="N264" s="6">
        <f>IF(VLOOKUP(E264,Sheet2!$W$4:$Y$49,3,0)=0,"",VLOOKUP(E264,Sheet2!$W$4:$Y$49,3,0))</f>
        <v>2002</v>
      </c>
      <c r="Q264" s="6" t="str">
        <f>IF(VLOOKUP(E264,Sheet2!$W$4:$Z$49,4,0)=0,"",VLOOKUP(E264,Sheet2!$W$4:$Z$49,4,0))</f>
        <v>[{50022,6}]</v>
      </c>
      <c r="R264" s="8">
        <v>100</v>
      </c>
      <c r="S264" s="14">
        <v>2</v>
      </c>
    </row>
    <row r="265" spans="1:19">
      <c r="A265" s="6">
        <f t="shared" si="19"/>
        <v>5231</v>
      </c>
      <c r="B265" s="6">
        <f t="shared" si="20"/>
        <v>52</v>
      </c>
      <c r="C265" s="6">
        <f t="shared" si="18"/>
        <v>5</v>
      </c>
      <c r="D265" s="6" t="s">
        <v>571</v>
      </c>
      <c r="E265" s="6">
        <v>506</v>
      </c>
      <c r="G265" s="6" t="s">
        <v>572</v>
      </c>
      <c r="H265" s="6">
        <f t="shared" si="21"/>
        <v>2</v>
      </c>
      <c r="I265" s="6" t="str">
        <f>IF(VLOOKUP(E265,Sheet2!$W$4:$AA$49,5,0)=0,"",VLOOKUP(E265,Sheet2!$W$4:$AA$49,5,0))</f>
        <v>[60002]</v>
      </c>
      <c r="J265" s="6">
        <v>0</v>
      </c>
      <c r="K265" s="6">
        <v>0</v>
      </c>
      <c r="L265" s="6">
        <f>IF(VLOOKUP(E265,Sheet2!$W$4:$X$49,2,0)=0,"",VLOOKUP(E265,Sheet2!$W$4:$X$49,2,0))</f>
        <v>1</v>
      </c>
      <c r="N265" s="6">
        <f>IF(VLOOKUP(E265,Sheet2!$W$4:$Y$49,3,0)=0,"",VLOOKUP(E265,Sheet2!$W$4:$Y$49,3,0))</f>
        <v>2002</v>
      </c>
      <c r="Q265" s="6" t="str">
        <f>IF(VLOOKUP(E265,Sheet2!$W$4:$Z$49,4,0)=0,"",VLOOKUP(E265,Sheet2!$W$4:$Z$49,4,0))</f>
        <v>[{50022,6}]</v>
      </c>
      <c r="R265" s="8">
        <v>100</v>
      </c>
      <c r="S265" s="14">
        <v>2</v>
      </c>
    </row>
    <row r="266" spans="1:19">
      <c r="A266" s="6">
        <f t="shared" si="19"/>
        <v>5301</v>
      </c>
      <c r="B266" s="6">
        <f t="shared" si="20"/>
        <v>53</v>
      </c>
      <c r="C266" s="6">
        <f t="shared" si="18"/>
        <v>1</v>
      </c>
      <c r="D266" s="6" t="s">
        <v>573</v>
      </c>
      <c r="E266" s="6">
        <v>108</v>
      </c>
      <c r="G266" s="6" t="s">
        <v>574</v>
      </c>
      <c r="H266" s="6">
        <f t="shared" si="21"/>
        <v>0</v>
      </c>
      <c r="I266" s="6" t="str">
        <f>IF(VLOOKUP(E266,Sheet2!$W$4:$AA$49,5,0)=0,"",VLOOKUP(E266,Sheet2!$W$4:$AA$49,5,0))</f>
        <v/>
      </c>
      <c r="J266" s="6">
        <v>0</v>
      </c>
      <c r="K266" s="6">
        <v>0</v>
      </c>
      <c r="L266" s="6" t="str">
        <f>IF(VLOOKUP(E266,Sheet2!$W$4:$X$49,2,0)=0,"",VLOOKUP(E266,Sheet2!$W$4:$X$49,2,0))</f>
        <v/>
      </c>
      <c r="N266" s="6" t="str">
        <f>IF(VLOOKUP(E266,Sheet2!$W$4:$Y$49,3,0)=0,"",VLOOKUP(E266,Sheet2!$W$4:$Y$49,3,0))</f>
        <v/>
      </c>
      <c r="Q266" s="6" t="str">
        <f>IF(VLOOKUP(E266,Sheet2!$W$4:$Z$49,4,0)=0,"",VLOOKUP(E266,Sheet2!$W$4:$Z$49,4,0))</f>
        <v/>
      </c>
      <c r="R266" s="8">
        <v>24</v>
      </c>
      <c r="S266" s="14">
        <v>2</v>
      </c>
    </row>
    <row r="267" spans="1:19">
      <c r="A267" s="6">
        <f t="shared" si="19"/>
        <v>5302</v>
      </c>
      <c r="B267" s="6">
        <f t="shared" si="20"/>
        <v>53</v>
      </c>
      <c r="C267" s="6">
        <f t="shared" si="18"/>
        <v>2</v>
      </c>
      <c r="D267" s="6" t="s">
        <v>575</v>
      </c>
      <c r="E267" s="6">
        <v>109</v>
      </c>
      <c r="G267" s="6" t="s">
        <v>576</v>
      </c>
      <c r="H267" s="6">
        <f t="shared" si="21"/>
        <v>0</v>
      </c>
      <c r="I267" s="6" t="str">
        <f>IF(VLOOKUP(E267,Sheet2!$W$4:$AA$49,5,0)=0,"",VLOOKUP(E267,Sheet2!$W$4:$AA$49,5,0))</f>
        <v/>
      </c>
      <c r="J267" s="6">
        <v>0</v>
      </c>
      <c r="K267" s="6">
        <v>0</v>
      </c>
      <c r="L267" s="6">
        <f>IF(VLOOKUP(E267,Sheet2!$W$4:$X$49,2,0)=0,"",VLOOKUP(E267,Sheet2!$W$4:$X$49,2,0))</f>
        <v>1</v>
      </c>
      <c r="N267" s="6" t="str">
        <f>IF(VLOOKUP(E267,Sheet2!$W$4:$Y$49,3,0)=0,"",VLOOKUP(E267,Sheet2!$W$4:$Y$49,3,0))</f>
        <v/>
      </c>
      <c r="Q267" s="6" t="str">
        <f>IF(VLOOKUP(E267,Sheet2!$W$4:$Z$49,4,0)=0,"",VLOOKUP(E267,Sheet2!$W$4:$Z$49,4,0))</f>
        <v>[{50014,6}]</v>
      </c>
      <c r="R267" s="8">
        <v>24</v>
      </c>
      <c r="S267" s="14">
        <v>2</v>
      </c>
    </row>
    <row r="268" spans="1:19">
      <c r="A268" s="6">
        <f t="shared" si="19"/>
        <v>5303</v>
      </c>
      <c r="B268" s="6">
        <f t="shared" si="20"/>
        <v>53</v>
      </c>
      <c r="C268" s="6">
        <f t="shared" si="18"/>
        <v>3</v>
      </c>
      <c r="D268" s="6" t="s">
        <v>577</v>
      </c>
      <c r="E268" s="6">
        <v>109</v>
      </c>
      <c r="G268" s="6" t="s">
        <v>578</v>
      </c>
      <c r="H268" s="6">
        <f t="shared" si="21"/>
        <v>0</v>
      </c>
      <c r="I268" s="6" t="str">
        <f>IF(VLOOKUP(E268,Sheet2!$W$4:$AA$49,5,0)=0,"",VLOOKUP(E268,Sheet2!$W$4:$AA$49,5,0))</f>
        <v/>
      </c>
      <c r="J268" s="6">
        <v>0</v>
      </c>
      <c r="K268" s="6">
        <v>0</v>
      </c>
      <c r="L268" s="6">
        <f>IF(VLOOKUP(E268,Sheet2!$W$4:$X$49,2,0)=0,"",VLOOKUP(E268,Sheet2!$W$4:$X$49,2,0))</f>
        <v>1</v>
      </c>
      <c r="N268" s="6" t="str">
        <f>IF(VLOOKUP(E268,Sheet2!$W$4:$Y$49,3,0)=0,"",VLOOKUP(E268,Sheet2!$W$4:$Y$49,3,0))</f>
        <v/>
      </c>
      <c r="Q268" s="6" t="str">
        <f>IF(VLOOKUP(E268,Sheet2!$W$4:$Z$49,4,0)=0,"",VLOOKUP(E268,Sheet2!$W$4:$Z$49,4,0))</f>
        <v>[{50014,6}]</v>
      </c>
      <c r="R268" s="8">
        <v>24</v>
      </c>
      <c r="S268" s="14">
        <v>2</v>
      </c>
    </row>
    <row r="269" spans="1:19">
      <c r="A269" s="6">
        <f t="shared" si="19"/>
        <v>5321</v>
      </c>
      <c r="B269" s="6">
        <f t="shared" si="20"/>
        <v>53</v>
      </c>
      <c r="C269" s="6">
        <f t="shared" si="18"/>
        <v>4</v>
      </c>
      <c r="D269" s="6" t="s">
        <v>579</v>
      </c>
      <c r="E269" s="6">
        <v>508</v>
      </c>
      <c r="G269" s="6" t="s">
        <v>580</v>
      </c>
      <c r="H269" s="6">
        <f t="shared" si="21"/>
        <v>2</v>
      </c>
      <c r="I269" s="6" t="str">
        <f>IF(VLOOKUP(E269,Sheet2!$W$4:$AA$49,5,0)=0,"",VLOOKUP(E269,Sheet2!$W$4:$AA$49,5,0))</f>
        <v/>
      </c>
      <c r="J269" s="6">
        <v>0</v>
      </c>
      <c r="K269" s="6">
        <v>0</v>
      </c>
      <c r="L269" s="6" t="str">
        <f>IF(VLOOKUP(E269,Sheet2!$W$4:$X$49,2,0)=0,"",VLOOKUP(E269,Sheet2!$W$4:$X$49,2,0))</f>
        <v/>
      </c>
      <c r="N269" s="6" t="str">
        <f>IF(VLOOKUP(E269,Sheet2!$W$4:$Y$49,3,0)=0,"",VLOOKUP(E269,Sheet2!$W$4:$Y$49,3,0))</f>
        <v/>
      </c>
      <c r="Q269" s="6" t="str">
        <f>IF(VLOOKUP(E269,Sheet2!$W$4:$Z$49,4,0)=0,"",VLOOKUP(E269,Sheet2!$W$4:$Z$49,4,0))</f>
        <v/>
      </c>
      <c r="R269" s="8">
        <v>100</v>
      </c>
      <c r="S269" s="14">
        <v>2</v>
      </c>
    </row>
    <row r="270" spans="1:19">
      <c r="A270" s="6">
        <f t="shared" si="19"/>
        <v>5331</v>
      </c>
      <c r="B270" s="6">
        <f t="shared" si="20"/>
        <v>53</v>
      </c>
      <c r="C270" s="6">
        <f t="shared" si="18"/>
        <v>5</v>
      </c>
      <c r="D270" s="6" t="s">
        <v>581</v>
      </c>
      <c r="E270" s="6">
        <v>508</v>
      </c>
      <c r="G270" s="6" t="s">
        <v>582</v>
      </c>
      <c r="H270" s="6">
        <f t="shared" si="21"/>
        <v>2</v>
      </c>
      <c r="I270" s="6" t="str">
        <f>IF(VLOOKUP(E270,Sheet2!$W$4:$AA$49,5,0)=0,"",VLOOKUP(E270,Sheet2!$W$4:$AA$49,5,0))</f>
        <v/>
      </c>
      <c r="J270" s="6">
        <v>0</v>
      </c>
      <c r="K270" s="6">
        <v>0</v>
      </c>
      <c r="L270" s="6" t="str">
        <f>IF(VLOOKUP(E270,Sheet2!$W$4:$X$49,2,0)=0,"",VLOOKUP(E270,Sheet2!$W$4:$X$49,2,0))</f>
        <v/>
      </c>
      <c r="N270" s="6" t="str">
        <f>IF(VLOOKUP(E270,Sheet2!$W$4:$Y$49,3,0)=0,"",VLOOKUP(E270,Sheet2!$W$4:$Y$49,3,0))</f>
        <v/>
      </c>
      <c r="Q270" s="6" t="str">
        <f>IF(VLOOKUP(E270,Sheet2!$W$4:$Z$49,4,0)=0,"",VLOOKUP(E270,Sheet2!$W$4:$Z$49,4,0))</f>
        <v/>
      </c>
      <c r="R270" s="8">
        <v>100</v>
      </c>
      <c r="S270" s="14">
        <v>2</v>
      </c>
    </row>
    <row r="271" spans="1:19">
      <c r="A271" s="6">
        <f t="shared" si="19"/>
        <v>5401</v>
      </c>
      <c r="B271" s="6">
        <f t="shared" si="20"/>
        <v>54</v>
      </c>
      <c r="C271" s="6">
        <f t="shared" si="18"/>
        <v>1</v>
      </c>
      <c r="D271" s="6" t="s">
        <v>583</v>
      </c>
      <c r="E271" s="6">
        <v>100</v>
      </c>
      <c r="G271" s="6" t="s">
        <v>584</v>
      </c>
      <c r="H271" s="6">
        <f t="shared" si="21"/>
        <v>0</v>
      </c>
      <c r="I271" s="6" t="str">
        <f>IF(VLOOKUP(E271,Sheet2!$W$4:$AA$49,5,0)=0,"",VLOOKUP(E271,Sheet2!$W$4:$AA$49,5,0))</f>
        <v>[60002]</v>
      </c>
      <c r="J271" s="6">
        <v>0</v>
      </c>
      <c r="K271" s="6">
        <v>0</v>
      </c>
      <c r="L271" s="6" t="str">
        <f>IF(VLOOKUP(E271,Sheet2!$W$4:$X$49,2,0)=0,"",VLOOKUP(E271,Sheet2!$W$4:$X$49,2,0))</f>
        <v/>
      </c>
      <c r="N271" s="6">
        <f>IF(VLOOKUP(E271,Sheet2!$W$4:$Y$49,3,0)=0,"",VLOOKUP(E271,Sheet2!$W$4:$Y$49,3,0))</f>
        <v>2001</v>
      </c>
      <c r="Q271" s="6" t="str">
        <f>IF(VLOOKUP(E271,Sheet2!$W$4:$Z$49,4,0)=0,"",VLOOKUP(E271,Sheet2!$W$4:$Z$49,4,0))</f>
        <v/>
      </c>
      <c r="R271" s="8">
        <v>24</v>
      </c>
      <c r="S271" s="14">
        <v>2</v>
      </c>
    </row>
    <row r="272" spans="1:19">
      <c r="A272" s="6">
        <f t="shared" si="19"/>
        <v>5402</v>
      </c>
      <c r="B272" s="6">
        <f t="shared" si="20"/>
        <v>54</v>
      </c>
      <c r="C272" s="6">
        <f t="shared" si="18"/>
        <v>2</v>
      </c>
      <c r="D272" s="6" t="s">
        <v>585</v>
      </c>
      <c r="E272" s="6">
        <v>102</v>
      </c>
      <c r="G272" s="6" t="s">
        <v>586</v>
      </c>
      <c r="H272" s="6">
        <f t="shared" si="21"/>
        <v>0</v>
      </c>
      <c r="I272" s="6" t="str">
        <f>IF(VLOOKUP(E272,Sheet2!$W$4:$AA$49,5,0)=0,"",VLOOKUP(E272,Sheet2!$W$4:$AA$49,5,0))</f>
        <v/>
      </c>
      <c r="J272" s="6">
        <v>0</v>
      </c>
      <c r="K272" s="6">
        <v>0</v>
      </c>
      <c r="L272" s="6">
        <f>IF(VLOOKUP(E272,Sheet2!$W$4:$X$49,2,0)=0,"",VLOOKUP(E272,Sheet2!$W$4:$X$49,2,0))</f>
        <v>1</v>
      </c>
      <c r="N272" s="6" t="str">
        <f>IF(VLOOKUP(E272,Sheet2!$W$4:$Y$49,3,0)=0,"",VLOOKUP(E272,Sheet2!$W$4:$Y$49,3,0))</f>
        <v/>
      </c>
      <c r="Q272" s="6" t="str">
        <f>IF(VLOOKUP(E272,Sheet2!$W$4:$Z$49,4,0)=0,"",VLOOKUP(E272,Sheet2!$W$4:$Z$49,4,0))</f>
        <v>[{50011,6}]</v>
      </c>
      <c r="R272" s="8">
        <v>24</v>
      </c>
      <c r="S272" s="14">
        <v>2</v>
      </c>
    </row>
    <row r="273" spans="1:19">
      <c r="A273" s="6">
        <f t="shared" si="19"/>
        <v>5403</v>
      </c>
      <c r="B273" s="6">
        <f t="shared" si="20"/>
        <v>54</v>
      </c>
      <c r="C273" s="6">
        <f t="shared" si="18"/>
        <v>3</v>
      </c>
      <c r="D273" s="6" t="s">
        <v>587</v>
      </c>
      <c r="E273" s="6">
        <v>105</v>
      </c>
      <c r="G273" s="6" t="s">
        <v>588</v>
      </c>
      <c r="H273" s="6">
        <f t="shared" si="21"/>
        <v>0</v>
      </c>
      <c r="I273" s="6" t="str">
        <f>IF(VLOOKUP(E273,Sheet2!$W$4:$AA$49,5,0)=0,"",VLOOKUP(E273,Sheet2!$W$4:$AA$49,5,0))</f>
        <v>[60003]</v>
      </c>
      <c r="J273" s="6">
        <v>0</v>
      </c>
      <c r="K273" s="6">
        <v>0</v>
      </c>
      <c r="L273" s="6" t="str">
        <f>IF(VLOOKUP(E273,Sheet2!$W$4:$X$49,2,0)=0,"",VLOOKUP(E273,Sheet2!$W$4:$X$49,2,0))</f>
        <v/>
      </c>
      <c r="N273" s="6" t="str">
        <f>IF(VLOOKUP(E273,Sheet2!$W$4:$Y$49,3,0)=0,"",VLOOKUP(E273,Sheet2!$W$4:$Y$49,3,0))</f>
        <v/>
      </c>
      <c r="Q273" s="6" t="str">
        <f>IF(VLOOKUP(E273,Sheet2!$W$4:$Z$49,4,0)=0,"",VLOOKUP(E273,Sheet2!$W$4:$Z$49,4,0))</f>
        <v/>
      </c>
      <c r="R273" s="8">
        <v>24</v>
      </c>
      <c r="S273" s="14">
        <v>2</v>
      </c>
    </row>
    <row r="274" spans="1:19">
      <c r="A274" s="6">
        <f t="shared" si="19"/>
        <v>5421</v>
      </c>
      <c r="B274" s="6">
        <f t="shared" si="20"/>
        <v>54</v>
      </c>
      <c r="C274" s="6">
        <f t="shared" si="18"/>
        <v>4</v>
      </c>
      <c r="D274" s="6" t="s">
        <v>589</v>
      </c>
      <c r="E274" s="6">
        <v>502</v>
      </c>
      <c r="G274" s="6" t="s">
        <v>590</v>
      </c>
      <c r="H274" s="6">
        <f t="shared" si="21"/>
        <v>2</v>
      </c>
      <c r="I274" s="6" t="str">
        <f>IF(VLOOKUP(E274,Sheet2!$W$4:$AA$49,5,0)=0,"",VLOOKUP(E274,Sheet2!$W$4:$AA$49,5,0))</f>
        <v/>
      </c>
      <c r="J274" s="6">
        <v>0</v>
      </c>
      <c r="K274" s="6">
        <v>0</v>
      </c>
      <c r="L274" s="6">
        <f>IF(VLOOKUP(E274,Sheet2!$W$4:$X$49,2,0)=0,"",VLOOKUP(E274,Sheet2!$W$4:$X$49,2,0))</f>
        <v>1</v>
      </c>
      <c r="N274" s="6" t="str">
        <f>IF(VLOOKUP(E274,Sheet2!$W$4:$Y$49,3,0)=0,"",VLOOKUP(E274,Sheet2!$W$4:$Y$49,3,0))</f>
        <v/>
      </c>
      <c r="Q274" s="6" t="str">
        <f>IF(VLOOKUP(E274,Sheet2!$W$4:$Z$49,4,0)=0,"",VLOOKUP(E274,Sheet2!$W$4:$Z$49,4,0))</f>
        <v>[{50021,6}]</v>
      </c>
      <c r="R274" s="8">
        <v>100</v>
      </c>
      <c r="S274" s="14">
        <v>2</v>
      </c>
    </row>
    <row r="275" spans="1:19">
      <c r="A275" s="6">
        <f t="shared" si="19"/>
        <v>5431</v>
      </c>
      <c r="B275" s="6">
        <f t="shared" si="20"/>
        <v>54</v>
      </c>
      <c r="C275" s="6">
        <f t="shared" si="18"/>
        <v>5</v>
      </c>
      <c r="D275" s="6" t="s">
        <v>591</v>
      </c>
      <c r="E275" s="6">
        <v>500</v>
      </c>
      <c r="G275" s="6" t="s">
        <v>592</v>
      </c>
      <c r="H275" s="6">
        <f t="shared" si="21"/>
        <v>2</v>
      </c>
      <c r="I275" s="6" t="str">
        <f>IF(VLOOKUP(E275,Sheet2!$W$4:$AA$49,5,0)=0,"",VLOOKUP(E275,Sheet2!$W$4:$AA$49,5,0))</f>
        <v>[60002]</v>
      </c>
      <c r="J275" s="6">
        <v>0</v>
      </c>
      <c r="K275" s="6">
        <v>0</v>
      </c>
      <c r="L275" s="6" t="str">
        <f>IF(VLOOKUP(E275,Sheet2!$W$4:$X$49,2,0)=0,"",VLOOKUP(E275,Sheet2!$W$4:$X$49,2,0))</f>
        <v/>
      </c>
      <c r="N275" s="6">
        <f>IF(VLOOKUP(E275,Sheet2!$W$4:$Y$49,3,0)=0,"",VLOOKUP(E275,Sheet2!$W$4:$Y$49,3,0))</f>
        <v>2001</v>
      </c>
      <c r="Q275" s="6" t="str">
        <f>IF(VLOOKUP(E275,Sheet2!$W$4:$Z$49,4,0)=0,"",VLOOKUP(E275,Sheet2!$W$4:$Z$49,4,0))</f>
        <v/>
      </c>
      <c r="R275" s="8">
        <v>100</v>
      </c>
      <c r="S275" s="14">
        <v>2</v>
      </c>
    </row>
    <row r="276" spans="1:19">
      <c r="A276" s="6">
        <f t="shared" si="19"/>
        <v>5501</v>
      </c>
      <c r="B276" s="6">
        <f t="shared" si="20"/>
        <v>55</v>
      </c>
      <c r="C276" s="6">
        <f t="shared" si="18"/>
        <v>1</v>
      </c>
      <c r="D276" s="6" t="s">
        <v>593</v>
      </c>
      <c r="E276" s="6">
        <v>111</v>
      </c>
      <c r="G276" s="6" t="s">
        <v>594</v>
      </c>
      <c r="H276" s="6">
        <f t="shared" si="21"/>
        <v>0</v>
      </c>
      <c r="I276" s="6" t="str">
        <f>IF(VLOOKUP(E276,Sheet2!$W$4:$AA$49,5,0)=0,"",VLOOKUP(E276,Sheet2!$W$4:$AA$49,5,0))</f>
        <v/>
      </c>
      <c r="J276" s="6">
        <v>0</v>
      </c>
      <c r="K276" s="6">
        <v>0</v>
      </c>
      <c r="L276" s="6" t="str">
        <f>IF(VLOOKUP(E276,Sheet2!$W$4:$X$49,2,0)=0,"",VLOOKUP(E276,Sheet2!$W$4:$X$49,2,0))</f>
        <v/>
      </c>
      <c r="N276" s="6" t="str">
        <f>IF(VLOOKUP(E276,Sheet2!$W$4:$Y$49,3,0)=0,"",VLOOKUP(E276,Sheet2!$W$4:$Y$49,3,0))</f>
        <v/>
      </c>
      <c r="Q276" s="6" t="str">
        <f>IF(VLOOKUP(E276,Sheet2!$W$4:$Z$49,4,0)=0,"",VLOOKUP(E276,Sheet2!$W$4:$Z$49,4,0))</f>
        <v/>
      </c>
      <c r="R276" s="8">
        <v>24</v>
      </c>
      <c r="S276" s="14">
        <v>2</v>
      </c>
    </row>
    <row r="277" spans="1:19">
      <c r="A277" s="6">
        <f t="shared" si="19"/>
        <v>5502</v>
      </c>
      <c r="B277" s="6">
        <f t="shared" si="20"/>
        <v>55</v>
      </c>
      <c r="C277" s="6">
        <f t="shared" si="18"/>
        <v>2</v>
      </c>
      <c r="D277" s="6" t="s">
        <v>595</v>
      </c>
      <c r="E277" s="6">
        <v>112</v>
      </c>
      <c r="G277" s="6" t="s">
        <v>596</v>
      </c>
      <c r="H277" s="6">
        <f t="shared" si="21"/>
        <v>0</v>
      </c>
      <c r="I277" s="6" t="str">
        <f>IF(VLOOKUP(E277,Sheet2!$W$4:$AA$49,5,0)=0,"",VLOOKUP(E277,Sheet2!$W$4:$AA$49,5,0))</f>
        <v/>
      </c>
      <c r="J277" s="6">
        <v>0</v>
      </c>
      <c r="K277" s="6">
        <v>0</v>
      </c>
      <c r="L277" s="6">
        <f>IF(VLOOKUP(E277,Sheet2!$W$4:$X$49,2,0)=0,"",VLOOKUP(E277,Sheet2!$W$4:$X$49,2,0))</f>
        <v>1</v>
      </c>
      <c r="N277" s="6" t="str">
        <f>IF(VLOOKUP(E277,Sheet2!$W$4:$Y$49,3,0)=0,"",VLOOKUP(E277,Sheet2!$W$4:$Y$49,3,0))</f>
        <v/>
      </c>
      <c r="Q277" s="6" t="str">
        <f>IF(VLOOKUP(E277,Sheet2!$W$4:$Z$49,4,0)=0,"",VLOOKUP(E277,Sheet2!$W$4:$Z$49,4,0))</f>
        <v>[{50015,6}]</v>
      </c>
      <c r="R277" s="8">
        <v>24</v>
      </c>
      <c r="S277" s="14">
        <v>2</v>
      </c>
    </row>
    <row r="278" spans="1:19">
      <c r="A278" s="6">
        <f t="shared" si="19"/>
        <v>5503</v>
      </c>
      <c r="B278" s="6">
        <f t="shared" si="20"/>
        <v>55</v>
      </c>
      <c r="C278" s="6">
        <f t="shared" si="18"/>
        <v>3</v>
      </c>
      <c r="D278" s="6" t="s">
        <v>597</v>
      </c>
      <c r="E278" s="6">
        <v>113</v>
      </c>
      <c r="G278" s="6" t="s">
        <v>598</v>
      </c>
      <c r="H278" s="6">
        <f t="shared" si="21"/>
        <v>0</v>
      </c>
      <c r="I278" s="6" t="str">
        <f>IF(VLOOKUP(E278,Sheet2!$W$4:$AA$49,5,0)=0,"",VLOOKUP(E278,Sheet2!$W$4:$AA$49,5,0))</f>
        <v>[60005]</v>
      </c>
      <c r="J278" s="6">
        <v>0</v>
      </c>
      <c r="K278" s="6">
        <v>0</v>
      </c>
      <c r="L278" s="6">
        <f>IF(VLOOKUP(E278,Sheet2!$W$4:$X$49,2,0)=0,"",VLOOKUP(E278,Sheet2!$W$4:$X$49,2,0))</f>
        <v>1</v>
      </c>
      <c r="N278" s="6" t="str">
        <f>IF(VLOOKUP(E278,Sheet2!$W$4:$Y$49,3,0)=0,"",VLOOKUP(E278,Sheet2!$W$4:$Y$49,3,0))</f>
        <v/>
      </c>
      <c r="Q278" s="6" t="str">
        <f>IF(VLOOKUP(E278,Sheet2!$W$4:$Z$49,4,0)=0,"",VLOOKUP(E278,Sheet2!$W$4:$Z$49,4,0))</f>
        <v>[{50016,6}]</v>
      </c>
      <c r="R278" s="8">
        <v>24</v>
      </c>
      <c r="S278" s="14">
        <v>2</v>
      </c>
    </row>
    <row r="279" spans="1:19">
      <c r="A279" s="6">
        <f t="shared" si="19"/>
        <v>5521</v>
      </c>
      <c r="B279" s="6">
        <f t="shared" si="20"/>
        <v>55</v>
      </c>
      <c r="C279" s="6">
        <f t="shared" si="18"/>
        <v>4</v>
      </c>
      <c r="D279" s="6" t="s">
        <v>599</v>
      </c>
      <c r="E279" s="6">
        <v>511</v>
      </c>
      <c r="G279" s="6" t="s">
        <v>600</v>
      </c>
      <c r="H279" s="6">
        <f t="shared" si="21"/>
        <v>2</v>
      </c>
      <c r="I279" s="6" t="str">
        <f>IF(VLOOKUP(E279,Sheet2!$W$4:$AA$49,5,0)=0,"",VLOOKUP(E279,Sheet2!$W$4:$AA$49,5,0))</f>
        <v/>
      </c>
      <c r="J279" s="6">
        <v>0</v>
      </c>
      <c r="K279" s="6">
        <v>0</v>
      </c>
      <c r="L279" s="6" t="str">
        <f>IF(VLOOKUP(E279,Sheet2!$W$4:$X$49,2,0)=0,"",VLOOKUP(E279,Sheet2!$W$4:$X$49,2,0))</f>
        <v/>
      </c>
      <c r="N279" s="6" t="str">
        <f>IF(VLOOKUP(E279,Sheet2!$W$4:$Y$49,3,0)=0,"",VLOOKUP(E279,Sheet2!$W$4:$Y$49,3,0))</f>
        <v/>
      </c>
      <c r="Q279" s="6" t="str">
        <f>IF(VLOOKUP(E279,Sheet2!$W$4:$Z$49,4,0)=0,"",VLOOKUP(E279,Sheet2!$W$4:$Z$49,4,0))</f>
        <v/>
      </c>
      <c r="R279" s="8">
        <v>100</v>
      </c>
      <c r="S279" s="14">
        <v>2</v>
      </c>
    </row>
    <row r="280" spans="1:19">
      <c r="A280" s="6">
        <f t="shared" si="19"/>
        <v>5531</v>
      </c>
      <c r="B280" s="6">
        <f t="shared" si="20"/>
        <v>55</v>
      </c>
      <c r="C280" s="6">
        <f t="shared" si="18"/>
        <v>5</v>
      </c>
      <c r="D280" s="6" t="s">
        <v>601</v>
      </c>
      <c r="E280" s="6">
        <v>511</v>
      </c>
      <c r="G280" s="6" t="s">
        <v>602</v>
      </c>
      <c r="H280" s="6">
        <f t="shared" si="21"/>
        <v>2</v>
      </c>
      <c r="I280" s="6" t="str">
        <f>IF(VLOOKUP(E280,Sheet2!$W$4:$AA$49,5,0)=0,"",VLOOKUP(E280,Sheet2!$W$4:$AA$49,5,0))</f>
        <v/>
      </c>
      <c r="J280" s="6">
        <v>0</v>
      </c>
      <c r="K280" s="6">
        <v>0</v>
      </c>
      <c r="L280" s="6" t="str">
        <f>IF(VLOOKUP(E280,Sheet2!$W$4:$X$49,2,0)=0,"",VLOOKUP(E280,Sheet2!$W$4:$X$49,2,0))</f>
        <v/>
      </c>
      <c r="N280" s="6" t="str">
        <f>IF(VLOOKUP(E280,Sheet2!$W$4:$Y$49,3,0)=0,"",VLOOKUP(E280,Sheet2!$W$4:$Y$49,3,0))</f>
        <v/>
      </c>
      <c r="Q280" s="6" t="str">
        <f>IF(VLOOKUP(E280,Sheet2!$W$4:$Z$49,4,0)=0,"",VLOOKUP(E280,Sheet2!$W$4:$Z$49,4,0))</f>
        <v/>
      </c>
      <c r="R280" s="8">
        <v>100</v>
      </c>
      <c r="S280" s="14">
        <v>2</v>
      </c>
    </row>
    <row r="281" spans="1:19">
      <c r="A281" s="6">
        <f t="shared" si="19"/>
        <v>5601</v>
      </c>
      <c r="B281" s="6">
        <f t="shared" si="20"/>
        <v>56</v>
      </c>
      <c r="C281" s="6">
        <f t="shared" si="18"/>
        <v>1</v>
      </c>
      <c r="D281" s="6" t="s">
        <v>603</v>
      </c>
      <c r="E281" s="6">
        <v>111</v>
      </c>
      <c r="G281" s="6" t="s">
        <v>604</v>
      </c>
      <c r="H281" s="6">
        <f t="shared" si="21"/>
        <v>0</v>
      </c>
      <c r="I281" s="6" t="str">
        <f>IF(VLOOKUP(E281,Sheet2!$W$4:$AA$49,5,0)=0,"",VLOOKUP(E281,Sheet2!$W$4:$AA$49,5,0))</f>
        <v/>
      </c>
      <c r="J281" s="6">
        <v>0</v>
      </c>
      <c r="K281" s="6">
        <v>0</v>
      </c>
      <c r="L281" s="6" t="str">
        <f>IF(VLOOKUP(E281,Sheet2!$W$4:$X$49,2,0)=0,"",VLOOKUP(E281,Sheet2!$W$4:$X$49,2,0))</f>
        <v/>
      </c>
      <c r="N281" s="6" t="str">
        <f>IF(VLOOKUP(E281,Sheet2!$W$4:$Y$49,3,0)=0,"",VLOOKUP(E281,Sheet2!$W$4:$Y$49,3,0))</f>
        <v/>
      </c>
      <c r="Q281" s="6" t="str">
        <f>IF(VLOOKUP(E281,Sheet2!$W$4:$Z$49,4,0)=0,"",VLOOKUP(E281,Sheet2!$W$4:$Z$49,4,0))</f>
        <v/>
      </c>
      <c r="R281" s="8">
        <v>24</v>
      </c>
      <c r="S281" s="14">
        <v>2</v>
      </c>
    </row>
    <row r="282" spans="1:19">
      <c r="A282" s="6">
        <f t="shared" si="19"/>
        <v>5602</v>
      </c>
      <c r="B282" s="6">
        <f t="shared" si="20"/>
        <v>56</v>
      </c>
      <c r="C282" s="6">
        <f t="shared" si="18"/>
        <v>2</v>
      </c>
      <c r="D282" s="6" t="s">
        <v>605</v>
      </c>
      <c r="E282" s="6">
        <v>112</v>
      </c>
      <c r="G282" s="6" t="s">
        <v>606</v>
      </c>
      <c r="H282" s="6">
        <f t="shared" si="21"/>
        <v>0</v>
      </c>
      <c r="I282" s="6" t="str">
        <f>IF(VLOOKUP(E282,Sheet2!$W$4:$AA$49,5,0)=0,"",VLOOKUP(E282,Sheet2!$W$4:$AA$49,5,0))</f>
        <v/>
      </c>
      <c r="J282" s="6">
        <v>0</v>
      </c>
      <c r="K282" s="6">
        <v>0</v>
      </c>
      <c r="L282" s="6">
        <f>IF(VLOOKUP(E282,Sheet2!$W$4:$X$49,2,0)=0,"",VLOOKUP(E282,Sheet2!$W$4:$X$49,2,0))</f>
        <v>1</v>
      </c>
      <c r="N282" s="6" t="str">
        <f>IF(VLOOKUP(E282,Sheet2!$W$4:$Y$49,3,0)=0,"",VLOOKUP(E282,Sheet2!$W$4:$Y$49,3,0))</f>
        <v/>
      </c>
      <c r="Q282" s="6" t="str">
        <f>IF(VLOOKUP(E282,Sheet2!$W$4:$Z$49,4,0)=0,"",VLOOKUP(E282,Sheet2!$W$4:$Z$49,4,0))</f>
        <v>[{50015,6}]</v>
      </c>
      <c r="R282" s="8">
        <v>24</v>
      </c>
      <c r="S282" s="14">
        <v>2</v>
      </c>
    </row>
    <row r="283" spans="1:19">
      <c r="A283" s="6">
        <f t="shared" si="19"/>
        <v>5603</v>
      </c>
      <c r="B283" s="6">
        <f t="shared" si="20"/>
        <v>56</v>
      </c>
      <c r="C283" s="6">
        <f t="shared" si="18"/>
        <v>3</v>
      </c>
      <c r="D283" s="6" t="s">
        <v>607</v>
      </c>
      <c r="E283" s="6">
        <v>115</v>
      </c>
      <c r="G283" s="6" t="s">
        <v>608</v>
      </c>
      <c r="H283" s="6">
        <f t="shared" si="21"/>
        <v>0</v>
      </c>
      <c r="I283" s="6" t="str">
        <f>IF(VLOOKUP(E283,Sheet2!$W$4:$AA$49,5,0)=0,"",VLOOKUP(E283,Sheet2!$W$4:$AA$49,5,0))</f>
        <v/>
      </c>
      <c r="J283" s="6">
        <v>0</v>
      </c>
      <c r="K283" s="6">
        <v>0</v>
      </c>
      <c r="L283" s="6" t="str">
        <f>IF(VLOOKUP(E283,Sheet2!$W$4:$X$49,2,0)=0,"",VLOOKUP(E283,Sheet2!$W$4:$X$49,2,0))</f>
        <v/>
      </c>
      <c r="N283" s="6" t="str">
        <f>IF(VLOOKUP(E283,Sheet2!$W$4:$Y$49,3,0)=0,"",VLOOKUP(E283,Sheet2!$W$4:$Y$49,3,0))</f>
        <v/>
      </c>
      <c r="Q283" s="6" t="str">
        <f>IF(VLOOKUP(E283,Sheet2!$W$4:$Z$49,4,0)=0,"",VLOOKUP(E283,Sheet2!$W$4:$Z$49,4,0))</f>
        <v/>
      </c>
      <c r="R283" s="8">
        <v>24</v>
      </c>
      <c r="S283" s="14">
        <v>2</v>
      </c>
    </row>
    <row r="284" spans="1:19">
      <c r="A284" s="6">
        <f t="shared" si="19"/>
        <v>5621</v>
      </c>
      <c r="B284" s="6">
        <f t="shared" si="20"/>
        <v>56</v>
      </c>
      <c r="C284" s="6">
        <f t="shared" si="18"/>
        <v>4</v>
      </c>
      <c r="D284" s="6" t="s">
        <v>609</v>
      </c>
      <c r="E284" s="6">
        <v>512</v>
      </c>
      <c r="G284" s="6" t="s">
        <v>610</v>
      </c>
      <c r="H284" s="6">
        <f t="shared" si="21"/>
        <v>2</v>
      </c>
      <c r="I284" s="6" t="str">
        <f>IF(VLOOKUP(E284,Sheet2!$W$4:$AA$49,5,0)=0,"",VLOOKUP(E284,Sheet2!$W$4:$AA$49,5,0))</f>
        <v/>
      </c>
      <c r="J284" s="6">
        <v>0</v>
      </c>
      <c r="K284" s="6">
        <v>0</v>
      </c>
      <c r="L284" s="6">
        <f>IF(VLOOKUP(E284,Sheet2!$W$4:$X$49,2,0)=0,"",VLOOKUP(E284,Sheet2!$W$4:$X$49,2,0))</f>
        <v>1</v>
      </c>
      <c r="N284" s="6" t="str">
        <f>IF(VLOOKUP(E284,Sheet2!$W$4:$Y$49,3,0)=0,"",VLOOKUP(E284,Sheet2!$W$4:$Y$49,3,0))</f>
        <v/>
      </c>
      <c r="Q284" s="6" t="str">
        <f>IF(VLOOKUP(E284,Sheet2!$W$4:$Z$49,4,0)=0,"",VLOOKUP(E284,Sheet2!$W$4:$Z$49,4,0))</f>
        <v>[{50025,6}]</v>
      </c>
      <c r="R284" s="8">
        <v>100</v>
      </c>
      <c r="S284" s="14">
        <v>2</v>
      </c>
    </row>
    <row r="285" spans="1:19">
      <c r="A285" s="6">
        <f t="shared" si="19"/>
        <v>5631</v>
      </c>
      <c r="B285" s="6">
        <f t="shared" si="20"/>
        <v>56</v>
      </c>
      <c r="C285" s="6">
        <f t="shared" si="18"/>
        <v>5</v>
      </c>
      <c r="D285" s="6" t="s">
        <v>611</v>
      </c>
      <c r="E285" s="6">
        <v>512</v>
      </c>
      <c r="G285" s="6" t="s">
        <v>612</v>
      </c>
      <c r="H285" s="6">
        <f t="shared" si="21"/>
        <v>2</v>
      </c>
      <c r="I285" s="6" t="str">
        <f>IF(VLOOKUP(E285,Sheet2!$W$4:$AA$49,5,0)=0,"",VLOOKUP(E285,Sheet2!$W$4:$AA$49,5,0))</f>
        <v/>
      </c>
      <c r="J285" s="6">
        <v>0</v>
      </c>
      <c r="K285" s="6">
        <v>0</v>
      </c>
      <c r="L285" s="6">
        <f>IF(VLOOKUP(E285,Sheet2!$W$4:$X$49,2,0)=0,"",VLOOKUP(E285,Sheet2!$W$4:$X$49,2,0))</f>
        <v>1</v>
      </c>
      <c r="N285" s="6" t="str">
        <f>IF(VLOOKUP(E285,Sheet2!$W$4:$Y$49,3,0)=0,"",VLOOKUP(E285,Sheet2!$W$4:$Y$49,3,0))</f>
        <v/>
      </c>
      <c r="Q285" s="6" t="str">
        <f>IF(VLOOKUP(E285,Sheet2!$W$4:$Z$49,4,0)=0,"",VLOOKUP(E285,Sheet2!$W$4:$Z$49,4,0))</f>
        <v>[{50025,6}]</v>
      </c>
      <c r="R285" s="8">
        <v>100</v>
      </c>
      <c r="S285" s="14">
        <v>2</v>
      </c>
    </row>
    <row r="286" spans="1:19">
      <c r="A286" s="6">
        <f t="shared" si="19"/>
        <v>5701</v>
      </c>
      <c r="B286" s="6">
        <f t="shared" si="20"/>
        <v>57</v>
      </c>
      <c r="C286" s="6">
        <f t="shared" si="18"/>
        <v>1</v>
      </c>
      <c r="D286" s="6" t="s">
        <v>613</v>
      </c>
      <c r="E286" s="6">
        <v>101</v>
      </c>
      <c r="G286" s="6" t="s">
        <v>614</v>
      </c>
      <c r="H286" s="6">
        <f t="shared" si="21"/>
        <v>0</v>
      </c>
      <c r="I286" s="6" t="str">
        <f>IF(VLOOKUP(E286,Sheet2!$W$4:$AA$49,5,0)=0,"",VLOOKUP(E286,Sheet2!$W$4:$AA$49,5,0))</f>
        <v/>
      </c>
      <c r="J286" s="6">
        <v>0</v>
      </c>
      <c r="K286" s="6">
        <v>0</v>
      </c>
      <c r="L286" s="6" t="str">
        <f>IF(VLOOKUP(E286,Sheet2!$W$4:$X$49,2,0)=0,"",VLOOKUP(E286,Sheet2!$W$4:$X$49,2,0))</f>
        <v/>
      </c>
      <c r="N286" s="6" t="str">
        <f>IF(VLOOKUP(E286,Sheet2!$W$4:$Y$49,3,0)=0,"",VLOOKUP(E286,Sheet2!$W$4:$Y$49,3,0))</f>
        <v/>
      </c>
      <c r="Q286" s="6" t="str">
        <f>IF(VLOOKUP(E286,Sheet2!$W$4:$Z$49,4,0)=0,"",VLOOKUP(E286,Sheet2!$W$4:$Z$49,4,0))</f>
        <v/>
      </c>
      <c r="R286" s="8">
        <v>24</v>
      </c>
      <c r="S286" s="14">
        <v>2</v>
      </c>
    </row>
    <row r="287" spans="1:19">
      <c r="A287" s="6">
        <f t="shared" si="19"/>
        <v>5702</v>
      </c>
      <c r="B287" s="6">
        <f t="shared" si="20"/>
        <v>57</v>
      </c>
      <c r="C287" s="6">
        <f t="shared" si="18"/>
        <v>2</v>
      </c>
      <c r="D287" s="6" t="s">
        <v>615</v>
      </c>
      <c r="E287" s="6">
        <v>104</v>
      </c>
      <c r="G287" s="6" t="s">
        <v>616</v>
      </c>
      <c r="H287" s="6">
        <f t="shared" si="21"/>
        <v>0</v>
      </c>
      <c r="I287" s="6" t="str">
        <f>IF(VLOOKUP(E287,Sheet2!$W$4:$AA$49,5,0)=0,"",VLOOKUP(E287,Sheet2!$W$4:$AA$49,5,0))</f>
        <v/>
      </c>
      <c r="J287" s="6">
        <v>0</v>
      </c>
      <c r="K287" s="6">
        <v>0</v>
      </c>
      <c r="L287" s="6" t="str">
        <f>IF(VLOOKUP(E287,Sheet2!$W$4:$X$49,2,0)=0,"",VLOOKUP(E287,Sheet2!$W$4:$X$49,2,0))</f>
        <v/>
      </c>
      <c r="N287" s="6" t="str">
        <f>IF(VLOOKUP(E287,Sheet2!$W$4:$Y$49,3,0)=0,"",VLOOKUP(E287,Sheet2!$W$4:$Y$49,3,0))</f>
        <v/>
      </c>
      <c r="Q287" s="6" t="str">
        <f>IF(VLOOKUP(E287,Sheet2!$W$4:$Z$49,4,0)=0,"",VLOOKUP(E287,Sheet2!$W$4:$Z$49,4,0))</f>
        <v/>
      </c>
      <c r="R287" s="8">
        <v>24</v>
      </c>
      <c r="S287" s="14">
        <v>2</v>
      </c>
    </row>
    <row r="288" spans="1:19">
      <c r="A288" s="6">
        <f t="shared" si="19"/>
        <v>5703</v>
      </c>
      <c r="B288" s="6">
        <f t="shared" si="20"/>
        <v>57</v>
      </c>
      <c r="C288" s="6">
        <f t="shared" si="18"/>
        <v>3</v>
      </c>
      <c r="D288" s="6" t="s">
        <v>617</v>
      </c>
      <c r="E288" s="6">
        <v>102</v>
      </c>
      <c r="G288" s="6" t="s">
        <v>618</v>
      </c>
      <c r="H288" s="6">
        <f t="shared" si="21"/>
        <v>0</v>
      </c>
      <c r="I288" s="6" t="str">
        <f>IF(VLOOKUP(E288,Sheet2!$W$4:$AA$49,5,0)=0,"",VLOOKUP(E288,Sheet2!$W$4:$AA$49,5,0))</f>
        <v/>
      </c>
      <c r="J288" s="6">
        <v>0</v>
      </c>
      <c r="K288" s="6">
        <v>0</v>
      </c>
      <c r="L288" s="6">
        <f>IF(VLOOKUP(E288,Sheet2!$W$4:$X$49,2,0)=0,"",VLOOKUP(E288,Sheet2!$W$4:$X$49,2,0))</f>
        <v>1</v>
      </c>
      <c r="N288" s="6" t="str">
        <f>IF(VLOOKUP(E288,Sheet2!$W$4:$Y$49,3,0)=0,"",VLOOKUP(E288,Sheet2!$W$4:$Y$49,3,0))</f>
        <v/>
      </c>
      <c r="Q288" s="6" t="str">
        <f>IF(VLOOKUP(E288,Sheet2!$W$4:$Z$49,4,0)=0,"",VLOOKUP(E288,Sheet2!$W$4:$Z$49,4,0))</f>
        <v>[{50011,6}]</v>
      </c>
      <c r="R288" s="8">
        <v>24</v>
      </c>
      <c r="S288" s="14">
        <v>2</v>
      </c>
    </row>
    <row r="289" spans="1:19">
      <c r="A289" s="6">
        <f t="shared" si="19"/>
        <v>5721</v>
      </c>
      <c r="B289" s="6">
        <f t="shared" si="20"/>
        <v>57</v>
      </c>
      <c r="C289" s="6">
        <f t="shared" si="18"/>
        <v>4</v>
      </c>
      <c r="D289" s="6" t="s">
        <v>619</v>
      </c>
      <c r="E289" s="6">
        <v>501</v>
      </c>
      <c r="G289" s="6" t="s">
        <v>620</v>
      </c>
      <c r="H289" s="6">
        <f t="shared" si="21"/>
        <v>2</v>
      </c>
      <c r="I289" s="6" t="str">
        <f>IF(VLOOKUP(E289,Sheet2!$W$4:$AA$49,5,0)=0,"",VLOOKUP(E289,Sheet2!$W$4:$AA$49,5,0))</f>
        <v/>
      </c>
      <c r="J289" s="6">
        <v>0</v>
      </c>
      <c r="K289" s="6">
        <v>0</v>
      </c>
      <c r="L289" s="6" t="str">
        <f>IF(VLOOKUP(E289,Sheet2!$W$4:$X$49,2,0)=0,"",VLOOKUP(E289,Sheet2!$W$4:$X$49,2,0))</f>
        <v/>
      </c>
      <c r="N289" s="6" t="str">
        <f>IF(VLOOKUP(E289,Sheet2!$W$4:$Y$49,3,0)=0,"",VLOOKUP(E289,Sheet2!$W$4:$Y$49,3,0))</f>
        <v/>
      </c>
      <c r="Q289" s="6" t="str">
        <f>IF(VLOOKUP(E289,Sheet2!$W$4:$Z$49,4,0)=0,"",VLOOKUP(E289,Sheet2!$W$4:$Z$49,4,0))</f>
        <v/>
      </c>
      <c r="R289" s="8">
        <v>100</v>
      </c>
      <c r="S289" s="14">
        <v>2</v>
      </c>
    </row>
    <row r="290" spans="1:19">
      <c r="A290" s="6">
        <f t="shared" si="19"/>
        <v>5731</v>
      </c>
      <c r="B290" s="6">
        <f t="shared" si="20"/>
        <v>57</v>
      </c>
      <c r="C290" s="6">
        <f t="shared" si="18"/>
        <v>5</v>
      </c>
      <c r="D290" s="6" t="s">
        <v>621</v>
      </c>
      <c r="E290" s="6">
        <v>501</v>
      </c>
      <c r="G290" s="6" t="s">
        <v>622</v>
      </c>
      <c r="H290" s="6">
        <f t="shared" si="21"/>
        <v>2</v>
      </c>
      <c r="I290" s="6" t="str">
        <f>IF(VLOOKUP(E290,Sheet2!$W$4:$AA$49,5,0)=0,"",VLOOKUP(E290,Sheet2!$W$4:$AA$49,5,0))</f>
        <v/>
      </c>
      <c r="J290" s="6">
        <v>0</v>
      </c>
      <c r="K290" s="6">
        <v>0</v>
      </c>
      <c r="L290" s="6" t="str">
        <f>IF(VLOOKUP(E290,Sheet2!$W$4:$X$49,2,0)=0,"",VLOOKUP(E290,Sheet2!$W$4:$X$49,2,0))</f>
        <v/>
      </c>
      <c r="N290" s="6" t="str">
        <f>IF(VLOOKUP(E290,Sheet2!$W$4:$Y$49,3,0)=0,"",VLOOKUP(E290,Sheet2!$W$4:$Y$49,3,0))</f>
        <v/>
      </c>
      <c r="Q290" s="6" t="str">
        <f>IF(VLOOKUP(E290,Sheet2!$W$4:$Z$49,4,0)=0,"",VLOOKUP(E290,Sheet2!$W$4:$Z$49,4,0))</f>
        <v/>
      </c>
      <c r="R290" s="8">
        <v>100</v>
      </c>
      <c r="S290" s="14">
        <v>2</v>
      </c>
    </row>
    <row r="291" spans="1:19">
      <c r="A291" s="6">
        <f t="shared" si="19"/>
        <v>5801</v>
      </c>
      <c r="B291" s="6">
        <f t="shared" si="20"/>
        <v>58</v>
      </c>
      <c r="C291" s="6">
        <f t="shared" si="18"/>
        <v>1</v>
      </c>
      <c r="D291" s="6" t="s">
        <v>623</v>
      </c>
      <c r="E291" s="6">
        <v>101</v>
      </c>
      <c r="G291" s="6" t="s">
        <v>624</v>
      </c>
      <c r="H291" s="6">
        <f t="shared" si="21"/>
        <v>0</v>
      </c>
      <c r="I291" s="6" t="str">
        <f>IF(VLOOKUP(E291,Sheet2!$W$4:$AA$49,5,0)=0,"",VLOOKUP(E291,Sheet2!$W$4:$AA$49,5,0))</f>
        <v/>
      </c>
      <c r="J291" s="6">
        <v>0</v>
      </c>
      <c r="K291" s="6">
        <v>0</v>
      </c>
      <c r="L291" s="6" t="str">
        <f>IF(VLOOKUP(E291,Sheet2!$W$4:$X$49,2,0)=0,"",VLOOKUP(E291,Sheet2!$W$4:$X$49,2,0))</f>
        <v/>
      </c>
      <c r="N291" s="6" t="str">
        <f>IF(VLOOKUP(E291,Sheet2!$W$4:$Y$49,3,0)=0,"",VLOOKUP(E291,Sheet2!$W$4:$Y$49,3,0))</f>
        <v/>
      </c>
      <c r="Q291" s="6" t="str">
        <f>IF(VLOOKUP(E291,Sheet2!$W$4:$Z$49,4,0)=0,"",VLOOKUP(E291,Sheet2!$W$4:$Z$49,4,0))</f>
        <v/>
      </c>
      <c r="R291" s="8">
        <v>24</v>
      </c>
      <c r="S291" s="14">
        <v>2</v>
      </c>
    </row>
    <row r="292" spans="1:19">
      <c r="A292" s="6">
        <f t="shared" si="19"/>
        <v>5802</v>
      </c>
      <c r="B292" s="6">
        <f t="shared" si="20"/>
        <v>58</v>
      </c>
      <c r="C292" s="6">
        <f t="shared" si="18"/>
        <v>2</v>
      </c>
      <c r="D292" s="6" t="s">
        <v>625</v>
      </c>
      <c r="E292" s="6">
        <v>104</v>
      </c>
      <c r="G292" s="6" t="s">
        <v>626</v>
      </c>
      <c r="H292" s="6">
        <f t="shared" si="21"/>
        <v>0</v>
      </c>
      <c r="I292" s="6" t="str">
        <f>IF(VLOOKUP(E292,Sheet2!$W$4:$AA$49,5,0)=0,"",VLOOKUP(E292,Sheet2!$W$4:$AA$49,5,0))</f>
        <v/>
      </c>
      <c r="J292" s="6">
        <v>0</v>
      </c>
      <c r="K292" s="6">
        <v>0</v>
      </c>
      <c r="L292" s="6" t="str">
        <f>IF(VLOOKUP(E292,Sheet2!$W$4:$X$49,2,0)=0,"",VLOOKUP(E292,Sheet2!$W$4:$X$49,2,0))</f>
        <v/>
      </c>
      <c r="N292" s="6" t="str">
        <f>IF(VLOOKUP(E292,Sheet2!$W$4:$Y$49,3,0)=0,"",VLOOKUP(E292,Sheet2!$W$4:$Y$49,3,0))</f>
        <v/>
      </c>
      <c r="Q292" s="6" t="str">
        <f>IF(VLOOKUP(E292,Sheet2!$W$4:$Z$49,4,0)=0,"",VLOOKUP(E292,Sheet2!$W$4:$Z$49,4,0))</f>
        <v/>
      </c>
      <c r="R292" s="8">
        <v>24</v>
      </c>
      <c r="S292" s="14">
        <v>2</v>
      </c>
    </row>
    <row r="293" spans="1:19">
      <c r="A293" s="6">
        <f t="shared" si="19"/>
        <v>5803</v>
      </c>
      <c r="B293" s="6">
        <f t="shared" si="20"/>
        <v>58</v>
      </c>
      <c r="C293" s="6">
        <f t="shared" si="18"/>
        <v>3</v>
      </c>
      <c r="D293" s="6" t="s">
        <v>627</v>
      </c>
      <c r="E293" s="6">
        <v>102</v>
      </c>
      <c r="G293" s="6" t="s">
        <v>628</v>
      </c>
      <c r="H293" s="6">
        <f t="shared" si="21"/>
        <v>0</v>
      </c>
      <c r="I293" s="6" t="str">
        <f>IF(VLOOKUP(E293,Sheet2!$W$4:$AA$49,5,0)=0,"",VLOOKUP(E293,Sheet2!$W$4:$AA$49,5,0))</f>
        <v/>
      </c>
      <c r="J293" s="6">
        <v>0</v>
      </c>
      <c r="K293" s="6">
        <v>0</v>
      </c>
      <c r="L293" s="6">
        <f>IF(VLOOKUP(E293,Sheet2!$W$4:$X$49,2,0)=0,"",VLOOKUP(E293,Sheet2!$W$4:$X$49,2,0))</f>
        <v>1</v>
      </c>
      <c r="N293" s="6" t="str">
        <f>IF(VLOOKUP(E293,Sheet2!$W$4:$Y$49,3,0)=0,"",VLOOKUP(E293,Sheet2!$W$4:$Y$49,3,0))</f>
        <v/>
      </c>
      <c r="Q293" s="6" t="str">
        <f>IF(VLOOKUP(E293,Sheet2!$W$4:$Z$49,4,0)=0,"",VLOOKUP(E293,Sheet2!$W$4:$Z$49,4,0))</f>
        <v>[{50011,6}]</v>
      </c>
      <c r="R293" s="8">
        <v>24</v>
      </c>
      <c r="S293" s="14">
        <v>2</v>
      </c>
    </row>
    <row r="294" spans="1:19">
      <c r="A294" s="6">
        <f t="shared" si="19"/>
        <v>5821</v>
      </c>
      <c r="B294" s="6">
        <f t="shared" si="20"/>
        <v>58</v>
      </c>
      <c r="C294" s="6">
        <f t="shared" si="18"/>
        <v>4</v>
      </c>
      <c r="D294" s="6" t="s">
        <v>629</v>
      </c>
      <c r="E294" s="6">
        <v>502</v>
      </c>
      <c r="G294" s="6" t="s">
        <v>630</v>
      </c>
      <c r="H294" s="6">
        <f t="shared" si="21"/>
        <v>2</v>
      </c>
      <c r="I294" s="6" t="str">
        <f>IF(VLOOKUP(E294,Sheet2!$W$4:$AA$49,5,0)=0,"",VLOOKUP(E294,Sheet2!$W$4:$AA$49,5,0))</f>
        <v/>
      </c>
      <c r="J294" s="6">
        <v>0</v>
      </c>
      <c r="K294" s="6">
        <v>0</v>
      </c>
      <c r="L294" s="6">
        <f>IF(VLOOKUP(E294,Sheet2!$W$4:$X$49,2,0)=0,"",VLOOKUP(E294,Sheet2!$W$4:$X$49,2,0))</f>
        <v>1</v>
      </c>
      <c r="N294" s="6" t="str">
        <f>IF(VLOOKUP(E294,Sheet2!$W$4:$Y$49,3,0)=0,"",VLOOKUP(E294,Sheet2!$W$4:$Y$49,3,0))</f>
        <v/>
      </c>
      <c r="Q294" s="6" t="str">
        <f>IF(VLOOKUP(E294,Sheet2!$W$4:$Z$49,4,0)=0,"",VLOOKUP(E294,Sheet2!$W$4:$Z$49,4,0))</f>
        <v>[{50021,6}]</v>
      </c>
      <c r="R294" s="8">
        <v>100</v>
      </c>
      <c r="S294" s="14">
        <v>2</v>
      </c>
    </row>
    <row r="295" spans="1:19">
      <c r="A295" s="6">
        <f t="shared" si="19"/>
        <v>5831</v>
      </c>
      <c r="B295" s="6">
        <f t="shared" si="20"/>
        <v>58</v>
      </c>
      <c r="C295" s="6">
        <f t="shared" si="18"/>
        <v>5</v>
      </c>
      <c r="D295" s="6" t="s">
        <v>631</v>
      </c>
      <c r="E295" s="6">
        <v>502</v>
      </c>
      <c r="G295" s="6" t="s">
        <v>632</v>
      </c>
      <c r="H295" s="6">
        <f t="shared" si="21"/>
        <v>2</v>
      </c>
      <c r="I295" s="6" t="str">
        <f>IF(VLOOKUP(E295,Sheet2!$W$4:$AA$49,5,0)=0,"",VLOOKUP(E295,Sheet2!$W$4:$AA$49,5,0))</f>
        <v/>
      </c>
      <c r="J295" s="6">
        <v>0</v>
      </c>
      <c r="K295" s="6">
        <v>0</v>
      </c>
      <c r="L295" s="6">
        <f>IF(VLOOKUP(E295,Sheet2!$W$4:$X$49,2,0)=0,"",VLOOKUP(E295,Sheet2!$W$4:$X$49,2,0))</f>
        <v>1</v>
      </c>
      <c r="N295" s="6" t="str">
        <f>IF(VLOOKUP(E295,Sheet2!$W$4:$Y$49,3,0)=0,"",VLOOKUP(E295,Sheet2!$W$4:$Y$49,3,0))</f>
        <v/>
      </c>
      <c r="Q295" s="6" t="str">
        <f>IF(VLOOKUP(E295,Sheet2!$W$4:$Z$49,4,0)=0,"",VLOOKUP(E295,Sheet2!$W$4:$Z$49,4,0))</f>
        <v>[{50021,6}]</v>
      </c>
      <c r="R295" s="8">
        <v>100</v>
      </c>
      <c r="S295" s="14">
        <v>2</v>
      </c>
    </row>
    <row r="296" spans="1:19">
      <c r="A296" s="6">
        <f t="shared" si="19"/>
        <v>5901</v>
      </c>
      <c r="B296" s="6">
        <f t="shared" si="20"/>
        <v>59</v>
      </c>
      <c r="C296" s="6">
        <f t="shared" si="18"/>
        <v>1</v>
      </c>
      <c r="D296" s="6" t="s">
        <v>633</v>
      </c>
      <c r="E296" s="6">
        <v>103</v>
      </c>
      <c r="G296" s="6" t="s">
        <v>634</v>
      </c>
      <c r="H296" s="6">
        <f t="shared" si="21"/>
        <v>0</v>
      </c>
      <c r="I296" s="6" t="str">
        <f>IF(VLOOKUP(E296,Sheet2!$W$4:$AA$49,5,0)=0,"",VLOOKUP(E296,Sheet2!$W$4:$AA$49,5,0))</f>
        <v>[60001]</v>
      </c>
      <c r="J296" s="6">
        <v>0</v>
      </c>
      <c r="K296" s="6">
        <v>0</v>
      </c>
      <c r="L296" s="6" t="str">
        <f>IF(VLOOKUP(E296,Sheet2!$W$4:$X$49,2,0)=0,"",VLOOKUP(E296,Sheet2!$W$4:$X$49,2,0))</f>
        <v/>
      </c>
      <c r="N296" s="6" t="str">
        <f>IF(VLOOKUP(E296,Sheet2!$W$4:$Y$49,3,0)=0,"",VLOOKUP(E296,Sheet2!$W$4:$Y$49,3,0))</f>
        <v/>
      </c>
      <c r="Q296" s="6" t="str">
        <f>IF(VLOOKUP(E296,Sheet2!$W$4:$Z$49,4,0)=0,"",VLOOKUP(E296,Sheet2!$W$4:$Z$49,4,0))</f>
        <v/>
      </c>
      <c r="R296" s="8">
        <v>24</v>
      </c>
      <c r="S296" s="14">
        <v>2</v>
      </c>
    </row>
    <row r="297" spans="1:19">
      <c r="A297" s="6">
        <f t="shared" si="19"/>
        <v>5902</v>
      </c>
      <c r="B297" s="6">
        <f t="shared" si="20"/>
        <v>59</v>
      </c>
      <c r="C297" s="6">
        <f t="shared" si="18"/>
        <v>2</v>
      </c>
      <c r="D297" s="6" t="s">
        <v>635</v>
      </c>
      <c r="E297" s="6">
        <v>104</v>
      </c>
      <c r="G297" s="6" t="s">
        <v>636</v>
      </c>
      <c r="H297" s="6">
        <f t="shared" si="21"/>
        <v>0</v>
      </c>
      <c r="I297" s="6" t="str">
        <f>IF(VLOOKUP(E297,Sheet2!$W$4:$AA$49,5,0)=0,"",VLOOKUP(E297,Sheet2!$W$4:$AA$49,5,0))</f>
        <v/>
      </c>
      <c r="J297" s="6">
        <v>0</v>
      </c>
      <c r="K297" s="6">
        <v>0</v>
      </c>
      <c r="L297" s="6" t="str">
        <f>IF(VLOOKUP(E297,Sheet2!$W$4:$X$49,2,0)=0,"",VLOOKUP(E297,Sheet2!$W$4:$X$49,2,0))</f>
        <v/>
      </c>
      <c r="N297" s="6" t="str">
        <f>IF(VLOOKUP(E297,Sheet2!$W$4:$Y$49,3,0)=0,"",VLOOKUP(E297,Sheet2!$W$4:$Y$49,3,0))</f>
        <v/>
      </c>
      <c r="Q297" s="6" t="str">
        <f>IF(VLOOKUP(E297,Sheet2!$W$4:$Z$49,4,0)=0,"",VLOOKUP(E297,Sheet2!$W$4:$Z$49,4,0))</f>
        <v/>
      </c>
      <c r="R297" s="8">
        <v>24</v>
      </c>
      <c r="S297" s="14">
        <v>2</v>
      </c>
    </row>
    <row r="298" spans="1:19">
      <c r="A298" s="6">
        <f t="shared" si="19"/>
        <v>5903</v>
      </c>
      <c r="B298" s="6">
        <f t="shared" si="20"/>
        <v>59</v>
      </c>
      <c r="C298" s="6">
        <f t="shared" si="18"/>
        <v>3</v>
      </c>
      <c r="D298" s="6" t="s">
        <v>637</v>
      </c>
      <c r="E298" s="6">
        <v>104</v>
      </c>
      <c r="G298" s="6" t="s">
        <v>638</v>
      </c>
      <c r="H298" s="6">
        <f t="shared" si="21"/>
        <v>0</v>
      </c>
      <c r="I298" s="6" t="str">
        <f>IF(VLOOKUP(E298,Sheet2!$W$4:$AA$49,5,0)=0,"",VLOOKUP(E298,Sheet2!$W$4:$AA$49,5,0))</f>
        <v/>
      </c>
      <c r="J298" s="6">
        <v>0</v>
      </c>
      <c r="K298" s="6">
        <v>0</v>
      </c>
      <c r="L298" s="6" t="str">
        <f>IF(VLOOKUP(E298,Sheet2!$W$4:$X$49,2,0)=0,"",VLOOKUP(E298,Sheet2!$W$4:$X$49,2,0))</f>
        <v/>
      </c>
      <c r="N298" s="6" t="str">
        <f>IF(VLOOKUP(E298,Sheet2!$W$4:$Y$49,3,0)=0,"",VLOOKUP(E298,Sheet2!$W$4:$Y$49,3,0))</f>
        <v/>
      </c>
      <c r="Q298" s="6" t="str">
        <f>IF(VLOOKUP(E298,Sheet2!$W$4:$Z$49,4,0)=0,"",VLOOKUP(E298,Sheet2!$W$4:$Z$49,4,0))</f>
        <v/>
      </c>
      <c r="R298" s="8">
        <v>24</v>
      </c>
      <c r="S298" s="14">
        <v>2</v>
      </c>
    </row>
    <row r="299" spans="1:19">
      <c r="A299" s="6">
        <f t="shared" si="19"/>
        <v>5921</v>
      </c>
      <c r="B299" s="6">
        <f t="shared" si="20"/>
        <v>59</v>
      </c>
      <c r="C299" s="6">
        <f t="shared" si="18"/>
        <v>4</v>
      </c>
      <c r="D299" s="6" t="s">
        <v>639</v>
      </c>
      <c r="E299" s="6">
        <v>504</v>
      </c>
      <c r="G299" s="6" t="s">
        <v>640</v>
      </c>
      <c r="H299" s="6">
        <f t="shared" si="21"/>
        <v>2</v>
      </c>
      <c r="I299" s="6" t="str">
        <f>IF(VLOOKUP(E299,Sheet2!$W$4:$AA$49,5,0)=0,"",VLOOKUP(E299,Sheet2!$W$4:$AA$49,5,0))</f>
        <v/>
      </c>
      <c r="J299" s="6">
        <v>0</v>
      </c>
      <c r="K299" s="6">
        <v>0</v>
      </c>
      <c r="L299" s="6" t="str">
        <f>IF(VLOOKUP(E299,Sheet2!$W$4:$X$49,2,0)=0,"",VLOOKUP(E299,Sheet2!$W$4:$X$49,2,0))</f>
        <v/>
      </c>
      <c r="N299" s="6" t="str">
        <f>IF(VLOOKUP(E299,Sheet2!$W$4:$Y$49,3,0)=0,"",VLOOKUP(E299,Sheet2!$W$4:$Y$49,3,0))</f>
        <v/>
      </c>
      <c r="Q299" s="6" t="str">
        <f>IF(VLOOKUP(E299,Sheet2!$W$4:$Z$49,4,0)=0,"",VLOOKUP(E299,Sheet2!$W$4:$Z$49,4,0))</f>
        <v/>
      </c>
      <c r="R299" s="8">
        <v>100</v>
      </c>
      <c r="S299" s="14">
        <v>2</v>
      </c>
    </row>
    <row r="300" spans="1:19">
      <c r="A300" s="6">
        <f t="shared" si="19"/>
        <v>5931</v>
      </c>
      <c r="B300" s="6">
        <f t="shared" si="20"/>
        <v>59</v>
      </c>
      <c r="C300" s="6">
        <f t="shared" si="18"/>
        <v>5</v>
      </c>
      <c r="D300" s="6" t="s">
        <v>641</v>
      </c>
      <c r="E300" s="6">
        <v>504</v>
      </c>
      <c r="G300" s="6" t="s">
        <v>642</v>
      </c>
      <c r="H300" s="6">
        <f t="shared" si="21"/>
        <v>2</v>
      </c>
      <c r="I300" s="6" t="str">
        <f>IF(VLOOKUP(E300,Sheet2!$W$4:$AA$49,5,0)=0,"",VLOOKUP(E300,Sheet2!$W$4:$AA$49,5,0))</f>
        <v/>
      </c>
      <c r="J300" s="6">
        <v>0</v>
      </c>
      <c r="K300" s="6">
        <v>0</v>
      </c>
      <c r="L300" s="6" t="str">
        <f>IF(VLOOKUP(E300,Sheet2!$W$4:$X$49,2,0)=0,"",VLOOKUP(E300,Sheet2!$W$4:$X$49,2,0))</f>
        <v/>
      </c>
      <c r="N300" s="6" t="str">
        <f>IF(VLOOKUP(E300,Sheet2!$W$4:$Y$49,3,0)=0,"",VLOOKUP(E300,Sheet2!$W$4:$Y$49,3,0))</f>
        <v/>
      </c>
      <c r="Q300" s="6" t="str">
        <f>IF(VLOOKUP(E300,Sheet2!$W$4:$Z$49,4,0)=0,"",VLOOKUP(E300,Sheet2!$W$4:$Z$49,4,0))</f>
        <v/>
      </c>
      <c r="R300" s="8">
        <v>100</v>
      </c>
      <c r="S300" s="14">
        <v>2</v>
      </c>
    </row>
    <row r="301" spans="1:19">
      <c r="A301" s="6">
        <f t="shared" si="19"/>
        <v>6001</v>
      </c>
      <c r="B301" s="6">
        <f t="shared" si="20"/>
        <v>60</v>
      </c>
      <c r="C301" s="6">
        <f t="shared" si="18"/>
        <v>1</v>
      </c>
      <c r="D301" s="6" t="s">
        <v>643</v>
      </c>
      <c r="E301" s="6">
        <v>100</v>
      </c>
      <c r="G301" s="6" t="s">
        <v>644</v>
      </c>
      <c r="H301" s="6">
        <f t="shared" si="21"/>
        <v>0</v>
      </c>
      <c r="I301" s="6" t="str">
        <f>IF(VLOOKUP(E301,Sheet2!$W$4:$AA$49,5,0)=0,"",VLOOKUP(E301,Sheet2!$W$4:$AA$49,5,0))</f>
        <v>[60002]</v>
      </c>
      <c r="J301" s="6">
        <v>0</v>
      </c>
      <c r="K301" s="6">
        <v>0</v>
      </c>
      <c r="L301" s="6" t="str">
        <f>IF(VLOOKUP(E301,Sheet2!$W$4:$X$49,2,0)=0,"",VLOOKUP(E301,Sheet2!$W$4:$X$49,2,0))</f>
        <v/>
      </c>
      <c r="N301" s="6">
        <f>IF(VLOOKUP(E301,Sheet2!$W$4:$Y$49,3,0)=0,"",VLOOKUP(E301,Sheet2!$W$4:$Y$49,3,0))</f>
        <v>2001</v>
      </c>
      <c r="Q301" s="6" t="str">
        <f>IF(VLOOKUP(E301,Sheet2!$W$4:$Z$49,4,0)=0,"",VLOOKUP(E301,Sheet2!$W$4:$Z$49,4,0))</f>
        <v/>
      </c>
      <c r="R301" s="8">
        <v>24</v>
      </c>
      <c r="S301" s="14">
        <v>2</v>
      </c>
    </row>
    <row r="302" spans="1:19">
      <c r="A302" s="6">
        <f t="shared" si="19"/>
        <v>6002</v>
      </c>
      <c r="B302" s="6">
        <f t="shared" si="20"/>
        <v>60</v>
      </c>
      <c r="C302" s="6">
        <f t="shared" si="18"/>
        <v>2</v>
      </c>
      <c r="D302" s="6" t="s">
        <v>645</v>
      </c>
      <c r="E302" s="6">
        <v>102</v>
      </c>
      <c r="G302" s="6" t="s">
        <v>646</v>
      </c>
      <c r="H302" s="6">
        <f t="shared" si="21"/>
        <v>0</v>
      </c>
      <c r="I302" s="6" t="str">
        <f>IF(VLOOKUP(E302,Sheet2!$W$4:$AA$49,5,0)=0,"",VLOOKUP(E302,Sheet2!$W$4:$AA$49,5,0))</f>
        <v/>
      </c>
      <c r="J302" s="6">
        <v>0</v>
      </c>
      <c r="K302" s="6">
        <v>0</v>
      </c>
      <c r="L302" s="6">
        <f>IF(VLOOKUP(E302,Sheet2!$W$4:$X$49,2,0)=0,"",VLOOKUP(E302,Sheet2!$W$4:$X$49,2,0))</f>
        <v>1</v>
      </c>
      <c r="N302" s="6" t="str">
        <f>IF(VLOOKUP(E302,Sheet2!$W$4:$Y$49,3,0)=0,"",VLOOKUP(E302,Sheet2!$W$4:$Y$49,3,0))</f>
        <v/>
      </c>
      <c r="Q302" s="6" t="str">
        <f>IF(VLOOKUP(E302,Sheet2!$W$4:$Z$49,4,0)=0,"",VLOOKUP(E302,Sheet2!$W$4:$Z$49,4,0))</f>
        <v>[{50011,6}]</v>
      </c>
      <c r="R302" s="8">
        <v>24</v>
      </c>
      <c r="S302" s="14">
        <v>2</v>
      </c>
    </row>
    <row r="303" spans="1:19">
      <c r="A303" s="6">
        <f t="shared" si="19"/>
        <v>6003</v>
      </c>
      <c r="B303" s="6">
        <f t="shared" si="20"/>
        <v>60</v>
      </c>
      <c r="C303" s="6">
        <f t="shared" si="18"/>
        <v>3</v>
      </c>
      <c r="D303" s="6" t="s">
        <v>647</v>
      </c>
      <c r="E303" s="6">
        <v>105</v>
      </c>
      <c r="G303" s="6" t="s">
        <v>648</v>
      </c>
      <c r="H303" s="6">
        <f t="shared" si="21"/>
        <v>0</v>
      </c>
      <c r="I303" s="6" t="str">
        <f>IF(VLOOKUP(E303,Sheet2!$W$4:$AA$49,5,0)=0,"",VLOOKUP(E303,Sheet2!$W$4:$AA$49,5,0))</f>
        <v>[60003]</v>
      </c>
      <c r="J303" s="6">
        <v>0</v>
      </c>
      <c r="K303" s="6">
        <v>0</v>
      </c>
      <c r="L303" s="6" t="str">
        <f>IF(VLOOKUP(E303,Sheet2!$W$4:$X$49,2,0)=0,"",VLOOKUP(E303,Sheet2!$W$4:$X$49,2,0))</f>
        <v/>
      </c>
      <c r="N303" s="6" t="str">
        <f>IF(VLOOKUP(E303,Sheet2!$W$4:$Y$49,3,0)=0,"",VLOOKUP(E303,Sheet2!$W$4:$Y$49,3,0))</f>
        <v/>
      </c>
      <c r="Q303" s="6" t="str">
        <f>IF(VLOOKUP(E303,Sheet2!$W$4:$Z$49,4,0)=0,"",VLOOKUP(E303,Sheet2!$W$4:$Z$49,4,0))</f>
        <v/>
      </c>
      <c r="R303" s="8">
        <v>24</v>
      </c>
      <c r="S303" s="14">
        <v>2</v>
      </c>
    </row>
    <row r="304" spans="1:19">
      <c r="A304" s="6">
        <f t="shared" si="19"/>
        <v>6021</v>
      </c>
      <c r="B304" s="6">
        <f t="shared" si="20"/>
        <v>60</v>
      </c>
      <c r="C304" s="6">
        <f t="shared" si="18"/>
        <v>4</v>
      </c>
      <c r="D304" s="6" t="s">
        <v>649</v>
      </c>
      <c r="E304" s="6">
        <v>502</v>
      </c>
      <c r="G304" s="6" t="s">
        <v>650</v>
      </c>
      <c r="H304" s="6">
        <f t="shared" si="21"/>
        <v>2</v>
      </c>
      <c r="I304" s="6" t="str">
        <f>IF(VLOOKUP(E304,Sheet2!$W$4:$AA$49,5,0)=0,"",VLOOKUP(E304,Sheet2!$W$4:$AA$49,5,0))</f>
        <v/>
      </c>
      <c r="J304" s="6">
        <v>0</v>
      </c>
      <c r="K304" s="6">
        <v>0</v>
      </c>
      <c r="L304" s="6">
        <f>IF(VLOOKUP(E304,Sheet2!$W$4:$X$49,2,0)=0,"",VLOOKUP(E304,Sheet2!$W$4:$X$49,2,0))</f>
        <v>1</v>
      </c>
      <c r="N304" s="6" t="str">
        <f>IF(VLOOKUP(E304,Sheet2!$W$4:$Y$49,3,0)=0,"",VLOOKUP(E304,Sheet2!$W$4:$Y$49,3,0))</f>
        <v/>
      </c>
      <c r="Q304" s="6" t="str">
        <f>IF(VLOOKUP(E304,Sheet2!$W$4:$Z$49,4,0)=0,"",VLOOKUP(E304,Sheet2!$W$4:$Z$49,4,0))</f>
        <v>[{50021,6}]</v>
      </c>
      <c r="R304" s="8">
        <v>100</v>
      </c>
      <c r="S304" s="14">
        <v>2</v>
      </c>
    </row>
    <row r="305" spans="1:19">
      <c r="A305" s="6">
        <f t="shared" si="19"/>
        <v>6031</v>
      </c>
      <c r="B305" s="6">
        <f t="shared" si="20"/>
        <v>60</v>
      </c>
      <c r="C305" s="6">
        <f t="shared" si="18"/>
        <v>5</v>
      </c>
      <c r="D305" s="6" t="s">
        <v>651</v>
      </c>
      <c r="E305" s="6">
        <v>500</v>
      </c>
      <c r="G305" s="6" t="s">
        <v>652</v>
      </c>
      <c r="H305" s="6">
        <f t="shared" si="21"/>
        <v>2</v>
      </c>
      <c r="I305" s="6" t="str">
        <f>IF(VLOOKUP(E305,Sheet2!$W$4:$AA$49,5,0)=0,"",VLOOKUP(E305,Sheet2!$W$4:$AA$49,5,0))</f>
        <v>[60002]</v>
      </c>
      <c r="J305" s="6">
        <v>0</v>
      </c>
      <c r="K305" s="6">
        <v>0</v>
      </c>
      <c r="L305" s="6" t="str">
        <f>IF(VLOOKUP(E305,Sheet2!$W$4:$X$49,2,0)=0,"",VLOOKUP(E305,Sheet2!$W$4:$X$49,2,0))</f>
        <v/>
      </c>
      <c r="N305" s="6">
        <f>IF(VLOOKUP(E305,Sheet2!$W$4:$Y$49,3,0)=0,"",VLOOKUP(E305,Sheet2!$W$4:$Y$49,3,0))</f>
        <v>2001</v>
      </c>
      <c r="Q305" s="6" t="str">
        <f>IF(VLOOKUP(E305,Sheet2!$W$4:$Z$49,4,0)=0,"",VLOOKUP(E305,Sheet2!$W$4:$Z$49,4,0))</f>
        <v/>
      </c>
      <c r="R305" s="8">
        <v>100</v>
      </c>
      <c r="S305" s="14">
        <v>2</v>
      </c>
    </row>
    <row r="306" spans="1:19">
      <c r="A306" s="6">
        <f t="shared" ref="A306:A355" si="22">A301+100</f>
        <v>6101</v>
      </c>
      <c r="B306" s="6">
        <f t="shared" si="20"/>
        <v>61</v>
      </c>
      <c r="C306" s="6">
        <f t="shared" si="18"/>
        <v>1</v>
      </c>
      <c r="D306" s="6" t="s">
        <v>653</v>
      </c>
      <c r="E306" s="6">
        <v>108</v>
      </c>
      <c r="G306" s="6" t="s">
        <v>654</v>
      </c>
      <c r="H306" s="6">
        <f t="shared" ref="H306:H369" si="23">H301</f>
        <v>0</v>
      </c>
      <c r="I306" s="6" t="str">
        <f>IF(VLOOKUP(E306,Sheet2!$W$4:$AA$49,5,0)=0,"",VLOOKUP(E306,Sheet2!$W$4:$AA$49,5,0))</f>
        <v/>
      </c>
      <c r="J306" s="6">
        <v>0</v>
      </c>
      <c r="K306" s="6">
        <v>0</v>
      </c>
      <c r="L306" s="6" t="str">
        <f>IF(VLOOKUP(E306,Sheet2!$W$4:$X$49,2,0)=0,"",VLOOKUP(E306,Sheet2!$W$4:$X$49,2,0))</f>
        <v/>
      </c>
      <c r="N306" s="6" t="str">
        <f>IF(VLOOKUP(E306,Sheet2!$W$4:$Y$49,3,0)=0,"",VLOOKUP(E306,Sheet2!$W$4:$Y$49,3,0))</f>
        <v/>
      </c>
      <c r="Q306" s="6" t="str">
        <f>IF(VLOOKUP(E306,Sheet2!$W$4:$Z$49,4,0)=0,"",VLOOKUP(E306,Sheet2!$W$4:$Z$49,4,0))</f>
        <v/>
      </c>
      <c r="R306" s="8">
        <v>24</v>
      </c>
      <c r="S306" s="14">
        <v>2</v>
      </c>
    </row>
    <row r="307" spans="1:19">
      <c r="A307" s="6">
        <f t="shared" si="22"/>
        <v>6102</v>
      </c>
      <c r="B307" s="6">
        <f t="shared" si="20"/>
        <v>61</v>
      </c>
      <c r="C307" s="6">
        <f t="shared" si="18"/>
        <v>2</v>
      </c>
      <c r="D307" s="6" t="s">
        <v>655</v>
      </c>
      <c r="E307" s="6">
        <v>110</v>
      </c>
      <c r="G307" s="6" t="s">
        <v>656</v>
      </c>
      <c r="H307" s="6">
        <f t="shared" si="23"/>
        <v>0</v>
      </c>
      <c r="I307" s="6" t="str">
        <f>IF(VLOOKUP(E307,Sheet2!$W$4:$AA$49,5,0)=0,"",VLOOKUP(E307,Sheet2!$W$4:$AA$49,5,0))</f>
        <v/>
      </c>
      <c r="J307" s="6">
        <v>0</v>
      </c>
      <c r="K307" s="6">
        <v>0</v>
      </c>
      <c r="L307" s="6" t="str">
        <f>IF(VLOOKUP(E307,Sheet2!$W$4:$X$49,2,0)=0,"",VLOOKUP(E307,Sheet2!$W$4:$X$49,2,0))</f>
        <v/>
      </c>
      <c r="N307" s="6" t="str">
        <f>IF(VLOOKUP(E307,Sheet2!$W$4:$Y$49,3,0)=0,"",VLOOKUP(E307,Sheet2!$W$4:$Y$49,3,0))</f>
        <v/>
      </c>
      <c r="Q307" s="6" t="str">
        <f>IF(VLOOKUP(E307,Sheet2!$W$4:$Z$49,4,0)=0,"",VLOOKUP(E307,Sheet2!$W$4:$Z$49,4,0))</f>
        <v/>
      </c>
      <c r="R307" s="8">
        <v>24</v>
      </c>
      <c r="S307" s="14">
        <v>2</v>
      </c>
    </row>
    <row r="308" spans="1:19">
      <c r="A308" s="6">
        <f t="shared" si="22"/>
        <v>6103</v>
      </c>
      <c r="B308" s="6">
        <f t="shared" si="20"/>
        <v>61</v>
      </c>
      <c r="C308" s="6">
        <f t="shared" si="18"/>
        <v>3</v>
      </c>
      <c r="D308" s="6" t="s">
        <v>657</v>
      </c>
      <c r="E308" s="6">
        <v>114</v>
      </c>
      <c r="G308" s="6" t="s">
        <v>658</v>
      </c>
      <c r="H308" s="6">
        <f t="shared" si="23"/>
        <v>0</v>
      </c>
      <c r="I308" s="6" t="str">
        <f>IF(VLOOKUP(E308,Sheet2!$W$4:$AA$49,5,0)=0,"",VLOOKUP(E308,Sheet2!$W$4:$AA$49,5,0))</f>
        <v/>
      </c>
      <c r="J308" s="6">
        <v>0</v>
      </c>
      <c r="K308" s="6">
        <v>0</v>
      </c>
      <c r="L308" s="6" t="str">
        <f>IF(VLOOKUP(E308,Sheet2!$W$4:$X$49,2,0)=0,"",VLOOKUP(E308,Sheet2!$W$4:$X$49,2,0))</f>
        <v/>
      </c>
      <c r="N308" s="6" t="str">
        <f>IF(VLOOKUP(E308,Sheet2!$W$4:$Y$49,3,0)=0,"",VLOOKUP(E308,Sheet2!$W$4:$Y$49,3,0))</f>
        <v/>
      </c>
      <c r="Q308" s="6" t="str">
        <f>IF(VLOOKUP(E308,Sheet2!$W$4:$Z$49,4,0)=0,"",VLOOKUP(E308,Sheet2!$W$4:$Z$49,4,0))</f>
        <v/>
      </c>
      <c r="R308" s="8">
        <v>24</v>
      </c>
      <c r="S308" s="14">
        <v>2</v>
      </c>
    </row>
    <row r="309" spans="1:19">
      <c r="A309" s="6">
        <f t="shared" si="22"/>
        <v>6121</v>
      </c>
      <c r="B309" s="6">
        <f t="shared" si="20"/>
        <v>61</v>
      </c>
      <c r="C309" s="6">
        <f t="shared" ref="C309:C372" si="24">C304</f>
        <v>4</v>
      </c>
      <c r="D309" s="6" t="s">
        <v>659</v>
      </c>
      <c r="E309" s="6">
        <v>508</v>
      </c>
      <c r="G309" s="6" t="s">
        <v>660</v>
      </c>
      <c r="H309" s="6">
        <f t="shared" si="23"/>
        <v>2</v>
      </c>
      <c r="I309" s="6" t="str">
        <f>IF(VLOOKUP(E309,Sheet2!$W$4:$AA$49,5,0)=0,"",VLOOKUP(E309,Sheet2!$W$4:$AA$49,5,0))</f>
        <v/>
      </c>
      <c r="J309" s="6">
        <v>0</v>
      </c>
      <c r="K309" s="6">
        <v>0</v>
      </c>
      <c r="L309" s="6" t="str">
        <f>IF(VLOOKUP(E309,Sheet2!$W$4:$X$49,2,0)=0,"",VLOOKUP(E309,Sheet2!$W$4:$X$49,2,0))</f>
        <v/>
      </c>
      <c r="N309" s="6" t="str">
        <f>IF(VLOOKUP(E309,Sheet2!$W$4:$Y$49,3,0)=0,"",VLOOKUP(E309,Sheet2!$W$4:$Y$49,3,0))</f>
        <v/>
      </c>
      <c r="Q309" s="6" t="str">
        <f>IF(VLOOKUP(E309,Sheet2!$W$4:$Z$49,4,0)=0,"",VLOOKUP(E309,Sheet2!$W$4:$Z$49,4,0))</f>
        <v/>
      </c>
      <c r="R309" s="8">
        <v>100</v>
      </c>
      <c r="S309" s="14">
        <v>2</v>
      </c>
    </row>
    <row r="310" spans="1:19">
      <c r="A310" s="6">
        <f t="shared" si="22"/>
        <v>6131</v>
      </c>
      <c r="B310" s="6">
        <f t="shared" si="20"/>
        <v>61</v>
      </c>
      <c r="C310" s="6">
        <f t="shared" si="24"/>
        <v>5</v>
      </c>
      <c r="D310" s="6" t="s">
        <v>661</v>
      </c>
      <c r="E310" s="6">
        <v>508</v>
      </c>
      <c r="G310" s="6" t="s">
        <v>662</v>
      </c>
      <c r="H310" s="6">
        <f t="shared" si="23"/>
        <v>2</v>
      </c>
      <c r="I310" s="6" t="str">
        <f>IF(VLOOKUP(E310,Sheet2!$W$4:$AA$49,5,0)=0,"",VLOOKUP(E310,Sheet2!$W$4:$AA$49,5,0))</f>
        <v/>
      </c>
      <c r="J310" s="6">
        <v>0</v>
      </c>
      <c r="K310" s="6">
        <v>0</v>
      </c>
      <c r="L310" s="6" t="str">
        <f>IF(VLOOKUP(E310,Sheet2!$W$4:$X$49,2,0)=0,"",VLOOKUP(E310,Sheet2!$W$4:$X$49,2,0))</f>
        <v/>
      </c>
      <c r="N310" s="6" t="str">
        <f>IF(VLOOKUP(E310,Sheet2!$W$4:$Y$49,3,0)=0,"",VLOOKUP(E310,Sheet2!$W$4:$Y$49,3,0))</f>
        <v/>
      </c>
      <c r="Q310" s="6" t="str">
        <f>IF(VLOOKUP(E310,Sheet2!$W$4:$Z$49,4,0)=0,"",VLOOKUP(E310,Sheet2!$W$4:$Z$49,4,0))</f>
        <v/>
      </c>
      <c r="R310" s="8">
        <v>100</v>
      </c>
      <c r="S310" s="14">
        <v>2</v>
      </c>
    </row>
    <row r="311" spans="1:19">
      <c r="A311" s="6">
        <f t="shared" si="22"/>
        <v>6201</v>
      </c>
      <c r="B311" s="6">
        <f t="shared" si="20"/>
        <v>62</v>
      </c>
      <c r="C311" s="6">
        <f t="shared" si="24"/>
        <v>1</v>
      </c>
      <c r="D311" s="6" t="s">
        <v>663</v>
      </c>
      <c r="E311" s="6">
        <v>110</v>
      </c>
      <c r="G311" s="6" t="s">
        <v>664</v>
      </c>
      <c r="H311" s="6">
        <f t="shared" si="23"/>
        <v>0</v>
      </c>
      <c r="I311" s="6" t="str">
        <f>IF(VLOOKUP(E311,Sheet2!$W$4:$AA$49,5,0)=0,"",VLOOKUP(E311,Sheet2!$W$4:$AA$49,5,0))</f>
        <v/>
      </c>
      <c r="J311" s="6">
        <v>0</v>
      </c>
      <c r="K311" s="6">
        <v>0</v>
      </c>
      <c r="L311" s="6" t="str">
        <f>IF(VLOOKUP(E311,Sheet2!$W$4:$X$49,2,0)=0,"",VLOOKUP(E311,Sheet2!$W$4:$X$49,2,0))</f>
        <v/>
      </c>
      <c r="N311" s="6" t="str">
        <f>IF(VLOOKUP(E311,Sheet2!$W$4:$Y$49,3,0)=0,"",VLOOKUP(E311,Sheet2!$W$4:$Y$49,3,0))</f>
        <v/>
      </c>
      <c r="Q311" s="6" t="str">
        <f>IF(VLOOKUP(E311,Sheet2!$W$4:$Z$49,4,0)=0,"",VLOOKUP(E311,Sheet2!$W$4:$Z$49,4,0))</f>
        <v/>
      </c>
      <c r="R311" s="8">
        <v>24</v>
      </c>
      <c r="S311" s="14">
        <v>2</v>
      </c>
    </row>
    <row r="312" spans="1:19">
      <c r="A312" s="6">
        <f t="shared" si="22"/>
        <v>6202</v>
      </c>
      <c r="B312" s="6">
        <f t="shared" si="20"/>
        <v>62</v>
      </c>
      <c r="C312" s="6">
        <f t="shared" si="24"/>
        <v>2</v>
      </c>
      <c r="D312" s="6" t="s">
        <v>665</v>
      </c>
      <c r="E312" s="6">
        <v>114</v>
      </c>
      <c r="G312" s="6" t="s">
        <v>666</v>
      </c>
      <c r="H312" s="6">
        <f t="shared" si="23"/>
        <v>0</v>
      </c>
      <c r="I312" s="6" t="str">
        <f>IF(VLOOKUP(E312,Sheet2!$W$4:$AA$49,5,0)=0,"",VLOOKUP(E312,Sheet2!$W$4:$AA$49,5,0))</f>
        <v/>
      </c>
      <c r="J312" s="6">
        <v>0</v>
      </c>
      <c r="K312" s="6">
        <v>0</v>
      </c>
      <c r="L312" s="6" t="str">
        <f>IF(VLOOKUP(E312,Sheet2!$W$4:$X$49,2,0)=0,"",VLOOKUP(E312,Sheet2!$W$4:$X$49,2,0))</f>
        <v/>
      </c>
      <c r="N312" s="6" t="str">
        <f>IF(VLOOKUP(E312,Sheet2!$W$4:$Y$49,3,0)=0,"",VLOOKUP(E312,Sheet2!$W$4:$Y$49,3,0))</f>
        <v/>
      </c>
      <c r="Q312" s="6" t="str">
        <f>IF(VLOOKUP(E312,Sheet2!$W$4:$Z$49,4,0)=0,"",VLOOKUP(E312,Sheet2!$W$4:$Z$49,4,0))</f>
        <v/>
      </c>
      <c r="R312" s="8">
        <v>24</v>
      </c>
      <c r="S312" s="14">
        <v>2</v>
      </c>
    </row>
    <row r="313" spans="1:19">
      <c r="A313" s="6">
        <f t="shared" si="22"/>
        <v>6203</v>
      </c>
      <c r="B313" s="6">
        <f t="shared" si="20"/>
        <v>62</v>
      </c>
      <c r="C313" s="6">
        <f t="shared" si="24"/>
        <v>3</v>
      </c>
      <c r="D313" s="6" t="s">
        <v>667</v>
      </c>
      <c r="E313" s="6">
        <v>109</v>
      </c>
      <c r="G313" s="6" t="s">
        <v>668</v>
      </c>
      <c r="H313" s="6">
        <f t="shared" si="23"/>
        <v>0</v>
      </c>
      <c r="I313" s="6" t="str">
        <f>IF(VLOOKUP(E313,Sheet2!$W$4:$AA$49,5,0)=0,"",VLOOKUP(E313,Sheet2!$W$4:$AA$49,5,0))</f>
        <v/>
      </c>
      <c r="J313" s="6">
        <v>0</v>
      </c>
      <c r="K313" s="6">
        <v>0</v>
      </c>
      <c r="L313" s="6">
        <f>IF(VLOOKUP(E313,Sheet2!$W$4:$X$49,2,0)=0,"",VLOOKUP(E313,Sheet2!$W$4:$X$49,2,0))</f>
        <v>1</v>
      </c>
      <c r="N313" s="6" t="str">
        <f>IF(VLOOKUP(E313,Sheet2!$W$4:$Y$49,3,0)=0,"",VLOOKUP(E313,Sheet2!$W$4:$Y$49,3,0))</f>
        <v/>
      </c>
      <c r="Q313" s="6" t="str">
        <f>IF(VLOOKUP(E313,Sheet2!$W$4:$Z$49,4,0)=0,"",VLOOKUP(E313,Sheet2!$W$4:$Z$49,4,0))</f>
        <v>[{50014,6}]</v>
      </c>
      <c r="R313" s="8">
        <v>24</v>
      </c>
      <c r="S313" s="14">
        <v>2</v>
      </c>
    </row>
    <row r="314" spans="1:19">
      <c r="A314" s="6">
        <f t="shared" si="22"/>
        <v>6221</v>
      </c>
      <c r="B314" s="6">
        <f t="shared" si="20"/>
        <v>62</v>
      </c>
      <c r="C314" s="6">
        <f t="shared" si="24"/>
        <v>4</v>
      </c>
      <c r="D314" s="6" t="s">
        <v>669</v>
      </c>
      <c r="E314" s="6">
        <v>514</v>
      </c>
      <c r="G314" s="6" t="s">
        <v>670</v>
      </c>
      <c r="H314" s="6">
        <f t="shared" si="23"/>
        <v>2</v>
      </c>
      <c r="I314" s="6" t="str">
        <f>IF(VLOOKUP(E314,Sheet2!$W$4:$AA$49,5,0)=0,"",VLOOKUP(E314,Sheet2!$W$4:$AA$49,5,0))</f>
        <v/>
      </c>
      <c r="J314" s="6">
        <v>0</v>
      </c>
      <c r="K314" s="6">
        <v>0</v>
      </c>
      <c r="L314" s="6" t="str">
        <f>IF(VLOOKUP(E314,Sheet2!$W$4:$X$49,2,0)=0,"",VLOOKUP(E314,Sheet2!$W$4:$X$49,2,0))</f>
        <v/>
      </c>
      <c r="N314" s="6" t="str">
        <f>IF(VLOOKUP(E314,Sheet2!$W$4:$Y$49,3,0)=0,"",VLOOKUP(E314,Sheet2!$W$4:$Y$49,3,0))</f>
        <v/>
      </c>
      <c r="Q314" s="6" t="str">
        <f>IF(VLOOKUP(E314,Sheet2!$W$4:$Z$49,4,0)=0,"",VLOOKUP(E314,Sheet2!$W$4:$Z$49,4,0))</f>
        <v/>
      </c>
      <c r="R314" s="8">
        <v>100</v>
      </c>
      <c r="S314" s="14">
        <v>2</v>
      </c>
    </row>
    <row r="315" spans="1:19">
      <c r="A315" s="6">
        <f t="shared" si="22"/>
        <v>6231</v>
      </c>
      <c r="B315" s="6">
        <f t="shared" si="20"/>
        <v>62</v>
      </c>
      <c r="C315" s="6">
        <f t="shared" si="24"/>
        <v>5</v>
      </c>
      <c r="D315" s="6" t="s">
        <v>671</v>
      </c>
      <c r="E315" s="6">
        <v>514</v>
      </c>
      <c r="G315" s="6" t="s">
        <v>672</v>
      </c>
      <c r="H315" s="6">
        <f t="shared" si="23"/>
        <v>2</v>
      </c>
      <c r="I315" s="6" t="str">
        <f>IF(VLOOKUP(E315,Sheet2!$W$4:$AA$49,5,0)=0,"",VLOOKUP(E315,Sheet2!$W$4:$AA$49,5,0))</f>
        <v/>
      </c>
      <c r="J315" s="6">
        <v>0</v>
      </c>
      <c r="K315" s="6">
        <v>0</v>
      </c>
      <c r="L315" s="6" t="str">
        <f>IF(VLOOKUP(E315,Sheet2!$W$4:$X$49,2,0)=0,"",VLOOKUP(E315,Sheet2!$W$4:$X$49,2,0))</f>
        <v/>
      </c>
      <c r="N315" s="6" t="str">
        <f>IF(VLOOKUP(E315,Sheet2!$W$4:$Y$49,3,0)=0,"",VLOOKUP(E315,Sheet2!$W$4:$Y$49,3,0))</f>
        <v/>
      </c>
      <c r="Q315" s="6" t="str">
        <f>IF(VLOOKUP(E315,Sheet2!$W$4:$Z$49,4,0)=0,"",VLOOKUP(E315,Sheet2!$W$4:$Z$49,4,0))</f>
        <v/>
      </c>
      <c r="R315" s="8">
        <v>100</v>
      </c>
      <c r="S315" s="14">
        <v>2</v>
      </c>
    </row>
    <row r="316" spans="1:19">
      <c r="A316" s="6">
        <f t="shared" si="22"/>
        <v>6301</v>
      </c>
      <c r="B316" s="6">
        <f t="shared" si="20"/>
        <v>63</v>
      </c>
      <c r="C316" s="6">
        <f t="shared" si="24"/>
        <v>1</v>
      </c>
      <c r="D316" s="6" t="s">
        <v>673</v>
      </c>
      <c r="E316" s="6">
        <v>111</v>
      </c>
      <c r="G316" s="6" t="s">
        <v>674</v>
      </c>
      <c r="H316" s="6">
        <f t="shared" si="23"/>
        <v>0</v>
      </c>
      <c r="I316" s="6" t="str">
        <f>IF(VLOOKUP(E316,Sheet2!$W$4:$AA$49,5,0)=0,"",VLOOKUP(E316,Sheet2!$W$4:$AA$49,5,0))</f>
        <v/>
      </c>
      <c r="J316" s="6">
        <v>0</v>
      </c>
      <c r="K316" s="6">
        <v>0</v>
      </c>
      <c r="L316" s="6" t="str">
        <f>IF(VLOOKUP(E316,Sheet2!$W$4:$X$49,2,0)=0,"",VLOOKUP(E316,Sheet2!$W$4:$X$49,2,0))</f>
        <v/>
      </c>
      <c r="N316" s="6" t="str">
        <f>IF(VLOOKUP(E316,Sheet2!$W$4:$Y$49,3,0)=0,"",VLOOKUP(E316,Sheet2!$W$4:$Y$49,3,0))</f>
        <v/>
      </c>
      <c r="Q316" s="6" t="str">
        <f>IF(VLOOKUP(E316,Sheet2!$W$4:$Z$49,4,0)=0,"",VLOOKUP(E316,Sheet2!$W$4:$Z$49,4,0))</f>
        <v/>
      </c>
      <c r="R316" s="8">
        <v>24</v>
      </c>
      <c r="S316" s="14">
        <v>2</v>
      </c>
    </row>
    <row r="317" spans="1:19">
      <c r="A317" s="6">
        <f t="shared" si="22"/>
        <v>6302</v>
      </c>
      <c r="B317" s="6">
        <f t="shared" si="20"/>
        <v>63</v>
      </c>
      <c r="C317" s="6">
        <f t="shared" si="24"/>
        <v>2</v>
      </c>
      <c r="D317" s="6" t="s">
        <v>675</v>
      </c>
      <c r="E317" s="6">
        <v>115</v>
      </c>
      <c r="G317" s="6" t="s">
        <v>676</v>
      </c>
      <c r="H317" s="6">
        <f t="shared" si="23"/>
        <v>0</v>
      </c>
      <c r="I317" s="6" t="str">
        <f>IF(VLOOKUP(E317,Sheet2!$W$4:$AA$49,5,0)=0,"",VLOOKUP(E317,Sheet2!$W$4:$AA$49,5,0))</f>
        <v/>
      </c>
      <c r="J317" s="6">
        <v>0</v>
      </c>
      <c r="K317" s="6">
        <v>0</v>
      </c>
      <c r="L317" s="6" t="str">
        <f>IF(VLOOKUP(E317,Sheet2!$W$4:$X$49,2,0)=0,"",VLOOKUP(E317,Sheet2!$W$4:$X$49,2,0))</f>
        <v/>
      </c>
      <c r="N317" s="6" t="str">
        <f>IF(VLOOKUP(E317,Sheet2!$W$4:$Y$49,3,0)=0,"",VLOOKUP(E317,Sheet2!$W$4:$Y$49,3,0))</f>
        <v/>
      </c>
      <c r="Q317" s="6" t="str">
        <f>IF(VLOOKUP(E317,Sheet2!$W$4:$Z$49,4,0)=0,"",VLOOKUP(E317,Sheet2!$W$4:$Z$49,4,0))</f>
        <v/>
      </c>
      <c r="R317" s="8">
        <v>24</v>
      </c>
      <c r="S317" s="14">
        <v>2</v>
      </c>
    </row>
    <row r="318" spans="1:19">
      <c r="A318" s="6">
        <f t="shared" si="22"/>
        <v>6303</v>
      </c>
      <c r="B318" s="6">
        <f t="shared" si="20"/>
        <v>63</v>
      </c>
      <c r="C318" s="6">
        <f t="shared" si="24"/>
        <v>3</v>
      </c>
      <c r="D318" s="6" t="s">
        <v>677</v>
      </c>
      <c r="E318" s="6">
        <v>113</v>
      </c>
      <c r="G318" s="6" t="s">
        <v>678</v>
      </c>
      <c r="H318" s="6">
        <f t="shared" si="23"/>
        <v>0</v>
      </c>
      <c r="I318" s="6" t="str">
        <f>IF(VLOOKUP(E318,Sheet2!$W$4:$AA$49,5,0)=0,"",VLOOKUP(E318,Sheet2!$W$4:$AA$49,5,0))</f>
        <v>[60005]</v>
      </c>
      <c r="J318" s="6">
        <v>0</v>
      </c>
      <c r="K318" s="6">
        <v>0</v>
      </c>
      <c r="L318" s="6">
        <f>IF(VLOOKUP(E318,Sheet2!$W$4:$X$49,2,0)=0,"",VLOOKUP(E318,Sheet2!$W$4:$X$49,2,0))</f>
        <v>1</v>
      </c>
      <c r="N318" s="6" t="str">
        <f>IF(VLOOKUP(E318,Sheet2!$W$4:$Y$49,3,0)=0,"",VLOOKUP(E318,Sheet2!$W$4:$Y$49,3,0))</f>
        <v/>
      </c>
      <c r="Q318" s="6" t="str">
        <f>IF(VLOOKUP(E318,Sheet2!$W$4:$Z$49,4,0)=0,"",VLOOKUP(E318,Sheet2!$W$4:$Z$49,4,0))</f>
        <v>[{50016,6}]</v>
      </c>
      <c r="R318" s="8">
        <v>24</v>
      </c>
      <c r="S318" s="14">
        <v>2</v>
      </c>
    </row>
    <row r="319" spans="1:19">
      <c r="A319" s="6">
        <f t="shared" si="22"/>
        <v>6321</v>
      </c>
      <c r="B319" s="6">
        <f t="shared" si="20"/>
        <v>63</v>
      </c>
      <c r="C319" s="6">
        <f t="shared" si="24"/>
        <v>4</v>
      </c>
      <c r="D319" s="6" t="s">
        <v>679</v>
      </c>
      <c r="E319" s="6">
        <v>515</v>
      </c>
      <c r="G319" s="6" t="s">
        <v>680</v>
      </c>
      <c r="H319" s="6">
        <f t="shared" si="23"/>
        <v>2</v>
      </c>
      <c r="I319" s="6" t="str">
        <f>IF(VLOOKUP(E319,Sheet2!$W$4:$AA$49,5,0)=0,"",VLOOKUP(E319,Sheet2!$W$4:$AA$49,5,0))</f>
        <v/>
      </c>
      <c r="J319" s="6">
        <v>0</v>
      </c>
      <c r="K319" s="6">
        <v>0</v>
      </c>
      <c r="L319" s="6" t="str">
        <f>IF(VLOOKUP(E319,Sheet2!$W$4:$X$49,2,0)=0,"",VLOOKUP(E319,Sheet2!$W$4:$X$49,2,0))</f>
        <v/>
      </c>
      <c r="N319" s="6" t="str">
        <f>IF(VLOOKUP(E319,Sheet2!$W$4:$Y$49,3,0)=0,"",VLOOKUP(E319,Sheet2!$W$4:$Y$49,3,0))</f>
        <v/>
      </c>
      <c r="Q319" s="6" t="str">
        <f>IF(VLOOKUP(E319,Sheet2!$W$4:$Z$49,4,0)=0,"",VLOOKUP(E319,Sheet2!$W$4:$Z$49,4,0))</f>
        <v/>
      </c>
      <c r="R319" s="8">
        <v>100</v>
      </c>
      <c r="S319" s="14">
        <v>2</v>
      </c>
    </row>
    <row r="320" spans="1:19">
      <c r="A320" s="6">
        <f t="shared" si="22"/>
        <v>6331</v>
      </c>
      <c r="B320" s="6">
        <f t="shared" ref="B320:B383" si="25">B315+1</f>
        <v>63</v>
      </c>
      <c r="C320" s="6">
        <f t="shared" si="24"/>
        <v>5</v>
      </c>
      <c r="D320" s="6" t="s">
        <v>681</v>
      </c>
      <c r="E320" s="6">
        <v>515</v>
      </c>
      <c r="G320" s="6" t="s">
        <v>682</v>
      </c>
      <c r="H320" s="6">
        <f t="shared" si="23"/>
        <v>2</v>
      </c>
      <c r="I320" s="6" t="str">
        <f>IF(VLOOKUP(E320,Sheet2!$W$4:$AA$49,5,0)=0,"",VLOOKUP(E320,Sheet2!$W$4:$AA$49,5,0))</f>
        <v/>
      </c>
      <c r="J320" s="6">
        <v>0</v>
      </c>
      <c r="K320" s="6">
        <v>0</v>
      </c>
      <c r="L320" s="6" t="str">
        <f>IF(VLOOKUP(E320,Sheet2!$W$4:$X$49,2,0)=0,"",VLOOKUP(E320,Sheet2!$W$4:$X$49,2,0))</f>
        <v/>
      </c>
      <c r="N320" s="6" t="str">
        <f>IF(VLOOKUP(E320,Sheet2!$W$4:$Y$49,3,0)=0,"",VLOOKUP(E320,Sheet2!$W$4:$Y$49,3,0))</f>
        <v/>
      </c>
      <c r="Q320" s="6" t="str">
        <f>IF(VLOOKUP(E320,Sheet2!$W$4:$Z$49,4,0)=0,"",VLOOKUP(E320,Sheet2!$W$4:$Z$49,4,0))</f>
        <v/>
      </c>
      <c r="R320" s="8">
        <v>100</v>
      </c>
      <c r="S320" s="14">
        <v>2</v>
      </c>
    </row>
    <row r="321" spans="1:19">
      <c r="A321" s="6">
        <f t="shared" si="22"/>
        <v>6401</v>
      </c>
      <c r="B321" s="6">
        <f t="shared" si="25"/>
        <v>64</v>
      </c>
      <c r="C321" s="6">
        <f t="shared" si="24"/>
        <v>1</v>
      </c>
      <c r="D321" s="6" t="s">
        <v>683</v>
      </c>
      <c r="E321" s="6">
        <v>100</v>
      </c>
      <c r="G321" s="6" t="s">
        <v>684</v>
      </c>
      <c r="H321" s="6">
        <f t="shared" si="23"/>
        <v>0</v>
      </c>
      <c r="I321" s="6" t="str">
        <f>IF(VLOOKUP(E321,Sheet2!$W$4:$AA$49,5,0)=0,"",VLOOKUP(E321,Sheet2!$W$4:$AA$49,5,0))</f>
        <v>[60002]</v>
      </c>
      <c r="J321" s="6">
        <v>0</v>
      </c>
      <c r="K321" s="6">
        <v>0</v>
      </c>
      <c r="L321" s="6" t="str">
        <f>IF(VLOOKUP(E321,Sheet2!$W$4:$X$49,2,0)=0,"",VLOOKUP(E321,Sheet2!$W$4:$X$49,2,0))</f>
        <v/>
      </c>
      <c r="N321" s="6">
        <f>IF(VLOOKUP(E321,Sheet2!$W$4:$Y$49,3,0)=0,"",VLOOKUP(E321,Sheet2!$W$4:$Y$49,3,0))</f>
        <v>2001</v>
      </c>
      <c r="Q321" s="6" t="str">
        <f>IF(VLOOKUP(E321,Sheet2!$W$4:$Z$49,4,0)=0,"",VLOOKUP(E321,Sheet2!$W$4:$Z$49,4,0))</f>
        <v/>
      </c>
      <c r="R321" s="8">
        <v>24</v>
      </c>
      <c r="S321" s="14">
        <v>2</v>
      </c>
    </row>
    <row r="322" spans="1:19">
      <c r="A322" s="6">
        <f t="shared" si="22"/>
        <v>6402</v>
      </c>
      <c r="B322" s="6">
        <f t="shared" si="25"/>
        <v>64</v>
      </c>
      <c r="C322" s="6">
        <f t="shared" si="24"/>
        <v>2</v>
      </c>
      <c r="D322" s="6" t="s">
        <v>685</v>
      </c>
      <c r="E322" s="6">
        <v>102</v>
      </c>
      <c r="G322" s="6" t="s">
        <v>686</v>
      </c>
      <c r="H322" s="6">
        <f t="shared" si="23"/>
        <v>0</v>
      </c>
      <c r="I322" s="6" t="str">
        <f>IF(VLOOKUP(E322,Sheet2!$W$4:$AA$49,5,0)=0,"",VLOOKUP(E322,Sheet2!$W$4:$AA$49,5,0))</f>
        <v/>
      </c>
      <c r="J322" s="6">
        <v>0</v>
      </c>
      <c r="K322" s="6">
        <v>0</v>
      </c>
      <c r="L322" s="6">
        <f>IF(VLOOKUP(E322,Sheet2!$W$4:$X$49,2,0)=0,"",VLOOKUP(E322,Sheet2!$W$4:$X$49,2,0))</f>
        <v>1</v>
      </c>
      <c r="N322" s="6" t="str">
        <f>IF(VLOOKUP(E322,Sheet2!$W$4:$Y$49,3,0)=0,"",VLOOKUP(E322,Sheet2!$W$4:$Y$49,3,0))</f>
        <v/>
      </c>
      <c r="Q322" s="6" t="str">
        <f>IF(VLOOKUP(E322,Sheet2!$W$4:$Z$49,4,0)=0,"",VLOOKUP(E322,Sheet2!$W$4:$Z$49,4,0))</f>
        <v>[{50011,6}]</v>
      </c>
      <c r="R322" s="8">
        <v>24</v>
      </c>
      <c r="S322" s="14">
        <v>2</v>
      </c>
    </row>
    <row r="323" spans="1:19">
      <c r="A323" s="6">
        <f t="shared" si="22"/>
        <v>6403</v>
      </c>
      <c r="B323" s="6">
        <f t="shared" si="25"/>
        <v>64</v>
      </c>
      <c r="C323" s="6">
        <f t="shared" si="24"/>
        <v>3</v>
      </c>
      <c r="D323" s="6" t="s">
        <v>687</v>
      </c>
      <c r="E323" s="6">
        <v>105</v>
      </c>
      <c r="G323" s="6" t="s">
        <v>688</v>
      </c>
      <c r="H323" s="6">
        <f t="shared" si="23"/>
        <v>0</v>
      </c>
      <c r="I323" s="6" t="str">
        <f>IF(VLOOKUP(E323,Sheet2!$W$4:$AA$49,5,0)=0,"",VLOOKUP(E323,Sheet2!$W$4:$AA$49,5,0))</f>
        <v>[60003]</v>
      </c>
      <c r="J323" s="6">
        <v>0</v>
      </c>
      <c r="K323" s="6">
        <v>0</v>
      </c>
      <c r="L323" s="6" t="str">
        <f>IF(VLOOKUP(E323,Sheet2!$W$4:$X$49,2,0)=0,"",VLOOKUP(E323,Sheet2!$W$4:$X$49,2,0))</f>
        <v/>
      </c>
      <c r="N323" s="6" t="str">
        <f>IF(VLOOKUP(E323,Sheet2!$W$4:$Y$49,3,0)=0,"",VLOOKUP(E323,Sheet2!$W$4:$Y$49,3,0))</f>
        <v/>
      </c>
      <c r="Q323" s="6" t="str">
        <f>IF(VLOOKUP(E323,Sheet2!$W$4:$Z$49,4,0)=0,"",VLOOKUP(E323,Sheet2!$W$4:$Z$49,4,0))</f>
        <v/>
      </c>
      <c r="R323" s="8">
        <v>24</v>
      </c>
      <c r="S323" s="14">
        <v>2</v>
      </c>
    </row>
    <row r="324" spans="1:19">
      <c r="A324" s="6">
        <f t="shared" si="22"/>
        <v>6421</v>
      </c>
      <c r="B324" s="6">
        <f t="shared" si="25"/>
        <v>64</v>
      </c>
      <c r="C324" s="6">
        <f t="shared" si="24"/>
        <v>4</v>
      </c>
      <c r="D324" s="6" t="s">
        <v>689</v>
      </c>
      <c r="E324" s="6">
        <v>502</v>
      </c>
      <c r="G324" s="6" t="s">
        <v>690</v>
      </c>
      <c r="H324" s="6">
        <f t="shared" si="23"/>
        <v>2</v>
      </c>
      <c r="I324" s="6" t="str">
        <f>IF(VLOOKUP(E324,Sheet2!$W$4:$AA$49,5,0)=0,"",VLOOKUP(E324,Sheet2!$W$4:$AA$49,5,0))</f>
        <v/>
      </c>
      <c r="J324" s="6">
        <v>0</v>
      </c>
      <c r="K324" s="6">
        <v>0</v>
      </c>
      <c r="L324" s="6">
        <f>IF(VLOOKUP(E324,Sheet2!$W$4:$X$49,2,0)=0,"",VLOOKUP(E324,Sheet2!$W$4:$X$49,2,0))</f>
        <v>1</v>
      </c>
      <c r="N324" s="6" t="str">
        <f>IF(VLOOKUP(E324,Sheet2!$W$4:$Y$49,3,0)=0,"",VLOOKUP(E324,Sheet2!$W$4:$Y$49,3,0))</f>
        <v/>
      </c>
      <c r="Q324" s="6" t="str">
        <f>IF(VLOOKUP(E324,Sheet2!$W$4:$Z$49,4,0)=0,"",VLOOKUP(E324,Sheet2!$W$4:$Z$49,4,0))</f>
        <v>[{50021,6}]</v>
      </c>
      <c r="R324" s="8">
        <v>100</v>
      </c>
      <c r="S324" s="14">
        <v>2</v>
      </c>
    </row>
    <row r="325" spans="1:19">
      <c r="A325" s="6">
        <f t="shared" si="22"/>
        <v>6431</v>
      </c>
      <c r="B325" s="6">
        <f t="shared" si="25"/>
        <v>64</v>
      </c>
      <c r="C325" s="6">
        <f t="shared" si="24"/>
        <v>5</v>
      </c>
      <c r="D325" s="6" t="s">
        <v>691</v>
      </c>
      <c r="E325" s="6">
        <v>500</v>
      </c>
      <c r="G325" s="6" t="s">
        <v>692</v>
      </c>
      <c r="H325" s="6">
        <f t="shared" si="23"/>
        <v>2</v>
      </c>
      <c r="I325" s="6" t="str">
        <f>IF(VLOOKUP(E325,Sheet2!$W$4:$AA$49,5,0)=0,"",VLOOKUP(E325,Sheet2!$W$4:$AA$49,5,0))</f>
        <v>[60002]</v>
      </c>
      <c r="J325" s="6">
        <v>0</v>
      </c>
      <c r="K325" s="6">
        <v>0</v>
      </c>
      <c r="L325" s="6" t="str">
        <f>IF(VLOOKUP(E325,Sheet2!$W$4:$X$49,2,0)=0,"",VLOOKUP(E325,Sheet2!$W$4:$X$49,2,0))</f>
        <v/>
      </c>
      <c r="N325" s="6">
        <f>IF(VLOOKUP(E325,Sheet2!$W$4:$Y$49,3,0)=0,"",VLOOKUP(E325,Sheet2!$W$4:$Y$49,3,0))</f>
        <v>2001</v>
      </c>
      <c r="Q325" s="6" t="str">
        <f>IF(VLOOKUP(E325,Sheet2!$W$4:$Z$49,4,0)=0,"",VLOOKUP(E325,Sheet2!$W$4:$Z$49,4,0))</f>
        <v/>
      </c>
      <c r="R325" s="8">
        <v>100</v>
      </c>
      <c r="S325" s="14">
        <v>2</v>
      </c>
    </row>
    <row r="326" spans="1:19">
      <c r="A326" s="6">
        <f t="shared" si="22"/>
        <v>6501</v>
      </c>
      <c r="B326" s="6">
        <f t="shared" si="25"/>
        <v>65</v>
      </c>
      <c r="C326" s="6">
        <f t="shared" si="24"/>
        <v>1</v>
      </c>
      <c r="D326" s="6" t="s">
        <v>693</v>
      </c>
      <c r="E326" s="6">
        <v>108</v>
      </c>
      <c r="G326" s="6" t="s">
        <v>694</v>
      </c>
      <c r="H326" s="6">
        <f t="shared" si="23"/>
        <v>0</v>
      </c>
      <c r="I326" s="6" t="str">
        <f>IF(VLOOKUP(E326,Sheet2!$W$4:$AA$49,5,0)=0,"",VLOOKUP(E326,Sheet2!$W$4:$AA$49,5,0))</f>
        <v/>
      </c>
      <c r="J326" s="6">
        <v>0</v>
      </c>
      <c r="K326" s="6">
        <v>0</v>
      </c>
      <c r="L326" s="6" t="str">
        <f>IF(VLOOKUP(E326,Sheet2!$W$4:$X$49,2,0)=0,"",VLOOKUP(E326,Sheet2!$W$4:$X$49,2,0))</f>
        <v/>
      </c>
      <c r="N326" s="6" t="str">
        <f>IF(VLOOKUP(E326,Sheet2!$W$4:$Y$49,3,0)=0,"",VLOOKUP(E326,Sheet2!$W$4:$Y$49,3,0))</f>
        <v/>
      </c>
      <c r="Q326" s="6" t="str">
        <f>IF(VLOOKUP(E326,Sheet2!$W$4:$Z$49,4,0)=0,"",VLOOKUP(E326,Sheet2!$W$4:$Z$49,4,0))</f>
        <v/>
      </c>
      <c r="R326" s="8">
        <v>24</v>
      </c>
      <c r="S326" s="14">
        <v>2</v>
      </c>
    </row>
    <row r="327" spans="1:19">
      <c r="A327" s="6">
        <f t="shared" si="22"/>
        <v>6502</v>
      </c>
      <c r="B327" s="6">
        <f t="shared" si="25"/>
        <v>65</v>
      </c>
      <c r="C327" s="6">
        <f t="shared" si="24"/>
        <v>2</v>
      </c>
      <c r="D327" s="6" t="s">
        <v>695</v>
      </c>
      <c r="E327" s="6">
        <v>110</v>
      </c>
      <c r="G327" s="6" t="s">
        <v>696</v>
      </c>
      <c r="H327" s="6">
        <f t="shared" si="23"/>
        <v>0</v>
      </c>
      <c r="I327" s="6" t="str">
        <f>IF(VLOOKUP(E327,Sheet2!$W$4:$AA$49,5,0)=0,"",VLOOKUP(E327,Sheet2!$W$4:$AA$49,5,0))</f>
        <v/>
      </c>
      <c r="J327" s="6">
        <v>0</v>
      </c>
      <c r="K327" s="6">
        <v>0</v>
      </c>
      <c r="L327" s="6" t="str">
        <f>IF(VLOOKUP(E327,Sheet2!$W$4:$X$49,2,0)=0,"",VLOOKUP(E327,Sheet2!$W$4:$X$49,2,0))</f>
        <v/>
      </c>
      <c r="N327" s="6" t="str">
        <f>IF(VLOOKUP(E327,Sheet2!$W$4:$Y$49,3,0)=0,"",VLOOKUP(E327,Sheet2!$W$4:$Y$49,3,0))</f>
        <v/>
      </c>
      <c r="Q327" s="6" t="str">
        <f>IF(VLOOKUP(E327,Sheet2!$W$4:$Z$49,4,0)=0,"",VLOOKUP(E327,Sheet2!$W$4:$Z$49,4,0))</f>
        <v/>
      </c>
      <c r="R327" s="8">
        <v>24</v>
      </c>
      <c r="S327" s="14">
        <v>2</v>
      </c>
    </row>
    <row r="328" spans="1:19">
      <c r="A328" s="6">
        <f t="shared" si="22"/>
        <v>6503</v>
      </c>
      <c r="B328" s="6">
        <f t="shared" si="25"/>
        <v>65</v>
      </c>
      <c r="C328" s="6">
        <f t="shared" si="24"/>
        <v>3</v>
      </c>
      <c r="D328" s="6" t="s">
        <v>697</v>
      </c>
      <c r="E328" s="6">
        <v>114</v>
      </c>
      <c r="G328" s="6" t="s">
        <v>698</v>
      </c>
      <c r="H328" s="6">
        <f t="shared" si="23"/>
        <v>0</v>
      </c>
      <c r="I328" s="6" t="str">
        <f>IF(VLOOKUP(E328,Sheet2!$W$4:$AA$49,5,0)=0,"",VLOOKUP(E328,Sheet2!$W$4:$AA$49,5,0))</f>
        <v/>
      </c>
      <c r="J328" s="6">
        <v>0</v>
      </c>
      <c r="K328" s="6">
        <v>0</v>
      </c>
      <c r="L328" s="6" t="str">
        <f>IF(VLOOKUP(E328,Sheet2!$W$4:$X$49,2,0)=0,"",VLOOKUP(E328,Sheet2!$W$4:$X$49,2,0))</f>
        <v/>
      </c>
      <c r="N328" s="6" t="str">
        <f>IF(VLOOKUP(E328,Sheet2!$W$4:$Y$49,3,0)=0,"",VLOOKUP(E328,Sheet2!$W$4:$Y$49,3,0))</f>
        <v/>
      </c>
      <c r="Q328" s="6" t="str">
        <f>IF(VLOOKUP(E328,Sheet2!$W$4:$Z$49,4,0)=0,"",VLOOKUP(E328,Sheet2!$W$4:$Z$49,4,0))</f>
        <v/>
      </c>
      <c r="R328" s="8">
        <v>24</v>
      </c>
      <c r="S328" s="14">
        <v>2</v>
      </c>
    </row>
    <row r="329" spans="1:19">
      <c r="A329" s="6">
        <f t="shared" si="22"/>
        <v>6521</v>
      </c>
      <c r="B329" s="6">
        <f t="shared" si="25"/>
        <v>65</v>
      </c>
      <c r="C329" s="6">
        <f t="shared" si="24"/>
        <v>4</v>
      </c>
      <c r="D329" s="6" t="s">
        <v>699</v>
      </c>
      <c r="E329" s="6">
        <v>508</v>
      </c>
      <c r="G329" s="6" t="s">
        <v>700</v>
      </c>
      <c r="H329" s="6">
        <f t="shared" si="23"/>
        <v>2</v>
      </c>
      <c r="I329" s="6" t="str">
        <f>IF(VLOOKUP(E329,Sheet2!$W$4:$AA$49,5,0)=0,"",VLOOKUP(E329,Sheet2!$W$4:$AA$49,5,0))</f>
        <v/>
      </c>
      <c r="J329" s="6">
        <v>0</v>
      </c>
      <c r="K329" s="6">
        <v>0</v>
      </c>
      <c r="L329" s="6" t="str">
        <f>IF(VLOOKUP(E329,Sheet2!$W$4:$X$49,2,0)=0,"",VLOOKUP(E329,Sheet2!$W$4:$X$49,2,0))</f>
        <v/>
      </c>
      <c r="N329" s="6" t="str">
        <f>IF(VLOOKUP(E329,Sheet2!$W$4:$Y$49,3,0)=0,"",VLOOKUP(E329,Sheet2!$W$4:$Y$49,3,0))</f>
        <v/>
      </c>
      <c r="Q329" s="6" t="str">
        <f>IF(VLOOKUP(E329,Sheet2!$W$4:$Z$49,4,0)=0,"",VLOOKUP(E329,Sheet2!$W$4:$Z$49,4,0))</f>
        <v/>
      </c>
      <c r="R329" s="8">
        <v>100</v>
      </c>
      <c r="S329" s="14">
        <v>2</v>
      </c>
    </row>
    <row r="330" spans="1:19">
      <c r="A330" s="6">
        <f t="shared" si="22"/>
        <v>6531</v>
      </c>
      <c r="B330" s="6">
        <f t="shared" si="25"/>
        <v>65</v>
      </c>
      <c r="C330" s="6">
        <f t="shared" si="24"/>
        <v>5</v>
      </c>
      <c r="D330" s="6" t="s">
        <v>701</v>
      </c>
      <c r="E330" s="6">
        <v>508</v>
      </c>
      <c r="G330" s="6" t="s">
        <v>702</v>
      </c>
      <c r="H330" s="6">
        <f t="shared" si="23"/>
        <v>2</v>
      </c>
      <c r="I330" s="6" t="str">
        <f>IF(VLOOKUP(E330,Sheet2!$W$4:$AA$49,5,0)=0,"",VLOOKUP(E330,Sheet2!$W$4:$AA$49,5,0))</f>
        <v/>
      </c>
      <c r="J330" s="6">
        <v>0</v>
      </c>
      <c r="K330" s="6">
        <v>0</v>
      </c>
      <c r="L330" s="6" t="str">
        <f>IF(VLOOKUP(E330,Sheet2!$W$4:$X$49,2,0)=0,"",VLOOKUP(E330,Sheet2!$W$4:$X$49,2,0))</f>
        <v/>
      </c>
      <c r="N330" s="6" t="str">
        <f>IF(VLOOKUP(E330,Sheet2!$W$4:$Y$49,3,0)=0,"",VLOOKUP(E330,Sheet2!$W$4:$Y$49,3,0))</f>
        <v/>
      </c>
      <c r="Q330" s="6" t="str">
        <f>IF(VLOOKUP(E330,Sheet2!$W$4:$Z$49,4,0)=0,"",VLOOKUP(E330,Sheet2!$W$4:$Z$49,4,0))</f>
        <v/>
      </c>
      <c r="R330" s="8">
        <v>100</v>
      </c>
      <c r="S330" s="14">
        <v>2</v>
      </c>
    </row>
    <row r="331" spans="1:19">
      <c r="A331" s="6">
        <f t="shared" si="22"/>
        <v>6601</v>
      </c>
      <c r="B331" s="6">
        <f t="shared" si="25"/>
        <v>66</v>
      </c>
      <c r="C331" s="6">
        <f t="shared" si="24"/>
        <v>1</v>
      </c>
      <c r="D331" s="6" t="s">
        <v>703</v>
      </c>
      <c r="E331" s="6">
        <v>110</v>
      </c>
      <c r="G331" s="6" t="s">
        <v>704</v>
      </c>
      <c r="H331" s="6">
        <f t="shared" si="23"/>
        <v>0</v>
      </c>
      <c r="I331" s="6" t="str">
        <f>IF(VLOOKUP(E331,Sheet2!$W$4:$AA$49,5,0)=0,"",VLOOKUP(E331,Sheet2!$W$4:$AA$49,5,0))</f>
        <v/>
      </c>
      <c r="J331" s="6">
        <v>0</v>
      </c>
      <c r="K331" s="6">
        <v>0</v>
      </c>
      <c r="L331" s="6" t="str">
        <f>IF(VLOOKUP(E331,Sheet2!$W$4:$X$49,2,0)=0,"",VLOOKUP(E331,Sheet2!$W$4:$X$49,2,0))</f>
        <v/>
      </c>
      <c r="N331" s="6" t="str">
        <f>IF(VLOOKUP(E331,Sheet2!$W$4:$Y$49,3,0)=0,"",VLOOKUP(E331,Sheet2!$W$4:$Y$49,3,0))</f>
        <v/>
      </c>
      <c r="Q331" s="6" t="str">
        <f>IF(VLOOKUP(E331,Sheet2!$W$4:$Z$49,4,0)=0,"",VLOOKUP(E331,Sheet2!$W$4:$Z$49,4,0))</f>
        <v/>
      </c>
      <c r="R331" s="8">
        <v>24</v>
      </c>
      <c r="S331" s="14">
        <v>2</v>
      </c>
    </row>
    <row r="332" spans="1:19">
      <c r="A332" s="6">
        <f t="shared" si="22"/>
        <v>6602</v>
      </c>
      <c r="B332" s="6">
        <f t="shared" si="25"/>
        <v>66</v>
      </c>
      <c r="C332" s="6">
        <f t="shared" si="24"/>
        <v>2</v>
      </c>
      <c r="D332" s="6" t="s">
        <v>705</v>
      </c>
      <c r="E332" s="6">
        <v>114</v>
      </c>
      <c r="G332" s="6" t="s">
        <v>706</v>
      </c>
      <c r="H332" s="6">
        <f t="shared" si="23"/>
        <v>0</v>
      </c>
      <c r="I332" s="6" t="str">
        <f>IF(VLOOKUP(E332,Sheet2!$W$4:$AA$49,5,0)=0,"",VLOOKUP(E332,Sheet2!$W$4:$AA$49,5,0))</f>
        <v/>
      </c>
      <c r="J332" s="6">
        <v>0</v>
      </c>
      <c r="K332" s="6">
        <v>0</v>
      </c>
      <c r="L332" s="6" t="str">
        <f>IF(VLOOKUP(E332,Sheet2!$W$4:$X$49,2,0)=0,"",VLOOKUP(E332,Sheet2!$W$4:$X$49,2,0))</f>
        <v/>
      </c>
      <c r="N332" s="6" t="str">
        <f>IF(VLOOKUP(E332,Sheet2!$W$4:$Y$49,3,0)=0,"",VLOOKUP(E332,Sheet2!$W$4:$Y$49,3,0))</f>
        <v/>
      </c>
      <c r="Q332" s="6" t="str">
        <f>IF(VLOOKUP(E332,Sheet2!$W$4:$Z$49,4,0)=0,"",VLOOKUP(E332,Sheet2!$W$4:$Z$49,4,0))</f>
        <v/>
      </c>
      <c r="R332" s="8">
        <v>24</v>
      </c>
      <c r="S332" s="14">
        <v>2</v>
      </c>
    </row>
    <row r="333" spans="1:19">
      <c r="A333" s="6">
        <f t="shared" si="22"/>
        <v>6603</v>
      </c>
      <c r="B333" s="6">
        <f t="shared" si="25"/>
        <v>66</v>
      </c>
      <c r="C333" s="6">
        <f t="shared" si="24"/>
        <v>3</v>
      </c>
      <c r="D333" s="6" t="s">
        <v>707</v>
      </c>
      <c r="E333" s="6">
        <v>109</v>
      </c>
      <c r="G333" s="6" t="s">
        <v>708</v>
      </c>
      <c r="H333" s="6">
        <f t="shared" si="23"/>
        <v>0</v>
      </c>
      <c r="I333" s="6" t="str">
        <f>IF(VLOOKUP(E333,Sheet2!$W$4:$AA$49,5,0)=0,"",VLOOKUP(E333,Sheet2!$W$4:$AA$49,5,0))</f>
        <v/>
      </c>
      <c r="J333" s="6">
        <v>0</v>
      </c>
      <c r="K333" s="6">
        <v>0</v>
      </c>
      <c r="L333" s="6">
        <f>IF(VLOOKUP(E333,Sheet2!$W$4:$X$49,2,0)=0,"",VLOOKUP(E333,Sheet2!$W$4:$X$49,2,0))</f>
        <v>1</v>
      </c>
      <c r="N333" s="6" t="str">
        <f>IF(VLOOKUP(E333,Sheet2!$W$4:$Y$49,3,0)=0,"",VLOOKUP(E333,Sheet2!$W$4:$Y$49,3,0))</f>
        <v/>
      </c>
      <c r="Q333" s="6" t="str">
        <f>IF(VLOOKUP(E333,Sheet2!$W$4:$Z$49,4,0)=0,"",VLOOKUP(E333,Sheet2!$W$4:$Z$49,4,0))</f>
        <v>[{50014,6}]</v>
      </c>
      <c r="R333" s="8">
        <v>24</v>
      </c>
      <c r="S333" s="14">
        <v>2</v>
      </c>
    </row>
    <row r="334" spans="1:19">
      <c r="A334" s="6">
        <f t="shared" si="22"/>
        <v>6621</v>
      </c>
      <c r="B334" s="6">
        <f t="shared" si="25"/>
        <v>66</v>
      </c>
      <c r="C334" s="6">
        <f t="shared" si="24"/>
        <v>4</v>
      </c>
      <c r="D334" s="6" t="s">
        <v>709</v>
      </c>
      <c r="E334" s="6">
        <v>514</v>
      </c>
      <c r="G334" s="6" t="s">
        <v>710</v>
      </c>
      <c r="H334" s="6">
        <f t="shared" si="23"/>
        <v>2</v>
      </c>
      <c r="I334" s="6" t="str">
        <f>IF(VLOOKUP(E334,Sheet2!$W$4:$AA$49,5,0)=0,"",VLOOKUP(E334,Sheet2!$W$4:$AA$49,5,0))</f>
        <v/>
      </c>
      <c r="J334" s="6">
        <v>0</v>
      </c>
      <c r="K334" s="6">
        <v>0</v>
      </c>
      <c r="L334" s="6" t="str">
        <f>IF(VLOOKUP(E334,Sheet2!$W$4:$X$49,2,0)=0,"",VLOOKUP(E334,Sheet2!$W$4:$X$49,2,0))</f>
        <v/>
      </c>
      <c r="N334" s="6" t="str">
        <f>IF(VLOOKUP(E334,Sheet2!$W$4:$Y$49,3,0)=0,"",VLOOKUP(E334,Sheet2!$W$4:$Y$49,3,0))</f>
        <v/>
      </c>
      <c r="Q334" s="6" t="str">
        <f>IF(VLOOKUP(E334,Sheet2!$W$4:$Z$49,4,0)=0,"",VLOOKUP(E334,Sheet2!$W$4:$Z$49,4,0))</f>
        <v/>
      </c>
      <c r="R334" s="8">
        <v>100</v>
      </c>
      <c r="S334" s="14">
        <v>2</v>
      </c>
    </row>
    <row r="335" spans="1:19">
      <c r="A335" s="6">
        <f t="shared" si="22"/>
        <v>6631</v>
      </c>
      <c r="B335" s="6">
        <f t="shared" si="25"/>
        <v>66</v>
      </c>
      <c r="C335" s="6">
        <f t="shared" si="24"/>
        <v>5</v>
      </c>
      <c r="D335" s="6" t="s">
        <v>711</v>
      </c>
      <c r="E335" s="6">
        <v>514</v>
      </c>
      <c r="G335" s="6" t="s">
        <v>712</v>
      </c>
      <c r="H335" s="6">
        <f t="shared" si="23"/>
        <v>2</v>
      </c>
      <c r="I335" s="6" t="str">
        <f>IF(VLOOKUP(E335,Sheet2!$W$4:$AA$49,5,0)=0,"",VLOOKUP(E335,Sheet2!$W$4:$AA$49,5,0))</f>
        <v/>
      </c>
      <c r="J335" s="6">
        <v>0</v>
      </c>
      <c r="K335" s="6">
        <v>0</v>
      </c>
      <c r="L335" s="6" t="str">
        <f>IF(VLOOKUP(E335,Sheet2!$W$4:$X$49,2,0)=0,"",VLOOKUP(E335,Sheet2!$W$4:$X$49,2,0))</f>
        <v/>
      </c>
      <c r="N335" s="6" t="str">
        <f>IF(VLOOKUP(E335,Sheet2!$W$4:$Y$49,3,0)=0,"",VLOOKUP(E335,Sheet2!$W$4:$Y$49,3,0))</f>
        <v/>
      </c>
      <c r="Q335" s="6" t="str">
        <f>IF(VLOOKUP(E335,Sheet2!$W$4:$Z$49,4,0)=0,"",VLOOKUP(E335,Sheet2!$W$4:$Z$49,4,0))</f>
        <v/>
      </c>
      <c r="R335" s="8">
        <v>100</v>
      </c>
      <c r="S335" s="14">
        <v>2</v>
      </c>
    </row>
    <row r="336" spans="1:19">
      <c r="A336" s="6">
        <f t="shared" si="22"/>
        <v>6701</v>
      </c>
      <c r="B336" s="6">
        <f t="shared" si="25"/>
        <v>67</v>
      </c>
      <c r="C336" s="6">
        <f t="shared" si="24"/>
        <v>1</v>
      </c>
      <c r="D336" s="6" t="s">
        <v>713</v>
      </c>
      <c r="E336" s="6">
        <v>103</v>
      </c>
      <c r="G336" s="6" t="s">
        <v>714</v>
      </c>
      <c r="H336" s="6">
        <f t="shared" si="23"/>
        <v>0</v>
      </c>
      <c r="I336" s="6" t="str">
        <f>IF(VLOOKUP(E336,Sheet2!$W$4:$AA$49,5,0)=0,"",VLOOKUP(E336,Sheet2!$W$4:$AA$49,5,0))</f>
        <v>[60001]</v>
      </c>
      <c r="J336" s="6">
        <v>0</v>
      </c>
      <c r="K336" s="6">
        <v>0</v>
      </c>
      <c r="L336" s="6" t="str">
        <f>IF(VLOOKUP(E336,Sheet2!$W$4:$X$49,2,0)=0,"",VLOOKUP(E336,Sheet2!$W$4:$X$49,2,0))</f>
        <v/>
      </c>
      <c r="N336" s="6" t="str">
        <f>IF(VLOOKUP(E336,Sheet2!$W$4:$Y$49,3,0)=0,"",VLOOKUP(E336,Sheet2!$W$4:$Y$49,3,0))</f>
        <v/>
      </c>
      <c r="Q336" s="6" t="str">
        <f>IF(VLOOKUP(E336,Sheet2!$W$4:$Z$49,4,0)=0,"",VLOOKUP(E336,Sheet2!$W$4:$Z$49,4,0))</f>
        <v/>
      </c>
      <c r="R336" s="8">
        <v>24</v>
      </c>
      <c r="S336" s="14">
        <v>2</v>
      </c>
    </row>
    <row r="337" spans="1:19">
      <c r="A337" s="6">
        <f t="shared" si="22"/>
        <v>6702</v>
      </c>
      <c r="B337" s="6">
        <f t="shared" si="25"/>
        <v>67</v>
      </c>
      <c r="C337" s="6">
        <f t="shared" si="24"/>
        <v>2</v>
      </c>
      <c r="D337" s="6" t="s">
        <v>715</v>
      </c>
      <c r="E337" s="6">
        <v>104</v>
      </c>
      <c r="G337" s="6" t="s">
        <v>716</v>
      </c>
      <c r="H337" s="6">
        <f t="shared" si="23"/>
        <v>0</v>
      </c>
      <c r="I337" s="6" t="str">
        <f>IF(VLOOKUP(E337,Sheet2!$W$4:$AA$49,5,0)=0,"",VLOOKUP(E337,Sheet2!$W$4:$AA$49,5,0))</f>
        <v/>
      </c>
      <c r="J337" s="6">
        <v>0</v>
      </c>
      <c r="K337" s="6">
        <v>0</v>
      </c>
      <c r="L337" s="6" t="str">
        <f>IF(VLOOKUP(E337,Sheet2!$W$4:$X$49,2,0)=0,"",VLOOKUP(E337,Sheet2!$W$4:$X$49,2,0))</f>
        <v/>
      </c>
      <c r="N337" s="6" t="str">
        <f>IF(VLOOKUP(E337,Sheet2!$W$4:$Y$49,3,0)=0,"",VLOOKUP(E337,Sheet2!$W$4:$Y$49,3,0))</f>
        <v/>
      </c>
      <c r="Q337" s="6" t="str">
        <f>IF(VLOOKUP(E337,Sheet2!$W$4:$Z$49,4,0)=0,"",VLOOKUP(E337,Sheet2!$W$4:$Z$49,4,0))</f>
        <v/>
      </c>
      <c r="R337" s="8">
        <v>24</v>
      </c>
      <c r="S337" s="14">
        <v>2</v>
      </c>
    </row>
    <row r="338" spans="1:19">
      <c r="A338" s="6">
        <f t="shared" si="22"/>
        <v>6703</v>
      </c>
      <c r="B338" s="6">
        <f t="shared" si="25"/>
        <v>67</v>
      </c>
      <c r="C338" s="6">
        <f t="shared" si="24"/>
        <v>3</v>
      </c>
      <c r="D338" s="6" t="s">
        <v>717</v>
      </c>
      <c r="E338" s="6">
        <v>104</v>
      </c>
      <c r="G338" s="6" t="s">
        <v>718</v>
      </c>
      <c r="H338" s="6">
        <f t="shared" si="23"/>
        <v>0</v>
      </c>
      <c r="I338" s="6" t="str">
        <f>IF(VLOOKUP(E338,Sheet2!$W$4:$AA$49,5,0)=0,"",VLOOKUP(E338,Sheet2!$W$4:$AA$49,5,0))</f>
        <v/>
      </c>
      <c r="J338" s="6">
        <v>0</v>
      </c>
      <c r="K338" s="6">
        <v>0</v>
      </c>
      <c r="L338" s="6" t="str">
        <f>IF(VLOOKUP(E338,Sheet2!$W$4:$X$49,2,0)=0,"",VLOOKUP(E338,Sheet2!$W$4:$X$49,2,0))</f>
        <v/>
      </c>
      <c r="N338" s="6" t="str">
        <f>IF(VLOOKUP(E338,Sheet2!$W$4:$Y$49,3,0)=0,"",VLOOKUP(E338,Sheet2!$W$4:$Y$49,3,0))</f>
        <v/>
      </c>
      <c r="Q338" s="6" t="str">
        <f>IF(VLOOKUP(E338,Sheet2!$W$4:$Z$49,4,0)=0,"",VLOOKUP(E338,Sheet2!$W$4:$Z$49,4,0))</f>
        <v/>
      </c>
      <c r="R338" s="8">
        <v>24</v>
      </c>
      <c r="S338" s="14">
        <v>2</v>
      </c>
    </row>
    <row r="339" spans="1:19">
      <c r="A339" s="6">
        <f t="shared" si="22"/>
        <v>6721</v>
      </c>
      <c r="B339" s="6">
        <f t="shared" si="25"/>
        <v>67</v>
      </c>
      <c r="C339" s="6">
        <f t="shared" si="24"/>
        <v>4</v>
      </c>
      <c r="D339" s="6" t="s">
        <v>719</v>
      </c>
      <c r="E339" s="6">
        <v>504</v>
      </c>
      <c r="G339" s="6" t="s">
        <v>720</v>
      </c>
      <c r="H339" s="6">
        <f t="shared" si="23"/>
        <v>2</v>
      </c>
      <c r="I339" s="6" t="str">
        <f>IF(VLOOKUP(E339,Sheet2!$W$4:$AA$49,5,0)=0,"",VLOOKUP(E339,Sheet2!$W$4:$AA$49,5,0))</f>
        <v/>
      </c>
      <c r="J339" s="6">
        <v>0</v>
      </c>
      <c r="K339" s="6">
        <v>0</v>
      </c>
      <c r="L339" s="6" t="str">
        <f>IF(VLOOKUP(E339,Sheet2!$W$4:$X$49,2,0)=0,"",VLOOKUP(E339,Sheet2!$W$4:$X$49,2,0))</f>
        <v/>
      </c>
      <c r="N339" s="6" t="str">
        <f>IF(VLOOKUP(E339,Sheet2!$W$4:$Y$49,3,0)=0,"",VLOOKUP(E339,Sheet2!$W$4:$Y$49,3,0))</f>
        <v/>
      </c>
      <c r="Q339" s="6" t="str">
        <f>IF(VLOOKUP(E339,Sheet2!$W$4:$Z$49,4,0)=0,"",VLOOKUP(E339,Sheet2!$W$4:$Z$49,4,0))</f>
        <v/>
      </c>
      <c r="R339" s="8">
        <v>100</v>
      </c>
      <c r="S339" s="14">
        <v>2</v>
      </c>
    </row>
    <row r="340" spans="1:19">
      <c r="A340" s="6">
        <f t="shared" si="22"/>
        <v>6731</v>
      </c>
      <c r="B340" s="6">
        <f t="shared" si="25"/>
        <v>67</v>
      </c>
      <c r="C340" s="6">
        <f t="shared" si="24"/>
        <v>5</v>
      </c>
      <c r="D340" s="6" t="s">
        <v>721</v>
      </c>
      <c r="E340" s="6">
        <v>504</v>
      </c>
      <c r="G340" s="6" t="s">
        <v>722</v>
      </c>
      <c r="H340" s="6">
        <f t="shared" si="23"/>
        <v>2</v>
      </c>
      <c r="I340" s="6" t="str">
        <f>IF(VLOOKUP(E340,Sheet2!$W$4:$AA$49,5,0)=0,"",VLOOKUP(E340,Sheet2!$W$4:$AA$49,5,0))</f>
        <v/>
      </c>
      <c r="J340" s="6">
        <v>0</v>
      </c>
      <c r="K340" s="6">
        <v>0</v>
      </c>
      <c r="L340" s="6" t="str">
        <f>IF(VLOOKUP(E340,Sheet2!$W$4:$X$49,2,0)=0,"",VLOOKUP(E340,Sheet2!$W$4:$X$49,2,0))</f>
        <v/>
      </c>
      <c r="N340" s="6" t="str">
        <f>IF(VLOOKUP(E340,Sheet2!$W$4:$Y$49,3,0)=0,"",VLOOKUP(E340,Sheet2!$W$4:$Y$49,3,0))</f>
        <v/>
      </c>
      <c r="Q340" s="6" t="str">
        <f>IF(VLOOKUP(E340,Sheet2!$W$4:$Z$49,4,0)=0,"",VLOOKUP(E340,Sheet2!$W$4:$Z$49,4,0))</f>
        <v/>
      </c>
      <c r="R340" s="8">
        <v>100</v>
      </c>
      <c r="S340" s="14">
        <v>2</v>
      </c>
    </row>
    <row r="341" spans="1:19">
      <c r="A341" s="6">
        <f t="shared" si="22"/>
        <v>6801</v>
      </c>
      <c r="B341" s="6">
        <f t="shared" si="25"/>
        <v>68</v>
      </c>
      <c r="C341" s="6">
        <f t="shared" si="24"/>
        <v>1</v>
      </c>
      <c r="D341" s="6" t="s">
        <v>723</v>
      </c>
      <c r="E341" s="6">
        <v>103</v>
      </c>
      <c r="G341" s="6" t="s">
        <v>724</v>
      </c>
      <c r="H341" s="6">
        <f t="shared" si="23"/>
        <v>0</v>
      </c>
      <c r="I341" s="6" t="str">
        <f>IF(VLOOKUP(E341,Sheet2!$W$4:$AA$49,5,0)=0,"",VLOOKUP(E341,Sheet2!$W$4:$AA$49,5,0))</f>
        <v>[60001]</v>
      </c>
      <c r="J341" s="6">
        <v>0</v>
      </c>
      <c r="K341" s="6">
        <v>0</v>
      </c>
      <c r="L341" s="6" t="str">
        <f>IF(VLOOKUP(E341,Sheet2!$W$4:$X$49,2,0)=0,"",VLOOKUP(E341,Sheet2!$W$4:$X$49,2,0))</f>
        <v/>
      </c>
      <c r="N341" s="6" t="str">
        <f>IF(VLOOKUP(E341,Sheet2!$W$4:$Y$49,3,0)=0,"",VLOOKUP(E341,Sheet2!$W$4:$Y$49,3,0))</f>
        <v/>
      </c>
      <c r="Q341" s="6" t="str">
        <f>IF(VLOOKUP(E341,Sheet2!$W$4:$Z$49,4,0)=0,"",VLOOKUP(E341,Sheet2!$W$4:$Z$49,4,0))</f>
        <v/>
      </c>
      <c r="R341" s="8">
        <v>24</v>
      </c>
      <c r="S341" s="14">
        <v>2</v>
      </c>
    </row>
    <row r="342" spans="1:19">
      <c r="A342" s="6">
        <f t="shared" si="22"/>
        <v>6802</v>
      </c>
      <c r="B342" s="6">
        <f t="shared" si="25"/>
        <v>68</v>
      </c>
      <c r="C342" s="6">
        <f t="shared" si="24"/>
        <v>2</v>
      </c>
      <c r="D342" s="6" t="s">
        <v>725</v>
      </c>
      <c r="E342" s="6">
        <v>107</v>
      </c>
      <c r="G342" s="6" t="s">
        <v>726</v>
      </c>
      <c r="H342" s="6">
        <f t="shared" si="23"/>
        <v>0</v>
      </c>
      <c r="I342" s="6" t="str">
        <f>IF(VLOOKUP(E342,Sheet2!$W$4:$AA$49,5,0)=0,"",VLOOKUP(E342,Sheet2!$W$4:$AA$49,5,0))</f>
        <v>[60004]</v>
      </c>
      <c r="J342" s="6">
        <v>0</v>
      </c>
      <c r="K342" s="6">
        <v>0</v>
      </c>
      <c r="L342" s="6">
        <f>IF(VLOOKUP(E342,Sheet2!$W$4:$X$49,2,0)=0,"",VLOOKUP(E342,Sheet2!$W$4:$X$49,2,0))</f>
        <v>1</v>
      </c>
      <c r="N342" s="6" t="str">
        <f>IF(VLOOKUP(E342,Sheet2!$W$4:$Y$49,3,0)=0,"",VLOOKUP(E342,Sheet2!$W$4:$Y$49,3,0))</f>
        <v/>
      </c>
      <c r="Q342" s="6" t="str">
        <f>IF(VLOOKUP(E342,Sheet2!$W$4:$Z$49,4,0)=0,"",VLOOKUP(E342,Sheet2!$W$4:$Z$49,4,0))</f>
        <v>[{50013,6}]</v>
      </c>
      <c r="R342" s="8">
        <v>24</v>
      </c>
      <c r="S342" s="14">
        <v>2</v>
      </c>
    </row>
    <row r="343" spans="1:19">
      <c r="A343" s="6">
        <f t="shared" si="22"/>
        <v>6803</v>
      </c>
      <c r="B343" s="6">
        <f t="shared" si="25"/>
        <v>68</v>
      </c>
      <c r="C343" s="6">
        <f t="shared" si="24"/>
        <v>3</v>
      </c>
      <c r="D343" s="6" t="s">
        <v>727</v>
      </c>
      <c r="E343" s="6">
        <v>106</v>
      </c>
      <c r="G343" s="6" t="s">
        <v>728</v>
      </c>
      <c r="H343" s="6">
        <f t="shared" si="23"/>
        <v>0</v>
      </c>
      <c r="I343" s="6" t="str">
        <f>IF(VLOOKUP(E343,Sheet2!$W$4:$AA$49,5,0)=0,"",VLOOKUP(E343,Sheet2!$W$4:$AA$49,5,0))</f>
        <v>[60002]</v>
      </c>
      <c r="J343" s="6">
        <v>0</v>
      </c>
      <c r="K343" s="6">
        <v>0</v>
      </c>
      <c r="L343" s="6">
        <f>IF(VLOOKUP(E343,Sheet2!$W$4:$X$49,2,0)=0,"",VLOOKUP(E343,Sheet2!$W$4:$X$49,2,0))</f>
        <v>1</v>
      </c>
      <c r="N343" s="6">
        <f>IF(VLOOKUP(E343,Sheet2!$W$4:$Y$49,3,0)=0,"",VLOOKUP(E343,Sheet2!$W$4:$Y$49,3,0))</f>
        <v>2002</v>
      </c>
      <c r="Q343" s="6" t="str">
        <f>IF(VLOOKUP(E343,Sheet2!$W$4:$Z$49,4,0)=0,"",VLOOKUP(E343,Sheet2!$W$4:$Z$49,4,0))</f>
        <v>[{50012,6}]</v>
      </c>
      <c r="R343" s="8">
        <v>24</v>
      </c>
      <c r="S343" s="14">
        <v>2</v>
      </c>
    </row>
    <row r="344" spans="1:19">
      <c r="A344" s="6">
        <f t="shared" si="22"/>
        <v>6821</v>
      </c>
      <c r="B344" s="6">
        <f t="shared" si="25"/>
        <v>68</v>
      </c>
      <c r="C344" s="6">
        <f t="shared" si="24"/>
        <v>4</v>
      </c>
      <c r="D344" s="6" t="s">
        <v>729</v>
      </c>
      <c r="E344" s="6">
        <v>506</v>
      </c>
      <c r="G344" s="6" t="s">
        <v>730</v>
      </c>
      <c r="H344" s="6">
        <f t="shared" si="23"/>
        <v>2</v>
      </c>
      <c r="I344" s="6" t="str">
        <f>IF(VLOOKUP(E344,Sheet2!$W$4:$AA$49,5,0)=0,"",VLOOKUP(E344,Sheet2!$W$4:$AA$49,5,0))</f>
        <v>[60002]</v>
      </c>
      <c r="J344" s="6">
        <v>0</v>
      </c>
      <c r="K344" s="6">
        <v>0</v>
      </c>
      <c r="L344" s="6">
        <f>IF(VLOOKUP(E344,Sheet2!$W$4:$X$49,2,0)=0,"",VLOOKUP(E344,Sheet2!$W$4:$X$49,2,0))</f>
        <v>1</v>
      </c>
      <c r="N344" s="6">
        <f>IF(VLOOKUP(E344,Sheet2!$W$4:$Y$49,3,0)=0,"",VLOOKUP(E344,Sheet2!$W$4:$Y$49,3,0))</f>
        <v>2002</v>
      </c>
      <c r="Q344" s="6" t="str">
        <f>IF(VLOOKUP(E344,Sheet2!$W$4:$Z$49,4,0)=0,"",VLOOKUP(E344,Sheet2!$W$4:$Z$49,4,0))</f>
        <v>[{50022,6}]</v>
      </c>
      <c r="R344" s="8">
        <v>100</v>
      </c>
      <c r="S344" s="14">
        <v>2</v>
      </c>
    </row>
    <row r="345" spans="1:19">
      <c r="A345" s="6">
        <f t="shared" si="22"/>
        <v>6831</v>
      </c>
      <c r="B345" s="6">
        <f t="shared" si="25"/>
        <v>68</v>
      </c>
      <c r="C345" s="6">
        <f t="shared" si="24"/>
        <v>5</v>
      </c>
      <c r="D345" s="6" t="s">
        <v>731</v>
      </c>
      <c r="E345" s="6">
        <v>506</v>
      </c>
      <c r="G345" s="6" t="s">
        <v>732</v>
      </c>
      <c r="H345" s="6">
        <f t="shared" si="23"/>
        <v>2</v>
      </c>
      <c r="I345" s="6" t="str">
        <f>IF(VLOOKUP(E345,Sheet2!$W$4:$AA$49,5,0)=0,"",VLOOKUP(E345,Sheet2!$W$4:$AA$49,5,0))</f>
        <v>[60002]</v>
      </c>
      <c r="J345" s="6">
        <v>0</v>
      </c>
      <c r="K345" s="6">
        <v>0</v>
      </c>
      <c r="L345" s="6">
        <f>IF(VLOOKUP(E345,Sheet2!$W$4:$X$49,2,0)=0,"",VLOOKUP(E345,Sheet2!$W$4:$X$49,2,0))</f>
        <v>1</v>
      </c>
      <c r="N345" s="6">
        <f>IF(VLOOKUP(E345,Sheet2!$W$4:$Y$49,3,0)=0,"",VLOOKUP(E345,Sheet2!$W$4:$Y$49,3,0))</f>
        <v>2002</v>
      </c>
      <c r="Q345" s="6" t="str">
        <f>IF(VLOOKUP(E345,Sheet2!$W$4:$Z$49,4,0)=0,"",VLOOKUP(E345,Sheet2!$W$4:$Z$49,4,0))</f>
        <v>[{50022,6}]</v>
      </c>
      <c r="R345" s="8">
        <v>100</v>
      </c>
      <c r="S345" s="14">
        <v>2</v>
      </c>
    </row>
    <row r="346" spans="1:19">
      <c r="A346" s="6">
        <f t="shared" si="22"/>
        <v>6901</v>
      </c>
      <c r="B346" s="6">
        <f t="shared" si="25"/>
        <v>69</v>
      </c>
      <c r="C346" s="6">
        <f t="shared" si="24"/>
        <v>1</v>
      </c>
      <c r="D346" s="6" t="s">
        <v>733</v>
      </c>
      <c r="E346" s="6">
        <v>108</v>
      </c>
      <c r="G346" s="6" t="s">
        <v>734</v>
      </c>
      <c r="H346" s="6">
        <f t="shared" si="23"/>
        <v>0</v>
      </c>
      <c r="I346" s="6" t="str">
        <f>IF(VLOOKUP(E346,Sheet2!$W$4:$AA$49,5,0)=0,"",VLOOKUP(E346,Sheet2!$W$4:$AA$49,5,0))</f>
        <v/>
      </c>
      <c r="J346" s="6">
        <v>0</v>
      </c>
      <c r="K346" s="6">
        <v>0</v>
      </c>
      <c r="L346" s="6" t="str">
        <f>IF(VLOOKUP(E346,Sheet2!$W$4:$X$49,2,0)=0,"",VLOOKUP(E346,Sheet2!$W$4:$X$49,2,0))</f>
        <v/>
      </c>
      <c r="N346" s="6" t="str">
        <f>IF(VLOOKUP(E346,Sheet2!$W$4:$Y$49,3,0)=0,"",VLOOKUP(E346,Sheet2!$W$4:$Y$49,3,0))</f>
        <v/>
      </c>
      <c r="Q346" s="6" t="str">
        <f>IF(VLOOKUP(E346,Sheet2!$W$4:$Z$49,4,0)=0,"",VLOOKUP(E346,Sheet2!$W$4:$Z$49,4,0))</f>
        <v/>
      </c>
      <c r="R346" s="8">
        <v>24</v>
      </c>
      <c r="S346" s="14">
        <v>2</v>
      </c>
    </row>
    <row r="347" spans="1:19">
      <c r="A347" s="6">
        <f t="shared" si="22"/>
        <v>6902</v>
      </c>
      <c r="B347" s="6">
        <f t="shared" si="25"/>
        <v>69</v>
      </c>
      <c r="C347" s="6">
        <f t="shared" si="24"/>
        <v>2</v>
      </c>
      <c r="D347" s="6" t="s">
        <v>735</v>
      </c>
      <c r="E347" s="6">
        <v>109</v>
      </c>
      <c r="G347" s="6" t="s">
        <v>736</v>
      </c>
      <c r="H347" s="6">
        <f t="shared" si="23"/>
        <v>0</v>
      </c>
      <c r="I347" s="6" t="str">
        <f>IF(VLOOKUP(E347,Sheet2!$W$4:$AA$49,5,0)=0,"",VLOOKUP(E347,Sheet2!$W$4:$AA$49,5,0))</f>
        <v/>
      </c>
      <c r="J347" s="6">
        <v>0</v>
      </c>
      <c r="K347" s="6">
        <v>0</v>
      </c>
      <c r="L347" s="6">
        <f>IF(VLOOKUP(E347,Sheet2!$W$4:$X$49,2,0)=0,"",VLOOKUP(E347,Sheet2!$W$4:$X$49,2,0))</f>
        <v>1</v>
      </c>
      <c r="N347" s="6" t="str">
        <f>IF(VLOOKUP(E347,Sheet2!$W$4:$Y$49,3,0)=0,"",VLOOKUP(E347,Sheet2!$W$4:$Y$49,3,0))</f>
        <v/>
      </c>
      <c r="Q347" s="6" t="str">
        <f>IF(VLOOKUP(E347,Sheet2!$W$4:$Z$49,4,0)=0,"",VLOOKUP(E347,Sheet2!$W$4:$Z$49,4,0))</f>
        <v>[{50014,6}]</v>
      </c>
      <c r="R347" s="8">
        <v>24</v>
      </c>
      <c r="S347" s="14">
        <v>2</v>
      </c>
    </row>
    <row r="348" spans="1:19">
      <c r="A348" s="6">
        <f t="shared" si="22"/>
        <v>6903</v>
      </c>
      <c r="B348" s="6">
        <f t="shared" si="25"/>
        <v>69</v>
      </c>
      <c r="C348" s="6">
        <f t="shared" si="24"/>
        <v>3</v>
      </c>
      <c r="D348" s="6" t="s">
        <v>737</v>
      </c>
      <c r="E348" s="6">
        <v>109</v>
      </c>
      <c r="G348" s="6" t="s">
        <v>738</v>
      </c>
      <c r="H348" s="6">
        <f t="shared" si="23"/>
        <v>0</v>
      </c>
      <c r="I348" s="6" t="str">
        <f>IF(VLOOKUP(E348,Sheet2!$W$4:$AA$49,5,0)=0,"",VLOOKUP(E348,Sheet2!$W$4:$AA$49,5,0))</f>
        <v/>
      </c>
      <c r="J348" s="6">
        <v>0</v>
      </c>
      <c r="K348" s="6">
        <v>0</v>
      </c>
      <c r="L348" s="6">
        <f>IF(VLOOKUP(E348,Sheet2!$W$4:$X$49,2,0)=0,"",VLOOKUP(E348,Sheet2!$W$4:$X$49,2,0))</f>
        <v>1</v>
      </c>
      <c r="N348" s="6" t="str">
        <f>IF(VLOOKUP(E348,Sheet2!$W$4:$Y$49,3,0)=0,"",VLOOKUP(E348,Sheet2!$W$4:$Y$49,3,0))</f>
        <v/>
      </c>
      <c r="Q348" s="6" t="str">
        <f>IF(VLOOKUP(E348,Sheet2!$W$4:$Z$49,4,0)=0,"",VLOOKUP(E348,Sheet2!$W$4:$Z$49,4,0))</f>
        <v>[{50014,6}]</v>
      </c>
      <c r="R348" s="8">
        <v>24</v>
      </c>
      <c r="S348" s="14">
        <v>2</v>
      </c>
    </row>
    <row r="349" spans="1:19">
      <c r="A349" s="6">
        <f t="shared" si="22"/>
        <v>6921</v>
      </c>
      <c r="B349" s="6">
        <f t="shared" si="25"/>
        <v>69</v>
      </c>
      <c r="C349" s="6">
        <f t="shared" si="24"/>
        <v>4</v>
      </c>
      <c r="D349" s="6" t="s">
        <v>739</v>
      </c>
      <c r="E349" s="6">
        <v>508</v>
      </c>
      <c r="G349" s="6" t="s">
        <v>740</v>
      </c>
      <c r="H349" s="6">
        <f t="shared" si="23"/>
        <v>2</v>
      </c>
      <c r="I349" s="6" t="str">
        <f>IF(VLOOKUP(E349,Sheet2!$W$4:$AA$49,5,0)=0,"",VLOOKUP(E349,Sheet2!$W$4:$AA$49,5,0))</f>
        <v/>
      </c>
      <c r="J349" s="6">
        <v>0</v>
      </c>
      <c r="K349" s="6">
        <v>0</v>
      </c>
      <c r="L349" s="6" t="str">
        <f>IF(VLOOKUP(E349,Sheet2!$W$4:$X$49,2,0)=0,"",VLOOKUP(E349,Sheet2!$W$4:$X$49,2,0))</f>
        <v/>
      </c>
      <c r="N349" s="6" t="str">
        <f>IF(VLOOKUP(E349,Sheet2!$W$4:$Y$49,3,0)=0,"",VLOOKUP(E349,Sheet2!$W$4:$Y$49,3,0))</f>
        <v/>
      </c>
      <c r="Q349" s="6" t="str">
        <f>IF(VLOOKUP(E349,Sheet2!$W$4:$Z$49,4,0)=0,"",VLOOKUP(E349,Sheet2!$W$4:$Z$49,4,0))</f>
        <v/>
      </c>
      <c r="R349" s="8">
        <v>100</v>
      </c>
      <c r="S349" s="14">
        <v>2</v>
      </c>
    </row>
    <row r="350" spans="1:19">
      <c r="A350" s="6">
        <f t="shared" si="22"/>
        <v>6931</v>
      </c>
      <c r="B350" s="6">
        <f t="shared" si="25"/>
        <v>69</v>
      </c>
      <c r="C350" s="6">
        <f t="shared" si="24"/>
        <v>5</v>
      </c>
      <c r="D350" s="6" t="s">
        <v>741</v>
      </c>
      <c r="E350" s="6">
        <v>508</v>
      </c>
      <c r="G350" s="6" t="s">
        <v>742</v>
      </c>
      <c r="H350" s="6">
        <f t="shared" si="23"/>
        <v>2</v>
      </c>
      <c r="I350" s="6" t="str">
        <f>IF(VLOOKUP(E350,Sheet2!$W$4:$AA$49,5,0)=0,"",VLOOKUP(E350,Sheet2!$W$4:$AA$49,5,0))</f>
        <v/>
      </c>
      <c r="J350" s="6">
        <v>0</v>
      </c>
      <c r="K350" s="6">
        <v>0</v>
      </c>
      <c r="L350" s="6" t="str">
        <f>IF(VLOOKUP(E350,Sheet2!$W$4:$X$49,2,0)=0,"",VLOOKUP(E350,Sheet2!$W$4:$X$49,2,0))</f>
        <v/>
      </c>
      <c r="N350" s="6" t="str">
        <f>IF(VLOOKUP(E350,Sheet2!$W$4:$Y$49,3,0)=0,"",VLOOKUP(E350,Sheet2!$W$4:$Y$49,3,0))</f>
        <v/>
      </c>
      <c r="Q350" s="6" t="str">
        <f>IF(VLOOKUP(E350,Sheet2!$W$4:$Z$49,4,0)=0,"",VLOOKUP(E350,Sheet2!$W$4:$Z$49,4,0))</f>
        <v/>
      </c>
      <c r="R350" s="8">
        <v>100</v>
      </c>
      <c r="S350" s="14">
        <v>2</v>
      </c>
    </row>
    <row r="351" spans="1:19">
      <c r="A351" s="6">
        <f t="shared" si="22"/>
        <v>7001</v>
      </c>
      <c r="B351" s="6">
        <f t="shared" si="25"/>
        <v>70</v>
      </c>
      <c r="C351" s="6">
        <f t="shared" si="24"/>
        <v>1</v>
      </c>
      <c r="D351" s="6" t="s">
        <v>743</v>
      </c>
      <c r="E351" s="6">
        <v>100</v>
      </c>
      <c r="G351" s="6" t="s">
        <v>744</v>
      </c>
      <c r="H351" s="6">
        <f t="shared" si="23"/>
        <v>0</v>
      </c>
      <c r="I351" s="6" t="str">
        <f>IF(VLOOKUP(E351,Sheet2!$W$4:$AA$49,5,0)=0,"",VLOOKUP(E351,Sheet2!$W$4:$AA$49,5,0))</f>
        <v>[60002]</v>
      </c>
      <c r="J351" s="6">
        <v>0</v>
      </c>
      <c r="K351" s="6">
        <v>0</v>
      </c>
      <c r="L351" s="6" t="str">
        <f>IF(VLOOKUP(E351,Sheet2!$W$4:$X$49,2,0)=0,"",VLOOKUP(E351,Sheet2!$W$4:$X$49,2,0))</f>
        <v/>
      </c>
      <c r="N351" s="6">
        <f>IF(VLOOKUP(E351,Sheet2!$W$4:$Y$49,3,0)=0,"",VLOOKUP(E351,Sheet2!$W$4:$Y$49,3,0))</f>
        <v>2001</v>
      </c>
      <c r="Q351" s="6" t="str">
        <f>IF(VLOOKUP(E351,Sheet2!$W$4:$Z$49,4,0)=0,"",VLOOKUP(E351,Sheet2!$W$4:$Z$49,4,0))</f>
        <v/>
      </c>
      <c r="R351" s="8">
        <v>24</v>
      </c>
      <c r="S351" s="14">
        <v>2</v>
      </c>
    </row>
    <row r="352" spans="1:19">
      <c r="A352" s="6">
        <f t="shared" si="22"/>
        <v>7002</v>
      </c>
      <c r="B352" s="6">
        <f t="shared" si="25"/>
        <v>70</v>
      </c>
      <c r="C352" s="6">
        <f t="shared" si="24"/>
        <v>2</v>
      </c>
      <c r="D352" s="6" t="s">
        <v>745</v>
      </c>
      <c r="E352" s="6">
        <v>102</v>
      </c>
      <c r="G352" s="6" t="s">
        <v>746</v>
      </c>
      <c r="H352" s="6">
        <f t="shared" si="23"/>
        <v>0</v>
      </c>
      <c r="I352" s="6" t="str">
        <f>IF(VLOOKUP(E352,Sheet2!$W$4:$AA$49,5,0)=0,"",VLOOKUP(E352,Sheet2!$W$4:$AA$49,5,0))</f>
        <v/>
      </c>
      <c r="J352" s="6">
        <v>0</v>
      </c>
      <c r="K352" s="6">
        <v>0</v>
      </c>
      <c r="L352" s="6">
        <f>IF(VLOOKUP(E352,Sheet2!$W$4:$X$49,2,0)=0,"",VLOOKUP(E352,Sheet2!$W$4:$X$49,2,0))</f>
        <v>1</v>
      </c>
      <c r="N352" s="6" t="str">
        <f>IF(VLOOKUP(E352,Sheet2!$W$4:$Y$49,3,0)=0,"",VLOOKUP(E352,Sheet2!$W$4:$Y$49,3,0))</f>
        <v/>
      </c>
      <c r="Q352" s="6" t="str">
        <f>IF(VLOOKUP(E352,Sheet2!$W$4:$Z$49,4,0)=0,"",VLOOKUP(E352,Sheet2!$W$4:$Z$49,4,0))</f>
        <v>[{50011,6}]</v>
      </c>
      <c r="R352" s="8">
        <v>24</v>
      </c>
      <c r="S352" s="14">
        <v>2</v>
      </c>
    </row>
    <row r="353" spans="1:19">
      <c r="A353" s="6">
        <f t="shared" si="22"/>
        <v>7003</v>
      </c>
      <c r="B353" s="6">
        <f t="shared" si="25"/>
        <v>70</v>
      </c>
      <c r="C353" s="6">
        <f t="shared" si="24"/>
        <v>3</v>
      </c>
      <c r="D353" s="6" t="s">
        <v>747</v>
      </c>
      <c r="E353" s="6">
        <v>105</v>
      </c>
      <c r="G353" s="6" t="s">
        <v>748</v>
      </c>
      <c r="H353" s="6">
        <f t="shared" si="23"/>
        <v>0</v>
      </c>
      <c r="I353" s="6" t="str">
        <f>IF(VLOOKUP(E353,Sheet2!$W$4:$AA$49,5,0)=0,"",VLOOKUP(E353,Sheet2!$W$4:$AA$49,5,0))</f>
        <v>[60003]</v>
      </c>
      <c r="J353" s="6">
        <v>0</v>
      </c>
      <c r="K353" s="6">
        <v>0</v>
      </c>
      <c r="L353" s="6" t="str">
        <f>IF(VLOOKUP(E353,Sheet2!$W$4:$X$49,2,0)=0,"",VLOOKUP(E353,Sheet2!$W$4:$X$49,2,0))</f>
        <v/>
      </c>
      <c r="N353" s="6" t="str">
        <f>IF(VLOOKUP(E353,Sheet2!$W$4:$Y$49,3,0)=0,"",VLOOKUP(E353,Sheet2!$W$4:$Y$49,3,0))</f>
        <v/>
      </c>
      <c r="Q353" s="6" t="str">
        <f>IF(VLOOKUP(E353,Sheet2!$W$4:$Z$49,4,0)=0,"",VLOOKUP(E353,Sheet2!$W$4:$Z$49,4,0))</f>
        <v/>
      </c>
      <c r="R353" s="8">
        <v>24</v>
      </c>
      <c r="S353" s="14">
        <v>2</v>
      </c>
    </row>
    <row r="354" spans="1:19">
      <c r="A354" s="6">
        <f t="shared" si="22"/>
        <v>7021</v>
      </c>
      <c r="B354" s="6">
        <f t="shared" si="25"/>
        <v>70</v>
      </c>
      <c r="C354" s="6">
        <f t="shared" si="24"/>
        <v>4</v>
      </c>
      <c r="D354" s="6" t="s">
        <v>749</v>
      </c>
      <c r="E354" s="6">
        <v>502</v>
      </c>
      <c r="G354" s="6" t="s">
        <v>750</v>
      </c>
      <c r="H354" s="6">
        <f t="shared" si="23"/>
        <v>2</v>
      </c>
      <c r="I354" s="6" t="str">
        <f>IF(VLOOKUP(E354,Sheet2!$W$4:$AA$49,5,0)=0,"",VLOOKUP(E354,Sheet2!$W$4:$AA$49,5,0))</f>
        <v/>
      </c>
      <c r="J354" s="6">
        <v>0</v>
      </c>
      <c r="K354" s="6">
        <v>0</v>
      </c>
      <c r="L354" s="6">
        <f>IF(VLOOKUP(E354,Sheet2!$W$4:$X$49,2,0)=0,"",VLOOKUP(E354,Sheet2!$W$4:$X$49,2,0))</f>
        <v>1</v>
      </c>
      <c r="N354" s="6" t="str">
        <f>IF(VLOOKUP(E354,Sheet2!$W$4:$Y$49,3,0)=0,"",VLOOKUP(E354,Sheet2!$W$4:$Y$49,3,0))</f>
        <v/>
      </c>
      <c r="Q354" s="6" t="str">
        <f>IF(VLOOKUP(E354,Sheet2!$W$4:$Z$49,4,0)=0,"",VLOOKUP(E354,Sheet2!$W$4:$Z$49,4,0))</f>
        <v>[{50021,6}]</v>
      </c>
      <c r="R354" s="8">
        <v>100</v>
      </c>
      <c r="S354" s="14">
        <v>2</v>
      </c>
    </row>
    <row r="355" spans="1:19">
      <c r="A355" s="6">
        <f t="shared" si="22"/>
        <v>7031</v>
      </c>
      <c r="B355" s="6">
        <f t="shared" si="25"/>
        <v>70</v>
      </c>
      <c r="C355" s="6">
        <f t="shared" si="24"/>
        <v>5</v>
      </c>
      <c r="D355" s="6" t="s">
        <v>751</v>
      </c>
      <c r="E355" s="6">
        <v>500</v>
      </c>
      <c r="G355" s="6" t="s">
        <v>752</v>
      </c>
      <c r="H355" s="6">
        <f t="shared" si="23"/>
        <v>2</v>
      </c>
      <c r="I355" s="6" t="str">
        <f>IF(VLOOKUP(E355,Sheet2!$W$4:$AA$49,5,0)=0,"",VLOOKUP(E355,Sheet2!$W$4:$AA$49,5,0))</f>
        <v>[60002]</v>
      </c>
      <c r="J355" s="6">
        <v>0</v>
      </c>
      <c r="K355" s="6">
        <v>0</v>
      </c>
      <c r="L355" s="6" t="str">
        <f>IF(VLOOKUP(E355,Sheet2!$W$4:$X$49,2,0)=0,"",VLOOKUP(E355,Sheet2!$W$4:$X$49,2,0))</f>
        <v/>
      </c>
      <c r="N355" s="6">
        <f>IF(VLOOKUP(E355,Sheet2!$W$4:$Y$49,3,0)=0,"",VLOOKUP(E355,Sheet2!$W$4:$Y$49,3,0))</f>
        <v>2001</v>
      </c>
      <c r="Q355" s="6" t="str">
        <f>IF(VLOOKUP(E355,Sheet2!$W$4:$Z$49,4,0)=0,"",VLOOKUP(E355,Sheet2!$W$4:$Z$49,4,0))</f>
        <v/>
      </c>
      <c r="R355" s="8">
        <v>100</v>
      </c>
      <c r="S355" s="14">
        <v>2</v>
      </c>
    </row>
    <row r="356" spans="1:19">
      <c r="A356" s="6">
        <f t="shared" ref="A356:A380" si="26">A351+100</f>
        <v>7101</v>
      </c>
      <c r="B356" s="6">
        <f t="shared" si="25"/>
        <v>71</v>
      </c>
      <c r="C356" s="6">
        <f t="shared" si="24"/>
        <v>1</v>
      </c>
      <c r="D356" s="6" t="s">
        <v>753</v>
      </c>
      <c r="E356" s="6">
        <v>111</v>
      </c>
      <c r="G356" s="6" t="s">
        <v>754</v>
      </c>
      <c r="H356" s="6">
        <f t="shared" si="23"/>
        <v>0</v>
      </c>
      <c r="I356" s="6" t="str">
        <f>IF(VLOOKUP(E356,Sheet2!$W$4:$AA$49,5,0)=0,"",VLOOKUP(E356,Sheet2!$W$4:$AA$49,5,0))</f>
        <v/>
      </c>
      <c r="J356" s="6">
        <v>0</v>
      </c>
      <c r="K356" s="6">
        <v>0</v>
      </c>
      <c r="L356" s="6" t="str">
        <f>IF(VLOOKUP(E356,Sheet2!$W$4:$X$49,2,0)=0,"",VLOOKUP(E356,Sheet2!$W$4:$X$49,2,0))</f>
        <v/>
      </c>
      <c r="N356" s="6" t="str">
        <f>IF(VLOOKUP(E356,Sheet2!$W$4:$Y$49,3,0)=0,"",VLOOKUP(E356,Sheet2!$W$4:$Y$49,3,0))</f>
        <v/>
      </c>
      <c r="Q356" s="6" t="str">
        <f>IF(VLOOKUP(E356,Sheet2!$W$4:$Z$49,4,0)=0,"",VLOOKUP(E356,Sheet2!$W$4:$Z$49,4,0))</f>
        <v/>
      </c>
      <c r="R356" s="8">
        <v>24</v>
      </c>
      <c r="S356" s="14">
        <v>2</v>
      </c>
    </row>
    <row r="357" spans="1:19">
      <c r="A357" s="6">
        <f t="shared" si="26"/>
        <v>7102</v>
      </c>
      <c r="B357" s="6">
        <f t="shared" si="25"/>
        <v>71</v>
      </c>
      <c r="C357" s="6">
        <f t="shared" si="24"/>
        <v>2</v>
      </c>
      <c r="D357" s="6" t="s">
        <v>755</v>
      </c>
      <c r="E357" s="6">
        <v>112</v>
      </c>
      <c r="G357" s="6" t="s">
        <v>756</v>
      </c>
      <c r="H357" s="6">
        <f t="shared" si="23"/>
        <v>0</v>
      </c>
      <c r="I357" s="6" t="str">
        <f>IF(VLOOKUP(E357,Sheet2!$W$4:$AA$49,5,0)=0,"",VLOOKUP(E357,Sheet2!$W$4:$AA$49,5,0))</f>
        <v/>
      </c>
      <c r="J357" s="6">
        <v>0</v>
      </c>
      <c r="K357" s="6">
        <v>0</v>
      </c>
      <c r="L357" s="6">
        <f>IF(VLOOKUP(E357,Sheet2!$W$4:$X$49,2,0)=0,"",VLOOKUP(E357,Sheet2!$W$4:$X$49,2,0))</f>
        <v>1</v>
      </c>
      <c r="N357" s="6" t="str">
        <f>IF(VLOOKUP(E357,Sheet2!$W$4:$Y$49,3,0)=0,"",VLOOKUP(E357,Sheet2!$W$4:$Y$49,3,0))</f>
        <v/>
      </c>
      <c r="Q357" s="6" t="str">
        <f>IF(VLOOKUP(E357,Sheet2!$W$4:$Z$49,4,0)=0,"",VLOOKUP(E357,Sheet2!$W$4:$Z$49,4,0))</f>
        <v>[{50015,6}]</v>
      </c>
      <c r="R357" s="8">
        <v>24</v>
      </c>
      <c r="S357" s="14">
        <v>2</v>
      </c>
    </row>
    <row r="358" spans="1:19">
      <c r="A358" s="6">
        <f t="shared" si="26"/>
        <v>7103</v>
      </c>
      <c r="B358" s="6">
        <f t="shared" si="25"/>
        <v>71</v>
      </c>
      <c r="C358" s="6">
        <f t="shared" si="24"/>
        <v>3</v>
      </c>
      <c r="D358" s="6" t="s">
        <v>757</v>
      </c>
      <c r="E358" s="6">
        <v>113</v>
      </c>
      <c r="G358" s="6" t="s">
        <v>758</v>
      </c>
      <c r="H358" s="6">
        <f t="shared" si="23"/>
        <v>0</v>
      </c>
      <c r="I358" s="6" t="str">
        <f>IF(VLOOKUP(E358,Sheet2!$W$4:$AA$49,5,0)=0,"",VLOOKUP(E358,Sheet2!$W$4:$AA$49,5,0))</f>
        <v>[60005]</v>
      </c>
      <c r="J358" s="6">
        <v>0</v>
      </c>
      <c r="K358" s="6">
        <v>0</v>
      </c>
      <c r="L358" s="6">
        <f>IF(VLOOKUP(E358,Sheet2!$W$4:$X$49,2,0)=0,"",VLOOKUP(E358,Sheet2!$W$4:$X$49,2,0))</f>
        <v>1</v>
      </c>
      <c r="N358" s="6" t="str">
        <f>IF(VLOOKUP(E358,Sheet2!$W$4:$Y$49,3,0)=0,"",VLOOKUP(E358,Sheet2!$W$4:$Y$49,3,0))</f>
        <v/>
      </c>
      <c r="Q358" s="6" t="str">
        <f>IF(VLOOKUP(E358,Sheet2!$W$4:$Z$49,4,0)=0,"",VLOOKUP(E358,Sheet2!$W$4:$Z$49,4,0))</f>
        <v>[{50016,6}]</v>
      </c>
      <c r="R358" s="8">
        <v>24</v>
      </c>
      <c r="S358" s="14">
        <v>2</v>
      </c>
    </row>
    <row r="359" spans="1:19">
      <c r="A359" s="6">
        <f t="shared" si="26"/>
        <v>7121</v>
      </c>
      <c r="B359" s="6">
        <f t="shared" si="25"/>
        <v>71</v>
      </c>
      <c r="C359" s="6">
        <f t="shared" si="24"/>
        <v>4</v>
      </c>
      <c r="D359" s="6" t="s">
        <v>759</v>
      </c>
      <c r="E359" s="6">
        <v>511</v>
      </c>
      <c r="G359" s="6" t="s">
        <v>760</v>
      </c>
      <c r="H359" s="6">
        <f t="shared" si="23"/>
        <v>2</v>
      </c>
      <c r="I359" s="6" t="str">
        <f>IF(VLOOKUP(E359,Sheet2!$W$4:$AA$49,5,0)=0,"",VLOOKUP(E359,Sheet2!$W$4:$AA$49,5,0))</f>
        <v/>
      </c>
      <c r="J359" s="6">
        <v>0</v>
      </c>
      <c r="K359" s="6">
        <v>0</v>
      </c>
      <c r="L359" s="6" t="str">
        <f>IF(VLOOKUP(E359,Sheet2!$W$4:$X$49,2,0)=0,"",VLOOKUP(E359,Sheet2!$W$4:$X$49,2,0))</f>
        <v/>
      </c>
      <c r="N359" s="6" t="str">
        <f>IF(VLOOKUP(E359,Sheet2!$W$4:$Y$49,3,0)=0,"",VLOOKUP(E359,Sheet2!$W$4:$Y$49,3,0))</f>
        <v/>
      </c>
      <c r="Q359" s="6" t="str">
        <f>IF(VLOOKUP(E359,Sheet2!$W$4:$Z$49,4,0)=0,"",VLOOKUP(E359,Sheet2!$W$4:$Z$49,4,0))</f>
        <v/>
      </c>
      <c r="R359" s="8">
        <v>100</v>
      </c>
      <c r="S359" s="14">
        <v>2</v>
      </c>
    </row>
    <row r="360" spans="1:19">
      <c r="A360" s="6">
        <f t="shared" si="26"/>
        <v>7131</v>
      </c>
      <c r="B360" s="6">
        <f t="shared" si="25"/>
        <v>71</v>
      </c>
      <c r="C360" s="6">
        <f t="shared" si="24"/>
        <v>5</v>
      </c>
      <c r="D360" s="6" t="s">
        <v>761</v>
      </c>
      <c r="E360" s="6">
        <v>511</v>
      </c>
      <c r="G360" s="6" t="s">
        <v>762</v>
      </c>
      <c r="H360" s="6">
        <f t="shared" si="23"/>
        <v>2</v>
      </c>
      <c r="I360" s="6" t="str">
        <f>IF(VLOOKUP(E360,Sheet2!$W$4:$AA$49,5,0)=0,"",VLOOKUP(E360,Sheet2!$W$4:$AA$49,5,0))</f>
        <v/>
      </c>
      <c r="J360" s="6">
        <v>0</v>
      </c>
      <c r="K360" s="6">
        <v>0</v>
      </c>
      <c r="L360" s="6" t="str">
        <f>IF(VLOOKUP(E360,Sheet2!$W$4:$X$49,2,0)=0,"",VLOOKUP(E360,Sheet2!$W$4:$X$49,2,0))</f>
        <v/>
      </c>
      <c r="N360" s="6" t="str">
        <f>IF(VLOOKUP(E360,Sheet2!$W$4:$Y$49,3,0)=0,"",VLOOKUP(E360,Sheet2!$W$4:$Y$49,3,0))</f>
        <v/>
      </c>
      <c r="Q360" s="6" t="str">
        <f>IF(VLOOKUP(E360,Sheet2!$W$4:$Z$49,4,0)=0,"",VLOOKUP(E360,Sheet2!$W$4:$Z$49,4,0))</f>
        <v/>
      </c>
      <c r="R360" s="8">
        <v>100</v>
      </c>
      <c r="S360" s="14">
        <v>2</v>
      </c>
    </row>
    <row r="361" spans="1:19">
      <c r="A361" s="6">
        <f t="shared" si="26"/>
        <v>7201</v>
      </c>
      <c r="B361" s="6">
        <f t="shared" si="25"/>
        <v>72</v>
      </c>
      <c r="C361" s="6">
        <f t="shared" si="24"/>
        <v>1</v>
      </c>
      <c r="D361" s="6" t="s">
        <v>763</v>
      </c>
      <c r="E361" s="6">
        <v>111</v>
      </c>
      <c r="G361" s="6" t="s">
        <v>764</v>
      </c>
      <c r="H361" s="6">
        <f t="shared" si="23"/>
        <v>0</v>
      </c>
      <c r="I361" s="6" t="str">
        <f>IF(VLOOKUP(E361,Sheet2!$W$4:$AA$49,5,0)=0,"",VLOOKUP(E361,Sheet2!$W$4:$AA$49,5,0))</f>
        <v/>
      </c>
      <c r="J361" s="6">
        <v>0</v>
      </c>
      <c r="K361" s="6">
        <v>0</v>
      </c>
      <c r="L361" s="6" t="str">
        <f>IF(VLOOKUP(E361,Sheet2!$W$4:$X$49,2,0)=0,"",VLOOKUP(E361,Sheet2!$W$4:$X$49,2,0))</f>
        <v/>
      </c>
      <c r="N361" s="6" t="str">
        <f>IF(VLOOKUP(E361,Sheet2!$W$4:$Y$49,3,0)=0,"",VLOOKUP(E361,Sheet2!$W$4:$Y$49,3,0))</f>
        <v/>
      </c>
      <c r="Q361" s="6" t="str">
        <f>IF(VLOOKUP(E361,Sheet2!$W$4:$Z$49,4,0)=0,"",VLOOKUP(E361,Sheet2!$W$4:$Z$49,4,0))</f>
        <v/>
      </c>
      <c r="R361" s="8">
        <v>24</v>
      </c>
      <c r="S361" s="14">
        <v>2</v>
      </c>
    </row>
    <row r="362" spans="1:19">
      <c r="A362" s="6">
        <f t="shared" si="26"/>
        <v>7202</v>
      </c>
      <c r="B362" s="6">
        <f t="shared" si="25"/>
        <v>72</v>
      </c>
      <c r="C362" s="6">
        <f t="shared" si="24"/>
        <v>2</v>
      </c>
      <c r="D362" s="6" t="s">
        <v>765</v>
      </c>
      <c r="E362" s="6">
        <v>112</v>
      </c>
      <c r="G362" s="6" t="s">
        <v>766</v>
      </c>
      <c r="H362" s="6">
        <f t="shared" si="23"/>
        <v>0</v>
      </c>
      <c r="I362" s="6" t="str">
        <f>IF(VLOOKUP(E362,Sheet2!$W$4:$AA$49,5,0)=0,"",VLOOKUP(E362,Sheet2!$W$4:$AA$49,5,0))</f>
        <v/>
      </c>
      <c r="J362" s="6">
        <v>0</v>
      </c>
      <c r="K362" s="6">
        <v>0</v>
      </c>
      <c r="L362" s="6">
        <f>IF(VLOOKUP(E362,Sheet2!$W$4:$X$49,2,0)=0,"",VLOOKUP(E362,Sheet2!$W$4:$X$49,2,0))</f>
        <v>1</v>
      </c>
      <c r="N362" s="6" t="str">
        <f>IF(VLOOKUP(E362,Sheet2!$W$4:$Y$49,3,0)=0,"",VLOOKUP(E362,Sheet2!$W$4:$Y$49,3,0))</f>
        <v/>
      </c>
      <c r="Q362" s="6" t="str">
        <f>IF(VLOOKUP(E362,Sheet2!$W$4:$Z$49,4,0)=0,"",VLOOKUP(E362,Sheet2!$W$4:$Z$49,4,0))</f>
        <v>[{50015,6}]</v>
      </c>
      <c r="R362" s="8">
        <v>24</v>
      </c>
      <c r="S362" s="14">
        <v>2</v>
      </c>
    </row>
    <row r="363" spans="1:19">
      <c r="A363" s="6">
        <f t="shared" si="26"/>
        <v>7203</v>
      </c>
      <c r="B363" s="6">
        <f t="shared" si="25"/>
        <v>72</v>
      </c>
      <c r="C363" s="6">
        <f t="shared" si="24"/>
        <v>3</v>
      </c>
      <c r="D363" s="6" t="s">
        <v>767</v>
      </c>
      <c r="E363" s="6">
        <v>115</v>
      </c>
      <c r="G363" s="6" t="s">
        <v>768</v>
      </c>
      <c r="H363" s="6">
        <f t="shared" si="23"/>
        <v>0</v>
      </c>
      <c r="I363" s="6" t="str">
        <f>IF(VLOOKUP(E363,Sheet2!$W$4:$AA$49,5,0)=0,"",VLOOKUP(E363,Sheet2!$W$4:$AA$49,5,0))</f>
        <v/>
      </c>
      <c r="J363" s="6">
        <v>0</v>
      </c>
      <c r="K363" s="6">
        <v>0</v>
      </c>
      <c r="L363" s="6" t="str">
        <f>IF(VLOOKUP(E363,Sheet2!$W$4:$X$49,2,0)=0,"",VLOOKUP(E363,Sheet2!$W$4:$X$49,2,0))</f>
        <v/>
      </c>
      <c r="N363" s="6" t="str">
        <f>IF(VLOOKUP(E363,Sheet2!$W$4:$Y$49,3,0)=0,"",VLOOKUP(E363,Sheet2!$W$4:$Y$49,3,0))</f>
        <v/>
      </c>
      <c r="Q363" s="6" t="str">
        <f>IF(VLOOKUP(E363,Sheet2!$W$4:$Z$49,4,0)=0,"",VLOOKUP(E363,Sheet2!$W$4:$Z$49,4,0))</f>
        <v/>
      </c>
      <c r="R363" s="8">
        <v>24</v>
      </c>
      <c r="S363" s="14">
        <v>2</v>
      </c>
    </row>
    <row r="364" spans="1:19">
      <c r="A364" s="6">
        <f t="shared" si="26"/>
        <v>7221</v>
      </c>
      <c r="B364" s="6">
        <f t="shared" si="25"/>
        <v>72</v>
      </c>
      <c r="C364" s="6">
        <f t="shared" si="24"/>
        <v>4</v>
      </c>
      <c r="D364" s="6" t="s">
        <v>769</v>
      </c>
      <c r="E364" s="6">
        <v>512</v>
      </c>
      <c r="G364" s="6" t="s">
        <v>770</v>
      </c>
      <c r="H364" s="6">
        <f t="shared" si="23"/>
        <v>2</v>
      </c>
      <c r="I364" s="6" t="str">
        <f>IF(VLOOKUP(E364,Sheet2!$W$4:$AA$49,5,0)=0,"",VLOOKUP(E364,Sheet2!$W$4:$AA$49,5,0))</f>
        <v/>
      </c>
      <c r="J364" s="6">
        <v>0</v>
      </c>
      <c r="K364" s="6">
        <v>0</v>
      </c>
      <c r="L364" s="6">
        <f>IF(VLOOKUP(E364,Sheet2!$W$4:$X$49,2,0)=0,"",VLOOKUP(E364,Sheet2!$W$4:$X$49,2,0))</f>
        <v>1</v>
      </c>
      <c r="N364" s="6" t="str">
        <f>IF(VLOOKUP(E364,Sheet2!$W$4:$Y$49,3,0)=0,"",VLOOKUP(E364,Sheet2!$W$4:$Y$49,3,0))</f>
        <v/>
      </c>
      <c r="Q364" s="6" t="str">
        <f>IF(VLOOKUP(E364,Sheet2!$W$4:$Z$49,4,0)=0,"",VLOOKUP(E364,Sheet2!$W$4:$Z$49,4,0))</f>
        <v>[{50025,6}]</v>
      </c>
      <c r="R364" s="8">
        <v>100</v>
      </c>
      <c r="S364" s="14">
        <v>2</v>
      </c>
    </row>
    <row r="365" spans="1:19">
      <c r="A365" s="6">
        <f t="shared" si="26"/>
        <v>7231</v>
      </c>
      <c r="B365" s="6">
        <f t="shared" si="25"/>
        <v>72</v>
      </c>
      <c r="C365" s="6">
        <f t="shared" si="24"/>
        <v>5</v>
      </c>
      <c r="D365" s="6" t="s">
        <v>771</v>
      </c>
      <c r="E365" s="6">
        <v>512</v>
      </c>
      <c r="G365" s="6" t="s">
        <v>772</v>
      </c>
      <c r="H365" s="6">
        <f t="shared" si="23"/>
        <v>2</v>
      </c>
      <c r="I365" s="6" t="str">
        <f>IF(VLOOKUP(E365,Sheet2!$W$4:$AA$49,5,0)=0,"",VLOOKUP(E365,Sheet2!$W$4:$AA$49,5,0))</f>
        <v/>
      </c>
      <c r="J365" s="6">
        <v>0</v>
      </c>
      <c r="K365" s="6">
        <v>0</v>
      </c>
      <c r="L365" s="6">
        <f>IF(VLOOKUP(E365,Sheet2!$W$4:$X$49,2,0)=0,"",VLOOKUP(E365,Sheet2!$W$4:$X$49,2,0))</f>
        <v>1</v>
      </c>
      <c r="N365" s="6" t="str">
        <f>IF(VLOOKUP(E365,Sheet2!$W$4:$Y$49,3,0)=0,"",VLOOKUP(E365,Sheet2!$W$4:$Y$49,3,0))</f>
        <v/>
      </c>
      <c r="Q365" s="6" t="str">
        <f>IF(VLOOKUP(E365,Sheet2!$W$4:$Z$49,4,0)=0,"",VLOOKUP(E365,Sheet2!$W$4:$Z$49,4,0))</f>
        <v>[{50025,6}]</v>
      </c>
      <c r="R365" s="8">
        <v>100</v>
      </c>
      <c r="S365" s="14">
        <v>2</v>
      </c>
    </row>
    <row r="366" spans="1:19">
      <c r="A366" s="6">
        <f t="shared" si="26"/>
        <v>7301</v>
      </c>
      <c r="B366" s="6">
        <f t="shared" si="25"/>
        <v>73</v>
      </c>
      <c r="C366" s="6">
        <f t="shared" si="24"/>
        <v>1</v>
      </c>
      <c r="D366" s="6" t="s">
        <v>773</v>
      </c>
      <c r="E366" s="6">
        <v>101</v>
      </c>
      <c r="G366" s="6" t="s">
        <v>774</v>
      </c>
      <c r="H366" s="6">
        <f t="shared" si="23"/>
        <v>0</v>
      </c>
      <c r="I366" s="6" t="str">
        <f>IF(VLOOKUP(E366,Sheet2!$W$4:$AA$49,5,0)=0,"",VLOOKUP(E366,Sheet2!$W$4:$AA$49,5,0))</f>
        <v/>
      </c>
      <c r="J366" s="6">
        <v>0</v>
      </c>
      <c r="K366" s="6">
        <v>0</v>
      </c>
      <c r="L366" s="6" t="str">
        <f>IF(VLOOKUP(E366,Sheet2!$W$4:$X$49,2,0)=0,"",VLOOKUP(E366,Sheet2!$W$4:$X$49,2,0))</f>
        <v/>
      </c>
      <c r="N366" s="6" t="str">
        <f>IF(VLOOKUP(E366,Sheet2!$W$4:$Y$49,3,0)=0,"",VLOOKUP(E366,Sheet2!$W$4:$Y$49,3,0))</f>
        <v/>
      </c>
      <c r="Q366" s="6" t="str">
        <f>IF(VLOOKUP(E366,Sheet2!$W$4:$Z$49,4,0)=0,"",VLOOKUP(E366,Sheet2!$W$4:$Z$49,4,0))</f>
        <v/>
      </c>
      <c r="R366" s="8">
        <v>24</v>
      </c>
      <c r="S366" s="14">
        <v>2</v>
      </c>
    </row>
    <row r="367" spans="1:19">
      <c r="A367" s="6">
        <f t="shared" si="26"/>
        <v>7302</v>
      </c>
      <c r="B367" s="6">
        <f t="shared" si="25"/>
        <v>73</v>
      </c>
      <c r="C367" s="6">
        <f t="shared" si="24"/>
        <v>2</v>
      </c>
      <c r="D367" s="6" t="s">
        <v>775</v>
      </c>
      <c r="E367" s="6">
        <v>100</v>
      </c>
      <c r="G367" s="6" t="s">
        <v>776</v>
      </c>
      <c r="H367" s="6">
        <f t="shared" si="23"/>
        <v>0</v>
      </c>
      <c r="I367" s="6" t="str">
        <f>IF(VLOOKUP(E367,Sheet2!$W$4:$AA$49,5,0)=0,"",VLOOKUP(E367,Sheet2!$W$4:$AA$49,5,0))</f>
        <v>[60002]</v>
      </c>
      <c r="J367" s="6">
        <v>0</v>
      </c>
      <c r="K367" s="6">
        <v>0</v>
      </c>
      <c r="L367" s="6" t="str">
        <f>IF(VLOOKUP(E367,Sheet2!$W$4:$X$49,2,0)=0,"",VLOOKUP(E367,Sheet2!$W$4:$X$49,2,0))</f>
        <v/>
      </c>
      <c r="N367" s="6">
        <f>IF(VLOOKUP(E367,Sheet2!$W$4:$Y$49,3,0)=0,"",VLOOKUP(E367,Sheet2!$W$4:$Y$49,3,0))</f>
        <v>2001</v>
      </c>
      <c r="Q367" s="6" t="str">
        <f>IF(VLOOKUP(E367,Sheet2!$W$4:$Z$49,4,0)=0,"",VLOOKUP(E367,Sheet2!$W$4:$Z$49,4,0))</f>
        <v/>
      </c>
      <c r="R367" s="8">
        <v>24</v>
      </c>
      <c r="S367" s="14">
        <v>2</v>
      </c>
    </row>
    <row r="368" spans="1:19">
      <c r="A368" s="6">
        <f t="shared" si="26"/>
        <v>7303</v>
      </c>
      <c r="B368" s="6">
        <f t="shared" si="25"/>
        <v>73</v>
      </c>
      <c r="C368" s="6">
        <f t="shared" si="24"/>
        <v>3</v>
      </c>
      <c r="D368" s="6" t="s">
        <v>777</v>
      </c>
      <c r="E368" s="6">
        <v>102</v>
      </c>
      <c r="G368" s="6" t="s">
        <v>778</v>
      </c>
      <c r="H368" s="6">
        <f t="shared" si="23"/>
        <v>0</v>
      </c>
      <c r="I368" s="6" t="str">
        <f>IF(VLOOKUP(E368,Sheet2!$W$4:$AA$49,5,0)=0,"",VLOOKUP(E368,Sheet2!$W$4:$AA$49,5,0))</f>
        <v/>
      </c>
      <c r="J368" s="6">
        <v>0</v>
      </c>
      <c r="K368" s="6">
        <v>0</v>
      </c>
      <c r="L368" s="6">
        <f>IF(VLOOKUP(E368,Sheet2!$W$4:$X$49,2,0)=0,"",VLOOKUP(E368,Sheet2!$W$4:$X$49,2,0))</f>
        <v>1</v>
      </c>
      <c r="N368" s="6" t="str">
        <f>IF(VLOOKUP(E368,Sheet2!$W$4:$Y$49,3,0)=0,"",VLOOKUP(E368,Sheet2!$W$4:$Y$49,3,0))</f>
        <v/>
      </c>
      <c r="Q368" s="6" t="str">
        <f>IF(VLOOKUP(E368,Sheet2!$W$4:$Z$49,4,0)=0,"",VLOOKUP(E368,Sheet2!$W$4:$Z$49,4,0))</f>
        <v>[{50011,6}]</v>
      </c>
      <c r="R368" s="8">
        <v>24</v>
      </c>
      <c r="S368" s="14">
        <v>2</v>
      </c>
    </row>
    <row r="369" spans="1:19">
      <c r="A369" s="6">
        <f t="shared" si="26"/>
        <v>7321</v>
      </c>
      <c r="B369" s="6">
        <f t="shared" si="25"/>
        <v>73</v>
      </c>
      <c r="C369" s="6">
        <f t="shared" si="24"/>
        <v>4</v>
      </c>
      <c r="D369" s="6" t="s">
        <v>779</v>
      </c>
      <c r="E369" s="6">
        <v>501</v>
      </c>
      <c r="G369" s="6" t="s">
        <v>780</v>
      </c>
      <c r="H369" s="6">
        <f t="shared" si="23"/>
        <v>2</v>
      </c>
      <c r="I369" s="6" t="str">
        <f>IF(VLOOKUP(E369,Sheet2!$W$4:$AA$49,5,0)=0,"",VLOOKUP(E369,Sheet2!$W$4:$AA$49,5,0))</f>
        <v/>
      </c>
      <c r="J369" s="6">
        <v>0</v>
      </c>
      <c r="K369" s="6">
        <v>0</v>
      </c>
      <c r="L369" s="6" t="str">
        <f>IF(VLOOKUP(E369,Sheet2!$W$4:$X$49,2,0)=0,"",VLOOKUP(E369,Sheet2!$W$4:$X$49,2,0))</f>
        <v/>
      </c>
      <c r="N369" s="6" t="str">
        <f>IF(VLOOKUP(E369,Sheet2!$W$4:$Y$49,3,0)=0,"",VLOOKUP(E369,Sheet2!$W$4:$Y$49,3,0))</f>
        <v/>
      </c>
      <c r="Q369" s="6" t="str">
        <f>IF(VLOOKUP(E369,Sheet2!$W$4:$Z$49,4,0)=0,"",VLOOKUP(E369,Sheet2!$W$4:$Z$49,4,0))</f>
        <v/>
      </c>
      <c r="R369" s="8">
        <v>100</v>
      </c>
      <c r="S369" s="14">
        <v>2</v>
      </c>
    </row>
    <row r="370" spans="1:19">
      <c r="A370" s="6">
        <f t="shared" si="26"/>
        <v>7331</v>
      </c>
      <c r="B370" s="6">
        <f t="shared" si="25"/>
        <v>73</v>
      </c>
      <c r="C370" s="6">
        <f t="shared" si="24"/>
        <v>5</v>
      </c>
      <c r="D370" s="6" t="s">
        <v>781</v>
      </c>
      <c r="E370" s="6">
        <v>501</v>
      </c>
      <c r="G370" s="6" t="s">
        <v>782</v>
      </c>
      <c r="H370" s="6">
        <f t="shared" ref="H370:H380" si="27">H365</f>
        <v>2</v>
      </c>
      <c r="I370" s="6" t="str">
        <f>IF(VLOOKUP(E370,Sheet2!$W$4:$AA$49,5,0)=0,"",VLOOKUP(E370,Sheet2!$W$4:$AA$49,5,0))</f>
        <v/>
      </c>
      <c r="J370" s="6">
        <v>0</v>
      </c>
      <c r="K370" s="6">
        <v>0</v>
      </c>
      <c r="L370" s="6" t="str">
        <f>IF(VLOOKUP(E370,Sheet2!$W$4:$X$49,2,0)=0,"",VLOOKUP(E370,Sheet2!$W$4:$X$49,2,0))</f>
        <v/>
      </c>
      <c r="N370" s="6" t="str">
        <f>IF(VLOOKUP(E370,Sheet2!$W$4:$Y$49,3,0)=0,"",VLOOKUP(E370,Sheet2!$W$4:$Y$49,3,0))</f>
        <v/>
      </c>
      <c r="Q370" s="6" t="str">
        <f>IF(VLOOKUP(E370,Sheet2!$W$4:$Z$49,4,0)=0,"",VLOOKUP(E370,Sheet2!$W$4:$Z$49,4,0))</f>
        <v/>
      </c>
      <c r="R370" s="8">
        <v>100</v>
      </c>
      <c r="S370" s="14">
        <v>2</v>
      </c>
    </row>
    <row r="371" spans="1:19">
      <c r="A371" s="6">
        <f t="shared" si="26"/>
        <v>7401</v>
      </c>
      <c r="B371" s="6">
        <f t="shared" si="25"/>
        <v>74</v>
      </c>
      <c r="C371" s="6">
        <f t="shared" si="24"/>
        <v>1</v>
      </c>
      <c r="D371" s="6" t="s">
        <v>783</v>
      </c>
      <c r="E371" s="6">
        <v>101</v>
      </c>
      <c r="G371" s="6" t="s">
        <v>784</v>
      </c>
      <c r="H371" s="6">
        <f t="shared" si="27"/>
        <v>0</v>
      </c>
      <c r="I371" s="6" t="str">
        <f>IF(VLOOKUP(E371,Sheet2!$W$4:$AA$49,5,0)=0,"",VLOOKUP(E371,Sheet2!$W$4:$AA$49,5,0))</f>
        <v/>
      </c>
      <c r="J371" s="6">
        <v>0</v>
      </c>
      <c r="K371" s="6">
        <v>0</v>
      </c>
      <c r="L371" s="6" t="str">
        <f>IF(VLOOKUP(E371,Sheet2!$W$4:$X$49,2,0)=0,"",VLOOKUP(E371,Sheet2!$W$4:$X$49,2,0))</f>
        <v/>
      </c>
      <c r="N371" s="6" t="str">
        <f>IF(VLOOKUP(E371,Sheet2!$W$4:$Y$49,3,0)=0,"",VLOOKUP(E371,Sheet2!$W$4:$Y$49,3,0))</f>
        <v/>
      </c>
      <c r="Q371" s="6" t="str">
        <f>IF(VLOOKUP(E371,Sheet2!$W$4:$Z$49,4,0)=0,"",VLOOKUP(E371,Sheet2!$W$4:$Z$49,4,0))</f>
        <v/>
      </c>
      <c r="R371" s="8">
        <v>24</v>
      </c>
      <c r="S371" s="14">
        <v>2</v>
      </c>
    </row>
    <row r="372" spans="1:19">
      <c r="A372" s="6">
        <f t="shared" si="26"/>
        <v>7402</v>
      </c>
      <c r="B372" s="6">
        <f t="shared" si="25"/>
        <v>74</v>
      </c>
      <c r="C372" s="6">
        <f t="shared" si="24"/>
        <v>2</v>
      </c>
      <c r="D372" s="6" t="s">
        <v>785</v>
      </c>
      <c r="E372" s="6">
        <v>100</v>
      </c>
      <c r="G372" s="6" t="s">
        <v>786</v>
      </c>
      <c r="H372" s="6">
        <f t="shared" si="27"/>
        <v>0</v>
      </c>
      <c r="I372" s="6" t="str">
        <f>IF(VLOOKUP(E372,Sheet2!$W$4:$AA$49,5,0)=0,"",VLOOKUP(E372,Sheet2!$W$4:$AA$49,5,0))</f>
        <v>[60002]</v>
      </c>
      <c r="J372" s="6">
        <v>0</v>
      </c>
      <c r="K372" s="6">
        <v>0</v>
      </c>
      <c r="L372" s="6" t="str">
        <f>IF(VLOOKUP(E372,Sheet2!$W$4:$X$49,2,0)=0,"",VLOOKUP(E372,Sheet2!$W$4:$X$49,2,0))</f>
        <v/>
      </c>
      <c r="N372" s="6">
        <f>IF(VLOOKUP(E372,Sheet2!$W$4:$Y$49,3,0)=0,"",VLOOKUP(E372,Sheet2!$W$4:$Y$49,3,0))</f>
        <v>2001</v>
      </c>
      <c r="Q372" s="6" t="str">
        <f>IF(VLOOKUP(E372,Sheet2!$W$4:$Z$49,4,0)=0,"",VLOOKUP(E372,Sheet2!$W$4:$Z$49,4,0))</f>
        <v/>
      </c>
      <c r="R372" s="8">
        <v>24</v>
      </c>
      <c r="S372" s="14">
        <v>2</v>
      </c>
    </row>
    <row r="373" spans="1:19">
      <c r="A373" s="6">
        <f t="shared" si="26"/>
        <v>7403</v>
      </c>
      <c r="B373" s="6">
        <f t="shared" si="25"/>
        <v>74</v>
      </c>
      <c r="C373" s="6">
        <f t="shared" ref="C373:C436" si="28">C368</f>
        <v>3</v>
      </c>
      <c r="D373" s="6" t="s">
        <v>787</v>
      </c>
      <c r="E373" s="6">
        <v>102</v>
      </c>
      <c r="G373" s="6" t="s">
        <v>788</v>
      </c>
      <c r="H373" s="6">
        <f t="shared" si="27"/>
        <v>0</v>
      </c>
      <c r="I373" s="6" t="str">
        <f>IF(VLOOKUP(E373,Sheet2!$W$4:$AA$49,5,0)=0,"",VLOOKUP(E373,Sheet2!$W$4:$AA$49,5,0))</f>
        <v/>
      </c>
      <c r="J373" s="6">
        <v>0</v>
      </c>
      <c r="K373" s="6">
        <v>0</v>
      </c>
      <c r="L373" s="6">
        <f>IF(VLOOKUP(E373,Sheet2!$W$4:$X$49,2,0)=0,"",VLOOKUP(E373,Sheet2!$W$4:$X$49,2,0))</f>
        <v>1</v>
      </c>
      <c r="N373" s="6" t="str">
        <f>IF(VLOOKUP(E373,Sheet2!$W$4:$Y$49,3,0)=0,"",VLOOKUP(E373,Sheet2!$W$4:$Y$49,3,0))</f>
        <v/>
      </c>
      <c r="Q373" s="6" t="str">
        <f>IF(VLOOKUP(E373,Sheet2!$W$4:$Z$49,4,0)=0,"",VLOOKUP(E373,Sheet2!$W$4:$Z$49,4,0))</f>
        <v>[{50011,6}]</v>
      </c>
      <c r="R373" s="8">
        <v>24</v>
      </c>
      <c r="S373" s="14">
        <v>2</v>
      </c>
    </row>
    <row r="374" spans="1:19">
      <c r="A374" s="6">
        <f t="shared" si="26"/>
        <v>7421</v>
      </c>
      <c r="B374" s="6">
        <f t="shared" si="25"/>
        <v>74</v>
      </c>
      <c r="C374" s="6">
        <f t="shared" si="28"/>
        <v>4</v>
      </c>
      <c r="D374" s="6" t="s">
        <v>789</v>
      </c>
      <c r="E374" s="6">
        <v>502</v>
      </c>
      <c r="G374" s="6" t="s">
        <v>790</v>
      </c>
      <c r="H374" s="6">
        <f t="shared" si="27"/>
        <v>2</v>
      </c>
      <c r="I374" s="6" t="str">
        <f>IF(VLOOKUP(E374,Sheet2!$W$4:$AA$49,5,0)=0,"",VLOOKUP(E374,Sheet2!$W$4:$AA$49,5,0))</f>
        <v/>
      </c>
      <c r="J374" s="6">
        <v>0</v>
      </c>
      <c r="K374" s="6">
        <v>0</v>
      </c>
      <c r="L374" s="6">
        <f>IF(VLOOKUP(E374,Sheet2!$W$4:$X$49,2,0)=0,"",VLOOKUP(E374,Sheet2!$W$4:$X$49,2,0))</f>
        <v>1</v>
      </c>
      <c r="N374" s="6" t="str">
        <f>IF(VLOOKUP(E374,Sheet2!$W$4:$Y$49,3,0)=0,"",VLOOKUP(E374,Sheet2!$W$4:$Y$49,3,0))</f>
        <v/>
      </c>
      <c r="Q374" s="6" t="str">
        <f>IF(VLOOKUP(E374,Sheet2!$W$4:$Z$49,4,0)=0,"",VLOOKUP(E374,Sheet2!$W$4:$Z$49,4,0))</f>
        <v>[{50021,6}]</v>
      </c>
      <c r="R374" s="8">
        <v>100</v>
      </c>
      <c r="S374" s="14">
        <v>2</v>
      </c>
    </row>
    <row r="375" spans="1:19">
      <c r="A375" s="6">
        <f t="shared" si="26"/>
        <v>7431</v>
      </c>
      <c r="B375" s="6">
        <f t="shared" si="25"/>
        <v>74</v>
      </c>
      <c r="C375" s="6">
        <f t="shared" si="28"/>
        <v>5</v>
      </c>
      <c r="D375" s="6" t="s">
        <v>791</v>
      </c>
      <c r="E375" s="6">
        <v>502</v>
      </c>
      <c r="G375" s="6" t="s">
        <v>792</v>
      </c>
      <c r="H375" s="6">
        <f t="shared" si="27"/>
        <v>2</v>
      </c>
      <c r="I375" s="6" t="str">
        <f>IF(VLOOKUP(E375,Sheet2!$W$4:$AA$49,5,0)=0,"",VLOOKUP(E375,Sheet2!$W$4:$AA$49,5,0))</f>
        <v/>
      </c>
      <c r="J375" s="6">
        <v>0</v>
      </c>
      <c r="K375" s="6">
        <v>0</v>
      </c>
      <c r="L375" s="6">
        <f>IF(VLOOKUP(E375,Sheet2!$W$4:$X$49,2,0)=0,"",VLOOKUP(E375,Sheet2!$W$4:$X$49,2,0))</f>
        <v>1</v>
      </c>
      <c r="N375" s="6" t="str">
        <f>IF(VLOOKUP(E375,Sheet2!$W$4:$Y$49,3,0)=0,"",VLOOKUP(E375,Sheet2!$W$4:$Y$49,3,0))</f>
        <v/>
      </c>
      <c r="Q375" s="6" t="str">
        <f>IF(VLOOKUP(E375,Sheet2!$W$4:$Z$49,4,0)=0,"",VLOOKUP(E375,Sheet2!$W$4:$Z$49,4,0))</f>
        <v>[{50021,6}]</v>
      </c>
      <c r="R375" s="8">
        <v>100</v>
      </c>
      <c r="S375" s="14">
        <v>2</v>
      </c>
    </row>
    <row r="376" spans="1:19">
      <c r="A376" s="6">
        <f t="shared" si="26"/>
        <v>7501</v>
      </c>
      <c r="B376" s="6">
        <f t="shared" si="25"/>
        <v>75</v>
      </c>
      <c r="C376" s="6">
        <f t="shared" si="28"/>
        <v>1</v>
      </c>
      <c r="D376" s="6" t="s">
        <v>793</v>
      </c>
      <c r="E376" s="6">
        <v>100</v>
      </c>
      <c r="G376" s="6" t="s">
        <v>794</v>
      </c>
      <c r="H376" s="6">
        <f t="shared" si="27"/>
        <v>0</v>
      </c>
      <c r="I376" s="6" t="str">
        <f>IF(VLOOKUP(E376,Sheet2!$W$4:$AA$49,5,0)=0,"",VLOOKUP(E376,Sheet2!$W$4:$AA$49,5,0))</f>
        <v>[60002]</v>
      </c>
      <c r="J376" s="6">
        <v>0</v>
      </c>
      <c r="K376" s="6">
        <v>0</v>
      </c>
      <c r="L376" s="6" t="str">
        <f>IF(VLOOKUP(E376,Sheet2!$W$4:$X$49,2,0)=0,"",VLOOKUP(E376,Sheet2!$W$4:$X$49,2,0))</f>
        <v/>
      </c>
      <c r="N376" s="6">
        <f>IF(VLOOKUP(E376,Sheet2!$W$4:$Y$49,3,0)=0,"",VLOOKUP(E376,Sheet2!$W$4:$Y$49,3,0))</f>
        <v>2001</v>
      </c>
      <c r="Q376" s="6" t="str">
        <f>IF(VLOOKUP(E376,Sheet2!$W$4:$Z$49,4,0)=0,"",VLOOKUP(E376,Sheet2!$W$4:$Z$49,4,0))</f>
        <v/>
      </c>
      <c r="R376" s="8">
        <v>24</v>
      </c>
      <c r="S376" s="14">
        <v>2</v>
      </c>
    </row>
    <row r="377" spans="1:19">
      <c r="A377" s="6">
        <f t="shared" si="26"/>
        <v>7502</v>
      </c>
      <c r="B377" s="6">
        <f t="shared" si="25"/>
        <v>75</v>
      </c>
      <c r="C377" s="6">
        <f t="shared" si="28"/>
        <v>2</v>
      </c>
      <c r="D377" s="6" t="s">
        <v>795</v>
      </c>
      <c r="E377" s="6">
        <v>102</v>
      </c>
      <c r="G377" s="6" t="s">
        <v>796</v>
      </c>
      <c r="H377" s="6">
        <f t="shared" si="27"/>
        <v>0</v>
      </c>
      <c r="I377" s="6" t="str">
        <f>IF(VLOOKUP(E377,Sheet2!$W$4:$AA$49,5,0)=0,"",VLOOKUP(E377,Sheet2!$W$4:$AA$49,5,0))</f>
        <v/>
      </c>
      <c r="J377" s="6">
        <v>0</v>
      </c>
      <c r="K377" s="6">
        <v>0</v>
      </c>
      <c r="L377" s="6">
        <f>IF(VLOOKUP(E377,Sheet2!$W$4:$X$49,2,0)=0,"",VLOOKUP(E377,Sheet2!$W$4:$X$49,2,0))</f>
        <v>1</v>
      </c>
      <c r="N377" s="6" t="str">
        <f>IF(VLOOKUP(E377,Sheet2!$W$4:$Y$49,3,0)=0,"",VLOOKUP(E377,Sheet2!$W$4:$Y$49,3,0))</f>
        <v/>
      </c>
      <c r="Q377" s="6" t="str">
        <f>IF(VLOOKUP(E377,Sheet2!$W$4:$Z$49,4,0)=0,"",VLOOKUP(E377,Sheet2!$W$4:$Z$49,4,0))</f>
        <v>[{50011,6}]</v>
      </c>
      <c r="R377" s="8">
        <v>24</v>
      </c>
      <c r="S377" s="14">
        <v>2</v>
      </c>
    </row>
    <row r="378" spans="1:19">
      <c r="A378" s="6">
        <f t="shared" si="26"/>
        <v>7503</v>
      </c>
      <c r="B378" s="6">
        <f t="shared" si="25"/>
        <v>75</v>
      </c>
      <c r="C378" s="6">
        <f t="shared" si="28"/>
        <v>3</v>
      </c>
      <c r="D378" s="6" t="s">
        <v>797</v>
      </c>
      <c r="E378" s="6">
        <v>105</v>
      </c>
      <c r="G378" s="6" t="s">
        <v>798</v>
      </c>
      <c r="H378" s="6">
        <f t="shared" si="27"/>
        <v>0</v>
      </c>
      <c r="I378" s="6" t="str">
        <f>IF(VLOOKUP(E378,Sheet2!$W$4:$AA$49,5,0)=0,"",VLOOKUP(E378,Sheet2!$W$4:$AA$49,5,0))</f>
        <v>[60003]</v>
      </c>
      <c r="J378" s="6">
        <v>0</v>
      </c>
      <c r="K378" s="6">
        <v>0</v>
      </c>
      <c r="L378" s="6" t="str">
        <f>IF(VLOOKUP(E378,Sheet2!$W$4:$X$49,2,0)=0,"",VLOOKUP(E378,Sheet2!$W$4:$X$49,2,0))</f>
        <v/>
      </c>
      <c r="N378" s="6" t="str">
        <f>IF(VLOOKUP(E378,Sheet2!$W$4:$Y$49,3,0)=0,"",VLOOKUP(E378,Sheet2!$W$4:$Y$49,3,0))</f>
        <v/>
      </c>
      <c r="Q378" s="6" t="str">
        <f>IF(VLOOKUP(E378,Sheet2!$W$4:$Z$49,4,0)=0,"",VLOOKUP(E378,Sheet2!$W$4:$Z$49,4,0))</f>
        <v/>
      </c>
      <c r="R378" s="8">
        <v>24</v>
      </c>
      <c r="S378" s="14">
        <v>2</v>
      </c>
    </row>
    <row r="379" spans="1:19">
      <c r="A379" s="6">
        <f t="shared" si="26"/>
        <v>7521</v>
      </c>
      <c r="B379" s="6">
        <f t="shared" si="25"/>
        <v>75</v>
      </c>
      <c r="C379" s="6">
        <f t="shared" si="28"/>
        <v>4</v>
      </c>
      <c r="D379" s="6" t="s">
        <v>799</v>
      </c>
      <c r="E379" s="6">
        <v>502</v>
      </c>
      <c r="G379" s="6" t="s">
        <v>800</v>
      </c>
      <c r="H379" s="6">
        <f t="shared" si="27"/>
        <v>2</v>
      </c>
      <c r="I379" s="6" t="str">
        <f>IF(VLOOKUP(E379,Sheet2!$W$4:$AA$49,5,0)=0,"",VLOOKUP(E379,Sheet2!$W$4:$AA$49,5,0))</f>
        <v/>
      </c>
      <c r="J379" s="6">
        <v>0</v>
      </c>
      <c r="K379" s="6">
        <v>0</v>
      </c>
      <c r="L379" s="6">
        <f>IF(VLOOKUP(E379,Sheet2!$W$4:$X$49,2,0)=0,"",VLOOKUP(E379,Sheet2!$W$4:$X$49,2,0))</f>
        <v>1</v>
      </c>
      <c r="N379" s="6" t="str">
        <f>IF(VLOOKUP(E379,Sheet2!$W$4:$Y$49,3,0)=0,"",VLOOKUP(E379,Sheet2!$W$4:$Y$49,3,0))</f>
        <v/>
      </c>
      <c r="Q379" s="6" t="str">
        <f>IF(VLOOKUP(E379,Sheet2!$W$4:$Z$49,4,0)=0,"",VLOOKUP(E379,Sheet2!$W$4:$Z$49,4,0))</f>
        <v>[{50021,6}]</v>
      </c>
      <c r="R379" s="8">
        <v>100</v>
      </c>
      <c r="S379" s="14">
        <v>2</v>
      </c>
    </row>
    <row r="380" spans="1:19">
      <c r="A380" s="6">
        <f t="shared" si="26"/>
        <v>7531</v>
      </c>
      <c r="B380" s="6">
        <f t="shared" si="25"/>
        <v>75</v>
      </c>
      <c r="C380" s="6">
        <f t="shared" si="28"/>
        <v>5</v>
      </c>
      <c r="D380" s="6" t="s">
        <v>801</v>
      </c>
      <c r="E380" s="6">
        <v>500</v>
      </c>
      <c r="G380" s="6" t="s">
        <v>802</v>
      </c>
      <c r="H380" s="6">
        <f t="shared" si="27"/>
        <v>2</v>
      </c>
      <c r="I380" s="6" t="str">
        <f>IF(VLOOKUP(E380,Sheet2!$W$4:$AA$49,5,0)=0,"",VLOOKUP(E380,Sheet2!$W$4:$AA$49,5,0))</f>
        <v>[60002]</v>
      </c>
      <c r="J380" s="6">
        <v>0</v>
      </c>
      <c r="K380" s="6">
        <v>0</v>
      </c>
      <c r="L380" s="6" t="str">
        <f>IF(VLOOKUP(E380,Sheet2!$W$4:$X$49,2,0)=0,"",VLOOKUP(E380,Sheet2!$W$4:$X$49,2,0))</f>
        <v/>
      </c>
      <c r="N380" s="6">
        <f>IF(VLOOKUP(E380,Sheet2!$W$4:$Y$49,3,0)=0,"",VLOOKUP(E380,Sheet2!$W$4:$Y$49,3,0))</f>
        <v>2001</v>
      </c>
      <c r="Q380" s="6" t="str">
        <f>IF(VLOOKUP(E380,Sheet2!$W$4:$Z$49,4,0)=0,"",VLOOKUP(E380,Sheet2!$W$4:$Z$49,4,0))</f>
        <v/>
      </c>
      <c r="R380" s="8">
        <v>100</v>
      </c>
      <c r="S380" s="14">
        <v>2</v>
      </c>
    </row>
    <row r="381" spans="1:19">
      <c r="A381" s="6">
        <f t="shared" ref="A381:A430" si="29">A376+100</f>
        <v>7601</v>
      </c>
      <c r="B381" s="6">
        <f t="shared" si="25"/>
        <v>76</v>
      </c>
      <c r="C381" s="6">
        <f t="shared" si="28"/>
        <v>1</v>
      </c>
      <c r="D381" s="6" t="str">
        <f>"关卡"&amp;B381&amp;"怪物1"</f>
        <v>关卡76怪物1</v>
      </c>
      <c r="E381" s="6">
        <v>103</v>
      </c>
      <c r="G381" s="6" t="s">
        <v>803</v>
      </c>
      <c r="H381" s="6">
        <f t="shared" ref="H381:H444" si="30">H376</f>
        <v>0</v>
      </c>
      <c r="I381" s="6" t="str">
        <f>IF(VLOOKUP(E381,Sheet2!$W$4:$AA$49,5,0)=0,"",VLOOKUP(E381,Sheet2!$W$4:$AA$49,5,0))</f>
        <v>[60001]</v>
      </c>
      <c r="J381" s="6">
        <v>0</v>
      </c>
      <c r="K381" s="6">
        <v>0</v>
      </c>
      <c r="L381" s="6" t="str">
        <f>IF(VLOOKUP(E381,Sheet2!$W$4:$X$49,2,0)=0,"",VLOOKUP(E381,Sheet2!$W$4:$X$49,2,0))</f>
        <v/>
      </c>
      <c r="N381" s="6" t="str">
        <f>IF(VLOOKUP(E381,Sheet2!$W$4:$Y$49,3,0)=0,"",VLOOKUP(E381,Sheet2!$W$4:$Y$49,3,0))</f>
        <v/>
      </c>
      <c r="Q381" s="6" t="str">
        <f>IF(VLOOKUP(E381,Sheet2!$W$4:$Z$49,4,0)=0,"",VLOOKUP(E381,Sheet2!$W$4:$Z$49,4,0))</f>
        <v/>
      </c>
      <c r="R381" s="8">
        <v>24</v>
      </c>
      <c r="S381" s="14">
        <v>2</v>
      </c>
    </row>
    <row r="382" spans="1:19">
      <c r="A382" s="6">
        <f t="shared" si="29"/>
        <v>7602</v>
      </c>
      <c r="B382" s="6">
        <f t="shared" si="25"/>
        <v>76</v>
      </c>
      <c r="C382" s="6">
        <f t="shared" si="28"/>
        <v>2</v>
      </c>
      <c r="D382" s="6" t="str">
        <f>"关卡"&amp;B382&amp;"怪物2"</f>
        <v>关卡76怪物2</v>
      </c>
      <c r="E382" s="6">
        <v>104</v>
      </c>
      <c r="G382" s="6" t="s">
        <v>804</v>
      </c>
      <c r="H382" s="6">
        <f t="shared" si="30"/>
        <v>0</v>
      </c>
      <c r="I382" s="6" t="str">
        <f>IF(VLOOKUP(E382,Sheet2!$W$4:$AA$49,5,0)=0,"",VLOOKUP(E382,Sheet2!$W$4:$AA$49,5,0))</f>
        <v/>
      </c>
      <c r="J382" s="6">
        <v>0</v>
      </c>
      <c r="K382" s="6">
        <v>0</v>
      </c>
      <c r="L382" s="6" t="str">
        <f>IF(VLOOKUP(E382,Sheet2!$W$4:$X$49,2,0)=0,"",VLOOKUP(E382,Sheet2!$W$4:$X$49,2,0))</f>
        <v/>
      </c>
      <c r="N382" s="6" t="str">
        <f>IF(VLOOKUP(E382,Sheet2!$W$4:$Y$49,3,0)=0,"",VLOOKUP(E382,Sheet2!$W$4:$Y$49,3,0))</f>
        <v/>
      </c>
      <c r="Q382" s="6" t="str">
        <f>IF(VLOOKUP(E382,Sheet2!$W$4:$Z$49,4,0)=0,"",VLOOKUP(E382,Sheet2!$W$4:$Z$49,4,0))</f>
        <v/>
      </c>
      <c r="R382" s="8">
        <v>24</v>
      </c>
      <c r="S382" s="14">
        <v>2</v>
      </c>
    </row>
    <row r="383" spans="1:19">
      <c r="A383" s="6">
        <f t="shared" si="29"/>
        <v>7603</v>
      </c>
      <c r="B383" s="6">
        <f t="shared" si="25"/>
        <v>76</v>
      </c>
      <c r="C383" s="6">
        <f t="shared" si="28"/>
        <v>3</v>
      </c>
      <c r="D383" s="6" t="str">
        <f>"关卡"&amp;B383&amp;"怪物3"</f>
        <v>关卡76怪物3</v>
      </c>
      <c r="E383" s="6">
        <v>104</v>
      </c>
      <c r="G383" s="6" t="s">
        <v>805</v>
      </c>
      <c r="H383" s="6">
        <f t="shared" si="30"/>
        <v>0</v>
      </c>
      <c r="I383" s="6" t="str">
        <f>IF(VLOOKUP(E383,Sheet2!$W$4:$AA$49,5,0)=0,"",VLOOKUP(E383,Sheet2!$W$4:$AA$49,5,0))</f>
        <v/>
      </c>
      <c r="J383" s="6">
        <v>0</v>
      </c>
      <c r="K383" s="6">
        <v>0</v>
      </c>
      <c r="L383" s="6" t="str">
        <f>IF(VLOOKUP(E383,Sheet2!$W$4:$X$49,2,0)=0,"",VLOOKUP(E383,Sheet2!$W$4:$X$49,2,0))</f>
        <v/>
      </c>
      <c r="N383" s="6" t="str">
        <f>IF(VLOOKUP(E383,Sheet2!$W$4:$Y$49,3,0)=0,"",VLOOKUP(E383,Sheet2!$W$4:$Y$49,3,0))</f>
        <v/>
      </c>
      <c r="Q383" s="6" t="str">
        <f>IF(VLOOKUP(E383,Sheet2!$W$4:$Z$49,4,0)=0,"",VLOOKUP(E383,Sheet2!$W$4:$Z$49,4,0))</f>
        <v/>
      </c>
      <c r="R383" s="8">
        <v>24</v>
      </c>
      <c r="S383" s="14">
        <v>2</v>
      </c>
    </row>
    <row r="384" spans="1:19">
      <c r="A384" s="6">
        <f t="shared" si="29"/>
        <v>7621</v>
      </c>
      <c r="B384" s="6">
        <f t="shared" ref="B384:B447" si="31">B379+1</f>
        <v>76</v>
      </c>
      <c r="C384" s="6">
        <f t="shared" si="28"/>
        <v>4</v>
      </c>
      <c r="D384" s="6" t="str">
        <f>"关卡"&amp;B384&amp;"BOSS1"</f>
        <v>关卡76BOSS1</v>
      </c>
      <c r="E384" s="6">
        <v>504</v>
      </c>
      <c r="G384" s="6" t="s">
        <v>806</v>
      </c>
      <c r="H384" s="6">
        <f t="shared" si="30"/>
        <v>2</v>
      </c>
      <c r="I384" s="6" t="str">
        <f>IF(VLOOKUP(E384,Sheet2!$W$4:$AA$49,5,0)=0,"",VLOOKUP(E384,Sheet2!$W$4:$AA$49,5,0))</f>
        <v/>
      </c>
      <c r="J384" s="6">
        <v>0</v>
      </c>
      <c r="K384" s="6">
        <v>0</v>
      </c>
      <c r="L384" s="6" t="str">
        <f>IF(VLOOKUP(E384,Sheet2!$W$4:$X$49,2,0)=0,"",VLOOKUP(E384,Sheet2!$W$4:$X$49,2,0))</f>
        <v/>
      </c>
      <c r="N384" s="6" t="str">
        <f>IF(VLOOKUP(E384,Sheet2!$W$4:$Y$49,3,0)=0,"",VLOOKUP(E384,Sheet2!$W$4:$Y$49,3,0))</f>
        <v/>
      </c>
      <c r="Q384" s="6" t="str">
        <f>IF(VLOOKUP(E384,Sheet2!$W$4:$Z$49,4,0)=0,"",VLOOKUP(E384,Sheet2!$W$4:$Z$49,4,0))</f>
        <v/>
      </c>
      <c r="R384" s="8">
        <v>100</v>
      </c>
      <c r="S384" s="14">
        <v>2</v>
      </c>
    </row>
    <row r="385" spans="1:19">
      <c r="A385" s="6">
        <f t="shared" si="29"/>
        <v>7631</v>
      </c>
      <c r="B385" s="6">
        <f t="shared" si="31"/>
        <v>76</v>
      </c>
      <c r="C385" s="6">
        <f t="shared" si="28"/>
        <v>5</v>
      </c>
      <c r="D385" s="6" t="str">
        <f>"关卡"&amp;B385&amp;"BOSS2"</f>
        <v>关卡76BOSS2</v>
      </c>
      <c r="E385" s="6">
        <v>504</v>
      </c>
      <c r="G385" s="6" t="s">
        <v>807</v>
      </c>
      <c r="H385" s="6">
        <f t="shared" si="30"/>
        <v>2</v>
      </c>
      <c r="I385" s="6" t="str">
        <f>IF(VLOOKUP(E385,Sheet2!$W$4:$AA$49,5,0)=0,"",VLOOKUP(E385,Sheet2!$W$4:$AA$49,5,0))</f>
        <v/>
      </c>
      <c r="J385" s="6">
        <v>0</v>
      </c>
      <c r="K385" s="6">
        <v>0</v>
      </c>
      <c r="L385" s="6" t="str">
        <f>IF(VLOOKUP(E385,Sheet2!$W$4:$X$49,2,0)=0,"",VLOOKUP(E385,Sheet2!$W$4:$X$49,2,0))</f>
        <v/>
      </c>
      <c r="N385" s="6" t="str">
        <f>IF(VLOOKUP(E385,Sheet2!$W$4:$Y$49,3,0)=0,"",VLOOKUP(E385,Sheet2!$W$4:$Y$49,3,0))</f>
        <v/>
      </c>
      <c r="Q385" s="6" t="str">
        <f>IF(VLOOKUP(E385,Sheet2!$W$4:$Z$49,4,0)=0,"",VLOOKUP(E385,Sheet2!$W$4:$Z$49,4,0))</f>
        <v/>
      </c>
      <c r="R385" s="8">
        <v>100</v>
      </c>
      <c r="S385" s="14">
        <v>2</v>
      </c>
    </row>
    <row r="386" spans="1:19">
      <c r="A386" s="6">
        <f t="shared" si="29"/>
        <v>7701</v>
      </c>
      <c r="B386" s="6">
        <f t="shared" si="31"/>
        <v>77</v>
      </c>
      <c r="C386" s="6">
        <f t="shared" si="28"/>
        <v>1</v>
      </c>
      <c r="D386" s="6" t="str">
        <f t="shared" ref="D386" si="32">"关卡"&amp;B386&amp;"怪物1"</f>
        <v>关卡77怪物1</v>
      </c>
      <c r="E386" s="6">
        <v>103</v>
      </c>
      <c r="G386" s="6" t="s">
        <v>808</v>
      </c>
      <c r="H386" s="6">
        <f t="shared" si="30"/>
        <v>0</v>
      </c>
      <c r="I386" s="6" t="str">
        <f>IF(VLOOKUP(E386,Sheet2!$W$4:$AA$49,5,0)=0,"",VLOOKUP(E386,Sheet2!$W$4:$AA$49,5,0))</f>
        <v>[60001]</v>
      </c>
      <c r="J386" s="6">
        <v>0</v>
      </c>
      <c r="K386" s="6">
        <v>0</v>
      </c>
      <c r="L386" s="6" t="str">
        <f>IF(VLOOKUP(E386,Sheet2!$W$4:$X$49,2,0)=0,"",VLOOKUP(E386,Sheet2!$W$4:$X$49,2,0))</f>
        <v/>
      </c>
      <c r="N386" s="6" t="str">
        <f>IF(VLOOKUP(E386,Sheet2!$W$4:$Y$49,3,0)=0,"",VLOOKUP(E386,Sheet2!$W$4:$Y$49,3,0))</f>
        <v/>
      </c>
      <c r="Q386" s="6" t="str">
        <f>IF(VLOOKUP(E386,Sheet2!$W$4:$Z$49,4,0)=0,"",VLOOKUP(E386,Sheet2!$W$4:$Z$49,4,0))</f>
        <v/>
      </c>
      <c r="R386" s="8">
        <v>24</v>
      </c>
      <c r="S386" s="14">
        <v>2</v>
      </c>
    </row>
    <row r="387" spans="1:19">
      <c r="A387" s="6">
        <f t="shared" si="29"/>
        <v>7702</v>
      </c>
      <c r="B387" s="6">
        <f t="shared" si="31"/>
        <v>77</v>
      </c>
      <c r="C387" s="6">
        <f t="shared" si="28"/>
        <v>2</v>
      </c>
      <c r="D387" s="6" t="str">
        <f t="shared" ref="D387" si="33">"关卡"&amp;B387&amp;"怪物2"</f>
        <v>关卡77怪物2</v>
      </c>
      <c r="E387" s="6">
        <v>104</v>
      </c>
      <c r="G387" s="6" t="s">
        <v>809</v>
      </c>
      <c r="H387" s="6">
        <f t="shared" si="30"/>
        <v>0</v>
      </c>
      <c r="I387" s="6" t="str">
        <f>IF(VLOOKUP(E387,Sheet2!$W$4:$AA$49,5,0)=0,"",VLOOKUP(E387,Sheet2!$W$4:$AA$49,5,0))</f>
        <v/>
      </c>
      <c r="J387" s="6">
        <v>0</v>
      </c>
      <c r="K387" s="6">
        <v>0</v>
      </c>
      <c r="L387" s="6" t="str">
        <f>IF(VLOOKUP(E387,Sheet2!$W$4:$X$49,2,0)=0,"",VLOOKUP(E387,Sheet2!$W$4:$X$49,2,0))</f>
        <v/>
      </c>
      <c r="N387" s="6" t="str">
        <f>IF(VLOOKUP(E387,Sheet2!$W$4:$Y$49,3,0)=0,"",VLOOKUP(E387,Sheet2!$W$4:$Y$49,3,0))</f>
        <v/>
      </c>
      <c r="Q387" s="6" t="str">
        <f>IF(VLOOKUP(E387,Sheet2!$W$4:$Z$49,4,0)=0,"",VLOOKUP(E387,Sheet2!$W$4:$Z$49,4,0))</f>
        <v/>
      </c>
      <c r="R387" s="8">
        <v>24</v>
      </c>
      <c r="S387" s="14">
        <v>2</v>
      </c>
    </row>
    <row r="388" spans="1:19">
      <c r="A388" s="6">
        <f t="shared" si="29"/>
        <v>7703</v>
      </c>
      <c r="B388" s="6">
        <f t="shared" si="31"/>
        <v>77</v>
      </c>
      <c r="C388" s="6">
        <f t="shared" si="28"/>
        <v>3</v>
      </c>
      <c r="D388" s="6" t="str">
        <f t="shared" ref="D388" si="34">"关卡"&amp;B388&amp;"怪物3"</f>
        <v>关卡77怪物3</v>
      </c>
      <c r="E388" s="6">
        <v>106</v>
      </c>
      <c r="G388" s="6" t="s">
        <v>810</v>
      </c>
      <c r="H388" s="6">
        <f t="shared" si="30"/>
        <v>0</v>
      </c>
      <c r="I388" s="6" t="str">
        <f>IF(VLOOKUP(E388,Sheet2!$W$4:$AA$49,5,0)=0,"",VLOOKUP(E388,Sheet2!$W$4:$AA$49,5,0))</f>
        <v>[60002]</v>
      </c>
      <c r="J388" s="6">
        <v>0</v>
      </c>
      <c r="K388" s="6">
        <v>0</v>
      </c>
      <c r="L388" s="6">
        <f>IF(VLOOKUP(E388,Sheet2!$W$4:$X$49,2,0)=0,"",VLOOKUP(E388,Sheet2!$W$4:$X$49,2,0))</f>
        <v>1</v>
      </c>
      <c r="N388" s="6">
        <f>IF(VLOOKUP(E388,Sheet2!$W$4:$Y$49,3,0)=0,"",VLOOKUP(E388,Sheet2!$W$4:$Y$49,3,0))</f>
        <v>2002</v>
      </c>
      <c r="Q388" s="6" t="str">
        <f>IF(VLOOKUP(E388,Sheet2!$W$4:$Z$49,4,0)=0,"",VLOOKUP(E388,Sheet2!$W$4:$Z$49,4,0))</f>
        <v>[{50012,6}]</v>
      </c>
      <c r="R388" s="8">
        <v>24</v>
      </c>
      <c r="S388" s="14">
        <v>2</v>
      </c>
    </row>
    <row r="389" spans="1:19">
      <c r="A389" s="6">
        <f t="shared" si="29"/>
        <v>7721</v>
      </c>
      <c r="B389" s="6">
        <f t="shared" si="31"/>
        <v>77</v>
      </c>
      <c r="C389" s="6">
        <f t="shared" si="28"/>
        <v>4</v>
      </c>
      <c r="D389" s="6" t="str">
        <f t="shared" ref="D389" si="35">"关卡"&amp;B389&amp;"BOSS1"</f>
        <v>关卡77BOSS1</v>
      </c>
      <c r="E389" s="6">
        <v>503</v>
      </c>
      <c r="G389" s="6" t="s">
        <v>811</v>
      </c>
      <c r="H389" s="6">
        <f t="shared" si="30"/>
        <v>2</v>
      </c>
      <c r="I389" s="6" t="str">
        <f>IF(VLOOKUP(E389,Sheet2!$W$4:$AA$49,5,0)=0,"",VLOOKUP(E389,Sheet2!$W$4:$AA$49,5,0))</f>
        <v>[60001]</v>
      </c>
      <c r="J389" s="6">
        <v>0</v>
      </c>
      <c r="K389" s="6">
        <v>0</v>
      </c>
      <c r="L389" s="6" t="str">
        <f>IF(VLOOKUP(E389,Sheet2!$W$4:$X$49,2,0)=0,"",VLOOKUP(E389,Sheet2!$W$4:$X$49,2,0))</f>
        <v/>
      </c>
      <c r="N389" s="6" t="str">
        <f>IF(VLOOKUP(E389,Sheet2!$W$4:$Y$49,3,0)=0,"",VLOOKUP(E389,Sheet2!$W$4:$Y$49,3,0))</f>
        <v/>
      </c>
      <c r="Q389" s="6" t="str">
        <f>IF(VLOOKUP(E389,Sheet2!$W$4:$Z$49,4,0)=0,"",VLOOKUP(E389,Sheet2!$W$4:$Z$49,4,0))</f>
        <v/>
      </c>
      <c r="R389" s="8">
        <v>100</v>
      </c>
      <c r="S389" s="14">
        <v>2</v>
      </c>
    </row>
    <row r="390" spans="1:19">
      <c r="A390" s="6">
        <f t="shared" si="29"/>
        <v>7731</v>
      </c>
      <c r="B390" s="6">
        <f t="shared" si="31"/>
        <v>77</v>
      </c>
      <c r="C390" s="6">
        <f t="shared" si="28"/>
        <v>5</v>
      </c>
      <c r="D390" s="6" t="str">
        <f t="shared" ref="D390" si="36">"关卡"&amp;B390&amp;"BOSS2"</f>
        <v>关卡77BOSS2</v>
      </c>
      <c r="E390" s="6">
        <v>503</v>
      </c>
      <c r="G390" s="6" t="s">
        <v>812</v>
      </c>
      <c r="H390" s="6">
        <f t="shared" si="30"/>
        <v>2</v>
      </c>
      <c r="I390" s="6" t="str">
        <f>IF(VLOOKUP(E390,Sheet2!$W$4:$AA$49,5,0)=0,"",VLOOKUP(E390,Sheet2!$W$4:$AA$49,5,0))</f>
        <v>[60001]</v>
      </c>
      <c r="J390" s="6">
        <v>0</v>
      </c>
      <c r="K390" s="6">
        <v>0</v>
      </c>
      <c r="L390" s="6" t="str">
        <f>IF(VLOOKUP(E390,Sheet2!$W$4:$X$49,2,0)=0,"",VLOOKUP(E390,Sheet2!$W$4:$X$49,2,0))</f>
        <v/>
      </c>
      <c r="N390" s="6" t="str">
        <f>IF(VLOOKUP(E390,Sheet2!$W$4:$Y$49,3,0)=0,"",VLOOKUP(E390,Sheet2!$W$4:$Y$49,3,0))</f>
        <v/>
      </c>
      <c r="Q390" s="6" t="str">
        <f>IF(VLOOKUP(E390,Sheet2!$W$4:$Z$49,4,0)=0,"",VLOOKUP(E390,Sheet2!$W$4:$Z$49,4,0))</f>
        <v/>
      </c>
      <c r="R390" s="8">
        <v>100</v>
      </c>
      <c r="S390" s="14">
        <v>2</v>
      </c>
    </row>
    <row r="391" spans="1:19">
      <c r="A391" s="6">
        <f t="shared" si="29"/>
        <v>7801</v>
      </c>
      <c r="B391" s="6">
        <f t="shared" si="31"/>
        <v>78</v>
      </c>
      <c r="C391" s="6">
        <f t="shared" si="28"/>
        <v>1</v>
      </c>
      <c r="D391" s="6" t="str">
        <f t="shared" ref="D391" si="37">"关卡"&amp;B391&amp;"怪物1"</f>
        <v>关卡78怪物1</v>
      </c>
      <c r="E391" s="6">
        <v>108</v>
      </c>
      <c r="G391" s="6" t="s">
        <v>813</v>
      </c>
      <c r="H391" s="6">
        <f t="shared" si="30"/>
        <v>0</v>
      </c>
      <c r="I391" s="6" t="str">
        <f>IF(VLOOKUP(E391,Sheet2!$W$4:$AA$49,5,0)=0,"",VLOOKUP(E391,Sheet2!$W$4:$AA$49,5,0))</f>
        <v/>
      </c>
      <c r="J391" s="6">
        <v>0</v>
      </c>
      <c r="K391" s="6">
        <v>0</v>
      </c>
      <c r="L391" s="6" t="str">
        <f>IF(VLOOKUP(E391,Sheet2!$W$4:$X$49,2,0)=0,"",VLOOKUP(E391,Sheet2!$W$4:$X$49,2,0))</f>
        <v/>
      </c>
      <c r="N391" s="6" t="str">
        <f>IF(VLOOKUP(E391,Sheet2!$W$4:$Y$49,3,0)=0,"",VLOOKUP(E391,Sheet2!$W$4:$Y$49,3,0))</f>
        <v/>
      </c>
      <c r="Q391" s="6" t="str">
        <f>IF(VLOOKUP(E391,Sheet2!$W$4:$Z$49,4,0)=0,"",VLOOKUP(E391,Sheet2!$W$4:$Z$49,4,0))</f>
        <v/>
      </c>
      <c r="R391" s="8">
        <v>24</v>
      </c>
      <c r="S391" s="14">
        <v>2</v>
      </c>
    </row>
    <row r="392" spans="1:19">
      <c r="A392" s="6">
        <f t="shared" si="29"/>
        <v>7802</v>
      </c>
      <c r="B392" s="6">
        <f t="shared" si="31"/>
        <v>78</v>
      </c>
      <c r="C392" s="6">
        <f t="shared" si="28"/>
        <v>2</v>
      </c>
      <c r="D392" s="6" t="str">
        <f t="shared" ref="D392" si="38">"关卡"&amp;B392&amp;"怪物2"</f>
        <v>关卡78怪物2</v>
      </c>
      <c r="E392" s="6">
        <v>110</v>
      </c>
      <c r="G392" s="6" t="s">
        <v>814</v>
      </c>
      <c r="H392" s="6">
        <f t="shared" si="30"/>
        <v>0</v>
      </c>
      <c r="I392" s="6" t="str">
        <f>IF(VLOOKUP(E392,Sheet2!$W$4:$AA$49,5,0)=0,"",VLOOKUP(E392,Sheet2!$W$4:$AA$49,5,0))</f>
        <v/>
      </c>
      <c r="J392" s="6">
        <v>0</v>
      </c>
      <c r="K392" s="6">
        <v>0</v>
      </c>
      <c r="L392" s="6" t="str">
        <f>IF(VLOOKUP(E392,Sheet2!$W$4:$X$49,2,0)=0,"",VLOOKUP(E392,Sheet2!$W$4:$X$49,2,0))</f>
        <v/>
      </c>
      <c r="N392" s="6" t="str">
        <f>IF(VLOOKUP(E392,Sheet2!$W$4:$Y$49,3,0)=0,"",VLOOKUP(E392,Sheet2!$W$4:$Y$49,3,0))</f>
        <v/>
      </c>
      <c r="Q392" s="6" t="str">
        <f>IF(VLOOKUP(E392,Sheet2!$W$4:$Z$49,4,0)=0,"",VLOOKUP(E392,Sheet2!$W$4:$Z$49,4,0))</f>
        <v/>
      </c>
      <c r="R392" s="8">
        <v>24</v>
      </c>
      <c r="S392" s="14">
        <v>2</v>
      </c>
    </row>
    <row r="393" spans="1:19">
      <c r="A393" s="6">
        <f t="shared" si="29"/>
        <v>7803</v>
      </c>
      <c r="B393" s="6">
        <f t="shared" si="31"/>
        <v>78</v>
      </c>
      <c r="C393" s="6">
        <f t="shared" si="28"/>
        <v>3</v>
      </c>
      <c r="D393" s="6" t="str">
        <f t="shared" ref="D393" si="39">"关卡"&amp;B393&amp;"怪物3"</f>
        <v>关卡78怪物3</v>
      </c>
      <c r="E393" s="6">
        <v>114</v>
      </c>
      <c r="G393" s="6" t="s">
        <v>815</v>
      </c>
      <c r="H393" s="6">
        <f t="shared" si="30"/>
        <v>0</v>
      </c>
      <c r="I393" s="6" t="str">
        <f>IF(VLOOKUP(E393,Sheet2!$W$4:$AA$49,5,0)=0,"",VLOOKUP(E393,Sheet2!$W$4:$AA$49,5,0))</f>
        <v/>
      </c>
      <c r="J393" s="6">
        <v>0</v>
      </c>
      <c r="K393" s="6">
        <v>0</v>
      </c>
      <c r="L393" s="6" t="str">
        <f>IF(VLOOKUP(E393,Sheet2!$W$4:$X$49,2,0)=0,"",VLOOKUP(E393,Sheet2!$W$4:$X$49,2,0))</f>
        <v/>
      </c>
      <c r="N393" s="6" t="str">
        <f>IF(VLOOKUP(E393,Sheet2!$W$4:$Y$49,3,0)=0,"",VLOOKUP(E393,Sheet2!$W$4:$Y$49,3,0))</f>
        <v/>
      </c>
      <c r="Q393" s="6" t="str">
        <f>IF(VLOOKUP(E393,Sheet2!$W$4:$Z$49,4,0)=0,"",VLOOKUP(E393,Sheet2!$W$4:$Z$49,4,0))</f>
        <v/>
      </c>
      <c r="R393" s="8">
        <v>24</v>
      </c>
      <c r="S393" s="14">
        <v>2</v>
      </c>
    </row>
    <row r="394" spans="1:19">
      <c r="A394" s="6">
        <f t="shared" si="29"/>
        <v>7821</v>
      </c>
      <c r="B394" s="6">
        <f t="shared" si="31"/>
        <v>78</v>
      </c>
      <c r="C394" s="6">
        <f t="shared" si="28"/>
        <v>4</v>
      </c>
      <c r="D394" s="6" t="str">
        <f t="shared" ref="D394" si="40">"关卡"&amp;B394&amp;"BOSS1"</f>
        <v>关卡78BOSS1</v>
      </c>
      <c r="E394" s="6">
        <v>508</v>
      </c>
      <c r="G394" s="6" t="s">
        <v>816</v>
      </c>
      <c r="H394" s="6">
        <f t="shared" si="30"/>
        <v>2</v>
      </c>
      <c r="I394" s="6" t="str">
        <f>IF(VLOOKUP(E394,Sheet2!$W$4:$AA$49,5,0)=0,"",VLOOKUP(E394,Sheet2!$W$4:$AA$49,5,0))</f>
        <v/>
      </c>
      <c r="J394" s="6">
        <v>0</v>
      </c>
      <c r="K394" s="6">
        <v>0</v>
      </c>
      <c r="L394" s="6" t="str">
        <f>IF(VLOOKUP(E394,Sheet2!$W$4:$X$49,2,0)=0,"",VLOOKUP(E394,Sheet2!$W$4:$X$49,2,0))</f>
        <v/>
      </c>
      <c r="N394" s="6" t="str">
        <f>IF(VLOOKUP(E394,Sheet2!$W$4:$Y$49,3,0)=0,"",VLOOKUP(E394,Sheet2!$W$4:$Y$49,3,0))</f>
        <v/>
      </c>
      <c r="Q394" s="6" t="str">
        <f>IF(VLOOKUP(E394,Sheet2!$W$4:$Z$49,4,0)=0,"",VLOOKUP(E394,Sheet2!$W$4:$Z$49,4,0))</f>
        <v/>
      </c>
      <c r="R394" s="8">
        <v>100</v>
      </c>
      <c r="S394" s="14">
        <v>2</v>
      </c>
    </row>
    <row r="395" spans="1:19">
      <c r="A395" s="6">
        <f t="shared" si="29"/>
        <v>7831</v>
      </c>
      <c r="B395" s="6">
        <f t="shared" si="31"/>
        <v>78</v>
      </c>
      <c r="C395" s="6">
        <f t="shared" si="28"/>
        <v>5</v>
      </c>
      <c r="D395" s="6" t="str">
        <f t="shared" ref="D395" si="41">"关卡"&amp;B395&amp;"BOSS2"</f>
        <v>关卡78BOSS2</v>
      </c>
      <c r="E395" s="6">
        <v>508</v>
      </c>
      <c r="G395" s="6" t="s">
        <v>817</v>
      </c>
      <c r="H395" s="6">
        <f t="shared" si="30"/>
        <v>2</v>
      </c>
      <c r="I395" s="6" t="str">
        <f>IF(VLOOKUP(E395,Sheet2!$W$4:$AA$49,5,0)=0,"",VLOOKUP(E395,Sheet2!$W$4:$AA$49,5,0))</f>
        <v/>
      </c>
      <c r="J395" s="6">
        <v>0</v>
      </c>
      <c r="K395" s="6">
        <v>0</v>
      </c>
      <c r="L395" s="6" t="str">
        <f>IF(VLOOKUP(E395,Sheet2!$W$4:$X$49,2,0)=0,"",VLOOKUP(E395,Sheet2!$W$4:$X$49,2,0))</f>
        <v/>
      </c>
      <c r="N395" s="6" t="str">
        <f>IF(VLOOKUP(E395,Sheet2!$W$4:$Y$49,3,0)=0,"",VLOOKUP(E395,Sheet2!$W$4:$Y$49,3,0))</f>
        <v/>
      </c>
      <c r="Q395" s="6" t="str">
        <f>IF(VLOOKUP(E395,Sheet2!$W$4:$Z$49,4,0)=0,"",VLOOKUP(E395,Sheet2!$W$4:$Z$49,4,0))</f>
        <v/>
      </c>
      <c r="R395" s="8">
        <v>100</v>
      </c>
      <c r="S395" s="14">
        <v>2</v>
      </c>
    </row>
    <row r="396" spans="1:19">
      <c r="A396" s="6">
        <f t="shared" si="29"/>
        <v>7901</v>
      </c>
      <c r="B396" s="6">
        <f t="shared" si="31"/>
        <v>79</v>
      </c>
      <c r="C396" s="6">
        <f t="shared" si="28"/>
        <v>1</v>
      </c>
      <c r="D396" s="6" t="str">
        <f t="shared" ref="D396" si="42">"关卡"&amp;B396&amp;"怪物1"</f>
        <v>关卡79怪物1</v>
      </c>
      <c r="E396" s="6">
        <v>110</v>
      </c>
      <c r="G396" s="6" t="s">
        <v>818</v>
      </c>
      <c r="H396" s="6">
        <f t="shared" si="30"/>
        <v>0</v>
      </c>
      <c r="I396" s="6" t="str">
        <f>IF(VLOOKUP(E396,Sheet2!$W$4:$AA$49,5,0)=0,"",VLOOKUP(E396,Sheet2!$W$4:$AA$49,5,0))</f>
        <v/>
      </c>
      <c r="J396" s="6">
        <v>0</v>
      </c>
      <c r="K396" s="6">
        <v>0</v>
      </c>
      <c r="L396" s="6" t="str">
        <f>IF(VLOOKUP(E396,Sheet2!$W$4:$X$49,2,0)=0,"",VLOOKUP(E396,Sheet2!$W$4:$X$49,2,0))</f>
        <v/>
      </c>
      <c r="N396" s="6" t="str">
        <f>IF(VLOOKUP(E396,Sheet2!$W$4:$Y$49,3,0)=0,"",VLOOKUP(E396,Sheet2!$W$4:$Y$49,3,0))</f>
        <v/>
      </c>
      <c r="Q396" s="6" t="str">
        <f>IF(VLOOKUP(E396,Sheet2!$W$4:$Z$49,4,0)=0,"",VLOOKUP(E396,Sheet2!$W$4:$Z$49,4,0))</f>
        <v/>
      </c>
      <c r="R396" s="8">
        <v>24</v>
      </c>
      <c r="S396" s="14">
        <v>2</v>
      </c>
    </row>
    <row r="397" spans="1:19">
      <c r="A397" s="6">
        <f t="shared" si="29"/>
        <v>7902</v>
      </c>
      <c r="B397" s="6">
        <f t="shared" si="31"/>
        <v>79</v>
      </c>
      <c r="C397" s="6">
        <f t="shared" si="28"/>
        <v>2</v>
      </c>
      <c r="D397" s="6" t="str">
        <f t="shared" ref="D397" si="43">"关卡"&amp;B397&amp;"怪物2"</f>
        <v>关卡79怪物2</v>
      </c>
      <c r="E397" s="6">
        <v>114</v>
      </c>
      <c r="G397" s="6" t="s">
        <v>819</v>
      </c>
      <c r="H397" s="6">
        <f t="shared" si="30"/>
        <v>0</v>
      </c>
      <c r="I397" s="6" t="str">
        <f>IF(VLOOKUP(E397,Sheet2!$W$4:$AA$49,5,0)=0,"",VLOOKUP(E397,Sheet2!$W$4:$AA$49,5,0))</f>
        <v/>
      </c>
      <c r="J397" s="6">
        <v>0</v>
      </c>
      <c r="K397" s="6">
        <v>0</v>
      </c>
      <c r="L397" s="6" t="str">
        <f>IF(VLOOKUP(E397,Sheet2!$W$4:$X$49,2,0)=0,"",VLOOKUP(E397,Sheet2!$W$4:$X$49,2,0))</f>
        <v/>
      </c>
      <c r="N397" s="6" t="str">
        <f>IF(VLOOKUP(E397,Sheet2!$W$4:$Y$49,3,0)=0,"",VLOOKUP(E397,Sheet2!$W$4:$Y$49,3,0))</f>
        <v/>
      </c>
      <c r="Q397" s="6" t="str">
        <f>IF(VLOOKUP(E397,Sheet2!$W$4:$Z$49,4,0)=0,"",VLOOKUP(E397,Sheet2!$W$4:$Z$49,4,0))</f>
        <v/>
      </c>
      <c r="R397" s="8">
        <v>24</v>
      </c>
      <c r="S397" s="14">
        <v>2</v>
      </c>
    </row>
    <row r="398" spans="1:19">
      <c r="A398" s="6">
        <f t="shared" si="29"/>
        <v>7903</v>
      </c>
      <c r="B398" s="6">
        <f t="shared" si="31"/>
        <v>79</v>
      </c>
      <c r="C398" s="6">
        <f t="shared" si="28"/>
        <v>3</v>
      </c>
      <c r="D398" s="6" t="str">
        <f t="shared" ref="D398" si="44">"关卡"&amp;B398&amp;"怪物3"</f>
        <v>关卡79怪物3</v>
      </c>
      <c r="E398" s="6">
        <v>109</v>
      </c>
      <c r="G398" s="6" t="s">
        <v>820</v>
      </c>
      <c r="H398" s="6">
        <f t="shared" si="30"/>
        <v>0</v>
      </c>
      <c r="I398" s="6" t="str">
        <f>IF(VLOOKUP(E398,Sheet2!$W$4:$AA$49,5,0)=0,"",VLOOKUP(E398,Sheet2!$W$4:$AA$49,5,0))</f>
        <v/>
      </c>
      <c r="J398" s="6">
        <v>0</v>
      </c>
      <c r="K398" s="6">
        <v>0</v>
      </c>
      <c r="L398" s="6">
        <f>IF(VLOOKUP(E398,Sheet2!$W$4:$X$49,2,0)=0,"",VLOOKUP(E398,Sheet2!$W$4:$X$49,2,0))</f>
        <v>1</v>
      </c>
      <c r="N398" s="6" t="str">
        <f>IF(VLOOKUP(E398,Sheet2!$W$4:$Y$49,3,0)=0,"",VLOOKUP(E398,Sheet2!$W$4:$Y$49,3,0))</f>
        <v/>
      </c>
      <c r="Q398" s="6" t="str">
        <f>IF(VLOOKUP(E398,Sheet2!$W$4:$Z$49,4,0)=0,"",VLOOKUP(E398,Sheet2!$W$4:$Z$49,4,0))</f>
        <v>[{50014,6}]</v>
      </c>
      <c r="R398" s="8">
        <v>24</v>
      </c>
      <c r="S398" s="14">
        <v>2</v>
      </c>
    </row>
    <row r="399" spans="1:19">
      <c r="A399" s="6">
        <f t="shared" si="29"/>
        <v>7921</v>
      </c>
      <c r="B399" s="6">
        <f t="shared" si="31"/>
        <v>79</v>
      </c>
      <c r="C399" s="6">
        <f t="shared" si="28"/>
        <v>4</v>
      </c>
      <c r="D399" s="6" t="str">
        <f t="shared" ref="D399" si="45">"关卡"&amp;B399&amp;"BOSS1"</f>
        <v>关卡79BOSS1</v>
      </c>
      <c r="E399" s="6">
        <v>514</v>
      </c>
      <c r="G399" s="6" t="s">
        <v>821</v>
      </c>
      <c r="H399" s="6">
        <f t="shared" si="30"/>
        <v>2</v>
      </c>
      <c r="I399" s="6" t="str">
        <f>IF(VLOOKUP(E399,Sheet2!$W$4:$AA$49,5,0)=0,"",VLOOKUP(E399,Sheet2!$W$4:$AA$49,5,0))</f>
        <v/>
      </c>
      <c r="J399" s="6">
        <v>0</v>
      </c>
      <c r="K399" s="6">
        <v>0</v>
      </c>
      <c r="L399" s="6" t="str">
        <f>IF(VLOOKUP(E399,Sheet2!$W$4:$X$49,2,0)=0,"",VLOOKUP(E399,Sheet2!$W$4:$X$49,2,0))</f>
        <v/>
      </c>
      <c r="N399" s="6" t="str">
        <f>IF(VLOOKUP(E399,Sheet2!$W$4:$Y$49,3,0)=0,"",VLOOKUP(E399,Sheet2!$W$4:$Y$49,3,0))</f>
        <v/>
      </c>
      <c r="Q399" s="6" t="str">
        <f>IF(VLOOKUP(E399,Sheet2!$W$4:$Z$49,4,0)=0,"",VLOOKUP(E399,Sheet2!$W$4:$Z$49,4,0))</f>
        <v/>
      </c>
      <c r="R399" s="8">
        <v>100</v>
      </c>
      <c r="S399" s="14">
        <v>2</v>
      </c>
    </row>
    <row r="400" spans="1:19">
      <c r="A400" s="6">
        <f t="shared" si="29"/>
        <v>7931</v>
      </c>
      <c r="B400" s="6">
        <f t="shared" si="31"/>
        <v>79</v>
      </c>
      <c r="C400" s="6">
        <f t="shared" si="28"/>
        <v>5</v>
      </c>
      <c r="D400" s="6" t="str">
        <f t="shared" ref="D400" si="46">"关卡"&amp;B400&amp;"BOSS2"</f>
        <v>关卡79BOSS2</v>
      </c>
      <c r="E400" s="6">
        <v>514</v>
      </c>
      <c r="G400" s="6" t="s">
        <v>822</v>
      </c>
      <c r="H400" s="6">
        <f t="shared" si="30"/>
        <v>2</v>
      </c>
      <c r="I400" s="6" t="str">
        <f>IF(VLOOKUP(E400,Sheet2!$W$4:$AA$49,5,0)=0,"",VLOOKUP(E400,Sheet2!$W$4:$AA$49,5,0))</f>
        <v/>
      </c>
      <c r="J400" s="6">
        <v>0</v>
      </c>
      <c r="K400" s="6">
        <v>0</v>
      </c>
      <c r="L400" s="6" t="str">
        <f>IF(VLOOKUP(E400,Sheet2!$W$4:$X$49,2,0)=0,"",VLOOKUP(E400,Sheet2!$W$4:$X$49,2,0))</f>
        <v/>
      </c>
      <c r="N400" s="6" t="str">
        <f>IF(VLOOKUP(E400,Sheet2!$W$4:$Y$49,3,0)=0,"",VLOOKUP(E400,Sheet2!$W$4:$Y$49,3,0))</f>
        <v/>
      </c>
      <c r="Q400" s="6" t="str">
        <f>IF(VLOOKUP(E400,Sheet2!$W$4:$Z$49,4,0)=0,"",VLOOKUP(E400,Sheet2!$W$4:$Z$49,4,0))</f>
        <v/>
      </c>
      <c r="R400" s="8">
        <v>100</v>
      </c>
      <c r="S400" s="14">
        <v>2</v>
      </c>
    </row>
    <row r="401" spans="1:19">
      <c r="A401" s="6">
        <f t="shared" si="29"/>
        <v>8001</v>
      </c>
      <c r="B401" s="6">
        <f t="shared" si="31"/>
        <v>80</v>
      </c>
      <c r="C401" s="6">
        <f t="shared" si="28"/>
        <v>1</v>
      </c>
      <c r="D401" s="6" t="str">
        <f t="shared" ref="D401" si="47">"关卡"&amp;B401&amp;"怪物1"</f>
        <v>关卡80怪物1</v>
      </c>
      <c r="E401" s="6">
        <v>100</v>
      </c>
      <c r="G401" s="6" t="s">
        <v>823</v>
      </c>
      <c r="H401" s="6">
        <f t="shared" si="30"/>
        <v>0</v>
      </c>
      <c r="I401" s="6" t="str">
        <f>IF(VLOOKUP(E401,Sheet2!$W$4:$AA$49,5,0)=0,"",VLOOKUP(E401,Sheet2!$W$4:$AA$49,5,0))</f>
        <v>[60002]</v>
      </c>
      <c r="J401" s="6">
        <v>0</v>
      </c>
      <c r="K401" s="6">
        <v>0</v>
      </c>
      <c r="L401" s="6" t="str">
        <f>IF(VLOOKUP(E401,Sheet2!$W$4:$X$49,2,0)=0,"",VLOOKUP(E401,Sheet2!$W$4:$X$49,2,0))</f>
        <v/>
      </c>
      <c r="N401" s="6">
        <f>IF(VLOOKUP(E401,Sheet2!$W$4:$Y$49,3,0)=0,"",VLOOKUP(E401,Sheet2!$W$4:$Y$49,3,0))</f>
        <v>2001</v>
      </c>
      <c r="Q401" s="6" t="str">
        <f>IF(VLOOKUP(E401,Sheet2!$W$4:$Z$49,4,0)=0,"",VLOOKUP(E401,Sheet2!$W$4:$Z$49,4,0))</f>
        <v/>
      </c>
      <c r="R401" s="8">
        <v>24</v>
      </c>
      <c r="S401" s="14">
        <v>2</v>
      </c>
    </row>
    <row r="402" spans="1:19">
      <c r="A402" s="6">
        <f t="shared" si="29"/>
        <v>8002</v>
      </c>
      <c r="B402" s="6">
        <f t="shared" si="31"/>
        <v>80</v>
      </c>
      <c r="C402" s="6">
        <f t="shared" si="28"/>
        <v>2</v>
      </c>
      <c r="D402" s="6" t="str">
        <f t="shared" ref="D402" si="48">"关卡"&amp;B402&amp;"怪物2"</f>
        <v>关卡80怪物2</v>
      </c>
      <c r="E402" s="6">
        <v>102</v>
      </c>
      <c r="G402" s="6" t="s">
        <v>824</v>
      </c>
      <c r="H402" s="6">
        <f t="shared" si="30"/>
        <v>0</v>
      </c>
      <c r="I402" s="6" t="str">
        <f>IF(VLOOKUP(E402,Sheet2!$W$4:$AA$49,5,0)=0,"",VLOOKUP(E402,Sheet2!$W$4:$AA$49,5,0))</f>
        <v/>
      </c>
      <c r="J402" s="6">
        <v>0</v>
      </c>
      <c r="K402" s="6">
        <v>0</v>
      </c>
      <c r="L402" s="6">
        <f>IF(VLOOKUP(E402,Sheet2!$W$4:$X$49,2,0)=0,"",VLOOKUP(E402,Sheet2!$W$4:$X$49,2,0))</f>
        <v>1</v>
      </c>
      <c r="N402" s="6" t="str">
        <f>IF(VLOOKUP(E402,Sheet2!$W$4:$Y$49,3,0)=0,"",VLOOKUP(E402,Sheet2!$W$4:$Y$49,3,0))</f>
        <v/>
      </c>
      <c r="Q402" s="6" t="str">
        <f>IF(VLOOKUP(E402,Sheet2!$W$4:$Z$49,4,0)=0,"",VLOOKUP(E402,Sheet2!$W$4:$Z$49,4,0))</f>
        <v>[{50011,6}]</v>
      </c>
      <c r="R402" s="8">
        <v>24</v>
      </c>
      <c r="S402" s="14">
        <v>2</v>
      </c>
    </row>
    <row r="403" spans="1:19">
      <c r="A403" s="6">
        <f t="shared" si="29"/>
        <v>8003</v>
      </c>
      <c r="B403" s="6">
        <f t="shared" si="31"/>
        <v>80</v>
      </c>
      <c r="C403" s="6">
        <f t="shared" si="28"/>
        <v>3</v>
      </c>
      <c r="D403" s="6" t="str">
        <f t="shared" ref="D403" si="49">"关卡"&amp;B403&amp;"怪物3"</f>
        <v>关卡80怪物3</v>
      </c>
      <c r="E403" s="6">
        <v>105</v>
      </c>
      <c r="G403" s="6" t="s">
        <v>825</v>
      </c>
      <c r="H403" s="6">
        <f t="shared" si="30"/>
        <v>0</v>
      </c>
      <c r="I403" s="6" t="str">
        <f>IF(VLOOKUP(E403,Sheet2!$W$4:$AA$49,5,0)=0,"",VLOOKUP(E403,Sheet2!$W$4:$AA$49,5,0))</f>
        <v>[60003]</v>
      </c>
      <c r="J403" s="6">
        <v>0</v>
      </c>
      <c r="K403" s="6">
        <v>0</v>
      </c>
      <c r="L403" s="6" t="str">
        <f>IF(VLOOKUP(E403,Sheet2!$W$4:$X$49,2,0)=0,"",VLOOKUP(E403,Sheet2!$W$4:$X$49,2,0))</f>
        <v/>
      </c>
      <c r="N403" s="6" t="str">
        <f>IF(VLOOKUP(E403,Sheet2!$W$4:$Y$49,3,0)=0,"",VLOOKUP(E403,Sheet2!$W$4:$Y$49,3,0))</f>
        <v/>
      </c>
      <c r="Q403" s="6" t="str">
        <f>IF(VLOOKUP(E403,Sheet2!$W$4:$Z$49,4,0)=0,"",VLOOKUP(E403,Sheet2!$W$4:$Z$49,4,0))</f>
        <v/>
      </c>
      <c r="R403" s="8">
        <v>24</v>
      </c>
      <c r="S403" s="14">
        <v>2</v>
      </c>
    </row>
    <row r="404" spans="1:19">
      <c r="A404" s="6">
        <f t="shared" si="29"/>
        <v>8021</v>
      </c>
      <c r="B404" s="6">
        <f t="shared" si="31"/>
        <v>80</v>
      </c>
      <c r="C404" s="6">
        <f t="shared" si="28"/>
        <v>4</v>
      </c>
      <c r="D404" s="6" t="str">
        <f t="shared" ref="D404" si="50">"关卡"&amp;B404&amp;"BOSS1"</f>
        <v>关卡80BOSS1</v>
      </c>
      <c r="E404" s="6">
        <v>502</v>
      </c>
      <c r="G404" s="6" t="s">
        <v>826</v>
      </c>
      <c r="H404" s="6">
        <f t="shared" si="30"/>
        <v>2</v>
      </c>
      <c r="I404" s="6" t="str">
        <f>IF(VLOOKUP(E404,Sheet2!$W$4:$AA$49,5,0)=0,"",VLOOKUP(E404,Sheet2!$W$4:$AA$49,5,0))</f>
        <v/>
      </c>
      <c r="J404" s="6">
        <v>0</v>
      </c>
      <c r="K404" s="6">
        <v>0</v>
      </c>
      <c r="L404" s="6">
        <f>IF(VLOOKUP(E404,Sheet2!$W$4:$X$49,2,0)=0,"",VLOOKUP(E404,Sheet2!$W$4:$X$49,2,0))</f>
        <v>1</v>
      </c>
      <c r="N404" s="6" t="str">
        <f>IF(VLOOKUP(E404,Sheet2!$W$4:$Y$49,3,0)=0,"",VLOOKUP(E404,Sheet2!$W$4:$Y$49,3,0))</f>
        <v/>
      </c>
      <c r="Q404" s="6" t="str">
        <f>IF(VLOOKUP(E404,Sheet2!$W$4:$Z$49,4,0)=0,"",VLOOKUP(E404,Sheet2!$W$4:$Z$49,4,0))</f>
        <v>[{50021,6}]</v>
      </c>
      <c r="R404" s="8">
        <v>100</v>
      </c>
      <c r="S404" s="14">
        <v>2</v>
      </c>
    </row>
    <row r="405" spans="1:19">
      <c r="A405" s="6">
        <f t="shared" si="29"/>
        <v>8031</v>
      </c>
      <c r="B405" s="6">
        <f t="shared" si="31"/>
        <v>80</v>
      </c>
      <c r="C405" s="6">
        <f t="shared" si="28"/>
        <v>5</v>
      </c>
      <c r="D405" s="6" t="str">
        <f t="shared" ref="D405" si="51">"关卡"&amp;B405&amp;"BOSS2"</f>
        <v>关卡80BOSS2</v>
      </c>
      <c r="E405" s="6">
        <v>500</v>
      </c>
      <c r="G405" s="6" t="s">
        <v>827</v>
      </c>
      <c r="H405" s="6">
        <f t="shared" si="30"/>
        <v>2</v>
      </c>
      <c r="I405" s="6" t="str">
        <f>IF(VLOOKUP(E405,Sheet2!$W$4:$AA$49,5,0)=0,"",VLOOKUP(E405,Sheet2!$W$4:$AA$49,5,0))</f>
        <v>[60002]</v>
      </c>
      <c r="J405" s="6">
        <v>0</v>
      </c>
      <c r="K405" s="6">
        <v>0</v>
      </c>
      <c r="L405" s="6" t="str">
        <f>IF(VLOOKUP(E405,Sheet2!$W$4:$X$49,2,0)=0,"",VLOOKUP(E405,Sheet2!$W$4:$X$49,2,0))</f>
        <v/>
      </c>
      <c r="N405" s="6">
        <f>IF(VLOOKUP(E405,Sheet2!$W$4:$Y$49,3,0)=0,"",VLOOKUP(E405,Sheet2!$W$4:$Y$49,3,0))</f>
        <v>2001</v>
      </c>
      <c r="Q405" s="6" t="str">
        <f>IF(VLOOKUP(E405,Sheet2!$W$4:$Z$49,4,0)=0,"",VLOOKUP(E405,Sheet2!$W$4:$Z$49,4,0))</f>
        <v/>
      </c>
      <c r="R405" s="8">
        <v>100</v>
      </c>
      <c r="S405" s="14">
        <v>2</v>
      </c>
    </row>
    <row r="406" spans="1:19">
      <c r="A406" s="6">
        <f t="shared" si="29"/>
        <v>8101</v>
      </c>
      <c r="B406" s="6">
        <f t="shared" si="31"/>
        <v>81</v>
      </c>
      <c r="C406" s="6">
        <f t="shared" si="28"/>
        <v>1</v>
      </c>
      <c r="D406" s="6" t="str">
        <f t="shared" ref="D406" si="52">"关卡"&amp;B406&amp;"怪物1"</f>
        <v>关卡81怪物1</v>
      </c>
      <c r="E406" s="6">
        <v>111</v>
      </c>
      <c r="G406" s="6" t="s">
        <v>828</v>
      </c>
      <c r="H406" s="6">
        <f t="shared" si="30"/>
        <v>0</v>
      </c>
      <c r="I406" s="6" t="str">
        <f>IF(VLOOKUP(E406,Sheet2!$W$4:$AA$49,5,0)=0,"",VLOOKUP(E406,Sheet2!$W$4:$AA$49,5,0))</f>
        <v/>
      </c>
      <c r="J406" s="6">
        <v>0</v>
      </c>
      <c r="K406" s="6">
        <v>0</v>
      </c>
      <c r="L406" s="6" t="str">
        <f>IF(VLOOKUP(E406,Sheet2!$W$4:$X$49,2,0)=0,"",VLOOKUP(E406,Sheet2!$W$4:$X$49,2,0))</f>
        <v/>
      </c>
      <c r="N406" s="6" t="str">
        <f>IF(VLOOKUP(E406,Sheet2!$W$4:$Y$49,3,0)=0,"",VLOOKUP(E406,Sheet2!$W$4:$Y$49,3,0))</f>
        <v/>
      </c>
      <c r="Q406" s="6" t="str">
        <f>IF(VLOOKUP(E406,Sheet2!$W$4:$Z$49,4,0)=0,"",VLOOKUP(E406,Sheet2!$W$4:$Z$49,4,0))</f>
        <v/>
      </c>
      <c r="R406" s="8">
        <v>24</v>
      </c>
      <c r="S406" s="14">
        <v>2</v>
      </c>
    </row>
    <row r="407" spans="1:19">
      <c r="A407" s="6">
        <f t="shared" si="29"/>
        <v>8102</v>
      </c>
      <c r="B407" s="6">
        <f t="shared" si="31"/>
        <v>81</v>
      </c>
      <c r="C407" s="6">
        <f t="shared" si="28"/>
        <v>2</v>
      </c>
      <c r="D407" s="6" t="str">
        <f t="shared" ref="D407" si="53">"关卡"&amp;B407&amp;"怪物2"</f>
        <v>关卡81怪物2</v>
      </c>
      <c r="E407" s="6">
        <v>115</v>
      </c>
      <c r="G407" s="6" t="s">
        <v>829</v>
      </c>
      <c r="H407" s="6">
        <f t="shared" si="30"/>
        <v>0</v>
      </c>
      <c r="I407" s="6" t="str">
        <f>IF(VLOOKUP(E407,Sheet2!$W$4:$AA$49,5,0)=0,"",VLOOKUP(E407,Sheet2!$W$4:$AA$49,5,0))</f>
        <v/>
      </c>
      <c r="J407" s="6">
        <v>0</v>
      </c>
      <c r="K407" s="6">
        <v>0</v>
      </c>
      <c r="L407" s="6" t="str">
        <f>IF(VLOOKUP(E407,Sheet2!$W$4:$X$49,2,0)=0,"",VLOOKUP(E407,Sheet2!$W$4:$X$49,2,0))</f>
        <v/>
      </c>
      <c r="N407" s="6" t="str">
        <f>IF(VLOOKUP(E407,Sheet2!$W$4:$Y$49,3,0)=0,"",VLOOKUP(E407,Sheet2!$W$4:$Y$49,3,0))</f>
        <v/>
      </c>
      <c r="Q407" s="6" t="str">
        <f>IF(VLOOKUP(E407,Sheet2!$W$4:$Z$49,4,0)=0,"",VLOOKUP(E407,Sheet2!$W$4:$Z$49,4,0))</f>
        <v/>
      </c>
      <c r="R407" s="8">
        <v>24</v>
      </c>
      <c r="S407" s="14">
        <v>2</v>
      </c>
    </row>
    <row r="408" spans="1:19">
      <c r="A408" s="6">
        <f t="shared" si="29"/>
        <v>8103</v>
      </c>
      <c r="B408" s="6">
        <f t="shared" si="31"/>
        <v>81</v>
      </c>
      <c r="C408" s="6">
        <f t="shared" si="28"/>
        <v>3</v>
      </c>
      <c r="D408" s="6" t="str">
        <f t="shared" ref="D408" si="54">"关卡"&amp;B408&amp;"怪物3"</f>
        <v>关卡81怪物3</v>
      </c>
      <c r="E408" s="6">
        <v>113</v>
      </c>
      <c r="G408" s="6" t="s">
        <v>830</v>
      </c>
      <c r="H408" s="6">
        <f t="shared" si="30"/>
        <v>0</v>
      </c>
      <c r="I408" s="6" t="str">
        <f>IF(VLOOKUP(E408,Sheet2!$W$4:$AA$49,5,0)=0,"",VLOOKUP(E408,Sheet2!$W$4:$AA$49,5,0))</f>
        <v>[60005]</v>
      </c>
      <c r="J408" s="6">
        <v>0</v>
      </c>
      <c r="K408" s="6">
        <v>0</v>
      </c>
      <c r="L408" s="6">
        <f>IF(VLOOKUP(E408,Sheet2!$W$4:$X$49,2,0)=0,"",VLOOKUP(E408,Sheet2!$W$4:$X$49,2,0))</f>
        <v>1</v>
      </c>
      <c r="N408" s="6" t="str">
        <f>IF(VLOOKUP(E408,Sheet2!$W$4:$Y$49,3,0)=0,"",VLOOKUP(E408,Sheet2!$W$4:$Y$49,3,0))</f>
        <v/>
      </c>
      <c r="Q408" s="6" t="str">
        <f>IF(VLOOKUP(E408,Sheet2!$W$4:$Z$49,4,0)=0,"",VLOOKUP(E408,Sheet2!$W$4:$Z$49,4,0))</f>
        <v>[{50016,6}]</v>
      </c>
      <c r="R408" s="8">
        <v>24</v>
      </c>
      <c r="S408" s="14">
        <v>2</v>
      </c>
    </row>
    <row r="409" spans="1:19">
      <c r="A409" s="6">
        <f t="shared" si="29"/>
        <v>8121</v>
      </c>
      <c r="B409" s="6">
        <f t="shared" si="31"/>
        <v>81</v>
      </c>
      <c r="C409" s="6">
        <f t="shared" si="28"/>
        <v>4</v>
      </c>
      <c r="D409" s="6" t="str">
        <f t="shared" ref="D409" si="55">"关卡"&amp;B409&amp;"BOSS1"</f>
        <v>关卡81BOSS1</v>
      </c>
      <c r="E409" s="6">
        <v>515</v>
      </c>
      <c r="G409" s="6" t="s">
        <v>831</v>
      </c>
      <c r="H409" s="6">
        <f t="shared" si="30"/>
        <v>2</v>
      </c>
      <c r="I409" s="6" t="str">
        <f>IF(VLOOKUP(E409,Sheet2!$W$4:$AA$49,5,0)=0,"",VLOOKUP(E409,Sheet2!$W$4:$AA$49,5,0))</f>
        <v/>
      </c>
      <c r="J409" s="6">
        <v>0</v>
      </c>
      <c r="K409" s="6">
        <v>0</v>
      </c>
      <c r="L409" s="6" t="str">
        <f>IF(VLOOKUP(E409,Sheet2!$W$4:$X$49,2,0)=0,"",VLOOKUP(E409,Sheet2!$W$4:$X$49,2,0))</f>
        <v/>
      </c>
      <c r="N409" s="6" t="str">
        <f>IF(VLOOKUP(E409,Sheet2!$W$4:$Y$49,3,0)=0,"",VLOOKUP(E409,Sheet2!$W$4:$Y$49,3,0))</f>
        <v/>
      </c>
      <c r="Q409" s="6" t="str">
        <f>IF(VLOOKUP(E409,Sheet2!$W$4:$Z$49,4,0)=0,"",VLOOKUP(E409,Sheet2!$W$4:$Z$49,4,0))</f>
        <v/>
      </c>
      <c r="R409" s="8">
        <v>100</v>
      </c>
      <c r="S409" s="14">
        <v>2</v>
      </c>
    </row>
    <row r="410" spans="1:19">
      <c r="A410" s="6">
        <f t="shared" si="29"/>
        <v>8131</v>
      </c>
      <c r="B410" s="6">
        <f t="shared" si="31"/>
        <v>81</v>
      </c>
      <c r="C410" s="6">
        <f t="shared" si="28"/>
        <v>5</v>
      </c>
      <c r="D410" s="6" t="str">
        <f t="shared" ref="D410" si="56">"关卡"&amp;B410&amp;"BOSS2"</f>
        <v>关卡81BOSS2</v>
      </c>
      <c r="E410" s="6">
        <v>515</v>
      </c>
      <c r="G410" s="6" t="s">
        <v>832</v>
      </c>
      <c r="H410" s="6">
        <f t="shared" si="30"/>
        <v>2</v>
      </c>
      <c r="I410" s="6" t="str">
        <f>IF(VLOOKUP(E410,Sheet2!$W$4:$AA$49,5,0)=0,"",VLOOKUP(E410,Sheet2!$W$4:$AA$49,5,0))</f>
        <v/>
      </c>
      <c r="J410" s="6">
        <v>0</v>
      </c>
      <c r="K410" s="6">
        <v>0</v>
      </c>
      <c r="L410" s="6" t="str">
        <f>IF(VLOOKUP(E410,Sheet2!$W$4:$X$49,2,0)=0,"",VLOOKUP(E410,Sheet2!$W$4:$X$49,2,0))</f>
        <v/>
      </c>
      <c r="N410" s="6" t="str">
        <f>IF(VLOOKUP(E410,Sheet2!$W$4:$Y$49,3,0)=0,"",VLOOKUP(E410,Sheet2!$W$4:$Y$49,3,0))</f>
        <v/>
      </c>
      <c r="Q410" s="6" t="str">
        <f>IF(VLOOKUP(E410,Sheet2!$W$4:$Z$49,4,0)=0,"",VLOOKUP(E410,Sheet2!$W$4:$Z$49,4,0))</f>
        <v/>
      </c>
      <c r="R410" s="8">
        <v>100</v>
      </c>
      <c r="S410" s="14">
        <v>2</v>
      </c>
    </row>
    <row r="411" spans="1:19">
      <c r="A411" s="6">
        <f t="shared" si="29"/>
        <v>8201</v>
      </c>
      <c r="B411" s="6">
        <f t="shared" si="31"/>
        <v>82</v>
      </c>
      <c r="C411" s="6">
        <f t="shared" si="28"/>
        <v>1</v>
      </c>
      <c r="D411" s="6" t="str">
        <f t="shared" ref="D411" si="57">"关卡"&amp;B411&amp;"怪物1"</f>
        <v>关卡82怪物1</v>
      </c>
      <c r="E411" s="6">
        <v>115</v>
      </c>
      <c r="G411" s="6" t="s">
        <v>833</v>
      </c>
      <c r="H411" s="6">
        <f t="shared" si="30"/>
        <v>0</v>
      </c>
      <c r="I411" s="6" t="str">
        <f>IF(VLOOKUP(E411,Sheet2!$W$4:$AA$49,5,0)=0,"",VLOOKUP(E411,Sheet2!$W$4:$AA$49,5,0))</f>
        <v/>
      </c>
      <c r="J411" s="6">
        <v>0</v>
      </c>
      <c r="K411" s="6">
        <v>0</v>
      </c>
      <c r="L411" s="6" t="str">
        <f>IF(VLOOKUP(E411,Sheet2!$W$4:$X$49,2,0)=0,"",VLOOKUP(E411,Sheet2!$W$4:$X$49,2,0))</f>
        <v/>
      </c>
      <c r="N411" s="6" t="str">
        <f>IF(VLOOKUP(E411,Sheet2!$W$4:$Y$49,3,0)=0,"",VLOOKUP(E411,Sheet2!$W$4:$Y$49,3,0))</f>
        <v/>
      </c>
      <c r="Q411" s="6" t="str">
        <f>IF(VLOOKUP(E411,Sheet2!$W$4:$Z$49,4,0)=0,"",VLOOKUP(E411,Sheet2!$W$4:$Z$49,4,0))</f>
        <v/>
      </c>
      <c r="R411" s="8">
        <v>24</v>
      </c>
      <c r="S411" s="14">
        <v>2</v>
      </c>
    </row>
    <row r="412" spans="1:19">
      <c r="A412" s="6">
        <f t="shared" si="29"/>
        <v>8202</v>
      </c>
      <c r="B412" s="6">
        <f t="shared" si="31"/>
        <v>82</v>
      </c>
      <c r="C412" s="6">
        <f t="shared" si="28"/>
        <v>2</v>
      </c>
      <c r="D412" s="6" t="str">
        <f t="shared" ref="D412" si="58">"关卡"&amp;B412&amp;"怪物2"</f>
        <v>关卡82怪物2</v>
      </c>
      <c r="E412" s="6">
        <v>113</v>
      </c>
      <c r="G412" s="6" t="s">
        <v>834</v>
      </c>
      <c r="H412" s="6">
        <f t="shared" si="30"/>
        <v>0</v>
      </c>
      <c r="I412" s="6" t="str">
        <f>IF(VLOOKUP(E412,Sheet2!$W$4:$AA$49,5,0)=0,"",VLOOKUP(E412,Sheet2!$W$4:$AA$49,5,0))</f>
        <v>[60005]</v>
      </c>
      <c r="J412" s="6">
        <v>0</v>
      </c>
      <c r="K412" s="6">
        <v>0</v>
      </c>
      <c r="L412" s="6">
        <f>IF(VLOOKUP(E412,Sheet2!$W$4:$X$49,2,0)=0,"",VLOOKUP(E412,Sheet2!$W$4:$X$49,2,0))</f>
        <v>1</v>
      </c>
      <c r="N412" s="6" t="str">
        <f>IF(VLOOKUP(E412,Sheet2!$W$4:$Y$49,3,0)=0,"",VLOOKUP(E412,Sheet2!$W$4:$Y$49,3,0))</f>
        <v/>
      </c>
      <c r="Q412" s="6" t="str">
        <f>IF(VLOOKUP(E412,Sheet2!$W$4:$Z$49,4,0)=0,"",VLOOKUP(E412,Sheet2!$W$4:$Z$49,4,0))</f>
        <v>[{50016,6}]</v>
      </c>
      <c r="R412" s="8">
        <v>24</v>
      </c>
      <c r="S412" s="14">
        <v>2</v>
      </c>
    </row>
    <row r="413" spans="1:19">
      <c r="A413" s="6">
        <f t="shared" si="29"/>
        <v>8203</v>
      </c>
      <c r="B413" s="6">
        <f t="shared" si="31"/>
        <v>82</v>
      </c>
      <c r="C413" s="6">
        <f t="shared" si="28"/>
        <v>3</v>
      </c>
      <c r="D413" s="6" t="str">
        <f t="shared" ref="D413" si="59">"关卡"&amp;B413&amp;"怪物3"</f>
        <v>关卡82怪物3</v>
      </c>
      <c r="E413" s="6">
        <v>113</v>
      </c>
      <c r="G413" s="6" t="s">
        <v>835</v>
      </c>
      <c r="H413" s="6">
        <f t="shared" si="30"/>
        <v>0</v>
      </c>
      <c r="I413" s="6" t="str">
        <f>IF(VLOOKUP(E413,Sheet2!$W$4:$AA$49,5,0)=0,"",VLOOKUP(E413,Sheet2!$W$4:$AA$49,5,0))</f>
        <v>[60005]</v>
      </c>
      <c r="J413" s="6">
        <v>0</v>
      </c>
      <c r="K413" s="6">
        <v>0</v>
      </c>
      <c r="L413" s="6">
        <f>IF(VLOOKUP(E413,Sheet2!$W$4:$X$49,2,0)=0,"",VLOOKUP(E413,Sheet2!$W$4:$X$49,2,0))</f>
        <v>1</v>
      </c>
      <c r="N413" s="6" t="str">
        <f>IF(VLOOKUP(E413,Sheet2!$W$4:$Y$49,3,0)=0,"",VLOOKUP(E413,Sheet2!$W$4:$Y$49,3,0))</f>
        <v/>
      </c>
      <c r="Q413" s="6" t="str">
        <f>IF(VLOOKUP(E413,Sheet2!$W$4:$Z$49,4,0)=0,"",VLOOKUP(E413,Sheet2!$W$4:$Z$49,4,0))</f>
        <v>[{50016,6}]</v>
      </c>
      <c r="R413" s="8">
        <v>24</v>
      </c>
      <c r="S413" s="14">
        <v>2</v>
      </c>
    </row>
    <row r="414" spans="1:19">
      <c r="A414" s="6">
        <f t="shared" si="29"/>
        <v>8221</v>
      </c>
      <c r="B414" s="6">
        <f t="shared" si="31"/>
        <v>82</v>
      </c>
      <c r="C414" s="6">
        <f t="shared" si="28"/>
        <v>4</v>
      </c>
      <c r="D414" s="6" t="str">
        <f t="shared" ref="D414" si="60">"关卡"&amp;B414&amp;"BOSS1"</f>
        <v>关卡82BOSS1</v>
      </c>
      <c r="E414" s="6">
        <v>515</v>
      </c>
      <c r="G414" s="6" t="s">
        <v>836</v>
      </c>
      <c r="H414" s="6">
        <f t="shared" si="30"/>
        <v>2</v>
      </c>
      <c r="I414" s="6" t="str">
        <f>IF(VLOOKUP(E414,Sheet2!$W$4:$AA$49,5,0)=0,"",VLOOKUP(E414,Sheet2!$W$4:$AA$49,5,0))</f>
        <v/>
      </c>
      <c r="J414" s="6">
        <v>0</v>
      </c>
      <c r="K414" s="6">
        <v>0</v>
      </c>
      <c r="L414" s="6" t="str">
        <f>IF(VLOOKUP(E414,Sheet2!$W$4:$X$49,2,0)=0,"",VLOOKUP(E414,Sheet2!$W$4:$X$49,2,0))</f>
        <v/>
      </c>
      <c r="N414" s="6" t="str">
        <f>IF(VLOOKUP(E414,Sheet2!$W$4:$Y$49,3,0)=0,"",VLOOKUP(E414,Sheet2!$W$4:$Y$49,3,0))</f>
        <v/>
      </c>
      <c r="Q414" s="6" t="str">
        <f>IF(VLOOKUP(E414,Sheet2!$W$4:$Z$49,4,0)=0,"",VLOOKUP(E414,Sheet2!$W$4:$Z$49,4,0))</f>
        <v/>
      </c>
      <c r="R414" s="8">
        <v>100</v>
      </c>
      <c r="S414" s="14">
        <v>2</v>
      </c>
    </row>
    <row r="415" spans="1:19">
      <c r="A415" s="6">
        <f t="shared" si="29"/>
        <v>8231</v>
      </c>
      <c r="B415" s="6">
        <f t="shared" si="31"/>
        <v>82</v>
      </c>
      <c r="C415" s="6">
        <f t="shared" si="28"/>
        <v>5</v>
      </c>
      <c r="D415" s="6" t="str">
        <f t="shared" ref="D415" si="61">"关卡"&amp;B415&amp;"BOSS2"</f>
        <v>关卡82BOSS2</v>
      </c>
      <c r="E415" s="6">
        <v>515</v>
      </c>
      <c r="G415" s="6" t="s">
        <v>837</v>
      </c>
      <c r="H415" s="6">
        <f t="shared" si="30"/>
        <v>2</v>
      </c>
      <c r="I415" s="6" t="str">
        <f>IF(VLOOKUP(E415,Sheet2!$W$4:$AA$49,5,0)=0,"",VLOOKUP(E415,Sheet2!$W$4:$AA$49,5,0))</f>
        <v/>
      </c>
      <c r="J415" s="6">
        <v>0</v>
      </c>
      <c r="K415" s="6">
        <v>0</v>
      </c>
      <c r="L415" s="6" t="str">
        <f>IF(VLOOKUP(E415,Sheet2!$W$4:$X$49,2,0)=0,"",VLOOKUP(E415,Sheet2!$W$4:$X$49,2,0))</f>
        <v/>
      </c>
      <c r="N415" s="6" t="str">
        <f>IF(VLOOKUP(E415,Sheet2!$W$4:$Y$49,3,0)=0,"",VLOOKUP(E415,Sheet2!$W$4:$Y$49,3,0))</f>
        <v/>
      </c>
      <c r="Q415" s="6" t="str">
        <f>IF(VLOOKUP(E415,Sheet2!$W$4:$Z$49,4,0)=0,"",VLOOKUP(E415,Sheet2!$W$4:$Z$49,4,0))</f>
        <v/>
      </c>
      <c r="R415" s="8">
        <v>100</v>
      </c>
      <c r="S415" s="14">
        <v>2</v>
      </c>
    </row>
    <row r="416" spans="1:19">
      <c r="A416" s="6">
        <f t="shared" si="29"/>
        <v>8301</v>
      </c>
      <c r="B416" s="6">
        <f t="shared" si="31"/>
        <v>83</v>
      </c>
      <c r="C416" s="6">
        <f t="shared" si="28"/>
        <v>1</v>
      </c>
      <c r="D416" s="6" t="str">
        <f t="shared" ref="D416" si="62">"关卡"&amp;B416&amp;"怪物1"</f>
        <v>关卡83怪物1</v>
      </c>
      <c r="E416" s="6">
        <v>108</v>
      </c>
      <c r="G416" s="6" t="s">
        <v>838</v>
      </c>
      <c r="H416" s="6">
        <f t="shared" si="30"/>
        <v>0</v>
      </c>
      <c r="I416" s="6" t="str">
        <f>IF(VLOOKUP(E416,Sheet2!$W$4:$AA$49,5,0)=0,"",VLOOKUP(E416,Sheet2!$W$4:$AA$49,5,0))</f>
        <v/>
      </c>
      <c r="J416" s="6">
        <v>0</v>
      </c>
      <c r="K416" s="6">
        <v>0</v>
      </c>
      <c r="L416" s="6" t="str">
        <f>IF(VLOOKUP(E416,Sheet2!$W$4:$X$49,2,0)=0,"",VLOOKUP(E416,Sheet2!$W$4:$X$49,2,0))</f>
        <v/>
      </c>
      <c r="N416" s="6" t="str">
        <f>IF(VLOOKUP(E416,Sheet2!$W$4:$Y$49,3,0)=0,"",VLOOKUP(E416,Sheet2!$W$4:$Y$49,3,0))</f>
        <v/>
      </c>
      <c r="Q416" s="6" t="str">
        <f>IF(VLOOKUP(E416,Sheet2!$W$4:$Z$49,4,0)=0,"",VLOOKUP(E416,Sheet2!$W$4:$Z$49,4,0))</f>
        <v/>
      </c>
      <c r="R416" s="8">
        <v>24</v>
      </c>
      <c r="S416" s="14">
        <v>2</v>
      </c>
    </row>
    <row r="417" spans="1:19">
      <c r="A417" s="6">
        <f t="shared" si="29"/>
        <v>8302</v>
      </c>
      <c r="B417" s="6">
        <f t="shared" si="31"/>
        <v>83</v>
      </c>
      <c r="C417" s="6">
        <f t="shared" si="28"/>
        <v>2</v>
      </c>
      <c r="D417" s="6" t="str">
        <f t="shared" ref="D417" si="63">"关卡"&amp;B417&amp;"怪物2"</f>
        <v>关卡83怪物2</v>
      </c>
      <c r="E417" s="6">
        <v>109</v>
      </c>
      <c r="G417" s="6" t="s">
        <v>839</v>
      </c>
      <c r="H417" s="6">
        <f t="shared" si="30"/>
        <v>0</v>
      </c>
      <c r="I417" s="6" t="str">
        <f>IF(VLOOKUP(E417,Sheet2!$W$4:$AA$49,5,0)=0,"",VLOOKUP(E417,Sheet2!$W$4:$AA$49,5,0))</f>
        <v/>
      </c>
      <c r="J417" s="6">
        <v>0</v>
      </c>
      <c r="K417" s="6">
        <v>0</v>
      </c>
      <c r="L417" s="6">
        <f>IF(VLOOKUP(E417,Sheet2!$W$4:$X$49,2,0)=0,"",VLOOKUP(E417,Sheet2!$W$4:$X$49,2,0))</f>
        <v>1</v>
      </c>
      <c r="N417" s="6" t="str">
        <f>IF(VLOOKUP(E417,Sheet2!$W$4:$Y$49,3,0)=0,"",VLOOKUP(E417,Sheet2!$W$4:$Y$49,3,0))</f>
        <v/>
      </c>
      <c r="Q417" s="6" t="str">
        <f>IF(VLOOKUP(E417,Sheet2!$W$4:$Z$49,4,0)=0,"",VLOOKUP(E417,Sheet2!$W$4:$Z$49,4,0))</f>
        <v>[{50014,6}]</v>
      </c>
      <c r="R417" s="8">
        <v>24</v>
      </c>
      <c r="S417" s="14">
        <v>2</v>
      </c>
    </row>
    <row r="418" spans="1:19">
      <c r="A418" s="6">
        <f t="shared" si="29"/>
        <v>8303</v>
      </c>
      <c r="B418" s="6">
        <f t="shared" si="31"/>
        <v>83</v>
      </c>
      <c r="C418" s="6">
        <f t="shared" si="28"/>
        <v>3</v>
      </c>
      <c r="D418" s="6" t="str">
        <f t="shared" ref="D418" si="64">"关卡"&amp;B418&amp;"怪物3"</f>
        <v>关卡83怪物3</v>
      </c>
      <c r="E418" s="6">
        <v>109</v>
      </c>
      <c r="G418" s="6" t="s">
        <v>840</v>
      </c>
      <c r="H418" s="6">
        <f t="shared" si="30"/>
        <v>0</v>
      </c>
      <c r="I418" s="6" t="str">
        <f>IF(VLOOKUP(E418,Sheet2!$W$4:$AA$49,5,0)=0,"",VLOOKUP(E418,Sheet2!$W$4:$AA$49,5,0))</f>
        <v/>
      </c>
      <c r="J418" s="6">
        <v>0</v>
      </c>
      <c r="K418" s="6">
        <v>0</v>
      </c>
      <c r="L418" s="6">
        <f>IF(VLOOKUP(E418,Sheet2!$W$4:$X$49,2,0)=0,"",VLOOKUP(E418,Sheet2!$W$4:$X$49,2,0))</f>
        <v>1</v>
      </c>
      <c r="N418" s="6" t="str">
        <f>IF(VLOOKUP(E418,Sheet2!$W$4:$Y$49,3,0)=0,"",VLOOKUP(E418,Sheet2!$W$4:$Y$49,3,0))</f>
        <v/>
      </c>
      <c r="Q418" s="6" t="str">
        <f>IF(VLOOKUP(E418,Sheet2!$W$4:$Z$49,4,0)=0,"",VLOOKUP(E418,Sheet2!$W$4:$Z$49,4,0))</f>
        <v>[{50014,6}]</v>
      </c>
      <c r="R418" s="8">
        <v>24</v>
      </c>
      <c r="S418" s="14">
        <v>2</v>
      </c>
    </row>
    <row r="419" spans="1:19">
      <c r="A419" s="6">
        <f t="shared" si="29"/>
        <v>8321</v>
      </c>
      <c r="B419" s="6">
        <f t="shared" si="31"/>
        <v>83</v>
      </c>
      <c r="C419" s="6">
        <f t="shared" si="28"/>
        <v>4</v>
      </c>
      <c r="D419" s="6" t="str">
        <f t="shared" ref="D419" si="65">"关卡"&amp;B419&amp;"BOSS1"</f>
        <v>关卡83BOSS1</v>
      </c>
      <c r="E419" s="6">
        <v>508</v>
      </c>
      <c r="G419" s="6" t="s">
        <v>841</v>
      </c>
      <c r="H419" s="6">
        <f t="shared" si="30"/>
        <v>2</v>
      </c>
      <c r="I419" s="6" t="str">
        <f>IF(VLOOKUP(E419,Sheet2!$W$4:$AA$49,5,0)=0,"",VLOOKUP(E419,Sheet2!$W$4:$AA$49,5,0))</f>
        <v/>
      </c>
      <c r="J419" s="6">
        <v>0</v>
      </c>
      <c r="K419" s="6">
        <v>0</v>
      </c>
      <c r="L419" s="6" t="str">
        <f>IF(VLOOKUP(E419,Sheet2!$W$4:$X$49,2,0)=0,"",VLOOKUP(E419,Sheet2!$W$4:$X$49,2,0))</f>
        <v/>
      </c>
      <c r="N419" s="6" t="str">
        <f>IF(VLOOKUP(E419,Sheet2!$W$4:$Y$49,3,0)=0,"",VLOOKUP(E419,Sheet2!$W$4:$Y$49,3,0))</f>
        <v/>
      </c>
      <c r="Q419" s="6" t="str">
        <f>IF(VLOOKUP(E419,Sheet2!$W$4:$Z$49,4,0)=0,"",VLOOKUP(E419,Sheet2!$W$4:$Z$49,4,0))</f>
        <v/>
      </c>
      <c r="R419" s="8">
        <v>100</v>
      </c>
      <c r="S419" s="14">
        <v>2</v>
      </c>
    </row>
    <row r="420" spans="1:19">
      <c r="A420" s="6">
        <f t="shared" si="29"/>
        <v>8331</v>
      </c>
      <c r="B420" s="6">
        <f t="shared" si="31"/>
        <v>83</v>
      </c>
      <c r="C420" s="6">
        <f t="shared" si="28"/>
        <v>5</v>
      </c>
      <c r="D420" s="6" t="str">
        <f t="shared" ref="D420" si="66">"关卡"&amp;B420&amp;"BOSS2"</f>
        <v>关卡83BOSS2</v>
      </c>
      <c r="E420" s="6">
        <v>508</v>
      </c>
      <c r="G420" s="6" t="s">
        <v>842</v>
      </c>
      <c r="H420" s="6">
        <f t="shared" si="30"/>
        <v>2</v>
      </c>
      <c r="I420" s="6" t="str">
        <f>IF(VLOOKUP(E420,Sheet2!$W$4:$AA$49,5,0)=0,"",VLOOKUP(E420,Sheet2!$W$4:$AA$49,5,0))</f>
        <v/>
      </c>
      <c r="J420" s="6">
        <v>0</v>
      </c>
      <c r="K420" s="6">
        <v>0</v>
      </c>
      <c r="L420" s="6" t="str">
        <f>IF(VLOOKUP(E420,Sheet2!$W$4:$X$49,2,0)=0,"",VLOOKUP(E420,Sheet2!$W$4:$X$49,2,0))</f>
        <v/>
      </c>
      <c r="N420" s="6" t="str">
        <f>IF(VLOOKUP(E420,Sheet2!$W$4:$Y$49,3,0)=0,"",VLOOKUP(E420,Sheet2!$W$4:$Y$49,3,0))</f>
        <v/>
      </c>
      <c r="Q420" s="6" t="str">
        <f>IF(VLOOKUP(E420,Sheet2!$W$4:$Z$49,4,0)=0,"",VLOOKUP(E420,Sheet2!$W$4:$Z$49,4,0))</f>
        <v/>
      </c>
      <c r="R420" s="8">
        <v>100</v>
      </c>
      <c r="S420" s="14">
        <v>2</v>
      </c>
    </row>
    <row r="421" spans="1:19">
      <c r="A421" s="6">
        <f t="shared" si="29"/>
        <v>8401</v>
      </c>
      <c r="B421" s="6">
        <f t="shared" si="31"/>
        <v>84</v>
      </c>
      <c r="C421" s="6">
        <f t="shared" si="28"/>
        <v>1</v>
      </c>
      <c r="D421" s="6" t="str">
        <f t="shared" ref="D421" si="67">"关卡"&amp;B421&amp;"怪物1"</f>
        <v>关卡84怪物1</v>
      </c>
      <c r="E421" s="6">
        <v>108</v>
      </c>
      <c r="G421" s="6" t="s">
        <v>843</v>
      </c>
      <c r="H421" s="6">
        <f t="shared" si="30"/>
        <v>0</v>
      </c>
      <c r="I421" s="6" t="str">
        <f>IF(VLOOKUP(E421,Sheet2!$W$4:$AA$49,5,0)=0,"",VLOOKUP(E421,Sheet2!$W$4:$AA$49,5,0))</f>
        <v/>
      </c>
      <c r="J421" s="6">
        <v>0</v>
      </c>
      <c r="K421" s="6">
        <v>0</v>
      </c>
      <c r="L421" s="6" t="str">
        <f>IF(VLOOKUP(E421,Sheet2!$W$4:$X$49,2,0)=0,"",VLOOKUP(E421,Sheet2!$W$4:$X$49,2,0))</f>
        <v/>
      </c>
      <c r="N421" s="6" t="str">
        <f>IF(VLOOKUP(E421,Sheet2!$W$4:$Y$49,3,0)=0,"",VLOOKUP(E421,Sheet2!$W$4:$Y$49,3,0))</f>
        <v/>
      </c>
      <c r="Q421" s="6" t="str">
        <f>IF(VLOOKUP(E421,Sheet2!$W$4:$Z$49,4,0)=0,"",VLOOKUP(E421,Sheet2!$W$4:$Z$49,4,0))</f>
        <v/>
      </c>
      <c r="R421" s="8">
        <v>24</v>
      </c>
      <c r="S421" s="14">
        <v>2</v>
      </c>
    </row>
    <row r="422" spans="1:19">
      <c r="A422" s="6">
        <f t="shared" si="29"/>
        <v>8402</v>
      </c>
      <c r="B422" s="6">
        <f t="shared" si="31"/>
        <v>84</v>
      </c>
      <c r="C422" s="6">
        <f t="shared" si="28"/>
        <v>2</v>
      </c>
      <c r="D422" s="6" t="str">
        <f t="shared" ref="D422" si="68">"关卡"&amp;B422&amp;"怪物2"</f>
        <v>关卡84怪物2</v>
      </c>
      <c r="E422" s="6">
        <v>109</v>
      </c>
      <c r="G422" s="6" t="s">
        <v>844</v>
      </c>
      <c r="H422" s="6">
        <f t="shared" si="30"/>
        <v>0</v>
      </c>
      <c r="I422" s="6" t="str">
        <f>IF(VLOOKUP(E422,Sheet2!$W$4:$AA$49,5,0)=0,"",VLOOKUP(E422,Sheet2!$W$4:$AA$49,5,0))</f>
        <v/>
      </c>
      <c r="J422" s="6">
        <v>0</v>
      </c>
      <c r="K422" s="6">
        <v>0</v>
      </c>
      <c r="L422" s="6">
        <f>IF(VLOOKUP(E422,Sheet2!$W$4:$X$49,2,0)=0,"",VLOOKUP(E422,Sheet2!$W$4:$X$49,2,0))</f>
        <v>1</v>
      </c>
      <c r="N422" s="6" t="str">
        <f>IF(VLOOKUP(E422,Sheet2!$W$4:$Y$49,3,0)=0,"",VLOOKUP(E422,Sheet2!$W$4:$Y$49,3,0))</f>
        <v/>
      </c>
      <c r="Q422" s="6" t="str">
        <f>IF(VLOOKUP(E422,Sheet2!$W$4:$Z$49,4,0)=0,"",VLOOKUP(E422,Sheet2!$W$4:$Z$49,4,0))</f>
        <v>[{50014,6}]</v>
      </c>
      <c r="R422" s="8">
        <v>24</v>
      </c>
      <c r="S422" s="14">
        <v>2</v>
      </c>
    </row>
    <row r="423" spans="1:19">
      <c r="A423" s="6">
        <f t="shared" si="29"/>
        <v>8403</v>
      </c>
      <c r="B423" s="6">
        <f t="shared" si="31"/>
        <v>84</v>
      </c>
      <c r="C423" s="6">
        <f t="shared" si="28"/>
        <v>3</v>
      </c>
      <c r="D423" s="6" t="str">
        <f t="shared" ref="D423" si="69">"关卡"&amp;B423&amp;"怪物3"</f>
        <v>关卡84怪物3</v>
      </c>
      <c r="E423" s="6">
        <v>110</v>
      </c>
      <c r="G423" s="6" t="s">
        <v>845</v>
      </c>
      <c r="H423" s="6">
        <f t="shared" si="30"/>
        <v>0</v>
      </c>
      <c r="I423" s="6" t="str">
        <f>IF(VLOOKUP(E423,Sheet2!$W$4:$AA$49,5,0)=0,"",VLOOKUP(E423,Sheet2!$W$4:$AA$49,5,0))</f>
        <v/>
      </c>
      <c r="J423" s="6">
        <v>0</v>
      </c>
      <c r="K423" s="6">
        <v>0</v>
      </c>
      <c r="L423" s="6" t="str">
        <f>IF(VLOOKUP(E423,Sheet2!$W$4:$X$49,2,0)=0,"",VLOOKUP(E423,Sheet2!$W$4:$X$49,2,0))</f>
        <v/>
      </c>
      <c r="N423" s="6" t="str">
        <f>IF(VLOOKUP(E423,Sheet2!$W$4:$Y$49,3,0)=0,"",VLOOKUP(E423,Sheet2!$W$4:$Y$49,3,0))</f>
        <v/>
      </c>
      <c r="Q423" s="6" t="str">
        <f>IF(VLOOKUP(E423,Sheet2!$W$4:$Z$49,4,0)=0,"",VLOOKUP(E423,Sheet2!$W$4:$Z$49,4,0))</f>
        <v/>
      </c>
      <c r="R423" s="8">
        <v>24</v>
      </c>
      <c r="S423" s="14">
        <v>2</v>
      </c>
    </row>
    <row r="424" spans="1:19">
      <c r="A424" s="6">
        <f t="shared" si="29"/>
        <v>8421</v>
      </c>
      <c r="B424" s="6">
        <f t="shared" si="31"/>
        <v>84</v>
      </c>
      <c r="C424" s="6">
        <f t="shared" si="28"/>
        <v>4</v>
      </c>
      <c r="D424" s="6" t="str">
        <f t="shared" ref="D424" si="70">"关卡"&amp;B424&amp;"BOSS1"</f>
        <v>关卡84BOSS1</v>
      </c>
      <c r="E424" s="6">
        <v>509</v>
      </c>
      <c r="G424" s="6" t="s">
        <v>846</v>
      </c>
      <c r="H424" s="6">
        <f t="shared" si="30"/>
        <v>2</v>
      </c>
      <c r="I424" s="6" t="str">
        <f>IF(VLOOKUP(E424,Sheet2!$W$4:$AA$49,5,0)=0,"",VLOOKUP(E424,Sheet2!$W$4:$AA$49,5,0))</f>
        <v/>
      </c>
      <c r="J424" s="6">
        <v>0</v>
      </c>
      <c r="K424" s="6">
        <v>0</v>
      </c>
      <c r="L424" s="6">
        <f>IF(VLOOKUP(E424,Sheet2!$W$4:$X$49,2,0)=0,"",VLOOKUP(E424,Sheet2!$W$4:$X$49,2,0))</f>
        <v>1</v>
      </c>
      <c r="N424" s="6" t="str">
        <f>IF(VLOOKUP(E424,Sheet2!$W$4:$Y$49,3,0)=0,"",VLOOKUP(E424,Sheet2!$W$4:$Y$49,3,0))</f>
        <v/>
      </c>
      <c r="Q424" s="6" t="str">
        <f>IF(VLOOKUP(E424,Sheet2!$W$4:$Z$49,4,0)=0,"",VLOOKUP(E424,Sheet2!$W$4:$Z$49,4,0))</f>
        <v>[{50024,6}]</v>
      </c>
      <c r="R424" s="8">
        <v>100</v>
      </c>
      <c r="S424" s="14">
        <v>2</v>
      </c>
    </row>
    <row r="425" spans="1:19">
      <c r="A425" s="6">
        <f t="shared" si="29"/>
        <v>8431</v>
      </c>
      <c r="B425" s="6">
        <f t="shared" si="31"/>
        <v>84</v>
      </c>
      <c r="C425" s="6">
        <f t="shared" si="28"/>
        <v>5</v>
      </c>
      <c r="D425" s="6" t="str">
        <f t="shared" ref="D425" si="71">"关卡"&amp;B425&amp;"BOSS2"</f>
        <v>关卡84BOSS2</v>
      </c>
      <c r="E425" s="6">
        <v>509</v>
      </c>
      <c r="G425" s="6" t="s">
        <v>847</v>
      </c>
      <c r="H425" s="6">
        <f t="shared" si="30"/>
        <v>2</v>
      </c>
      <c r="I425" s="6" t="str">
        <f>IF(VLOOKUP(E425,Sheet2!$W$4:$AA$49,5,0)=0,"",VLOOKUP(E425,Sheet2!$W$4:$AA$49,5,0))</f>
        <v/>
      </c>
      <c r="J425" s="6">
        <v>0</v>
      </c>
      <c r="K425" s="6">
        <v>0</v>
      </c>
      <c r="L425" s="6">
        <f>IF(VLOOKUP(E425,Sheet2!$W$4:$X$49,2,0)=0,"",VLOOKUP(E425,Sheet2!$W$4:$X$49,2,0))</f>
        <v>1</v>
      </c>
      <c r="N425" s="6" t="str">
        <f>IF(VLOOKUP(E425,Sheet2!$W$4:$Y$49,3,0)=0,"",VLOOKUP(E425,Sheet2!$W$4:$Y$49,3,0))</f>
        <v/>
      </c>
      <c r="Q425" s="6" t="str">
        <f>IF(VLOOKUP(E425,Sheet2!$W$4:$Z$49,4,0)=0,"",VLOOKUP(E425,Sheet2!$W$4:$Z$49,4,0))</f>
        <v>[{50024,6}]</v>
      </c>
      <c r="R425" s="8">
        <v>100</v>
      </c>
      <c r="S425" s="14">
        <v>2</v>
      </c>
    </row>
    <row r="426" spans="1:19">
      <c r="A426" s="6">
        <f t="shared" si="29"/>
        <v>8501</v>
      </c>
      <c r="B426" s="6">
        <f t="shared" si="31"/>
        <v>85</v>
      </c>
      <c r="C426" s="6">
        <f t="shared" si="28"/>
        <v>1</v>
      </c>
      <c r="D426" s="6" t="str">
        <f t="shared" ref="D426" si="72">"关卡"&amp;B426&amp;"怪物1"</f>
        <v>关卡85怪物1</v>
      </c>
      <c r="E426" s="6">
        <v>100</v>
      </c>
      <c r="G426" s="6" t="s">
        <v>848</v>
      </c>
      <c r="H426" s="6">
        <f t="shared" si="30"/>
        <v>0</v>
      </c>
      <c r="I426" s="6" t="str">
        <f>IF(VLOOKUP(E426,Sheet2!$W$4:$AA$49,5,0)=0,"",VLOOKUP(E426,Sheet2!$W$4:$AA$49,5,0))</f>
        <v>[60002]</v>
      </c>
      <c r="J426" s="6">
        <v>0</v>
      </c>
      <c r="K426" s="6">
        <v>0</v>
      </c>
      <c r="L426" s="6" t="str">
        <f>IF(VLOOKUP(E426,Sheet2!$W$4:$X$49,2,0)=0,"",VLOOKUP(E426,Sheet2!$W$4:$X$49,2,0))</f>
        <v/>
      </c>
      <c r="N426" s="6">
        <f>IF(VLOOKUP(E426,Sheet2!$W$4:$Y$49,3,0)=0,"",VLOOKUP(E426,Sheet2!$W$4:$Y$49,3,0))</f>
        <v>2001</v>
      </c>
      <c r="Q426" s="6" t="str">
        <f>IF(VLOOKUP(E426,Sheet2!$W$4:$Z$49,4,0)=0,"",VLOOKUP(E426,Sheet2!$W$4:$Z$49,4,0))</f>
        <v/>
      </c>
      <c r="R426" s="8">
        <v>24</v>
      </c>
      <c r="S426" s="14">
        <v>2</v>
      </c>
    </row>
    <row r="427" spans="1:19">
      <c r="A427" s="6">
        <f t="shared" si="29"/>
        <v>8502</v>
      </c>
      <c r="B427" s="6">
        <f t="shared" si="31"/>
        <v>85</v>
      </c>
      <c r="C427" s="6">
        <f t="shared" si="28"/>
        <v>2</v>
      </c>
      <c r="D427" s="6" t="str">
        <f t="shared" ref="D427" si="73">"关卡"&amp;B427&amp;"怪物2"</f>
        <v>关卡85怪物2</v>
      </c>
      <c r="E427" s="6">
        <v>102</v>
      </c>
      <c r="G427" s="6" t="s">
        <v>849</v>
      </c>
      <c r="H427" s="6">
        <f t="shared" si="30"/>
        <v>0</v>
      </c>
      <c r="I427" s="6" t="str">
        <f>IF(VLOOKUP(E427,Sheet2!$W$4:$AA$49,5,0)=0,"",VLOOKUP(E427,Sheet2!$W$4:$AA$49,5,0))</f>
        <v/>
      </c>
      <c r="J427" s="6">
        <v>0</v>
      </c>
      <c r="K427" s="6">
        <v>0</v>
      </c>
      <c r="L427" s="6">
        <f>IF(VLOOKUP(E427,Sheet2!$W$4:$X$49,2,0)=0,"",VLOOKUP(E427,Sheet2!$W$4:$X$49,2,0))</f>
        <v>1</v>
      </c>
      <c r="N427" s="6" t="str">
        <f>IF(VLOOKUP(E427,Sheet2!$W$4:$Y$49,3,0)=0,"",VLOOKUP(E427,Sheet2!$W$4:$Y$49,3,0))</f>
        <v/>
      </c>
      <c r="Q427" s="6" t="str">
        <f>IF(VLOOKUP(E427,Sheet2!$W$4:$Z$49,4,0)=0,"",VLOOKUP(E427,Sheet2!$W$4:$Z$49,4,0))</f>
        <v>[{50011,6}]</v>
      </c>
      <c r="R427" s="8">
        <v>24</v>
      </c>
      <c r="S427" s="14">
        <v>2</v>
      </c>
    </row>
    <row r="428" spans="1:19">
      <c r="A428" s="6">
        <f t="shared" si="29"/>
        <v>8503</v>
      </c>
      <c r="B428" s="6">
        <f t="shared" si="31"/>
        <v>85</v>
      </c>
      <c r="C428" s="6">
        <f t="shared" si="28"/>
        <v>3</v>
      </c>
      <c r="D428" s="6" t="str">
        <f t="shared" ref="D428" si="74">"关卡"&amp;B428&amp;"怪物3"</f>
        <v>关卡85怪物3</v>
      </c>
      <c r="E428" s="6">
        <v>105</v>
      </c>
      <c r="G428" s="6" t="s">
        <v>850</v>
      </c>
      <c r="H428" s="6">
        <f t="shared" si="30"/>
        <v>0</v>
      </c>
      <c r="I428" s="6" t="str">
        <f>IF(VLOOKUP(E428,Sheet2!$W$4:$AA$49,5,0)=0,"",VLOOKUP(E428,Sheet2!$W$4:$AA$49,5,0))</f>
        <v>[60003]</v>
      </c>
      <c r="J428" s="6">
        <v>0</v>
      </c>
      <c r="K428" s="6">
        <v>0</v>
      </c>
      <c r="L428" s="6" t="str">
        <f>IF(VLOOKUP(E428,Sheet2!$W$4:$X$49,2,0)=0,"",VLOOKUP(E428,Sheet2!$W$4:$X$49,2,0))</f>
        <v/>
      </c>
      <c r="N428" s="6" t="str">
        <f>IF(VLOOKUP(E428,Sheet2!$W$4:$Y$49,3,0)=0,"",VLOOKUP(E428,Sheet2!$W$4:$Y$49,3,0))</f>
        <v/>
      </c>
      <c r="Q428" s="6" t="str">
        <f>IF(VLOOKUP(E428,Sheet2!$W$4:$Z$49,4,0)=0,"",VLOOKUP(E428,Sheet2!$W$4:$Z$49,4,0))</f>
        <v/>
      </c>
      <c r="R428" s="8">
        <v>24</v>
      </c>
      <c r="S428" s="14">
        <v>2</v>
      </c>
    </row>
    <row r="429" spans="1:19">
      <c r="A429" s="6">
        <f t="shared" si="29"/>
        <v>8521</v>
      </c>
      <c r="B429" s="6">
        <f t="shared" si="31"/>
        <v>85</v>
      </c>
      <c r="C429" s="6">
        <f t="shared" si="28"/>
        <v>4</v>
      </c>
      <c r="D429" s="6" t="str">
        <f t="shared" ref="D429" si="75">"关卡"&amp;B429&amp;"BOSS1"</f>
        <v>关卡85BOSS1</v>
      </c>
      <c r="E429" s="6">
        <v>502</v>
      </c>
      <c r="G429" s="6" t="s">
        <v>851</v>
      </c>
      <c r="H429" s="6">
        <f t="shared" si="30"/>
        <v>2</v>
      </c>
      <c r="I429" s="6" t="str">
        <f>IF(VLOOKUP(E429,Sheet2!$W$4:$AA$49,5,0)=0,"",VLOOKUP(E429,Sheet2!$W$4:$AA$49,5,0))</f>
        <v/>
      </c>
      <c r="J429" s="6">
        <v>0</v>
      </c>
      <c r="K429" s="6">
        <v>0</v>
      </c>
      <c r="L429" s="6">
        <f>IF(VLOOKUP(E429,Sheet2!$W$4:$X$49,2,0)=0,"",VLOOKUP(E429,Sheet2!$W$4:$X$49,2,0))</f>
        <v>1</v>
      </c>
      <c r="N429" s="6" t="str">
        <f>IF(VLOOKUP(E429,Sheet2!$W$4:$Y$49,3,0)=0,"",VLOOKUP(E429,Sheet2!$W$4:$Y$49,3,0))</f>
        <v/>
      </c>
      <c r="Q429" s="6" t="str">
        <f>IF(VLOOKUP(E429,Sheet2!$W$4:$Z$49,4,0)=0,"",VLOOKUP(E429,Sheet2!$W$4:$Z$49,4,0))</f>
        <v>[{50021,6}]</v>
      </c>
      <c r="R429" s="8">
        <v>100</v>
      </c>
      <c r="S429" s="14">
        <v>2</v>
      </c>
    </row>
    <row r="430" spans="1:19">
      <c r="A430" s="6">
        <f t="shared" si="29"/>
        <v>8531</v>
      </c>
      <c r="B430" s="6">
        <f t="shared" si="31"/>
        <v>85</v>
      </c>
      <c r="C430" s="6">
        <f t="shared" si="28"/>
        <v>5</v>
      </c>
      <c r="D430" s="6" t="str">
        <f t="shared" ref="D430:D455" si="76">"关卡"&amp;B430&amp;"BOSS2"</f>
        <v>关卡85BOSS2</v>
      </c>
      <c r="E430" s="6">
        <v>500</v>
      </c>
      <c r="G430" s="6" t="s">
        <v>852</v>
      </c>
      <c r="H430" s="6">
        <f t="shared" si="30"/>
        <v>2</v>
      </c>
      <c r="I430" s="6" t="str">
        <f>IF(VLOOKUP(E430,Sheet2!$W$4:$AA$49,5,0)=0,"",VLOOKUP(E430,Sheet2!$W$4:$AA$49,5,0))</f>
        <v>[60002]</v>
      </c>
      <c r="J430" s="6">
        <v>0</v>
      </c>
      <c r="K430" s="6">
        <v>0</v>
      </c>
      <c r="L430" s="6" t="str">
        <f>IF(VLOOKUP(E430,Sheet2!$W$4:$X$49,2,0)=0,"",VLOOKUP(E430,Sheet2!$W$4:$X$49,2,0))</f>
        <v/>
      </c>
      <c r="N430" s="6">
        <f>IF(VLOOKUP(E430,Sheet2!$W$4:$Y$49,3,0)=0,"",VLOOKUP(E430,Sheet2!$W$4:$Y$49,3,0))</f>
        <v>2001</v>
      </c>
      <c r="Q430" s="6" t="str">
        <f>IF(VLOOKUP(E430,Sheet2!$W$4:$Z$49,4,0)=0,"",VLOOKUP(E430,Sheet2!$W$4:$Z$49,4,0))</f>
        <v/>
      </c>
      <c r="R430" s="8">
        <v>100</v>
      </c>
      <c r="S430" s="14">
        <v>2</v>
      </c>
    </row>
    <row r="431" spans="1:19">
      <c r="A431" s="6">
        <f t="shared" ref="A431:A455" si="77">A426+100</f>
        <v>8601</v>
      </c>
      <c r="B431" s="6">
        <f t="shared" si="31"/>
        <v>86</v>
      </c>
      <c r="C431" s="6">
        <f t="shared" si="28"/>
        <v>1</v>
      </c>
      <c r="D431" s="6" t="str">
        <f t="shared" ref="D431:D451" si="78">"关卡"&amp;B431&amp;"怪物1"</f>
        <v>关卡86怪物1</v>
      </c>
      <c r="E431" s="6">
        <v>111</v>
      </c>
      <c r="G431" s="6" t="s">
        <v>853</v>
      </c>
      <c r="H431" s="6">
        <f t="shared" si="30"/>
        <v>0</v>
      </c>
      <c r="I431" s="6" t="str">
        <f>IF(VLOOKUP(E431,Sheet2!$W$4:$AA$49,5,0)=0,"",VLOOKUP(E431,Sheet2!$W$4:$AA$49,5,0))</f>
        <v/>
      </c>
      <c r="J431" s="6">
        <v>0</v>
      </c>
      <c r="K431" s="6">
        <v>0</v>
      </c>
      <c r="L431" s="6" t="str">
        <f>IF(VLOOKUP(E431,Sheet2!$W$4:$X$49,2,0)=0,"",VLOOKUP(E431,Sheet2!$W$4:$X$49,2,0))</f>
        <v/>
      </c>
      <c r="N431" s="6" t="str">
        <f>IF(VLOOKUP(E431,Sheet2!$W$4:$Y$49,3,0)=0,"",VLOOKUP(E431,Sheet2!$W$4:$Y$49,3,0))</f>
        <v/>
      </c>
      <c r="Q431" s="6" t="str">
        <f>IF(VLOOKUP(E431,Sheet2!$W$4:$Z$49,4,0)=0,"",VLOOKUP(E431,Sheet2!$W$4:$Z$49,4,0))</f>
        <v/>
      </c>
      <c r="R431" s="8">
        <v>24</v>
      </c>
      <c r="S431" s="14">
        <v>2</v>
      </c>
    </row>
    <row r="432" spans="1:19">
      <c r="A432" s="6">
        <f t="shared" si="77"/>
        <v>8602</v>
      </c>
      <c r="B432" s="6">
        <f t="shared" si="31"/>
        <v>86</v>
      </c>
      <c r="C432" s="6">
        <f t="shared" si="28"/>
        <v>2</v>
      </c>
      <c r="D432" s="6" t="str">
        <f t="shared" ref="D432:D452" si="79">"关卡"&amp;B432&amp;"怪物2"</f>
        <v>关卡86怪物2</v>
      </c>
      <c r="E432" s="6">
        <v>112</v>
      </c>
      <c r="G432" s="6" t="s">
        <v>854</v>
      </c>
      <c r="H432" s="6">
        <f t="shared" si="30"/>
        <v>0</v>
      </c>
      <c r="I432" s="6" t="str">
        <f>IF(VLOOKUP(E432,Sheet2!$W$4:$AA$49,5,0)=0,"",VLOOKUP(E432,Sheet2!$W$4:$AA$49,5,0))</f>
        <v/>
      </c>
      <c r="J432" s="6">
        <v>0</v>
      </c>
      <c r="K432" s="6">
        <v>0</v>
      </c>
      <c r="L432" s="6">
        <f>IF(VLOOKUP(E432,Sheet2!$W$4:$X$49,2,0)=0,"",VLOOKUP(E432,Sheet2!$W$4:$X$49,2,0))</f>
        <v>1</v>
      </c>
      <c r="N432" s="6" t="str">
        <f>IF(VLOOKUP(E432,Sheet2!$W$4:$Y$49,3,0)=0,"",VLOOKUP(E432,Sheet2!$W$4:$Y$49,3,0))</f>
        <v/>
      </c>
      <c r="Q432" s="6" t="str">
        <f>IF(VLOOKUP(E432,Sheet2!$W$4:$Z$49,4,0)=0,"",VLOOKUP(E432,Sheet2!$W$4:$Z$49,4,0))</f>
        <v>[{50015,6}]</v>
      </c>
      <c r="R432" s="8">
        <v>24</v>
      </c>
      <c r="S432" s="14">
        <v>2</v>
      </c>
    </row>
    <row r="433" spans="1:19">
      <c r="A433" s="6">
        <f t="shared" si="77"/>
        <v>8603</v>
      </c>
      <c r="B433" s="6">
        <f t="shared" si="31"/>
        <v>86</v>
      </c>
      <c r="C433" s="6">
        <f t="shared" si="28"/>
        <v>3</v>
      </c>
      <c r="D433" s="6" t="str">
        <f t="shared" ref="D433:D453" si="80">"关卡"&amp;B433&amp;"怪物3"</f>
        <v>关卡86怪物3</v>
      </c>
      <c r="E433" s="6">
        <v>113</v>
      </c>
      <c r="G433" s="6" t="s">
        <v>855</v>
      </c>
      <c r="H433" s="6">
        <f t="shared" si="30"/>
        <v>0</v>
      </c>
      <c r="I433" s="6" t="str">
        <f>IF(VLOOKUP(E433,Sheet2!$W$4:$AA$49,5,0)=0,"",VLOOKUP(E433,Sheet2!$W$4:$AA$49,5,0))</f>
        <v>[60005]</v>
      </c>
      <c r="J433" s="6">
        <v>0</v>
      </c>
      <c r="K433" s="6">
        <v>0</v>
      </c>
      <c r="L433" s="6">
        <f>IF(VLOOKUP(E433,Sheet2!$W$4:$X$49,2,0)=0,"",VLOOKUP(E433,Sheet2!$W$4:$X$49,2,0))</f>
        <v>1</v>
      </c>
      <c r="N433" s="6" t="str">
        <f>IF(VLOOKUP(E433,Sheet2!$W$4:$Y$49,3,0)=0,"",VLOOKUP(E433,Sheet2!$W$4:$Y$49,3,0))</f>
        <v/>
      </c>
      <c r="Q433" s="6" t="str">
        <f>IF(VLOOKUP(E433,Sheet2!$W$4:$Z$49,4,0)=0,"",VLOOKUP(E433,Sheet2!$W$4:$Z$49,4,0))</f>
        <v>[{50016,6}]</v>
      </c>
      <c r="R433" s="8">
        <v>24</v>
      </c>
      <c r="S433" s="14">
        <v>2</v>
      </c>
    </row>
    <row r="434" spans="1:19">
      <c r="A434" s="6">
        <f t="shared" si="77"/>
        <v>8621</v>
      </c>
      <c r="B434" s="6">
        <f t="shared" si="31"/>
        <v>86</v>
      </c>
      <c r="C434" s="6">
        <f t="shared" si="28"/>
        <v>4</v>
      </c>
      <c r="D434" s="6" t="str">
        <f t="shared" ref="D434:D454" si="81">"关卡"&amp;B434&amp;"BOSS1"</f>
        <v>关卡86BOSS1</v>
      </c>
      <c r="E434" s="6">
        <v>511</v>
      </c>
      <c r="G434" s="6" t="s">
        <v>856</v>
      </c>
      <c r="H434" s="6">
        <f t="shared" si="30"/>
        <v>2</v>
      </c>
      <c r="I434" s="6" t="str">
        <f>IF(VLOOKUP(E434,Sheet2!$W$4:$AA$49,5,0)=0,"",VLOOKUP(E434,Sheet2!$W$4:$AA$49,5,0))</f>
        <v/>
      </c>
      <c r="J434" s="6">
        <v>0</v>
      </c>
      <c r="K434" s="6">
        <v>0</v>
      </c>
      <c r="L434" s="6" t="str">
        <f>IF(VLOOKUP(E434,Sheet2!$W$4:$X$49,2,0)=0,"",VLOOKUP(E434,Sheet2!$W$4:$X$49,2,0))</f>
        <v/>
      </c>
      <c r="N434" s="6" t="str">
        <f>IF(VLOOKUP(E434,Sheet2!$W$4:$Y$49,3,0)=0,"",VLOOKUP(E434,Sheet2!$W$4:$Y$49,3,0))</f>
        <v/>
      </c>
      <c r="Q434" s="6" t="str">
        <f>IF(VLOOKUP(E434,Sheet2!$W$4:$Z$49,4,0)=0,"",VLOOKUP(E434,Sheet2!$W$4:$Z$49,4,0))</f>
        <v/>
      </c>
      <c r="R434" s="8">
        <v>100</v>
      </c>
      <c r="S434" s="14">
        <v>2</v>
      </c>
    </row>
    <row r="435" spans="1:19">
      <c r="A435" s="6">
        <f t="shared" si="77"/>
        <v>8631</v>
      </c>
      <c r="B435" s="6">
        <f t="shared" si="31"/>
        <v>86</v>
      </c>
      <c r="C435" s="6">
        <f t="shared" si="28"/>
        <v>5</v>
      </c>
      <c r="D435" s="6" t="str">
        <f t="shared" si="76"/>
        <v>关卡86BOSS2</v>
      </c>
      <c r="E435" s="6">
        <v>511</v>
      </c>
      <c r="G435" s="6" t="s">
        <v>857</v>
      </c>
      <c r="H435" s="6">
        <f t="shared" si="30"/>
        <v>2</v>
      </c>
      <c r="I435" s="6" t="str">
        <f>IF(VLOOKUP(E435,Sheet2!$W$4:$AA$49,5,0)=0,"",VLOOKUP(E435,Sheet2!$W$4:$AA$49,5,0))</f>
        <v/>
      </c>
      <c r="J435" s="6">
        <v>0</v>
      </c>
      <c r="K435" s="6">
        <v>0</v>
      </c>
      <c r="L435" s="6" t="str">
        <f>IF(VLOOKUP(E435,Sheet2!$W$4:$X$49,2,0)=0,"",VLOOKUP(E435,Sheet2!$W$4:$X$49,2,0))</f>
        <v/>
      </c>
      <c r="N435" s="6" t="str">
        <f>IF(VLOOKUP(E435,Sheet2!$W$4:$Y$49,3,0)=0,"",VLOOKUP(E435,Sheet2!$W$4:$Y$49,3,0))</f>
        <v/>
      </c>
      <c r="Q435" s="6" t="str">
        <f>IF(VLOOKUP(E435,Sheet2!$W$4:$Z$49,4,0)=0,"",VLOOKUP(E435,Sheet2!$W$4:$Z$49,4,0))</f>
        <v/>
      </c>
      <c r="R435" s="8">
        <v>100</v>
      </c>
      <c r="S435" s="14">
        <v>2</v>
      </c>
    </row>
    <row r="436" spans="1:19">
      <c r="A436" s="6">
        <f t="shared" si="77"/>
        <v>8701</v>
      </c>
      <c r="B436" s="6">
        <f t="shared" si="31"/>
        <v>87</v>
      </c>
      <c r="C436" s="6">
        <f t="shared" si="28"/>
        <v>1</v>
      </c>
      <c r="D436" s="6" t="str">
        <f t="shared" si="78"/>
        <v>关卡87怪物1</v>
      </c>
      <c r="E436" s="6">
        <v>111</v>
      </c>
      <c r="G436" s="6" t="s">
        <v>858</v>
      </c>
      <c r="H436" s="6">
        <f t="shared" si="30"/>
        <v>0</v>
      </c>
      <c r="I436" s="6" t="str">
        <f>IF(VLOOKUP(E436,Sheet2!$W$4:$AA$49,5,0)=0,"",VLOOKUP(E436,Sheet2!$W$4:$AA$49,5,0))</f>
        <v/>
      </c>
      <c r="J436" s="6">
        <v>0</v>
      </c>
      <c r="K436" s="6">
        <v>0</v>
      </c>
      <c r="L436" s="6" t="str">
        <f>IF(VLOOKUP(E436,Sheet2!$W$4:$X$49,2,0)=0,"",VLOOKUP(E436,Sheet2!$W$4:$X$49,2,0))</f>
        <v/>
      </c>
      <c r="N436" s="6" t="str">
        <f>IF(VLOOKUP(E436,Sheet2!$W$4:$Y$49,3,0)=0,"",VLOOKUP(E436,Sheet2!$W$4:$Y$49,3,0))</f>
        <v/>
      </c>
      <c r="Q436" s="6" t="str">
        <f>IF(VLOOKUP(E436,Sheet2!$W$4:$Z$49,4,0)=0,"",VLOOKUP(E436,Sheet2!$W$4:$Z$49,4,0))</f>
        <v/>
      </c>
      <c r="R436" s="8">
        <v>24</v>
      </c>
      <c r="S436" s="14">
        <v>2</v>
      </c>
    </row>
    <row r="437" spans="1:19">
      <c r="A437" s="6">
        <f t="shared" si="77"/>
        <v>8702</v>
      </c>
      <c r="B437" s="6">
        <f t="shared" si="31"/>
        <v>87</v>
      </c>
      <c r="C437" s="6">
        <f t="shared" ref="C437:C500" si="82">C432</f>
        <v>2</v>
      </c>
      <c r="D437" s="6" t="str">
        <f t="shared" si="79"/>
        <v>关卡87怪物2</v>
      </c>
      <c r="E437" s="6">
        <v>112</v>
      </c>
      <c r="G437" s="6" t="s">
        <v>859</v>
      </c>
      <c r="H437" s="6">
        <f t="shared" si="30"/>
        <v>0</v>
      </c>
      <c r="I437" s="6" t="str">
        <f>IF(VLOOKUP(E437,Sheet2!$W$4:$AA$49,5,0)=0,"",VLOOKUP(E437,Sheet2!$W$4:$AA$49,5,0))</f>
        <v/>
      </c>
      <c r="J437" s="6">
        <v>0</v>
      </c>
      <c r="K437" s="6">
        <v>0</v>
      </c>
      <c r="L437" s="6">
        <f>IF(VLOOKUP(E437,Sheet2!$W$4:$X$49,2,0)=0,"",VLOOKUP(E437,Sheet2!$W$4:$X$49,2,0))</f>
        <v>1</v>
      </c>
      <c r="N437" s="6" t="str">
        <f>IF(VLOOKUP(E437,Sheet2!$W$4:$Y$49,3,0)=0,"",VLOOKUP(E437,Sheet2!$W$4:$Y$49,3,0))</f>
        <v/>
      </c>
      <c r="Q437" s="6" t="str">
        <f>IF(VLOOKUP(E437,Sheet2!$W$4:$Z$49,4,0)=0,"",VLOOKUP(E437,Sheet2!$W$4:$Z$49,4,0))</f>
        <v>[{50015,6}]</v>
      </c>
      <c r="R437" s="8">
        <v>24</v>
      </c>
      <c r="S437" s="14">
        <v>2</v>
      </c>
    </row>
    <row r="438" spans="1:19">
      <c r="A438" s="6">
        <f t="shared" si="77"/>
        <v>8703</v>
      </c>
      <c r="B438" s="6">
        <f t="shared" si="31"/>
        <v>87</v>
      </c>
      <c r="C438" s="6">
        <f t="shared" si="82"/>
        <v>3</v>
      </c>
      <c r="D438" s="6" t="str">
        <f t="shared" si="80"/>
        <v>关卡87怪物3</v>
      </c>
      <c r="E438" s="6">
        <v>115</v>
      </c>
      <c r="G438" s="6" t="s">
        <v>860</v>
      </c>
      <c r="H438" s="6">
        <f t="shared" si="30"/>
        <v>0</v>
      </c>
      <c r="I438" s="6" t="str">
        <f>IF(VLOOKUP(E438,Sheet2!$W$4:$AA$49,5,0)=0,"",VLOOKUP(E438,Sheet2!$W$4:$AA$49,5,0))</f>
        <v/>
      </c>
      <c r="J438" s="6">
        <v>0</v>
      </c>
      <c r="K438" s="6">
        <v>0</v>
      </c>
      <c r="L438" s="6" t="str">
        <f>IF(VLOOKUP(E438,Sheet2!$W$4:$X$49,2,0)=0,"",VLOOKUP(E438,Sheet2!$W$4:$X$49,2,0))</f>
        <v/>
      </c>
      <c r="N438" s="6" t="str">
        <f>IF(VLOOKUP(E438,Sheet2!$W$4:$Y$49,3,0)=0,"",VLOOKUP(E438,Sheet2!$W$4:$Y$49,3,0))</f>
        <v/>
      </c>
      <c r="Q438" s="6" t="str">
        <f>IF(VLOOKUP(E438,Sheet2!$W$4:$Z$49,4,0)=0,"",VLOOKUP(E438,Sheet2!$W$4:$Z$49,4,0))</f>
        <v/>
      </c>
      <c r="R438" s="8">
        <v>24</v>
      </c>
      <c r="S438" s="14">
        <v>2</v>
      </c>
    </row>
    <row r="439" spans="1:19">
      <c r="A439" s="6">
        <f t="shared" si="77"/>
        <v>8721</v>
      </c>
      <c r="B439" s="6">
        <f t="shared" si="31"/>
        <v>87</v>
      </c>
      <c r="C439" s="6">
        <f t="shared" si="82"/>
        <v>4</v>
      </c>
      <c r="D439" s="6" t="str">
        <f t="shared" si="81"/>
        <v>关卡87BOSS1</v>
      </c>
      <c r="E439" s="6">
        <v>512</v>
      </c>
      <c r="G439" s="6" t="s">
        <v>861</v>
      </c>
      <c r="H439" s="6">
        <f t="shared" si="30"/>
        <v>2</v>
      </c>
      <c r="I439" s="6" t="str">
        <f>IF(VLOOKUP(E439,Sheet2!$W$4:$AA$49,5,0)=0,"",VLOOKUP(E439,Sheet2!$W$4:$AA$49,5,0))</f>
        <v/>
      </c>
      <c r="J439" s="6">
        <v>0</v>
      </c>
      <c r="K439" s="6">
        <v>0</v>
      </c>
      <c r="L439" s="6">
        <f>IF(VLOOKUP(E439,Sheet2!$W$4:$X$49,2,0)=0,"",VLOOKUP(E439,Sheet2!$W$4:$X$49,2,0))</f>
        <v>1</v>
      </c>
      <c r="N439" s="6" t="str">
        <f>IF(VLOOKUP(E439,Sheet2!$W$4:$Y$49,3,0)=0,"",VLOOKUP(E439,Sheet2!$W$4:$Y$49,3,0))</f>
        <v/>
      </c>
      <c r="Q439" s="6" t="str">
        <f>IF(VLOOKUP(E439,Sheet2!$W$4:$Z$49,4,0)=0,"",VLOOKUP(E439,Sheet2!$W$4:$Z$49,4,0))</f>
        <v>[{50025,6}]</v>
      </c>
      <c r="R439" s="8">
        <v>100</v>
      </c>
      <c r="S439" s="14">
        <v>2</v>
      </c>
    </row>
    <row r="440" spans="1:19">
      <c r="A440" s="6">
        <f t="shared" si="77"/>
        <v>8731</v>
      </c>
      <c r="B440" s="6">
        <f t="shared" si="31"/>
        <v>87</v>
      </c>
      <c r="C440" s="6">
        <f t="shared" si="82"/>
        <v>5</v>
      </c>
      <c r="D440" s="6" t="str">
        <f t="shared" si="76"/>
        <v>关卡87BOSS2</v>
      </c>
      <c r="E440" s="6">
        <v>512</v>
      </c>
      <c r="G440" s="6" t="s">
        <v>862</v>
      </c>
      <c r="H440" s="6">
        <f t="shared" si="30"/>
        <v>2</v>
      </c>
      <c r="I440" s="6" t="str">
        <f>IF(VLOOKUP(E440,Sheet2!$W$4:$AA$49,5,0)=0,"",VLOOKUP(E440,Sheet2!$W$4:$AA$49,5,0))</f>
        <v/>
      </c>
      <c r="J440" s="6">
        <v>0</v>
      </c>
      <c r="K440" s="6">
        <v>0</v>
      </c>
      <c r="L440" s="6">
        <f>IF(VLOOKUP(E440,Sheet2!$W$4:$X$49,2,0)=0,"",VLOOKUP(E440,Sheet2!$W$4:$X$49,2,0))</f>
        <v>1</v>
      </c>
      <c r="N440" s="6" t="str">
        <f>IF(VLOOKUP(E440,Sheet2!$W$4:$Y$49,3,0)=0,"",VLOOKUP(E440,Sheet2!$W$4:$Y$49,3,0))</f>
        <v/>
      </c>
      <c r="Q440" s="6" t="str">
        <f>IF(VLOOKUP(E440,Sheet2!$W$4:$Z$49,4,0)=0,"",VLOOKUP(E440,Sheet2!$W$4:$Z$49,4,0))</f>
        <v>[{50025,6}]</v>
      </c>
      <c r="R440" s="8">
        <v>100</v>
      </c>
      <c r="S440" s="14">
        <v>2</v>
      </c>
    </row>
    <row r="441" spans="1:19">
      <c r="A441" s="6">
        <f t="shared" si="77"/>
        <v>8801</v>
      </c>
      <c r="B441" s="6">
        <f t="shared" si="31"/>
        <v>88</v>
      </c>
      <c r="C441" s="6">
        <f t="shared" si="82"/>
        <v>1</v>
      </c>
      <c r="D441" s="6" t="str">
        <f t="shared" si="78"/>
        <v>关卡88怪物1</v>
      </c>
      <c r="E441" s="6">
        <v>103</v>
      </c>
      <c r="G441" s="6" t="s">
        <v>863</v>
      </c>
      <c r="H441" s="6">
        <f t="shared" si="30"/>
        <v>0</v>
      </c>
      <c r="I441" s="6" t="str">
        <f>IF(VLOOKUP(E441,Sheet2!$W$4:$AA$49,5,0)=0,"",VLOOKUP(E441,Sheet2!$W$4:$AA$49,5,0))</f>
        <v>[60001]</v>
      </c>
      <c r="J441" s="6">
        <v>0</v>
      </c>
      <c r="K441" s="6">
        <v>0</v>
      </c>
      <c r="L441" s="6" t="str">
        <f>IF(VLOOKUP(E441,Sheet2!$W$4:$X$49,2,0)=0,"",VLOOKUP(E441,Sheet2!$W$4:$X$49,2,0))</f>
        <v/>
      </c>
      <c r="N441" s="6" t="str">
        <f>IF(VLOOKUP(E441,Sheet2!$W$4:$Y$49,3,0)=0,"",VLOOKUP(E441,Sheet2!$W$4:$Y$49,3,0))</f>
        <v/>
      </c>
      <c r="Q441" s="6" t="str">
        <f>IF(VLOOKUP(E441,Sheet2!$W$4:$Z$49,4,0)=0,"",VLOOKUP(E441,Sheet2!$W$4:$Z$49,4,0))</f>
        <v/>
      </c>
      <c r="R441" s="8">
        <v>24</v>
      </c>
      <c r="S441" s="14">
        <v>2</v>
      </c>
    </row>
    <row r="442" spans="1:19">
      <c r="A442" s="6">
        <f t="shared" si="77"/>
        <v>8802</v>
      </c>
      <c r="B442" s="6">
        <f t="shared" si="31"/>
        <v>88</v>
      </c>
      <c r="C442" s="6">
        <f t="shared" si="82"/>
        <v>2</v>
      </c>
      <c r="D442" s="6" t="str">
        <f t="shared" si="79"/>
        <v>关卡88怪物2</v>
      </c>
      <c r="E442" s="6">
        <v>104</v>
      </c>
      <c r="G442" s="6" t="s">
        <v>864</v>
      </c>
      <c r="H442" s="6">
        <f t="shared" si="30"/>
        <v>0</v>
      </c>
      <c r="I442" s="6" t="str">
        <f>IF(VLOOKUP(E442,Sheet2!$W$4:$AA$49,5,0)=0,"",VLOOKUP(E442,Sheet2!$W$4:$AA$49,5,0))</f>
        <v/>
      </c>
      <c r="J442" s="6">
        <v>0</v>
      </c>
      <c r="K442" s="6">
        <v>0</v>
      </c>
      <c r="L442" s="6" t="str">
        <f>IF(VLOOKUP(E442,Sheet2!$W$4:$X$49,2,0)=0,"",VLOOKUP(E442,Sheet2!$W$4:$X$49,2,0))</f>
        <v/>
      </c>
      <c r="N442" s="6" t="str">
        <f>IF(VLOOKUP(E442,Sheet2!$W$4:$Y$49,3,0)=0,"",VLOOKUP(E442,Sheet2!$W$4:$Y$49,3,0))</f>
        <v/>
      </c>
      <c r="Q442" s="6" t="str">
        <f>IF(VLOOKUP(E442,Sheet2!$W$4:$Z$49,4,0)=0,"",VLOOKUP(E442,Sheet2!$W$4:$Z$49,4,0))</f>
        <v/>
      </c>
      <c r="R442" s="8">
        <v>24</v>
      </c>
      <c r="S442" s="14">
        <v>2</v>
      </c>
    </row>
    <row r="443" spans="1:19">
      <c r="A443" s="6">
        <f t="shared" si="77"/>
        <v>8803</v>
      </c>
      <c r="B443" s="6">
        <f t="shared" si="31"/>
        <v>88</v>
      </c>
      <c r="C443" s="6">
        <f t="shared" si="82"/>
        <v>3</v>
      </c>
      <c r="D443" s="6" t="str">
        <f t="shared" si="80"/>
        <v>关卡88怪物3</v>
      </c>
      <c r="E443" s="6">
        <v>104</v>
      </c>
      <c r="G443" s="6" t="s">
        <v>865</v>
      </c>
      <c r="H443" s="6">
        <f t="shared" si="30"/>
        <v>0</v>
      </c>
      <c r="I443" s="6" t="str">
        <f>IF(VLOOKUP(E443,Sheet2!$W$4:$AA$49,5,0)=0,"",VLOOKUP(E443,Sheet2!$W$4:$AA$49,5,0))</f>
        <v/>
      </c>
      <c r="J443" s="6">
        <v>0</v>
      </c>
      <c r="K443" s="6">
        <v>0</v>
      </c>
      <c r="L443" s="6" t="str">
        <f>IF(VLOOKUP(E443,Sheet2!$W$4:$X$49,2,0)=0,"",VLOOKUP(E443,Sheet2!$W$4:$X$49,2,0))</f>
        <v/>
      </c>
      <c r="N443" s="6" t="str">
        <f>IF(VLOOKUP(E443,Sheet2!$W$4:$Y$49,3,0)=0,"",VLOOKUP(E443,Sheet2!$W$4:$Y$49,3,0))</f>
        <v/>
      </c>
      <c r="Q443" s="6" t="str">
        <f>IF(VLOOKUP(E443,Sheet2!$W$4:$Z$49,4,0)=0,"",VLOOKUP(E443,Sheet2!$W$4:$Z$49,4,0))</f>
        <v/>
      </c>
      <c r="R443" s="8">
        <v>24</v>
      </c>
      <c r="S443" s="14">
        <v>2</v>
      </c>
    </row>
    <row r="444" spans="1:19">
      <c r="A444" s="6">
        <f t="shared" si="77"/>
        <v>8821</v>
      </c>
      <c r="B444" s="6">
        <f t="shared" si="31"/>
        <v>88</v>
      </c>
      <c r="C444" s="6">
        <f t="shared" si="82"/>
        <v>4</v>
      </c>
      <c r="D444" s="6" t="str">
        <f t="shared" si="81"/>
        <v>关卡88BOSS1</v>
      </c>
      <c r="E444" s="6">
        <v>504</v>
      </c>
      <c r="G444" s="6" t="s">
        <v>866</v>
      </c>
      <c r="H444" s="6">
        <f t="shared" si="30"/>
        <v>2</v>
      </c>
      <c r="I444" s="6" t="str">
        <f>IF(VLOOKUP(E444,Sheet2!$W$4:$AA$49,5,0)=0,"",VLOOKUP(E444,Sheet2!$W$4:$AA$49,5,0))</f>
        <v/>
      </c>
      <c r="J444" s="6">
        <v>0</v>
      </c>
      <c r="K444" s="6">
        <v>0</v>
      </c>
      <c r="L444" s="6" t="str">
        <f>IF(VLOOKUP(E444,Sheet2!$W$4:$X$49,2,0)=0,"",VLOOKUP(E444,Sheet2!$W$4:$X$49,2,0))</f>
        <v/>
      </c>
      <c r="N444" s="6" t="str">
        <f>IF(VLOOKUP(E444,Sheet2!$W$4:$Y$49,3,0)=0,"",VLOOKUP(E444,Sheet2!$W$4:$Y$49,3,0))</f>
        <v/>
      </c>
      <c r="Q444" s="6" t="str">
        <f>IF(VLOOKUP(E444,Sheet2!$W$4:$Z$49,4,0)=0,"",VLOOKUP(E444,Sheet2!$W$4:$Z$49,4,0))</f>
        <v/>
      </c>
      <c r="R444" s="8">
        <v>100</v>
      </c>
      <c r="S444" s="14">
        <v>2</v>
      </c>
    </row>
    <row r="445" spans="1:19">
      <c r="A445" s="6">
        <f t="shared" si="77"/>
        <v>8831</v>
      </c>
      <c r="B445" s="6">
        <f t="shared" si="31"/>
        <v>88</v>
      </c>
      <c r="C445" s="6">
        <f t="shared" si="82"/>
        <v>5</v>
      </c>
      <c r="D445" s="6" t="str">
        <f t="shared" si="76"/>
        <v>关卡88BOSS2</v>
      </c>
      <c r="E445" s="6">
        <v>504</v>
      </c>
      <c r="G445" s="6" t="s">
        <v>867</v>
      </c>
      <c r="H445" s="6">
        <f t="shared" ref="H445:H508" si="83">H440</f>
        <v>2</v>
      </c>
      <c r="I445" s="6" t="str">
        <f>IF(VLOOKUP(E445,Sheet2!$W$4:$AA$49,5,0)=0,"",VLOOKUP(E445,Sheet2!$W$4:$AA$49,5,0))</f>
        <v/>
      </c>
      <c r="J445" s="6">
        <v>0</v>
      </c>
      <c r="K445" s="6">
        <v>0</v>
      </c>
      <c r="L445" s="6" t="str">
        <f>IF(VLOOKUP(E445,Sheet2!$W$4:$X$49,2,0)=0,"",VLOOKUP(E445,Sheet2!$W$4:$X$49,2,0))</f>
        <v/>
      </c>
      <c r="N445" s="6" t="str">
        <f>IF(VLOOKUP(E445,Sheet2!$W$4:$Y$49,3,0)=0,"",VLOOKUP(E445,Sheet2!$W$4:$Y$49,3,0))</f>
        <v/>
      </c>
      <c r="Q445" s="6" t="str">
        <f>IF(VLOOKUP(E445,Sheet2!$W$4:$Z$49,4,0)=0,"",VLOOKUP(E445,Sheet2!$W$4:$Z$49,4,0))</f>
        <v/>
      </c>
      <c r="R445" s="8">
        <v>100</v>
      </c>
      <c r="S445" s="14">
        <v>2</v>
      </c>
    </row>
    <row r="446" spans="1:19">
      <c r="A446" s="6">
        <f t="shared" si="77"/>
        <v>8901</v>
      </c>
      <c r="B446" s="6">
        <f t="shared" si="31"/>
        <v>89</v>
      </c>
      <c r="C446" s="6">
        <f t="shared" si="82"/>
        <v>1</v>
      </c>
      <c r="D446" s="6" t="str">
        <f t="shared" si="78"/>
        <v>关卡89怪物1</v>
      </c>
      <c r="E446" s="6">
        <v>103</v>
      </c>
      <c r="G446" s="6" t="s">
        <v>868</v>
      </c>
      <c r="H446" s="6">
        <f t="shared" si="83"/>
        <v>0</v>
      </c>
      <c r="I446" s="6" t="str">
        <f>IF(VLOOKUP(E446,Sheet2!$W$4:$AA$49,5,0)=0,"",VLOOKUP(E446,Sheet2!$W$4:$AA$49,5,0))</f>
        <v>[60001]</v>
      </c>
      <c r="J446" s="6">
        <v>0</v>
      </c>
      <c r="K446" s="6">
        <v>0</v>
      </c>
      <c r="L446" s="6" t="str">
        <f>IF(VLOOKUP(E446,Sheet2!$W$4:$X$49,2,0)=0,"",VLOOKUP(E446,Sheet2!$W$4:$X$49,2,0))</f>
        <v/>
      </c>
      <c r="N446" s="6" t="str">
        <f>IF(VLOOKUP(E446,Sheet2!$W$4:$Y$49,3,0)=0,"",VLOOKUP(E446,Sheet2!$W$4:$Y$49,3,0))</f>
        <v/>
      </c>
      <c r="Q446" s="6" t="str">
        <f>IF(VLOOKUP(E446,Sheet2!$W$4:$Z$49,4,0)=0,"",VLOOKUP(E446,Sheet2!$W$4:$Z$49,4,0))</f>
        <v/>
      </c>
      <c r="R446" s="8">
        <v>24</v>
      </c>
      <c r="S446" s="14">
        <v>2</v>
      </c>
    </row>
    <row r="447" spans="1:19">
      <c r="A447" s="6">
        <f t="shared" si="77"/>
        <v>8902</v>
      </c>
      <c r="B447" s="6">
        <f t="shared" si="31"/>
        <v>89</v>
      </c>
      <c r="C447" s="6">
        <f t="shared" si="82"/>
        <v>2</v>
      </c>
      <c r="D447" s="6" t="str">
        <f t="shared" si="79"/>
        <v>关卡89怪物2</v>
      </c>
      <c r="E447" s="6">
        <v>104</v>
      </c>
      <c r="G447" s="6" t="s">
        <v>869</v>
      </c>
      <c r="H447" s="6">
        <f t="shared" si="83"/>
        <v>0</v>
      </c>
      <c r="I447" s="6" t="str">
        <f>IF(VLOOKUP(E447,Sheet2!$W$4:$AA$49,5,0)=0,"",VLOOKUP(E447,Sheet2!$W$4:$AA$49,5,0))</f>
        <v/>
      </c>
      <c r="J447" s="6">
        <v>0</v>
      </c>
      <c r="K447" s="6">
        <v>0</v>
      </c>
      <c r="L447" s="6" t="str">
        <f>IF(VLOOKUP(E447,Sheet2!$W$4:$X$49,2,0)=0,"",VLOOKUP(E447,Sheet2!$W$4:$X$49,2,0))</f>
        <v/>
      </c>
      <c r="N447" s="6" t="str">
        <f>IF(VLOOKUP(E447,Sheet2!$W$4:$Y$49,3,0)=0,"",VLOOKUP(E447,Sheet2!$W$4:$Y$49,3,0))</f>
        <v/>
      </c>
      <c r="Q447" s="6" t="str">
        <f>IF(VLOOKUP(E447,Sheet2!$W$4:$Z$49,4,0)=0,"",VLOOKUP(E447,Sheet2!$W$4:$Z$49,4,0))</f>
        <v/>
      </c>
      <c r="R447" s="8">
        <v>24</v>
      </c>
      <c r="S447" s="14">
        <v>2</v>
      </c>
    </row>
    <row r="448" spans="1:19">
      <c r="A448" s="6">
        <f t="shared" si="77"/>
        <v>8903</v>
      </c>
      <c r="B448" s="6">
        <f t="shared" ref="B448:B505" si="84">B443+1</f>
        <v>89</v>
      </c>
      <c r="C448" s="6">
        <f t="shared" si="82"/>
        <v>3</v>
      </c>
      <c r="D448" s="6" t="str">
        <f t="shared" si="80"/>
        <v>关卡89怪物3</v>
      </c>
      <c r="E448" s="6">
        <v>106</v>
      </c>
      <c r="G448" s="6" t="s">
        <v>870</v>
      </c>
      <c r="H448" s="6">
        <f t="shared" si="83"/>
        <v>0</v>
      </c>
      <c r="I448" s="6" t="str">
        <f>IF(VLOOKUP(E448,Sheet2!$W$4:$AA$49,5,0)=0,"",VLOOKUP(E448,Sheet2!$W$4:$AA$49,5,0))</f>
        <v>[60002]</v>
      </c>
      <c r="J448" s="6">
        <v>0</v>
      </c>
      <c r="K448" s="6">
        <v>0</v>
      </c>
      <c r="L448" s="6">
        <f>IF(VLOOKUP(E448,Sheet2!$W$4:$X$49,2,0)=0,"",VLOOKUP(E448,Sheet2!$W$4:$X$49,2,0))</f>
        <v>1</v>
      </c>
      <c r="N448" s="6">
        <f>IF(VLOOKUP(E448,Sheet2!$W$4:$Y$49,3,0)=0,"",VLOOKUP(E448,Sheet2!$W$4:$Y$49,3,0))</f>
        <v>2002</v>
      </c>
      <c r="Q448" s="6" t="str">
        <f>IF(VLOOKUP(E448,Sheet2!$W$4:$Z$49,4,0)=0,"",VLOOKUP(E448,Sheet2!$W$4:$Z$49,4,0))</f>
        <v>[{50012,6}]</v>
      </c>
      <c r="R448" s="8">
        <v>24</v>
      </c>
      <c r="S448" s="14">
        <v>2</v>
      </c>
    </row>
    <row r="449" spans="1:19">
      <c r="A449" s="6">
        <f t="shared" si="77"/>
        <v>8921</v>
      </c>
      <c r="B449" s="6">
        <f t="shared" si="84"/>
        <v>89</v>
      </c>
      <c r="C449" s="6">
        <f t="shared" si="82"/>
        <v>4</v>
      </c>
      <c r="D449" s="6" t="str">
        <f t="shared" si="81"/>
        <v>关卡89BOSS1</v>
      </c>
      <c r="E449" s="6">
        <v>503</v>
      </c>
      <c r="G449" s="6" t="s">
        <v>871</v>
      </c>
      <c r="H449" s="6">
        <f t="shared" si="83"/>
        <v>2</v>
      </c>
      <c r="I449" s="6" t="str">
        <f>IF(VLOOKUP(E449,Sheet2!$W$4:$AA$49,5,0)=0,"",VLOOKUP(E449,Sheet2!$W$4:$AA$49,5,0))</f>
        <v>[60001]</v>
      </c>
      <c r="J449" s="6">
        <v>0</v>
      </c>
      <c r="K449" s="6">
        <v>0</v>
      </c>
      <c r="L449" s="6" t="str">
        <f>IF(VLOOKUP(E449,Sheet2!$W$4:$X$49,2,0)=0,"",VLOOKUP(E449,Sheet2!$W$4:$X$49,2,0))</f>
        <v/>
      </c>
      <c r="N449" s="6" t="str">
        <f>IF(VLOOKUP(E449,Sheet2!$W$4:$Y$49,3,0)=0,"",VLOOKUP(E449,Sheet2!$W$4:$Y$49,3,0))</f>
        <v/>
      </c>
      <c r="Q449" s="6" t="str">
        <f>IF(VLOOKUP(E449,Sheet2!$W$4:$Z$49,4,0)=0,"",VLOOKUP(E449,Sheet2!$W$4:$Z$49,4,0))</f>
        <v/>
      </c>
      <c r="R449" s="8">
        <v>100</v>
      </c>
      <c r="S449" s="14">
        <v>2</v>
      </c>
    </row>
    <row r="450" spans="1:19">
      <c r="A450" s="6">
        <f t="shared" si="77"/>
        <v>8931</v>
      </c>
      <c r="B450" s="6">
        <f t="shared" si="84"/>
        <v>89</v>
      </c>
      <c r="C450" s="6">
        <f t="shared" si="82"/>
        <v>5</v>
      </c>
      <c r="D450" s="6" t="str">
        <f t="shared" si="76"/>
        <v>关卡89BOSS2</v>
      </c>
      <c r="E450" s="6">
        <v>503</v>
      </c>
      <c r="G450" s="6" t="s">
        <v>872</v>
      </c>
      <c r="H450" s="6">
        <f t="shared" si="83"/>
        <v>2</v>
      </c>
      <c r="I450" s="6" t="str">
        <f>IF(VLOOKUP(E450,Sheet2!$W$4:$AA$49,5,0)=0,"",VLOOKUP(E450,Sheet2!$W$4:$AA$49,5,0))</f>
        <v>[60001]</v>
      </c>
      <c r="J450" s="6">
        <v>0</v>
      </c>
      <c r="K450" s="6">
        <v>0</v>
      </c>
      <c r="L450" s="6" t="str">
        <f>IF(VLOOKUP(E450,Sheet2!$W$4:$X$49,2,0)=0,"",VLOOKUP(E450,Sheet2!$W$4:$X$49,2,0))</f>
        <v/>
      </c>
      <c r="N450" s="6" t="str">
        <f>IF(VLOOKUP(E450,Sheet2!$W$4:$Y$49,3,0)=0,"",VLOOKUP(E450,Sheet2!$W$4:$Y$49,3,0))</f>
        <v/>
      </c>
      <c r="Q450" s="6" t="str">
        <f>IF(VLOOKUP(E450,Sheet2!$W$4:$Z$49,4,0)=0,"",VLOOKUP(E450,Sheet2!$W$4:$Z$49,4,0))</f>
        <v/>
      </c>
      <c r="R450" s="8">
        <v>100</v>
      </c>
      <c r="S450" s="14">
        <v>2</v>
      </c>
    </row>
    <row r="451" spans="1:19">
      <c r="A451" s="6">
        <f t="shared" si="77"/>
        <v>9001</v>
      </c>
      <c r="B451" s="6">
        <f t="shared" si="84"/>
        <v>90</v>
      </c>
      <c r="C451" s="6">
        <f t="shared" si="82"/>
        <v>1</v>
      </c>
      <c r="D451" s="6" t="str">
        <f t="shared" si="78"/>
        <v>关卡90怪物1</v>
      </c>
      <c r="E451" s="6">
        <v>100</v>
      </c>
      <c r="G451" s="6" t="s">
        <v>873</v>
      </c>
      <c r="H451" s="6">
        <f t="shared" si="83"/>
        <v>0</v>
      </c>
      <c r="I451" s="6" t="str">
        <f>IF(VLOOKUP(E451,Sheet2!$W$4:$AA$49,5,0)=0,"",VLOOKUP(E451,Sheet2!$W$4:$AA$49,5,0))</f>
        <v>[60002]</v>
      </c>
      <c r="J451" s="6">
        <v>0</v>
      </c>
      <c r="K451" s="6">
        <v>0</v>
      </c>
      <c r="L451" s="6" t="str">
        <f>IF(VLOOKUP(E451,Sheet2!$W$4:$X$49,2,0)=0,"",VLOOKUP(E451,Sheet2!$W$4:$X$49,2,0))</f>
        <v/>
      </c>
      <c r="N451" s="6">
        <f>IF(VLOOKUP(E451,Sheet2!$W$4:$Y$49,3,0)=0,"",VLOOKUP(E451,Sheet2!$W$4:$Y$49,3,0))</f>
        <v>2001</v>
      </c>
      <c r="Q451" s="6" t="str">
        <f>IF(VLOOKUP(E451,Sheet2!$W$4:$Z$49,4,0)=0,"",VLOOKUP(E451,Sheet2!$W$4:$Z$49,4,0))</f>
        <v/>
      </c>
      <c r="R451" s="8">
        <v>24</v>
      </c>
      <c r="S451" s="14">
        <v>2</v>
      </c>
    </row>
    <row r="452" spans="1:19">
      <c r="A452" s="6">
        <f t="shared" si="77"/>
        <v>9002</v>
      </c>
      <c r="B452" s="6">
        <f t="shared" si="84"/>
        <v>90</v>
      </c>
      <c r="C452" s="6">
        <f t="shared" si="82"/>
        <v>2</v>
      </c>
      <c r="D452" s="6" t="str">
        <f t="shared" si="79"/>
        <v>关卡90怪物2</v>
      </c>
      <c r="E452" s="6">
        <v>102</v>
      </c>
      <c r="G452" s="6" t="s">
        <v>874</v>
      </c>
      <c r="H452" s="6">
        <f t="shared" si="83"/>
        <v>0</v>
      </c>
      <c r="I452" s="6" t="str">
        <f>IF(VLOOKUP(E452,Sheet2!$W$4:$AA$49,5,0)=0,"",VLOOKUP(E452,Sheet2!$W$4:$AA$49,5,0))</f>
        <v/>
      </c>
      <c r="J452" s="6">
        <v>0</v>
      </c>
      <c r="K452" s="6">
        <v>0</v>
      </c>
      <c r="L452" s="6">
        <f>IF(VLOOKUP(E452,Sheet2!$W$4:$X$49,2,0)=0,"",VLOOKUP(E452,Sheet2!$W$4:$X$49,2,0))</f>
        <v>1</v>
      </c>
      <c r="N452" s="6" t="str">
        <f>IF(VLOOKUP(E452,Sheet2!$W$4:$Y$49,3,0)=0,"",VLOOKUP(E452,Sheet2!$W$4:$Y$49,3,0))</f>
        <v/>
      </c>
      <c r="Q452" s="6" t="str">
        <f>IF(VLOOKUP(E452,Sheet2!$W$4:$Z$49,4,0)=0,"",VLOOKUP(E452,Sheet2!$W$4:$Z$49,4,0))</f>
        <v>[{50011,6}]</v>
      </c>
      <c r="R452" s="8">
        <v>24</v>
      </c>
      <c r="S452" s="14">
        <v>2</v>
      </c>
    </row>
    <row r="453" spans="1:19">
      <c r="A453" s="6">
        <f t="shared" si="77"/>
        <v>9003</v>
      </c>
      <c r="B453" s="6">
        <f t="shared" si="84"/>
        <v>90</v>
      </c>
      <c r="C453" s="6">
        <f t="shared" si="82"/>
        <v>3</v>
      </c>
      <c r="D453" s="6" t="str">
        <f t="shared" si="80"/>
        <v>关卡90怪物3</v>
      </c>
      <c r="E453" s="6">
        <v>105</v>
      </c>
      <c r="G453" s="6" t="s">
        <v>875</v>
      </c>
      <c r="H453" s="6">
        <f t="shared" si="83"/>
        <v>0</v>
      </c>
      <c r="I453" s="6" t="str">
        <f>IF(VLOOKUP(E453,Sheet2!$W$4:$AA$49,5,0)=0,"",VLOOKUP(E453,Sheet2!$W$4:$AA$49,5,0))</f>
        <v>[60003]</v>
      </c>
      <c r="J453" s="6">
        <v>0</v>
      </c>
      <c r="K453" s="6">
        <v>0</v>
      </c>
      <c r="L453" s="6" t="str">
        <f>IF(VLOOKUP(E453,Sheet2!$W$4:$X$49,2,0)=0,"",VLOOKUP(E453,Sheet2!$W$4:$X$49,2,0))</f>
        <v/>
      </c>
      <c r="N453" s="6" t="str">
        <f>IF(VLOOKUP(E453,Sheet2!$W$4:$Y$49,3,0)=0,"",VLOOKUP(E453,Sheet2!$W$4:$Y$49,3,0))</f>
        <v/>
      </c>
      <c r="Q453" s="6" t="str">
        <f>IF(VLOOKUP(E453,Sheet2!$W$4:$Z$49,4,0)=0,"",VLOOKUP(E453,Sheet2!$W$4:$Z$49,4,0))</f>
        <v/>
      </c>
      <c r="R453" s="8">
        <v>24</v>
      </c>
      <c r="S453" s="14">
        <v>2</v>
      </c>
    </row>
    <row r="454" spans="1:19">
      <c r="A454" s="6">
        <f t="shared" si="77"/>
        <v>9021</v>
      </c>
      <c r="B454" s="6">
        <f t="shared" si="84"/>
        <v>90</v>
      </c>
      <c r="C454" s="6">
        <f t="shared" si="82"/>
        <v>4</v>
      </c>
      <c r="D454" s="6" t="str">
        <f t="shared" si="81"/>
        <v>关卡90BOSS1</v>
      </c>
      <c r="E454" s="6">
        <v>502</v>
      </c>
      <c r="G454" s="6" t="s">
        <v>876</v>
      </c>
      <c r="H454" s="6">
        <f t="shared" si="83"/>
        <v>2</v>
      </c>
      <c r="I454" s="6" t="str">
        <f>IF(VLOOKUP(E454,Sheet2!$W$4:$AA$49,5,0)=0,"",VLOOKUP(E454,Sheet2!$W$4:$AA$49,5,0))</f>
        <v/>
      </c>
      <c r="J454" s="6">
        <v>0</v>
      </c>
      <c r="K454" s="6">
        <v>0</v>
      </c>
      <c r="L454" s="6">
        <f>IF(VLOOKUP(E454,Sheet2!$W$4:$X$49,2,0)=0,"",VLOOKUP(E454,Sheet2!$W$4:$X$49,2,0))</f>
        <v>1</v>
      </c>
      <c r="N454" s="6" t="str">
        <f>IF(VLOOKUP(E454,Sheet2!$W$4:$Y$49,3,0)=0,"",VLOOKUP(E454,Sheet2!$W$4:$Y$49,3,0))</f>
        <v/>
      </c>
      <c r="Q454" s="6" t="str">
        <f>IF(VLOOKUP(E454,Sheet2!$W$4:$Z$49,4,0)=0,"",VLOOKUP(E454,Sheet2!$W$4:$Z$49,4,0))</f>
        <v>[{50021,6}]</v>
      </c>
      <c r="R454" s="8">
        <v>100</v>
      </c>
      <c r="S454" s="14">
        <v>2</v>
      </c>
    </row>
    <row r="455" spans="1:19">
      <c r="A455" s="6">
        <f t="shared" si="77"/>
        <v>9031</v>
      </c>
      <c r="B455" s="6">
        <f t="shared" si="84"/>
        <v>90</v>
      </c>
      <c r="C455" s="6">
        <f t="shared" si="82"/>
        <v>5</v>
      </c>
      <c r="D455" s="6" t="str">
        <f t="shared" si="76"/>
        <v>关卡90BOSS2</v>
      </c>
      <c r="E455" s="6">
        <v>500</v>
      </c>
      <c r="G455" s="6" t="s">
        <v>877</v>
      </c>
      <c r="H455" s="6">
        <f t="shared" si="83"/>
        <v>2</v>
      </c>
      <c r="I455" s="6" t="str">
        <f>IF(VLOOKUP(E455,Sheet2!$W$4:$AA$49,5,0)=0,"",VLOOKUP(E455,Sheet2!$W$4:$AA$49,5,0))</f>
        <v>[60002]</v>
      </c>
      <c r="J455" s="6">
        <v>0</v>
      </c>
      <c r="K455" s="6">
        <v>0</v>
      </c>
      <c r="L455" s="6" t="str">
        <f>IF(VLOOKUP(E455,Sheet2!$W$4:$X$49,2,0)=0,"",VLOOKUP(E455,Sheet2!$W$4:$X$49,2,0))</f>
        <v/>
      </c>
      <c r="N455" s="6">
        <f>IF(VLOOKUP(E455,Sheet2!$W:$AA,3,0)=0,"",VLOOKUP(E455,Sheet2!$W:$AA,3,0))</f>
        <v>2001</v>
      </c>
      <c r="Q455" s="6" t="str">
        <f>IF(VLOOKUP(E455,Sheet2!$W:$AA,4,0)=0,"",VLOOKUP(E455,Sheet2!$W:$AA,4,0))</f>
        <v/>
      </c>
      <c r="R455" s="8">
        <v>100</v>
      </c>
      <c r="S455" s="14">
        <v>2</v>
      </c>
    </row>
    <row r="456" spans="1:19">
      <c r="A456" s="6">
        <f t="shared" ref="A456:A505" si="85">A451+100</f>
        <v>9101</v>
      </c>
      <c r="B456" s="6">
        <f t="shared" si="84"/>
        <v>91</v>
      </c>
      <c r="C456" s="6">
        <f t="shared" si="82"/>
        <v>1</v>
      </c>
      <c r="D456" s="6" t="str">
        <f t="shared" ref="D456:D501" si="86">"关卡"&amp;B456&amp;"怪物1"</f>
        <v>关卡91怪物1</v>
      </c>
      <c r="E456" s="6">
        <v>108</v>
      </c>
      <c r="G456" s="6" t="s">
        <v>878</v>
      </c>
      <c r="H456" s="6">
        <f t="shared" si="83"/>
        <v>0</v>
      </c>
      <c r="I456" s="6" t="str">
        <f>IF(VLOOKUP(E456,Sheet2!$W$4:$AA$49,5,0)=0,"",VLOOKUP(E456,Sheet2!$W$4:$AA$49,5,0))</f>
        <v/>
      </c>
      <c r="J456" s="6">
        <v>0</v>
      </c>
      <c r="K456" s="6">
        <v>0</v>
      </c>
      <c r="L456" s="6" t="str">
        <f>IF(VLOOKUP(E456,Sheet2!$W:$AA,2,0)=0,"",VLOOKUP(E456,Sheet2!$W:$AA,2,0))</f>
        <v/>
      </c>
      <c r="N456" s="6" t="str">
        <f>IF(VLOOKUP(E456,Sheet2!$W:$AA,3,0)=0,"",VLOOKUP(E456,Sheet2!$W:$AA,3,0))</f>
        <v/>
      </c>
      <c r="Q456" s="6" t="str">
        <f>IF(VLOOKUP(E456,Sheet2!$W:$AA,4,0)=0,"",VLOOKUP(E456,Sheet2!$W:$AA,4,0))</f>
        <v/>
      </c>
      <c r="R456" s="8">
        <v>24</v>
      </c>
      <c r="S456" s="14">
        <v>2</v>
      </c>
    </row>
    <row r="457" spans="1:19">
      <c r="A457" s="6">
        <f t="shared" si="85"/>
        <v>9102</v>
      </c>
      <c r="B457" s="6">
        <f t="shared" si="84"/>
        <v>91</v>
      </c>
      <c r="C457" s="6">
        <f t="shared" si="82"/>
        <v>2</v>
      </c>
      <c r="D457" s="6" t="str">
        <f t="shared" ref="D457:D502" si="87">"关卡"&amp;B457&amp;"怪物2"</f>
        <v>关卡91怪物2</v>
      </c>
      <c r="E457" s="6">
        <v>117</v>
      </c>
      <c r="G457" s="6" t="s">
        <v>879</v>
      </c>
      <c r="H457" s="6">
        <f t="shared" si="83"/>
        <v>0</v>
      </c>
      <c r="I457" s="6" t="str">
        <f>IF(VLOOKUP(E457,Sheet2!$W:$AA,5,0)=0,"",VLOOKUP(E457,Sheet2!$W:$AA,5,0))</f>
        <v/>
      </c>
      <c r="J457" s="6">
        <v>0</v>
      </c>
      <c r="K457" s="6">
        <v>0</v>
      </c>
      <c r="L457" s="6" t="str">
        <f>IF(VLOOKUP(E457,Sheet2!$W:$AA,2,0)=0,"",VLOOKUP(E457,Sheet2!$W:$AA,2,0))</f>
        <v/>
      </c>
      <c r="N457" s="6" t="str">
        <f>IF(VLOOKUP(E457,Sheet2!$W:$AA,3,0)=0,"",VLOOKUP(E457,Sheet2!$W:$AA,3,0))</f>
        <v/>
      </c>
      <c r="Q457" s="6" t="str">
        <f>IF(VLOOKUP(E457,Sheet2!$W:$AA,4,0)=0,"",VLOOKUP(E457,Sheet2!$W:$AA,4,0))</f>
        <v/>
      </c>
      <c r="R457" s="8">
        <v>24</v>
      </c>
      <c r="S457" s="14">
        <v>2</v>
      </c>
    </row>
    <row r="458" spans="1:19">
      <c r="A458" s="6">
        <f t="shared" si="85"/>
        <v>9103</v>
      </c>
      <c r="B458" s="6">
        <f t="shared" si="84"/>
        <v>91</v>
      </c>
      <c r="C458" s="6">
        <f t="shared" si="82"/>
        <v>3</v>
      </c>
      <c r="D458" s="6" t="str">
        <f t="shared" ref="D458:D503" si="88">"关卡"&amp;B458&amp;"怪物3"</f>
        <v>关卡91怪物3</v>
      </c>
      <c r="E458" s="6">
        <v>109</v>
      </c>
      <c r="G458" s="6" t="s">
        <v>880</v>
      </c>
      <c r="H458" s="6">
        <f t="shared" si="83"/>
        <v>0</v>
      </c>
      <c r="I458" s="6" t="str">
        <f>IF(VLOOKUP(E458,Sheet2!$W:$AA,5,0)=0,"",VLOOKUP(E458,Sheet2!$W:$AA,5,0))</f>
        <v/>
      </c>
      <c r="J458" s="6">
        <v>0</v>
      </c>
      <c r="K458" s="6">
        <v>0</v>
      </c>
      <c r="L458" s="6">
        <f>IF(VLOOKUP(E458,Sheet2!$W:$AA,2,0)=0,"",VLOOKUP(E458,Sheet2!$W:$AA,2,0))</f>
        <v>1</v>
      </c>
      <c r="N458" s="6" t="str">
        <f>IF(VLOOKUP(E458,Sheet2!$W:$AA,3,0)=0,"",VLOOKUP(E458,Sheet2!$W:$AA,3,0))</f>
        <v/>
      </c>
      <c r="Q458" s="6" t="str">
        <f>IF(VLOOKUP(E458,Sheet2!$W:$AA,4,0)=0,"",VLOOKUP(E458,Sheet2!$W:$AA,4,0))</f>
        <v>[{50014,6}]</v>
      </c>
      <c r="R458" s="8">
        <v>24</v>
      </c>
      <c r="S458" s="14">
        <v>2</v>
      </c>
    </row>
    <row r="459" spans="1:19">
      <c r="A459" s="6">
        <f t="shared" si="85"/>
        <v>9121</v>
      </c>
      <c r="B459" s="6">
        <f t="shared" si="84"/>
        <v>91</v>
      </c>
      <c r="C459" s="6">
        <f t="shared" si="82"/>
        <v>4</v>
      </c>
      <c r="D459" s="6" t="str">
        <f t="shared" ref="D459:D504" si="89">"关卡"&amp;B459&amp;"BOSS1"</f>
        <v>关卡91BOSS1</v>
      </c>
      <c r="E459" s="6">
        <v>517</v>
      </c>
      <c r="G459" s="6" t="s">
        <v>881</v>
      </c>
      <c r="H459" s="6">
        <f t="shared" si="83"/>
        <v>2</v>
      </c>
      <c r="I459" s="6" t="str">
        <f>IF(VLOOKUP(E459,Sheet2!$W:$AA,5,0)=0,"",VLOOKUP(E459,Sheet2!$W:$AA,5,0))</f>
        <v/>
      </c>
      <c r="J459" s="6">
        <v>0</v>
      </c>
      <c r="K459" s="6">
        <v>0</v>
      </c>
      <c r="L459" s="6" t="str">
        <f>IF(VLOOKUP(E459,Sheet2!$W:$AA,2,0)=0,"",VLOOKUP(E459,Sheet2!$W:$AA,2,0))</f>
        <v/>
      </c>
      <c r="N459" s="6" t="str">
        <f>IF(VLOOKUP(E459,Sheet2!$W:$AA,3,0)=0,"",VLOOKUP(E459,Sheet2!$W:$AA,3,0))</f>
        <v/>
      </c>
      <c r="Q459" s="6" t="str">
        <f>IF(VLOOKUP(E459,Sheet2!$W:$AA,4,0)=0,"",VLOOKUP(E459,Sheet2!$W:$AA,4,0))</f>
        <v/>
      </c>
      <c r="R459" s="8">
        <v>100</v>
      </c>
      <c r="S459" s="14">
        <v>2</v>
      </c>
    </row>
    <row r="460" spans="1:19">
      <c r="A460" s="6">
        <f t="shared" si="85"/>
        <v>9131</v>
      </c>
      <c r="B460" s="6">
        <f t="shared" si="84"/>
        <v>91</v>
      </c>
      <c r="C460" s="6">
        <f t="shared" si="82"/>
        <v>5</v>
      </c>
      <c r="D460" s="6" t="str">
        <f t="shared" ref="D460:D505" si="90">"关卡"&amp;B460&amp;"BOSS2"</f>
        <v>关卡91BOSS2</v>
      </c>
      <c r="E460" s="6">
        <v>517</v>
      </c>
      <c r="G460" s="6" t="s">
        <v>882</v>
      </c>
      <c r="H460" s="6">
        <f t="shared" si="83"/>
        <v>2</v>
      </c>
      <c r="I460" s="6" t="str">
        <f>IF(VLOOKUP(E460,Sheet2!$W:$AA,5,0)=0,"",VLOOKUP(E460,Sheet2!$W:$AA,5,0))</f>
        <v/>
      </c>
      <c r="J460" s="6">
        <v>0</v>
      </c>
      <c r="K460" s="6">
        <v>0</v>
      </c>
      <c r="L460" s="6" t="str">
        <f>IF(VLOOKUP(E460,Sheet2!$W:$AA,2,0)=0,"",VLOOKUP(E460,Sheet2!$W:$AA,2,0))</f>
        <v/>
      </c>
      <c r="N460" s="6" t="str">
        <f>IF(VLOOKUP(E460,Sheet2!$W:$AA,3,0)=0,"",VLOOKUP(E460,Sheet2!$W:$AA,3,0))</f>
        <v/>
      </c>
      <c r="Q460" s="6" t="str">
        <f>IF(VLOOKUP(E460,Sheet2!$W:$AA,4,0)=0,"",VLOOKUP(E460,Sheet2!$W:$AA,4,0))</f>
        <v/>
      </c>
      <c r="R460" s="8">
        <v>100</v>
      </c>
      <c r="S460" s="14">
        <v>2</v>
      </c>
    </row>
    <row r="461" spans="1:19">
      <c r="A461" s="6">
        <f t="shared" si="85"/>
        <v>9201</v>
      </c>
      <c r="B461" s="6">
        <f t="shared" si="84"/>
        <v>92</v>
      </c>
      <c r="C461" s="6">
        <f t="shared" si="82"/>
        <v>1</v>
      </c>
      <c r="D461" s="6" t="str">
        <f t="shared" si="86"/>
        <v>关卡92怪物1</v>
      </c>
      <c r="E461" s="6">
        <v>108</v>
      </c>
      <c r="G461" s="6" t="s">
        <v>883</v>
      </c>
      <c r="H461" s="6">
        <f t="shared" si="83"/>
        <v>0</v>
      </c>
      <c r="I461" s="6" t="str">
        <f>IF(VLOOKUP(E461,Sheet2!$W:$AA,5,0)=0,"",VLOOKUP(E461,Sheet2!$W:$AA,5,0))</f>
        <v/>
      </c>
      <c r="J461" s="6">
        <v>0</v>
      </c>
      <c r="K461" s="6">
        <v>0</v>
      </c>
      <c r="L461" s="6" t="str">
        <f>IF(VLOOKUP(E461,Sheet2!$W:$AA,2,0)=0,"",VLOOKUP(E461,Sheet2!$W:$AA,2,0))</f>
        <v/>
      </c>
      <c r="N461" s="6" t="str">
        <f>IF(VLOOKUP(E461,Sheet2!$W:$AA,3,0)=0,"",VLOOKUP(E461,Sheet2!$W:$AA,3,0))</f>
        <v/>
      </c>
      <c r="Q461" s="6" t="str">
        <f>IF(VLOOKUP(E461,Sheet2!$W:$AA,4,0)=0,"",VLOOKUP(E461,Sheet2!$W:$AA,4,0))</f>
        <v/>
      </c>
      <c r="R461" s="8">
        <v>24</v>
      </c>
      <c r="S461" s="14">
        <v>2</v>
      </c>
    </row>
    <row r="462" spans="1:19">
      <c r="A462" s="6">
        <f t="shared" si="85"/>
        <v>9202</v>
      </c>
      <c r="B462" s="6">
        <f t="shared" si="84"/>
        <v>92</v>
      </c>
      <c r="C462" s="6">
        <f t="shared" si="82"/>
        <v>2</v>
      </c>
      <c r="D462" s="6" t="str">
        <f t="shared" si="87"/>
        <v>关卡92怪物2</v>
      </c>
      <c r="E462" s="6">
        <v>110</v>
      </c>
      <c r="G462" s="6" t="s">
        <v>884</v>
      </c>
      <c r="H462" s="6">
        <f t="shared" si="83"/>
        <v>0</v>
      </c>
      <c r="I462" s="6" t="str">
        <f>IF(VLOOKUP(E462,Sheet2!$W:$AA,5,0)=0,"",VLOOKUP(E462,Sheet2!$W:$AA,5,0))</f>
        <v/>
      </c>
      <c r="J462" s="6">
        <v>0</v>
      </c>
      <c r="K462" s="6">
        <v>0</v>
      </c>
      <c r="L462" s="6" t="str">
        <f>IF(VLOOKUP(E462,Sheet2!$W:$AA,2,0)=0,"",VLOOKUP(E462,Sheet2!$W:$AA,2,0))</f>
        <v/>
      </c>
      <c r="N462" s="6" t="str">
        <f>IF(VLOOKUP(E462,Sheet2!$W:$AA,3,0)=0,"",VLOOKUP(E462,Sheet2!$W:$AA,3,0))</f>
        <v/>
      </c>
      <c r="Q462" s="6" t="str">
        <f>IF(VLOOKUP(E462,Sheet2!$W:$AA,4,0)=0,"",VLOOKUP(E462,Sheet2!$W:$AA,4,0))</f>
        <v/>
      </c>
      <c r="R462" s="8">
        <v>24</v>
      </c>
      <c r="S462" s="14">
        <v>2</v>
      </c>
    </row>
    <row r="463" spans="1:19">
      <c r="A463" s="6">
        <f t="shared" si="85"/>
        <v>9203</v>
      </c>
      <c r="B463" s="6">
        <f t="shared" si="84"/>
        <v>92</v>
      </c>
      <c r="C463" s="6">
        <f t="shared" si="82"/>
        <v>3</v>
      </c>
      <c r="D463" s="6" t="str">
        <f t="shared" si="88"/>
        <v>关卡92怪物3</v>
      </c>
      <c r="E463" s="6">
        <v>114</v>
      </c>
      <c r="G463" s="6" t="s">
        <v>885</v>
      </c>
      <c r="H463" s="6">
        <f t="shared" si="83"/>
        <v>0</v>
      </c>
      <c r="I463" s="6" t="str">
        <f>IF(VLOOKUP(E463,Sheet2!$W:$AA,5,0)=0,"",VLOOKUP(E463,Sheet2!$W:$AA,5,0))</f>
        <v/>
      </c>
      <c r="J463" s="6">
        <v>0</v>
      </c>
      <c r="K463" s="6">
        <v>0</v>
      </c>
      <c r="L463" s="6" t="str">
        <f>IF(VLOOKUP(E463,Sheet2!$W:$AA,2,0)=0,"",VLOOKUP(E463,Sheet2!$W:$AA,2,0))</f>
        <v/>
      </c>
      <c r="N463" s="6" t="str">
        <f>IF(VLOOKUP(E463,Sheet2!$W:$AA,3,0)=0,"",VLOOKUP(E463,Sheet2!$W:$AA,3,0))</f>
        <v/>
      </c>
      <c r="Q463" s="6" t="str">
        <f>IF(VLOOKUP(E463,Sheet2!$W:$AA,4,0)=0,"",VLOOKUP(E463,Sheet2!$W:$AA,4,0))</f>
        <v/>
      </c>
      <c r="R463" s="8">
        <v>24</v>
      </c>
      <c r="S463" s="14">
        <v>2</v>
      </c>
    </row>
    <row r="464" spans="1:19">
      <c r="A464" s="6">
        <f t="shared" si="85"/>
        <v>9221</v>
      </c>
      <c r="B464" s="6">
        <f t="shared" si="84"/>
        <v>92</v>
      </c>
      <c r="C464" s="6">
        <f t="shared" si="82"/>
        <v>4</v>
      </c>
      <c r="D464" s="6" t="str">
        <f t="shared" si="89"/>
        <v>关卡92BOSS1</v>
      </c>
      <c r="E464" s="6">
        <v>508</v>
      </c>
      <c r="G464" s="6" t="s">
        <v>886</v>
      </c>
      <c r="H464" s="6">
        <f t="shared" si="83"/>
        <v>2</v>
      </c>
      <c r="I464" s="6" t="str">
        <f>IF(VLOOKUP(E464,Sheet2!$W:$AA,5,0)=0,"",VLOOKUP(E464,Sheet2!$W:$AA,5,0))</f>
        <v/>
      </c>
      <c r="J464" s="6">
        <v>0</v>
      </c>
      <c r="K464" s="6">
        <v>0</v>
      </c>
      <c r="L464" s="6" t="str">
        <f>IF(VLOOKUP(E464,Sheet2!$W:$AA,2,0)=0,"",VLOOKUP(E464,Sheet2!$W:$AA,2,0))</f>
        <v/>
      </c>
      <c r="N464" s="6" t="str">
        <f>IF(VLOOKUP(E464,Sheet2!$W:$AA,3,0)=0,"",VLOOKUP(E464,Sheet2!$W:$AA,3,0))</f>
        <v/>
      </c>
      <c r="Q464" s="6" t="str">
        <f>IF(VLOOKUP(E464,Sheet2!$W:$AA,4,0)=0,"",VLOOKUP(E464,Sheet2!$W:$AA,4,0))</f>
        <v/>
      </c>
      <c r="R464" s="8">
        <v>100</v>
      </c>
      <c r="S464" s="14">
        <v>2</v>
      </c>
    </row>
    <row r="465" spans="1:19">
      <c r="A465" s="6">
        <f t="shared" si="85"/>
        <v>9231</v>
      </c>
      <c r="B465" s="6">
        <f t="shared" si="84"/>
        <v>92</v>
      </c>
      <c r="C465" s="6">
        <f t="shared" si="82"/>
        <v>5</v>
      </c>
      <c r="D465" s="6" t="str">
        <f t="shared" si="90"/>
        <v>关卡92BOSS2</v>
      </c>
      <c r="E465" s="6">
        <v>508</v>
      </c>
      <c r="G465" s="6" t="s">
        <v>887</v>
      </c>
      <c r="H465" s="6">
        <f t="shared" si="83"/>
        <v>2</v>
      </c>
      <c r="I465" s="6" t="str">
        <f>IF(VLOOKUP(E465,Sheet2!$W:$AA,5,0)=0,"",VLOOKUP(E465,Sheet2!$W:$AA,5,0))</f>
        <v/>
      </c>
      <c r="J465" s="6">
        <v>0</v>
      </c>
      <c r="K465" s="6">
        <v>0</v>
      </c>
      <c r="L465" s="6" t="str">
        <f>IF(VLOOKUP(E465,Sheet2!$W:$AA,2,0)=0,"",VLOOKUP(E465,Sheet2!$W:$AA,2,0))</f>
        <v/>
      </c>
      <c r="N465" s="6" t="str">
        <f>IF(VLOOKUP(E465,Sheet2!$W:$AA,3,0)=0,"",VLOOKUP(E465,Sheet2!$W:$AA,3,0))</f>
        <v/>
      </c>
      <c r="Q465" s="6" t="str">
        <f>IF(VLOOKUP(E465,Sheet2!$W:$AA,4,0)=0,"",VLOOKUP(E465,Sheet2!$W:$AA,4,0))</f>
        <v/>
      </c>
      <c r="R465" s="8">
        <v>100</v>
      </c>
      <c r="S465" s="14">
        <v>2</v>
      </c>
    </row>
    <row r="466" spans="1:19">
      <c r="A466" s="6">
        <f t="shared" si="85"/>
        <v>9301</v>
      </c>
      <c r="B466" s="6">
        <f t="shared" si="84"/>
        <v>93</v>
      </c>
      <c r="C466" s="6">
        <f t="shared" si="82"/>
        <v>1</v>
      </c>
      <c r="D466" s="6" t="str">
        <f t="shared" si="86"/>
        <v>关卡93怪物1</v>
      </c>
      <c r="E466" s="6">
        <v>110</v>
      </c>
      <c r="G466" s="6" t="s">
        <v>888</v>
      </c>
      <c r="H466" s="6">
        <f t="shared" si="83"/>
        <v>0</v>
      </c>
      <c r="I466" s="6" t="str">
        <f>IF(VLOOKUP(E466,Sheet2!$W:$AA,5,0)=0,"",VLOOKUP(E466,Sheet2!$W:$AA,5,0))</f>
        <v/>
      </c>
      <c r="J466" s="6">
        <v>0</v>
      </c>
      <c r="K466" s="6">
        <v>0</v>
      </c>
      <c r="L466" s="6" t="str">
        <f>IF(VLOOKUP(E466,Sheet2!$W:$AA,2,0)=0,"",VLOOKUP(E466,Sheet2!$W:$AA,2,0))</f>
        <v/>
      </c>
      <c r="N466" s="6" t="str">
        <f>IF(VLOOKUP(E466,Sheet2!$W:$AA,3,0)=0,"",VLOOKUP(E466,Sheet2!$W:$AA,3,0))</f>
        <v/>
      </c>
      <c r="Q466" s="6" t="str">
        <f>IF(VLOOKUP(E466,Sheet2!$W:$AA,4,0)=0,"",VLOOKUP(E466,Sheet2!$W:$AA,4,0))</f>
        <v/>
      </c>
      <c r="R466" s="8">
        <v>24</v>
      </c>
      <c r="S466" s="14">
        <v>2</v>
      </c>
    </row>
    <row r="467" spans="1:19">
      <c r="A467" s="6">
        <f t="shared" si="85"/>
        <v>9302</v>
      </c>
      <c r="B467" s="6">
        <f t="shared" si="84"/>
        <v>93</v>
      </c>
      <c r="C467" s="6">
        <f t="shared" si="82"/>
        <v>2</v>
      </c>
      <c r="D467" s="6" t="str">
        <f t="shared" si="87"/>
        <v>关卡93怪物2</v>
      </c>
      <c r="E467" s="6">
        <v>117</v>
      </c>
      <c r="G467" s="6" t="s">
        <v>889</v>
      </c>
      <c r="H467" s="6">
        <f t="shared" si="83"/>
        <v>0</v>
      </c>
      <c r="I467" s="6" t="str">
        <f>IF(VLOOKUP(E467,Sheet2!$W:$AA,5,0)=0,"",VLOOKUP(E467,Sheet2!$W:$AA,5,0))</f>
        <v/>
      </c>
      <c r="J467" s="6">
        <v>0</v>
      </c>
      <c r="K467" s="6">
        <v>0</v>
      </c>
      <c r="L467" s="6" t="str">
        <f>IF(VLOOKUP(E467,Sheet2!$W:$AA,2,0)=0,"",VLOOKUP(E467,Sheet2!$W:$AA,2,0))</f>
        <v/>
      </c>
      <c r="N467" s="6" t="str">
        <f>IF(VLOOKUP(E467,Sheet2!$W:$AA,3,0)=0,"",VLOOKUP(E467,Sheet2!$W:$AA,3,0))</f>
        <v/>
      </c>
      <c r="Q467" s="6" t="str">
        <f>IF(VLOOKUP(E467,Sheet2!$W:$AA,4,0)=0,"",VLOOKUP(E467,Sheet2!$W:$AA,4,0))</f>
        <v/>
      </c>
      <c r="R467" s="8">
        <v>24</v>
      </c>
      <c r="S467" s="14">
        <v>2</v>
      </c>
    </row>
    <row r="468" spans="1:19">
      <c r="A468" s="6">
        <f t="shared" si="85"/>
        <v>9303</v>
      </c>
      <c r="B468" s="6">
        <f t="shared" si="84"/>
        <v>93</v>
      </c>
      <c r="C468" s="6">
        <f t="shared" si="82"/>
        <v>3</v>
      </c>
      <c r="D468" s="6" t="str">
        <f t="shared" si="88"/>
        <v>关卡93怪物3</v>
      </c>
      <c r="E468" s="6">
        <v>109</v>
      </c>
      <c r="G468" s="6" t="s">
        <v>890</v>
      </c>
      <c r="H468" s="6">
        <f t="shared" si="83"/>
        <v>0</v>
      </c>
      <c r="I468" s="6" t="str">
        <f>IF(VLOOKUP(E468,Sheet2!$W:$AA,5,0)=0,"",VLOOKUP(E468,Sheet2!$W:$AA,5,0))</f>
        <v/>
      </c>
      <c r="J468" s="6">
        <v>0</v>
      </c>
      <c r="K468" s="6">
        <v>0</v>
      </c>
      <c r="L468" s="6">
        <f>IF(VLOOKUP(E468,Sheet2!$W:$AA,2,0)=0,"",VLOOKUP(E468,Sheet2!$W:$AA,2,0))</f>
        <v>1</v>
      </c>
      <c r="N468" s="6" t="str">
        <f>IF(VLOOKUP(E468,Sheet2!$W:$AA,3,0)=0,"",VLOOKUP(E468,Sheet2!$W:$AA,3,0))</f>
        <v/>
      </c>
      <c r="Q468" s="6" t="str">
        <f>IF(VLOOKUP(E468,Sheet2!$W:$AA,4,0)=0,"",VLOOKUP(E468,Sheet2!$W:$AA,4,0))</f>
        <v>[{50014,6}]</v>
      </c>
      <c r="R468" s="8">
        <v>24</v>
      </c>
      <c r="S468" s="14">
        <v>2</v>
      </c>
    </row>
    <row r="469" spans="1:19">
      <c r="A469" s="6">
        <f t="shared" si="85"/>
        <v>9321</v>
      </c>
      <c r="B469" s="6">
        <f t="shared" si="84"/>
        <v>93</v>
      </c>
      <c r="C469" s="6">
        <f t="shared" si="82"/>
        <v>4</v>
      </c>
      <c r="D469" s="6" t="str">
        <f t="shared" si="89"/>
        <v>关卡93BOSS1</v>
      </c>
      <c r="E469" s="6">
        <v>517</v>
      </c>
      <c r="G469" s="6" t="s">
        <v>891</v>
      </c>
      <c r="H469" s="6">
        <f t="shared" si="83"/>
        <v>2</v>
      </c>
      <c r="I469" s="6" t="str">
        <f>IF(VLOOKUP(E469,Sheet2!$W:$AA,5,0)=0,"",VLOOKUP(E469,Sheet2!$W:$AA,5,0))</f>
        <v/>
      </c>
      <c r="J469" s="6">
        <v>0</v>
      </c>
      <c r="K469" s="6">
        <v>0</v>
      </c>
      <c r="L469" s="6" t="str">
        <f>IF(VLOOKUP(E469,Sheet2!$W:$AA,2,0)=0,"",VLOOKUP(E469,Sheet2!$W:$AA,2,0))</f>
        <v/>
      </c>
      <c r="N469" s="6" t="str">
        <f>IF(VLOOKUP(E469,Sheet2!$W:$AA,3,0)=0,"",VLOOKUP(E469,Sheet2!$W:$AA,3,0))</f>
        <v/>
      </c>
      <c r="Q469" s="6" t="str">
        <f>IF(VLOOKUP(E469,Sheet2!$W:$AA,4,0)=0,"",VLOOKUP(E469,Sheet2!$W:$AA,4,0))</f>
        <v/>
      </c>
      <c r="R469" s="8">
        <v>100</v>
      </c>
      <c r="S469" s="14">
        <v>2</v>
      </c>
    </row>
    <row r="470" spans="1:19">
      <c r="A470" s="6">
        <f t="shared" si="85"/>
        <v>9331</v>
      </c>
      <c r="B470" s="6">
        <f t="shared" si="84"/>
        <v>93</v>
      </c>
      <c r="C470" s="6">
        <f t="shared" si="82"/>
        <v>5</v>
      </c>
      <c r="D470" s="6" t="str">
        <f t="shared" si="90"/>
        <v>关卡93BOSS2</v>
      </c>
      <c r="E470" s="6">
        <v>517</v>
      </c>
      <c r="G470" s="6" t="s">
        <v>892</v>
      </c>
      <c r="H470" s="6">
        <f t="shared" si="83"/>
        <v>2</v>
      </c>
      <c r="I470" s="6" t="str">
        <f>IF(VLOOKUP(E470,Sheet2!$W:$AA,5,0)=0,"",VLOOKUP(E470,Sheet2!$W:$AA,5,0))</f>
        <v/>
      </c>
      <c r="J470" s="6">
        <v>0</v>
      </c>
      <c r="K470" s="6">
        <v>0</v>
      </c>
      <c r="L470" s="6" t="str">
        <f>IF(VLOOKUP(E470,Sheet2!$W:$AA,2,0)=0,"",VLOOKUP(E470,Sheet2!$W:$AA,2,0))</f>
        <v/>
      </c>
      <c r="N470" s="6" t="str">
        <f>IF(VLOOKUP(E470,Sheet2!$W:$AA,3,0)=0,"",VLOOKUP(E470,Sheet2!$W:$AA,3,0))</f>
        <v/>
      </c>
      <c r="Q470" s="6" t="str">
        <f>IF(VLOOKUP(E470,Sheet2!$W:$AA,4,0)=0,"",VLOOKUP(E470,Sheet2!$W:$AA,4,0))</f>
        <v/>
      </c>
      <c r="R470" s="8">
        <v>100</v>
      </c>
      <c r="S470" s="14">
        <v>2</v>
      </c>
    </row>
    <row r="471" spans="1:19">
      <c r="A471" s="6">
        <f t="shared" si="85"/>
        <v>9401</v>
      </c>
      <c r="B471" s="6">
        <f t="shared" si="84"/>
        <v>94</v>
      </c>
      <c r="C471" s="6">
        <f t="shared" si="82"/>
        <v>1</v>
      </c>
      <c r="D471" s="6" t="str">
        <f t="shared" si="86"/>
        <v>关卡94怪物1</v>
      </c>
      <c r="E471" s="6">
        <v>108</v>
      </c>
      <c r="G471" s="6" t="s">
        <v>893</v>
      </c>
      <c r="H471" s="6">
        <f t="shared" si="83"/>
        <v>0</v>
      </c>
      <c r="I471" s="6" t="str">
        <f>IF(VLOOKUP(E471,Sheet2!$W:$AA,5,0)=0,"",VLOOKUP(E471,Sheet2!$W:$AA,5,0))</f>
        <v/>
      </c>
      <c r="J471" s="6">
        <v>0</v>
      </c>
      <c r="K471" s="6">
        <v>0</v>
      </c>
      <c r="L471" s="6" t="str">
        <f>IF(VLOOKUP(E471,Sheet2!$W:$AA,2,0)=0,"",VLOOKUP(E471,Sheet2!$W:$AA,2,0))</f>
        <v/>
      </c>
      <c r="N471" s="6" t="str">
        <f>IF(VLOOKUP(E471,Sheet2!$W:$AA,3,0)=0,"",VLOOKUP(E471,Sheet2!$W:$AA,3,0))</f>
        <v/>
      </c>
      <c r="Q471" s="6" t="str">
        <f>IF(VLOOKUP(E471,Sheet2!$W:$AA,4,0)=0,"",VLOOKUP(E471,Sheet2!$W:$AA,4,0))</f>
        <v/>
      </c>
      <c r="R471" s="8">
        <v>24</v>
      </c>
      <c r="S471" s="14">
        <v>2</v>
      </c>
    </row>
    <row r="472" spans="1:19">
      <c r="A472" s="6">
        <f t="shared" si="85"/>
        <v>9402</v>
      </c>
      <c r="B472" s="6">
        <f t="shared" si="84"/>
        <v>94</v>
      </c>
      <c r="C472" s="6">
        <f t="shared" si="82"/>
        <v>2</v>
      </c>
      <c r="D472" s="6" t="str">
        <f t="shared" si="87"/>
        <v>关卡94怪物2</v>
      </c>
      <c r="E472" s="6">
        <v>109</v>
      </c>
      <c r="G472" s="6" t="s">
        <v>894</v>
      </c>
      <c r="H472" s="6">
        <f t="shared" si="83"/>
        <v>0</v>
      </c>
      <c r="I472" s="6" t="str">
        <f>IF(VLOOKUP(E472,Sheet2!$W:$AA,5,0)=0,"",VLOOKUP(E472,Sheet2!$W:$AA,5,0))</f>
        <v/>
      </c>
      <c r="J472" s="6">
        <v>0</v>
      </c>
      <c r="K472" s="6">
        <v>0</v>
      </c>
      <c r="L472" s="6">
        <f>IF(VLOOKUP(E472,Sheet2!$W:$AA,2,0)=0,"",VLOOKUP(E472,Sheet2!$W:$AA,2,0))</f>
        <v>1</v>
      </c>
      <c r="N472" s="6" t="str">
        <f>IF(VLOOKUP(E472,Sheet2!$W:$AA,3,0)=0,"",VLOOKUP(E472,Sheet2!$W:$AA,3,0))</f>
        <v/>
      </c>
      <c r="Q472" s="6" t="str">
        <f>IF(VLOOKUP(E472,Sheet2!$W:$AA,4,0)=0,"",VLOOKUP(E472,Sheet2!$W:$AA,4,0))</f>
        <v>[{50014,6}]</v>
      </c>
      <c r="R472" s="8">
        <v>24</v>
      </c>
      <c r="S472" s="14">
        <v>2</v>
      </c>
    </row>
    <row r="473" spans="1:19">
      <c r="A473" s="6">
        <f t="shared" si="85"/>
        <v>9403</v>
      </c>
      <c r="B473" s="6">
        <f t="shared" si="84"/>
        <v>94</v>
      </c>
      <c r="C473" s="6">
        <f t="shared" si="82"/>
        <v>3</v>
      </c>
      <c r="D473" s="6" t="str">
        <f t="shared" si="88"/>
        <v>关卡94怪物3</v>
      </c>
      <c r="E473" s="6">
        <v>110</v>
      </c>
      <c r="G473" s="6" t="s">
        <v>895</v>
      </c>
      <c r="H473" s="6">
        <f t="shared" si="83"/>
        <v>0</v>
      </c>
      <c r="I473" s="6" t="str">
        <f>IF(VLOOKUP(E473,Sheet2!$W:$AA,5,0)=0,"",VLOOKUP(E473,Sheet2!$W:$AA,5,0))</f>
        <v/>
      </c>
      <c r="J473" s="6">
        <v>0</v>
      </c>
      <c r="K473" s="6">
        <v>0</v>
      </c>
      <c r="L473" s="6" t="str">
        <f>IF(VLOOKUP(E473,Sheet2!$W:$AA,2,0)=0,"",VLOOKUP(E473,Sheet2!$W:$AA,2,0))</f>
        <v/>
      </c>
      <c r="N473" s="6" t="str">
        <f>IF(VLOOKUP(E473,Sheet2!$W:$AA,3,0)=0,"",VLOOKUP(E473,Sheet2!$W:$AA,3,0))</f>
        <v/>
      </c>
      <c r="Q473" s="6" t="str">
        <f>IF(VLOOKUP(E473,Sheet2!$W:$AA,4,0)=0,"",VLOOKUP(E473,Sheet2!$W:$AA,4,0))</f>
        <v/>
      </c>
      <c r="R473" s="8">
        <v>24</v>
      </c>
      <c r="S473" s="14">
        <v>2</v>
      </c>
    </row>
    <row r="474" spans="1:19">
      <c r="A474" s="6">
        <f t="shared" si="85"/>
        <v>9421</v>
      </c>
      <c r="B474" s="6">
        <f t="shared" si="84"/>
        <v>94</v>
      </c>
      <c r="C474" s="6">
        <f t="shared" si="82"/>
        <v>4</v>
      </c>
      <c r="D474" s="6" t="str">
        <f t="shared" si="89"/>
        <v>关卡94BOSS1</v>
      </c>
      <c r="E474" s="6">
        <v>509</v>
      </c>
      <c r="G474" s="6" t="s">
        <v>896</v>
      </c>
      <c r="H474" s="6">
        <f t="shared" si="83"/>
        <v>2</v>
      </c>
      <c r="I474" s="6" t="str">
        <f>IF(VLOOKUP(E474,Sheet2!$W:$AA,5,0)=0,"",VLOOKUP(E474,Sheet2!$W:$AA,5,0))</f>
        <v/>
      </c>
      <c r="J474" s="6">
        <v>0</v>
      </c>
      <c r="K474" s="6">
        <v>0</v>
      </c>
      <c r="L474" s="6">
        <f>IF(VLOOKUP(E474,Sheet2!$W:$AA,2,0)=0,"",VLOOKUP(E474,Sheet2!$W:$AA,2,0))</f>
        <v>1</v>
      </c>
      <c r="N474" s="6" t="str">
        <f>IF(VLOOKUP(E474,Sheet2!$W:$AA,3,0)=0,"",VLOOKUP(E474,Sheet2!$W:$AA,3,0))</f>
        <v/>
      </c>
      <c r="Q474" s="6" t="str">
        <f>IF(VLOOKUP(E474,Sheet2!$W:$AA,4,0)=0,"",VLOOKUP(E474,Sheet2!$W:$AA,4,0))</f>
        <v>[{50024,6}]</v>
      </c>
      <c r="R474" s="8">
        <v>100</v>
      </c>
      <c r="S474" s="14">
        <v>2</v>
      </c>
    </row>
    <row r="475" spans="1:19">
      <c r="A475" s="6">
        <f t="shared" si="85"/>
        <v>9431</v>
      </c>
      <c r="B475" s="6">
        <f t="shared" si="84"/>
        <v>94</v>
      </c>
      <c r="C475" s="6">
        <f t="shared" si="82"/>
        <v>5</v>
      </c>
      <c r="D475" s="6" t="str">
        <f t="shared" si="90"/>
        <v>关卡94BOSS2</v>
      </c>
      <c r="E475" s="6">
        <v>509</v>
      </c>
      <c r="G475" s="6" t="s">
        <v>897</v>
      </c>
      <c r="H475" s="6">
        <f t="shared" si="83"/>
        <v>2</v>
      </c>
      <c r="I475" s="6" t="str">
        <f>IF(VLOOKUP(E475,Sheet2!$W:$AA,5,0)=0,"",VLOOKUP(E475,Sheet2!$W:$AA,5,0))</f>
        <v/>
      </c>
      <c r="J475" s="6">
        <v>0</v>
      </c>
      <c r="K475" s="6">
        <v>0</v>
      </c>
      <c r="L475" s="6">
        <f>IF(VLOOKUP(E475,Sheet2!$W:$AA,2,0)=0,"",VLOOKUP(E475,Sheet2!$W:$AA,2,0))</f>
        <v>1</v>
      </c>
      <c r="N475" s="6" t="str">
        <f>IF(VLOOKUP(E475,Sheet2!$W:$AA,3,0)=0,"",VLOOKUP(E475,Sheet2!$W:$AA,3,0))</f>
        <v/>
      </c>
      <c r="Q475" s="6" t="str">
        <f>IF(VLOOKUP(E475,Sheet2!$W:$AA,4,0)=0,"",VLOOKUP(E475,Sheet2!$W:$AA,4,0))</f>
        <v>[{50024,6}]</v>
      </c>
      <c r="R475" s="8">
        <v>100</v>
      </c>
      <c r="S475" s="14">
        <v>2</v>
      </c>
    </row>
    <row r="476" spans="1:19">
      <c r="A476" s="6">
        <f t="shared" si="85"/>
        <v>9501</v>
      </c>
      <c r="B476" s="6">
        <f t="shared" si="84"/>
        <v>95</v>
      </c>
      <c r="C476" s="6">
        <f t="shared" si="82"/>
        <v>1</v>
      </c>
      <c r="D476" s="6" t="str">
        <f t="shared" si="86"/>
        <v>关卡95怪物1</v>
      </c>
      <c r="E476" s="6">
        <v>100</v>
      </c>
      <c r="G476" s="6" t="s">
        <v>898</v>
      </c>
      <c r="H476" s="6">
        <f t="shared" si="83"/>
        <v>0</v>
      </c>
      <c r="I476" s="6" t="str">
        <f>IF(VLOOKUP(E476,Sheet2!$W:$AA,5,0)=0,"",VLOOKUP(E476,Sheet2!$W:$AA,5,0))</f>
        <v>[60002]</v>
      </c>
      <c r="J476" s="6">
        <v>0</v>
      </c>
      <c r="K476" s="6">
        <v>0</v>
      </c>
      <c r="L476" s="6" t="str">
        <f>IF(VLOOKUP(E476,Sheet2!$W:$AA,2,0)=0,"",VLOOKUP(E476,Sheet2!$W:$AA,2,0))</f>
        <v/>
      </c>
      <c r="N476" s="6">
        <f>IF(VLOOKUP(E476,Sheet2!$W:$AA,3,0)=0,"",VLOOKUP(E476,Sheet2!$W:$AA,3,0))</f>
        <v>2001</v>
      </c>
      <c r="Q476" s="6" t="str">
        <f>IF(VLOOKUP(E476,Sheet2!$W:$AA,4,0)=0,"",VLOOKUP(E476,Sheet2!$W:$AA,4,0))</f>
        <v/>
      </c>
      <c r="R476" s="8">
        <v>24</v>
      </c>
      <c r="S476" s="14">
        <v>2</v>
      </c>
    </row>
    <row r="477" spans="1:19">
      <c r="A477" s="6">
        <f t="shared" si="85"/>
        <v>9502</v>
      </c>
      <c r="B477" s="6">
        <f t="shared" si="84"/>
        <v>95</v>
      </c>
      <c r="C477" s="6">
        <f t="shared" si="82"/>
        <v>2</v>
      </c>
      <c r="D477" s="6" t="str">
        <f t="shared" si="87"/>
        <v>关卡95怪物2</v>
      </c>
      <c r="E477" s="6">
        <v>102</v>
      </c>
      <c r="G477" s="6" t="s">
        <v>899</v>
      </c>
      <c r="H477" s="6">
        <f t="shared" si="83"/>
        <v>0</v>
      </c>
      <c r="I477" s="6" t="str">
        <f>IF(VLOOKUP(E477,Sheet2!$W:$AA,5,0)=0,"",VLOOKUP(E477,Sheet2!$W:$AA,5,0))</f>
        <v/>
      </c>
      <c r="J477" s="6">
        <v>0</v>
      </c>
      <c r="K477" s="6">
        <v>0</v>
      </c>
      <c r="L477" s="6">
        <f>IF(VLOOKUP(E477,Sheet2!$W:$AA,2,0)=0,"",VLOOKUP(E477,Sheet2!$W:$AA,2,0))</f>
        <v>1</v>
      </c>
      <c r="N477" s="6" t="str">
        <f>IF(VLOOKUP(E477,Sheet2!$W:$AA,3,0)=0,"",VLOOKUP(E477,Sheet2!$W:$AA,3,0))</f>
        <v/>
      </c>
      <c r="Q477" s="6" t="str">
        <f>IF(VLOOKUP(E477,Sheet2!$W:$AA,4,0)=0,"",VLOOKUP(E477,Sheet2!$W:$AA,4,0))</f>
        <v>[{50011,6}]</v>
      </c>
      <c r="R477" s="8">
        <v>24</v>
      </c>
      <c r="S477" s="14">
        <v>2</v>
      </c>
    </row>
    <row r="478" spans="1:19">
      <c r="A478" s="6">
        <f t="shared" si="85"/>
        <v>9503</v>
      </c>
      <c r="B478" s="6">
        <f t="shared" si="84"/>
        <v>95</v>
      </c>
      <c r="C478" s="6">
        <f t="shared" si="82"/>
        <v>3</v>
      </c>
      <c r="D478" s="6" t="str">
        <f t="shared" si="88"/>
        <v>关卡95怪物3</v>
      </c>
      <c r="E478" s="6">
        <v>105</v>
      </c>
      <c r="G478" s="6" t="s">
        <v>900</v>
      </c>
      <c r="H478" s="6">
        <f t="shared" si="83"/>
        <v>0</v>
      </c>
      <c r="I478" s="6" t="str">
        <f>IF(VLOOKUP(E478,Sheet2!$W:$AA,5,0)=0,"",VLOOKUP(E478,Sheet2!$W:$AA,5,0))</f>
        <v>[60003]</v>
      </c>
      <c r="J478" s="6">
        <v>0</v>
      </c>
      <c r="K478" s="6">
        <v>0</v>
      </c>
      <c r="L478" s="6" t="str">
        <f>IF(VLOOKUP(E478,Sheet2!$W:$AA,2,0)=0,"",VLOOKUP(E478,Sheet2!$W:$AA,2,0))</f>
        <v/>
      </c>
      <c r="N478" s="6" t="str">
        <f>IF(VLOOKUP(E478,Sheet2!$W:$AA,3,0)=0,"",VLOOKUP(E478,Sheet2!$W:$AA,3,0))</f>
        <v/>
      </c>
      <c r="Q478" s="6" t="str">
        <f>IF(VLOOKUP(E478,Sheet2!$W:$AA,4,0)=0,"",VLOOKUP(E478,Sheet2!$W:$AA,4,0))</f>
        <v/>
      </c>
      <c r="R478" s="8">
        <v>24</v>
      </c>
      <c r="S478" s="14">
        <v>2</v>
      </c>
    </row>
    <row r="479" spans="1:19">
      <c r="A479" s="6">
        <f t="shared" si="85"/>
        <v>9521</v>
      </c>
      <c r="B479" s="6">
        <f t="shared" si="84"/>
        <v>95</v>
      </c>
      <c r="C479" s="6">
        <f t="shared" si="82"/>
        <v>4</v>
      </c>
      <c r="D479" s="6" t="str">
        <f t="shared" si="89"/>
        <v>关卡95BOSS1</v>
      </c>
      <c r="E479" s="6">
        <v>502</v>
      </c>
      <c r="G479" s="6" t="s">
        <v>901</v>
      </c>
      <c r="H479" s="6">
        <f t="shared" si="83"/>
        <v>2</v>
      </c>
      <c r="I479" s="6" t="str">
        <f>IF(VLOOKUP(E479,Sheet2!$W:$AA,5,0)=0,"",VLOOKUP(E479,Sheet2!$W:$AA,5,0))</f>
        <v/>
      </c>
      <c r="J479" s="6">
        <v>0</v>
      </c>
      <c r="K479" s="6">
        <v>0</v>
      </c>
      <c r="L479" s="6">
        <f>IF(VLOOKUP(E479,Sheet2!$W:$AA,2,0)=0,"",VLOOKUP(E479,Sheet2!$W:$AA,2,0))</f>
        <v>1</v>
      </c>
      <c r="N479" s="6" t="str">
        <f>IF(VLOOKUP(E479,Sheet2!$W:$AA,3,0)=0,"",VLOOKUP(E479,Sheet2!$W:$AA,3,0))</f>
        <v/>
      </c>
      <c r="Q479" s="6" t="str">
        <f>IF(VLOOKUP(E479,Sheet2!$W:$AA,4,0)=0,"",VLOOKUP(E479,Sheet2!$W:$AA,4,0))</f>
        <v>[{50021,6}]</v>
      </c>
      <c r="R479" s="8">
        <v>100</v>
      </c>
      <c r="S479" s="14">
        <v>2</v>
      </c>
    </row>
    <row r="480" spans="1:19">
      <c r="A480" s="6">
        <f t="shared" si="85"/>
        <v>9531</v>
      </c>
      <c r="B480" s="6">
        <f t="shared" si="84"/>
        <v>95</v>
      </c>
      <c r="C480" s="6">
        <f t="shared" si="82"/>
        <v>5</v>
      </c>
      <c r="D480" s="6" t="str">
        <f t="shared" si="90"/>
        <v>关卡95BOSS2</v>
      </c>
      <c r="E480" s="6">
        <v>500</v>
      </c>
      <c r="G480" s="6" t="s">
        <v>902</v>
      </c>
      <c r="H480" s="6">
        <f t="shared" si="83"/>
        <v>2</v>
      </c>
      <c r="I480" s="6" t="str">
        <f>IF(VLOOKUP(E480,Sheet2!$W:$AA,5,0)=0,"",VLOOKUP(E480,Sheet2!$W:$AA,5,0))</f>
        <v>[60002]</v>
      </c>
      <c r="J480" s="6">
        <v>0</v>
      </c>
      <c r="K480" s="6">
        <v>0</v>
      </c>
      <c r="L480" s="6" t="str">
        <f>IF(VLOOKUP(E480,Sheet2!$W:$AA,2,0)=0,"",VLOOKUP(E480,Sheet2!$W:$AA,2,0))</f>
        <v/>
      </c>
      <c r="N480" s="6">
        <f>IF(VLOOKUP(E480,Sheet2!$W:$AA,3,0)=0,"",VLOOKUP(E480,Sheet2!$W:$AA,3,0))</f>
        <v>2001</v>
      </c>
      <c r="Q480" s="6" t="str">
        <f>IF(VLOOKUP(E480,Sheet2!$W:$AA,4,0)=0,"",VLOOKUP(E480,Sheet2!$W:$AA,4,0))</f>
        <v/>
      </c>
      <c r="R480" s="8">
        <v>100</v>
      </c>
      <c r="S480" s="14">
        <v>2</v>
      </c>
    </row>
    <row r="481" spans="1:19">
      <c r="A481" s="6">
        <f t="shared" si="85"/>
        <v>9601</v>
      </c>
      <c r="B481" s="6">
        <f t="shared" si="84"/>
        <v>96</v>
      </c>
      <c r="C481" s="6">
        <f t="shared" si="82"/>
        <v>1</v>
      </c>
      <c r="D481" s="6" t="str">
        <f t="shared" si="86"/>
        <v>关卡96怪物1</v>
      </c>
      <c r="E481" s="6">
        <v>111</v>
      </c>
      <c r="G481" s="6" t="s">
        <v>903</v>
      </c>
      <c r="H481" s="6">
        <f t="shared" si="83"/>
        <v>0</v>
      </c>
      <c r="I481" s="6" t="str">
        <f>IF(VLOOKUP(E481,Sheet2!$W:$AA,5,0)=0,"",VLOOKUP(E481,Sheet2!$W:$AA,5,0))</f>
        <v/>
      </c>
      <c r="J481" s="6">
        <v>0</v>
      </c>
      <c r="K481" s="6">
        <v>0</v>
      </c>
      <c r="L481" s="6" t="str">
        <f>IF(VLOOKUP(E481,Sheet2!$W:$AA,2,0)=0,"",VLOOKUP(E481,Sheet2!$W:$AA,2,0))</f>
        <v/>
      </c>
      <c r="N481" s="6" t="str">
        <f>IF(VLOOKUP(E481,Sheet2!$W:$AA,3,0)=0,"",VLOOKUP(E481,Sheet2!$W:$AA,3,0))</f>
        <v/>
      </c>
      <c r="Q481" s="6" t="str">
        <f>IF(VLOOKUP(E481,Sheet2!$W:$AA,4,0)=0,"",VLOOKUP(E481,Sheet2!$W:$AA,4,0))</f>
        <v/>
      </c>
      <c r="R481" s="8">
        <v>24</v>
      </c>
      <c r="S481" s="14">
        <v>2</v>
      </c>
    </row>
    <row r="482" spans="1:19">
      <c r="A482" s="6">
        <f t="shared" si="85"/>
        <v>9602</v>
      </c>
      <c r="B482" s="6">
        <f t="shared" si="84"/>
        <v>96</v>
      </c>
      <c r="C482" s="6">
        <f t="shared" si="82"/>
        <v>2</v>
      </c>
      <c r="D482" s="6" t="str">
        <f t="shared" si="87"/>
        <v>关卡96怪物2</v>
      </c>
      <c r="E482" s="6">
        <v>112</v>
      </c>
      <c r="G482" s="6" t="s">
        <v>904</v>
      </c>
      <c r="H482" s="6">
        <f t="shared" si="83"/>
        <v>0</v>
      </c>
      <c r="I482" s="6" t="str">
        <f>IF(VLOOKUP(E482,Sheet2!$W:$AA,5,0)=0,"",VLOOKUP(E482,Sheet2!$W:$AA,5,0))</f>
        <v/>
      </c>
      <c r="J482" s="6">
        <v>0</v>
      </c>
      <c r="K482" s="6">
        <v>0</v>
      </c>
      <c r="L482" s="6">
        <f>IF(VLOOKUP(E482,Sheet2!$W:$AA,2,0)=0,"",VLOOKUP(E482,Sheet2!$W:$AA,2,0))</f>
        <v>1</v>
      </c>
      <c r="N482" s="6" t="str">
        <f>IF(VLOOKUP(E482,Sheet2!$W:$AA,3,0)=0,"",VLOOKUP(E482,Sheet2!$W:$AA,3,0))</f>
        <v/>
      </c>
      <c r="Q482" s="6" t="str">
        <f>IF(VLOOKUP(E482,Sheet2!$W:$AA,4,0)=0,"",VLOOKUP(E482,Sheet2!$W:$AA,4,0))</f>
        <v>[{50015,6}]</v>
      </c>
      <c r="R482" s="8">
        <v>24</v>
      </c>
      <c r="S482" s="14">
        <v>2</v>
      </c>
    </row>
    <row r="483" spans="1:19">
      <c r="A483" s="6">
        <f t="shared" si="85"/>
        <v>9603</v>
      </c>
      <c r="B483" s="6">
        <f t="shared" si="84"/>
        <v>96</v>
      </c>
      <c r="C483" s="6">
        <f t="shared" si="82"/>
        <v>3</v>
      </c>
      <c r="D483" s="6" t="str">
        <f t="shared" si="88"/>
        <v>关卡96怪物3</v>
      </c>
      <c r="E483" s="6">
        <v>113</v>
      </c>
      <c r="G483" s="6" t="s">
        <v>905</v>
      </c>
      <c r="H483" s="6">
        <f t="shared" si="83"/>
        <v>0</v>
      </c>
      <c r="I483" s="6" t="str">
        <f>IF(VLOOKUP(E483,Sheet2!$W:$AA,5,0)=0,"",VLOOKUP(E483,Sheet2!$W:$AA,5,0))</f>
        <v>[60005]</v>
      </c>
      <c r="J483" s="6">
        <v>0</v>
      </c>
      <c r="K483" s="6">
        <v>0</v>
      </c>
      <c r="L483" s="6">
        <f>IF(VLOOKUP(E483,Sheet2!$W:$AA,2,0)=0,"",VLOOKUP(E483,Sheet2!$W:$AA,2,0))</f>
        <v>1</v>
      </c>
      <c r="N483" s="6" t="str">
        <f>IF(VLOOKUP(E483,Sheet2!$W:$AA,3,0)=0,"",VLOOKUP(E483,Sheet2!$W:$AA,3,0))</f>
        <v/>
      </c>
      <c r="Q483" s="6" t="str">
        <f>IF(VLOOKUP(E483,Sheet2!$W:$AA,4,0)=0,"",VLOOKUP(E483,Sheet2!$W:$AA,4,0))</f>
        <v>[{50016,6}]</v>
      </c>
      <c r="R483" s="8">
        <v>24</v>
      </c>
      <c r="S483" s="14">
        <v>2</v>
      </c>
    </row>
    <row r="484" spans="1:19">
      <c r="A484" s="6">
        <f t="shared" si="85"/>
        <v>9621</v>
      </c>
      <c r="B484" s="6">
        <f t="shared" si="84"/>
        <v>96</v>
      </c>
      <c r="C484" s="6">
        <f t="shared" si="82"/>
        <v>4</v>
      </c>
      <c r="D484" s="6" t="str">
        <f t="shared" si="89"/>
        <v>关卡96BOSS1</v>
      </c>
      <c r="E484" s="6">
        <v>511</v>
      </c>
      <c r="G484" s="6" t="s">
        <v>906</v>
      </c>
      <c r="H484" s="6">
        <f t="shared" si="83"/>
        <v>2</v>
      </c>
      <c r="I484" s="6" t="str">
        <f>IF(VLOOKUP(E484,Sheet2!$W:$AA,5,0)=0,"",VLOOKUP(E484,Sheet2!$W:$AA,5,0))</f>
        <v/>
      </c>
      <c r="J484" s="6">
        <v>0</v>
      </c>
      <c r="K484" s="6">
        <v>0</v>
      </c>
      <c r="L484" s="6" t="str">
        <f>IF(VLOOKUP(E484,Sheet2!$W:$AA,2,0)=0,"",VLOOKUP(E484,Sheet2!$W:$AA,2,0))</f>
        <v/>
      </c>
      <c r="N484" s="6" t="str">
        <f>IF(VLOOKUP(E484,Sheet2!$W:$AA,3,0)=0,"",VLOOKUP(E484,Sheet2!$W:$AA,3,0))</f>
        <v/>
      </c>
      <c r="Q484" s="6" t="str">
        <f>IF(VLOOKUP(E484,Sheet2!$W:$AA,4,0)=0,"",VLOOKUP(E484,Sheet2!$W:$AA,4,0))</f>
        <v/>
      </c>
      <c r="R484" s="8">
        <v>100</v>
      </c>
      <c r="S484" s="14">
        <v>2</v>
      </c>
    </row>
    <row r="485" spans="1:19">
      <c r="A485" s="6">
        <f t="shared" si="85"/>
        <v>9631</v>
      </c>
      <c r="B485" s="6">
        <f t="shared" si="84"/>
        <v>96</v>
      </c>
      <c r="C485" s="6">
        <f t="shared" si="82"/>
        <v>5</v>
      </c>
      <c r="D485" s="6" t="str">
        <f t="shared" si="90"/>
        <v>关卡96BOSS2</v>
      </c>
      <c r="E485" s="6">
        <v>511</v>
      </c>
      <c r="G485" s="6" t="s">
        <v>907</v>
      </c>
      <c r="H485" s="6">
        <f t="shared" si="83"/>
        <v>2</v>
      </c>
      <c r="I485" s="6" t="str">
        <f>IF(VLOOKUP(E485,Sheet2!$W:$AA,5,0)=0,"",VLOOKUP(E485,Sheet2!$W:$AA,5,0))</f>
        <v/>
      </c>
      <c r="J485" s="6">
        <v>0</v>
      </c>
      <c r="K485" s="6">
        <v>0</v>
      </c>
      <c r="L485" s="6" t="str">
        <f>IF(VLOOKUP(E485,Sheet2!$W:$AA,2,0)=0,"",VLOOKUP(E485,Sheet2!$W:$AA,2,0))</f>
        <v/>
      </c>
      <c r="N485" s="6" t="str">
        <f>IF(VLOOKUP(E485,Sheet2!$W:$AA,3,0)=0,"",VLOOKUP(E485,Sheet2!$W:$AA,3,0))</f>
        <v/>
      </c>
      <c r="Q485" s="6" t="str">
        <f>IF(VLOOKUP(E485,Sheet2!$W:$AA,4,0)=0,"",VLOOKUP(E485,Sheet2!$W:$AA,4,0))</f>
        <v/>
      </c>
      <c r="R485" s="8">
        <v>100</v>
      </c>
      <c r="S485" s="14">
        <v>2</v>
      </c>
    </row>
    <row r="486" spans="1:19">
      <c r="A486" s="6">
        <f t="shared" si="85"/>
        <v>9701</v>
      </c>
      <c r="B486" s="6">
        <f t="shared" si="84"/>
        <v>97</v>
      </c>
      <c r="C486" s="6">
        <f t="shared" si="82"/>
        <v>1</v>
      </c>
      <c r="D486" s="6" t="str">
        <f t="shared" si="86"/>
        <v>关卡97怪物1</v>
      </c>
      <c r="E486" s="6">
        <v>111</v>
      </c>
      <c r="G486" s="6" t="s">
        <v>908</v>
      </c>
      <c r="H486" s="6">
        <f t="shared" si="83"/>
        <v>0</v>
      </c>
      <c r="I486" s="6" t="str">
        <f>IF(VLOOKUP(E486,Sheet2!$W:$AA,5,0)=0,"",VLOOKUP(E486,Sheet2!$W:$AA,5,0))</f>
        <v/>
      </c>
      <c r="J486" s="6">
        <v>0</v>
      </c>
      <c r="K486" s="6">
        <v>0</v>
      </c>
      <c r="L486" s="6" t="str">
        <f>IF(VLOOKUP(E486,Sheet2!$W:$AA,2,0)=0,"",VLOOKUP(E486,Sheet2!$W:$AA,2,0))</f>
        <v/>
      </c>
      <c r="N486" s="6" t="str">
        <f>IF(VLOOKUP(E486,Sheet2!$W:$AA,3,0)=0,"",VLOOKUP(E486,Sheet2!$W:$AA,3,0))</f>
        <v/>
      </c>
      <c r="Q486" s="6" t="str">
        <f>IF(VLOOKUP(E486,Sheet2!$W:$AA,4,0)=0,"",VLOOKUP(E486,Sheet2!$W:$AA,4,0))</f>
        <v/>
      </c>
      <c r="R486" s="8">
        <v>24</v>
      </c>
      <c r="S486" s="14">
        <v>2</v>
      </c>
    </row>
    <row r="487" spans="1:19">
      <c r="A487" s="6">
        <f t="shared" si="85"/>
        <v>9702</v>
      </c>
      <c r="B487" s="6">
        <f t="shared" si="84"/>
        <v>97</v>
      </c>
      <c r="C487" s="6">
        <f t="shared" si="82"/>
        <v>2</v>
      </c>
      <c r="D487" s="6" t="str">
        <f t="shared" si="87"/>
        <v>关卡97怪物2</v>
      </c>
      <c r="E487" s="6">
        <v>119</v>
      </c>
      <c r="G487" s="6" t="s">
        <v>909</v>
      </c>
      <c r="H487" s="6">
        <f t="shared" si="83"/>
        <v>0</v>
      </c>
      <c r="I487" s="6" t="str">
        <f>IF(VLOOKUP(E487,Sheet2!$W:$AA,5,0)=0,"",VLOOKUP(E487,Sheet2!$W:$AA,5,0))</f>
        <v/>
      </c>
      <c r="J487" s="6">
        <v>0</v>
      </c>
      <c r="K487" s="6">
        <v>0</v>
      </c>
      <c r="L487" s="6">
        <f>IF(VLOOKUP(E487,Sheet2!$W:$AA,2,0)=0,"",VLOOKUP(E487,Sheet2!$W:$AA,2,0))</f>
        <v>1</v>
      </c>
      <c r="N487" s="6" t="str">
        <f>IF(VLOOKUP(E487,Sheet2!$W:$AA,3,0)=0,"",VLOOKUP(E487,Sheet2!$W:$AA,3,0))</f>
        <v/>
      </c>
      <c r="Q487" s="6" t="str">
        <f>IF(VLOOKUP(E487,Sheet2!$W:$AA,4,0)=0,"",VLOOKUP(E487,Sheet2!$W:$AA,4,0))</f>
        <v>[{50018,6}]</v>
      </c>
      <c r="R487" s="8">
        <v>24</v>
      </c>
      <c r="S487" s="14">
        <v>2</v>
      </c>
    </row>
    <row r="488" spans="1:19">
      <c r="A488" s="6">
        <f t="shared" si="85"/>
        <v>9703</v>
      </c>
      <c r="B488" s="6">
        <f t="shared" si="84"/>
        <v>97</v>
      </c>
      <c r="C488" s="6">
        <f t="shared" si="82"/>
        <v>3</v>
      </c>
      <c r="D488" s="6" t="str">
        <f t="shared" si="88"/>
        <v>关卡97怪物3</v>
      </c>
      <c r="E488" s="6">
        <v>115</v>
      </c>
      <c r="G488" s="6" t="s">
        <v>910</v>
      </c>
      <c r="H488" s="6">
        <f t="shared" si="83"/>
        <v>0</v>
      </c>
      <c r="I488" s="6" t="str">
        <f>IF(VLOOKUP(E488,Sheet2!$W:$AA,5,0)=0,"",VLOOKUP(E488,Sheet2!$W:$AA,5,0))</f>
        <v/>
      </c>
      <c r="J488" s="6">
        <v>0</v>
      </c>
      <c r="K488" s="6">
        <v>0</v>
      </c>
      <c r="L488" s="6" t="str">
        <f>IF(VLOOKUP(E488,Sheet2!$W:$AA,2,0)=0,"",VLOOKUP(E488,Sheet2!$W:$AA,2,0))</f>
        <v/>
      </c>
      <c r="N488" s="6" t="str">
        <f>IF(VLOOKUP(E488,Sheet2!$W:$AA,3,0)=0,"",VLOOKUP(E488,Sheet2!$W:$AA,3,0))</f>
        <v/>
      </c>
      <c r="Q488" s="6" t="str">
        <f>IF(VLOOKUP(E488,Sheet2!$W:$AA,4,0)=0,"",VLOOKUP(E488,Sheet2!$W:$AA,4,0))</f>
        <v/>
      </c>
      <c r="R488" s="8">
        <v>24</v>
      </c>
      <c r="S488" s="14">
        <v>2</v>
      </c>
    </row>
    <row r="489" spans="1:19">
      <c r="A489" s="6">
        <f t="shared" si="85"/>
        <v>9721</v>
      </c>
      <c r="B489" s="6">
        <f t="shared" si="84"/>
        <v>97</v>
      </c>
      <c r="C489" s="6">
        <f t="shared" si="82"/>
        <v>4</v>
      </c>
      <c r="D489" s="6" t="str">
        <f t="shared" si="89"/>
        <v>关卡97BOSS1</v>
      </c>
      <c r="E489" s="6">
        <v>519</v>
      </c>
      <c r="G489" s="6" t="s">
        <v>911</v>
      </c>
      <c r="H489" s="6">
        <f t="shared" si="83"/>
        <v>2</v>
      </c>
      <c r="I489" s="6" t="str">
        <f>IF(VLOOKUP(E489,Sheet2!$W:$AA,5,0)=0,"",VLOOKUP(E489,Sheet2!$W:$AA,5,0))</f>
        <v/>
      </c>
      <c r="J489" s="6">
        <v>0</v>
      </c>
      <c r="K489" s="6">
        <v>0</v>
      </c>
      <c r="L489" s="6">
        <f>IF(VLOOKUP(E489,Sheet2!$W:$AA,2,0)=0,"",VLOOKUP(E489,Sheet2!$W:$AA,2,0))</f>
        <v>1</v>
      </c>
      <c r="N489" s="6" t="str">
        <f>IF(VLOOKUP(E489,Sheet2!$W:$AA,3,0)=0,"",VLOOKUP(E489,Sheet2!$W:$AA,3,0))</f>
        <v/>
      </c>
      <c r="Q489" s="6" t="str">
        <f>IF(VLOOKUP(E489,Sheet2!$W:$AA,4,0)=0,"",VLOOKUP(E489,Sheet2!$W:$AA,4,0))</f>
        <v>[{50028,6}]</v>
      </c>
      <c r="R489" s="8">
        <v>100</v>
      </c>
      <c r="S489" s="14">
        <v>2</v>
      </c>
    </row>
    <row r="490" spans="1:19">
      <c r="A490" s="6">
        <f t="shared" si="85"/>
        <v>9731</v>
      </c>
      <c r="B490" s="6">
        <f t="shared" si="84"/>
        <v>97</v>
      </c>
      <c r="C490" s="6">
        <f t="shared" si="82"/>
        <v>5</v>
      </c>
      <c r="D490" s="6" t="str">
        <f t="shared" si="90"/>
        <v>关卡97BOSS2</v>
      </c>
      <c r="E490" s="6">
        <v>519</v>
      </c>
      <c r="G490" s="6" t="s">
        <v>912</v>
      </c>
      <c r="H490" s="6">
        <f t="shared" si="83"/>
        <v>2</v>
      </c>
      <c r="I490" s="6" t="str">
        <f>IF(VLOOKUP(E490,Sheet2!$W:$AA,5,0)=0,"",VLOOKUP(E490,Sheet2!$W:$AA,5,0))</f>
        <v/>
      </c>
      <c r="J490" s="6">
        <v>0</v>
      </c>
      <c r="K490" s="6">
        <v>0</v>
      </c>
      <c r="L490" s="6">
        <f>IF(VLOOKUP(E490,Sheet2!$W:$AA,2,0)=0,"",VLOOKUP(E490,Sheet2!$W:$AA,2,0))</f>
        <v>1</v>
      </c>
      <c r="N490" s="6" t="str">
        <f>IF(VLOOKUP(E490,Sheet2!$W:$AA,3,0)=0,"",VLOOKUP(E490,Sheet2!$W:$AA,3,0))</f>
        <v/>
      </c>
      <c r="Q490" s="6" t="str">
        <f>IF(VLOOKUP(E490,Sheet2!$W:$AA,4,0)=0,"",VLOOKUP(E490,Sheet2!$W:$AA,4,0))</f>
        <v>[{50028,6}]</v>
      </c>
      <c r="R490" s="8">
        <v>100</v>
      </c>
      <c r="S490" s="14">
        <v>2</v>
      </c>
    </row>
    <row r="491" spans="1:19">
      <c r="A491" s="6">
        <f t="shared" si="85"/>
        <v>9801</v>
      </c>
      <c r="B491" s="6">
        <f t="shared" si="84"/>
        <v>98</v>
      </c>
      <c r="C491" s="6">
        <f t="shared" si="82"/>
        <v>1</v>
      </c>
      <c r="D491" s="6" t="str">
        <f t="shared" si="86"/>
        <v>关卡98怪物1</v>
      </c>
      <c r="E491" s="6">
        <v>111</v>
      </c>
      <c r="G491" s="6" t="s">
        <v>913</v>
      </c>
      <c r="H491" s="6">
        <f t="shared" si="83"/>
        <v>0</v>
      </c>
      <c r="I491" s="6" t="str">
        <f>IF(VLOOKUP(E491,Sheet2!$W:$AA,5,0)=0,"",VLOOKUP(E491,Sheet2!$W:$AA,5,0))</f>
        <v/>
      </c>
      <c r="J491" s="6">
        <v>0</v>
      </c>
      <c r="K491" s="6">
        <v>0</v>
      </c>
      <c r="L491" s="6" t="str">
        <f>IF(VLOOKUP(E491,Sheet2!$W:$AA,2,0)=0,"",VLOOKUP(E491,Sheet2!$W:$AA,2,0))</f>
        <v/>
      </c>
      <c r="N491" s="6" t="str">
        <f>IF(VLOOKUP(E491,Sheet2!$W:$AA,3,0)=0,"",VLOOKUP(E491,Sheet2!$W:$AA,3,0))</f>
        <v/>
      </c>
      <c r="Q491" s="6" t="str">
        <f>IF(VLOOKUP(E491,Sheet2!$W:$AA,4,0)=0,"",VLOOKUP(E491,Sheet2!$W:$AA,4,0))</f>
        <v/>
      </c>
      <c r="R491" s="8">
        <v>24</v>
      </c>
      <c r="S491" s="14">
        <v>2</v>
      </c>
    </row>
    <row r="492" spans="1:19">
      <c r="A492" s="6">
        <f t="shared" si="85"/>
        <v>9802</v>
      </c>
      <c r="B492" s="6">
        <f t="shared" si="84"/>
        <v>98</v>
      </c>
      <c r="C492" s="6">
        <f t="shared" si="82"/>
        <v>2</v>
      </c>
      <c r="D492" s="6" t="str">
        <f t="shared" si="87"/>
        <v>关卡98怪物2</v>
      </c>
      <c r="E492" s="6">
        <v>115</v>
      </c>
      <c r="G492" s="6" t="s">
        <v>914</v>
      </c>
      <c r="H492" s="6">
        <f t="shared" si="83"/>
        <v>0</v>
      </c>
      <c r="I492" s="6" t="str">
        <f>IF(VLOOKUP(E492,Sheet2!$W:$AA,5,0)=0,"",VLOOKUP(E492,Sheet2!$W:$AA,5,0))</f>
        <v/>
      </c>
      <c r="J492" s="6">
        <v>0</v>
      </c>
      <c r="K492" s="6">
        <v>0</v>
      </c>
      <c r="L492" s="6" t="str">
        <f>IF(VLOOKUP(E492,Sheet2!$W:$AA,2,0)=0,"",VLOOKUP(E492,Sheet2!$W:$AA,2,0))</f>
        <v/>
      </c>
      <c r="N492" s="6" t="str">
        <f>IF(VLOOKUP(E492,Sheet2!$W:$AA,3,0)=0,"",VLOOKUP(E492,Sheet2!$W:$AA,3,0))</f>
        <v/>
      </c>
      <c r="Q492" s="6" t="str">
        <f>IF(VLOOKUP(E492,Sheet2!$W:$AA,4,0)=0,"",VLOOKUP(E492,Sheet2!$W:$AA,4,0))</f>
        <v/>
      </c>
      <c r="R492" s="8">
        <v>24</v>
      </c>
      <c r="S492" s="14">
        <v>2</v>
      </c>
    </row>
    <row r="493" spans="1:19">
      <c r="A493" s="6">
        <f t="shared" si="85"/>
        <v>9803</v>
      </c>
      <c r="B493" s="6">
        <f t="shared" si="84"/>
        <v>98</v>
      </c>
      <c r="C493" s="6">
        <f t="shared" si="82"/>
        <v>3</v>
      </c>
      <c r="D493" s="6" t="str">
        <f t="shared" si="88"/>
        <v>关卡98怪物3</v>
      </c>
      <c r="E493" s="6">
        <v>113</v>
      </c>
      <c r="G493" s="6" t="s">
        <v>915</v>
      </c>
      <c r="H493" s="6">
        <f t="shared" si="83"/>
        <v>0</v>
      </c>
      <c r="I493" s="6" t="str">
        <f>IF(VLOOKUP(E493,Sheet2!$W:$AA,5,0)=0,"",VLOOKUP(E493,Sheet2!$W:$AA,5,0))</f>
        <v>[60005]</v>
      </c>
      <c r="J493" s="6">
        <v>0</v>
      </c>
      <c r="K493" s="6">
        <v>0</v>
      </c>
      <c r="L493" s="6">
        <f>IF(VLOOKUP(E493,Sheet2!$W:$AA,2,0)=0,"",VLOOKUP(E493,Sheet2!$W:$AA,2,0))</f>
        <v>1</v>
      </c>
      <c r="N493" s="6" t="str">
        <f>IF(VLOOKUP(E493,Sheet2!$W:$AA,3,0)=0,"",VLOOKUP(E493,Sheet2!$W:$AA,3,0))</f>
        <v/>
      </c>
      <c r="Q493" s="6" t="str">
        <f>IF(VLOOKUP(E493,Sheet2!$W:$AA,4,0)=0,"",VLOOKUP(E493,Sheet2!$W:$AA,4,0))</f>
        <v>[{50016,6}]</v>
      </c>
      <c r="R493" s="8">
        <v>24</v>
      </c>
      <c r="S493" s="14">
        <v>2</v>
      </c>
    </row>
    <row r="494" spans="1:19">
      <c r="A494" s="6">
        <f t="shared" si="85"/>
        <v>9821</v>
      </c>
      <c r="B494" s="6">
        <f t="shared" si="84"/>
        <v>98</v>
      </c>
      <c r="C494" s="6">
        <f t="shared" si="82"/>
        <v>4</v>
      </c>
      <c r="D494" s="6" t="str">
        <f t="shared" si="89"/>
        <v>关卡98BOSS1</v>
      </c>
      <c r="E494" s="6">
        <v>515</v>
      </c>
      <c r="G494" s="6" t="s">
        <v>916</v>
      </c>
      <c r="H494" s="6">
        <f t="shared" si="83"/>
        <v>2</v>
      </c>
      <c r="I494" s="6" t="str">
        <f>IF(VLOOKUP(E494,Sheet2!$W:$AA,5,0)=0,"",VLOOKUP(E494,Sheet2!$W:$AA,5,0))</f>
        <v/>
      </c>
      <c r="J494" s="6">
        <v>0</v>
      </c>
      <c r="K494" s="6">
        <v>0</v>
      </c>
      <c r="L494" s="6" t="str">
        <f>IF(VLOOKUP(E494,Sheet2!$W:$AA,2,0)=0,"",VLOOKUP(E494,Sheet2!$W:$AA,2,0))</f>
        <v/>
      </c>
      <c r="N494" s="6" t="str">
        <f>IF(VLOOKUP(E494,Sheet2!$W:$AA,3,0)=0,"",VLOOKUP(E494,Sheet2!$W:$AA,3,0))</f>
        <v/>
      </c>
      <c r="Q494" s="6" t="str">
        <f>IF(VLOOKUP(E494,Sheet2!$W:$AA,4,0)=0,"",VLOOKUP(E494,Sheet2!$W:$AA,4,0))</f>
        <v/>
      </c>
      <c r="R494" s="8">
        <v>100</v>
      </c>
      <c r="S494" s="14">
        <v>2</v>
      </c>
    </row>
    <row r="495" spans="1:19">
      <c r="A495" s="6">
        <f t="shared" si="85"/>
        <v>9831</v>
      </c>
      <c r="B495" s="6">
        <f t="shared" si="84"/>
        <v>98</v>
      </c>
      <c r="C495" s="6">
        <f t="shared" si="82"/>
        <v>5</v>
      </c>
      <c r="D495" s="6" t="str">
        <f t="shared" si="90"/>
        <v>关卡98BOSS2</v>
      </c>
      <c r="E495" s="6">
        <v>515</v>
      </c>
      <c r="G495" s="6" t="s">
        <v>917</v>
      </c>
      <c r="H495" s="6">
        <f t="shared" si="83"/>
        <v>2</v>
      </c>
      <c r="I495" s="6" t="str">
        <f>IF(VLOOKUP(E495,Sheet2!$W:$AA,5,0)=0,"",VLOOKUP(E495,Sheet2!$W:$AA,5,0))</f>
        <v/>
      </c>
      <c r="J495" s="6">
        <v>0</v>
      </c>
      <c r="K495" s="6">
        <v>0</v>
      </c>
      <c r="L495" s="6" t="str">
        <f>IF(VLOOKUP(E495,Sheet2!$W:$AA,2,0)=0,"",VLOOKUP(E495,Sheet2!$W:$AA,2,0))</f>
        <v/>
      </c>
      <c r="N495" s="6" t="str">
        <f>IF(VLOOKUP(E495,Sheet2!$W:$AA,3,0)=0,"",VLOOKUP(E495,Sheet2!$W:$AA,3,0))</f>
        <v/>
      </c>
      <c r="Q495" s="6" t="str">
        <f>IF(VLOOKUP(E495,Sheet2!$W:$AA,4,0)=0,"",VLOOKUP(E495,Sheet2!$W:$AA,4,0))</f>
        <v/>
      </c>
      <c r="R495" s="8">
        <v>100</v>
      </c>
      <c r="S495" s="14">
        <v>2</v>
      </c>
    </row>
    <row r="496" spans="1:19">
      <c r="A496" s="6">
        <f t="shared" si="85"/>
        <v>9901</v>
      </c>
      <c r="B496" s="6">
        <f t="shared" si="84"/>
        <v>99</v>
      </c>
      <c r="C496" s="6">
        <f t="shared" si="82"/>
        <v>1</v>
      </c>
      <c r="D496" s="6" t="str">
        <f t="shared" si="86"/>
        <v>关卡99怪物1</v>
      </c>
      <c r="E496" s="6">
        <v>115</v>
      </c>
      <c r="G496" s="6" t="s">
        <v>918</v>
      </c>
      <c r="H496" s="6">
        <f t="shared" si="83"/>
        <v>0</v>
      </c>
      <c r="I496" s="6" t="str">
        <f>IF(VLOOKUP(E496,Sheet2!$W:$AA,5,0)=0,"",VLOOKUP(E496,Sheet2!$W:$AA,5,0))</f>
        <v/>
      </c>
      <c r="J496" s="6">
        <v>0</v>
      </c>
      <c r="K496" s="6">
        <v>0</v>
      </c>
      <c r="L496" s="6" t="str">
        <f>IF(VLOOKUP(E496,Sheet2!$W:$AA,2,0)=0,"",VLOOKUP(E496,Sheet2!$W:$AA,2,0))</f>
        <v/>
      </c>
      <c r="N496" s="6" t="str">
        <f>IF(VLOOKUP(E496,Sheet2!$W:$AA,3,0)=0,"",VLOOKUP(E496,Sheet2!$W:$AA,3,0))</f>
        <v/>
      </c>
      <c r="Q496" s="6" t="str">
        <f>IF(VLOOKUP(E496,Sheet2!$W:$AA,4,0)=0,"",VLOOKUP(E496,Sheet2!$W:$AA,4,0))</f>
        <v/>
      </c>
      <c r="R496" s="8">
        <v>24</v>
      </c>
      <c r="S496" s="14">
        <v>2</v>
      </c>
    </row>
    <row r="497" spans="1:19">
      <c r="A497" s="6">
        <f t="shared" si="85"/>
        <v>9902</v>
      </c>
      <c r="B497" s="6">
        <f t="shared" si="84"/>
        <v>99</v>
      </c>
      <c r="C497" s="6">
        <f t="shared" si="82"/>
        <v>2</v>
      </c>
      <c r="D497" s="6" t="str">
        <f t="shared" si="87"/>
        <v>关卡99怪物2</v>
      </c>
      <c r="E497" s="6">
        <v>119</v>
      </c>
      <c r="G497" s="6" t="s">
        <v>919</v>
      </c>
      <c r="H497" s="6">
        <f t="shared" si="83"/>
        <v>0</v>
      </c>
      <c r="I497" s="6" t="str">
        <f>IF(VLOOKUP(E497,Sheet2!$W:$AA,5,0)=0,"",VLOOKUP(E497,Sheet2!$W:$AA,5,0))</f>
        <v/>
      </c>
      <c r="J497" s="6">
        <v>0</v>
      </c>
      <c r="K497" s="6">
        <v>0</v>
      </c>
      <c r="L497" s="6">
        <f>IF(VLOOKUP(E497,Sheet2!$W:$AA,2,0)=0,"",VLOOKUP(E497,Sheet2!$W:$AA,2,0))</f>
        <v>1</v>
      </c>
      <c r="N497" s="6" t="str">
        <f>IF(VLOOKUP(E497,Sheet2!$W:$AA,3,0)=0,"",VLOOKUP(E497,Sheet2!$W:$AA,3,0))</f>
        <v/>
      </c>
      <c r="Q497" s="6" t="str">
        <f>IF(VLOOKUP(E497,Sheet2!$W:$AA,4,0)=0,"",VLOOKUP(E497,Sheet2!$W:$AA,4,0))</f>
        <v>[{50018,6}]</v>
      </c>
      <c r="R497" s="8">
        <v>24</v>
      </c>
      <c r="S497" s="14">
        <v>2</v>
      </c>
    </row>
    <row r="498" spans="1:19">
      <c r="A498" s="6">
        <f t="shared" si="85"/>
        <v>9903</v>
      </c>
      <c r="B498" s="6">
        <f t="shared" si="84"/>
        <v>99</v>
      </c>
      <c r="C498" s="6">
        <f t="shared" si="82"/>
        <v>3</v>
      </c>
      <c r="D498" s="6" t="str">
        <f t="shared" si="88"/>
        <v>关卡99怪物3</v>
      </c>
      <c r="E498" s="6">
        <v>113</v>
      </c>
      <c r="G498" s="6" t="s">
        <v>920</v>
      </c>
      <c r="H498" s="6">
        <f t="shared" si="83"/>
        <v>0</v>
      </c>
      <c r="I498" s="6" t="str">
        <f>IF(VLOOKUP(E498,Sheet2!$W:$AA,5,0)=0,"",VLOOKUP(E498,Sheet2!$W:$AA,5,0))</f>
        <v>[60005]</v>
      </c>
      <c r="J498" s="6">
        <v>0</v>
      </c>
      <c r="K498" s="6">
        <v>0</v>
      </c>
      <c r="L498" s="6">
        <f>IF(VLOOKUP(E498,Sheet2!$W:$AA,2,0)=0,"",VLOOKUP(E498,Sheet2!$W:$AA,2,0))</f>
        <v>1</v>
      </c>
      <c r="N498" s="6" t="str">
        <f>IF(VLOOKUP(E498,Sheet2!$W:$AA,3,0)=0,"",VLOOKUP(E498,Sheet2!$W:$AA,3,0))</f>
        <v/>
      </c>
      <c r="Q498" s="6" t="str">
        <f>IF(VLOOKUP(E498,Sheet2!$W:$AA,4,0)=0,"",VLOOKUP(E498,Sheet2!$W:$AA,4,0))</f>
        <v>[{50016,6}]</v>
      </c>
      <c r="R498" s="8">
        <v>24</v>
      </c>
      <c r="S498" s="14">
        <v>2</v>
      </c>
    </row>
    <row r="499" spans="1:19">
      <c r="A499" s="6">
        <f t="shared" si="85"/>
        <v>9921</v>
      </c>
      <c r="B499" s="6">
        <f t="shared" si="84"/>
        <v>99</v>
      </c>
      <c r="C499" s="6">
        <f t="shared" si="82"/>
        <v>4</v>
      </c>
      <c r="D499" s="6" t="str">
        <f t="shared" si="89"/>
        <v>关卡99BOSS1</v>
      </c>
      <c r="E499" s="6">
        <v>519</v>
      </c>
      <c r="G499" s="6" t="s">
        <v>921</v>
      </c>
      <c r="H499" s="6">
        <f t="shared" si="83"/>
        <v>2</v>
      </c>
      <c r="I499" s="6" t="str">
        <f>IF(VLOOKUP(E499,Sheet2!$W:$AA,5,0)=0,"",VLOOKUP(E499,Sheet2!$W:$AA,5,0))</f>
        <v/>
      </c>
      <c r="J499" s="6">
        <v>0</v>
      </c>
      <c r="K499" s="6">
        <v>0</v>
      </c>
      <c r="L499" s="6">
        <f>IF(VLOOKUP(E499,Sheet2!$W:$AA,2,0)=0,"",VLOOKUP(E499,Sheet2!$W:$AA,2,0))</f>
        <v>1</v>
      </c>
      <c r="N499" s="6" t="str">
        <f>IF(VLOOKUP(E499,Sheet2!$W:$AA,3,0)=0,"",VLOOKUP(E499,Sheet2!$W:$AA,3,0))</f>
        <v/>
      </c>
      <c r="Q499" s="6" t="str">
        <f>IF(VLOOKUP(E499,Sheet2!$W:$AA,4,0)=0,"",VLOOKUP(E499,Sheet2!$W:$AA,4,0))</f>
        <v>[{50028,6}]</v>
      </c>
      <c r="R499" s="8">
        <v>100</v>
      </c>
      <c r="S499" s="14">
        <v>2</v>
      </c>
    </row>
    <row r="500" spans="1:19">
      <c r="A500" s="6">
        <f t="shared" si="85"/>
        <v>9931</v>
      </c>
      <c r="B500" s="6">
        <f t="shared" si="84"/>
        <v>99</v>
      </c>
      <c r="C500" s="6">
        <f t="shared" si="82"/>
        <v>5</v>
      </c>
      <c r="D500" s="6" t="str">
        <f t="shared" si="90"/>
        <v>关卡99BOSS2</v>
      </c>
      <c r="E500" s="6">
        <v>519</v>
      </c>
      <c r="G500" s="6" t="s">
        <v>922</v>
      </c>
      <c r="H500" s="6">
        <f t="shared" si="83"/>
        <v>2</v>
      </c>
      <c r="I500" s="6" t="str">
        <f>IF(VLOOKUP(E500,Sheet2!$W:$AA,5,0)=0,"",VLOOKUP(E500,Sheet2!$W:$AA,5,0))</f>
        <v/>
      </c>
      <c r="J500" s="6">
        <v>0</v>
      </c>
      <c r="K500" s="6">
        <v>0</v>
      </c>
      <c r="L500" s="6">
        <f>IF(VLOOKUP(E500,Sheet2!$W:$AA,2,0)=0,"",VLOOKUP(E500,Sheet2!$W:$AA,2,0))</f>
        <v>1</v>
      </c>
      <c r="N500" s="6" t="str">
        <f>IF(VLOOKUP(E500,Sheet2!$W:$AA,3,0)=0,"",VLOOKUP(E500,Sheet2!$W:$AA,3,0))</f>
        <v/>
      </c>
      <c r="Q500" s="6" t="str">
        <f>IF(VLOOKUP(E500,Sheet2!$W:$AA,4,0)=0,"",VLOOKUP(E500,Sheet2!$W:$AA,4,0))</f>
        <v>[{50028,6}]</v>
      </c>
      <c r="R500" s="8">
        <v>100</v>
      </c>
      <c r="S500" s="14">
        <v>2</v>
      </c>
    </row>
    <row r="501" spans="1:19">
      <c r="A501" s="6">
        <f t="shared" si="85"/>
        <v>10001</v>
      </c>
      <c r="B501" s="6">
        <f t="shared" si="84"/>
        <v>100</v>
      </c>
      <c r="C501" s="6">
        <f t="shared" ref="C501:C564" si="91">C496</f>
        <v>1</v>
      </c>
      <c r="D501" s="6" t="str">
        <f t="shared" si="86"/>
        <v>关卡100怪物1</v>
      </c>
      <c r="E501" s="6">
        <v>100</v>
      </c>
      <c r="G501" s="6" t="s">
        <v>923</v>
      </c>
      <c r="H501" s="6">
        <f t="shared" si="83"/>
        <v>0</v>
      </c>
      <c r="I501" s="6" t="str">
        <f>IF(VLOOKUP(E501,Sheet2!$W:$AA,5,0)=0,"",VLOOKUP(E501,Sheet2!$W:$AA,5,0))</f>
        <v>[60002]</v>
      </c>
      <c r="J501" s="6">
        <v>0</v>
      </c>
      <c r="K501" s="6">
        <v>0</v>
      </c>
      <c r="L501" s="6" t="str">
        <f>IF(VLOOKUP(E501,Sheet2!$W:$AA,2,0)=0,"",VLOOKUP(E501,Sheet2!$W:$AA,2,0))</f>
        <v/>
      </c>
      <c r="N501" s="6">
        <f>IF(VLOOKUP(E501,Sheet2!$W:$AA,3,0)=0,"",VLOOKUP(E501,Sheet2!$W:$AA,3,0))</f>
        <v>2001</v>
      </c>
      <c r="Q501" s="6" t="str">
        <f>IF(VLOOKUP(E501,Sheet2!$W:$AA,4,0)=0,"",VLOOKUP(E501,Sheet2!$W:$AA,4,0))</f>
        <v/>
      </c>
      <c r="R501" s="8">
        <v>24</v>
      </c>
      <c r="S501" s="14">
        <v>2</v>
      </c>
    </row>
    <row r="502" spans="1:19">
      <c r="A502" s="6">
        <f t="shared" si="85"/>
        <v>10002</v>
      </c>
      <c r="B502" s="6">
        <f t="shared" si="84"/>
        <v>100</v>
      </c>
      <c r="C502" s="6">
        <f t="shared" si="91"/>
        <v>2</v>
      </c>
      <c r="D502" s="6" t="str">
        <f t="shared" si="87"/>
        <v>关卡100怪物2</v>
      </c>
      <c r="E502" s="6">
        <v>102</v>
      </c>
      <c r="G502" s="6" t="s">
        <v>924</v>
      </c>
      <c r="H502" s="6">
        <f t="shared" si="83"/>
        <v>0</v>
      </c>
      <c r="I502" s="6" t="str">
        <f>IF(VLOOKUP(E502,Sheet2!$W:$AA,5,0)=0,"",VLOOKUP(E502,Sheet2!$W:$AA,5,0))</f>
        <v/>
      </c>
      <c r="J502" s="6">
        <v>0</v>
      </c>
      <c r="K502" s="6">
        <v>0</v>
      </c>
      <c r="L502" s="6">
        <f>IF(VLOOKUP(E502,Sheet2!$W:$AA,2,0)=0,"",VLOOKUP(E502,Sheet2!$W:$AA,2,0))</f>
        <v>1</v>
      </c>
      <c r="N502" s="6" t="str">
        <f>IF(VLOOKUP(E502,Sheet2!$W:$AA,3,0)=0,"",VLOOKUP(E502,Sheet2!$W:$AA,3,0))</f>
        <v/>
      </c>
      <c r="Q502" s="6" t="str">
        <f>IF(VLOOKUP(E502,Sheet2!$W:$AA,4,0)=0,"",VLOOKUP(E502,Sheet2!$W:$AA,4,0))</f>
        <v>[{50011,6}]</v>
      </c>
      <c r="R502" s="8">
        <v>24</v>
      </c>
      <c r="S502" s="14">
        <v>2</v>
      </c>
    </row>
    <row r="503" spans="1:19">
      <c r="A503" s="6">
        <f t="shared" si="85"/>
        <v>10003</v>
      </c>
      <c r="B503" s="6">
        <f t="shared" si="84"/>
        <v>100</v>
      </c>
      <c r="C503" s="6">
        <f t="shared" si="91"/>
        <v>3</v>
      </c>
      <c r="D503" s="6" t="str">
        <f t="shared" si="88"/>
        <v>关卡100怪物3</v>
      </c>
      <c r="E503" s="6">
        <v>105</v>
      </c>
      <c r="G503" s="6" t="s">
        <v>925</v>
      </c>
      <c r="H503" s="6">
        <f t="shared" si="83"/>
        <v>0</v>
      </c>
      <c r="I503" s="6" t="str">
        <f>IF(VLOOKUP(E503,Sheet2!$W:$AA,5,0)=0,"",VLOOKUP(E503,Sheet2!$W:$AA,5,0))</f>
        <v>[60003]</v>
      </c>
      <c r="J503" s="6">
        <v>0</v>
      </c>
      <c r="K503" s="6">
        <v>0</v>
      </c>
      <c r="L503" s="6" t="str">
        <f>IF(VLOOKUP(E503,Sheet2!$W:$AA,2,0)=0,"",VLOOKUP(E503,Sheet2!$W:$AA,2,0))</f>
        <v/>
      </c>
      <c r="N503" s="6" t="str">
        <f>IF(VLOOKUP(E503,Sheet2!$W:$AA,3,0)=0,"",VLOOKUP(E503,Sheet2!$W:$AA,3,0))</f>
        <v/>
      </c>
      <c r="Q503" s="6" t="str">
        <f>IF(VLOOKUP(E503,Sheet2!$W:$AA,4,0)=0,"",VLOOKUP(E503,Sheet2!$W:$AA,4,0))</f>
        <v/>
      </c>
      <c r="R503" s="8">
        <v>24</v>
      </c>
      <c r="S503" s="14">
        <v>2</v>
      </c>
    </row>
    <row r="504" spans="1:19">
      <c r="A504" s="6">
        <f t="shared" si="85"/>
        <v>10021</v>
      </c>
      <c r="B504" s="6">
        <f t="shared" si="84"/>
        <v>100</v>
      </c>
      <c r="C504" s="6">
        <f t="shared" si="91"/>
        <v>4</v>
      </c>
      <c r="D504" s="6" t="str">
        <f t="shared" si="89"/>
        <v>关卡100BOSS1</v>
      </c>
      <c r="E504" s="6">
        <v>502</v>
      </c>
      <c r="G504" s="6" t="s">
        <v>926</v>
      </c>
      <c r="H504" s="6">
        <f t="shared" si="83"/>
        <v>2</v>
      </c>
      <c r="I504" s="6" t="str">
        <f>IF(VLOOKUP(E504,Sheet2!$W:$AA,5,0)=0,"",VLOOKUP(E504,Sheet2!$W:$AA,5,0))</f>
        <v/>
      </c>
      <c r="J504" s="6">
        <v>0</v>
      </c>
      <c r="K504" s="6">
        <v>0</v>
      </c>
      <c r="L504" s="6">
        <f>IF(VLOOKUP(E504,Sheet2!$W:$AA,2,0)=0,"",VLOOKUP(E504,Sheet2!$W:$AA,2,0))</f>
        <v>1</v>
      </c>
      <c r="N504" s="6" t="str">
        <f>IF(VLOOKUP(E504,Sheet2!$W:$AA,3,0)=0,"",VLOOKUP(E504,Sheet2!$W:$AA,3,0))</f>
        <v/>
      </c>
      <c r="Q504" s="6" t="str">
        <f>IF(VLOOKUP(E504,Sheet2!$W:$AA,4,0)=0,"",VLOOKUP(E504,Sheet2!$W:$AA,4,0))</f>
        <v>[{50021,6}]</v>
      </c>
      <c r="R504" s="8">
        <v>100</v>
      </c>
      <c r="S504" s="14">
        <v>2</v>
      </c>
    </row>
    <row r="505" spans="1:19">
      <c r="A505" s="6">
        <f t="shared" si="85"/>
        <v>10031</v>
      </c>
      <c r="B505" s="6">
        <f t="shared" si="84"/>
        <v>100</v>
      </c>
      <c r="C505" s="6">
        <f t="shared" si="91"/>
        <v>5</v>
      </c>
      <c r="D505" s="6" t="str">
        <f t="shared" si="90"/>
        <v>关卡100BOSS2</v>
      </c>
      <c r="E505" s="6">
        <v>500</v>
      </c>
      <c r="G505" s="6" t="s">
        <v>927</v>
      </c>
      <c r="H505" s="6">
        <f t="shared" si="83"/>
        <v>2</v>
      </c>
      <c r="I505" s="6" t="str">
        <f>IF(VLOOKUP(E505,Sheet2!$W:$AA,5,0)=0,"",VLOOKUP(E505,Sheet2!$W:$AA,5,0))</f>
        <v>[60002]</v>
      </c>
      <c r="J505" s="6">
        <v>0</v>
      </c>
      <c r="K505" s="6">
        <v>0</v>
      </c>
      <c r="L505" s="6" t="str">
        <f>IF(VLOOKUP(E505,Sheet2!$W:$AA,2,0)=0,"",VLOOKUP(E505,Sheet2!$W:$AA,2,0))</f>
        <v/>
      </c>
      <c r="N505" s="6">
        <f>IF(VLOOKUP(E505,Sheet2!$W:$AA,3,0)=0,"",VLOOKUP(E505,Sheet2!$W:$AA,3,0))</f>
        <v>2001</v>
      </c>
      <c r="Q505" s="6" t="str">
        <f>IF(VLOOKUP(E505,Sheet2!$W:$AA,4,0)=0,"",VLOOKUP(E505,Sheet2!$W:$AA,4,0))</f>
        <v/>
      </c>
      <c r="R505" s="8">
        <v>100</v>
      </c>
      <c r="S505" s="14">
        <v>2</v>
      </c>
    </row>
    <row r="506" spans="1:19">
      <c r="A506" s="6">
        <f t="shared" ref="A506:A530" si="92">A501+100</f>
        <v>10101</v>
      </c>
      <c r="B506" s="6">
        <f t="shared" ref="B506:B569" si="93">B501+1</f>
        <v>101</v>
      </c>
      <c r="C506" s="6">
        <f t="shared" si="91"/>
        <v>1</v>
      </c>
      <c r="D506" s="6" t="str">
        <f t="shared" ref="D506:D526" si="94">"关卡"&amp;B506&amp;"怪物1"</f>
        <v>关卡101怪物1</v>
      </c>
      <c r="E506" s="6">
        <v>117</v>
      </c>
      <c r="G506" s="6" t="s">
        <v>928</v>
      </c>
      <c r="H506" s="6">
        <f t="shared" si="83"/>
        <v>0</v>
      </c>
      <c r="I506" s="6" t="str">
        <f>IF(VLOOKUP(E506,Sheet2!$W:$AA,5,0)=0,"",VLOOKUP(E506,Sheet2!$W:$AA,5,0))</f>
        <v/>
      </c>
      <c r="J506" s="6">
        <v>0</v>
      </c>
      <c r="K506" s="6">
        <v>0</v>
      </c>
      <c r="L506" s="6" t="str">
        <f>IF(VLOOKUP(E506,Sheet2!$W:$AA,2,0)=0,"",VLOOKUP(E506,Sheet2!$W:$AA,2,0))</f>
        <v/>
      </c>
      <c r="N506" s="6" t="str">
        <f>IF(VLOOKUP(E506,Sheet2!$W:$AA,3,0)=0,"",VLOOKUP(E506,Sheet2!$W:$AA,3,0))</f>
        <v/>
      </c>
      <c r="Q506" s="6" t="str">
        <f>IF(VLOOKUP(E506,Sheet2!$W:$AA,4,0)=0,"",VLOOKUP(E506,Sheet2!$W:$AA,4,0))</f>
        <v/>
      </c>
      <c r="R506" s="8">
        <v>24</v>
      </c>
      <c r="S506" s="14">
        <v>2</v>
      </c>
    </row>
    <row r="507" spans="1:19">
      <c r="A507" s="6">
        <f t="shared" si="92"/>
        <v>10102</v>
      </c>
      <c r="B507" s="6">
        <f t="shared" si="93"/>
        <v>101</v>
      </c>
      <c r="C507" s="6">
        <f t="shared" si="91"/>
        <v>2</v>
      </c>
      <c r="D507" s="6" t="str">
        <f t="shared" ref="D507:D527" si="95">"关卡"&amp;B507&amp;"怪物2"</f>
        <v>关卡101怪物2</v>
      </c>
      <c r="E507" s="6">
        <v>116</v>
      </c>
      <c r="G507" s="6" t="s">
        <v>929</v>
      </c>
      <c r="H507" s="6">
        <f t="shared" si="83"/>
        <v>0</v>
      </c>
      <c r="I507" s="6" t="str">
        <f>IF(VLOOKUP(E507,Sheet2!$W:$AA,5,0)=0,"",VLOOKUP(E507,Sheet2!$W:$AA,5,0))</f>
        <v>[60007]</v>
      </c>
      <c r="J507" s="6">
        <v>0</v>
      </c>
      <c r="K507" s="6">
        <v>0</v>
      </c>
      <c r="L507" s="6" t="str">
        <f>IF(VLOOKUP(E507,Sheet2!$W:$AA,2,0)=0,"",VLOOKUP(E507,Sheet2!$W:$AA,2,0))</f>
        <v/>
      </c>
      <c r="N507" s="6" t="str">
        <f>IF(VLOOKUP(E507,Sheet2!$W:$AA,3,0)=0,"",VLOOKUP(E507,Sheet2!$W:$AA,3,0))</f>
        <v/>
      </c>
      <c r="Q507" s="6" t="str">
        <f>IF(VLOOKUP(E507,Sheet2!$W:$AA,4,0)=0,"",VLOOKUP(E507,Sheet2!$W:$AA,4,0))</f>
        <v/>
      </c>
      <c r="R507" s="8">
        <v>24</v>
      </c>
      <c r="S507" s="14">
        <v>2</v>
      </c>
    </row>
    <row r="508" spans="1:19">
      <c r="A508" s="6">
        <f t="shared" si="92"/>
        <v>10103</v>
      </c>
      <c r="B508" s="6">
        <f t="shared" si="93"/>
        <v>101</v>
      </c>
      <c r="C508" s="6">
        <f t="shared" si="91"/>
        <v>3</v>
      </c>
      <c r="D508" s="6" t="str">
        <f t="shared" ref="D508:D528" si="96">"关卡"&amp;B508&amp;"怪物3"</f>
        <v>关卡101怪物3</v>
      </c>
      <c r="E508" s="6">
        <v>112</v>
      </c>
      <c r="G508" s="6" t="s">
        <v>930</v>
      </c>
      <c r="H508" s="6">
        <f t="shared" si="83"/>
        <v>0</v>
      </c>
      <c r="I508" s="6" t="str">
        <f>IF(VLOOKUP(E508,Sheet2!$W:$AA,5,0)=0,"",VLOOKUP(E508,Sheet2!$W:$AA,5,0))</f>
        <v/>
      </c>
      <c r="J508" s="6">
        <v>0</v>
      </c>
      <c r="K508" s="6">
        <v>0</v>
      </c>
      <c r="L508" s="6">
        <f>IF(VLOOKUP(E508,Sheet2!$W:$AA,2,0)=0,"",VLOOKUP(E508,Sheet2!$W:$AA,2,0))</f>
        <v>1</v>
      </c>
      <c r="N508" s="6" t="str">
        <f>IF(VLOOKUP(E508,Sheet2!$W:$AA,3,0)=0,"",VLOOKUP(E508,Sheet2!$W:$AA,3,0))</f>
        <v/>
      </c>
      <c r="Q508" s="6" t="str">
        <f>IF(VLOOKUP(E508,Sheet2!$W:$AA,4,0)=0,"",VLOOKUP(E508,Sheet2!$W:$AA,4,0))</f>
        <v>[{50015,6}]</v>
      </c>
      <c r="R508" s="8">
        <v>24</v>
      </c>
      <c r="S508" s="14">
        <v>2</v>
      </c>
    </row>
    <row r="509" spans="1:19">
      <c r="A509" s="6">
        <f t="shared" si="92"/>
        <v>10121</v>
      </c>
      <c r="B509" s="6">
        <f t="shared" si="93"/>
        <v>101</v>
      </c>
      <c r="C509" s="6">
        <f t="shared" si="91"/>
        <v>4</v>
      </c>
      <c r="D509" s="6" t="str">
        <f t="shared" ref="D509:D529" si="97">"关卡"&amp;B509&amp;"BOSS1"</f>
        <v>关卡101BOSS1</v>
      </c>
      <c r="E509" s="6">
        <v>117</v>
      </c>
      <c r="G509" s="6" t="s">
        <v>931</v>
      </c>
      <c r="H509" s="6">
        <f t="shared" ref="H509:H572" si="98">H504</f>
        <v>2</v>
      </c>
      <c r="I509" s="6" t="str">
        <f>IF(VLOOKUP(E509,Sheet2!$W:$AA,5,0)=0,"",VLOOKUP(E509,Sheet2!$W:$AA,5,0))</f>
        <v/>
      </c>
      <c r="J509" s="6">
        <v>0</v>
      </c>
      <c r="K509" s="6">
        <v>0</v>
      </c>
      <c r="L509" s="6" t="str">
        <f>IF(VLOOKUP(E509,Sheet2!$W:$AA,2,0)=0,"",VLOOKUP(E509,Sheet2!$W:$AA,2,0))</f>
        <v/>
      </c>
      <c r="N509" s="6" t="str">
        <f>IF(VLOOKUP(E509,Sheet2!$W:$AA,3,0)=0,"",VLOOKUP(E509,Sheet2!$W:$AA,3,0))</f>
        <v/>
      </c>
      <c r="Q509" s="6" t="str">
        <f>IF(VLOOKUP(E509,Sheet2!$W:$AA,4,0)=0,"",VLOOKUP(E509,Sheet2!$W:$AA,4,0))</f>
        <v/>
      </c>
      <c r="R509" s="8">
        <v>100</v>
      </c>
      <c r="S509" s="14">
        <v>2</v>
      </c>
    </row>
    <row r="510" spans="1:19">
      <c r="A510" s="6">
        <f t="shared" si="92"/>
        <v>10131</v>
      </c>
      <c r="B510" s="6">
        <f t="shared" si="93"/>
        <v>101</v>
      </c>
      <c r="C510" s="6">
        <f t="shared" si="91"/>
        <v>5</v>
      </c>
      <c r="D510" s="6" t="str">
        <f t="shared" ref="D510:D530" si="99">"关卡"&amp;B510&amp;"BOSS2"</f>
        <v>关卡101BOSS2</v>
      </c>
      <c r="E510" s="6">
        <v>117</v>
      </c>
      <c r="G510" s="6" t="s">
        <v>932</v>
      </c>
      <c r="H510" s="6">
        <f t="shared" si="98"/>
        <v>2</v>
      </c>
      <c r="I510" s="6" t="str">
        <f>IF(VLOOKUP(E510,Sheet2!$W:$AA,5,0)=0,"",VLOOKUP(E510,Sheet2!$W:$AA,5,0))</f>
        <v/>
      </c>
      <c r="J510" s="6">
        <v>0</v>
      </c>
      <c r="K510" s="6">
        <v>0</v>
      </c>
      <c r="L510" s="6" t="str">
        <f>IF(VLOOKUP(E510,Sheet2!$W:$AA,2,0)=0,"",VLOOKUP(E510,Sheet2!$W:$AA,2,0))</f>
        <v/>
      </c>
      <c r="N510" s="6" t="str">
        <f>IF(VLOOKUP(E510,Sheet2!$W:$AA,3,0)=0,"",VLOOKUP(E510,Sheet2!$W:$AA,3,0))</f>
        <v/>
      </c>
      <c r="Q510" s="6" t="str">
        <f>IF(VLOOKUP(E510,Sheet2!$W:$AA,4,0)=0,"",VLOOKUP(E510,Sheet2!$W:$AA,4,0))</f>
        <v/>
      </c>
      <c r="R510" s="8">
        <v>100</v>
      </c>
      <c r="S510" s="14">
        <v>2</v>
      </c>
    </row>
    <row r="511" spans="1:19">
      <c r="A511" s="6">
        <f t="shared" si="92"/>
        <v>10201</v>
      </c>
      <c r="B511" s="6">
        <f t="shared" si="93"/>
        <v>102</v>
      </c>
      <c r="C511" s="6">
        <f t="shared" si="91"/>
        <v>1</v>
      </c>
      <c r="D511" s="6" t="str">
        <f t="shared" si="94"/>
        <v>关卡102怪物1</v>
      </c>
      <c r="E511" s="6">
        <v>104</v>
      </c>
      <c r="G511" s="6" t="s">
        <v>933</v>
      </c>
      <c r="H511" s="6">
        <f t="shared" si="98"/>
        <v>0</v>
      </c>
      <c r="I511" s="6" t="str">
        <f>IF(VLOOKUP(E511,Sheet2!$W:$AA,5,0)=0,"",VLOOKUP(E511,Sheet2!$W:$AA,5,0))</f>
        <v/>
      </c>
      <c r="J511" s="6">
        <v>0</v>
      </c>
      <c r="K511" s="6">
        <v>0</v>
      </c>
      <c r="L511" s="6" t="str">
        <f>IF(VLOOKUP(E511,Sheet2!$W:$AA,2,0)=0,"",VLOOKUP(E511,Sheet2!$W:$AA,2,0))</f>
        <v/>
      </c>
      <c r="N511" s="6" t="str">
        <f>IF(VLOOKUP(E511,Sheet2!$W:$AA,3,0)=0,"",VLOOKUP(E511,Sheet2!$W:$AA,3,0))</f>
        <v/>
      </c>
      <c r="Q511" s="6" t="str">
        <f>IF(VLOOKUP(E511,Sheet2!$W:$AA,4,0)=0,"",VLOOKUP(E511,Sheet2!$W:$AA,4,0))</f>
        <v/>
      </c>
      <c r="R511" s="8">
        <v>24</v>
      </c>
      <c r="S511" s="14">
        <v>2</v>
      </c>
    </row>
    <row r="512" spans="1:19">
      <c r="A512" s="6">
        <f t="shared" si="92"/>
        <v>10202</v>
      </c>
      <c r="B512" s="6">
        <f t="shared" si="93"/>
        <v>102</v>
      </c>
      <c r="C512" s="6">
        <f t="shared" si="91"/>
        <v>2</v>
      </c>
      <c r="D512" s="6" t="str">
        <f t="shared" si="95"/>
        <v>关卡102怪物2</v>
      </c>
      <c r="E512" s="6">
        <v>119</v>
      </c>
      <c r="G512" s="6" t="s">
        <v>934</v>
      </c>
      <c r="H512" s="6">
        <f t="shared" si="98"/>
        <v>0</v>
      </c>
      <c r="I512" s="6" t="str">
        <f>IF(VLOOKUP(E512,Sheet2!$W:$AA,5,0)=0,"",VLOOKUP(E512,Sheet2!$W:$AA,5,0))</f>
        <v/>
      </c>
      <c r="J512" s="6">
        <v>0</v>
      </c>
      <c r="K512" s="6">
        <v>0</v>
      </c>
      <c r="L512" s="6">
        <f>IF(VLOOKUP(E512,Sheet2!$W:$AA,2,0)=0,"",VLOOKUP(E512,Sheet2!$W:$AA,2,0))</f>
        <v>1</v>
      </c>
      <c r="N512" s="6" t="str">
        <f>IF(VLOOKUP(E512,Sheet2!$W:$AA,3,0)=0,"",VLOOKUP(E512,Sheet2!$W:$AA,3,0))</f>
        <v/>
      </c>
      <c r="Q512" s="6" t="str">
        <f>IF(VLOOKUP(E512,Sheet2!$W:$AA,4,0)=0,"",VLOOKUP(E512,Sheet2!$W:$AA,4,0))</f>
        <v>[{50018,6}]</v>
      </c>
      <c r="R512" s="8">
        <v>24</v>
      </c>
      <c r="S512" s="14">
        <v>2</v>
      </c>
    </row>
    <row r="513" spans="1:19">
      <c r="A513" s="6">
        <f t="shared" si="92"/>
        <v>10203</v>
      </c>
      <c r="B513" s="6">
        <f t="shared" si="93"/>
        <v>102</v>
      </c>
      <c r="C513" s="6">
        <f t="shared" si="91"/>
        <v>3</v>
      </c>
      <c r="D513" s="6" t="str">
        <f t="shared" si="96"/>
        <v>关卡102怪物3</v>
      </c>
      <c r="E513" s="6">
        <v>118</v>
      </c>
      <c r="G513" s="6" t="s">
        <v>935</v>
      </c>
      <c r="H513" s="6">
        <f t="shared" si="98"/>
        <v>0</v>
      </c>
      <c r="I513" s="6" t="str">
        <f>IF(VLOOKUP(E513,Sheet2!$W:$AA,5,0)=0,"",VLOOKUP(E513,Sheet2!$W:$AA,5,0))</f>
        <v>[60009]</v>
      </c>
      <c r="J513" s="6">
        <v>0</v>
      </c>
      <c r="K513" s="6">
        <v>0</v>
      </c>
      <c r="L513" s="6">
        <f>IF(VLOOKUP(E513,Sheet2!$W:$AA,2,0)=0,"",VLOOKUP(E513,Sheet2!$W:$AA,2,0))</f>
        <v>1</v>
      </c>
      <c r="N513" s="6" t="str">
        <f>IF(VLOOKUP(E513,Sheet2!$W:$AA,3,0)=0,"",VLOOKUP(E513,Sheet2!$W:$AA,3,0))</f>
        <v/>
      </c>
      <c r="Q513" s="6" t="str">
        <f>IF(VLOOKUP(E513,Sheet2!$W:$AA,4,0)=0,"",VLOOKUP(E513,Sheet2!$W:$AA,4,0))</f>
        <v>[{50017,6}]</v>
      </c>
      <c r="R513" s="8">
        <v>24</v>
      </c>
      <c r="S513" s="14">
        <v>2</v>
      </c>
    </row>
    <row r="514" spans="1:19">
      <c r="A514" s="6">
        <f t="shared" si="92"/>
        <v>10221</v>
      </c>
      <c r="B514" s="6">
        <f t="shared" si="93"/>
        <v>102</v>
      </c>
      <c r="C514" s="6">
        <f t="shared" si="91"/>
        <v>4</v>
      </c>
      <c r="D514" s="6" t="str">
        <f t="shared" si="97"/>
        <v>关卡102BOSS1</v>
      </c>
      <c r="E514" s="6">
        <v>119</v>
      </c>
      <c r="G514" s="6" t="s">
        <v>936</v>
      </c>
      <c r="H514" s="6">
        <f t="shared" si="98"/>
        <v>2</v>
      </c>
      <c r="I514" s="6" t="str">
        <f>IF(VLOOKUP(E514,Sheet2!$W:$AA,5,0)=0,"",VLOOKUP(E514,Sheet2!$W:$AA,5,0))</f>
        <v/>
      </c>
      <c r="J514" s="6">
        <v>0</v>
      </c>
      <c r="K514" s="6">
        <v>0</v>
      </c>
      <c r="L514" s="6">
        <f>IF(VLOOKUP(E514,Sheet2!$W:$AA,2,0)=0,"",VLOOKUP(E514,Sheet2!$W:$AA,2,0))</f>
        <v>1</v>
      </c>
      <c r="N514" s="6" t="str">
        <f>IF(VLOOKUP(E514,Sheet2!$W:$AA,3,0)=0,"",VLOOKUP(E514,Sheet2!$W:$AA,3,0))</f>
        <v/>
      </c>
      <c r="Q514" s="6" t="str">
        <f>IF(VLOOKUP(E514,Sheet2!$W:$AA,4,0)=0,"",VLOOKUP(E514,Sheet2!$W:$AA,4,0))</f>
        <v>[{50018,6}]</v>
      </c>
      <c r="R514" s="8">
        <v>100</v>
      </c>
      <c r="S514" s="14">
        <v>2</v>
      </c>
    </row>
    <row r="515" spans="1:19">
      <c r="A515" s="6">
        <f t="shared" si="92"/>
        <v>10231</v>
      </c>
      <c r="B515" s="6">
        <f t="shared" si="93"/>
        <v>102</v>
      </c>
      <c r="C515" s="6">
        <f t="shared" si="91"/>
        <v>5</v>
      </c>
      <c r="D515" s="6" t="str">
        <f t="shared" si="99"/>
        <v>关卡102BOSS2</v>
      </c>
      <c r="E515" s="6">
        <v>119</v>
      </c>
      <c r="G515" s="6" t="s">
        <v>937</v>
      </c>
      <c r="H515" s="6">
        <f t="shared" si="98"/>
        <v>2</v>
      </c>
      <c r="I515" s="6" t="str">
        <f>IF(VLOOKUP(E515,Sheet2!$W:$AA,5,0)=0,"",VLOOKUP(E515,Sheet2!$W:$AA,5,0))</f>
        <v/>
      </c>
      <c r="J515" s="6">
        <v>0</v>
      </c>
      <c r="K515" s="6">
        <v>0</v>
      </c>
      <c r="L515" s="6">
        <f>IF(VLOOKUP(E515,Sheet2!$W:$AA,2,0)=0,"",VLOOKUP(E515,Sheet2!$W:$AA,2,0))</f>
        <v>1</v>
      </c>
      <c r="N515" s="6" t="str">
        <f>IF(VLOOKUP(E515,Sheet2!$W:$AA,3,0)=0,"",VLOOKUP(E515,Sheet2!$W:$AA,3,0))</f>
        <v/>
      </c>
      <c r="Q515" s="6" t="str">
        <f>IF(VLOOKUP(E515,Sheet2!$W:$AA,4,0)=0,"",VLOOKUP(E515,Sheet2!$W:$AA,4,0))</f>
        <v>[{50018,6}]</v>
      </c>
      <c r="R515" s="8">
        <v>100</v>
      </c>
      <c r="S515" s="14">
        <v>2</v>
      </c>
    </row>
    <row r="516" spans="1:19">
      <c r="A516" s="6">
        <f t="shared" si="92"/>
        <v>10301</v>
      </c>
      <c r="B516" s="6">
        <f t="shared" si="93"/>
        <v>103</v>
      </c>
      <c r="C516" s="6">
        <f t="shared" si="91"/>
        <v>1</v>
      </c>
      <c r="D516" s="6" t="str">
        <f t="shared" si="94"/>
        <v>关卡103怪物1</v>
      </c>
      <c r="E516" s="6">
        <v>119</v>
      </c>
      <c r="G516" s="6" t="s">
        <v>938</v>
      </c>
      <c r="H516" s="6">
        <f t="shared" si="98"/>
        <v>0</v>
      </c>
      <c r="I516" s="6" t="str">
        <f>IF(VLOOKUP(E516,Sheet2!$W:$AA,5,0)=0,"",VLOOKUP(E516,Sheet2!$W:$AA,5,0))</f>
        <v/>
      </c>
      <c r="J516" s="6">
        <v>0</v>
      </c>
      <c r="K516" s="6">
        <v>0</v>
      </c>
      <c r="L516" s="6">
        <f>IF(VLOOKUP(E516,Sheet2!$W:$AA,2,0)=0,"",VLOOKUP(E516,Sheet2!$W:$AA,2,0))</f>
        <v>1</v>
      </c>
      <c r="N516" s="6" t="str">
        <f>IF(VLOOKUP(E516,Sheet2!$W:$AA,3,0)=0,"",VLOOKUP(E516,Sheet2!$W:$AA,3,0))</f>
        <v/>
      </c>
      <c r="Q516" s="6" t="str">
        <f>IF(VLOOKUP(E516,Sheet2!$W:$AA,4,0)=0,"",VLOOKUP(E516,Sheet2!$W:$AA,4,0))</f>
        <v>[{50018,6}]</v>
      </c>
      <c r="R516" s="8">
        <v>24</v>
      </c>
      <c r="S516" s="14">
        <v>2</v>
      </c>
    </row>
    <row r="517" spans="1:19">
      <c r="A517" s="6">
        <f t="shared" si="92"/>
        <v>10302</v>
      </c>
      <c r="B517" s="6">
        <f t="shared" si="93"/>
        <v>103</v>
      </c>
      <c r="C517" s="6">
        <f t="shared" si="91"/>
        <v>2</v>
      </c>
      <c r="D517" s="6" t="str">
        <f t="shared" si="95"/>
        <v>关卡103怪物2</v>
      </c>
      <c r="E517" s="6">
        <v>116</v>
      </c>
      <c r="G517" s="6" t="s">
        <v>939</v>
      </c>
      <c r="H517" s="6">
        <f t="shared" si="98"/>
        <v>0</v>
      </c>
      <c r="I517" s="6" t="str">
        <f>IF(VLOOKUP(E517,Sheet2!$W:$AA,5,0)=0,"",VLOOKUP(E517,Sheet2!$W:$AA,5,0))</f>
        <v>[60007]</v>
      </c>
      <c r="J517" s="6">
        <v>0</v>
      </c>
      <c r="K517" s="6">
        <v>0</v>
      </c>
      <c r="L517" s="6" t="str">
        <f>IF(VLOOKUP(E517,Sheet2!$W:$AA,2,0)=0,"",VLOOKUP(E517,Sheet2!$W:$AA,2,0))</f>
        <v/>
      </c>
      <c r="N517" s="6" t="str">
        <f>IF(VLOOKUP(E517,Sheet2!$W:$AA,3,0)=0,"",VLOOKUP(E517,Sheet2!$W:$AA,3,0))</f>
        <v/>
      </c>
      <c r="Q517" s="6" t="str">
        <f>IF(VLOOKUP(E517,Sheet2!$W:$AA,4,0)=0,"",VLOOKUP(E517,Sheet2!$W:$AA,4,0))</f>
        <v/>
      </c>
      <c r="R517" s="8">
        <v>24</v>
      </c>
      <c r="S517" s="14">
        <v>2</v>
      </c>
    </row>
    <row r="518" spans="1:19">
      <c r="A518" s="6">
        <f t="shared" si="92"/>
        <v>10303</v>
      </c>
      <c r="B518" s="6">
        <f t="shared" si="93"/>
        <v>103</v>
      </c>
      <c r="C518" s="6">
        <f t="shared" si="91"/>
        <v>3</v>
      </c>
      <c r="D518" s="6" t="str">
        <f t="shared" si="96"/>
        <v>关卡103怪物3</v>
      </c>
      <c r="E518" s="6">
        <v>118</v>
      </c>
      <c r="G518" s="6" t="s">
        <v>940</v>
      </c>
      <c r="H518" s="6">
        <f t="shared" si="98"/>
        <v>0</v>
      </c>
      <c r="I518" s="6" t="str">
        <f>IF(VLOOKUP(E518,Sheet2!$W:$AA,5,0)=0,"",VLOOKUP(E518,Sheet2!$W:$AA,5,0))</f>
        <v>[60009]</v>
      </c>
      <c r="J518" s="6">
        <v>0</v>
      </c>
      <c r="K518" s="6">
        <v>0</v>
      </c>
      <c r="L518" s="6">
        <f>IF(VLOOKUP(E518,Sheet2!$W:$AA,2,0)=0,"",VLOOKUP(E518,Sheet2!$W:$AA,2,0))</f>
        <v>1</v>
      </c>
      <c r="N518" s="6" t="str">
        <f>IF(VLOOKUP(E518,Sheet2!$W:$AA,3,0)=0,"",VLOOKUP(E518,Sheet2!$W:$AA,3,0))</f>
        <v/>
      </c>
      <c r="Q518" s="6" t="str">
        <f>IF(VLOOKUP(E518,Sheet2!$W:$AA,4,0)=0,"",VLOOKUP(E518,Sheet2!$W:$AA,4,0))</f>
        <v>[{50017,6}]</v>
      </c>
      <c r="R518" s="8">
        <v>24</v>
      </c>
      <c r="S518" s="14">
        <v>2</v>
      </c>
    </row>
    <row r="519" spans="1:19">
      <c r="A519" s="6">
        <f t="shared" si="92"/>
        <v>10321</v>
      </c>
      <c r="B519" s="6">
        <f t="shared" si="93"/>
        <v>103</v>
      </c>
      <c r="C519" s="6">
        <f t="shared" si="91"/>
        <v>4</v>
      </c>
      <c r="D519" s="6" t="str">
        <f t="shared" si="97"/>
        <v>关卡103BOSS1</v>
      </c>
      <c r="E519" s="6">
        <v>119</v>
      </c>
      <c r="G519" s="6" t="s">
        <v>941</v>
      </c>
      <c r="H519" s="6">
        <f t="shared" si="98"/>
        <v>2</v>
      </c>
      <c r="I519" s="6" t="str">
        <f>IF(VLOOKUP(E519,Sheet2!$W:$AA,5,0)=0,"",VLOOKUP(E519,Sheet2!$W:$AA,5,0))</f>
        <v/>
      </c>
      <c r="J519" s="6">
        <v>0</v>
      </c>
      <c r="K519" s="6">
        <v>0</v>
      </c>
      <c r="L519" s="6">
        <f>IF(VLOOKUP(E519,Sheet2!$W:$AA,2,0)=0,"",VLOOKUP(E519,Sheet2!$W:$AA,2,0))</f>
        <v>1</v>
      </c>
      <c r="N519" s="6" t="str">
        <f>IF(VLOOKUP(E519,Sheet2!$W:$AA,3,0)=0,"",VLOOKUP(E519,Sheet2!$W:$AA,3,0))</f>
        <v/>
      </c>
      <c r="Q519" s="6" t="str">
        <f>IF(VLOOKUP(E519,Sheet2!$W:$AA,4,0)=0,"",VLOOKUP(E519,Sheet2!$W:$AA,4,0))</f>
        <v>[{50018,6}]</v>
      </c>
      <c r="R519" s="8">
        <v>100</v>
      </c>
      <c r="S519" s="14">
        <v>2</v>
      </c>
    </row>
    <row r="520" spans="1:19">
      <c r="A520" s="6">
        <f t="shared" si="92"/>
        <v>10331</v>
      </c>
      <c r="B520" s="6">
        <f t="shared" si="93"/>
        <v>103</v>
      </c>
      <c r="C520" s="6">
        <f t="shared" si="91"/>
        <v>5</v>
      </c>
      <c r="D520" s="6" t="str">
        <f t="shared" si="99"/>
        <v>关卡103BOSS2</v>
      </c>
      <c r="E520" s="6">
        <v>119</v>
      </c>
      <c r="G520" s="6" t="s">
        <v>942</v>
      </c>
      <c r="H520" s="6">
        <f t="shared" si="98"/>
        <v>2</v>
      </c>
      <c r="I520" s="6" t="str">
        <f>IF(VLOOKUP(E520,Sheet2!$W:$AA,5,0)=0,"",VLOOKUP(E520,Sheet2!$W:$AA,5,0))</f>
        <v/>
      </c>
      <c r="J520" s="6">
        <v>0</v>
      </c>
      <c r="K520" s="6">
        <v>0</v>
      </c>
      <c r="L520" s="6">
        <f>IF(VLOOKUP(E520,Sheet2!$W:$AA,2,0)=0,"",VLOOKUP(E520,Sheet2!$W:$AA,2,0))</f>
        <v>1</v>
      </c>
      <c r="N520" s="6" t="str">
        <f>IF(VLOOKUP(E520,Sheet2!$W:$AA,3,0)=0,"",VLOOKUP(E520,Sheet2!$W:$AA,3,0))</f>
        <v/>
      </c>
      <c r="Q520" s="6" t="str">
        <f>IF(VLOOKUP(E520,Sheet2!$W:$AA,4,0)=0,"",VLOOKUP(E520,Sheet2!$W:$AA,4,0))</f>
        <v>[{50018,6}]</v>
      </c>
      <c r="R520" s="8">
        <v>100</v>
      </c>
      <c r="S520" s="14">
        <v>2</v>
      </c>
    </row>
    <row r="521" spans="1:19">
      <c r="A521" s="6">
        <f t="shared" si="92"/>
        <v>10401</v>
      </c>
      <c r="B521" s="6">
        <f t="shared" si="93"/>
        <v>104</v>
      </c>
      <c r="C521" s="6">
        <f t="shared" si="91"/>
        <v>1</v>
      </c>
      <c r="D521" s="6" t="str">
        <f t="shared" si="94"/>
        <v>关卡104怪物1</v>
      </c>
      <c r="E521" s="6">
        <v>100</v>
      </c>
      <c r="G521" s="6" t="s">
        <v>943</v>
      </c>
      <c r="H521" s="6">
        <f t="shared" si="98"/>
        <v>0</v>
      </c>
      <c r="I521" s="6" t="str">
        <f>IF(VLOOKUP(E521,Sheet2!$W:$AA,5,0)=0,"",VLOOKUP(E521,Sheet2!$W:$AA,5,0))</f>
        <v>[60002]</v>
      </c>
      <c r="J521" s="6">
        <v>0</v>
      </c>
      <c r="K521" s="6">
        <v>0</v>
      </c>
      <c r="L521" s="6" t="str">
        <f>IF(VLOOKUP(E521,Sheet2!$W:$AA,2,0)=0,"",VLOOKUP(E521,Sheet2!$W:$AA,2,0))</f>
        <v/>
      </c>
      <c r="N521" s="6">
        <f>IF(VLOOKUP(E521,Sheet2!$W:$AA,3,0)=0,"",VLOOKUP(E521,Sheet2!$W:$AA,3,0))</f>
        <v>2001</v>
      </c>
      <c r="Q521" s="6" t="str">
        <f>IF(VLOOKUP(E521,Sheet2!$W:$AA,4,0)=0,"",VLOOKUP(E521,Sheet2!$W:$AA,4,0))</f>
        <v/>
      </c>
      <c r="R521" s="8">
        <v>24</v>
      </c>
      <c r="S521" s="14">
        <v>2</v>
      </c>
    </row>
    <row r="522" spans="1:19">
      <c r="A522" s="6">
        <f t="shared" si="92"/>
        <v>10402</v>
      </c>
      <c r="B522" s="6">
        <f t="shared" si="93"/>
        <v>104</v>
      </c>
      <c r="C522" s="6">
        <f t="shared" si="91"/>
        <v>2</v>
      </c>
      <c r="D522" s="6" t="str">
        <f t="shared" si="95"/>
        <v>关卡104怪物2</v>
      </c>
      <c r="E522" s="6">
        <v>102</v>
      </c>
      <c r="G522" s="6" t="s">
        <v>944</v>
      </c>
      <c r="H522" s="6">
        <f t="shared" si="98"/>
        <v>0</v>
      </c>
      <c r="I522" s="6" t="str">
        <f>IF(VLOOKUP(E522,Sheet2!$W:$AA,5,0)=0,"",VLOOKUP(E522,Sheet2!$W:$AA,5,0))</f>
        <v/>
      </c>
      <c r="J522" s="6">
        <v>0</v>
      </c>
      <c r="K522" s="6">
        <v>0</v>
      </c>
      <c r="L522" s="6">
        <f>IF(VLOOKUP(E522,Sheet2!$W:$AA,2,0)=0,"",VLOOKUP(E522,Sheet2!$W:$AA,2,0))</f>
        <v>1</v>
      </c>
      <c r="N522" s="6" t="str">
        <f>IF(VLOOKUP(E522,Sheet2!$W:$AA,3,0)=0,"",VLOOKUP(E522,Sheet2!$W:$AA,3,0))</f>
        <v/>
      </c>
      <c r="Q522" s="6" t="str">
        <f>IF(VLOOKUP(E522,Sheet2!$W:$AA,4,0)=0,"",VLOOKUP(E522,Sheet2!$W:$AA,4,0))</f>
        <v>[{50011,6}]</v>
      </c>
      <c r="R522" s="8">
        <v>24</v>
      </c>
      <c r="S522" s="14">
        <v>2</v>
      </c>
    </row>
    <row r="523" spans="1:19">
      <c r="A523" s="6">
        <f t="shared" si="92"/>
        <v>10403</v>
      </c>
      <c r="B523" s="6">
        <f t="shared" si="93"/>
        <v>104</v>
      </c>
      <c r="C523" s="6">
        <f t="shared" si="91"/>
        <v>3</v>
      </c>
      <c r="D523" s="6" t="str">
        <f t="shared" si="96"/>
        <v>关卡104怪物3</v>
      </c>
      <c r="E523" s="6">
        <v>105</v>
      </c>
      <c r="G523" s="6" t="s">
        <v>945</v>
      </c>
      <c r="H523" s="6">
        <f t="shared" si="98"/>
        <v>0</v>
      </c>
      <c r="I523" s="6" t="str">
        <f>IF(VLOOKUP(E523,Sheet2!$W:$AA,5,0)=0,"",VLOOKUP(E523,Sheet2!$W:$AA,5,0))</f>
        <v>[60003]</v>
      </c>
      <c r="J523" s="6">
        <v>0</v>
      </c>
      <c r="K523" s="6">
        <v>0</v>
      </c>
      <c r="L523" s="6" t="str">
        <f>IF(VLOOKUP(E523,Sheet2!$W:$AA,2,0)=0,"",VLOOKUP(E523,Sheet2!$W:$AA,2,0))</f>
        <v/>
      </c>
      <c r="N523" s="6" t="str">
        <f>IF(VLOOKUP(E523,Sheet2!$W:$AA,3,0)=0,"",VLOOKUP(E523,Sheet2!$W:$AA,3,0))</f>
        <v/>
      </c>
      <c r="Q523" s="6" t="str">
        <f>IF(VLOOKUP(E523,Sheet2!$W:$AA,4,0)=0,"",VLOOKUP(E523,Sheet2!$W:$AA,4,0))</f>
        <v/>
      </c>
      <c r="R523" s="8">
        <v>24</v>
      </c>
      <c r="S523" s="14">
        <v>2</v>
      </c>
    </row>
    <row r="524" spans="1:19">
      <c r="A524" s="6">
        <f t="shared" si="92"/>
        <v>10421</v>
      </c>
      <c r="B524" s="6">
        <f t="shared" si="93"/>
        <v>104</v>
      </c>
      <c r="C524" s="6">
        <f t="shared" si="91"/>
        <v>4</v>
      </c>
      <c r="D524" s="6" t="str">
        <f t="shared" si="97"/>
        <v>关卡104BOSS1</v>
      </c>
      <c r="E524" s="6">
        <v>502</v>
      </c>
      <c r="G524" s="6" t="s">
        <v>946</v>
      </c>
      <c r="H524" s="6">
        <f t="shared" si="98"/>
        <v>2</v>
      </c>
      <c r="I524" s="6" t="str">
        <f>IF(VLOOKUP(E524,Sheet2!$W:$AA,5,0)=0,"",VLOOKUP(E524,Sheet2!$W:$AA,5,0))</f>
        <v/>
      </c>
      <c r="J524" s="6">
        <v>0</v>
      </c>
      <c r="K524" s="6">
        <v>0</v>
      </c>
      <c r="L524" s="6">
        <f>IF(VLOOKUP(E524,Sheet2!$W:$AA,2,0)=0,"",VLOOKUP(E524,Sheet2!$W:$AA,2,0))</f>
        <v>1</v>
      </c>
      <c r="N524" s="6" t="str">
        <f>IF(VLOOKUP(E524,Sheet2!$W:$AA,3,0)=0,"",VLOOKUP(E524,Sheet2!$W:$AA,3,0))</f>
        <v/>
      </c>
      <c r="Q524" s="6" t="str">
        <f>IF(VLOOKUP(E524,Sheet2!$W:$AA,4,0)=0,"",VLOOKUP(E524,Sheet2!$W:$AA,4,0))</f>
        <v>[{50021,6}]</v>
      </c>
      <c r="R524" s="8">
        <v>100</v>
      </c>
      <c r="S524" s="14">
        <v>2</v>
      </c>
    </row>
    <row r="525" spans="1:19">
      <c r="A525" s="6">
        <f t="shared" si="92"/>
        <v>10431</v>
      </c>
      <c r="B525" s="6">
        <f t="shared" si="93"/>
        <v>104</v>
      </c>
      <c r="C525" s="6">
        <f t="shared" si="91"/>
        <v>5</v>
      </c>
      <c r="D525" s="6" t="str">
        <f t="shared" si="99"/>
        <v>关卡104BOSS2</v>
      </c>
      <c r="E525" s="6">
        <v>500</v>
      </c>
      <c r="G525" s="6" t="s">
        <v>947</v>
      </c>
      <c r="H525" s="6">
        <f t="shared" si="98"/>
        <v>2</v>
      </c>
      <c r="I525" s="6" t="str">
        <f>IF(VLOOKUP(E525,Sheet2!$W:$AA,5,0)=0,"",VLOOKUP(E525,Sheet2!$W:$AA,5,0))</f>
        <v>[60002]</v>
      </c>
      <c r="J525" s="6">
        <v>0</v>
      </c>
      <c r="K525" s="6">
        <v>0</v>
      </c>
      <c r="L525" s="6" t="str">
        <f>IF(VLOOKUP(E525,Sheet2!$W:$AA,2,0)=0,"",VLOOKUP(E525,Sheet2!$W:$AA,2,0))</f>
        <v/>
      </c>
      <c r="N525" s="6">
        <f>IF(VLOOKUP(E525,Sheet2!$W:$AA,3,0)=0,"",VLOOKUP(E525,Sheet2!$W:$AA,3,0))</f>
        <v>2001</v>
      </c>
      <c r="Q525" s="6" t="str">
        <f>IF(VLOOKUP(E525,Sheet2!$W:$AA,4,0)=0,"",VLOOKUP(E525,Sheet2!$W:$AA,4,0))</f>
        <v/>
      </c>
      <c r="R525" s="8">
        <v>100</v>
      </c>
      <c r="S525" s="14">
        <v>2</v>
      </c>
    </row>
    <row r="526" spans="1:19">
      <c r="A526" s="6">
        <f t="shared" si="92"/>
        <v>10501</v>
      </c>
      <c r="B526" s="6">
        <f t="shared" si="93"/>
        <v>105</v>
      </c>
      <c r="C526" s="6">
        <f t="shared" si="91"/>
        <v>1</v>
      </c>
      <c r="D526" s="6" t="str">
        <f t="shared" si="94"/>
        <v>关卡105怪物1</v>
      </c>
      <c r="E526" s="6">
        <v>111</v>
      </c>
      <c r="G526" s="6" t="s">
        <v>948</v>
      </c>
      <c r="H526" s="6">
        <f t="shared" si="98"/>
        <v>0</v>
      </c>
      <c r="I526" s="6" t="str">
        <f>IF(VLOOKUP(E526,Sheet2!$W:$AA,5,0)=0,"",VLOOKUP(E526,Sheet2!$W:$AA,5,0))</f>
        <v/>
      </c>
      <c r="J526" s="6">
        <v>0</v>
      </c>
      <c r="K526" s="6">
        <v>0</v>
      </c>
      <c r="L526" s="6" t="str">
        <f>IF(VLOOKUP(E526,Sheet2!$W:$AA,2,0)=0,"",VLOOKUP(E526,Sheet2!$W:$AA,2,0))</f>
        <v/>
      </c>
      <c r="N526" s="6" t="str">
        <f>IF(VLOOKUP(E526,Sheet2!$W:$AA,3,0)=0,"",VLOOKUP(E526,Sheet2!$W:$AA,3,0))</f>
        <v/>
      </c>
      <c r="Q526" s="6" t="str">
        <f>IF(VLOOKUP(E526,Sheet2!$W:$AA,4,0)=0,"",VLOOKUP(E526,Sheet2!$W:$AA,4,0))</f>
        <v/>
      </c>
      <c r="R526" s="8">
        <v>24</v>
      </c>
      <c r="S526" s="14">
        <v>2</v>
      </c>
    </row>
    <row r="527" spans="1:19">
      <c r="A527" s="6">
        <f t="shared" si="92"/>
        <v>10502</v>
      </c>
      <c r="B527" s="6">
        <f t="shared" si="93"/>
        <v>105</v>
      </c>
      <c r="C527" s="6">
        <f t="shared" si="91"/>
        <v>2</v>
      </c>
      <c r="D527" s="6" t="str">
        <f t="shared" si="95"/>
        <v>关卡105怪物2</v>
      </c>
      <c r="E527" s="6">
        <v>112</v>
      </c>
      <c r="G527" s="6" t="s">
        <v>949</v>
      </c>
      <c r="H527" s="6">
        <f t="shared" si="98"/>
        <v>0</v>
      </c>
      <c r="I527" s="6" t="str">
        <f>IF(VLOOKUP(E527,Sheet2!$W:$AA,5,0)=0,"",VLOOKUP(E527,Sheet2!$W:$AA,5,0))</f>
        <v/>
      </c>
      <c r="J527" s="6">
        <v>0</v>
      </c>
      <c r="K527" s="6">
        <v>0</v>
      </c>
      <c r="L527" s="6">
        <f>IF(VLOOKUP(E527,Sheet2!$W:$AA,2,0)=0,"",VLOOKUP(E527,Sheet2!$W:$AA,2,0))</f>
        <v>1</v>
      </c>
      <c r="N527" s="6" t="str">
        <f>IF(VLOOKUP(E527,Sheet2!$W:$AA,3,0)=0,"",VLOOKUP(E527,Sheet2!$W:$AA,3,0))</f>
        <v/>
      </c>
      <c r="Q527" s="6" t="str">
        <f>IF(VLOOKUP(E527,Sheet2!$W:$AA,4,0)=0,"",VLOOKUP(E527,Sheet2!$W:$AA,4,0))</f>
        <v>[{50015,6}]</v>
      </c>
      <c r="R527" s="8">
        <v>24</v>
      </c>
      <c r="S527" s="14">
        <v>2</v>
      </c>
    </row>
    <row r="528" spans="1:19">
      <c r="A528" s="6">
        <f t="shared" si="92"/>
        <v>10503</v>
      </c>
      <c r="B528" s="6">
        <f t="shared" si="93"/>
        <v>105</v>
      </c>
      <c r="C528" s="6">
        <f t="shared" si="91"/>
        <v>3</v>
      </c>
      <c r="D528" s="6" t="str">
        <f t="shared" si="96"/>
        <v>关卡105怪物3</v>
      </c>
      <c r="E528" s="6">
        <v>113</v>
      </c>
      <c r="G528" s="6" t="s">
        <v>950</v>
      </c>
      <c r="H528" s="6">
        <f t="shared" si="98"/>
        <v>0</v>
      </c>
      <c r="I528" s="6" t="str">
        <f>IF(VLOOKUP(E528,Sheet2!$W:$AA,5,0)=0,"",VLOOKUP(E528,Sheet2!$W:$AA,5,0))</f>
        <v>[60005]</v>
      </c>
      <c r="J528" s="6">
        <v>0</v>
      </c>
      <c r="K528" s="6">
        <v>0</v>
      </c>
      <c r="L528" s="6">
        <f>IF(VLOOKUP(E528,Sheet2!$W:$AA,2,0)=0,"",VLOOKUP(E528,Sheet2!$W:$AA,2,0))</f>
        <v>1</v>
      </c>
      <c r="N528" s="6" t="str">
        <f>IF(VLOOKUP(E528,Sheet2!$W:$AA,3,0)=0,"",VLOOKUP(E528,Sheet2!$W:$AA,3,0))</f>
        <v/>
      </c>
      <c r="Q528" s="6" t="str">
        <f>IF(VLOOKUP(E528,Sheet2!$W:$AA,4,0)=0,"",VLOOKUP(E528,Sheet2!$W:$AA,4,0))</f>
        <v>[{50016,6}]</v>
      </c>
      <c r="R528" s="8">
        <v>24</v>
      </c>
      <c r="S528" s="14">
        <v>2</v>
      </c>
    </row>
    <row r="529" spans="1:19">
      <c r="A529" s="6">
        <f t="shared" si="92"/>
        <v>10521</v>
      </c>
      <c r="B529" s="6">
        <f t="shared" si="93"/>
        <v>105</v>
      </c>
      <c r="C529" s="6">
        <f t="shared" si="91"/>
        <v>4</v>
      </c>
      <c r="D529" s="6" t="str">
        <f t="shared" si="97"/>
        <v>关卡105BOSS1</v>
      </c>
      <c r="E529" s="6">
        <v>511</v>
      </c>
      <c r="G529" s="6" t="s">
        <v>951</v>
      </c>
      <c r="H529" s="6">
        <f t="shared" si="98"/>
        <v>2</v>
      </c>
      <c r="I529" s="6" t="str">
        <f>IF(VLOOKUP(E529,Sheet2!$W:$AA,5,0)=0,"",VLOOKUP(E529,Sheet2!$W:$AA,5,0))</f>
        <v/>
      </c>
      <c r="J529" s="6">
        <v>0</v>
      </c>
      <c r="K529" s="6">
        <v>0</v>
      </c>
      <c r="L529" s="6" t="str">
        <f>IF(VLOOKUP(E529,Sheet2!$W:$AA,2,0)=0,"",VLOOKUP(E529,Sheet2!$W:$AA,2,0))</f>
        <v/>
      </c>
      <c r="N529" s="6" t="str">
        <f>IF(VLOOKUP(E529,Sheet2!$W:$AA,3,0)=0,"",VLOOKUP(E529,Sheet2!$W:$AA,3,0))</f>
        <v/>
      </c>
      <c r="Q529" s="6" t="str">
        <f>IF(VLOOKUP(E529,Sheet2!$W:$AA,4,0)=0,"",VLOOKUP(E529,Sheet2!$W:$AA,4,0))</f>
        <v/>
      </c>
      <c r="R529" s="8">
        <v>100</v>
      </c>
      <c r="S529" s="14">
        <v>2</v>
      </c>
    </row>
    <row r="530" spans="1:19">
      <c r="A530" s="6">
        <f t="shared" si="92"/>
        <v>10531</v>
      </c>
      <c r="B530" s="6">
        <f t="shared" si="93"/>
        <v>105</v>
      </c>
      <c r="C530" s="6">
        <f t="shared" si="91"/>
        <v>5</v>
      </c>
      <c r="D530" s="6" t="str">
        <f t="shared" si="99"/>
        <v>关卡105BOSS2</v>
      </c>
      <c r="E530" s="6">
        <v>511</v>
      </c>
      <c r="G530" s="6" t="s">
        <v>952</v>
      </c>
      <c r="H530" s="6">
        <f t="shared" si="98"/>
        <v>2</v>
      </c>
      <c r="I530" s="6" t="str">
        <f>IF(VLOOKUP(E530,Sheet2!$W:$AA,5,0)=0,"",VLOOKUP(E530,Sheet2!$W:$AA,5,0))</f>
        <v/>
      </c>
      <c r="J530" s="6">
        <v>0</v>
      </c>
      <c r="K530" s="6">
        <v>0</v>
      </c>
      <c r="L530" s="6" t="str">
        <f>IF(VLOOKUP(E530,Sheet2!$W:$AA,2,0)=0,"",VLOOKUP(E530,Sheet2!$W:$AA,2,0))</f>
        <v/>
      </c>
      <c r="N530" s="6" t="str">
        <f>IF(VLOOKUP(E530,Sheet2!$W:$AA,3,0)=0,"",VLOOKUP(E530,Sheet2!$W:$AA,3,0))</f>
        <v/>
      </c>
      <c r="Q530" s="6" t="str">
        <f>IF(VLOOKUP(E530,Sheet2!$W:$AA,4,0)=0,"",VLOOKUP(E530,Sheet2!$W:$AA,4,0))</f>
        <v/>
      </c>
      <c r="R530" s="8">
        <v>100</v>
      </c>
      <c r="S530" s="14">
        <v>2</v>
      </c>
    </row>
    <row r="531" spans="1:19">
      <c r="A531" s="6">
        <f t="shared" ref="A531:A555" si="100">A526+100</f>
        <v>10601</v>
      </c>
      <c r="B531" s="6">
        <f t="shared" si="93"/>
        <v>106</v>
      </c>
      <c r="C531" s="6">
        <f t="shared" si="91"/>
        <v>1</v>
      </c>
      <c r="D531" s="6" t="str">
        <f t="shared" ref="D531:D551" si="101">"关卡"&amp;B531&amp;"怪物1"</f>
        <v>关卡106怪物1</v>
      </c>
      <c r="E531" s="6">
        <v>103</v>
      </c>
      <c r="G531" s="6" t="s">
        <v>953</v>
      </c>
      <c r="H531" s="6">
        <f t="shared" si="98"/>
        <v>0</v>
      </c>
      <c r="I531" s="6" t="str">
        <f>IF(VLOOKUP(E531,Sheet2!$W:$AA,5,0)=0,"",VLOOKUP(E531,Sheet2!$W:$AA,5,0))</f>
        <v>[60001]</v>
      </c>
      <c r="J531" s="6">
        <v>0</v>
      </c>
      <c r="K531" s="6">
        <v>0</v>
      </c>
      <c r="L531" s="6" t="str">
        <f>IF(VLOOKUP(E531,Sheet2!$W:$AA,2,0)=0,"",VLOOKUP(E531,Sheet2!$W:$AA,2,0))</f>
        <v/>
      </c>
      <c r="N531" s="6" t="str">
        <f>IF(VLOOKUP(E531,Sheet2!$W:$AA,3,0)=0,"",VLOOKUP(E531,Sheet2!$W:$AA,3,0))</f>
        <v/>
      </c>
      <c r="Q531" s="6" t="str">
        <f>IF(VLOOKUP(E531,Sheet2!$W:$AA,4,0)=0,"",VLOOKUP(E531,Sheet2!$W:$AA,4,0))</f>
        <v/>
      </c>
      <c r="R531" s="8">
        <v>24</v>
      </c>
      <c r="S531" s="14">
        <v>2</v>
      </c>
    </row>
    <row r="532" spans="1:19">
      <c r="A532" s="6">
        <f t="shared" si="100"/>
        <v>10602</v>
      </c>
      <c r="B532" s="6">
        <f t="shared" si="93"/>
        <v>106</v>
      </c>
      <c r="C532" s="6">
        <f t="shared" si="91"/>
        <v>2</v>
      </c>
      <c r="D532" s="6" t="str">
        <f t="shared" ref="D532:D552" si="102">"关卡"&amp;B532&amp;"怪物2"</f>
        <v>关卡106怪物2</v>
      </c>
      <c r="E532" s="6">
        <v>104</v>
      </c>
      <c r="G532" s="6" t="s">
        <v>954</v>
      </c>
      <c r="H532" s="6">
        <f t="shared" si="98"/>
        <v>0</v>
      </c>
      <c r="I532" s="6" t="str">
        <f>IF(VLOOKUP(E532,Sheet2!$W:$AA,5,0)=0,"",VLOOKUP(E532,Sheet2!$W:$AA,5,0))</f>
        <v/>
      </c>
      <c r="J532" s="6">
        <v>0</v>
      </c>
      <c r="K532" s="6">
        <v>0</v>
      </c>
      <c r="L532" s="6" t="str">
        <f>IF(VLOOKUP(E532,Sheet2!$W:$AA,2,0)=0,"",VLOOKUP(E532,Sheet2!$W:$AA,2,0))</f>
        <v/>
      </c>
      <c r="N532" s="6" t="str">
        <f>IF(VLOOKUP(E532,Sheet2!$W:$AA,3,0)=0,"",VLOOKUP(E532,Sheet2!$W:$AA,3,0))</f>
        <v/>
      </c>
      <c r="Q532" s="6" t="str">
        <f>IF(VLOOKUP(E532,Sheet2!$W:$AA,4,0)=0,"",VLOOKUP(E532,Sheet2!$W:$AA,4,0))</f>
        <v/>
      </c>
      <c r="R532" s="8">
        <v>24</v>
      </c>
      <c r="S532" s="14">
        <v>2</v>
      </c>
    </row>
    <row r="533" spans="1:19">
      <c r="A533" s="6">
        <f t="shared" si="100"/>
        <v>10603</v>
      </c>
      <c r="B533" s="6">
        <f t="shared" si="93"/>
        <v>106</v>
      </c>
      <c r="C533" s="6">
        <f t="shared" si="91"/>
        <v>3</v>
      </c>
      <c r="D533" s="6" t="str">
        <f t="shared" ref="D533:D553" si="103">"关卡"&amp;B533&amp;"怪物3"</f>
        <v>关卡106怪物3</v>
      </c>
      <c r="E533" s="6">
        <v>105</v>
      </c>
      <c r="G533" s="6" t="s">
        <v>955</v>
      </c>
      <c r="H533" s="6">
        <f t="shared" si="98"/>
        <v>0</v>
      </c>
      <c r="I533" s="6" t="str">
        <f>IF(VLOOKUP(E533,Sheet2!$W:$AA,5,0)=0,"",VLOOKUP(E533,Sheet2!$W:$AA,5,0))</f>
        <v>[60003]</v>
      </c>
      <c r="J533" s="6">
        <v>0</v>
      </c>
      <c r="K533" s="6">
        <v>0</v>
      </c>
      <c r="L533" s="6" t="str">
        <f>IF(VLOOKUP(E533,Sheet2!$W:$AA,2,0)=0,"",VLOOKUP(E533,Sheet2!$W:$AA,2,0))</f>
        <v/>
      </c>
      <c r="N533" s="6" t="str">
        <f>IF(VLOOKUP(E533,Sheet2!$W:$AA,3,0)=0,"",VLOOKUP(E533,Sheet2!$W:$AA,3,0))</f>
        <v/>
      </c>
      <c r="Q533" s="6" t="str">
        <f>IF(VLOOKUP(E533,Sheet2!$W:$AA,4,0)=0,"",VLOOKUP(E533,Sheet2!$W:$AA,4,0))</f>
        <v/>
      </c>
      <c r="R533" s="8">
        <v>24</v>
      </c>
      <c r="S533" s="14">
        <v>2</v>
      </c>
    </row>
    <row r="534" spans="1:19">
      <c r="A534" s="6">
        <f t="shared" si="100"/>
        <v>10621</v>
      </c>
      <c r="B534" s="6">
        <f t="shared" si="93"/>
        <v>106</v>
      </c>
      <c r="C534" s="6">
        <f t="shared" si="91"/>
        <v>4</v>
      </c>
      <c r="D534" s="6" t="str">
        <f t="shared" ref="D534:D554" si="104">"关卡"&amp;B534&amp;"BOSS1"</f>
        <v>关卡106BOSS1</v>
      </c>
      <c r="E534" s="6">
        <v>103</v>
      </c>
      <c r="G534" s="6" t="s">
        <v>956</v>
      </c>
      <c r="H534" s="6">
        <f t="shared" si="98"/>
        <v>2</v>
      </c>
      <c r="I534" s="6" t="str">
        <f>IF(VLOOKUP(E534,Sheet2!$W:$AA,5,0)=0,"",VLOOKUP(E534,Sheet2!$W:$AA,5,0))</f>
        <v>[60001]</v>
      </c>
      <c r="J534" s="6">
        <v>0</v>
      </c>
      <c r="K534" s="6">
        <v>0</v>
      </c>
      <c r="L534" s="6" t="str">
        <f>IF(VLOOKUP(E534,Sheet2!$W:$AA,2,0)=0,"",VLOOKUP(E534,Sheet2!$W:$AA,2,0))</f>
        <v/>
      </c>
      <c r="N534" s="6" t="str">
        <f>IF(VLOOKUP(E534,Sheet2!$W:$AA,3,0)=0,"",VLOOKUP(E534,Sheet2!$W:$AA,3,0))</f>
        <v/>
      </c>
      <c r="Q534" s="6" t="str">
        <f>IF(VLOOKUP(E534,Sheet2!$W:$AA,4,0)=0,"",VLOOKUP(E534,Sheet2!$W:$AA,4,0))</f>
        <v/>
      </c>
      <c r="R534" s="8">
        <v>100</v>
      </c>
      <c r="S534" s="14">
        <v>2</v>
      </c>
    </row>
    <row r="535" spans="1:19">
      <c r="A535" s="6">
        <f t="shared" si="100"/>
        <v>10631</v>
      </c>
      <c r="B535" s="6">
        <f t="shared" si="93"/>
        <v>106</v>
      </c>
      <c r="C535" s="6">
        <f t="shared" si="91"/>
        <v>5</v>
      </c>
      <c r="D535" s="6" t="str">
        <f t="shared" ref="D535:D555" si="105">"关卡"&amp;B535&amp;"BOSS2"</f>
        <v>关卡106BOSS2</v>
      </c>
      <c r="E535" s="6">
        <v>103</v>
      </c>
      <c r="G535" s="6" t="s">
        <v>957</v>
      </c>
      <c r="H535" s="6">
        <f t="shared" si="98"/>
        <v>2</v>
      </c>
      <c r="I535" s="6" t="str">
        <f>IF(VLOOKUP(E535,Sheet2!$W:$AA,5,0)=0,"",VLOOKUP(E535,Sheet2!$W:$AA,5,0))</f>
        <v>[60001]</v>
      </c>
      <c r="J535" s="6">
        <v>0</v>
      </c>
      <c r="K535" s="6">
        <v>0</v>
      </c>
      <c r="L535" s="6" t="str">
        <f>IF(VLOOKUP(E535,Sheet2!$W:$AA,2,0)=0,"",VLOOKUP(E535,Sheet2!$W:$AA,2,0))</f>
        <v/>
      </c>
      <c r="N535" s="6" t="str">
        <f>IF(VLOOKUP(E535,Sheet2!$W:$AA,3,0)=0,"",VLOOKUP(E535,Sheet2!$W:$AA,3,0))</f>
        <v/>
      </c>
      <c r="Q535" s="6" t="str">
        <f>IF(VLOOKUP(E535,Sheet2!$W:$AA,4,0)=0,"",VLOOKUP(E535,Sheet2!$W:$AA,4,0))</f>
        <v/>
      </c>
      <c r="R535" s="8">
        <v>100</v>
      </c>
      <c r="S535" s="14">
        <v>2</v>
      </c>
    </row>
    <row r="536" spans="1:19">
      <c r="A536" s="6">
        <f t="shared" si="100"/>
        <v>10701</v>
      </c>
      <c r="B536" s="6">
        <f t="shared" si="93"/>
        <v>107</v>
      </c>
      <c r="C536" s="6">
        <f t="shared" si="91"/>
        <v>1</v>
      </c>
      <c r="D536" s="6" t="str">
        <f t="shared" si="101"/>
        <v>关卡107怪物1</v>
      </c>
      <c r="E536" s="6">
        <v>117</v>
      </c>
      <c r="G536" s="6" t="s">
        <v>958</v>
      </c>
      <c r="H536" s="6">
        <f t="shared" si="98"/>
        <v>0</v>
      </c>
      <c r="I536" s="6" t="str">
        <f>IF(VLOOKUP(E536,Sheet2!$W:$AA,5,0)=0,"",VLOOKUP(E536,Sheet2!$W:$AA,5,0))</f>
        <v/>
      </c>
      <c r="J536" s="6">
        <v>0</v>
      </c>
      <c r="K536" s="6">
        <v>0</v>
      </c>
      <c r="L536" s="6" t="str">
        <f>IF(VLOOKUP(E536,Sheet2!$W:$AA,2,0)=0,"",VLOOKUP(E536,Sheet2!$W:$AA,2,0))</f>
        <v/>
      </c>
      <c r="N536" s="6" t="str">
        <f>IF(VLOOKUP(E536,Sheet2!$W:$AA,3,0)=0,"",VLOOKUP(E536,Sheet2!$W:$AA,3,0))</f>
        <v/>
      </c>
      <c r="Q536" s="6" t="str">
        <f>IF(VLOOKUP(E536,Sheet2!$W:$AA,4,0)=0,"",VLOOKUP(E536,Sheet2!$W:$AA,4,0))</f>
        <v/>
      </c>
      <c r="R536" s="8">
        <v>24</v>
      </c>
      <c r="S536" s="14">
        <v>2</v>
      </c>
    </row>
    <row r="537" spans="1:19">
      <c r="A537" s="6">
        <f t="shared" si="100"/>
        <v>10702</v>
      </c>
      <c r="B537" s="6">
        <f t="shared" si="93"/>
        <v>107</v>
      </c>
      <c r="C537" s="6">
        <f t="shared" si="91"/>
        <v>2</v>
      </c>
      <c r="D537" s="6" t="str">
        <f t="shared" si="102"/>
        <v>关卡107怪物2</v>
      </c>
      <c r="E537" s="6">
        <v>116</v>
      </c>
      <c r="G537" s="6" t="s">
        <v>959</v>
      </c>
      <c r="H537" s="6">
        <f t="shared" si="98"/>
        <v>0</v>
      </c>
      <c r="I537" s="6" t="str">
        <f>IF(VLOOKUP(E537,Sheet2!$W:$AA,5,0)=0,"",VLOOKUP(E537,Sheet2!$W:$AA,5,0))</f>
        <v>[60007]</v>
      </c>
      <c r="J537" s="6">
        <v>0</v>
      </c>
      <c r="K537" s="6">
        <v>0</v>
      </c>
      <c r="L537" s="6" t="str">
        <f>IF(VLOOKUP(E537,Sheet2!$W:$AA,2,0)=0,"",VLOOKUP(E537,Sheet2!$W:$AA,2,0))</f>
        <v/>
      </c>
      <c r="N537" s="6" t="str">
        <f>IF(VLOOKUP(E537,Sheet2!$W:$AA,3,0)=0,"",VLOOKUP(E537,Sheet2!$W:$AA,3,0))</f>
        <v/>
      </c>
      <c r="Q537" s="6" t="str">
        <f>IF(VLOOKUP(E537,Sheet2!$W:$AA,4,0)=0,"",VLOOKUP(E537,Sheet2!$W:$AA,4,0))</f>
        <v/>
      </c>
      <c r="R537" s="8">
        <v>24</v>
      </c>
      <c r="S537" s="14">
        <v>2</v>
      </c>
    </row>
    <row r="538" spans="1:19">
      <c r="A538" s="6">
        <f t="shared" si="100"/>
        <v>10703</v>
      </c>
      <c r="B538" s="6">
        <f t="shared" si="93"/>
        <v>107</v>
      </c>
      <c r="C538" s="6">
        <f t="shared" si="91"/>
        <v>3</v>
      </c>
      <c r="D538" s="6" t="str">
        <f t="shared" si="103"/>
        <v>关卡107怪物3</v>
      </c>
      <c r="E538" s="6">
        <v>112</v>
      </c>
      <c r="G538" s="6" t="s">
        <v>960</v>
      </c>
      <c r="H538" s="6">
        <f t="shared" si="98"/>
        <v>0</v>
      </c>
      <c r="I538" s="6" t="str">
        <f>IF(VLOOKUP(E538,Sheet2!$W:$AA,5,0)=0,"",VLOOKUP(E538,Sheet2!$W:$AA,5,0))</f>
        <v/>
      </c>
      <c r="J538" s="6">
        <v>0</v>
      </c>
      <c r="K538" s="6">
        <v>0</v>
      </c>
      <c r="L538" s="6">
        <f>IF(VLOOKUP(E538,Sheet2!$W:$AA,2,0)=0,"",VLOOKUP(E538,Sheet2!$W:$AA,2,0))</f>
        <v>1</v>
      </c>
      <c r="N538" s="6" t="str">
        <f>IF(VLOOKUP(E538,Sheet2!$W:$AA,3,0)=0,"",VLOOKUP(E538,Sheet2!$W:$AA,3,0))</f>
        <v/>
      </c>
      <c r="Q538" s="6" t="str">
        <f>IF(VLOOKUP(E538,Sheet2!$W:$AA,4,0)=0,"",VLOOKUP(E538,Sheet2!$W:$AA,4,0))</f>
        <v>[{50015,6}]</v>
      </c>
      <c r="R538" s="8">
        <v>24</v>
      </c>
      <c r="S538" s="14">
        <v>2</v>
      </c>
    </row>
    <row r="539" spans="1:19">
      <c r="A539" s="6">
        <f t="shared" si="100"/>
        <v>10721</v>
      </c>
      <c r="B539" s="6">
        <f t="shared" si="93"/>
        <v>107</v>
      </c>
      <c r="C539" s="6">
        <f t="shared" si="91"/>
        <v>4</v>
      </c>
      <c r="D539" s="6" t="str">
        <f t="shared" si="104"/>
        <v>关卡107BOSS1</v>
      </c>
      <c r="E539" s="6">
        <v>117</v>
      </c>
      <c r="G539" s="6" t="s">
        <v>961</v>
      </c>
      <c r="H539" s="6">
        <f t="shared" si="98"/>
        <v>2</v>
      </c>
      <c r="I539" s="6" t="str">
        <f>IF(VLOOKUP(E539,Sheet2!$W:$AA,5,0)=0,"",VLOOKUP(E539,Sheet2!$W:$AA,5,0))</f>
        <v/>
      </c>
      <c r="J539" s="6">
        <v>0</v>
      </c>
      <c r="K539" s="6">
        <v>0</v>
      </c>
      <c r="L539" s="6" t="str">
        <f>IF(VLOOKUP(E539,Sheet2!$W:$AA,2,0)=0,"",VLOOKUP(E539,Sheet2!$W:$AA,2,0))</f>
        <v/>
      </c>
      <c r="N539" s="6" t="str">
        <f>IF(VLOOKUP(E539,Sheet2!$W:$AA,3,0)=0,"",VLOOKUP(E539,Sheet2!$W:$AA,3,0))</f>
        <v/>
      </c>
      <c r="Q539" s="6" t="str">
        <f>IF(VLOOKUP(E539,Sheet2!$W:$AA,4,0)=0,"",VLOOKUP(E539,Sheet2!$W:$AA,4,0))</f>
        <v/>
      </c>
      <c r="R539" s="8">
        <v>100</v>
      </c>
      <c r="S539" s="14">
        <v>2</v>
      </c>
    </row>
    <row r="540" spans="1:19">
      <c r="A540" s="6">
        <f t="shared" si="100"/>
        <v>10731</v>
      </c>
      <c r="B540" s="6">
        <f t="shared" si="93"/>
        <v>107</v>
      </c>
      <c r="C540" s="6">
        <f t="shared" si="91"/>
        <v>5</v>
      </c>
      <c r="D540" s="6" t="str">
        <f t="shared" si="105"/>
        <v>关卡107BOSS2</v>
      </c>
      <c r="E540" s="6">
        <v>117</v>
      </c>
      <c r="G540" s="6" t="s">
        <v>962</v>
      </c>
      <c r="H540" s="6">
        <f t="shared" si="98"/>
        <v>2</v>
      </c>
      <c r="I540" s="6" t="str">
        <f>IF(VLOOKUP(E540,Sheet2!$W:$AA,5,0)=0,"",VLOOKUP(E540,Sheet2!$W:$AA,5,0))</f>
        <v/>
      </c>
      <c r="J540" s="6">
        <v>0</v>
      </c>
      <c r="K540" s="6">
        <v>0</v>
      </c>
      <c r="L540" s="6" t="str">
        <f>IF(VLOOKUP(E540,Sheet2!$W:$AA,2,0)=0,"",VLOOKUP(E540,Sheet2!$W:$AA,2,0))</f>
        <v/>
      </c>
      <c r="N540" s="6" t="str">
        <f>IF(VLOOKUP(E540,Sheet2!$W:$AA,3,0)=0,"",VLOOKUP(E540,Sheet2!$W:$AA,3,0))</f>
        <v/>
      </c>
      <c r="Q540" s="6" t="str">
        <f>IF(VLOOKUP(E540,Sheet2!$W:$AA,4,0)=0,"",VLOOKUP(E540,Sheet2!$W:$AA,4,0))</f>
        <v/>
      </c>
      <c r="R540" s="8">
        <v>100</v>
      </c>
      <c r="S540" s="14">
        <v>2</v>
      </c>
    </row>
    <row r="541" spans="1:19">
      <c r="A541" s="6">
        <f t="shared" si="100"/>
        <v>10801</v>
      </c>
      <c r="B541" s="6">
        <f t="shared" si="93"/>
        <v>108</v>
      </c>
      <c r="C541" s="6">
        <f t="shared" si="91"/>
        <v>1</v>
      </c>
      <c r="D541" s="6" t="str">
        <f t="shared" si="101"/>
        <v>关卡108怪物1</v>
      </c>
      <c r="E541" s="6">
        <v>119</v>
      </c>
      <c r="G541" s="6" t="s">
        <v>963</v>
      </c>
      <c r="H541" s="6">
        <f t="shared" si="98"/>
        <v>0</v>
      </c>
      <c r="I541" s="6" t="str">
        <f>IF(VLOOKUP(E541,Sheet2!$W:$AA,5,0)=0,"",VLOOKUP(E541,Sheet2!$W:$AA,5,0))</f>
        <v/>
      </c>
      <c r="J541" s="6">
        <v>0</v>
      </c>
      <c r="K541" s="6">
        <v>0</v>
      </c>
      <c r="L541" s="6">
        <f>IF(VLOOKUP(E541,Sheet2!$W:$AA,2,0)=0,"",VLOOKUP(E541,Sheet2!$W:$AA,2,0))</f>
        <v>1</v>
      </c>
      <c r="N541" s="6" t="str">
        <f>IF(VLOOKUP(E541,Sheet2!$W:$AA,3,0)=0,"",VLOOKUP(E541,Sheet2!$W:$AA,3,0))</f>
        <v/>
      </c>
      <c r="Q541" s="6" t="str">
        <f>IF(VLOOKUP(E541,Sheet2!$W:$AA,4,0)=0,"",VLOOKUP(E541,Sheet2!$W:$AA,4,0))</f>
        <v>[{50018,6}]</v>
      </c>
      <c r="R541" s="8">
        <v>24</v>
      </c>
      <c r="S541" s="14">
        <v>2</v>
      </c>
    </row>
    <row r="542" spans="1:19">
      <c r="A542" s="6">
        <f t="shared" si="100"/>
        <v>10802</v>
      </c>
      <c r="B542" s="6">
        <f t="shared" si="93"/>
        <v>108</v>
      </c>
      <c r="C542" s="6">
        <f t="shared" si="91"/>
        <v>2</v>
      </c>
      <c r="D542" s="6" t="str">
        <f t="shared" si="102"/>
        <v>关卡108怪物2</v>
      </c>
      <c r="E542" s="6">
        <v>116</v>
      </c>
      <c r="G542" s="6" t="s">
        <v>964</v>
      </c>
      <c r="H542" s="6">
        <f t="shared" si="98"/>
        <v>0</v>
      </c>
      <c r="I542" s="6" t="str">
        <f>IF(VLOOKUP(E542,Sheet2!$W:$AA,5,0)=0,"",VLOOKUP(E542,Sheet2!$W:$AA,5,0))</f>
        <v>[60007]</v>
      </c>
      <c r="J542" s="6">
        <v>0</v>
      </c>
      <c r="K542" s="6">
        <v>0</v>
      </c>
      <c r="L542" s="6" t="str">
        <f>IF(VLOOKUP(E542,Sheet2!$W:$AA,2,0)=0,"",VLOOKUP(E542,Sheet2!$W:$AA,2,0))</f>
        <v/>
      </c>
      <c r="N542" s="6" t="str">
        <f>IF(VLOOKUP(E542,Sheet2!$W:$AA,3,0)=0,"",VLOOKUP(E542,Sheet2!$W:$AA,3,0))</f>
        <v/>
      </c>
      <c r="Q542" s="6" t="str">
        <f>IF(VLOOKUP(E542,Sheet2!$W:$AA,4,0)=0,"",VLOOKUP(E542,Sheet2!$W:$AA,4,0))</f>
        <v/>
      </c>
      <c r="R542" s="8">
        <v>24</v>
      </c>
      <c r="S542" s="14">
        <v>2</v>
      </c>
    </row>
    <row r="543" spans="1:19">
      <c r="A543" s="6">
        <f t="shared" si="100"/>
        <v>10803</v>
      </c>
      <c r="B543" s="6">
        <f t="shared" si="93"/>
        <v>108</v>
      </c>
      <c r="C543" s="6">
        <f t="shared" si="91"/>
        <v>3</v>
      </c>
      <c r="D543" s="6" t="str">
        <f t="shared" si="103"/>
        <v>关卡108怪物3</v>
      </c>
      <c r="E543" s="6">
        <v>118</v>
      </c>
      <c r="G543" s="6" t="s">
        <v>965</v>
      </c>
      <c r="H543" s="6">
        <f t="shared" si="98"/>
        <v>0</v>
      </c>
      <c r="I543" s="6" t="str">
        <f>IF(VLOOKUP(E543,Sheet2!$W:$AA,5,0)=0,"",VLOOKUP(E543,Sheet2!$W:$AA,5,0))</f>
        <v>[60009]</v>
      </c>
      <c r="J543" s="6">
        <v>0</v>
      </c>
      <c r="K543" s="6">
        <v>0</v>
      </c>
      <c r="L543" s="6">
        <f>IF(VLOOKUP(E543,Sheet2!$W:$AA,2,0)=0,"",VLOOKUP(E543,Sheet2!$W:$AA,2,0))</f>
        <v>1</v>
      </c>
      <c r="N543" s="6" t="str">
        <f>IF(VLOOKUP(E543,Sheet2!$W:$AA,3,0)=0,"",VLOOKUP(E543,Sheet2!$W:$AA,3,0))</f>
        <v/>
      </c>
      <c r="Q543" s="6" t="str">
        <f>IF(VLOOKUP(E543,Sheet2!$W:$AA,4,0)=0,"",VLOOKUP(E543,Sheet2!$W:$AA,4,0))</f>
        <v>[{50017,6}]</v>
      </c>
      <c r="R543" s="8">
        <v>24</v>
      </c>
      <c r="S543" s="14">
        <v>2</v>
      </c>
    </row>
    <row r="544" spans="1:19">
      <c r="A544" s="6">
        <f t="shared" si="100"/>
        <v>10821</v>
      </c>
      <c r="B544" s="6">
        <f t="shared" si="93"/>
        <v>108</v>
      </c>
      <c r="C544" s="6">
        <f t="shared" si="91"/>
        <v>4</v>
      </c>
      <c r="D544" s="6" t="str">
        <f t="shared" si="104"/>
        <v>关卡108BOSS1</v>
      </c>
      <c r="E544" s="6">
        <v>119</v>
      </c>
      <c r="G544" s="6" t="s">
        <v>966</v>
      </c>
      <c r="H544" s="6">
        <f t="shared" si="98"/>
        <v>2</v>
      </c>
      <c r="I544" s="6" t="str">
        <f>IF(VLOOKUP(E544,Sheet2!$W:$AA,5,0)=0,"",VLOOKUP(E544,Sheet2!$W:$AA,5,0))</f>
        <v/>
      </c>
      <c r="J544" s="6">
        <v>0</v>
      </c>
      <c r="K544" s="6">
        <v>0</v>
      </c>
      <c r="L544" s="6">
        <f>IF(VLOOKUP(E544,Sheet2!$W:$AA,2,0)=0,"",VLOOKUP(E544,Sheet2!$W:$AA,2,0))</f>
        <v>1</v>
      </c>
      <c r="N544" s="6" t="str">
        <f>IF(VLOOKUP(E544,Sheet2!$W:$AA,3,0)=0,"",VLOOKUP(E544,Sheet2!$W:$AA,3,0))</f>
        <v/>
      </c>
      <c r="Q544" s="6" t="str">
        <f>IF(VLOOKUP(E544,Sheet2!$W:$AA,4,0)=0,"",VLOOKUP(E544,Sheet2!$W:$AA,4,0))</f>
        <v>[{50018,6}]</v>
      </c>
      <c r="R544" s="8">
        <v>100</v>
      </c>
      <c r="S544" s="14">
        <v>2</v>
      </c>
    </row>
    <row r="545" spans="1:19">
      <c r="A545" s="6">
        <f t="shared" si="100"/>
        <v>10831</v>
      </c>
      <c r="B545" s="6">
        <f t="shared" si="93"/>
        <v>108</v>
      </c>
      <c r="C545" s="6">
        <f t="shared" si="91"/>
        <v>5</v>
      </c>
      <c r="D545" s="6" t="str">
        <f t="shared" si="105"/>
        <v>关卡108BOSS2</v>
      </c>
      <c r="E545" s="6">
        <v>119</v>
      </c>
      <c r="G545" s="6" t="s">
        <v>967</v>
      </c>
      <c r="H545" s="6">
        <f t="shared" si="98"/>
        <v>2</v>
      </c>
      <c r="I545" s="6" t="str">
        <f>IF(VLOOKUP(E545,Sheet2!$W:$AA,5,0)=0,"",VLOOKUP(E545,Sheet2!$W:$AA,5,0))</f>
        <v/>
      </c>
      <c r="J545" s="6">
        <v>0</v>
      </c>
      <c r="K545" s="6">
        <v>0</v>
      </c>
      <c r="L545" s="6">
        <f>IF(VLOOKUP(E545,Sheet2!$W:$AA,2,0)=0,"",VLOOKUP(E545,Sheet2!$W:$AA,2,0))</f>
        <v>1</v>
      </c>
      <c r="N545" s="6" t="str">
        <f>IF(VLOOKUP(E545,Sheet2!$W:$AA,3,0)=0,"",VLOOKUP(E545,Sheet2!$W:$AA,3,0))</f>
        <v/>
      </c>
      <c r="Q545" s="6" t="str">
        <f>IF(VLOOKUP(E545,Sheet2!$W:$AA,4,0)=0,"",VLOOKUP(E545,Sheet2!$W:$AA,4,0))</f>
        <v>[{50018,6}]</v>
      </c>
      <c r="R545" s="8">
        <v>100</v>
      </c>
      <c r="S545" s="14">
        <v>2</v>
      </c>
    </row>
    <row r="546" spans="1:19">
      <c r="A546" s="6">
        <f t="shared" si="100"/>
        <v>10901</v>
      </c>
      <c r="B546" s="6">
        <f t="shared" si="93"/>
        <v>109</v>
      </c>
      <c r="C546" s="6">
        <f t="shared" si="91"/>
        <v>1</v>
      </c>
      <c r="D546" s="6" t="str">
        <f t="shared" si="101"/>
        <v>关卡109怪物1</v>
      </c>
      <c r="E546" s="6">
        <v>108</v>
      </c>
      <c r="G546" s="6" t="s">
        <v>968</v>
      </c>
      <c r="H546" s="6">
        <f t="shared" si="98"/>
        <v>0</v>
      </c>
      <c r="I546" s="6" t="str">
        <f>IF(VLOOKUP(E546,Sheet2!$W:$AA,5,0)=0,"",VLOOKUP(E546,Sheet2!$W:$AA,5,0))</f>
        <v/>
      </c>
      <c r="J546" s="6">
        <v>0</v>
      </c>
      <c r="K546" s="6">
        <v>0</v>
      </c>
      <c r="L546" s="6" t="str">
        <f>IF(VLOOKUP(E546,Sheet2!$W:$AA,2,0)=0,"",VLOOKUP(E546,Sheet2!$W:$AA,2,0))</f>
        <v/>
      </c>
      <c r="N546" s="6" t="str">
        <f>IF(VLOOKUP(E546,Sheet2!$W:$AA,3,0)=0,"",VLOOKUP(E546,Sheet2!$W:$AA,3,0))</f>
        <v/>
      </c>
      <c r="Q546" s="6" t="str">
        <f>IF(VLOOKUP(E546,Sheet2!$W:$AA,4,0)=0,"",VLOOKUP(E546,Sheet2!$W:$AA,4,0))</f>
        <v/>
      </c>
      <c r="R546" s="8">
        <v>24</v>
      </c>
      <c r="S546" s="14">
        <v>2</v>
      </c>
    </row>
    <row r="547" spans="1:19">
      <c r="A547" s="6">
        <f t="shared" si="100"/>
        <v>10902</v>
      </c>
      <c r="B547" s="6">
        <f t="shared" si="93"/>
        <v>109</v>
      </c>
      <c r="C547" s="6">
        <f t="shared" si="91"/>
        <v>2</v>
      </c>
      <c r="D547" s="6" t="str">
        <f t="shared" si="102"/>
        <v>关卡109怪物2</v>
      </c>
      <c r="E547" s="6">
        <v>107</v>
      </c>
      <c r="G547" s="6" t="s">
        <v>969</v>
      </c>
      <c r="H547" s="6">
        <f t="shared" si="98"/>
        <v>0</v>
      </c>
      <c r="I547" s="6" t="str">
        <f>IF(VLOOKUP(E547,Sheet2!$W:$AA,5,0)=0,"",VLOOKUP(E547,Sheet2!$W:$AA,5,0))</f>
        <v>[60004]</v>
      </c>
      <c r="J547" s="6">
        <v>0</v>
      </c>
      <c r="K547" s="6">
        <v>0</v>
      </c>
      <c r="L547" s="6">
        <f>IF(VLOOKUP(E547,Sheet2!$W:$AA,2,0)=0,"",VLOOKUP(E547,Sheet2!$W:$AA,2,0))</f>
        <v>1</v>
      </c>
      <c r="N547" s="6" t="str">
        <f>IF(VLOOKUP(E547,Sheet2!$W:$AA,3,0)=0,"",VLOOKUP(E547,Sheet2!$W:$AA,3,0))</f>
        <v/>
      </c>
      <c r="Q547" s="6" t="str">
        <f>IF(VLOOKUP(E547,Sheet2!$W:$AA,4,0)=0,"",VLOOKUP(E547,Sheet2!$W:$AA,4,0))</f>
        <v>[{50013,6}]</v>
      </c>
      <c r="R547" s="8">
        <v>24</v>
      </c>
      <c r="S547" s="14">
        <v>2</v>
      </c>
    </row>
    <row r="548" spans="1:19">
      <c r="A548" s="6">
        <f t="shared" si="100"/>
        <v>10903</v>
      </c>
      <c r="B548" s="6">
        <f t="shared" si="93"/>
        <v>109</v>
      </c>
      <c r="C548" s="6">
        <f t="shared" si="91"/>
        <v>3</v>
      </c>
      <c r="D548" s="6" t="str">
        <f t="shared" si="103"/>
        <v>关卡109怪物3</v>
      </c>
      <c r="E548" s="6">
        <v>109</v>
      </c>
      <c r="G548" s="6" t="s">
        <v>970</v>
      </c>
      <c r="H548" s="6">
        <f t="shared" si="98"/>
        <v>0</v>
      </c>
      <c r="I548" s="6" t="str">
        <f>IF(VLOOKUP(E548,Sheet2!$W:$AA,5,0)=0,"",VLOOKUP(E548,Sheet2!$W:$AA,5,0))</f>
        <v/>
      </c>
      <c r="J548" s="6">
        <v>0</v>
      </c>
      <c r="K548" s="6">
        <v>0</v>
      </c>
      <c r="L548" s="6">
        <f>IF(VLOOKUP(E548,Sheet2!$W:$AA,2,0)=0,"",VLOOKUP(E548,Sheet2!$W:$AA,2,0))</f>
        <v>1</v>
      </c>
      <c r="N548" s="6" t="str">
        <f>IF(VLOOKUP(E548,Sheet2!$W:$AA,3,0)=0,"",VLOOKUP(E548,Sheet2!$W:$AA,3,0))</f>
        <v/>
      </c>
      <c r="Q548" s="6" t="str">
        <f>IF(VLOOKUP(E548,Sheet2!$W:$AA,4,0)=0,"",VLOOKUP(E548,Sheet2!$W:$AA,4,0))</f>
        <v>[{50014,6}]</v>
      </c>
      <c r="R548" s="8">
        <v>24</v>
      </c>
      <c r="S548" s="14">
        <v>2</v>
      </c>
    </row>
    <row r="549" spans="1:19">
      <c r="A549" s="6">
        <f t="shared" si="100"/>
        <v>10921</v>
      </c>
      <c r="B549" s="6">
        <f t="shared" si="93"/>
        <v>109</v>
      </c>
      <c r="C549" s="6">
        <f t="shared" si="91"/>
        <v>4</v>
      </c>
      <c r="D549" s="6" t="str">
        <f t="shared" si="104"/>
        <v>关卡109BOSS1</v>
      </c>
      <c r="E549" s="6">
        <v>109</v>
      </c>
      <c r="G549" s="6" t="s">
        <v>971</v>
      </c>
      <c r="H549" s="6">
        <f t="shared" si="98"/>
        <v>2</v>
      </c>
      <c r="I549" s="6" t="str">
        <f>IF(VLOOKUP(E549,Sheet2!$W:$AA,5,0)=0,"",VLOOKUP(E549,Sheet2!$W:$AA,5,0))</f>
        <v/>
      </c>
      <c r="J549" s="6">
        <v>0</v>
      </c>
      <c r="K549" s="6">
        <v>0</v>
      </c>
      <c r="L549" s="6">
        <f>IF(VLOOKUP(E549,Sheet2!$W:$AA,2,0)=0,"",VLOOKUP(E549,Sheet2!$W:$AA,2,0))</f>
        <v>1</v>
      </c>
      <c r="N549" s="6" t="str">
        <f>IF(VLOOKUP(E549,Sheet2!$W:$AA,3,0)=0,"",VLOOKUP(E549,Sheet2!$W:$AA,3,0))</f>
        <v/>
      </c>
      <c r="Q549" s="6" t="str">
        <f>IF(VLOOKUP(E549,Sheet2!$W:$AA,4,0)=0,"",VLOOKUP(E549,Sheet2!$W:$AA,4,0))</f>
        <v>[{50014,6}]</v>
      </c>
      <c r="R549" s="8">
        <v>100</v>
      </c>
      <c r="S549" s="14">
        <v>2</v>
      </c>
    </row>
    <row r="550" spans="1:19">
      <c r="A550" s="6">
        <f t="shared" si="100"/>
        <v>10931</v>
      </c>
      <c r="B550" s="6">
        <f t="shared" si="93"/>
        <v>109</v>
      </c>
      <c r="C550" s="6">
        <f t="shared" si="91"/>
        <v>5</v>
      </c>
      <c r="D550" s="6" t="str">
        <f t="shared" si="105"/>
        <v>关卡109BOSS2</v>
      </c>
      <c r="E550" s="6">
        <v>109</v>
      </c>
      <c r="G550" s="6" t="s">
        <v>972</v>
      </c>
      <c r="H550" s="6">
        <f t="shared" si="98"/>
        <v>2</v>
      </c>
      <c r="I550" s="6" t="str">
        <f>IF(VLOOKUP(E550,Sheet2!$W:$AA,5,0)=0,"",VLOOKUP(E550,Sheet2!$W:$AA,5,0))</f>
        <v/>
      </c>
      <c r="J550" s="6">
        <v>0</v>
      </c>
      <c r="K550" s="6">
        <v>0</v>
      </c>
      <c r="L550" s="6">
        <f>IF(VLOOKUP(E550,Sheet2!$W:$AA,2,0)=0,"",VLOOKUP(E550,Sheet2!$W:$AA,2,0))</f>
        <v>1</v>
      </c>
      <c r="N550" s="6" t="str">
        <f>IF(VLOOKUP(E550,Sheet2!$W:$AA,3,0)=0,"",VLOOKUP(E550,Sheet2!$W:$AA,3,0))</f>
        <v/>
      </c>
      <c r="Q550" s="6" t="str">
        <f>IF(VLOOKUP(E550,Sheet2!$W:$AA,4,0)=0,"",VLOOKUP(E550,Sheet2!$W:$AA,4,0))</f>
        <v>[{50014,6}]</v>
      </c>
      <c r="R550" s="8">
        <v>100</v>
      </c>
      <c r="S550" s="14">
        <v>2</v>
      </c>
    </row>
    <row r="551" spans="1:19">
      <c r="A551" s="6">
        <f t="shared" si="100"/>
        <v>11001</v>
      </c>
      <c r="B551" s="6">
        <f t="shared" si="93"/>
        <v>110</v>
      </c>
      <c r="C551" s="6">
        <f t="shared" si="91"/>
        <v>1</v>
      </c>
      <c r="D551" s="6" t="str">
        <f t="shared" si="101"/>
        <v>关卡110怪物1</v>
      </c>
      <c r="E551" s="6">
        <v>100</v>
      </c>
      <c r="G551" s="6" t="s">
        <v>973</v>
      </c>
      <c r="H551" s="6">
        <f t="shared" si="98"/>
        <v>0</v>
      </c>
      <c r="I551" s="6" t="str">
        <f>IF(VLOOKUP(E551,Sheet2!$W:$AA,5,0)=0,"",VLOOKUP(E551,Sheet2!$W:$AA,5,0))</f>
        <v>[60002]</v>
      </c>
      <c r="J551" s="6">
        <v>0</v>
      </c>
      <c r="K551" s="6">
        <v>0</v>
      </c>
      <c r="L551" s="6" t="str">
        <f>IF(VLOOKUP(E551,Sheet2!$W:$AA,2,0)=0,"",VLOOKUP(E551,Sheet2!$W:$AA,2,0))</f>
        <v/>
      </c>
      <c r="N551" s="6">
        <f>IF(VLOOKUP(E551,Sheet2!$W:$AA,3,0)=0,"",VLOOKUP(E551,Sheet2!$W:$AA,3,0))</f>
        <v>2001</v>
      </c>
      <c r="Q551" s="6" t="str">
        <f>IF(VLOOKUP(E551,Sheet2!$W:$AA,4,0)=0,"",VLOOKUP(E551,Sheet2!$W:$AA,4,0))</f>
        <v/>
      </c>
      <c r="R551" s="8">
        <v>24</v>
      </c>
      <c r="S551" s="14">
        <v>2</v>
      </c>
    </row>
    <row r="552" spans="1:19">
      <c r="A552" s="6">
        <f t="shared" si="100"/>
        <v>11002</v>
      </c>
      <c r="B552" s="6">
        <f t="shared" si="93"/>
        <v>110</v>
      </c>
      <c r="C552" s="6">
        <f t="shared" si="91"/>
        <v>2</v>
      </c>
      <c r="D552" s="6" t="str">
        <f t="shared" si="102"/>
        <v>关卡110怪物2</v>
      </c>
      <c r="E552" s="6">
        <v>102</v>
      </c>
      <c r="G552" s="6" t="s">
        <v>974</v>
      </c>
      <c r="H552" s="6">
        <f t="shared" si="98"/>
        <v>0</v>
      </c>
      <c r="I552" s="6" t="str">
        <f>IF(VLOOKUP(E552,Sheet2!$W:$AA,5,0)=0,"",VLOOKUP(E552,Sheet2!$W:$AA,5,0))</f>
        <v/>
      </c>
      <c r="J552" s="6">
        <v>0</v>
      </c>
      <c r="K552" s="6">
        <v>0</v>
      </c>
      <c r="L552" s="6">
        <f>IF(VLOOKUP(E552,Sheet2!$W:$AA,2,0)=0,"",VLOOKUP(E552,Sheet2!$W:$AA,2,0))</f>
        <v>1</v>
      </c>
      <c r="N552" s="6" t="str">
        <f>IF(VLOOKUP(E552,Sheet2!$W:$AA,3,0)=0,"",VLOOKUP(E552,Sheet2!$W:$AA,3,0))</f>
        <v/>
      </c>
      <c r="Q552" s="6" t="str">
        <f>IF(VLOOKUP(E552,Sheet2!$W:$AA,4,0)=0,"",VLOOKUP(E552,Sheet2!$W:$AA,4,0))</f>
        <v>[{50011,6}]</v>
      </c>
      <c r="R552" s="8">
        <v>24</v>
      </c>
      <c r="S552" s="14">
        <v>2</v>
      </c>
    </row>
    <row r="553" spans="1:19">
      <c r="A553" s="6">
        <f t="shared" si="100"/>
        <v>11003</v>
      </c>
      <c r="B553" s="6">
        <f t="shared" si="93"/>
        <v>110</v>
      </c>
      <c r="C553" s="6">
        <f t="shared" si="91"/>
        <v>3</v>
      </c>
      <c r="D553" s="6" t="str">
        <f t="shared" si="103"/>
        <v>关卡110怪物3</v>
      </c>
      <c r="E553" s="6">
        <v>105</v>
      </c>
      <c r="G553" s="6" t="s">
        <v>975</v>
      </c>
      <c r="H553" s="6">
        <f t="shared" si="98"/>
        <v>0</v>
      </c>
      <c r="I553" s="6" t="str">
        <f>IF(VLOOKUP(E553,Sheet2!$W:$AA,5,0)=0,"",VLOOKUP(E553,Sheet2!$W:$AA,5,0))</f>
        <v>[60003]</v>
      </c>
      <c r="J553" s="6">
        <v>0</v>
      </c>
      <c r="K553" s="6">
        <v>0</v>
      </c>
      <c r="L553" s="6" t="str">
        <f>IF(VLOOKUP(E553,Sheet2!$W:$AA,2,0)=0,"",VLOOKUP(E553,Sheet2!$W:$AA,2,0))</f>
        <v/>
      </c>
      <c r="N553" s="6" t="str">
        <f>IF(VLOOKUP(E553,Sheet2!$W:$AA,3,0)=0,"",VLOOKUP(E553,Sheet2!$W:$AA,3,0))</f>
        <v/>
      </c>
      <c r="Q553" s="6" t="str">
        <f>IF(VLOOKUP(E553,Sheet2!$W:$AA,4,0)=0,"",VLOOKUP(E553,Sheet2!$W:$AA,4,0))</f>
        <v/>
      </c>
      <c r="R553" s="8">
        <v>24</v>
      </c>
      <c r="S553" s="14">
        <v>2</v>
      </c>
    </row>
    <row r="554" spans="1:19">
      <c r="A554" s="6">
        <f t="shared" si="100"/>
        <v>11021</v>
      </c>
      <c r="B554" s="6">
        <f t="shared" si="93"/>
        <v>110</v>
      </c>
      <c r="C554" s="6">
        <f t="shared" si="91"/>
        <v>4</v>
      </c>
      <c r="D554" s="6" t="str">
        <f t="shared" si="104"/>
        <v>关卡110BOSS1</v>
      </c>
      <c r="E554" s="6">
        <v>502</v>
      </c>
      <c r="G554" s="6" t="s">
        <v>976</v>
      </c>
      <c r="H554" s="6">
        <f t="shared" si="98"/>
        <v>2</v>
      </c>
      <c r="I554" s="6" t="str">
        <f>IF(VLOOKUP(E554,Sheet2!$W:$AA,5,0)=0,"",VLOOKUP(E554,Sheet2!$W:$AA,5,0))</f>
        <v/>
      </c>
      <c r="J554" s="6">
        <v>0</v>
      </c>
      <c r="K554" s="6">
        <v>0</v>
      </c>
      <c r="L554" s="6">
        <f>IF(VLOOKUP(E554,Sheet2!$W:$AA,2,0)=0,"",VLOOKUP(E554,Sheet2!$W:$AA,2,0))</f>
        <v>1</v>
      </c>
      <c r="N554" s="6" t="str">
        <f>IF(VLOOKUP(E554,Sheet2!$W:$AA,3,0)=0,"",VLOOKUP(E554,Sheet2!$W:$AA,3,0))</f>
        <v/>
      </c>
      <c r="Q554" s="6" t="str">
        <f>IF(VLOOKUP(E554,Sheet2!$W:$AA,4,0)=0,"",VLOOKUP(E554,Sheet2!$W:$AA,4,0))</f>
        <v>[{50021,6}]</v>
      </c>
      <c r="R554" s="8">
        <v>100</v>
      </c>
      <c r="S554" s="14">
        <v>2</v>
      </c>
    </row>
    <row r="555" spans="1:19">
      <c r="A555" s="6">
        <f t="shared" si="100"/>
        <v>11031</v>
      </c>
      <c r="B555" s="6">
        <f t="shared" si="93"/>
        <v>110</v>
      </c>
      <c r="C555" s="6">
        <f t="shared" si="91"/>
        <v>5</v>
      </c>
      <c r="D555" s="6" t="str">
        <f t="shared" si="105"/>
        <v>关卡110BOSS2</v>
      </c>
      <c r="E555" s="6">
        <v>500</v>
      </c>
      <c r="G555" s="6" t="s">
        <v>977</v>
      </c>
      <c r="H555" s="6">
        <f t="shared" si="98"/>
        <v>2</v>
      </c>
      <c r="I555" s="6" t="str">
        <f>IF(VLOOKUP(E555,Sheet2!$W:$AA,5,0)=0,"",VLOOKUP(E555,Sheet2!$W:$AA,5,0))</f>
        <v>[60002]</v>
      </c>
      <c r="J555" s="6">
        <v>0</v>
      </c>
      <c r="K555" s="6">
        <v>0</v>
      </c>
      <c r="L555" s="6" t="str">
        <f>IF(VLOOKUP(E555,Sheet2!$W:$AA,2,0)=0,"",VLOOKUP(E555,Sheet2!$W:$AA,2,0))</f>
        <v/>
      </c>
      <c r="N555" s="6">
        <f>IF(VLOOKUP(E555,Sheet2!$W:$AA,3,0)=0,"",VLOOKUP(E555,Sheet2!$W:$AA,3,0))</f>
        <v>2001</v>
      </c>
      <c r="Q555" s="6" t="str">
        <f>IF(VLOOKUP(E555,Sheet2!$W:$AA,4,0)=0,"",VLOOKUP(E555,Sheet2!$W:$AA,4,0))</f>
        <v/>
      </c>
      <c r="R555" s="8">
        <v>100</v>
      </c>
      <c r="S555" s="14">
        <v>2</v>
      </c>
    </row>
    <row r="556" spans="1:19">
      <c r="A556" s="6">
        <f t="shared" ref="A556:A605" si="106">A551+100</f>
        <v>11101</v>
      </c>
      <c r="B556" s="6">
        <f t="shared" si="93"/>
        <v>111</v>
      </c>
      <c r="C556" s="6">
        <f t="shared" si="91"/>
        <v>1</v>
      </c>
      <c r="D556" s="6" t="str">
        <f t="shared" ref="D556:D601" si="107">"关卡"&amp;B556&amp;"怪物1"</f>
        <v>关卡111怪物1</v>
      </c>
      <c r="E556" s="6">
        <v>103</v>
      </c>
      <c r="G556" s="6" t="s">
        <v>978</v>
      </c>
      <c r="H556" s="6">
        <f t="shared" si="98"/>
        <v>0</v>
      </c>
      <c r="I556" s="6" t="str">
        <f>IF(VLOOKUP(E556,Sheet2!$W:$AA,5,0)=0,"",VLOOKUP(E556,Sheet2!$W:$AA,5,0))</f>
        <v>[60001]</v>
      </c>
      <c r="J556" s="6">
        <v>0</v>
      </c>
      <c r="K556" s="6">
        <v>0</v>
      </c>
      <c r="L556" s="6" t="str">
        <f>IF(VLOOKUP(E556,Sheet2!$W:$AA,2,0)=0,"",VLOOKUP(E556,Sheet2!$W:$AA,2,0))</f>
        <v/>
      </c>
      <c r="N556" s="6" t="str">
        <f>IF(VLOOKUP(E556,Sheet2!$W:$AA,3,0)=0,"",VLOOKUP(E556,Sheet2!$W:$AA,3,0))</f>
        <v/>
      </c>
      <c r="Q556" s="6" t="str">
        <f>IF(VLOOKUP(E556,Sheet2!$W:$AA,4,0)=0,"",VLOOKUP(E556,Sheet2!$W:$AA,4,0))</f>
        <v/>
      </c>
      <c r="R556" s="8">
        <f>R551</f>
        <v>24</v>
      </c>
      <c r="S556" s="8">
        <f>S555</f>
        <v>2</v>
      </c>
    </row>
    <row r="557" spans="1:19">
      <c r="A557" s="6">
        <f t="shared" si="106"/>
        <v>11102</v>
      </c>
      <c r="B557" s="6">
        <f t="shared" si="93"/>
        <v>111</v>
      </c>
      <c r="C557" s="6">
        <f t="shared" si="91"/>
        <v>2</v>
      </c>
      <c r="D557" s="6" t="str">
        <f t="shared" ref="D557:D602" si="108">"关卡"&amp;B557&amp;"怪物2"</f>
        <v>关卡111怪物2</v>
      </c>
      <c r="E557" s="6">
        <v>104</v>
      </c>
      <c r="G557" s="6" t="s">
        <v>979</v>
      </c>
      <c r="H557" s="6">
        <f t="shared" si="98"/>
        <v>0</v>
      </c>
      <c r="I557" s="6" t="str">
        <f>IF(VLOOKUP(E557,Sheet2!$W:$AA,5,0)=0,"",VLOOKUP(E557,Sheet2!$W:$AA,5,0))</f>
        <v/>
      </c>
      <c r="J557" s="6">
        <v>0</v>
      </c>
      <c r="K557" s="6">
        <v>0</v>
      </c>
      <c r="L557" s="6" t="str">
        <f>IF(VLOOKUP(E557,Sheet2!$W:$AA,2,0)=0,"",VLOOKUP(E557,Sheet2!$W:$AA,2,0))</f>
        <v/>
      </c>
      <c r="N557" s="6" t="str">
        <f>IF(VLOOKUP(E557,Sheet2!$W:$AA,3,0)=0,"",VLOOKUP(E557,Sheet2!$W:$AA,3,0))</f>
        <v/>
      </c>
      <c r="Q557" s="6" t="str">
        <f>IF(VLOOKUP(E557,Sheet2!$W:$AA,4,0)=0,"",VLOOKUP(E557,Sheet2!$W:$AA,4,0))</f>
        <v/>
      </c>
      <c r="R557" s="8">
        <f t="shared" ref="R557:R605" si="109">R552</f>
        <v>24</v>
      </c>
      <c r="S557" s="8">
        <f t="shared" ref="S557:S620" si="110">S556</f>
        <v>2</v>
      </c>
    </row>
    <row r="558" spans="1:19">
      <c r="A558" s="6">
        <f t="shared" si="106"/>
        <v>11103</v>
      </c>
      <c r="B558" s="6">
        <f t="shared" si="93"/>
        <v>111</v>
      </c>
      <c r="C558" s="6">
        <f t="shared" si="91"/>
        <v>3</v>
      </c>
      <c r="D558" s="6" t="str">
        <f t="shared" ref="D558:D603" si="111">"关卡"&amp;B558&amp;"怪物3"</f>
        <v>关卡111怪物3</v>
      </c>
      <c r="E558" s="6">
        <v>105</v>
      </c>
      <c r="G558" s="6" t="s">
        <v>980</v>
      </c>
      <c r="H558" s="6">
        <f t="shared" si="98"/>
        <v>0</v>
      </c>
      <c r="I558" s="6" t="str">
        <f>IF(VLOOKUP(E558,Sheet2!$W:$AA,5,0)=0,"",VLOOKUP(E558,Sheet2!$W:$AA,5,0))</f>
        <v>[60003]</v>
      </c>
      <c r="J558" s="6">
        <v>0</v>
      </c>
      <c r="K558" s="6">
        <v>0</v>
      </c>
      <c r="L558" s="6" t="str">
        <f>IF(VLOOKUP(E558,Sheet2!$W:$AA,2,0)=0,"",VLOOKUP(E558,Sheet2!$W:$AA,2,0))</f>
        <v/>
      </c>
      <c r="N558" s="6" t="str">
        <f>IF(VLOOKUP(E558,Sheet2!$W:$AA,3,0)=0,"",VLOOKUP(E558,Sheet2!$W:$AA,3,0))</f>
        <v/>
      </c>
      <c r="Q558" s="6" t="str">
        <f>IF(VLOOKUP(E558,Sheet2!$W:$AA,4,0)=0,"",VLOOKUP(E558,Sheet2!$W:$AA,4,0))</f>
        <v/>
      </c>
      <c r="R558" s="8">
        <f t="shared" si="109"/>
        <v>24</v>
      </c>
      <c r="S558" s="8">
        <f t="shared" si="110"/>
        <v>2</v>
      </c>
    </row>
    <row r="559" spans="1:19">
      <c r="A559" s="6">
        <f t="shared" si="106"/>
        <v>11121</v>
      </c>
      <c r="B559" s="6">
        <f t="shared" si="93"/>
        <v>111</v>
      </c>
      <c r="C559" s="6">
        <f t="shared" si="91"/>
        <v>4</v>
      </c>
      <c r="D559" s="6" t="str">
        <f t="shared" ref="D559:D604" si="112">"关卡"&amp;B559&amp;"BOSS1"</f>
        <v>关卡111BOSS1</v>
      </c>
      <c r="E559" s="6">
        <v>103</v>
      </c>
      <c r="G559" s="6" t="s">
        <v>981</v>
      </c>
      <c r="H559" s="6">
        <f t="shared" si="98"/>
        <v>2</v>
      </c>
      <c r="I559" s="6" t="str">
        <f>IF(VLOOKUP(E559,Sheet2!$W:$AA,5,0)=0,"",VLOOKUP(E559,Sheet2!$W:$AA,5,0))</f>
        <v>[60001]</v>
      </c>
      <c r="J559" s="6">
        <v>0</v>
      </c>
      <c r="K559" s="6">
        <v>0</v>
      </c>
      <c r="L559" s="6" t="str">
        <f>IF(VLOOKUP(E559,Sheet2!$W:$AA,2,0)=0,"",VLOOKUP(E559,Sheet2!$W:$AA,2,0))</f>
        <v/>
      </c>
      <c r="N559" s="6" t="str">
        <f>IF(VLOOKUP(E559,Sheet2!$W:$AA,3,0)=0,"",VLOOKUP(E559,Sheet2!$W:$AA,3,0))</f>
        <v/>
      </c>
      <c r="Q559" s="6" t="str">
        <f>IF(VLOOKUP(E559,Sheet2!$W:$AA,4,0)=0,"",VLOOKUP(E559,Sheet2!$W:$AA,4,0))</f>
        <v/>
      </c>
      <c r="R559" s="8">
        <f t="shared" si="109"/>
        <v>100</v>
      </c>
      <c r="S559" s="8">
        <f t="shared" si="110"/>
        <v>2</v>
      </c>
    </row>
    <row r="560" spans="1:19">
      <c r="A560" s="6">
        <f t="shared" si="106"/>
        <v>11131</v>
      </c>
      <c r="B560" s="6">
        <f t="shared" si="93"/>
        <v>111</v>
      </c>
      <c r="C560" s="6">
        <f t="shared" si="91"/>
        <v>5</v>
      </c>
      <c r="D560" s="6" t="str">
        <f t="shared" ref="D560:D605" si="113">"关卡"&amp;B560&amp;"BOSS2"</f>
        <v>关卡111BOSS2</v>
      </c>
      <c r="E560" s="6">
        <v>103</v>
      </c>
      <c r="G560" s="6" t="s">
        <v>982</v>
      </c>
      <c r="H560" s="6">
        <f t="shared" si="98"/>
        <v>2</v>
      </c>
      <c r="I560" s="6" t="str">
        <f>IF(VLOOKUP(E560,Sheet2!$W:$AA,5,0)=0,"",VLOOKUP(E560,Sheet2!$W:$AA,5,0))</f>
        <v>[60001]</v>
      </c>
      <c r="J560" s="6">
        <v>0</v>
      </c>
      <c r="K560" s="6">
        <v>0</v>
      </c>
      <c r="L560" s="6" t="str">
        <f>IF(VLOOKUP(E560,Sheet2!$W:$AA,2,0)=0,"",VLOOKUP(E560,Sheet2!$W:$AA,2,0))</f>
        <v/>
      </c>
      <c r="N560" s="6" t="str">
        <f>IF(VLOOKUP(E560,Sheet2!$W:$AA,3,0)=0,"",VLOOKUP(E560,Sheet2!$W:$AA,3,0))</f>
        <v/>
      </c>
      <c r="Q560" s="6" t="str">
        <f>IF(VLOOKUP(E560,Sheet2!$W:$AA,4,0)=0,"",VLOOKUP(E560,Sheet2!$W:$AA,4,0))</f>
        <v/>
      </c>
      <c r="R560" s="8">
        <f t="shared" si="109"/>
        <v>100</v>
      </c>
      <c r="S560" s="8">
        <f t="shared" si="110"/>
        <v>2</v>
      </c>
    </row>
    <row r="561" spans="1:19">
      <c r="A561" s="6">
        <f t="shared" si="106"/>
        <v>11201</v>
      </c>
      <c r="B561" s="6">
        <f t="shared" si="93"/>
        <v>112</v>
      </c>
      <c r="C561" s="6">
        <f t="shared" si="91"/>
        <v>1</v>
      </c>
      <c r="D561" s="6" t="str">
        <f t="shared" si="107"/>
        <v>关卡112怪物1</v>
      </c>
      <c r="E561" s="6">
        <v>111</v>
      </c>
      <c r="G561" s="6" t="s">
        <v>983</v>
      </c>
      <c r="H561" s="6">
        <f t="shared" si="98"/>
        <v>0</v>
      </c>
      <c r="I561" s="6" t="str">
        <f>IF(VLOOKUP(E561,Sheet2!$W:$AA,5,0)=0,"",VLOOKUP(E561,Sheet2!$W:$AA,5,0))</f>
        <v/>
      </c>
      <c r="J561" s="6">
        <v>0</v>
      </c>
      <c r="K561" s="6">
        <v>0</v>
      </c>
      <c r="L561" s="6" t="str">
        <f>IF(VLOOKUP(E561,Sheet2!$W:$AA,2,0)=0,"",VLOOKUP(E561,Sheet2!$W:$AA,2,0))</f>
        <v/>
      </c>
      <c r="N561" s="6" t="str">
        <f>IF(VLOOKUP(E561,Sheet2!$W:$AA,3,0)=0,"",VLOOKUP(E561,Sheet2!$W:$AA,3,0))</f>
        <v/>
      </c>
      <c r="Q561" s="6" t="str">
        <f>IF(VLOOKUP(E561,Sheet2!$W:$AA,4,0)=0,"",VLOOKUP(E561,Sheet2!$W:$AA,4,0))</f>
        <v/>
      </c>
      <c r="R561" s="8">
        <f t="shared" si="109"/>
        <v>24</v>
      </c>
      <c r="S561" s="8">
        <f t="shared" si="110"/>
        <v>2</v>
      </c>
    </row>
    <row r="562" spans="1:19">
      <c r="A562" s="6">
        <f t="shared" si="106"/>
        <v>11202</v>
      </c>
      <c r="B562" s="6">
        <f t="shared" si="93"/>
        <v>112</v>
      </c>
      <c r="C562" s="6">
        <f t="shared" si="91"/>
        <v>2</v>
      </c>
      <c r="D562" s="6" t="str">
        <f t="shared" si="108"/>
        <v>关卡112怪物2</v>
      </c>
      <c r="E562" s="6">
        <v>112</v>
      </c>
      <c r="G562" s="6" t="s">
        <v>984</v>
      </c>
      <c r="H562" s="6">
        <f t="shared" si="98"/>
        <v>0</v>
      </c>
      <c r="I562" s="6" t="str">
        <f>IF(VLOOKUP(E562,Sheet2!$W:$AA,5,0)=0,"",VLOOKUP(E562,Sheet2!$W:$AA,5,0))</f>
        <v/>
      </c>
      <c r="J562" s="6">
        <v>0</v>
      </c>
      <c r="K562" s="6">
        <v>0</v>
      </c>
      <c r="L562" s="6">
        <f>IF(VLOOKUP(E562,Sheet2!$W:$AA,2,0)=0,"",VLOOKUP(E562,Sheet2!$W:$AA,2,0))</f>
        <v>1</v>
      </c>
      <c r="N562" s="6" t="str">
        <f>IF(VLOOKUP(E562,Sheet2!$W:$AA,3,0)=0,"",VLOOKUP(E562,Sheet2!$W:$AA,3,0))</f>
        <v/>
      </c>
      <c r="Q562" s="6" t="str">
        <f>IF(VLOOKUP(E562,Sheet2!$W:$AA,4,0)=0,"",VLOOKUP(E562,Sheet2!$W:$AA,4,0))</f>
        <v>[{50015,6}]</v>
      </c>
      <c r="R562" s="8">
        <f t="shared" si="109"/>
        <v>24</v>
      </c>
      <c r="S562" s="8">
        <f t="shared" si="110"/>
        <v>2</v>
      </c>
    </row>
    <row r="563" spans="1:19">
      <c r="A563" s="6">
        <f t="shared" si="106"/>
        <v>11203</v>
      </c>
      <c r="B563" s="6">
        <f t="shared" si="93"/>
        <v>112</v>
      </c>
      <c r="C563" s="6">
        <f t="shared" si="91"/>
        <v>3</v>
      </c>
      <c r="D563" s="6" t="str">
        <f t="shared" si="111"/>
        <v>关卡112怪物3</v>
      </c>
      <c r="E563" s="6">
        <v>113</v>
      </c>
      <c r="G563" s="6" t="s">
        <v>985</v>
      </c>
      <c r="H563" s="6">
        <f t="shared" si="98"/>
        <v>0</v>
      </c>
      <c r="I563" s="6" t="str">
        <f>IF(VLOOKUP(E563,Sheet2!$W:$AA,5,0)=0,"",VLOOKUP(E563,Sheet2!$W:$AA,5,0))</f>
        <v>[60005]</v>
      </c>
      <c r="J563" s="6">
        <v>0</v>
      </c>
      <c r="K563" s="6">
        <v>0</v>
      </c>
      <c r="L563" s="6">
        <f>IF(VLOOKUP(E563,Sheet2!$W:$AA,2,0)=0,"",VLOOKUP(E563,Sheet2!$W:$AA,2,0))</f>
        <v>1</v>
      </c>
      <c r="N563" s="6" t="str">
        <f>IF(VLOOKUP(E563,Sheet2!$W:$AA,3,0)=0,"",VLOOKUP(E563,Sheet2!$W:$AA,3,0))</f>
        <v/>
      </c>
      <c r="Q563" s="6" t="str">
        <f>IF(VLOOKUP(E563,Sheet2!$W:$AA,4,0)=0,"",VLOOKUP(E563,Sheet2!$W:$AA,4,0))</f>
        <v>[{50016,6}]</v>
      </c>
      <c r="R563" s="8">
        <f t="shared" si="109"/>
        <v>24</v>
      </c>
      <c r="S563" s="8">
        <f t="shared" si="110"/>
        <v>2</v>
      </c>
    </row>
    <row r="564" spans="1:19">
      <c r="A564" s="6">
        <f t="shared" si="106"/>
        <v>11221</v>
      </c>
      <c r="B564" s="6">
        <f t="shared" si="93"/>
        <v>112</v>
      </c>
      <c r="C564" s="6">
        <f t="shared" si="91"/>
        <v>4</v>
      </c>
      <c r="D564" s="6" t="str">
        <f t="shared" si="112"/>
        <v>关卡112BOSS1</v>
      </c>
      <c r="E564" s="6">
        <v>511</v>
      </c>
      <c r="G564" s="6" t="s">
        <v>986</v>
      </c>
      <c r="H564" s="6">
        <f t="shared" si="98"/>
        <v>2</v>
      </c>
      <c r="I564" s="6" t="str">
        <f>IF(VLOOKUP(E564,Sheet2!$W:$AA,5,0)=0,"",VLOOKUP(E564,Sheet2!$W:$AA,5,0))</f>
        <v/>
      </c>
      <c r="J564" s="6">
        <v>0</v>
      </c>
      <c r="K564" s="6">
        <v>0</v>
      </c>
      <c r="L564" s="6" t="str">
        <f>IF(VLOOKUP(E564,Sheet2!$W:$AA,2,0)=0,"",VLOOKUP(E564,Sheet2!$W:$AA,2,0))</f>
        <v/>
      </c>
      <c r="N564" s="6" t="str">
        <f>IF(VLOOKUP(E564,Sheet2!$W:$AA,3,0)=0,"",VLOOKUP(E564,Sheet2!$W:$AA,3,0))</f>
        <v/>
      </c>
      <c r="Q564" s="6" t="str">
        <f>IF(VLOOKUP(E564,Sheet2!$W:$AA,4,0)=0,"",VLOOKUP(E564,Sheet2!$W:$AA,4,0))</f>
        <v/>
      </c>
      <c r="R564" s="8">
        <f t="shared" si="109"/>
        <v>100</v>
      </c>
      <c r="S564" s="8">
        <f t="shared" si="110"/>
        <v>2</v>
      </c>
    </row>
    <row r="565" spans="1:19">
      <c r="A565" s="6">
        <f t="shared" si="106"/>
        <v>11231</v>
      </c>
      <c r="B565" s="6">
        <f t="shared" si="93"/>
        <v>112</v>
      </c>
      <c r="C565" s="6">
        <f t="shared" ref="C565:C628" si="114">C560</f>
        <v>5</v>
      </c>
      <c r="D565" s="6" t="str">
        <f t="shared" si="113"/>
        <v>关卡112BOSS2</v>
      </c>
      <c r="E565" s="6">
        <v>511</v>
      </c>
      <c r="G565" s="6" t="s">
        <v>987</v>
      </c>
      <c r="H565" s="6">
        <f t="shared" si="98"/>
        <v>2</v>
      </c>
      <c r="I565" s="6" t="str">
        <f>IF(VLOOKUP(E565,Sheet2!$W:$AA,5,0)=0,"",VLOOKUP(E565,Sheet2!$W:$AA,5,0))</f>
        <v/>
      </c>
      <c r="J565" s="6">
        <v>0</v>
      </c>
      <c r="K565" s="6">
        <v>0</v>
      </c>
      <c r="L565" s="6" t="str">
        <f>IF(VLOOKUP(E565,Sheet2!$W:$AA,2,0)=0,"",VLOOKUP(E565,Sheet2!$W:$AA,2,0))</f>
        <v/>
      </c>
      <c r="N565" s="6" t="str">
        <f>IF(VLOOKUP(E565,Sheet2!$W:$AA,3,0)=0,"",VLOOKUP(E565,Sheet2!$W:$AA,3,0))</f>
        <v/>
      </c>
      <c r="Q565" s="6" t="str">
        <f>IF(VLOOKUP(E565,Sheet2!$W:$AA,4,0)=0,"",VLOOKUP(E565,Sheet2!$W:$AA,4,0))</f>
        <v/>
      </c>
      <c r="R565" s="8">
        <f t="shared" si="109"/>
        <v>100</v>
      </c>
      <c r="S565" s="8">
        <f t="shared" si="110"/>
        <v>2</v>
      </c>
    </row>
    <row r="566" spans="1:19">
      <c r="A566" s="6">
        <f t="shared" si="106"/>
        <v>11301</v>
      </c>
      <c r="B566" s="6">
        <f t="shared" si="93"/>
        <v>113</v>
      </c>
      <c r="C566" s="6">
        <f t="shared" si="114"/>
        <v>1</v>
      </c>
      <c r="D566" s="6" t="str">
        <f t="shared" si="107"/>
        <v>关卡113怪物1</v>
      </c>
      <c r="E566" s="6">
        <v>104</v>
      </c>
      <c r="G566" s="6" t="s">
        <v>988</v>
      </c>
      <c r="H566" s="6">
        <f t="shared" si="98"/>
        <v>0</v>
      </c>
      <c r="I566" s="6" t="str">
        <f>IF(VLOOKUP(E566,Sheet2!$W:$AA,5,0)=0,"",VLOOKUP(E566,Sheet2!$W:$AA,5,0))</f>
        <v/>
      </c>
      <c r="J566" s="6">
        <v>0</v>
      </c>
      <c r="K566" s="6">
        <v>0</v>
      </c>
      <c r="L566" s="6" t="str">
        <f>IF(VLOOKUP(E566,Sheet2!$W:$AA,2,0)=0,"",VLOOKUP(E566,Sheet2!$W:$AA,2,0))</f>
        <v/>
      </c>
      <c r="N566" s="6" t="str">
        <f>IF(VLOOKUP(E566,Sheet2!$W:$AA,3,0)=0,"",VLOOKUP(E566,Sheet2!$W:$AA,3,0))</f>
        <v/>
      </c>
      <c r="Q566" s="6" t="str">
        <f>IF(VLOOKUP(E566,Sheet2!$W:$AA,4,0)=0,"",VLOOKUP(E566,Sheet2!$W:$AA,4,0))</f>
        <v/>
      </c>
      <c r="R566" s="8">
        <f t="shared" si="109"/>
        <v>24</v>
      </c>
      <c r="S566" s="8">
        <f t="shared" si="110"/>
        <v>2</v>
      </c>
    </row>
    <row r="567" spans="1:19">
      <c r="A567" s="6">
        <f t="shared" si="106"/>
        <v>11302</v>
      </c>
      <c r="B567" s="6">
        <f t="shared" si="93"/>
        <v>113</v>
      </c>
      <c r="C567" s="6">
        <f t="shared" si="114"/>
        <v>2</v>
      </c>
      <c r="D567" s="6" t="str">
        <f t="shared" si="108"/>
        <v>关卡113怪物2</v>
      </c>
      <c r="E567" s="6">
        <v>106</v>
      </c>
      <c r="G567" s="6" t="s">
        <v>989</v>
      </c>
      <c r="H567" s="6">
        <f t="shared" si="98"/>
        <v>0</v>
      </c>
      <c r="I567" s="6" t="str">
        <f>IF(VLOOKUP(E567,Sheet2!$W:$AA,5,0)=0,"",VLOOKUP(E567,Sheet2!$W:$AA,5,0))</f>
        <v>[60002]</v>
      </c>
      <c r="J567" s="6">
        <v>0</v>
      </c>
      <c r="K567" s="6">
        <v>0</v>
      </c>
      <c r="L567" s="6">
        <f>IF(VLOOKUP(E567,Sheet2!$W:$AA,2,0)=0,"",VLOOKUP(E567,Sheet2!$W:$AA,2,0))</f>
        <v>1</v>
      </c>
      <c r="N567" s="6">
        <f>IF(VLOOKUP(E567,Sheet2!$W:$AA,3,0)=0,"",VLOOKUP(E567,Sheet2!$W:$AA,3,0))</f>
        <v>2002</v>
      </c>
      <c r="Q567" s="6" t="str">
        <f>IF(VLOOKUP(E567,Sheet2!$W:$AA,4,0)=0,"",VLOOKUP(E567,Sheet2!$W:$AA,4,0))</f>
        <v>[{50012,6}]</v>
      </c>
      <c r="R567" s="8">
        <f t="shared" si="109"/>
        <v>24</v>
      </c>
      <c r="S567" s="8">
        <f t="shared" si="110"/>
        <v>2</v>
      </c>
    </row>
    <row r="568" spans="1:19">
      <c r="A568" s="6">
        <f t="shared" si="106"/>
        <v>11303</v>
      </c>
      <c r="B568" s="6">
        <f t="shared" si="93"/>
        <v>113</v>
      </c>
      <c r="C568" s="6">
        <f t="shared" si="114"/>
        <v>3</v>
      </c>
      <c r="D568" s="6" t="str">
        <f t="shared" si="111"/>
        <v>关卡113怪物3</v>
      </c>
      <c r="E568" s="6">
        <v>118</v>
      </c>
      <c r="G568" s="6" t="s">
        <v>990</v>
      </c>
      <c r="H568" s="6">
        <f t="shared" si="98"/>
        <v>0</v>
      </c>
      <c r="I568" s="6" t="str">
        <f>IF(VLOOKUP(E568,Sheet2!$W:$AA,5,0)=0,"",VLOOKUP(E568,Sheet2!$W:$AA,5,0))</f>
        <v>[60009]</v>
      </c>
      <c r="J568" s="6">
        <v>0</v>
      </c>
      <c r="K568" s="6">
        <v>0</v>
      </c>
      <c r="L568" s="6">
        <f>IF(VLOOKUP(E568,Sheet2!$W:$AA,2,0)=0,"",VLOOKUP(E568,Sheet2!$W:$AA,2,0))</f>
        <v>1</v>
      </c>
      <c r="N568" s="6" t="str">
        <f>IF(VLOOKUP(E568,Sheet2!$W:$AA,3,0)=0,"",VLOOKUP(E568,Sheet2!$W:$AA,3,0))</f>
        <v/>
      </c>
      <c r="Q568" s="6" t="str">
        <f>IF(VLOOKUP(E568,Sheet2!$W:$AA,4,0)=0,"",VLOOKUP(E568,Sheet2!$W:$AA,4,0))</f>
        <v>[{50017,6}]</v>
      </c>
      <c r="R568" s="8">
        <f t="shared" si="109"/>
        <v>24</v>
      </c>
      <c r="S568" s="8">
        <f t="shared" si="110"/>
        <v>2</v>
      </c>
    </row>
    <row r="569" spans="1:19">
      <c r="A569" s="6">
        <f t="shared" si="106"/>
        <v>11321</v>
      </c>
      <c r="B569" s="6">
        <f t="shared" si="93"/>
        <v>113</v>
      </c>
      <c r="C569" s="6">
        <f t="shared" si="114"/>
        <v>4</v>
      </c>
      <c r="D569" s="6" t="str">
        <f t="shared" si="112"/>
        <v>关卡113BOSS1</v>
      </c>
      <c r="E569" s="6">
        <v>119</v>
      </c>
      <c r="G569" s="6" t="s">
        <v>991</v>
      </c>
      <c r="H569" s="6">
        <f t="shared" si="98"/>
        <v>2</v>
      </c>
      <c r="I569" s="6" t="str">
        <f>IF(VLOOKUP(E569,Sheet2!$W:$AA,5,0)=0,"",VLOOKUP(E569,Sheet2!$W:$AA,5,0))</f>
        <v/>
      </c>
      <c r="J569" s="6">
        <v>0</v>
      </c>
      <c r="K569" s="6">
        <v>0</v>
      </c>
      <c r="L569" s="6">
        <f>IF(VLOOKUP(E569,Sheet2!$W:$AA,2,0)=0,"",VLOOKUP(E569,Sheet2!$W:$AA,2,0))</f>
        <v>1</v>
      </c>
      <c r="N569" s="6" t="str">
        <f>IF(VLOOKUP(E569,Sheet2!$W:$AA,3,0)=0,"",VLOOKUP(E569,Sheet2!$W:$AA,3,0))</f>
        <v/>
      </c>
      <c r="Q569" s="6" t="str">
        <f>IF(VLOOKUP(E569,Sheet2!$W:$AA,4,0)=0,"",VLOOKUP(E569,Sheet2!$W:$AA,4,0))</f>
        <v>[{50018,6}]</v>
      </c>
      <c r="R569" s="8">
        <f t="shared" si="109"/>
        <v>100</v>
      </c>
      <c r="S569" s="8">
        <f t="shared" si="110"/>
        <v>2</v>
      </c>
    </row>
    <row r="570" spans="1:19">
      <c r="A570" s="6">
        <f t="shared" si="106"/>
        <v>11331</v>
      </c>
      <c r="B570" s="6">
        <f t="shared" ref="B570:B633" si="115">B565+1</f>
        <v>113</v>
      </c>
      <c r="C570" s="6">
        <f t="shared" si="114"/>
        <v>5</v>
      </c>
      <c r="D570" s="6" t="str">
        <f t="shared" si="113"/>
        <v>关卡113BOSS2</v>
      </c>
      <c r="E570" s="6">
        <v>119</v>
      </c>
      <c r="G570" s="6" t="s">
        <v>992</v>
      </c>
      <c r="H570" s="6">
        <f t="shared" si="98"/>
        <v>2</v>
      </c>
      <c r="I570" s="6" t="str">
        <f>IF(VLOOKUP(E570,Sheet2!$W:$AA,5,0)=0,"",VLOOKUP(E570,Sheet2!$W:$AA,5,0))</f>
        <v/>
      </c>
      <c r="J570" s="6">
        <v>0</v>
      </c>
      <c r="K570" s="6">
        <v>0</v>
      </c>
      <c r="L570" s="6">
        <f>IF(VLOOKUP(E570,Sheet2!$W:$AA,2,0)=0,"",VLOOKUP(E570,Sheet2!$W:$AA,2,0))</f>
        <v>1</v>
      </c>
      <c r="N570" s="6" t="str">
        <f>IF(VLOOKUP(E570,Sheet2!$W:$AA,3,0)=0,"",VLOOKUP(E570,Sheet2!$W:$AA,3,0))</f>
        <v/>
      </c>
      <c r="Q570" s="6" t="str">
        <f>IF(VLOOKUP(E570,Sheet2!$W:$AA,4,0)=0,"",VLOOKUP(E570,Sheet2!$W:$AA,4,0))</f>
        <v>[{50018,6}]</v>
      </c>
      <c r="R570" s="8">
        <f t="shared" si="109"/>
        <v>100</v>
      </c>
      <c r="S570" s="8">
        <f t="shared" si="110"/>
        <v>2</v>
      </c>
    </row>
    <row r="571" spans="1:19">
      <c r="A571" s="6">
        <f t="shared" si="106"/>
        <v>11401</v>
      </c>
      <c r="B571" s="6">
        <f t="shared" si="115"/>
        <v>114</v>
      </c>
      <c r="C571" s="6">
        <f t="shared" si="114"/>
        <v>1</v>
      </c>
      <c r="D571" s="6" t="str">
        <f t="shared" si="107"/>
        <v>关卡114怪物1</v>
      </c>
      <c r="E571" s="6">
        <v>100</v>
      </c>
      <c r="G571" s="6" t="s">
        <v>993</v>
      </c>
      <c r="H571" s="6">
        <f t="shared" si="98"/>
        <v>0</v>
      </c>
      <c r="I571" s="6" t="str">
        <f>IF(VLOOKUP(E571,Sheet2!$W:$AA,5,0)=0,"",VLOOKUP(E571,Sheet2!$W:$AA,5,0))</f>
        <v>[60002]</v>
      </c>
      <c r="J571" s="6">
        <v>0</v>
      </c>
      <c r="K571" s="6">
        <v>0</v>
      </c>
      <c r="L571" s="6" t="str">
        <f>IF(VLOOKUP(E571,Sheet2!$W:$AA,2,0)=0,"",VLOOKUP(E571,Sheet2!$W:$AA,2,0))</f>
        <v/>
      </c>
      <c r="N571" s="6">
        <f>IF(VLOOKUP(E571,Sheet2!$W:$AA,3,0)=0,"",VLOOKUP(E571,Sheet2!$W:$AA,3,0))</f>
        <v>2001</v>
      </c>
      <c r="Q571" s="6" t="str">
        <f>IF(VLOOKUP(E571,Sheet2!$W:$AA,4,0)=0,"",VLOOKUP(E571,Sheet2!$W:$AA,4,0))</f>
        <v/>
      </c>
      <c r="R571" s="8">
        <f t="shared" si="109"/>
        <v>24</v>
      </c>
      <c r="S571" s="8">
        <f t="shared" si="110"/>
        <v>2</v>
      </c>
    </row>
    <row r="572" spans="1:19">
      <c r="A572" s="6">
        <f t="shared" si="106"/>
        <v>11402</v>
      </c>
      <c r="B572" s="6">
        <f t="shared" si="115"/>
        <v>114</v>
      </c>
      <c r="C572" s="6">
        <f t="shared" si="114"/>
        <v>2</v>
      </c>
      <c r="D572" s="6" t="str">
        <f t="shared" si="108"/>
        <v>关卡114怪物2</v>
      </c>
      <c r="E572" s="6">
        <v>102</v>
      </c>
      <c r="G572" s="6" t="s">
        <v>994</v>
      </c>
      <c r="H572" s="6">
        <f t="shared" si="98"/>
        <v>0</v>
      </c>
      <c r="I572" s="6" t="str">
        <f>IF(VLOOKUP(E572,Sheet2!$W:$AA,5,0)=0,"",VLOOKUP(E572,Sheet2!$W:$AA,5,0))</f>
        <v/>
      </c>
      <c r="J572" s="6">
        <v>0</v>
      </c>
      <c r="K572" s="6">
        <v>0</v>
      </c>
      <c r="L572" s="6">
        <f>IF(VLOOKUP(E572,Sheet2!$W:$AA,2,0)=0,"",VLOOKUP(E572,Sheet2!$W:$AA,2,0))</f>
        <v>1</v>
      </c>
      <c r="N572" s="6" t="str">
        <f>IF(VLOOKUP(E572,Sheet2!$W:$AA,3,0)=0,"",VLOOKUP(E572,Sheet2!$W:$AA,3,0))</f>
        <v/>
      </c>
      <c r="Q572" s="6" t="str">
        <f>IF(VLOOKUP(E572,Sheet2!$W:$AA,4,0)=0,"",VLOOKUP(E572,Sheet2!$W:$AA,4,0))</f>
        <v>[{50011,6}]</v>
      </c>
      <c r="R572" s="8">
        <f t="shared" si="109"/>
        <v>24</v>
      </c>
      <c r="S572" s="8">
        <f t="shared" si="110"/>
        <v>2</v>
      </c>
    </row>
    <row r="573" spans="1:19">
      <c r="A573" s="6">
        <f t="shared" si="106"/>
        <v>11403</v>
      </c>
      <c r="B573" s="6">
        <f t="shared" si="115"/>
        <v>114</v>
      </c>
      <c r="C573" s="6">
        <f t="shared" si="114"/>
        <v>3</v>
      </c>
      <c r="D573" s="6" t="str">
        <f t="shared" si="111"/>
        <v>关卡114怪物3</v>
      </c>
      <c r="E573" s="6">
        <v>105</v>
      </c>
      <c r="G573" s="6" t="s">
        <v>995</v>
      </c>
      <c r="H573" s="6">
        <f t="shared" ref="H573:H636" si="116">H568</f>
        <v>0</v>
      </c>
      <c r="I573" s="6" t="str">
        <f>IF(VLOOKUP(E573,Sheet2!$W:$AA,5,0)=0,"",VLOOKUP(E573,Sheet2!$W:$AA,5,0))</f>
        <v>[60003]</v>
      </c>
      <c r="J573" s="6">
        <v>0</v>
      </c>
      <c r="K573" s="6">
        <v>0</v>
      </c>
      <c r="L573" s="6" t="str">
        <f>IF(VLOOKUP(E573,Sheet2!$W:$AA,2,0)=0,"",VLOOKUP(E573,Sheet2!$W:$AA,2,0))</f>
        <v/>
      </c>
      <c r="N573" s="6" t="str">
        <f>IF(VLOOKUP(E573,Sheet2!$W:$AA,3,0)=0,"",VLOOKUP(E573,Sheet2!$W:$AA,3,0))</f>
        <v/>
      </c>
      <c r="Q573" s="6" t="str">
        <f>IF(VLOOKUP(E573,Sheet2!$W:$AA,4,0)=0,"",VLOOKUP(E573,Sheet2!$W:$AA,4,0))</f>
        <v/>
      </c>
      <c r="R573" s="8">
        <f t="shared" si="109"/>
        <v>24</v>
      </c>
      <c r="S573" s="8">
        <f t="shared" si="110"/>
        <v>2</v>
      </c>
    </row>
    <row r="574" spans="1:19">
      <c r="A574" s="6">
        <f t="shared" si="106"/>
        <v>11421</v>
      </c>
      <c r="B574" s="6">
        <f t="shared" si="115"/>
        <v>114</v>
      </c>
      <c r="C574" s="6">
        <f t="shared" si="114"/>
        <v>4</v>
      </c>
      <c r="D574" s="6" t="str">
        <f t="shared" si="112"/>
        <v>关卡114BOSS1</v>
      </c>
      <c r="E574" s="6">
        <v>502</v>
      </c>
      <c r="G574" s="6" t="s">
        <v>996</v>
      </c>
      <c r="H574" s="6">
        <f t="shared" si="116"/>
        <v>2</v>
      </c>
      <c r="I574" s="6" t="str">
        <f>IF(VLOOKUP(E574,Sheet2!$W:$AA,5,0)=0,"",VLOOKUP(E574,Sheet2!$W:$AA,5,0))</f>
        <v/>
      </c>
      <c r="J574" s="6">
        <v>0</v>
      </c>
      <c r="K574" s="6">
        <v>0</v>
      </c>
      <c r="L574" s="6">
        <f>IF(VLOOKUP(E574,Sheet2!$W:$AA,2,0)=0,"",VLOOKUP(E574,Sheet2!$W:$AA,2,0))</f>
        <v>1</v>
      </c>
      <c r="N574" s="6" t="str">
        <f>IF(VLOOKUP(E574,Sheet2!$W:$AA,3,0)=0,"",VLOOKUP(E574,Sheet2!$W:$AA,3,0))</f>
        <v/>
      </c>
      <c r="Q574" s="6" t="str">
        <f>IF(VLOOKUP(E574,Sheet2!$W:$AA,4,0)=0,"",VLOOKUP(E574,Sheet2!$W:$AA,4,0))</f>
        <v>[{50021,6}]</v>
      </c>
      <c r="R574" s="8">
        <f t="shared" si="109"/>
        <v>100</v>
      </c>
      <c r="S574" s="8">
        <f t="shared" si="110"/>
        <v>2</v>
      </c>
    </row>
    <row r="575" spans="1:19">
      <c r="A575" s="6">
        <f t="shared" si="106"/>
        <v>11431</v>
      </c>
      <c r="B575" s="6">
        <f t="shared" si="115"/>
        <v>114</v>
      </c>
      <c r="C575" s="6">
        <f t="shared" si="114"/>
        <v>5</v>
      </c>
      <c r="D575" s="6" t="str">
        <f t="shared" si="113"/>
        <v>关卡114BOSS2</v>
      </c>
      <c r="E575" s="6">
        <v>500</v>
      </c>
      <c r="G575" s="6" t="s">
        <v>997</v>
      </c>
      <c r="H575" s="6">
        <f t="shared" si="116"/>
        <v>2</v>
      </c>
      <c r="I575" s="6" t="str">
        <f>IF(VLOOKUP(E575,Sheet2!$W:$AA,5,0)=0,"",VLOOKUP(E575,Sheet2!$W:$AA,5,0))</f>
        <v>[60002]</v>
      </c>
      <c r="J575" s="6">
        <v>0</v>
      </c>
      <c r="K575" s="6">
        <v>0</v>
      </c>
      <c r="L575" s="6" t="str">
        <f>IF(VLOOKUP(E575,Sheet2!$W:$AA,2,0)=0,"",VLOOKUP(E575,Sheet2!$W:$AA,2,0))</f>
        <v/>
      </c>
      <c r="N575" s="6">
        <f>IF(VLOOKUP(E575,Sheet2!$W:$AA,3,0)=0,"",VLOOKUP(E575,Sheet2!$W:$AA,3,0))</f>
        <v>2001</v>
      </c>
      <c r="Q575" s="6" t="str">
        <f>IF(VLOOKUP(E575,Sheet2!$W:$AA,4,0)=0,"",VLOOKUP(E575,Sheet2!$W:$AA,4,0))</f>
        <v/>
      </c>
      <c r="R575" s="8">
        <f t="shared" si="109"/>
        <v>100</v>
      </c>
      <c r="S575" s="8">
        <f t="shared" si="110"/>
        <v>2</v>
      </c>
    </row>
    <row r="576" spans="1:19">
      <c r="A576" s="6">
        <f t="shared" si="106"/>
        <v>11501</v>
      </c>
      <c r="B576" s="6">
        <f t="shared" si="115"/>
        <v>115</v>
      </c>
      <c r="C576" s="6">
        <f t="shared" si="114"/>
        <v>1</v>
      </c>
      <c r="D576" s="6" t="str">
        <f t="shared" si="107"/>
        <v>关卡115怪物1</v>
      </c>
      <c r="E576" s="6">
        <v>117</v>
      </c>
      <c r="G576" s="6" t="s">
        <v>998</v>
      </c>
      <c r="H576" s="6">
        <f t="shared" si="116"/>
        <v>0</v>
      </c>
      <c r="I576" s="6" t="str">
        <f>IF(VLOOKUP(E576,Sheet2!$W:$AA,5,0)=0,"",VLOOKUP(E576,Sheet2!$W:$AA,5,0))</f>
        <v/>
      </c>
      <c r="J576" s="6">
        <v>0</v>
      </c>
      <c r="K576" s="6">
        <v>0</v>
      </c>
      <c r="L576" s="6" t="str">
        <f>IF(VLOOKUP(E576,Sheet2!$W:$AA,2,0)=0,"",VLOOKUP(E576,Sheet2!$W:$AA,2,0))</f>
        <v/>
      </c>
      <c r="N576" s="6" t="str">
        <f>IF(VLOOKUP(E576,Sheet2!$W:$AA,3,0)=0,"",VLOOKUP(E576,Sheet2!$W:$AA,3,0))</f>
        <v/>
      </c>
      <c r="Q576" s="6" t="str">
        <f>IF(VLOOKUP(E576,Sheet2!$W:$AA,4,0)=0,"",VLOOKUP(E576,Sheet2!$W:$AA,4,0))</f>
        <v/>
      </c>
      <c r="R576" s="8">
        <f t="shared" si="109"/>
        <v>24</v>
      </c>
      <c r="S576" s="8">
        <f t="shared" si="110"/>
        <v>2</v>
      </c>
    </row>
    <row r="577" spans="1:19">
      <c r="A577" s="6">
        <f t="shared" si="106"/>
        <v>11502</v>
      </c>
      <c r="B577" s="6">
        <f t="shared" si="115"/>
        <v>115</v>
      </c>
      <c r="C577" s="6">
        <f t="shared" si="114"/>
        <v>2</v>
      </c>
      <c r="D577" s="6" t="str">
        <f t="shared" si="108"/>
        <v>关卡115怪物2</v>
      </c>
      <c r="E577" s="6">
        <v>116</v>
      </c>
      <c r="G577" s="6" t="s">
        <v>999</v>
      </c>
      <c r="H577" s="6">
        <f t="shared" si="116"/>
        <v>0</v>
      </c>
      <c r="I577" s="6" t="str">
        <f>IF(VLOOKUP(E577,Sheet2!$W:$AA,5,0)=0,"",VLOOKUP(E577,Sheet2!$W:$AA,5,0))</f>
        <v>[60007]</v>
      </c>
      <c r="J577" s="6">
        <v>0</v>
      </c>
      <c r="K577" s="6">
        <v>0</v>
      </c>
      <c r="L577" s="6" t="str">
        <f>IF(VLOOKUP(E577,Sheet2!$W:$AA,2,0)=0,"",VLOOKUP(E577,Sheet2!$W:$AA,2,0))</f>
        <v/>
      </c>
      <c r="N577" s="6" t="str">
        <f>IF(VLOOKUP(E577,Sheet2!$W:$AA,3,0)=0,"",VLOOKUP(E577,Sheet2!$W:$AA,3,0))</f>
        <v/>
      </c>
      <c r="Q577" s="6" t="str">
        <f>IF(VLOOKUP(E577,Sheet2!$W:$AA,4,0)=0,"",VLOOKUP(E577,Sheet2!$W:$AA,4,0))</f>
        <v/>
      </c>
      <c r="R577" s="8">
        <f t="shared" si="109"/>
        <v>24</v>
      </c>
      <c r="S577" s="8">
        <f t="shared" si="110"/>
        <v>2</v>
      </c>
    </row>
    <row r="578" spans="1:19">
      <c r="A578" s="6">
        <f t="shared" si="106"/>
        <v>11503</v>
      </c>
      <c r="B578" s="6">
        <f t="shared" si="115"/>
        <v>115</v>
      </c>
      <c r="C578" s="6">
        <f t="shared" si="114"/>
        <v>3</v>
      </c>
      <c r="D578" s="6" t="str">
        <f t="shared" si="111"/>
        <v>关卡115怪物3</v>
      </c>
      <c r="E578" s="6">
        <v>112</v>
      </c>
      <c r="G578" s="6" t="s">
        <v>1000</v>
      </c>
      <c r="H578" s="6">
        <f t="shared" si="116"/>
        <v>0</v>
      </c>
      <c r="I578" s="6" t="str">
        <f>IF(VLOOKUP(E578,Sheet2!$W:$AA,5,0)=0,"",VLOOKUP(E578,Sheet2!$W:$AA,5,0))</f>
        <v/>
      </c>
      <c r="J578" s="6">
        <v>0</v>
      </c>
      <c r="K578" s="6">
        <v>0</v>
      </c>
      <c r="L578" s="6">
        <f>IF(VLOOKUP(E578,Sheet2!$W:$AA,2,0)=0,"",VLOOKUP(E578,Sheet2!$W:$AA,2,0))</f>
        <v>1</v>
      </c>
      <c r="N578" s="6" t="str">
        <f>IF(VLOOKUP(E578,Sheet2!$W:$AA,3,0)=0,"",VLOOKUP(E578,Sheet2!$W:$AA,3,0))</f>
        <v/>
      </c>
      <c r="Q578" s="6" t="str">
        <f>IF(VLOOKUP(E578,Sheet2!$W:$AA,4,0)=0,"",VLOOKUP(E578,Sheet2!$W:$AA,4,0))</f>
        <v>[{50015,6}]</v>
      </c>
      <c r="R578" s="8">
        <f t="shared" si="109"/>
        <v>24</v>
      </c>
      <c r="S578" s="8">
        <f t="shared" si="110"/>
        <v>2</v>
      </c>
    </row>
    <row r="579" spans="1:19">
      <c r="A579" s="6">
        <f t="shared" si="106"/>
        <v>11521</v>
      </c>
      <c r="B579" s="6">
        <f t="shared" si="115"/>
        <v>115</v>
      </c>
      <c r="C579" s="6">
        <f t="shared" si="114"/>
        <v>4</v>
      </c>
      <c r="D579" s="6" t="str">
        <f t="shared" si="112"/>
        <v>关卡115BOSS1</v>
      </c>
      <c r="E579" s="6">
        <v>117</v>
      </c>
      <c r="G579" s="6" t="s">
        <v>1001</v>
      </c>
      <c r="H579" s="6">
        <f t="shared" si="116"/>
        <v>2</v>
      </c>
      <c r="I579" s="6" t="str">
        <f>IF(VLOOKUP(E579,Sheet2!$W:$AA,5,0)=0,"",VLOOKUP(E579,Sheet2!$W:$AA,5,0))</f>
        <v/>
      </c>
      <c r="J579" s="6">
        <v>0</v>
      </c>
      <c r="K579" s="6">
        <v>0</v>
      </c>
      <c r="L579" s="6" t="str">
        <f>IF(VLOOKUP(E579,Sheet2!$W:$AA,2,0)=0,"",VLOOKUP(E579,Sheet2!$W:$AA,2,0))</f>
        <v/>
      </c>
      <c r="N579" s="6" t="str">
        <f>IF(VLOOKUP(E579,Sheet2!$W:$AA,3,0)=0,"",VLOOKUP(E579,Sheet2!$W:$AA,3,0))</f>
        <v/>
      </c>
      <c r="Q579" s="6" t="str">
        <f>IF(VLOOKUP(E579,Sheet2!$W:$AA,4,0)=0,"",VLOOKUP(E579,Sheet2!$W:$AA,4,0))</f>
        <v/>
      </c>
      <c r="R579" s="8">
        <f t="shared" si="109"/>
        <v>100</v>
      </c>
      <c r="S579" s="8">
        <f t="shared" si="110"/>
        <v>2</v>
      </c>
    </row>
    <row r="580" spans="1:19">
      <c r="A580" s="6">
        <f t="shared" si="106"/>
        <v>11531</v>
      </c>
      <c r="B580" s="6">
        <f t="shared" si="115"/>
        <v>115</v>
      </c>
      <c r="C580" s="6">
        <f t="shared" si="114"/>
        <v>5</v>
      </c>
      <c r="D580" s="6" t="str">
        <f t="shared" si="113"/>
        <v>关卡115BOSS2</v>
      </c>
      <c r="E580" s="6">
        <v>117</v>
      </c>
      <c r="G580" s="6" t="s">
        <v>1002</v>
      </c>
      <c r="H580" s="6">
        <f t="shared" si="116"/>
        <v>2</v>
      </c>
      <c r="I580" s="6" t="str">
        <f>IF(VLOOKUP(E580,Sheet2!$W:$AA,5,0)=0,"",VLOOKUP(E580,Sheet2!$W:$AA,5,0))</f>
        <v/>
      </c>
      <c r="J580" s="6">
        <v>0</v>
      </c>
      <c r="K580" s="6">
        <v>0</v>
      </c>
      <c r="L580" s="6" t="str">
        <f>IF(VLOOKUP(E580,Sheet2!$W:$AA,2,0)=0,"",VLOOKUP(E580,Sheet2!$W:$AA,2,0))</f>
        <v/>
      </c>
      <c r="N580" s="6" t="str">
        <f>IF(VLOOKUP(E580,Sheet2!$W:$AA,3,0)=0,"",VLOOKUP(E580,Sheet2!$W:$AA,3,0))</f>
        <v/>
      </c>
      <c r="Q580" s="6" t="str">
        <f>IF(VLOOKUP(E580,Sheet2!$W:$AA,4,0)=0,"",VLOOKUP(E580,Sheet2!$W:$AA,4,0))</f>
        <v/>
      </c>
      <c r="R580" s="8">
        <f t="shared" si="109"/>
        <v>100</v>
      </c>
      <c r="S580" s="8">
        <f t="shared" si="110"/>
        <v>2</v>
      </c>
    </row>
    <row r="581" spans="1:19">
      <c r="A581" s="6">
        <f t="shared" si="106"/>
        <v>11601</v>
      </c>
      <c r="B581" s="6">
        <f t="shared" si="115"/>
        <v>116</v>
      </c>
      <c r="C581" s="6">
        <f t="shared" si="114"/>
        <v>1</v>
      </c>
      <c r="D581" s="6" t="str">
        <f t="shared" si="107"/>
        <v>关卡116怪物1</v>
      </c>
      <c r="E581" s="6">
        <v>104</v>
      </c>
      <c r="G581" s="6" t="s">
        <v>1003</v>
      </c>
      <c r="H581" s="6">
        <f t="shared" si="116"/>
        <v>0</v>
      </c>
      <c r="I581" s="6" t="str">
        <f>IF(VLOOKUP(E581,Sheet2!$W:$AA,5,0)=0,"",VLOOKUP(E581,Sheet2!$W:$AA,5,0))</f>
        <v/>
      </c>
      <c r="J581" s="6">
        <v>0</v>
      </c>
      <c r="K581" s="6">
        <v>0</v>
      </c>
      <c r="L581" s="6" t="str">
        <f>IF(VLOOKUP(E581,Sheet2!$W:$AA,2,0)=0,"",VLOOKUP(E581,Sheet2!$W:$AA,2,0))</f>
        <v/>
      </c>
      <c r="N581" s="6" t="str">
        <f>IF(VLOOKUP(E581,Sheet2!$W:$AA,3,0)=0,"",VLOOKUP(E581,Sheet2!$W:$AA,3,0))</f>
        <v/>
      </c>
      <c r="Q581" s="6" t="str">
        <f>IF(VLOOKUP(E581,Sheet2!$W:$AA,4,0)=0,"",VLOOKUP(E581,Sheet2!$W:$AA,4,0))</f>
        <v/>
      </c>
      <c r="R581" s="8">
        <f t="shared" si="109"/>
        <v>24</v>
      </c>
      <c r="S581" s="8">
        <f t="shared" si="110"/>
        <v>2</v>
      </c>
    </row>
    <row r="582" spans="1:19">
      <c r="A582" s="6">
        <f t="shared" si="106"/>
        <v>11602</v>
      </c>
      <c r="B582" s="6">
        <f t="shared" si="115"/>
        <v>116</v>
      </c>
      <c r="C582" s="6">
        <f t="shared" si="114"/>
        <v>2</v>
      </c>
      <c r="D582" s="6" t="str">
        <f t="shared" si="108"/>
        <v>关卡116怪物2</v>
      </c>
      <c r="E582" s="6">
        <v>119</v>
      </c>
      <c r="G582" s="6" t="s">
        <v>1004</v>
      </c>
      <c r="H582" s="6">
        <f t="shared" si="116"/>
        <v>0</v>
      </c>
      <c r="I582" s="6" t="str">
        <f>IF(VLOOKUP(E582,Sheet2!$W:$AA,5,0)=0,"",VLOOKUP(E582,Sheet2!$W:$AA,5,0))</f>
        <v/>
      </c>
      <c r="J582" s="6">
        <v>0</v>
      </c>
      <c r="K582" s="6">
        <v>0</v>
      </c>
      <c r="L582" s="6">
        <f>IF(VLOOKUP(E582,Sheet2!$W:$AA,2,0)=0,"",VLOOKUP(E582,Sheet2!$W:$AA,2,0))</f>
        <v>1</v>
      </c>
      <c r="N582" s="6" t="str">
        <f>IF(VLOOKUP(E582,Sheet2!$W:$AA,3,0)=0,"",VLOOKUP(E582,Sheet2!$W:$AA,3,0))</f>
        <v/>
      </c>
      <c r="Q582" s="6" t="str">
        <f>IF(VLOOKUP(E582,Sheet2!$W:$AA,4,0)=0,"",VLOOKUP(E582,Sheet2!$W:$AA,4,0))</f>
        <v>[{50018,6}]</v>
      </c>
      <c r="R582" s="8">
        <f t="shared" si="109"/>
        <v>24</v>
      </c>
      <c r="S582" s="8">
        <f t="shared" si="110"/>
        <v>2</v>
      </c>
    </row>
    <row r="583" spans="1:19">
      <c r="A583" s="6">
        <f t="shared" si="106"/>
        <v>11603</v>
      </c>
      <c r="B583" s="6">
        <f t="shared" si="115"/>
        <v>116</v>
      </c>
      <c r="C583" s="6">
        <f t="shared" si="114"/>
        <v>3</v>
      </c>
      <c r="D583" s="6" t="str">
        <f t="shared" si="111"/>
        <v>关卡116怪物3</v>
      </c>
      <c r="E583" s="6">
        <v>118</v>
      </c>
      <c r="G583" s="6" t="s">
        <v>1005</v>
      </c>
      <c r="H583" s="6">
        <f t="shared" si="116"/>
        <v>0</v>
      </c>
      <c r="I583" s="6" t="str">
        <f>IF(VLOOKUP(E583,Sheet2!$W:$AA,5,0)=0,"",VLOOKUP(E583,Sheet2!$W:$AA,5,0))</f>
        <v>[60009]</v>
      </c>
      <c r="J583" s="6">
        <v>0</v>
      </c>
      <c r="K583" s="6">
        <v>0</v>
      </c>
      <c r="L583" s="6">
        <f>IF(VLOOKUP(E583,Sheet2!$W:$AA,2,0)=0,"",VLOOKUP(E583,Sheet2!$W:$AA,2,0))</f>
        <v>1</v>
      </c>
      <c r="N583" s="6" t="str">
        <f>IF(VLOOKUP(E583,Sheet2!$W:$AA,3,0)=0,"",VLOOKUP(E583,Sheet2!$W:$AA,3,0))</f>
        <v/>
      </c>
      <c r="Q583" s="6" t="str">
        <f>IF(VLOOKUP(E583,Sheet2!$W:$AA,4,0)=0,"",VLOOKUP(E583,Sheet2!$W:$AA,4,0))</f>
        <v>[{50017,6}]</v>
      </c>
      <c r="R583" s="8">
        <f t="shared" si="109"/>
        <v>24</v>
      </c>
      <c r="S583" s="8">
        <f t="shared" si="110"/>
        <v>2</v>
      </c>
    </row>
    <row r="584" spans="1:19">
      <c r="A584" s="6">
        <f t="shared" si="106"/>
        <v>11621</v>
      </c>
      <c r="B584" s="6">
        <f t="shared" si="115"/>
        <v>116</v>
      </c>
      <c r="C584" s="6">
        <f t="shared" si="114"/>
        <v>4</v>
      </c>
      <c r="D584" s="6" t="str">
        <f t="shared" si="112"/>
        <v>关卡116BOSS1</v>
      </c>
      <c r="E584" s="6">
        <v>119</v>
      </c>
      <c r="G584" s="6" t="s">
        <v>1006</v>
      </c>
      <c r="H584" s="6">
        <f t="shared" si="116"/>
        <v>2</v>
      </c>
      <c r="I584" s="6" t="str">
        <f>IF(VLOOKUP(E584,Sheet2!$W:$AA,5,0)=0,"",VLOOKUP(E584,Sheet2!$W:$AA,5,0))</f>
        <v/>
      </c>
      <c r="J584" s="6">
        <v>0</v>
      </c>
      <c r="K584" s="6">
        <v>0</v>
      </c>
      <c r="L584" s="6">
        <f>IF(VLOOKUP(E584,Sheet2!$W:$AA,2,0)=0,"",VLOOKUP(E584,Sheet2!$W:$AA,2,0))</f>
        <v>1</v>
      </c>
      <c r="N584" s="6" t="str">
        <f>IF(VLOOKUP(E584,Sheet2!$W:$AA,3,0)=0,"",VLOOKUP(E584,Sheet2!$W:$AA,3,0))</f>
        <v/>
      </c>
      <c r="Q584" s="6" t="str">
        <f>IF(VLOOKUP(E584,Sheet2!$W:$AA,4,0)=0,"",VLOOKUP(E584,Sheet2!$W:$AA,4,0))</f>
        <v>[{50018,6}]</v>
      </c>
      <c r="R584" s="8">
        <f t="shared" si="109"/>
        <v>100</v>
      </c>
      <c r="S584" s="8">
        <f t="shared" si="110"/>
        <v>2</v>
      </c>
    </row>
    <row r="585" spans="1:19">
      <c r="A585" s="6">
        <f t="shared" si="106"/>
        <v>11631</v>
      </c>
      <c r="B585" s="6">
        <f t="shared" si="115"/>
        <v>116</v>
      </c>
      <c r="C585" s="6">
        <f t="shared" si="114"/>
        <v>5</v>
      </c>
      <c r="D585" s="6" t="str">
        <f t="shared" si="113"/>
        <v>关卡116BOSS2</v>
      </c>
      <c r="E585" s="6">
        <v>119</v>
      </c>
      <c r="G585" s="6" t="s">
        <v>1007</v>
      </c>
      <c r="H585" s="6">
        <f t="shared" si="116"/>
        <v>2</v>
      </c>
      <c r="I585" s="6" t="str">
        <f>IF(VLOOKUP(E585,Sheet2!$W:$AA,5,0)=0,"",VLOOKUP(E585,Sheet2!$W:$AA,5,0))</f>
        <v/>
      </c>
      <c r="J585" s="6">
        <v>0</v>
      </c>
      <c r="K585" s="6">
        <v>0</v>
      </c>
      <c r="L585" s="6">
        <f>IF(VLOOKUP(E585,Sheet2!$W:$AA,2,0)=0,"",VLOOKUP(E585,Sheet2!$W:$AA,2,0))</f>
        <v>1</v>
      </c>
      <c r="N585" s="6" t="str">
        <f>IF(VLOOKUP(E585,Sheet2!$W:$AA,3,0)=0,"",VLOOKUP(E585,Sheet2!$W:$AA,3,0))</f>
        <v/>
      </c>
      <c r="Q585" s="6" t="str">
        <f>IF(VLOOKUP(E585,Sheet2!$W:$AA,4,0)=0,"",VLOOKUP(E585,Sheet2!$W:$AA,4,0))</f>
        <v>[{50018,6}]</v>
      </c>
      <c r="R585" s="8">
        <f t="shared" si="109"/>
        <v>100</v>
      </c>
      <c r="S585" s="8">
        <f t="shared" si="110"/>
        <v>2</v>
      </c>
    </row>
    <row r="586" spans="1:19">
      <c r="A586" s="6">
        <f t="shared" si="106"/>
        <v>11701</v>
      </c>
      <c r="B586" s="6">
        <f t="shared" si="115"/>
        <v>117</v>
      </c>
      <c r="C586" s="6">
        <f t="shared" si="114"/>
        <v>1</v>
      </c>
      <c r="D586" s="6" t="str">
        <f t="shared" si="107"/>
        <v>关卡117怪物1</v>
      </c>
      <c r="E586" s="6">
        <v>115</v>
      </c>
      <c r="G586" s="6" t="s">
        <v>1008</v>
      </c>
      <c r="H586" s="6">
        <f t="shared" si="116"/>
        <v>0</v>
      </c>
      <c r="I586" s="6" t="str">
        <f>IF(VLOOKUP(E586,Sheet2!$W:$AA,5,0)=0,"",VLOOKUP(E586,Sheet2!$W:$AA,5,0))</f>
        <v/>
      </c>
      <c r="J586" s="6">
        <v>0</v>
      </c>
      <c r="K586" s="6">
        <v>0</v>
      </c>
      <c r="L586" s="6" t="str">
        <f>IF(VLOOKUP(E586,Sheet2!$W:$AA,2,0)=0,"",VLOOKUP(E586,Sheet2!$W:$AA,2,0))</f>
        <v/>
      </c>
      <c r="N586" s="6" t="str">
        <f>IF(VLOOKUP(E586,Sheet2!$W:$AA,3,0)=0,"",VLOOKUP(E586,Sheet2!$W:$AA,3,0))</f>
        <v/>
      </c>
      <c r="Q586" s="6" t="str">
        <f>IF(VLOOKUP(E586,Sheet2!$W:$AA,4,0)=0,"",VLOOKUP(E586,Sheet2!$W:$AA,4,0))</f>
        <v/>
      </c>
      <c r="R586" s="8">
        <f t="shared" si="109"/>
        <v>24</v>
      </c>
      <c r="S586" s="8">
        <f t="shared" si="110"/>
        <v>2</v>
      </c>
    </row>
    <row r="587" spans="1:19">
      <c r="A587" s="6">
        <f t="shared" si="106"/>
        <v>11702</v>
      </c>
      <c r="B587" s="6">
        <f t="shared" si="115"/>
        <v>117</v>
      </c>
      <c r="C587" s="6">
        <f t="shared" si="114"/>
        <v>2</v>
      </c>
      <c r="D587" s="6" t="str">
        <f t="shared" si="108"/>
        <v>关卡117怪物2</v>
      </c>
      <c r="E587" s="6">
        <v>119</v>
      </c>
      <c r="G587" s="6" t="s">
        <v>1009</v>
      </c>
      <c r="H587" s="6">
        <f t="shared" si="116"/>
        <v>0</v>
      </c>
      <c r="I587" s="6" t="str">
        <f>IF(VLOOKUP(E587,Sheet2!$W:$AA,5,0)=0,"",VLOOKUP(E587,Sheet2!$W:$AA,5,0))</f>
        <v/>
      </c>
      <c r="J587" s="6">
        <v>0</v>
      </c>
      <c r="K587" s="6">
        <v>0</v>
      </c>
      <c r="L587" s="6">
        <f>IF(VLOOKUP(E587,Sheet2!$W:$AA,2,0)=0,"",VLOOKUP(E587,Sheet2!$W:$AA,2,0))</f>
        <v>1</v>
      </c>
      <c r="N587" s="6" t="str">
        <f>IF(VLOOKUP(E587,Sheet2!$W:$AA,3,0)=0,"",VLOOKUP(E587,Sheet2!$W:$AA,3,0))</f>
        <v/>
      </c>
      <c r="Q587" s="6" t="str">
        <f>IF(VLOOKUP(E587,Sheet2!$W:$AA,4,0)=0,"",VLOOKUP(E587,Sheet2!$W:$AA,4,0))</f>
        <v>[{50018,6}]</v>
      </c>
      <c r="R587" s="8">
        <f t="shared" si="109"/>
        <v>24</v>
      </c>
      <c r="S587" s="8">
        <f t="shared" si="110"/>
        <v>2</v>
      </c>
    </row>
    <row r="588" spans="1:19">
      <c r="A588" s="6">
        <f t="shared" si="106"/>
        <v>11703</v>
      </c>
      <c r="B588" s="6">
        <f t="shared" si="115"/>
        <v>117</v>
      </c>
      <c r="C588" s="6">
        <f t="shared" si="114"/>
        <v>3</v>
      </c>
      <c r="D588" s="6" t="str">
        <f t="shared" si="111"/>
        <v>关卡117怪物3</v>
      </c>
      <c r="E588" s="6">
        <v>113</v>
      </c>
      <c r="G588" s="6" t="s">
        <v>1010</v>
      </c>
      <c r="H588" s="6">
        <f t="shared" si="116"/>
        <v>0</v>
      </c>
      <c r="I588" s="6" t="str">
        <f>IF(VLOOKUP(E588,Sheet2!$W:$AA,5,0)=0,"",VLOOKUP(E588,Sheet2!$W:$AA,5,0))</f>
        <v>[60005]</v>
      </c>
      <c r="J588" s="6">
        <v>0</v>
      </c>
      <c r="K588" s="6">
        <v>0</v>
      </c>
      <c r="L588" s="6">
        <f>IF(VLOOKUP(E588,Sheet2!$W:$AA,2,0)=0,"",VLOOKUP(E588,Sheet2!$W:$AA,2,0))</f>
        <v>1</v>
      </c>
      <c r="N588" s="6" t="str">
        <f>IF(VLOOKUP(E588,Sheet2!$W:$AA,3,0)=0,"",VLOOKUP(E588,Sheet2!$W:$AA,3,0))</f>
        <v/>
      </c>
      <c r="Q588" s="6" t="str">
        <f>IF(VLOOKUP(E588,Sheet2!$W:$AA,4,0)=0,"",VLOOKUP(E588,Sheet2!$W:$AA,4,0))</f>
        <v>[{50016,6}]</v>
      </c>
      <c r="R588" s="8">
        <f t="shared" si="109"/>
        <v>24</v>
      </c>
      <c r="S588" s="8">
        <f t="shared" si="110"/>
        <v>2</v>
      </c>
    </row>
    <row r="589" spans="1:19">
      <c r="A589" s="6">
        <f t="shared" si="106"/>
        <v>11721</v>
      </c>
      <c r="B589" s="6">
        <f t="shared" si="115"/>
        <v>117</v>
      </c>
      <c r="C589" s="6">
        <f t="shared" si="114"/>
        <v>4</v>
      </c>
      <c r="D589" s="6" t="str">
        <f t="shared" si="112"/>
        <v>关卡117BOSS1</v>
      </c>
      <c r="E589" s="6">
        <v>519</v>
      </c>
      <c r="G589" s="6" t="s">
        <v>1011</v>
      </c>
      <c r="H589" s="6">
        <f t="shared" si="116"/>
        <v>2</v>
      </c>
      <c r="I589" s="6" t="str">
        <f>IF(VLOOKUP(E589,Sheet2!$W:$AA,5,0)=0,"",VLOOKUP(E589,Sheet2!$W:$AA,5,0))</f>
        <v/>
      </c>
      <c r="J589" s="6">
        <v>0</v>
      </c>
      <c r="K589" s="6">
        <v>0</v>
      </c>
      <c r="L589" s="6">
        <f>IF(VLOOKUP(E589,Sheet2!$W:$AA,2,0)=0,"",VLOOKUP(E589,Sheet2!$W:$AA,2,0))</f>
        <v>1</v>
      </c>
      <c r="N589" s="6" t="str">
        <f>IF(VLOOKUP(E589,Sheet2!$W:$AA,3,0)=0,"",VLOOKUP(E589,Sheet2!$W:$AA,3,0))</f>
        <v/>
      </c>
      <c r="Q589" s="6" t="str">
        <f>IF(VLOOKUP(E589,Sheet2!$W:$AA,4,0)=0,"",VLOOKUP(E589,Sheet2!$W:$AA,4,0))</f>
        <v>[{50028,6}]</v>
      </c>
      <c r="R589" s="8">
        <f t="shared" si="109"/>
        <v>100</v>
      </c>
      <c r="S589" s="8">
        <f t="shared" si="110"/>
        <v>2</v>
      </c>
    </row>
    <row r="590" spans="1:19">
      <c r="A590" s="6">
        <f t="shared" si="106"/>
        <v>11731</v>
      </c>
      <c r="B590" s="6">
        <f t="shared" si="115"/>
        <v>117</v>
      </c>
      <c r="C590" s="6">
        <f t="shared" si="114"/>
        <v>5</v>
      </c>
      <c r="D590" s="6" t="str">
        <f t="shared" si="113"/>
        <v>关卡117BOSS2</v>
      </c>
      <c r="E590" s="6">
        <v>519</v>
      </c>
      <c r="G590" s="6" t="s">
        <v>1012</v>
      </c>
      <c r="H590" s="6">
        <f t="shared" si="116"/>
        <v>2</v>
      </c>
      <c r="I590" s="6" t="str">
        <f>IF(VLOOKUP(E590,Sheet2!$W:$AA,5,0)=0,"",VLOOKUP(E590,Sheet2!$W:$AA,5,0))</f>
        <v/>
      </c>
      <c r="J590" s="6">
        <v>0</v>
      </c>
      <c r="K590" s="6">
        <v>0</v>
      </c>
      <c r="L590" s="6">
        <f>IF(VLOOKUP(E590,Sheet2!$W:$AA,2,0)=0,"",VLOOKUP(E590,Sheet2!$W:$AA,2,0))</f>
        <v>1</v>
      </c>
      <c r="N590" s="6" t="str">
        <f>IF(VLOOKUP(E590,Sheet2!$W:$AA,3,0)=0,"",VLOOKUP(E590,Sheet2!$W:$AA,3,0))</f>
        <v/>
      </c>
      <c r="Q590" s="6" t="str">
        <f>IF(VLOOKUP(E590,Sheet2!$W:$AA,4,0)=0,"",VLOOKUP(E590,Sheet2!$W:$AA,4,0))</f>
        <v>[{50028,6}]</v>
      </c>
      <c r="R590" s="8">
        <f t="shared" si="109"/>
        <v>100</v>
      </c>
      <c r="S590" s="8">
        <f t="shared" si="110"/>
        <v>2</v>
      </c>
    </row>
    <row r="591" spans="1:19">
      <c r="A591" s="6">
        <f t="shared" si="106"/>
        <v>11801</v>
      </c>
      <c r="B591" s="6">
        <f t="shared" si="115"/>
        <v>118</v>
      </c>
      <c r="C591" s="6">
        <f t="shared" si="114"/>
        <v>1</v>
      </c>
      <c r="D591" s="6" t="str">
        <f t="shared" si="107"/>
        <v>关卡118怪物1</v>
      </c>
      <c r="E591" s="6">
        <v>119</v>
      </c>
      <c r="G591" s="6" t="s">
        <v>1013</v>
      </c>
      <c r="H591" s="6">
        <f t="shared" si="116"/>
        <v>0</v>
      </c>
      <c r="I591" s="6" t="str">
        <f>IF(VLOOKUP(E591,Sheet2!$W:$AA,5,0)=0,"",VLOOKUP(E591,Sheet2!$W:$AA,5,0))</f>
        <v/>
      </c>
      <c r="J591" s="6">
        <v>0</v>
      </c>
      <c r="K591" s="6">
        <v>0</v>
      </c>
      <c r="L591" s="6">
        <f>IF(VLOOKUP(E591,Sheet2!$W:$AA,2,0)=0,"",VLOOKUP(E591,Sheet2!$W:$AA,2,0))</f>
        <v>1</v>
      </c>
      <c r="N591" s="6" t="str">
        <f>IF(VLOOKUP(E591,Sheet2!$W:$AA,3,0)=0,"",VLOOKUP(E591,Sheet2!$W:$AA,3,0))</f>
        <v/>
      </c>
      <c r="Q591" s="6" t="str">
        <f>IF(VLOOKUP(E591,Sheet2!$W:$AA,4,0)=0,"",VLOOKUP(E591,Sheet2!$W:$AA,4,0))</f>
        <v>[{50018,6}]</v>
      </c>
      <c r="R591" s="8">
        <f t="shared" si="109"/>
        <v>24</v>
      </c>
      <c r="S591" s="8">
        <f t="shared" si="110"/>
        <v>2</v>
      </c>
    </row>
    <row r="592" spans="1:19">
      <c r="A592" s="6">
        <f t="shared" si="106"/>
        <v>11802</v>
      </c>
      <c r="B592" s="6">
        <f t="shared" si="115"/>
        <v>118</v>
      </c>
      <c r="C592" s="6">
        <f t="shared" si="114"/>
        <v>2</v>
      </c>
      <c r="D592" s="6" t="str">
        <f t="shared" si="108"/>
        <v>关卡118怪物2</v>
      </c>
      <c r="E592" s="6">
        <v>116</v>
      </c>
      <c r="G592" s="6" t="s">
        <v>1014</v>
      </c>
      <c r="H592" s="6">
        <f t="shared" si="116"/>
        <v>0</v>
      </c>
      <c r="I592" s="6" t="str">
        <f>IF(VLOOKUP(E592,Sheet2!$W:$AA,5,0)=0,"",VLOOKUP(E592,Sheet2!$W:$AA,5,0))</f>
        <v>[60007]</v>
      </c>
      <c r="J592" s="6">
        <v>0</v>
      </c>
      <c r="K592" s="6">
        <v>0</v>
      </c>
      <c r="L592" s="6" t="str">
        <f>IF(VLOOKUP(E592,Sheet2!$W:$AA,2,0)=0,"",VLOOKUP(E592,Sheet2!$W:$AA,2,0))</f>
        <v/>
      </c>
      <c r="N592" s="6" t="str">
        <f>IF(VLOOKUP(E592,Sheet2!$W:$AA,3,0)=0,"",VLOOKUP(E592,Sheet2!$W:$AA,3,0))</f>
        <v/>
      </c>
      <c r="Q592" s="6" t="str">
        <f>IF(VLOOKUP(E592,Sheet2!$W:$AA,4,0)=0,"",VLOOKUP(E592,Sheet2!$W:$AA,4,0))</f>
        <v/>
      </c>
      <c r="R592" s="8">
        <f t="shared" si="109"/>
        <v>24</v>
      </c>
      <c r="S592" s="8">
        <f t="shared" si="110"/>
        <v>2</v>
      </c>
    </row>
    <row r="593" spans="1:19">
      <c r="A593" s="6">
        <f t="shared" si="106"/>
        <v>11803</v>
      </c>
      <c r="B593" s="6">
        <f t="shared" si="115"/>
        <v>118</v>
      </c>
      <c r="C593" s="6">
        <f t="shared" si="114"/>
        <v>3</v>
      </c>
      <c r="D593" s="6" t="str">
        <f t="shared" si="111"/>
        <v>关卡118怪物3</v>
      </c>
      <c r="E593" s="6">
        <v>118</v>
      </c>
      <c r="G593" s="6" t="s">
        <v>1015</v>
      </c>
      <c r="H593" s="6">
        <f t="shared" si="116"/>
        <v>0</v>
      </c>
      <c r="I593" s="6" t="str">
        <f>IF(VLOOKUP(E593,Sheet2!$W:$AA,5,0)=0,"",VLOOKUP(E593,Sheet2!$W:$AA,5,0))</f>
        <v>[60009]</v>
      </c>
      <c r="J593" s="6">
        <v>0</v>
      </c>
      <c r="K593" s="6">
        <v>0</v>
      </c>
      <c r="L593" s="6">
        <f>IF(VLOOKUP(E593,Sheet2!$W:$AA,2,0)=0,"",VLOOKUP(E593,Sheet2!$W:$AA,2,0))</f>
        <v>1</v>
      </c>
      <c r="N593" s="6" t="str">
        <f>IF(VLOOKUP(E593,Sheet2!$W:$AA,3,0)=0,"",VLOOKUP(E593,Sheet2!$W:$AA,3,0))</f>
        <v/>
      </c>
      <c r="Q593" s="6" t="str">
        <f>IF(VLOOKUP(E593,Sheet2!$W:$AA,4,0)=0,"",VLOOKUP(E593,Sheet2!$W:$AA,4,0))</f>
        <v>[{50017,6}]</v>
      </c>
      <c r="R593" s="8">
        <f t="shared" si="109"/>
        <v>24</v>
      </c>
      <c r="S593" s="8">
        <f t="shared" si="110"/>
        <v>2</v>
      </c>
    </row>
    <row r="594" spans="1:19">
      <c r="A594" s="6">
        <f t="shared" si="106"/>
        <v>11821</v>
      </c>
      <c r="B594" s="6">
        <f t="shared" si="115"/>
        <v>118</v>
      </c>
      <c r="C594" s="6">
        <f t="shared" si="114"/>
        <v>4</v>
      </c>
      <c r="D594" s="6" t="str">
        <f t="shared" si="112"/>
        <v>关卡118BOSS1</v>
      </c>
      <c r="E594" s="6">
        <v>119</v>
      </c>
      <c r="G594" s="6" t="s">
        <v>1016</v>
      </c>
      <c r="H594" s="6">
        <f t="shared" si="116"/>
        <v>2</v>
      </c>
      <c r="I594" s="6" t="str">
        <f>IF(VLOOKUP(E594,Sheet2!$W:$AA,5,0)=0,"",VLOOKUP(E594,Sheet2!$W:$AA,5,0))</f>
        <v/>
      </c>
      <c r="J594" s="6">
        <v>0</v>
      </c>
      <c r="K594" s="6">
        <v>0</v>
      </c>
      <c r="L594" s="6">
        <f>IF(VLOOKUP(E594,Sheet2!$W:$AA,2,0)=0,"",VLOOKUP(E594,Sheet2!$W:$AA,2,0))</f>
        <v>1</v>
      </c>
      <c r="N594" s="6" t="str">
        <f>IF(VLOOKUP(E594,Sheet2!$W:$AA,3,0)=0,"",VLOOKUP(E594,Sheet2!$W:$AA,3,0))</f>
        <v/>
      </c>
      <c r="Q594" s="6" t="str">
        <f>IF(VLOOKUP(E594,Sheet2!$W:$AA,4,0)=0,"",VLOOKUP(E594,Sheet2!$W:$AA,4,0))</f>
        <v>[{50018,6}]</v>
      </c>
      <c r="R594" s="8">
        <f t="shared" si="109"/>
        <v>100</v>
      </c>
      <c r="S594" s="8">
        <f t="shared" si="110"/>
        <v>2</v>
      </c>
    </row>
    <row r="595" spans="1:19">
      <c r="A595" s="6">
        <f t="shared" si="106"/>
        <v>11831</v>
      </c>
      <c r="B595" s="6">
        <f t="shared" si="115"/>
        <v>118</v>
      </c>
      <c r="C595" s="6">
        <f t="shared" si="114"/>
        <v>5</v>
      </c>
      <c r="D595" s="6" t="str">
        <f t="shared" si="113"/>
        <v>关卡118BOSS2</v>
      </c>
      <c r="E595" s="6">
        <v>119</v>
      </c>
      <c r="G595" s="6" t="s">
        <v>1017</v>
      </c>
      <c r="H595" s="6">
        <f t="shared" si="116"/>
        <v>2</v>
      </c>
      <c r="I595" s="6" t="str">
        <f>IF(VLOOKUP(E595,Sheet2!$W:$AA,5,0)=0,"",VLOOKUP(E595,Sheet2!$W:$AA,5,0))</f>
        <v/>
      </c>
      <c r="J595" s="6">
        <v>0</v>
      </c>
      <c r="K595" s="6">
        <v>0</v>
      </c>
      <c r="L595" s="6">
        <f>IF(VLOOKUP(E595,Sheet2!$W:$AA,2,0)=0,"",VLOOKUP(E595,Sheet2!$W:$AA,2,0))</f>
        <v>1</v>
      </c>
      <c r="N595" s="6" t="str">
        <f>IF(VLOOKUP(E595,Sheet2!$W:$AA,3,0)=0,"",VLOOKUP(E595,Sheet2!$W:$AA,3,0))</f>
        <v/>
      </c>
      <c r="Q595" s="6" t="str">
        <f>IF(VLOOKUP(E595,Sheet2!$W:$AA,4,0)=0,"",VLOOKUP(E595,Sheet2!$W:$AA,4,0))</f>
        <v>[{50018,6}]</v>
      </c>
      <c r="R595" s="8">
        <f t="shared" si="109"/>
        <v>100</v>
      </c>
      <c r="S595" s="8">
        <f t="shared" si="110"/>
        <v>2</v>
      </c>
    </row>
    <row r="596" spans="1:19">
      <c r="A596" s="6">
        <f t="shared" si="106"/>
        <v>11901</v>
      </c>
      <c r="B596" s="6">
        <f t="shared" si="115"/>
        <v>119</v>
      </c>
      <c r="C596" s="6">
        <f t="shared" si="114"/>
        <v>1</v>
      </c>
      <c r="D596" s="6" t="str">
        <f t="shared" si="107"/>
        <v>关卡119怪物1</v>
      </c>
      <c r="E596" s="6">
        <v>111</v>
      </c>
      <c r="G596" s="6" t="s">
        <v>1018</v>
      </c>
      <c r="H596" s="6">
        <f t="shared" si="116"/>
        <v>0</v>
      </c>
      <c r="I596" s="6" t="str">
        <f>IF(VLOOKUP(E596,Sheet2!$W:$AA,5,0)=0,"",VLOOKUP(E596,Sheet2!$W:$AA,5,0))</f>
        <v/>
      </c>
      <c r="J596" s="6">
        <v>0</v>
      </c>
      <c r="K596" s="6">
        <v>0</v>
      </c>
      <c r="L596" s="6" t="str">
        <f>IF(VLOOKUP(E596,Sheet2!$W:$AA,2,0)=0,"",VLOOKUP(E596,Sheet2!$W:$AA,2,0))</f>
        <v/>
      </c>
      <c r="N596" s="6" t="str">
        <f>IF(VLOOKUP(E596,Sheet2!$W:$AA,3,0)=0,"",VLOOKUP(E596,Sheet2!$W:$AA,3,0))</f>
        <v/>
      </c>
      <c r="Q596" s="6" t="str">
        <f>IF(VLOOKUP(E596,Sheet2!$W:$AA,4,0)=0,"",VLOOKUP(E596,Sheet2!$W:$AA,4,0))</f>
        <v/>
      </c>
      <c r="R596" s="8">
        <f t="shared" si="109"/>
        <v>24</v>
      </c>
      <c r="S596" s="8">
        <f t="shared" si="110"/>
        <v>2</v>
      </c>
    </row>
    <row r="597" spans="1:19">
      <c r="A597" s="6">
        <f t="shared" si="106"/>
        <v>11902</v>
      </c>
      <c r="B597" s="6">
        <f t="shared" si="115"/>
        <v>119</v>
      </c>
      <c r="C597" s="6">
        <f t="shared" si="114"/>
        <v>2</v>
      </c>
      <c r="D597" s="6" t="str">
        <f t="shared" si="108"/>
        <v>关卡119怪物2</v>
      </c>
      <c r="E597" s="6">
        <v>112</v>
      </c>
      <c r="G597" s="6" t="s">
        <v>1019</v>
      </c>
      <c r="H597" s="6">
        <f t="shared" si="116"/>
        <v>0</v>
      </c>
      <c r="I597" s="6" t="str">
        <f>IF(VLOOKUP(E597,Sheet2!$W:$AA,5,0)=0,"",VLOOKUP(E597,Sheet2!$W:$AA,5,0))</f>
        <v/>
      </c>
      <c r="J597" s="6">
        <v>0</v>
      </c>
      <c r="K597" s="6">
        <v>0</v>
      </c>
      <c r="L597" s="6">
        <f>IF(VLOOKUP(E597,Sheet2!$W:$AA,2,0)=0,"",VLOOKUP(E597,Sheet2!$W:$AA,2,0))</f>
        <v>1</v>
      </c>
      <c r="N597" s="6" t="str">
        <f>IF(VLOOKUP(E597,Sheet2!$W:$AA,3,0)=0,"",VLOOKUP(E597,Sheet2!$W:$AA,3,0))</f>
        <v/>
      </c>
      <c r="Q597" s="6" t="str">
        <f>IF(VLOOKUP(E597,Sheet2!$W:$AA,4,0)=0,"",VLOOKUP(E597,Sheet2!$W:$AA,4,0))</f>
        <v>[{50015,6}]</v>
      </c>
      <c r="R597" s="8">
        <f t="shared" si="109"/>
        <v>24</v>
      </c>
      <c r="S597" s="8">
        <f t="shared" si="110"/>
        <v>2</v>
      </c>
    </row>
    <row r="598" spans="1:19">
      <c r="A598" s="6">
        <f t="shared" si="106"/>
        <v>11903</v>
      </c>
      <c r="B598" s="6">
        <f t="shared" si="115"/>
        <v>119</v>
      </c>
      <c r="C598" s="6">
        <f t="shared" si="114"/>
        <v>3</v>
      </c>
      <c r="D598" s="6" t="str">
        <f t="shared" si="111"/>
        <v>关卡119怪物3</v>
      </c>
      <c r="E598" s="6">
        <v>113</v>
      </c>
      <c r="G598" s="6" t="s">
        <v>1020</v>
      </c>
      <c r="H598" s="6">
        <f t="shared" si="116"/>
        <v>0</v>
      </c>
      <c r="I598" s="6" t="str">
        <f>IF(VLOOKUP(E598,Sheet2!$W:$AA,5,0)=0,"",VLOOKUP(E598,Sheet2!$W:$AA,5,0))</f>
        <v>[60005]</v>
      </c>
      <c r="J598" s="6">
        <v>0</v>
      </c>
      <c r="K598" s="6">
        <v>0</v>
      </c>
      <c r="L598" s="6">
        <f>IF(VLOOKUP(E598,Sheet2!$W:$AA,2,0)=0,"",VLOOKUP(E598,Sheet2!$W:$AA,2,0))</f>
        <v>1</v>
      </c>
      <c r="N598" s="6" t="str">
        <f>IF(VLOOKUP(E598,Sheet2!$W:$AA,3,0)=0,"",VLOOKUP(E598,Sheet2!$W:$AA,3,0))</f>
        <v/>
      </c>
      <c r="Q598" s="6" t="str">
        <f>IF(VLOOKUP(E598,Sheet2!$W:$AA,4,0)=0,"",VLOOKUP(E598,Sheet2!$W:$AA,4,0))</f>
        <v>[{50016,6}]</v>
      </c>
      <c r="R598" s="8">
        <f t="shared" si="109"/>
        <v>24</v>
      </c>
      <c r="S598" s="8">
        <f t="shared" si="110"/>
        <v>2</v>
      </c>
    </row>
    <row r="599" spans="1:19">
      <c r="A599" s="6">
        <f t="shared" si="106"/>
        <v>11921</v>
      </c>
      <c r="B599" s="6">
        <f t="shared" si="115"/>
        <v>119</v>
      </c>
      <c r="C599" s="6">
        <f t="shared" si="114"/>
        <v>4</v>
      </c>
      <c r="D599" s="6" t="str">
        <f t="shared" si="112"/>
        <v>关卡119BOSS1</v>
      </c>
      <c r="E599" s="6">
        <v>511</v>
      </c>
      <c r="G599" s="6" t="s">
        <v>1021</v>
      </c>
      <c r="H599" s="6">
        <f t="shared" si="116"/>
        <v>2</v>
      </c>
      <c r="I599" s="6" t="str">
        <f>IF(VLOOKUP(E599,Sheet2!$W:$AA,5,0)=0,"",VLOOKUP(E599,Sheet2!$W:$AA,5,0))</f>
        <v/>
      </c>
      <c r="J599" s="6">
        <v>0</v>
      </c>
      <c r="K599" s="6">
        <v>0</v>
      </c>
      <c r="L599" s="6" t="str">
        <f>IF(VLOOKUP(E599,Sheet2!$W:$AA,2,0)=0,"",VLOOKUP(E599,Sheet2!$W:$AA,2,0))</f>
        <v/>
      </c>
      <c r="N599" s="6" t="str">
        <f>IF(VLOOKUP(E599,Sheet2!$W:$AA,3,0)=0,"",VLOOKUP(E599,Sheet2!$W:$AA,3,0))</f>
        <v/>
      </c>
      <c r="Q599" s="6" t="str">
        <f>IF(VLOOKUP(E599,Sheet2!$W:$AA,4,0)=0,"",VLOOKUP(E599,Sheet2!$W:$AA,4,0))</f>
        <v/>
      </c>
      <c r="R599" s="8">
        <f t="shared" si="109"/>
        <v>100</v>
      </c>
      <c r="S599" s="8">
        <f t="shared" si="110"/>
        <v>2</v>
      </c>
    </row>
    <row r="600" spans="1:19">
      <c r="A600" s="6">
        <f t="shared" si="106"/>
        <v>11931</v>
      </c>
      <c r="B600" s="6">
        <f t="shared" si="115"/>
        <v>119</v>
      </c>
      <c r="C600" s="6">
        <f t="shared" si="114"/>
        <v>5</v>
      </c>
      <c r="D600" s="6" t="str">
        <f t="shared" si="113"/>
        <v>关卡119BOSS2</v>
      </c>
      <c r="E600" s="6">
        <v>511</v>
      </c>
      <c r="G600" s="6" t="s">
        <v>1022</v>
      </c>
      <c r="H600" s="6">
        <f t="shared" si="116"/>
        <v>2</v>
      </c>
      <c r="I600" s="6" t="str">
        <f>IF(VLOOKUP(E600,Sheet2!$W:$AA,5,0)=0,"",VLOOKUP(E600,Sheet2!$W:$AA,5,0))</f>
        <v/>
      </c>
      <c r="J600" s="6">
        <v>0</v>
      </c>
      <c r="K600" s="6">
        <v>0</v>
      </c>
      <c r="L600" s="6" t="str">
        <f>IF(VLOOKUP(E600,Sheet2!$W:$AA,2,0)=0,"",VLOOKUP(E600,Sheet2!$W:$AA,2,0))</f>
        <v/>
      </c>
      <c r="N600" s="6" t="str">
        <f>IF(VLOOKUP(E600,Sheet2!$W:$AA,3,0)=0,"",VLOOKUP(E600,Sheet2!$W:$AA,3,0))</f>
        <v/>
      </c>
      <c r="Q600" s="6" t="str">
        <f>IF(VLOOKUP(E600,Sheet2!$W:$AA,4,0)=0,"",VLOOKUP(E600,Sheet2!$W:$AA,4,0))</f>
        <v/>
      </c>
      <c r="R600" s="8">
        <f t="shared" si="109"/>
        <v>100</v>
      </c>
      <c r="S600" s="8">
        <f t="shared" si="110"/>
        <v>2</v>
      </c>
    </row>
    <row r="601" spans="1:19">
      <c r="A601" s="6">
        <f t="shared" si="106"/>
        <v>12001</v>
      </c>
      <c r="B601" s="6">
        <f t="shared" si="115"/>
        <v>120</v>
      </c>
      <c r="C601" s="6">
        <f t="shared" si="114"/>
        <v>1</v>
      </c>
      <c r="D601" s="6" t="str">
        <f t="shared" si="107"/>
        <v>关卡120怪物1</v>
      </c>
      <c r="E601" s="6">
        <v>100</v>
      </c>
      <c r="G601" s="6" t="s">
        <v>1023</v>
      </c>
      <c r="H601" s="6">
        <f t="shared" si="116"/>
        <v>0</v>
      </c>
      <c r="I601" s="6" t="str">
        <f>IF(VLOOKUP(E601,Sheet2!$W:$AA,5,0)=0,"",VLOOKUP(E601,Sheet2!$W:$AA,5,0))</f>
        <v>[60002]</v>
      </c>
      <c r="J601" s="6">
        <v>0</v>
      </c>
      <c r="K601" s="6">
        <v>0</v>
      </c>
      <c r="L601" s="6" t="str">
        <f>IF(VLOOKUP(E601,Sheet2!$W:$AA,2,0)=0,"",VLOOKUP(E601,Sheet2!$W:$AA,2,0))</f>
        <v/>
      </c>
      <c r="N601" s="6">
        <f>IF(VLOOKUP(E601,Sheet2!$W:$AA,3,0)=0,"",VLOOKUP(E601,Sheet2!$W:$AA,3,0))</f>
        <v>2001</v>
      </c>
      <c r="Q601" s="6" t="str">
        <f>IF(VLOOKUP(E601,Sheet2!$W:$AA,4,0)=0,"",VLOOKUP(E601,Sheet2!$W:$AA,4,0))</f>
        <v/>
      </c>
      <c r="R601" s="8">
        <f t="shared" si="109"/>
        <v>24</v>
      </c>
      <c r="S601" s="8">
        <f t="shared" si="110"/>
        <v>2</v>
      </c>
    </row>
    <row r="602" spans="1:19">
      <c r="A602" s="6">
        <f t="shared" si="106"/>
        <v>12002</v>
      </c>
      <c r="B602" s="6">
        <f t="shared" si="115"/>
        <v>120</v>
      </c>
      <c r="C602" s="6">
        <f t="shared" si="114"/>
        <v>2</v>
      </c>
      <c r="D602" s="6" t="str">
        <f t="shared" si="108"/>
        <v>关卡120怪物2</v>
      </c>
      <c r="E602" s="6">
        <v>102</v>
      </c>
      <c r="G602" s="6" t="s">
        <v>1024</v>
      </c>
      <c r="H602" s="6">
        <f t="shared" si="116"/>
        <v>0</v>
      </c>
      <c r="I602" s="6" t="str">
        <f>IF(VLOOKUP(E602,Sheet2!$W:$AA,5,0)=0,"",VLOOKUP(E602,Sheet2!$W:$AA,5,0))</f>
        <v/>
      </c>
      <c r="J602" s="6">
        <v>0</v>
      </c>
      <c r="K602" s="6">
        <v>0</v>
      </c>
      <c r="L602" s="6">
        <f>IF(VLOOKUP(E602,Sheet2!$W:$AA,2,0)=0,"",VLOOKUP(E602,Sheet2!$W:$AA,2,0))</f>
        <v>1</v>
      </c>
      <c r="N602" s="6" t="str">
        <f>IF(VLOOKUP(E602,Sheet2!$W:$AA,3,0)=0,"",VLOOKUP(E602,Sheet2!$W:$AA,3,0))</f>
        <v/>
      </c>
      <c r="Q602" s="6" t="str">
        <f>IF(VLOOKUP(E602,Sheet2!$W:$AA,4,0)=0,"",VLOOKUP(E602,Sheet2!$W:$AA,4,0))</f>
        <v>[{50011,6}]</v>
      </c>
      <c r="R602" s="8">
        <f t="shared" si="109"/>
        <v>24</v>
      </c>
      <c r="S602" s="8">
        <f t="shared" si="110"/>
        <v>2</v>
      </c>
    </row>
    <row r="603" spans="1:19">
      <c r="A603" s="6">
        <f t="shared" si="106"/>
        <v>12003</v>
      </c>
      <c r="B603" s="6">
        <f t="shared" si="115"/>
        <v>120</v>
      </c>
      <c r="C603" s="6">
        <f t="shared" si="114"/>
        <v>3</v>
      </c>
      <c r="D603" s="6" t="str">
        <f t="shared" si="111"/>
        <v>关卡120怪物3</v>
      </c>
      <c r="E603" s="6">
        <v>105</v>
      </c>
      <c r="G603" s="6" t="s">
        <v>1025</v>
      </c>
      <c r="H603" s="6">
        <f t="shared" si="116"/>
        <v>0</v>
      </c>
      <c r="I603" s="6" t="str">
        <f>IF(VLOOKUP(E603,Sheet2!$W:$AA,5,0)=0,"",VLOOKUP(E603,Sheet2!$W:$AA,5,0))</f>
        <v>[60003]</v>
      </c>
      <c r="J603" s="6">
        <v>0</v>
      </c>
      <c r="K603" s="6">
        <v>0</v>
      </c>
      <c r="L603" s="6" t="str">
        <f>IF(VLOOKUP(E603,Sheet2!$W:$AA,2,0)=0,"",VLOOKUP(E603,Sheet2!$W:$AA,2,0))</f>
        <v/>
      </c>
      <c r="N603" s="6" t="str">
        <f>IF(VLOOKUP(E603,Sheet2!$W:$AA,3,0)=0,"",VLOOKUP(E603,Sheet2!$W:$AA,3,0))</f>
        <v/>
      </c>
      <c r="Q603" s="6" t="str">
        <f>IF(VLOOKUP(E603,Sheet2!$W:$AA,4,0)=0,"",VLOOKUP(E603,Sheet2!$W:$AA,4,0))</f>
        <v/>
      </c>
      <c r="R603" s="8">
        <f t="shared" si="109"/>
        <v>24</v>
      </c>
      <c r="S603" s="8">
        <f t="shared" si="110"/>
        <v>2</v>
      </c>
    </row>
    <row r="604" spans="1:19">
      <c r="A604" s="6">
        <f t="shared" si="106"/>
        <v>12021</v>
      </c>
      <c r="B604" s="6">
        <f t="shared" si="115"/>
        <v>120</v>
      </c>
      <c r="C604" s="6">
        <f t="shared" si="114"/>
        <v>4</v>
      </c>
      <c r="D604" s="6" t="str">
        <f t="shared" si="112"/>
        <v>关卡120BOSS1</v>
      </c>
      <c r="E604" s="6">
        <v>502</v>
      </c>
      <c r="G604" s="6" t="s">
        <v>1026</v>
      </c>
      <c r="H604" s="6">
        <f t="shared" si="116"/>
        <v>2</v>
      </c>
      <c r="I604" s="6" t="str">
        <f>IF(VLOOKUP(E604,Sheet2!$W:$AA,5,0)=0,"",VLOOKUP(E604,Sheet2!$W:$AA,5,0))</f>
        <v/>
      </c>
      <c r="J604" s="6">
        <v>0</v>
      </c>
      <c r="K604" s="6">
        <v>0</v>
      </c>
      <c r="L604" s="6">
        <f>IF(VLOOKUP(E604,Sheet2!$W:$AA,2,0)=0,"",VLOOKUP(E604,Sheet2!$W:$AA,2,0))</f>
        <v>1</v>
      </c>
      <c r="N604" s="6" t="str">
        <f>IF(VLOOKUP(E604,Sheet2!$W:$AA,3,0)=0,"",VLOOKUP(E604,Sheet2!$W:$AA,3,0))</f>
        <v/>
      </c>
      <c r="Q604" s="6" t="str">
        <f>IF(VLOOKUP(E604,Sheet2!$W:$AA,4,0)=0,"",VLOOKUP(E604,Sheet2!$W:$AA,4,0))</f>
        <v>[{50021,6}]</v>
      </c>
      <c r="R604" s="8">
        <f t="shared" si="109"/>
        <v>100</v>
      </c>
      <c r="S604" s="8">
        <f t="shared" si="110"/>
        <v>2</v>
      </c>
    </row>
    <row r="605" spans="1:19">
      <c r="A605" s="6">
        <f t="shared" si="106"/>
        <v>12031</v>
      </c>
      <c r="B605" s="6">
        <f t="shared" si="115"/>
        <v>120</v>
      </c>
      <c r="C605" s="6">
        <f t="shared" si="114"/>
        <v>5</v>
      </c>
      <c r="D605" s="6" t="str">
        <f t="shared" si="113"/>
        <v>关卡120BOSS2</v>
      </c>
      <c r="E605" s="6">
        <v>500</v>
      </c>
      <c r="G605" s="6" t="s">
        <v>1027</v>
      </c>
      <c r="H605" s="6">
        <f t="shared" si="116"/>
        <v>2</v>
      </c>
      <c r="I605" s="6" t="str">
        <f>IF(VLOOKUP(E605,Sheet2!$W:$AA,5,0)=0,"",VLOOKUP(E605,Sheet2!$W:$AA,5,0))</f>
        <v>[60002]</v>
      </c>
      <c r="J605" s="6">
        <v>0</v>
      </c>
      <c r="K605" s="6">
        <v>0</v>
      </c>
      <c r="L605" s="6" t="str">
        <f>IF(VLOOKUP(E605,Sheet2!$W:$AA,2,0)=0,"",VLOOKUP(E605,Sheet2!$W:$AA,2,0))</f>
        <v/>
      </c>
      <c r="N605" s="6">
        <f>IF(VLOOKUP(E605,Sheet2!$W:$AA,3,0)=0,"",VLOOKUP(E605,Sheet2!$W:$AA,3,0))</f>
        <v>2001</v>
      </c>
      <c r="Q605" s="6" t="str">
        <f>IF(VLOOKUP(E605,Sheet2!$W:$AA,4,0)=0,"",VLOOKUP(E605,Sheet2!$W:$AA,4,0))</f>
        <v/>
      </c>
      <c r="R605" s="8">
        <f t="shared" si="109"/>
        <v>100</v>
      </c>
      <c r="S605" s="8">
        <f t="shared" si="110"/>
        <v>2</v>
      </c>
    </row>
    <row r="606" spans="1:19">
      <c r="A606" s="6">
        <f t="shared" ref="A606:A655" si="117">A601+100</f>
        <v>12101</v>
      </c>
      <c r="B606" s="6">
        <f t="shared" si="115"/>
        <v>121</v>
      </c>
      <c r="C606" s="6">
        <f t="shared" si="114"/>
        <v>1</v>
      </c>
      <c r="D606" s="6" t="str">
        <f t="shared" ref="D606:D651" si="118">"关卡"&amp;B606&amp;"怪物1"</f>
        <v>关卡121怪物1</v>
      </c>
      <c r="E606" s="6">
        <v>117</v>
      </c>
      <c r="G606" s="6" t="s">
        <v>1028</v>
      </c>
      <c r="H606" s="6">
        <f t="shared" si="116"/>
        <v>0</v>
      </c>
      <c r="I606" s="6" t="str">
        <f>IF(VLOOKUP(E606,Sheet2!$W:$AA,5,0)=0,"",VLOOKUP(E606,Sheet2!$W:$AA,5,0))</f>
        <v/>
      </c>
      <c r="J606" s="6">
        <v>0</v>
      </c>
      <c r="K606" s="6">
        <v>0</v>
      </c>
      <c r="L606" s="6" t="str">
        <f>IF(VLOOKUP(E606,Sheet2!$W:$AA,2,0)=0,"",VLOOKUP(E606,Sheet2!$W:$AA,2,0))</f>
        <v/>
      </c>
      <c r="N606" s="6" t="str">
        <f>IF(VLOOKUP(E606,Sheet2!$W:$AA,3,0)=0,"",VLOOKUP(E606,Sheet2!$W:$AA,3,0))</f>
        <v/>
      </c>
      <c r="Q606" s="6" t="str">
        <f>IF(VLOOKUP(E606,Sheet2!$W:$AA,4,0)=0,"",VLOOKUP(E606,Sheet2!$W:$AA,4,0))</f>
        <v/>
      </c>
      <c r="R606" s="8">
        <f t="shared" ref="R606:R655" si="119">R601</f>
        <v>24</v>
      </c>
      <c r="S606" s="8">
        <f t="shared" si="110"/>
        <v>2</v>
      </c>
    </row>
    <row r="607" spans="1:19">
      <c r="A607" s="6">
        <f t="shared" si="117"/>
        <v>12102</v>
      </c>
      <c r="B607" s="6">
        <f t="shared" si="115"/>
        <v>121</v>
      </c>
      <c r="C607" s="6">
        <f t="shared" si="114"/>
        <v>2</v>
      </c>
      <c r="D607" s="6" t="str">
        <f t="shared" ref="D607:D652" si="120">"关卡"&amp;B607&amp;"怪物2"</f>
        <v>关卡121怪物2</v>
      </c>
      <c r="E607" s="6">
        <v>116</v>
      </c>
      <c r="G607" s="6" t="s">
        <v>1029</v>
      </c>
      <c r="H607" s="6">
        <f t="shared" si="116"/>
        <v>0</v>
      </c>
      <c r="I607" s="6" t="str">
        <f>IF(VLOOKUP(E607,Sheet2!$W:$AA,5,0)=0,"",VLOOKUP(E607,Sheet2!$W:$AA,5,0))</f>
        <v>[60007]</v>
      </c>
      <c r="J607" s="6">
        <v>0</v>
      </c>
      <c r="K607" s="6">
        <v>0</v>
      </c>
      <c r="L607" s="6" t="str">
        <f>IF(VLOOKUP(E607,Sheet2!$W:$AA,2,0)=0,"",VLOOKUP(E607,Sheet2!$W:$AA,2,0))</f>
        <v/>
      </c>
      <c r="N607" s="6" t="str">
        <f>IF(VLOOKUP(E607,Sheet2!$W:$AA,3,0)=0,"",VLOOKUP(E607,Sheet2!$W:$AA,3,0))</f>
        <v/>
      </c>
      <c r="Q607" s="6" t="str">
        <f>IF(VLOOKUP(E607,Sheet2!$W:$AA,4,0)=0,"",VLOOKUP(E607,Sheet2!$W:$AA,4,0))</f>
        <v/>
      </c>
      <c r="R607" s="8">
        <f t="shared" si="119"/>
        <v>24</v>
      </c>
      <c r="S607" s="8">
        <f t="shared" si="110"/>
        <v>2</v>
      </c>
    </row>
    <row r="608" spans="1:19">
      <c r="A608" s="6">
        <f t="shared" si="117"/>
        <v>12103</v>
      </c>
      <c r="B608" s="6">
        <f t="shared" si="115"/>
        <v>121</v>
      </c>
      <c r="C608" s="6">
        <f t="shared" si="114"/>
        <v>3</v>
      </c>
      <c r="D608" s="6" t="str">
        <f t="shared" ref="D608:D653" si="121">"关卡"&amp;B608&amp;"怪物3"</f>
        <v>关卡121怪物3</v>
      </c>
      <c r="E608" s="6">
        <v>112</v>
      </c>
      <c r="G608" s="6" t="s">
        <v>1030</v>
      </c>
      <c r="H608" s="6">
        <f t="shared" si="116"/>
        <v>0</v>
      </c>
      <c r="I608" s="6" t="str">
        <f>IF(VLOOKUP(E608,Sheet2!$W:$AA,5,0)=0,"",VLOOKUP(E608,Sheet2!$W:$AA,5,0))</f>
        <v/>
      </c>
      <c r="J608" s="6">
        <v>0</v>
      </c>
      <c r="K608" s="6">
        <v>0</v>
      </c>
      <c r="L608" s="6">
        <f>IF(VLOOKUP(E608,Sheet2!$W:$AA,2,0)=0,"",VLOOKUP(E608,Sheet2!$W:$AA,2,0))</f>
        <v>1</v>
      </c>
      <c r="N608" s="6" t="str">
        <f>IF(VLOOKUP(E608,Sheet2!$W:$AA,3,0)=0,"",VLOOKUP(E608,Sheet2!$W:$AA,3,0))</f>
        <v/>
      </c>
      <c r="Q608" s="6" t="str">
        <f>IF(VLOOKUP(E608,Sheet2!$W:$AA,4,0)=0,"",VLOOKUP(E608,Sheet2!$W:$AA,4,0))</f>
        <v>[{50015,6}]</v>
      </c>
      <c r="R608" s="8">
        <f t="shared" si="119"/>
        <v>24</v>
      </c>
      <c r="S608" s="8">
        <f t="shared" si="110"/>
        <v>2</v>
      </c>
    </row>
    <row r="609" spans="1:19">
      <c r="A609" s="6">
        <f t="shared" si="117"/>
        <v>12121</v>
      </c>
      <c r="B609" s="6">
        <f t="shared" si="115"/>
        <v>121</v>
      </c>
      <c r="C609" s="6">
        <f t="shared" si="114"/>
        <v>4</v>
      </c>
      <c r="D609" s="6" t="str">
        <f t="shared" ref="D609:D654" si="122">"关卡"&amp;B609&amp;"BOSS1"</f>
        <v>关卡121BOSS1</v>
      </c>
      <c r="E609" s="6">
        <v>117</v>
      </c>
      <c r="G609" s="6" t="s">
        <v>1031</v>
      </c>
      <c r="H609" s="6">
        <f t="shared" si="116"/>
        <v>2</v>
      </c>
      <c r="I609" s="6" t="str">
        <f>IF(VLOOKUP(E609,Sheet2!$W:$AA,5,0)=0,"",VLOOKUP(E609,Sheet2!$W:$AA,5,0))</f>
        <v/>
      </c>
      <c r="J609" s="6">
        <v>0</v>
      </c>
      <c r="K609" s="6">
        <v>0</v>
      </c>
      <c r="L609" s="6" t="str">
        <f>IF(VLOOKUP(E609,Sheet2!$W:$AA,2,0)=0,"",VLOOKUP(E609,Sheet2!$W:$AA,2,0))</f>
        <v/>
      </c>
      <c r="N609" s="6" t="str">
        <f>IF(VLOOKUP(E609,Sheet2!$W:$AA,3,0)=0,"",VLOOKUP(E609,Sheet2!$W:$AA,3,0))</f>
        <v/>
      </c>
      <c r="Q609" s="6" t="str">
        <f>IF(VLOOKUP(E609,Sheet2!$W:$AA,4,0)=0,"",VLOOKUP(E609,Sheet2!$W:$AA,4,0))</f>
        <v/>
      </c>
      <c r="R609" s="8">
        <f t="shared" si="119"/>
        <v>100</v>
      </c>
      <c r="S609" s="8">
        <f t="shared" si="110"/>
        <v>2</v>
      </c>
    </row>
    <row r="610" spans="1:19">
      <c r="A610" s="6">
        <f t="shared" si="117"/>
        <v>12131</v>
      </c>
      <c r="B610" s="6">
        <f t="shared" si="115"/>
        <v>121</v>
      </c>
      <c r="C610" s="6">
        <f t="shared" si="114"/>
        <v>5</v>
      </c>
      <c r="D610" s="6" t="str">
        <f t="shared" ref="D610:D655" si="123">"关卡"&amp;B610&amp;"BOSS2"</f>
        <v>关卡121BOSS2</v>
      </c>
      <c r="E610" s="6">
        <v>117</v>
      </c>
      <c r="G610" s="6" t="s">
        <v>1032</v>
      </c>
      <c r="H610" s="6">
        <f t="shared" si="116"/>
        <v>2</v>
      </c>
      <c r="I610" s="6" t="str">
        <f>IF(VLOOKUP(E610,Sheet2!$W:$AA,5,0)=0,"",VLOOKUP(E610,Sheet2!$W:$AA,5,0))</f>
        <v/>
      </c>
      <c r="J610" s="6">
        <v>0</v>
      </c>
      <c r="K610" s="6">
        <v>0</v>
      </c>
      <c r="L610" s="6" t="str">
        <f>IF(VLOOKUP(E610,Sheet2!$W:$AA,2,0)=0,"",VLOOKUP(E610,Sheet2!$W:$AA,2,0))</f>
        <v/>
      </c>
      <c r="N610" s="6" t="str">
        <f>IF(VLOOKUP(E610,Sheet2!$W:$AA,3,0)=0,"",VLOOKUP(E610,Sheet2!$W:$AA,3,0))</f>
        <v/>
      </c>
      <c r="Q610" s="6" t="str">
        <f>IF(VLOOKUP(E610,Sheet2!$W:$AA,4,0)=0,"",VLOOKUP(E610,Sheet2!$W:$AA,4,0))</f>
        <v/>
      </c>
      <c r="R610" s="8">
        <f t="shared" si="119"/>
        <v>100</v>
      </c>
      <c r="S610" s="8">
        <f t="shared" si="110"/>
        <v>2</v>
      </c>
    </row>
    <row r="611" spans="1:19">
      <c r="A611" s="6">
        <f t="shared" si="117"/>
        <v>12201</v>
      </c>
      <c r="B611" s="6">
        <f t="shared" si="115"/>
        <v>122</v>
      </c>
      <c r="C611" s="6">
        <f t="shared" si="114"/>
        <v>1</v>
      </c>
      <c r="D611" s="6" t="str">
        <f t="shared" si="118"/>
        <v>关卡122怪物1</v>
      </c>
      <c r="E611" s="6">
        <v>104</v>
      </c>
      <c r="G611" s="6" t="s">
        <v>1033</v>
      </c>
      <c r="H611" s="6">
        <f t="shared" si="116"/>
        <v>0</v>
      </c>
      <c r="I611" s="6" t="str">
        <f>IF(VLOOKUP(E611,Sheet2!$W:$AA,5,0)=0,"",VLOOKUP(E611,Sheet2!$W:$AA,5,0))</f>
        <v/>
      </c>
      <c r="J611" s="6">
        <v>0</v>
      </c>
      <c r="K611" s="6">
        <v>0</v>
      </c>
      <c r="L611" s="6" t="str">
        <f>IF(VLOOKUP(E611,Sheet2!$W:$AA,2,0)=0,"",VLOOKUP(E611,Sheet2!$W:$AA,2,0))</f>
        <v/>
      </c>
      <c r="N611" s="6" t="str">
        <f>IF(VLOOKUP(E611,Sheet2!$W:$AA,3,0)=0,"",VLOOKUP(E611,Sheet2!$W:$AA,3,0))</f>
        <v/>
      </c>
      <c r="Q611" s="6" t="str">
        <f>IF(VLOOKUP(E611,Sheet2!$W:$AA,4,0)=0,"",VLOOKUP(E611,Sheet2!$W:$AA,4,0))</f>
        <v/>
      </c>
      <c r="R611" s="8">
        <f t="shared" si="119"/>
        <v>24</v>
      </c>
      <c r="S611" s="8">
        <f t="shared" si="110"/>
        <v>2</v>
      </c>
    </row>
    <row r="612" spans="1:19">
      <c r="A612" s="6">
        <f t="shared" si="117"/>
        <v>12202</v>
      </c>
      <c r="B612" s="6">
        <f t="shared" si="115"/>
        <v>122</v>
      </c>
      <c r="C612" s="6">
        <f t="shared" si="114"/>
        <v>2</v>
      </c>
      <c r="D612" s="6" t="str">
        <f t="shared" si="120"/>
        <v>关卡122怪物2</v>
      </c>
      <c r="E612" s="6">
        <v>119</v>
      </c>
      <c r="G612" s="6" t="s">
        <v>1034</v>
      </c>
      <c r="H612" s="6">
        <f t="shared" si="116"/>
        <v>0</v>
      </c>
      <c r="I612" s="6" t="str">
        <f>IF(VLOOKUP(E612,Sheet2!$W:$AA,5,0)=0,"",VLOOKUP(E612,Sheet2!$W:$AA,5,0))</f>
        <v/>
      </c>
      <c r="J612" s="6">
        <v>0</v>
      </c>
      <c r="K612" s="6">
        <v>0</v>
      </c>
      <c r="L612" s="6">
        <f>IF(VLOOKUP(E612,Sheet2!$W:$AA,2,0)=0,"",VLOOKUP(E612,Sheet2!$W:$AA,2,0))</f>
        <v>1</v>
      </c>
      <c r="N612" s="6" t="str">
        <f>IF(VLOOKUP(E612,Sheet2!$W:$AA,3,0)=0,"",VLOOKUP(E612,Sheet2!$W:$AA,3,0))</f>
        <v/>
      </c>
      <c r="Q612" s="6" t="str">
        <f>IF(VLOOKUP(E612,Sheet2!$W:$AA,4,0)=0,"",VLOOKUP(E612,Sheet2!$W:$AA,4,0))</f>
        <v>[{50018,6}]</v>
      </c>
      <c r="R612" s="8">
        <f t="shared" si="119"/>
        <v>24</v>
      </c>
      <c r="S612" s="8">
        <f t="shared" si="110"/>
        <v>2</v>
      </c>
    </row>
    <row r="613" spans="1:19">
      <c r="A613" s="6">
        <f t="shared" si="117"/>
        <v>12203</v>
      </c>
      <c r="B613" s="6">
        <f t="shared" si="115"/>
        <v>122</v>
      </c>
      <c r="C613" s="6">
        <f t="shared" si="114"/>
        <v>3</v>
      </c>
      <c r="D613" s="6" t="str">
        <f t="shared" si="121"/>
        <v>关卡122怪物3</v>
      </c>
      <c r="E613" s="6">
        <v>118</v>
      </c>
      <c r="G613" s="6" t="s">
        <v>1035</v>
      </c>
      <c r="H613" s="6">
        <f t="shared" si="116"/>
        <v>0</v>
      </c>
      <c r="I613" s="6" t="str">
        <f>IF(VLOOKUP(E613,Sheet2!$W:$AA,5,0)=0,"",VLOOKUP(E613,Sheet2!$W:$AA,5,0))</f>
        <v>[60009]</v>
      </c>
      <c r="J613" s="6">
        <v>0</v>
      </c>
      <c r="K613" s="6">
        <v>0</v>
      </c>
      <c r="L613" s="6">
        <f>IF(VLOOKUP(E613,Sheet2!$W:$AA,2,0)=0,"",VLOOKUP(E613,Sheet2!$W:$AA,2,0))</f>
        <v>1</v>
      </c>
      <c r="N613" s="6" t="str">
        <f>IF(VLOOKUP(E613,Sheet2!$W:$AA,3,0)=0,"",VLOOKUP(E613,Sheet2!$W:$AA,3,0))</f>
        <v/>
      </c>
      <c r="Q613" s="6" t="str">
        <f>IF(VLOOKUP(E613,Sheet2!$W:$AA,4,0)=0,"",VLOOKUP(E613,Sheet2!$W:$AA,4,0))</f>
        <v>[{50017,6}]</v>
      </c>
      <c r="R613" s="8">
        <f t="shared" si="119"/>
        <v>24</v>
      </c>
      <c r="S613" s="8">
        <f t="shared" si="110"/>
        <v>2</v>
      </c>
    </row>
    <row r="614" spans="1:19">
      <c r="A614" s="6">
        <f t="shared" si="117"/>
        <v>12221</v>
      </c>
      <c r="B614" s="6">
        <f t="shared" si="115"/>
        <v>122</v>
      </c>
      <c r="C614" s="6">
        <f t="shared" si="114"/>
        <v>4</v>
      </c>
      <c r="D614" s="6" t="str">
        <f t="shared" si="122"/>
        <v>关卡122BOSS1</v>
      </c>
      <c r="E614" s="6">
        <v>119</v>
      </c>
      <c r="G614" s="6" t="s">
        <v>1036</v>
      </c>
      <c r="H614" s="6">
        <f t="shared" si="116"/>
        <v>2</v>
      </c>
      <c r="I614" s="6" t="str">
        <f>IF(VLOOKUP(E614,Sheet2!$W:$AA,5,0)=0,"",VLOOKUP(E614,Sheet2!$W:$AA,5,0))</f>
        <v/>
      </c>
      <c r="J614" s="6">
        <v>0</v>
      </c>
      <c r="K614" s="6">
        <v>0</v>
      </c>
      <c r="L614" s="6">
        <f>IF(VLOOKUP(E614,Sheet2!$W:$AA,2,0)=0,"",VLOOKUP(E614,Sheet2!$W:$AA,2,0))</f>
        <v>1</v>
      </c>
      <c r="N614" s="6" t="str">
        <f>IF(VLOOKUP(E614,Sheet2!$W:$AA,3,0)=0,"",VLOOKUP(E614,Sheet2!$W:$AA,3,0))</f>
        <v/>
      </c>
      <c r="Q614" s="6" t="str">
        <f>IF(VLOOKUP(E614,Sheet2!$W:$AA,4,0)=0,"",VLOOKUP(E614,Sheet2!$W:$AA,4,0))</f>
        <v>[{50018,6}]</v>
      </c>
      <c r="R614" s="8">
        <f t="shared" si="119"/>
        <v>100</v>
      </c>
      <c r="S614" s="8">
        <f t="shared" si="110"/>
        <v>2</v>
      </c>
    </row>
    <row r="615" spans="1:19">
      <c r="A615" s="6">
        <f t="shared" si="117"/>
        <v>12231</v>
      </c>
      <c r="B615" s="6">
        <f t="shared" si="115"/>
        <v>122</v>
      </c>
      <c r="C615" s="6">
        <f t="shared" si="114"/>
        <v>5</v>
      </c>
      <c r="D615" s="6" t="str">
        <f t="shared" si="123"/>
        <v>关卡122BOSS2</v>
      </c>
      <c r="E615" s="6">
        <v>119</v>
      </c>
      <c r="G615" s="6" t="s">
        <v>1037</v>
      </c>
      <c r="H615" s="6">
        <f t="shared" si="116"/>
        <v>2</v>
      </c>
      <c r="I615" s="6" t="str">
        <f>IF(VLOOKUP(E615,Sheet2!$W:$AA,5,0)=0,"",VLOOKUP(E615,Sheet2!$W:$AA,5,0))</f>
        <v/>
      </c>
      <c r="J615" s="6">
        <v>0</v>
      </c>
      <c r="K615" s="6">
        <v>0</v>
      </c>
      <c r="L615" s="6">
        <f>IF(VLOOKUP(E615,Sheet2!$W:$AA,2,0)=0,"",VLOOKUP(E615,Sheet2!$W:$AA,2,0))</f>
        <v>1</v>
      </c>
      <c r="N615" s="6" t="str">
        <f>IF(VLOOKUP(E615,Sheet2!$W:$AA,3,0)=0,"",VLOOKUP(E615,Sheet2!$W:$AA,3,0))</f>
        <v/>
      </c>
      <c r="Q615" s="6" t="str">
        <f>IF(VLOOKUP(E615,Sheet2!$W:$AA,4,0)=0,"",VLOOKUP(E615,Sheet2!$W:$AA,4,0))</f>
        <v>[{50018,6}]</v>
      </c>
      <c r="R615" s="8">
        <f t="shared" si="119"/>
        <v>100</v>
      </c>
      <c r="S615" s="8">
        <f t="shared" si="110"/>
        <v>2</v>
      </c>
    </row>
    <row r="616" spans="1:19">
      <c r="A616" s="6">
        <f t="shared" si="117"/>
        <v>12301</v>
      </c>
      <c r="B616" s="6">
        <f t="shared" si="115"/>
        <v>123</v>
      </c>
      <c r="C616" s="6">
        <f t="shared" si="114"/>
        <v>1</v>
      </c>
      <c r="D616" s="6" t="str">
        <f t="shared" si="118"/>
        <v>关卡123怪物1</v>
      </c>
      <c r="E616" s="6">
        <v>119</v>
      </c>
      <c r="G616" s="6" t="s">
        <v>1038</v>
      </c>
      <c r="H616" s="6">
        <f t="shared" si="116"/>
        <v>0</v>
      </c>
      <c r="I616" s="6" t="str">
        <f>IF(VLOOKUP(E616,Sheet2!$W:$AA,5,0)=0,"",VLOOKUP(E616,Sheet2!$W:$AA,5,0))</f>
        <v/>
      </c>
      <c r="J616" s="6">
        <v>0</v>
      </c>
      <c r="K616" s="6">
        <v>0</v>
      </c>
      <c r="L616" s="6">
        <f>IF(VLOOKUP(E616,Sheet2!$W:$AA,2,0)=0,"",VLOOKUP(E616,Sheet2!$W:$AA,2,0))</f>
        <v>1</v>
      </c>
      <c r="N616" s="6" t="str">
        <f>IF(VLOOKUP(E616,Sheet2!$W:$AA,3,0)=0,"",VLOOKUP(E616,Sheet2!$W:$AA,3,0))</f>
        <v/>
      </c>
      <c r="Q616" s="6" t="str">
        <f>IF(VLOOKUP(E616,Sheet2!$W:$AA,4,0)=0,"",VLOOKUP(E616,Sheet2!$W:$AA,4,0))</f>
        <v>[{50018,6}]</v>
      </c>
      <c r="R616" s="8">
        <f t="shared" si="119"/>
        <v>24</v>
      </c>
      <c r="S616" s="8">
        <f t="shared" si="110"/>
        <v>2</v>
      </c>
    </row>
    <row r="617" spans="1:19">
      <c r="A617" s="6">
        <f t="shared" si="117"/>
        <v>12302</v>
      </c>
      <c r="B617" s="6">
        <f t="shared" si="115"/>
        <v>123</v>
      </c>
      <c r="C617" s="6">
        <f t="shared" si="114"/>
        <v>2</v>
      </c>
      <c r="D617" s="6" t="str">
        <f t="shared" si="120"/>
        <v>关卡123怪物2</v>
      </c>
      <c r="E617" s="6">
        <v>116</v>
      </c>
      <c r="G617" s="6" t="s">
        <v>1039</v>
      </c>
      <c r="H617" s="6">
        <f t="shared" si="116"/>
        <v>0</v>
      </c>
      <c r="I617" s="6" t="str">
        <f>IF(VLOOKUP(E617,Sheet2!$W:$AA,5,0)=0,"",VLOOKUP(E617,Sheet2!$W:$AA,5,0))</f>
        <v>[60007]</v>
      </c>
      <c r="J617" s="6">
        <v>0</v>
      </c>
      <c r="K617" s="6">
        <v>0</v>
      </c>
      <c r="L617" s="6" t="str">
        <f>IF(VLOOKUP(E617,Sheet2!$W:$AA,2,0)=0,"",VLOOKUP(E617,Sheet2!$W:$AA,2,0))</f>
        <v/>
      </c>
      <c r="N617" s="6" t="str">
        <f>IF(VLOOKUP(E617,Sheet2!$W:$AA,3,0)=0,"",VLOOKUP(E617,Sheet2!$W:$AA,3,0))</f>
        <v/>
      </c>
      <c r="Q617" s="6" t="str">
        <f>IF(VLOOKUP(E617,Sheet2!$W:$AA,4,0)=0,"",VLOOKUP(E617,Sheet2!$W:$AA,4,0))</f>
        <v/>
      </c>
      <c r="R617" s="8">
        <f t="shared" si="119"/>
        <v>24</v>
      </c>
      <c r="S617" s="8">
        <f t="shared" si="110"/>
        <v>2</v>
      </c>
    </row>
    <row r="618" spans="1:19">
      <c r="A618" s="6">
        <f t="shared" si="117"/>
        <v>12303</v>
      </c>
      <c r="B618" s="6">
        <f t="shared" si="115"/>
        <v>123</v>
      </c>
      <c r="C618" s="6">
        <f t="shared" si="114"/>
        <v>3</v>
      </c>
      <c r="D618" s="6" t="str">
        <f t="shared" si="121"/>
        <v>关卡123怪物3</v>
      </c>
      <c r="E618" s="6">
        <v>118</v>
      </c>
      <c r="G618" s="6" t="s">
        <v>1040</v>
      </c>
      <c r="H618" s="6">
        <f t="shared" si="116"/>
        <v>0</v>
      </c>
      <c r="I618" s="6" t="str">
        <f>IF(VLOOKUP(E618,Sheet2!$W:$AA,5,0)=0,"",VLOOKUP(E618,Sheet2!$W:$AA,5,0))</f>
        <v>[60009]</v>
      </c>
      <c r="J618" s="6">
        <v>0</v>
      </c>
      <c r="K618" s="6">
        <v>0</v>
      </c>
      <c r="L618" s="6">
        <f>IF(VLOOKUP(E618,Sheet2!$W:$AA,2,0)=0,"",VLOOKUP(E618,Sheet2!$W:$AA,2,0))</f>
        <v>1</v>
      </c>
      <c r="N618" s="6" t="str">
        <f>IF(VLOOKUP(E618,Sheet2!$W:$AA,3,0)=0,"",VLOOKUP(E618,Sheet2!$W:$AA,3,0))</f>
        <v/>
      </c>
      <c r="Q618" s="6" t="str">
        <f>IF(VLOOKUP(E618,Sheet2!$W:$AA,4,0)=0,"",VLOOKUP(E618,Sheet2!$W:$AA,4,0))</f>
        <v>[{50017,6}]</v>
      </c>
      <c r="R618" s="8">
        <f t="shared" si="119"/>
        <v>24</v>
      </c>
      <c r="S618" s="8">
        <f t="shared" si="110"/>
        <v>2</v>
      </c>
    </row>
    <row r="619" spans="1:19">
      <c r="A619" s="6">
        <f t="shared" si="117"/>
        <v>12321</v>
      </c>
      <c r="B619" s="6">
        <f t="shared" si="115"/>
        <v>123</v>
      </c>
      <c r="C619" s="6">
        <f t="shared" si="114"/>
        <v>4</v>
      </c>
      <c r="D619" s="6" t="str">
        <f t="shared" si="122"/>
        <v>关卡123BOSS1</v>
      </c>
      <c r="E619" s="6">
        <v>119</v>
      </c>
      <c r="G619" s="6" t="s">
        <v>1041</v>
      </c>
      <c r="H619" s="6">
        <f t="shared" si="116"/>
        <v>2</v>
      </c>
      <c r="I619" s="6" t="str">
        <f>IF(VLOOKUP(E619,Sheet2!$W:$AA,5,0)=0,"",VLOOKUP(E619,Sheet2!$W:$AA,5,0))</f>
        <v/>
      </c>
      <c r="J619" s="6">
        <v>0</v>
      </c>
      <c r="K619" s="6">
        <v>0</v>
      </c>
      <c r="L619" s="6">
        <f>IF(VLOOKUP(E619,Sheet2!$W:$AA,2,0)=0,"",VLOOKUP(E619,Sheet2!$W:$AA,2,0))</f>
        <v>1</v>
      </c>
      <c r="N619" s="6" t="str">
        <f>IF(VLOOKUP(E619,Sheet2!$W:$AA,3,0)=0,"",VLOOKUP(E619,Sheet2!$W:$AA,3,0))</f>
        <v/>
      </c>
      <c r="Q619" s="6" t="str">
        <f>IF(VLOOKUP(E619,Sheet2!$W:$AA,4,0)=0,"",VLOOKUP(E619,Sheet2!$W:$AA,4,0))</f>
        <v>[{50018,6}]</v>
      </c>
      <c r="R619" s="8">
        <f t="shared" si="119"/>
        <v>100</v>
      </c>
      <c r="S619" s="8">
        <f t="shared" si="110"/>
        <v>2</v>
      </c>
    </row>
    <row r="620" spans="1:19">
      <c r="A620" s="6">
        <f t="shared" si="117"/>
        <v>12331</v>
      </c>
      <c r="B620" s="6">
        <f t="shared" si="115"/>
        <v>123</v>
      </c>
      <c r="C620" s="6">
        <f t="shared" si="114"/>
        <v>5</v>
      </c>
      <c r="D620" s="6" t="str">
        <f t="shared" si="123"/>
        <v>关卡123BOSS2</v>
      </c>
      <c r="E620" s="6">
        <v>119</v>
      </c>
      <c r="G620" s="6" t="s">
        <v>1042</v>
      </c>
      <c r="H620" s="6">
        <f t="shared" si="116"/>
        <v>2</v>
      </c>
      <c r="I620" s="6" t="str">
        <f>IF(VLOOKUP(E620,Sheet2!$W:$AA,5,0)=0,"",VLOOKUP(E620,Sheet2!$W:$AA,5,0))</f>
        <v/>
      </c>
      <c r="J620" s="6">
        <v>0</v>
      </c>
      <c r="K620" s="6">
        <v>0</v>
      </c>
      <c r="L620" s="6">
        <f>IF(VLOOKUP(E620,Sheet2!$W:$AA,2,0)=0,"",VLOOKUP(E620,Sheet2!$W:$AA,2,0))</f>
        <v>1</v>
      </c>
      <c r="N620" s="6" t="str">
        <f>IF(VLOOKUP(E620,Sheet2!$W:$AA,3,0)=0,"",VLOOKUP(E620,Sheet2!$W:$AA,3,0))</f>
        <v/>
      </c>
      <c r="Q620" s="6" t="str">
        <f>IF(VLOOKUP(E620,Sheet2!$W:$AA,4,0)=0,"",VLOOKUP(E620,Sheet2!$W:$AA,4,0))</f>
        <v>[{50018,6}]</v>
      </c>
      <c r="R620" s="8">
        <f t="shared" si="119"/>
        <v>100</v>
      </c>
      <c r="S620" s="8">
        <f t="shared" si="110"/>
        <v>2</v>
      </c>
    </row>
    <row r="621" spans="1:19">
      <c r="A621" s="6">
        <f t="shared" si="117"/>
        <v>12401</v>
      </c>
      <c r="B621" s="6">
        <f t="shared" si="115"/>
        <v>124</v>
      </c>
      <c r="C621" s="6">
        <f t="shared" si="114"/>
        <v>1</v>
      </c>
      <c r="D621" s="6" t="str">
        <f t="shared" si="118"/>
        <v>关卡124怪物1</v>
      </c>
      <c r="E621" s="6">
        <v>100</v>
      </c>
      <c r="G621" s="6" t="s">
        <v>1043</v>
      </c>
      <c r="H621" s="6">
        <f t="shared" si="116"/>
        <v>0</v>
      </c>
      <c r="I621" s="6" t="str">
        <f>IF(VLOOKUP(E621,Sheet2!$W:$AA,5,0)=0,"",VLOOKUP(E621,Sheet2!$W:$AA,5,0))</f>
        <v>[60002]</v>
      </c>
      <c r="J621" s="6">
        <v>0</v>
      </c>
      <c r="K621" s="6">
        <v>0</v>
      </c>
      <c r="L621" s="6" t="str">
        <f>IF(VLOOKUP(E621,Sheet2!$W:$AA,2,0)=0,"",VLOOKUP(E621,Sheet2!$W:$AA,2,0))</f>
        <v/>
      </c>
      <c r="N621" s="6">
        <f>IF(VLOOKUP(E621,Sheet2!$W:$AA,3,0)=0,"",VLOOKUP(E621,Sheet2!$W:$AA,3,0))</f>
        <v>2001</v>
      </c>
      <c r="Q621" s="6" t="str">
        <f>IF(VLOOKUP(E621,Sheet2!$W:$AA,4,0)=0,"",VLOOKUP(E621,Sheet2!$W:$AA,4,0))</f>
        <v/>
      </c>
      <c r="R621" s="8">
        <f t="shared" si="119"/>
        <v>24</v>
      </c>
      <c r="S621" s="8">
        <f t="shared" ref="S621:S684" si="124">S620</f>
        <v>2</v>
      </c>
    </row>
    <row r="622" spans="1:19">
      <c r="A622" s="6">
        <f t="shared" si="117"/>
        <v>12402</v>
      </c>
      <c r="B622" s="6">
        <f t="shared" si="115"/>
        <v>124</v>
      </c>
      <c r="C622" s="6">
        <f t="shared" si="114"/>
        <v>2</v>
      </c>
      <c r="D622" s="6" t="str">
        <f t="shared" si="120"/>
        <v>关卡124怪物2</v>
      </c>
      <c r="E622" s="6">
        <v>102</v>
      </c>
      <c r="G622" s="6" t="s">
        <v>1044</v>
      </c>
      <c r="H622" s="6">
        <f t="shared" si="116"/>
        <v>0</v>
      </c>
      <c r="I622" s="6" t="str">
        <f>IF(VLOOKUP(E622,Sheet2!$W:$AA,5,0)=0,"",VLOOKUP(E622,Sheet2!$W:$AA,5,0))</f>
        <v/>
      </c>
      <c r="J622" s="6">
        <v>0</v>
      </c>
      <c r="K622" s="6">
        <v>0</v>
      </c>
      <c r="L622" s="6">
        <f>IF(VLOOKUP(E622,Sheet2!$W:$AA,2,0)=0,"",VLOOKUP(E622,Sheet2!$W:$AA,2,0))</f>
        <v>1</v>
      </c>
      <c r="N622" s="6" t="str">
        <f>IF(VLOOKUP(E622,Sheet2!$W:$AA,3,0)=0,"",VLOOKUP(E622,Sheet2!$W:$AA,3,0))</f>
        <v/>
      </c>
      <c r="Q622" s="6" t="str">
        <f>IF(VLOOKUP(E622,Sheet2!$W:$AA,4,0)=0,"",VLOOKUP(E622,Sheet2!$W:$AA,4,0))</f>
        <v>[{50011,6}]</v>
      </c>
      <c r="R622" s="8">
        <f t="shared" si="119"/>
        <v>24</v>
      </c>
      <c r="S622" s="8">
        <f t="shared" si="124"/>
        <v>2</v>
      </c>
    </row>
    <row r="623" spans="1:19">
      <c r="A623" s="6">
        <f t="shared" si="117"/>
        <v>12403</v>
      </c>
      <c r="B623" s="6">
        <f t="shared" si="115"/>
        <v>124</v>
      </c>
      <c r="C623" s="6">
        <f t="shared" si="114"/>
        <v>3</v>
      </c>
      <c r="D623" s="6" t="str">
        <f t="shared" si="121"/>
        <v>关卡124怪物3</v>
      </c>
      <c r="E623" s="6">
        <v>105</v>
      </c>
      <c r="G623" s="6" t="s">
        <v>1045</v>
      </c>
      <c r="H623" s="6">
        <f t="shared" si="116"/>
        <v>0</v>
      </c>
      <c r="I623" s="6" t="str">
        <f>IF(VLOOKUP(E623,Sheet2!$W:$AA,5,0)=0,"",VLOOKUP(E623,Sheet2!$W:$AA,5,0))</f>
        <v>[60003]</v>
      </c>
      <c r="J623" s="6">
        <v>0</v>
      </c>
      <c r="K623" s="6">
        <v>0</v>
      </c>
      <c r="L623" s="6" t="str">
        <f>IF(VLOOKUP(E623,Sheet2!$W:$AA,2,0)=0,"",VLOOKUP(E623,Sheet2!$W:$AA,2,0))</f>
        <v/>
      </c>
      <c r="N623" s="6" t="str">
        <f>IF(VLOOKUP(E623,Sheet2!$W:$AA,3,0)=0,"",VLOOKUP(E623,Sheet2!$W:$AA,3,0))</f>
        <v/>
      </c>
      <c r="Q623" s="6" t="str">
        <f>IF(VLOOKUP(E623,Sheet2!$W:$AA,4,0)=0,"",VLOOKUP(E623,Sheet2!$W:$AA,4,0))</f>
        <v/>
      </c>
      <c r="R623" s="8">
        <f t="shared" si="119"/>
        <v>24</v>
      </c>
      <c r="S623" s="8">
        <f t="shared" si="124"/>
        <v>2</v>
      </c>
    </row>
    <row r="624" spans="1:19">
      <c r="A624" s="6">
        <f t="shared" si="117"/>
        <v>12421</v>
      </c>
      <c r="B624" s="6">
        <f t="shared" si="115"/>
        <v>124</v>
      </c>
      <c r="C624" s="6">
        <f t="shared" si="114"/>
        <v>4</v>
      </c>
      <c r="D624" s="6" t="str">
        <f t="shared" si="122"/>
        <v>关卡124BOSS1</v>
      </c>
      <c r="E624" s="6">
        <v>502</v>
      </c>
      <c r="G624" s="6" t="s">
        <v>1046</v>
      </c>
      <c r="H624" s="6">
        <f t="shared" si="116"/>
        <v>2</v>
      </c>
      <c r="I624" s="6" t="str">
        <f>IF(VLOOKUP(E624,Sheet2!$W:$AA,5,0)=0,"",VLOOKUP(E624,Sheet2!$W:$AA,5,0))</f>
        <v/>
      </c>
      <c r="J624" s="6">
        <v>0</v>
      </c>
      <c r="K624" s="6">
        <v>0</v>
      </c>
      <c r="L624" s="6">
        <f>IF(VLOOKUP(E624,Sheet2!$W:$AA,2,0)=0,"",VLOOKUP(E624,Sheet2!$W:$AA,2,0))</f>
        <v>1</v>
      </c>
      <c r="N624" s="6" t="str">
        <f>IF(VLOOKUP(E624,Sheet2!$W:$AA,3,0)=0,"",VLOOKUP(E624,Sheet2!$W:$AA,3,0))</f>
        <v/>
      </c>
      <c r="Q624" s="6" t="str">
        <f>IF(VLOOKUP(E624,Sheet2!$W:$AA,4,0)=0,"",VLOOKUP(E624,Sheet2!$W:$AA,4,0))</f>
        <v>[{50021,6}]</v>
      </c>
      <c r="R624" s="8">
        <f t="shared" si="119"/>
        <v>100</v>
      </c>
      <c r="S624" s="8">
        <f t="shared" si="124"/>
        <v>2</v>
      </c>
    </row>
    <row r="625" spans="1:19">
      <c r="A625" s="6">
        <f t="shared" si="117"/>
        <v>12431</v>
      </c>
      <c r="B625" s="6">
        <f t="shared" si="115"/>
        <v>124</v>
      </c>
      <c r="C625" s="6">
        <f t="shared" si="114"/>
        <v>5</v>
      </c>
      <c r="D625" s="6" t="str">
        <f t="shared" si="123"/>
        <v>关卡124BOSS2</v>
      </c>
      <c r="E625" s="6">
        <v>500</v>
      </c>
      <c r="G625" s="6" t="s">
        <v>1047</v>
      </c>
      <c r="H625" s="6">
        <f t="shared" si="116"/>
        <v>2</v>
      </c>
      <c r="I625" s="6" t="str">
        <f>IF(VLOOKUP(E625,Sheet2!$W:$AA,5,0)=0,"",VLOOKUP(E625,Sheet2!$W:$AA,5,0))</f>
        <v>[60002]</v>
      </c>
      <c r="J625" s="6">
        <v>0</v>
      </c>
      <c r="K625" s="6">
        <v>0</v>
      </c>
      <c r="L625" s="6" t="str">
        <f>IF(VLOOKUP(E625,Sheet2!$W:$AA,2,0)=0,"",VLOOKUP(E625,Sheet2!$W:$AA,2,0))</f>
        <v/>
      </c>
      <c r="N625" s="6">
        <f>IF(VLOOKUP(E625,Sheet2!$W:$AA,3,0)=0,"",VLOOKUP(E625,Sheet2!$W:$AA,3,0))</f>
        <v>2001</v>
      </c>
      <c r="Q625" s="6" t="str">
        <f>IF(VLOOKUP(E625,Sheet2!$W:$AA,4,0)=0,"",VLOOKUP(E625,Sheet2!$W:$AA,4,0))</f>
        <v/>
      </c>
      <c r="R625" s="8">
        <f t="shared" si="119"/>
        <v>100</v>
      </c>
      <c r="S625" s="8">
        <f t="shared" si="124"/>
        <v>2</v>
      </c>
    </row>
    <row r="626" spans="1:19">
      <c r="A626" s="6">
        <f t="shared" si="117"/>
        <v>12501</v>
      </c>
      <c r="B626" s="6">
        <f t="shared" si="115"/>
        <v>125</v>
      </c>
      <c r="C626" s="6">
        <f t="shared" si="114"/>
        <v>1</v>
      </c>
      <c r="D626" s="6" t="str">
        <f t="shared" si="118"/>
        <v>关卡125怪物1</v>
      </c>
      <c r="E626" s="6">
        <v>111</v>
      </c>
      <c r="G626" s="6" t="s">
        <v>1048</v>
      </c>
      <c r="H626" s="6">
        <f t="shared" si="116"/>
        <v>0</v>
      </c>
      <c r="I626" s="6" t="str">
        <f>IF(VLOOKUP(E626,Sheet2!$W:$AA,5,0)=0,"",VLOOKUP(E626,Sheet2!$W:$AA,5,0))</f>
        <v/>
      </c>
      <c r="J626" s="6">
        <v>0</v>
      </c>
      <c r="K626" s="6">
        <v>0</v>
      </c>
      <c r="L626" s="6" t="str">
        <f>IF(VLOOKUP(E626,Sheet2!$W:$AA,2,0)=0,"",VLOOKUP(E626,Sheet2!$W:$AA,2,0))</f>
        <v/>
      </c>
      <c r="N626" s="6" t="str">
        <f>IF(VLOOKUP(E626,Sheet2!$W:$AA,3,0)=0,"",VLOOKUP(E626,Sheet2!$W:$AA,3,0))</f>
        <v/>
      </c>
      <c r="Q626" s="6" t="str">
        <f>IF(VLOOKUP(E626,Sheet2!$W:$AA,4,0)=0,"",VLOOKUP(E626,Sheet2!$W:$AA,4,0))</f>
        <v/>
      </c>
      <c r="R626" s="8">
        <f t="shared" si="119"/>
        <v>24</v>
      </c>
      <c r="S626" s="8">
        <f t="shared" si="124"/>
        <v>2</v>
      </c>
    </row>
    <row r="627" spans="1:19">
      <c r="A627" s="6">
        <f t="shared" si="117"/>
        <v>12502</v>
      </c>
      <c r="B627" s="6">
        <f t="shared" si="115"/>
        <v>125</v>
      </c>
      <c r="C627" s="6">
        <f t="shared" si="114"/>
        <v>2</v>
      </c>
      <c r="D627" s="6" t="str">
        <f t="shared" si="120"/>
        <v>关卡125怪物2</v>
      </c>
      <c r="E627" s="6">
        <v>112</v>
      </c>
      <c r="G627" s="6" t="s">
        <v>1049</v>
      </c>
      <c r="H627" s="6">
        <f t="shared" si="116"/>
        <v>0</v>
      </c>
      <c r="I627" s="6" t="str">
        <f>IF(VLOOKUP(E627,Sheet2!$W:$AA,5,0)=0,"",VLOOKUP(E627,Sheet2!$W:$AA,5,0))</f>
        <v/>
      </c>
      <c r="J627" s="6">
        <v>0</v>
      </c>
      <c r="K627" s="6">
        <v>0</v>
      </c>
      <c r="L627" s="6">
        <f>IF(VLOOKUP(E627,Sheet2!$W:$AA,2,0)=0,"",VLOOKUP(E627,Sheet2!$W:$AA,2,0))</f>
        <v>1</v>
      </c>
      <c r="N627" s="6" t="str">
        <f>IF(VLOOKUP(E627,Sheet2!$W:$AA,3,0)=0,"",VLOOKUP(E627,Sheet2!$W:$AA,3,0))</f>
        <v/>
      </c>
      <c r="Q627" s="6" t="str">
        <f>IF(VLOOKUP(E627,Sheet2!$W:$AA,4,0)=0,"",VLOOKUP(E627,Sheet2!$W:$AA,4,0))</f>
        <v>[{50015,6}]</v>
      </c>
      <c r="R627" s="8">
        <f t="shared" si="119"/>
        <v>24</v>
      </c>
      <c r="S627" s="8">
        <f t="shared" si="124"/>
        <v>2</v>
      </c>
    </row>
    <row r="628" spans="1:19">
      <c r="A628" s="6">
        <f t="shared" si="117"/>
        <v>12503</v>
      </c>
      <c r="B628" s="6">
        <f t="shared" si="115"/>
        <v>125</v>
      </c>
      <c r="C628" s="6">
        <f t="shared" si="114"/>
        <v>3</v>
      </c>
      <c r="D628" s="6" t="str">
        <f t="shared" si="121"/>
        <v>关卡125怪物3</v>
      </c>
      <c r="E628" s="6">
        <v>113</v>
      </c>
      <c r="G628" s="6" t="s">
        <v>1050</v>
      </c>
      <c r="H628" s="6">
        <f t="shared" si="116"/>
        <v>0</v>
      </c>
      <c r="I628" s="6" t="str">
        <f>IF(VLOOKUP(E628,Sheet2!$W:$AA,5,0)=0,"",VLOOKUP(E628,Sheet2!$W:$AA,5,0))</f>
        <v>[60005]</v>
      </c>
      <c r="J628" s="6">
        <v>0</v>
      </c>
      <c r="K628" s="6">
        <v>0</v>
      </c>
      <c r="L628" s="6">
        <f>IF(VLOOKUP(E628,Sheet2!$W:$AA,2,0)=0,"",VLOOKUP(E628,Sheet2!$W:$AA,2,0))</f>
        <v>1</v>
      </c>
      <c r="N628" s="6" t="str">
        <f>IF(VLOOKUP(E628,Sheet2!$W:$AA,3,0)=0,"",VLOOKUP(E628,Sheet2!$W:$AA,3,0))</f>
        <v/>
      </c>
      <c r="Q628" s="6" t="str">
        <f>IF(VLOOKUP(E628,Sheet2!$W:$AA,4,0)=0,"",VLOOKUP(E628,Sheet2!$W:$AA,4,0))</f>
        <v>[{50016,6}]</v>
      </c>
      <c r="R628" s="8">
        <f t="shared" si="119"/>
        <v>24</v>
      </c>
      <c r="S628" s="8">
        <f t="shared" si="124"/>
        <v>2</v>
      </c>
    </row>
    <row r="629" spans="1:19">
      <c r="A629" s="6">
        <f t="shared" si="117"/>
        <v>12521</v>
      </c>
      <c r="B629" s="6">
        <f t="shared" si="115"/>
        <v>125</v>
      </c>
      <c r="C629" s="6">
        <f t="shared" ref="C629:C692" si="125">C624</f>
        <v>4</v>
      </c>
      <c r="D629" s="6" t="str">
        <f t="shared" si="122"/>
        <v>关卡125BOSS1</v>
      </c>
      <c r="E629" s="6">
        <v>511</v>
      </c>
      <c r="G629" s="6" t="s">
        <v>1051</v>
      </c>
      <c r="H629" s="6">
        <f t="shared" si="116"/>
        <v>2</v>
      </c>
      <c r="I629" s="6" t="str">
        <f>IF(VLOOKUP(E629,Sheet2!$W:$AA,5,0)=0,"",VLOOKUP(E629,Sheet2!$W:$AA,5,0))</f>
        <v/>
      </c>
      <c r="J629" s="6">
        <v>0</v>
      </c>
      <c r="K629" s="6">
        <v>0</v>
      </c>
      <c r="L629" s="6" t="str">
        <f>IF(VLOOKUP(E629,Sheet2!$W:$AA,2,0)=0,"",VLOOKUP(E629,Sheet2!$W:$AA,2,0))</f>
        <v/>
      </c>
      <c r="N629" s="6" t="str">
        <f>IF(VLOOKUP(E629,Sheet2!$W:$AA,3,0)=0,"",VLOOKUP(E629,Sheet2!$W:$AA,3,0))</f>
        <v/>
      </c>
      <c r="Q629" s="6" t="str">
        <f>IF(VLOOKUP(E629,Sheet2!$W:$AA,4,0)=0,"",VLOOKUP(E629,Sheet2!$W:$AA,4,0))</f>
        <v/>
      </c>
      <c r="R629" s="8">
        <f t="shared" si="119"/>
        <v>100</v>
      </c>
      <c r="S629" s="8">
        <f t="shared" si="124"/>
        <v>2</v>
      </c>
    </row>
    <row r="630" spans="1:19">
      <c r="A630" s="6">
        <f t="shared" si="117"/>
        <v>12531</v>
      </c>
      <c r="B630" s="6">
        <f t="shared" si="115"/>
        <v>125</v>
      </c>
      <c r="C630" s="6">
        <f t="shared" si="125"/>
        <v>5</v>
      </c>
      <c r="D630" s="6" t="str">
        <f t="shared" si="123"/>
        <v>关卡125BOSS2</v>
      </c>
      <c r="E630" s="6">
        <v>511</v>
      </c>
      <c r="G630" s="6" t="s">
        <v>1052</v>
      </c>
      <c r="H630" s="6">
        <f t="shared" si="116"/>
        <v>2</v>
      </c>
      <c r="I630" s="6" t="str">
        <f>IF(VLOOKUP(E630,Sheet2!$W:$AA,5,0)=0,"",VLOOKUP(E630,Sheet2!$W:$AA,5,0))</f>
        <v/>
      </c>
      <c r="J630" s="6">
        <v>0</v>
      </c>
      <c r="K630" s="6">
        <v>0</v>
      </c>
      <c r="L630" s="6" t="str">
        <f>IF(VLOOKUP(E630,Sheet2!$W:$AA,2,0)=0,"",VLOOKUP(E630,Sheet2!$W:$AA,2,0))</f>
        <v/>
      </c>
      <c r="N630" s="6" t="str">
        <f>IF(VLOOKUP(E630,Sheet2!$W:$AA,3,0)=0,"",VLOOKUP(E630,Sheet2!$W:$AA,3,0))</f>
        <v/>
      </c>
      <c r="Q630" s="6" t="str">
        <f>IF(VLOOKUP(E630,Sheet2!$W:$AA,4,0)=0,"",VLOOKUP(E630,Sheet2!$W:$AA,4,0))</f>
        <v/>
      </c>
      <c r="R630" s="8">
        <f t="shared" si="119"/>
        <v>100</v>
      </c>
      <c r="S630" s="8">
        <f t="shared" si="124"/>
        <v>2</v>
      </c>
    </row>
    <row r="631" spans="1:19">
      <c r="A631" s="6">
        <f t="shared" si="117"/>
        <v>12601</v>
      </c>
      <c r="B631" s="6">
        <f t="shared" si="115"/>
        <v>126</v>
      </c>
      <c r="C631" s="6">
        <f t="shared" si="125"/>
        <v>1</v>
      </c>
      <c r="D631" s="6" t="str">
        <f t="shared" si="118"/>
        <v>关卡126怪物1</v>
      </c>
      <c r="E631" s="6">
        <v>103</v>
      </c>
      <c r="G631" s="6" t="s">
        <v>1053</v>
      </c>
      <c r="H631" s="6">
        <f t="shared" si="116"/>
        <v>0</v>
      </c>
      <c r="I631" s="6" t="str">
        <f>IF(VLOOKUP(E631,Sheet2!$W:$AA,5,0)=0,"",VLOOKUP(E631,Sheet2!$W:$AA,5,0))</f>
        <v>[60001]</v>
      </c>
      <c r="J631" s="6">
        <v>0</v>
      </c>
      <c r="K631" s="6">
        <v>0</v>
      </c>
      <c r="L631" s="6" t="str">
        <f>IF(VLOOKUP(E631,Sheet2!$W:$AA,2,0)=0,"",VLOOKUP(E631,Sheet2!$W:$AA,2,0))</f>
        <v/>
      </c>
      <c r="N631" s="6" t="str">
        <f>IF(VLOOKUP(E631,Sheet2!$W:$AA,3,0)=0,"",VLOOKUP(E631,Sheet2!$W:$AA,3,0))</f>
        <v/>
      </c>
      <c r="Q631" s="6" t="str">
        <f>IF(VLOOKUP(E631,Sheet2!$W:$AA,4,0)=0,"",VLOOKUP(E631,Sheet2!$W:$AA,4,0))</f>
        <v/>
      </c>
      <c r="R631" s="8">
        <f t="shared" si="119"/>
        <v>24</v>
      </c>
      <c r="S631" s="8">
        <f t="shared" si="124"/>
        <v>2</v>
      </c>
    </row>
    <row r="632" spans="1:19">
      <c r="A632" s="6">
        <f t="shared" si="117"/>
        <v>12602</v>
      </c>
      <c r="B632" s="6">
        <f t="shared" si="115"/>
        <v>126</v>
      </c>
      <c r="C632" s="6">
        <f t="shared" si="125"/>
        <v>2</v>
      </c>
      <c r="D632" s="6" t="str">
        <f t="shared" si="120"/>
        <v>关卡126怪物2</v>
      </c>
      <c r="E632" s="6">
        <v>104</v>
      </c>
      <c r="G632" s="6" t="s">
        <v>1054</v>
      </c>
      <c r="H632" s="6">
        <f t="shared" si="116"/>
        <v>0</v>
      </c>
      <c r="I632" s="6" t="str">
        <f>IF(VLOOKUP(E632,Sheet2!$W:$AA,5,0)=0,"",VLOOKUP(E632,Sheet2!$W:$AA,5,0))</f>
        <v/>
      </c>
      <c r="J632" s="6">
        <v>0</v>
      </c>
      <c r="K632" s="6">
        <v>0</v>
      </c>
      <c r="L632" s="6" t="str">
        <f>IF(VLOOKUP(E632,Sheet2!$W:$AA,2,0)=0,"",VLOOKUP(E632,Sheet2!$W:$AA,2,0))</f>
        <v/>
      </c>
      <c r="N632" s="6" t="str">
        <f>IF(VLOOKUP(E632,Sheet2!$W:$AA,3,0)=0,"",VLOOKUP(E632,Sheet2!$W:$AA,3,0))</f>
        <v/>
      </c>
      <c r="Q632" s="6" t="str">
        <f>IF(VLOOKUP(E632,Sheet2!$W:$AA,4,0)=0,"",VLOOKUP(E632,Sheet2!$W:$AA,4,0))</f>
        <v/>
      </c>
      <c r="R632" s="8">
        <f t="shared" si="119"/>
        <v>24</v>
      </c>
      <c r="S632" s="8">
        <f t="shared" si="124"/>
        <v>2</v>
      </c>
    </row>
    <row r="633" spans="1:19">
      <c r="A633" s="6">
        <f t="shared" si="117"/>
        <v>12603</v>
      </c>
      <c r="B633" s="6">
        <f t="shared" si="115"/>
        <v>126</v>
      </c>
      <c r="C633" s="6">
        <f t="shared" si="125"/>
        <v>3</v>
      </c>
      <c r="D633" s="6" t="str">
        <f t="shared" si="121"/>
        <v>关卡126怪物3</v>
      </c>
      <c r="E633" s="6">
        <v>105</v>
      </c>
      <c r="G633" s="6" t="s">
        <v>1055</v>
      </c>
      <c r="H633" s="6">
        <f t="shared" si="116"/>
        <v>0</v>
      </c>
      <c r="I633" s="6" t="str">
        <f>IF(VLOOKUP(E633,Sheet2!$W:$AA,5,0)=0,"",VLOOKUP(E633,Sheet2!$W:$AA,5,0))</f>
        <v>[60003]</v>
      </c>
      <c r="J633" s="6">
        <v>0</v>
      </c>
      <c r="K633" s="6">
        <v>0</v>
      </c>
      <c r="L633" s="6" t="str">
        <f>IF(VLOOKUP(E633,Sheet2!$W:$AA,2,0)=0,"",VLOOKUP(E633,Sheet2!$W:$AA,2,0))</f>
        <v/>
      </c>
      <c r="N633" s="6" t="str">
        <f>IF(VLOOKUP(E633,Sheet2!$W:$AA,3,0)=0,"",VLOOKUP(E633,Sheet2!$W:$AA,3,0))</f>
        <v/>
      </c>
      <c r="Q633" s="6" t="str">
        <f>IF(VLOOKUP(E633,Sheet2!$W:$AA,4,0)=0,"",VLOOKUP(E633,Sheet2!$W:$AA,4,0))</f>
        <v/>
      </c>
      <c r="R633" s="8">
        <f t="shared" si="119"/>
        <v>24</v>
      </c>
      <c r="S633" s="8">
        <f t="shared" si="124"/>
        <v>2</v>
      </c>
    </row>
    <row r="634" spans="1:19">
      <c r="A634" s="6">
        <f t="shared" si="117"/>
        <v>12621</v>
      </c>
      <c r="B634" s="6">
        <f t="shared" ref="B634:B655" si="126">B629+1</f>
        <v>126</v>
      </c>
      <c r="C634" s="6">
        <f t="shared" si="125"/>
        <v>4</v>
      </c>
      <c r="D634" s="6" t="str">
        <f t="shared" si="122"/>
        <v>关卡126BOSS1</v>
      </c>
      <c r="E634" s="6">
        <v>103</v>
      </c>
      <c r="G634" s="6" t="s">
        <v>1056</v>
      </c>
      <c r="H634" s="6">
        <f t="shared" si="116"/>
        <v>2</v>
      </c>
      <c r="I634" s="6" t="str">
        <f>IF(VLOOKUP(E634,Sheet2!$W:$AA,5,0)=0,"",VLOOKUP(E634,Sheet2!$W:$AA,5,0))</f>
        <v>[60001]</v>
      </c>
      <c r="J634" s="6">
        <v>0</v>
      </c>
      <c r="K634" s="6">
        <v>0</v>
      </c>
      <c r="L634" s="6" t="str">
        <f>IF(VLOOKUP(E634,Sheet2!$W:$AA,2,0)=0,"",VLOOKUP(E634,Sheet2!$W:$AA,2,0))</f>
        <v/>
      </c>
      <c r="N634" s="6" t="str">
        <f>IF(VLOOKUP(E634,Sheet2!$W:$AA,3,0)=0,"",VLOOKUP(E634,Sheet2!$W:$AA,3,0))</f>
        <v/>
      </c>
      <c r="Q634" s="6" t="str">
        <f>IF(VLOOKUP(E634,Sheet2!$W:$AA,4,0)=0,"",VLOOKUP(E634,Sheet2!$W:$AA,4,0))</f>
        <v/>
      </c>
      <c r="R634" s="8">
        <f t="shared" si="119"/>
        <v>100</v>
      </c>
      <c r="S634" s="8">
        <f t="shared" si="124"/>
        <v>2</v>
      </c>
    </row>
    <row r="635" spans="1:19">
      <c r="A635" s="6">
        <f t="shared" si="117"/>
        <v>12631</v>
      </c>
      <c r="B635" s="6">
        <f t="shared" si="126"/>
        <v>126</v>
      </c>
      <c r="C635" s="6">
        <f t="shared" si="125"/>
        <v>5</v>
      </c>
      <c r="D635" s="6" t="str">
        <f t="shared" si="123"/>
        <v>关卡126BOSS2</v>
      </c>
      <c r="E635" s="6">
        <v>103</v>
      </c>
      <c r="G635" s="6" t="s">
        <v>1057</v>
      </c>
      <c r="H635" s="6">
        <f t="shared" si="116"/>
        <v>2</v>
      </c>
      <c r="I635" s="6" t="str">
        <f>IF(VLOOKUP(E635,Sheet2!$W:$AA,5,0)=0,"",VLOOKUP(E635,Sheet2!$W:$AA,5,0))</f>
        <v>[60001]</v>
      </c>
      <c r="J635" s="6">
        <v>0</v>
      </c>
      <c r="K635" s="6">
        <v>0</v>
      </c>
      <c r="L635" s="6" t="str">
        <f>IF(VLOOKUP(E635,Sheet2!$W:$AA,2,0)=0,"",VLOOKUP(E635,Sheet2!$W:$AA,2,0))</f>
        <v/>
      </c>
      <c r="N635" s="6" t="str">
        <f>IF(VLOOKUP(E635,Sheet2!$W:$AA,3,0)=0,"",VLOOKUP(E635,Sheet2!$W:$AA,3,0))</f>
        <v/>
      </c>
      <c r="Q635" s="6" t="str">
        <f>IF(VLOOKUP(E635,Sheet2!$W:$AA,4,0)=0,"",VLOOKUP(E635,Sheet2!$W:$AA,4,0))</f>
        <v/>
      </c>
      <c r="R635" s="8">
        <f t="shared" si="119"/>
        <v>100</v>
      </c>
      <c r="S635" s="8">
        <f t="shared" si="124"/>
        <v>2</v>
      </c>
    </row>
    <row r="636" spans="1:19">
      <c r="A636" s="6">
        <f t="shared" si="117"/>
        <v>12701</v>
      </c>
      <c r="B636" s="6">
        <f t="shared" si="126"/>
        <v>127</v>
      </c>
      <c r="C636" s="6">
        <f t="shared" si="125"/>
        <v>1</v>
      </c>
      <c r="D636" s="6" t="str">
        <f t="shared" si="118"/>
        <v>关卡127怪物1</v>
      </c>
      <c r="E636" s="6">
        <v>117</v>
      </c>
      <c r="G636" s="6" t="s">
        <v>1058</v>
      </c>
      <c r="H636" s="6">
        <f t="shared" si="116"/>
        <v>0</v>
      </c>
      <c r="I636" s="6" t="str">
        <f>IF(VLOOKUP(E636,Sheet2!$W:$AA,5,0)=0,"",VLOOKUP(E636,Sheet2!$W:$AA,5,0))</f>
        <v/>
      </c>
      <c r="J636" s="6">
        <v>0</v>
      </c>
      <c r="K636" s="6">
        <v>0</v>
      </c>
      <c r="L636" s="6" t="str">
        <f>IF(VLOOKUP(E636,Sheet2!$W:$AA,2,0)=0,"",VLOOKUP(E636,Sheet2!$W:$AA,2,0))</f>
        <v/>
      </c>
      <c r="N636" s="6" t="str">
        <f>IF(VLOOKUP(E636,Sheet2!$W:$AA,3,0)=0,"",VLOOKUP(E636,Sheet2!$W:$AA,3,0))</f>
        <v/>
      </c>
      <c r="Q636" s="6" t="str">
        <f>IF(VLOOKUP(E636,Sheet2!$W:$AA,4,0)=0,"",VLOOKUP(E636,Sheet2!$W:$AA,4,0))</f>
        <v/>
      </c>
      <c r="R636" s="8">
        <f t="shared" si="119"/>
        <v>24</v>
      </c>
      <c r="S636" s="8">
        <f t="shared" si="124"/>
        <v>2</v>
      </c>
    </row>
    <row r="637" spans="1:19">
      <c r="A637" s="6">
        <f t="shared" si="117"/>
        <v>12702</v>
      </c>
      <c r="B637" s="6">
        <f t="shared" si="126"/>
        <v>127</v>
      </c>
      <c r="C637" s="6">
        <f t="shared" si="125"/>
        <v>2</v>
      </c>
      <c r="D637" s="6" t="str">
        <f t="shared" si="120"/>
        <v>关卡127怪物2</v>
      </c>
      <c r="E637" s="6">
        <v>116</v>
      </c>
      <c r="G637" s="6" t="s">
        <v>1059</v>
      </c>
      <c r="H637" s="6">
        <f t="shared" ref="H637:H700" si="127">H632</f>
        <v>0</v>
      </c>
      <c r="I637" s="6" t="str">
        <f>IF(VLOOKUP(E637,Sheet2!$W:$AA,5,0)=0,"",VLOOKUP(E637,Sheet2!$W:$AA,5,0))</f>
        <v>[60007]</v>
      </c>
      <c r="J637" s="6">
        <v>0</v>
      </c>
      <c r="K637" s="6">
        <v>0</v>
      </c>
      <c r="L637" s="6" t="str">
        <f>IF(VLOOKUP(E637,Sheet2!$W:$AA,2,0)=0,"",VLOOKUP(E637,Sheet2!$W:$AA,2,0))</f>
        <v/>
      </c>
      <c r="N637" s="6" t="str">
        <f>IF(VLOOKUP(E637,Sheet2!$W:$AA,3,0)=0,"",VLOOKUP(E637,Sheet2!$W:$AA,3,0))</f>
        <v/>
      </c>
      <c r="Q637" s="6" t="str">
        <f>IF(VLOOKUP(E637,Sheet2!$W:$AA,4,0)=0,"",VLOOKUP(E637,Sheet2!$W:$AA,4,0))</f>
        <v/>
      </c>
      <c r="R637" s="8">
        <f t="shared" si="119"/>
        <v>24</v>
      </c>
      <c r="S637" s="8">
        <f t="shared" si="124"/>
        <v>2</v>
      </c>
    </row>
    <row r="638" spans="1:19">
      <c r="A638" s="6">
        <f t="shared" si="117"/>
        <v>12703</v>
      </c>
      <c r="B638" s="6">
        <f t="shared" si="126"/>
        <v>127</v>
      </c>
      <c r="C638" s="6">
        <f t="shared" si="125"/>
        <v>3</v>
      </c>
      <c r="D638" s="6" t="str">
        <f t="shared" si="121"/>
        <v>关卡127怪物3</v>
      </c>
      <c r="E638" s="6">
        <v>112</v>
      </c>
      <c r="G638" s="6" t="s">
        <v>1060</v>
      </c>
      <c r="H638" s="6">
        <f t="shared" si="127"/>
        <v>0</v>
      </c>
      <c r="I638" s="6" t="str">
        <f>IF(VLOOKUP(E638,Sheet2!$W:$AA,5,0)=0,"",VLOOKUP(E638,Sheet2!$W:$AA,5,0))</f>
        <v/>
      </c>
      <c r="J638" s="6">
        <v>0</v>
      </c>
      <c r="K638" s="6">
        <v>0</v>
      </c>
      <c r="L638" s="6">
        <f>IF(VLOOKUP(E638,Sheet2!$W:$AA,2,0)=0,"",VLOOKUP(E638,Sheet2!$W:$AA,2,0))</f>
        <v>1</v>
      </c>
      <c r="N638" s="6" t="str">
        <f>IF(VLOOKUP(E638,Sheet2!$W:$AA,3,0)=0,"",VLOOKUP(E638,Sheet2!$W:$AA,3,0))</f>
        <v/>
      </c>
      <c r="Q638" s="6" t="str">
        <f>IF(VLOOKUP(E638,Sheet2!$W:$AA,4,0)=0,"",VLOOKUP(E638,Sheet2!$W:$AA,4,0))</f>
        <v>[{50015,6}]</v>
      </c>
      <c r="R638" s="8">
        <f t="shared" si="119"/>
        <v>24</v>
      </c>
      <c r="S638" s="8">
        <f t="shared" si="124"/>
        <v>2</v>
      </c>
    </row>
    <row r="639" spans="1:19">
      <c r="A639" s="6">
        <f t="shared" si="117"/>
        <v>12721</v>
      </c>
      <c r="B639" s="6">
        <f t="shared" si="126"/>
        <v>127</v>
      </c>
      <c r="C639" s="6">
        <f t="shared" si="125"/>
        <v>4</v>
      </c>
      <c r="D639" s="6" t="str">
        <f t="shared" si="122"/>
        <v>关卡127BOSS1</v>
      </c>
      <c r="E639" s="6">
        <v>117</v>
      </c>
      <c r="G639" s="6" t="s">
        <v>1061</v>
      </c>
      <c r="H639" s="6">
        <f t="shared" si="127"/>
        <v>2</v>
      </c>
      <c r="I639" s="6" t="str">
        <f>IF(VLOOKUP(E639,Sheet2!$W:$AA,5,0)=0,"",VLOOKUP(E639,Sheet2!$W:$AA,5,0))</f>
        <v/>
      </c>
      <c r="J639" s="6">
        <v>0</v>
      </c>
      <c r="K639" s="6">
        <v>0</v>
      </c>
      <c r="L639" s="6" t="str">
        <f>IF(VLOOKUP(E639,Sheet2!$W:$AA,2,0)=0,"",VLOOKUP(E639,Sheet2!$W:$AA,2,0))</f>
        <v/>
      </c>
      <c r="N639" s="6" t="str">
        <f>IF(VLOOKUP(E639,Sheet2!$W:$AA,3,0)=0,"",VLOOKUP(E639,Sheet2!$W:$AA,3,0))</f>
        <v/>
      </c>
      <c r="Q639" s="6" t="str">
        <f>IF(VLOOKUP(E639,Sheet2!$W:$AA,4,0)=0,"",VLOOKUP(E639,Sheet2!$W:$AA,4,0))</f>
        <v/>
      </c>
      <c r="R639" s="8">
        <f t="shared" si="119"/>
        <v>100</v>
      </c>
      <c r="S639" s="8">
        <f t="shared" si="124"/>
        <v>2</v>
      </c>
    </row>
    <row r="640" spans="1:19">
      <c r="A640" s="6">
        <f t="shared" si="117"/>
        <v>12731</v>
      </c>
      <c r="B640" s="6">
        <f t="shared" si="126"/>
        <v>127</v>
      </c>
      <c r="C640" s="6">
        <f t="shared" si="125"/>
        <v>5</v>
      </c>
      <c r="D640" s="6" t="str">
        <f t="shared" si="123"/>
        <v>关卡127BOSS2</v>
      </c>
      <c r="E640" s="6">
        <v>117</v>
      </c>
      <c r="G640" s="6" t="s">
        <v>1062</v>
      </c>
      <c r="H640" s="6">
        <f t="shared" si="127"/>
        <v>2</v>
      </c>
      <c r="I640" s="6" t="str">
        <f>IF(VLOOKUP(E640,Sheet2!$W:$AA,5,0)=0,"",VLOOKUP(E640,Sheet2!$W:$AA,5,0))</f>
        <v/>
      </c>
      <c r="J640" s="6">
        <v>0</v>
      </c>
      <c r="K640" s="6">
        <v>0</v>
      </c>
      <c r="L640" s="6" t="str">
        <f>IF(VLOOKUP(E640,Sheet2!$W:$AA,2,0)=0,"",VLOOKUP(E640,Sheet2!$W:$AA,2,0))</f>
        <v/>
      </c>
      <c r="N640" s="6" t="str">
        <f>IF(VLOOKUP(E640,Sheet2!$W:$AA,3,0)=0,"",VLOOKUP(E640,Sheet2!$W:$AA,3,0))</f>
        <v/>
      </c>
      <c r="Q640" s="6" t="str">
        <f>IF(VLOOKUP(E640,Sheet2!$W:$AA,4,0)=0,"",VLOOKUP(E640,Sheet2!$W:$AA,4,0))</f>
        <v/>
      </c>
      <c r="R640" s="8">
        <f t="shared" si="119"/>
        <v>100</v>
      </c>
      <c r="S640" s="8">
        <f t="shared" si="124"/>
        <v>2</v>
      </c>
    </row>
    <row r="641" spans="1:19">
      <c r="A641" s="6">
        <f t="shared" si="117"/>
        <v>12801</v>
      </c>
      <c r="B641" s="6">
        <f t="shared" si="126"/>
        <v>128</v>
      </c>
      <c r="C641" s="6">
        <f t="shared" si="125"/>
        <v>1</v>
      </c>
      <c r="D641" s="6" t="str">
        <f t="shared" si="118"/>
        <v>关卡128怪物1</v>
      </c>
      <c r="E641" s="6">
        <v>119</v>
      </c>
      <c r="G641" s="6" t="s">
        <v>1063</v>
      </c>
      <c r="H641" s="6">
        <f t="shared" si="127"/>
        <v>0</v>
      </c>
      <c r="I641" s="6" t="str">
        <f>IF(VLOOKUP(E641,Sheet2!$W:$AA,5,0)=0,"",VLOOKUP(E641,Sheet2!$W:$AA,5,0))</f>
        <v/>
      </c>
      <c r="J641" s="6">
        <v>0</v>
      </c>
      <c r="K641" s="6">
        <v>0</v>
      </c>
      <c r="L641" s="6">
        <f>IF(VLOOKUP(E641,Sheet2!$W:$AA,2,0)=0,"",VLOOKUP(E641,Sheet2!$W:$AA,2,0))</f>
        <v>1</v>
      </c>
      <c r="N641" s="6" t="str">
        <f>IF(VLOOKUP(E641,Sheet2!$W:$AA,3,0)=0,"",VLOOKUP(E641,Sheet2!$W:$AA,3,0))</f>
        <v/>
      </c>
      <c r="Q641" s="6" t="str">
        <f>IF(VLOOKUP(E641,Sheet2!$W:$AA,4,0)=0,"",VLOOKUP(E641,Sheet2!$W:$AA,4,0))</f>
        <v>[{50018,6}]</v>
      </c>
      <c r="R641" s="8">
        <f t="shared" si="119"/>
        <v>24</v>
      </c>
      <c r="S641" s="8">
        <f t="shared" si="124"/>
        <v>2</v>
      </c>
    </row>
    <row r="642" spans="1:19">
      <c r="A642" s="6">
        <f t="shared" si="117"/>
        <v>12802</v>
      </c>
      <c r="B642" s="6">
        <f t="shared" si="126"/>
        <v>128</v>
      </c>
      <c r="C642" s="6">
        <f t="shared" si="125"/>
        <v>2</v>
      </c>
      <c r="D642" s="6" t="str">
        <f t="shared" si="120"/>
        <v>关卡128怪物2</v>
      </c>
      <c r="E642" s="6">
        <v>116</v>
      </c>
      <c r="G642" s="6" t="s">
        <v>1064</v>
      </c>
      <c r="H642" s="6">
        <f t="shared" si="127"/>
        <v>0</v>
      </c>
      <c r="I642" s="6" t="str">
        <f>IF(VLOOKUP(E642,Sheet2!$W:$AA,5,0)=0,"",VLOOKUP(E642,Sheet2!$W:$AA,5,0))</f>
        <v>[60007]</v>
      </c>
      <c r="J642" s="6">
        <v>0</v>
      </c>
      <c r="K642" s="6">
        <v>0</v>
      </c>
      <c r="L642" s="6" t="str">
        <f>IF(VLOOKUP(E642,Sheet2!$W:$AA,2,0)=0,"",VLOOKUP(E642,Sheet2!$W:$AA,2,0))</f>
        <v/>
      </c>
      <c r="N642" s="6" t="str">
        <f>IF(VLOOKUP(E642,Sheet2!$W:$AA,3,0)=0,"",VLOOKUP(E642,Sheet2!$W:$AA,3,0))</f>
        <v/>
      </c>
      <c r="Q642" s="6" t="str">
        <f>IF(VLOOKUP(E642,Sheet2!$W:$AA,4,0)=0,"",VLOOKUP(E642,Sheet2!$W:$AA,4,0))</f>
        <v/>
      </c>
      <c r="R642" s="8">
        <f t="shared" si="119"/>
        <v>24</v>
      </c>
      <c r="S642" s="8">
        <f t="shared" si="124"/>
        <v>2</v>
      </c>
    </row>
    <row r="643" spans="1:19">
      <c r="A643" s="6">
        <f t="shared" si="117"/>
        <v>12803</v>
      </c>
      <c r="B643" s="6">
        <f t="shared" si="126"/>
        <v>128</v>
      </c>
      <c r="C643" s="6">
        <f t="shared" si="125"/>
        <v>3</v>
      </c>
      <c r="D643" s="6" t="str">
        <f t="shared" si="121"/>
        <v>关卡128怪物3</v>
      </c>
      <c r="E643" s="6">
        <v>118</v>
      </c>
      <c r="G643" s="6" t="s">
        <v>1065</v>
      </c>
      <c r="H643" s="6">
        <f t="shared" si="127"/>
        <v>0</v>
      </c>
      <c r="I643" s="6" t="str">
        <f>IF(VLOOKUP(E643,Sheet2!$W:$AA,5,0)=0,"",VLOOKUP(E643,Sheet2!$W:$AA,5,0))</f>
        <v>[60009]</v>
      </c>
      <c r="J643" s="6">
        <v>0</v>
      </c>
      <c r="K643" s="6">
        <v>0</v>
      </c>
      <c r="L643" s="6">
        <f>IF(VLOOKUP(E643,Sheet2!$W:$AA,2,0)=0,"",VLOOKUP(E643,Sheet2!$W:$AA,2,0))</f>
        <v>1</v>
      </c>
      <c r="N643" s="6" t="str">
        <f>IF(VLOOKUP(E643,Sheet2!$W:$AA,3,0)=0,"",VLOOKUP(E643,Sheet2!$W:$AA,3,0))</f>
        <v/>
      </c>
      <c r="Q643" s="6" t="str">
        <f>IF(VLOOKUP(E643,Sheet2!$W:$AA,4,0)=0,"",VLOOKUP(E643,Sheet2!$W:$AA,4,0))</f>
        <v>[{50017,6}]</v>
      </c>
      <c r="R643" s="8">
        <f t="shared" si="119"/>
        <v>24</v>
      </c>
      <c r="S643" s="8">
        <f t="shared" si="124"/>
        <v>2</v>
      </c>
    </row>
    <row r="644" spans="1:19">
      <c r="A644" s="6">
        <f t="shared" si="117"/>
        <v>12821</v>
      </c>
      <c r="B644" s="6">
        <f t="shared" si="126"/>
        <v>128</v>
      </c>
      <c r="C644" s="6">
        <f t="shared" si="125"/>
        <v>4</v>
      </c>
      <c r="D644" s="6" t="str">
        <f t="shared" si="122"/>
        <v>关卡128BOSS1</v>
      </c>
      <c r="E644" s="6">
        <v>119</v>
      </c>
      <c r="G644" s="6" t="s">
        <v>1066</v>
      </c>
      <c r="H644" s="6">
        <f t="shared" si="127"/>
        <v>2</v>
      </c>
      <c r="I644" s="6" t="str">
        <f>IF(VLOOKUP(E644,Sheet2!$W:$AA,5,0)=0,"",VLOOKUP(E644,Sheet2!$W:$AA,5,0))</f>
        <v/>
      </c>
      <c r="J644" s="6">
        <v>0</v>
      </c>
      <c r="K644" s="6">
        <v>0</v>
      </c>
      <c r="L644" s="6">
        <f>IF(VLOOKUP(E644,Sheet2!$W:$AA,2,0)=0,"",VLOOKUP(E644,Sheet2!$W:$AA,2,0))</f>
        <v>1</v>
      </c>
      <c r="N644" s="6" t="str">
        <f>IF(VLOOKUP(E644,Sheet2!$W:$AA,3,0)=0,"",VLOOKUP(E644,Sheet2!$W:$AA,3,0))</f>
        <v/>
      </c>
      <c r="Q644" s="6" t="str">
        <f>IF(VLOOKUP(E644,Sheet2!$W:$AA,4,0)=0,"",VLOOKUP(E644,Sheet2!$W:$AA,4,0))</f>
        <v>[{50018,6}]</v>
      </c>
      <c r="R644" s="8">
        <f t="shared" si="119"/>
        <v>100</v>
      </c>
      <c r="S644" s="8">
        <f t="shared" si="124"/>
        <v>2</v>
      </c>
    </row>
    <row r="645" spans="1:19">
      <c r="A645" s="6">
        <f t="shared" si="117"/>
        <v>12831</v>
      </c>
      <c r="B645" s="6">
        <f t="shared" si="126"/>
        <v>128</v>
      </c>
      <c r="C645" s="6">
        <f t="shared" si="125"/>
        <v>5</v>
      </c>
      <c r="D645" s="6" t="str">
        <f t="shared" si="123"/>
        <v>关卡128BOSS2</v>
      </c>
      <c r="E645" s="6">
        <v>119</v>
      </c>
      <c r="G645" s="6" t="s">
        <v>1067</v>
      </c>
      <c r="H645" s="6">
        <f t="shared" si="127"/>
        <v>2</v>
      </c>
      <c r="I645" s="6" t="str">
        <f>IF(VLOOKUP(E645,Sheet2!$W:$AA,5,0)=0,"",VLOOKUP(E645,Sheet2!$W:$AA,5,0))</f>
        <v/>
      </c>
      <c r="J645" s="6">
        <v>0</v>
      </c>
      <c r="K645" s="6">
        <v>0</v>
      </c>
      <c r="L645" s="6">
        <f>IF(VLOOKUP(E645,Sheet2!$W:$AA,2,0)=0,"",VLOOKUP(E645,Sheet2!$W:$AA,2,0))</f>
        <v>1</v>
      </c>
      <c r="N645" s="6" t="str">
        <f>IF(VLOOKUP(E645,Sheet2!$W:$AA,3,0)=0,"",VLOOKUP(E645,Sheet2!$W:$AA,3,0))</f>
        <v/>
      </c>
      <c r="Q645" s="6" t="str">
        <f>IF(VLOOKUP(E645,Sheet2!$W:$AA,4,0)=0,"",VLOOKUP(E645,Sheet2!$W:$AA,4,0))</f>
        <v>[{50018,6}]</v>
      </c>
      <c r="R645" s="8">
        <f t="shared" si="119"/>
        <v>100</v>
      </c>
      <c r="S645" s="8">
        <f t="shared" si="124"/>
        <v>2</v>
      </c>
    </row>
    <row r="646" spans="1:19">
      <c r="A646" s="6">
        <f t="shared" si="117"/>
        <v>12901</v>
      </c>
      <c r="B646" s="6">
        <f t="shared" si="126"/>
        <v>129</v>
      </c>
      <c r="C646" s="6">
        <f t="shared" si="125"/>
        <v>1</v>
      </c>
      <c r="D646" s="6" t="str">
        <f t="shared" si="118"/>
        <v>关卡129怪物1</v>
      </c>
      <c r="E646" s="6">
        <v>108</v>
      </c>
      <c r="G646" s="6" t="s">
        <v>1068</v>
      </c>
      <c r="H646" s="6">
        <f t="shared" si="127"/>
        <v>0</v>
      </c>
      <c r="I646" s="6" t="str">
        <f>IF(VLOOKUP(E646,Sheet2!$W:$AA,5,0)=0,"",VLOOKUP(E646,Sheet2!$W:$AA,5,0))</f>
        <v/>
      </c>
      <c r="J646" s="6">
        <v>0</v>
      </c>
      <c r="K646" s="6">
        <v>0</v>
      </c>
      <c r="L646" s="6" t="str">
        <f>IF(VLOOKUP(E646,Sheet2!$W:$AA,2,0)=0,"",VLOOKUP(E646,Sheet2!$W:$AA,2,0))</f>
        <v/>
      </c>
      <c r="N646" s="6" t="str">
        <f>IF(VLOOKUP(E646,Sheet2!$W:$AA,3,0)=0,"",VLOOKUP(E646,Sheet2!$W:$AA,3,0))</f>
        <v/>
      </c>
      <c r="Q646" s="6" t="str">
        <f>IF(VLOOKUP(E646,Sheet2!$W:$AA,4,0)=0,"",VLOOKUP(E646,Sheet2!$W:$AA,4,0))</f>
        <v/>
      </c>
      <c r="R646" s="8">
        <f t="shared" si="119"/>
        <v>24</v>
      </c>
      <c r="S646" s="8">
        <f t="shared" si="124"/>
        <v>2</v>
      </c>
    </row>
    <row r="647" spans="1:19">
      <c r="A647" s="6">
        <f t="shared" si="117"/>
        <v>12902</v>
      </c>
      <c r="B647" s="6">
        <f t="shared" si="126"/>
        <v>129</v>
      </c>
      <c r="C647" s="6">
        <f t="shared" si="125"/>
        <v>2</v>
      </c>
      <c r="D647" s="6" t="str">
        <f t="shared" si="120"/>
        <v>关卡129怪物2</v>
      </c>
      <c r="E647" s="6">
        <v>107</v>
      </c>
      <c r="G647" s="6" t="s">
        <v>1069</v>
      </c>
      <c r="H647" s="6">
        <f t="shared" si="127"/>
        <v>0</v>
      </c>
      <c r="I647" s="6" t="str">
        <f>IF(VLOOKUP(E647,Sheet2!$W:$AA,5,0)=0,"",VLOOKUP(E647,Sheet2!$W:$AA,5,0))</f>
        <v>[60004]</v>
      </c>
      <c r="J647" s="6">
        <v>0</v>
      </c>
      <c r="K647" s="6">
        <v>0</v>
      </c>
      <c r="L647" s="6">
        <f>IF(VLOOKUP(E647,Sheet2!$W:$AA,2,0)=0,"",VLOOKUP(E647,Sheet2!$W:$AA,2,0))</f>
        <v>1</v>
      </c>
      <c r="N647" s="6" t="str">
        <f>IF(VLOOKUP(E647,Sheet2!$W:$AA,3,0)=0,"",VLOOKUP(E647,Sheet2!$W:$AA,3,0))</f>
        <v/>
      </c>
      <c r="Q647" s="6" t="str">
        <f>IF(VLOOKUP(E647,Sheet2!$W:$AA,4,0)=0,"",VLOOKUP(E647,Sheet2!$W:$AA,4,0))</f>
        <v>[{50013,6}]</v>
      </c>
      <c r="R647" s="8">
        <f t="shared" si="119"/>
        <v>24</v>
      </c>
      <c r="S647" s="8">
        <f t="shared" si="124"/>
        <v>2</v>
      </c>
    </row>
    <row r="648" spans="1:19">
      <c r="A648" s="6">
        <f t="shared" si="117"/>
        <v>12903</v>
      </c>
      <c r="B648" s="6">
        <f t="shared" si="126"/>
        <v>129</v>
      </c>
      <c r="C648" s="6">
        <f t="shared" si="125"/>
        <v>3</v>
      </c>
      <c r="D648" s="6" t="str">
        <f t="shared" si="121"/>
        <v>关卡129怪物3</v>
      </c>
      <c r="E648" s="6">
        <v>109</v>
      </c>
      <c r="G648" s="6" t="s">
        <v>1070</v>
      </c>
      <c r="H648" s="6">
        <f t="shared" si="127"/>
        <v>0</v>
      </c>
      <c r="I648" s="6" t="str">
        <f>IF(VLOOKUP(E648,Sheet2!$W:$AA,5,0)=0,"",VLOOKUP(E648,Sheet2!$W:$AA,5,0))</f>
        <v/>
      </c>
      <c r="J648" s="6">
        <v>0</v>
      </c>
      <c r="K648" s="6">
        <v>0</v>
      </c>
      <c r="L648" s="6">
        <f>IF(VLOOKUP(E648,Sheet2!$W:$AA,2,0)=0,"",VLOOKUP(E648,Sheet2!$W:$AA,2,0))</f>
        <v>1</v>
      </c>
      <c r="N648" s="6" t="str">
        <f>IF(VLOOKUP(E648,Sheet2!$W:$AA,3,0)=0,"",VLOOKUP(E648,Sheet2!$W:$AA,3,0))</f>
        <v/>
      </c>
      <c r="Q648" s="6" t="str">
        <f>IF(VLOOKUP(E648,Sheet2!$W:$AA,4,0)=0,"",VLOOKUP(E648,Sheet2!$W:$AA,4,0))</f>
        <v>[{50014,6}]</v>
      </c>
      <c r="R648" s="8">
        <f t="shared" si="119"/>
        <v>24</v>
      </c>
      <c r="S648" s="8">
        <f t="shared" si="124"/>
        <v>2</v>
      </c>
    </row>
    <row r="649" spans="1:19">
      <c r="A649" s="6">
        <f t="shared" si="117"/>
        <v>12921</v>
      </c>
      <c r="B649" s="6">
        <f t="shared" si="126"/>
        <v>129</v>
      </c>
      <c r="C649" s="6">
        <f t="shared" si="125"/>
        <v>4</v>
      </c>
      <c r="D649" s="6" t="str">
        <f t="shared" si="122"/>
        <v>关卡129BOSS1</v>
      </c>
      <c r="E649" s="6">
        <v>109</v>
      </c>
      <c r="G649" s="6" t="s">
        <v>1071</v>
      </c>
      <c r="H649" s="6">
        <f t="shared" si="127"/>
        <v>2</v>
      </c>
      <c r="I649" s="6" t="str">
        <f>IF(VLOOKUP(E649,Sheet2!$W:$AA,5,0)=0,"",VLOOKUP(E649,Sheet2!$W:$AA,5,0))</f>
        <v/>
      </c>
      <c r="J649" s="6">
        <v>0</v>
      </c>
      <c r="K649" s="6">
        <v>0</v>
      </c>
      <c r="L649" s="6">
        <f>IF(VLOOKUP(E649,Sheet2!$W:$AA,2,0)=0,"",VLOOKUP(E649,Sheet2!$W:$AA,2,0))</f>
        <v>1</v>
      </c>
      <c r="N649" s="6" t="str">
        <f>IF(VLOOKUP(E649,Sheet2!$W:$AA,3,0)=0,"",VLOOKUP(E649,Sheet2!$W:$AA,3,0))</f>
        <v/>
      </c>
      <c r="Q649" s="6" t="str">
        <f>IF(VLOOKUP(E649,Sheet2!$W:$AA,4,0)=0,"",VLOOKUP(E649,Sheet2!$W:$AA,4,0))</f>
        <v>[{50014,6}]</v>
      </c>
      <c r="R649" s="8">
        <f t="shared" si="119"/>
        <v>100</v>
      </c>
      <c r="S649" s="8">
        <f t="shared" si="124"/>
        <v>2</v>
      </c>
    </row>
    <row r="650" spans="1:19">
      <c r="A650" s="6">
        <f t="shared" si="117"/>
        <v>12931</v>
      </c>
      <c r="B650" s="6">
        <f t="shared" si="126"/>
        <v>129</v>
      </c>
      <c r="C650" s="6">
        <f t="shared" si="125"/>
        <v>5</v>
      </c>
      <c r="D650" s="6" t="str">
        <f t="shared" si="123"/>
        <v>关卡129BOSS2</v>
      </c>
      <c r="E650" s="6">
        <v>109</v>
      </c>
      <c r="G650" s="6" t="s">
        <v>1072</v>
      </c>
      <c r="H650" s="6">
        <f t="shared" si="127"/>
        <v>2</v>
      </c>
      <c r="I650" s="6" t="str">
        <f>IF(VLOOKUP(E650,Sheet2!$W:$AA,5,0)=0,"",VLOOKUP(E650,Sheet2!$W:$AA,5,0))</f>
        <v/>
      </c>
      <c r="J650" s="6">
        <v>0</v>
      </c>
      <c r="K650" s="6">
        <v>0</v>
      </c>
      <c r="L650" s="6">
        <f>IF(VLOOKUP(E650,Sheet2!$W:$AA,2,0)=0,"",VLOOKUP(E650,Sheet2!$W:$AA,2,0))</f>
        <v>1</v>
      </c>
      <c r="N650" s="6" t="str">
        <f>IF(VLOOKUP(E650,Sheet2!$W:$AA,3,0)=0,"",VLOOKUP(E650,Sheet2!$W:$AA,3,0))</f>
        <v/>
      </c>
      <c r="Q650" s="6" t="str">
        <f>IF(VLOOKUP(E650,Sheet2!$W:$AA,4,0)=0,"",VLOOKUP(E650,Sheet2!$W:$AA,4,0))</f>
        <v>[{50014,6}]</v>
      </c>
      <c r="R650" s="8">
        <f t="shared" si="119"/>
        <v>100</v>
      </c>
      <c r="S650" s="8">
        <f t="shared" si="124"/>
        <v>2</v>
      </c>
    </row>
    <row r="651" spans="1:19">
      <c r="A651" s="6">
        <f t="shared" si="117"/>
        <v>13001</v>
      </c>
      <c r="B651" s="6">
        <f t="shared" si="126"/>
        <v>130</v>
      </c>
      <c r="C651" s="6">
        <f t="shared" si="125"/>
        <v>1</v>
      </c>
      <c r="D651" s="6" t="str">
        <f t="shared" si="118"/>
        <v>关卡130怪物1</v>
      </c>
      <c r="E651" s="6">
        <v>100</v>
      </c>
      <c r="G651" s="6" t="s">
        <v>1073</v>
      </c>
      <c r="H651" s="6">
        <f t="shared" si="127"/>
        <v>0</v>
      </c>
      <c r="I651" s="6" t="str">
        <f>IF(VLOOKUP(E651,Sheet2!$W:$AA,5,0)=0,"",VLOOKUP(E651,Sheet2!$W:$AA,5,0))</f>
        <v>[60002]</v>
      </c>
      <c r="J651" s="6">
        <v>0</v>
      </c>
      <c r="K651" s="6">
        <v>0</v>
      </c>
      <c r="L651" s="6" t="str">
        <f>IF(VLOOKUP(E651,Sheet2!$W:$AA,2,0)=0,"",VLOOKUP(E651,Sheet2!$W:$AA,2,0))</f>
        <v/>
      </c>
      <c r="N651" s="6">
        <f>IF(VLOOKUP(E651,Sheet2!$W:$AA,3,0)=0,"",VLOOKUP(E651,Sheet2!$W:$AA,3,0))</f>
        <v>2001</v>
      </c>
      <c r="Q651" s="6" t="str">
        <f>IF(VLOOKUP(E651,Sheet2!$W:$AA,4,0)=0,"",VLOOKUP(E651,Sheet2!$W:$AA,4,0))</f>
        <v/>
      </c>
      <c r="R651" s="8">
        <f t="shared" si="119"/>
        <v>24</v>
      </c>
      <c r="S651" s="8">
        <f t="shared" si="124"/>
        <v>2</v>
      </c>
    </row>
    <row r="652" spans="1:19">
      <c r="A652" s="6">
        <f t="shared" si="117"/>
        <v>13002</v>
      </c>
      <c r="B652" s="6">
        <f t="shared" si="126"/>
        <v>130</v>
      </c>
      <c r="C652" s="6">
        <f t="shared" si="125"/>
        <v>2</v>
      </c>
      <c r="D652" s="6" t="str">
        <f t="shared" si="120"/>
        <v>关卡130怪物2</v>
      </c>
      <c r="E652" s="6">
        <v>102</v>
      </c>
      <c r="G652" s="6" t="s">
        <v>1074</v>
      </c>
      <c r="H652" s="6">
        <f t="shared" si="127"/>
        <v>0</v>
      </c>
      <c r="I652" s="6" t="str">
        <f>IF(VLOOKUP(E652,Sheet2!$W:$AA,5,0)=0,"",VLOOKUP(E652,Sheet2!$W:$AA,5,0))</f>
        <v/>
      </c>
      <c r="J652" s="6">
        <v>0</v>
      </c>
      <c r="K652" s="6">
        <v>0</v>
      </c>
      <c r="L652" s="6">
        <f>IF(VLOOKUP(E652,Sheet2!$W:$AA,2,0)=0,"",VLOOKUP(E652,Sheet2!$W:$AA,2,0))</f>
        <v>1</v>
      </c>
      <c r="N652" s="6" t="str">
        <f>IF(VLOOKUP(E652,Sheet2!$W:$AA,3,0)=0,"",VLOOKUP(E652,Sheet2!$W:$AA,3,0))</f>
        <v/>
      </c>
      <c r="Q652" s="6" t="str">
        <f>IF(VLOOKUP(E652,Sheet2!$W:$AA,4,0)=0,"",VLOOKUP(E652,Sheet2!$W:$AA,4,0))</f>
        <v>[{50011,6}]</v>
      </c>
      <c r="R652" s="8">
        <f t="shared" si="119"/>
        <v>24</v>
      </c>
      <c r="S652" s="8">
        <f t="shared" si="124"/>
        <v>2</v>
      </c>
    </row>
    <row r="653" spans="1:19">
      <c r="A653" s="6">
        <f t="shared" si="117"/>
        <v>13003</v>
      </c>
      <c r="B653" s="6">
        <f t="shared" si="126"/>
        <v>130</v>
      </c>
      <c r="C653" s="6">
        <f t="shared" si="125"/>
        <v>3</v>
      </c>
      <c r="D653" s="6" t="str">
        <f t="shared" si="121"/>
        <v>关卡130怪物3</v>
      </c>
      <c r="E653" s="6">
        <v>105</v>
      </c>
      <c r="G653" s="6" t="s">
        <v>1075</v>
      </c>
      <c r="H653" s="6">
        <f t="shared" si="127"/>
        <v>0</v>
      </c>
      <c r="I653" s="6" t="str">
        <f>IF(VLOOKUP(E653,Sheet2!$W:$AA,5,0)=0,"",VLOOKUP(E653,Sheet2!$W:$AA,5,0))</f>
        <v>[60003]</v>
      </c>
      <c r="J653" s="6">
        <v>0</v>
      </c>
      <c r="K653" s="6">
        <v>0</v>
      </c>
      <c r="L653" s="6" t="str">
        <f>IF(VLOOKUP(E653,Sheet2!$W:$AA,2,0)=0,"",VLOOKUP(E653,Sheet2!$W:$AA,2,0))</f>
        <v/>
      </c>
      <c r="N653" s="6" t="str">
        <f>IF(VLOOKUP(E653,Sheet2!$W:$AA,3,0)=0,"",VLOOKUP(E653,Sheet2!$W:$AA,3,0))</f>
        <v/>
      </c>
      <c r="Q653" s="6" t="str">
        <f>IF(VLOOKUP(E653,Sheet2!$W:$AA,4,0)=0,"",VLOOKUP(E653,Sheet2!$W:$AA,4,0))</f>
        <v/>
      </c>
      <c r="R653" s="8">
        <f t="shared" si="119"/>
        <v>24</v>
      </c>
      <c r="S653" s="8">
        <f t="shared" si="124"/>
        <v>2</v>
      </c>
    </row>
    <row r="654" spans="1:19">
      <c r="A654" s="6">
        <f t="shared" si="117"/>
        <v>13021</v>
      </c>
      <c r="B654" s="6">
        <f t="shared" si="126"/>
        <v>130</v>
      </c>
      <c r="C654" s="6">
        <f t="shared" si="125"/>
        <v>4</v>
      </c>
      <c r="D654" s="6" t="str">
        <f t="shared" si="122"/>
        <v>关卡130BOSS1</v>
      </c>
      <c r="E654" s="6">
        <v>502</v>
      </c>
      <c r="G654" s="6" t="s">
        <v>1076</v>
      </c>
      <c r="H654" s="6">
        <f t="shared" si="127"/>
        <v>2</v>
      </c>
      <c r="I654" s="6" t="str">
        <f>IF(VLOOKUP(E654,Sheet2!$W:$AA,5,0)=0,"",VLOOKUP(E654,Sheet2!$W:$AA,5,0))</f>
        <v/>
      </c>
      <c r="J654" s="6">
        <v>0</v>
      </c>
      <c r="K654" s="6">
        <v>0</v>
      </c>
      <c r="L654" s="6">
        <f>IF(VLOOKUP(E654,Sheet2!$W:$AA,2,0)=0,"",VLOOKUP(E654,Sheet2!$W:$AA,2,0))</f>
        <v>1</v>
      </c>
      <c r="N654" s="6" t="str">
        <f>IF(VLOOKUP(E654,Sheet2!$W:$AA,3,0)=0,"",VLOOKUP(E654,Sheet2!$W:$AA,3,0))</f>
        <v/>
      </c>
      <c r="Q654" s="6" t="str">
        <f>IF(VLOOKUP(E654,Sheet2!$W:$AA,4,0)=0,"",VLOOKUP(E654,Sheet2!$W:$AA,4,0))</f>
        <v>[{50021,6}]</v>
      </c>
      <c r="R654" s="8">
        <f t="shared" si="119"/>
        <v>100</v>
      </c>
      <c r="S654" s="8">
        <f t="shared" si="124"/>
        <v>2</v>
      </c>
    </row>
    <row r="655" spans="1:19">
      <c r="A655" s="6">
        <f t="shared" si="117"/>
        <v>13031</v>
      </c>
      <c r="B655" s="6">
        <f t="shared" si="126"/>
        <v>130</v>
      </c>
      <c r="C655" s="6">
        <f t="shared" si="125"/>
        <v>5</v>
      </c>
      <c r="D655" s="6" t="str">
        <f t="shared" si="123"/>
        <v>关卡130BOSS2</v>
      </c>
      <c r="E655" s="6">
        <v>500</v>
      </c>
      <c r="G655" s="6" t="s">
        <v>1077</v>
      </c>
      <c r="H655" s="6">
        <f t="shared" si="127"/>
        <v>2</v>
      </c>
      <c r="I655" s="6" t="str">
        <f>IF(VLOOKUP(E655,Sheet2!$W:$AA,5,0)=0,"",VLOOKUP(E655,Sheet2!$W:$AA,5,0))</f>
        <v>[60002]</v>
      </c>
      <c r="J655" s="6">
        <v>0</v>
      </c>
      <c r="K655" s="6">
        <v>0</v>
      </c>
      <c r="L655" s="6" t="str">
        <f>IF(VLOOKUP(E655,Sheet2!$W:$AA,2,0)=0,"",VLOOKUP(E655,Sheet2!$W:$AA,2,0))</f>
        <v/>
      </c>
      <c r="N655" s="6">
        <f>IF(VLOOKUP(E655,Sheet2!$W:$AA,3,0)=0,"",VLOOKUP(E655,Sheet2!$W:$AA,3,0))</f>
        <v>2001</v>
      </c>
      <c r="Q655" s="6" t="str">
        <f>IF(VLOOKUP(E655,Sheet2!$W:$AA,4,0)=0,"",VLOOKUP(E655,Sheet2!$W:$AA,4,0))</f>
        <v/>
      </c>
      <c r="R655" s="8">
        <f t="shared" si="119"/>
        <v>100</v>
      </c>
      <c r="S655" s="8">
        <f t="shared" si="124"/>
        <v>2</v>
      </c>
    </row>
    <row r="656" spans="1:19">
      <c r="A656" s="6">
        <f t="shared" ref="A656:A705" si="128">A651+100</f>
        <v>13101</v>
      </c>
      <c r="B656" s="6">
        <f t="shared" ref="B656:B719" si="129">B651+1</f>
        <v>131</v>
      </c>
      <c r="C656" s="6">
        <f t="shared" si="125"/>
        <v>1</v>
      </c>
      <c r="D656" s="6" t="str">
        <f t="shared" ref="D656:D701" si="130">"关卡"&amp;B656&amp;"怪物1"</f>
        <v>关卡131怪物1</v>
      </c>
      <c r="E656" s="6">
        <v>121</v>
      </c>
      <c r="G656" s="6" t="s">
        <v>1078</v>
      </c>
      <c r="H656" s="6">
        <f t="shared" si="127"/>
        <v>0</v>
      </c>
      <c r="I656" s="6" t="str">
        <f>IF(VLOOKUP(E656,Sheet2!$W:$AA,5,0)=0,"",VLOOKUP(E656,Sheet2!$W:$AA,5,0))</f>
        <v/>
      </c>
      <c r="J656" s="6">
        <v>0</v>
      </c>
      <c r="K656" s="6">
        <v>0</v>
      </c>
      <c r="L656" s="6" t="str">
        <f>IF(VLOOKUP(E656,Sheet2!$W:$AA,2,0)=0,"",VLOOKUP(E656,Sheet2!$W:$AA,2,0))</f>
        <v/>
      </c>
      <c r="N656" s="6" t="str">
        <f>IF(VLOOKUP(E656,Sheet2!$W:$AA,3,0)=0,"",VLOOKUP(E656,Sheet2!$W:$AA,3,0))</f>
        <v/>
      </c>
      <c r="Q656" s="6" t="str">
        <f>IF(VLOOKUP(E656,Sheet2!$W:$AA,4,0)=0,"",VLOOKUP(E656,Sheet2!$W:$AA,4,0))</f>
        <v/>
      </c>
      <c r="R656" s="8">
        <f t="shared" ref="R656:R719" si="131">R651</f>
        <v>24</v>
      </c>
      <c r="S656" s="8">
        <f t="shared" si="124"/>
        <v>2</v>
      </c>
    </row>
    <row r="657" spans="1:19">
      <c r="A657" s="6">
        <f t="shared" si="128"/>
        <v>13102</v>
      </c>
      <c r="B657" s="6">
        <f t="shared" si="129"/>
        <v>131</v>
      </c>
      <c r="C657" s="6">
        <f t="shared" si="125"/>
        <v>2</v>
      </c>
      <c r="D657" s="6" t="str">
        <f t="shared" ref="D657:D702" si="132">"关卡"&amp;B657&amp;"怪物2"</f>
        <v>关卡131怪物2</v>
      </c>
      <c r="E657" s="6">
        <v>112</v>
      </c>
      <c r="G657" s="6" t="s">
        <v>1079</v>
      </c>
      <c r="H657" s="6">
        <f t="shared" si="127"/>
        <v>0</v>
      </c>
      <c r="I657" s="6" t="str">
        <f>IF(VLOOKUP(E657,Sheet2!$W:$AA,5,0)=0,"",VLOOKUP(E657,Sheet2!$W:$AA,5,0))</f>
        <v/>
      </c>
      <c r="J657" s="6">
        <v>0</v>
      </c>
      <c r="K657" s="6">
        <v>0</v>
      </c>
      <c r="L657" s="6">
        <f>IF(VLOOKUP(E657,Sheet2!$W:$AA,2,0)=0,"",VLOOKUP(E657,Sheet2!$W:$AA,2,0))</f>
        <v>1</v>
      </c>
      <c r="N657" s="6" t="str">
        <f>IF(VLOOKUP(E657,Sheet2!$W:$AA,3,0)=0,"",VLOOKUP(E657,Sheet2!$W:$AA,3,0))</f>
        <v/>
      </c>
      <c r="Q657" s="6" t="str">
        <f>IF(VLOOKUP(E657,Sheet2!$W:$AA,4,0)=0,"",VLOOKUP(E657,Sheet2!$W:$AA,4,0))</f>
        <v>[{50015,6}]</v>
      </c>
      <c r="R657" s="8">
        <f t="shared" si="131"/>
        <v>24</v>
      </c>
      <c r="S657" s="8">
        <f t="shared" si="124"/>
        <v>2</v>
      </c>
    </row>
    <row r="658" spans="1:19">
      <c r="A658" s="6">
        <f t="shared" si="128"/>
        <v>13103</v>
      </c>
      <c r="B658" s="6">
        <f t="shared" si="129"/>
        <v>131</v>
      </c>
      <c r="C658" s="6">
        <f t="shared" si="125"/>
        <v>3</v>
      </c>
      <c r="D658" s="6" t="str">
        <f t="shared" ref="D658:D703" si="133">"关卡"&amp;B658&amp;"怪物3"</f>
        <v>关卡131怪物3</v>
      </c>
      <c r="E658" s="6">
        <v>113</v>
      </c>
      <c r="G658" s="6" t="s">
        <v>1080</v>
      </c>
      <c r="H658" s="6">
        <f t="shared" si="127"/>
        <v>0</v>
      </c>
      <c r="I658" s="6" t="str">
        <f>IF(VLOOKUP(E658,Sheet2!$W:$AA,5,0)=0,"",VLOOKUP(E658,Sheet2!$W:$AA,5,0))</f>
        <v>[60005]</v>
      </c>
      <c r="J658" s="6">
        <v>0</v>
      </c>
      <c r="K658" s="6">
        <v>0</v>
      </c>
      <c r="L658" s="6">
        <f>IF(VLOOKUP(E658,Sheet2!$W:$AA,2,0)=0,"",VLOOKUP(E658,Sheet2!$W:$AA,2,0))</f>
        <v>1</v>
      </c>
      <c r="N658" s="6" t="str">
        <f>IF(VLOOKUP(E658,Sheet2!$W:$AA,3,0)=0,"",VLOOKUP(E658,Sheet2!$W:$AA,3,0))</f>
        <v/>
      </c>
      <c r="Q658" s="6" t="str">
        <f>IF(VLOOKUP(E658,Sheet2!$W:$AA,4,0)=0,"",VLOOKUP(E658,Sheet2!$W:$AA,4,0))</f>
        <v>[{50016,6}]</v>
      </c>
      <c r="R658" s="8">
        <f t="shared" si="131"/>
        <v>24</v>
      </c>
      <c r="S658" s="8">
        <f t="shared" si="124"/>
        <v>2</v>
      </c>
    </row>
    <row r="659" spans="1:19">
      <c r="A659" s="6">
        <f t="shared" si="128"/>
        <v>13121</v>
      </c>
      <c r="B659" s="6">
        <f t="shared" si="129"/>
        <v>131</v>
      </c>
      <c r="C659" s="6">
        <f t="shared" si="125"/>
        <v>4</v>
      </c>
      <c r="D659" s="6" t="str">
        <f t="shared" ref="D659:D704" si="134">"关卡"&amp;B659&amp;"BOSS1"</f>
        <v>关卡131BOSS1</v>
      </c>
      <c r="E659" s="6">
        <v>521</v>
      </c>
      <c r="G659" s="6" t="s">
        <v>1081</v>
      </c>
      <c r="H659" s="6">
        <f t="shared" si="127"/>
        <v>2</v>
      </c>
      <c r="I659" s="6" t="str">
        <f>IF(VLOOKUP(E659,Sheet2!$W:$AA,5,0)=0,"",VLOOKUP(E659,Sheet2!$W:$AA,5,0))</f>
        <v/>
      </c>
      <c r="J659" s="6">
        <v>0</v>
      </c>
      <c r="K659" s="6">
        <v>0</v>
      </c>
      <c r="L659" s="6" t="str">
        <f>IF(VLOOKUP(E659,Sheet2!$W:$AA,2,0)=0,"",VLOOKUP(E659,Sheet2!$W:$AA,2,0))</f>
        <v/>
      </c>
      <c r="N659" s="6" t="str">
        <f>IF(VLOOKUP(E659,Sheet2!$W:$AA,3,0)=0,"",VLOOKUP(E659,Sheet2!$W:$AA,3,0))</f>
        <v/>
      </c>
      <c r="Q659" s="6" t="str">
        <f>IF(VLOOKUP(E659,Sheet2!$W:$AA,4,0)=0,"",VLOOKUP(E659,Sheet2!$W:$AA,4,0))</f>
        <v/>
      </c>
      <c r="R659" s="8">
        <f t="shared" si="131"/>
        <v>100</v>
      </c>
      <c r="S659" s="8">
        <f t="shared" si="124"/>
        <v>2</v>
      </c>
    </row>
    <row r="660" spans="1:19">
      <c r="A660" s="6">
        <f t="shared" si="128"/>
        <v>13131</v>
      </c>
      <c r="B660" s="6">
        <f t="shared" si="129"/>
        <v>131</v>
      </c>
      <c r="C660" s="6">
        <f t="shared" si="125"/>
        <v>5</v>
      </c>
      <c r="D660" s="6" t="str">
        <f t="shared" ref="D660:D705" si="135">"关卡"&amp;B660&amp;"BOSS2"</f>
        <v>关卡131BOSS2</v>
      </c>
      <c r="E660" s="6">
        <v>521</v>
      </c>
      <c r="G660" s="6" t="s">
        <v>1082</v>
      </c>
      <c r="H660" s="6">
        <f t="shared" si="127"/>
        <v>2</v>
      </c>
      <c r="I660" s="6" t="str">
        <f>IF(VLOOKUP(E660,Sheet2!$W:$AA,5,0)=0,"",VLOOKUP(E660,Sheet2!$W:$AA,5,0))</f>
        <v/>
      </c>
      <c r="J660" s="6">
        <v>0</v>
      </c>
      <c r="K660" s="6">
        <v>0</v>
      </c>
      <c r="L660" s="6" t="str">
        <f>IF(VLOOKUP(E660,Sheet2!$W:$AA,2,0)=0,"",VLOOKUP(E660,Sheet2!$W:$AA,2,0))</f>
        <v/>
      </c>
      <c r="N660" s="6" t="str">
        <f>IF(VLOOKUP(E660,Sheet2!$W:$AA,3,0)=0,"",VLOOKUP(E660,Sheet2!$W:$AA,3,0))</f>
        <v/>
      </c>
      <c r="Q660" s="6" t="str">
        <f>IF(VLOOKUP(E660,Sheet2!$W:$AA,4,0)=0,"",VLOOKUP(E660,Sheet2!$W:$AA,4,0))</f>
        <v/>
      </c>
      <c r="R660" s="8">
        <f t="shared" si="131"/>
        <v>100</v>
      </c>
      <c r="S660" s="8">
        <f t="shared" si="124"/>
        <v>2</v>
      </c>
    </row>
    <row r="661" spans="1:19">
      <c r="A661" s="6">
        <f t="shared" si="128"/>
        <v>13201</v>
      </c>
      <c r="B661" s="6">
        <f t="shared" si="129"/>
        <v>132</v>
      </c>
      <c r="C661" s="6">
        <f t="shared" si="125"/>
        <v>1</v>
      </c>
      <c r="D661" s="6" t="str">
        <f t="shared" si="130"/>
        <v>关卡132怪物1</v>
      </c>
      <c r="E661" s="6">
        <v>122</v>
      </c>
      <c r="G661" s="6" t="s">
        <v>1083</v>
      </c>
      <c r="H661" s="6">
        <f t="shared" si="127"/>
        <v>0</v>
      </c>
      <c r="I661" s="6" t="str">
        <f>IF(VLOOKUP(E661,Sheet2!$W:$AA,5,0)=0,"",VLOOKUP(E661,Sheet2!$W:$AA,5,0))</f>
        <v>[60011,60012]</v>
      </c>
      <c r="J661" s="6">
        <v>0</v>
      </c>
      <c r="K661" s="6">
        <v>0</v>
      </c>
      <c r="L661" s="6" t="str">
        <f>IF(VLOOKUP(E661,Sheet2!$W:$AA,2,0)=0,"",VLOOKUP(E661,Sheet2!$W:$AA,2,0))</f>
        <v/>
      </c>
      <c r="N661" s="6" t="str">
        <f>IF(VLOOKUP(E661,Sheet2!$W:$AA,3,0)=0,"",VLOOKUP(E661,Sheet2!$W:$AA,3,0))</f>
        <v/>
      </c>
      <c r="Q661" s="6" t="str">
        <f>IF(VLOOKUP(E661,Sheet2!$W:$AA,4,0)=0,"",VLOOKUP(E661,Sheet2!$W:$AA,4,0))</f>
        <v/>
      </c>
      <c r="R661" s="8">
        <f t="shared" si="131"/>
        <v>24</v>
      </c>
      <c r="S661" s="8">
        <f t="shared" si="124"/>
        <v>2</v>
      </c>
    </row>
    <row r="662" spans="1:19">
      <c r="A662" s="6">
        <f t="shared" si="128"/>
        <v>13202</v>
      </c>
      <c r="B662" s="6">
        <f t="shared" si="129"/>
        <v>132</v>
      </c>
      <c r="C662" s="6">
        <f t="shared" si="125"/>
        <v>2</v>
      </c>
      <c r="D662" s="6" t="str">
        <f t="shared" si="132"/>
        <v>关卡132怪物2</v>
      </c>
      <c r="E662" s="6">
        <v>112</v>
      </c>
      <c r="G662" s="6" t="s">
        <v>1084</v>
      </c>
      <c r="H662" s="6">
        <f t="shared" si="127"/>
        <v>0</v>
      </c>
      <c r="I662" s="6" t="str">
        <f>IF(VLOOKUP(E662,Sheet2!$W:$AA,5,0)=0,"",VLOOKUP(E662,Sheet2!$W:$AA,5,0))</f>
        <v/>
      </c>
      <c r="J662" s="6">
        <v>0</v>
      </c>
      <c r="K662" s="6">
        <v>0</v>
      </c>
      <c r="L662" s="6">
        <f>IF(VLOOKUP(E662,Sheet2!$W:$AA,2,0)=0,"",VLOOKUP(E662,Sheet2!$W:$AA,2,0))</f>
        <v>1</v>
      </c>
      <c r="N662" s="6" t="str">
        <f>IF(VLOOKUP(E662,Sheet2!$W:$AA,3,0)=0,"",VLOOKUP(E662,Sheet2!$W:$AA,3,0))</f>
        <v/>
      </c>
      <c r="Q662" s="6" t="str">
        <f>IF(VLOOKUP(E662,Sheet2!$W:$AA,4,0)=0,"",VLOOKUP(E662,Sheet2!$W:$AA,4,0))</f>
        <v>[{50015,6}]</v>
      </c>
      <c r="R662" s="8">
        <f t="shared" si="131"/>
        <v>24</v>
      </c>
      <c r="S662" s="8">
        <f t="shared" si="124"/>
        <v>2</v>
      </c>
    </row>
    <row r="663" spans="1:19">
      <c r="A663" s="6">
        <f t="shared" si="128"/>
        <v>13203</v>
      </c>
      <c r="B663" s="6">
        <f t="shared" si="129"/>
        <v>132</v>
      </c>
      <c r="C663" s="6">
        <f t="shared" si="125"/>
        <v>3</v>
      </c>
      <c r="D663" s="6" t="str">
        <f t="shared" si="133"/>
        <v>关卡132怪物3</v>
      </c>
      <c r="E663" s="6">
        <v>115</v>
      </c>
      <c r="G663" s="6" t="s">
        <v>1085</v>
      </c>
      <c r="H663" s="6">
        <f t="shared" si="127"/>
        <v>0</v>
      </c>
      <c r="I663" s="6" t="str">
        <f>IF(VLOOKUP(E663,Sheet2!$W:$AA,5,0)=0,"",VLOOKUP(E663,Sheet2!$W:$AA,5,0))</f>
        <v/>
      </c>
      <c r="J663" s="6">
        <v>0</v>
      </c>
      <c r="K663" s="6">
        <v>0</v>
      </c>
      <c r="L663" s="6" t="str">
        <f>IF(VLOOKUP(E663,Sheet2!$W:$AA,2,0)=0,"",VLOOKUP(E663,Sheet2!$W:$AA,2,0))</f>
        <v/>
      </c>
      <c r="N663" s="6" t="str">
        <f>IF(VLOOKUP(E663,Sheet2!$W:$AA,3,0)=0,"",VLOOKUP(E663,Sheet2!$W:$AA,3,0))</f>
        <v/>
      </c>
      <c r="Q663" s="6" t="str">
        <f>IF(VLOOKUP(E663,Sheet2!$W:$AA,4,0)=0,"",VLOOKUP(E663,Sheet2!$W:$AA,4,0))</f>
        <v/>
      </c>
      <c r="R663" s="8">
        <f t="shared" si="131"/>
        <v>24</v>
      </c>
      <c r="S663" s="8">
        <f t="shared" si="124"/>
        <v>2</v>
      </c>
    </row>
    <row r="664" spans="1:19">
      <c r="A664" s="6">
        <f t="shared" si="128"/>
        <v>13221</v>
      </c>
      <c r="B664" s="6">
        <f t="shared" si="129"/>
        <v>132</v>
      </c>
      <c r="C664" s="6">
        <f t="shared" si="125"/>
        <v>4</v>
      </c>
      <c r="D664" s="6" t="str">
        <f t="shared" si="134"/>
        <v>关卡132BOSS1</v>
      </c>
      <c r="E664" s="6">
        <v>522</v>
      </c>
      <c r="G664" s="6" t="s">
        <v>1086</v>
      </c>
      <c r="H664" s="6">
        <f t="shared" si="127"/>
        <v>2</v>
      </c>
      <c r="I664" s="6" t="str">
        <f>IF(VLOOKUP(E664,Sheet2!$W:$AA,5,0)=0,"",VLOOKUP(E664,Sheet2!$W:$AA,5,0))</f>
        <v>[60011,60012]</v>
      </c>
      <c r="J664" s="6">
        <v>0</v>
      </c>
      <c r="K664" s="6">
        <v>0</v>
      </c>
      <c r="L664" s="6" t="str">
        <f>IF(VLOOKUP(E664,Sheet2!$W:$AA,2,0)=0,"",VLOOKUP(E664,Sheet2!$W:$AA,2,0))</f>
        <v/>
      </c>
      <c r="N664" s="6" t="str">
        <f>IF(VLOOKUP(E664,Sheet2!$W:$AA,3,0)=0,"",VLOOKUP(E664,Sheet2!$W:$AA,3,0))</f>
        <v/>
      </c>
      <c r="Q664" s="6" t="str">
        <f>IF(VLOOKUP(E664,Sheet2!$W:$AA,4,0)=0,"",VLOOKUP(E664,Sheet2!$W:$AA,4,0))</f>
        <v/>
      </c>
      <c r="R664" s="8">
        <f t="shared" si="131"/>
        <v>100</v>
      </c>
      <c r="S664" s="8">
        <f t="shared" si="124"/>
        <v>2</v>
      </c>
    </row>
    <row r="665" spans="1:19">
      <c r="A665" s="6">
        <f t="shared" si="128"/>
        <v>13231</v>
      </c>
      <c r="B665" s="6">
        <f t="shared" si="129"/>
        <v>132</v>
      </c>
      <c r="C665" s="6">
        <f t="shared" si="125"/>
        <v>5</v>
      </c>
      <c r="D665" s="6" t="str">
        <f t="shared" si="135"/>
        <v>关卡132BOSS2</v>
      </c>
      <c r="E665" s="6">
        <v>522</v>
      </c>
      <c r="G665" s="6" t="s">
        <v>1087</v>
      </c>
      <c r="H665" s="6">
        <f t="shared" si="127"/>
        <v>2</v>
      </c>
      <c r="I665" s="6" t="str">
        <f>IF(VLOOKUP(E665,Sheet2!$W:$AA,5,0)=0,"",VLOOKUP(E665,Sheet2!$W:$AA,5,0))</f>
        <v>[60011,60012]</v>
      </c>
      <c r="J665" s="6">
        <v>0</v>
      </c>
      <c r="K665" s="6">
        <v>0</v>
      </c>
      <c r="L665" s="6" t="str">
        <f>IF(VLOOKUP(E665,Sheet2!$W:$AA,2,0)=0,"",VLOOKUP(E665,Sheet2!$W:$AA,2,0))</f>
        <v/>
      </c>
      <c r="N665" s="6" t="str">
        <f>IF(VLOOKUP(E665,Sheet2!$W:$AA,3,0)=0,"",VLOOKUP(E665,Sheet2!$W:$AA,3,0))</f>
        <v/>
      </c>
      <c r="Q665" s="6" t="str">
        <f>IF(VLOOKUP(E665,Sheet2!$W:$AA,4,0)=0,"",VLOOKUP(E665,Sheet2!$W:$AA,4,0))</f>
        <v/>
      </c>
      <c r="R665" s="8">
        <f t="shared" si="131"/>
        <v>100</v>
      </c>
      <c r="S665" s="8">
        <f t="shared" si="124"/>
        <v>2</v>
      </c>
    </row>
    <row r="666" spans="1:19">
      <c r="A666" s="6">
        <f t="shared" si="128"/>
        <v>13301</v>
      </c>
      <c r="B666" s="6">
        <f t="shared" si="129"/>
        <v>133</v>
      </c>
      <c r="C666" s="6">
        <f t="shared" si="125"/>
        <v>1</v>
      </c>
      <c r="D666" s="6" t="str">
        <f t="shared" si="130"/>
        <v>关卡133怪物1</v>
      </c>
      <c r="E666" s="6">
        <v>103</v>
      </c>
      <c r="G666" s="6" t="s">
        <v>1088</v>
      </c>
      <c r="H666" s="6">
        <f t="shared" si="127"/>
        <v>0</v>
      </c>
      <c r="I666" s="6" t="str">
        <f>IF(VLOOKUP(E666,Sheet2!$W:$AA,5,0)=0,"",VLOOKUP(E666,Sheet2!$W:$AA,5,0))</f>
        <v>[60001]</v>
      </c>
      <c r="J666" s="6">
        <v>0</v>
      </c>
      <c r="K666" s="6">
        <v>0</v>
      </c>
      <c r="L666" s="6" t="str">
        <f>IF(VLOOKUP(E666,Sheet2!$W:$AA,2,0)=0,"",VLOOKUP(E666,Sheet2!$W:$AA,2,0))</f>
        <v/>
      </c>
      <c r="N666" s="6" t="str">
        <f>IF(VLOOKUP(E666,Sheet2!$W:$AA,3,0)=0,"",VLOOKUP(E666,Sheet2!$W:$AA,3,0))</f>
        <v/>
      </c>
      <c r="Q666" s="6" t="str">
        <f>IF(VLOOKUP(E666,Sheet2!$W:$AA,4,0)=0,"",VLOOKUP(E666,Sheet2!$W:$AA,4,0))</f>
        <v/>
      </c>
      <c r="R666" s="8">
        <f t="shared" si="131"/>
        <v>24</v>
      </c>
      <c r="S666" s="8">
        <f t="shared" si="124"/>
        <v>2</v>
      </c>
    </row>
    <row r="667" spans="1:19">
      <c r="A667" s="6">
        <f t="shared" si="128"/>
        <v>13302</v>
      </c>
      <c r="B667" s="6">
        <f t="shared" si="129"/>
        <v>133</v>
      </c>
      <c r="C667" s="6">
        <f t="shared" si="125"/>
        <v>2</v>
      </c>
      <c r="D667" s="6" t="str">
        <f t="shared" si="132"/>
        <v>关卡133怪物2</v>
      </c>
      <c r="E667" s="6">
        <v>123</v>
      </c>
      <c r="G667" s="6" t="s">
        <v>1089</v>
      </c>
      <c r="H667" s="6">
        <f t="shared" si="127"/>
        <v>0</v>
      </c>
      <c r="I667" s="6" t="str">
        <f>IF(VLOOKUP(E667,Sheet2!$W:$AA,5,0)=0,"",VLOOKUP(E667,Sheet2!$W:$AA,5,0))</f>
        <v>[60010]</v>
      </c>
      <c r="J667" s="6">
        <v>0</v>
      </c>
      <c r="K667" s="6">
        <v>0</v>
      </c>
      <c r="L667" s="6">
        <f>IF(VLOOKUP(E667,Sheet2!$W:$AA,2,0)=0,"",VLOOKUP(E667,Sheet2!$W:$AA,2,0))</f>
        <v>1</v>
      </c>
      <c r="N667" s="6" t="str">
        <f>IF(VLOOKUP(E667,Sheet2!$W:$AA,3,0)=0,"",VLOOKUP(E667,Sheet2!$W:$AA,3,0))</f>
        <v/>
      </c>
      <c r="Q667" s="6" t="str">
        <f>IF(VLOOKUP(E667,Sheet2!$W:$AA,4,0)=0,"",VLOOKUP(E667,Sheet2!$W:$AA,4,0))</f>
        <v>[{50019,6}]</v>
      </c>
      <c r="R667" s="8">
        <f t="shared" si="131"/>
        <v>24</v>
      </c>
      <c r="S667" s="8">
        <f t="shared" si="124"/>
        <v>2</v>
      </c>
    </row>
    <row r="668" spans="1:19">
      <c r="A668" s="6">
        <f t="shared" si="128"/>
        <v>13303</v>
      </c>
      <c r="B668" s="6">
        <f t="shared" si="129"/>
        <v>133</v>
      </c>
      <c r="C668" s="6">
        <f t="shared" si="125"/>
        <v>3</v>
      </c>
      <c r="D668" s="6" t="str">
        <f t="shared" si="133"/>
        <v>关卡133怪物3</v>
      </c>
      <c r="E668" s="6">
        <v>123</v>
      </c>
      <c r="G668" s="6" t="s">
        <v>1090</v>
      </c>
      <c r="H668" s="6">
        <f t="shared" si="127"/>
        <v>0</v>
      </c>
      <c r="I668" s="6" t="str">
        <f>IF(VLOOKUP(E668,Sheet2!$W:$AA,5,0)=0,"",VLOOKUP(E668,Sheet2!$W:$AA,5,0))</f>
        <v>[60010]</v>
      </c>
      <c r="J668" s="6">
        <v>0</v>
      </c>
      <c r="K668" s="6">
        <v>0</v>
      </c>
      <c r="L668" s="6">
        <f>IF(VLOOKUP(E668,Sheet2!$W:$AA,2,0)=0,"",VLOOKUP(E668,Sheet2!$W:$AA,2,0))</f>
        <v>1</v>
      </c>
      <c r="N668" s="6" t="str">
        <f>IF(VLOOKUP(E668,Sheet2!$W:$AA,3,0)=0,"",VLOOKUP(E668,Sheet2!$W:$AA,3,0))</f>
        <v/>
      </c>
      <c r="Q668" s="6" t="str">
        <f>IF(VLOOKUP(E668,Sheet2!$W:$AA,4,0)=0,"",VLOOKUP(E668,Sheet2!$W:$AA,4,0))</f>
        <v>[{50019,6}]</v>
      </c>
      <c r="R668" s="8">
        <f t="shared" si="131"/>
        <v>24</v>
      </c>
      <c r="S668" s="8">
        <f t="shared" si="124"/>
        <v>2</v>
      </c>
    </row>
    <row r="669" spans="1:19">
      <c r="A669" s="6">
        <f t="shared" si="128"/>
        <v>13321</v>
      </c>
      <c r="B669" s="6">
        <f t="shared" si="129"/>
        <v>133</v>
      </c>
      <c r="C669" s="6">
        <f t="shared" si="125"/>
        <v>4</v>
      </c>
      <c r="D669" s="6" t="str">
        <f t="shared" si="134"/>
        <v>关卡133BOSS1</v>
      </c>
      <c r="E669" s="6">
        <v>523</v>
      </c>
      <c r="G669" s="6" t="s">
        <v>1091</v>
      </c>
      <c r="H669" s="6">
        <f t="shared" si="127"/>
        <v>2</v>
      </c>
      <c r="I669" s="6" t="str">
        <f>IF(VLOOKUP(E669,Sheet2!$W:$AA,5,0)=0,"",VLOOKUP(E669,Sheet2!$W:$AA,5,0))</f>
        <v>[60010]</v>
      </c>
      <c r="J669" s="6">
        <v>0</v>
      </c>
      <c r="K669" s="6">
        <v>0</v>
      </c>
      <c r="L669" s="6">
        <f>IF(VLOOKUP(E669,Sheet2!$W:$AA,2,0)=0,"",VLOOKUP(E669,Sheet2!$W:$AA,2,0))</f>
        <v>1</v>
      </c>
      <c r="N669" s="6" t="str">
        <f>IF(VLOOKUP(E669,Sheet2!$W:$AA,3,0)=0,"",VLOOKUP(E669,Sheet2!$W:$AA,3,0))</f>
        <v/>
      </c>
      <c r="Q669" s="6" t="str">
        <f>IF(VLOOKUP(E669,Sheet2!$W:$AA,4,0)=0,"",VLOOKUP(E669,Sheet2!$W:$AA,4,0))</f>
        <v>[{50029,6}]</v>
      </c>
      <c r="R669" s="8">
        <f t="shared" si="131"/>
        <v>100</v>
      </c>
      <c r="S669" s="8">
        <f t="shared" si="124"/>
        <v>2</v>
      </c>
    </row>
    <row r="670" spans="1:19">
      <c r="A670" s="6">
        <f t="shared" si="128"/>
        <v>13331</v>
      </c>
      <c r="B670" s="6">
        <f t="shared" si="129"/>
        <v>133</v>
      </c>
      <c r="C670" s="6">
        <f t="shared" si="125"/>
        <v>5</v>
      </c>
      <c r="D670" s="6" t="str">
        <f t="shared" si="135"/>
        <v>关卡133BOSS2</v>
      </c>
      <c r="E670" s="6">
        <v>523</v>
      </c>
      <c r="G670" s="6" t="s">
        <v>1092</v>
      </c>
      <c r="H670" s="6">
        <f t="shared" si="127"/>
        <v>2</v>
      </c>
      <c r="I670" s="6" t="str">
        <f>IF(VLOOKUP(E670,Sheet2!$W:$AA,5,0)=0,"",VLOOKUP(E670,Sheet2!$W:$AA,5,0))</f>
        <v>[60010]</v>
      </c>
      <c r="J670" s="6">
        <v>0</v>
      </c>
      <c r="K670" s="6">
        <v>0</v>
      </c>
      <c r="L670" s="6">
        <f>IF(VLOOKUP(E670,Sheet2!$W:$AA,2,0)=0,"",VLOOKUP(E670,Sheet2!$W:$AA,2,0))</f>
        <v>1</v>
      </c>
      <c r="N670" s="6" t="str">
        <f>IF(VLOOKUP(E670,Sheet2!$W:$AA,3,0)=0,"",VLOOKUP(E670,Sheet2!$W:$AA,3,0))</f>
        <v/>
      </c>
      <c r="Q670" s="6" t="str">
        <f>IF(VLOOKUP(E670,Sheet2!$W:$AA,4,0)=0,"",VLOOKUP(E670,Sheet2!$W:$AA,4,0))</f>
        <v>[{50029,6}]</v>
      </c>
      <c r="R670" s="8">
        <f t="shared" si="131"/>
        <v>100</v>
      </c>
      <c r="S670" s="8">
        <f t="shared" si="124"/>
        <v>2</v>
      </c>
    </row>
    <row r="671" spans="1:19">
      <c r="A671" s="6">
        <f t="shared" si="128"/>
        <v>13401</v>
      </c>
      <c r="B671" s="6">
        <f t="shared" si="129"/>
        <v>134</v>
      </c>
      <c r="C671" s="6">
        <f t="shared" si="125"/>
        <v>1</v>
      </c>
      <c r="D671" s="6" t="str">
        <f t="shared" si="130"/>
        <v>关卡134怪物1</v>
      </c>
      <c r="E671" s="6">
        <v>100</v>
      </c>
      <c r="G671" s="6" t="s">
        <v>1093</v>
      </c>
      <c r="H671" s="6">
        <f t="shared" si="127"/>
        <v>0</v>
      </c>
      <c r="I671" s="6" t="str">
        <f>IF(VLOOKUP(E671,Sheet2!$W:$AA,5,0)=0,"",VLOOKUP(E671,Sheet2!$W:$AA,5,0))</f>
        <v>[60002]</v>
      </c>
      <c r="J671" s="6">
        <v>0</v>
      </c>
      <c r="K671" s="6">
        <v>0</v>
      </c>
      <c r="L671" s="6" t="str">
        <f>IF(VLOOKUP(E671,Sheet2!$W:$AA,2,0)=0,"",VLOOKUP(E671,Sheet2!$W:$AA,2,0))</f>
        <v/>
      </c>
      <c r="N671" s="6">
        <f>IF(VLOOKUP(E671,Sheet2!$W:$AA,3,0)=0,"",VLOOKUP(E671,Sheet2!$W:$AA,3,0))</f>
        <v>2001</v>
      </c>
      <c r="Q671" s="6" t="str">
        <f>IF(VLOOKUP(E671,Sheet2!$W:$AA,4,0)=0,"",VLOOKUP(E671,Sheet2!$W:$AA,4,0))</f>
        <v/>
      </c>
      <c r="R671" s="8">
        <f t="shared" si="131"/>
        <v>24</v>
      </c>
      <c r="S671" s="8">
        <f t="shared" si="124"/>
        <v>2</v>
      </c>
    </row>
    <row r="672" spans="1:19">
      <c r="A672" s="6">
        <f t="shared" si="128"/>
        <v>13402</v>
      </c>
      <c r="B672" s="6">
        <f t="shared" si="129"/>
        <v>134</v>
      </c>
      <c r="C672" s="6">
        <f t="shared" si="125"/>
        <v>2</v>
      </c>
      <c r="D672" s="6" t="str">
        <f t="shared" si="132"/>
        <v>关卡134怪物2</v>
      </c>
      <c r="E672" s="6">
        <v>102</v>
      </c>
      <c r="G672" s="6" t="s">
        <v>1094</v>
      </c>
      <c r="H672" s="6">
        <f t="shared" si="127"/>
        <v>0</v>
      </c>
      <c r="I672" s="6" t="str">
        <f>IF(VLOOKUP(E672,Sheet2!$W:$AA,5,0)=0,"",VLOOKUP(E672,Sheet2!$W:$AA,5,0))</f>
        <v/>
      </c>
      <c r="J672" s="6">
        <v>0</v>
      </c>
      <c r="K672" s="6">
        <v>0</v>
      </c>
      <c r="L672" s="6">
        <f>IF(VLOOKUP(E672,Sheet2!$W:$AA,2,0)=0,"",VLOOKUP(E672,Sheet2!$W:$AA,2,0))</f>
        <v>1</v>
      </c>
      <c r="N672" s="6" t="str">
        <f>IF(VLOOKUP(E672,Sheet2!$W:$AA,3,0)=0,"",VLOOKUP(E672,Sheet2!$W:$AA,3,0))</f>
        <v/>
      </c>
      <c r="Q672" s="6" t="str">
        <f>IF(VLOOKUP(E672,Sheet2!$W:$AA,4,0)=0,"",VLOOKUP(E672,Sheet2!$W:$AA,4,0))</f>
        <v>[{50011,6}]</v>
      </c>
      <c r="R672" s="8">
        <f t="shared" si="131"/>
        <v>24</v>
      </c>
      <c r="S672" s="8">
        <f t="shared" si="124"/>
        <v>2</v>
      </c>
    </row>
    <row r="673" spans="1:19">
      <c r="A673" s="6">
        <f t="shared" si="128"/>
        <v>13403</v>
      </c>
      <c r="B673" s="6">
        <f t="shared" si="129"/>
        <v>134</v>
      </c>
      <c r="C673" s="6">
        <f t="shared" si="125"/>
        <v>3</v>
      </c>
      <c r="D673" s="6" t="str">
        <f t="shared" si="133"/>
        <v>关卡134怪物3</v>
      </c>
      <c r="E673" s="6">
        <v>105</v>
      </c>
      <c r="G673" s="6" t="s">
        <v>1095</v>
      </c>
      <c r="H673" s="6">
        <f t="shared" si="127"/>
        <v>0</v>
      </c>
      <c r="I673" s="6" t="str">
        <f>IF(VLOOKUP(E673,Sheet2!$W:$AA,5,0)=0,"",VLOOKUP(E673,Sheet2!$W:$AA,5,0))</f>
        <v>[60003]</v>
      </c>
      <c r="J673" s="6">
        <v>0</v>
      </c>
      <c r="K673" s="6">
        <v>0</v>
      </c>
      <c r="L673" s="6" t="str">
        <f>IF(VLOOKUP(E673,Sheet2!$W:$AA,2,0)=0,"",VLOOKUP(E673,Sheet2!$W:$AA,2,0))</f>
        <v/>
      </c>
      <c r="N673" s="6" t="str">
        <f>IF(VLOOKUP(E673,Sheet2!$W:$AA,3,0)=0,"",VLOOKUP(E673,Sheet2!$W:$AA,3,0))</f>
        <v/>
      </c>
      <c r="Q673" s="6" t="str">
        <f>IF(VLOOKUP(E673,Sheet2!$W:$AA,4,0)=0,"",VLOOKUP(E673,Sheet2!$W:$AA,4,0))</f>
        <v/>
      </c>
      <c r="R673" s="8">
        <f t="shared" si="131"/>
        <v>24</v>
      </c>
      <c r="S673" s="8">
        <f t="shared" si="124"/>
        <v>2</v>
      </c>
    </row>
    <row r="674" spans="1:19">
      <c r="A674" s="6">
        <f t="shared" si="128"/>
        <v>13421</v>
      </c>
      <c r="B674" s="6">
        <f t="shared" si="129"/>
        <v>134</v>
      </c>
      <c r="C674" s="6">
        <f t="shared" si="125"/>
        <v>4</v>
      </c>
      <c r="D674" s="6" t="str">
        <f t="shared" si="134"/>
        <v>关卡134BOSS1</v>
      </c>
      <c r="E674" s="6">
        <v>502</v>
      </c>
      <c r="G674" s="6" t="s">
        <v>1096</v>
      </c>
      <c r="H674" s="6">
        <f t="shared" si="127"/>
        <v>2</v>
      </c>
      <c r="I674" s="6" t="str">
        <f>IF(VLOOKUP(E674,Sheet2!$W:$AA,5,0)=0,"",VLOOKUP(E674,Sheet2!$W:$AA,5,0))</f>
        <v/>
      </c>
      <c r="J674" s="6">
        <v>0</v>
      </c>
      <c r="K674" s="6">
        <v>0</v>
      </c>
      <c r="L674" s="6">
        <f>IF(VLOOKUP(E674,Sheet2!$W:$AA,2,0)=0,"",VLOOKUP(E674,Sheet2!$W:$AA,2,0))</f>
        <v>1</v>
      </c>
      <c r="N674" s="6" t="str">
        <f>IF(VLOOKUP(E674,Sheet2!$W:$AA,3,0)=0,"",VLOOKUP(E674,Sheet2!$W:$AA,3,0))</f>
        <v/>
      </c>
      <c r="Q674" s="6" t="str">
        <f>IF(VLOOKUP(E674,Sheet2!$W:$AA,4,0)=0,"",VLOOKUP(E674,Sheet2!$W:$AA,4,0))</f>
        <v>[{50021,6}]</v>
      </c>
      <c r="R674" s="8">
        <f t="shared" si="131"/>
        <v>100</v>
      </c>
      <c r="S674" s="8">
        <f t="shared" si="124"/>
        <v>2</v>
      </c>
    </row>
    <row r="675" spans="1:19">
      <c r="A675" s="6">
        <f t="shared" si="128"/>
        <v>13431</v>
      </c>
      <c r="B675" s="6">
        <f t="shared" si="129"/>
        <v>134</v>
      </c>
      <c r="C675" s="6">
        <f t="shared" si="125"/>
        <v>5</v>
      </c>
      <c r="D675" s="6" t="str">
        <f t="shared" si="135"/>
        <v>关卡134BOSS2</v>
      </c>
      <c r="E675" s="6">
        <v>500</v>
      </c>
      <c r="G675" s="6" t="s">
        <v>1097</v>
      </c>
      <c r="H675" s="6">
        <f t="shared" si="127"/>
        <v>2</v>
      </c>
      <c r="I675" s="6" t="str">
        <f>IF(VLOOKUP(E675,Sheet2!$W:$AA,5,0)=0,"",VLOOKUP(E675,Sheet2!$W:$AA,5,0))</f>
        <v>[60002]</v>
      </c>
      <c r="J675" s="6">
        <v>0</v>
      </c>
      <c r="K675" s="6">
        <v>0</v>
      </c>
      <c r="L675" s="6" t="str">
        <f>IF(VLOOKUP(E675,Sheet2!$W:$AA,2,0)=0,"",VLOOKUP(E675,Sheet2!$W:$AA,2,0))</f>
        <v/>
      </c>
      <c r="N675" s="6">
        <f>IF(VLOOKUP(E675,Sheet2!$W:$AA,3,0)=0,"",VLOOKUP(E675,Sheet2!$W:$AA,3,0))</f>
        <v>2001</v>
      </c>
      <c r="Q675" s="6" t="str">
        <f>IF(VLOOKUP(E675,Sheet2!$W:$AA,4,0)=0,"",VLOOKUP(E675,Sheet2!$W:$AA,4,0))</f>
        <v/>
      </c>
      <c r="R675" s="8">
        <f t="shared" si="131"/>
        <v>100</v>
      </c>
      <c r="S675" s="8">
        <f t="shared" si="124"/>
        <v>2</v>
      </c>
    </row>
    <row r="676" spans="1:19">
      <c r="A676" s="6">
        <f t="shared" si="128"/>
        <v>13501</v>
      </c>
      <c r="B676" s="6">
        <f t="shared" si="129"/>
        <v>135</v>
      </c>
      <c r="C676" s="6">
        <f t="shared" si="125"/>
        <v>1</v>
      </c>
      <c r="D676" s="6" t="str">
        <f t="shared" si="130"/>
        <v>关卡135怪物1</v>
      </c>
      <c r="E676" s="6">
        <v>103</v>
      </c>
      <c r="G676" s="6" t="s">
        <v>1098</v>
      </c>
      <c r="H676" s="6">
        <f t="shared" si="127"/>
        <v>0</v>
      </c>
      <c r="I676" s="6" t="str">
        <f>IF(VLOOKUP(E676,Sheet2!$W:$AA,5,0)=0,"",VLOOKUP(E676,Sheet2!$W:$AA,5,0))</f>
        <v>[60001]</v>
      </c>
      <c r="J676" s="6">
        <v>0</v>
      </c>
      <c r="K676" s="6">
        <v>0</v>
      </c>
      <c r="L676" s="6" t="str">
        <f>IF(VLOOKUP(E676,Sheet2!$W:$AA,2,0)=0,"",VLOOKUP(E676,Sheet2!$W:$AA,2,0))</f>
        <v/>
      </c>
      <c r="N676" s="6" t="str">
        <f>IF(VLOOKUP(E676,Sheet2!$W:$AA,3,0)=0,"",VLOOKUP(E676,Sheet2!$W:$AA,3,0))</f>
        <v/>
      </c>
      <c r="Q676" s="6" t="str">
        <f>IF(VLOOKUP(E676,Sheet2!$W:$AA,4,0)=0,"",VLOOKUP(E676,Sheet2!$W:$AA,4,0))</f>
        <v/>
      </c>
      <c r="R676" s="8">
        <f t="shared" si="131"/>
        <v>24</v>
      </c>
      <c r="S676" s="8">
        <f t="shared" si="124"/>
        <v>2</v>
      </c>
    </row>
    <row r="677" spans="1:19">
      <c r="A677" s="6">
        <f t="shared" si="128"/>
        <v>13502</v>
      </c>
      <c r="B677" s="6">
        <f t="shared" si="129"/>
        <v>135</v>
      </c>
      <c r="C677" s="6">
        <f t="shared" si="125"/>
        <v>2</v>
      </c>
      <c r="D677" s="6" t="str">
        <f t="shared" si="132"/>
        <v>关卡135怪物2</v>
      </c>
      <c r="E677" s="6">
        <v>104</v>
      </c>
      <c r="G677" s="6" t="s">
        <v>1099</v>
      </c>
      <c r="H677" s="6">
        <f t="shared" si="127"/>
        <v>0</v>
      </c>
      <c r="I677" s="6" t="str">
        <f>IF(VLOOKUP(E677,Sheet2!$W:$AA,5,0)=0,"",VLOOKUP(E677,Sheet2!$W:$AA,5,0))</f>
        <v/>
      </c>
      <c r="J677" s="6">
        <v>0</v>
      </c>
      <c r="K677" s="6">
        <v>0</v>
      </c>
      <c r="L677" s="6" t="str">
        <f>IF(VLOOKUP(E677,Sheet2!$W:$AA,2,0)=0,"",VLOOKUP(E677,Sheet2!$W:$AA,2,0))</f>
        <v/>
      </c>
      <c r="N677" s="6" t="str">
        <f>IF(VLOOKUP(E677,Sheet2!$W:$AA,3,0)=0,"",VLOOKUP(E677,Sheet2!$W:$AA,3,0))</f>
        <v/>
      </c>
      <c r="Q677" s="6" t="str">
        <f>IF(VLOOKUP(E677,Sheet2!$W:$AA,4,0)=0,"",VLOOKUP(E677,Sheet2!$W:$AA,4,0))</f>
        <v/>
      </c>
      <c r="R677" s="8">
        <f t="shared" si="131"/>
        <v>24</v>
      </c>
      <c r="S677" s="8">
        <f t="shared" si="124"/>
        <v>2</v>
      </c>
    </row>
    <row r="678" spans="1:19">
      <c r="A678" s="6">
        <f t="shared" si="128"/>
        <v>13503</v>
      </c>
      <c r="B678" s="6">
        <f t="shared" si="129"/>
        <v>135</v>
      </c>
      <c r="C678" s="6">
        <f t="shared" si="125"/>
        <v>3</v>
      </c>
      <c r="D678" s="6" t="str">
        <f t="shared" si="133"/>
        <v>关卡135怪物3</v>
      </c>
      <c r="E678" s="6">
        <v>106</v>
      </c>
      <c r="G678" s="6" t="s">
        <v>1100</v>
      </c>
      <c r="H678" s="6">
        <f t="shared" si="127"/>
        <v>0</v>
      </c>
      <c r="I678" s="6" t="str">
        <f>IF(VLOOKUP(E678,Sheet2!$W:$AA,5,0)=0,"",VLOOKUP(E678,Sheet2!$W:$AA,5,0))</f>
        <v>[60002]</v>
      </c>
      <c r="J678" s="6">
        <v>0</v>
      </c>
      <c r="K678" s="6">
        <v>0</v>
      </c>
      <c r="L678" s="6">
        <f>IF(VLOOKUP(E678,Sheet2!$W:$AA,2,0)=0,"",VLOOKUP(E678,Sheet2!$W:$AA,2,0))</f>
        <v>1</v>
      </c>
      <c r="N678" s="6">
        <f>IF(VLOOKUP(E678,Sheet2!$W:$AA,3,0)=0,"",VLOOKUP(E678,Sheet2!$W:$AA,3,0))</f>
        <v>2002</v>
      </c>
      <c r="Q678" s="6" t="str">
        <f>IF(VLOOKUP(E678,Sheet2!$W:$AA,4,0)=0,"",VLOOKUP(E678,Sheet2!$W:$AA,4,0))</f>
        <v>[{50012,6}]</v>
      </c>
      <c r="R678" s="8">
        <f t="shared" si="131"/>
        <v>24</v>
      </c>
      <c r="S678" s="8">
        <f t="shared" si="124"/>
        <v>2</v>
      </c>
    </row>
    <row r="679" spans="1:19">
      <c r="A679" s="6">
        <f t="shared" si="128"/>
        <v>13521</v>
      </c>
      <c r="B679" s="6">
        <f t="shared" si="129"/>
        <v>135</v>
      </c>
      <c r="C679" s="6">
        <f t="shared" si="125"/>
        <v>4</v>
      </c>
      <c r="D679" s="6" t="str">
        <f t="shared" si="134"/>
        <v>关卡135BOSS1</v>
      </c>
      <c r="E679" s="6">
        <v>503</v>
      </c>
      <c r="G679" s="6" t="s">
        <v>1101</v>
      </c>
      <c r="H679" s="6">
        <f t="shared" si="127"/>
        <v>2</v>
      </c>
      <c r="I679" s="6" t="str">
        <f>IF(VLOOKUP(E679,Sheet2!$W:$AA,5,0)=0,"",VLOOKUP(E679,Sheet2!$W:$AA,5,0))</f>
        <v>[60001]</v>
      </c>
      <c r="J679" s="6">
        <v>0</v>
      </c>
      <c r="K679" s="6">
        <v>0</v>
      </c>
      <c r="L679" s="6" t="str">
        <f>IF(VLOOKUP(E679,Sheet2!$W:$AA,2,0)=0,"",VLOOKUP(E679,Sheet2!$W:$AA,2,0))</f>
        <v/>
      </c>
      <c r="N679" s="6" t="str">
        <f>IF(VLOOKUP(E679,Sheet2!$W:$AA,3,0)=0,"",VLOOKUP(E679,Sheet2!$W:$AA,3,0))</f>
        <v/>
      </c>
      <c r="Q679" s="6" t="str">
        <f>IF(VLOOKUP(E679,Sheet2!$W:$AA,4,0)=0,"",VLOOKUP(E679,Sheet2!$W:$AA,4,0))</f>
        <v/>
      </c>
      <c r="R679" s="8">
        <f t="shared" si="131"/>
        <v>100</v>
      </c>
      <c r="S679" s="8">
        <f t="shared" si="124"/>
        <v>2</v>
      </c>
    </row>
    <row r="680" spans="1:19">
      <c r="A680" s="6">
        <f t="shared" si="128"/>
        <v>13531</v>
      </c>
      <c r="B680" s="6">
        <f t="shared" si="129"/>
        <v>135</v>
      </c>
      <c r="C680" s="6">
        <f t="shared" si="125"/>
        <v>5</v>
      </c>
      <c r="D680" s="6" t="str">
        <f t="shared" si="135"/>
        <v>关卡135BOSS2</v>
      </c>
      <c r="E680" s="6">
        <v>503</v>
      </c>
      <c r="G680" s="6" t="s">
        <v>1102</v>
      </c>
      <c r="H680" s="6">
        <f t="shared" si="127"/>
        <v>2</v>
      </c>
      <c r="I680" s="6" t="str">
        <f>IF(VLOOKUP(E680,Sheet2!$W:$AA,5,0)=0,"",VLOOKUP(E680,Sheet2!$W:$AA,5,0))</f>
        <v>[60001]</v>
      </c>
      <c r="J680" s="6">
        <v>0</v>
      </c>
      <c r="K680" s="6">
        <v>0</v>
      </c>
      <c r="L680" s="6" t="str">
        <f>IF(VLOOKUP(E680,Sheet2!$W:$AA,2,0)=0,"",VLOOKUP(E680,Sheet2!$W:$AA,2,0))</f>
        <v/>
      </c>
      <c r="N680" s="6" t="str">
        <f>IF(VLOOKUP(E680,Sheet2!$W:$AA,3,0)=0,"",VLOOKUP(E680,Sheet2!$W:$AA,3,0))</f>
        <v/>
      </c>
      <c r="Q680" s="6" t="str">
        <f>IF(VLOOKUP(E680,Sheet2!$W:$AA,4,0)=0,"",VLOOKUP(E680,Sheet2!$W:$AA,4,0))</f>
        <v/>
      </c>
      <c r="R680" s="8">
        <f t="shared" si="131"/>
        <v>100</v>
      </c>
      <c r="S680" s="8">
        <f t="shared" si="124"/>
        <v>2</v>
      </c>
    </row>
    <row r="681" spans="1:19">
      <c r="A681" s="6">
        <f t="shared" si="128"/>
        <v>13601</v>
      </c>
      <c r="B681" s="6">
        <f t="shared" si="129"/>
        <v>136</v>
      </c>
      <c r="C681" s="6">
        <f t="shared" si="125"/>
        <v>1</v>
      </c>
      <c r="D681" s="6" t="str">
        <f t="shared" si="130"/>
        <v>关卡136怪物1</v>
      </c>
      <c r="E681" s="6">
        <v>103</v>
      </c>
      <c r="G681" s="6" t="s">
        <v>1103</v>
      </c>
      <c r="H681" s="6">
        <f t="shared" si="127"/>
        <v>0</v>
      </c>
      <c r="I681" s="6" t="str">
        <f>IF(VLOOKUP(E681,Sheet2!$W:$AA,5,0)=0,"",VLOOKUP(E681,Sheet2!$W:$AA,5,0))</f>
        <v>[60001]</v>
      </c>
      <c r="J681" s="6">
        <v>0</v>
      </c>
      <c r="K681" s="6">
        <v>0</v>
      </c>
      <c r="L681" s="6" t="str">
        <f>IF(VLOOKUP(E681,Sheet2!$W:$AA,2,0)=0,"",VLOOKUP(E681,Sheet2!$W:$AA,2,0))</f>
        <v/>
      </c>
      <c r="N681" s="6" t="str">
        <f>IF(VLOOKUP(E681,Sheet2!$W:$AA,3,0)=0,"",VLOOKUP(E681,Sheet2!$W:$AA,3,0))</f>
        <v/>
      </c>
      <c r="Q681" s="6" t="str">
        <f>IF(VLOOKUP(E681,Sheet2!$W:$AA,4,0)=0,"",VLOOKUP(E681,Sheet2!$W:$AA,4,0))</f>
        <v/>
      </c>
      <c r="R681" s="8">
        <f t="shared" si="131"/>
        <v>24</v>
      </c>
      <c r="S681" s="8">
        <f t="shared" si="124"/>
        <v>2</v>
      </c>
    </row>
    <row r="682" spans="1:19">
      <c r="A682" s="6">
        <f t="shared" si="128"/>
        <v>13602</v>
      </c>
      <c r="B682" s="6">
        <f t="shared" si="129"/>
        <v>136</v>
      </c>
      <c r="C682" s="6">
        <f t="shared" si="125"/>
        <v>2</v>
      </c>
      <c r="D682" s="6" t="str">
        <f t="shared" si="132"/>
        <v>关卡136怪物2</v>
      </c>
      <c r="E682" s="6">
        <v>104</v>
      </c>
      <c r="G682" s="6" t="s">
        <v>1104</v>
      </c>
      <c r="H682" s="6">
        <f t="shared" si="127"/>
        <v>0</v>
      </c>
      <c r="I682" s="6" t="str">
        <f>IF(VLOOKUP(E682,Sheet2!$W:$AA,5,0)=0,"",VLOOKUP(E682,Sheet2!$W:$AA,5,0))</f>
        <v/>
      </c>
      <c r="J682" s="6">
        <v>0</v>
      </c>
      <c r="K682" s="6">
        <v>0</v>
      </c>
      <c r="L682" s="6" t="str">
        <f>IF(VLOOKUP(E682,Sheet2!$W:$AA,2,0)=0,"",VLOOKUP(E682,Sheet2!$W:$AA,2,0))</f>
        <v/>
      </c>
      <c r="N682" s="6" t="str">
        <f>IF(VLOOKUP(E682,Sheet2!$W:$AA,3,0)=0,"",VLOOKUP(E682,Sheet2!$W:$AA,3,0))</f>
        <v/>
      </c>
      <c r="Q682" s="6" t="str">
        <f>IF(VLOOKUP(E682,Sheet2!$W:$AA,4,0)=0,"",VLOOKUP(E682,Sheet2!$W:$AA,4,0))</f>
        <v/>
      </c>
      <c r="R682" s="8">
        <f t="shared" si="131"/>
        <v>24</v>
      </c>
      <c r="S682" s="8">
        <f t="shared" si="124"/>
        <v>2</v>
      </c>
    </row>
    <row r="683" spans="1:19">
      <c r="A683" s="6">
        <f t="shared" si="128"/>
        <v>13603</v>
      </c>
      <c r="B683" s="6">
        <f t="shared" si="129"/>
        <v>136</v>
      </c>
      <c r="C683" s="6">
        <f t="shared" si="125"/>
        <v>3</v>
      </c>
      <c r="D683" s="6" t="str">
        <f t="shared" si="133"/>
        <v>关卡136怪物3</v>
      </c>
      <c r="E683" s="6">
        <v>105</v>
      </c>
      <c r="G683" s="6" t="s">
        <v>1105</v>
      </c>
      <c r="H683" s="6">
        <f t="shared" si="127"/>
        <v>0</v>
      </c>
      <c r="I683" s="6" t="str">
        <f>IF(VLOOKUP(E683,Sheet2!$W:$AA,5,0)=0,"",VLOOKUP(E683,Sheet2!$W:$AA,5,0))</f>
        <v>[60003]</v>
      </c>
      <c r="J683" s="6">
        <v>0</v>
      </c>
      <c r="K683" s="6">
        <v>0</v>
      </c>
      <c r="L683" s="6" t="str">
        <f>IF(VLOOKUP(E683,Sheet2!$W:$AA,2,0)=0,"",VLOOKUP(E683,Sheet2!$W:$AA,2,0))</f>
        <v/>
      </c>
      <c r="N683" s="6" t="str">
        <f>IF(VLOOKUP(E683,Sheet2!$W:$AA,3,0)=0,"",VLOOKUP(E683,Sheet2!$W:$AA,3,0))</f>
        <v/>
      </c>
      <c r="Q683" s="6" t="str">
        <f>IF(VLOOKUP(E683,Sheet2!$W:$AA,4,0)=0,"",VLOOKUP(E683,Sheet2!$W:$AA,4,0))</f>
        <v/>
      </c>
      <c r="R683" s="8">
        <f t="shared" si="131"/>
        <v>24</v>
      </c>
      <c r="S683" s="8">
        <f t="shared" si="124"/>
        <v>2</v>
      </c>
    </row>
    <row r="684" spans="1:19">
      <c r="A684" s="6">
        <f t="shared" si="128"/>
        <v>13621</v>
      </c>
      <c r="B684" s="6">
        <f t="shared" si="129"/>
        <v>136</v>
      </c>
      <c r="C684" s="6">
        <f t="shared" si="125"/>
        <v>4</v>
      </c>
      <c r="D684" s="6" t="str">
        <f t="shared" si="134"/>
        <v>关卡136BOSS1</v>
      </c>
      <c r="E684" s="6">
        <v>103</v>
      </c>
      <c r="G684" s="6" t="s">
        <v>1106</v>
      </c>
      <c r="H684" s="6">
        <f t="shared" si="127"/>
        <v>2</v>
      </c>
      <c r="I684" s="6" t="str">
        <f>IF(VLOOKUP(E684,Sheet2!$W:$AA,5,0)=0,"",VLOOKUP(E684,Sheet2!$W:$AA,5,0))</f>
        <v>[60001]</v>
      </c>
      <c r="J684" s="6">
        <v>0</v>
      </c>
      <c r="K684" s="6">
        <v>0</v>
      </c>
      <c r="L684" s="6" t="str">
        <f>IF(VLOOKUP(E684,Sheet2!$W:$AA,2,0)=0,"",VLOOKUP(E684,Sheet2!$W:$AA,2,0))</f>
        <v/>
      </c>
      <c r="N684" s="6" t="str">
        <f>IF(VLOOKUP(E684,Sheet2!$W:$AA,3,0)=0,"",VLOOKUP(E684,Sheet2!$W:$AA,3,0))</f>
        <v/>
      </c>
      <c r="Q684" s="6" t="str">
        <f>IF(VLOOKUP(E684,Sheet2!$W:$AA,4,0)=0,"",VLOOKUP(E684,Sheet2!$W:$AA,4,0))</f>
        <v/>
      </c>
      <c r="R684" s="8">
        <f t="shared" si="131"/>
        <v>100</v>
      </c>
      <c r="S684" s="8">
        <f t="shared" si="124"/>
        <v>2</v>
      </c>
    </row>
    <row r="685" spans="1:19">
      <c r="A685" s="6">
        <f t="shared" si="128"/>
        <v>13631</v>
      </c>
      <c r="B685" s="6">
        <f t="shared" si="129"/>
        <v>136</v>
      </c>
      <c r="C685" s="6">
        <f t="shared" si="125"/>
        <v>5</v>
      </c>
      <c r="D685" s="6" t="str">
        <f t="shared" si="135"/>
        <v>关卡136BOSS2</v>
      </c>
      <c r="E685" s="6">
        <v>103</v>
      </c>
      <c r="G685" s="6" t="s">
        <v>1107</v>
      </c>
      <c r="H685" s="6">
        <f t="shared" si="127"/>
        <v>2</v>
      </c>
      <c r="I685" s="6" t="str">
        <f>IF(VLOOKUP(E685,Sheet2!$W:$AA,5,0)=0,"",VLOOKUP(E685,Sheet2!$W:$AA,5,0))</f>
        <v>[60001]</v>
      </c>
      <c r="J685" s="6">
        <v>0</v>
      </c>
      <c r="K685" s="6">
        <v>0</v>
      </c>
      <c r="L685" s="6" t="str">
        <f>IF(VLOOKUP(E685,Sheet2!$W:$AA,2,0)=0,"",VLOOKUP(E685,Sheet2!$W:$AA,2,0))</f>
        <v/>
      </c>
      <c r="N685" s="6" t="str">
        <f>IF(VLOOKUP(E685,Sheet2!$W:$AA,3,0)=0,"",VLOOKUP(E685,Sheet2!$W:$AA,3,0))</f>
        <v/>
      </c>
      <c r="Q685" s="6" t="str">
        <f>IF(VLOOKUP(E685,Sheet2!$W:$AA,4,0)=0,"",VLOOKUP(E685,Sheet2!$W:$AA,4,0))</f>
        <v/>
      </c>
      <c r="R685" s="8">
        <f t="shared" si="131"/>
        <v>100</v>
      </c>
      <c r="S685" s="8">
        <f t="shared" ref="S685:S748" si="136">S684</f>
        <v>2</v>
      </c>
    </row>
    <row r="686" spans="1:19">
      <c r="A686" s="6">
        <f t="shared" si="128"/>
        <v>13701</v>
      </c>
      <c r="B686" s="6">
        <f t="shared" si="129"/>
        <v>137</v>
      </c>
      <c r="C686" s="6">
        <f t="shared" si="125"/>
        <v>1</v>
      </c>
      <c r="D686" s="6" t="str">
        <f t="shared" si="130"/>
        <v>关卡137怪物1</v>
      </c>
      <c r="E686" s="6">
        <v>117</v>
      </c>
      <c r="G686" s="6" t="s">
        <v>1108</v>
      </c>
      <c r="H686" s="6">
        <f t="shared" si="127"/>
        <v>0</v>
      </c>
      <c r="I686" s="6" t="str">
        <f>IF(VLOOKUP(E686,Sheet2!$W:$AA,5,0)=0,"",VLOOKUP(E686,Sheet2!$W:$AA,5,0))</f>
        <v/>
      </c>
      <c r="J686" s="6">
        <v>0</v>
      </c>
      <c r="K686" s="6">
        <v>0</v>
      </c>
      <c r="L686" s="6" t="str">
        <f>IF(VLOOKUP(E686,Sheet2!$W:$AA,2,0)=0,"",VLOOKUP(E686,Sheet2!$W:$AA,2,0))</f>
        <v/>
      </c>
      <c r="N686" s="6" t="str">
        <f>IF(VLOOKUP(E686,Sheet2!$W:$AA,3,0)=0,"",VLOOKUP(E686,Sheet2!$W:$AA,3,0))</f>
        <v/>
      </c>
      <c r="Q686" s="6" t="str">
        <f>IF(VLOOKUP(E686,Sheet2!$W:$AA,4,0)=0,"",VLOOKUP(E686,Sheet2!$W:$AA,4,0))</f>
        <v/>
      </c>
      <c r="R686" s="8">
        <f t="shared" si="131"/>
        <v>24</v>
      </c>
      <c r="S686" s="8">
        <f t="shared" si="136"/>
        <v>2</v>
      </c>
    </row>
    <row r="687" spans="1:19">
      <c r="A687" s="6">
        <f t="shared" si="128"/>
        <v>13702</v>
      </c>
      <c r="B687" s="6">
        <f t="shared" si="129"/>
        <v>137</v>
      </c>
      <c r="C687" s="6">
        <f t="shared" si="125"/>
        <v>2</v>
      </c>
      <c r="D687" s="6" t="str">
        <f t="shared" si="132"/>
        <v>关卡137怪物2</v>
      </c>
      <c r="E687" s="6">
        <v>116</v>
      </c>
      <c r="G687" s="6" t="s">
        <v>1109</v>
      </c>
      <c r="H687" s="6">
        <f t="shared" si="127"/>
        <v>0</v>
      </c>
      <c r="I687" s="6" t="str">
        <f>IF(VLOOKUP(E687,Sheet2!$W:$AA,5,0)=0,"",VLOOKUP(E687,Sheet2!$W:$AA,5,0))</f>
        <v>[60007]</v>
      </c>
      <c r="J687" s="6">
        <v>0</v>
      </c>
      <c r="K687" s="6">
        <v>0</v>
      </c>
      <c r="L687" s="6" t="str">
        <f>IF(VLOOKUP(E687,Sheet2!$W:$AA,2,0)=0,"",VLOOKUP(E687,Sheet2!$W:$AA,2,0))</f>
        <v/>
      </c>
      <c r="N687" s="6" t="str">
        <f>IF(VLOOKUP(E687,Sheet2!$W:$AA,3,0)=0,"",VLOOKUP(E687,Sheet2!$W:$AA,3,0))</f>
        <v/>
      </c>
      <c r="Q687" s="6" t="str">
        <f>IF(VLOOKUP(E687,Sheet2!$W:$AA,4,0)=0,"",VLOOKUP(E687,Sheet2!$W:$AA,4,0))</f>
        <v/>
      </c>
      <c r="R687" s="8">
        <f t="shared" si="131"/>
        <v>24</v>
      </c>
      <c r="S687" s="8">
        <f t="shared" si="136"/>
        <v>2</v>
      </c>
    </row>
    <row r="688" spans="1:19">
      <c r="A688" s="6">
        <f t="shared" si="128"/>
        <v>13703</v>
      </c>
      <c r="B688" s="6">
        <f t="shared" si="129"/>
        <v>137</v>
      </c>
      <c r="C688" s="6">
        <f t="shared" si="125"/>
        <v>3</v>
      </c>
      <c r="D688" s="6" t="str">
        <f t="shared" si="133"/>
        <v>关卡137怪物3</v>
      </c>
      <c r="E688" s="6">
        <v>112</v>
      </c>
      <c r="G688" s="6" t="s">
        <v>1110</v>
      </c>
      <c r="H688" s="6">
        <f t="shared" si="127"/>
        <v>0</v>
      </c>
      <c r="I688" s="6" t="str">
        <f>IF(VLOOKUP(E688,Sheet2!$W:$AA,5,0)=0,"",VLOOKUP(E688,Sheet2!$W:$AA,5,0))</f>
        <v/>
      </c>
      <c r="J688" s="6">
        <v>0</v>
      </c>
      <c r="K688" s="6">
        <v>0</v>
      </c>
      <c r="L688" s="6">
        <f>IF(VLOOKUP(E688,Sheet2!$W:$AA,2,0)=0,"",VLOOKUP(E688,Sheet2!$W:$AA,2,0))</f>
        <v>1</v>
      </c>
      <c r="N688" s="6" t="str">
        <f>IF(VLOOKUP(E688,Sheet2!$W:$AA,3,0)=0,"",VLOOKUP(E688,Sheet2!$W:$AA,3,0))</f>
        <v/>
      </c>
      <c r="Q688" s="6" t="str">
        <f>IF(VLOOKUP(E688,Sheet2!$W:$AA,4,0)=0,"",VLOOKUP(E688,Sheet2!$W:$AA,4,0))</f>
        <v>[{50015,6}]</v>
      </c>
      <c r="R688" s="8">
        <f t="shared" si="131"/>
        <v>24</v>
      </c>
      <c r="S688" s="8">
        <f t="shared" si="136"/>
        <v>2</v>
      </c>
    </row>
    <row r="689" spans="1:19">
      <c r="A689" s="6">
        <f t="shared" si="128"/>
        <v>13721</v>
      </c>
      <c r="B689" s="6">
        <f t="shared" si="129"/>
        <v>137</v>
      </c>
      <c r="C689" s="6">
        <f t="shared" si="125"/>
        <v>4</v>
      </c>
      <c r="D689" s="6" t="str">
        <f t="shared" si="134"/>
        <v>关卡137BOSS1</v>
      </c>
      <c r="E689" s="6">
        <v>117</v>
      </c>
      <c r="G689" s="6" t="s">
        <v>1111</v>
      </c>
      <c r="H689" s="6">
        <f t="shared" si="127"/>
        <v>2</v>
      </c>
      <c r="I689" s="6" t="str">
        <f>IF(VLOOKUP(E689,Sheet2!$W:$AA,5,0)=0,"",VLOOKUP(E689,Sheet2!$W:$AA,5,0))</f>
        <v/>
      </c>
      <c r="J689" s="6">
        <v>0</v>
      </c>
      <c r="K689" s="6">
        <v>0</v>
      </c>
      <c r="L689" s="6" t="str">
        <f>IF(VLOOKUP(E689,Sheet2!$W:$AA,2,0)=0,"",VLOOKUP(E689,Sheet2!$W:$AA,2,0))</f>
        <v/>
      </c>
      <c r="N689" s="6" t="str">
        <f>IF(VLOOKUP(E689,Sheet2!$W:$AA,3,0)=0,"",VLOOKUP(E689,Sheet2!$W:$AA,3,0))</f>
        <v/>
      </c>
      <c r="Q689" s="6" t="str">
        <f>IF(VLOOKUP(E689,Sheet2!$W:$AA,4,0)=0,"",VLOOKUP(E689,Sheet2!$W:$AA,4,0))</f>
        <v/>
      </c>
      <c r="R689" s="8">
        <f t="shared" si="131"/>
        <v>100</v>
      </c>
      <c r="S689" s="8">
        <f t="shared" si="136"/>
        <v>2</v>
      </c>
    </row>
    <row r="690" spans="1:19">
      <c r="A690" s="6">
        <f t="shared" si="128"/>
        <v>13731</v>
      </c>
      <c r="B690" s="6">
        <f t="shared" si="129"/>
        <v>137</v>
      </c>
      <c r="C690" s="6">
        <f t="shared" si="125"/>
        <v>5</v>
      </c>
      <c r="D690" s="6" t="str">
        <f t="shared" si="135"/>
        <v>关卡137BOSS2</v>
      </c>
      <c r="E690" s="6">
        <v>117</v>
      </c>
      <c r="G690" s="6" t="s">
        <v>1112</v>
      </c>
      <c r="H690" s="6">
        <f t="shared" si="127"/>
        <v>2</v>
      </c>
      <c r="I690" s="6" t="str">
        <f>IF(VLOOKUP(E690,Sheet2!$W:$AA,5,0)=0,"",VLOOKUP(E690,Sheet2!$W:$AA,5,0))</f>
        <v/>
      </c>
      <c r="J690" s="6">
        <v>0</v>
      </c>
      <c r="K690" s="6">
        <v>0</v>
      </c>
      <c r="L690" s="6" t="str">
        <f>IF(VLOOKUP(E690,Sheet2!$W:$AA,2,0)=0,"",VLOOKUP(E690,Sheet2!$W:$AA,2,0))</f>
        <v/>
      </c>
      <c r="N690" s="6" t="str">
        <f>IF(VLOOKUP(E690,Sheet2!$W:$AA,3,0)=0,"",VLOOKUP(E690,Sheet2!$W:$AA,3,0))</f>
        <v/>
      </c>
      <c r="Q690" s="6" t="str">
        <f>IF(VLOOKUP(E690,Sheet2!$W:$AA,4,0)=0,"",VLOOKUP(E690,Sheet2!$W:$AA,4,0))</f>
        <v/>
      </c>
      <c r="R690" s="8">
        <f t="shared" si="131"/>
        <v>100</v>
      </c>
      <c r="S690" s="8">
        <f t="shared" si="136"/>
        <v>2</v>
      </c>
    </row>
    <row r="691" spans="1:19">
      <c r="A691" s="6">
        <f t="shared" si="128"/>
        <v>13801</v>
      </c>
      <c r="B691" s="6">
        <f t="shared" si="129"/>
        <v>138</v>
      </c>
      <c r="C691" s="6">
        <f t="shared" si="125"/>
        <v>1</v>
      </c>
      <c r="D691" s="6" t="str">
        <f t="shared" si="130"/>
        <v>关卡138怪物1</v>
      </c>
      <c r="E691" s="6">
        <v>119</v>
      </c>
      <c r="G691" s="6" t="s">
        <v>1113</v>
      </c>
      <c r="H691" s="6">
        <f t="shared" si="127"/>
        <v>0</v>
      </c>
      <c r="I691" s="6" t="str">
        <f>IF(VLOOKUP(E691,Sheet2!$W:$AA,5,0)=0,"",VLOOKUP(E691,Sheet2!$W:$AA,5,0))</f>
        <v/>
      </c>
      <c r="J691" s="6">
        <v>0</v>
      </c>
      <c r="K691" s="6">
        <v>0</v>
      </c>
      <c r="L691" s="6">
        <f>IF(VLOOKUP(E691,Sheet2!$W:$AA,2,0)=0,"",VLOOKUP(E691,Sheet2!$W:$AA,2,0))</f>
        <v>1</v>
      </c>
      <c r="N691" s="6" t="str">
        <f>IF(VLOOKUP(E691,Sheet2!$W:$AA,3,0)=0,"",VLOOKUP(E691,Sheet2!$W:$AA,3,0))</f>
        <v/>
      </c>
      <c r="Q691" s="6" t="str">
        <f>IF(VLOOKUP(E691,Sheet2!$W:$AA,4,0)=0,"",VLOOKUP(E691,Sheet2!$W:$AA,4,0))</f>
        <v>[{50018,6}]</v>
      </c>
      <c r="R691" s="8">
        <f t="shared" si="131"/>
        <v>24</v>
      </c>
      <c r="S691" s="8">
        <f t="shared" si="136"/>
        <v>2</v>
      </c>
    </row>
    <row r="692" spans="1:19">
      <c r="A692" s="6">
        <f t="shared" si="128"/>
        <v>13802</v>
      </c>
      <c r="B692" s="6">
        <f t="shared" si="129"/>
        <v>138</v>
      </c>
      <c r="C692" s="6">
        <f t="shared" si="125"/>
        <v>2</v>
      </c>
      <c r="D692" s="6" t="str">
        <f t="shared" si="132"/>
        <v>关卡138怪物2</v>
      </c>
      <c r="E692" s="6">
        <v>116</v>
      </c>
      <c r="G692" s="6" t="s">
        <v>1114</v>
      </c>
      <c r="H692" s="6">
        <f t="shared" si="127"/>
        <v>0</v>
      </c>
      <c r="I692" s="6" t="str">
        <f>IF(VLOOKUP(E692,Sheet2!$W:$AA,5,0)=0,"",VLOOKUP(E692,Sheet2!$W:$AA,5,0))</f>
        <v>[60007]</v>
      </c>
      <c r="J692" s="6">
        <v>0</v>
      </c>
      <c r="K692" s="6">
        <v>0</v>
      </c>
      <c r="L692" s="6" t="str">
        <f>IF(VLOOKUP(E692,Sheet2!$W:$AA,2,0)=0,"",VLOOKUP(E692,Sheet2!$W:$AA,2,0))</f>
        <v/>
      </c>
      <c r="N692" s="6" t="str">
        <f>IF(VLOOKUP(E692,Sheet2!$W:$AA,3,0)=0,"",VLOOKUP(E692,Sheet2!$W:$AA,3,0))</f>
        <v/>
      </c>
      <c r="Q692" s="6" t="str">
        <f>IF(VLOOKUP(E692,Sheet2!$W:$AA,4,0)=0,"",VLOOKUP(E692,Sheet2!$W:$AA,4,0))</f>
        <v/>
      </c>
      <c r="R692" s="8">
        <f t="shared" si="131"/>
        <v>24</v>
      </c>
      <c r="S692" s="8">
        <f t="shared" si="136"/>
        <v>2</v>
      </c>
    </row>
    <row r="693" spans="1:19">
      <c r="A693" s="6">
        <f t="shared" si="128"/>
        <v>13803</v>
      </c>
      <c r="B693" s="6">
        <f t="shared" si="129"/>
        <v>138</v>
      </c>
      <c r="C693" s="6">
        <f t="shared" ref="C693:C756" si="137">C688</f>
        <v>3</v>
      </c>
      <c r="D693" s="6" t="str">
        <f t="shared" si="133"/>
        <v>关卡138怪物3</v>
      </c>
      <c r="E693" s="6">
        <v>118</v>
      </c>
      <c r="G693" s="6" t="s">
        <v>1115</v>
      </c>
      <c r="H693" s="6">
        <f t="shared" si="127"/>
        <v>0</v>
      </c>
      <c r="I693" s="6" t="str">
        <f>IF(VLOOKUP(E693,Sheet2!$W:$AA,5,0)=0,"",VLOOKUP(E693,Sheet2!$W:$AA,5,0))</f>
        <v>[60009]</v>
      </c>
      <c r="J693" s="6">
        <v>0</v>
      </c>
      <c r="K693" s="6">
        <v>0</v>
      </c>
      <c r="L693" s="6">
        <f>IF(VLOOKUP(E693,Sheet2!$W:$AA,2,0)=0,"",VLOOKUP(E693,Sheet2!$W:$AA,2,0))</f>
        <v>1</v>
      </c>
      <c r="N693" s="6" t="str">
        <f>IF(VLOOKUP(E693,Sheet2!$W:$AA,3,0)=0,"",VLOOKUP(E693,Sheet2!$W:$AA,3,0))</f>
        <v/>
      </c>
      <c r="Q693" s="6" t="str">
        <f>IF(VLOOKUP(E693,Sheet2!$W:$AA,4,0)=0,"",VLOOKUP(E693,Sheet2!$W:$AA,4,0))</f>
        <v>[{50017,6}]</v>
      </c>
      <c r="R693" s="8">
        <f t="shared" si="131"/>
        <v>24</v>
      </c>
      <c r="S693" s="8">
        <f t="shared" si="136"/>
        <v>2</v>
      </c>
    </row>
    <row r="694" spans="1:19">
      <c r="A694" s="6">
        <f t="shared" si="128"/>
        <v>13821</v>
      </c>
      <c r="B694" s="6">
        <f t="shared" si="129"/>
        <v>138</v>
      </c>
      <c r="C694" s="6">
        <f t="shared" si="137"/>
        <v>4</v>
      </c>
      <c r="D694" s="6" t="str">
        <f t="shared" si="134"/>
        <v>关卡138BOSS1</v>
      </c>
      <c r="E694" s="6">
        <v>119</v>
      </c>
      <c r="G694" s="6" t="s">
        <v>1116</v>
      </c>
      <c r="H694" s="6">
        <f t="shared" si="127"/>
        <v>2</v>
      </c>
      <c r="I694" s="6" t="str">
        <f>IF(VLOOKUP(E694,Sheet2!$W:$AA,5,0)=0,"",VLOOKUP(E694,Sheet2!$W:$AA,5,0))</f>
        <v/>
      </c>
      <c r="J694" s="6">
        <v>0</v>
      </c>
      <c r="K694" s="6">
        <v>0</v>
      </c>
      <c r="L694" s="6">
        <f>IF(VLOOKUP(E694,Sheet2!$W:$AA,2,0)=0,"",VLOOKUP(E694,Sheet2!$W:$AA,2,0))</f>
        <v>1</v>
      </c>
      <c r="N694" s="6" t="str">
        <f>IF(VLOOKUP(E694,Sheet2!$W:$AA,3,0)=0,"",VLOOKUP(E694,Sheet2!$W:$AA,3,0))</f>
        <v/>
      </c>
      <c r="Q694" s="6" t="str">
        <f>IF(VLOOKUP(E694,Sheet2!$W:$AA,4,0)=0,"",VLOOKUP(E694,Sheet2!$W:$AA,4,0))</f>
        <v>[{50018,6}]</v>
      </c>
      <c r="R694" s="8">
        <f t="shared" si="131"/>
        <v>100</v>
      </c>
      <c r="S694" s="8">
        <f t="shared" si="136"/>
        <v>2</v>
      </c>
    </row>
    <row r="695" spans="1:19">
      <c r="A695" s="6">
        <f t="shared" si="128"/>
        <v>13831</v>
      </c>
      <c r="B695" s="6">
        <f t="shared" si="129"/>
        <v>138</v>
      </c>
      <c r="C695" s="6">
        <f t="shared" si="137"/>
        <v>5</v>
      </c>
      <c r="D695" s="6" t="str">
        <f t="shared" si="135"/>
        <v>关卡138BOSS2</v>
      </c>
      <c r="E695" s="6">
        <v>119</v>
      </c>
      <c r="G695" s="6" t="s">
        <v>1117</v>
      </c>
      <c r="H695" s="6">
        <f t="shared" si="127"/>
        <v>2</v>
      </c>
      <c r="I695" s="6" t="str">
        <f>IF(VLOOKUP(E695,Sheet2!$W:$AA,5,0)=0,"",VLOOKUP(E695,Sheet2!$W:$AA,5,0))</f>
        <v/>
      </c>
      <c r="J695" s="6">
        <v>0</v>
      </c>
      <c r="K695" s="6">
        <v>0</v>
      </c>
      <c r="L695" s="6">
        <f>IF(VLOOKUP(E695,Sheet2!$W:$AA,2,0)=0,"",VLOOKUP(E695,Sheet2!$W:$AA,2,0))</f>
        <v>1</v>
      </c>
      <c r="N695" s="6" t="str">
        <f>IF(VLOOKUP(E695,Sheet2!$W:$AA,3,0)=0,"",VLOOKUP(E695,Sheet2!$W:$AA,3,0))</f>
        <v/>
      </c>
      <c r="Q695" s="6" t="str">
        <f>IF(VLOOKUP(E695,Sheet2!$W:$AA,4,0)=0,"",VLOOKUP(E695,Sheet2!$W:$AA,4,0))</f>
        <v>[{50018,6}]</v>
      </c>
      <c r="R695" s="8">
        <f t="shared" si="131"/>
        <v>100</v>
      </c>
      <c r="S695" s="8">
        <f t="shared" si="136"/>
        <v>2</v>
      </c>
    </row>
    <row r="696" spans="1:19">
      <c r="A696" s="6">
        <f t="shared" si="128"/>
        <v>13901</v>
      </c>
      <c r="B696" s="6">
        <f t="shared" si="129"/>
        <v>139</v>
      </c>
      <c r="C696" s="6">
        <f t="shared" si="137"/>
        <v>1</v>
      </c>
      <c r="D696" s="6" t="str">
        <f t="shared" si="130"/>
        <v>关卡139怪物1</v>
      </c>
      <c r="E696" s="6">
        <v>121</v>
      </c>
      <c r="G696" s="6" t="s">
        <v>1118</v>
      </c>
      <c r="H696" s="6">
        <f t="shared" si="127"/>
        <v>0</v>
      </c>
      <c r="I696" s="6" t="str">
        <f>IF(VLOOKUP(E696,Sheet2!$W:$AA,5,0)=0,"",VLOOKUP(E696,Sheet2!$W:$AA,5,0))</f>
        <v/>
      </c>
      <c r="J696" s="6">
        <v>0</v>
      </c>
      <c r="K696" s="6">
        <v>0</v>
      </c>
      <c r="L696" s="6" t="str">
        <f>IF(VLOOKUP(E696,Sheet2!$W:$AA,2,0)=0,"",VLOOKUP(E696,Sheet2!$W:$AA,2,0))</f>
        <v/>
      </c>
      <c r="N696" s="6" t="str">
        <f>IF(VLOOKUP(E696,Sheet2!$W:$AA,3,0)=0,"",VLOOKUP(E696,Sheet2!$W:$AA,3,0))</f>
        <v/>
      </c>
      <c r="Q696" s="6" t="str">
        <f>IF(VLOOKUP(E696,Sheet2!$W:$AA,4,0)=0,"",VLOOKUP(E696,Sheet2!$W:$AA,4,0))</f>
        <v/>
      </c>
      <c r="R696" s="8">
        <f t="shared" si="131"/>
        <v>24</v>
      </c>
      <c r="S696" s="8">
        <f t="shared" si="136"/>
        <v>2</v>
      </c>
    </row>
    <row r="697" spans="1:19">
      <c r="A697" s="6">
        <f t="shared" si="128"/>
        <v>13902</v>
      </c>
      <c r="B697" s="6">
        <f t="shared" si="129"/>
        <v>139</v>
      </c>
      <c r="C697" s="6">
        <f t="shared" si="137"/>
        <v>2</v>
      </c>
      <c r="D697" s="6" t="str">
        <f t="shared" si="132"/>
        <v>关卡139怪物2</v>
      </c>
      <c r="E697" s="6">
        <v>112</v>
      </c>
      <c r="G697" s="6" t="s">
        <v>1119</v>
      </c>
      <c r="H697" s="6">
        <f t="shared" si="127"/>
        <v>0</v>
      </c>
      <c r="I697" s="6" t="str">
        <f>IF(VLOOKUP(E697,Sheet2!$W:$AA,5,0)=0,"",VLOOKUP(E697,Sheet2!$W:$AA,5,0))</f>
        <v/>
      </c>
      <c r="J697" s="6">
        <v>0</v>
      </c>
      <c r="K697" s="6">
        <v>0</v>
      </c>
      <c r="L697" s="6">
        <f>IF(VLOOKUP(E697,Sheet2!$W:$AA,2,0)=0,"",VLOOKUP(E697,Sheet2!$W:$AA,2,0))</f>
        <v>1</v>
      </c>
      <c r="N697" s="6" t="str">
        <f>IF(VLOOKUP(E697,Sheet2!$W:$AA,3,0)=0,"",VLOOKUP(E697,Sheet2!$W:$AA,3,0))</f>
        <v/>
      </c>
      <c r="Q697" s="6" t="str">
        <f>IF(VLOOKUP(E697,Sheet2!$W:$AA,4,0)=0,"",VLOOKUP(E697,Sheet2!$W:$AA,4,0))</f>
        <v>[{50015,6}]</v>
      </c>
      <c r="R697" s="8">
        <f t="shared" si="131"/>
        <v>24</v>
      </c>
      <c r="S697" s="8">
        <f t="shared" si="136"/>
        <v>2</v>
      </c>
    </row>
    <row r="698" spans="1:19">
      <c r="A698" s="6">
        <f t="shared" si="128"/>
        <v>13903</v>
      </c>
      <c r="B698" s="6">
        <f t="shared" si="129"/>
        <v>139</v>
      </c>
      <c r="C698" s="6">
        <f t="shared" si="137"/>
        <v>3</v>
      </c>
      <c r="D698" s="6" t="str">
        <f t="shared" si="133"/>
        <v>关卡139怪物3</v>
      </c>
      <c r="E698" s="6">
        <v>113</v>
      </c>
      <c r="G698" s="6" t="s">
        <v>1120</v>
      </c>
      <c r="H698" s="6">
        <f t="shared" si="127"/>
        <v>0</v>
      </c>
      <c r="I698" s="6" t="str">
        <f>IF(VLOOKUP(E698,Sheet2!$W:$AA,5,0)=0,"",VLOOKUP(E698,Sheet2!$W:$AA,5,0))</f>
        <v>[60005]</v>
      </c>
      <c r="J698" s="6">
        <v>0</v>
      </c>
      <c r="K698" s="6">
        <v>0</v>
      </c>
      <c r="L698" s="6">
        <f>IF(VLOOKUP(E698,Sheet2!$W:$AA,2,0)=0,"",VLOOKUP(E698,Sheet2!$W:$AA,2,0))</f>
        <v>1</v>
      </c>
      <c r="N698" s="6" t="str">
        <f>IF(VLOOKUP(E698,Sheet2!$W:$AA,3,0)=0,"",VLOOKUP(E698,Sheet2!$W:$AA,3,0))</f>
        <v/>
      </c>
      <c r="Q698" s="6" t="str">
        <f>IF(VLOOKUP(E698,Sheet2!$W:$AA,4,0)=0,"",VLOOKUP(E698,Sheet2!$W:$AA,4,0))</f>
        <v>[{50016,6}]</v>
      </c>
      <c r="R698" s="8">
        <f t="shared" si="131"/>
        <v>24</v>
      </c>
      <c r="S698" s="8">
        <f t="shared" si="136"/>
        <v>2</v>
      </c>
    </row>
    <row r="699" spans="1:19">
      <c r="A699" s="6">
        <f t="shared" si="128"/>
        <v>13921</v>
      </c>
      <c r="B699" s="6">
        <f t="shared" si="129"/>
        <v>139</v>
      </c>
      <c r="C699" s="6">
        <f t="shared" si="137"/>
        <v>4</v>
      </c>
      <c r="D699" s="6" t="str">
        <f t="shared" si="134"/>
        <v>关卡139BOSS1</v>
      </c>
      <c r="E699" s="6">
        <v>521</v>
      </c>
      <c r="G699" s="6" t="s">
        <v>1121</v>
      </c>
      <c r="H699" s="6">
        <f t="shared" si="127"/>
        <v>2</v>
      </c>
      <c r="I699" s="6" t="str">
        <f>IF(VLOOKUP(E699,Sheet2!$W:$AA,5,0)=0,"",VLOOKUP(E699,Sheet2!$W:$AA,5,0))</f>
        <v/>
      </c>
      <c r="J699" s="6">
        <v>0</v>
      </c>
      <c r="K699" s="6">
        <v>0</v>
      </c>
      <c r="L699" s="6" t="str">
        <f>IF(VLOOKUP(E699,Sheet2!$W:$AA,2,0)=0,"",VLOOKUP(E699,Sheet2!$W:$AA,2,0))</f>
        <v/>
      </c>
      <c r="N699" s="6" t="str">
        <f>IF(VLOOKUP(E699,Sheet2!$W:$AA,3,0)=0,"",VLOOKUP(E699,Sheet2!$W:$AA,3,0))</f>
        <v/>
      </c>
      <c r="Q699" s="6" t="str">
        <f>IF(VLOOKUP(E699,Sheet2!$W:$AA,4,0)=0,"",VLOOKUP(E699,Sheet2!$W:$AA,4,0))</f>
        <v/>
      </c>
      <c r="R699" s="8">
        <f t="shared" si="131"/>
        <v>100</v>
      </c>
      <c r="S699" s="8">
        <f t="shared" si="136"/>
        <v>2</v>
      </c>
    </row>
    <row r="700" spans="1:19">
      <c r="A700" s="6">
        <f t="shared" si="128"/>
        <v>13931</v>
      </c>
      <c r="B700" s="6">
        <f t="shared" si="129"/>
        <v>139</v>
      </c>
      <c r="C700" s="6">
        <f t="shared" si="137"/>
        <v>5</v>
      </c>
      <c r="D700" s="6" t="str">
        <f t="shared" si="135"/>
        <v>关卡139BOSS2</v>
      </c>
      <c r="E700" s="6">
        <v>521</v>
      </c>
      <c r="G700" s="6" t="s">
        <v>1122</v>
      </c>
      <c r="H700" s="6">
        <f t="shared" si="127"/>
        <v>2</v>
      </c>
      <c r="I700" s="6" t="str">
        <f>IF(VLOOKUP(E700,Sheet2!$W:$AA,5,0)=0,"",VLOOKUP(E700,Sheet2!$W:$AA,5,0))</f>
        <v/>
      </c>
      <c r="J700" s="6">
        <v>0</v>
      </c>
      <c r="K700" s="6">
        <v>0</v>
      </c>
      <c r="L700" s="6" t="str">
        <f>IF(VLOOKUP(E700,Sheet2!$W:$AA,2,0)=0,"",VLOOKUP(E700,Sheet2!$W:$AA,2,0))</f>
        <v/>
      </c>
      <c r="N700" s="6" t="str">
        <f>IF(VLOOKUP(E700,Sheet2!$W:$AA,3,0)=0,"",VLOOKUP(E700,Sheet2!$W:$AA,3,0))</f>
        <v/>
      </c>
      <c r="Q700" s="6" t="str">
        <f>IF(VLOOKUP(E700,Sheet2!$W:$AA,4,0)=0,"",VLOOKUP(E700,Sheet2!$W:$AA,4,0))</f>
        <v/>
      </c>
      <c r="R700" s="8">
        <f t="shared" si="131"/>
        <v>100</v>
      </c>
      <c r="S700" s="8">
        <f t="shared" si="136"/>
        <v>2</v>
      </c>
    </row>
    <row r="701" spans="1:19">
      <c r="A701" s="6">
        <f t="shared" si="128"/>
        <v>14001</v>
      </c>
      <c r="B701" s="6">
        <f t="shared" si="129"/>
        <v>140</v>
      </c>
      <c r="C701" s="6">
        <f t="shared" si="137"/>
        <v>1</v>
      </c>
      <c r="D701" s="6" t="str">
        <f t="shared" si="130"/>
        <v>关卡140怪物1</v>
      </c>
      <c r="E701" s="6">
        <v>100</v>
      </c>
      <c r="G701" s="6" t="s">
        <v>1123</v>
      </c>
      <c r="H701" s="6">
        <f t="shared" ref="H701:H705" si="138">H696</f>
        <v>0</v>
      </c>
      <c r="I701" s="6" t="str">
        <f>IF(VLOOKUP(E701,Sheet2!$W:$AA,5,0)=0,"",VLOOKUP(E701,Sheet2!$W:$AA,5,0))</f>
        <v>[60002]</v>
      </c>
      <c r="J701" s="6">
        <v>0</v>
      </c>
      <c r="K701" s="6">
        <v>0</v>
      </c>
      <c r="L701" s="6" t="str">
        <f>IF(VLOOKUP(E701,Sheet2!$W:$AA,2,0)=0,"",VLOOKUP(E701,Sheet2!$W:$AA,2,0))</f>
        <v/>
      </c>
      <c r="N701" s="6">
        <f>IF(VLOOKUP(E701,Sheet2!$W:$AA,3,0)=0,"",VLOOKUP(E701,Sheet2!$W:$AA,3,0))</f>
        <v>2001</v>
      </c>
      <c r="Q701" s="6" t="str">
        <f>IF(VLOOKUP(E701,Sheet2!$W:$AA,4,0)=0,"",VLOOKUP(E701,Sheet2!$W:$AA,4,0))</f>
        <v/>
      </c>
      <c r="R701" s="8">
        <f t="shared" si="131"/>
        <v>24</v>
      </c>
      <c r="S701" s="8">
        <f t="shared" si="136"/>
        <v>2</v>
      </c>
    </row>
    <row r="702" spans="1:19">
      <c r="A702" s="6">
        <f t="shared" si="128"/>
        <v>14002</v>
      </c>
      <c r="B702" s="6">
        <f t="shared" si="129"/>
        <v>140</v>
      </c>
      <c r="C702" s="6">
        <f t="shared" si="137"/>
        <v>2</v>
      </c>
      <c r="D702" s="6" t="str">
        <f t="shared" si="132"/>
        <v>关卡140怪物2</v>
      </c>
      <c r="E702" s="6">
        <v>102</v>
      </c>
      <c r="G702" s="6" t="s">
        <v>1124</v>
      </c>
      <c r="H702" s="6">
        <f t="shared" si="138"/>
        <v>0</v>
      </c>
      <c r="I702" s="6" t="str">
        <f>IF(VLOOKUP(E702,Sheet2!$W:$AA,5,0)=0,"",VLOOKUP(E702,Sheet2!$W:$AA,5,0))</f>
        <v/>
      </c>
      <c r="J702" s="6">
        <v>0</v>
      </c>
      <c r="K702" s="6">
        <v>0</v>
      </c>
      <c r="L702" s="6">
        <f>IF(VLOOKUP(E702,Sheet2!$W:$AA,2,0)=0,"",VLOOKUP(E702,Sheet2!$W:$AA,2,0))</f>
        <v>1</v>
      </c>
      <c r="N702" s="6" t="str">
        <f>IF(VLOOKUP(E702,Sheet2!$W:$AA,3,0)=0,"",VLOOKUP(E702,Sheet2!$W:$AA,3,0))</f>
        <v/>
      </c>
      <c r="Q702" s="6" t="str">
        <f>IF(VLOOKUP(E702,Sheet2!$W:$AA,4,0)=0,"",VLOOKUP(E702,Sheet2!$W:$AA,4,0))</f>
        <v>[{50011,6}]</v>
      </c>
      <c r="R702" s="8">
        <f t="shared" si="131"/>
        <v>24</v>
      </c>
      <c r="S702" s="8">
        <f t="shared" si="136"/>
        <v>2</v>
      </c>
    </row>
    <row r="703" spans="1:19">
      <c r="A703" s="6">
        <f t="shared" si="128"/>
        <v>14003</v>
      </c>
      <c r="B703" s="6">
        <f t="shared" si="129"/>
        <v>140</v>
      </c>
      <c r="C703" s="6">
        <f t="shared" si="137"/>
        <v>3</v>
      </c>
      <c r="D703" s="6" t="str">
        <f t="shared" si="133"/>
        <v>关卡140怪物3</v>
      </c>
      <c r="E703" s="6">
        <v>105</v>
      </c>
      <c r="G703" s="6" t="s">
        <v>1125</v>
      </c>
      <c r="H703" s="6">
        <f t="shared" si="138"/>
        <v>0</v>
      </c>
      <c r="I703" s="6" t="str">
        <f>IF(VLOOKUP(E703,Sheet2!$W:$AA,5,0)=0,"",VLOOKUP(E703,Sheet2!$W:$AA,5,0))</f>
        <v>[60003]</v>
      </c>
      <c r="J703" s="6">
        <v>0</v>
      </c>
      <c r="K703" s="6">
        <v>0</v>
      </c>
      <c r="L703" s="6" t="str">
        <f>IF(VLOOKUP(E703,Sheet2!$W:$AA,2,0)=0,"",VLOOKUP(E703,Sheet2!$W:$AA,2,0))</f>
        <v/>
      </c>
      <c r="N703" s="6" t="str">
        <f>IF(VLOOKUP(E703,Sheet2!$W:$AA,3,0)=0,"",VLOOKUP(E703,Sheet2!$W:$AA,3,0))</f>
        <v/>
      </c>
      <c r="Q703" s="6" t="str">
        <f>IF(VLOOKUP(E703,Sheet2!$W:$AA,4,0)=0,"",VLOOKUP(E703,Sheet2!$W:$AA,4,0))</f>
        <v/>
      </c>
      <c r="R703" s="8">
        <f t="shared" si="131"/>
        <v>24</v>
      </c>
      <c r="S703" s="8">
        <f t="shared" si="136"/>
        <v>2</v>
      </c>
    </row>
    <row r="704" spans="1:19">
      <c r="A704" s="6">
        <f t="shared" si="128"/>
        <v>14021</v>
      </c>
      <c r="B704" s="6">
        <f t="shared" si="129"/>
        <v>140</v>
      </c>
      <c r="C704" s="6">
        <f t="shared" si="137"/>
        <v>4</v>
      </c>
      <c r="D704" s="6" t="str">
        <f t="shared" si="134"/>
        <v>关卡140BOSS1</v>
      </c>
      <c r="E704" s="6">
        <v>502</v>
      </c>
      <c r="G704" s="6" t="s">
        <v>1126</v>
      </c>
      <c r="H704" s="6">
        <f t="shared" si="138"/>
        <v>2</v>
      </c>
      <c r="I704" s="6" t="str">
        <f>IF(VLOOKUP(E704,Sheet2!$W:$AA,5,0)=0,"",VLOOKUP(E704,Sheet2!$W:$AA,5,0))</f>
        <v/>
      </c>
      <c r="J704" s="6">
        <v>0</v>
      </c>
      <c r="K704" s="6">
        <v>0</v>
      </c>
      <c r="L704" s="6">
        <f>IF(VLOOKUP(E704,Sheet2!$W:$AA,2,0)=0,"",VLOOKUP(E704,Sheet2!$W:$AA,2,0))</f>
        <v>1</v>
      </c>
      <c r="N704" s="6" t="str">
        <f>IF(VLOOKUP(E704,Sheet2!$W:$AA,3,0)=0,"",VLOOKUP(E704,Sheet2!$W:$AA,3,0))</f>
        <v/>
      </c>
      <c r="Q704" s="6" t="str">
        <f>IF(VLOOKUP(E704,Sheet2!$W:$AA,4,0)=0,"",VLOOKUP(E704,Sheet2!$W:$AA,4,0))</f>
        <v>[{50021,6}]</v>
      </c>
      <c r="R704" s="8">
        <f t="shared" si="131"/>
        <v>100</v>
      </c>
      <c r="S704" s="8">
        <f t="shared" si="136"/>
        <v>2</v>
      </c>
    </row>
    <row r="705" spans="1:19">
      <c r="A705" s="6">
        <f t="shared" si="128"/>
        <v>14031</v>
      </c>
      <c r="B705" s="6">
        <f t="shared" si="129"/>
        <v>140</v>
      </c>
      <c r="C705" s="6">
        <f t="shared" si="137"/>
        <v>5</v>
      </c>
      <c r="D705" s="6" t="str">
        <f t="shared" si="135"/>
        <v>关卡140BOSS2</v>
      </c>
      <c r="E705" s="6">
        <v>500</v>
      </c>
      <c r="G705" s="6" t="s">
        <v>1127</v>
      </c>
      <c r="H705" s="6">
        <f t="shared" si="138"/>
        <v>2</v>
      </c>
      <c r="I705" s="6" t="str">
        <f>IF(VLOOKUP(E705,Sheet2!$W:$AA,5,0)=0,"",VLOOKUP(E705,Sheet2!$W:$AA,5,0))</f>
        <v>[60002]</v>
      </c>
      <c r="J705" s="6">
        <v>0</v>
      </c>
      <c r="K705" s="6">
        <v>0</v>
      </c>
      <c r="L705" s="6" t="str">
        <f>IF(VLOOKUP(E705,Sheet2!$W:$AA,2,0)=0,"",VLOOKUP(E705,Sheet2!$W:$AA,2,0))</f>
        <v/>
      </c>
      <c r="N705" s="6">
        <f>IF(VLOOKUP(E705,Sheet2!$W:$AA,3,0)=0,"",VLOOKUP(E705,Sheet2!$W:$AA,3,0))</f>
        <v>2001</v>
      </c>
      <c r="Q705" s="6" t="str">
        <f>IF(VLOOKUP(E705,Sheet2!$W:$AA,4,0)=0,"",VLOOKUP(E705,Sheet2!$W:$AA,4,0))</f>
        <v/>
      </c>
      <c r="R705" s="8">
        <f t="shared" si="131"/>
        <v>100</v>
      </c>
      <c r="S705" s="8">
        <f t="shared" si="136"/>
        <v>2</v>
      </c>
    </row>
    <row r="706" spans="1:19">
      <c r="A706" s="6">
        <f t="shared" ref="A706:A755" si="139">A701+100</f>
        <v>14101</v>
      </c>
      <c r="B706" s="6">
        <f t="shared" si="129"/>
        <v>141</v>
      </c>
      <c r="C706" s="6">
        <f t="shared" si="137"/>
        <v>1</v>
      </c>
      <c r="D706" s="6" t="str">
        <f t="shared" ref="D706:D751" si="140">"关卡"&amp;B706&amp;"怪物1"</f>
        <v>关卡141怪物1</v>
      </c>
      <c r="E706" s="6">
        <v>122</v>
      </c>
      <c r="G706" s="6" t="s">
        <v>1128</v>
      </c>
      <c r="H706" s="6">
        <f t="shared" ref="H706:H769" si="141">H701</f>
        <v>0</v>
      </c>
      <c r="I706" s="6" t="str">
        <f>IF(VLOOKUP(E706,Sheet2!$W:$AA,5,0)=0,"",VLOOKUP(E706,Sheet2!$W:$AA,5,0))</f>
        <v>[60011,60012]</v>
      </c>
      <c r="J706" s="6">
        <v>0</v>
      </c>
      <c r="K706" s="6">
        <v>0</v>
      </c>
      <c r="L706" s="6" t="str">
        <f>IF(VLOOKUP(E706,Sheet2!$W:$AA,2,0)=0,"",VLOOKUP(E706,Sheet2!$W:$AA,2,0))</f>
        <v/>
      </c>
      <c r="N706" s="6" t="str">
        <f>IF(VLOOKUP(E706,Sheet2!$W:$AA,3,0)=0,"",VLOOKUP(E706,Sheet2!$W:$AA,3,0))</f>
        <v/>
      </c>
      <c r="Q706" s="6" t="str">
        <f>IF(VLOOKUP(E706,Sheet2!$W:$AA,4,0)=0,"",VLOOKUP(E706,Sheet2!$W:$AA,4,0))</f>
        <v/>
      </c>
      <c r="R706" s="8">
        <f t="shared" si="131"/>
        <v>24</v>
      </c>
      <c r="S706" s="8">
        <f t="shared" si="136"/>
        <v>2</v>
      </c>
    </row>
    <row r="707" spans="1:19">
      <c r="A707" s="6">
        <f t="shared" si="139"/>
        <v>14102</v>
      </c>
      <c r="B707" s="6">
        <f t="shared" si="129"/>
        <v>141</v>
      </c>
      <c r="C707" s="6">
        <f t="shared" si="137"/>
        <v>2</v>
      </c>
      <c r="D707" s="6" t="str">
        <f t="shared" ref="D707:D752" si="142">"关卡"&amp;B707&amp;"怪物2"</f>
        <v>关卡141怪物2</v>
      </c>
      <c r="E707" s="6">
        <v>123</v>
      </c>
      <c r="G707" s="6" t="s">
        <v>1129</v>
      </c>
      <c r="H707" s="6">
        <f t="shared" si="141"/>
        <v>0</v>
      </c>
      <c r="I707" s="6" t="str">
        <f>IF(VLOOKUP(E707,Sheet2!$W:$AA,5,0)=0,"",VLOOKUP(E707,Sheet2!$W:$AA,5,0))</f>
        <v>[60010]</v>
      </c>
      <c r="J707" s="6">
        <v>0</v>
      </c>
      <c r="K707" s="6">
        <v>0</v>
      </c>
      <c r="L707" s="6">
        <f>IF(VLOOKUP(E707,Sheet2!$W:$AA,2,0)=0,"",VLOOKUP(E707,Sheet2!$W:$AA,2,0))</f>
        <v>1</v>
      </c>
      <c r="N707" s="6" t="str">
        <f>IF(VLOOKUP(E707,Sheet2!$W:$AA,3,0)=0,"",VLOOKUP(E707,Sheet2!$W:$AA,3,0))</f>
        <v/>
      </c>
      <c r="Q707" s="6" t="str">
        <f>IF(VLOOKUP(E707,Sheet2!$W:$AA,4,0)=0,"",VLOOKUP(E707,Sheet2!$W:$AA,4,0))</f>
        <v>[{50019,6}]</v>
      </c>
      <c r="R707" s="8">
        <f t="shared" si="131"/>
        <v>24</v>
      </c>
      <c r="S707" s="8">
        <f t="shared" si="136"/>
        <v>2</v>
      </c>
    </row>
    <row r="708" spans="1:19">
      <c r="A708" s="6">
        <f t="shared" si="139"/>
        <v>14103</v>
      </c>
      <c r="B708" s="6">
        <f t="shared" si="129"/>
        <v>141</v>
      </c>
      <c r="C708" s="6">
        <f t="shared" si="137"/>
        <v>3</v>
      </c>
      <c r="D708" s="6" t="str">
        <f t="shared" ref="D708:D753" si="143">"关卡"&amp;B708&amp;"怪物3"</f>
        <v>关卡141怪物3</v>
      </c>
      <c r="E708" s="6">
        <v>123</v>
      </c>
      <c r="G708" s="6" t="s">
        <v>1130</v>
      </c>
      <c r="H708" s="6">
        <f t="shared" si="141"/>
        <v>0</v>
      </c>
      <c r="I708" s="6" t="str">
        <f>IF(VLOOKUP(E708,Sheet2!$W:$AA,5,0)=0,"",VLOOKUP(E708,Sheet2!$W:$AA,5,0))</f>
        <v>[60010]</v>
      </c>
      <c r="J708" s="6">
        <v>0</v>
      </c>
      <c r="K708" s="6">
        <v>0</v>
      </c>
      <c r="L708" s="6">
        <f>IF(VLOOKUP(E708,Sheet2!$W:$AA,2,0)=0,"",VLOOKUP(E708,Sheet2!$W:$AA,2,0))</f>
        <v>1</v>
      </c>
      <c r="N708" s="6" t="str">
        <f>IF(VLOOKUP(E708,Sheet2!$W:$AA,3,0)=0,"",VLOOKUP(E708,Sheet2!$W:$AA,3,0))</f>
        <v/>
      </c>
      <c r="Q708" s="6" t="str">
        <f>IF(VLOOKUP(E708,Sheet2!$W:$AA,4,0)=0,"",VLOOKUP(E708,Sheet2!$W:$AA,4,0))</f>
        <v>[{50019,6}]</v>
      </c>
      <c r="R708" s="8">
        <f t="shared" si="131"/>
        <v>24</v>
      </c>
      <c r="S708" s="8">
        <f t="shared" si="136"/>
        <v>2</v>
      </c>
    </row>
    <row r="709" spans="1:19">
      <c r="A709" s="6">
        <f t="shared" si="139"/>
        <v>14121</v>
      </c>
      <c r="B709" s="6">
        <f t="shared" si="129"/>
        <v>141</v>
      </c>
      <c r="C709" s="6">
        <f t="shared" si="137"/>
        <v>4</v>
      </c>
      <c r="D709" s="6" t="str">
        <f t="shared" ref="D709:D754" si="144">"关卡"&amp;B709&amp;"BOSS1"</f>
        <v>关卡141BOSS1</v>
      </c>
      <c r="E709" s="6">
        <v>522</v>
      </c>
      <c r="G709" s="6" t="s">
        <v>1131</v>
      </c>
      <c r="H709" s="6">
        <f t="shared" si="141"/>
        <v>2</v>
      </c>
      <c r="I709" s="6" t="str">
        <f>IF(VLOOKUP(E709,Sheet2!$W:$AA,5,0)=0,"",VLOOKUP(E709,Sheet2!$W:$AA,5,0))</f>
        <v>[60011,60012]</v>
      </c>
      <c r="J709" s="6">
        <v>0</v>
      </c>
      <c r="K709" s="6">
        <v>0</v>
      </c>
      <c r="L709" s="6" t="str">
        <f>IF(VLOOKUP(E709,Sheet2!$W:$AA,2,0)=0,"",VLOOKUP(E709,Sheet2!$W:$AA,2,0))</f>
        <v/>
      </c>
      <c r="N709" s="6" t="str">
        <f>IF(VLOOKUP(E709,Sheet2!$W:$AA,3,0)=0,"",VLOOKUP(E709,Sheet2!$W:$AA,3,0))</f>
        <v/>
      </c>
      <c r="Q709" s="6" t="str">
        <f>IF(VLOOKUP(E709,Sheet2!$W:$AA,4,0)=0,"",VLOOKUP(E709,Sheet2!$W:$AA,4,0))</f>
        <v/>
      </c>
      <c r="R709" s="8">
        <f t="shared" si="131"/>
        <v>100</v>
      </c>
      <c r="S709" s="8">
        <f t="shared" si="136"/>
        <v>2</v>
      </c>
    </row>
    <row r="710" spans="1:19">
      <c r="A710" s="6">
        <f t="shared" si="139"/>
        <v>14131</v>
      </c>
      <c r="B710" s="6">
        <f t="shared" si="129"/>
        <v>141</v>
      </c>
      <c r="C710" s="6">
        <f t="shared" si="137"/>
        <v>5</v>
      </c>
      <c r="D710" s="6" t="str">
        <f t="shared" ref="D710:D755" si="145">"关卡"&amp;B710&amp;"BOSS2"</f>
        <v>关卡141BOSS2</v>
      </c>
      <c r="E710" s="6">
        <v>522</v>
      </c>
      <c r="G710" s="6" t="s">
        <v>1132</v>
      </c>
      <c r="H710" s="6">
        <f t="shared" si="141"/>
        <v>2</v>
      </c>
      <c r="I710" s="6" t="str">
        <f>IF(VLOOKUP(E710,Sheet2!$W:$AA,5,0)=0,"",VLOOKUP(E710,Sheet2!$W:$AA,5,0))</f>
        <v>[60011,60012]</v>
      </c>
      <c r="J710" s="6">
        <v>0</v>
      </c>
      <c r="K710" s="6">
        <v>0</v>
      </c>
      <c r="L710" s="6" t="str">
        <f>IF(VLOOKUP(E710,Sheet2!$W:$AA,2,0)=0,"",VLOOKUP(E710,Sheet2!$W:$AA,2,0))</f>
        <v/>
      </c>
      <c r="N710" s="6" t="str">
        <f>IF(VLOOKUP(E710,Sheet2!$W:$AA,3,0)=0,"",VLOOKUP(E710,Sheet2!$W:$AA,3,0))</f>
        <v/>
      </c>
      <c r="Q710" s="6" t="str">
        <f>IF(VLOOKUP(E710,Sheet2!$W:$AA,4,0)=0,"",VLOOKUP(E710,Sheet2!$W:$AA,4,0))</f>
        <v/>
      </c>
      <c r="R710" s="8">
        <f t="shared" si="131"/>
        <v>100</v>
      </c>
      <c r="S710" s="8">
        <f t="shared" si="136"/>
        <v>2</v>
      </c>
    </row>
    <row r="711" spans="1:19">
      <c r="A711" s="6">
        <f t="shared" si="139"/>
        <v>14201</v>
      </c>
      <c r="B711" s="6">
        <f t="shared" si="129"/>
        <v>142</v>
      </c>
      <c r="C711" s="6">
        <f t="shared" si="137"/>
        <v>1</v>
      </c>
      <c r="D711" s="6" t="str">
        <f t="shared" si="140"/>
        <v>关卡142怪物1</v>
      </c>
      <c r="E711" s="6">
        <v>117</v>
      </c>
      <c r="G711" s="6" t="s">
        <v>1133</v>
      </c>
      <c r="H711" s="6">
        <f t="shared" si="141"/>
        <v>0</v>
      </c>
      <c r="I711" s="6" t="str">
        <f>IF(VLOOKUP(E711,Sheet2!$W:$AA,5,0)=0,"",VLOOKUP(E711,Sheet2!$W:$AA,5,0))</f>
        <v/>
      </c>
      <c r="J711" s="6">
        <v>0</v>
      </c>
      <c r="K711" s="6">
        <v>0</v>
      </c>
      <c r="L711" s="6" t="str">
        <f>IF(VLOOKUP(E711,Sheet2!$W:$AA,2,0)=0,"",VLOOKUP(E711,Sheet2!$W:$AA,2,0))</f>
        <v/>
      </c>
      <c r="N711" s="6" t="str">
        <f>IF(VLOOKUP(E711,Sheet2!$W:$AA,3,0)=0,"",VLOOKUP(E711,Sheet2!$W:$AA,3,0))</f>
        <v/>
      </c>
      <c r="Q711" s="6" t="str">
        <f>IF(VLOOKUP(E711,Sheet2!$W:$AA,4,0)=0,"",VLOOKUP(E711,Sheet2!$W:$AA,4,0))</f>
        <v/>
      </c>
      <c r="R711" s="8">
        <f t="shared" si="131"/>
        <v>24</v>
      </c>
      <c r="S711" s="8">
        <f t="shared" si="136"/>
        <v>2</v>
      </c>
    </row>
    <row r="712" spans="1:19">
      <c r="A712" s="6">
        <f t="shared" si="139"/>
        <v>14202</v>
      </c>
      <c r="B712" s="6">
        <f t="shared" si="129"/>
        <v>142</v>
      </c>
      <c r="C712" s="6">
        <f t="shared" si="137"/>
        <v>2</v>
      </c>
      <c r="D712" s="6" t="str">
        <f t="shared" si="142"/>
        <v>关卡142怪物2</v>
      </c>
      <c r="E712" s="6">
        <v>119</v>
      </c>
      <c r="G712" s="6" t="s">
        <v>1134</v>
      </c>
      <c r="H712" s="6">
        <f t="shared" si="141"/>
        <v>0</v>
      </c>
      <c r="I712" s="6" t="str">
        <f>IF(VLOOKUP(E712,Sheet2!$W:$AA,5,0)=0,"",VLOOKUP(E712,Sheet2!$W:$AA,5,0))</f>
        <v/>
      </c>
      <c r="J712" s="6">
        <v>0</v>
      </c>
      <c r="K712" s="6">
        <v>0</v>
      </c>
      <c r="L712" s="6">
        <f>IF(VLOOKUP(E712,Sheet2!$W:$AA,2,0)=0,"",VLOOKUP(E712,Sheet2!$W:$AA,2,0))</f>
        <v>1</v>
      </c>
      <c r="N712" s="6" t="str">
        <f>IF(VLOOKUP(E712,Sheet2!$W:$AA,3,0)=0,"",VLOOKUP(E712,Sheet2!$W:$AA,3,0))</f>
        <v/>
      </c>
      <c r="Q712" s="6" t="str">
        <f>IF(VLOOKUP(E712,Sheet2!$W:$AA,4,0)=0,"",VLOOKUP(E712,Sheet2!$W:$AA,4,0))</f>
        <v>[{50018,6}]</v>
      </c>
      <c r="R712" s="8">
        <f t="shared" si="131"/>
        <v>24</v>
      </c>
      <c r="S712" s="8">
        <f t="shared" si="136"/>
        <v>2</v>
      </c>
    </row>
    <row r="713" spans="1:19">
      <c r="A713" s="6">
        <f t="shared" si="139"/>
        <v>14203</v>
      </c>
      <c r="B713" s="6">
        <f t="shared" si="129"/>
        <v>142</v>
      </c>
      <c r="C713" s="6">
        <f t="shared" si="137"/>
        <v>3</v>
      </c>
      <c r="D713" s="6" t="str">
        <f t="shared" si="143"/>
        <v>关卡142怪物3</v>
      </c>
      <c r="E713" s="6">
        <v>118</v>
      </c>
      <c r="G713" s="6" t="s">
        <v>1135</v>
      </c>
      <c r="H713" s="6">
        <f t="shared" si="141"/>
        <v>0</v>
      </c>
      <c r="I713" s="6" t="str">
        <f>IF(VLOOKUP(E713,Sheet2!$W:$AA,5,0)=0,"",VLOOKUP(E713,Sheet2!$W:$AA,5,0))</f>
        <v>[60009]</v>
      </c>
      <c r="J713" s="6">
        <v>0</v>
      </c>
      <c r="K713" s="6">
        <v>0</v>
      </c>
      <c r="L713" s="6">
        <f>IF(VLOOKUP(E713,Sheet2!$W:$AA,2,0)=0,"",VLOOKUP(E713,Sheet2!$W:$AA,2,0))</f>
        <v>1</v>
      </c>
      <c r="N713" s="6" t="str">
        <f>IF(VLOOKUP(E713,Sheet2!$W:$AA,3,0)=0,"",VLOOKUP(E713,Sheet2!$W:$AA,3,0))</f>
        <v/>
      </c>
      <c r="Q713" s="6" t="str">
        <f>IF(VLOOKUP(E713,Sheet2!$W:$AA,4,0)=0,"",VLOOKUP(E713,Sheet2!$W:$AA,4,0))</f>
        <v>[{50017,6}]</v>
      </c>
      <c r="R713" s="8">
        <f t="shared" si="131"/>
        <v>24</v>
      </c>
      <c r="S713" s="8">
        <f t="shared" si="136"/>
        <v>2</v>
      </c>
    </row>
    <row r="714" spans="1:19">
      <c r="A714" s="6">
        <f t="shared" si="139"/>
        <v>14221</v>
      </c>
      <c r="B714" s="6">
        <f t="shared" si="129"/>
        <v>142</v>
      </c>
      <c r="C714" s="6">
        <f t="shared" si="137"/>
        <v>4</v>
      </c>
      <c r="D714" s="6" t="str">
        <f t="shared" si="144"/>
        <v>关卡142BOSS1</v>
      </c>
      <c r="E714" s="6">
        <v>517</v>
      </c>
      <c r="G714" s="6" t="s">
        <v>1136</v>
      </c>
      <c r="H714" s="6">
        <f t="shared" si="141"/>
        <v>2</v>
      </c>
      <c r="I714" s="6" t="str">
        <f>IF(VLOOKUP(E714,Sheet2!$W:$AA,5,0)=0,"",VLOOKUP(E714,Sheet2!$W:$AA,5,0))</f>
        <v/>
      </c>
      <c r="J714" s="6">
        <v>0</v>
      </c>
      <c r="K714" s="6">
        <v>0</v>
      </c>
      <c r="L714" s="6" t="str">
        <f>IF(VLOOKUP(E714,Sheet2!$W:$AA,2,0)=0,"",VLOOKUP(E714,Sheet2!$W:$AA,2,0))</f>
        <v/>
      </c>
      <c r="N714" s="6" t="str">
        <f>IF(VLOOKUP(E714,Sheet2!$W:$AA,3,0)=0,"",VLOOKUP(E714,Sheet2!$W:$AA,3,0))</f>
        <v/>
      </c>
      <c r="Q714" s="6" t="str">
        <f>IF(VLOOKUP(E714,Sheet2!$W:$AA,4,0)=0,"",VLOOKUP(E714,Sheet2!$W:$AA,4,0))</f>
        <v/>
      </c>
      <c r="R714" s="8">
        <f t="shared" si="131"/>
        <v>100</v>
      </c>
      <c r="S714" s="8">
        <f t="shared" si="136"/>
        <v>2</v>
      </c>
    </row>
    <row r="715" spans="1:19">
      <c r="A715" s="6">
        <f t="shared" si="139"/>
        <v>14231</v>
      </c>
      <c r="B715" s="6">
        <f t="shared" si="129"/>
        <v>142</v>
      </c>
      <c r="C715" s="6">
        <f t="shared" si="137"/>
        <v>5</v>
      </c>
      <c r="D715" s="6" t="str">
        <f t="shared" si="145"/>
        <v>关卡142BOSS2</v>
      </c>
      <c r="E715" s="6">
        <v>517</v>
      </c>
      <c r="G715" s="6" t="s">
        <v>1137</v>
      </c>
      <c r="H715" s="6">
        <f t="shared" si="141"/>
        <v>2</v>
      </c>
      <c r="I715" s="6" t="str">
        <f>IF(VLOOKUP(E715,Sheet2!$W:$AA,5,0)=0,"",VLOOKUP(E715,Sheet2!$W:$AA,5,0))</f>
        <v/>
      </c>
      <c r="J715" s="6">
        <v>0</v>
      </c>
      <c r="K715" s="6">
        <v>0</v>
      </c>
      <c r="L715" s="6" t="str">
        <f>IF(VLOOKUP(E715,Sheet2!$W:$AA,2,0)=0,"",VLOOKUP(E715,Sheet2!$W:$AA,2,0))</f>
        <v/>
      </c>
      <c r="N715" s="6" t="str">
        <f>IF(VLOOKUP(E715,Sheet2!$W:$AA,3,0)=0,"",VLOOKUP(E715,Sheet2!$W:$AA,3,0))</f>
        <v/>
      </c>
      <c r="Q715" s="6" t="str">
        <f>IF(VLOOKUP(E715,Sheet2!$W:$AA,4,0)=0,"",VLOOKUP(E715,Sheet2!$W:$AA,4,0))</f>
        <v/>
      </c>
      <c r="R715" s="8">
        <f t="shared" si="131"/>
        <v>100</v>
      </c>
      <c r="S715" s="8">
        <f t="shared" si="136"/>
        <v>2</v>
      </c>
    </row>
    <row r="716" spans="1:19">
      <c r="A716" s="6">
        <f t="shared" si="139"/>
        <v>14301</v>
      </c>
      <c r="B716" s="6">
        <f t="shared" si="129"/>
        <v>143</v>
      </c>
      <c r="C716" s="6">
        <f t="shared" si="137"/>
        <v>1</v>
      </c>
      <c r="D716" s="6" t="str">
        <f t="shared" si="140"/>
        <v>关卡143怪物1</v>
      </c>
      <c r="E716" s="6">
        <v>101</v>
      </c>
      <c r="G716" s="6" t="s">
        <v>1138</v>
      </c>
      <c r="H716" s="6">
        <f t="shared" si="141"/>
        <v>0</v>
      </c>
      <c r="I716" s="6" t="str">
        <f>IF(VLOOKUP(E716,Sheet2!$W:$AA,5,0)=0,"",VLOOKUP(E716,Sheet2!$W:$AA,5,0))</f>
        <v/>
      </c>
      <c r="J716" s="6">
        <v>0</v>
      </c>
      <c r="K716" s="6">
        <v>0</v>
      </c>
      <c r="L716" s="6" t="str">
        <f>IF(VLOOKUP(E716,Sheet2!$W:$AA,2,0)=0,"",VLOOKUP(E716,Sheet2!$W:$AA,2,0))</f>
        <v/>
      </c>
      <c r="N716" s="6" t="str">
        <f>IF(VLOOKUP(E716,Sheet2!$W:$AA,3,0)=0,"",VLOOKUP(E716,Sheet2!$W:$AA,3,0))</f>
        <v/>
      </c>
      <c r="Q716" s="6" t="str">
        <f>IF(VLOOKUP(E716,Sheet2!$W:$AA,4,0)=0,"",VLOOKUP(E716,Sheet2!$W:$AA,4,0))</f>
        <v/>
      </c>
      <c r="R716" s="8">
        <f t="shared" si="131"/>
        <v>24</v>
      </c>
      <c r="S716" s="8">
        <f t="shared" si="136"/>
        <v>2</v>
      </c>
    </row>
    <row r="717" spans="1:19">
      <c r="A717" s="6">
        <f t="shared" si="139"/>
        <v>14302</v>
      </c>
      <c r="B717" s="6">
        <f t="shared" si="129"/>
        <v>143</v>
      </c>
      <c r="C717" s="6">
        <f t="shared" si="137"/>
        <v>2</v>
      </c>
      <c r="D717" s="6" t="str">
        <f t="shared" si="142"/>
        <v>关卡143怪物2</v>
      </c>
      <c r="E717" s="6">
        <v>104</v>
      </c>
      <c r="G717" s="6" t="s">
        <v>1139</v>
      </c>
      <c r="H717" s="6">
        <f t="shared" si="141"/>
        <v>0</v>
      </c>
      <c r="I717" s="6" t="str">
        <f>IF(VLOOKUP(E717,Sheet2!$W:$AA,5,0)=0,"",VLOOKUP(E717,Sheet2!$W:$AA,5,0))</f>
        <v/>
      </c>
      <c r="J717" s="6">
        <v>0</v>
      </c>
      <c r="K717" s="6">
        <v>0</v>
      </c>
      <c r="L717" s="6" t="str">
        <f>IF(VLOOKUP(E717,Sheet2!$W:$AA,2,0)=0,"",VLOOKUP(E717,Sheet2!$W:$AA,2,0))</f>
        <v/>
      </c>
      <c r="N717" s="6" t="str">
        <f>IF(VLOOKUP(E717,Sheet2!$W:$AA,3,0)=0,"",VLOOKUP(E717,Sheet2!$W:$AA,3,0))</f>
        <v/>
      </c>
      <c r="Q717" s="6" t="str">
        <f>IF(VLOOKUP(E717,Sheet2!$W:$AA,4,0)=0,"",VLOOKUP(E717,Sheet2!$W:$AA,4,0))</f>
        <v/>
      </c>
      <c r="R717" s="8">
        <f t="shared" si="131"/>
        <v>24</v>
      </c>
      <c r="S717" s="8">
        <f t="shared" si="136"/>
        <v>2</v>
      </c>
    </row>
    <row r="718" spans="1:19">
      <c r="A718" s="6">
        <f t="shared" si="139"/>
        <v>14303</v>
      </c>
      <c r="B718" s="6">
        <f t="shared" si="129"/>
        <v>143</v>
      </c>
      <c r="C718" s="6">
        <f t="shared" si="137"/>
        <v>3</v>
      </c>
      <c r="D718" s="6" t="str">
        <f t="shared" si="143"/>
        <v>关卡143怪物3</v>
      </c>
      <c r="E718" s="6">
        <v>106</v>
      </c>
      <c r="G718" s="6" t="s">
        <v>1140</v>
      </c>
      <c r="H718" s="6">
        <f t="shared" si="141"/>
        <v>0</v>
      </c>
      <c r="I718" s="6" t="str">
        <f>IF(VLOOKUP(E718,Sheet2!$W:$AA,5,0)=0,"",VLOOKUP(E718,Sheet2!$W:$AA,5,0))</f>
        <v>[60002]</v>
      </c>
      <c r="J718" s="6">
        <v>0</v>
      </c>
      <c r="K718" s="6">
        <v>0</v>
      </c>
      <c r="L718" s="6">
        <f>IF(VLOOKUP(E718,Sheet2!$W:$AA,2,0)=0,"",VLOOKUP(E718,Sheet2!$W:$AA,2,0))</f>
        <v>1</v>
      </c>
      <c r="N718" s="6">
        <f>IF(VLOOKUP(E718,Sheet2!$W:$AA,3,0)=0,"",VLOOKUP(E718,Sheet2!$W:$AA,3,0))</f>
        <v>2002</v>
      </c>
      <c r="Q718" s="6" t="str">
        <f>IF(VLOOKUP(E718,Sheet2!$W:$AA,4,0)=0,"",VLOOKUP(E718,Sheet2!$W:$AA,4,0))</f>
        <v>[{50012,6}]</v>
      </c>
      <c r="R718" s="8">
        <f t="shared" si="131"/>
        <v>24</v>
      </c>
      <c r="S718" s="8">
        <f t="shared" si="136"/>
        <v>2</v>
      </c>
    </row>
    <row r="719" spans="1:19">
      <c r="A719" s="6">
        <f t="shared" si="139"/>
        <v>14321</v>
      </c>
      <c r="B719" s="6">
        <f t="shared" si="129"/>
        <v>143</v>
      </c>
      <c r="C719" s="6">
        <f t="shared" si="137"/>
        <v>4</v>
      </c>
      <c r="D719" s="6" t="str">
        <f t="shared" si="144"/>
        <v>关卡143BOSS1</v>
      </c>
      <c r="E719" s="6">
        <v>501</v>
      </c>
      <c r="G719" s="6" t="s">
        <v>1141</v>
      </c>
      <c r="H719" s="6">
        <f t="shared" si="141"/>
        <v>2</v>
      </c>
      <c r="I719" s="6" t="str">
        <f>IF(VLOOKUP(E719,Sheet2!$W:$AA,5,0)=0,"",VLOOKUP(E719,Sheet2!$W:$AA,5,0))</f>
        <v/>
      </c>
      <c r="J719" s="6">
        <v>0</v>
      </c>
      <c r="K719" s="6">
        <v>0</v>
      </c>
      <c r="L719" s="6" t="str">
        <f>IF(VLOOKUP(E719,Sheet2!$W:$AA,2,0)=0,"",VLOOKUP(E719,Sheet2!$W:$AA,2,0))</f>
        <v/>
      </c>
      <c r="N719" s="6" t="str">
        <f>IF(VLOOKUP(E719,Sheet2!$W:$AA,3,0)=0,"",VLOOKUP(E719,Sheet2!$W:$AA,3,0))</f>
        <v/>
      </c>
      <c r="Q719" s="6" t="str">
        <f>IF(VLOOKUP(E719,Sheet2!$W:$AA,4,0)=0,"",VLOOKUP(E719,Sheet2!$W:$AA,4,0))</f>
        <v/>
      </c>
      <c r="R719" s="8">
        <f t="shared" si="131"/>
        <v>100</v>
      </c>
      <c r="S719" s="8">
        <f t="shared" si="136"/>
        <v>2</v>
      </c>
    </row>
    <row r="720" spans="1:19">
      <c r="A720" s="6">
        <f t="shared" si="139"/>
        <v>14331</v>
      </c>
      <c r="B720" s="6">
        <f t="shared" ref="B720:B783" si="146">B715+1</f>
        <v>143</v>
      </c>
      <c r="C720" s="6">
        <f t="shared" si="137"/>
        <v>5</v>
      </c>
      <c r="D720" s="6" t="str">
        <f t="shared" si="145"/>
        <v>关卡143BOSS2</v>
      </c>
      <c r="E720" s="6">
        <v>501</v>
      </c>
      <c r="G720" s="6" t="s">
        <v>1142</v>
      </c>
      <c r="H720" s="6">
        <f t="shared" si="141"/>
        <v>2</v>
      </c>
      <c r="I720" s="6" t="str">
        <f>IF(VLOOKUP(E720,Sheet2!$W:$AA,5,0)=0,"",VLOOKUP(E720,Sheet2!$W:$AA,5,0))</f>
        <v/>
      </c>
      <c r="J720" s="6">
        <v>0</v>
      </c>
      <c r="K720" s="6">
        <v>0</v>
      </c>
      <c r="L720" s="6" t="str">
        <f>IF(VLOOKUP(E720,Sheet2!$W:$AA,2,0)=0,"",VLOOKUP(E720,Sheet2!$W:$AA,2,0))</f>
        <v/>
      </c>
      <c r="N720" s="6" t="str">
        <f>IF(VLOOKUP(E720,Sheet2!$W:$AA,3,0)=0,"",VLOOKUP(E720,Sheet2!$W:$AA,3,0))</f>
        <v/>
      </c>
      <c r="Q720" s="6" t="str">
        <f>IF(VLOOKUP(E720,Sheet2!$W:$AA,4,0)=0,"",VLOOKUP(E720,Sheet2!$W:$AA,4,0))</f>
        <v/>
      </c>
      <c r="R720" s="8">
        <f t="shared" ref="R720:R783" si="147">R715</f>
        <v>100</v>
      </c>
      <c r="S720" s="8">
        <f t="shared" si="136"/>
        <v>2</v>
      </c>
    </row>
    <row r="721" spans="1:19">
      <c r="A721" s="6">
        <f t="shared" si="139"/>
        <v>14401</v>
      </c>
      <c r="B721" s="6">
        <f t="shared" si="146"/>
        <v>144</v>
      </c>
      <c r="C721" s="6">
        <f t="shared" si="137"/>
        <v>1</v>
      </c>
      <c r="D721" s="6" t="str">
        <f t="shared" si="140"/>
        <v>关卡144怪物1</v>
      </c>
      <c r="E721" s="6">
        <v>100</v>
      </c>
      <c r="G721" s="6" t="s">
        <v>1143</v>
      </c>
      <c r="H721" s="6">
        <f t="shared" si="141"/>
        <v>0</v>
      </c>
      <c r="I721" s="6" t="str">
        <f>IF(VLOOKUP(E721,Sheet2!$W:$AA,5,0)=0,"",VLOOKUP(E721,Sheet2!$W:$AA,5,0))</f>
        <v>[60002]</v>
      </c>
      <c r="J721" s="6">
        <v>0</v>
      </c>
      <c r="K721" s="6">
        <v>0</v>
      </c>
      <c r="L721" s="6" t="str">
        <f>IF(VLOOKUP(E721,Sheet2!$W:$AA,2,0)=0,"",VLOOKUP(E721,Sheet2!$W:$AA,2,0))</f>
        <v/>
      </c>
      <c r="N721" s="6">
        <f>IF(VLOOKUP(E721,Sheet2!$W:$AA,3,0)=0,"",VLOOKUP(E721,Sheet2!$W:$AA,3,0))</f>
        <v>2001</v>
      </c>
      <c r="Q721" s="6" t="str">
        <f>IF(VLOOKUP(E721,Sheet2!$W:$AA,4,0)=0,"",VLOOKUP(E721,Sheet2!$W:$AA,4,0))</f>
        <v/>
      </c>
      <c r="R721" s="8">
        <f t="shared" si="147"/>
        <v>24</v>
      </c>
      <c r="S721" s="8">
        <f t="shared" si="136"/>
        <v>2</v>
      </c>
    </row>
    <row r="722" spans="1:19">
      <c r="A722" s="6">
        <f t="shared" si="139"/>
        <v>14402</v>
      </c>
      <c r="B722" s="6">
        <f t="shared" si="146"/>
        <v>144</v>
      </c>
      <c r="C722" s="6">
        <f t="shared" si="137"/>
        <v>2</v>
      </c>
      <c r="D722" s="6" t="str">
        <f t="shared" si="142"/>
        <v>关卡144怪物2</v>
      </c>
      <c r="E722" s="6">
        <v>102</v>
      </c>
      <c r="G722" s="6" t="s">
        <v>1144</v>
      </c>
      <c r="H722" s="6">
        <f t="shared" si="141"/>
        <v>0</v>
      </c>
      <c r="I722" s="6" t="str">
        <f>IF(VLOOKUP(E722,Sheet2!$W:$AA,5,0)=0,"",VLOOKUP(E722,Sheet2!$W:$AA,5,0))</f>
        <v/>
      </c>
      <c r="J722" s="6">
        <v>0</v>
      </c>
      <c r="K722" s="6">
        <v>0</v>
      </c>
      <c r="L722" s="6">
        <f>IF(VLOOKUP(E722,Sheet2!$W:$AA,2,0)=0,"",VLOOKUP(E722,Sheet2!$W:$AA,2,0))</f>
        <v>1</v>
      </c>
      <c r="N722" s="6" t="str">
        <f>IF(VLOOKUP(E722,Sheet2!$W:$AA,3,0)=0,"",VLOOKUP(E722,Sheet2!$W:$AA,3,0))</f>
        <v/>
      </c>
      <c r="Q722" s="6" t="str">
        <f>IF(VLOOKUP(E722,Sheet2!$W:$AA,4,0)=0,"",VLOOKUP(E722,Sheet2!$W:$AA,4,0))</f>
        <v>[{50011,6}]</v>
      </c>
      <c r="R722" s="8">
        <f t="shared" si="147"/>
        <v>24</v>
      </c>
      <c r="S722" s="8">
        <f t="shared" si="136"/>
        <v>2</v>
      </c>
    </row>
    <row r="723" spans="1:19">
      <c r="A723" s="6">
        <f t="shared" si="139"/>
        <v>14403</v>
      </c>
      <c r="B723" s="6">
        <f t="shared" si="146"/>
        <v>144</v>
      </c>
      <c r="C723" s="6">
        <f t="shared" si="137"/>
        <v>3</v>
      </c>
      <c r="D723" s="6" t="str">
        <f t="shared" si="143"/>
        <v>关卡144怪物3</v>
      </c>
      <c r="E723" s="6">
        <v>105</v>
      </c>
      <c r="G723" s="6" t="s">
        <v>1145</v>
      </c>
      <c r="H723" s="6">
        <f t="shared" si="141"/>
        <v>0</v>
      </c>
      <c r="I723" s="6" t="str">
        <f>IF(VLOOKUP(E723,Sheet2!$W:$AA,5,0)=0,"",VLOOKUP(E723,Sheet2!$W:$AA,5,0))</f>
        <v>[60003]</v>
      </c>
      <c r="J723" s="6">
        <v>0</v>
      </c>
      <c r="K723" s="6">
        <v>0</v>
      </c>
      <c r="L723" s="6" t="str">
        <f>IF(VLOOKUP(E723,Sheet2!$W:$AA,2,0)=0,"",VLOOKUP(E723,Sheet2!$W:$AA,2,0))</f>
        <v/>
      </c>
      <c r="N723" s="6" t="str">
        <f>IF(VLOOKUP(E723,Sheet2!$W:$AA,3,0)=0,"",VLOOKUP(E723,Sheet2!$W:$AA,3,0))</f>
        <v/>
      </c>
      <c r="Q723" s="6" t="str">
        <f>IF(VLOOKUP(E723,Sheet2!$W:$AA,4,0)=0,"",VLOOKUP(E723,Sheet2!$W:$AA,4,0))</f>
        <v/>
      </c>
      <c r="R723" s="8">
        <f t="shared" si="147"/>
        <v>24</v>
      </c>
      <c r="S723" s="8">
        <f t="shared" si="136"/>
        <v>2</v>
      </c>
    </row>
    <row r="724" spans="1:19">
      <c r="A724" s="6">
        <f t="shared" si="139"/>
        <v>14421</v>
      </c>
      <c r="B724" s="6">
        <f t="shared" si="146"/>
        <v>144</v>
      </c>
      <c r="C724" s="6">
        <f t="shared" si="137"/>
        <v>4</v>
      </c>
      <c r="D724" s="6" t="str">
        <f t="shared" si="144"/>
        <v>关卡144BOSS1</v>
      </c>
      <c r="E724" s="6">
        <v>502</v>
      </c>
      <c r="G724" s="6" t="s">
        <v>1146</v>
      </c>
      <c r="H724" s="6">
        <f t="shared" si="141"/>
        <v>2</v>
      </c>
      <c r="I724" s="6" t="str">
        <f>IF(VLOOKUP(E724,Sheet2!$W:$AA,5,0)=0,"",VLOOKUP(E724,Sheet2!$W:$AA,5,0))</f>
        <v/>
      </c>
      <c r="J724" s="6">
        <v>0</v>
      </c>
      <c r="K724" s="6">
        <v>0</v>
      </c>
      <c r="L724" s="6">
        <f>IF(VLOOKUP(E724,Sheet2!$W:$AA,2,0)=0,"",VLOOKUP(E724,Sheet2!$W:$AA,2,0))</f>
        <v>1</v>
      </c>
      <c r="N724" s="6" t="str">
        <f>IF(VLOOKUP(E724,Sheet2!$W:$AA,3,0)=0,"",VLOOKUP(E724,Sheet2!$W:$AA,3,0))</f>
        <v/>
      </c>
      <c r="Q724" s="6" t="str">
        <f>IF(VLOOKUP(E724,Sheet2!$W:$AA,4,0)=0,"",VLOOKUP(E724,Sheet2!$W:$AA,4,0))</f>
        <v>[{50021,6}]</v>
      </c>
      <c r="R724" s="8">
        <f t="shared" si="147"/>
        <v>100</v>
      </c>
      <c r="S724" s="8">
        <f t="shared" si="136"/>
        <v>2</v>
      </c>
    </row>
    <row r="725" spans="1:19">
      <c r="A725" s="6">
        <f t="shared" si="139"/>
        <v>14431</v>
      </c>
      <c r="B725" s="6">
        <f t="shared" si="146"/>
        <v>144</v>
      </c>
      <c r="C725" s="6">
        <f t="shared" si="137"/>
        <v>5</v>
      </c>
      <c r="D725" s="6" t="str">
        <f t="shared" si="145"/>
        <v>关卡144BOSS2</v>
      </c>
      <c r="E725" s="6">
        <v>500</v>
      </c>
      <c r="G725" s="6" t="s">
        <v>1147</v>
      </c>
      <c r="H725" s="6">
        <f t="shared" si="141"/>
        <v>2</v>
      </c>
      <c r="I725" s="6" t="str">
        <f>IF(VLOOKUP(E725,Sheet2!$W:$AA,5,0)=0,"",VLOOKUP(E725,Sheet2!$W:$AA,5,0))</f>
        <v>[60002]</v>
      </c>
      <c r="J725" s="6">
        <v>0</v>
      </c>
      <c r="K725" s="6">
        <v>0</v>
      </c>
      <c r="L725" s="6" t="str">
        <f>IF(VLOOKUP(E725,Sheet2!$W:$AA,2,0)=0,"",VLOOKUP(E725,Sheet2!$W:$AA,2,0))</f>
        <v/>
      </c>
      <c r="N725" s="6">
        <f>IF(VLOOKUP(E725,Sheet2!$W:$AA,3,0)=0,"",VLOOKUP(E725,Sheet2!$W:$AA,3,0))</f>
        <v>2001</v>
      </c>
      <c r="Q725" s="6" t="str">
        <f>IF(VLOOKUP(E725,Sheet2!$W:$AA,4,0)=0,"",VLOOKUP(E725,Sheet2!$W:$AA,4,0))</f>
        <v/>
      </c>
      <c r="R725" s="8">
        <f t="shared" si="147"/>
        <v>100</v>
      </c>
      <c r="S725" s="8">
        <f t="shared" si="136"/>
        <v>2</v>
      </c>
    </row>
    <row r="726" spans="1:19">
      <c r="A726" s="6">
        <f t="shared" si="139"/>
        <v>14501</v>
      </c>
      <c r="B726" s="6">
        <f t="shared" si="146"/>
        <v>145</v>
      </c>
      <c r="C726" s="6">
        <f t="shared" si="137"/>
        <v>1</v>
      </c>
      <c r="D726" s="6" t="str">
        <f t="shared" si="140"/>
        <v>关卡145怪物1</v>
      </c>
      <c r="E726" s="6">
        <v>117</v>
      </c>
      <c r="G726" s="6" t="s">
        <v>1148</v>
      </c>
      <c r="H726" s="6">
        <f t="shared" si="141"/>
        <v>0</v>
      </c>
      <c r="I726" s="6" t="str">
        <f>IF(VLOOKUP(E726,Sheet2!$W:$AA,5,0)=0,"",VLOOKUP(E726,Sheet2!$W:$AA,5,0))</f>
        <v/>
      </c>
      <c r="J726" s="6">
        <v>0</v>
      </c>
      <c r="K726" s="6">
        <v>0</v>
      </c>
      <c r="L726" s="6" t="str">
        <f>IF(VLOOKUP(E726,Sheet2!$W:$AA,2,0)=0,"",VLOOKUP(E726,Sheet2!$W:$AA,2,0))</f>
        <v/>
      </c>
      <c r="N726" s="6" t="str">
        <f>IF(VLOOKUP(E726,Sheet2!$W:$AA,3,0)=0,"",VLOOKUP(E726,Sheet2!$W:$AA,3,0))</f>
        <v/>
      </c>
      <c r="Q726" s="6" t="str">
        <f>IF(VLOOKUP(E726,Sheet2!$W:$AA,4,0)=0,"",VLOOKUP(E726,Sheet2!$W:$AA,4,0))</f>
        <v/>
      </c>
      <c r="R726" s="8">
        <f t="shared" si="147"/>
        <v>24</v>
      </c>
      <c r="S726" s="8">
        <f t="shared" si="136"/>
        <v>2</v>
      </c>
    </row>
    <row r="727" spans="1:19">
      <c r="A727" s="6">
        <f t="shared" si="139"/>
        <v>14502</v>
      </c>
      <c r="B727" s="6">
        <f t="shared" si="146"/>
        <v>145</v>
      </c>
      <c r="C727" s="6">
        <f t="shared" si="137"/>
        <v>2</v>
      </c>
      <c r="D727" s="6" t="str">
        <f t="shared" si="142"/>
        <v>关卡145怪物2</v>
      </c>
      <c r="E727" s="6">
        <v>116</v>
      </c>
      <c r="G727" s="6" t="s">
        <v>1149</v>
      </c>
      <c r="H727" s="6">
        <f t="shared" si="141"/>
        <v>0</v>
      </c>
      <c r="I727" s="6" t="str">
        <f>IF(VLOOKUP(E727,Sheet2!$W:$AA,5,0)=0,"",VLOOKUP(E727,Sheet2!$W:$AA,5,0))</f>
        <v>[60007]</v>
      </c>
      <c r="J727" s="6">
        <v>0</v>
      </c>
      <c r="K727" s="6">
        <v>0</v>
      </c>
      <c r="L727" s="6" t="str">
        <f>IF(VLOOKUP(E727,Sheet2!$W:$AA,2,0)=0,"",VLOOKUP(E727,Sheet2!$W:$AA,2,0))</f>
        <v/>
      </c>
      <c r="N727" s="6" t="str">
        <f>IF(VLOOKUP(E727,Sheet2!$W:$AA,3,0)=0,"",VLOOKUP(E727,Sheet2!$W:$AA,3,0))</f>
        <v/>
      </c>
      <c r="Q727" s="6" t="str">
        <f>IF(VLOOKUP(E727,Sheet2!$W:$AA,4,0)=0,"",VLOOKUP(E727,Sheet2!$W:$AA,4,0))</f>
        <v/>
      </c>
      <c r="R727" s="8">
        <f t="shared" si="147"/>
        <v>24</v>
      </c>
      <c r="S727" s="8">
        <f t="shared" si="136"/>
        <v>2</v>
      </c>
    </row>
    <row r="728" spans="1:19">
      <c r="A728" s="6">
        <f t="shared" si="139"/>
        <v>14503</v>
      </c>
      <c r="B728" s="6">
        <f t="shared" si="146"/>
        <v>145</v>
      </c>
      <c r="C728" s="6">
        <f t="shared" si="137"/>
        <v>3</v>
      </c>
      <c r="D728" s="6" t="str">
        <f t="shared" si="143"/>
        <v>关卡145怪物3</v>
      </c>
      <c r="E728" s="6">
        <v>116</v>
      </c>
      <c r="G728" s="6" t="s">
        <v>1150</v>
      </c>
      <c r="H728" s="6">
        <f t="shared" si="141"/>
        <v>0</v>
      </c>
      <c r="I728" s="6" t="str">
        <f>IF(VLOOKUP(E728,Sheet2!$W:$AA,5,0)=0,"",VLOOKUP(E728,Sheet2!$W:$AA,5,0))</f>
        <v>[60007]</v>
      </c>
      <c r="J728" s="6">
        <v>0</v>
      </c>
      <c r="K728" s="6">
        <v>0</v>
      </c>
      <c r="L728" s="6" t="str">
        <f>IF(VLOOKUP(E728,Sheet2!$W:$AA,2,0)=0,"",VLOOKUP(E728,Sheet2!$W:$AA,2,0))</f>
        <v/>
      </c>
      <c r="N728" s="6" t="str">
        <f>IF(VLOOKUP(E728,Sheet2!$W:$AA,3,0)=0,"",VLOOKUP(E728,Sheet2!$W:$AA,3,0))</f>
        <v/>
      </c>
      <c r="Q728" s="6" t="str">
        <f>IF(VLOOKUP(E728,Sheet2!$W:$AA,4,0)=0,"",VLOOKUP(E728,Sheet2!$W:$AA,4,0))</f>
        <v/>
      </c>
      <c r="R728" s="8">
        <f t="shared" si="147"/>
        <v>24</v>
      </c>
      <c r="S728" s="8">
        <f t="shared" si="136"/>
        <v>2</v>
      </c>
    </row>
    <row r="729" spans="1:19">
      <c r="A729" s="6">
        <f t="shared" si="139"/>
        <v>14521</v>
      </c>
      <c r="B729" s="6">
        <f t="shared" si="146"/>
        <v>145</v>
      </c>
      <c r="C729" s="6">
        <f t="shared" si="137"/>
        <v>4</v>
      </c>
      <c r="D729" s="6" t="str">
        <f t="shared" si="144"/>
        <v>关卡145BOSS1</v>
      </c>
      <c r="E729" s="6">
        <v>517</v>
      </c>
      <c r="G729" s="6" t="s">
        <v>1151</v>
      </c>
      <c r="H729" s="6">
        <f t="shared" si="141"/>
        <v>2</v>
      </c>
      <c r="I729" s="6" t="str">
        <f>IF(VLOOKUP(E729,Sheet2!$W:$AA,5,0)=0,"",VLOOKUP(E729,Sheet2!$W:$AA,5,0))</f>
        <v/>
      </c>
      <c r="J729" s="6">
        <v>0</v>
      </c>
      <c r="K729" s="6">
        <v>0</v>
      </c>
      <c r="L729" s="6" t="str">
        <f>IF(VLOOKUP(E729,Sheet2!$W:$AA,2,0)=0,"",VLOOKUP(E729,Sheet2!$W:$AA,2,0))</f>
        <v/>
      </c>
      <c r="N729" s="6" t="str">
        <f>IF(VLOOKUP(E729,Sheet2!$W:$AA,3,0)=0,"",VLOOKUP(E729,Sheet2!$W:$AA,3,0))</f>
        <v/>
      </c>
      <c r="Q729" s="6" t="str">
        <f>IF(VLOOKUP(E729,Sheet2!$W:$AA,4,0)=0,"",VLOOKUP(E729,Sheet2!$W:$AA,4,0))</f>
        <v/>
      </c>
      <c r="R729" s="8">
        <f t="shared" si="147"/>
        <v>100</v>
      </c>
      <c r="S729" s="8">
        <f t="shared" si="136"/>
        <v>2</v>
      </c>
    </row>
    <row r="730" spans="1:19">
      <c r="A730" s="6">
        <f t="shared" si="139"/>
        <v>14531</v>
      </c>
      <c r="B730" s="6">
        <f t="shared" si="146"/>
        <v>145</v>
      </c>
      <c r="C730" s="6">
        <f t="shared" si="137"/>
        <v>5</v>
      </c>
      <c r="D730" s="6" t="str">
        <f t="shared" si="145"/>
        <v>关卡145BOSS2</v>
      </c>
      <c r="E730" s="6">
        <v>517</v>
      </c>
      <c r="G730" s="6" t="s">
        <v>1152</v>
      </c>
      <c r="H730" s="6">
        <f t="shared" si="141"/>
        <v>2</v>
      </c>
      <c r="I730" s="6" t="str">
        <f>IF(VLOOKUP(E730,Sheet2!$W:$AA,5,0)=0,"",VLOOKUP(E730,Sheet2!$W:$AA,5,0))</f>
        <v/>
      </c>
      <c r="J730" s="6">
        <v>0</v>
      </c>
      <c r="K730" s="6">
        <v>0</v>
      </c>
      <c r="L730" s="6" t="str">
        <f>IF(VLOOKUP(E730,Sheet2!$W:$AA,2,0)=0,"",VLOOKUP(E730,Sheet2!$W:$AA,2,0))</f>
        <v/>
      </c>
      <c r="N730" s="6" t="str">
        <f>IF(VLOOKUP(E730,Sheet2!$W:$AA,3,0)=0,"",VLOOKUP(E730,Sheet2!$W:$AA,3,0))</f>
        <v/>
      </c>
      <c r="Q730" s="6" t="str">
        <f>IF(VLOOKUP(E730,Sheet2!$W:$AA,4,0)=0,"",VLOOKUP(E730,Sheet2!$W:$AA,4,0))</f>
        <v/>
      </c>
      <c r="R730" s="8">
        <f t="shared" si="147"/>
        <v>100</v>
      </c>
      <c r="S730" s="8">
        <f t="shared" si="136"/>
        <v>2</v>
      </c>
    </row>
    <row r="731" spans="1:19">
      <c r="A731" s="6">
        <f t="shared" si="139"/>
        <v>14601</v>
      </c>
      <c r="B731" s="6">
        <f t="shared" si="146"/>
        <v>146</v>
      </c>
      <c r="C731" s="6">
        <f t="shared" si="137"/>
        <v>1</v>
      </c>
      <c r="D731" s="6" t="str">
        <f t="shared" si="140"/>
        <v>关卡146怪物1</v>
      </c>
      <c r="E731" s="6">
        <v>121</v>
      </c>
      <c r="G731" s="6" t="s">
        <v>1153</v>
      </c>
      <c r="H731" s="6">
        <f t="shared" si="141"/>
        <v>0</v>
      </c>
      <c r="I731" s="6" t="str">
        <f>IF(VLOOKUP(E731,Sheet2!$W:$AA,5,0)=0,"",VLOOKUP(E731,Sheet2!$W:$AA,5,0))</f>
        <v/>
      </c>
      <c r="J731" s="6">
        <v>0</v>
      </c>
      <c r="K731" s="6">
        <v>0</v>
      </c>
      <c r="L731" s="6" t="str">
        <f>IF(VLOOKUP(E731,Sheet2!$W:$AA,2,0)=0,"",VLOOKUP(E731,Sheet2!$W:$AA,2,0))</f>
        <v/>
      </c>
      <c r="N731" s="6" t="str">
        <f>IF(VLOOKUP(E731,Sheet2!$W:$AA,3,0)=0,"",VLOOKUP(E731,Sheet2!$W:$AA,3,0))</f>
        <v/>
      </c>
      <c r="Q731" s="6" t="str">
        <f>IF(VLOOKUP(E731,Sheet2!$W:$AA,4,0)=0,"",VLOOKUP(E731,Sheet2!$W:$AA,4,0))</f>
        <v/>
      </c>
      <c r="R731" s="8">
        <f t="shared" si="147"/>
        <v>24</v>
      </c>
      <c r="S731" s="8">
        <f t="shared" si="136"/>
        <v>2</v>
      </c>
    </row>
    <row r="732" spans="1:19">
      <c r="A732" s="6">
        <f t="shared" si="139"/>
        <v>14602</v>
      </c>
      <c r="B732" s="6">
        <f t="shared" si="146"/>
        <v>146</v>
      </c>
      <c r="C732" s="6">
        <f t="shared" si="137"/>
        <v>2</v>
      </c>
      <c r="D732" s="6" t="str">
        <f t="shared" si="142"/>
        <v>关卡146怪物2</v>
      </c>
      <c r="E732" s="6">
        <v>119</v>
      </c>
      <c r="G732" s="6" t="s">
        <v>1154</v>
      </c>
      <c r="H732" s="6">
        <f t="shared" si="141"/>
        <v>0</v>
      </c>
      <c r="I732" s="6" t="str">
        <f>IF(VLOOKUP(E732,Sheet2!$W:$AA,5,0)=0,"",VLOOKUP(E732,Sheet2!$W:$AA,5,0))</f>
        <v/>
      </c>
      <c r="J732" s="6">
        <v>0</v>
      </c>
      <c r="K732" s="6">
        <v>0</v>
      </c>
      <c r="L732" s="6">
        <f>IF(VLOOKUP(E732,Sheet2!$W:$AA,2,0)=0,"",VLOOKUP(E732,Sheet2!$W:$AA,2,0))</f>
        <v>1</v>
      </c>
      <c r="N732" s="6" t="str">
        <f>IF(VLOOKUP(E732,Sheet2!$W:$AA,3,0)=0,"",VLOOKUP(E732,Sheet2!$W:$AA,3,0))</f>
        <v/>
      </c>
      <c r="Q732" s="6" t="str">
        <f>IF(VLOOKUP(E732,Sheet2!$W:$AA,4,0)=0,"",VLOOKUP(E732,Sheet2!$W:$AA,4,0))</f>
        <v>[{50018,6}]</v>
      </c>
      <c r="R732" s="8">
        <f t="shared" si="147"/>
        <v>24</v>
      </c>
      <c r="S732" s="8">
        <f t="shared" si="136"/>
        <v>2</v>
      </c>
    </row>
    <row r="733" spans="1:19">
      <c r="A733" s="6">
        <f t="shared" si="139"/>
        <v>14603</v>
      </c>
      <c r="B733" s="6">
        <f t="shared" si="146"/>
        <v>146</v>
      </c>
      <c r="C733" s="6">
        <f t="shared" si="137"/>
        <v>3</v>
      </c>
      <c r="D733" s="6" t="str">
        <f t="shared" si="143"/>
        <v>关卡146怪物3</v>
      </c>
      <c r="E733" s="6">
        <v>118</v>
      </c>
      <c r="G733" s="6" t="s">
        <v>1155</v>
      </c>
      <c r="H733" s="6">
        <f t="shared" si="141"/>
        <v>0</v>
      </c>
      <c r="I733" s="6" t="str">
        <f>IF(VLOOKUP(E733,Sheet2!$W:$AA,5,0)=0,"",VLOOKUP(E733,Sheet2!$W:$AA,5,0))</f>
        <v>[60009]</v>
      </c>
      <c r="J733" s="6">
        <v>0</v>
      </c>
      <c r="K733" s="6">
        <v>0</v>
      </c>
      <c r="L733" s="6">
        <f>IF(VLOOKUP(E733,Sheet2!$W:$AA,2,0)=0,"",VLOOKUP(E733,Sheet2!$W:$AA,2,0))</f>
        <v>1</v>
      </c>
      <c r="N733" s="6" t="str">
        <f>IF(VLOOKUP(E733,Sheet2!$W:$AA,3,0)=0,"",VLOOKUP(E733,Sheet2!$W:$AA,3,0))</f>
        <v/>
      </c>
      <c r="Q733" s="6" t="str">
        <f>IF(VLOOKUP(E733,Sheet2!$W:$AA,4,0)=0,"",VLOOKUP(E733,Sheet2!$W:$AA,4,0))</f>
        <v>[{50017,6}]</v>
      </c>
      <c r="R733" s="8">
        <f t="shared" si="147"/>
        <v>24</v>
      </c>
      <c r="S733" s="8">
        <f t="shared" si="136"/>
        <v>2</v>
      </c>
    </row>
    <row r="734" spans="1:19">
      <c r="A734" s="6">
        <f t="shared" si="139"/>
        <v>14621</v>
      </c>
      <c r="B734" s="6">
        <f t="shared" si="146"/>
        <v>146</v>
      </c>
      <c r="C734" s="6">
        <f t="shared" si="137"/>
        <v>4</v>
      </c>
      <c r="D734" s="6" t="str">
        <f t="shared" si="144"/>
        <v>关卡146BOSS1</v>
      </c>
      <c r="E734" s="6">
        <v>521</v>
      </c>
      <c r="G734" s="6" t="s">
        <v>1156</v>
      </c>
      <c r="H734" s="6">
        <f t="shared" si="141"/>
        <v>2</v>
      </c>
      <c r="I734" s="6" t="str">
        <f>IF(VLOOKUP(E734,Sheet2!$W:$AA,5,0)=0,"",VLOOKUP(E734,Sheet2!$W:$AA,5,0))</f>
        <v/>
      </c>
      <c r="J734" s="6">
        <v>0</v>
      </c>
      <c r="K734" s="6">
        <v>0</v>
      </c>
      <c r="L734" s="6" t="str">
        <f>IF(VLOOKUP(E734,Sheet2!$W:$AA,2,0)=0,"",VLOOKUP(E734,Sheet2!$W:$AA,2,0))</f>
        <v/>
      </c>
      <c r="N734" s="6" t="str">
        <f>IF(VLOOKUP(E734,Sheet2!$W:$AA,3,0)=0,"",VLOOKUP(E734,Sheet2!$W:$AA,3,0))</f>
        <v/>
      </c>
      <c r="Q734" s="6" t="str">
        <f>IF(VLOOKUP(E734,Sheet2!$W:$AA,4,0)=0,"",VLOOKUP(E734,Sheet2!$W:$AA,4,0))</f>
        <v/>
      </c>
      <c r="R734" s="8">
        <f t="shared" si="147"/>
        <v>100</v>
      </c>
      <c r="S734" s="8">
        <f t="shared" si="136"/>
        <v>2</v>
      </c>
    </row>
    <row r="735" spans="1:19">
      <c r="A735" s="6">
        <f t="shared" si="139"/>
        <v>14631</v>
      </c>
      <c r="B735" s="6">
        <f t="shared" si="146"/>
        <v>146</v>
      </c>
      <c r="C735" s="6">
        <f t="shared" si="137"/>
        <v>5</v>
      </c>
      <c r="D735" s="6" t="str">
        <f t="shared" si="145"/>
        <v>关卡146BOSS2</v>
      </c>
      <c r="E735" s="6">
        <v>521</v>
      </c>
      <c r="G735" s="6" t="s">
        <v>1157</v>
      </c>
      <c r="H735" s="6">
        <f t="shared" si="141"/>
        <v>2</v>
      </c>
      <c r="I735" s="6" t="str">
        <f>IF(VLOOKUP(E735,Sheet2!$W:$AA,5,0)=0,"",VLOOKUP(E735,Sheet2!$W:$AA,5,0))</f>
        <v/>
      </c>
      <c r="J735" s="6">
        <v>0</v>
      </c>
      <c r="K735" s="6">
        <v>0</v>
      </c>
      <c r="L735" s="6" t="str">
        <f>IF(VLOOKUP(E735,Sheet2!$W:$AA,2,0)=0,"",VLOOKUP(E735,Sheet2!$W:$AA,2,0))</f>
        <v/>
      </c>
      <c r="N735" s="6" t="str">
        <f>IF(VLOOKUP(E735,Sheet2!$W:$AA,3,0)=0,"",VLOOKUP(E735,Sheet2!$W:$AA,3,0))</f>
        <v/>
      </c>
      <c r="Q735" s="6" t="str">
        <f>IF(VLOOKUP(E735,Sheet2!$W:$AA,4,0)=0,"",VLOOKUP(E735,Sheet2!$W:$AA,4,0))</f>
        <v/>
      </c>
      <c r="R735" s="8">
        <f t="shared" si="147"/>
        <v>100</v>
      </c>
      <c r="S735" s="8">
        <f t="shared" si="136"/>
        <v>2</v>
      </c>
    </row>
    <row r="736" spans="1:19">
      <c r="A736" s="6">
        <f t="shared" si="139"/>
        <v>14701</v>
      </c>
      <c r="B736" s="6">
        <f t="shared" si="146"/>
        <v>147</v>
      </c>
      <c r="C736" s="6">
        <f t="shared" si="137"/>
        <v>1</v>
      </c>
      <c r="D736" s="6" t="str">
        <f t="shared" si="140"/>
        <v>关卡147怪物1</v>
      </c>
      <c r="E736" s="6">
        <v>122</v>
      </c>
      <c r="G736" s="6" t="s">
        <v>1158</v>
      </c>
      <c r="H736" s="6">
        <f t="shared" si="141"/>
        <v>0</v>
      </c>
      <c r="I736" s="6" t="str">
        <f>IF(VLOOKUP(E736,Sheet2!$W:$AA,5,0)=0,"",VLOOKUP(E736,Sheet2!$W:$AA,5,0))</f>
        <v>[60011,60012]</v>
      </c>
      <c r="J736" s="6">
        <v>0</v>
      </c>
      <c r="K736" s="6">
        <v>0</v>
      </c>
      <c r="L736" s="6" t="str">
        <f>IF(VLOOKUP(E736,Sheet2!$W:$AA,2,0)=0,"",VLOOKUP(E736,Sheet2!$W:$AA,2,0))</f>
        <v/>
      </c>
      <c r="N736" s="6" t="str">
        <f>IF(VLOOKUP(E736,Sheet2!$W:$AA,3,0)=0,"",VLOOKUP(E736,Sheet2!$W:$AA,3,0))</f>
        <v/>
      </c>
      <c r="Q736" s="6" t="str">
        <f>IF(VLOOKUP(E736,Sheet2!$W:$AA,4,0)=0,"",VLOOKUP(E736,Sheet2!$W:$AA,4,0))</f>
        <v/>
      </c>
      <c r="R736" s="8">
        <f t="shared" si="147"/>
        <v>24</v>
      </c>
      <c r="S736" s="8">
        <f t="shared" si="136"/>
        <v>2</v>
      </c>
    </row>
    <row r="737" spans="1:19">
      <c r="A737" s="6">
        <f t="shared" si="139"/>
        <v>14702</v>
      </c>
      <c r="B737" s="6">
        <f t="shared" si="146"/>
        <v>147</v>
      </c>
      <c r="C737" s="6">
        <f t="shared" si="137"/>
        <v>2</v>
      </c>
      <c r="D737" s="6" t="str">
        <f t="shared" si="142"/>
        <v>关卡147怪物2</v>
      </c>
      <c r="E737" s="6">
        <v>123</v>
      </c>
      <c r="G737" s="6" t="s">
        <v>1159</v>
      </c>
      <c r="H737" s="6">
        <f t="shared" si="141"/>
        <v>0</v>
      </c>
      <c r="I737" s="6" t="str">
        <f>IF(VLOOKUP(E737,Sheet2!$W:$AA,5,0)=0,"",VLOOKUP(E737,Sheet2!$W:$AA,5,0))</f>
        <v>[60010]</v>
      </c>
      <c r="J737" s="6">
        <v>0</v>
      </c>
      <c r="K737" s="6">
        <v>0</v>
      </c>
      <c r="L737" s="6">
        <f>IF(VLOOKUP(E737,Sheet2!$W:$AA,2,0)=0,"",VLOOKUP(E737,Sheet2!$W:$AA,2,0))</f>
        <v>1</v>
      </c>
      <c r="N737" s="6" t="str">
        <f>IF(VLOOKUP(E737,Sheet2!$W:$AA,3,0)=0,"",VLOOKUP(E737,Sheet2!$W:$AA,3,0))</f>
        <v/>
      </c>
      <c r="Q737" s="6" t="str">
        <f>IF(VLOOKUP(E737,Sheet2!$W:$AA,4,0)=0,"",VLOOKUP(E737,Sheet2!$W:$AA,4,0))</f>
        <v>[{50019,6}]</v>
      </c>
      <c r="R737" s="8">
        <f t="shared" si="147"/>
        <v>24</v>
      </c>
      <c r="S737" s="8">
        <f t="shared" si="136"/>
        <v>2</v>
      </c>
    </row>
    <row r="738" spans="1:19">
      <c r="A738" s="6">
        <f t="shared" si="139"/>
        <v>14703</v>
      </c>
      <c r="B738" s="6">
        <f t="shared" si="146"/>
        <v>147</v>
      </c>
      <c r="C738" s="6">
        <f t="shared" si="137"/>
        <v>3</v>
      </c>
      <c r="D738" s="6" t="str">
        <f t="shared" si="143"/>
        <v>关卡147怪物3</v>
      </c>
      <c r="E738" s="6">
        <v>123</v>
      </c>
      <c r="G738" s="6" t="s">
        <v>1160</v>
      </c>
      <c r="H738" s="6">
        <f t="shared" si="141"/>
        <v>0</v>
      </c>
      <c r="I738" s="6" t="str">
        <f>IF(VLOOKUP(E738,Sheet2!$W:$AA,5,0)=0,"",VLOOKUP(E738,Sheet2!$W:$AA,5,0))</f>
        <v>[60010]</v>
      </c>
      <c r="J738" s="6">
        <v>0</v>
      </c>
      <c r="K738" s="6">
        <v>0</v>
      </c>
      <c r="L738" s="6">
        <f>IF(VLOOKUP(E738,Sheet2!$W:$AA,2,0)=0,"",VLOOKUP(E738,Sheet2!$W:$AA,2,0))</f>
        <v>1</v>
      </c>
      <c r="N738" s="6" t="str">
        <f>IF(VLOOKUP(E738,Sheet2!$W:$AA,3,0)=0,"",VLOOKUP(E738,Sheet2!$W:$AA,3,0))</f>
        <v/>
      </c>
      <c r="Q738" s="6" t="str">
        <f>IF(VLOOKUP(E738,Sheet2!$W:$AA,4,0)=0,"",VLOOKUP(E738,Sheet2!$W:$AA,4,0))</f>
        <v>[{50019,6}]</v>
      </c>
      <c r="R738" s="8">
        <f t="shared" si="147"/>
        <v>24</v>
      </c>
      <c r="S738" s="8">
        <f t="shared" si="136"/>
        <v>2</v>
      </c>
    </row>
    <row r="739" spans="1:19">
      <c r="A739" s="6">
        <f t="shared" si="139"/>
        <v>14721</v>
      </c>
      <c r="B739" s="6">
        <f t="shared" si="146"/>
        <v>147</v>
      </c>
      <c r="C739" s="6">
        <f t="shared" si="137"/>
        <v>4</v>
      </c>
      <c r="D739" s="6" t="str">
        <f t="shared" si="144"/>
        <v>关卡147BOSS1</v>
      </c>
      <c r="E739" s="6">
        <v>522</v>
      </c>
      <c r="G739" s="6" t="s">
        <v>1161</v>
      </c>
      <c r="H739" s="6">
        <f t="shared" si="141"/>
        <v>2</v>
      </c>
      <c r="I739" s="6" t="str">
        <f>IF(VLOOKUP(E739,Sheet2!$W:$AA,5,0)=0,"",VLOOKUP(E739,Sheet2!$W:$AA,5,0))</f>
        <v>[60011,60012]</v>
      </c>
      <c r="J739" s="6">
        <v>0</v>
      </c>
      <c r="K739" s="6">
        <v>0</v>
      </c>
      <c r="L739" s="6" t="str">
        <f>IF(VLOOKUP(E739,Sheet2!$W:$AA,2,0)=0,"",VLOOKUP(E739,Sheet2!$W:$AA,2,0))</f>
        <v/>
      </c>
      <c r="N739" s="6" t="str">
        <f>IF(VLOOKUP(E739,Sheet2!$W:$AA,3,0)=0,"",VLOOKUP(E739,Sheet2!$W:$AA,3,0))</f>
        <v/>
      </c>
      <c r="Q739" s="6" t="str">
        <f>IF(VLOOKUP(E739,Sheet2!$W:$AA,4,0)=0,"",VLOOKUP(E739,Sheet2!$W:$AA,4,0))</f>
        <v/>
      </c>
      <c r="R739" s="8">
        <f t="shared" si="147"/>
        <v>100</v>
      </c>
      <c r="S739" s="8">
        <f t="shared" si="136"/>
        <v>2</v>
      </c>
    </row>
    <row r="740" spans="1:19">
      <c r="A740" s="6">
        <f t="shared" si="139"/>
        <v>14731</v>
      </c>
      <c r="B740" s="6">
        <f t="shared" si="146"/>
        <v>147</v>
      </c>
      <c r="C740" s="6">
        <f t="shared" si="137"/>
        <v>5</v>
      </c>
      <c r="D740" s="6" t="str">
        <f t="shared" si="145"/>
        <v>关卡147BOSS2</v>
      </c>
      <c r="E740" s="6">
        <v>522</v>
      </c>
      <c r="G740" s="6" t="s">
        <v>1162</v>
      </c>
      <c r="H740" s="6">
        <f t="shared" si="141"/>
        <v>2</v>
      </c>
      <c r="I740" s="6" t="str">
        <f>IF(VLOOKUP(E740,Sheet2!$W:$AA,5,0)=0,"",VLOOKUP(E740,Sheet2!$W:$AA,5,0))</f>
        <v>[60011,60012]</v>
      </c>
      <c r="J740" s="6">
        <v>0</v>
      </c>
      <c r="K740" s="6">
        <v>0</v>
      </c>
      <c r="L740" s="6" t="str">
        <f>IF(VLOOKUP(E740,Sheet2!$W:$AA,2,0)=0,"",VLOOKUP(E740,Sheet2!$W:$AA,2,0))</f>
        <v/>
      </c>
      <c r="N740" s="6" t="str">
        <f>IF(VLOOKUP(E740,Sheet2!$W:$AA,3,0)=0,"",VLOOKUP(E740,Sheet2!$W:$AA,3,0))</f>
        <v/>
      </c>
      <c r="Q740" s="6" t="str">
        <f>IF(VLOOKUP(E740,Sheet2!$W:$AA,4,0)=0,"",VLOOKUP(E740,Sheet2!$W:$AA,4,0))</f>
        <v/>
      </c>
      <c r="R740" s="8">
        <f t="shared" si="147"/>
        <v>100</v>
      </c>
      <c r="S740" s="8">
        <f t="shared" si="136"/>
        <v>2</v>
      </c>
    </row>
    <row r="741" spans="1:19">
      <c r="A741" s="6">
        <f t="shared" si="139"/>
        <v>14801</v>
      </c>
      <c r="B741" s="6">
        <f t="shared" si="146"/>
        <v>148</v>
      </c>
      <c r="C741" s="6">
        <f t="shared" si="137"/>
        <v>1</v>
      </c>
      <c r="D741" s="6" t="str">
        <f t="shared" si="140"/>
        <v>关卡148怪物1</v>
      </c>
      <c r="E741" s="6">
        <v>121</v>
      </c>
      <c r="G741" s="6" t="s">
        <v>1163</v>
      </c>
      <c r="H741" s="6">
        <f t="shared" si="141"/>
        <v>0</v>
      </c>
      <c r="I741" s="6" t="str">
        <f>IF(VLOOKUP(E741,Sheet2!$W:$AA,5,0)=0,"",VLOOKUP(E741,Sheet2!$W:$AA,5,0))</f>
        <v/>
      </c>
      <c r="J741" s="6">
        <v>0</v>
      </c>
      <c r="K741" s="6">
        <v>0</v>
      </c>
      <c r="L741" s="6" t="str">
        <f>IF(VLOOKUP(E741,Sheet2!$W:$AA,2,0)=0,"",VLOOKUP(E741,Sheet2!$W:$AA,2,0))</f>
        <v/>
      </c>
      <c r="N741" s="6" t="str">
        <f>IF(VLOOKUP(E741,Sheet2!$W:$AA,3,0)=0,"",VLOOKUP(E741,Sheet2!$W:$AA,3,0))</f>
        <v/>
      </c>
      <c r="Q741" s="6" t="str">
        <f>IF(VLOOKUP(E741,Sheet2!$W:$AA,4,0)=0,"",VLOOKUP(E741,Sheet2!$W:$AA,4,0))</f>
        <v/>
      </c>
      <c r="R741" s="8">
        <f t="shared" si="147"/>
        <v>24</v>
      </c>
      <c r="S741" s="8">
        <f t="shared" si="136"/>
        <v>2</v>
      </c>
    </row>
    <row r="742" spans="1:19">
      <c r="A742" s="6">
        <f t="shared" si="139"/>
        <v>14802</v>
      </c>
      <c r="B742" s="6">
        <f t="shared" si="146"/>
        <v>148</v>
      </c>
      <c r="C742" s="6">
        <f t="shared" si="137"/>
        <v>2</v>
      </c>
      <c r="D742" s="6" t="str">
        <f t="shared" si="142"/>
        <v>关卡148怪物2</v>
      </c>
      <c r="E742" s="6">
        <v>122</v>
      </c>
      <c r="G742" s="6" t="s">
        <v>1164</v>
      </c>
      <c r="H742" s="6">
        <f t="shared" si="141"/>
        <v>0</v>
      </c>
      <c r="I742" s="6" t="str">
        <f>IF(VLOOKUP(E742,Sheet2!$W:$AA,5,0)=0,"",VLOOKUP(E742,Sheet2!$W:$AA,5,0))</f>
        <v>[60011,60012]</v>
      </c>
      <c r="J742" s="6">
        <v>0</v>
      </c>
      <c r="K742" s="6">
        <v>0</v>
      </c>
      <c r="L742" s="6" t="str">
        <f>IF(VLOOKUP(E742,Sheet2!$W:$AA,2,0)=0,"",VLOOKUP(E742,Sheet2!$W:$AA,2,0))</f>
        <v/>
      </c>
      <c r="N742" s="6" t="str">
        <f>IF(VLOOKUP(E742,Sheet2!$W:$AA,3,0)=0,"",VLOOKUP(E742,Sheet2!$W:$AA,3,0))</f>
        <v/>
      </c>
      <c r="Q742" s="6" t="str">
        <f>IF(VLOOKUP(E742,Sheet2!$W:$AA,4,0)=0,"",VLOOKUP(E742,Sheet2!$W:$AA,4,0))</f>
        <v/>
      </c>
      <c r="R742" s="8">
        <f t="shared" si="147"/>
        <v>24</v>
      </c>
      <c r="S742" s="8">
        <f t="shared" si="136"/>
        <v>2</v>
      </c>
    </row>
    <row r="743" spans="1:19">
      <c r="A743" s="6">
        <f t="shared" si="139"/>
        <v>14803</v>
      </c>
      <c r="B743" s="6">
        <f t="shared" si="146"/>
        <v>148</v>
      </c>
      <c r="C743" s="6">
        <f t="shared" si="137"/>
        <v>3</v>
      </c>
      <c r="D743" s="6" t="str">
        <f t="shared" si="143"/>
        <v>关卡148怪物3</v>
      </c>
      <c r="E743" s="6">
        <v>123</v>
      </c>
      <c r="G743" s="6" t="s">
        <v>1165</v>
      </c>
      <c r="H743" s="6">
        <f t="shared" si="141"/>
        <v>0</v>
      </c>
      <c r="I743" s="6" t="str">
        <f>IF(VLOOKUP(E743,Sheet2!$W:$AA,5,0)=0,"",VLOOKUP(E743,Sheet2!$W:$AA,5,0))</f>
        <v>[60010]</v>
      </c>
      <c r="J743" s="6">
        <v>0</v>
      </c>
      <c r="K743" s="6">
        <v>0</v>
      </c>
      <c r="L743" s="6">
        <f>IF(VLOOKUP(E743,Sheet2!$W:$AA,2,0)=0,"",VLOOKUP(E743,Sheet2!$W:$AA,2,0))</f>
        <v>1</v>
      </c>
      <c r="N743" s="6" t="str">
        <f>IF(VLOOKUP(E743,Sheet2!$W:$AA,3,0)=0,"",VLOOKUP(E743,Sheet2!$W:$AA,3,0))</f>
        <v/>
      </c>
      <c r="Q743" s="6" t="str">
        <f>IF(VLOOKUP(E743,Sheet2!$W:$AA,4,0)=0,"",VLOOKUP(E743,Sheet2!$W:$AA,4,0))</f>
        <v>[{50019,6}]</v>
      </c>
      <c r="R743" s="8">
        <f t="shared" si="147"/>
        <v>24</v>
      </c>
      <c r="S743" s="8">
        <f t="shared" si="136"/>
        <v>2</v>
      </c>
    </row>
    <row r="744" spans="1:19">
      <c r="A744" s="6">
        <f t="shared" si="139"/>
        <v>14821</v>
      </c>
      <c r="B744" s="6">
        <f t="shared" si="146"/>
        <v>148</v>
      </c>
      <c r="C744" s="6">
        <f t="shared" si="137"/>
        <v>4</v>
      </c>
      <c r="D744" s="6" t="str">
        <f t="shared" si="144"/>
        <v>关卡148BOSS1</v>
      </c>
      <c r="E744" s="6">
        <v>521</v>
      </c>
      <c r="G744" s="6" t="s">
        <v>1166</v>
      </c>
      <c r="H744" s="6">
        <f t="shared" si="141"/>
        <v>2</v>
      </c>
      <c r="I744" s="6" t="str">
        <f>IF(VLOOKUP(E744,Sheet2!$W:$AA,5,0)=0,"",VLOOKUP(E744,Sheet2!$W:$AA,5,0))</f>
        <v/>
      </c>
      <c r="J744" s="6">
        <v>0</v>
      </c>
      <c r="K744" s="6">
        <v>0</v>
      </c>
      <c r="L744" s="6" t="str">
        <f>IF(VLOOKUP(E744,Sheet2!$W:$AA,2,0)=0,"",VLOOKUP(E744,Sheet2!$W:$AA,2,0))</f>
        <v/>
      </c>
      <c r="N744" s="6" t="str">
        <f>IF(VLOOKUP(E744,Sheet2!$W:$AA,3,0)=0,"",VLOOKUP(E744,Sheet2!$W:$AA,3,0))</f>
        <v/>
      </c>
      <c r="Q744" s="6" t="str">
        <f>IF(VLOOKUP(E744,Sheet2!$W:$AA,4,0)=0,"",VLOOKUP(E744,Sheet2!$W:$AA,4,0))</f>
        <v/>
      </c>
      <c r="R744" s="8">
        <f t="shared" si="147"/>
        <v>100</v>
      </c>
      <c r="S744" s="8">
        <f t="shared" si="136"/>
        <v>2</v>
      </c>
    </row>
    <row r="745" spans="1:19">
      <c r="A745" s="6">
        <f t="shared" si="139"/>
        <v>14831</v>
      </c>
      <c r="B745" s="6">
        <f t="shared" si="146"/>
        <v>148</v>
      </c>
      <c r="C745" s="6">
        <f t="shared" si="137"/>
        <v>5</v>
      </c>
      <c r="D745" s="6" t="str">
        <f t="shared" si="145"/>
        <v>关卡148BOSS2</v>
      </c>
      <c r="E745" s="6">
        <v>521</v>
      </c>
      <c r="G745" s="6" t="s">
        <v>1167</v>
      </c>
      <c r="H745" s="6">
        <f t="shared" si="141"/>
        <v>2</v>
      </c>
      <c r="I745" s="6" t="str">
        <f>IF(VLOOKUP(E745,Sheet2!$W:$AA,5,0)=0,"",VLOOKUP(E745,Sheet2!$W:$AA,5,0))</f>
        <v/>
      </c>
      <c r="J745" s="6">
        <v>0</v>
      </c>
      <c r="K745" s="6">
        <v>0</v>
      </c>
      <c r="L745" s="6" t="str">
        <f>IF(VLOOKUP(E745,Sheet2!$W:$AA,2,0)=0,"",VLOOKUP(E745,Sheet2!$W:$AA,2,0))</f>
        <v/>
      </c>
      <c r="N745" s="6" t="str">
        <f>IF(VLOOKUP(E745,Sheet2!$W:$AA,3,0)=0,"",VLOOKUP(E745,Sheet2!$W:$AA,3,0))</f>
        <v/>
      </c>
      <c r="Q745" s="6" t="str">
        <f>IF(VLOOKUP(E745,Sheet2!$W:$AA,4,0)=0,"",VLOOKUP(E745,Sheet2!$W:$AA,4,0))</f>
        <v/>
      </c>
      <c r="R745" s="8">
        <f t="shared" si="147"/>
        <v>100</v>
      </c>
      <c r="S745" s="8">
        <f t="shared" si="136"/>
        <v>2</v>
      </c>
    </row>
    <row r="746" spans="1:19">
      <c r="A746" s="6">
        <f t="shared" si="139"/>
        <v>14901</v>
      </c>
      <c r="B746" s="6">
        <f t="shared" si="146"/>
        <v>149</v>
      </c>
      <c r="C746" s="6">
        <f t="shared" si="137"/>
        <v>1</v>
      </c>
      <c r="D746" s="6" t="str">
        <f t="shared" si="140"/>
        <v>关卡149怪物1</v>
      </c>
      <c r="E746" s="6">
        <v>114</v>
      </c>
      <c r="G746" s="6" t="s">
        <v>1168</v>
      </c>
      <c r="H746" s="6">
        <f t="shared" si="141"/>
        <v>0</v>
      </c>
      <c r="I746" s="6" t="str">
        <f>IF(VLOOKUP(E746,Sheet2!$W:$AA,5,0)=0,"",VLOOKUP(E746,Sheet2!$W:$AA,5,0))</f>
        <v/>
      </c>
      <c r="J746" s="6">
        <v>0</v>
      </c>
      <c r="K746" s="6">
        <v>0</v>
      </c>
      <c r="L746" s="6" t="str">
        <f>IF(VLOOKUP(E746,Sheet2!$W:$AA,2,0)=0,"",VLOOKUP(E746,Sheet2!$W:$AA,2,0))</f>
        <v/>
      </c>
      <c r="N746" s="6" t="str">
        <f>IF(VLOOKUP(E746,Sheet2!$W:$AA,3,0)=0,"",VLOOKUP(E746,Sheet2!$W:$AA,3,0))</f>
        <v/>
      </c>
      <c r="Q746" s="6" t="str">
        <f>IF(VLOOKUP(E746,Sheet2!$W:$AA,4,0)=0,"",VLOOKUP(E746,Sheet2!$W:$AA,4,0))</f>
        <v/>
      </c>
      <c r="R746" s="8">
        <f t="shared" si="147"/>
        <v>24</v>
      </c>
      <c r="S746" s="8">
        <f t="shared" si="136"/>
        <v>2</v>
      </c>
    </row>
    <row r="747" spans="1:19">
      <c r="A747" s="6">
        <f t="shared" si="139"/>
        <v>14902</v>
      </c>
      <c r="B747" s="6">
        <f t="shared" si="146"/>
        <v>149</v>
      </c>
      <c r="C747" s="6">
        <f t="shared" si="137"/>
        <v>2</v>
      </c>
      <c r="D747" s="6" t="str">
        <f t="shared" si="142"/>
        <v>关卡149怪物2</v>
      </c>
      <c r="E747" s="6">
        <v>112</v>
      </c>
      <c r="G747" s="6" t="s">
        <v>1169</v>
      </c>
      <c r="H747" s="6">
        <f t="shared" si="141"/>
        <v>0</v>
      </c>
      <c r="I747" s="6" t="str">
        <f>IF(VLOOKUP(E747,Sheet2!$W:$AA,5,0)=0,"",VLOOKUP(E747,Sheet2!$W:$AA,5,0))</f>
        <v/>
      </c>
      <c r="J747" s="6">
        <v>0</v>
      </c>
      <c r="K747" s="6">
        <v>0</v>
      </c>
      <c r="L747" s="6">
        <f>IF(VLOOKUP(E747,Sheet2!$W:$AA,2,0)=0,"",VLOOKUP(E747,Sheet2!$W:$AA,2,0))</f>
        <v>1</v>
      </c>
      <c r="N747" s="6" t="str">
        <f>IF(VLOOKUP(E747,Sheet2!$W:$AA,3,0)=0,"",VLOOKUP(E747,Sheet2!$W:$AA,3,0))</f>
        <v/>
      </c>
      <c r="Q747" s="6" t="str">
        <f>IF(VLOOKUP(E747,Sheet2!$W:$AA,4,0)=0,"",VLOOKUP(E747,Sheet2!$W:$AA,4,0))</f>
        <v>[{50015,6}]</v>
      </c>
      <c r="R747" s="8">
        <f t="shared" si="147"/>
        <v>24</v>
      </c>
      <c r="S747" s="8">
        <f t="shared" si="136"/>
        <v>2</v>
      </c>
    </row>
    <row r="748" spans="1:19">
      <c r="A748" s="6">
        <f t="shared" si="139"/>
        <v>14903</v>
      </c>
      <c r="B748" s="6">
        <f t="shared" si="146"/>
        <v>149</v>
      </c>
      <c r="C748" s="6">
        <f t="shared" si="137"/>
        <v>3</v>
      </c>
      <c r="D748" s="6" t="str">
        <f t="shared" si="143"/>
        <v>关卡149怪物3</v>
      </c>
      <c r="E748" s="6">
        <v>113</v>
      </c>
      <c r="G748" s="6" t="s">
        <v>1170</v>
      </c>
      <c r="H748" s="6">
        <f t="shared" si="141"/>
        <v>0</v>
      </c>
      <c r="I748" s="6" t="str">
        <f>IF(VLOOKUP(E748,Sheet2!$W:$AA,5,0)=0,"",VLOOKUP(E748,Sheet2!$W:$AA,5,0))</f>
        <v>[60005]</v>
      </c>
      <c r="J748" s="6">
        <v>0</v>
      </c>
      <c r="K748" s="6">
        <v>0</v>
      </c>
      <c r="L748" s="6">
        <f>IF(VLOOKUP(E748,Sheet2!$W:$AA,2,0)=0,"",VLOOKUP(E748,Sheet2!$W:$AA,2,0))</f>
        <v>1</v>
      </c>
      <c r="N748" s="6" t="str">
        <f>IF(VLOOKUP(E748,Sheet2!$W:$AA,3,0)=0,"",VLOOKUP(E748,Sheet2!$W:$AA,3,0))</f>
        <v/>
      </c>
      <c r="Q748" s="6" t="str">
        <f>IF(VLOOKUP(E748,Sheet2!$W:$AA,4,0)=0,"",VLOOKUP(E748,Sheet2!$W:$AA,4,0))</f>
        <v>[{50016,6}]</v>
      </c>
      <c r="R748" s="8">
        <f t="shared" si="147"/>
        <v>24</v>
      </c>
      <c r="S748" s="8">
        <f t="shared" si="136"/>
        <v>2</v>
      </c>
    </row>
    <row r="749" spans="1:19">
      <c r="A749" s="6">
        <f t="shared" si="139"/>
        <v>14921</v>
      </c>
      <c r="B749" s="6">
        <f t="shared" si="146"/>
        <v>149</v>
      </c>
      <c r="C749" s="6">
        <f t="shared" si="137"/>
        <v>4</v>
      </c>
      <c r="D749" s="6" t="str">
        <f t="shared" si="144"/>
        <v>关卡149BOSS1</v>
      </c>
      <c r="E749" s="6">
        <v>514</v>
      </c>
      <c r="G749" s="6" t="s">
        <v>1171</v>
      </c>
      <c r="H749" s="6">
        <f t="shared" si="141"/>
        <v>2</v>
      </c>
      <c r="I749" s="6" t="str">
        <f>IF(VLOOKUP(E749,Sheet2!$W:$AA,5,0)=0,"",VLOOKUP(E749,Sheet2!$W:$AA,5,0))</f>
        <v/>
      </c>
      <c r="J749" s="6">
        <v>0</v>
      </c>
      <c r="K749" s="6">
        <v>0</v>
      </c>
      <c r="L749" s="6" t="str">
        <f>IF(VLOOKUP(E749,Sheet2!$W:$AA,2,0)=0,"",VLOOKUP(E749,Sheet2!$W:$AA,2,0))</f>
        <v/>
      </c>
      <c r="N749" s="6" t="str">
        <f>IF(VLOOKUP(E749,Sheet2!$W:$AA,3,0)=0,"",VLOOKUP(E749,Sheet2!$W:$AA,3,0))</f>
        <v/>
      </c>
      <c r="Q749" s="6" t="str">
        <f>IF(VLOOKUP(E749,Sheet2!$W:$AA,4,0)=0,"",VLOOKUP(E749,Sheet2!$W:$AA,4,0))</f>
        <v/>
      </c>
      <c r="R749" s="8">
        <f t="shared" si="147"/>
        <v>100</v>
      </c>
      <c r="S749" s="8">
        <f t="shared" ref="S749:S812" si="148">S748</f>
        <v>2</v>
      </c>
    </row>
    <row r="750" spans="1:19">
      <c r="A750" s="6">
        <f t="shared" si="139"/>
        <v>14931</v>
      </c>
      <c r="B750" s="6">
        <f t="shared" si="146"/>
        <v>149</v>
      </c>
      <c r="C750" s="6">
        <f t="shared" si="137"/>
        <v>5</v>
      </c>
      <c r="D750" s="6" t="str">
        <f t="shared" si="145"/>
        <v>关卡149BOSS2</v>
      </c>
      <c r="E750" s="6">
        <v>514</v>
      </c>
      <c r="G750" s="6" t="s">
        <v>1172</v>
      </c>
      <c r="H750" s="6">
        <f t="shared" si="141"/>
        <v>2</v>
      </c>
      <c r="I750" s="6" t="str">
        <f>IF(VLOOKUP(E750,Sheet2!$W:$AA,5,0)=0,"",VLOOKUP(E750,Sheet2!$W:$AA,5,0))</f>
        <v/>
      </c>
      <c r="J750" s="6">
        <v>0</v>
      </c>
      <c r="K750" s="6">
        <v>0</v>
      </c>
      <c r="L750" s="6" t="str">
        <f>IF(VLOOKUP(E750,Sheet2!$W:$AA,2,0)=0,"",VLOOKUP(E750,Sheet2!$W:$AA,2,0))</f>
        <v/>
      </c>
      <c r="N750" s="6" t="str">
        <f>IF(VLOOKUP(E750,Sheet2!$W:$AA,3,0)=0,"",VLOOKUP(E750,Sheet2!$W:$AA,3,0))</f>
        <v/>
      </c>
      <c r="Q750" s="6" t="str">
        <f>IF(VLOOKUP(E750,Sheet2!$W:$AA,4,0)=0,"",VLOOKUP(E750,Sheet2!$W:$AA,4,0))</f>
        <v/>
      </c>
      <c r="R750" s="8">
        <f t="shared" si="147"/>
        <v>100</v>
      </c>
      <c r="S750" s="8">
        <f t="shared" si="148"/>
        <v>2</v>
      </c>
    </row>
    <row r="751" spans="1:19">
      <c r="A751" s="6">
        <f t="shared" si="139"/>
        <v>15001</v>
      </c>
      <c r="B751" s="6">
        <f t="shared" si="146"/>
        <v>150</v>
      </c>
      <c r="C751" s="6">
        <f t="shared" si="137"/>
        <v>1</v>
      </c>
      <c r="D751" s="6" t="str">
        <f t="shared" si="140"/>
        <v>关卡150怪物1</v>
      </c>
      <c r="E751" s="6">
        <v>100</v>
      </c>
      <c r="G751" s="6" t="s">
        <v>1173</v>
      </c>
      <c r="H751" s="6">
        <f t="shared" si="141"/>
        <v>0</v>
      </c>
      <c r="I751" s="6" t="str">
        <f>IF(VLOOKUP(E751,Sheet2!$W:$AA,5,0)=0,"",VLOOKUP(E751,Sheet2!$W:$AA,5,0))</f>
        <v>[60002]</v>
      </c>
      <c r="J751" s="6">
        <v>0</v>
      </c>
      <c r="K751" s="6">
        <v>0</v>
      </c>
      <c r="L751" s="6" t="str">
        <f>IF(VLOOKUP(E751,Sheet2!$W:$AA,2,0)=0,"",VLOOKUP(E751,Sheet2!$W:$AA,2,0))</f>
        <v/>
      </c>
      <c r="N751" s="6">
        <f>IF(VLOOKUP(E751,Sheet2!$W:$AA,3,0)=0,"",VLOOKUP(E751,Sheet2!$W:$AA,3,0))</f>
        <v>2001</v>
      </c>
      <c r="Q751" s="6" t="str">
        <f>IF(VLOOKUP(E751,Sheet2!$W:$AA,4,0)=0,"",VLOOKUP(E751,Sheet2!$W:$AA,4,0))</f>
        <v/>
      </c>
      <c r="R751" s="8">
        <f t="shared" si="147"/>
        <v>24</v>
      </c>
      <c r="S751" s="8">
        <f t="shared" si="148"/>
        <v>2</v>
      </c>
    </row>
    <row r="752" spans="1:19">
      <c r="A752" s="6">
        <f t="shared" si="139"/>
        <v>15002</v>
      </c>
      <c r="B752" s="6">
        <f t="shared" si="146"/>
        <v>150</v>
      </c>
      <c r="C752" s="6">
        <f t="shared" si="137"/>
        <v>2</v>
      </c>
      <c r="D752" s="6" t="str">
        <f t="shared" si="142"/>
        <v>关卡150怪物2</v>
      </c>
      <c r="E752" s="6">
        <v>102</v>
      </c>
      <c r="G752" s="6" t="s">
        <v>1174</v>
      </c>
      <c r="H752" s="6">
        <f t="shared" si="141"/>
        <v>0</v>
      </c>
      <c r="I752" s="6" t="str">
        <f>IF(VLOOKUP(E752,Sheet2!$W:$AA,5,0)=0,"",VLOOKUP(E752,Sheet2!$W:$AA,5,0))</f>
        <v/>
      </c>
      <c r="J752" s="6">
        <v>0</v>
      </c>
      <c r="K752" s="6">
        <v>0</v>
      </c>
      <c r="L752" s="6">
        <f>IF(VLOOKUP(E752,Sheet2!$W:$AA,2,0)=0,"",VLOOKUP(E752,Sheet2!$W:$AA,2,0))</f>
        <v>1</v>
      </c>
      <c r="N752" s="6" t="str">
        <f>IF(VLOOKUP(E752,Sheet2!$W:$AA,3,0)=0,"",VLOOKUP(E752,Sheet2!$W:$AA,3,0))</f>
        <v/>
      </c>
      <c r="Q752" s="6" t="str">
        <f>IF(VLOOKUP(E752,Sheet2!$W:$AA,4,0)=0,"",VLOOKUP(E752,Sheet2!$W:$AA,4,0))</f>
        <v>[{50011,6}]</v>
      </c>
      <c r="R752" s="8">
        <f t="shared" si="147"/>
        <v>24</v>
      </c>
      <c r="S752" s="8">
        <f t="shared" si="148"/>
        <v>2</v>
      </c>
    </row>
    <row r="753" spans="1:19">
      <c r="A753" s="6">
        <f t="shared" si="139"/>
        <v>15003</v>
      </c>
      <c r="B753" s="6">
        <f t="shared" si="146"/>
        <v>150</v>
      </c>
      <c r="C753" s="6">
        <f t="shared" si="137"/>
        <v>3</v>
      </c>
      <c r="D753" s="6" t="str">
        <f t="shared" si="143"/>
        <v>关卡150怪物3</v>
      </c>
      <c r="E753" s="6">
        <v>105</v>
      </c>
      <c r="G753" s="6" t="s">
        <v>1175</v>
      </c>
      <c r="H753" s="6">
        <f t="shared" si="141"/>
        <v>0</v>
      </c>
      <c r="I753" s="6" t="str">
        <f>IF(VLOOKUP(E753,Sheet2!$W:$AA,5,0)=0,"",VLOOKUP(E753,Sheet2!$W:$AA,5,0))</f>
        <v>[60003]</v>
      </c>
      <c r="J753" s="6">
        <v>0</v>
      </c>
      <c r="K753" s="6">
        <v>0</v>
      </c>
      <c r="L753" s="6" t="str">
        <f>IF(VLOOKUP(E753,Sheet2!$W:$AA,2,0)=0,"",VLOOKUP(E753,Sheet2!$W:$AA,2,0))</f>
        <v/>
      </c>
      <c r="N753" s="6" t="str">
        <f>IF(VLOOKUP(E753,Sheet2!$W:$AA,3,0)=0,"",VLOOKUP(E753,Sheet2!$W:$AA,3,0))</f>
        <v/>
      </c>
      <c r="Q753" s="6" t="str">
        <f>IF(VLOOKUP(E753,Sheet2!$W:$AA,4,0)=0,"",VLOOKUP(E753,Sheet2!$W:$AA,4,0))</f>
        <v/>
      </c>
      <c r="R753" s="8">
        <f t="shared" si="147"/>
        <v>24</v>
      </c>
      <c r="S753" s="8">
        <f t="shared" si="148"/>
        <v>2</v>
      </c>
    </row>
    <row r="754" spans="1:19">
      <c r="A754" s="6">
        <f t="shared" si="139"/>
        <v>15021</v>
      </c>
      <c r="B754" s="6">
        <f t="shared" si="146"/>
        <v>150</v>
      </c>
      <c r="C754" s="6">
        <f t="shared" si="137"/>
        <v>4</v>
      </c>
      <c r="D754" s="6" t="str">
        <f t="shared" si="144"/>
        <v>关卡150BOSS1</v>
      </c>
      <c r="E754" s="6">
        <v>502</v>
      </c>
      <c r="G754" s="6" t="s">
        <v>1176</v>
      </c>
      <c r="H754" s="6">
        <f t="shared" si="141"/>
        <v>2</v>
      </c>
      <c r="I754" s="6" t="str">
        <f>IF(VLOOKUP(E754,Sheet2!$W:$AA,5,0)=0,"",VLOOKUP(E754,Sheet2!$W:$AA,5,0))</f>
        <v/>
      </c>
      <c r="J754" s="6">
        <v>0</v>
      </c>
      <c r="K754" s="6">
        <v>0</v>
      </c>
      <c r="L754" s="6">
        <f>IF(VLOOKUP(E754,Sheet2!$W:$AA,2,0)=0,"",VLOOKUP(E754,Sheet2!$W:$AA,2,0))</f>
        <v>1</v>
      </c>
      <c r="N754" s="6" t="str">
        <f>IF(VLOOKUP(E754,Sheet2!$W:$AA,3,0)=0,"",VLOOKUP(E754,Sheet2!$W:$AA,3,0))</f>
        <v/>
      </c>
      <c r="Q754" s="6" t="str">
        <f>IF(VLOOKUP(E754,Sheet2!$W:$AA,4,0)=0,"",VLOOKUP(E754,Sheet2!$W:$AA,4,0))</f>
        <v>[{50021,6}]</v>
      </c>
      <c r="R754" s="8">
        <f t="shared" si="147"/>
        <v>100</v>
      </c>
      <c r="S754" s="8">
        <f t="shared" si="148"/>
        <v>2</v>
      </c>
    </row>
    <row r="755" spans="1:19">
      <c r="A755" s="6">
        <f t="shared" si="139"/>
        <v>15031</v>
      </c>
      <c r="B755" s="6">
        <f t="shared" si="146"/>
        <v>150</v>
      </c>
      <c r="C755" s="6">
        <f t="shared" si="137"/>
        <v>5</v>
      </c>
      <c r="D755" s="6" t="str">
        <f t="shared" si="145"/>
        <v>关卡150BOSS2</v>
      </c>
      <c r="E755" s="6">
        <v>500</v>
      </c>
      <c r="G755" s="6" t="s">
        <v>1177</v>
      </c>
      <c r="H755" s="6">
        <f t="shared" si="141"/>
        <v>2</v>
      </c>
      <c r="I755" s="6" t="str">
        <f>IF(VLOOKUP(E755,Sheet2!$W:$AA,5,0)=0,"",VLOOKUP(E755,Sheet2!$W:$AA,5,0))</f>
        <v>[60002]</v>
      </c>
      <c r="J755" s="6">
        <v>0</v>
      </c>
      <c r="K755" s="6">
        <v>0</v>
      </c>
      <c r="L755" s="6" t="str">
        <f>IF(VLOOKUP(E755,Sheet2!$W:$AA,2,0)=0,"",VLOOKUP(E755,Sheet2!$W:$AA,2,0))</f>
        <v/>
      </c>
      <c r="N755" s="6">
        <f>IF(VLOOKUP(E755,Sheet2!$W:$AA,3,0)=0,"",VLOOKUP(E755,Sheet2!$W:$AA,3,0))</f>
        <v>2001</v>
      </c>
      <c r="Q755" s="6" t="str">
        <f>IF(VLOOKUP(E755,Sheet2!$W:$AA,4,0)=0,"",VLOOKUP(E755,Sheet2!$W:$AA,4,0))</f>
        <v/>
      </c>
      <c r="R755" s="8">
        <f t="shared" si="147"/>
        <v>100</v>
      </c>
      <c r="S755" s="8">
        <f t="shared" si="148"/>
        <v>2</v>
      </c>
    </row>
    <row r="756" spans="1:19">
      <c r="A756" s="6">
        <f t="shared" ref="A756:A819" si="149">A751+100</f>
        <v>15101</v>
      </c>
      <c r="B756" s="6">
        <f t="shared" si="146"/>
        <v>151</v>
      </c>
      <c r="C756" s="6">
        <f t="shared" si="137"/>
        <v>1</v>
      </c>
      <c r="D756" s="6" t="str">
        <f t="shared" ref="D756:D801" si="150">"关卡"&amp;B756&amp;"怪物1"</f>
        <v>关卡151怪物1</v>
      </c>
      <c r="E756" s="6">
        <v>122</v>
      </c>
      <c r="G756" s="6" t="s">
        <v>1178</v>
      </c>
      <c r="H756" s="6">
        <f t="shared" si="141"/>
        <v>0</v>
      </c>
      <c r="I756" s="6" t="str">
        <f>IF(VLOOKUP(E756,Sheet2!$W:$AA,5,0)=0,"",VLOOKUP(E756,Sheet2!$W:$AA,5,0))</f>
        <v>[60011,60012]</v>
      </c>
      <c r="J756" s="6">
        <v>0</v>
      </c>
      <c r="K756" s="6">
        <v>0</v>
      </c>
      <c r="L756" s="6" t="str">
        <f>IF(VLOOKUP(E756,Sheet2!$W:$AA,2,0)=0,"",VLOOKUP(E756,Sheet2!$W:$AA,2,0))</f>
        <v/>
      </c>
      <c r="N756" s="6" t="str">
        <f>IF(VLOOKUP(E756,Sheet2!$W:$AA,3,0)=0,"",VLOOKUP(E756,Sheet2!$W:$AA,3,0))</f>
        <v/>
      </c>
      <c r="Q756" s="6" t="str">
        <f>IF(VLOOKUP(E756,Sheet2!$W:$AA,4,0)=0,"",VLOOKUP(E756,Sheet2!$W:$AA,4,0))</f>
        <v/>
      </c>
      <c r="R756" s="8">
        <f t="shared" si="147"/>
        <v>24</v>
      </c>
      <c r="S756" s="8">
        <f t="shared" si="148"/>
        <v>2</v>
      </c>
    </row>
    <row r="757" spans="1:19">
      <c r="A757" s="6">
        <f t="shared" si="149"/>
        <v>15102</v>
      </c>
      <c r="B757" s="6">
        <f t="shared" si="146"/>
        <v>151</v>
      </c>
      <c r="C757" s="6">
        <f t="shared" ref="C757:C820" si="151">C752</f>
        <v>2</v>
      </c>
      <c r="D757" s="6" t="str">
        <f t="shared" ref="D757:D802" si="152">"关卡"&amp;B757&amp;"怪物2"</f>
        <v>关卡151怪物2</v>
      </c>
      <c r="E757" s="6">
        <v>123</v>
      </c>
      <c r="G757" s="6" t="s">
        <v>1179</v>
      </c>
      <c r="H757" s="6">
        <f t="shared" si="141"/>
        <v>0</v>
      </c>
      <c r="I757" s="6" t="str">
        <f>IF(VLOOKUP(E757,Sheet2!$W:$AA,5,0)=0,"",VLOOKUP(E757,Sheet2!$W:$AA,5,0))</f>
        <v>[60010]</v>
      </c>
      <c r="J757" s="6">
        <v>0</v>
      </c>
      <c r="K757" s="6">
        <v>0</v>
      </c>
      <c r="L757" s="6">
        <f>IF(VLOOKUP(E757,Sheet2!$W:$AA,2,0)=0,"",VLOOKUP(E757,Sheet2!$W:$AA,2,0))</f>
        <v>1</v>
      </c>
      <c r="N757" s="6" t="str">
        <f>IF(VLOOKUP(E757,Sheet2!$W:$AA,3,0)=0,"",VLOOKUP(E757,Sheet2!$W:$AA,3,0))</f>
        <v/>
      </c>
      <c r="Q757" s="6" t="str">
        <f>IF(VLOOKUP(E757,Sheet2!$W:$AA,4,0)=0,"",VLOOKUP(E757,Sheet2!$W:$AA,4,0))</f>
        <v>[{50019,6}]</v>
      </c>
      <c r="R757" s="8">
        <f t="shared" si="147"/>
        <v>24</v>
      </c>
      <c r="S757" s="8">
        <f t="shared" si="148"/>
        <v>2</v>
      </c>
    </row>
    <row r="758" spans="1:19">
      <c r="A758" s="6">
        <f t="shared" si="149"/>
        <v>15103</v>
      </c>
      <c r="B758" s="6">
        <f t="shared" si="146"/>
        <v>151</v>
      </c>
      <c r="C758" s="6">
        <f t="shared" si="151"/>
        <v>3</v>
      </c>
      <c r="D758" s="6" t="str">
        <f t="shared" ref="D758:D803" si="153">"关卡"&amp;B758&amp;"怪物3"</f>
        <v>关卡151怪物3</v>
      </c>
      <c r="E758" s="6">
        <v>124</v>
      </c>
      <c r="G758" s="6" t="s">
        <v>1180</v>
      </c>
      <c r="H758" s="6">
        <f t="shared" si="141"/>
        <v>0</v>
      </c>
      <c r="I758" s="6" t="str">
        <f>IF(VLOOKUP(E758,Sheet2!$W:$AA,5,0)=0,"",VLOOKUP(E758,Sheet2!$W:$AA,5,0))</f>
        <v>[60013]</v>
      </c>
      <c r="J758" s="6">
        <v>0</v>
      </c>
      <c r="K758" s="6">
        <v>0</v>
      </c>
      <c r="L758" s="6" t="str">
        <f>IF(VLOOKUP(E758,Sheet2!$W:$AA,2,0)=0,"",VLOOKUP(E758,Sheet2!$W:$AA,2,0))</f>
        <v/>
      </c>
      <c r="N758" s="6" t="str">
        <f>IF(VLOOKUP(E758,Sheet2!$W:$AA,3,0)=0,"",VLOOKUP(E758,Sheet2!$W:$AA,3,0))</f>
        <v/>
      </c>
      <c r="Q758" s="6" t="str">
        <f>IF(VLOOKUP(E758,Sheet2!$W:$AA,4,0)=0,"",VLOOKUP(E758,Sheet2!$W:$AA,4,0))</f>
        <v/>
      </c>
      <c r="R758" s="8">
        <f t="shared" si="147"/>
        <v>24</v>
      </c>
      <c r="S758" s="8">
        <f t="shared" si="148"/>
        <v>2</v>
      </c>
    </row>
    <row r="759" spans="1:19">
      <c r="A759" s="6">
        <f t="shared" si="149"/>
        <v>15121</v>
      </c>
      <c r="B759" s="6">
        <f t="shared" si="146"/>
        <v>151</v>
      </c>
      <c r="C759" s="6">
        <f t="shared" si="151"/>
        <v>4</v>
      </c>
      <c r="D759" s="6" t="str">
        <f t="shared" ref="D759:D804" si="154">"关卡"&amp;B759&amp;"BOSS1"</f>
        <v>关卡151BOSS1</v>
      </c>
      <c r="E759" s="6">
        <v>522</v>
      </c>
      <c r="G759" s="6" t="s">
        <v>1181</v>
      </c>
      <c r="H759" s="6">
        <f t="shared" si="141"/>
        <v>2</v>
      </c>
      <c r="I759" s="6" t="str">
        <f>IF(VLOOKUP(E759,Sheet2!$W:$AA,5,0)=0,"",VLOOKUP(E759,Sheet2!$W:$AA,5,0))</f>
        <v>[60011,60012]</v>
      </c>
      <c r="J759" s="6">
        <v>0</v>
      </c>
      <c r="K759" s="6">
        <v>0</v>
      </c>
      <c r="L759" s="6" t="str">
        <f>IF(VLOOKUP(E759,Sheet2!$W:$AA,2,0)=0,"",VLOOKUP(E759,Sheet2!$W:$AA,2,0))</f>
        <v/>
      </c>
      <c r="N759" s="6" t="str">
        <f>IF(VLOOKUP(E759,Sheet2!$W:$AA,3,0)=0,"",VLOOKUP(E759,Sheet2!$W:$AA,3,0))</f>
        <v/>
      </c>
      <c r="Q759" s="6" t="str">
        <f>IF(VLOOKUP(E759,Sheet2!$W:$AA,4,0)=0,"",VLOOKUP(E759,Sheet2!$W:$AA,4,0))</f>
        <v/>
      </c>
      <c r="R759" s="8">
        <f t="shared" si="147"/>
        <v>100</v>
      </c>
      <c r="S759" s="8">
        <f t="shared" si="148"/>
        <v>2</v>
      </c>
    </row>
    <row r="760" spans="1:19">
      <c r="A760" s="6">
        <f t="shared" si="149"/>
        <v>15131</v>
      </c>
      <c r="B760" s="6">
        <f t="shared" si="146"/>
        <v>151</v>
      </c>
      <c r="C760" s="6">
        <f t="shared" si="151"/>
        <v>5</v>
      </c>
      <c r="D760" s="6" t="str">
        <f t="shared" ref="D760:D805" si="155">"关卡"&amp;B760&amp;"BOSS2"</f>
        <v>关卡151BOSS2</v>
      </c>
      <c r="E760" s="6">
        <v>522</v>
      </c>
      <c r="G760" s="6" t="s">
        <v>1182</v>
      </c>
      <c r="H760" s="6">
        <f t="shared" si="141"/>
        <v>2</v>
      </c>
      <c r="I760" s="6" t="str">
        <f>IF(VLOOKUP(E760,Sheet2!$W:$AA,5,0)=0,"",VLOOKUP(E760,Sheet2!$W:$AA,5,0))</f>
        <v>[60011,60012]</v>
      </c>
      <c r="J760" s="6">
        <v>0</v>
      </c>
      <c r="K760" s="6">
        <v>0</v>
      </c>
      <c r="L760" s="6" t="str">
        <f>IF(VLOOKUP(E760,Sheet2!$W:$AA,2,0)=0,"",VLOOKUP(E760,Sheet2!$W:$AA,2,0))</f>
        <v/>
      </c>
      <c r="N760" s="6" t="str">
        <f>IF(VLOOKUP(E760,Sheet2!$W:$AA,3,0)=0,"",VLOOKUP(E760,Sheet2!$W:$AA,3,0))</f>
        <v/>
      </c>
      <c r="Q760" s="6" t="str">
        <f>IF(VLOOKUP(E760,Sheet2!$W:$AA,4,0)=0,"",VLOOKUP(E760,Sheet2!$W:$AA,4,0))</f>
        <v/>
      </c>
      <c r="R760" s="8">
        <f t="shared" si="147"/>
        <v>100</v>
      </c>
      <c r="S760" s="8">
        <f t="shared" si="148"/>
        <v>2</v>
      </c>
    </row>
    <row r="761" spans="1:19">
      <c r="A761" s="6">
        <f t="shared" si="149"/>
        <v>15201</v>
      </c>
      <c r="B761" s="6">
        <f t="shared" si="146"/>
        <v>152</v>
      </c>
      <c r="C761" s="6">
        <f t="shared" si="151"/>
        <v>1</v>
      </c>
      <c r="D761" s="6" t="str">
        <f t="shared" si="150"/>
        <v>关卡152怪物1</v>
      </c>
      <c r="E761" s="6">
        <v>117</v>
      </c>
      <c r="G761" s="6" t="s">
        <v>1183</v>
      </c>
      <c r="H761" s="6">
        <f t="shared" si="141"/>
        <v>0</v>
      </c>
      <c r="I761" s="6" t="str">
        <f>IF(VLOOKUP(E761,Sheet2!$W:$AA,5,0)=0,"",VLOOKUP(E761,Sheet2!$W:$AA,5,0))</f>
        <v/>
      </c>
      <c r="J761" s="6">
        <v>0</v>
      </c>
      <c r="K761" s="6">
        <v>0</v>
      </c>
      <c r="L761" s="6" t="str">
        <f>IF(VLOOKUP(E761,Sheet2!$W:$AA,2,0)=0,"",VLOOKUP(E761,Sheet2!$W:$AA,2,0))</f>
        <v/>
      </c>
      <c r="N761" s="6" t="str">
        <f>IF(VLOOKUP(E761,Sheet2!$W:$AA,3,0)=0,"",VLOOKUP(E761,Sheet2!$W:$AA,3,0))</f>
        <v/>
      </c>
      <c r="Q761" s="6" t="str">
        <f>IF(VLOOKUP(E761,Sheet2!$W:$AA,4,0)=0,"",VLOOKUP(E761,Sheet2!$W:$AA,4,0))</f>
        <v/>
      </c>
      <c r="R761" s="8">
        <f t="shared" si="147"/>
        <v>24</v>
      </c>
      <c r="S761" s="8">
        <f t="shared" si="148"/>
        <v>2</v>
      </c>
    </row>
    <row r="762" spans="1:19">
      <c r="A762" s="6">
        <f t="shared" si="149"/>
        <v>15202</v>
      </c>
      <c r="B762" s="6">
        <f t="shared" si="146"/>
        <v>152</v>
      </c>
      <c r="C762" s="6">
        <f t="shared" si="151"/>
        <v>2</v>
      </c>
      <c r="D762" s="6" t="str">
        <f t="shared" si="152"/>
        <v>关卡152怪物2</v>
      </c>
      <c r="E762" s="6">
        <v>119</v>
      </c>
      <c r="G762" s="6" t="s">
        <v>1184</v>
      </c>
      <c r="H762" s="6">
        <f t="shared" si="141"/>
        <v>0</v>
      </c>
      <c r="I762" s="6" t="str">
        <f>IF(VLOOKUP(E762,Sheet2!$W:$AA,5,0)=0,"",VLOOKUP(E762,Sheet2!$W:$AA,5,0))</f>
        <v/>
      </c>
      <c r="J762" s="6">
        <v>0</v>
      </c>
      <c r="K762" s="6">
        <v>0</v>
      </c>
      <c r="L762" s="6">
        <f>IF(VLOOKUP(E762,Sheet2!$W:$AA,2,0)=0,"",VLOOKUP(E762,Sheet2!$W:$AA,2,0))</f>
        <v>1</v>
      </c>
      <c r="N762" s="6" t="str">
        <f>IF(VLOOKUP(E762,Sheet2!$W:$AA,3,0)=0,"",VLOOKUP(E762,Sheet2!$W:$AA,3,0))</f>
        <v/>
      </c>
      <c r="Q762" s="6" t="str">
        <f>IF(VLOOKUP(E762,Sheet2!$W:$AA,4,0)=0,"",VLOOKUP(E762,Sheet2!$W:$AA,4,0))</f>
        <v>[{50018,6}]</v>
      </c>
      <c r="R762" s="8">
        <f t="shared" si="147"/>
        <v>24</v>
      </c>
      <c r="S762" s="8">
        <f t="shared" si="148"/>
        <v>2</v>
      </c>
    </row>
    <row r="763" spans="1:19">
      <c r="A763" s="6">
        <f t="shared" si="149"/>
        <v>15203</v>
      </c>
      <c r="B763" s="6">
        <f t="shared" si="146"/>
        <v>152</v>
      </c>
      <c r="C763" s="6">
        <f t="shared" si="151"/>
        <v>3</v>
      </c>
      <c r="D763" s="6" t="str">
        <f t="shared" si="153"/>
        <v>关卡152怪物3</v>
      </c>
      <c r="E763" s="6">
        <v>125</v>
      </c>
      <c r="G763" s="6" t="s">
        <v>1185</v>
      </c>
      <c r="H763" s="6">
        <f t="shared" si="141"/>
        <v>0</v>
      </c>
      <c r="I763" s="6" t="str">
        <f>IF(VLOOKUP(E763,Sheet2!$W:$AA,5,0)=0,"",VLOOKUP(E763,Sheet2!$W:$AA,5,0))</f>
        <v>[60016]</v>
      </c>
      <c r="J763" s="6">
        <v>0</v>
      </c>
      <c r="K763" s="6">
        <v>0</v>
      </c>
      <c r="L763" s="6" t="str">
        <f>IF(VLOOKUP(E763,Sheet2!$W:$AA,2,0)=0,"",VLOOKUP(E763,Sheet2!$W:$AA,2,0))</f>
        <v/>
      </c>
      <c r="N763" s="6" t="str">
        <f>IF(VLOOKUP(E763,Sheet2!$W:$AA,3,0)=0,"",VLOOKUP(E763,Sheet2!$W:$AA,3,0))</f>
        <v/>
      </c>
      <c r="Q763" s="6" t="str">
        <f>IF(VLOOKUP(E763,Sheet2!$W:$AA,4,0)=0,"",VLOOKUP(E763,Sheet2!$W:$AA,4,0))</f>
        <v/>
      </c>
      <c r="R763" s="8">
        <f t="shared" si="147"/>
        <v>24</v>
      </c>
      <c r="S763" s="8">
        <f t="shared" si="148"/>
        <v>2</v>
      </c>
    </row>
    <row r="764" spans="1:19">
      <c r="A764" s="6">
        <f t="shared" si="149"/>
        <v>15221</v>
      </c>
      <c r="B764" s="6">
        <f t="shared" si="146"/>
        <v>152</v>
      </c>
      <c r="C764" s="6">
        <f t="shared" si="151"/>
        <v>4</v>
      </c>
      <c r="D764" s="6" t="str">
        <f t="shared" si="154"/>
        <v>关卡152BOSS1</v>
      </c>
      <c r="E764" s="6">
        <v>517</v>
      </c>
      <c r="G764" s="6" t="s">
        <v>1186</v>
      </c>
      <c r="H764" s="6">
        <f t="shared" si="141"/>
        <v>2</v>
      </c>
      <c r="I764" s="6" t="str">
        <f>IF(VLOOKUP(E764,Sheet2!$W:$AA,5,0)=0,"",VLOOKUP(E764,Sheet2!$W:$AA,5,0))</f>
        <v/>
      </c>
      <c r="J764" s="6">
        <v>0</v>
      </c>
      <c r="K764" s="6">
        <v>0</v>
      </c>
      <c r="L764" s="6" t="str">
        <f>IF(VLOOKUP(E764,Sheet2!$W:$AA,2,0)=0,"",VLOOKUP(E764,Sheet2!$W:$AA,2,0))</f>
        <v/>
      </c>
      <c r="N764" s="6" t="str">
        <f>IF(VLOOKUP(E764,Sheet2!$W:$AA,3,0)=0,"",VLOOKUP(E764,Sheet2!$W:$AA,3,0))</f>
        <v/>
      </c>
      <c r="Q764" s="6" t="str">
        <f>IF(VLOOKUP(E764,Sheet2!$W:$AA,4,0)=0,"",VLOOKUP(E764,Sheet2!$W:$AA,4,0))</f>
        <v/>
      </c>
      <c r="R764" s="8">
        <f t="shared" si="147"/>
        <v>100</v>
      </c>
      <c r="S764" s="8">
        <f t="shared" si="148"/>
        <v>2</v>
      </c>
    </row>
    <row r="765" spans="1:19">
      <c r="A765" s="6">
        <f t="shared" si="149"/>
        <v>15231</v>
      </c>
      <c r="B765" s="6">
        <f t="shared" si="146"/>
        <v>152</v>
      </c>
      <c r="C765" s="6">
        <f t="shared" si="151"/>
        <v>5</v>
      </c>
      <c r="D765" s="6" t="str">
        <f t="shared" si="155"/>
        <v>关卡152BOSS2</v>
      </c>
      <c r="E765" s="6">
        <v>517</v>
      </c>
      <c r="G765" s="6" t="s">
        <v>1187</v>
      </c>
      <c r="H765" s="6">
        <f t="shared" si="141"/>
        <v>2</v>
      </c>
      <c r="I765" s="6" t="str">
        <f>IF(VLOOKUP(E765,Sheet2!$W:$AA,5,0)=0,"",VLOOKUP(E765,Sheet2!$W:$AA,5,0))</f>
        <v/>
      </c>
      <c r="J765" s="6">
        <v>0</v>
      </c>
      <c r="K765" s="6">
        <v>0</v>
      </c>
      <c r="L765" s="6" t="str">
        <f>IF(VLOOKUP(E765,Sheet2!$W:$AA,2,0)=0,"",VLOOKUP(E765,Sheet2!$W:$AA,2,0))</f>
        <v/>
      </c>
      <c r="N765" s="6" t="str">
        <f>IF(VLOOKUP(E765,Sheet2!$W:$AA,3,0)=0,"",VLOOKUP(E765,Sheet2!$W:$AA,3,0))</f>
        <v/>
      </c>
      <c r="Q765" s="6" t="str">
        <f>IF(VLOOKUP(E765,Sheet2!$W:$AA,4,0)=0,"",VLOOKUP(E765,Sheet2!$W:$AA,4,0))</f>
        <v/>
      </c>
      <c r="R765" s="8">
        <f t="shared" si="147"/>
        <v>100</v>
      </c>
      <c r="S765" s="8">
        <f t="shared" si="148"/>
        <v>2</v>
      </c>
    </row>
    <row r="766" spans="1:19">
      <c r="A766" s="6">
        <f t="shared" si="149"/>
        <v>15301</v>
      </c>
      <c r="B766" s="6">
        <f t="shared" si="146"/>
        <v>153</v>
      </c>
      <c r="C766" s="6">
        <f t="shared" si="151"/>
        <v>1</v>
      </c>
      <c r="D766" s="6" t="str">
        <f t="shared" si="150"/>
        <v>关卡153怪物1</v>
      </c>
      <c r="E766" s="6">
        <v>101</v>
      </c>
      <c r="G766" s="6" t="s">
        <v>1188</v>
      </c>
      <c r="H766" s="6">
        <f t="shared" si="141"/>
        <v>0</v>
      </c>
      <c r="I766" s="6" t="str">
        <f>IF(VLOOKUP(E766,Sheet2!$W:$AA,5,0)=0,"",VLOOKUP(E766,Sheet2!$W:$AA,5,0))</f>
        <v/>
      </c>
      <c r="J766" s="6">
        <v>0</v>
      </c>
      <c r="K766" s="6">
        <v>0</v>
      </c>
      <c r="L766" s="6" t="str">
        <f>IF(VLOOKUP(E766,Sheet2!$W:$AA,2,0)=0,"",VLOOKUP(E766,Sheet2!$W:$AA,2,0))</f>
        <v/>
      </c>
      <c r="N766" s="6" t="str">
        <f>IF(VLOOKUP(E766,Sheet2!$W:$AA,3,0)=0,"",VLOOKUP(E766,Sheet2!$W:$AA,3,0))</f>
        <v/>
      </c>
      <c r="Q766" s="6" t="str">
        <f>IF(VLOOKUP(E766,Sheet2!$W:$AA,4,0)=0,"",VLOOKUP(E766,Sheet2!$W:$AA,4,0))</f>
        <v/>
      </c>
      <c r="R766" s="8">
        <f t="shared" si="147"/>
        <v>24</v>
      </c>
      <c r="S766" s="8">
        <f t="shared" si="148"/>
        <v>2</v>
      </c>
    </row>
    <row r="767" spans="1:19">
      <c r="A767" s="6">
        <f t="shared" si="149"/>
        <v>15302</v>
      </c>
      <c r="B767" s="6">
        <f t="shared" si="146"/>
        <v>153</v>
      </c>
      <c r="C767" s="6">
        <f t="shared" si="151"/>
        <v>2</v>
      </c>
      <c r="D767" s="6" t="str">
        <f t="shared" si="152"/>
        <v>关卡153怪物2</v>
      </c>
      <c r="E767" s="6">
        <v>127</v>
      </c>
      <c r="G767" s="6" t="s">
        <v>1189</v>
      </c>
      <c r="H767" s="6">
        <f t="shared" si="141"/>
        <v>0</v>
      </c>
      <c r="I767" s="6" t="str">
        <f>IF(VLOOKUP(E767,Sheet2!$W:$AA,5,0)=0,"",VLOOKUP(E767,Sheet2!$W:$AA,5,0))</f>
        <v>[60015]</v>
      </c>
      <c r="J767" s="6">
        <v>0</v>
      </c>
      <c r="K767" s="6">
        <v>0</v>
      </c>
      <c r="L767" s="6" t="str">
        <f>IF(VLOOKUP(E767,Sheet2!$W:$AA,2,0)=0,"",VLOOKUP(E767,Sheet2!$W:$AA,2,0))</f>
        <v/>
      </c>
      <c r="N767" s="6" t="str">
        <f>IF(VLOOKUP(E767,Sheet2!$W:$AA,3,0)=0,"",VLOOKUP(E767,Sheet2!$W:$AA,3,0))</f>
        <v/>
      </c>
      <c r="Q767" s="6" t="str">
        <f>IF(VLOOKUP(E767,Sheet2!$W:$AA,4,0)=0,"",VLOOKUP(E767,Sheet2!$W:$AA,4,0))</f>
        <v/>
      </c>
      <c r="R767" s="8">
        <f t="shared" si="147"/>
        <v>24</v>
      </c>
      <c r="S767" s="8">
        <f t="shared" si="148"/>
        <v>2</v>
      </c>
    </row>
    <row r="768" spans="1:19">
      <c r="A768" s="6">
        <f t="shared" si="149"/>
        <v>15303</v>
      </c>
      <c r="B768" s="6">
        <f t="shared" si="146"/>
        <v>153</v>
      </c>
      <c r="C768" s="6">
        <f t="shared" si="151"/>
        <v>3</v>
      </c>
      <c r="D768" s="6" t="str">
        <f t="shared" si="153"/>
        <v>关卡153怪物3</v>
      </c>
      <c r="E768" s="6">
        <v>106</v>
      </c>
      <c r="G768" s="6" t="s">
        <v>1190</v>
      </c>
      <c r="H768" s="6">
        <f t="shared" si="141"/>
        <v>0</v>
      </c>
      <c r="I768" s="6" t="str">
        <f>IF(VLOOKUP(E768,Sheet2!$W:$AA,5,0)=0,"",VLOOKUP(E768,Sheet2!$W:$AA,5,0))</f>
        <v>[60002]</v>
      </c>
      <c r="J768" s="6">
        <v>0</v>
      </c>
      <c r="K768" s="6">
        <v>0</v>
      </c>
      <c r="L768" s="6">
        <f>IF(VLOOKUP(E768,Sheet2!$W:$AA,2,0)=0,"",VLOOKUP(E768,Sheet2!$W:$AA,2,0))</f>
        <v>1</v>
      </c>
      <c r="N768" s="6">
        <f>IF(VLOOKUP(E768,Sheet2!$W:$AA,3,0)=0,"",VLOOKUP(E768,Sheet2!$W:$AA,3,0))</f>
        <v>2002</v>
      </c>
      <c r="Q768" s="6" t="str">
        <f>IF(VLOOKUP(E768,Sheet2!$W:$AA,4,0)=0,"",VLOOKUP(E768,Sheet2!$W:$AA,4,0))</f>
        <v>[{50012,6}]</v>
      </c>
      <c r="R768" s="8">
        <f t="shared" si="147"/>
        <v>24</v>
      </c>
      <c r="S768" s="8">
        <f t="shared" si="148"/>
        <v>2</v>
      </c>
    </row>
    <row r="769" spans="1:19">
      <c r="A769" s="6">
        <f t="shared" si="149"/>
        <v>15321</v>
      </c>
      <c r="B769" s="6">
        <f t="shared" si="146"/>
        <v>153</v>
      </c>
      <c r="C769" s="6">
        <f t="shared" si="151"/>
        <v>4</v>
      </c>
      <c r="D769" s="6" t="str">
        <f t="shared" si="154"/>
        <v>关卡153BOSS1</v>
      </c>
      <c r="E769" s="6">
        <v>501</v>
      </c>
      <c r="G769" s="6" t="s">
        <v>1191</v>
      </c>
      <c r="H769" s="6">
        <f t="shared" si="141"/>
        <v>2</v>
      </c>
      <c r="I769" s="6" t="str">
        <f>IF(VLOOKUP(E769,Sheet2!$W:$AA,5,0)=0,"",VLOOKUP(E769,Sheet2!$W:$AA,5,0))</f>
        <v/>
      </c>
      <c r="J769" s="6">
        <v>0</v>
      </c>
      <c r="K769" s="6">
        <v>0</v>
      </c>
      <c r="L769" s="6" t="str">
        <f>IF(VLOOKUP(E769,Sheet2!$W:$AA,2,0)=0,"",VLOOKUP(E769,Sheet2!$W:$AA,2,0))</f>
        <v/>
      </c>
      <c r="N769" s="6" t="str">
        <f>IF(VLOOKUP(E769,Sheet2!$W:$AA,3,0)=0,"",VLOOKUP(E769,Sheet2!$W:$AA,3,0))</f>
        <v/>
      </c>
      <c r="Q769" s="6" t="str">
        <f>IF(VLOOKUP(E769,Sheet2!$W:$AA,4,0)=0,"",VLOOKUP(E769,Sheet2!$W:$AA,4,0))</f>
        <v/>
      </c>
      <c r="R769" s="8">
        <f t="shared" si="147"/>
        <v>100</v>
      </c>
      <c r="S769" s="8">
        <f t="shared" si="148"/>
        <v>2</v>
      </c>
    </row>
    <row r="770" spans="1:19">
      <c r="A770" s="6">
        <f t="shared" si="149"/>
        <v>15331</v>
      </c>
      <c r="B770" s="6">
        <f t="shared" si="146"/>
        <v>153</v>
      </c>
      <c r="C770" s="6">
        <f t="shared" si="151"/>
        <v>5</v>
      </c>
      <c r="D770" s="6" t="str">
        <f t="shared" si="155"/>
        <v>关卡153BOSS2</v>
      </c>
      <c r="E770" s="6">
        <v>501</v>
      </c>
      <c r="G770" s="6" t="s">
        <v>1192</v>
      </c>
      <c r="H770" s="6">
        <f t="shared" ref="H770:H833" si="156">H765</f>
        <v>2</v>
      </c>
      <c r="I770" s="6" t="str">
        <f>IF(VLOOKUP(E770,Sheet2!$W:$AA,5,0)=0,"",VLOOKUP(E770,Sheet2!$W:$AA,5,0))</f>
        <v/>
      </c>
      <c r="J770" s="6">
        <v>0</v>
      </c>
      <c r="K770" s="6">
        <v>0</v>
      </c>
      <c r="L770" s="6" t="str">
        <f>IF(VLOOKUP(E770,Sheet2!$W:$AA,2,0)=0,"",VLOOKUP(E770,Sheet2!$W:$AA,2,0))</f>
        <v/>
      </c>
      <c r="N770" s="6" t="str">
        <f>IF(VLOOKUP(E770,Sheet2!$W:$AA,3,0)=0,"",VLOOKUP(E770,Sheet2!$W:$AA,3,0))</f>
        <v/>
      </c>
      <c r="Q770" s="6" t="str">
        <f>IF(VLOOKUP(E770,Sheet2!$W:$AA,4,0)=0,"",VLOOKUP(E770,Sheet2!$W:$AA,4,0))</f>
        <v/>
      </c>
      <c r="R770" s="8">
        <f t="shared" si="147"/>
        <v>100</v>
      </c>
      <c r="S770" s="8">
        <f t="shared" si="148"/>
        <v>2</v>
      </c>
    </row>
    <row r="771" spans="1:19">
      <c r="A771" s="6">
        <f t="shared" si="149"/>
        <v>15401</v>
      </c>
      <c r="B771" s="6">
        <f t="shared" si="146"/>
        <v>154</v>
      </c>
      <c r="C771" s="6">
        <f t="shared" si="151"/>
        <v>1</v>
      </c>
      <c r="D771" s="6" t="str">
        <f t="shared" si="150"/>
        <v>关卡154怪物1</v>
      </c>
      <c r="E771" s="6">
        <v>100</v>
      </c>
      <c r="G771" s="6" t="s">
        <v>1193</v>
      </c>
      <c r="H771" s="6">
        <f t="shared" si="156"/>
        <v>0</v>
      </c>
      <c r="I771" s="6" t="str">
        <f>IF(VLOOKUP(E771,Sheet2!$W:$AA,5,0)=0,"",VLOOKUP(E771,Sheet2!$W:$AA,5,0))</f>
        <v>[60002]</v>
      </c>
      <c r="J771" s="6">
        <v>0</v>
      </c>
      <c r="K771" s="6">
        <v>0</v>
      </c>
      <c r="L771" s="6" t="str">
        <f>IF(VLOOKUP(E771,Sheet2!$W:$AA,2,0)=0,"",VLOOKUP(E771,Sheet2!$W:$AA,2,0))</f>
        <v/>
      </c>
      <c r="N771" s="6">
        <f>IF(VLOOKUP(E771,Sheet2!$W:$AA,3,0)=0,"",VLOOKUP(E771,Sheet2!$W:$AA,3,0))</f>
        <v>2001</v>
      </c>
      <c r="Q771" s="6" t="str">
        <f>IF(VLOOKUP(E771,Sheet2!$W:$AA,4,0)=0,"",VLOOKUP(E771,Sheet2!$W:$AA,4,0))</f>
        <v/>
      </c>
      <c r="R771" s="8">
        <f t="shared" si="147"/>
        <v>24</v>
      </c>
      <c r="S771" s="8">
        <f t="shared" si="148"/>
        <v>2</v>
      </c>
    </row>
    <row r="772" spans="1:19">
      <c r="A772" s="6">
        <f t="shared" si="149"/>
        <v>15402</v>
      </c>
      <c r="B772" s="6">
        <f t="shared" si="146"/>
        <v>154</v>
      </c>
      <c r="C772" s="6">
        <f t="shared" si="151"/>
        <v>2</v>
      </c>
      <c r="D772" s="6" t="str">
        <f t="shared" si="152"/>
        <v>关卡154怪物2</v>
      </c>
      <c r="E772" s="6">
        <v>102</v>
      </c>
      <c r="G772" s="6" t="s">
        <v>1194</v>
      </c>
      <c r="H772" s="6">
        <f t="shared" si="156"/>
        <v>0</v>
      </c>
      <c r="I772" s="6" t="str">
        <f>IF(VLOOKUP(E772,Sheet2!$W:$AA,5,0)=0,"",VLOOKUP(E772,Sheet2!$W:$AA,5,0))</f>
        <v/>
      </c>
      <c r="J772" s="6">
        <v>0</v>
      </c>
      <c r="K772" s="6">
        <v>0</v>
      </c>
      <c r="L772" s="6">
        <f>IF(VLOOKUP(E772,Sheet2!$W:$AA,2,0)=0,"",VLOOKUP(E772,Sheet2!$W:$AA,2,0))</f>
        <v>1</v>
      </c>
      <c r="N772" s="6" t="str">
        <f>IF(VLOOKUP(E772,Sheet2!$W:$AA,3,0)=0,"",VLOOKUP(E772,Sheet2!$W:$AA,3,0))</f>
        <v/>
      </c>
      <c r="Q772" s="6" t="str">
        <f>IF(VLOOKUP(E772,Sheet2!$W:$AA,4,0)=0,"",VLOOKUP(E772,Sheet2!$W:$AA,4,0))</f>
        <v>[{50011,6}]</v>
      </c>
      <c r="R772" s="8">
        <f t="shared" si="147"/>
        <v>24</v>
      </c>
      <c r="S772" s="8">
        <f t="shared" si="148"/>
        <v>2</v>
      </c>
    </row>
    <row r="773" spans="1:19">
      <c r="A773" s="6">
        <f t="shared" si="149"/>
        <v>15403</v>
      </c>
      <c r="B773" s="6">
        <f t="shared" si="146"/>
        <v>154</v>
      </c>
      <c r="C773" s="6">
        <f t="shared" si="151"/>
        <v>3</v>
      </c>
      <c r="D773" s="6" t="str">
        <f t="shared" si="153"/>
        <v>关卡154怪物3</v>
      </c>
      <c r="E773" s="6">
        <v>105</v>
      </c>
      <c r="G773" s="6" t="s">
        <v>1195</v>
      </c>
      <c r="H773" s="6">
        <f t="shared" si="156"/>
        <v>0</v>
      </c>
      <c r="I773" s="6" t="str">
        <f>IF(VLOOKUP(E773,Sheet2!$W:$AA,5,0)=0,"",VLOOKUP(E773,Sheet2!$W:$AA,5,0))</f>
        <v>[60003]</v>
      </c>
      <c r="J773" s="6">
        <v>0</v>
      </c>
      <c r="K773" s="6">
        <v>0</v>
      </c>
      <c r="L773" s="6" t="str">
        <f>IF(VLOOKUP(E773,Sheet2!$W:$AA,2,0)=0,"",VLOOKUP(E773,Sheet2!$W:$AA,2,0))</f>
        <v/>
      </c>
      <c r="N773" s="6" t="str">
        <f>IF(VLOOKUP(E773,Sheet2!$W:$AA,3,0)=0,"",VLOOKUP(E773,Sheet2!$W:$AA,3,0))</f>
        <v/>
      </c>
      <c r="Q773" s="6" t="str">
        <f>IF(VLOOKUP(E773,Sheet2!$W:$AA,4,0)=0,"",VLOOKUP(E773,Sheet2!$W:$AA,4,0))</f>
        <v/>
      </c>
      <c r="R773" s="8">
        <f t="shared" si="147"/>
        <v>24</v>
      </c>
      <c r="S773" s="8">
        <f t="shared" si="148"/>
        <v>2</v>
      </c>
    </row>
    <row r="774" spans="1:19">
      <c r="A774" s="6">
        <f t="shared" si="149"/>
        <v>15421</v>
      </c>
      <c r="B774" s="6">
        <f t="shared" si="146"/>
        <v>154</v>
      </c>
      <c r="C774" s="6">
        <f t="shared" si="151"/>
        <v>4</v>
      </c>
      <c r="D774" s="6" t="str">
        <f t="shared" si="154"/>
        <v>关卡154BOSS1</v>
      </c>
      <c r="E774" s="6">
        <v>502</v>
      </c>
      <c r="G774" s="6" t="s">
        <v>1196</v>
      </c>
      <c r="H774" s="6">
        <f t="shared" si="156"/>
        <v>2</v>
      </c>
      <c r="I774" s="6" t="str">
        <f>IF(VLOOKUP(E774,Sheet2!$W:$AA,5,0)=0,"",VLOOKUP(E774,Sheet2!$W:$AA,5,0))</f>
        <v/>
      </c>
      <c r="J774" s="6">
        <v>0</v>
      </c>
      <c r="K774" s="6">
        <v>0</v>
      </c>
      <c r="L774" s="6">
        <f>IF(VLOOKUP(E774,Sheet2!$W:$AA,2,0)=0,"",VLOOKUP(E774,Sheet2!$W:$AA,2,0))</f>
        <v>1</v>
      </c>
      <c r="N774" s="6" t="str">
        <f>IF(VLOOKUP(E774,Sheet2!$W:$AA,3,0)=0,"",VLOOKUP(E774,Sheet2!$W:$AA,3,0))</f>
        <v/>
      </c>
      <c r="Q774" s="6" t="str">
        <f>IF(VLOOKUP(E774,Sheet2!$W:$AA,4,0)=0,"",VLOOKUP(E774,Sheet2!$W:$AA,4,0))</f>
        <v>[{50021,6}]</v>
      </c>
      <c r="R774" s="8">
        <f t="shared" si="147"/>
        <v>100</v>
      </c>
      <c r="S774" s="8">
        <f t="shared" si="148"/>
        <v>2</v>
      </c>
    </row>
    <row r="775" spans="1:19">
      <c r="A775" s="6">
        <f t="shared" si="149"/>
        <v>15431</v>
      </c>
      <c r="B775" s="6">
        <f t="shared" si="146"/>
        <v>154</v>
      </c>
      <c r="C775" s="6">
        <f t="shared" si="151"/>
        <v>5</v>
      </c>
      <c r="D775" s="6" t="str">
        <f t="shared" si="155"/>
        <v>关卡154BOSS2</v>
      </c>
      <c r="E775" s="6">
        <v>500</v>
      </c>
      <c r="G775" s="6" t="s">
        <v>1197</v>
      </c>
      <c r="H775" s="6">
        <f t="shared" si="156"/>
        <v>2</v>
      </c>
      <c r="I775" s="6" t="str">
        <f>IF(VLOOKUP(E775,Sheet2!$W:$AA,5,0)=0,"",VLOOKUP(E775,Sheet2!$W:$AA,5,0))</f>
        <v>[60002]</v>
      </c>
      <c r="J775" s="6">
        <v>0</v>
      </c>
      <c r="K775" s="6">
        <v>0</v>
      </c>
      <c r="L775" s="6" t="str">
        <f>IF(VLOOKUP(E775,Sheet2!$W:$AA,2,0)=0,"",VLOOKUP(E775,Sheet2!$W:$AA,2,0))</f>
        <v/>
      </c>
      <c r="N775" s="6">
        <f>IF(VLOOKUP(E775,Sheet2!$W:$AA,3,0)=0,"",VLOOKUP(E775,Sheet2!$W:$AA,3,0))</f>
        <v>2001</v>
      </c>
      <c r="Q775" s="6" t="str">
        <f>IF(VLOOKUP(E775,Sheet2!$W:$AA,4,0)=0,"",VLOOKUP(E775,Sheet2!$W:$AA,4,0))</f>
        <v/>
      </c>
      <c r="R775" s="8">
        <f t="shared" si="147"/>
        <v>100</v>
      </c>
      <c r="S775" s="8">
        <f t="shared" si="148"/>
        <v>2</v>
      </c>
    </row>
    <row r="776" spans="1:19">
      <c r="A776" s="6">
        <f t="shared" si="149"/>
        <v>15501</v>
      </c>
      <c r="B776" s="6">
        <f t="shared" si="146"/>
        <v>155</v>
      </c>
      <c r="C776" s="6">
        <f t="shared" si="151"/>
        <v>1</v>
      </c>
      <c r="D776" s="6" t="str">
        <f t="shared" si="150"/>
        <v>关卡155怪物1</v>
      </c>
      <c r="E776" s="6">
        <v>124</v>
      </c>
      <c r="G776" s="6" t="s">
        <v>1198</v>
      </c>
      <c r="H776" s="6">
        <f t="shared" si="156"/>
        <v>0</v>
      </c>
      <c r="I776" s="6" t="str">
        <f>IF(VLOOKUP(E776,Sheet2!$W:$AA,5,0)=0,"",VLOOKUP(E776,Sheet2!$W:$AA,5,0))</f>
        <v>[60013]</v>
      </c>
      <c r="J776" s="6">
        <v>0</v>
      </c>
      <c r="K776" s="6">
        <v>0</v>
      </c>
      <c r="L776" s="6" t="str">
        <f>IF(VLOOKUP(E776,Sheet2!$W:$AA,2,0)=0,"",VLOOKUP(E776,Sheet2!$W:$AA,2,0))</f>
        <v/>
      </c>
      <c r="N776" s="6" t="str">
        <f>IF(VLOOKUP(E776,Sheet2!$W:$AA,3,0)=0,"",VLOOKUP(E776,Sheet2!$W:$AA,3,0))</f>
        <v/>
      </c>
      <c r="Q776" s="6" t="str">
        <f>IF(VLOOKUP(E776,Sheet2!$W:$AA,4,0)=0,"",VLOOKUP(E776,Sheet2!$W:$AA,4,0))</f>
        <v/>
      </c>
      <c r="R776" s="8">
        <f t="shared" si="147"/>
        <v>24</v>
      </c>
      <c r="S776" s="8">
        <f t="shared" si="148"/>
        <v>2</v>
      </c>
    </row>
    <row r="777" spans="1:19">
      <c r="A777" s="6">
        <f t="shared" si="149"/>
        <v>15502</v>
      </c>
      <c r="B777" s="6">
        <f t="shared" si="146"/>
        <v>155</v>
      </c>
      <c r="C777" s="6">
        <f t="shared" si="151"/>
        <v>2</v>
      </c>
      <c r="D777" s="6" t="str">
        <f t="shared" si="152"/>
        <v>关卡155怪物2</v>
      </c>
      <c r="E777" s="6">
        <v>126</v>
      </c>
      <c r="G777" s="6" t="s">
        <v>1199</v>
      </c>
      <c r="H777" s="6">
        <f t="shared" si="156"/>
        <v>0</v>
      </c>
      <c r="I777" s="6" t="str">
        <f>IF(VLOOKUP(E777,Sheet2!$W:$AA,5,0)=0,"",VLOOKUP(E777,Sheet2!$W:$AA,5,0))</f>
        <v>[60014]</v>
      </c>
      <c r="J777" s="6">
        <v>0</v>
      </c>
      <c r="K777" s="6">
        <v>0</v>
      </c>
      <c r="L777" s="6">
        <f>IF(VLOOKUP(E777,Sheet2!$W:$AA,2,0)=0,"",VLOOKUP(E777,Sheet2!$W:$AA,2,0))</f>
        <v>1</v>
      </c>
      <c r="N777" s="6" t="str">
        <f>IF(VLOOKUP(E777,Sheet2!$W:$AA,3,0)=0,"",VLOOKUP(E777,Sheet2!$W:$AA,3,0))</f>
        <v/>
      </c>
      <c r="Q777" s="6" t="str">
        <f>IF(VLOOKUP(E777,Sheet2!$W:$AA,4,0)=0,"",VLOOKUP(E777,Sheet2!$W:$AA,4,0))</f>
        <v>[{50031,6}]</v>
      </c>
      <c r="R777" s="8">
        <f t="shared" si="147"/>
        <v>24</v>
      </c>
      <c r="S777" s="8">
        <f t="shared" si="148"/>
        <v>2</v>
      </c>
    </row>
    <row r="778" spans="1:19">
      <c r="A778" s="6">
        <f t="shared" si="149"/>
        <v>15503</v>
      </c>
      <c r="B778" s="6">
        <f t="shared" si="146"/>
        <v>155</v>
      </c>
      <c r="C778" s="6">
        <f t="shared" si="151"/>
        <v>3</v>
      </c>
      <c r="D778" s="6" t="str">
        <f t="shared" si="153"/>
        <v>关卡155怪物3</v>
      </c>
      <c r="E778" s="6">
        <v>126</v>
      </c>
      <c r="G778" s="6" t="s">
        <v>1200</v>
      </c>
      <c r="H778" s="6">
        <f t="shared" si="156"/>
        <v>0</v>
      </c>
      <c r="I778" s="6" t="str">
        <f>IF(VLOOKUP(E778,Sheet2!$W:$AA,5,0)=0,"",VLOOKUP(E778,Sheet2!$W:$AA,5,0))</f>
        <v>[60014]</v>
      </c>
      <c r="J778" s="6">
        <v>0</v>
      </c>
      <c r="K778" s="6">
        <v>0</v>
      </c>
      <c r="L778" s="6">
        <f>IF(VLOOKUP(E778,Sheet2!$W:$AA,2,0)=0,"",VLOOKUP(E778,Sheet2!$W:$AA,2,0))</f>
        <v>1</v>
      </c>
      <c r="N778" s="6" t="str">
        <f>IF(VLOOKUP(E778,Sheet2!$W:$AA,3,0)=0,"",VLOOKUP(E778,Sheet2!$W:$AA,3,0))</f>
        <v/>
      </c>
      <c r="Q778" s="6" t="str">
        <f>IF(VLOOKUP(E778,Sheet2!$W:$AA,4,0)=0,"",VLOOKUP(E778,Sheet2!$W:$AA,4,0))</f>
        <v>[{50031,6}]</v>
      </c>
      <c r="R778" s="8">
        <f t="shared" si="147"/>
        <v>24</v>
      </c>
      <c r="S778" s="8">
        <f t="shared" si="148"/>
        <v>2</v>
      </c>
    </row>
    <row r="779" spans="1:19">
      <c r="A779" s="6">
        <f t="shared" si="149"/>
        <v>15521</v>
      </c>
      <c r="B779" s="6">
        <f t="shared" si="146"/>
        <v>155</v>
      </c>
      <c r="C779" s="6">
        <f t="shared" si="151"/>
        <v>4</v>
      </c>
      <c r="D779" s="6" t="str">
        <f t="shared" si="154"/>
        <v>关卡155BOSS1</v>
      </c>
      <c r="E779" s="6">
        <v>524</v>
      </c>
      <c r="G779" s="6" t="s">
        <v>1201</v>
      </c>
      <c r="H779" s="6">
        <f t="shared" si="156"/>
        <v>2</v>
      </c>
      <c r="I779" s="6" t="str">
        <f>IF(VLOOKUP(E779,Sheet2!$W:$AA,5,0)=0,"",VLOOKUP(E779,Sheet2!$W:$AA,5,0))</f>
        <v>[60013]</v>
      </c>
      <c r="J779" s="6">
        <v>0</v>
      </c>
      <c r="K779" s="6">
        <v>0</v>
      </c>
      <c r="L779" s="6" t="str">
        <f>IF(VLOOKUP(E779,Sheet2!$W:$AA,2,0)=0,"",VLOOKUP(E779,Sheet2!$W:$AA,2,0))</f>
        <v/>
      </c>
      <c r="N779" s="6" t="str">
        <f>IF(VLOOKUP(E779,Sheet2!$W:$AA,3,0)=0,"",VLOOKUP(E779,Sheet2!$W:$AA,3,0))</f>
        <v/>
      </c>
      <c r="Q779" s="6" t="str">
        <f>IF(VLOOKUP(E779,Sheet2!$W:$AA,4,0)=0,"",VLOOKUP(E779,Sheet2!$W:$AA,4,0))</f>
        <v/>
      </c>
      <c r="R779" s="8">
        <f t="shared" si="147"/>
        <v>100</v>
      </c>
      <c r="S779" s="8">
        <f t="shared" si="148"/>
        <v>2</v>
      </c>
    </row>
    <row r="780" spans="1:19">
      <c r="A780" s="6">
        <f t="shared" si="149"/>
        <v>15531</v>
      </c>
      <c r="B780" s="6">
        <f t="shared" si="146"/>
        <v>155</v>
      </c>
      <c r="C780" s="6">
        <f t="shared" si="151"/>
        <v>5</v>
      </c>
      <c r="D780" s="6" t="str">
        <f t="shared" si="155"/>
        <v>关卡155BOSS2</v>
      </c>
      <c r="E780" s="6">
        <v>524</v>
      </c>
      <c r="G780" s="6" t="s">
        <v>1202</v>
      </c>
      <c r="H780" s="6">
        <f t="shared" si="156"/>
        <v>2</v>
      </c>
      <c r="I780" s="6" t="str">
        <f>IF(VLOOKUP(E780,Sheet2!$W:$AA,5,0)=0,"",VLOOKUP(E780,Sheet2!$W:$AA,5,0))</f>
        <v>[60013]</v>
      </c>
      <c r="J780" s="6">
        <v>0</v>
      </c>
      <c r="K780" s="6">
        <v>0</v>
      </c>
      <c r="L780" s="6" t="str">
        <f>IF(VLOOKUP(E780,Sheet2!$W:$AA,2,0)=0,"",VLOOKUP(E780,Sheet2!$W:$AA,2,0))</f>
        <v/>
      </c>
      <c r="N780" s="6" t="str">
        <f>IF(VLOOKUP(E780,Sheet2!$W:$AA,3,0)=0,"",VLOOKUP(E780,Sheet2!$W:$AA,3,0))</f>
        <v/>
      </c>
      <c r="Q780" s="6" t="str">
        <f>IF(VLOOKUP(E780,Sheet2!$W:$AA,4,0)=0,"",VLOOKUP(E780,Sheet2!$W:$AA,4,0))</f>
        <v/>
      </c>
      <c r="R780" s="8">
        <f t="shared" si="147"/>
        <v>100</v>
      </c>
      <c r="S780" s="8">
        <f t="shared" si="148"/>
        <v>2</v>
      </c>
    </row>
    <row r="781" spans="1:19">
      <c r="A781" s="6">
        <f t="shared" si="149"/>
        <v>15601</v>
      </c>
      <c r="B781" s="6">
        <f t="shared" si="146"/>
        <v>156</v>
      </c>
      <c r="C781" s="6">
        <f t="shared" si="151"/>
        <v>1</v>
      </c>
      <c r="D781" s="6" t="str">
        <f t="shared" si="150"/>
        <v>关卡156怪物1</v>
      </c>
      <c r="E781" s="6">
        <v>121</v>
      </c>
      <c r="G781" s="6" t="s">
        <v>1203</v>
      </c>
      <c r="H781" s="6">
        <f t="shared" si="156"/>
        <v>0</v>
      </c>
      <c r="I781" s="6" t="str">
        <f>IF(VLOOKUP(E781,Sheet2!$W:$AA,5,0)=0,"",VLOOKUP(E781,Sheet2!$W:$AA,5,0))</f>
        <v/>
      </c>
      <c r="J781" s="6">
        <v>0</v>
      </c>
      <c r="K781" s="6">
        <v>0</v>
      </c>
      <c r="L781" s="6" t="str">
        <f>IF(VLOOKUP(E781,Sheet2!$W:$AA,2,0)=0,"",VLOOKUP(E781,Sheet2!$W:$AA,2,0))</f>
        <v/>
      </c>
      <c r="N781" s="6" t="str">
        <f>IF(VLOOKUP(E781,Sheet2!$W:$AA,3,0)=0,"",VLOOKUP(E781,Sheet2!$W:$AA,3,0))</f>
        <v/>
      </c>
      <c r="Q781" s="6" t="str">
        <f>IF(VLOOKUP(E781,Sheet2!$W:$AA,4,0)=0,"",VLOOKUP(E781,Sheet2!$W:$AA,4,0))</f>
        <v/>
      </c>
      <c r="R781" s="8">
        <f t="shared" si="147"/>
        <v>24</v>
      </c>
      <c r="S781" s="8">
        <f t="shared" si="148"/>
        <v>2</v>
      </c>
    </row>
    <row r="782" spans="1:19">
      <c r="A782" s="6">
        <f t="shared" si="149"/>
        <v>15602</v>
      </c>
      <c r="B782" s="6">
        <f t="shared" si="146"/>
        <v>156</v>
      </c>
      <c r="C782" s="6">
        <f t="shared" si="151"/>
        <v>2</v>
      </c>
      <c r="D782" s="6" t="str">
        <f t="shared" si="152"/>
        <v>关卡156怪物2</v>
      </c>
      <c r="E782" s="6">
        <v>119</v>
      </c>
      <c r="G782" s="6" t="s">
        <v>1204</v>
      </c>
      <c r="H782" s="6">
        <f t="shared" si="156"/>
        <v>0</v>
      </c>
      <c r="I782" s="6" t="str">
        <f>IF(VLOOKUP(E782,Sheet2!$W:$AA,5,0)=0,"",VLOOKUP(E782,Sheet2!$W:$AA,5,0))</f>
        <v/>
      </c>
      <c r="J782" s="6">
        <v>0</v>
      </c>
      <c r="K782" s="6">
        <v>0</v>
      </c>
      <c r="L782" s="6">
        <f>IF(VLOOKUP(E782,Sheet2!$W:$AA,2,0)=0,"",VLOOKUP(E782,Sheet2!$W:$AA,2,0))</f>
        <v>1</v>
      </c>
      <c r="N782" s="6" t="str">
        <f>IF(VLOOKUP(E782,Sheet2!$W:$AA,3,0)=0,"",VLOOKUP(E782,Sheet2!$W:$AA,3,0))</f>
        <v/>
      </c>
      <c r="Q782" s="6" t="str">
        <f>IF(VLOOKUP(E782,Sheet2!$W:$AA,4,0)=0,"",VLOOKUP(E782,Sheet2!$W:$AA,4,0))</f>
        <v>[{50018,6}]</v>
      </c>
      <c r="R782" s="8">
        <f t="shared" si="147"/>
        <v>24</v>
      </c>
      <c r="S782" s="8">
        <f t="shared" si="148"/>
        <v>2</v>
      </c>
    </row>
    <row r="783" spans="1:19">
      <c r="A783" s="6">
        <f t="shared" si="149"/>
        <v>15603</v>
      </c>
      <c r="B783" s="6">
        <f t="shared" si="146"/>
        <v>156</v>
      </c>
      <c r="C783" s="6">
        <f t="shared" si="151"/>
        <v>3</v>
      </c>
      <c r="D783" s="6" t="str">
        <f t="shared" si="153"/>
        <v>关卡156怪物3</v>
      </c>
      <c r="E783" s="6">
        <v>118</v>
      </c>
      <c r="G783" s="6" t="s">
        <v>1205</v>
      </c>
      <c r="H783" s="6">
        <f t="shared" si="156"/>
        <v>0</v>
      </c>
      <c r="I783" s="6" t="str">
        <f>IF(VLOOKUP(E783,Sheet2!$W:$AA,5,0)=0,"",VLOOKUP(E783,Sheet2!$W:$AA,5,0))</f>
        <v>[60009]</v>
      </c>
      <c r="J783" s="6">
        <v>0</v>
      </c>
      <c r="K783" s="6">
        <v>0</v>
      </c>
      <c r="L783" s="6">
        <f>IF(VLOOKUP(E783,Sheet2!$W:$AA,2,0)=0,"",VLOOKUP(E783,Sheet2!$W:$AA,2,0))</f>
        <v>1</v>
      </c>
      <c r="N783" s="6" t="str">
        <f>IF(VLOOKUP(E783,Sheet2!$W:$AA,3,0)=0,"",VLOOKUP(E783,Sheet2!$W:$AA,3,0))</f>
        <v/>
      </c>
      <c r="Q783" s="6" t="str">
        <f>IF(VLOOKUP(E783,Sheet2!$W:$AA,4,0)=0,"",VLOOKUP(E783,Sheet2!$W:$AA,4,0))</f>
        <v>[{50017,6}]</v>
      </c>
      <c r="R783" s="8">
        <f t="shared" si="147"/>
        <v>24</v>
      </c>
      <c r="S783" s="8">
        <f t="shared" si="148"/>
        <v>2</v>
      </c>
    </row>
    <row r="784" spans="1:19">
      <c r="A784" s="6">
        <f t="shared" si="149"/>
        <v>15621</v>
      </c>
      <c r="B784" s="6">
        <f t="shared" ref="B784:B847" si="157">B779+1</f>
        <v>156</v>
      </c>
      <c r="C784" s="6">
        <f t="shared" si="151"/>
        <v>4</v>
      </c>
      <c r="D784" s="6" t="str">
        <f t="shared" si="154"/>
        <v>关卡156BOSS1</v>
      </c>
      <c r="E784" s="6">
        <v>521</v>
      </c>
      <c r="G784" s="6" t="s">
        <v>1206</v>
      </c>
      <c r="H784" s="6">
        <f t="shared" si="156"/>
        <v>2</v>
      </c>
      <c r="I784" s="6" t="str">
        <f>IF(VLOOKUP(E784,Sheet2!$W:$AA,5,0)=0,"",VLOOKUP(E784,Sheet2!$W:$AA,5,0))</f>
        <v/>
      </c>
      <c r="J784" s="6">
        <v>0</v>
      </c>
      <c r="K784" s="6">
        <v>0</v>
      </c>
      <c r="L784" s="6" t="str">
        <f>IF(VLOOKUP(E784,Sheet2!$W:$AA,2,0)=0,"",VLOOKUP(E784,Sheet2!$W:$AA,2,0))</f>
        <v/>
      </c>
      <c r="N784" s="6" t="str">
        <f>IF(VLOOKUP(E784,Sheet2!$W:$AA,3,0)=0,"",VLOOKUP(E784,Sheet2!$W:$AA,3,0))</f>
        <v/>
      </c>
      <c r="Q784" s="6" t="str">
        <f>IF(VLOOKUP(E784,Sheet2!$W:$AA,4,0)=0,"",VLOOKUP(E784,Sheet2!$W:$AA,4,0))</f>
        <v/>
      </c>
      <c r="R784" s="8">
        <f t="shared" ref="R784:R805" si="158">R779</f>
        <v>100</v>
      </c>
      <c r="S784" s="8">
        <f t="shared" si="148"/>
        <v>2</v>
      </c>
    </row>
    <row r="785" spans="1:19">
      <c r="A785" s="6">
        <f t="shared" si="149"/>
        <v>15631</v>
      </c>
      <c r="B785" s="6">
        <f t="shared" si="157"/>
        <v>156</v>
      </c>
      <c r="C785" s="6">
        <f t="shared" si="151"/>
        <v>5</v>
      </c>
      <c r="D785" s="6" t="str">
        <f t="shared" si="155"/>
        <v>关卡156BOSS2</v>
      </c>
      <c r="E785" s="6">
        <v>521</v>
      </c>
      <c r="G785" s="6" t="s">
        <v>1207</v>
      </c>
      <c r="H785" s="6">
        <f t="shared" si="156"/>
        <v>2</v>
      </c>
      <c r="I785" s="6" t="str">
        <f>IF(VLOOKUP(E785,Sheet2!$W:$AA,5,0)=0,"",VLOOKUP(E785,Sheet2!$W:$AA,5,0))</f>
        <v/>
      </c>
      <c r="J785" s="6">
        <v>0</v>
      </c>
      <c r="K785" s="6">
        <v>0</v>
      </c>
      <c r="L785" s="6" t="str">
        <f>IF(VLOOKUP(E785,Sheet2!$W:$AA,2,0)=0,"",VLOOKUP(E785,Sheet2!$W:$AA,2,0))</f>
        <v/>
      </c>
      <c r="N785" s="6" t="str">
        <f>IF(VLOOKUP(E785,Sheet2!$W:$AA,3,0)=0,"",VLOOKUP(E785,Sheet2!$W:$AA,3,0))</f>
        <v/>
      </c>
      <c r="Q785" s="6" t="str">
        <f>IF(VLOOKUP(E785,Sheet2!$W:$AA,4,0)=0,"",VLOOKUP(E785,Sheet2!$W:$AA,4,0))</f>
        <v/>
      </c>
      <c r="R785" s="8">
        <f t="shared" si="158"/>
        <v>100</v>
      </c>
      <c r="S785" s="8">
        <f t="shared" si="148"/>
        <v>2</v>
      </c>
    </row>
    <row r="786" spans="1:19">
      <c r="A786" s="6">
        <f t="shared" si="149"/>
        <v>15701</v>
      </c>
      <c r="B786" s="6">
        <f t="shared" si="157"/>
        <v>157</v>
      </c>
      <c r="C786" s="6">
        <f t="shared" si="151"/>
        <v>1</v>
      </c>
      <c r="D786" s="6" t="str">
        <f t="shared" si="150"/>
        <v>关卡157怪物1</v>
      </c>
      <c r="E786" s="6">
        <v>122</v>
      </c>
      <c r="G786" s="6" t="s">
        <v>1208</v>
      </c>
      <c r="H786" s="6">
        <f t="shared" si="156"/>
        <v>0</v>
      </c>
      <c r="I786" s="6" t="str">
        <f>IF(VLOOKUP(E786,Sheet2!$W:$AA,5,0)=0,"",VLOOKUP(E786,Sheet2!$W:$AA,5,0))</f>
        <v>[60011,60012]</v>
      </c>
      <c r="J786" s="6">
        <v>0</v>
      </c>
      <c r="K786" s="6">
        <v>0</v>
      </c>
      <c r="L786" s="6" t="str">
        <f>IF(VLOOKUP(E786,Sheet2!$W:$AA,2,0)=0,"",VLOOKUP(E786,Sheet2!$W:$AA,2,0))</f>
        <v/>
      </c>
      <c r="N786" s="6" t="str">
        <f>IF(VLOOKUP(E786,Sheet2!$W:$AA,3,0)=0,"",VLOOKUP(E786,Sheet2!$W:$AA,3,0))</f>
        <v/>
      </c>
      <c r="Q786" s="6" t="str">
        <f>IF(VLOOKUP(E786,Sheet2!$W:$AA,4,0)=0,"",VLOOKUP(E786,Sheet2!$W:$AA,4,0))</f>
        <v/>
      </c>
      <c r="R786" s="8">
        <f t="shared" si="158"/>
        <v>24</v>
      </c>
      <c r="S786" s="8">
        <f t="shared" si="148"/>
        <v>2</v>
      </c>
    </row>
    <row r="787" spans="1:19">
      <c r="A787" s="6">
        <f t="shared" si="149"/>
        <v>15702</v>
      </c>
      <c r="B787" s="6">
        <f t="shared" si="157"/>
        <v>157</v>
      </c>
      <c r="C787" s="6">
        <f t="shared" si="151"/>
        <v>2</v>
      </c>
      <c r="D787" s="6" t="str">
        <f t="shared" si="152"/>
        <v>关卡157怪物2</v>
      </c>
      <c r="E787" s="6">
        <v>123</v>
      </c>
      <c r="G787" s="6" t="s">
        <v>1209</v>
      </c>
      <c r="H787" s="6">
        <f t="shared" si="156"/>
        <v>0</v>
      </c>
      <c r="I787" s="6" t="str">
        <f>IF(VLOOKUP(E787,Sheet2!$W:$AA,5,0)=0,"",VLOOKUP(E787,Sheet2!$W:$AA,5,0))</f>
        <v>[60010]</v>
      </c>
      <c r="J787" s="6">
        <v>0</v>
      </c>
      <c r="K787" s="6">
        <v>0</v>
      </c>
      <c r="L787" s="6">
        <f>IF(VLOOKUP(E787,Sheet2!$W:$AA,2,0)=0,"",VLOOKUP(E787,Sheet2!$W:$AA,2,0))</f>
        <v>1</v>
      </c>
      <c r="N787" s="6" t="str">
        <f>IF(VLOOKUP(E787,Sheet2!$W:$AA,3,0)=0,"",VLOOKUP(E787,Sheet2!$W:$AA,3,0))</f>
        <v/>
      </c>
      <c r="Q787" s="6" t="str">
        <f>IF(VLOOKUP(E787,Sheet2!$W:$AA,4,0)=0,"",VLOOKUP(E787,Sheet2!$W:$AA,4,0))</f>
        <v>[{50019,6}]</v>
      </c>
      <c r="R787" s="8">
        <f t="shared" si="158"/>
        <v>24</v>
      </c>
      <c r="S787" s="8">
        <f t="shared" si="148"/>
        <v>2</v>
      </c>
    </row>
    <row r="788" spans="1:19">
      <c r="A788" s="6">
        <f t="shared" si="149"/>
        <v>15703</v>
      </c>
      <c r="B788" s="6">
        <f t="shared" si="157"/>
        <v>157</v>
      </c>
      <c r="C788" s="6">
        <f t="shared" si="151"/>
        <v>3</v>
      </c>
      <c r="D788" s="6" t="str">
        <f t="shared" si="153"/>
        <v>关卡157怪物3</v>
      </c>
      <c r="E788" s="6">
        <v>125</v>
      </c>
      <c r="G788" s="6" t="s">
        <v>1210</v>
      </c>
      <c r="H788" s="6">
        <f t="shared" si="156"/>
        <v>0</v>
      </c>
      <c r="I788" s="6" t="str">
        <f>IF(VLOOKUP(E788,Sheet2!$W:$AA,5,0)=0,"",VLOOKUP(E788,Sheet2!$W:$AA,5,0))</f>
        <v>[60016]</v>
      </c>
      <c r="J788" s="6">
        <v>0</v>
      </c>
      <c r="K788" s="6">
        <v>0</v>
      </c>
      <c r="L788" s="6" t="str">
        <f>IF(VLOOKUP(E788,Sheet2!$W:$AA,2,0)=0,"",VLOOKUP(E788,Sheet2!$W:$AA,2,0))</f>
        <v/>
      </c>
      <c r="N788" s="6" t="str">
        <f>IF(VLOOKUP(E788,Sheet2!$W:$AA,3,0)=0,"",VLOOKUP(E788,Sheet2!$W:$AA,3,0))</f>
        <v/>
      </c>
      <c r="Q788" s="6" t="str">
        <f>IF(VLOOKUP(E788,Sheet2!$W:$AA,4,0)=0,"",VLOOKUP(E788,Sheet2!$W:$AA,4,0))</f>
        <v/>
      </c>
      <c r="R788" s="8">
        <f t="shared" si="158"/>
        <v>24</v>
      </c>
      <c r="S788" s="8">
        <f t="shared" si="148"/>
        <v>2</v>
      </c>
    </row>
    <row r="789" spans="1:19">
      <c r="A789" s="6">
        <f t="shared" si="149"/>
        <v>15721</v>
      </c>
      <c r="B789" s="6">
        <f t="shared" si="157"/>
        <v>157</v>
      </c>
      <c r="C789" s="6">
        <f t="shared" si="151"/>
        <v>4</v>
      </c>
      <c r="D789" s="6" t="str">
        <f t="shared" si="154"/>
        <v>关卡157BOSS1</v>
      </c>
      <c r="E789" s="6">
        <v>522</v>
      </c>
      <c r="G789" s="6" t="s">
        <v>1211</v>
      </c>
      <c r="H789" s="6">
        <f t="shared" si="156"/>
        <v>2</v>
      </c>
      <c r="I789" s="6" t="str">
        <f>IF(VLOOKUP(E789,Sheet2!$W:$AA,5,0)=0,"",VLOOKUP(E789,Sheet2!$W:$AA,5,0))</f>
        <v>[60011,60012]</v>
      </c>
      <c r="J789" s="6">
        <v>0</v>
      </c>
      <c r="K789" s="6">
        <v>0</v>
      </c>
      <c r="L789" s="6" t="str">
        <f>IF(VLOOKUP(E789,Sheet2!$W:$AA,2,0)=0,"",VLOOKUP(E789,Sheet2!$W:$AA,2,0))</f>
        <v/>
      </c>
      <c r="N789" s="6" t="str">
        <f>IF(VLOOKUP(E789,Sheet2!$W:$AA,3,0)=0,"",VLOOKUP(E789,Sheet2!$W:$AA,3,0))</f>
        <v/>
      </c>
      <c r="Q789" s="6" t="str">
        <f>IF(VLOOKUP(E789,Sheet2!$W:$AA,4,0)=0,"",VLOOKUP(E789,Sheet2!$W:$AA,4,0))</f>
        <v/>
      </c>
      <c r="R789" s="8">
        <f t="shared" si="158"/>
        <v>100</v>
      </c>
      <c r="S789" s="8">
        <f t="shared" si="148"/>
        <v>2</v>
      </c>
    </row>
    <row r="790" spans="1:19">
      <c r="A790" s="6">
        <f t="shared" si="149"/>
        <v>15731</v>
      </c>
      <c r="B790" s="6">
        <f t="shared" si="157"/>
        <v>157</v>
      </c>
      <c r="C790" s="6">
        <f t="shared" si="151"/>
        <v>5</v>
      </c>
      <c r="D790" s="6" t="str">
        <f t="shared" si="155"/>
        <v>关卡157BOSS2</v>
      </c>
      <c r="E790" s="6">
        <v>522</v>
      </c>
      <c r="G790" s="6" t="s">
        <v>1212</v>
      </c>
      <c r="H790" s="6">
        <f t="shared" si="156"/>
        <v>2</v>
      </c>
      <c r="I790" s="6" t="str">
        <f>IF(VLOOKUP(E790,Sheet2!$W:$AA,5,0)=0,"",VLOOKUP(E790,Sheet2!$W:$AA,5,0))</f>
        <v>[60011,60012]</v>
      </c>
      <c r="J790" s="6">
        <v>0</v>
      </c>
      <c r="K790" s="6">
        <v>0</v>
      </c>
      <c r="L790" s="6" t="str">
        <f>IF(VLOOKUP(E790,Sheet2!$W:$AA,2,0)=0,"",VLOOKUP(E790,Sheet2!$W:$AA,2,0))</f>
        <v/>
      </c>
      <c r="N790" s="6" t="str">
        <f>IF(VLOOKUP(E790,Sheet2!$W:$AA,3,0)=0,"",VLOOKUP(E790,Sheet2!$W:$AA,3,0))</f>
        <v/>
      </c>
      <c r="Q790" s="6" t="str">
        <f>IF(VLOOKUP(E790,Sheet2!$W:$AA,4,0)=0,"",VLOOKUP(E790,Sheet2!$W:$AA,4,0))</f>
        <v/>
      </c>
      <c r="R790" s="8">
        <f t="shared" si="158"/>
        <v>100</v>
      </c>
      <c r="S790" s="8">
        <f t="shared" si="148"/>
        <v>2</v>
      </c>
    </row>
    <row r="791" spans="1:19">
      <c r="A791" s="6">
        <f t="shared" si="149"/>
        <v>15801</v>
      </c>
      <c r="B791" s="6">
        <f t="shared" si="157"/>
        <v>158</v>
      </c>
      <c r="C791" s="6">
        <f t="shared" si="151"/>
        <v>1</v>
      </c>
      <c r="D791" s="6" t="str">
        <f t="shared" si="150"/>
        <v>关卡158怪物1</v>
      </c>
      <c r="E791" s="6">
        <v>121</v>
      </c>
      <c r="G791" s="6" t="s">
        <v>1213</v>
      </c>
      <c r="H791" s="6">
        <f t="shared" si="156"/>
        <v>0</v>
      </c>
      <c r="I791" s="6" t="str">
        <f>IF(VLOOKUP(E791,Sheet2!$W:$AA,5,0)=0,"",VLOOKUP(E791,Sheet2!$W:$AA,5,0))</f>
        <v/>
      </c>
      <c r="J791" s="6">
        <v>0</v>
      </c>
      <c r="K791" s="6">
        <v>0</v>
      </c>
      <c r="L791" s="6" t="str">
        <f>IF(VLOOKUP(E791,Sheet2!$W:$AA,2,0)=0,"",VLOOKUP(E791,Sheet2!$W:$AA,2,0))</f>
        <v/>
      </c>
      <c r="N791" s="6" t="str">
        <f>IF(VLOOKUP(E791,Sheet2!$W:$AA,3,0)=0,"",VLOOKUP(E791,Sheet2!$W:$AA,3,0))</f>
        <v/>
      </c>
      <c r="Q791" s="6" t="str">
        <f>IF(VLOOKUP(E791,Sheet2!$W:$AA,4,0)=0,"",VLOOKUP(E791,Sheet2!$W:$AA,4,0))</f>
        <v/>
      </c>
      <c r="R791" s="8">
        <f t="shared" si="158"/>
        <v>24</v>
      </c>
      <c r="S791" s="8">
        <f t="shared" si="148"/>
        <v>2</v>
      </c>
    </row>
    <row r="792" spans="1:19">
      <c r="A792" s="6">
        <f t="shared" si="149"/>
        <v>15802</v>
      </c>
      <c r="B792" s="6">
        <f t="shared" si="157"/>
        <v>158</v>
      </c>
      <c r="C792" s="6">
        <f t="shared" si="151"/>
        <v>2</v>
      </c>
      <c r="D792" s="6" t="str">
        <f t="shared" si="152"/>
        <v>关卡158怪物2</v>
      </c>
      <c r="E792" s="6">
        <v>122</v>
      </c>
      <c r="G792" s="6" t="s">
        <v>1214</v>
      </c>
      <c r="H792" s="6">
        <f t="shared" si="156"/>
        <v>0</v>
      </c>
      <c r="I792" s="6" t="str">
        <f>IF(VLOOKUP(E792,Sheet2!$W:$AA,5,0)=0,"",VLOOKUP(E792,Sheet2!$W:$AA,5,0))</f>
        <v>[60011,60012]</v>
      </c>
      <c r="J792" s="6">
        <v>0</v>
      </c>
      <c r="K792" s="6">
        <v>0</v>
      </c>
      <c r="L792" s="6" t="str">
        <f>IF(VLOOKUP(E792,Sheet2!$W:$AA,2,0)=0,"",VLOOKUP(E792,Sheet2!$W:$AA,2,0))</f>
        <v/>
      </c>
      <c r="N792" s="6" t="str">
        <f>IF(VLOOKUP(E792,Sheet2!$W:$AA,3,0)=0,"",VLOOKUP(E792,Sheet2!$W:$AA,3,0))</f>
        <v/>
      </c>
      <c r="Q792" s="6" t="str">
        <f>IF(VLOOKUP(E792,Sheet2!$W:$AA,4,0)=0,"",VLOOKUP(E792,Sheet2!$W:$AA,4,0))</f>
        <v/>
      </c>
      <c r="R792" s="8">
        <f t="shared" si="158"/>
        <v>24</v>
      </c>
      <c r="S792" s="8">
        <f t="shared" si="148"/>
        <v>2</v>
      </c>
    </row>
    <row r="793" spans="1:19">
      <c r="A793" s="6">
        <f t="shared" si="149"/>
        <v>15803</v>
      </c>
      <c r="B793" s="6">
        <f t="shared" si="157"/>
        <v>158</v>
      </c>
      <c r="C793" s="6">
        <f t="shared" si="151"/>
        <v>3</v>
      </c>
      <c r="D793" s="6" t="str">
        <f t="shared" si="153"/>
        <v>关卡158怪物3</v>
      </c>
      <c r="E793" s="6">
        <v>126</v>
      </c>
      <c r="G793" s="6" t="s">
        <v>1215</v>
      </c>
      <c r="H793" s="6">
        <f t="shared" si="156"/>
        <v>0</v>
      </c>
      <c r="I793" s="6" t="str">
        <f>IF(VLOOKUP(E793,Sheet2!$W:$AA,5,0)=0,"",VLOOKUP(E793,Sheet2!$W:$AA,5,0))</f>
        <v>[60014]</v>
      </c>
      <c r="J793" s="6">
        <v>0</v>
      </c>
      <c r="K793" s="6">
        <v>0</v>
      </c>
      <c r="L793" s="6">
        <f>IF(VLOOKUP(E793,Sheet2!$W:$AA,2,0)=0,"",VLOOKUP(E793,Sheet2!$W:$AA,2,0))</f>
        <v>1</v>
      </c>
      <c r="N793" s="6" t="str">
        <f>IF(VLOOKUP(E793,Sheet2!$W:$AA,3,0)=0,"",VLOOKUP(E793,Sheet2!$W:$AA,3,0))</f>
        <v/>
      </c>
      <c r="Q793" s="6" t="str">
        <f>IF(VLOOKUP(E793,Sheet2!$W:$AA,4,0)=0,"",VLOOKUP(E793,Sheet2!$W:$AA,4,0))</f>
        <v>[{50031,6}]</v>
      </c>
      <c r="R793" s="8">
        <f t="shared" si="158"/>
        <v>24</v>
      </c>
      <c r="S793" s="8">
        <f t="shared" si="148"/>
        <v>2</v>
      </c>
    </row>
    <row r="794" spans="1:19">
      <c r="A794" s="6">
        <f t="shared" si="149"/>
        <v>15821</v>
      </c>
      <c r="B794" s="6">
        <f t="shared" si="157"/>
        <v>158</v>
      </c>
      <c r="C794" s="6">
        <f t="shared" si="151"/>
        <v>4</v>
      </c>
      <c r="D794" s="6" t="str">
        <f t="shared" si="154"/>
        <v>关卡158BOSS1</v>
      </c>
      <c r="E794" s="6">
        <v>521</v>
      </c>
      <c r="G794" s="6" t="s">
        <v>1216</v>
      </c>
      <c r="H794" s="6">
        <f t="shared" si="156"/>
        <v>2</v>
      </c>
      <c r="I794" s="6" t="str">
        <f>IF(VLOOKUP(E794,Sheet2!$W:$AA,5,0)=0,"",VLOOKUP(E794,Sheet2!$W:$AA,5,0))</f>
        <v/>
      </c>
      <c r="J794" s="6">
        <v>0</v>
      </c>
      <c r="K794" s="6">
        <v>0</v>
      </c>
      <c r="L794" s="6" t="str">
        <f>IF(VLOOKUP(E794,Sheet2!$W:$AA,2,0)=0,"",VLOOKUP(E794,Sheet2!$W:$AA,2,0))</f>
        <v/>
      </c>
      <c r="N794" s="6" t="str">
        <f>IF(VLOOKUP(E794,Sheet2!$W:$AA,3,0)=0,"",VLOOKUP(E794,Sheet2!$W:$AA,3,0))</f>
        <v/>
      </c>
      <c r="Q794" s="6" t="str">
        <f>IF(VLOOKUP(E794,Sheet2!$W:$AA,4,0)=0,"",VLOOKUP(E794,Sheet2!$W:$AA,4,0))</f>
        <v/>
      </c>
      <c r="R794" s="8">
        <f t="shared" si="158"/>
        <v>100</v>
      </c>
      <c r="S794" s="8">
        <f t="shared" si="148"/>
        <v>2</v>
      </c>
    </row>
    <row r="795" spans="1:19">
      <c r="A795" s="6">
        <f t="shared" si="149"/>
        <v>15831</v>
      </c>
      <c r="B795" s="6">
        <f t="shared" si="157"/>
        <v>158</v>
      </c>
      <c r="C795" s="6">
        <f t="shared" si="151"/>
        <v>5</v>
      </c>
      <c r="D795" s="6" t="str">
        <f t="shared" si="155"/>
        <v>关卡158BOSS2</v>
      </c>
      <c r="E795" s="6">
        <v>521</v>
      </c>
      <c r="G795" s="6" t="s">
        <v>1217</v>
      </c>
      <c r="H795" s="6">
        <f t="shared" si="156"/>
        <v>2</v>
      </c>
      <c r="I795" s="6" t="str">
        <f>IF(VLOOKUP(E795,Sheet2!$W:$AA,5,0)=0,"",VLOOKUP(E795,Sheet2!$W:$AA,5,0))</f>
        <v/>
      </c>
      <c r="J795" s="6">
        <v>0</v>
      </c>
      <c r="K795" s="6">
        <v>0</v>
      </c>
      <c r="L795" s="6" t="str">
        <f>IF(VLOOKUP(E795,Sheet2!$W:$AA,2,0)=0,"",VLOOKUP(E795,Sheet2!$W:$AA,2,0))</f>
        <v/>
      </c>
      <c r="N795" s="6" t="str">
        <f>IF(VLOOKUP(E795,Sheet2!$W:$AA,3,0)=0,"",VLOOKUP(E795,Sheet2!$W:$AA,3,0))</f>
        <v/>
      </c>
      <c r="Q795" s="6" t="str">
        <f>IF(VLOOKUP(E795,Sheet2!$W:$AA,4,0)=0,"",VLOOKUP(E795,Sheet2!$W:$AA,4,0))</f>
        <v/>
      </c>
      <c r="R795" s="8">
        <f t="shared" si="158"/>
        <v>100</v>
      </c>
      <c r="S795" s="8">
        <f t="shared" si="148"/>
        <v>2</v>
      </c>
    </row>
    <row r="796" spans="1:19">
      <c r="A796" s="6">
        <f t="shared" si="149"/>
        <v>15901</v>
      </c>
      <c r="B796" s="6">
        <f t="shared" si="157"/>
        <v>159</v>
      </c>
      <c r="C796" s="6">
        <f t="shared" si="151"/>
        <v>1</v>
      </c>
      <c r="D796" s="6" t="str">
        <f t="shared" si="150"/>
        <v>关卡159怪物1</v>
      </c>
      <c r="E796" s="6">
        <v>114</v>
      </c>
      <c r="G796" s="6" t="s">
        <v>1218</v>
      </c>
      <c r="H796" s="6">
        <f t="shared" si="156"/>
        <v>0</v>
      </c>
      <c r="I796" s="6" t="str">
        <f>IF(VLOOKUP(E796,Sheet2!$W:$AA,5,0)=0,"",VLOOKUP(E796,Sheet2!$W:$AA,5,0))</f>
        <v/>
      </c>
      <c r="J796" s="6">
        <v>0</v>
      </c>
      <c r="K796" s="6">
        <v>0</v>
      </c>
      <c r="L796" s="6" t="str">
        <f>IF(VLOOKUP(E796,Sheet2!$W:$AA,2,0)=0,"",VLOOKUP(E796,Sheet2!$W:$AA,2,0))</f>
        <v/>
      </c>
      <c r="N796" s="6" t="str">
        <f>IF(VLOOKUP(E796,Sheet2!$W:$AA,3,0)=0,"",VLOOKUP(E796,Sheet2!$W:$AA,3,0))</f>
        <v/>
      </c>
      <c r="Q796" s="6" t="str">
        <f>IF(VLOOKUP(E796,Sheet2!$W:$AA,4,0)=0,"",VLOOKUP(E796,Sheet2!$W:$AA,4,0))</f>
        <v/>
      </c>
      <c r="R796" s="8">
        <f t="shared" si="158"/>
        <v>24</v>
      </c>
      <c r="S796" s="8">
        <f t="shared" si="148"/>
        <v>2</v>
      </c>
    </row>
    <row r="797" spans="1:19">
      <c r="A797" s="6">
        <f t="shared" si="149"/>
        <v>15902</v>
      </c>
      <c r="B797" s="6">
        <f t="shared" si="157"/>
        <v>159</v>
      </c>
      <c r="C797" s="6">
        <f t="shared" si="151"/>
        <v>2</v>
      </c>
      <c r="D797" s="6" t="str">
        <f t="shared" si="152"/>
        <v>关卡159怪物2</v>
      </c>
      <c r="E797" s="6">
        <v>127</v>
      </c>
      <c r="G797" s="6" t="s">
        <v>1219</v>
      </c>
      <c r="H797" s="6">
        <f t="shared" si="156"/>
        <v>0</v>
      </c>
      <c r="I797" s="6" t="str">
        <f>IF(VLOOKUP(E797,Sheet2!$W:$AA,5,0)=0,"",VLOOKUP(E797,Sheet2!$W:$AA,5,0))</f>
        <v>[60015]</v>
      </c>
      <c r="J797" s="6">
        <v>0</v>
      </c>
      <c r="K797" s="6">
        <v>0</v>
      </c>
      <c r="L797" s="6" t="str">
        <f>IF(VLOOKUP(E797,Sheet2!$W:$AA,2,0)=0,"",VLOOKUP(E797,Sheet2!$W:$AA,2,0))</f>
        <v/>
      </c>
      <c r="N797" s="6" t="str">
        <f>IF(VLOOKUP(E797,Sheet2!$W:$AA,3,0)=0,"",VLOOKUP(E797,Sheet2!$W:$AA,3,0))</f>
        <v/>
      </c>
      <c r="Q797" s="6" t="str">
        <f>IF(VLOOKUP(E797,Sheet2!$W:$AA,4,0)=0,"",VLOOKUP(E797,Sheet2!$W:$AA,4,0))</f>
        <v/>
      </c>
      <c r="R797" s="8">
        <f t="shared" si="158"/>
        <v>24</v>
      </c>
      <c r="S797" s="8">
        <f t="shared" si="148"/>
        <v>2</v>
      </c>
    </row>
    <row r="798" spans="1:19">
      <c r="A798" s="6">
        <f t="shared" si="149"/>
        <v>15903</v>
      </c>
      <c r="B798" s="6">
        <f t="shared" si="157"/>
        <v>159</v>
      </c>
      <c r="C798" s="6">
        <f t="shared" si="151"/>
        <v>3</v>
      </c>
      <c r="D798" s="6" t="str">
        <f t="shared" si="153"/>
        <v>关卡159怪物3</v>
      </c>
      <c r="E798" s="6">
        <v>113</v>
      </c>
      <c r="G798" s="6" t="s">
        <v>1220</v>
      </c>
      <c r="H798" s="6">
        <f t="shared" si="156"/>
        <v>0</v>
      </c>
      <c r="I798" s="6" t="str">
        <f>IF(VLOOKUP(E798,Sheet2!$W:$AA,5,0)=0,"",VLOOKUP(E798,Sheet2!$W:$AA,5,0))</f>
        <v>[60005]</v>
      </c>
      <c r="J798" s="6">
        <v>0</v>
      </c>
      <c r="K798" s="6">
        <v>0</v>
      </c>
      <c r="L798" s="6">
        <f>IF(VLOOKUP(E798,Sheet2!$W:$AA,2,0)=0,"",VLOOKUP(E798,Sheet2!$W:$AA,2,0))</f>
        <v>1</v>
      </c>
      <c r="N798" s="6" t="str">
        <f>IF(VLOOKUP(E798,Sheet2!$W:$AA,3,0)=0,"",VLOOKUP(E798,Sheet2!$W:$AA,3,0))</f>
        <v/>
      </c>
      <c r="Q798" s="6" t="str">
        <f>IF(VLOOKUP(E798,Sheet2!$W:$AA,4,0)=0,"",VLOOKUP(E798,Sheet2!$W:$AA,4,0))</f>
        <v>[{50016,6}]</v>
      </c>
      <c r="R798" s="8">
        <f t="shared" si="158"/>
        <v>24</v>
      </c>
      <c r="S798" s="8">
        <f t="shared" si="148"/>
        <v>2</v>
      </c>
    </row>
    <row r="799" spans="1:19">
      <c r="A799" s="6">
        <f t="shared" si="149"/>
        <v>15921</v>
      </c>
      <c r="B799" s="6">
        <f t="shared" si="157"/>
        <v>159</v>
      </c>
      <c r="C799" s="6">
        <f t="shared" si="151"/>
        <v>4</v>
      </c>
      <c r="D799" s="6" t="str">
        <f t="shared" si="154"/>
        <v>关卡159BOSS1</v>
      </c>
      <c r="E799" s="6">
        <v>514</v>
      </c>
      <c r="G799" s="6" t="s">
        <v>1221</v>
      </c>
      <c r="H799" s="6">
        <f t="shared" si="156"/>
        <v>2</v>
      </c>
      <c r="I799" s="6" t="str">
        <f>IF(VLOOKUP(E799,Sheet2!$W:$AA,5,0)=0,"",VLOOKUP(E799,Sheet2!$W:$AA,5,0))</f>
        <v/>
      </c>
      <c r="J799" s="6">
        <v>0</v>
      </c>
      <c r="K799" s="6">
        <v>0</v>
      </c>
      <c r="L799" s="6" t="str">
        <f>IF(VLOOKUP(E799,Sheet2!$W:$AA,2,0)=0,"",VLOOKUP(E799,Sheet2!$W:$AA,2,0))</f>
        <v/>
      </c>
      <c r="N799" s="6" t="str">
        <f>IF(VLOOKUP(E799,Sheet2!$W:$AA,3,0)=0,"",VLOOKUP(E799,Sheet2!$W:$AA,3,0))</f>
        <v/>
      </c>
      <c r="Q799" s="6" t="str">
        <f>IF(VLOOKUP(E799,Sheet2!$W:$AA,4,0)=0,"",VLOOKUP(E799,Sheet2!$W:$AA,4,0))</f>
        <v/>
      </c>
      <c r="R799" s="8">
        <f t="shared" si="158"/>
        <v>100</v>
      </c>
      <c r="S799" s="8">
        <f t="shared" si="148"/>
        <v>2</v>
      </c>
    </row>
    <row r="800" spans="1:19">
      <c r="A800" s="6">
        <f t="shared" si="149"/>
        <v>15931</v>
      </c>
      <c r="B800" s="6">
        <f t="shared" si="157"/>
        <v>159</v>
      </c>
      <c r="C800" s="6">
        <f t="shared" si="151"/>
        <v>5</v>
      </c>
      <c r="D800" s="6" t="str">
        <f t="shared" si="155"/>
        <v>关卡159BOSS2</v>
      </c>
      <c r="E800" s="6">
        <v>514</v>
      </c>
      <c r="G800" s="6" t="s">
        <v>1222</v>
      </c>
      <c r="H800" s="6">
        <f t="shared" si="156"/>
        <v>2</v>
      </c>
      <c r="I800" s="6" t="str">
        <f>IF(VLOOKUP(E800,Sheet2!$W:$AA,5,0)=0,"",VLOOKUP(E800,Sheet2!$W:$AA,5,0))</f>
        <v/>
      </c>
      <c r="J800" s="6">
        <v>0</v>
      </c>
      <c r="K800" s="6">
        <v>0</v>
      </c>
      <c r="L800" s="6" t="str">
        <f>IF(VLOOKUP(E800,Sheet2!$W:$AA,2,0)=0,"",VLOOKUP(E800,Sheet2!$W:$AA,2,0))</f>
        <v/>
      </c>
      <c r="N800" s="6" t="str">
        <f>IF(VLOOKUP(E800,Sheet2!$W:$AA,3,0)=0,"",VLOOKUP(E800,Sheet2!$W:$AA,3,0))</f>
        <v/>
      </c>
      <c r="Q800" s="6" t="str">
        <f>IF(VLOOKUP(E800,Sheet2!$W:$AA,4,0)=0,"",VLOOKUP(E800,Sheet2!$W:$AA,4,0))</f>
        <v/>
      </c>
      <c r="R800" s="8">
        <f t="shared" si="158"/>
        <v>100</v>
      </c>
      <c r="S800" s="8">
        <f t="shared" si="148"/>
        <v>2</v>
      </c>
    </row>
    <row r="801" spans="1:19">
      <c r="A801" s="6">
        <f t="shared" si="149"/>
        <v>16001</v>
      </c>
      <c r="B801" s="6">
        <f t="shared" si="157"/>
        <v>160</v>
      </c>
      <c r="C801" s="6">
        <f t="shared" si="151"/>
        <v>1</v>
      </c>
      <c r="D801" s="6" t="str">
        <f t="shared" si="150"/>
        <v>关卡160怪物1</v>
      </c>
      <c r="E801" s="6">
        <v>100</v>
      </c>
      <c r="G801" s="6" t="s">
        <v>1223</v>
      </c>
      <c r="H801" s="6">
        <f t="shared" si="156"/>
        <v>0</v>
      </c>
      <c r="I801" s="6" t="str">
        <f>IF(VLOOKUP(E801,Sheet2!$W:$AA,5,0)=0,"",VLOOKUP(E801,Sheet2!$W:$AA,5,0))</f>
        <v>[60002]</v>
      </c>
      <c r="J801" s="6">
        <v>0</v>
      </c>
      <c r="K801" s="6">
        <v>0</v>
      </c>
      <c r="L801" s="6" t="str">
        <f>IF(VLOOKUP(E801,Sheet2!$W:$AA,2,0)=0,"",VLOOKUP(E801,Sheet2!$W:$AA,2,0))</f>
        <v/>
      </c>
      <c r="N801" s="6">
        <f>IF(VLOOKUP(E801,Sheet2!$W:$AA,3,0)=0,"",VLOOKUP(E801,Sheet2!$W:$AA,3,0))</f>
        <v>2001</v>
      </c>
      <c r="Q801" s="6" t="str">
        <f>IF(VLOOKUP(E801,Sheet2!$W:$AA,4,0)=0,"",VLOOKUP(E801,Sheet2!$W:$AA,4,0))</f>
        <v/>
      </c>
      <c r="R801" s="8">
        <f t="shared" si="158"/>
        <v>24</v>
      </c>
      <c r="S801" s="8">
        <f t="shared" si="148"/>
        <v>2</v>
      </c>
    </row>
    <row r="802" spans="1:19">
      <c r="A802" s="6">
        <f t="shared" si="149"/>
        <v>16002</v>
      </c>
      <c r="B802" s="6">
        <f t="shared" si="157"/>
        <v>160</v>
      </c>
      <c r="C802" s="6">
        <f t="shared" si="151"/>
        <v>2</v>
      </c>
      <c r="D802" s="6" t="str">
        <f t="shared" si="152"/>
        <v>关卡160怪物2</v>
      </c>
      <c r="E802" s="6">
        <v>102</v>
      </c>
      <c r="G802" s="6" t="s">
        <v>1224</v>
      </c>
      <c r="H802" s="6">
        <f t="shared" si="156"/>
        <v>0</v>
      </c>
      <c r="I802" s="6" t="str">
        <f>IF(VLOOKUP(E802,Sheet2!$W:$AA,5,0)=0,"",VLOOKUP(E802,Sheet2!$W:$AA,5,0))</f>
        <v/>
      </c>
      <c r="J802" s="6">
        <v>0</v>
      </c>
      <c r="K802" s="6">
        <v>0</v>
      </c>
      <c r="L802" s="6">
        <f>IF(VLOOKUP(E802,Sheet2!$W:$AA,2,0)=0,"",VLOOKUP(E802,Sheet2!$W:$AA,2,0))</f>
        <v>1</v>
      </c>
      <c r="N802" s="6" t="str">
        <f>IF(VLOOKUP(E802,Sheet2!$W:$AA,3,0)=0,"",VLOOKUP(E802,Sheet2!$W:$AA,3,0))</f>
        <v/>
      </c>
      <c r="Q802" s="6" t="str">
        <f>IF(VLOOKUP(E802,Sheet2!$W:$AA,4,0)=0,"",VLOOKUP(E802,Sheet2!$W:$AA,4,0))</f>
        <v>[{50011,6}]</v>
      </c>
      <c r="R802" s="8">
        <f t="shared" si="158"/>
        <v>24</v>
      </c>
      <c r="S802" s="8">
        <f t="shared" si="148"/>
        <v>2</v>
      </c>
    </row>
    <row r="803" spans="1:19">
      <c r="A803" s="6">
        <f t="shared" si="149"/>
        <v>16003</v>
      </c>
      <c r="B803" s="6">
        <f t="shared" si="157"/>
        <v>160</v>
      </c>
      <c r="C803" s="6">
        <f t="shared" si="151"/>
        <v>3</v>
      </c>
      <c r="D803" s="6" t="str">
        <f t="shared" si="153"/>
        <v>关卡160怪物3</v>
      </c>
      <c r="E803" s="6">
        <v>105</v>
      </c>
      <c r="G803" s="6" t="s">
        <v>1225</v>
      </c>
      <c r="H803" s="6">
        <f t="shared" si="156"/>
        <v>0</v>
      </c>
      <c r="I803" s="6" t="str">
        <f>IF(VLOOKUP(E803,Sheet2!$W:$AA,5,0)=0,"",VLOOKUP(E803,Sheet2!$W:$AA,5,0))</f>
        <v>[60003]</v>
      </c>
      <c r="J803" s="6">
        <v>0</v>
      </c>
      <c r="K803" s="6">
        <v>0</v>
      </c>
      <c r="L803" s="6" t="str">
        <f>IF(VLOOKUP(E803,Sheet2!$W:$AA,2,0)=0,"",VLOOKUP(E803,Sheet2!$W:$AA,2,0))</f>
        <v/>
      </c>
      <c r="N803" s="6" t="str">
        <f>IF(VLOOKUP(E803,Sheet2!$W:$AA,3,0)=0,"",VLOOKUP(E803,Sheet2!$W:$AA,3,0))</f>
        <v/>
      </c>
      <c r="Q803" s="6" t="str">
        <f>IF(VLOOKUP(E803,Sheet2!$W:$AA,4,0)=0,"",VLOOKUP(E803,Sheet2!$W:$AA,4,0))</f>
        <v/>
      </c>
      <c r="R803" s="8">
        <f t="shared" si="158"/>
        <v>24</v>
      </c>
      <c r="S803" s="8">
        <f t="shared" si="148"/>
        <v>2</v>
      </c>
    </row>
    <row r="804" spans="1:19">
      <c r="A804" s="6">
        <f t="shared" si="149"/>
        <v>16021</v>
      </c>
      <c r="B804" s="6">
        <f t="shared" si="157"/>
        <v>160</v>
      </c>
      <c r="C804" s="6">
        <f t="shared" si="151"/>
        <v>4</v>
      </c>
      <c r="D804" s="6" t="str">
        <f t="shared" si="154"/>
        <v>关卡160BOSS1</v>
      </c>
      <c r="E804" s="6">
        <v>502</v>
      </c>
      <c r="G804" s="6" t="s">
        <v>1226</v>
      </c>
      <c r="H804" s="6">
        <f t="shared" si="156"/>
        <v>2</v>
      </c>
      <c r="I804" s="6" t="str">
        <f>IF(VLOOKUP(E804,Sheet2!$W:$AA,5,0)=0,"",VLOOKUP(E804,Sheet2!$W:$AA,5,0))</f>
        <v/>
      </c>
      <c r="J804" s="6">
        <v>0</v>
      </c>
      <c r="K804" s="6">
        <v>0</v>
      </c>
      <c r="L804" s="6">
        <f>IF(VLOOKUP(E804,Sheet2!$W:$AA,2,0)=0,"",VLOOKUP(E804,Sheet2!$W:$AA,2,0))</f>
        <v>1</v>
      </c>
      <c r="N804" s="6" t="str">
        <f>IF(VLOOKUP(E804,Sheet2!$W:$AA,3,0)=0,"",VLOOKUP(E804,Sheet2!$W:$AA,3,0))</f>
        <v/>
      </c>
      <c r="Q804" s="6" t="str">
        <f>IF(VLOOKUP(E804,Sheet2!$W:$AA,4,0)=0,"",VLOOKUP(E804,Sheet2!$W:$AA,4,0))</f>
        <v>[{50021,6}]</v>
      </c>
      <c r="R804" s="8">
        <f t="shared" si="158"/>
        <v>100</v>
      </c>
      <c r="S804" s="8">
        <f t="shared" si="148"/>
        <v>2</v>
      </c>
    </row>
    <row r="805" spans="1:19">
      <c r="A805" s="6">
        <f t="shared" si="149"/>
        <v>16031</v>
      </c>
      <c r="B805" s="6">
        <f t="shared" si="157"/>
        <v>160</v>
      </c>
      <c r="C805" s="6">
        <f t="shared" si="151"/>
        <v>5</v>
      </c>
      <c r="D805" s="6" t="str">
        <f t="shared" si="155"/>
        <v>关卡160BOSS2</v>
      </c>
      <c r="E805" s="6">
        <v>500</v>
      </c>
      <c r="G805" s="6" t="s">
        <v>1227</v>
      </c>
      <c r="H805" s="6">
        <f t="shared" si="156"/>
        <v>2</v>
      </c>
      <c r="I805" s="6" t="str">
        <f>IF(VLOOKUP(E805,Sheet2!$W:$AA,5,0)=0,"",VLOOKUP(E805,Sheet2!$W:$AA,5,0))</f>
        <v>[60002]</v>
      </c>
      <c r="J805" s="6">
        <v>0</v>
      </c>
      <c r="K805" s="6">
        <v>0</v>
      </c>
      <c r="L805" s="6" t="str">
        <f>IF(VLOOKUP(E805,Sheet2!$W:$AA,2,0)=0,"",VLOOKUP(E805,Sheet2!$W:$AA,2,0))</f>
        <v/>
      </c>
      <c r="N805" s="6">
        <f>IF(VLOOKUP(E805,Sheet2!$W:$AA,3,0)=0,"",VLOOKUP(E805,Sheet2!$W:$AA,3,0))</f>
        <v>2001</v>
      </c>
      <c r="Q805" s="6" t="str">
        <f>IF(VLOOKUP(E805,Sheet2!$W:$AA,4,0)=0,"",VLOOKUP(E805,Sheet2!$W:$AA,4,0))</f>
        <v/>
      </c>
      <c r="R805" s="8">
        <f t="shared" si="158"/>
        <v>100</v>
      </c>
      <c r="S805" s="8">
        <f t="shared" si="148"/>
        <v>2</v>
      </c>
    </row>
    <row r="806" spans="1:19">
      <c r="A806" s="6">
        <f t="shared" si="149"/>
        <v>16101</v>
      </c>
      <c r="B806" s="6">
        <f t="shared" si="157"/>
        <v>161</v>
      </c>
      <c r="C806" s="6">
        <f t="shared" si="151"/>
        <v>1</v>
      </c>
      <c r="D806" s="6" t="str">
        <f t="shared" ref="D806:D851" si="159">"关卡"&amp;B806&amp;"怪物1"</f>
        <v>关卡161怪物1</v>
      </c>
      <c r="E806" s="6">
        <v>122</v>
      </c>
      <c r="G806" s="6" t="s">
        <v>1228</v>
      </c>
      <c r="H806" s="6">
        <f t="shared" si="156"/>
        <v>0</v>
      </c>
      <c r="I806" s="6" t="str">
        <f>IF(VLOOKUP(E806,Sheet2!$W:$AA,5,0)=0,"",VLOOKUP(E806,Sheet2!$W:$AA,5,0))</f>
        <v>[60011,60012]</v>
      </c>
      <c r="J806" s="6">
        <v>0</v>
      </c>
      <c r="K806" s="6">
        <v>0</v>
      </c>
      <c r="L806" s="6" t="str">
        <f>IF(VLOOKUP(E806,Sheet2!$W:$AA,2,0)=0,"",VLOOKUP(E806,Sheet2!$W:$AA,2,0))</f>
        <v/>
      </c>
      <c r="N806" s="6" t="str">
        <f>IF(VLOOKUP(E806,Sheet2!$W:$AA,3,0)=0,"",VLOOKUP(E806,Sheet2!$W:$AA,3,0))</f>
        <v/>
      </c>
      <c r="Q806" s="6" t="str">
        <f>IF(VLOOKUP(E806,Sheet2!$W:$AA,4,0)=0,"",VLOOKUP(E806,Sheet2!$W:$AA,4,0))</f>
        <v/>
      </c>
      <c r="R806" s="8">
        <f t="shared" ref="R806:R869" si="160">R801</f>
        <v>24</v>
      </c>
      <c r="S806" s="8">
        <f t="shared" si="148"/>
        <v>2</v>
      </c>
    </row>
    <row r="807" spans="1:19">
      <c r="A807" s="6">
        <f t="shared" si="149"/>
        <v>16102</v>
      </c>
      <c r="B807" s="6">
        <f t="shared" si="157"/>
        <v>161</v>
      </c>
      <c r="C807" s="6">
        <f t="shared" si="151"/>
        <v>2</v>
      </c>
      <c r="D807" s="6" t="str">
        <f t="shared" ref="D807:D852" si="161">"关卡"&amp;B807&amp;"怪物2"</f>
        <v>关卡161怪物2</v>
      </c>
      <c r="E807" s="6">
        <v>123</v>
      </c>
      <c r="G807" s="6" t="s">
        <v>1229</v>
      </c>
      <c r="H807" s="6">
        <f t="shared" si="156"/>
        <v>0</v>
      </c>
      <c r="I807" s="6" t="str">
        <f>IF(VLOOKUP(E807,Sheet2!$W:$AA,5,0)=0,"",VLOOKUP(E807,Sheet2!$W:$AA,5,0))</f>
        <v>[60010]</v>
      </c>
      <c r="J807" s="6">
        <v>0</v>
      </c>
      <c r="K807" s="6">
        <v>0</v>
      </c>
      <c r="L807" s="6">
        <f>IF(VLOOKUP(E807,Sheet2!$W:$AA,2,0)=0,"",VLOOKUP(E807,Sheet2!$W:$AA,2,0))</f>
        <v>1</v>
      </c>
      <c r="N807" s="6" t="str">
        <f>IF(VLOOKUP(E807,Sheet2!$W:$AA,3,0)=0,"",VLOOKUP(E807,Sheet2!$W:$AA,3,0))</f>
        <v/>
      </c>
      <c r="Q807" s="6" t="str">
        <f>IF(VLOOKUP(E807,Sheet2!$W:$AA,4,0)=0,"",VLOOKUP(E807,Sheet2!$W:$AA,4,0))</f>
        <v>[{50019,6}]</v>
      </c>
      <c r="R807" s="8">
        <f t="shared" si="160"/>
        <v>24</v>
      </c>
      <c r="S807" s="8">
        <f t="shared" si="148"/>
        <v>2</v>
      </c>
    </row>
    <row r="808" spans="1:19">
      <c r="A808" s="6">
        <f t="shared" si="149"/>
        <v>16103</v>
      </c>
      <c r="B808" s="6">
        <f t="shared" si="157"/>
        <v>161</v>
      </c>
      <c r="C808" s="6">
        <f t="shared" si="151"/>
        <v>3</v>
      </c>
      <c r="D808" s="6" t="str">
        <f t="shared" ref="D808:D853" si="162">"关卡"&amp;B808&amp;"怪物3"</f>
        <v>关卡161怪物3</v>
      </c>
      <c r="E808" s="6">
        <v>124</v>
      </c>
      <c r="G808" s="6" t="s">
        <v>1230</v>
      </c>
      <c r="H808" s="6">
        <f t="shared" si="156"/>
        <v>0</v>
      </c>
      <c r="I808" s="6" t="str">
        <f>IF(VLOOKUP(E808,Sheet2!$W:$AA,5,0)=0,"",VLOOKUP(E808,Sheet2!$W:$AA,5,0))</f>
        <v>[60013]</v>
      </c>
      <c r="J808" s="6">
        <v>0</v>
      </c>
      <c r="K808" s="6">
        <v>0</v>
      </c>
      <c r="L808" s="6" t="str">
        <f>IF(VLOOKUP(E808,Sheet2!$W:$AA,2,0)=0,"",VLOOKUP(E808,Sheet2!$W:$AA,2,0))</f>
        <v/>
      </c>
      <c r="N808" s="6" t="str">
        <f>IF(VLOOKUP(E808,Sheet2!$W:$AA,3,0)=0,"",VLOOKUP(E808,Sheet2!$W:$AA,3,0))</f>
        <v/>
      </c>
      <c r="Q808" s="6" t="str">
        <f>IF(VLOOKUP(E808,Sheet2!$W:$AA,4,0)=0,"",VLOOKUP(E808,Sheet2!$W:$AA,4,0))</f>
        <v/>
      </c>
      <c r="R808" s="8">
        <f t="shared" si="160"/>
        <v>24</v>
      </c>
      <c r="S808" s="8">
        <f t="shared" si="148"/>
        <v>2</v>
      </c>
    </row>
    <row r="809" spans="1:19">
      <c r="A809" s="6">
        <f t="shared" si="149"/>
        <v>16121</v>
      </c>
      <c r="B809" s="6">
        <f t="shared" si="157"/>
        <v>161</v>
      </c>
      <c r="C809" s="6">
        <f t="shared" si="151"/>
        <v>4</v>
      </c>
      <c r="D809" s="6" t="str">
        <f t="shared" ref="D809:D854" si="163">"关卡"&amp;B809&amp;"BOSS1"</f>
        <v>关卡161BOSS1</v>
      </c>
      <c r="E809" s="6">
        <v>522</v>
      </c>
      <c r="G809" s="6" t="s">
        <v>1231</v>
      </c>
      <c r="H809" s="6">
        <f t="shared" si="156"/>
        <v>2</v>
      </c>
      <c r="I809" s="6" t="str">
        <f>IF(VLOOKUP(E809,Sheet2!$W:$AA,5,0)=0,"",VLOOKUP(E809,Sheet2!$W:$AA,5,0))</f>
        <v>[60011,60012]</v>
      </c>
      <c r="J809" s="6">
        <v>0</v>
      </c>
      <c r="K809" s="6">
        <v>0</v>
      </c>
      <c r="L809" s="6" t="str">
        <f>IF(VLOOKUP(E809,Sheet2!$W:$AA,2,0)=0,"",VLOOKUP(E809,Sheet2!$W:$AA,2,0))</f>
        <v/>
      </c>
      <c r="N809" s="6" t="str">
        <f>IF(VLOOKUP(E809,Sheet2!$W:$AA,3,0)=0,"",VLOOKUP(E809,Sheet2!$W:$AA,3,0))</f>
        <v/>
      </c>
      <c r="Q809" s="6" t="str">
        <f>IF(VLOOKUP(E809,Sheet2!$W:$AA,4,0)=0,"",VLOOKUP(E809,Sheet2!$W:$AA,4,0))</f>
        <v/>
      </c>
      <c r="R809" s="8">
        <f t="shared" si="160"/>
        <v>100</v>
      </c>
      <c r="S809" s="8">
        <f t="shared" si="148"/>
        <v>2</v>
      </c>
    </row>
    <row r="810" spans="1:19">
      <c r="A810" s="6">
        <f t="shared" si="149"/>
        <v>16131</v>
      </c>
      <c r="B810" s="6">
        <f t="shared" si="157"/>
        <v>161</v>
      </c>
      <c r="C810" s="6">
        <f t="shared" si="151"/>
        <v>5</v>
      </c>
      <c r="D810" s="6" t="str">
        <f t="shared" ref="D810:D855" si="164">"关卡"&amp;B810&amp;"BOSS2"</f>
        <v>关卡161BOSS2</v>
      </c>
      <c r="E810" s="6">
        <v>522</v>
      </c>
      <c r="G810" s="6" t="s">
        <v>1232</v>
      </c>
      <c r="H810" s="6">
        <f t="shared" si="156"/>
        <v>2</v>
      </c>
      <c r="I810" s="6" t="str">
        <f>IF(VLOOKUP(E810,Sheet2!$W:$AA,5,0)=0,"",VLOOKUP(E810,Sheet2!$W:$AA,5,0))</f>
        <v>[60011,60012]</v>
      </c>
      <c r="J810" s="6">
        <v>0</v>
      </c>
      <c r="K810" s="6">
        <v>0</v>
      </c>
      <c r="L810" s="6" t="str">
        <f>IF(VLOOKUP(E810,Sheet2!$W:$AA,2,0)=0,"",VLOOKUP(E810,Sheet2!$W:$AA,2,0))</f>
        <v/>
      </c>
      <c r="N810" s="6" t="str">
        <f>IF(VLOOKUP(E810,Sheet2!$W:$AA,3,0)=0,"",VLOOKUP(E810,Sheet2!$W:$AA,3,0))</f>
        <v/>
      </c>
      <c r="Q810" s="6" t="str">
        <f>IF(VLOOKUP(E810,Sheet2!$W:$AA,4,0)=0,"",VLOOKUP(E810,Sheet2!$W:$AA,4,0))</f>
        <v/>
      </c>
      <c r="R810" s="8">
        <f t="shared" si="160"/>
        <v>100</v>
      </c>
      <c r="S810" s="8">
        <f t="shared" si="148"/>
        <v>2</v>
      </c>
    </row>
    <row r="811" spans="1:19">
      <c r="A811" s="6">
        <f t="shared" si="149"/>
        <v>16201</v>
      </c>
      <c r="B811" s="6">
        <f t="shared" si="157"/>
        <v>162</v>
      </c>
      <c r="C811" s="6">
        <f t="shared" si="151"/>
        <v>1</v>
      </c>
      <c r="D811" s="6" t="str">
        <f t="shared" si="159"/>
        <v>关卡162怪物1</v>
      </c>
      <c r="E811" s="6">
        <v>117</v>
      </c>
      <c r="G811" s="6" t="s">
        <v>1233</v>
      </c>
      <c r="H811" s="6">
        <f t="shared" si="156"/>
        <v>0</v>
      </c>
      <c r="I811" s="6" t="str">
        <f>IF(VLOOKUP(E811,Sheet2!$W:$AA,5,0)=0,"",VLOOKUP(E811,Sheet2!$W:$AA,5,0))</f>
        <v/>
      </c>
      <c r="J811" s="6">
        <v>0</v>
      </c>
      <c r="K811" s="6">
        <v>0</v>
      </c>
      <c r="L811" s="6" t="str">
        <f>IF(VLOOKUP(E811,Sheet2!$W:$AA,2,0)=0,"",VLOOKUP(E811,Sheet2!$W:$AA,2,0))</f>
        <v/>
      </c>
      <c r="N811" s="6" t="str">
        <f>IF(VLOOKUP(E811,Sheet2!$W:$AA,3,0)=0,"",VLOOKUP(E811,Sheet2!$W:$AA,3,0))</f>
        <v/>
      </c>
      <c r="Q811" s="6" t="str">
        <f>IF(VLOOKUP(E811,Sheet2!$W:$AA,4,0)=0,"",VLOOKUP(E811,Sheet2!$W:$AA,4,0))</f>
        <v/>
      </c>
      <c r="R811" s="8">
        <f t="shared" si="160"/>
        <v>24</v>
      </c>
      <c r="S811" s="8">
        <f t="shared" si="148"/>
        <v>2</v>
      </c>
    </row>
    <row r="812" spans="1:19">
      <c r="A812" s="6">
        <f t="shared" si="149"/>
        <v>16202</v>
      </c>
      <c r="B812" s="6">
        <f t="shared" si="157"/>
        <v>162</v>
      </c>
      <c r="C812" s="6">
        <f t="shared" si="151"/>
        <v>2</v>
      </c>
      <c r="D812" s="6" t="str">
        <f t="shared" si="161"/>
        <v>关卡162怪物2</v>
      </c>
      <c r="E812" s="6">
        <v>119</v>
      </c>
      <c r="G812" s="6" t="s">
        <v>1234</v>
      </c>
      <c r="H812" s="6">
        <f t="shared" si="156"/>
        <v>0</v>
      </c>
      <c r="I812" s="6" t="str">
        <f>IF(VLOOKUP(E812,Sheet2!$W:$AA,5,0)=0,"",VLOOKUP(E812,Sheet2!$W:$AA,5,0))</f>
        <v/>
      </c>
      <c r="J812" s="6">
        <v>0</v>
      </c>
      <c r="K812" s="6">
        <v>0</v>
      </c>
      <c r="L812" s="6">
        <f>IF(VLOOKUP(E812,Sheet2!$W:$AA,2,0)=0,"",VLOOKUP(E812,Sheet2!$W:$AA,2,0))</f>
        <v>1</v>
      </c>
      <c r="N812" s="6" t="str">
        <f>IF(VLOOKUP(E812,Sheet2!$W:$AA,3,0)=0,"",VLOOKUP(E812,Sheet2!$W:$AA,3,0))</f>
        <v/>
      </c>
      <c r="Q812" s="6" t="str">
        <f>IF(VLOOKUP(E812,Sheet2!$W:$AA,4,0)=0,"",VLOOKUP(E812,Sheet2!$W:$AA,4,0))</f>
        <v>[{50018,6}]</v>
      </c>
      <c r="R812" s="8">
        <f t="shared" si="160"/>
        <v>24</v>
      </c>
      <c r="S812" s="8">
        <f t="shared" si="148"/>
        <v>2</v>
      </c>
    </row>
    <row r="813" spans="1:19">
      <c r="A813" s="6">
        <f t="shared" si="149"/>
        <v>16203</v>
      </c>
      <c r="B813" s="6">
        <f t="shared" si="157"/>
        <v>162</v>
      </c>
      <c r="C813" s="6">
        <f t="shared" si="151"/>
        <v>3</v>
      </c>
      <c r="D813" s="6" t="str">
        <f t="shared" si="162"/>
        <v>关卡162怪物3</v>
      </c>
      <c r="E813" s="6">
        <v>125</v>
      </c>
      <c r="G813" s="6" t="s">
        <v>1235</v>
      </c>
      <c r="H813" s="6">
        <f t="shared" si="156"/>
        <v>0</v>
      </c>
      <c r="I813" s="6" t="str">
        <f>IF(VLOOKUP(E813,Sheet2!$W:$AA,5,0)=0,"",VLOOKUP(E813,Sheet2!$W:$AA,5,0))</f>
        <v>[60016]</v>
      </c>
      <c r="J813" s="6">
        <v>0</v>
      </c>
      <c r="K813" s="6">
        <v>0</v>
      </c>
      <c r="L813" s="6" t="str">
        <f>IF(VLOOKUP(E813,Sheet2!$W:$AA,2,0)=0,"",VLOOKUP(E813,Sheet2!$W:$AA,2,0))</f>
        <v/>
      </c>
      <c r="N813" s="6" t="str">
        <f>IF(VLOOKUP(E813,Sheet2!$W:$AA,3,0)=0,"",VLOOKUP(E813,Sheet2!$W:$AA,3,0))</f>
        <v/>
      </c>
      <c r="Q813" s="6" t="str">
        <f>IF(VLOOKUP(E813,Sheet2!$W:$AA,4,0)=0,"",VLOOKUP(E813,Sheet2!$W:$AA,4,0))</f>
        <v/>
      </c>
      <c r="R813" s="8">
        <f t="shared" si="160"/>
        <v>24</v>
      </c>
      <c r="S813" s="8">
        <f t="shared" ref="S813:S876" si="165">S812</f>
        <v>2</v>
      </c>
    </row>
    <row r="814" spans="1:19">
      <c r="A814" s="6">
        <f t="shared" si="149"/>
        <v>16221</v>
      </c>
      <c r="B814" s="6">
        <f t="shared" si="157"/>
        <v>162</v>
      </c>
      <c r="C814" s="6">
        <f t="shared" si="151"/>
        <v>4</v>
      </c>
      <c r="D814" s="6" t="str">
        <f t="shared" si="163"/>
        <v>关卡162BOSS1</v>
      </c>
      <c r="E814" s="6">
        <v>517</v>
      </c>
      <c r="G814" s="6" t="s">
        <v>1236</v>
      </c>
      <c r="H814" s="6">
        <f t="shared" si="156"/>
        <v>2</v>
      </c>
      <c r="I814" s="6" t="str">
        <f>IF(VLOOKUP(E814,Sheet2!$W:$AA,5,0)=0,"",VLOOKUP(E814,Sheet2!$W:$AA,5,0))</f>
        <v/>
      </c>
      <c r="J814" s="6">
        <v>0</v>
      </c>
      <c r="K814" s="6">
        <v>0</v>
      </c>
      <c r="L814" s="6" t="str">
        <f>IF(VLOOKUP(E814,Sheet2!$W:$AA,2,0)=0,"",VLOOKUP(E814,Sheet2!$W:$AA,2,0))</f>
        <v/>
      </c>
      <c r="N814" s="6" t="str">
        <f>IF(VLOOKUP(E814,Sheet2!$W:$AA,3,0)=0,"",VLOOKUP(E814,Sheet2!$W:$AA,3,0))</f>
        <v/>
      </c>
      <c r="Q814" s="6" t="str">
        <f>IF(VLOOKUP(E814,Sheet2!$W:$AA,4,0)=0,"",VLOOKUP(E814,Sheet2!$W:$AA,4,0))</f>
        <v/>
      </c>
      <c r="R814" s="8">
        <f t="shared" si="160"/>
        <v>100</v>
      </c>
      <c r="S814" s="8">
        <f t="shared" si="165"/>
        <v>2</v>
      </c>
    </row>
    <row r="815" spans="1:19">
      <c r="A815" s="6">
        <f t="shared" si="149"/>
        <v>16231</v>
      </c>
      <c r="B815" s="6">
        <f t="shared" si="157"/>
        <v>162</v>
      </c>
      <c r="C815" s="6">
        <f t="shared" si="151"/>
        <v>5</v>
      </c>
      <c r="D815" s="6" t="str">
        <f t="shared" si="164"/>
        <v>关卡162BOSS2</v>
      </c>
      <c r="E815" s="6">
        <v>517</v>
      </c>
      <c r="G815" s="6" t="s">
        <v>1237</v>
      </c>
      <c r="H815" s="6">
        <f t="shared" si="156"/>
        <v>2</v>
      </c>
      <c r="I815" s="6" t="str">
        <f>IF(VLOOKUP(E815,Sheet2!$W:$AA,5,0)=0,"",VLOOKUP(E815,Sheet2!$W:$AA,5,0))</f>
        <v/>
      </c>
      <c r="J815" s="6">
        <v>0</v>
      </c>
      <c r="K815" s="6">
        <v>0</v>
      </c>
      <c r="L815" s="6" t="str">
        <f>IF(VLOOKUP(E815,Sheet2!$W:$AA,2,0)=0,"",VLOOKUP(E815,Sheet2!$W:$AA,2,0))</f>
        <v/>
      </c>
      <c r="N815" s="6" t="str">
        <f>IF(VLOOKUP(E815,Sheet2!$W:$AA,3,0)=0,"",VLOOKUP(E815,Sheet2!$W:$AA,3,0))</f>
        <v/>
      </c>
      <c r="Q815" s="6" t="str">
        <f>IF(VLOOKUP(E815,Sheet2!$W:$AA,4,0)=0,"",VLOOKUP(E815,Sheet2!$W:$AA,4,0))</f>
        <v/>
      </c>
      <c r="R815" s="8">
        <f t="shared" si="160"/>
        <v>100</v>
      </c>
      <c r="S815" s="8">
        <f t="shared" si="165"/>
        <v>2</v>
      </c>
    </row>
    <row r="816" spans="1:19">
      <c r="A816" s="6">
        <f t="shared" si="149"/>
        <v>16301</v>
      </c>
      <c r="B816" s="6">
        <f t="shared" si="157"/>
        <v>163</v>
      </c>
      <c r="C816" s="6">
        <f t="shared" si="151"/>
        <v>1</v>
      </c>
      <c r="D816" s="6" t="str">
        <f t="shared" si="159"/>
        <v>关卡163怪物1</v>
      </c>
      <c r="E816" s="6">
        <v>101</v>
      </c>
      <c r="G816" s="6" t="s">
        <v>1238</v>
      </c>
      <c r="H816" s="6">
        <f t="shared" si="156"/>
        <v>0</v>
      </c>
      <c r="I816" s="6" t="str">
        <f>IF(VLOOKUP(E816,Sheet2!$W:$AA,5,0)=0,"",VLOOKUP(E816,Sheet2!$W:$AA,5,0))</f>
        <v/>
      </c>
      <c r="J816" s="6">
        <v>0</v>
      </c>
      <c r="K816" s="6">
        <v>0</v>
      </c>
      <c r="L816" s="6" t="str">
        <f>IF(VLOOKUP(E816,Sheet2!$W:$AA,2,0)=0,"",VLOOKUP(E816,Sheet2!$W:$AA,2,0))</f>
        <v/>
      </c>
      <c r="N816" s="6" t="str">
        <f>IF(VLOOKUP(E816,Sheet2!$W:$AA,3,0)=0,"",VLOOKUP(E816,Sheet2!$W:$AA,3,0))</f>
        <v/>
      </c>
      <c r="Q816" s="6" t="str">
        <f>IF(VLOOKUP(E816,Sheet2!$W:$AA,4,0)=0,"",VLOOKUP(E816,Sheet2!$W:$AA,4,0))</f>
        <v/>
      </c>
      <c r="R816" s="8">
        <f t="shared" si="160"/>
        <v>24</v>
      </c>
      <c r="S816" s="8">
        <f t="shared" si="165"/>
        <v>2</v>
      </c>
    </row>
    <row r="817" spans="1:19">
      <c r="A817" s="6">
        <f t="shared" si="149"/>
        <v>16302</v>
      </c>
      <c r="B817" s="6">
        <f t="shared" si="157"/>
        <v>163</v>
      </c>
      <c r="C817" s="6">
        <f t="shared" si="151"/>
        <v>2</v>
      </c>
      <c r="D817" s="6" t="str">
        <f t="shared" si="161"/>
        <v>关卡163怪物2</v>
      </c>
      <c r="E817" s="6">
        <v>127</v>
      </c>
      <c r="G817" s="6" t="s">
        <v>1239</v>
      </c>
      <c r="H817" s="6">
        <f t="shared" si="156"/>
        <v>0</v>
      </c>
      <c r="I817" s="6" t="str">
        <f>IF(VLOOKUP(E817,Sheet2!$W:$AA,5,0)=0,"",VLOOKUP(E817,Sheet2!$W:$AA,5,0))</f>
        <v>[60015]</v>
      </c>
      <c r="J817" s="6">
        <v>0</v>
      </c>
      <c r="K817" s="6">
        <v>0</v>
      </c>
      <c r="L817" s="6" t="str">
        <f>IF(VLOOKUP(E817,Sheet2!$W:$AA,2,0)=0,"",VLOOKUP(E817,Sheet2!$W:$AA,2,0))</f>
        <v/>
      </c>
      <c r="N817" s="6" t="str">
        <f>IF(VLOOKUP(E817,Sheet2!$W:$AA,3,0)=0,"",VLOOKUP(E817,Sheet2!$W:$AA,3,0))</f>
        <v/>
      </c>
      <c r="Q817" s="6" t="str">
        <f>IF(VLOOKUP(E817,Sheet2!$W:$AA,4,0)=0,"",VLOOKUP(E817,Sheet2!$W:$AA,4,0))</f>
        <v/>
      </c>
      <c r="R817" s="8">
        <f t="shared" si="160"/>
        <v>24</v>
      </c>
      <c r="S817" s="8">
        <f t="shared" si="165"/>
        <v>2</v>
      </c>
    </row>
    <row r="818" spans="1:19">
      <c r="A818" s="6">
        <f t="shared" si="149"/>
        <v>16303</v>
      </c>
      <c r="B818" s="6">
        <f t="shared" si="157"/>
        <v>163</v>
      </c>
      <c r="C818" s="6">
        <f t="shared" si="151"/>
        <v>3</v>
      </c>
      <c r="D818" s="6" t="str">
        <f t="shared" si="162"/>
        <v>关卡163怪物3</v>
      </c>
      <c r="E818" s="6">
        <v>128</v>
      </c>
      <c r="G818" s="6" t="s">
        <v>1240</v>
      </c>
      <c r="H818" s="6">
        <f t="shared" si="156"/>
        <v>0</v>
      </c>
      <c r="I818" s="6" t="str">
        <f>IF(VLOOKUP(E818,Sheet2!$W:$AA,5,0)=0,"",VLOOKUP(E818,Sheet2!$W:$AA,5,0))</f>
        <v>[60017]</v>
      </c>
      <c r="J818" s="6">
        <v>0</v>
      </c>
      <c r="K818" s="6">
        <v>0</v>
      </c>
      <c r="L818" s="6" t="str">
        <f>IF(VLOOKUP(E818,Sheet2!$W:$AA,2,0)=0,"",VLOOKUP(E818,Sheet2!$W:$AA,2,0))</f>
        <v/>
      </c>
      <c r="N818" s="6" t="str">
        <f>IF(VLOOKUP(E818,Sheet2!$W:$AA,3,0)=0,"",VLOOKUP(E818,Sheet2!$W:$AA,3,0))</f>
        <v/>
      </c>
      <c r="Q818" s="6" t="str">
        <f>IF(VLOOKUP(E818,Sheet2!$W:$AA,4,0)=0,"",VLOOKUP(E818,Sheet2!$W:$AA,4,0))</f>
        <v/>
      </c>
      <c r="R818" s="8">
        <f t="shared" si="160"/>
        <v>24</v>
      </c>
      <c r="S818" s="8">
        <f t="shared" si="165"/>
        <v>2</v>
      </c>
    </row>
    <row r="819" spans="1:19">
      <c r="A819" s="6">
        <f t="shared" si="149"/>
        <v>16321</v>
      </c>
      <c r="B819" s="6">
        <f t="shared" si="157"/>
        <v>163</v>
      </c>
      <c r="C819" s="6">
        <f t="shared" si="151"/>
        <v>4</v>
      </c>
      <c r="D819" s="6" t="str">
        <f t="shared" si="163"/>
        <v>关卡163BOSS1</v>
      </c>
      <c r="E819" s="6">
        <v>501</v>
      </c>
      <c r="G819" s="6" t="s">
        <v>1241</v>
      </c>
      <c r="H819" s="6">
        <f t="shared" si="156"/>
        <v>2</v>
      </c>
      <c r="I819" s="6" t="str">
        <f>IF(VLOOKUP(E819,Sheet2!$W:$AA,5,0)=0,"",VLOOKUP(E819,Sheet2!$W:$AA,5,0))</f>
        <v/>
      </c>
      <c r="J819" s="6">
        <v>0</v>
      </c>
      <c r="K819" s="6">
        <v>0</v>
      </c>
      <c r="L819" s="6" t="str">
        <f>IF(VLOOKUP(E819,Sheet2!$W:$AA,2,0)=0,"",VLOOKUP(E819,Sheet2!$W:$AA,2,0))</f>
        <v/>
      </c>
      <c r="N819" s="6" t="str">
        <f>IF(VLOOKUP(E819,Sheet2!$W:$AA,3,0)=0,"",VLOOKUP(E819,Sheet2!$W:$AA,3,0))</f>
        <v/>
      </c>
      <c r="Q819" s="6" t="str">
        <f>IF(VLOOKUP(E819,Sheet2!$W:$AA,4,0)=0,"",VLOOKUP(E819,Sheet2!$W:$AA,4,0))</f>
        <v/>
      </c>
      <c r="R819" s="8">
        <f t="shared" si="160"/>
        <v>100</v>
      </c>
      <c r="S819" s="8">
        <f t="shared" si="165"/>
        <v>2</v>
      </c>
    </row>
    <row r="820" spans="1:19">
      <c r="A820" s="6">
        <f t="shared" ref="A820:A883" si="166">A815+100</f>
        <v>16331</v>
      </c>
      <c r="B820" s="6">
        <f t="shared" si="157"/>
        <v>163</v>
      </c>
      <c r="C820" s="6">
        <f t="shared" si="151"/>
        <v>5</v>
      </c>
      <c r="D820" s="6" t="str">
        <f t="shared" si="164"/>
        <v>关卡163BOSS2</v>
      </c>
      <c r="E820" s="6">
        <v>501</v>
      </c>
      <c r="G820" s="6" t="s">
        <v>1242</v>
      </c>
      <c r="H820" s="6">
        <f t="shared" si="156"/>
        <v>2</v>
      </c>
      <c r="I820" s="6" t="str">
        <f>IF(VLOOKUP(E820,Sheet2!$W:$AA,5,0)=0,"",VLOOKUP(E820,Sheet2!$W:$AA,5,0))</f>
        <v/>
      </c>
      <c r="J820" s="6">
        <v>0</v>
      </c>
      <c r="K820" s="6">
        <v>0</v>
      </c>
      <c r="L820" s="6" t="str">
        <f>IF(VLOOKUP(E820,Sheet2!$W:$AA,2,0)=0,"",VLOOKUP(E820,Sheet2!$W:$AA,2,0))</f>
        <v/>
      </c>
      <c r="N820" s="6" t="str">
        <f>IF(VLOOKUP(E820,Sheet2!$W:$AA,3,0)=0,"",VLOOKUP(E820,Sheet2!$W:$AA,3,0))</f>
        <v/>
      </c>
      <c r="Q820" s="6" t="str">
        <f>IF(VLOOKUP(E820,Sheet2!$W:$AA,4,0)=0,"",VLOOKUP(E820,Sheet2!$W:$AA,4,0))</f>
        <v/>
      </c>
      <c r="R820" s="8">
        <f t="shared" si="160"/>
        <v>100</v>
      </c>
      <c r="S820" s="8">
        <f t="shared" si="165"/>
        <v>2</v>
      </c>
    </row>
    <row r="821" spans="1:19">
      <c r="A821" s="6">
        <f t="shared" si="166"/>
        <v>16401</v>
      </c>
      <c r="B821" s="6">
        <f t="shared" si="157"/>
        <v>164</v>
      </c>
      <c r="C821" s="6">
        <f t="shared" ref="C821:C884" si="167">C816</f>
        <v>1</v>
      </c>
      <c r="D821" s="6" t="str">
        <f t="shared" si="159"/>
        <v>关卡164怪物1</v>
      </c>
      <c r="E821" s="6">
        <v>100</v>
      </c>
      <c r="G821" s="6" t="s">
        <v>1243</v>
      </c>
      <c r="H821" s="6">
        <f t="shared" si="156"/>
        <v>0</v>
      </c>
      <c r="I821" s="6" t="str">
        <f>IF(VLOOKUP(E821,Sheet2!$W:$AA,5,0)=0,"",VLOOKUP(E821,Sheet2!$W:$AA,5,0))</f>
        <v>[60002]</v>
      </c>
      <c r="J821" s="6">
        <v>0</v>
      </c>
      <c r="K821" s="6">
        <v>0</v>
      </c>
      <c r="L821" s="6" t="str">
        <f>IF(VLOOKUP(E821,Sheet2!$W:$AA,2,0)=0,"",VLOOKUP(E821,Sheet2!$W:$AA,2,0))</f>
        <v/>
      </c>
      <c r="N821" s="6">
        <f>IF(VLOOKUP(E821,Sheet2!$W:$AA,3,0)=0,"",VLOOKUP(E821,Sheet2!$W:$AA,3,0))</f>
        <v>2001</v>
      </c>
      <c r="Q821" s="6" t="str">
        <f>IF(VLOOKUP(E821,Sheet2!$W:$AA,4,0)=0,"",VLOOKUP(E821,Sheet2!$W:$AA,4,0))</f>
        <v/>
      </c>
      <c r="R821" s="8">
        <f t="shared" si="160"/>
        <v>24</v>
      </c>
      <c r="S821" s="8">
        <f t="shared" si="165"/>
        <v>2</v>
      </c>
    </row>
    <row r="822" spans="1:19">
      <c r="A822" s="6">
        <f t="shared" si="166"/>
        <v>16402</v>
      </c>
      <c r="B822" s="6">
        <f t="shared" si="157"/>
        <v>164</v>
      </c>
      <c r="C822" s="6">
        <f t="shared" si="167"/>
        <v>2</v>
      </c>
      <c r="D822" s="6" t="str">
        <f t="shared" si="161"/>
        <v>关卡164怪物2</v>
      </c>
      <c r="E822" s="6">
        <v>102</v>
      </c>
      <c r="G822" s="6" t="s">
        <v>1244</v>
      </c>
      <c r="H822" s="6">
        <f t="shared" si="156"/>
        <v>0</v>
      </c>
      <c r="I822" s="6" t="str">
        <f>IF(VLOOKUP(E822,Sheet2!$W:$AA,5,0)=0,"",VLOOKUP(E822,Sheet2!$W:$AA,5,0))</f>
        <v/>
      </c>
      <c r="J822" s="6">
        <v>0</v>
      </c>
      <c r="K822" s="6">
        <v>0</v>
      </c>
      <c r="L822" s="6">
        <f>IF(VLOOKUP(E822,Sheet2!$W:$AA,2,0)=0,"",VLOOKUP(E822,Sheet2!$W:$AA,2,0))</f>
        <v>1</v>
      </c>
      <c r="N822" s="6" t="str">
        <f>IF(VLOOKUP(E822,Sheet2!$W:$AA,3,0)=0,"",VLOOKUP(E822,Sheet2!$W:$AA,3,0))</f>
        <v/>
      </c>
      <c r="Q822" s="6" t="str">
        <f>IF(VLOOKUP(E822,Sheet2!$W:$AA,4,0)=0,"",VLOOKUP(E822,Sheet2!$W:$AA,4,0))</f>
        <v>[{50011,6}]</v>
      </c>
      <c r="R822" s="8">
        <f t="shared" si="160"/>
        <v>24</v>
      </c>
      <c r="S822" s="8">
        <f t="shared" si="165"/>
        <v>2</v>
      </c>
    </row>
    <row r="823" spans="1:19">
      <c r="A823" s="6">
        <f t="shared" si="166"/>
        <v>16403</v>
      </c>
      <c r="B823" s="6">
        <f t="shared" si="157"/>
        <v>164</v>
      </c>
      <c r="C823" s="6">
        <f t="shared" si="167"/>
        <v>3</v>
      </c>
      <c r="D823" s="6" t="str">
        <f t="shared" si="162"/>
        <v>关卡164怪物3</v>
      </c>
      <c r="E823" s="6">
        <v>105</v>
      </c>
      <c r="G823" s="6" t="s">
        <v>1245</v>
      </c>
      <c r="H823" s="6">
        <f t="shared" si="156"/>
        <v>0</v>
      </c>
      <c r="I823" s="6" t="str">
        <f>IF(VLOOKUP(E823,Sheet2!$W:$AA,5,0)=0,"",VLOOKUP(E823,Sheet2!$W:$AA,5,0))</f>
        <v>[60003]</v>
      </c>
      <c r="J823" s="6">
        <v>0</v>
      </c>
      <c r="K823" s="6">
        <v>0</v>
      </c>
      <c r="L823" s="6" t="str">
        <f>IF(VLOOKUP(E823,Sheet2!$W:$AA,2,0)=0,"",VLOOKUP(E823,Sheet2!$W:$AA,2,0))</f>
        <v/>
      </c>
      <c r="N823" s="6" t="str">
        <f>IF(VLOOKUP(E823,Sheet2!$W:$AA,3,0)=0,"",VLOOKUP(E823,Sheet2!$W:$AA,3,0))</f>
        <v/>
      </c>
      <c r="Q823" s="6" t="str">
        <f>IF(VLOOKUP(E823,Sheet2!$W:$AA,4,0)=0,"",VLOOKUP(E823,Sheet2!$W:$AA,4,0))</f>
        <v/>
      </c>
      <c r="R823" s="8">
        <f t="shared" si="160"/>
        <v>24</v>
      </c>
      <c r="S823" s="8">
        <f t="shared" si="165"/>
        <v>2</v>
      </c>
    </row>
    <row r="824" spans="1:19">
      <c r="A824" s="6">
        <f t="shared" si="166"/>
        <v>16421</v>
      </c>
      <c r="B824" s="6">
        <f t="shared" si="157"/>
        <v>164</v>
      </c>
      <c r="C824" s="6">
        <f t="shared" si="167"/>
        <v>4</v>
      </c>
      <c r="D824" s="6" t="str">
        <f t="shared" si="163"/>
        <v>关卡164BOSS1</v>
      </c>
      <c r="E824" s="6">
        <v>502</v>
      </c>
      <c r="G824" s="6" t="s">
        <v>1246</v>
      </c>
      <c r="H824" s="6">
        <f t="shared" si="156"/>
        <v>2</v>
      </c>
      <c r="I824" s="6" t="str">
        <f>IF(VLOOKUP(E824,Sheet2!$W:$AA,5,0)=0,"",VLOOKUP(E824,Sheet2!$W:$AA,5,0))</f>
        <v/>
      </c>
      <c r="J824" s="6">
        <v>0</v>
      </c>
      <c r="K824" s="6">
        <v>0</v>
      </c>
      <c r="L824" s="6">
        <f>IF(VLOOKUP(E824,Sheet2!$W:$AA,2,0)=0,"",VLOOKUP(E824,Sheet2!$W:$AA,2,0))</f>
        <v>1</v>
      </c>
      <c r="N824" s="6" t="str">
        <f>IF(VLOOKUP(E824,Sheet2!$W:$AA,3,0)=0,"",VLOOKUP(E824,Sheet2!$W:$AA,3,0))</f>
        <v/>
      </c>
      <c r="Q824" s="6" t="str">
        <f>IF(VLOOKUP(E824,Sheet2!$W:$AA,4,0)=0,"",VLOOKUP(E824,Sheet2!$W:$AA,4,0))</f>
        <v>[{50021,6}]</v>
      </c>
      <c r="R824" s="8">
        <f t="shared" si="160"/>
        <v>100</v>
      </c>
      <c r="S824" s="8">
        <f t="shared" si="165"/>
        <v>2</v>
      </c>
    </row>
    <row r="825" spans="1:19">
      <c r="A825" s="6">
        <f t="shared" si="166"/>
        <v>16431</v>
      </c>
      <c r="B825" s="6">
        <f t="shared" si="157"/>
        <v>164</v>
      </c>
      <c r="C825" s="6">
        <f t="shared" si="167"/>
        <v>5</v>
      </c>
      <c r="D825" s="6" t="str">
        <f t="shared" si="164"/>
        <v>关卡164BOSS2</v>
      </c>
      <c r="E825" s="6">
        <v>500</v>
      </c>
      <c r="G825" s="6" t="s">
        <v>1247</v>
      </c>
      <c r="H825" s="6">
        <f t="shared" si="156"/>
        <v>2</v>
      </c>
      <c r="I825" s="6" t="str">
        <f>IF(VLOOKUP(E825,Sheet2!$W:$AA,5,0)=0,"",VLOOKUP(E825,Sheet2!$W:$AA,5,0))</f>
        <v>[60002]</v>
      </c>
      <c r="J825" s="6">
        <v>0</v>
      </c>
      <c r="K825" s="6">
        <v>0</v>
      </c>
      <c r="L825" s="6" t="str">
        <f>IF(VLOOKUP(E825,Sheet2!$W:$AA,2,0)=0,"",VLOOKUP(E825,Sheet2!$W:$AA,2,0))</f>
        <v/>
      </c>
      <c r="N825" s="6">
        <f>IF(VLOOKUP(E825,Sheet2!$W:$AA,3,0)=0,"",VLOOKUP(E825,Sheet2!$W:$AA,3,0))</f>
        <v>2001</v>
      </c>
      <c r="Q825" s="6" t="str">
        <f>IF(VLOOKUP(E825,Sheet2!$W:$AA,4,0)=0,"",VLOOKUP(E825,Sheet2!$W:$AA,4,0))</f>
        <v/>
      </c>
      <c r="R825" s="8">
        <f t="shared" si="160"/>
        <v>100</v>
      </c>
      <c r="S825" s="8">
        <f t="shared" si="165"/>
        <v>2</v>
      </c>
    </row>
    <row r="826" spans="1:19">
      <c r="A826" s="6">
        <f t="shared" si="166"/>
        <v>16501</v>
      </c>
      <c r="B826" s="6">
        <f t="shared" si="157"/>
        <v>165</v>
      </c>
      <c r="C826" s="6">
        <f t="shared" si="167"/>
        <v>1</v>
      </c>
      <c r="D826" s="6" t="str">
        <f t="shared" si="159"/>
        <v>关卡165怪物1</v>
      </c>
      <c r="E826" s="6">
        <v>124</v>
      </c>
      <c r="G826" s="6" t="s">
        <v>1248</v>
      </c>
      <c r="H826" s="6">
        <f t="shared" si="156"/>
        <v>0</v>
      </c>
      <c r="I826" s="6" t="str">
        <f>IF(VLOOKUP(E826,Sheet2!$W:$AA,5,0)=0,"",VLOOKUP(E826,Sheet2!$W:$AA,5,0))</f>
        <v>[60013]</v>
      </c>
      <c r="J826" s="6">
        <v>0</v>
      </c>
      <c r="K826" s="6">
        <v>0</v>
      </c>
      <c r="L826" s="6" t="str">
        <f>IF(VLOOKUP(E826,Sheet2!$W:$AA,2,0)=0,"",VLOOKUP(E826,Sheet2!$W:$AA,2,0))</f>
        <v/>
      </c>
      <c r="N826" s="6" t="str">
        <f>IF(VLOOKUP(E826,Sheet2!$W:$AA,3,0)=0,"",VLOOKUP(E826,Sheet2!$W:$AA,3,0))</f>
        <v/>
      </c>
      <c r="Q826" s="6" t="str">
        <f>IF(VLOOKUP(E826,Sheet2!$W:$AA,4,0)=0,"",VLOOKUP(E826,Sheet2!$W:$AA,4,0))</f>
        <v/>
      </c>
      <c r="R826" s="8">
        <f t="shared" si="160"/>
        <v>24</v>
      </c>
      <c r="S826" s="8">
        <f t="shared" si="165"/>
        <v>2</v>
      </c>
    </row>
    <row r="827" spans="1:19">
      <c r="A827" s="6">
        <f t="shared" si="166"/>
        <v>16502</v>
      </c>
      <c r="B827" s="6">
        <f t="shared" si="157"/>
        <v>165</v>
      </c>
      <c r="C827" s="6">
        <f t="shared" si="167"/>
        <v>2</v>
      </c>
      <c r="D827" s="6" t="str">
        <f t="shared" si="161"/>
        <v>关卡165怪物2</v>
      </c>
      <c r="E827" s="6">
        <v>126</v>
      </c>
      <c r="G827" s="6" t="s">
        <v>1249</v>
      </c>
      <c r="H827" s="6">
        <f t="shared" si="156"/>
        <v>0</v>
      </c>
      <c r="I827" s="6" t="str">
        <f>IF(VLOOKUP(E827,Sheet2!$W:$AA,5,0)=0,"",VLOOKUP(E827,Sheet2!$W:$AA,5,0))</f>
        <v>[60014]</v>
      </c>
      <c r="J827" s="6">
        <v>0</v>
      </c>
      <c r="K827" s="6">
        <v>0</v>
      </c>
      <c r="L827" s="6">
        <f>IF(VLOOKUP(E827,Sheet2!$W:$AA,2,0)=0,"",VLOOKUP(E827,Sheet2!$W:$AA,2,0))</f>
        <v>1</v>
      </c>
      <c r="N827" s="6" t="str">
        <f>IF(VLOOKUP(E827,Sheet2!$W:$AA,3,0)=0,"",VLOOKUP(E827,Sheet2!$W:$AA,3,0))</f>
        <v/>
      </c>
      <c r="Q827" s="6" t="str">
        <f>IF(VLOOKUP(E827,Sheet2!$W:$AA,4,0)=0,"",VLOOKUP(E827,Sheet2!$W:$AA,4,0))</f>
        <v>[{50031,6}]</v>
      </c>
      <c r="R827" s="8">
        <f t="shared" si="160"/>
        <v>24</v>
      </c>
      <c r="S827" s="8">
        <f t="shared" si="165"/>
        <v>2</v>
      </c>
    </row>
    <row r="828" spans="1:19">
      <c r="A828" s="6">
        <f t="shared" si="166"/>
        <v>16503</v>
      </c>
      <c r="B828" s="6">
        <f t="shared" si="157"/>
        <v>165</v>
      </c>
      <c r="C828" s="6">
        <f t="shared" si="167"/>
        <v>3</v>
      </c>
      <c r="D828" s="6" t="str">
        <f t="shared" si="162"/>
        <v>关卡165怪物3</v>
      </c>
      <c r="E828" s="6">
        <v>126</v>
      </c>
      <c r="G828" s="6" t="s">
        <v>1250</v>
      </c>
      <c r="H828" s="6">
        <f t="shared" si="156"/>
        <v>0</v>
      </c>
      <c r="I828" s="6" t="str">
        <f>IF(VLOOKUP(E828,Sheet2!$W:$AA,5,0)=0,"",VLOOKUP(E828,Sheet2!$W:$AA,5,0))</f>
        <v>[60014]</v>
      </c>
      <c r="J828" s="6">
        <v>0</v>
      </c>
      <c r="K828" s="6">
        <v>0</v>
      </c>
      <c r="L828" s="6">
        <f>IF(VLOOKUP(E828,Sheet2!$W:$AA,2,0)=0,"",VLOOKUP(E828,Sheet2!$W:$AA,2,0))</f>
        <v>1</v>
      </c>
      <c r="N828" s="6" t="str">
        <f>IF(VLOOKUP(E828,Sheet2!$W:$AA,3,0)=0,"",VLOOKUP(E828,Sheet2!$W:$AA,3,0))</f>
        <v/>
      </c>
      <c r="Q828" s="6" t="str">
        <f>IF(VLOOKUP(E828,Sheet2!$W:$AA,4,0)=0,"",VLOOKUP(E828,Sheet2!$W:$AA,4,0))</f>
        <v>[{50031,6}]</v>
      </c>
      <c r="R828" s="8">
        <f t="shared" si="160"/>
        <v>24</v>
      </c>
      <c r="S828" s="8">
        <f t="shared" si="165"/>
        <v>2</v>
      </c>
    </row>
    <row r="829" spans="1:19">
      <c r="A829" s="6">
        <f t="shared" si="166"/>
        <v>16521</v>
      </c>
      <c r="B829" s="6">
        <f t="shared" si="157"/>
        <v>165</v>
      </c>
      <c r="C829" s="6">
        <f t="shared" si="167"/>
        <v>4</v>
      </c>
      <c r="D829" s="6" t="str">
        <f t="shared" si="163"/>
        <v>关卡165BOSS1</v>
      </c>
      <c r="E829" s="6">
        <v>524</v>
      </c>
      <c r="G829" s="6" t="s">
        <v>1251</v>
      </c>
      <c r="H829" s="6">
        <f t="shared" si="156"/>
        <v>2</v>
      </c>
      <c r="I829" s="6" t="str">
        <f>IF(VLOOKUP(E829,Sheet2!$W:$AA,5,0)=0,"",VLOOKUP(E829,Sheet2!$W:$AA,5,0))</f>
        <v>[60013]</v>
      </c>
      <c r="J829" s="6">
        <v>0</v>
      </c>
      <c r="K829" s="6">
        <v>0</v>
      </c>
      <c r="L829" s="6" t="str">
        <f>IF(VLOOKUP(E829,Sheet2!$W:$AA,2,0)=0,"",VLOOKUP(E829,Sheet2!$W:$AA,2,0))</f>
        <v/>
      </c>
      <c r="N829" s="6" t="str">
        <f>IF(VLOOKUP(E829,Sheet2!$W:$AA,3,0)=0,"",VLOOKUP(E829,Sheet2!$W:$AA,3,0))</f>
        <v/>
      </c>
      <c r="Q829" s="6" t="str">
        <f>IF(VLOOKUP(E829,Sheet2!$W:$AA,4,0)=0,"",VLOOKUP(E829,Sheet2!$W:$AA,4,0))</f>
        <v/>
      </c>
      <c r="R829" s="8">
        <f t="shared" si="160"/>
        <v>100</v>
      </c>
      <c r="S829" s="8">
        <f t="shared" si="165"/>
        <v>2</v>
      </c>
    </row>
    <row r="830" spans="1:19">
      <c r="A830" s="6">
        <f t="shared" si="166"/>
        <v>16531</v>
      </c>
      <c r="B830" s="6">
        <f t="shared" si="157"/>
        <v>165</v>
      </c>
      <c r="C830" s="6">
        <f t="shared" si="167"/>
        <v>5</v>
      </c>
      <c r="D830" s="6" t="str">
        <f t="shared" si="164"/>
        <v>关卡165BOSS2</v>
      </c>
      <c r="E830" s="6">
        <v>524</v>
      </c>
      <c r="G830" s="6" t="s">
        <v>1252</v>
      </c>
      <c r="H830" s="6">
        <f t="shared" si="156"/>
        <v>2</v>
      </c>
      <c r="I830" s="6" t="str">
        <f>IF(VLOOKUP(E830,Sheet2!$W:$AA,5,0)=0,"",VLOOKUP(E830,Sheet2!$W:$AA,5,0))</f>
        <v>[60013]</v>
      </c>
      <c r="J830" s="6">
        <v>0</v>
      </c>
      <c r="K830" s="6">
        <v>0</v>
      </c>
      <c r="L830" s="6" t="str">
        <f>IF(VLOOKUP(E830,Sheet2!$W:$AA,2,0)=0,"",VLOOKUP(E830,Sheet2!$W:$AA,2,0))</f>
        <v/>
      </c>
      <c r="N830" s="6" t="str">
        <f>IF(VLOOKUP(E830,Sheet2!$W:$AA,3,0)=0,"",VLOOKUP(E830,Sheet2!$W:$AA,3,0))</f>
        <v/>
      </c>
      <c r="Q830" s="6" t="str">
        <f>IF(VLOOKUP(E830,Sheet2!$W:$AA,4,0)=0,"",VLOOKUP(E830,Sheet2!$W:$AA,4,0))</f>
        <v/>
      </c>
      <c r="R830" s="8">
        <f t="shared" si="160"/>
        <v>100</v>
      </c>
      <c r="S830" s="8">
        <f t="shared" si="165"/>
        <v>2</v>
      </c>
    </row>
    <row r="831" spans="1:19">
      <c r="A831" s="6">
        <f t="shared" si="166"/>
        <v>16601</v>
      </c>
      <c r="B831" s="6">
        <f t="shared" si="157"/>
        <v>166</v>
      </c>
      <c r="C831" s="6">
        <f t="shared" si="167"/>
        <v>1</v>
      </c>
      <c r="D831" s="6" t="str">
        <f t="shared" si="159"/>
        <v>关卡166怪物1</v>
      </c>
      <c r="E831" s="6">
        <v>121</v>
      </c>
      <c r="G831" s="6" t="s">
        <v>1253</v>
      </c>
      <c r="H831" s="6">
        <f t="shared" si="156"/>
        <v>0</v>
      </c>
      <c r="I831" s="6" t="str">
        <f>IF(VLOOKUP(E831,Sheet2!$W:$AA,5,0)=0,"",VLOOKUP(E831,Sheet2!$W:$AA,5,0))</f>
        <v/>
      </c>
      <c r="J831" s="6">
        <v>0</v>
      </c>
      <c r="K831" s="6">
        <v>0</v>
      </c>
      <c r="L831" s="6" t="str">
        <f>IF(VLOOKUP(E831,Sheet2!$W:$AA,2,0)=0,"",VLOOKUP(E831,Sheet2!$W:$AA,2,0))</f>
        <v/>
      </c>
      <c r="N831" s="6" t="str">
        <f>IF(VLOOKUP(E831,Sheet2!$W:$AA,3,0)=0,"",VLOOKUP(E831,Sheet2!$W:$AA,3,0))</f>
        <v/>
      </c>
      <c r="Q831" s="6" t="str">
        <f>IF(VLOOKUP(E831,Sheet2!$W:$AA,4,0)=0,"",VLOOKUP(E831,Sheet2!$W:$AA,4,0))</f>
        <v/>
      </c>
      <c r="R831" s="8">
        <f t="shared" si="160"/>
        <v>24</v>
      </c>
      <c r="S831" s="8">
        <f t="shared" si="165"/>
        <v>2</v>
      </c>
    </row>
    <row r="832" spans="1:19">
      <c r="A832" s="6">
        <f t="shared" si="166"/>
        <v>16602</v>
      </c>
      <c r="B832" s="6">
        <f t="shared" si="157"/>
        <v>166</v>
      </c>
      <c r="C832" s="6">
        <f t="shared" si="167"/>
        <v>2</v>
      </c>
      <c r="D832" s="6" t="str">
        <f t="shared" si="161"/>
        <v>关卡166怪物2</v>
      </c>
      <c r="E832" s="6">
        <v>119</v>
      </c>
      <c r="G832" s="6" t="s">
        <v>1254</v>
      </c>
      <c r="H832" s="6">
        <f t="shared" si="156"/>
        <v>0</v>
      </c>
      <c r="I832" s="6" t="str">
        <f>IF(VLOOKUP(E832,Sheet2!$W:$AA,5,0)=0,"",VLOOKUP(E832,Sheet2!$W:$AA,5,0))</f>
        <v/>
      </c>
      <c r="J832" s="6">
        <v>0</v>
      </c>
      <c r="K832" s="6">
        <v>0</v>
      </c>
      <c r="L832" s="6">
        <f>IF(VLOOKUP(E832,Sheet2!$W:$AA,2,0)=0,"",VLOOKUP(E832,Sheet2!$W:$AA,2,0))</f>
        <v>1</v>
      </c>
      <c r="N832" s="6" t="str">
        <f>IF(VLOOKUP(E832,Sheet2!$W:$AA,3,0)=0,"",VLOOKUP(E832,Sheet2!$W:$AA,3,0))</f>
        <v/>
      </c>
      <c r="Q832" s="6" t="str">
        <f>IF(VLOOKUP(E832,Sheet2!$W:$AA,4,0)=0,"",VLOOKUP(E832,Sheet2!$W:$AA,4,0))</f>
        <v>[{50018,6}]</v>
      </c>
      <c r="R832" s="8">
        <f t="shared" si="160"/>
        <v>24</v>
      </c>
      <c r="S832" s="8">
        <f t="shared" si="165"/>
        <v>2</v>
      </c>
    </row>
    <row r="833" spans="1:19">
      <c r="A833" s="6">
        <f t="shared" si="166"/>
        <v>16603</v>
      </c>
      <c r="B833" s="6">
        <f t="shared" si="157"/>
        <v>166</v>
      </c>
      <c r="C833" s="6">
        <f t="shared" si="167"/>
        <v>3</v>
      </c>
      <c r="D833" s="6" t="str">
        <f t="shared" si="162"/>
        <v>关卡166怪物3</v>
      </c>
      <c r="E833" s="6">
        <v>118</v>
      </c>
      <c r="G833" s="6" t="s">
        <v>1255</v>
      </c>
      <c r="H833" s="6">
        <f t="shared" si="156"/>
        <v>0</v>
      </c>
      <c r="I833" s="6" t="str">
        <f>IF(VLOOKUP(E833,Sheet2!$W:$AA,5,0)=0,"",VLOOKUP(E833,Sheet2!$W:$AA,5,0))</f>
        <v>[60009]</v>
      </c>
      <c r="J833" s="6">
        <v>0</v>
      </c>
      <c r="K833" s="6">
        <v>0</v>
      </c>
      <c r="L833" s="6">
        <f>IF(VLOOKUP(E833,Sheet2!$W:$AA,2,0)=0,"",VLOOKUP(E833,Sheet2!$W:$AA,2,0))</f>
        <v>1</v>
      </c>
      <c r="N833" s="6" t="str">
        <f>IF(VLOOKUP(E833,Sheet2!$W:$AA,3,0)=0,"",VLOOKUP(E833,Sheet2!$W:$AA,3,0))</f>
        <v/>
      </c>
      <c r="Q833" s="6" t="str">
        <f>IF(VLOOKUP(E833,Sheet2!$W:$AA,4,0)=0,"",VLOOKUP(E833,Sheet2!$W:$AA,4,0))</f>
        <v>[{50017,6}]</v>
      </c>
      <c r="R833" s="8">
        <f t="shared" si="160"/>
        <v>24</v>
      </c>
      <c r="S833" s="8">
        <f t="shared" si="165"/>
        <v>2</v>
      </c>
    </row>
    <row r="834" spans="1:19">
      <c r="A834" s="6">
        <f t="shared" si="166"/>
        <v>16621</v>
      </c>
      <c r="B834" s="6">
        <f t="shared" si="157"/>
        <v>166</v>
      </c>
      <c r="C834" s="6">
        <f t="shared" si="167"/>
        <v>4</v>
      </c>
      <c r="D834" s="6" t="str">
        <f t="shared" si="163"/>
        <v>关卡166BOSS1</v>
      </c>
      <c r="E834" s="6">
        <v>521</v>
      </c>
      <c r="G834" s="6" t="s">
        <v>1256</v>
      </c>
      <c r="H834" s="6">
        <f t="shared" ref="H834:H897" si="168">H829</f>
        <v>2</v>
      </c>
      <c r="I834" s="6" t="str">
        <f>IF(VLOOKUP(E834,Sheet2!$W:$AA,5,0)=0,"",VLOOKUP(E834,Sheet2!$W:$AA,5,0))</f>
        <v/>
      </c>
      <c r="J834" s="6">
        <v>0</v>
      </c>
      <c r="K834" s="6">
        <v>0</v>
      </c>
      <c r="L834" s="6" t="str">
        <f>IF(VLOOKUP(E834,Sheet2!$W:$AA,2,0)=0,"",VLOOKUP(E834,Sheet2!$W:$AA,2,0))</f>
        <v/>
      </c>
      <c r="N834" s="6" t="str">
        <f>IF(VLOOKUP(E834,Sheet2!$W:$AA,3,0)=0,"",VLOOKUP(E834,Sheet2!$W:$AA,3,0))</f>
        <v/>
      </c>
      <c r="Q834" s="6" t="str">
        <f>IF(VLOOKUP(E834,Sheet2!$W:$AA,4,0)=0,"",VLOOKUP(E834,Sheet2!$W:$AA,4,0))</f>
        <v/>
      </c>
      <c r="R834" s="8">
        <f t="shared" si="160"/>
        <v>100</v>
      </c>
      <c r="S834" s="8">
        <f t="shared" si="165"/>
        <v>2</v>
      </c>
    </row>
    <row r="835" spans="1:19">
      <c r="A835" s="6">
        <f t="shared" si="166"/>
        <v>16631</v>
      </c>
      <c r="B835" s="6">
        <f t="shared" si="157"/>
        <v>166</v>
      </c>
      <c r="C835" s="6">
        <f t="shared" si="167"/>
        <v>5</v>
      </c>
      <c r="D835" s="6" t="str">
        <f t="shared" si="164"/>
        <v>关卡166BOSS2</v>
      </c>
      <c r="E835" s="6">
        <v>521</v>
      </c>
      <c r="G835" s="6" t="s">
        <v>1257</v>
      </c>
      <c r="H835" s="6">
        <f t="shared" si="168"/>
        <v>2</v>
      </c>
      <c r="I835" s="6" t="str">
        <f>IF(VLOOKUP(E835,Sheet2!$W:$AA,5,0)=0,"",VLOOKUP(E835,Sheet2!$W:$AA,5,0))</f>
        <v/>
      </c>
      <c r="J835" s="6">
        <v>0</v>
      </c>
      <c r="K835" s="6">
        <v>0</v>
      </c>
      <c r="L835" s="6" t="str">
        <f>IF(VLOOKUP(E835,Sheet2!$W:$AA,2,0)=0,"",VLOOKUP(E835,Sheet2!$W:$AA,2,0))</f>
        <v/>
      </c>
      <c r="N835" s="6" t="str">
        <f>IF(VLOOKUP(E835,Sheet2!$W:$AA,3,0)=0,"",VLOOKUP(E835,Sheet2!$W:$AA,3,0))</f>
        <v/>
      </c>
      <c r="Q835" s="6" t="str">
        <f>IF(VLOOKUP(E835,Sheet2!$W:$AA,4,0)=0,"",VLOOKUP(E835,Sheet2!$W:$AA,4,0))</f>
        <v/>
      </c>
      <c r="R835" s="8">
        <f t="shared" si="160"/>
        <v>100</v>
      </c>
      <c r="S835" s="8">
        <f t="shared" si="165"/>
        <v>2</v>
      </c>
    </row>
    <row r="836" spans="1:19">
      <c r="A836" s="6">
        <f t="shared" si="166"/>
        <v>16701</v>
      </c>
      <c r="B836" s="6">
        <f t="shared" si="157"/>
        <v>167</v>
      </c>
      <c r="C836" s="6">
        <f t="shared" si="167"/>
        <v>1</v>
      </c>
      <c r="D836" s="6" t="str">
        <f t="shared" si="159"/>
        <v>关卡167怪物1</v>
      </c>
      <c r="E836" s="6">
        <v>122</v>
      </c>
      <c r="G836" s="6" t="s">
        <v>1258</v>
      </c>
      <c r="H836" s="6">
        <f t="shared" si="168"/>
        <v>0</v>
      </c>
      <c r="I836" s="6" t="str">
        <f>IF(VLOOKUP(E836,Sheet2!$W:$AA,5,0)=0,"",VLOOKUP(E836,Sheet2!$W:$AA,5,0))</f>
        <v>[60011,60012]</v>
      </c>
      <c r="J836" s="6">
        <v>0</v>
      </c>
      <c r="K836" s="6">
        <v>0</v>
      </c>
      <c r="L836" s="6" t="str">
        <f>IF(VLOOKUP(E836,Sheet2!$W:$AA,2,0)=0,"",VLOOKUP(E836,Sheet2!$W:$AA,2,0))</f>
        <v/>
      </c>
      <c r="N836" s="6" t="str">
        <f>IF(VLOOKUP(E836,Sheet2!$W:$AA,3,0)=0,"",VLOOKUP(E836,Sheet2!$W:$AA,3,0))</f>
        <v/>
      </c>
      <c r="Q836" s="6" t="str">
        <f>IF(VLOOKUP(E836,Sheet2!$W:$AA,4,0)=0,"",VLOOKUP(E836,Sheet2!$W:$AA,4,0))</f>
        <v/>
      </c>
      <c r="R836" s="8">
        <f t="shared" si="160"/>
        <v>24</v>
      </c>
      <c r="S836" s="8">
        <f t="shared" si="165"/>
        <v>2</v>
      </c>
    </row>
    <row r="837" spans="1:19">
      <c r="A837" s="6">
        <f t="shared" si="166"/>
        <v>16702</v>
      </c>
      <c r="B837" s="6">
        <f t="shared" si="157"/>
        <v>167</v>
      </c>
      <c r="C837" s="6">
        <f t="shared" si="167"/>
        <v>2</v>
      </c>
      <c r="D837" s="6" t="str">
        <f t="shared" si="161"/>
        <v>关卡167怪物2</v>
      </c>
      <c r="E837" s="6">
        <v>123</v>
      </c>
      <c r="G837" s="6" t="s">
        <v>1259</v>
      </c>
      <c r="H837" s="6">
        <f t="shared" si="168"/>
        <v>0</v>
      </c>
      <c r="I837" s="6" t="str">
        <f>IF(VLOOKUP(E837,Sheet2!$W:$AA,5,0)=0,"",VLOOKUP(E837,Sheet2!$W:$AA,5,0))</f>
        <v>[60010]</v>
      </c>
      <c r="J837" s="6">
        <v>0</v>
      </c>
      <c r="K837" s="6">
        <v>0</v>
      </c>
      <c r="L837" s="6">
        <f>IF(VLOOKUP(E837,Sheet2!$W:$AA,2,0)=0,"",VLOOKUP(E837,Sheet2!$W:$AA,2,0))</f>
        <v>1</v>
      </c>
      <c r="N837" s="6" t="str">
        <f>IF(VLOOKUP(E837,Sheet2!$W:$AA,3,0)=0,"",VLOOKUP(E837,Sheet2!$W:$AA,3,0))</f>
        <v/>
      </c>
      <c r="Q837" s="6" t="str">
        <f>IF(VLOOKUP(E837,Sheet2!$W:$AA,4,0)=0,"",VLOOKUP(E837,Sheet2!$W:$AA,4,0))</f>
        <v>[{50019,6}]</v>
      </c>
      <c r="R837" s="8">
        <f t="shared" si="160"/>
        <v>24</v>
      </c>
      <c r="S837" s="8">
        <f t="shared" si="165"/>
        <v>2</v>
      </c>
    </row>
    <row r="838" spans="1:19">
      <c r="A838" s="6">
        <f t="shared" si="166"/>
        <v>16703</v>
      </c>
      <c r="B838" s="6">
        <f t="shared" si="157"/>
        <v>167</v>
      </c>
      <c r="C838" s="6">
        <f t="shared" si="167"/>
        <v>3</v>
      </c>
      <c r="D838" s="6" t="str">
        <f t="shared" si="162"/>
        <v>关卡167怪物3</v>
      </c>
      <c r="E838" s="6">
        <v>125</v>
      </c>
      <c r="G838" s="6" t="s">
        <v>1260</v>
      </c>
      <c r="H838" s="6">
        <f t="shared" si="168"/>
        <v>0</v>
      </c>
      <c r="I838" s="6" t="str">
        <f>IF(VLOOKUP(E838,Sheet2!$W:$AA,5,0)=0,"",VLOOKUP(E838,Sheet2!$W:$AA,5,0))</f>
        <v>[60016]</v>
      </c>
      <c r="J838" s="6">
        <v>0</v>
      </c>
      <c r="K838" s="6">
        <v>0</v>
      </c>
      <c r="L838" s="6" t="str">
        <f>IF(VLOOKUP(E838,Sheet2!$W:$AA,2,0)=0,"",VLOOKUP(E838,Sheet2!$W:$AA,2,0))</f>
        <v/>
      </c>
      <c r="N838" s="6" t="str">
        <f>IF(VLOOKUP(E838,Sheet2!$W:$AA,3,0)=0,"",VLOOKUP(E838,Sheet2!$W:$AA,3,0))</f>
        <v/>
      </c>
      <c r="Q838" s="6" t="str">
        <f>IF(VLOOKUP(E838,Sheet2!$W:$AA,4,0)=0,"",VLOOKUP(E838,Sheet2!$W:$AA,4,0))</f>
        <v/>
      </c>
      <c r="R838" s="8">
        <f t="shared" si="160"/>
        <v>24</v>
      </c>
      <c r="S838" s="8">
        <f t="shared" si="165"/>
        <v>2</v>
      </c>
    </row>
    <row r="839" spans="1:19">
      <c r="A839" s="6">
        <f t="shared" si="166"/>
        <v>16721</v>
      </c>
      <c r="B839" s="6">
        <f t="shared" si="157"/>
        <v>167</v>
      </c>
      <c r="C839" s="6">
        <f t="shared" si="167"/>
        <v>4</v>
      </c>
      <c r="D839" s="6" t="str">
        <f t="shared" si="163"/>
        <v>关卡167BOSS1</v>
      </c>
      <c r="E839" s="6">
        <v>522</v>
      </c>
      <c r="G839" s="6" t="s">
        <v>1261</v>
      </c>
      <c r="H839" s="6">
        <f t="shared" si="168"/>
        <v>2</v>
      </c>
      <c r="I839" s="6" t="str">
        <f>IF(VLOOKUP(E839,Sheet2!$W:$AA,5,0)=0,"",VLOOKUP(E839,Sheet2!$W:$AA,5,0))</f>
        <v>[60011,60012]</v>
      </c>
      <c r="J839" s="6">
        <v>0</v>
      </c>
      <c r="K839" s="6">
        <v>0</v>
      </c>
      <c r="L839" s="6" t="str">
        <f>IF(VLOOKUP(E839,Sheet2!$W:$AA,2,0)=0,"",VLOOKUP(E839,Sheet2!$W:$AA,2,0))</f>
        <v/>
      </c>
      <c r="N839" s="6" t="str">
        <f>IF(VLOOKUP(E839,Sheet2!$W:$AA,3,0)=0,"",VLOOKUP(E839,Sheet2!$W:$AA,3,0))</f>
        <v/>
      </c>
      <c r="Q839" s="6" t="str">
        <f>IF(VLOOKUP(E839,Sheet2!$W:$AA,4,0)=0,"",VLOOKUP(E839,Sheet2!$W:$AA,4,0))</f>
        <v/>
      </c>
      <c r="R839" s="8">
        <f t="shared" si="160"/>
        <v>100</v>
      </c>
      <c r="S839" s="8">
        <f t="shared" si="165"/>
        <v>2</v>
      </c>
    </row>
    <row r="840" spans="1:19">
      <c r="A840" s="6">
        <f t="shared" si="166"/>
        <v>16731</v>
      </c>
      <c r="B840" s="6">
        <f t="shared" si="157"/>
        <v>167</v>
      </c>
      <c r="C840" s="6">
        <f t="shared" si="167"/>
        <v>5</v>
      </c>
      <c r="D840" s="6" t="str">
        <f t="shared" si="164"/>
        <v>关卡167BOSS2</v>
      </c>
      <c r="E840" s="6">
        <v>522</v>
      </c>
      <c r="G840" s="6" t="s">
        <v>1262</v>
      </c>
      <c r="H840" s="6">
        <f t="shared" si="168"/>
        <v>2</v>
      </c>
      <c r="I840" s="6" t="str">
        <f>IF(VLOOKUP(E840,Sheet2!$W:$AA,5,0)=0,"",VLOOKUP(E840,Sheet2!$W:$AA,5,0))</f>
        <v>[60011,60012]</v>
      </c>
      <c r="J840" s="6">
        <v>0</v>
      </c>
      <c r="K840" s="6">
        <v>0</v>
      </c>
      <c r="L840" s="6" t="str">
        <f>IF(VLOOKUP(E840,Sheet2!$W:$AA,2,0)=0,"",VLOOKUP(E840,Sheet2!$W:$AA,2,0))</f>
        <v/>
      </c>
      <c r="N840" s="6" t="str">
        <f>IF(VLOOKUP(E840,Sheet2!$W:$AA,3,0)=0,"",VLOOKUP(E840,Sheet2!$W:$AA,3,0))</f>
        <v/>
      </c>
      <c r="Q840" s="6" t="str">
        <f>IF(VLOOKUP(E840,Sheet2!$W:$AA,4,0)=0,"",VLOOKUP(E840,Sheet2!$W:$AA,4,0))</f>
        <v/>
      </c>
      <c r="R840" s="8">
        <f t="shared" si="160"/>
        <v>100</v>
      </c>
      <c r="S840" s="8">
        <f t="shared" si="165"/>
        <v>2</v>
      </c>
    </row>
    <row r="841" spans="1:19">
      <c r="A841" s="6">
        <f t="shared" si="166"/>
        <v>16801</v>
      </c>
      <c r="B841" s="6">
        <f t="shared" si="157"/>
        <v>168</v>
      </c>
      <c r="C841" s="6">
        <f t="shared" si="167"/>
        <v>1</v>
      </c>
      <c r="D841" s="6" t="str">
        <f t="shared" si="159"/>
        <v>关卡168怪物1</v>
      </c>
      <c r="E841" s="6">
        <v>121</v>
      </c>
      <c r="G841" s="6" t="s">
        <v>1263</v>
      </c>
      <c r="H841" s="6">
        <f t="shared" si="168"/>
        <v>0</v>
      </c>
      <c r="I841" s="6" t="str">
        <f>IF(VLOOKUP(E841,Sheet2!$W:$AA,5,0)=0,"",VLOOKUP(E841,Sheet2!$W:$AA,5,0))</f>
        <v/>
      </c>
      <c r="J841" s="6">
        <v>0</v>
      </c>
      <c r="K841" s="6">
        <v>0</v>
      </c>
      <c r="L841" s="6" t="str">
        <f>IF(VLOOKUP(E841,Sheet2!$W:$AA,2,0)=0,"",VLOOKUP(E841,Sheet2!$W:$AA,2,0))</f>
        <v/>
      </c>
      <c r="N841" s="6" t="str">
        <f>IF(VLOOKUP(E841,Sheet2!$W:$AA,3,0)=0,"",VLOOKUP(E841,Sheet2!$W:$AA,3,0))</f>
        <v/>
      </c>
      <c r="Q841" s="6" t="str">
        <f>IF(VLOOKUP(E841,Sheet2!$W:$AA,4,0)=0,"",VLOOKUP(E841,Sheet2!$W:$AA,4,0))</f>
        <v/>
      </c>
      <c r="R841" s="8">
        <f t="shared" si="160"/>
        <v>24</v>
      </c>
      <c r="S841" s="8">
        <f t="shared" si="165"/>
        <v>2</v>
      </c>
    </row>
    <row r="842" spans="1:19">
      <c r="A842" s="6">
        <f t="shared" si="166"/>
        <v>16802</v>
      </c>
      <c r="B842" s="6">
        <f t="shared" si="157"/>
        <v>168</v>
      </c>
      <c r="C842" s="6">
        <f t="shared" si="167"/>
        <v>2</v>
      </c>
      <c r="D842" s="6" t="str">
        <f t="shared" si="161"/>
        <v>关卡168怪物2</v>
      </c>
      <c r="E842" s="6">
        <v>122</v>
      </c>
      <c r="G842" s="6" t="s">
        <v>1264</v>
      </c>
      <c r="H842" s="6">
        <f t="shared" si="168"/>
        <v>0</v>
      </c>
      <c r="I842" s="6" t="str">
        <f>IF(VLOOKUP(E842,Sheet2!$W:$AA,5,0)=0,"",VLOOKUP(E842,Sheet2!$W:$AA,5,0))</f>
        <v>[60011,60012]</v>
      </c>
      <c r="J842" s="6">
        <v>0</v>
      </c>
      <c r="K842" s="6">
        <v>0</v>
      </c>
      <c r="L842" s="6" t="str">
        <f>IF(VLOOKUP(E842,Sheet2!$W:$AA,2,0)=0,"",VLOOKUP(E842,Sheet2!$W:$AA,2,0))</f>
        <v/>
      </c>
      <c r="N842" s="6" t="str">
        <f>IF(VLOOKUP(E842,Sheet2!$W:$AA,3,0)=0,"",VLOOKUP(E842,Sheet2!$W:$AA,3,0))</f>
        <v/>
      </c>
      <c r="Q842" s="6" t="str">
        <f>IF(VLOOKUP(E842,Sheet2!$W:$AA,4,0)=0,"",VLOOKUP(E842,Sheet2!$W:$AA,4,0))</f>
        <v/>
      </c>
      <c r="R842" s="8">
        <f t="shared" si="160"/>
        <v>24</v>
      </c>
      <c r="S842" s="8">
        <f t="shared" si="165"/>
        <v>2</v>
      </c>
    </row>
    <row r="843" spans="1:19">
      <c r="A843" s="6">
        <f t="shared" si="166"/>
        <v>16803</v>
      </c>
      <c r="B843" s="6">
        <f t="shared" si="157"/>
        <v>168</v>
      </c>
      <c r="C843" s="6">
        <f t="shared" si="167"/>
        <v>3</v>
      </c>
      <c r="D843" s="6" t="str">
        <f t="shared" si="162"/>
        <v>关卡168怪物3</v>
      </c>
      <c r="E843" s="6">
        <v>126</v>
      </c>
      <c r="G843" s="6" t="s">
        <v>1265</v>
      </c>
      <c r="H843" s="6">
        <f t="shared" si="168"/>
        <v>0</v>
      </c>
      <c r="I843" s="6" t="str">
        <f>IF(VLOOKUP(E843,Sheet2!$W:$AA,5,0)=0,"",VLOOKUP(E843,Sheet2!$W:$AA,5,0))</f>
        <v>[60014]</v>
      </c>
      <c r="J843" s="6">
        <v>0</v>
      </c>
      <c r="K843" s="6">
        <v>0</v>
      </c>
      <c r="L843" s="6">
        <f>IF(VLOOKUP(E843,Sheet2!$W:$AA,2,0)=0,"",VLOOKUP(E843,Sheet2!$W:$AA,2,0))</f>
        <v>1</v>
      </c>
      <c r="N843" s="6" t="str">
        <f>IF(VLOOKUP(E843,Sheet2!$W:$AA,3,0)=0,"",VLOOKUP(E843,Sheet2!$W:$AA,3,0))</f>
        <v/>
      </c>
      <c r="Q843" s="6" t="str">
        <f>IF(VLOOKUP(E843,Sheet2!$W:$AA,4,0)=0,"",VLOOKUP(E843,Sheet2!$W:$AA,4,0))</f>
        <v>[{50031,6}]</v>
      </c>
      <c r="R843" s="8">
        <f t="shared" si="160"/>
        <v>24</v>
      </c>
      <c r="S843" s="8">
        <f t="shared" si="165"/>
        <v>2</v>
      </c>
    </row>
    <row r="844" spans="1:19">
      <c r="A844" s="6">
        <f t="shared" si="166"/>
        <v>16821</v>
      </c>
      <c r="B844" s="6">
        <f t="shared" si="157"/>
        <v>168</v>
      </c>
      <c r="C844" s="6">
        <f t="shared" si="167"/>
        <v>4</v>
      </c>
      <c r="D844" s="6" t="str">
        <f t="shared" si="163"/>
        <v>关卡168BOSS1</v>
      </c>
      <c r="E844" s="6">
        <v>521</v>
      </c>
      <c r="G844" s="6" t="s">
        <v>1266</v>
      </c>
      <c r="H844" s="6">
        <f t="shared" si="168"/>
        <v>2</v>
      </c>
      <c r="I844" s="6" t="str">
        <f>IF(VLOOKUP(E844,Sheet2!$W:$AA,5,0)=0,"",VLOOKUP(E844,Sheet2!$W:$AA,5,0))</f>
        <v/>
      </c>
      <c r="J844" s="6">
        <v>0</v>
      </c>
      <c r="K844" s="6">
        <v>0</v>
      </c>
      <c r="L844" s="6" t="str">
        <f>IF(VLOOKUP(E844,Sheet2!$W:$AA,2,0)=0,"",VLOOKUP(E844,Sheet2!$W:$AA,2,0))</f>
        <v/>
      </c>
      <c r="N844" s="6" t="str">
        <f>IF(VLOOKUP(E844,Sheet2!$W:$AA,3,0)=0,"",VLOOKUP(E844,Sheet2!$W:$AA,3,0))</f>
        <v/>
      </c>
      <c r="Q844" s="6" t="str">
        <f>IF(VLOOKUP(E844,Sheet2!$W:$AA,4,0)=0,"",VLOOKUP(E844,Sheet2!$W:$AA,4,0))</f>
        <v/>
      </c>
      <c r="R844" s="8">
        <f t="shared" si="160"/>
        <v>100</v>
      </c>
      <c r="S844" s="8">
        <f t="shared" si="165"/>
        <v>2</v>
      </c>
    </row>
    <row r="845" spans="1:19">
      <c r="A845" s="6">
        <f t="shared" si="166"/>
        <v>16831</v>
      </c>
      <c r="B845" s="6">
        <f t="shared" si="157"/>
        <v>168</v>
      </c>
      <c r="C845" s="6">
        <f t="shared" si="167"/>
        <v>5</v>
      </c>
      <c r="D845" s="6" t="str">
        <f t="shared" si="164"/>
        <v>关卡168BOSS2</v>
      </c>
      <c r="E845" s="6">
        <v>521</v>
      </c>
      <c r="G845" s="6" t="s">
        <v>1267</v>
      </c>
      <c r="H845" s="6">
        <f t="shared" si="168"/>
        <v>2</v>
      </c>
      <c r="I845" s="6" t="str">
        <f>IF(VLOOKUP(E845,Sheet2!$W:$AA,5,0)=0,"",VLOOKUP(E845,Sheet2!$W:$AA,5,0))</f>
        <v/>
      </c>
      <c r="J845" s="6">
        <v>0</v>
      </c>
      <c r="K845" s="6">
        <v>0</v>
      </c>
      <c r="L845" s="6" t="str">
        <f>IF(VLOOKUP(E845,Sheet2!$W:$AA,2,0)=0,"",VLOOKUP(E845,Sheet2!$W:$AA,2,0))</f>
        <v/>
      </c>
      <c r="N845" s="6" t="str">
        <f>IF(VLOOKUP(E845,Sheet2!$W:$AA,3,0)=0,"",VLOOKUP(E845,Sheet2!$W:$AA,3,0))</f>
        <v/>
      </c>
      <c r="Q845" s="6" t="str">
        <f>IF(VLOOKUP(E845,Sheet2!$W:$AA,4,0)=0,"",VLOOKUP(E845,Sheet2!$W:$AA,4,0))</f>
        <v/>
      </c>
      <c r="R845" s="8">
        <f t="shared" si="160"/>
        <v>100</v>
      </c>
      <c r="S845" s="8">
        <f t="shared" si="165"/>
        <v>2</v>
      </c>
    </row>
    <row r="846" spans="1:19">
      <c r="A846" s="6">
        <f t="shared" si="166"/>
        <v>16901</v>
      </c>
      <c r="B846" s="6">
        <f t="shared" si="157"/>
        <v>169</v>
      </c>
      <c r="C846" s="6">
        <f t="shared" si="167"/>
        <v>1</v>
      </c>
      <c r="D846" s="6" t="str">
        <f t="shared" si="159"/>
        <v>关卡169怪物1</v>
      </c>
      <c r="E846" s="6">
        <v>114</v>
      </c>
      <c r="G846" s="6" t="s">
        <v>1268</v>
      </c>
      <c r="H846" s="6">
        <f t="shared" si="168"/>
        <v>0</v>
      </c>
      <c r="I846" s="6" t="str">
        <f>IF(VLOOKUP(E846,Sheet2!$W:$AA,5,0)=0,"",VLOOKUP(E846,Sheet2!$W:$AA,5,0))</f>
        <v/>
      </c>
      <c r="J846" s="6">
        <v>0</v>
      </c>
      <c r="K846" s="6">
        <v>0</v>
      </c>
      <c r="L846" s="6" t="str">
        <f>IF(VLOOKUP(E846,Sheet2!$W:$AA,2,0)=0,"",VLOOKUP(E846,Sheet2!$W:$AA,2,0))</f>
        <v/>
      </c>
      <c r="N846" s="6" t="str">
        <f>IF(VLOOKUP(E846,Sheet2!$W:$AA,3,0)=0,"",VLOOKUP(E846,Sheet2!$W:$AA,3,0))</f>
        <v/>
      </c>
      <c r="Q846" s="6" t="str">
        <f>IF(VLOOKUP(E846,Sheet2!$W:$AA,4,0)=0,"",VLOOKUP(E846,Sheet2!$W:$AA,4,0))</f>
        <v/>
      </c>
      <c r="R846" s="8">
        <f t="shared" si="160"/>
        <v>24</v>
      </c>
      <c r="S846" s="8">
        <f t="shared" si="165"/>
        <v>2</v>
      </c>
    </row>
    <row r="847" spans="1:19">
      <c r="A847" s="6">
        <f t="shared" si="166"/>
        <v>16902</v>
      </c>
      <c r="B847" s="6">
        <f t="shared" si="157"/>
        <v>169</v>
      </c>
      <c r="C847" s="6">
        <f t="shared" si="167"/>
        <v>2</v>
      </c>
      <c r="D847" s="6" t="str">
        <f t="shared" si="161"/>
        <v>关卡169怪物2</v>
      </c>
      <c r="E847" s="6">
        <v>127</v>
      </c>
      <c r="G847" s="6" t="s">
        <v>1269</v>
      </c>
      <c r="H847" s="6">
        <f t="shared" si="168"/>
        <v>0</v>
      </c>
      <c r="I847" s="6" t="str">
        <f>IF(VLOOKUP(E847,Sheet2!$W:$AA,5,0)=0,"",VLOOKUP(E847,Sheet2!$W:$AA,5,0))</f>
        <v>[60015]</v>
      </c>
      <c r="J847" s="6">
        <v>0</v>
      </c>
      <c r="K847" s="6">
        <v>0</v>
      </c>
      <c r="L847" s="6" t="str">
        <f>IF(VLOOKUP(E847,Sheet2!$W:$AA,2,0)=0,"",VLOOKUP(E847,Sheet2!$W:$AA,2,0))</f>
        <v/>
      </c>
      <c r="N847" s="6" t="str">
        <f>IF(VLOOKUP(E847,Sheet2!$W:$AA,3,0)=0,"",VLOOKUP(E847,Sheet2!$W:$AA,3,0))</f>
        <v/>
      </c>
      <c r="Q847" s="6" t="str">
        <f>IF(VLOOKUP(E847,Sheet2!$W:$AA,4,0)=0,"",VLOOKUP(E847,Sheet2!$W:$AA,4,0))</f>
        <v/>
      </c>
      <c r="R847" s="8">
        <f t="shared" si="160"/>
        <v>24</v>
      </c>
      <c r="S847" s="8">
        <f t="shared" si="165"/>
        <v>2</v>
      </c>
    </row>
    <row r="848" spans="1:19">
      <c r="A848" s="6">
        <f t="shared" si="166"/>
        <v>16903</v>
      </c>
      <c r="B848" s="6">
        <f t="shared" ref="B848:B911" si="169">B843+1</f>
        <v>169</v>
      </c>
      <c r="C848" s="6">
        <f t="shared" si="167"/>
        <v>3</v>
      </c>
      <c r="D848" s="6" t="str">
        <f t="shared" si="162"/>
        <v>关卡169怪物3</v>
      </c>
      <c r="E848" s="6">
        <v>128</v>
      </c>
      <c r="G848" s="6" t="s">
        <v>1270</v>
      </c>
      <c r="H848" s="6">
        <f t="shared" si="168"/>
        <v>0</v>
      </c>
      <c r="I848" s="6" t="str">
        <f>IF(VLOOKUP(E848,Sheet2!$W:$AA,5,0)=0,"",VLOOKUP(E848,Sheet2!$W:$AA,5,0))</f>
        <v>[60017]</v>
      </c>
      <c r="J848" s="6">
        <v>0</v>
      </c>
      <c r="K848" s="6">
        <v>0</v>
      </c>
      <c r="L848" s="6" t="str">
        <f>IF(VLOOKUP(E848,Sheet2!$W:$AA,2,0)=0,"",VLOOKUP(E848,Sheet2!$W:$AA,2,0))</f>
        <v/>
      </c>
      <c r="N848" s="6" t="str">
        <f>IF(VLOOKUP(E848,Sheet2!$W:$AA,3,0)=0,"",VLOOKUP(E848,Sheet2!$W:$AA,3,0))</f>
        <v/>
      </c>
      <c r="Q848" s="6" t="str">
        <f>IF(VLOOKUP(E848,Sheet2!$W:$AA,4,0)=0,"",VLOOKUP(E848,Sheet2!$W:$AA,4,0))</f>
        <v/>
      </c>
      <c r="R848" s="8">
        <f t="shared" si="160"/>
        <v>24</v>
      </c>
      <c r="S848" s="8">
        <f t="shared" si="165"/>
        <v>2</v>
      </c>
    </row>
    <row r="849" spans="1:19">
      <c r="A849" s="6">
        <f t="shared" si="166"/>
        <v>16921</v>
      </c>
      <c r="B849" s="6">
        <f t="shared" si="169"/>
        <v>169</v>
      </c>
      <c r="C849" s="6">
        <f t="shared" si="167"/>
        <v>4</v>
      </c>
      <c r="D849" s="6" t="str">
        <f t="shared" si="163"/>
        <v>关卡169BOSS1</v>
      </c>
      <c r="E849" s="6">
        <v>514</v>
      </c>
      <c r="G849" s="6" t="s">
        <v>1271</v>
      </c>
      <c r="H849" s="6">
        <f t="shared" si="168"/>
        <v>2</v>
      </c>
      <c r="I849" s="6" t="str">
        <f>IF(VLOOKUP(E849,Sheet2!$W:$AA,5,0)=0,"",VLOOKUP(E849,Sheet2!$W:$AA,5,0))</f>
        <v/>
      </c>
      <c r="J849" s="6">
        <v>0</v>
      </c>
      <c r="K849" s="6">
        <v>0</v>
      </c>
      <c r="L849" s="6" t="str">
        <f>IF(VLOOKUP(E849,Sheet2!$W:$AA,2,0)=0,"",VLOOKUP(E849,Sheet2!$W:$AA,2,0))</f>
        <v/>
      </c>
      <c r="N849" s="6" t="str">
        <f>IF(VLOOKUP(E849,Sheet2!$W:$AA,3,0)=0,"",VLOOKUP(E849,Sheet2!$W:$AA,3,0))</f>
        <v/>
      </c>
      <c r="Q849" s="6" t="str">
        <f>IF(VLOOKUP(E849,Sheet2!$W:$AA,4,0)=0,"",VLOOKUP(E849,Sheet2!$W:$AA,4,0))</f>
        <v/>
      </c>
      <c r="R849" s="8">
        <f t="shared" si="160"/>
        <v>100</v>
      </c>
      <c r="S849" s="8">
        <f t="shared" si="165"/>
        <v>2</v>
      </c>
    </row>
    <row r="850" spans="1:19">
      <c r="A850" s="6">
        <f t="shared" si="166"/>
        <v>16931</v>
      </c>
      <c r="B850" s="6">
        <f t="shared" si="169"/>
        <v>169</v>
      </c>
      <c r="C850" s="6">
        <f t="shared" si="167"/>
        <v>5</v>
      </c>
      <c r="D850" s="6" t="str">
        <f t="shared" si="164"/>
        <v>关卡169BOSS2</v>
      </c>
      <c r="E850" s="6">
        <v>514</v>
      </c>
      <c r="G850" s="6" t="s">
        <v>1272</v>
      </c>
      <c r="H850" s="6">
        <f t="shared" si="168"/>
        <v>2</v>
      </c>
      <c r="I850" s="6" t="str">
        <f>IF(VLOOKUP(E850,Sheet2!$W:$AA,5,0)=0,"",VLOOKUP(E850,Sheet2!$W:$AA,5,0))</f>
        <v/>
      </c>
      <c r="J850" s="6">
        <v>0</v>
      </c>
      <c r="K850" s="6">
        <v>0</v>
      </c>
      <c r="L850" s="6" t="str">
        <f>IF(VLOOKUP(E850,Sheet2!$W:$AA,2,0)=0,"",VLOOKUP(E850,Sheet2!$W:$AA,2,0))</f>
        <v/>
      </c>
      <c r="N850" s="6" t="str">
        <f>IF(VLOOKUP(E850,Sheet2!$W:$AA,3,0)=0,"",VLOOKUP(E850,Sheet2!$W:$AA,3,0))</f>
        <v/>
      </c>
      <c r="Q850" s="6" t="str">
        <f>IF(VLOOKUP(E850,Sheet2!$W:$AA,4,0)=0,"",VLOOKUP(E850,Sheet2!$W:$AA,4,0))</f>
        <v/>
      </c>
      <c r="R850" s="8">
        <f t="shared" si="160"/>
        <v>100</v>
      </c>
      <c r="S850" s="8">
        <f t="shared" si="165"/>
        <v>2</v>
      </c>
    </row>
    <row r="851" spans="1:19">
      <c r="A851" s="6">
        <f t="shared" si="166"/>
        <v>17001</v>
      </c>
      <c r="B851" s="6">
        <f t="shared" si="169"/>
        <v>170</v>
      </c>
      <c r="C851" s="6">
        <f t="shared" si="167"/>
        <v>1</v>
      </c>
      <c r="D851" s="6" t="str">
        <f t="shared" si="159"/>
        <v>关卡170怪物1</v>
      </c>
      <c r="E851" s="6">
        <v>100</v>
      </c>
      <c r="G851" s="6" t="s">
        <v>1273</v>
      </c>
      <c r="H851" s="6">
        <f t="shared" si="168"/>
        <v>0</v>
      </c>
      <c r="I851" s="6" t="str">
        <f>IF(VLOOKUP(E851,Sheet2!$W:$AA,5,0)=0,"",VLOOKUP(E851,Sheet2!$W:$AA,5,0))</f>
        <v>[60002]</v>
      </c>
      <c r="J851" s="6">
        <v>0</v>
      </c>
      <c r="K851" s="6">
        <v>0</v>
      </c>
      <c r="L851" s="6" t="str">
        <f>IF(VLOOKUP(E851,Sheet2!$W:$AA,2,0)=0,"",VLOOKUP(E851,Sheet2!$W:$AA,2,0))</f>
        <v/>
      </c>
      <c r="N851" s="6">
        <f>IF(VLOOKUP(E851,Sheet2!$W:$AA,3,0)=0,"",VLOOKUP(E851,Sheet2!$W:$AA,3,0))</f>
        <v>2001</v>
      </c>
      <c r="Q851" s="6" t="str">
        <f>IF(VLOOKUP(E851,Sheet2!$W:$AA,4,0)=0,"",VLOOKUP(E851,Sheet2!$W:$AA,4,0))</f>
        <v/>
      </c>
      <c r="R851" s="8">
        <f t="shared" si="160"/>
        <v>24</v>
      </c>
      <c r="S851" s="8">
        <f t="shared" si="165"/>
        <v>2</v>
      </c>
    </row>
    <row r="852" spans="1:19">
      <c r="A852" s="6">
        <f t="shared" si="166"/>
        <v>17002</v>
      </c>
      <c r="B852" s="6">
        <f t="shared" si="169"/>
        <v>170</v>
      </c>
      <c r="C852" s="6">
        <f t="shared" si="167"/>
        <v>2</v>
      </c>
      <c r="D852" s="6" t="str">
        <f t="shared" si="161"/>
        <v>关卡170怪物2</v>
      </c>
      <c r="E852" s="6">
        <v>102</v>
      </c>
      <c r="G852" s="6" t="s">
        <v>1274</v>
      </c>
      <c r="H852" s="6">
        <f t="shared" si="168"/>
        <v>0</v>
      </c>
      <c r="I852" s="6" t="str">
        <f>IF(VLOOKUP(E852,Sheet2!$W:$AA,5,0)=0,"",VLOOKUP(E852,Sheet2!$W:$AA,5,0))</f>
        <v/>
      </c>
      <c r="J852" s="6">
        <v>0</v>
      </c>
      <c r="K852" s="6">
        <v>0</v>
      </c>
      <c r="L852" s="6">
        <f>IF(VLOOKUP(E852,Sheet2!$W:$AA,2,0)=0,"",VLOOKUP(E852,Sheet2!$W:$AA,2,0))</f>
        <v>1</v>
      </c>
      <c r="N852" s="6" t="str">
        <f>IF(VLOOKUP(E852,Sheet2!$W:$AA,3,0)=0,"",VLOOKUP(E852,Sheet2!$W:$AA,3,0))</f>
        <v/>
      </c>
      <c r="Q852" s="6" t="str">
        <f>IF(VLOOKUP(E852,Sheet2!$W:$AA,4,0)=0,"",VLOOKUP(E852,Sheet2!$W:$AA,4,0))</f>
        <v>[{50011,6}]</v>
      </c>
      <c r="R852" s="8">
        <f t="shared" si="160"/>
        <v>24</v>
      </c>
      <c r="S852" s="8">
        <f t="shared" si="165"/>
        <v>2</v>
      </c>
    </row>
    <row r="853" spans="1:19">
      <c r="A853" s="6">
        <f t="shared" si="166"/>
        <v>17003</v>
      </c>
      <c r="B853" s="6">
        <f t="shared" si="169"/>
        <v>170</v>
      </c>
      <c r="C853" s="6">
        <f t="shared" si="167"/>
        <v>3</v>
      </c>
      <c r="D853" s="6" t="str">
        <f t="shared" si="162"/>
        <v>关卡170怪物3</v>
      </c>
      <c r="E853" s="6">
        <v>105</v>
      </c>
      <c r="G853" s="6" t="s">
        <v>1275</v>
      </c>
      <c r="H853" s="6">
        <f t="shared" si="168"/>
        <v>0</v>
      </c>
      <c r="I853" s="6" t="str">
        <f>IF(VLOOKUP(E853,Sheet2!$W:$AA,5,0)=0,"",VLOOKUP(E853,Sheet2!$W:$AA,5,0))</f>
        <v>[60003]</v>
      </c>
      <c r="J853" s="6">
        <v>0</v>
      </c>
      <c r="K853" s="6">
        <v>0</v>
      </c>
      <c r="L853" s="6" t="str">
        <f>IF(VLOOKUP(E853,Sheet2!$W:$AA,2,0)=0,"",VLOOKUP(E853,Sheet2!$W:$AA,2,0))</f>
        <v/>
      </c>
      <c r="N853" s="6" t="str">
        <f>IF(VLOOKUP(E853,Sheet2!$W:$AA,3,0)=0,"",VLOOKUP(E853,Sheet2!$W:$AA,3,0))</f>
        <v/>
      </c>
      <c r="Q853" s="6" t="str">
        <f>IF(VLOOKUP(E853,Sheet2!$W:$AA,4,0)=0,"",VLOOKUP(E853,Sheet2!$W:$AA,4,0))</f>
        <v/>
      </c>
      <c r="R853" s="8">
        <f t="shared" si="160"/>
        <v>24</v>
      </c>
      <c r="S853" s="8">
        <f t="shared" si="165"/>
        <v>2</v>
      </c>
    </row>
    <row r="854" spans="1:19">
      <c r="A854" s="6">
        <f t="shared" si="166"/>
        <v>17021</v>
      </c>
      <c r="B854" s="6">
        <f t="shared" si="169"/>
        <v>170</v>
      </c>
      <c r="C854" s="6">
        <f t="shared" si="167"/>
        <v>4</v>
      </c>
      <c r="D854" s="6" t="str">
        <f t="shared" si="163"/>
        <v>关卡170BOSS1</v>
      </c>
      <c r="E854" s="6">
        <v>502</v>
      </c>
      <c r="G854" s="6" t="s">
        <v>1276</v>
      </c>
      <c r="H854" s="6">
        <f t="shared" si="168"/>
        <v>2</v>
      </c>
      <c r="I854" s="6" t="str">
        <f>IF(VLOOKUP(E854,Sheet2!$W:$AA,5,0)=0,"",VLOOKUP(E854,Sheet2!$W:$AA,5,0))</f>
        <v/>
      </c>
      <c r="J854" s="6">
        <v>0</v>
      </c>
      <c r="K854" s="6">
        <v>0</v>
      </c>
      <c r="L854" s="6">
        <f>IF(VLOOKUP(E854,Sheet2!$W:$AA,2,0)=0,"",VLOOKUP(E854,Sheet2!$W:$AA,2,0))</f>
        <v>1</v>
      </c>
      <c r="N854" s="6" t="str">
        <f>IF(VLOOKUP(E854,Sheet2!$W:$AA,3,0)=0,"",VLOOKUP(E854,Sheet2!$W:$AA,3,0))</f>
        <v/>
      </c>
      <c r="Q854" s="6" t="str">
        <f>IF(VLOOKUP(E854,Sheet2!$W:$AA,4,0)=0,"",VLOOKUP(E854,Sheet2!$W:$AA,4,0))</f>
        <v>[{50021,6}]</v>
      </c>
      <c r="R854" s="8">
        <f t="shared" si="160"/>
        <v>100</v>
      </c>
      <c r="S854" s="8">
        <f t="shared" si="165"/>
        <v>2</v>
      </c>
    </row>
    <row r="855" spans="1:19">
      <c r="A855" s="6">
        <f t="shared" si="166"/>
        <v>17031</v>
      </c>
      <c r="B855" s="6">
        <f t="shared" si="169"/>
        <v>170</v>
      </c>
      <c r="C855" s="6">
        <f t="shared" si="167"/>
        <v>5</v>
      </c>
      <c r="D855" s="6" t="str">
        <f t="shared" si="164"/>
        <v>关卡170BOSS2</v>
      </c>
      <c r="E855" s="6">
        <v>500</v>
      </c>
      <c r="G855" s="6" t="s">
        <v>1277</v>
      </c>
      <c r="H855" s="6">
        <f t="shared" si="168"/>
        <v>2</v>
      </c>
      <c r="I855" s="6" t="str">
        <f>IF(VLOOKUP(E855,Sheet2!$W:$AA,5,0)=0,"",VLOOKUP(E855,Sheet2!$W:$AA,5,0))</f>
        <v>[60002]</v>
      </c>
      <c r="J855" s="6">
        <v>0</v>
      </c>
      <c r="K855" s="6">
        <v>0</v>
      </c>
      <c r="L855" s="6" t="str">
        <f>IF(VLOOKUP(E855,Sheet2!$W:$AA,2,0)=0,"",VLOOKUP(E855,Sheet2!$W:$AA,2,0))</f>
        <v/>
      </c>
      <c r="N855" s="6">
        <f>IF(VLOOKUP(E855,Sheet2!$W:$AA,3,0)=0,"",VLOOKUP(E855,Sheet2!$W:$AA,3,0))</f>
        <v>2001</v>
      </c>
      <c r="Q855" s="6" t="str">
        <f>IF(VLOOKUP(E855,Sheet2!$W:$AA,4,0)=0,"",VLOOKUP(E855,Sheet2!$W:$AA,4,0))</f>
        <v/>
      </c>
      <c r="R855" s="8">
        <f t="shared" si="160"/>
        <v>100</v>
      </c>
      <c r="S855" s="8">
        <f t="shared" si="165"/>
        <v>2</v>
      </c>
    </row>
    <row r="856" spans="1:19">
      <c r="A856" s="6">
        <f t="shared" si="166"/>
        <v>17101</v>
      </c>
      <c r="B856" s="6">
        <f t="shared" si="169"/>
        <v>171</v>
      </c>
      <c r="C856" s="6">
        <f t="shared" si="167"/>
        <v>1</v>
      </c>
      <c r="D856" s="6" t="str">
        <f t="shared" ref="D856:D916" si="170">"关卡"&amp;B856&amp;"怪物1"</f>
        <v>关卡171怪物1</v>
      </c>
      <c r="E856" s="6">
        <v>125</v>
      </c>
      <c r="G856" s="6" t="s">
        <v>1278</v>
      </c>
      <c r="H856" s="6">
        <f t="shared" si="168"/>
        <v>0</v>
      </c>
      <c r="I856" s="6" t="str">
        <f>IF(VLOOKUP(E856,Sheet2!$W:$AA,5,0)=0,"",VLOOKUP(E856,Sheet2!$W:$AA,5,0))</f>
        <v>[60016]</v>
      </c>
      <c r="J856" s="6">
        <v>0</v>
      </c>
      <c r="K856" s="6">
        <v>0</v>
      </c>
      <c r="L856" s="6" t="str">
        <f>IF(VLOOKUP(E856,Sheet2!$W:$AA,2,0)=0,"",VLOOKUP(E856,Sheet2!$W:$AA,2,0))</f>
        <v/>
      </c>
      <c r="N856" s="6" t="str">
        <f>IF(VLOOKUP(E856,Sheet2!$W:$AA,3,0)=0,"",VLOOKUP(E856,Sheet2!$W:$AA,3,0))</f>
        <v/>
      </c>
      <c r="Q856" s="6" t="str">
        <f>IF(VLOOKUP(E856,Sheet2!$W:$AA,4,0)=0,"",VLOOKUP(E856,Sheet2!$W:$AA,4,0))</f>
        <v/>
      </c>
      <c r="R856" s="8">
        <f t="shared" si="160"/>
        <v>24</v>
      </c>
      <c r="S856" s="8">
        <f t="shared" si="165"/>
        <v>2</v>
      </c>
    </row>
    <row r="857" spans="1:19">
      <c r="A857" s="6">
        <f t="shared" si="166"/>
        <v>17102</v>
      </c>
      <c r="B857" s="6">
        <f t="shared" si="169"/>
        <v>171</v>
      </c>
      <c r="C857" s="6">
        <f t="shared" si="167"/>
        <v>2</v>
      </c>
      <c r="D857" s="6" t="str">
        <f t="shared" ref="D857:D917" si="171">"关卡"&amp;B857&amp;"怪物2"</f>
        <v>关卡171怪物2</v>
      </c>
      <c r="E857" s="6">
        <v>127</v>
      </c>
      <c r="G857" s="6" t="s">
        <v>1279</v>
      </c>
      <c r="H857" s="6">
        <f t="shared" si="168"/>
        <v>0</v>
      </c>
      <c r="I857" s="6" t="str">
        <f>IF(VLOOKUP(E857,Sheet2!$W:$AA,5,0)=0,"",VLOOKUP(E857,Sheet2!$W:$AA,5,0))</f>
        <v>[60015]</v>
      </c>
      <c r="J857" s="6">
        <v>0</v>
      </c>
      <c r="K857" s="6">
        <v>0</v>
      </c>
      <c r="L857" s="6" t="str">
        <f>IF(VLOOKUP(E857,Sheet2!$W:$AA,2,0)=0,"",VLOOKUP(E857,Sheet2!$W:$AA,2,0))</f>
        <v/>
      </c>
      <c r="N857" s="6" t="str">
        <f>IF(VLOOKUP(E857,Sheet2!$W:$AA,3,0)=0,"",VLOOKUP(E857,Sheet2!$W:$AA,3,0))</f>
        <v/>
      </c>
      <c r="Q857" s="6" t="str">
        <f>IF(VLOOKUP(E857,Sheet2!$W:$AA,4,0)=0,"",VLOOKUP(E857,Sheet2!$W:$AA,4,0))</f>
        <v/>
      </c>
      <c r="R857" s="8">
        <f t="shared" si="160"/>
        <v>24</v>
      </c>
      <c r="S857" s="8">
        <f t="shared" si="165"/>
        <v>2</v>
      </c>
    </row>
    <row r="858" spans="1:19">
      <c r="A858" s="6">
        <f t="shared" si="166"/>
        <v>17103</v>
      </c>
      <c r="B858" s="6">
        <f t="shared" si="169"/>
        <v>171</v>
      </c>
      <c r="C858" s="6">
        <f t="shared" si="167"/>
        <v>3</v>
      </c>
      <c r="D858" s="6" t="str">
        <f t="shared" ref="D858:D918" si="172">"关卡"&amp;B858&amp;"怪物3"</f>
        <v>关卡171怪物3</v>
      </c>
      <c r="E858" s="6">
        <v>126</v>
      </c>
      <c r="G858" s="6" t="s">
        <v>1280</v>
      </c>
      <c r="H858" s="6">
        <f t="shared" si="168"/>
        <v>0</v>
      </c>
      <c r="I858" s="6" t="str">
        <f>IF(VLOOKUP(E858,Sheet2!$W:$AA,5,0)=0,"",VLOOKUP(E858,Sheet2!$W:$AA,5,0))</f>
        <v>[60014]</v>
      </c>
      <c r="J858" s="6">
        <v>0</v>
      </c>
      <c r="K858" s="6">
        <v>0</v>
      </c>
      <c r="L858" s="6">
        <f>IF(VLOOKUP(E858,Sheet2!$W:$AA,2,0)=0,"",VLOOKUP(E858,Sheet2!$W:$AA,2,0))</f>
        <v>1</v>
      </c>
      <c r="N858" s="6" t="str">
        <f>IF(VLOOKUP(E858,Sheet2!$W:$AA,3,0)=0,"",VLOOKUP(E858,Sheet2!$W:$AA,3,0))</f>
        <v/>
      </c>
      <c r="Q858" s="6" t="str">
        <f>IF(VLOOKUP(E858,Sheet2!$W:$AA,4,0)=0,"",VLOOKUP(E858,Sheet2!$W:$AA,4,0))</f>
        <v>[{50031,6}]</v>
      </c>
      <c r="R858" s="8">
        <f t="shared" si="160"/>
        <v>24</v>
      </c>
      <c r="S858" s="8">
        <f t="shared" si="165"/>
        <v>2</v>
      </c>
    </row>
    <row r="859" spans="1:19">
      <c r="A859" s="6">
        <f t="shared" si="166"/>
        <v>17121</v>
      </c>
      <c r="B859" s="6">
        <f t="shared" si="169"/>
        <v>171</v>
      </c>
      <c r="C859" s="6">
        <f t="shared" si="167"/>
        <v>4</v>
      </c>
      <c r="D859" s="6" t="str">
        <f t="shared" ref="D859:D919" si="173">"关卡"&amp;B859&amp;"BOSS1"</f>
        <v>关卡171BOSS1</v>
      </c>
      <c r="E859" s="6">
        <v>527</v>
      </c>
      <c r="G859" s="6" t="s">
        <v>1281</v>
      </c>
      <c r="H859" s="6">
        <f t="shared" si="168"/>
        <v>2</v>
      </c>
      <c r="I859" s="6" t="str">
        <f>IF(VLOOKUP(E859,Sheet2!$W:$AA,5,0)=0,"",VLOOKUP(E859,Sheet2!$W:$AA,5,0))</f>
        <v>[60015]</v>
      </c>
      <c r="J859" s="6">
        <v>0</v>
      </c>
      <c r="K859" s="6">
        <v>0</v>
      </c>
      <c r="L859" s="6" t="str">
        <f>IF(VLOOKUP(E859,Sheet2!$W:$AA,2,0)=0,"",VLOOKUP(E859,Sheet2!$W:$AA,2,0))</f>
        <v/>
      </c>
      <c r="N859" s="6" t="str">
        <f>IF(VLOOKUP(E859,Sheet2!$W:$AA,3,0)=0,"",VLOOKUP(E859,Sheet2!$W:$AA,3,0))</f>
        <v/>
      </c>
      <c r="Q859" s="6" t="str">
        <f>IF(VLOOKUP(E859,Sheet2!$W:$AA,4,0)=0,"",VLOOKUP(E859,Sheet2!$W:$AA,4,0))</f>
        <v/>
      </c>
      <c r="R859" s="8">
        <f t="shared" si="160"/>
        <v>100</v>
      </c>
      <c r="S859" s="8">
        <f t="shared" si="165"/>
        <v>2</v>
      </c>
    </row>
    <row r="860" spans="1:19">
      <c r="A860" s="6">
        <f t="shared" si="166"/>
        <v>17131</v>
      </c>
      <c r="B860" s="6">
        <f t="shared" si="169"/>
        <v>171</v>
      </c>
      <c r="C860" s="6">
        <f t="shared" si="167"/>
        <v>5</v>
      </c>
      <c r="D860" s="6" t="str">
        <f t="shared" ref="D860:D920" si="174">"关卡"&amp;B860&amp;"BOSS2"</f>
        <v>关卡171BOSS2</v>
      </c>
      <c r="E860" s="6">
        <v>527</v>
      </c>
      <c r="G860" s="6" t="s">
        <v>1282</v>
      </c>
      <c r="H860" s="6">
        <f t="shared" si="168"/>
        <v>2</v>
      </c>
      <c r="I860" s="6" t="str">
        <f>IF(VLOOKUP(E860,Sheet2!$W:$AA,5,0)=0,"",VLOOKUP(E860,Sheet2!$W:$AA,5,0))</f>
        <v>[60015]</v>
      </c>
      <c r="J860" s="6">
        <v>0</v>
      </c>
      <c r="K860" s="6">
        <v>0</v>
      </c>
      <c r="L860" s="6" t="str">
        <f>IF(VLOOKUP(E860,Sheet2!$W:$AA,2,0)=0,"",VLOOKUP(E860,Sheet2!$W:$AA,2,0))</f>
        <v/>
      </c>
      <c r="N860" s="6" t="str">
        <f>IF(VLOOKUP(E860,Sheet2!$W:$AA,3,0)=0,"",VLOOKUP(E860,Sheet2!$W:$AA,3,0))</f>
        <v/>
      </c>
      <c r="Q860" s="6" t="str">
        <f>IF(VLOOKUP(E860,Sheet2!$W:$AA,4,0)=0,"",VLOOKUP(E860,Sheet2!$W:$AA,4,0))</f>
        <v/>
      </c>
      <c r="R860" s="8">
        <f t="shared" si="160"/>
        <v>100</v>
      </c>
      <c r="S860" s="8">
        <f t="shared" si="165"/>
        <v>2</v>
      </c>
    </row>
    <row r="861" spans="1:19">
      <c r="A861" s="6">
        <f t="shared" si="166"/>
        <v>17201</v>
      </c>
      <c r="B861" s="6">
        <f t="shared" si="169"/>
        <v>172</v>
      </c>
      <c r="C861" s="6">
        <f t="shared" si="167"/>
        <v>1</v>
      </c>
      <c r="D861" s="6" t="str">
        <f t="shared" si="170"/>
        <v>关卡172怪物1</v>
      </c>
      <c r="E861" s="6">
        <v>101</v>
      </c>
      <c r="G861" s="6" t="s">
        <v>1283</v>
      </c>
      <c r="H861" s="6">
        <f t="shared" si="168"/>
        <v>0</v>
      </c>
      <c r="I861" s="6" t="str">
        <f>IF(VLOOKUP(E861,Sheet2!$W:$AA,5,0)=0,"",VLOOKUP(E861,Sheet2!$W:$AA,5,0))</f>
        <v/>
      </c>
      <c r="J861" s="6">
        <v>0</v>
      </c>
      <c r="K861" s="6">
        <v>0</v>
      </c>
      <c r="L861" s="6" t="str">
        <f>IF(VLOOKUP(E861,Sheet2!$W:$AA,2,0)=0,"",VLOOKUP(E861,Sheet2!$W:$AA,2,0))</f>
        <v/>
      </c>
      <c r="N861" s="6" t="str">
        <f>IF(VLOOKUP(E861,Sheet2!$W:$AA,3,0)=0,"",VLOOKUP(E861,Sheet2!$W:$AA,3,0))</f>
        <v/>
      </c>
      <c r="Q861" s="6" t="str">
        <f>IF(VLOOKUP(E861,Sheet2!$W:$AA,4,0)=0,"",VLOOKUP(E861,Sheet2!$W:$AA,4,0))</f>
        <v/>
      </c>
      <c r="R861" s="8">
        <f t="shared" si="160"/>
        <v>24</v>
      </c>
      <c r="S861" s="8">
        <f t="shared" si="165"/>
        <v>2</v>
      </c>
    </row>
    <row r="862" spans="1:19">
      <c r="A862" s="6">
        <f t="shared" si="166"/>
        <v>17202</v>
      </c>
      <c r="B862" s="6">
        <f t="shared" si="169"/>
        <v>172</v>
      </c>
      <c r="C862" s="6">
        <f t="shared" si="167"/>
        <v>2</v>
      </c>
      <c r="D862" s="6" t="str">
        <f t="shared" si="171"/>
        <v>关卡172怪物2</v>
      </c>
      <c r="E862" s="6">
        <v>106</v>
      </c>
      <c r="G862" s="6" t="s">
        <v>1284</v>
      </c>
      <c r="H862" s="6">
        <f t="shared" si="168"/>
        <v>0</v>
      </c>
      <c r="I862" s="6" t="str">
        <f>IF(VLOOKUP(E862,Sheet2!$W:$AA,5,0)=0,"",VLOOKUP(E862,Sheet2!$W:$AA,5,0))</f>
        <v>[60002]</v>
      </c>
      <c r="J862" s="6">
        <v>0</v>
      </c>
      <c r="K862" s="6">
        <v>0</v>
      </c>
      <c r="L862" s="6">
        <f>IF(VLOOKUP(E862,Sheet2!$W:$AA,2,0)=0,"",VLOOKUP(E862,Sheet2!$W:$AA,2,0))</f>
        <v>1</v>
      </c>
      <c r="N862" s="6">
        <f>IF(VLOOKUP(E862,Sheet2!$W:$AA,3,0)=0,"",VLOOKUP(E862,Sheet2!$W:$AA,3,0))</f>
        <v>2002</v>
      </c>
      <c r="Q862" s="6" t="str">
        <f>IF(VLOOKUP(E862,Sheet2!$W:$AA,4,0)=0,"",VLOOKUP(E862,Sheet2!$W:$AA,4,0))</f>
        <v>[{50012,6}]</v>
      </c>
      <c r="R862" s="8">
        <f t="shared" si="160"/>
        <v>24</v>
      </c>
      <c r="S862" s="8">
        <f t="shared" si="165"/>
        <v>2</v>
      </c>
    </row>
    <row r="863" spans="1:19">
      <c r="A863" s="6">
        <f t="shared" si="166"/>
        <v>17203</v>
      </c>
      <c r="B863" s="6">
        <f t="shared" si="169"/>
        <v>172</v>
      </c>
      <c r="C863" s="6">
        <f t="shared" si="167"/>
        <v>3</v>
      </c>
      <c r="D863" s="6" t="str">
        <f t="shared" si="172"/>
        <v>关卡172怪物3</v>
      </c>
      <c r="E863" s="6">
        <v>106</v>
      </c>
      <c r="G863" s="6" t="s">
        <v>1285</v>
      </c>
      <c r="H863" s="6">
        <f t="shared" si="168"/>
        <v>0</v>
      </c>
      <c r="I863" s="6" t="str">
        <f>IF(VLOOKUP(E863,Sheet2!$W:$AA,5,0)=0,"",VLOOKUP(E863,Sheet2!$W:$AA,5,0))</f>
        <v>[60002]</v>
      </c>
      <c r="J863" s="6">
        <v>0</v>
      </c>
      <c r="K863" s="6">
        <v>0</v>
      </c>
      <c r="L863" s="6">
        <f>IF(VLOOKUP(E863,Sheet2!$W:$AA,2,0)=0,"",VLOOKUP(E863,Sheet2!$W:$AA,2,0))</f>
        <v>1</v>
      </c>
      <c r="N863" s="6">
        <f>IF(VLOOKUP(E863,Sheet2!$W:$AA,3,0)=0,"",VLOOKUP(E863,Sheet2!$W:$AA,3,0))</f>
        <v>2002</v>
      </c>
      <c r="Q863" s="6" t="str">
        <f>IF(VLOOKUP(E863,Sheet2!$W:$AA,4,0)=0,"",VLOOKUP(E863,Sheet2!$W:$AA,4,0))</f>
        <v>[{50012,6}]</v>
      </c>
      <c r="R863" s="8">
        <f t="shared" si="160"/>
        <v>24</v>
      </c>
      <c r="S863" s="8">
        <f t="shared" si="165"/>
        <v>2</v>
      </c>
    </row>
    <row r="864" spans="1:19">
      <c r="A864" s="6">
        <f t="shared" si="166"/>
        <v>17221</v>
      </c>
      <c r="B864" s="6">
        <f t="shared" si="169"/>
        <v>172</v>
      </c>
      <c r="C864" s="6">
        <f t="shared" si="167"/>
        <v>4</v>
      </c>
      <c r="D864" s="6" t="str">
        <f t="shared" si="173"/>
        <v>关卡172BOSS1</v>
      </c>
      <c r="E864" s="6">
        <v>501</v>
      </c>
      <c r="G864" s="6" t="s">
        <v>1286</v>
      </c>
      <c r="H864" s="6">
        <f t="shared" si="168"/>
        <v>2</v>
      </c>
      <c r="I864" s="6" t="str">
        <f>IF(VLOOKUP(E864,Sheet2!$W:$AA,5,0)=0,"",VLOOKUP(E864,Sheet2!$W:$AA,5,0))</f>
        <v/>
      </c>
      <c r="J864" s="6">
        <v>0</v>
      </c>
      <c r="K864" s="6">
        <v>0</v>
      </c>
      <c r="L864" s="6" t="str">
        <f>IF(VLOOKUP(E864,Sheet2!$W:$AA,2,0)=0,"",VLOOKUP(E864,Sheet2!$W:$AA,2,0))</f>
        <v/>
      </c>
      <c r="N864" s="6" t="str">
        <f>IF(VLOOKUP(E864,Sheet2!$W:$AA,3,0)=0,"",VLOOKUP(E864,Sheet2!$W:$AA,3,0))</f>
        <v/>
      </c>
      <c r="Q864" s="6" t="str">
        <f>IF(VLOOKUP(E864,Sheet2!$W:$AA,4,0)=0,"",VLOOKUP(E864,Sheet2!$W:$AA,4,0))</f>
        <v/>
      </c>
      <c r="R864" s="8">
        <f t="shared" si="160"/>
        <v>100</v>
      </c>
      <c r="S864" s="8">
        <f t="shared" si="165"/>
        <v>2</v>
      </c>
    </row>
    <row r="865" spans="1:19">
      <c r="A865" s="6">
        <f t="shared" si="166"/>
        <v>17231</v>
      </c>
      <c r="B865" s="6">
        <f t="shared" si="169"/>
        <v>172</v>
      </c>
      <c r="C865" s="6">
        <f t="shared" si="167"/>
        <v>5</v>
      </c>
      <c r="D865" s="6" t="str">
        <f t="shared" si="174"/>
        <v>关卡172BOSS2</v>
      </c>
      <c r="E865" s="6">
        <v>501</v>
      </c>
      <c r="G865" s="6" t="s">
        <v>1287</v>
      </c>
      <c r="H865" s="6">
        <f t="shared" si="168"/>
        <v>2</v>
      </c>
      <c r="I865" s="6" t="str">
        <f>IF(VLOOKUP(E865,Sheet2!$W:$AA,5,0)=0,"",VLOOKUP(E865,Sheet2!$W:$AA,5,0))</f>
        <v/>
      </c>
      <c r="J865" s="6">
        <v>0</v>
      </c>
      <c r="K865" s="6">
        <v>0</v>
      </c>
      <c r="L865" s="6" t="str">
        <f>IF(VLOOKUP(E865,Sheet2!$W:$AA,2,0)=0,"",VLOOKUP(E865,Sheet2!$W:$AA,2,0))</f>
        <v/>
      </c>
      <c r="N865" s="6" t="str">
        <f>IF(VLOOKUP(E865,Sheet2!$W:$AA,3,0)=0,"",VLOOKUP(E865,Sheet2!$W:$AA,3,0))</f>
        <v/>
      </c>
      <c r="Q865" s="6" t="str">
        <f>IF(VLOOKUP(E865,Sheet2!$W:$AA,4,0)=0,"",VLOOKUP(E865,Sheet2!$W:$AA,4,0))</f>
        <v/>
      </c>
      <c r="R865" s="8">
        <f t="shared" si="160"/>
        <v>100</v>
      </c>
      <c r="S865" s="8">
        <f t="shared" si="165"/>
        <v>2</v>
      </c>
    </row>
    <row r="866" spans="1:19">
      <c r="A866" s="6">
        <f t="shared" si="166"/>
        <v>17301</v>
      </c>
      <c r="B866" s="6">
        <f t="shared" si="169"/>
        <v>173</v>
      </c>
      <c r="C866" s="6">
        <f t="shared" si="167"/>
        <v>1</v>
      </c>
      <c r="D866" s="6" t="str">
        <f t="shared" si="170"/>
        <v>关卡173怪物1</v>
      </c>
      <c r="E866" s="6">
        <v>108</v>
      </c>
      <c r="G866" s="6" t="s">
        <v>1288</v>
      </c>
      <c r="H866" s="6">
        <f t="shared" si="168"/>
        <v>0</v>
      </c>
      <c r="I866" s="6" t="str">
        <f>IF(VLOOKUP(E866,Sheet2!$W:$AA,5,0)=0,"",VLOOKUP(E866,Sheet2!$W:$AA,5,0))</f>
        <v/>
      </c>
      <c r="J866" s="6">
        <v>0</v>
      </c>
      <c r="K866" s="6">
        <v>0</v>
      </c>
      <c r="L866" s="6" t="str">
        <f>IF(VLOOKUP(E866,Sheet2!$W:$AA,2,0)=0,"",VLOOKUP(E866,Sheet2!$W:$AA,2,0))</f>
        <v/>
      </c>
      <c r="N866" s="6" t="str">
        <f>IF(VLOOKUP(E866,Sheet2!$W:$AA,3,0)=0,"",VLOOKUP(E866,Sheet2!$W:$AA,3,0))</f>
        <v/>
      </c>
      <c r="Q866" s="6" t="str">
        <f>IF(VLOOKUP(E866,Sheet2!$W:$AA,4,0)=0,"",VLOOKUP(E866,Sheet2!$W:$AA,4,0))</f>
        <v/>
      </c>
      <c r="R866" s="8">
        <f t="shared" si="160"/>
        <v>24</v>
      </c>
      <c r="S866" s="8">
        <f t="shared" si="165"/>
        <v>2</v>
      </c>
    </row>
    <row r="867" spans="1:19">
      <c r="A867" s="6">
        <f t="shared" si="166"/>
        <v>17302</v>
      </c>
      <c r="B867" s="6">
        <f t="shared" si="169"/>
        <v>173</v>
      </c>
      <c r="C867" s="6">
        <f t="shared" si="167"/>
        <v>2</v>
      </c>
      <c r="D867" s="6" t="str">
        <f t="shared" si="171"/>
        <v>关卡173怪物2</v>
      </c>
      <c r="E867" s="6">
        <v>107</v>
      </c>
      <c r="G867" s="6" t="s">
        <v>1289</v>
      </c>
      <c r="H867" s="6">
        <f t="shared" si="168"/>
        <v>0</v>
      </c>
      <c r="I867" s="6" t="str">
        <f>IF(VLOOKUP(E867,Sheet2!$W:$AA,5,0)=0,"",VLOOKUP(E867,Sheet2!$W:$AA,5,0))</f>
        <v>[60004]</v>
      </c>
      <c r="J867" s="6">
        <v>0</v>
      </c>
      <c r="K867" s="6">
        <v>0</v>
      </c>
      <c r="L867" s="6">
        <f>IF(VLOOKUP(E867,Sheet2!$W:$AA,2,0)=0,"",VLOOKUP(E867,Sheet2!$W:$AA,2,0))</f>
        <v>1</v>
      </c>
      <c r="N867" s="6" t="str">
        <f>IF(VLOOKUP(E867,Sheet2!$W:$AA,3,0)=0,"",VLOOKUP(E867,Sheet2!$W:$AA,3,0))</f>
        <v/>
      </c>
      <c r="Q867" s="6" t="str">
        <f>IF(VLOOKUP(E867,Sheet2!$W:$AA,4,0)=0,"",VLOOKUP(E867,Sheet2!$W:$AA,4,0))</f>
        <v>[{50013,6}]</v>
      </c>
      <c r="R867" s="8">
        <f t="shared" si="160"/>
        <v>24</v>
      </c>
      <c r="S867" s="8">
        <f t="shared" si="165"/>
        <v>2</v>
      </c>
    </row>
    <row r="868" spans="1:19">
      <c r="A868" s="6">
        <f t="shared" si="166"/>
        <v>17303</v>
      </c>
      <c r="B868" s="6">
        <f t="shared" si="169"/>
        <v>173</v>
      </c>
      <c r="C868" s="6">
        <f t="shared" si="167"/>
        <v>3</v>
      </c>
      <c r="D868" s="6" t="str">
        <f t="shared" si="172"/>
        <v>关卡173怪物3</v>
      </c>
      <c r="E868" s="6">
        <v>109</v>
      </c>
      <c r="G868" s="6" t="s">
        <v>1290</v>
      </c>
      <c r="H868" s="6">
        <f t="shared" si="168"/>
        <v>0</v>
      </c>
      <c r="I868" s="6" t="str">
        <f>IF(VLOOKUP(E868,Sheet2!$W:$AA,5,0)=0,"",VLOOKUP(E868,Sheet2!$W:$AA,5,0))</f>
        <v/>
      </c>
      <c r="J868" s="6">
        <v>0</v>
      </c>
      <c r="K868" s="6">
        <v>0</v>
      </c>
      <c r="L868" s="6">
        <f>IF(VLOOKUP(E868,Sheet2!$W:$AA,2,0)=0,"",VLOOKUP(E868,Sheet2!$W:$AA,2,0))</f>
        <v>1</v>
      </c>
      <c r="N868" s="6" t="str">
        <f>IF(VLOOKUP(E868,Sheet2!$W:$AA,3,0)=0,"",VLOOKUP(E868,Sheet2!$W:$AA,3,0))</f>
        <v/>
      </c>
      <c r="Q868" s="6" t="str">
        <f>IF(VLOOKUP(E868,Sheet2!$W:$AA,4,0)=0,"",VLOOKUP(E868,Sheet2!$W:$AA,4,0))</f>
        <v>[{50014,6}]</v>
      </c>
      <c r="R868" s="8">
        <f t="shared" si="160"/>
        <v>24</v>
      </c>
      <c r="S868" s="8">
        <f t="shared" si="165"/>
        <v>2</v>
      </c>
    </row>
    <row r="869" spans="1:19">
      <c r="A869" s="6">
        <f t="shared" si="166"/>
        <v>17321</v>
      </c>
      <c r="B869" s="6">
        <f t="shared" si="169"/>
        <v>173</v>
      </c>
      <c r="C869" s="6">
        <f t="shared" si="167"/>
        <v>4</v>
      </c>
      <c r="D869" s="6" t="str">
        <f t="shared" si="173"/>
        <v>关卡173BOSS1</v>
      </c>
      <c r="E869" s="6">
        <v>508</v>
      </c>
      <c r="G869" s="6" t="s">
        <v>1291</v>
      </c>
      <c r="H869" s="6">
        <f t="shared" si="168"/>
        <v>2</v>
      </c>
      <c r="I869" s="6" t="str">
        <f>IF(VLOOKUP(E869,Sheet2!$W:$AA,5,0)=0,"",VLOOKUP(E869,Sheet2!$W:$AA,5,0))</f>
        <v/>
      </c>
      <c r="J869" s="6">
        <v>0</v>
      </c>
      <c r="K869" s="6">
        <v>0</v>
      </c>
      <c r="L869" s="6" t="str">
        <f>IF(VLOOKUP(E869,Sheet2!$W:$AA,2,0)=0,"",VLOOKUP(E869,Sheet2!$W:$AA,2,0))</f>
        <v/>
      </c>
      <c r="N869" s="6" t="str">
        <f>IF(VLOOKUP(E869,Sheet2!$W:$AA,3,0)=0,"",VLOOKUP(E869,Sheet2!$W:$AA,3,0))</f>
        <v/>
      </c>
      <c r="Q869" s="6" t="str">
        <f>IF(VLOOKUP(E869,Sheet2!$W:$AA,4,0)=0,"",VLOOKUP(E869,Sheet2!$W:$AA,4,0))</f>
        <v/>
      </c>
      <c r="R869" s="8">
        <f t="shared" si="160"/>
        <v>100</v>
      </c>
      <c r="S869" s="8">
        <f t="shared" si="165"/>
        <v>2</v>
      </c>
    </row>
    <row r="870" spans="1:19">
      <c r="A870" s="6">
        <f t="shared" si="166"/>
        <v>17331</v>
      </c>
      <c r="B870" s="6">
        <f t="shared" si="169"/>
        <v>173</v>
      </c>
      <c r="C870" s="6">
        <f t="shared" si="167"/>
        <v>5</v>
      </c>
      <c r="D870" s="6" t="str">
        <f t="shared" si="174"/>
        <v>关卡173BOSS2</v>
      </c>
      <c r="E870" s="6">
        <v>508</v>
      </c>
      <c r="G870" s="6" t="s">
        <v>1292</v>
      </c>
      <c r="H870" s="6">
        <f t="shared" si="168"/>
        <v>2</v>
      </c>
      <c r="I870" s="6" t="str">
        <f>IF(VLOOKUP(E870,Sheet2!$W:$AA,5,0)=0,"",VLOOKUP(E870,Sheet2!$W:$AA,5,0))</f>
        <v/>
      </c>
      <c r="J870" s="6">
        <v>0</v>
      </c>
      <c r="K870" s="6">
        <v>0</v>
      </c>
      <c r="L870" s="6" t="str">
        <f>IF(VLOOKUP(E870,Sheet2!$W:$AA,2,0)=0,"",VLOOKUP(E870,Sheet2!$W:$AA,2,0))</f>
        <v/>
      </c>
      <c r="N870" s="6" t="str">
        <f>IF(VLOOKUP(E870,Sheet2!$W:$AA,3,0)=0,"",VLOOKUP(E870,Sheet2!$W:$AA,3,0))</f>
        <v/>
      </c>
      <c r="Q870" s="6" t="str">
        <f>IF(VLOOKUP(E870,Sheet2!$W:$AA,4,0)=0,"",VLOOKUP(E870,Sheet2!$W:$AA,4,0))</f>
        <v/>
      </c>
      <c r="R870" s="8">
        <f t="shared" ref="R870:R933" si="175">R865</f>
        <v>100</v>
      </c>
      <c r="S870" s="8">
        <f t="shared" si="165"/>
        <v>2</v>
      </c>
    </row>
    <row r="871" spans="1:19">
      <c r="A871" s="6">
        <f t="shared" si="166"/>
        <v>17401</v>
      </c>
      <c r="B871" s="6">
        <f t="shared" si="169"/>
        <v>174</v>
      </c>
      <c r="C871" s="6">
        <f t="shared" si="167"/>
        <v>1</v>
      </c>
      <c r="D871" s="6" t="str">
        <f t="shared" si="170"/>
        <v>关卡174怪物1</v>
      </c>
      <c r="E871" s="6">
        <v>100</v>
      </c>
      <c r="G871" s="6" t="s">
        <v>1293</v>
      </c>
      <c r="H871" s="6">
        <f t="shared" si="168"/>
        <v>0</v>
      </c>
      <c r="I871" s="6" t="str">
        <f>IF(VLOOKUP(E871,Sheet2!$W:$AA,5,0)=0,"",VLOOKUP(E871,Sheet2!$W:$AA,5,0))</f>
        <v>[60002]</v>
      </c>
      <c r="J871" s="6">
        <v>0</v>
      </c>
      <c r="K871" s="6">
        <v>0</v>
      </c>
      <c r="L871" s="6" t="str">
        <f>IF(VLOOKUP(E871,Sheet2!$W:$AA,2,0)=0,"",VLOOKUP(E871,Sheet2!$W:$AA,2,0))</f>
        <v/>
      </c>
      <c r="N871" s="6">
        <f>IF(VLOOKUP(E871,Sheet2!$W:$AA,3,0)=0,"",VLOOKUP(E871,Sheet2!$W:$AA,3,0))</f>
        <v>2001</v>
      </c>
      <c r="Q871" s="6" t="str">
        <f>IF(VLOOKUP(E871,Sheet2!$W:$AA,4,0)=0,"",VLOOKUP(E871,Sheet2!$W:$AA,4,0))</f>
        <v/>
      </c>
      <c r="R871" s="8">
        <f t="shared" si="175"/>
        <v>24</v>
      </c>
      <c r="S871" s="8">
        <f t="shared" si="165"/>
        <v>2</v>
      </c>
    </row>
    <row r="872" spans="1:19">
      <c r="A872" s="6">
        <f t="shared" si="166"/>
        <v>17402</v>
      </c>
      <c r="B872" s="6">
        <f t="shared" si="169"/>
        <v>174</v>
      </c>
      <c r="C872" s="6">
        <f t="shared" si="167"/>
        <v>2</v>
      </c>
      <c r="D872" s="6" t="str">
        <f t="shared" si="171"/>
        <v>关卡174怪物2</v>
      </c>
      <c r="E872" s="6">
        <v>102</v>
      </c>
      <c r="G872" s="6" t="s">
        <v>1294</v>
      </c>
      <c r="H872" s="6">
        <f t="shared" si="168"/>
        <v>0</v>
      </c>
      <c r="I872" s="6" t="str">
        <f>IF(VLOOKUP(E872,Sheet2!$W:$AA,5,0)=0,"",VLOOKUP(E872,Sheet2!$W:$AA,5,0))</f>
        <v/>
      </c>
      <c r="J872" s="6">
        <v>0</v>
      </c>
      <c r="K872" s="6">
        <v>0</v>
      </c>
      <c r="L872" s="6">
        <f>IF(VLOOKUP(E872,Sheet2!$W:$AA,2,0)=0,"",VLOOKUP(E872,Sheet2!$W:$AA,2,0))</f>
        <v>1</v>
      </c>
      <c r="N872" s="6" t="str">
        <f>IF(VLOOKUP(E872,Sheet2!$W:$AA,3,0)=0,"",VLOOKUP(E872,Sheet2!$W:$AA,3,0))</f>
        <v/>
      </c>
      <c r="Q872" s="6" t="str">
        <f>IF(VLOOKUP(E872,Sheet2!$W:$AA,4,0)=0,"",VLOOKUP(E872,Sheet2!$W:$AA,4,0))</f>
        <v>[{50011,6}]</v>
      </c>
      <c r="R872" s="8">
        <f t="shared" si="175"/>
        <v>24</v>
      </c>
      <c r="S872" s="8">
        <f t="shared" si="165"/>
        <v>2</v>
      </c>
    </row>
    <row r="873" spans="1:19">
      <c r="A873" s="6">
        <f t="shared" si="166"/>
        <v>17403</v>
      </c>
      <c r="B873" s="6">
        <f t="shared" si="169"/>
        <v>174</v>
      </c>
      <c r="C873" s="6">
        <f t="shared" si="167"/>
        <v>3</v>
      </c>
      <c r="D873" s="6" t="str">
        <f t="shared" si="172"/>
        <v>关卡174怪物3</v>
      </c>
      <c r="E873" s="6">
        <v>105</v>
      </c>
      <c r="G873" s="6" t="s">
        <v>1295</v>
      </c>
      <c r="H873" s="6">
        <f t="shared" si="168"/>
        <v>0</v>
      </c>
      <c r="I873" s="6" t="str">
        <f>IF(VLOOKUP(E873,Sheet2!$W:$AA,5,0)=0,"",VLOOKUP(E873,Sheet2!$W:$AA,5,0))</f>
        <v>[60003]</v>
      </c>
      <c r="J873" s="6">
        <v>0</v>
      </c>
      <c r="K873" s="6">
        <v>0</v>
      </c>
      <c r="L873" s="6" t="str">
        <f>IF(VLOOKUP(E873,Sheet2!$W:$AA,2,0)=0,"",VLOOKUP(E873,Sheet2!$W:$AA,2,0))</f>
        <v/>
      </c>
      <c r="N873" s="6" t="str">
        <f>IF(VLOOKUP(E873,Sheet2!$W:$AA,3,0)=0,"",VLOOKUP(E873,Sheet2!$W:$AA,3,0))</f>
        <v/>
      </c>
      <c r="Q873" s="6" t="str">
        <f>IF(VLOOKUP(E873,Sheet2!$W:$AA,4,0)=0,"",VLOOKUP(E873,Sheet2!$W:$AA,4,0))</f>
        <v/>
      </c>
      <c r="R873" s="8">
        <f t="shared" si="175"/>
        <v>24</v>
      </c>
      <c r="S873" s="8">
        <f t="shared" si="165"/>
        <v>2</v>
      </c>
    </row>
    <row r="874" spans="1:19">
      <c r="A874" s="6">
        <f t="shared" si="166"/>
        <v>17421</v>
      </c>
      <c r="B874" s="6">
        <f t="shared" si="169"/>
        <v>174</v>
      </c>
      <c r="C874" s="6">
        <f t="shared" si="167"/>
        <v>4</v>
      </c>
      <c r="D874" s="6" t="str">
        <f t="shared" si="173"/>
        <v>关卡174BOSS1</v>
      </c>
      <c r="E874" s="6">
        <v>502</v>
      </c>
      <c r="G874" s="6" t="s">
        <v>1296</v>
      </c>
      <c r="H874" s="6">
        <f t="shared" si="168"/>
        <v>2</v>
      </c>
      <c r="I874" s="6" t="str">
        <f>IF(VLOOKUP(E874,Sheet2!$W:$AA,5,0)=0,"",VLOOKUP(E874,Sheet2!$W:$AA,5,0))</f>
        <v/>
      </c>
      <c r="J874" s="6">
        <v>0</v>
      </c>
      <c r="K874" s="6">
        <v>0</v>
      </c>
      <c r="L874" s="6">
        <f>IF(VLOOKUP(E874,Sheet2!$W:$AA,2,0)=0,"",VLOOKUP(E874,Sheet2!$W:$AA,2,0))</f>
        <v>1</v>
      </c>
      <c r="N874" s="6" t="str">
        <f>IF(VLOOKUP(E874,Sheet2!$W:$AA,3,0)=0,"",VLOOKUP(E874,Sheet2!$W:$AA,3,0))</f>
        <v/>
      </c>
      <c r="Q874" s="6" t="str">
        <f>IF(VLOOKUP(E874,Sheet2!$W:$AA,4,0)=0,"",VLOOKUP(E874,Sheet2!$W:$AA,4,0))</f>
        <v>[{50021,6}]</v>
      </c>
      <c r="R874" s="8">
        <f t="shared" si="175"/>
        <v>100</v>
      </c>
      <c r="S874" s="8">
        <f t="shared" si="165"/>
        <v>2</v>
      </c>
    </row>
    <row r="875" spans="1:19">
      <c r="A875" s="6">
        <f t="shared" si="166"/>
        <v>17431</v>
      </c>
      <c r="B875" s="6">
        <f t="shared" si="169"/>
        <v>174</v>
      </c>
      <c r="C875" s="6">
        <f t="shared" si="167"/>
        <v>5</v>
      </c>
      <c r="D875" s="6" t="str">
        <f t="shared" si="174"/>
        <v>关卡174BOSS2</v>
      </c>
      <c r="E875" s="6">
        <v>500</v>
      </c>
      <c r="G875" s="6" t="s">
        <v>1297</v>
      </c>
      <c r="H875" s="6">
        <f t="shared" si="168"/>
        <v>2</v>
      </c>
      <c r="I875" s="6" t="str">
        <f>IF(VLOOKUP(E875,Sheet2!$W:$AA,5,0)=0,"",VLOOKUP(E875,Sheet2!$W:$AA,5,0))</f>
        <v>[60002]</v>
      </c>
      <c r="J875" s="6">
        <v>0</v>
      </c>
      <c r="K875" s="6">
        <v>0</v>
      </c>
      <c r="L875" s="6" t="str">
        <f>IF(VLOOKUP(E875,Sheet2!$W:$AA,2,0)=0,"",VLOOKUP(E875,Sheet2!$W:$AA,2,0))</f>
        <v/>
      </c>
      <c r="N875" s="6">
        <f>IF(VLOOKUP(E875,Sheet2!$W:$AA,3,0)=0,"",VLOOKUP(E875,Sheet2!$W:$AA,3,0))</f>
        <v>2001</v>
      </c>
      <c r="Q875" s="6" t="str">
        <f>IF(VLOOKUP(E875,Sheet2!$W:$AA,4,0)=0,"",VLOOKUP(E875,Sheet2!$W:$AA,4,0))</f>
        <v/>
      </c>
      <c r="R875" s="8">
        <f t="shared" si="175"/>
        <v>100</v>
      </c>
      <c r="S875" s="8">
        <f t="shared" si="165"/>
        <v>2</v>
      </c>
    </row>
    <row r="876" spans="1:19">
      <c r="A876" s="6">
        <f t="shared" si="166"/>
        <v>17501</v>
      </c>
      <c r="B876" s="6">
        <f t="shared" si="169"/>
        <v>175</v>
      </c>
      <c r="C876" s="6">
        <f t="shared" si="167"/>
        <v>1</v>
      </c>
      <c r="D876" s="6" t="str">
        <f t="shared" si="170"/>
        <v>关卡175怪物1</v>
      </c>
      <c r="E876" s="6">
        <v>115</v>
      </c>
      <c r="G876" s="6" t="s">
        <v>1298</v>
      </c>
      <c r="H876" s="6">
        <f t="shared" si="168"/>
        <v>0</v>
      </c>
      <c r="I876" s="6" t="str">
        <f>IF(VLOOKUP(E876,Sheet2!$W:$AA,5,0)=0,"",VLOOKUP(E876,Sheet2!$W:$AA,5,0))</f>
        <v/>
      </c>
      <c r="J876" s="6">
        <v>0</v>
      </c>
      <c r="K876" s="6">
        <v>0</v>
      </c>
      <c r="L876" s="6" t="str">
        <f>IF(VLOOKUP(E876,Sheet2!$W:$AA,2,0)=0,"",VLOOKUP(E876,Sheet2!$W:$AA,2,0))</f>
        <v/>
      </c>
      <c r="N876" s="6" t="str">
        <f>IF(VLOOKUP(E876,Sheet2!$W:$AA,3,0)=0,"",VLOOKUP(E876,Sheet2!$W:$AA,3,0))</f>
        <v/>
      </c>
      <c r="Q876" s="6" t="str">
        <f>IF(VLOOKUP(E876,Sheet2!$W:$AA,4,0)=0,"",VLOOKUP(E876,Sheet2!$W:$AA,4,0))</f>
        <v/>
      </c>
      <c r="R876" s="8">
        <f t="shared" si="175"/>
        <v>24</v>
      </c>
      <c r="S876" s="8">
        <f t="shared" si="165"/>
        <v>2</v>
      </c>
    </row>
    <row r="877" spans="1:19">
      <c r="A877" s="6">
        <f t="shared" si="166"/>
        <v>17502</v>
      </c>
      <c r="B877" s="6">
        <f t="shared" si="169"/>
        <v>175</v>
      </c>
      <c r="C877" s="6">
        <f t="shared" si="167"/>
        <v>2</v>
      </c>
      <c r="D877" s="6" t="str">
        <f t="shared" si="171"/>
        <v>关卡175怪物2</v>
      </c>
      <c r="E877" s="6">
        <v>112</v>
      </c>
      <c r="G877" s="6" t="s">
        <v>1299</v>
      </c>
      <c r="H877" s="6">
        <f t="shared" si="168"/>
        <v>0</v>
      </c>
      <c r="I877" s="6" t="str">
        <f>IF(VLOOKUP(E877,Sheet2!$W:$AA,5,0)=0,"",VLOOKUP(E877,Sheet2!$W:$AA,5,0))</f>
        <v/>
      </c>
      <c r="J877" s="6">
        <v>0</v>
      </c>
      <c r="K877" s="6">
        <v>0</v>
      </c>
      <c r="L877" s="6">
        <f>IF(VLOOKUP(E877,Sheet2!$W:$AA,2,0)=0,"",VLOOKUP(E877,Sheet2!$W:$AA,2,0))</f>
        <v>1</v>
      </c>
      <c r="N877" s="6" t="str">
        <f>IF(VLOOKUP(E877,Sheet2!$W:$AA,3,0)=0,"",VLOOKUP(E877,Sheet2!$W:$AA,3,0))</f>
        <v/>
      </c>
      <c r="Q877" s="6" t="str">
        <f>IF(VLOOKUP(E877,Sheet2!$W:$AA,4,0)=0,"",VLOOKUP(E877,Sheet2!$W:$AA,4,0))</f>
        <v>[{50015,6}]</v>
      </c>
      <c r="R877" s="8">
        <f t="shared" si="175"/>
        <v>24</v>
      </c>
      <c r="S877" s="8">
        <f t="shared" ref="S877:S940" si="176">S876</f>
        <v>2</v>
      </c>
    </row>
    <row r="878" spans="1:19">
      <c r="A878" s="6">
        <f t="shared" si="166"/>
        <v>17503</v>
      </c>
      <c r="B878" s="6">
        <f t="shared" si="169"/>
        <v>175</v>
      </c>
      <c r="C878" s="6">
        <f t="shared" si="167"/>
        <v>3</v>
      </c>
      <c r="D878" s="6" t="str">
        <f t="shared" si="172"/>
        <v>关卡175怪物3</v>
      </c>
      <c r="E878" s="6">
        <v>113</v>
      </c>
      <c r="G878" s="6" t="s">
        <v>1300</v>
      </c>
      <c r="H878" s="6">
        <f t="shared" si="168"/>
        <v>0</v>
      </c>
      <c r="I878" s="6" t="str">
        <f>IF(VLOOKUP(E878,Sheet2!$W:$AA,5,0)=0,"",VLOOKUP(E878,Sheet2!$W:$AA,5,0))</f>
        <v>[60005]</v>
      </c>
      <c r="J878" s="6">
        <v>0</v>
      </c>
      <c r="K878" s="6">
        <v>0</v>
      </c>
      <c r="L878" s="6">
        <f>IF(VLOOKUP(E878,Sheet2!$W:$AA,2,0)=0,"",VLOOKUP(E878,Sheet2!$W:$AA,2,0))</f>
        <v>1</v>
      </c>
      <c r="N878" s="6" t="str">
        <f>IF(VLOOKUP(E878,Sheet2!$W:$AA,3,0)=0,"",VLOOKUP(E878,Sheet2!$W:$AA,3,0))</f>
        <v/>
      </c>
      <c r="Q878" s="6" t="str">
        <f>IF(VLOOKUP(E878,Sheet2!$W:$AA,4,0)=0,"",VLOOKUP(E878,Sheet2!$W:$AA,4,0))</f>
        <v>[{50016,6}]</v>
      </c>
      <c r="R878" s="8">
        <f t="shared" si="175"/>
        <v>24</v>
      </c>
      <c r="S878" s="8">
        <f t="shared" si="176"/>
        <v>2</v>
      </c>
    </row>
    <row r="879" spans="1:19">
      <c r="A879" s="6">
        <f t="shared" si="166"/>
        <v>17521</v>
      </c>
      <c r="B879" s="6">
        <f t="shared" si="169"/>
        <v>175</v>
      </c>
      <c r="C879" s="6">
        <f t="shared" si="167"/>
        <v>4</v>
      </c>
      <c r="D879" s="6" t="str">
        <f t="shared" si="173"/>
        <v>关卡175BOSS1</v>
      </c>
      <c r="E879" s="6">
        <v>515</v>
      </c>
      <c r="G879" s="6" t="s">
        <v>1301</v>
      </c>
      <c r="H879" s="6">
        <f t="shared" si="168"/>
        <v>2</v>
      </c>
      <c r="I879" s="6" t="str">
        <f>IF(VLOOKUP(E879,Sheet2!$W:$AA,5,0)=0,"",VLOOKUP(E879,Sheet2!$W:$AA,5,0))</f>
        <v/>
      </c>
      <c r="J879" s="6">
        <v>0</v>
      </c>
      <c r="K879" s="6">
        <v>0</v>
      </c>
      <c r="L879" s="6" t="str">
        <f>IF(VLOOKUP(E879,Sheet2!$W:$AA,2,0)=0,"",VLOOKUP(E879,Sheet2!$W:$AA,2,0))</f>
        <v/>
      </c>
      <c r="N879" s="6" t="str">
        <f>IF(VLOOKUP(E879,Sheet2!$W:$AA,3,0)=0,"",VLOOKUP(E879,Sheet2!$W:$AA,3,0))</f>
        <v/>
      </c>
      <c r="Q879" s="6" t="str">
        <f>IF(VLOOKUP(E879,Sheet2!$W:$AA,4,0)=0,"",VLOOKUP(E879,Sheet2!$W:$AA,4,0))</f>
        <v/>
      </c>
      <c r="R879" s="8">
        <f t="shared" si="175"/>
        <v>100</v>
      </c>
      <c r="S879" s="8">
        <f t="shared" si="176"/>
        <v>2</v>
      </c>
    </row>
    <row r="880" spans="1:19">
      <c r="A880" s="6">
        <f t="shared" si="166"/>
        <v>17531</v>
      </c>
      <c r="B880" s="6">
        <f t="shared" si="169"/>
        <v>175</v>
      </c>
      <c r="C880" s="6">
        <f t="shared" si="167"/>
        <v>5</v>
      </c>
      <c r="D880" s="6" t="str">
        <f t="shared" si="174"/>
        <v>关卡175BOSS2</v>
      </c>
      <c r="E880" s="6">
        <v>515</v>
      </c>
      <c r="G880" s="6" t="s">
        <v>1302</v>
      </c>
      <c r="H880" s="6">
        <f t="shared" si="168"/>
        <v>2</v>
      </c>
      <c r="I880" s="6" t="str">
        <f>IF(VLOOKUP(E880,Sheet2!$W:$AA,5,0)=0,"",VLOOKUP(E880,Sheet2!$W:$AA,5,0))</f>
        <v/>
      </c>
      <c r="J880" s="6">
        <v>0</v>
      </c>
      <c r="K880" s="6">
        <v>0</v>
      </c>
      <c r="L880" s="6" t="str">
        <f>IF(VLOOKUP(E880,Sheet2!$W:$AA,2,0)=0,"",VLOOKUP(E880,Sheet2!$W:$AA,2,0))</f>
        <v/>
      </c>
      <c r="N880" s="6" t="str">
        <f>IF(VLOOKUP(E880,Sheet2!$W:$AA,3,0)=0,"",VLOOKUP(E880,Sheet2!$W:$AA,3,0))</f>
        <v/>
      </c>
      <c r="Q880" s="6" t="str">
        <f>IF(VLOOKUP(E880,Sheet2!$W:$AA,4,0)=0,"",VLOOKUP(E880,Sheet2!$W:$AA,4,0))</f>
        <v/>
      </c>
      <c r="R880" s="8">
        <f t="shared" si="175"/>
        <v>100</v>
      </c>
      <c r="S880" s="8">
        <f t="shared" si="176"/>
        <v>2</v>
      </c>
    </row>
    <row r="881" spans="1:19">
      <c r="A881" s="6">
        <f t="shared" si="166"/>
        <v>17601</v>
      </c>
      <c r="B881" s="6">
        <f t="shared" si="169"/>
        <v>176</v>
      </c>
      <c r="C881" s="6">
        <f t="shared" si="167"/>
        <v>1</v>
      </c>
      <c r="D881" s="6" t="str">
        <f t="shared" si="170"/>
        <v>关卡176怪物1</v>
      </c>
      <c r="E881" s="6">
        <v>110</v>
      </c>
      <c r="G881" s="6" t="s">
        <v>1303</v>
      </c>
      <c r="H881" s="6">
        <f t="shared" si="168"/>
        <v>0</v>
      </c>
      <c r="I881" s="6" t="str">
        <f>IF(VLOOKUP(E881,Sheet2!$W:$AA,5,0)=0,"",VLOOKUP(E881,Sheet2!$W:$AA,5,0))</f>
        <v/>
      </c>
      <c r="J881" s="6">
        <v>0</v>
      </c>
      <c r="K881" s="6">
        <v>0</v>
      </c>
      <c r="L881" s="6" t="str">
        <f>IF(VLOOKUP(E881,Sheet2!$W:$AA,2,0)=0,"",VLOOKUP(E881,Sheet2!$W:$AA,2,0))</f>
        <v/>
      </c>
      <c r="N881" s="6" t="str">
        <f>IF(VLOOKUP(E881,Sheet2!$W:$AA,3,0)=0,"",VLOOKUP(E881,Sheet2!$W:$AA,3,0))</f>
        <v/>
      </c>
      <c r="Q881" s="6" t="str">
        <f>IF(VLOOKUP(E881,Sheet2!$W:$AA,4,0)=0,"",VLOOKUP(E881,Sheet2!$W:$AA,4,0))</f>
        <v/>
      </c>
      <c r="R881" s="8">
        <f t="shared" si="175"/>
        <v>24</v>
      </c>
      <c r="S881" s="8">
        <f t="shared" si="176"/>
        <v>2</v>
      </c>
    </row>
    <row r="882" spans="1:19">
      <c r="A882" s="6">
        <f t="shared" si="166"/>
        <v>17602</v>
      </c>
      <c r="B882" s="6">
        <f t="shared" si="169"/>
        <v>176</v>
      </c>
      <c r="C882" s="6">
        <f t="shared" si="167"/>
        <v>2</v>
      </c>
      <c r="D882" s="6" t="str">
        <f t="shared" si="171"/>
        <v>关卡176怪物2</v>
      </c>
      <c r="E882" s="6">
        <v>109</v>
      </c>
      <c r="G882" s="6" t="s">
        <v>1304</v>
      </c>
      <c r="H882" s="6">
        <f t="shared" si="168"/>
        <v>0</v>
      </c>
      <c r="I882" s="6" t="str">
        <f>IF(VLOOKUP(E882,Sheet2!$W:$AA,5,0)=0,"",VLOOKUP(E882,Sheet2!$W:$AA,5,0))</f>
        <v/>
      </c>
      <c r="J882" s="6">
        <v>0</v>
      </c>
      <c r="K882" s="6">
        <v>0</v>
      </c>
      <c r="L882" s="6">
        <f>IF(VLOOKUP(E882,Sheet2!$W:$AA,2,0)=0,"",VLOOKUP(E882,Sheet2!$W:$AA,2,0))</f>
        <v>1</v>
      </c>
      <c r="N882" s="6" t="str">
        <f>IF(VLOOKUP(E882,Sheet2!$W:$AA,3,0)=0,"",VLOOKUP(E882,Sheet2!$W:$AA,3,0))</f>
        <v/>
      </c>
      <c r="Q882" s="6" t="str">
        <f>IF(VLOOKUP(E882,Sheet2!$W:$AA,4,0)=0,"",VLOOKUP(E882,Sheet2!$W:$AA,4,0))</f>
        <v>[{50014,6}]</v>
      </c>
      <c r="R882" s="8">
        <f t="shared" si="175"/>
        <v>24</v>
      </c>
      <c r="S882" s="8">
        <f t="shared" si="176"/>
        <v>2</v>
      </c>
    </row>
    <row r="883" spans="1:19">
      <c r="A883" s="6">
        <f t="shared" si="166"/>
        <v>17603</v>
      </c>
      <c r="B883" s="6">
        <f t="shared" si="169"/>
        <v>176</v>
      </c>
      <c r="C883" s="6">
        <f t="shared" si="167"/>
        <v>3</v>
      </c>
      <c r="D883" s="6" t="str">
        <f t="shared" si="172"/>
        <v>关卡176怪物3</v>
      </c>
      <c r="E883" s="6">
        <v>114</v>
      </c>
      <c r="G883" s="6" t="s">
        <v>1305</v>
      </c>
      <c r="H883" s="6">
        <f t="shared" si="168"/>
        <v>0</v>
      </c>
      <c r="I883" s="6" t="str">
        <f>IF(VLOOKUP(E883,Sheet2!$W:$AA,5,0)=0,"",VLOOKUP(E883,Sheet2!$W:$AA,5,0))</f>
        <v/>
      </c>
      <c r="J883" s="6">
        <v>0</v>
      </c>
      <c r="K883" s="6">
        <v>0</v>
      </c>
      <c r="L883" s="6" t="str">
        <f>IF(VLOOKUP(E883,Sheet2!$W:$AA,2,0)=0,"",VLOOKUP(E883,Sheet2!$W:$AA,2,0))</f>
        <v/>
      </c>
      <c r="N883" s="6" t="str">
        <f>IF(VLOOKUP(E883,Sheet2!$W:$AA,3,0)=0,"",VLOOKUP(E883,Sheet2!$W:$AA,3,0))</f>
        <v/>
      </c>
      <c r="Q883" s="6" t="str">
        <f>IF(VLOOKUP(E883,Sheet2!$W:$AA,4,0)=0,"",VLOOKUP(E883,Sheet2!$W:$AA,4,0))</f>
        <v/>
      </c>
      <c r="R883" s="8">
        <f t="shared" si="175"/>
        <v>24</v>
      </c>
      <c r="S883" s="8">
        <f t="shared" si="176"/>
        <v>2</v>
      </c>
    </row>
    <row r="884" spans="1:19">
      <c r="A884" s="6">
        <f t="shared" ref="A884:A947" si="177">A879+100</f>
        <v>17621</v>
      </c>
      <c r="B884" s="6">
        <f t="shared" si="169"/>
        <v>176</v>
      </c>
      <c r="C884" s="6">
        <f t="shared" si="167"/>
        <v>4</v>
      </c>
      <c r="D884" s="6" t="str">
        <f t="shared" si="173"/>
        <v>关卡176BOSS1</v>
      </c>
      <c r="E884" s="6">
        <v>514</v>
      </c>
      <c r="G884" s="6" t="s">
        <v>1306</v>
      </c>
      <c r="H884" s="6">
        <f t="shared" si="168"/>
        <v>2</v>
      </c>
      <c r="I884" s="6" t="str">
        <f>IF(VLOOKUP(E884,Sheet2!$W:$AA,5,0)=0,"",VLOOKUP(E884,Sheet2!$W:$AA,5,0))</f>
        <v/>
      </c>
      <c r="J884" s="6">
        <v>0</v>
      </c>
      <c r="K884" s="6">
        <v>0</v>
      </c>
      <c r="L884" s="6" t="str">
        <f>IF(VLOOKUP(E884,Sheet2!$W:$AA,2,0)=0,"",VLOOKUP(E884,Sheet2!$W:$AA,2,0))</f>
        <v/>
      </c>
      <c r="N884" s="6" t="str">
        <f>IF(VLOOKUP(E884,Sheet2!$W:$AA,3,0)=0,"",VLOOKUP(E884,Sheet2!$W:$AA,3,0))</f>
        <v/>
      </c>
      <c r="Q884" s="6" t="str">
        <f>IF(VLOOKUP(E884,Sheet2!$W:$AA,4,0)=0,"",VLOOKUP(E884,Sheet2!$W:$AA,4,0))</f>
        <v/>
      </c>
      <c r="R884" s="8">
        <f t="shared" si="175"/>
        <v>100</v>
      </c>
      <c r="S884" s="8">
        <f t="shared" si="176"/>
        <v>2</v>
      </c>
    </row>
    <row r="885" spans="1:19">
      <c r="A885" s="6">
        <f t="shared" si="177"/>
        <v>17631</v>
      </c>
      <c r="B885" s="6">
        <f t="shared" si="169"/>
        <v>176</v>
      </c>
      <c r="C885" s="6">
        <f t="shared" ref="C885:C948" si="178">C880</f>
        <v>5</v>
      </c>
      <c r="D885" s="6" t="str">
        <f t="shared" si="174"/>
        <v>关卡176BOSS2</v>
      </c>
      <c r="E885" s="6">
        <v>514</v>
      </c>
      <c r="G885" s="6" t="s">
        <v>1307</v>
      </c>
      <c r="H885" s="6">
        <f t="shared" si="168"/>
        <v>2</v>
      </c>
      <c r="I885" s="6" t="str">
        <f>IF(VLOOKUP(E885,Sheet2!$W:$AA,5,0)=0,"",VLOOKUP(E885,Sheet2!$W:$AA,5,0))</f>
        <v/>
      </c>
      <c r="J885" s="6">
        <v>0</v>
      </c>
      <c r="K885" s="6">
        <v>0</v>
      </c>
      <c r="L885" s="6" t="str">
        <f>IF(VLOOKUP(E885,Sheet2!$W:$AA,2,0)=0,"",VLOOKUP(E885,Sheet2!$W:$AA,2,0))</f>
        <v/>
      </c>
      <c r="N885" s="6" t="str">
        <f>IF(VLOOKUP(E885,Sheet2!$W:$AA,3,0)=0,"",VLOOKUP(E885,Sheet2!$W:$AA,3,0))</f>
        <v/>
      </c>
      <c r="Q885" s="6" t="str">
        <f>IF(VLOOKUP(E885,Sheet2!$W:$AA,4,0)=0,"",VLOOKUP(E885,Sheet2!$W:$AA,4,0))</f>
        <v/>
      </c>
      <c r="R885" s="8">
        <f t="shared" si="175"/>
        <v>100</v>
      </c>
      <c r="S885" s="8">
        <f t="shared" si="176"/>
        <v>2</v>
      </c>
    </row>
    <row r="886" spans="1:19">
      <c r="A886" s="6">
        <f t="shared" si="177"/>
        <v>17701</v>
      </c>
      <c r="B886" s="6">
        <f t="shared" si="169"/>
        <v>177</v>
      </c>
      <c r="C886" s="6">
        <f t="shared" si="178"/>
        <v>1</v>
      </c>
      <c r="D886" s="6" t="str">
        <f t="shared" si="170"/>
        <v>关卡177怪物1</v>
      </c>
      <c r="E886" s="6">
        <v>111</v>
      </c>
      <c r="G886" s="6" t="s">
        <v>1308</v>
      </c>
      <c r="H886" s="6">
        <f t="shared" si="168"/>
        <v>0</v>
      </c>
      <c r="I886" s="6" t="str">
        <f>IF(VLOOKUP(E886,Sheet2!$W:$AA,5,0)=0,"",VLOOKUP(E886,Sheet2!$W:$AA,5,0))</f>
        <v/>
      </c>
      <c r="J886" s="6">
        <v>0</v>
      </c>
      <c r="K886" s="6">
        <v>0</v>
      </c>
      <c r="L886" s="6" t="str">
        <f>IF(VLOOKUP(E886,Sheet2!$W:$AA,2,0)=0,"",VLOOKUP(E886,Sheet2!$W:$AA,2,0))</f>
        <v/>
      </c>
      <c r="N886" s="6" t="str">
        <f>IF(VLOOKUP(E886,Sheet2!$W:$AA,3,0)=0,"",VLOOKUP(E886,Sheet2!$W:$AA,3,0))</f>
        <v/>
      </c>
      <c r="Q886" s="6" t="str">
        <f>IF(VLOOKUP(E886,Sheet2!$W:$AA,4,0)=0,"",VLOOKUP(E886,Sheet2!$W:$AA,4,0))</f>
        <v/>
      </c>
      <c r="R886" s="8">
        <f t="shared" si="175"/>
        <v>24</v>
      </c>
      <c r="S886" s="8">
        <f t="shared" si="176"/>
        <v>2</v>
      </c>
    </row>
    <row r="887" spans="1:19">
      <c r="A887" s="6">
        <f t="shared" si="177"/>
        <v>17702</v>
      </c>
      <c r="B887" s="6">
        <f t="shared" si="169"/>
        <v>177</v>
      </c>
      <c r="C887" s="6">
        <f t="shared" si="178"/>
        <v>2</v>
      </c>
      <c r="D887" s="6" t="str">
        <f t="shared" si="171"/>
        <v>关卡177怪物2</v>
      </c>
      <c r="E887" s="6">
        <v>112</v>
      </c>
      <c r="G887" s="6" t="s">
        <v>1309</v>
      </c>
      <c r="H887" s="6">
        <f t="shared" si="168"/>
        <v>0</v>
      </c>
      <c r="I887" s="6" t="str">
        <f>IF(VLOOKUP(E887,Sheet2!$W:$AA,5,0)=0,"",VLOOKUP(E887,Sheet2!$W:$AA,5,0))</f>
        <v/>
      </c>
      <c r="J887" s="6">
        <v>0</v>
      </c>
      <c r="K887" s="6">
        <v>0</v>
      </c>
      <c r="L887" s="6">
        <f>IF(VLOOKUP(E887,Sheet2!$W:$AA,2,0)=0,"",VLOOKUP(E887,Sheet2!$W:$AA,2,0))</f>
        <v>1</v>
      </c>
      <c r="N887" s="6" t="str">
        <f>IF(VLOOKUP(E887,Sheet2!$W:$AA,3,0)=0,"",VLOOKUP(E887,Sheet2!$W:$AA,3,0))</f>
        <v/>
      </c>
      <c r="Q887" s="6" t="str">
        <f>IF(VLOOKUP(E887,Sheet2!$W:$AA,4,0)=0,"",VLOOKUP(E887,Sheet2!$W:$AA,4,0))</f>
        <v>[{50015,6}]</v>
      </c>
      <c r="R887" s="8">
        <f t="shared" si="175"/>
        <v>24</v>
      </c>
      <c r="S887" s="8">
        <f t="shared" si="176"/>
        <v>2</v>
      </c>
    </row>
    <row r="888" spans="1:19">
      <c r="A888" s="6">
        <f t="shared" si="177"/>
        <v>17703</v>
      </c>
      <c r="B888" s="6">
        <f t="shared" si="169"/>
        <v>177</v>
      </c>
      <c r="C888" s="6">
        <f t="shared" si="178"/>
        <v>3</v>
      </c>
      <c r="D888" s="6" t="str">
        <f t="shared" si="172"/>
        <v>关卡177怪物3</v>
      </c>
      <c r="E888" s="6">
        <v>118</v>
      </c>
      <c r="G888" s="6" t="s">
        <v>1310</v>
      </c>
      <c r="H888" s="6">
        <f t="shared" si="168"/>
        <v>0</v>
      </c>
      <c r="I888" s="6" t="str">
        <f>IF(VLOOKUP(E888,Sheet2!$W:$AA,5,0)=0,"",VLOOKUP(E888,Sheet2!$W:$AA,5,0))</f>
        <v>[60009]</v>
      </c>
      <c r="J888" s="6">
        <v>0</v>
      </c>
      <c r="K888" s="6">
        <v>0</v>
      </c>
      <c r="L888" s="6">
        <f>IF(VLOOKUP(E888,Sheet2!$W:$AA,2,0)=0,"",VLOOKUP(E888,Sheet2!$W:$AA,2,0))</f>
        <v>1</v>
      </c>
      <c r="N888" s="6" t="str">
        <f>IF(VLOOKUP(E888,Sheet2!$W:$AA,3,0)=0,"",VLOOKUP(E888,Sheet2!$W:$AA,3,0))</f>
        <v/>
      </c>
      <c r="Q888" s="6" t="str">
        <f>IF(VLOOKUP(E888,Sheet2!$W:$AA,4,0)=0,"",VLOOKUP(E888,Sheet2!$W:$AA,4,0))</f>
        <v>[{50017,6}]</v>
      </c>
      <c r="R888" s="8">
        <f t="shared" si="175"/>
        <v>24</v>
      </c>
      <c r="S888" s="8">
        <f t="shared" si="176"/>
        <v>2</v>
      </c>
    </row>
    <row r="889" spans="1:19">
      <c r="A889" s="6">
        <f t="shared" si="177"/>
        <v>17721</v>
      </c>
      <c r="B889" s="6">
        <f t="shared" si="169"/>
        <v>177</v>
      </c>
      <c r="C889" s="6">
        <f t="shared" si="178"/>
        <v>4</v>
      </c>
      <c r="D889" s="6" t="str">
        <f t="shared" si="173"/>
        <v>关卡177BOSS1</v>
      </c>
      <c r="E889" s="6">
        <v>511</v>
      </c>
      <c r="G889" s="6" t="s">
        <v>1311</v>
      </c>
      <c r="H889" s="6">
        <f t="shared" si="168"/>
        <v>2</v>
      </c>
      <c r="I889" s="6" t="str">
        <f>IF(VLOOKUP(E889,Sheet2!$W:$AA,5,0)=0,"",VLOOKUP(E889,Sheet2!$W:$AA,5,0))</f>
        <v/>
      </c>
      <c r="J889" s="6">
        <v>0</v>
      </c>
      <c r="K889" s="6">
        <v>0</v>
      </c>
      <c r="L889" s="6" t="str">
        <f>IF(VLOOKUP(E889,Sheet2!$W:$AA,2,0)=0,"",VLOOKUP(E889,Sheet2!$W:$AA,2,0))</f>
        <v/>
      </c>
      <c r="N889" s="6" t="str">
        <f>IF(VLOOKUP(E889,Sheet2!$W:$AA,3,0)=0,"",VLOOKUP(E889,Sheet2!$W:$AA,3,0))</f>
        <v/>
      </c>
      <c r="Q889" s="6" t="str">
        <f>IF(VLOOKUP(E889,Sheet2!$W:$AA,4,0)=0,"",VLOOKUP(E889,Sheet2!$W:$AA,4,0))</f>
        <v/>
      </c>
      <c r="R889" s="8">
        <f t="shared" si="175"/>
        <v>100</v>
      </c>
      <c r="S889" s="8">
        <f t="shared" si="176"/>
        <v>2</v>
      </c>
    </row>
    <row r="890" spans="1:19">
      <c r="A890" s="6">
        <f t="shared" si="177"/>
        <v>17731</v>
      </c>
      <c r="B890" s="6">
        <f t="shared" si="169"/>
        <v>177</v>
      </c>
      <c r="C890" s="6">
        <f t="shared" si="178"/>
        <v>5</v>
      </c>
      <c r="D890" s="6" t="str">
        <f t="shared" si="174"/>
        <v>关卡177BOSS2</v>
      </c>
      <c r="E890" s="6">
        <v>511</v>
      </c>
      <c r="G890" s="6" t="s">
        <v>1312</v>
      </c>
      <c r="H890" s="6">
        <f t="shared" si="168"/>
        <v>2</v>
      </c>
      <c r="I890" s="6" t="str">
        <f>IF(VLOOKUP(E890,Sheet2!$W:$AA,5,0)=0,"",VLOOKUP(E890,Sheet2!$W:$AA,5,0))</f>
        <v/>
      </c>
      <c r="J890" s="6">
        <v>0</v>
      </c>
      <c r="K890" s="6">
        <v>0</v>
      </c>
      <c r="L890" s="6" t="str">
        <f>IF(VLOOKUP(E890,Sheet2!$W:$AA,2,0)=0,"",VLOOKUP(E890,Sheet2!$W:$AA,2,0))</f>
        <v/>
      </c>
      <c r="N890" s="6" t="str">
        <f>IF(VLOOKUP(E890,Sheet2!$W:$AA,3,0)=0,"",VLOOKUP(E890,Sheet2!$W:$AA,3,0))</f>
        <v/>
      </c>
      <c r="Q890" s="6" t="str">
        <f>IF(VLOOKUP(E890,Sheet2!$W:$AA,4,0)=0,"",VLOOKUP(E890,Sheet2!$W:$AA,4,0))</f>
        <v/>
      </c>
      <c r="R890" s="8">
        <f t="shared" si="175"/>
        <v>100</v>
      </c>
      <c r="S890" s="8">
        <f t="shared" si="176"/>
        <v>2</v>
      </c>
    </row>
    <row r="891" spans="1:19">
      <c r="A891" s="6">
        <f t="shared" si="177"/>
        <v>17801</v>
      </c>
      <c r="B891" s="6">
        <f t="shared" si="169"/>
        <v>178</v>
      </c>
      <c r="C891" s="6">
        <f t="shared" si="178"/>
        <v>1</v>
      </c>
      <c r="D891" s="6" t="str">
        <f t="shared" si="170"/>
        <v>关卡178怪物1</v>
      </c>
      <c r="E891" s="6">
        <v>117</v>
      </c>
      <c r="G891" s="6" t="s">
        <v>1313</v>
      </c>
      <c r="H891" s="6">
        <f t="shared" si="168"/>
        <v>0</v>
      </c>
      <c r="I891" s="6" t="str">
        <f>IF(VLOOKUP(E891,Sheet2!$W:$AA,5,0)=0,"",VLOOKUP(E891,Sheet2!$W:$AA,5,0))</f>
        <v/>
      </c>
      <c r="J891" s="6">
        <v>0</v>
      </c>
      <c r="K891" s="6">
        <v>0</v>
      </c>
      <c r="L891" s="6" t="str">
        <f>IF(VLOOKUP(E891,Sheet2!$W:$AA,2,0)=0,"",VLOOKUP(E891,Sheet2!$W:$AA,2,0))</f>
        <v/>
      </c>
      <c r="N891" s="6" t="str">
        <f>IF(VLOOKUP(E891,Sheet2!$W:$AA,3,0)=0,"",VLOOKUP(E891,Sheet2!$W:$AA,3,0))</f>
        <v/>
      </c>
      <c r="Q891" s="6" t="str">
        <f>IF(VLOOKUP(E891,Sheet2!$W:$AA,4,0)=0,"",VLOOKUP(E891,Sheet2!$W:$AA,4,0))</f>
        <v/>
      </c>
      <c r="R891" s="8">
        <f t="shared" si="175"/>
        <v>24</v>
      </c>
      <c r="S891" s="8">
        <f t="shared" si="176"/>
        <v>2</v>
      </c>
    </row>
    <row r="892" spans="1:19">
      <c r="A892" s="6">
        <f t="shared" si="177"/>
        <v>17802</v>
      </c>
      <c r="B892" s="6">
        <f t="shared" si="169"/>
        <v>178</v>
      </c>
      <c r="C892" s="6">
        <f t="shared" si="178"/>
        <v>2</v>
      </c>
      <c r="D892" s="6" t="str">
        <f t="shared" si="171"/>
        <v>关卡178怪物2</v>
      </c>
      <c r="E892" s="6">
        <v>116</v>
      </c>
      <c r="G892" s="6" t="s">
        <v>1314</v>
      </c>
      <c r="H892" s="6">
        <f t="shared" si="168"/>
        <v>0</v>
      </c>
      <c r="I892" s="6" t="str">
        <f>IF(VLOOKUP(E892,Sheet2!$W:$AA,5,0)=0,"",VLOOKUP(E892,Sheet2!$W:$AA,5,0))</f>
        <v>[60007]</v>
      </c>
      <c r="J892" s="6">
        <v>0</v>
      </c>
      <c r="K892" s="6">
        <v>0</v>
      </c>
      <c r="L892" s="6" t="str">
        <f>IF(VLOOKUP(E892,Sheet2!$W:$AA,2,0)=0,"",VLOOKUP(E892,Sheet2!$W:$AA,2,0))</f>
        <v/>
      </c>
      <c r="N892" s="6" t="str">
        <f>IF(VLOOKUP(E892,Sheet2!$W:$AA,3,0)=0,"",VLOOKUP(E892,Sheet2!$W:$AA,3,0))</f>
        <v/>
      </c>
      <c r="Q892" s="6" t="str">
        <f>IF(VLOOKUP(E892,Sheet2!$W:$AA,4,0)=0,"",VLOOKUP(E892,Sheet2!$W:$AA,4,0))</f>
        <v/>
      </c>
      <c r="R892" s="8">
        <f t="shared" si="175"/>
        <v>24</v>
      </c>
      <c r="S892" s="8">
        <f t="shared" si="176"/>
        <v>2</v>
      </c>
    </row>
    <row r="893" spans="1:19">
      <c r="A893" s="6">
        <f t="shared" si="177"/>
        <v>17803</v>
      </c>
      <c r="B893" s="6">
        <f t="shared" si="169"/>
        <v>178</v>
      </c>
      <c r="C893" s="6">
        <f t="shared" si="178"/>
        <v>3</v>
      </c>
      <c r="D893" s="6" t="str">
        <f t="shared" si="172"/>
        <v>关卡178怪物3</v>
      </c>
      <c r="E893" s="6">
        <v>119</v>
      </c>
      <c r="G893" s="6" t="s">
        <v>1315</v>
      </c>
      <c r="H893" s="6">
        <f t="shared" si="168"/>
        <v>0</v>
      </c>
      <c r="I893" s="6" t="str">
        <f>IF(VLOOKUP(E893,Sheet2!$W:$AA,5,0)=0,"",VLOOKUP(E893,Sheet2!$W:$AA,5,0))</f>
        <v/>
      </c>
      <c r="J893" s="6">
        <v>0</v>
      </c>
      <c r="K893" s="6">
        <v>0</v>
      </c>
      <c r="L893" s="6">
        <f>IF(VLOOKUP(E893,Sheet2!$W:$AA,2,0)=0,"",VLOOKUP(E893,Sheet2!$W:$AA,2,0))</f>
        <v>1</v>
      </c>
      <c r="N893" s="6" t="str">
        <f>IF(VLOOKUP(E893,Sheet2!$W:$AA,3,0)=0,"",VLOOKUP(E893,Sheet2!$W:$AA,3,0))</f>
        <v/>
      </c>
      <c r="Q893" s="6" t="str">
        <f>IF(VLOOKUP(E893,Sheet2!$W:$AA,4,0)=0,"",VLOOKUP(E893,Sheet2!$W:$AA,4,0))</f>
        <v>[{50018,6}]</v>
      </c>
      <c r="R893" s="8">
        <f t="shared" si="175"/>
        <v>24</v>
      </c>
      <c r="S893" s="8">
        <f t="shared" si="176"/>
        <v>2</v>
      </c>
    </row>
    <row r="894" spans="1:19">
      <c r="A894" s="6">
        <f t="shared" si="177"/>
        <v>17821</v>
      </c>
      <c r="B894" s="6">
        <f t="shared" si="169"/>
        <v>178</v>
      </c>
      <c r="C894" s="6">
        <f t="shared" si="178"/>
        <v>4</v>
      </c>
      <c r="D894" s="6" t="str">
        <f t="shared" si="173"/>
        <v>关卡178BOSS1</v>
      </c>
      <c r="E894" s="6">
        <v>517</v>
      </c>
      <c r="G894" s="6" t="s">
        <v>1316</v>
      </c>
      <c r="H894" s="6">
        <f t="shared" si="168"/>
        <v>2</v>
      </c>
      <c r="I894" s="6" t="str">
        <f>IF(VLOOKUP(E894,Sheet2!$W:$AA,5,0)=0,"",VLOOKUP(E894,Sheet2!$W:$AA,5,0))</f>
        <v/>
      </c>
      <c r="J894" s="6">
        <v>0</v>
      </c>
      <c r="K894" s="6">
        <v>0</v>
      </c>
      <c r="L894" s="6" t="str">
        <f>IF(VLOOKUP(E894,Sheet2!$W:$AA,2,0)=0,"",VLOOKUP(E894,Sheet2!$W:$AA,2,0))</f>
        <v/>
      </c>
      <c r="N894" s="6" t="str">
        <f>IF(VLOOKUP(E894,Sheet2!$W:$AA,3,0)=0,"",VLOOKUP(E894,Sheet2!$W:$AA,3,0))</f>
        <v/>
      </c>
      <c r="Q894" s="6" t="str">
        <f>IF(VLOOKUP(E894,Sheet2!$W:$AA,4,0)=0,"",VLOOKUP(E894,Sheet2!$W:$AA,4,0))</f>
        <v/>
      </c>
      <c r="R894" s="8">
        <f t="shared" si="175"/>
        <v>100</v>
      </c>
      <c r="S894" s="8">
        <f t="shared" si="176"/>
        <v>2</v>
      </c>
    </row>
    <row r="895" spans="1:19">
      <c r="A895" s="6">
        <f t="shared" si="177"/>
        <v>17831</v>
      </c>
      <c r="B895" s="6">
        <f t="shared" si="169"/>
        <v>178</v>
      </c>
      <c r="C895" s="6">
        <f t="shared" si="178"/>
        <v>5</v>
      </c>
      <c r="D895" s="6" t="str">
        <f t="shared" si="174"/>
        <v>关卡178BOSS2</v>
      </c>
      <c r="E895" s="6">
        <v>517</v>
      </c>
      <c r="G895" s="6" t="s">
        <v>1317</v>
      </c>
      <c r="H895" s="6">
        <f t="shared" si="168"/>
        <v>2</v>
      </c>
      <c r="I895" s="6" t="str">
        <f>IF(VLOOKUP(E895,Sheet2!$W:$AA,5,0)=0,"",VLOOKUP(E895,Sheet2!$W:$AA,5,0))</f>
        <v/>
      </c>
      <c r="J895" s="6">
        <v>0</v>
      </c>
      <c r="K895" s="6">
        <v>0</v>
      </c>
      <c r="L895" s="6" t="str">
        <f>IF(VLOOKUP(E895,Sheet2!$W:$AA,2,0)=0,"",VLOOKUP(E895,Sheet2!$W:$AA,2,0))</f>
        <v/>
      </c>
      <c r="N895" s="6" t="str">
        <f>IF(VLOOKUP(E895,Sheet2!$W:$AA,3,0)=0,"",VLOOKUP(E895,Sheet2!$W:$AA,3,0))</f>
        <v/>
      </c>
      <c r="Q895" s="6" t="str">
        <f>IF(VLOOKUP(E895,Sheet2!$W:$AA,4,0)=0,"",VLOOKUP(E895,Sheet2!$W:$AA,4,0))</f>
        <v/>
      </c>
      <c r="R895" s="8">
        <f t="shared" si="175"/>
        <v>100</v>
      </c>
      <c r="S895" s="8">
        <f t="shared" si="176"/>
        <v>2</v>
      </c>
    </row>
    <row r="896" spans="1:19">
      <c r="A896" s="6">
        <f t="shared" si="177"/>
        <v>17901</v>
      </c>
      <c r="B896" s="6">
        <f t="shared" si="169"/>
        <v>179</v>
      </c>
      <c r="C896" s="6">
        <f t="shared" si="178"/>
        <v>1</v>
      </c>
      <c r="D896" s="6" t="str">
        <f t="shared" si="170"/>
        <v>关卡179怪物1</v>
      </c>
      <c r="E896" s="6">
        <v>122</v>
      </c>
      <c r="G896" s="6" t="s">
        <v>1318</v>
      </c>
      <c r="H896" s="6">
        <f t="shared" si="168"/>
        <v>0</v>
      </c>
      <c r="I896" s="6" t="str">
        <f>IF(VLOOKUP(E896,Sheet2!$W:$AA,5,0)=0,"",VLOOKUP(E896,Sheet2!$W:$AA,5,0))</f>
        <v>[60011,60012]</v>
      </c>
      <c r="J896" s="6">
        <v>0</v>
      </c>
      <c r="K896" s="6">
        <v>0</v>
      </c>
      <c r="L896" s="6" t="str">
        <f>IF(VLOOKUP(E896,Sheet2!$W:$AA,2,0)=0,"",VLOOKUP(E896,Sheet2!$W:$AA,2,0))</f>
        <v/>
      </c>
      <c r="N896" s="6" t="str">
        <f>IF(VLOOKUP(E896,Sheet2!$W:$AA,3,0)=0,"",VLOOKUP(E896,Sheet2!$W:$AA,3,0))</f>
        <v/>
      </c>
      <c r="Q896" s="6" t="str">
        <f>IF(VLOOKUP(E896,Sheet2!$W:$AA,4,0)=0,"",VLOOKUP(E896,Sheet2!$W:$AA,4,0))</f>
        <v/>
      </c>
      <c r="R896" s="8">
        <f t="shared" si="175"/>
        <v>24</v>
      </c>
      <c r="S896" s="8">
        <f t="shared" si="176"/>
        <v>2</v>
      </c>
    </row>
    <row r="897" spans="1:19">
      <c r="A897" s="6">
        <f t="shared" si="177"/>
        <v>17902</v>
      </c>
      <c r="B897" s="6">
        <f t="shared" si="169"/>
        <v>179</v>
      </c>
      <c r="C897" s="6">
        <f t="shared" si="178"/>
        <v>2</v>
      </c>
      <c r="D897" s="6" t="str">
        <f t="shared" si="171"/>
        <v>关卡179怪物2</v>
      </c>
      <c r="E897" s="6">
        <v>124</v>
      </c>
      <c r="G897" s="6" t="s">
        <v>1319</v>
      </c>
      <c r="H897" s="6">
        <f t="shared" si="168"/>
        <v>0</v>
      </c>
      <c r="I897" s="6" t="str">
        <f>IF(VLOOKUP(E897,Sheet2!$W:$AA,5,0)=0,"",VLOOKUP(E897,Sheet2!$W:$AA,5,0))</f>
        <v>[60013]</v>
      </c>
      <c r="J897" s="6">
        <v>0</v>
      </c>
      <c r="K897" s="6">
        <v>0</v>
      </c>
      <c r="L897" s="6" t="str">
        <f>IF(VLOOKUP(E897,Sheet2!$W:$AA,2,0)=0,"",VLOOKUP(E897,Sheet2!$W:$AA,2,0))</f>
        <v/>
      </c>
      <c r="N897" s="6" t="str">
        <f>IF(VLOOKUP(E897,Sheet2!$W:$AA,3,0)=0,"",VLOOKUP(E897,Sheet2!$W:$AA,3,0))</f>
        <v/>
      </c>
      <c r="Q897" s="6" t="str">
        <f>IF(VLOOKUP(E897,Sheet2!$W:$AA,4,0)=0,"",VLOOKUP(E897,Sheet2!$W:$AA,4,0))</f>
        <v/>
      </c>
      <c r="R897" s="8">
        <f t="shared" si="175"/>
        <v>24</v>
      </c>
      <c r="S897" s="8">
        <f t="shared" si="176"/>
        <v>2</v>
      </c>
    </row>
    <row r="898" spans="1:19">
      <c r="A898" s="6">
        <f t="shared" si="177"/>
        <v>17903</v>
      </c>
      <c r="B898" s="6">
        <f t="shared" si="169"/>
        <v>179</v>
      </c>
      <c r="C898" s="6">
        <f t="shared" si="178"/>
        <v>3</v>
      </c>
      <c r="D898" s="6" t="str">
        <f t="shared" si="172"/>
        <v>关卡179怪物3</v>
      </c>
      <c r="E898" s="6">
        <v>123</v>
      </c>
      <c r="G898" s="6" t="s">
        <v>1320</v>
      </c>
      <c r="H898" s="6">
        <f t="shared" ref="H898:H961" si="179">H893</f>
        <v>0</v>
      </c>
      <c r="I898" s="6" t="str">
        <f>IF(VLOOKUP(E898,Sheet2!$W:$AA,5,0)=0,"",VLOOKUP(E898,Sheet2!$W:$AA,5,0))</f>
        <v>[60010]</v>
      </c>
      <c r="J898" s="6">
        <v>0</v>
      </c>
      <c r="K898" s="6">
        <v>0</v>
      </c>
      <c r="L898" s="6">
        <f>IF(VLOOKUP(E898,Sheet2!$W:$AA,2,0)=0,"",VLOOKUP(E898,Sheet2!$W:$AA,2,0))</f>
        <v>1</v>
      </c>
      <c r="N898" s="6" t="str">
        <f>IF(VLOOKUP(E898,Sheet2!$W:$AA,3,0)=0,"",VLOOKUP(E898,Sheet2!$W:$AA,3,0))</f>
        <v/>
      </c>
      <c r="Q898" s="6" t="str">
        <f>IF(VLOOKUP(E898,Sheet2!$W:$AA,4,0)=0,"",VLOOKUP(E898,Sheet2!$W:$AA,4,0))</f>
        <v>[{50019,6}]</v>
      </c>
      <c r="R898" s="8">
        <f t="shared" si="175"/>
        <v>24</v>
      </c>
      <c r="S898" s="8">
        <f t="shared" si="176"/>
        <v>2</v>
      </c>
    </row>
    <row r="899" spans="1:19">
      <c r="A899" s="6">
        <f t="shared" si="177"/>
        <v>17921</v>
      </c>
      <c r="B899" s="6">
        <f t="shared" si="169"/>
        <v>179</v>
      </c>
      <c r="C899" s="6">
        <f t="shared" si="178"/>
        <v>4</v>
      </c>
      <c r="D899" s="6" t="str">
        <f t="shared" si="173"/>
        <v>关卡179BOSS1</v>
      </c>
      <c r="E899" s="6">
        <v>524</v>
      </c>
      <c r="G899" s="6" t="s">
        <v>1321</v>
      </c>
      <c r="H899" s="6">
        <f t="shared" si="179"/>
        <v>2</v>
      </c>
      <c r="I899" s="6" t="str">
        <f>IF(VLOOKUP(E899,Sheet2!$W:$AA,5,0)=0,"",VLOOKUP(E899,Sheet2!$W:$AA,5,0))</f>
        <v>[60013]</v>
      </c>
      <c r="J899" s="6">
        <v>0</v>
      </c>
      <c r="K899" s="6">
        <v>0</v>
      </c>
      <c r="L899" s="6" t="str">
        <f>IF(VLOOKUP(E899,Sheet2!$W:$AA,2,0)=0,"",VLOOKUP(E899,Sheet2!$W:$AA,2,0))</f>
        <v/>
      </c>
      <c r="N899" s="6" t="str">
        <f>IF(VLOOKUP(E899,Sheet2!$W:$AA,3,0)=0,"",VLOOKUP(E899,Sheet2!$W:$AA,3,0))</f>
        <v/>
      </c>
      <c r="Q899" s="6" t="str">
        <f>IF(VLOOKUP(E899,Sheet2!$W:$AA,4,0)=0,"",VLOOKUP(E899,Sheet2!$W:$AA,4,0))</f>
        <v/>
      </c>
      <c r="R899" s="8">
        <f t="shared" si="175"/>
        <v>100</v>
      </c>
      <c r="S899" s="8">
        <f t="shared" si="176"/>
        <v>2</v>
      </c>
    </row>
    <row r="900" spans="1:19">
      <c r="A900" s="6">
        <f t="shared" si="177"/>
        <v>17931</v>
      </c>
      <c r="B900" s="6">
        <f t="shared" si="169"/>
        <v>179</v>
      </c>
      <c r="C900" s="6">
        <f t="shared" si="178"/>
        <v>5</v>
      </c>
      <c r="D900" s="6" t="str">
        <f t="shared" si="174"/>
        <v>关卡179BOSS2</v>
      </c>
      <c r="E900" s="6">
        <v>524</v>
      </c>
      <c r="G900" s="6" t="s">
        <v>1322</v>
      </c>
      <c r="H900" s="6">
        <f t="shared" si="179"/>
        <v>2</v>
      </c>
      <c r="I900" s="6" t="str">
        <f>IF(VLOOKUP(E900,Sheet2!$W:$AA,5,0)=0,"",VLOOKUP(E900,Sheet2!$W:$AA,5,0))</f>
        <v>[60013]</v>
      </c>
      <c r="J900" s="6">
        <v>0</v>
      </c>
      <c r="K900" s="6">
        <v>0</v>
      </c>
      <c r="L900" s="6" t="str">
        <f>IF(VLOOKUP(E900,Sheet2!$W:$AA,2,0)=0,"",VLOOKUP(E900,Sheet2!$W:$AA,2,0))</f>
        <v/>
      </c>
      <c r="N900" s="6" t="str">
        <f>IF(VLOOKUP(E900,Sheet2!$W:$AA,3,0)=0,"",VLOOKUP(E900,Sheet2!$W:$AA,3,0))</f>
        <v/>
      </c>
      <c r="Q900" s="6" t="str">
        <f>IF(VLOOKUP(E900,Sheet2!$W:$AA,4,0)=0,"",VLOOKUP(E900,Sheet2!$W:$AA,4,0))</f>
        <v/>
      </c>
      <c r="R900" s="8">
        <f t="shared" si="175"/>
        <v>100</v>
      </c>
      <c r="S900" s="8">
        <f t="shared" si="176"/>
        <v>2</v>
      </c>
    </row>
    <row r="901" spans="1:19">
      <c r="A901" s="6">
        <f t="shared" si="177"/>
        <v>18001</v>
      </c>
      <c r="B901" s="6">
        <f t="shared" si="169"/>
        <v>180</v>
      </c>
      <c r="C901" s="6">
        <f t="shared" si="178"/>
        <v>1</v>
      </c>
      <c r="D901" s="6" t="str">
        <f t="shared" si="170"/>
        <v>关卡180怪物1</v>
      </c>
      <c r="E901" s="6">
        <v>100</v>
      </c>
      <c r="G901" s="6" t="s">
        <v>1323</v>
      </c>
      <c r="H901" s="6">
        <f t="shared" si="179"/>
        <v>0</v>
      </c>
      <c r="I901" s="6" t="str">
        <f>IF(VLOOKUP(E901,Sheet2!$W:$AA,5,0)=0,"",VLOOKUP(E901,Sheet2!$W:$AA,5,0))</f>
        <v>[60002]</v>
      </c>
      <c r="J901" s="6">
        <v>0</v>
      </c>
      <c r="K901" s="6">
        <v>0</v>
      </c>
      <c r="L901" s="6" t="str">
        <f>IF(VLOOKUP(E901,Sheet2!$W:$AA,2,0)=0,"",VLOOKUP(E901,Sheet2!$W:$AA,2,0))</f>
        <v/>
      </c>
      <c r="N901" s="6">
        <f>IF(VLOOKUP(E901,Sheet2!$W:$AA,3,0)=0,"",VLOOKUP(E901,Sheet2!$W:$AA,3,0))</f>
        <v>2001</v>
      </c>
      <c r="Q901" s="6" t="str">
        <f>IF(VLOOKUP(E901,Sheet2!$W:$AA,4,0)=0,"",VLOOKUP(E901,Sheet2!$W:$AA,4,0))</f>
        <v/>
      </c>
      <c r="R901" s="8">
        <f t="shared" si="175"/>
        <v>24</v>
      </c>
      <c r="S901" s="8">
        <f t="shared" si="176"/>
        <v>2</v>
      </c>
    </row>
    <row r="902" spans="1:19">
      <c r="A902" s="6">
        <f t="shared" si="177"/>
        <v>18002</v>
      </c>
      <c r="B902" s="6">
        <f t="shared" si="169"/>
        <v>180</v>
      </c>
      <c r="C902" s="6">
        <f t="shared" si="178"/>
        <v>2</v>
      </c>
      <c r="D902" s="6" t="str">
        <f t="shared" si="171"/>
        <v>关卡180怪物2</v>
      </c>
      <c r="E902" s="6">
        <v>102</v>
      </c>
      <c r="G902" s="6" t="s">
        <v>1324</v>
      </c>
      <c r="H902" s="6">
        <f t="shared" si="179"/>
        <v>0</v>
      </c>
      <c r="I902" s="6" t="str">
        <f>IF(VLOOKUP(E902,Sheet2!$W:$AA,5,0)=0,"",VLOOKUP(E902,Sheet2!$W:$AA,5,0))</f>
        <v/>
      </c>
      <c r="J902" s="6">
        <v>0</v>
      </c>
      <c r="K902" s="6">
        <v>0</v>
      </c>
      <c r="L902" s="6">
        <f>IF(VLOOKUP(E902,Sheet2!$W:$AA,2,0)=0,"",VLOOKUP(E902,Sheet2!$W:$AA,2,0))</f>
        <v>1</v>
      </c>
      <c r="N902" s="6" t="str">
        <f>IF(VLOOKUP(E902,Sheet2!$W:$AA,3,0)=0,"",VLOOKUP(E902,Sheet2!$W:$AA,3,0))</f>
        <v/>
      </c>
      <c r="Q902" s="6" t="str">
        <f>IF(VLOOKUP(E902,Sheet2!$W:$AA,4,0)=0,"",VLOOKUP(E902,Sheet2!$W:$AA,4,0))</f>
        <v>[{50011,6}]</v>
      </c>
      <c r="R902" s="8">
        <f t="shared" si="175"/>
        <v>24</v>
      </c>
      <c r="S902" s="8">
        <f t="shared" si="176"/>
        <v>2</v>
      </c>
    </row>
    <row r="903" spans="1:19">
      <c r="A903" s="6">
        <f t="shared" si="177"/>
        <v>18003</v>
      </c>
      <c r="B903" s="6">
        <f t="shared" si="169"/>
        <v>180</v>
      </c>
      <c r="C903" s="6">
        <f t="shared" si="178"/>
        <v>3</v>
      </c>
      <c r="D903" s="6" t="str">
        <f t="shared" si="172"/>
        <v>关卡180怪物3</v>
      </c>
      <c r="E903" s="6">
        <v>105</v>
      </c>
      <c r="G903" s="6" t="s">
        <v>1325</v>
      </c>
      <c r="H903" s="6">
        <f t="shared" si="179"/>
        <v>0</v>
      </c>
      <c r="I903" s="6" t="str">
        <f>IF(VLOOKUP(E903,Sheet2!$W:$AA,5,0)=0,"",VLOOKUP(E903,Sheet2!$W:$AA,5,0))</f>
        <v>[60003]</v>
      </c>
      <c r="J903" s="6">
        <v>0</v>
      </c>
      <c r="K903" s="6">
        <v>0</v>
      </c>
      <c r="L903" s="6" t="str">
        <f>IF(VLOOKUP(E903,Sheet2!$W:$AA,2,0)=0,"",VLOOKUP(E903,Sheet2!$W:$AA,2,0))</f>
        <v/>
      </c>
      <c r="N903" s="6" t="str">
        <f>IF(VLOOKUP(E903,Sheet2!$W:$AA,3,0)=0,"",VLOOKUP(E903,Sheet2!$W:$AA,3,0))</f>
        <v/>
      </c>
      <c r="Q903" s="6" t="str">
        <f>IF(VLOOKUP(E903,Sheet2!$W:$AA,4,0)=0,"",VLOOKUP(E903,Sheet2!$W:$AA,4,0))</f>
        <v/>
      </c>
      <c r="R903" s="8">
        <f t="shared" si="175"/>
        <v>24</v>
      </c>
      <c r="S903" s="8">
        <f t="shared" si="176"/>
        <v>2</v>
      </c>
    </row>
    <row r="904" spans="1:19">
      <c r="A904" s="6">
        <f t="shared" si="177"/>
        <v>18021</v>
      </c>
      <c r="B904" s="6">
        <f t="shared" si="169"/>
        <v>180</v>
      </c>
      <c r="C904" s="6">
        <f t="shared" si="178"/>
        <v>4</v>
      </c>
      <c r="D904" s="6" t="str">
        <f t="shared" si="173"/>
        <v>关卡180BOSS1</v>
      </c>
      <c r="E904" s="6">
        <v>502</v>
      </c>
      <c r="G904" s="6" t="s">
        <v>1326</v>
      </c>
      <c r="H904" s="6">
        <f t="shared" si="179"/>
        <v>2</v>
      </c>
      <c r="I904" s="6" t="str">
        <f>IF(VLOOKUP(E904,Sheet2!$W:$AA,5,0)=0,"",VLOOKUP(E904,Sheet2!$W:$AA,5,0))</f>
        <v/>
      </c>
      <c r="J904" s="6">
        <v>0</v>
      </c>
      <c r="K904" s="6">
        <v>0</v>
      </c>
      <c r="L904" s="6">
        <f>IF(VLOOKUP(E904,Sheet2!$W:$AA,2,0)=0,"",VLOOKUP(E904,Sheet2!$W:$AA,2,0))</f>
        <v>1</v>
      </c>
      <c r="N904" s="6" t="str">
        <f>IF(VLOOKUP(E904,Sheet2!$W:$AA,3,0)=0,"",VLOOKUP(E904,Sheet2!$W:$AA,3,0))</f>
        <v/>
      </c>
      <c r="Q904" s="6" t="str">
        <f>IF(VLOOKUP(E904,Sheet2!$W:$AA,4,0)=0,"",VLOOKUP(E904,Sheet2!$W:$AA,4,0))</f>
        <v>[{50021,6}]</v>
      </c>
      <c r="R904" s="8">
        <f t="shared" si="175"/>
        <v>100</v>
      </c>
      <c r="S904" s="8">
        <f t="shared" si="176"/>
        <v>2</v>
      </c>
    </row>
    <row r="905" spans="1:19">
      <c r="A905" s="6">
        <f t="shared" si="177"/>
        <v>18031</v>
      </c>
      <c r="B905" s="6">
        <f t="shared" si="169"/>
        <v>180</v>
      </c>
      <c r="C905" s="6">
        <f t="shared" si="178"/>
        <v>5</v>
      </c>
      <c r="D905" s="6" t="str">
        <f t="shared" si="174"/>
        <v>关卡180BOSS2</v>
      </c>
      <c r="E905" s="6">
        <v>500</v>
      </c>
      <c r="G905" s="6" t="s">
        <v>1327</v>
      </c>
      <c r="H905" s="6">
        <f t="shared" si="179"/>
        <v>2</v>
      </c>
      <c r="I905" s="6" t="str">
        <f>IF(VLOOKUP(E905,Sheet2!$W:$AA,5,0)=0,"",VLOOKUP(E905,Sheet2!$W:$AA,5,0))</f>
        <v>[60002]</v>
      </c>
      <c r="J905" s="6">
        <v>0</v>
      </c>
      <c r="K905" s="6">
        <v>0</v>
      </c>
      <c r="L905" s="6" t="str">
        <f>IF(VLOOKUP(E905,Sheet2!$W:$AA,2,0)=0,"",VLOOKUP(E905,Sheet2!$W:$AA,2,0))</f>
        <v/>
      </c>
      <c r="N905" s="6">
        <f>IF(VLOOKUP(E905,Sheet2!$W:$AA,3,0)=0,"",VLOOKUP(E905,Sheet2!$W:$AA,3,0))</f>
        <v>2001</v>
      </c>
      <c r="Q905" s="6" t="str">
        <f>IF(VLOOKUP(E905,Sheet2!$W:$AA,4,0)=0,"",VLOOKUP(E905,Sheet2!$W:$AA,4,0))</f>
        <v/>
      </c>
      <c r="R905" s="8">
        <f t="shared" si="175"/>
        <v>100</v>
      </c>
      <c r="S905" s="8">
        <f t="shared" si="176"/>
        <v>2</v>
      </c>
    </row>
    <row r="906" spans="1:19">
      <c r="A906" s="6">
        <f t="shared" si="177"/>
        <v>18101</v>
      </c>
      <c r="B906" s="6">
        <f t="shared" si="169"/>
        <v>181</v>
      </c>
      <c r="C906" s="6">
        <f t="shared" si="178"/>
        <v>1</v>
      </c>
      <c r="D906" s="6" t="str">
        <f t="shared" si="170"/>
        <v>关卡181怪物1</v>
      </c>
      <c r="E906" s="6">
        <v>125</v>
      </c>
      <c r="G906" s="6" t="s">
        <v>1328</v>
      </c>
      <c r="H906" s="6">
        <f t="shared" si="179"/>
        <v>0</v>
      </c>
      <c r="I906" s="6" t="str">
        <f>IF(VLOOKUP(E906,Sheet2!$W:$AA,5,0)=0,"",VLOOKUP(E906,Sheet2!$W:$AA,5,0))</f>
        <v>[60016]</v>
      </c>
      <c r="J906" s="6">
        <v>0</v>
      </c>
      <c r="K906" s="6">
        <v>0</v>
      </c>
      <c r="L906" s="6" t="str">
        <f>IF(VLOOKUP(E906,Sheet2!$W:$AA,2,0)=0,"",VLOOKUP(E906,Sheet2!$W:$AA,2,0))</f>
        <v/>
      </c>
      <c r="N906" s="6" t="str">
        <f>IF(VLOOKUP(E906,Sheet2!$W:$AA,3,0)=0,"",VLOOKUP(E906,Sheet2!$W:$AA,3,0))</f>
        <v/>
      </c>
      <c r="Q906" s="6" t="str">
        <f>IF(VLOOKUP(E906,Sheet2!$W:$AA,4,0)=0,"",VLOOKUP(E906,Sheet2!$W:$AA,4,0))</f>
        <v/>
      </c>
      <c r="R906" s="8">
        <f t="shared" si="175"/>
        <v>24</v>
      </c>
      <c r="S906" s="8">
        <f t="shared" si="176"/>
        <v>2</v>
      </c>
    </row>
    <row r="907" spans="1:19">
      <c r="A907" s="6">
        <f t="shared" si="177"/>
        <v>18102</v>
      </c>
      <c r="B907" s="6">
        <f t="shared" si="169"/>
        <v>181</v>
      </c>
      <c r="C907" s="6">
        <f t="shared" si="178"/>
        <v>2</v>
      </c>
      <c r="D907" s="6" t="str">
        <f t="shared" si="171"/>
        <v>关卡181怪物2</v>
      </c>
      <c r="E907" s="6">
        <v>127</v>
      </c>
      <c r="G907" s="6" t="s">
        <v>1329</v>
      </c>
      <c r="H907" s="6">
        <f t="shared" si="179"/>
        <v>0</v>
      </c>
      <c r="I907" s="6" t="str">
        <f>IF(VLOOKUP(E907,Sheet2!$W:$AA,5,0)=0,"",VLOOKUP(E907,Sheet2!$W:$AA,5,0))</f>
        <v>[60015]</v>
      </c>
      <c r="J907" s="6">
        <v>0</v>
      </c>
      <c r="K907" s="6">
        <v>0</v>
      </c>
      <c r="L907" s="6" t="str">
        <f>IF(VLOOKUP(E907,Sheet2!$W:$AA,2,0)=0,"",VLOOKUP(E907,Sheet2!$W:$AA,2,0))</f>
        <v/>
      </c>
      <c r="N907" s="6" t="str">
        <f>IF(VLOOKUP(E907,Sheet2!$W:$AA,3,0)=0,"",VLOOKUP(E907,Sheet2!$W:$AA,3,0))</f>
        <v/>
      </c>
      <c r="Q907" s="6" t="str">
        <f>IF(VLOOKUP(E907,Sheet2!$W:$AA,4,0)=0,"",VLOOKUP(E907,Sheet2!$W:$AA,4,0))</f>
        <v/>
      </c>
      <c r="R907" s="8">
        <f t="shared" si="175"/>
        <v>24</v>
      </c>
      <c r="S907" s="8">
        <f t="shared" si="176"/>
        <v>2</v>
      </c>
    </row>
    <row r="908" spans="1:19">
      <c r="A908" s="6">
        <f t="shared" si="177"/>
        <v>18103</v>
      </c>
      <c r="B908" s="6">
        <f t="shared" si="169"/>
        <v>181</v>
      </c>
      <c r="C908" s="6">
        <f t="shared" si="178"/>
        <v>3</v>
      </c>
      <c r="D908" s="6" t="str">
        <f t="shared" si="172"/>
        <v>关卡181怪物3</v>
      </c>
      <c r="E908" s="6">
        <v>126</v>
      </c>
      <c r="G908" s="6" t="s">
        <v>1330</v>
      </c>
      <c r="H908" s="6">
        <f t="shared" si="179"/>
        <v>0</v>
      </c>
      <c r="I908" s="6" t="str">
        <f>IF(VLOOKUP(E908,Sheet2!$W:$AA,5,0)=0,"",VLOOKUP(E908,Sheet2!$W:$AA,5,0))</f>
        <v>[60014]</v>
      </c>
      <c r="J908" s="6">
        <v>0</v>
      </c>
      <c r="K908" s="6">
        <v>0</v>
      </c>
      <c r="L908" s="6">
        <f>IF(VLOOKUP(E908,Sheet2!$W:$AA,2,0)=0,"",VLOOKUP(E908,Sheet2!$W:$AA,2,0))</f>
        <v>1</v>
      </c>
      <c r="N908" s="6" t="str">
        <f>IF(VLOOKUP(E908,Sheet2!$W:$AA,3,0)=0,"",VLOOKUP(E908,Sheet2!$W:$AA,3,0))</f>
        <v/>
      </c>
      <c r="Q908" s="6" t="str">
        <f>IF(VLOOKUP(E908,Sheet2!$W:$AA,4,0)=0,"",VLOOKUP(E908,Sheet2!$W:$AA,4,0))</f>
        <v>[{50031,6}]</v>
      </c>
      <c r="R908" s="8">
        <f t="shared" si="175"/>
        <v>24</v>
      </c>
      <c r="S908" s="8">
        <f t="shared" si="176"/>
        <v>2</v>
      </c>
    </row>
    <row r="909" spans="1:19">
      <c r="A909" s="6">
        <f t="shared" si="177"/>
        <v>18121</v>
      </c>
      <c r="B909" s="6">
        <f t="shared" si="169"/>
        <v>181</v>
      </c>
      <c r="C909" s="6">
        <f t="shared" si="178"/>
        <v>4</v>
      </c>
      <c r="D909" s="6" t="str">
        <f t="shared" si="173"/>
        <v>关卡181BOSS1</v>
      </c>
      <c r="E909" s="6">
        <v>527</v>
      </c>
      <c r="G909" s="6" t="s">
        <v>1331</v>
      </c>
      <c r="H909" s="6">
        <f t="shared" si="179"/>
        <v>2</v>
      </c>
      <c r="I909" s="6" t="str">
        <f>IF(VLOOKUP(E909,Sheet2!$W:$AA,5,0)=0,"",VLOOKUP(E909,Sheet2!$W:$AA,5,0))</f>
        <v>[60015]</v>
      </c>
      <c r="J909" s="6">
        <v>0</v>
      </c>
      <c r="K909" s="6">
        <v>0</v>
      </c>
      <c r="L909" s="6" t="str">
        <f>IF(VLOOKUP(E909,Sheet2!$W:$AA,2,0)=0,"",VLOOKUP(E909,Sheet2!$W:$AA,2,0))</f>
        <v/>
      </c>
      <c r="N909" s="6" t="str">
        <f>IF(VLOOKUP(E909,Sheet2!$W:$AA,3,0)=0,"",VLOOKUP(E909,Sheet2!$W:$AA,3,0))</f>
        <v/>
      </c>
      <c r="Q909" s="6" t="str">
        <f>IF(VLOOKUP(E909,Sheet2!$W:$AA,4,0)=0,"",VLOOKUP(E909,Sheet2!$W:$AA,4,0))</f>
        <v/>
      </c>
      <c r="R909" s="8">
        <f t="shared" si="175"/>
        <v>100</v>
      </c>
      <c r="S909" s="8">
        <f t="shared" si="176"/>
        <v>2</v>
      </c>
    </row>
    <row r="910" spans="1:19">
      <c r="A910" s="6">
        <f t="shared" si="177"/>
        <v>18131</v>
      </c>
      <c r="B910" s="6">
        <f t="shared" si="169"/>
        <v>181</v>
      </c>
      <c r="C910" s="6">
        <f t="shared" si="178"/>
        <v>5</v>
      </c>
      <c r="D910" s="6" t="str">
        <f t="shared" si="174"/>
        <v>关卡181BOSS2</v>
      </c>
      <c r="E910" s="6">
        <v>527</v>
      </c>
      <c r="G910" s="6" t="s">
        <v>1332</v>
      </c>
      <c r="H910" s="6">
        <f t="shared" si="179"/>
        <v>2</v>
      </c>
      <c r="I910" s="6" t="str">
        <f>IF(VLOOKUP(E910,Sheet2!$W:$AA,5,0)=0,"",VLOOKUP(E910,Sheet2!$W:$AA,5,0))</f>
        <v>[60015]</v>
      </c>
      <c r="J910" s="6">
        <v>0</v>
      </c>
      <c r="K910" s="6">
        <v>0</v>
      </c>
      <c r="L910" s="6" t="str">
        <f>IF(VLOOKUP(E910,Sheet2!$W:$AA,2,0)=0,"",VLOOKUP(E910,Sheet2!$W:$AA,2,0))</f>
        <v/>
      </c>
      <c r="N910" s="6" t="str">
        <f>IF(VLOOKUP(E910,Sheet2!$W:$AA,3,0)=0,"",VLOOKUP(E910,Sheet2!$W:$AA,3,0))</f>
        <v/>
      </c>
      <c r="Q910" s="6" t="str">
        <f>IF(VLOOKUP(E910,Sheet2!$W:$AA,4,0)=0,"",VLOOKUP(E910,Sheet2!$W:$AA,4,0))</f>
        <v/>
      </c>
      <c r="R910" s="8">
        <f t="shared" si="175"/>
        <v>100</v>
      </c>
      <c r="S910" s="8">
        <f t="shared" si="176"/>
        <v>2</v>
      </c>
    </row>
    <row r="911" spans="1:19">
      <c r="A911" s="6">
        <f t="shared" si="177"/>
        <v>18201</v>
      </c>
      <c r="B911" s="6">
        <f t="shared" si="169"/>
        <v>182</v>
      </c>
      <c r="C911" s="6">
        <f t="shared" si="178"/>
        <v>1</v>
      </c>
      <c r="D911" s="6" t="str">
        <f t="shared" si="170"/>
        <v>关卡182怪物1</v>
      </c>
      <c r="E911" s="6">
        <v>101</v>
      </c>
      <c r="G911" s="6" t="s">
        <v>1333</v>
      </c>
      <c r="H911" s="6">
        <f t="shared" si="179"/>
        <v>0</v>
      </c>
      <c r="I911" s="6" t="str">
        <f>IF(VLOOKUP(E911,Sheet2!$W:$AA,5,0)=0,"",VLOOKUP(E911,Sheet2!$W:$AA,5,0))</f>
        <v/>
      </c>
      <c r="J911" s="6">
        <v>0</v>
      </c>
      <c r="K911" s="6">
        <v>0</v>
      </c>
      <c r="L911" s="6" t="str">
        <f>IF(VLOOKUP(E911,Sheet2!$W:$AA,2,0)=0,"",VLOOKUP(E911,Sheet2!$W:$AA,2,0))</f>
        <v/>
      </c>
      <c r="N911" s="6" t="str">
        <f>IF(VLOOKUP(E911,Sheet2!$W:$AA,3,0)=0,"",VLOOKUP(E911,Sheet2!$W:$AA,3,0))</f>
        <v/>
      </c>
      <c r="Q911" s="6" t="str">
        <f>IF(VLOOKUP(E911,Sheet2!$W:$AA,4,0)=0,"",VLOOKUP(E911,Sheet2!$W:$AA,4,0))</f>
        <v/>
      </c>
      <c r="R911" s="8">
        <f t="shared" si="175"/>
        <v>24</v>
      </c>
      <c r="S911" s="8">
        <f t="shared" si="176"/>
        <v>2</v>
      </c>
    </row>
    <row r="912" spans="1:19">
      <c r="A912" s="6">
        <f t="shared" si="177"/>
        <v>18202</v>
      </c>
      <c r="B912" s="6">
        <f t="shared" ref="B912:B975" si="180">B907+1</f>
        <v>182</v>
      </c>
      <c r="C912" s="6">
        <f t="shared" si="178"/>
        <v>2</v>
      </c>
      <c r="D912" s="6" t="str">
        <f t="shared" si="171"/>
        <v>关卡182怪物2</v>
      </c>
      <c r="E912" s="6">
        <v>106</v>
      </c>
      <c r="G912" s="6" t="s">
        <v>1334</v>
      </c>
      <c r="H912" s="6">
        <f t="shared" si="179"/>
        <v>0</v>
      </c>
      <c r="I912" s="6" t="str">
        <f>IF(VLOOKUP(E912,Sheet2!$W:$AA,5,0)=0,"",VLOOKUP(E912,Sheet2!$W:$AA,5,0))</f>
        <v>[60002]</v>
      </c>
      <c r="J912" s="6">
        <v>0</v>
      </c>
      <c r="K912" s="6">
        <v>0</v>
      </c>
      <c r="L912" s="6">
        <f>IF(VLOOKUP(E912,Sheet2!$W:$AA,2,0)=0,"",VLOOKUP(E912,Sheet2!$W:$AA,2,0))</f>
        <v>1</v>
      </c>
      <c r="N912" s="6">
        <f>IF(VLOOKUP(E912,Sheet2!$W:$AA,3,0)=0,"",VLOOKUP(E912,Sheet2!$W:$AA,3,0))</f>
        <v>2002</v>
      </c>
      <c r="Q912" s="6" t="str">
        <f>IF(VLOOKUP(E912,Sheet2!$W:$AA,4,0)=0,"",VLOOKUP(E912,Sheet2!$W:$AA,4,0))</f>
        <v>[{50012,6}]</v>
      </c>
      <c r="R912" s="8">
        <f t="shared" si="175"/>
        <v>24</v>
      </c>
      <c r="S912" s="8">
        <f t="shared" si="176"/>
        <v>2</v>
      </c>
    </row>
    <row r="913" spans="1:19">
      <c r="A913" s="6">
        <f t="shared" si="177"/>
        <v>18203</v>
      </c>
      <c r="B913" s="6">
        <f t="shared" si="180"/>
        <v>182</v>
      </c>
      <c r="C913" s="6">
        <f t="shared" si="178"/>
        <v>3</v>
      </c>
      <c r="D913" s="6" t="str">
        <f t="shared" si="172"/>
        <v>关卡182怪物3</v>
      </c>
      <c r="E913" s="6">
        <v>106</v>
      </c>
      <c r="G913" s="6" t="s">
        <v>1335</v>
      </c>
      <c r="H913" s="6">
        <f t="shared" si="179"/>
        <v>0</v>
      </c>
      <c r="I913" s="6" t="str">
        <f>IF(VLOOKUP(E913,Sheet2!$W:$AA,5,0)=0,"",VLOOKUP(E913,Sheet2!$W:$AA,5,0))</f>
        <v>[60002]</v>
      </c>
      <c r="J913" s="6">
        <v>0</v>
      </c>
      <c r="K913" s="6">
        <v>0</v>
      </c>
      <c r="L913" s="6">
        <f>IF(VLOOKUP(E913,Sheet2!$W:$AA,2,0)=0,"",VLOOKUP(E913,Sheet2!$W:$AA,2,0))</f>
        <v>1</v>
      </c>
      <c r="N913" s="6">
        <f>IF(VLOOKUP(E913,Sheet2!$W:$AA,3,0)=0,"",VLOOKUP(E913,Sheet2!$W:$AA,3,0))</f>
        <v>2002</v>
      </c>
      <c r="Q913" s="6" t="str">
        <f>IF(VLOOKUP(E913,Sheet2!$W:$AA,4,0)=0,"",VLOOKUP(E913,Sheet2!$W:$AA,4,0))</f>
        <v>[{50012,6}]</v>
      </c>
      <c r="R913" s="8">
        <f t="shared" si="175"/>
        <v>24</v>
      </c>
      <c r="S913" s="8">
        <f t="shared" si="176"/>
        <v>2</v>
      </c>
    </row>
    <row r="914" spans="1:19">
      <c r="A914" s="6">
        <f t="shared" si="177"/>
        <v>18221</v>
      </c>
      <c r="B914" s="6">
        <f t="shared" si="180"/>
        <v>182</v>
      </c>
      <c r="C914" s="6">
        <f t="shared" si="178"/>
        <v>4</v>
      </c>
      <c r="D914" s="6" t="str">
        <f t="shared" si="173"/>
        <v>关卡182BOSS1</v>
      </c>
      <c r="E914" s="6">
        <v>501</v>
      </c>
      <c r="G914" s="6" t="s">
        <v>1336</v>
      </c>
      <c r="H914" s="6">
        <f t="shared" si="179"/>
        <v>2</v>
      </c>
      <c r="I914" s="6" t="str">
        <f>IF(VLOOKUP(E914,Sheet2!$W:$AA,5,0)=0,"",VLOOKUP(E914,Sheet2!$W:$AA,5,0))</f>
        <v/>
      </c>
      <c r="J914" s="6">
        <v>0</v>
      </c>
      <c r="K914" s="6">
        <v>0</v>
      </c>
      <c r="L914" s="6" t="str">
        <f>IF(VLOOKUP(E914,Sheet2!$W:$AA,2,0)=0,"",VLOOKUP(E914,Sheet2!$W:$AA,2,0))</f>
        <v/>
      </c>
      <c r="N914" s="6" t="str">
        <f>IF(VLOOKUP(E914,Sheet2!$W:$AA,3,0)=0,"",VLOOKUP(E914,Sheet2!$W:$AA,3,0))</f>
        <v/>
      </c>
      <c r="Q914" s="6" t="str">
        <f>IF(VLOOKUP(E914,Sheet2!$W:$AA,4,0)=0,"",VLOOKUP(E914,Sheet2!$W:$AA,4,0))</f>
        <v/>
      </c>
      <c r="R914" s="8">
        <f t="shared" si="175"/>
        <v>100</v>
      </c>
      <c r="S914" s="8">
        <f t="shared" si="176"/>
        <v>2</v>
      </c>
    </row>
    <row r="915" spans="1:19">
      <c r="A915" s="6">
        <f t="shared" si="177"/>
        <v>18231</v>
      </c>
      <c r="B915" s="6">
        <f t="shared" si="180"/>
        <v>182</v>
      </c>
      <c r="C915" s="6">
        <f t="shared" si="178"/>
        <v>5</v>
      </c>
      <c r="D915" s="6" t="str">
        <f t="shared" si="174"/>
        <v>关卡182BOSS2</v>
      </c>
      <c r="E915" s="6">
        <v>501</v>
      </c>
      <c r="G915" s="6" t="s">
        <v>1337</v>
      </c>
      <c r="H915" s="6">
        <f t="shared" si="179"/>
        <v>2</v>
      </c>
      <c r="I915" s="6" t="str">
        <f>IF(VLOOKUP(E915,Sheet2!$W:$AA,5,0)=0,"",VLOOKUP(E915,Sheet2!$W:$AA,5,0))</f>
        <v/>
      </c>
      <c r="J915" s="6">
        <v>0</v>
      </c>
      <c r="K915" s="6">
        <v>0</v>
      </c>
      <c r="L915" s="6" t="str">
        <f>IF(VLOOKUP(E915,Sheet2!$W:$AA,2,0)=0,"",VLOOKUP(E915,Sheet2!$W:$AA,2,0))</f>
        <v/>
      </c>
      <c r="N915" s="6" t="str">
        <f>IF(VLOOKUP(E915,Sheet2!$W:$AA,3,0)=0,"",VLOOKUP(E915,Sheet2!$W:$AA,3,0))</f>
        <v/>
      </c>
      <c r="Q915" s="6" t="str">
        <f>IF(VLOOKUP(E915,Sheet2!$W:$AA,4,0)=0,"",VLOOKUP(E915,Sheet2!$W:$AA,4,0))</f>
        <v/>
      </c>
      <c r="R915" s="8">
        <f t="shared" si="175"/>
        <v>100</v>
      </c>
      <c r="S915" s="8">
        <f t="shared" si="176"/>
        <v>2</v>
      </c>
    </row>
    <row r="916" spans="1:19">
      <c r="A916" s="6">
        <f t="shared" si="177"/>
        <v>18301</v>
      </c>
      <c r="B916" s="6">
        <f t="shared" si="180"/>
        <v>183</v>
      </c>
      <c r="C916" s="6">
        <f t="shared" si="178"/>
        <v>1</v>
      </c>
      <c r="D916" s="6" t="str">
        <f t="shared" si="170"/>
        <v>关卡183怪物1</v>
      </c>
      <c r="E916" s="6">
        <v>108</v>
      </c>
      <c r="G916" s="6" t="s">
        <v>1338</v>
      </c>
      <c r="H916" s="6">
        <f t="shared" si="179"/>
        <v>0</v>
      </c>
      <c r="I916" s="6" t="str">
        <f>IF(VLOOKUP(E916,Sheet2!$W:$AA,5,0)=0,"",VLOOKUP(E916,Sheet2!$W:$AA,5,0))</f>
        <v/>
      </c>
      <c r="J916" s="6">
        <v>0</v>
      </c>
      <c r="K916" s="6">
        <v>0</v>
      </c>
      <c r="L916" s="6" t="str">
        <f>IF(VLOOKUP(E916,Sheet2!$W:$AA,2,0)=0,"",VLOOKUP(E916,Sheet2!$W:$AA,2,0))</f>
        <v/>
      </c>
      <c r="N916" s="6" t="str">
        <f>IF(VLOOKUP(E916,Sheet2!$W:$AA,3,0)=0,"",VLOOKUP(E916,Sheet2!$W:$AA,3,0))</f>
        <v/>
      </c>
      <c r="Q916" s="6" t="str">
        <f>IF(VLOOKUP(E916,Sheet2!$W:$AA,4,0)=0,"",VLOOKUP(E916,Sheet2!$W:$AA,4,0))</f>
        <v/>
      </c>
      <c r="R916" s="8">
        <f t="shared" si="175"/>
        <v>24</v>
      </c>
      <c r="S916" s="8">
        <f t="shared" si="176"/>
        <v>2</v>
      </c>
    </row>
    <row r="917" spans="1:19">
      <c r="A917" s="6">
        <f t="shared" si="177"/>
        <v>18302</v>
      </c>
      <c r="B917" s="6">
        <f t="shared" si="180"/>
        <v>183</v>
      </c>
      <c r="C917" s="6">
        <f t="shared" si="178"/>
        <v>2</v>
      </c>
      <c r="D917" s="6" t="str">
        <f t="shared" si="171"/>
        <v>关卡183怪物2</v>
      </c>
      <c r="E917" s="6">
        <v>107</v>
      </c>
      <c r="G917" s="6" t="s">
        <v>1339</v>
      </c>
      <c r="H917" s="6">
        <f t="shared" si="179"/>
        <v>0</v>
      </c>
      <c r="I917" s="6" t="str">
        <f>IF(VLOOKUP(E917,Sheet2!$W:$AA,5,0)=0,"",VLOOKUP(E917,Sheet2!$W:$AA,5,0))</f>
        <v>[60004]</v>
      </c>
      <c r="J917" s="6">
        <v>0</v>
      </c>
      <c r="K917" s="6">
        <v>0</v>
      </c>
      <c r="L917" s="6">
        <f>IF(VLOOKUP(E917,Sheet2!$W:$AA,2,0)=0,"",VLOOKUP(E917,Sheet2!$W:$AA,2,0))</f>
        <v>1</v>
      </c>
      <c r="N917" s="6" t="str">
        <f>IF(VLOOKUP(E917,Sheet2!$W:$AA,3,0)=0,"",VLOOKUP(E917,Sheet2!$W:$AA,3,0))</f>
        <v/>
      </c>
      <c r="Q917" s="6" t="str">
        <f>IF(VLOOKUP(E917,Sheet2!$W:$AA,4,0)=0,"",VLOOKUP(E917,Sheet2!$W:$AA,4,0))</f>
        <v>[{50013,6}]</v>
      </c>
      <c r="R917" s="8">
        <f t="shared" si="175"/>
        <v>24</v>
      </c>
      <c r="S917" s="8">
        <f t="shared" si="176"/>
        <v>2</v>
      </c>
    </row>
    <row r="918" spans="1:19">
      <c r="A918" s="6">
        <f t="shared" si="177"/>
        <v>18303</v>
      </c>
      <c r="B918" s="6">
        <f t="shared" si="180"/>
        <v>183</v>
      </c>
      <c r="C918" s="6">
        <f t="shared" si="178"/>
        <v>3</v>
      </c>
      <c r="D918" s="6" t="str">
        <f t="shared" si="172"/>
        <v>关卡183怪物3</v>
      </c>
      <c r="E918" s="6">
        <v>109</v>
      </c>
      <c r="G918" s="6" t="s">
        <v>1340</v>
      </c>
      <c r="H918" s="6">
        <f t="shared" si="179"/>
        <v>0</v>
      </c>
      <c r="I918" s="6" t="str">
        <f>IF(VLOOKUP(E918,Sheet2!$W:$AA,5,0)=0,"",VLOOKUP(E918,Sheet2!$W:$AA,5,0))</f>
        <v/>
      </c>
      <c r="J918" s="6">
        <v>0</v>
      </c>
      <c r="K918" s="6">
        <v>0</v>
      </c>
      <c r="L918" s="6">
        <f>IF(VLOOKUP(E918,Sheet2!$W:$AA,2,0)=0,"",VLOOKUP(E918,Sheet2!$W:$AA,2,0))</f>
        <v>1</v>
      </c>
      <c r="N918" s="6" t="str">
        <f>IF(VLOOKUP(E918,Sheet2!$W:$AA,3,0)=0,"",VLOOKUP(E918,Sheet2!$W:$AA,3,0))</f>
        <v/>
      </c>
      <c r="Q918" s="6" t="str">
        <f>IF(VLOOKUP(E918,Sheet2!$W:$AA,4,0)=0,"",VLOOKUP(E918,Sheet2!$W:$AA,4,0))</f>
        <v>[{50014,6}]</v>
      </c>
      <c r="R918" s="8">
        <f t="shared" si="175"/>
        <v>24</v>
      </c>
      <c r="S918" s="8">
        <f t="shared" si="176"/>
        <v>2</v>
      </c>
    </row>
    <row r="919" spans="1:19">
      <c r="A919" s="6">
        <f t="shared" si="177"/>
        <v>18321</v>
      </c>
      <c r="B919" s="6">
        <f t="shared" si="180"/>
        <v>183</v>
      </c>
      <c r="C919" s="6">
        <f t="shared" si="178"/>
        <v>4</v>
      </c>
      <c r="D919" s="6" t="str">
        <f t="shared" si="173"/>
        <v>关卡183BOSS1</v>
      </c>
      <c r="E919" s="6">
        <v>508</v>
      </c>
      <c r="G919" s="6" t="s">
        <v>1341</v>
      </c>
      <c r="H919" s="6">
        <f t="shared" si="179"/>
        <v>2</v>
      </c>
      <c r="I919" s="6" t="str">
        <f>IF(VLOOKUP(E919,Sheet2!$W:$AA,5,0)=0,"",VLOOKUP(E919,Sheet2!$W:$AA,5,0))</f>
        <v/>
      </c>
      <c r="J919" s="6">
        <v>0</v>
      </c>
      <c r="K919" s="6">
        <v>0</v>
      </c>
      <c r="L919" s="6" t="str">
        <f>IF(VLOOKUP(E919,Sheet2!$W:$AA,2,0)=0,"",VLOOKUP(E919,Sheet2!$W:$AA,2,0))</f>
        <v/>
      </c>
      <c r="N919" s="6" t="str">
        <f>IF(VLOOKUP(E919,Sheet2!$W:$AA,3,0)=0,"",VLOOKUP(E919,Sheet2!$W:$AA,3,0))</f>
        <v/>
      </c>
      <c r="Q919" s="6" t="str">
        <f>IF(VLOOKUP(E919,Sheet2!$W:$AA,4,0)=0,"",VLOOKUP(E919,Sheet2!$W:$AA,4,0))</f>
        <v/>
      </c>
      <c r="R919" s="8">
        <f t="shared" si="175"/>
        <v>100</v>
      </c>
      <c r="S919" s="8">
        <f t="shared" si="176"/>
        <v>2</v>
      </c>
    </row>
    <row r="920" spans="1:19">
      <c r="A920" s="6">
        <f t="shared" si="177"/>
        <v>18331</v>
      </c>
      <c r="B920" s="6">
        <f t="shared" si="180"/>
        <v>183</v>
      </c>
      <c r="C920" s="6">
        <f t="shared" si="178"/>
        <v>5</v>
      </c>
      <c r="D920" s="6" t="str">
        <f t="shared" si="174"/>
        <v>关卡183BOSS2</v>
      </c>
      <c r="E920" s="6">
        <v>508</v>
      </c>
      <c r="G920" s="6" t="s">
        <v>1342</v>
      </c>
      <c r="H920" s="6">
        <f t="shared" si="179"/>
        <v>2</v>
      </c>
      <c r="I920" s="6" t="str">
        <f>IF(VLOOKUP(E920,Sheet2!$W:$AA,5,0)=0,"",VLOOKUP(E920,Sheet2!$W:$AA,5,0))</f>
        <v/>
      </c>
      <c r="J920" s="6">
        <v>0</v>
      </c>
      <c r="K920" s="6">
        <v>0</v>
      </c>
      <c r="L920" s="6" t="str">
        <f>IF(VLOOKUP(E920,Sheet2!$W:$AA,2,0)=0,"",VLOOKUP(E920,Sheet2!$W:$AA,2,0))</f>
        <v/>
      </c>
      <c r="N920" s="6" t="str">
        <f>IF(VLOOKUP(E920,Sheet2!$W:$AA,3,0)=0,"",VLOOKUP(E920,Sheet2!$W:$AA,3,0))</f>
        <v/>
      </c>
      <c r="Q920" s="6" t="str">
        <f>IF(VLOOKUP(E920,Sheet2!$W:$AA,4,0)=0,"",VLOOKUP(E920,Sheet2!$W:$AA,4,0))</f>
        <v/>
      </c>
      <c r="R920" s="8">
        <f t="shared" si="175"/>
        <v>100</v>
      </c>
      <c r="S920" s="8">
        <f t="shared" si="176"/>
        <v>2</v>
      </c>
    </row>
    <row r="921" spans="1:19">
      <c r="A921" s="6">
        <f t="shared" si="177"/>
        <v>18401</v>
      </c>
      <c r="B921" s="6">
        <f t="shared" si="180"/>
        <v>184</v>
      </c>
      <c r="C921" s="6">
        <f t="shared" si="178"/>
        <v>1</v>
      </c>
      <c r="D921" s="6" t="str">
        <f t="shared" ref="D921:D951" si="181">"关卡"&amp;B921&amp;"怪物1"</f>
        <v>关卡184怪物1</v>
      </c>
      <c r="E921" s="6">
        <v>100</v>
      </c>
      <c r="G921" s="6" t="s">
        <v>1343</v>
      </c>
      <c r="H921" s="6">
        <f t="shared" si="179"/>
        <v>0</v>
      </c>
      <c r="I921" s="6" t="str">
        <f>IF(VLOOKUP(E921,Sheet2!$W:$AA,5,0)=0,"",VLOOKUP(E921,Sheet2!$W:$AA,5,0))</f>
        <v>[60002]</v>
      </c>
      <c r="J921" s="6">
        <v>0</v>
      </c>
      <c r="K921" s="6">
        <v>0</v>
      </c>
      <c r="L921" s="6" t="str">
        <f>IF(VLOOKUP(E921,Sheet2!$W:$AA,2,0)=0,"",VLOOKUP(E921,Sheet2!$W:$AA,2,0))</f>
        <v/>
      </c>
      <c r="N921" s="6">
        <f>IF(VLOOKUP(E921,Sheet2!$W:$AA,3,0)=0,"",VLOOKUP(E921,Sheet2!$W:$AA,3,0))</f>
        <v>2001</v>
      </c>
      <c r="Q921" s="6" t="str">
        <f>IF(VLOOKUP(E921,Sheet2!$W:$AA,4,0)=0,"",VLOOKUP(E921,Sheet2!$W:$AA,4,0))</f>
        <v/>
      </c>
      <c r="R921" s="8">
        <f t="shared" si="175"/>
        <v>24</v>
      </c>
      <c r="S921" s="8">
        <f t="shared" si="176"/>
        <v>2</v>
      </c>
    </row>
    <row r="922" spans="1:19">
      <c r="A922" s="6">
        <f t="shared" si="177"/>
        <v>18402</v>
      </c>
      <c r="B922" s="6">
        <f t="shared" si="180"/>
        <v>184</v>
      </c>
      <c r="C922" s="6">
        <f t="shared" si="178"/>
        <v>2</v>
      </c>
      <c r="D922" s="6" t="str">
        <f t="shared" ref="D922:D952" si="182">"关卡"&amp;B922&amp;"怪物2"</f>
        <v>关卡184怪物2</v>
      </c>
      <c r="E922" s="6">
        <v>102</v>
      </c>
      <c r="G922" s="6" t="s">
        <v>1344</v>
      </c>
      <c r="H922" s="6">
        <f t="shared" si="179"/>
        <v>0</v>
      </c>
      <c r="I922" s="6" t="str">
        <f>IF(VLOOKUP(E922,Sheet2!$W:$AA,5,0)=0,"",VLOOKUP(E922,Sheet2!$W:$AA,5,0))</f>
        <v/>
      </c>
      <c r="J922" s="6">
        <v>0</v>
      </c>
      <c r="K922" s="6">
        <v>0</v>
      </c>
      <c r="L922" s="6">
        <f>IF(VLOOKUP(E922,Sheet2!$W:$AA,2,0)=0,"",VLOOKUP(E922,Sheet2!$W:$AA,2,0))</f>
        <v>1</v>
      </c>
      <c r="N922" s="6" t="str">
        <f>IF(VLOOKUP(E922,Sheet2!$W:$AA,3,0)=0,"",VLOOKUP(E922,Sheet2!$W:$AA,3,0))</f>
        <v/>
      </c>
      <c r="Q922" s="6" t="str">
        <f>IF(VLOOKUP(E922,Sheet2!$W:$AA,4,0)=0,"",VLOOKUP(E922,Sheet2!$W:$AA,4,0))</f>
        <v>[{50011,6}]</v>
      </c>
      <c r="R922" s="8">
        <f t="shared" si="175"/>
        <v>24</v>
      </c>
      <c r="S922" s="8">
        <f t="shared" si="176"/>
        <v>2</v>
      </c>
    </row>
    <row r="923" spans="1:19">
      <c r="A923" s="6">
        <f t="shared" si="177"/>
        <v>18403</v>
      </c>
      <c r="B923" s="6">
        <f t="shared" si="180"/>
        <v>184</v>
      </c>
      <c r="C923" s="6">
        <f t="shared" si="178"/>
        <v>3</v>
      </c>
      <c r="D923" s="6" t="str">
        <f t="shared" ref="D923:D953" si="183">"关卡"&amp;B923&amp;"怪物3"</f>
        <v>关卡184怪物3</v>
      </c>
      <c r="E923" s="6">
        <v>105</v>
      </c>
      <c r="G923" s="6" t="s">
        <v>1345</v>
      </c>
      <c r="H923" s="6">
        <f t="shared" si="179"/>
        <v>0</v>
      </c>
      <c r="I923" s="6" t="str">
        <f>IF(VLOOKUP(E923,Sheet2!$W:$AA,5,0)=0,"",VLOOKUP(E923,Sheet2!$W:$AA,5,0))</f>
        <v>[60003]</v>
      </c>
      <c r="J923" s="6">
        <v>0</v>
      </c>
      <c r="K923" s="6">
        <v>0</v>
      </c>
      <c r="L923" s="6" t="str">
        <f>IF(VLOOKUP(E923,Sheet2!$W:$AA,2,0)=0,"",VLOOKUP(E923,Sheet2!$W:$AA,2,0))</f>
        <v/>
      </c>
      <c r="N923" s="6" t="str">
        <f>IF(VLOOKUP(E923,Sheet2!$W:$AA,3,0)=0,"",VLOOKUP(E923,Sheet2!$W:$AA,3,0))</f>
        <v/>
      </c>
      <c r="Q923" s="6" t="str">
        <f>IF(VLOOKUP(E923,Sheet2!$W:$AA,4,0)=0,"",VLOOKUP(E923,Sheet2!$W:$AA,4,0))</f>
        <v/>
      </c>
      <c r="R923" s="8">
        <f t="shared" si="175"/>
        <v>24</v>
      </c>
      <c r="S923" s="8">
        <f t="shared" si="176"/>
        <v>2</v>
      </c>
    </row>
    <row r="924" spans="1:19">
      <c r="A924" s="6">
        <f t="shared" si="177"/>
        <v>18421</v>
      </c>
      <c r="B924" s="6">
        <f t="shared" si="180"/>
        <v>184</v>
      </c>
      <c r="C924" s="6">
        <f t="shared" si="178"/>
        <v>4</v>
      </c>
      <c r="D924" s="6" t="str">
        <f t="shared" ref="D924:D954" si="184">"关卡"&amp;B924&amp;"BOSS1"</f>
        <v>关卡184BOSS1</v>
      </c>
      <c r="E924" s="6">
        <v>502</v>
      </c>
      <c r="G924" s="6" t="s">
        <v>1346</v>
      </c>
      <c r="H924" s="6">
        <f t="shared" si="179"/>
        <v>2</v>
      </c>
      <c r="I924" s="6" t="str">
        <f>IF(VLOOKUP(E924,Sheet2!$W:$AA,5,0)=0,"",VLOOKUP(E924,Sheet2!$W:$AA,5,0))</f>
        <v/>
      </c>
      <c r="J924" s="6">
        <v>0</v>
      </c>
      <c r="K924" s="6">
        <v>0</v>
      </c>
      <c r="L924" s="6">
        <f>IF(VLOOKUP(E924,Sheet2!$W:$AA,2,0)=0,"",VLOOKUP(E924,Sheet2!$W:$AA,2,0))</f>
        <v>1</v>
      </c>
      <c r="N924" s="6" t="str">
        <f>IF(VLOOKUP(E924,Sheet2!$W:$AA,3,0)=0,"",VLOOKUP(E924,Sheet2!$W:$AA,3,0))</f>
        <v/>
      </c>
      <c r="Q924" s="6" t="str">
        <f>IF(VLOOKUP(E924,Sheet2!$W:$AA,4,0)=0,"",VLOOKUP(E924,Sheet2!$W:$AA,4,0))</f>
        <v>[{50021,6}]</v>
      </c>
      <c r="R924" s="8">
        <f t="shared" si="175"/>
        <v>100</v>
      </c>
      <c r="S924" s="8">
        <f t="shared" si="176"/>
        <v>2</v>
      </c>
    </row>
    <row r="925" spans="1:19">
      <c r="A925" s="6">
        <f t="shared" si="177"/>
        <v>18431</v>
      </c>
      <c r="B925" s="6">
        <f t="shared" si="180"/>
        <v>184</v>
      </c>
      <c r="C925" s="6">
        <f t="shared" si="178"/>
        <v>5</v>
      </c>
      <c r="D925" s="6" t="str">
        <f t="shared" ref="D925:D955" si="185">"关卡"&amp;B925&amp;"BOSS2"</f>
        <v>关卡184BOSS2</v>
      </c>
      <c r="E925" s="6">
        <v>500</v>
      </c>
      <c r="G925" s="6" t="s">
        <v>1347</v>
      </c>
      <c r="H925" s="6">
        <f t="shared" si="179"/>
        <v>2</v>
      </c>
      <c r="I925" s="6" t="str">
        <f>IF(VLOOKUP(E925,Sheet2!$W:$AA,5,0)=0,"",VLOOKUP(E925,Sheet2!$W:$AA,5,0))</f>
        <v>[60002]</v>
      </c>
      <c r="J925" s="6">
        <v>0</v>
      </c>
      <c r="K925" s="6">
        <v>0</v>
      </c>
      <c r="L925" s="6" t="str">
        <f>IF(VLOOKUP(E925,Sheet2!$W:$AA,2,0)=0,"",VLOOKUP(E925,Sheet2!$W:$AA,2,0))</f>
        <v/>
      </c>
      <c r="N925" s="6">
        <f>IF(VLOOKUP(E925,Sheet2!$W:$AA,3,0)=0,"",VLOOKUP(E925,Sheet2!$W:$AA,3,0))</f>
        <v>2001</v>
      </c>
      <c r="Q925" s="6" t="str">
        <f>IF(VLOOKUP(E925,Sheet2!$W:$AA,4,0)=0,"",VLOOKUP(E925,Sheet2!$W:$AA,4,0))</f>
        <v/>
      </c>
      <c r="R925" s="8">
        <f t="shared" si="175"/>
        <v>100</v>
      </c>
      <c r="S925" s="8">
        <f t="shared" si="176"/>
        <v>2</v>
      </c>
    </row>
    <row r="926" spans="1:19">
      <c r="A926" s="6">
        <f t="shared" si="177"/>
        <v>18501</v>
      </c>
      <c r="B926" s="6">
        <f t="shared" si="180"/>
        <v>185</v>
      </c>
      <c r="C926" s="6">
        <f t="shared" si="178"/>
        <v>1</v>
      </c>
      <c r="D926" s="6" t="str">
        <f t="shared" si="181"/>
        <v>关卡185怪物1</v>
      </c>
      <c r="E926" s="6">
        <v>115</v>
      </c>
      <c r="G926" s="6" t="s">
        <v>1348</v>
      </c>
      <c r="H926" s="6">
        <f t="shared" si="179"/>
        <v>0</v>
      </c>
      <c r="I926" s="6" t="str">
        <f>IF(VLOOKUP(E926,Sheet2!$W:$AA,5,0)=0,"",VLOOKUP(E926,Sheet2!$W:$AA,5,0))</f>
        <v/>
      </c>
      <c r="J926" s="6">
        <v>0</v>
      </c>
      <c r="K926" s="6">
        <v>0</v>
      </c>
      <c r="L926" s="6" t="str">
        <f>IF(VLOOKUP(E926,Sheet2!$W:$AA,2,0)=0,"",VLOOKUP(E926,Sheet2!$W:$AA,2,0))</f>
        <v/>
      </c>
      <c r="N926" s="6" t="str">
        <f>IF(VLOOKUP(E926,Sheet2!$W:$AA,3,0)=0,"",VLOOKUP(E926,Sheet2!$W:$AA,3,0))</f>
        <v/>
      </c>
      <c r="Q926" s="6" t="str">
        <f>IF(VLOOKUP(E926,Sheet2!$W:$AA,4,0)=0,"",VLOOKUP(E926,Sheet2!$W:$AA,4,0))</f>
        <v/>
      </c>
      <c r="R926" s="8">
        <f t="shared" si="175"/>
        <v>24</v>
      </c>
      <c r="S926" s="8">
        <f t="shared" si="176"/>
        <v>2</v>
      </c>
    </row>
    <row r="927" spans="1:19">
      <c r="A927" s="6">
        <f t="shared" si="177"/>
        <v>18502</v>
      </c>
      <c r="B927" s="6">
        <f t="shared" si="180"/>
        <v>185</v>
      </c>
      <c r="C927" s="6">
        <f t="shared" si="178"/>
        <v>2</v>
      </c>
      <c r="D927" s="6" t="str">
        <f t="shared" si="182"/>
        <v>关卡185怪物2</v>
      </c>
      <c r="E927" s="6">
        <v>112</v>
      </c>
      <c r="G927" s="6" t="s">
        <v>1349</v>
      </c>
      <c r="H927" s="6">
        <f t="shared" si="179"/>
        <v>0</v>
      </c>
      <c r="I927" s="6" t="str">
        <f>IF(VLOOKUP(E927,Sheet2!$W:$AA,5,0)=0,"",VLOOKUP(E927,Sheet2!$W:$AA,5,0))</f>
        <v/>
      </c>
      <c r="J927" s="6">
        <v>0</v>
      </c>
      <c r="K927" s="6">
        <v>0</v>
      </c>
      <c r="L927" s="6">
        <f>IF(VLOOKUP(E927,Sheet2!$W:$AA,2,0)=0,"",VLOOKUP(E927,Sheet2!$W:$AA,2,0))</f>
        <v>1</v>
      </c>
      <c r="N927" s="6" t="str">
        <f>IF(VLOOKUP(E927,Sheet2!$W:$AA,3,0)=0,"",VLOOKUP(E927,Sheet2!$W:$AA,3,0))</f>
        <v/>
      </c>
      <c r="Q927" s="6" t="str">
        <f>IF(VLOOKUP(E927,Sheet2!$W:$AA,4,0)=0,"",VLOOKUP(E927,Sheet2!$W:$AA,4,0))</f>
        <v>[{50015,6}]</v>
      </c>
      <c r="R927" s="8">
        <f t="shared" si="175"/>
        <v>24</v>
      </c>
      <c r="S927" s="8">
        <f t="shared" si="176"/>
        <v>2</v>
      </c>
    </row>
    <row r="928" spans="1:19">
      <c r="A928" s="6">
        <f t="shared" si="177"/>
        <v>18503</v>
      </c>
      <c r="B928" s="6">
        <f t="shared" si="180"/>
        <v>185</v>
      </c>
      <c r="C928" s="6">
        <f t="shared" si="178"/>
        <v>3</v>
      </c>
      <c r="D928" s="6" t="str">
        <f t="shared" si="183"/>
        <v>关卡185怪物3</v>
      </c>
      <c r="E928" s="6">
        <v>113</v>
      </c>
      <c r="G928" s="6" t="s">
        <v>1350</v>
      </c>
      <c r="H928" s="6">
        <f t="shared" si="179"/>
        <v>0</v>
      </c>
      <c r="I928" s="6" t="str">
        <f>IF(VLOOKUP(E928,Sheet2!$W:$AA,5,0)=0,"",VLOOKUP(E928,Sheet2!$W:$AA,5,0))</f>
        <v>[60005]</v>
      </c>
      <c r="J928" s="6">
        <v>0</v>
      </c>
      <c r="K928" s="6">
        <v>0</v>
      </c>
      <c r="L928" s="6">
        <f>IF(VLOOKUP(E928,Sheet2!$W:$AA,2,0)=0,"",VLOOKUP(E928,Sheet2!$W:$AA,2,0))</f>
        <v>1</v>
      </c>
      <c r="N928" s="6" t="str">
        <f>IF(VLOOKUP(E928,Sheet2!$W:$AA,3,0)=0,"",VLOOKUP(E928,Sheet2!$W:$AA,3,0))</f>
        <v/>
      </c>
      <c r="Q928" s="6" t="str">
        <f>IF(VLOOKUP(E928,Sheet2!$W:$AA,4,0)=0,"",VLOOKUP(E928,Sheet2!$W:$AA,4,0))</f>
        <v>[{50016,6}]</v>
      </c>
      <c r="R928" s="8">
        <f t="shared" si="175"/>
        <v>24</v>
      </c>
      <c r="S928" s="8">
        <f t="shared" si="176"/>
        <v>2</v>
      </c>
    </row>
    <row r="929" spans="1:19">
      <c r="A929" s="6">
        <f t="shared" si="177"/>
        <v>18521</v>
      </c>
      <c r="B929" s="6">
        <f t="shared" si="180"/>
        <v>185</v>
      </c>
      <c r="C929" s="6">
        <f t="shared" si="178"/>
        <v>4</v>
      </c>
      <c r="D929" s="6" t="str">
        <f t="shared" si="184"/>
        <v>关卡185BOSS1</v>
      </c>
      <c r="E929" s="6">
        <v>515</v>
      </c>
      <c r="G929" s="6" t="s">
        <v>1351</v>
      </c>
      <c r="H929" s="6">
        <f t="shared" si="179"/>
        <v>2</v>
      </c>
      <c r="I929" s="6" t="str">
        <f>IF(VLOOKUP(E929,Sheet2!$W:$AA,5,0)=0,"",VLOOKUP(E929,Sheet2!$W:$AA,5,0))</f>
        <v/>
      </c>
      <c r="J929" s="6">
        <v>0</v>
      </c>
      <c r="K929" s="6">
        <v>0</v>
      </c>
      <c r="L929" s="6" t="str">
        <f>IF(VLOOKUP(E929,Sheet2!$W:$AA,2,0)=0,"",VLOOKUP(E929,Sheet2!$W:$AA,2,0))</f>
        <v/>
      </c>
      <c r="N929" s="6" t="str">
        <f>IF(VLOOKUP(E929,Sheet2!$W:$AA,3,0)=0,"",VLOOKUP(E929,Sheet2!$W:$AA,3,0))</f>
        <v/>
      </c>
      <c r="Q929" s="6" t="str">
        <f>IF(VLOOKUP(E929,Sheet2!$W:$AA,4,0)=0,"",VLOOKUP(E929,Sheet2!$W:$AA,4,0))</f>
        <v/>
      </c>
      <c r="R929" s="8">
        <f t="shared" si="175"/>
        <v>100</v>
      </c>
      <c r="S929" s="8">
        <f t="shared" si="176"/>
        <v>2</v>
      </c>
    </row>
    <row r="930" spans="1:19">
      <c r="A930" s="6">
        <f t="shared" si="177"/>
        <v>18531</v>
      </c>
      <c r="B930" s="6">
        <f t="shared" si="180"/>
        <v>185</v>
      </c>
      <c r="C930" s="6">
        <f t="shared" si="178"/>
        <v>5</v>
      </c>
      <c r="D930" s="6" t="str">
        <f t="shared" si="185"/>
        <v>关卡185BOSS2</v>
      </c>
      <c r="E930" s="6">
        <v>515</v>
      </c>
      <c r="G930" s="6" t="s">
        <v>1352</v>
      </c>
      <c r="H930" s="6">
        <f t="shared" si="179"/>
        <v>2</v>
      </c>
      <c r="I930" s="6" t="str">
        <f>IF(VLOOKUP(E930,Sheet2!$W:$AA,5,0)=0,"",VLOOKUP(E930,Sheet2!$W:$AA,5,0))</f>
        <v/>
      </c>
      <c r="J930" s="6">
        <v>0</v>
      </c>
      <c r="K930" s="6">
        <v>0</v>
      </c>
      <c r="L930" s="6" t="str">
        <f>IF(VLOOKUP(E930,Sheet2!$W:$AA,2,0)=0,"",VLOOKUP(E930,Sheet2!$W:$AA,2,0))</f>
        <v/>
      </c>
      <c r="N930" s="6" t="str">
        <f>IF(VLOOKUP(E930,Sheet2!$W:$AA,3,0)=0,"",VLOOKUP(E930,Sheet2!$W:$AA,3,0))</f>
        <v/>
      </c>
      <c r="Q930" s="6" t="str">
        <f>IF(VLOOKUP(E930,Sheet2!$W:$AA,4,0)=0,"",VLOOKUP(E930,Sheet2!$W:$AA,4,0))</f>
        <v/>
      </c>
      <c r="R930" s="8">
        <f t="shared" si="175"/>
        <v>100</v>
      </c>
      <c r="S930" s="8">
        <f t="shared" si="176"/>
        <v>2</v>
      </c>
    </row>
    <row r="931" spans="1:19">
      <c r="A931" s="6">
        <f t="shared" si="177"/>
        <v>18601</v>
      </c>
      <c r="B931" s="6">
        <f t="shared" si="180"/>
        <v>186</v>
      </c>
      <c r="C931" s="6">
        <f t="shared" si="178"/>
        <v>1</v>
      </c>
      <c r="D931" s="6" t="str">
        <f t="shared" si="181"/>
        <v>关卡186怪物1</v>
      </c>
      <c r="E931" s="6">
        <v>110</v>
      </c>
      <c r="G931" s="6" t="s">
        <v>1353</v>
      </c>
      <c r="H931" s="6">
        <f t="shared" si="179"/>
        <v>0</v>
      </c>
      <c r="I931" s="6" t="str">
        <f>IF(VLOOKUP(E931,Sheet2!$W:$AA,5,0)=0,"",VLOOKUP(E931,Sheet2!$W:$AA,5,0))</f>
        <v/>
      </c>
      <c r="J931" s="6">
        <v>0</v>
      </c>
      <c r="K931" s="6">
        <v>0</v>
      </c>
      <c r="L931" s="6" t="str">
        <f>IF(VLOOKUP(E931,Sheet2!$W:$AA,2,0)=0,"",VLOOKUP(E931,Sheet2!$W:$AA,2,0))</f>
        <v/>
      </c>
      <c r="N931" s="6" t="str">
        <f>IF(VLOOKUP(E931,Sheet2!$W:$AA,3,0)=0,"",VLOOKUP(E931,Sheet2!$W:$AA,3,0))</f>
        <v/>
      </c>
      <c r="Q931" s="6" t="str">
        <f>IF(VLOOKUP(E931,Sheet2!$W:$AA,4,0)=0,"",VLOOKUP(E931,Sheet2!$W:$AA,4,0))</f>
        <v/>
      </c>
      <c r="R931" s="8">
        <f t="shared" si="175"/>
        <v>24</v>
      </c>
      <c r="S931" s="8">
        <f t="shared" si="176"/>
        <v>2</v>
      </c>
    </row>
    <row r="932" spans="1:19">
      <c r="A932" s="6">
        <f t="shared" si="177"/>
        <v>18602</v>
      </c>
      <c r="B932" s="6">
        <f t="shared" si="180"/>
        <v>186</v>
      </c>
      <c r="C932" s="6">
        <f t="shared" si="178"/>
        <v>2</v>
      </c>
      <c r="D932" s="6" t="str">
        <f t="shared" si="182"/>
        <v>关卡186怪物2</v>
      </c>
      <c r="E932" s="6">
        <v>109</v>
      </c>
      <c r="G932" s="6" t="s">
        <v>1354</v>
      </c>
      <c r="H932" s="6">
        <f t="shared" si="179"/>
        <v>0</v>
      </c>
      <c r="I932" s="6" t="str">
        <f>IF(VLOOKUP(E932,Sheet2!$W:$AA,5,0)=0,"",VLOOKUP(E932,Sheet2!$W:$AA,5,0))</f>
        <v/>
      </c>
      <c r="J932" s="6">
        <v>0</v>
      </c>
      <c r="K932" s="6">
        <v>0</v>
      </c>
      <c r="L932" s="6">
        <f>IF(VLOOKUP(E932,Sheet2!$W:$AA,2,0)=0,"",VLOOKUP(E932,Sheet2!$W:$AA,2,0))</f>
        <v>1</v>
      </c>
      <c r="N932" s="6" t="str">
        <f>IF(VLOOKUP(E932,Sheet2!$W:$AA,3,0)=0,"",VLOOKUP(E932,Sheet2!$W:$AA,3,0))</f>
        <v/>
      </c>
      <c r="Q932" s="6" t="str">
        <f>IF(VLOOKUP(E932,Sheet2!$W:$AA,4,0)=0,"",VLOOKUP(E932,Sheet2!$W:$AA,4,0))</f>
        <v>[{50014,6}]</v>
      </c>
      <c r="R932" s="8">
        <f t="shared" si="175"/>
        <v>24</v>
      </c>
      <c r="S932" s="8">
        <f t="shared" si="176"/>
        <v>2</v>
      </c>
    </row>
    <row r="933" spans="1:19">
      <c r="A933" s="6">
        <f t="shared" si="177"/>
        <v>18603</v>
      </c>
      <c r="B933" s="6">
        <f t="shared" si="180"/>
        <v>186</v>
      </c>
      <c r="C933" s="6">
        <f t="shared" si="178"/>
        <v>3</v>
      </c>
      <c r="D933" s="6" t="str">
        <f t="shared" si="183"/>
        <v>关卡186怪物3</v>
      </c>
      <c r="E933" s="6">
        <v>114</v>
      </c>
      <c r="G933" s="6" t="s">
        <v>1355</v>
      </c>
      <c r="H933" s="6">
        <f t="shared" si="179"/>
        <v>0</v>
      </c>
      <c r="I933" s="6" t="str">
        <f>IF(VLOOKUP(E933,Sheet2!$W:$AA,5,0)=0,"",VLOOKUP(E933,Sheet2!$W:$AA,5,0))</f>
        <v/>
      </c>
      <c r="J933" s="6">
        <v>0</v>
      </c>
      <c r="K933" s="6">
        <v>0</v>
      </c>
      <c r="L933" s="6" t="str">
        <f>IF(VLOOKUP(E933,Sheet2!$W:$AA,2,0)=0,"",VLOOKUP(E933,Sheet2!$W:$AA,2,0))</f>
        <v/>
      </c>
      <c r="N933" s="6" t="str">
        <f>IF(VLOOKUP(E933,Sheet2!$W:$AA,3,0)=0,"",VLOOKUP(E933,Sheet2!$W:$AA,3,0))</f>
        <v/>
      </c>
      <c r="Q933" s="6" t="str">
        <f>IF(VLOOKUP(E933,Sheet2!$W:$AA,4,0)=0,"",VLOOKUP(E933,Sheet2!$W:$AA,4,0))</f>
        <v/>
      </c>
      <c r="R933" s="8">
        <f t="shared" si="175"/>
        <v>24</v>
      </c>
      <c r="S933" s="8">
        <f t="shared" si="176"/>
        <v>2</v>
      </c>
    </row>
    <row r="934" spans="1:19">
      <c r="A934" s="6">
        <f t="shared" si="177"/>
        <v>18621</v>
      </c>
      <c r="B934" s="6">
        <f t="shared" si="180"/>
        <v>186</v>
      </c>
      <c r="C934" s="6">
        <f t="shared" si="178"/>
        <v>4</v>
      </c>
      <c r="D934" s="6" t="str">
        <f t="shared" si="184"/>
        <v>关卡186BOSS1</v>
      </c>
      <c r="E934" s="6">
        <v>514</v>
      </c>
      <c r="G934" s="6" t="s">
        <v>1356</v>
      </c>
      <c r="H934" s="6">
        <f t="shared" si="179"/>
        <v>2</v>
      </c>
      <c r="I934" s="6" t="str">
        <f>IF(VLOOKUP(E934,Sheet2!$W:$AA,5,0)=0,"",VLOOKUP(E934,Sheet2!$W:$AA,5,0))</f>
        <v/>
      </c>
      <c r="J934" s="6">
        <v>0</v>
      </c>
      <c r="K934" s="6">
        <v>0</v>
      </c>
      <c r="L934" s="6" t="str">
        <f>IF(VLOOKUP(E934,Sheet2!$W:$AA,2,0)=0,"",VLOOKUP(E934,Sheet2!$W:$AA,2,0))</f>
        <v/>
      </c>
      <c r="N934" s="6" t="str">
        <f>IF(VLOOKUP(E934,Sheet2!$W:$AA,3,0)=0,"",VLOOKUP(E934,Sheet2!$W:$AA,3,0))</f>
        <v/>
      </c>
      <c r="Q934" s="6" t="str">
        <f>IF(VLOOKUP(E934,Sheet2!$W:$AA,4,0)=0,"",VLOOKUP(E934,Sheet2!$W:$AA,4,0))</f>
        <v/>
      </c>
      <c r="R934" s="8">
        <f t="shared" ref="R934:R955" si="186">R929</f>
        <v>100</v>
      </c>
      <c r="S934" s="8">
        <f t="shared" si="176"/>
        <v>2</v>
      </c>
    </row>
    <row r="935" spans="1:19">
      <c r="A935" s="6">
        <f t="shared" si="177"/>
        <v>18631</v>
      </c>
      <c r="B935" s="6">
        <f t="shared" si="180"/>
        <v>186</v>
      </c>
      <c r="C935" s="6">
        <f t="shared" si="178"/>
        <v>5</v>
      </c>
      <c r="D935" s="6" t="str">
        <f t="shared" si="185"/>
        <v>关卡186BOSS2</v>
      </c>
      <c r="E935" s="6">
        <v>514</v>
      </c>
      <c r="G935" s="6" t="s">
        <v>1357</v>
      </c>
      <c r="H935" s="6">
        <f t="shared" si="179"/>
        <v>2</v>
      </c>
      <c r="I935" s="6" t="str">
        <f>IF(VLOOKUP(E935,Sheet2!$W:$AA,5,0)=0,"",VLOOKUP(E935,Sheet2!$W:$AA,5,0))</f>
        <v/>
      </c>
      <c r="J935" s="6">
        <v>0</v>
      </c>
      <c r="K935" s="6">
        <v>0</v>
      </c>
      <c r="L935" s="6" t="str">
        <f>IF(VLOOKUP(E935,Sheet2!$W:$AA,2,0)=0,"",VLOOKUP(E935,Sheet2!$W:$AA,2,0))</f>
        <v/>
      </c>
      <c r="N935" s="6" t="str">
        <f>IF(VLOOKUP(E935,Sheet2!$W:$AA,3,0)=0,"",VLOOKUP(E935,Sheet2!$W:$AA,3,0))</f>
        <v/>
      </c>
      <c r="Q935" s="6" t="str">
        <f>IF(VLOOKUP(E935,Sheet2!$W:$AA,4,0)=0,"",VLOOKUP(E935,Sheet2!$W:$AA,4,0))</f>
        <v/>
      </c>
      <c r="R935" s="8">
        <f t="shared" si="186"/>
        <v>100</v>
      </c>
      <c r="S935" s="8">
        <f t="shared" si="176"/>
        <v>2</v>
      </c>
    </row>
    <row r="936" spans="1:19">
      <c r="A936" s="6">
        <f t="shared" si="177"/>
        <v>18701</v>
      </c>
      <c r="B936" s="6">
        <f t="shared" si="180"/>
        <v>187</v>
      </c>
      <c r="C936" s="6">
        <f t="shared" si="178"/>
        <v>1</v>
      </c>
      <c r="D936" s="6" t="str">
        <f t="shared" si="181"/>
        <v>关卡187怪物1</v>
      </c>
      <c r="E936" s="6">
        <v>125</v>
      </c>
      <c r="G936" s="6" t="s">
        <v>1358</v>
      </c>
      <c r="H936" s="6">
        <f t="shared" si="179"/>
        <v>0</v>
      </c>
      <c r="I936" s="6" t="str">
        <f>IF(VLOOKUP(E936,Sheet2!$W:$AA,5,0)=0,"",VLOOKUP(E936,Sheet2!$W:$AA,5,0))</f>
        <v>[60016]</v>
      </c>
      <c r="J936" s="6">
        <v>0</v>
      </c>
      <c r="K936" s="6">
        <v>0</v>
      </c>
      <c r="L936" s="6" t="str">
        <f>IF(VLOOKUP(E936,Sheet2!$W:$AA,2,0)=0,"",VLOOKUP(E936,Sheet2!$W:$AA,2,0))</f>
        <v/>
      </c>
      <c r="N936" s="6" t="str">
        <f>IF(VLOOKUP(E936,Sheet2!$W:$AA,3,0)=0,"",VLOOKUP(E936,Sheet2!$W:$AA,3,0))</f>
        <v/>
      </c>
      <c r="Q936" s="6" t="str">
        <f>IF(VLOOKUP(E936,Sheet2!$W:$AA,4,0)=0,"",VLOOKUP(E936,Sheet2!$W:$AA,4,0))</f>
        <v/>
      </c>
      <c r="R936" s="8">
        <f t="shared" si="186"/>
        <v>24</v>
      </c>
      <c r="S936" s="8">
        <f t="shared" si="176"/>
        <v>2</v>
      </c>
    </row>
    <row r="937" spans="1:19">
      <c r="A937" s="6">
        <f t="shared" si="177"/>
        <v>18702</v>
      </c>
      <c r="B937" s="6">
        <f t="shared" si="180"/>
        <v>187</v>
      </c>
      <c r="C937" s="6">
        <f t="shared" si="178"/>
        <v>2</v>
      </c>
      <c r="D937" s="6" t="str">
        <f t="shared" si="182"/>
        <v>关卡187怪物2</v>
      </c>
      <c r="E937" s="6">
        <v>127</v>
      </c>
      <c r="G937" s="6" t="s">
        <v>1359</v>
      </c>
      <c r="H937" s="6">
        <f t="shared" si="179"/>
        <v>0</v>
      </c>
      <c r="I937" s="6" t="str">
        <f>IF(VLOOKUP(E937,Sheet2!$W:$AA,5,0)=0,"",VLOOKUP(E937,Sheet2!$W:$AA,5,0))</f>
        <v>[60015]</v>
      </c>
      <c r="J937" s="6">
        <v>0</v>
      </c>
      <c r="K937" s="6">
        <v>0</v>
      </c>
      <c r="L937" s="6" t="str">
        <f>IF(VLOOKUP(E937,Sheet2!$W:$AA,2,0)=0,"",VLOOKUP(E937,Sheet2!$W:$AA,2,0))</f>
        <v/>
      </c>
      <c r="N937" s="6" t="str">
        <f>IF(VLOOKUP(E937,Sheet2!$W:$AA,3,0)=0,"",VLOOKUP(E937,Sheet2!$W:$AA,3,0))</f>
        <v/>
      </c>
      <c r="Q937" s="6" t="str">
        <f>IF(VLOOKUP(E937,Sheet2!$W:$AA,4,0)=0,"",VLOOKUP(E937,Sheet2!$W:$AA,4,0))</f>
        <v/>
      </c>
      <c r="R937" s="8">
        <f t="shared" si="186"/>
        <v>24</v>
      </c>
      <c r="S937" s="8">
        <f t="shared" si="176"/>
        <v>2</v>
      </c>
    </row>
    <row r="938" spans="1:19">
      <c r="A938" s="6">
        <f t="shared" si="177"/>
        <v>18703</v>
      </c>
      <c r="B938" s="6">
        <f t="shared" si="180"/>
        <v>187</v>
      </c>
      <c r="C938" s="6">
        <f t="shared" si="178"/>
        <v>3</v>
      </c>
      <c r="D938" s="6" t="str">
        <f t="shared" si="183"/>
        <v>关卡187怪物3</v>
      </c>
      <c r="E938" s="6">
        <v>126</v>
      </c>
      <c r="G938" s="6" t="s">
        <v>1360</v>
      </c>
      <c r="H938" s="6">
        <f t="shared" si="179"/>
        <v>0</v>
      </c>
      <c r="I938" s="6" t="str">
        <f>IF(VLOOKUP(E938,Sheet2!$W:$AA,5,0)=0,"",VLOOKUP(E938,Sheet2!$W:$AA,5,0))</f>
        <v>[60014]</v>
      </c>
      <c r="J938" s="6">
        <v>0</v>
      </c>
      <c r="K938" s="6">
        <v>0</v>
      </c>
      <c r="L938" s="6">
        <f>IF(VLOOKUP(E938,Sheet2!$W:$AA,2,0)=0,"",VLOOKUP(E938,Sheet2!$W:$AA,2,0))</f>
        <v>1</v>
      </c>
      <c r="N938" s="6" t="str">
        <f>IF(VLOOKUP(E938,Sheet2!$W:$AA,3,0)=0,"",VLOOKUP(E938,Sheet2!$W:$AA,3,0))</f>
        <v/>
      </c>
      <c r="Q938" s="6" t="str">
        <f>IF(VLOOKUP(E938,Sheet2!$W:$AA,4,0)=0,"",VLOOKUP(E938,Sheet2!$W:$AA,4,0))</f>
        <v>[{50031,6}]</v>
      </c>
      <c r="R938" s="8">
        <f t="shared" si="186"/>
        <v>24</v>
      </c>
      <c r="S938" s="8">
        <f t="shared" si="176"/>
        <v>2</v>
      </c>
    </row>
    <row r="939" spans="1:19">
      <c r="A939" s="6">
        <f t="shared" si="177"/>
        <v>18721</v>
      </c>
      <c r="B939" s="6">
        <f t="shared" si="180"/>
        <v>187</v>
      </c>
      <c r="C939" s="6">
        <f t="shared" si="178"/>
        <v>4</v>
      </c>
      <c r="D939" s="6" t="str">
        <f t="shared" si="184"/>
        <v>关卡187BOSS1</v>
      </c>
      <c r="E939" s="6">
        <v>527</v>
      </c>
      <c r="G939" s="6" t="s">
        <v>1361</v>
      </c>
      <c r="H939" s="6">
        <f t="shared" si="179"/>
        <v>2</v>
      </c>
      <c r="I939" s="6" t="str">
        <f>IF(VLOOKUP(E939,Sheet2!$W:$AA,5,0)=0,"",VLOOKUP(E939,Sheet2!$W:$AA,5,0))</f>
        <v>[60015]</v>
      </c>
      <c r="J939" s="6">
        <v>0</v>
      </c>
      <c r="K939" s="6">
        <v>0</v>
      </c>
      <c r="L939" s="6" t="str">
        <f>IF(VLOOKUP(E939,Sheet2!$W:$AA,2,0)=0,"",VLOOKUP(E939,Sheet2!$W:$AA,2,0))</f>
        <v/>
      </c>
      <c r="N939" s="6" t="str">
        <f>IF(VLOOKUP(E939,Sheet2!$W:$AA,3,0)=0,"",VLOOKUP(E939,Sheet2!$W:$AA,3,0))</f>
        <v/>
      </c>
      <c r="Q939" s="6" t="str">
        <f>IF(VLOOKUP(E939,Sheet2!$W:$AA,4,0)=0,"",VLOOKUP(E939,Sheet2!$W:$AA,4,0))</f>
        <v/>
      </c>
      <c r="R939" s="8">
        <f t="shared" si="186"/>
        <v>100</v>
      </c>
      <c r="S939" s="8">
        <f t="shared" si="176"/>
        <v>2</v>
      </c>
    </row>
    <row r="940" spans="1:19">
      <c r="A940" s="6">
        <f t="shared" si="177"/>
        <v>18731</v>
      </c>
      <c r="B940" s="6">
        <f t="shared" si="180"/>
        <v>187</v>
      </c>
      <c r="C940" s="6">
        <f t="shared" si="178"/>
        <v>5</v>
      </c>
      <c r="D940" s="6" t="str">
        <f t="shared" si="185"/>
        <v>关卡187BOSS2</v>
      </c>
      <c r="E940" s="6">
        <v>527</v>
      </c>
      <c r="G940" s="6" t="s">
        <v>1362</v>
      </c>
      <c r="H940" s="6">
        <f t="shared" si="179"/>
        <v>2</v>
      </c>
      <c r="I940" s="6" t="str">
        <f>IF(VLOOKUP(E940,Sheet2!$W:$AA,5,0)=0,"",VLOOKUP(E940,Sheet2!$W:$AA,5,0))</f>
        <v>[60015]</v>
      </c>
      <c r="J940" s="6">
        <v>0</v>
      </c>
      <c r="K940" s="6">
        <v>0</v>
      </c>
      <c r="L940" s="6" t="str">
        <f>IF(VLOOKUP(E940,Sheet2!$W:$AA,2,0)=0,"",VLOOKUP(E940,Sheet2!$W:$AA,2,0))</f>
        <v/>
      </c>
      <c r="N940" s="6" t="str">
        <f>IF(VLOOKUP(E940,Sheet2!$W:$AA,3,0)=0,"",VLOOKUP(E940,Sheet2!$W:$AA,3,0))</f>
        <v/>
      </c>
      <c r="Q940" s="6" t="str">
        <f>IF(VLOOKUP(E940,Sheet2!$W:$AA,4,0)=0,"",VLOOKUP(E940,Sheet2!$W:$AA,4,0))</f>
        <v/>
      </c>
      <c r="R940" s="8">
        <f t="shared" si="186"/>
        <v>100</v>
      </c>
      <c r="S940" s="8">
        <f t="shared" si="176"/>
        <v>2</v>
      </c>
    </row>
    <row r="941" spans="1:19">
      <c r="A941" s="6">
        <f t="shared" si="177"/>
        <v>18801</v>
      </c>
      <c r="B941" s="6">
        <f t="shared" si="180"/>
        <v>188</v>
      </c>
      <c r="C941" s="6">
        <f t="shared" si="178"/>
        <v>1</v>
      </c>
      <c r="D941" s="6" t="str">
        <f t="shared" si="181"/>
        <v>关卡188怪物1</v>
      </c>
      <c r="E941" s="6">
        <v>117</v>
      </c>
      <c r="G941" s="6" t="s">
        <v>1363</v>
      </c>
      <c r="H941" s="6">
        <f t="shared" si="179"/>
        <v>0</v>
      </c>
      <c r="I941" s="6" t="str">
        <f>IF(VLOOKUP(E941,Sheet2!$W:$AA,5,0)=0,"",VLOOKUP(E941,Sheet2!$W:$AA,5,0))</f>
        <v/>
      </c>
      <c r="J941" s="6">
        <v>0</v>
      </c>
      <c r="K941" s="6">
        <v>0</v>
      </c>
      <c r="L941" s="6" t="str">
        <f>IF(VLOOKUP(E941,Sheet2!$W:$AA,2,0)=0,"",VLOOKUP(E941,Sheet2!$W:$AA,2,0))</f>
        <v/>
      </c>
      <c r="N941" s="6" t="str">
        <f>IF(VLOOKUP(E941,Sheet2!$W:$AA,3,0)=0,"",VLOOKUP(E941,Sheet2!$W:$AA,3,0))</f>
        <v/>
      </c>
      <c r="Q941" s="6" t="str">
        <f>IF(VLOOKUP(E941,Sheet2!$W:$AA,4,0)=0,"",VLOOKUP(E941,Sheet2!$W:$AA,4,0))</f>
        <v/>
      </c>
      <c r="R941" s="8">
        <f t="shared" si="186"/>
        <v>24</v>
      </c>
      <c r="S941" s="8">
        <f t="shared" ref="S941:S1004" si="187">S940</f>
        <v>2</v>
      </c>
    </row>
    <row r="942" spans="1:19">
      <c r="A942" s="6">
        <f t="shared" si="177"/>
        <v>18802</v>
      </c>
      <c r="B942" s="6">
        <f t="shared" si="180"/>
        <v>188</v>
      </c>
      <c r="C942" s="6">
        <f t="shared" si="178"/>
        <v>2</v>
      </c>
      <c r="D942" s="6" t="str">
        <f t="shared" si="182"/>
        <v>关卡188怪物2</v>
      </c>
      <c r="E942" s="6">
        <v>116</v>
      </c>
      <c r="G942" s="6" t="s">
        <v>1364</v>
      </c>
      <c r="H942" s="6">
        <f t="shared" si="179"/>
        <v>0</v>
      </c>
      <c r="I942" s="6" t="str">
        <f>IF(VLOOKUP(E942,Sheet2!$W:$AA,5,0)=0,"",VLOOKUP(E942,Sheet2!$W:$AA,5,0))</f>
        <v>[60007]</v>
      </c>
      <c r="J942" s="6">
        <v>0</v>
      </c>
      <c r="K942" s="6">
        <v>0</v>
      </c>
      <c r="L942" s="6" t="str">
        <f>IF(VLOOKUP(E942,Sheet2!$W:$AA,2,0)=0,"",VLOOKUP(E942,Sheet2!$W:$AA,2,0))</f>
        <v/>
      </c>
      <c r="N942" s="6" t="str">
        <f>IF(VLOOKUP(E942,Sheet2!$W:$AA,3,0)=0,"",VLOOKUP(E942,Sheet2!$W:$AA,3,0))</f>
        <v/>
      </c>
      <c r="Q942" s="6" t="str">
        <f>IF(VLOOKUP(E942,Sheet2!$W:$AA,4,0)=0,"",VLOOKUP(E942,Sheet2!$W:$AA,4,0))</f>
        <v/>
      </c>
      <c r="R942" s="8">
        <f t="shared" si="186"/>
        <v>24</v>
      </c>
      <c r="S942" s="8">
        <f t="shared" si="187"/>
        <v>2</v>
      </c>
    </row>
    <row r="943" spans="1:19">
      <c r="A943" s="6">
        <f t="shared" si="177"/>
        <v>18803</v>
      </c>
      <c r="B943" s="6">
        <f t="shared" si="180"/>
        <v>188</v>
      </c>
      <c r="C943" s="6">
        <f t="shared" si="178"/>
        <v>3</v>
      </c>
      <c r="D943" s="6" t="str">
        <f t="shared" si="183"/>
        <v>关卡188怪物3</v>
      </c>
      <c r="E943" s="6">
        <v>119</v>
      </c>
      <c r="G943" s="6" t="s">
        <v>1365</v>
      </c>
      <c r="H943" s="6">
        <f t="shared" si="179"/>
        <v>0</v>
      </c>
      <c r="I943" s="6" t="str">
        <f>IF(VLOOKUP(E943,Sheet2!$W:$AA,5,0)=0,"",VLOOKUP(E943,Sheet2!$W:$AA,5,0))</f>
        <v/>
      </c>
      <c r="J943" s="6">
        <v>0</v>
      </c>
      <c r="K943" s="6">
        <v>0</v>
      </c>
      <c r="L943" s="6">
        <f>IF(VLOOKUP(E943,Sheet2!$W:$AA,2,0)=0,"",VLOOKUP(E943,Sheet2!$W:$AA,2,0))</f>
        <v>1</v>
      </c>
      <c r="N943" s="6" t="str">
        <f>IF(VLOOKUP(E943,Sheet2!$W:$AA,3,0)=0,"",VLOOKUP(E943,Sheet2!$W:$AA,3,0))</f>
        <v/>
      </c>
      <c r="Q943" s="6" t="str">
        <f>IF(VLOOKUP(E943,Sheet2!$W:$AA,4,0)=0,"",VLOOKUP(E943,Sheet2!$W:$AA,4,0))</f>
        <v>[{50018,6}]</v>
      </c>
      <c r="R943" s="8">
        <f t="shared" si="186"/>
        <v>24</v>
      </c>
      <c r="S943" s="8">
        <f t="shared" si="187"/>
        <v>2</v>
      </c>
    </row>
    <row r="944" spans="1:19">
      <c r="A944" s="6">
        <f t="shared" si="177"/>
        <v>18821</v>
      </c>
      <c r="B944" s="6">
        <f t="shared" si="180"/>
        <v>188</v>
      </c>
      <c r="C944" s="6">
        <f t="shared" si="178"/>
        <v>4</v>
      </c>
      <c r="D944" s="6" t="str">
        <f t="shared" si="184"/>
        <v>关卡188BOSS1</v>
      </c>
      <c r="E944" s="6">
        <v>517</v>
      </c>
      <c r="G944" s="6" t="s">
        <v>1366</v>
      </c>
      <c r="H944" s="6">
        <f t="shared" si="179"/>
        <v>2</v>
      </c>
      <c r="I944" s="6" t="str">
        <f>IF(VLOOKUP(E944,Sheet2!$W:$AA,5,0)=0,"",VLOOKUP(E944,Sheet2!$W:$AA,5,0))</f>
        <v/>
      </c>
      <c r="J944" s="6">
        <v>0</v>
      </c>
      <c r="K944" s="6">
        <v>0</v>
      </c>
      <c r="L944" s="6" t="str">
        <f>IF(VLOOKUP(E944,Sheet2!$W:$AA,2,0)=0,"",VLOOKUP(E944,Sheet2!$W:$AA,2,0))</f>
        <v/>
      </c>
      <c r="N944" s="6" t="str">
        <f>IF(VLOOKUP(E944,Sheet2!$W:$AA,3,0)=0,"",VLOOKUP(E944,Sheet2!$W:$AA,3,0))</f>
        <v/>
      </c>
      <c r="Q944" s="6" t="str">
        <f>IF(VLOOKUP(E944,Sheet2!$W:$AA,4,0)=0,"",VLOOKUP(E944,Sheet2!$W:$AA,4,0))</f>
        <v/>
      </c>
      <c r="R944" s="8">
        <f t="shared" si="186"/>
        <v>100</v>
      </c>
      <c r="S944" s="8">
        <f t="shared" si="187"/>
        <v>2</v>
      </c>
    </row>
    <row r="945" spans="1:19">
      <c r="A945" s="6">
        <f t="shared" si="177"/>
        <v>18831</v>
      </c>
      <c r="B945" s="6">
        <f t="shared" si="180"/>
        <v>188</v>
      </c>
      <c r="C945" s="6">
        <f t="shared" si="178"/>
        <v>5</v>
      </c>
      <c r="D945" s="6" t="str">
        <f t="shared" si="185"/>
        <v>关卡188BOSS2</v>
      </c>
      <c r="E945" s="6">
        <v>517</v>
      </c>
      <c r="G945" s="6" t="s">
        <v>1367</v>
      </c>
      <c r="H945" s="6">
        <f t="shared" si="179"/>
        <v>2</v>
      </c>
      <c r="I945" s="6" t="str">
        <f>IF(VLOOKUP(E945,Sheet2!$W:$AA,5,0)=0,"",VLOOKUP(E945,Sheet2!$W:$AA,5,0))</f>
        <v/>
      </c>
      <c r="J945" s="6">
        <v>0</v>
      </c>
      <c r="K945" s="6">
        <v>0</v>
      </c>
      <c r="L945" s="6" t="str">
        <f>IF(VLOOKUP(E945,Sheet2!$W:$AA,2,0)=0,"",VLOOKUP(E945,Sheet2!$W:$AA,2,0))</f>
        <v/>
      </c>
      <c r="N945" s="6" t="str">
        <f>IF(VLOOKUP(E945,Sheet2!$W:$AA,3,0)=0,"",VLOOKUP(E945,Sheet2!$W:$AA,3,0))</f>
        <v/>
      </c>
      <c r="Q945" s="6" t="str">
        <f>IF(VLOOKUP(E945,Sheet2!$W:$AA,4,0)=0,"",VLOOKUP(E945,Sheet2!$W:$AA,4,0))</f>
        <v/>
      </c>
      <c r="R945" s="8">
        <f t="shared" si="186"/>
        <v>100</v>
      </c>
      <c r="S945" s="8">
        <f t="shared" si="187"/>
        <v>2</v>
      </c>
    </row>
    <row r="946" spans="1:19">
      <c r="A946" s="6">
        <f t="shared" si="177"/>
        <v>18901</v>
      </c>
      <c r="B946" s="6">
        <f t="shared" si="180"/>
        <v>189</v>
      </c>
      <c r="C946" s="6">
        <f t="shared" si="178"/>
        <v>1</v>
      </c>
      <c r="D946" s="6" t="str">
        <f t="shared" si="181"/>
        <v>关卡189怪物1</v>
      </c>
      <c r="E946" s="6">
        <v>125</v>
      </c>
      <c r="G946" s="6" t="s">
        <v>1368</v>
      </c>
      <c r="H946" s="6">
        <f t="shared" si="179"/>
        <v>0</v>
      </c>
      <c r="I946" s="6" t="str">
        <f>IF(VLOOKUP(E946,Sheet2!$W:$AA,5,0)=0,"",VLOOKUP(E946,Sheet2!$W:$AA,5,0))</f>
        <v>[60016]</v>
      </c>
      <c r="J946" s="6">
        <v>0</v>
      </c>
      <c r="K946" s="6">
        <v>0</v>
      </c>
      <c r="L946" s="6" t="str">
        <f>IF(VLOOKUP(E946,Sheet2!$W:$AA,2,0)=0,"",VLOOKUP(E946,Sheet2!$W:$AA,2,0))</f>
        <v/>
      </c>
      <c r="N946" s="6" t="str">
        <f>IF(VLOOKUP(E946,Sheet2!$W:$AA,3,0)=0,"",VLOOKUP(E946,Sheet2!$W:$AA,3,0))</f>
        <v/>
      </c>
      <c r="Q946" s="6" t="str">
        <f>IF(VLOOKUP(E946,Sheet2!$W:$AA,4,0)=0,"",VLOOKUP(E946,Sheet2!$W:$AA,4,0))</f>
        <v/>
      </c>
      <c r="R946" s="8">
        <f t="shared" si="186"/>
        <v>24</v>
      </c>
      <c r="S946" s="8">
        <f t="shared" si="187"/>
        <v>2</v>
      </c>
    </row>
    <row r="947" spans="1:19">
      <c r="A947" s="6">
        <f t="shared" si="177"/>
        <v>18902</v>
      </c>
      <c r="B947" s="6">
        <f t="shared" si="180"/>
        <v>189</v>
      </c>
      <c r="C947" s="6">
        <f t="shared" si="178"/>
        <v>2</v>
      </c>
      <c r="D947" s="6" t="str">
        <f t="shared" si="182"/>
        <v>关卡189怪物2</v>
      </c>
      <c r="E947" s="6">
        <v>124</v>
      </c>
      <c r="G947" s="6" t="s">
        <v>1369</v>
      </c>
      <c r="H947" s="6">
        <f t="shared" si="179"/>
        <v>0</v>
      </c>
      <c r="I947" s="6" t="str">
        <f>IF(VLOOKUP(E947,Sheet2!$W:$AA,5,0)=0,"",VLOOKUP(E947,Sheet2!$W:$AA,5,0))</f>
        <v>[60013]</v>
      </c>
      <c r="J947" s="6">
        <v>0</v>
      </c>
      <c r="K947" s="6">
        <v>0</v>
      </c>
      <c r="L947" s="6" t="str">
        <f>IF(VLOOKUP(E947,Sheet2!$W:$AA,2,0)=0,"",VLOOKUP(E947,Sheet2!$W:$AA,2,0))</f>
        <v/>
      </c>
      <c r="N947" s="6" t="str">
        <f>IF(VLOOKUP(E947,Sheet2!$W:$AA,3,0)=0,"",VLOOKUP(E947,Sheet2!$W:$AA,3,0))</f>
        <v/>
      </c>
      <c r="Q947" s="6" t="str">
        <f>IF(VLOOKUP(E947,Sheet2!$W:$AA,4,0)=0,"",VLOOKUP(E947,Sheet2!$W:$AA,4,0))</f>
        <v/>
      </c>
      <c r="R947" s="8">
        <f t="shared" si="186"/>
        <v>24</v>
      </c>
      <c r="S947" s="8">
        <f t="shared" si="187"/>
        <v>2</v>
      </c>
    </row>
    <row r="948" spans="1:19">
      <c r="A948" s="6">
        <f t="shared" ref="A948:A1011" si="188">A943+100</f>
        <v>18903</v>
      </c>
      <c r="B948" s="6">
        <f t="shared" si="180"/>
        <v>189</v>
      </c>
      <c r="C948" s="6">
        <f t="shared" si="178"/>
        <v>3</v>
      </c>
      <c r="D948" s="6" t="str">
        <f t="shared" si="183"/>
        <v>关卡189怪物3</v>
      </c>
      <c r="E948" s="6">
        <v>128</v>
      </c>
      <c r="G948" s="6" t="s">
        <v>1370</v>
      </c>
      <c r="H948" s="6">
        <f t="shared" si="179"/>
        <v>0</v>
      </c>
      <c r="I948" s="6" t="str">
        <f>IF(VLOOKUP(E948,Sheet2!$W:$AA,5,0)=0,"",VLOOKUP(E948,Sheet2!$W:$AA,5,0))</f>
        <v>[60017]</v>
      </c>
      <c r="J948" s="6">
        <v>0</v>
      </c>
      <c r="K948" s="6">
        <v>0</v>
      </c>
      <c r="L948" s="6" t="str">
        <f>IF(VLOOKUP(E948,Sheet2!$W:$AA,2,0)=0,"",VLOOKUP(E948,Sheet2!$W:$AA,2,0))</f>
        <v/>
      </c>
      <c r="N948" s="6" t="str">
        <f>IF(VLOOKUP(E948,Sheet2!$W:$AA,3,0)=0,"",VLOOKUP(E948,Sheet2!$W:$AA,3,0))</f>
        <v/>
      </c>
      <c r="Q948" s="6" t="str">
        <f>IF(VLOOKUP(E948,Sheet2!$W:$AA,4,0)=0,"",VLOOKUP(E948,Sheet2!$W:$AA,4,0))</f>
        <v/>
      </c>
      <c r="R948" s="8">
        <f t="shared" si="186"/>
        <v>24</v>
      </c>
      <c r="S948" s="8">
        <f t="shared" si="187"/>
        <v>2</v>
      </c>
    </row>
    <row r="949" spans="1:19">
      <c r="A949" s="6">
        <f t="shared" si="188"/>
        <v>18921</v>
      </c>
      <c r="B949" s="6">
        <f t="shared" si="180"/>
        <v>189</v>
      </c>
      <c r="C949" s="6">
        <f t="shared" ref="C949:C1012" si="189">C944</f>
        <v>4</v>
      </c>
      <c r="D949" s="6" t="str">
        <f t="shared" si="184"/>
        <v>关卡189BOSS1</v>
      </c>
      <c r="E949" s="6">
        <v>524</v>
      </c>
      <c r="G949" s="6" t="s">
        <v>1371</v>
      </c>
      <c r="H949" s="6">
        <f t="shared" si="179"/>
        <v>2</v>
      </c>
      <c r="I949" s="6" t="str">
        <f>IF(VLOOKUP(E949,Sheet2!$W:$AA,5,0)=0,"",VLOOKUP(E949,Sheet2!$W:$AA,5,0))</f>
        <v>[60013]</v>
      </c>
      <c r="J949" s="6">
        <v>0</v>
      </c>
      <c r="K949" s="6">
        <v>0</v>
      </c>
      <c r="L949" s="6" t="str">
        <f>IF(VLOOKUP(E949,Sheet2!$W:$AA,2,0)=0,"",VLOOKUP(E949,Sheet2!$W:$AA,2,0))</f>
        <v/>
      </c>
      <c r="N949" s="6" t="str">
        <f>IF(VLOOKUP(E949,Sheet2!$W:$AA,3,0)=0,"",VLOOKUP(E949,Sheet2!$W:$AA,3,0))</f>
        <v/>
      </c>
      <c r="Q949" s="6" t="str">
        <f>IF(VLOOKUP(E949,Sheet2!$W:$AA,4,0)=0,"",VLOOKUP(E949,Sheet2!$W:$AA,4,0))</f>
        <v/>
      </c>
      <c r="R949" s="8">
        <f t="shared" si="186"/>
        <v>100</v>
      </c>
      <c r="S949" s="8">
        <f t="shared" si="187"/>
        <v>2</v>
      </c>
    </row>
    <row r="950" spans="1:19">
      <c r="A950" s="6">
        <f t="shared" si="188"/>
        <v>18931</v>
      </c>
      <c r="B950" s="6">
        <f t="shared" si="180"/>
        <v>189</v>
      </c>
      <c r="C950" s="6">
        <f t="shared" si="189"/>
        <v>5</v>
      </c>
      <c r="D950" s="6" t="str">
        <f t="shared" si="185"/>
        <v>关卡189BOSS2</v>
      </c>
      <c r="E950" s="6">
        <v>524</v>
      </c>
      <c r="G950" s="6" t="s">
        <v>1372</v>
      </c>
      <c r="H950" s="6">
        <f t="shared" si="179"/>
        <v>2</v>
      </c>
      <c r="I950" s="6" t="str">
        <f>IF(VLOOKUP(E950,Sheet2!$W:$AA,5,0)=0,"",VLOOKUP(E950,Sheet2!$W:$AA,5,0))</f>
        <v>[60013]</v>
      </c>
      <c r="J950" s="6">
        <v>0</v>
      </c>
      <c r="K950" s="6">
        <v>0</v>
      </c>
      <c r="L950" s="6" t="str">
        <f>IF(VLOOKUP(E950,Sheet2!$W:$AA,2,0)=0,"",VLOOKUP(E950,Sheet2!$W:$AA,2,0))</f>
        <v/>
      </c>
      <c r="N950" s="6" t="str">
        <f>IF(VLOOKUP(E950,Sheet2!$W:$AA,3,0)=0,"",VLOOKUP(E950,Sheet2!$W:$AA,3,0))</f>
        <v/>
      </c>
      <c r="Q950" s="6" t="str">
        <f>IF(VLOOKUP(E950,Sheet2!$W:$AA,4,0)=0,"",VLOOKUP(E950,Sheet2!$W:$AA,4,0))</f>
        <v/>
      </c>
      <c r="R950" s="8">
        <f t="shared" si="186"/>
        <v>100</v>
      </c>
      <c r="S950" s="8">
        <f t="shared" si="187"/>
        <v>2</v>
      </c>
    </row>
    <row r="951" spans="1:19">
      <c r="A951" s="6">
        <f t="shared" si="188"/>
        <v>19001</v>
      </c>
      <c r="B951" s="6">
        <f t="shared" si="180"/>
        <v>190</v>
      </c>
      <c r="C951" s="6">
        <f t="shared" si="189"/>
        <v>1</v>
      </c>
      <c r="D951" s="6" t="str">
        <f t="shared" si="181"/>
        <v>关卡190怪物1</v>
      </c>
      <c r="E951" s="6">
        <v>100</v>
      </c>
      <c r="G951" s="6" t="s">
        <v>1373</v>
      </c>
      <c r="H951" s="6">
        <f t="shared" si="179"/>
        <v>0</v>
      </c>
      <c r="I951" s="6" t="str">
        <f>IF(VLOOKUP(E951,Sheet2!$W:$AA,5,0)=0,"",VLOOKUP(E951,Sheet2!$W:$AA,5,0))</f>
        <v>[60002]</v>
      </c>
      <c r="J951" s="6">
        <v>0</v>
      </c>
      <c r="K951" s="6">
        <v>0</v>
      </c>
      <c r="L951" s="6" t="str">
        <f>IF(VLOOKUP(E951,Sheet2!$W:$AA,2,0)=0,"",VLOOKUP(E951,Sheet2!$W:$AA,2,0))</f>
        <v/>
      </c>
      <c r="N951" s="6">
        <f>IF(VLOOKUP(E951,Sheet2!$W:$AA,3,0)=0,"",VLOOKUP(E951,Sheet2!$W:$AA,3,0))</f>
        <v>2001</v>
      </c>
      <c r="Q951" s="6" t="str">
        <f>IF(VLOOKUP(E951,Sheet2!$W:$AA,4,0)=0,"",VLOOKUP(E951,Sheet2!$W:$AA,4,0))</f>
        <v/>
      </c>
      <c r="R951" s="8">
        <f t="shared" si="186"/>
        <v>24</v>
      </c>
      <c r="S951" s="8">
        <f t="shared" si="187"/>
        <v>2</v>
      </c>
    </row>
    <row r="952" spans="1:19">
      <c r="A952" s="6">
        <f t="shared" si="188"/>
        <v>19002</v>
      </c>
      <c r="B952" s="6">
        <f t="shared" si="180"/>
        <v>190</v>
      </c>
      <c r="C952" s="6">
        <f t="shared" si="189"/>
        <v>2</v>
      </c>
      <c r="D952" s="6" t="str">
        <f t="shared" si="182"/>
        <v>关卡190怪物2</v>
      </c>
      <c r="E952" s="6">
        <v>102</v>
      </c>
      <c r="G952" s="6" t="s">
        <v>1374</v>
      </c>
      <c r="H952" s="6">
        <f t="shared" si="179"/>
        <v>0</v>
      </c>
      <c r="I952" s="6" t="str">
        <f>IF(VLOOKUP(E952,Sheet2!$W:$AA,5,0)=0,"",VLOOKUP(E952,Sheet2!$W:$AA,5,0))</f>
        <v/>
      </c>
      <c r="J952" s="6">
        <v>0</v>
      </c>
      <c r="K952" s="6">
        <v>0</v>
      </c>
      <c r="L952" s="6">
        <f>IF(VLOOKUP(E952,Sheet2!$W:$AA,2,0)=0,"",VLOOKUP(E952,Sheet2!$W:$AA,2,0))</f>
        <v>1</v>
      </c>
      <c r="N952" s="6" t="str">
        <f>IF(VLOOKUP(E952,Sheet2!$W:$AA,3,0)=0,"",VLOOKUP(E952,Sheet2!$W:$AA,3,0))</f>
        <v/>
      </c>
      <c r="Q952" s="6" t="str">
        <f>IF(VLOOKUP(E952,Sheet2!$W:$AA,4,0)=0,"",VLOOKUP(E952,Sheet2!$W:$AA,4,0))</f>
        <v>[{50011,6}]</v>
      </c>
      <c r="R952" s="8">
        <f t="shared" si="186"/>
        <v>24</v>
      </c>
      <c r="S952" s="8">
        <f t="shared" si="187"/>
        <v>2</v>
      </c>
    </row>
    <row r="953" spans="1:19">
      <c r="A953" s="6">
        <f t="shared" si="188"/>
        <v>19003</v>
      </c>
      <c r="B953" s="6">
        <f t="shared" si="180"/>
        <v>190</v>
      </c>
      <c r="C953" s="6">
        <f t="shared" si="189"/>
        <v>3</v>
      </c>
      <c r="D953" s="6" t="str">
        <f t="shared" si="183"/>
        <v>关卡190怪物3</v>
      </c>
      <c r="E953" s="6">
        <v>105</v>
      </c>
      <c r="G953" s="6" t="s">
        <v>1375</v>
      </c>
      <c r="H953" s="6">
        <f t="shared" si="179"/>
        <v>0</v>
      </c>
      <c r="I953" s="6" t="str">
        <f>IF(VLOOKUP(E953,Sheet2!$W:$AA,5,0)=0,"",VLOOKUP(E953,Sheet2!$W:$AA,5,0))</f>
        <v>[60003]</v>
      </c>
      <c r="J953" s="6">
        <v>0</v>
      </c>
      <c r="K953" s="6">
        <v>0</v>
      </c>
      <c r="L953" s="6" t="str">
        <f>IF(VLOOKUP(E953,Sheet2!$W:$AA,2,0)=0,"",VLOOKUP(E953,Sheet2!$W:$AA,2,0))</f>
        <v/>
      </c>
      <c r="N953" s="6" t="str">
        <f>IF(VLOOKUP(E953,Sheet2!$W:$AA,3,0)=0,"",VLOOKUP(E953,Sheet2!$W:$AA,3,0))</f>
        <v/>
      </c>
      <c r="Q953" s="6" t="str">
        <f>IF(VLOOKUP(E953,Sheet2!$W:$AA,4,0)=0,"",VLOOKUP(E953,Sheet2!$W:$AA,4,0))</f>
        <v/>
      </c>
      <c r="R953" s="8">
        <f t="shared" si="186"/>
        <v>24</v>
      </c>
      <c r="S953" s="8">
        <f t="shared" si="187"/>
        <v>2</v>
      </c>
    </row>
    <row r="954" spans="1:19">
      <c r="A954" s="6">
        <f t="shared" si="188"/>
        <v>19021</v>
      </c>
      <c r="B954" s="6">
        <f t="shared" si="180"/>
        <v>190</v>
      </c>
      <c r="C954" s="6">
        <f t="shared" si="189"/>
        <v>4</v>
      </c>
      <c r="D954" s="6" t="str">
        <f t="shared" si="184"/>
        <v>关卡190BOSS1</v>
      </c>
      <c r="E954" s="6">
        <v>502</v>
      </c>
      <c r="G954" s="6" t="s">
        <v>1376</v>
      </c>
      <c r="H954" s="6">
        <f t="shared" si="179"/>
        <v>2</v>
      </c>
      <c r="I954" s="6" t="str">
        <f>IF(VLOOKUP(E954,Sheet2!$W:$AA,5,0)=0,"",VLOOKUP(E954,Sheet2!$W:$AA,5,0))</f>
        <v/>
      </c>
      <c r="J954" s="6">
        <v>0</v>
      </c>
      <c r="K954" s="6">
        <v>0</v>
      </c>
      <c r="L954" s="6">
        <f>IF(VLOOKUP(E954,Sheet2!$W:$AA,2,0)=0,"",VLOOKUP(E954,Sheet2!$W:$AA,2,0))</f>
        <v>1</v>
      </c>
      <c r="N954" s="6" t="str">
        <f>IF(VLOOKUP(E954,Sheet2!$W:$AA,3,0)=0,"",VLOOKUP(E954,Sheet2!$W:$AA,3,0))</f>
        <v/>
      </c>
      <c r="Q954" s="6" t="str">
        <f>IF(VLOOKUP(E954,Sheet2!$W:$AA,4,0)=0,"",VLOOKUP(E954,Sheet2!$W:$AA,4,0))</f>
        <v>[{50021,6}]</v>
      </c>
      <c r="R954" s="8">
        <f t="shared" si="186"/>
        <v>100</v>
      </c>
      <c r="S954" s="8">
        <f t="shared" si="187"/>
        <v>2</v>
      </c>
    </row>
    <row r="955" spans="1:19">
      <c r="A955" s="6">
        <f t="shared" si="188"/>
        <v>19031</v>
      </c>
      <c r="B955" s="6">
        <f t="shared" si="180"/>
        <v>190</v>
      </c>
      <c r="C955" s="6">
        <f t="shared" si="189"/>
        <v>5</v>
      </c>
      <c r="D955" s="6" t="str">
        <f t="shared" si="185"/>
        <v>关卡190BOSS2</v>
      </c>
      <c r="E955" s="6">
        <v>500</v>
      </c>
      <c r="G955" s="6" t="s">
        <v>1377</v>
      </c>
      <c r="H955" s="6">
        <f t="shared" si="179"/>
        <v>2</v>
      </c>
      <c r="I955" s="6" t="str">
        <f>IF(VLOOKUP(E955,Sheet2!$W:$AA,5,0)=0,"",VLOOKUP(E955,Sheet2!$W:$AA,5,0))</f>
        <v>[60002]</v>
      </c>
      <c r="J955" s="6">
        <v>0</v>
      </c>
      <c r="K955" s="6">
        <v>0</v>
      </c>
      <c r="L955" s="6" t="str">
        <f>IF(VLOOKUP(E955,Sheet2!$W:$AA,2,0)=0,"",VLOOKUP(E955,Sheet2!$W:$AA,2,0))</f>
        <v/>
      </c>
      <c r="N955" s="6">
        <f>IF(VLOOKUP(E955,Sheet2!$W:$AA,3,0)=0,"",VLOOKUP(E955,Sheet2!$W:$AA,3,0))</f>
        <v>2001</v>
      </c>
      <c r="Q955" s="6" t="str">
        <f>IF(VLOOKUP(E955,Sheet2!$W:$AA,4,0)=0,"",VLOOKUP(E955,Sheet2!$W:$AA,4,0))</f>
        <v/>
      </c>
      <c r="R955" s="8">
        <f t="shared" si="186"/>
        <v>100</v>
      </c>
      <c r="S955" s="8">
        <f t="shared" si="187"/>
        <v>2</v>
      </c>
    </row>
    <row r="956" spans="1:19">
      <c r="A956" s="6">
        <f t="shared" si="188"/>
        <v>19101</v>
      </c>
      <c r="B956" s="6">
        <f t="shared" si="180"/>
        <v>191</v>
      </c>
      <c r="C956" s="6">
        <f t="shared" si="189"/>
        <v>1</v>
      </c>
      <c r="D956" s="6" t="str">
        <f t="shared" ref="D956:D1001" si="190">"关卡"&amp;B956&amp;"怪物1"</f>
        <v>关卡191怪物1</v>
      </c>
      <c r="E956" s="6">
        <v>125</v>
      </c>
      <c r="G956" s="6" t="s">
        <v>1378</v>
      </c>
      <c r="H956" s="6">
        <f t="shared" si="179"/>
        <v>0</v>
      </c>
      <c r="I956" s="6" t="str">
        <f>IF(VLOOKUP(E956,Sheet2!$W:$AA,5,0)=0,"",VLOOKUP(E956,Sheet2!$W:$AA,5,0))</f>
        <v>[60016]</v>
      </c>
      <c r="J956" s="6">
        <v>0</v>
      </c>
      <c r="K956" s="6">
        <v>0</v>
      </c>
      <c r="L956" s="6" t="str">
        <f>IF(VLOOKUP(E956,Sheet2!$W:$AA,2,0)=0,"",VLOOKUP(E956,Sheet2!$W:$AA,2,0))</f>
        <v/>
      </c>
      <c r="N956" s="6" t="str">
        <f>IF(VLOOKUP(E956,Sheet2!$W:$AA,3,0)=0,"",VLOOKUP(E956,Sheet2!$W:$AA,3,0))</f>
        <v/>
      </c>
      <c r="Q956" s="6" t="str">
        <f>IF(VLOOKUP(E956,Sheet2!$W:$AA,4,0)=0,"",VLOOKUP(E956,Sheet2!$W:$AA,4,0))</f>
        <v/>
      </c>
      <c r="R956" s="8">
        <f t="shared" ref="R956:R1019" si="191">R951</f>
        <v>24</v>
      </c>
      <c r="S956" s="8">
        <f t="shared" si="187"/>
        <v>2</v>
      </c>
    </row>
    <row r="957" spans="1:19">
      <c r="A957" s="6">
        <f t="shared" si="188"/>
        <v>19102</v>
      </c>
      <c r="B957" s="6">
        <f t="shared" si="180"/>
        <v>191</v>
      </c>
      <c r="C957" s="6">
        <f t="shared" si="189"/>
        <v>2</v>
      </c>
      <c r="D957" s="6" t="str">
        <f t="shared" ref="D957:D1002" si="192">"关卡"&amp;B957&amp;"怪物2"</f>
        <v>关卡191怪物2</v>
      </c>
      <c r="E957" s="6">
        <v>127</v>
      </c>
      <c r="G957" s="6" t="s">
        <v>1379</v>
      </c>
      <c r="H957" s="6">
        <f t="shared" si="179"/>
        <v>0</v>
      </c>
      <c r="I957" s="6" t="str">
        <f>IF(VLOOKUP(E957,Sheet2!$W:$AA,5,0)=0,"",VLOOKUP(E957,Sheet2!$W:$AA,5,0))</f>
        <v>[60015]</v>
      </c>
      <c r="J957" s="6">
        <v>0</v>
      </c>
      <c r="K957" s="6">
        <v>0</v>
      </c>
      <c r="L957" s="6" t="str">
        <f>IF(VLOOKUP(E957,Sheet2!$W:$AA,2,0)=0,"",VLOOKUP(E957,Sheet2!$W:$AA,2,0))</f>
        <v/>
      </c>
      <c r="N957" s="6" t="str">
        <f>IF(VLOOKUP(E957,Sheet2!$W:$AA,3,0)=0,"",VLOOKUP(E957,Sheet2!$W:$AA,3,0))</f>
        <v/>
      </c>
      <c r="Q957" s="6" t="str">
        <f>IF(VLOOKUP(E957,Sheet2!$W:$AA,4,0)=0,"",VLOOKUP(E957,Sheet2!$W:$AA,4,0))</f>
        <v/>
      </c>
      <c r="R957" s="8">
        <f t="shared" si="191"/>
        <v>24</v>
      </c>
      <c r="S957" s="8">
        <f t="shared" si="187"/>
        <v>2</v>
      </c>
    </row>
    <row r="958" spans="1:19">
      <c r="A958" s="6">
        <f t="shared" si="188"/>
        <v>19103</v>
      </c>
      <c r="B958" s="6">
        <f t="shared" si="180"/>
        <v>191</v>
      </c>
      <c r="C958" s="6">
        <f t="shared" si="189"/>
        <v>3</v>
      </c>
      <c r="D958" s="6" t="str">
        <f t="shared" ref="D958:D1003" si="193">"关卡"&amp;B958&amp;"怪物3"</f>
        <v>关卡191怪物3</v>
      </c>
      <c r="E958" s="6">
        <v>126</v>
      </c>
      <c r="G958" s="6" t="s">
        <v>1380</v>
      </c>
      <c r="H958" s="6">
        <f t="shared" si="179"/>
        <v>0</v>
      </c>
      <c r="I958" s="6" t="str">
        <f>IF(VLOOKUP(E958,Sheet2!$W:$AA,5,0)=0,"",VLOOKUP(E958,Sheet2!$W:$AA,5,0))</f>
        <v>[60014]</v>
      </c>
      <c r="J958" s="6">
        <v>0</v>
      </c>
      <c r="K958" s="6">
        <v>0</v>
      </c>
      <c r="L958" s="6">
        <f>IF(VLOOKUP(E958,Sheet2!$W:$AA,2,0)=0,"",VLOOKUP(E958,Sheet2!$W:$AA,2,0))</f>
        <v>1</v>
      </c>
      <c r="N958" s="6" t="str">
        <f>IF(VLOOKUP(E958,Sheet2!$W:$AA,3,0)=0,"",VLOOKUP(E958,Sheet2!$W:$AA,3,0))</f>
        <v/>
      </c>
      <c r="Q958" s="6" t="str">
        <f>IF(VLOOKUP(E958,Sheet2!$W:$AA,4,0)=0,"",VLOOKUP(E958,Sheet2!$W:$AA,4,0))</f>
        <v>[{50031,6}]</v>
      </c>
      <c r="R958" s="8">
        <f t="shared" si="191"/>
        <v>24</v>
      </c>
      <c r="S958" s="8">
        <f t="shared" si="187"/>
        <v>2</v>
      </c>
    </row>
    <row r="959" spans="1:19">
      <c r="A959" s="6">
        <f t="shared" si="188"/>
        <v>19121</v>
      </c>
      <c r="B959" s="6">
        <f t="shared" si="180"/>
        <v>191</v>
      </c>
      <c r="C959" s="6">
        <f t="shared" si="189"/>
        <v>4</v>
      </c>
      <c r="D959" s="6" t="str">
        <f t="shared" ref="D959:D1004" si="194">"关卡"&amp;B959&amp;"BOSS1"</f>
        <v>关卡191BOSS1</v>
      </c>
      <c r="E959" s="6">
        <v>527</v>
      </c>
      <c r="G959" s="6" t="s">
        <v>1381</v>
      </c>
      <c r="H959" s="6">
        <f t="shared" si="179"/>
        <v>2</v>
      </c>
      <c r="I959" s="6" t="str">
        <f>IF(VLOOKUP(E959,Sheet2!$W:$AA,5,0)=0,"",VLOOKUP(E959,Sheet2!$W:$AA,5,0))</f>
        <v>[60015]</v>
      </c>
      <c r="J959" s="6">
        <v>0</v>
      </c>
      <c r="K959" s="6">
        <v>0</v>
      </c>
      <c r="L959" s="6" t="str">
        <f>IF(VLOOKUP(E959,Sheet2!$W:$AA,2,0)=0,"",VLOOKUP(E959,Sheet2!$W:$AA,2,0))</f>
        <v/>
      </c>
      <c r="N959" s="6" t="str">
        <f>IF(VLOOKUP(E959,Sheet2!$W:$AA,3,0)=0,"",VLOOKUP(E959,Sheet2!$W:$AA,3,0))</f>
        <v/>
      </c>
      <c r="Q959" s="6" t="str">
        <f>IF(VLOOKUP(E959,Sheet2!$W:$AA,4,0)=0,"",VLOOKUP(E959,Sheet2!$W:$AA,4,0))</f>
        <v/>
      </c>
      <c r="R959" s="8">
        <f t="shared" si="191"/>
        <v>100</v>
      </c>
      <c r="S959" s="8">
        <f t="shared" si="187"/>
        <v>2</v>
      </c>
    </row>
    <row r="960" spans="1:19">
      <c r="A960" s="6">
        <f t="shared" si="188"/>
        <v>19131</v>
      </c>
      <c r="B960" s="6">
        <f t="shared" si="180"/>
        <v>191</v>
      </c>
      <c r="C960" s="6">
        <f t="shared" si="189"/>
        <v>5</v>
      </c>
      <c r="D960" s="6" t="str">
        <f t="shared" ref="D960:D1005" si="195">"关卡"&amp;B960&amp;"BOSS2"</f>
        <v>关卡191BOSS2</v>
      </c>
      <c r="E960" s="6">
        <v>527</v>
      </c>
      <c r="G960" s="6" t="s">
        <v>1382</v>
      </c>
      <c r="H960" s="6">
        <f t="shared" si="179"/>
        <v>2</v>
      </c>
      <c r="I960" s="6" t="str">
        <f>IF(VLOOKUP(E960,Sheet2!$W:$AA,5,0)=0,"",VLOOKUP(E960,Sheet2!$W:$AA,5,0))</f>
        <v>[60015]</v>
      </c>
      <c r="J960" s="6">
        <v>0</v>
      </c>
      <c r="K960" s="6">
        <v>0</v>
      </c>
      <c r="L960" s="6" t="str">
        <f>IF(VLOOKUP(E960,Sheet2!$W:$AA,2,0)=0,"",VLOOKUP(E960,Sheet2!$W:$AA,2,0))</f>
        <v/>
      </c>
      <c r="N960" s="6" t="str">
        <f>IF(VLOOKUP(E960,Sheet2!$W:$AA,3,0)=0,"",VLOOKUP(E960,Sheet2!$W:$AA,3,0))</f>
        <v/>
      </c>
      <c r="Q960" s="6" t="str">
        <f>IF(VLOOKUP(E960,Sheet2!$W:$AA,4,0)=0,"",VLOOKUP(E960,Sheet2!$W:$AA,4,0))</f>
        <v/>
      </c>
      <c r="R960" s="8">
        <f t="shared" si="191"/>
        <v>100</v>
      </c>
      <c r="S960" s="8">
        <f t="shared" si="187"/>
        <v>2</v>
      </c>
    </row>
    <row r="961" spans="1:19">
      <c r="A961" s="6">
        <f t="shared" si="188"/>
        <v>19201</v>
      </c>
      <c r="B961" s="6">
        <f t="shared" si="180"/>
        <v>192</v>
      </c>
      <c r="C961" s="6">
        <f t="shared" si="189"/>
        <v>1</v>
      </c>
      <c r="D961" s="6" t="str">
        <f t="shared" si="190"/>
        <v>关卡192怪物1</v>
      </c>
      <c r="E961" s="6">
        <v>101</v>
      </c>
      <c r="G961" s="6" t="s">
        <v>1383</v>
      </c>
      <c r="H961" s="6">
        <f t="shared" si="179"/>
        <v>0</v>
      </c>
      <c r="I961" s="6" t="str">
        <f>IF(VLOOKUP(E961,Sheet2!$W:$AA,5,0)=0,"",VLOOKUP(E961,Sheet2!$W:$AA,5,0))</f>
        <v/>
      </c>
      <c r="J961" s="6">
        <v>0</v>
      </c>
      <c r="K961" s="6">
        <v>0</v>
      </c>
      <c r="L961" s="6" t="str">
        <f>IF(VLOOKUP(E961,Sheet2!$W:$AA,2,0)=0,"",VLOOKUP(E961,Sheet2!$W:$AA,2,0))</f>
        <v/>
      </c>
      <c r="N961" s="6" t="str">
        <f>IF(VLOOKUP(E961,Sheet2!$W:$AA,3,0)=0,"",VLOOKUP(E961,Sheet2!$W:$AA,3,0))</f>
        <v/>
      </c>
      <c r="Q961" s="6" t="str">
        <f>IF(VLOOKUP(E961,Sheet2!$W:$AA,4,0)=0,"",VLOOKUP(E961,Sheet2!$W:$AA,4,0))</f>
        <v/>
      </c>
      <c r="R961" s="8">
        <f t="shared" si="191"/>
        <v>24</v>
      </c>
      <c r="S961" s="8">
        <f t="shared" si="187"/>
        <v>2</v>
      </c>
    </row>
    <row r="962" spans="1:19">
      <c r="A962" s="6">
        <f t="shared" si="188"/>
        <v>19202</v>
      </c>
      <c r="B962" s="6">
        <f t="shared" si="180"/>
        <v>192</v>
      </c>
      <c r="C962" s="6">
        <f t="shared" si="189"/>
        <v>2</v>
      </c>
      <c r="D962" s="6" t="str">
        <f t="shared" si="192"/>
        <v>关卡192怪物2</v>
      </c>
      <c r="E962" s="6">
        <v>106</v>
      </c>
      <c r="G962" s="6" t="s">
        <v>1384</v>
      </c>
      <c r="H962" s="6">
        <f t="shared" ref="H962:H1025" si="196">H957</f>
        <v>0</v>
      </c>
      <c r="I962" s="6" t="str">
        <f>IF(VLOOKUP(E962,Sheet2!$W:$AA,5,0)=0,"",VLOOKUP(E962,Sheet2!$W:$AA,5,0))</f>
        <v>[60002]</v>
      </c>
      <c r="J962" s="6">
        <v>0</v>
      </c>
      <c r="K962" s="6">
        <v>0</v>
      </c>
      <c r="L962" s="6">
        <f>IF(VLOOKUP(E962,Sheet2!$W:$AA,2,0)=0,"",VLOOKUP(E962,Sheet2!$W:$AA,2,0))</f>
        <v>1</v>
      </c>
      <c r="N962" s="6">
        <f>IF(VLOOKUP(E962,Sheet2!$W:$AA,3,0)=0,"",VLOOKUP(E962,Sheet2!$W:$AA,3,0))</f>
        <v>2002</v>
      </c>
      <c r="Q962" s="6" t="str">
        <f>IF(VLOOKUP(E962,Sheet2!$W:$AA,4,0)=0,"",VLOOKUP(E962,Sheet2!$W:$AA,4,0))</f>
        <v>[{50012,6}]</v>
      </c>
      <c r="R962" s="8">
        <f t="shared" si="191"/>
        <v>24</v>
      </c>
      <c r="S962" s="8">
        <f t="shared" si="187"/>
        <v>2</v>
      </c>
    </row>
    <row r="963" spans="1:19">
      <c r="A963" s="6">
        <f t="shared" si="188"/>
        <v>19203</v>
      </c>
      <c r="B963" s="6">
        <f t="shared" si="180"/>
        <v>192</v>
      </c>
      <c r="C963" s="6">
        <f t="shared" si="189"/>
        <v>3</v>
      </c>
      <c r="D963" s="6" t="str">
        <f t="shared" si="193"/>
        <v>关卡192怪物3</v>
      </c>
      <c r="E963" s="6">
        <v>106</v>
      </c>
      <c r="G963" s="6" t="s">
        <v>1385</v>
      </c>
      <c r="H963" s="6">
        <f t="shared" si="196"/>
        <v>0</v>
      </c>
      <c r="I963" s="6" t="str">
        <f>IF(VLOOKUP(E963,Sheet2!$W:$AA,5,0)=0,"",VLOOKUP(E963,Sheet2!$W:$AA,5,0))</f>
        <v>[60002]</v>
      </c>
      <c r="J963" s="6">
        <v>0</v>
      </c>
      <c r="K963" s="6">
        <v>0</v>
      </c>
      <c r="L963" s="6">
        <f>IF(VLOOKUP(E963,Sheet2!$W:$AA,2,0)=0,"",VLOOKUP(E963,Sheet2!$W:$AA,2,0))</f>
        <v>1</v>
      </c>
      <c r="N963" s="6">
        <f>IF(VLOOKUP(E963,Sheet2!$W:$AA,3,0)=0,"",VLOOKUP(E963,Sheet2!$W:$AA,3,0))</f>
        <v>2002</v>
      </c>
      <c r="Q963" s="6" t="str">
        <f>IF(VLOOKUP(E963,Sheet2!$W:$AA,4,0)=0,"",VLOOKUP(E963,Sheet2!$W:$AA,4,0))</f>
        <v>[{50012,6}]</v>
      </c>
      <c r="R963" s="8">
        <f t="shared" si="191"/>
        <v>24</v>
      </c>
      <c r="S963" s="8">
        <f t="shared" si="187"/>
        <v>2</v>
      </c>
    </row>
    <row r="964" spans="1:19">
      <c r="A964" s="6">
        <f t="shared" si="188"/>
        <v>19221</v>
      </c>
      <c r="B964" s="6">
        <f t="shared" si="180"/>
        <v>192</v>
      </c>
      <c r="C964" s="6">
        <f t="shared" si="189"/>
        <v>4</v>
      </c>
      <c r="D964" s="6" t="str">
        <f t="shared" si="194"/>
        <v>关卡192BOSS1</v>
      </c>
      <c r="E964" s="6">
        <v>501</v>
      </c>
      <c r="G964" s="6" t="s">
        <v>1386</v>
      </c>
      <c r="H964" s="6">
        <f t="shared" si="196"/>
        <v>2</v>
      </c>
      <c r="I964" s="6" t="str">
        <f>IF(VLOOKUP(E964,Sheet2!$W:$AA,5,0)=0,"",VLOOKUP(E964,Sheet2!$W:$AA,5,0))</f>
        <v/>
      </c>
      <c r="J964" s="6">
        <v>0</v>
      </c>
      <c r="K964" s="6">
        <v>0</v>
      </c>
      <c r="L964" s="6" t="str">
        <f>IF(VLOOKUP(E964,Sheet2!$W:$AA,2,0)=0,"",VLOOKUP(E964,Sheet2!$W:$AA,2,0))</f>
        <v/>
      </c>
      <c r="N964" s="6" t="str">
        <f>IF(VLOOKUP(E964,Sheet2!$W:$AA,3,0)=0,"",VLOOKUP(E964,Sheet2!$W:$AA,3,0))</f>
        <v/>
      </c>
      <c r="Q964" s="6" t="str">
        <f>IF(VLOOKUP(E964,Sheet2!$W:$AA,4,0)=0,"",VLOOKUP(E964,Sheet2!$W:$AA,4,0))</f>
        <v/>
      </c>
      <c r="R964" s="8">
        <f t="shared" si="191"/>
        <v>100</v>
      </c>
      <c r="S964" s="8">
        <f t="shared" si="187"/>
        <v>2</v>
      </c>
    </row>
    <row r="965" spans="1:19">
      <c r="A965" s="6">
        <f t="shared" si="188"/>
        <v>19231</v>
      </c>
      <c r="B965" s="6">
        <f t="shared" si="180"/>
        <v>192</v>
      </c>
      <c r="C965" s="6">
        <f t="shared" si="189"/>
        <v>5</v>
      </c>
      <c r="D965" s="6" t="str">
        <f t="shared" si="195"/>
        <v>关卡192BOSS2</v>
      </c>
      <c r="E965" s="6">
        <v>501</v>
      </c>
      <c r="G965" s="6" t="s">
        <v>1387</v>
      </c>
      <c r="H965" s="6">
        <f t="shared" si="196"/>
        <v>2</v>
      </c>
      <c r="I965" s="6" t="str">
        <f>IF(VLOOKUP(E965,Sheet2!$W:$AA,5,0)=0,"",VLOOKUP(E965,Sheet2!$W:$AA,5,0))</f>
        <v/>
      </c>
      <c r="J965" s="6">
        <v>0</v>
      </c>
      <c r="K965" s="6">
        <v>0</v>
      </c>
      <c r="L965" s="6" t="str">
        <f>IF(VLOOKUP(E965,Sheet2!$W:$AA,2,0)=0,"",VLOOKUP(E965,Sheet2!$W:$AA,2,0))</f>
        <v/>
      </c>
      <c r="N965" s="6" t="str">
        <f>IF(VLOOKUP(E965,Sheet2!$W:$AA,3,0)=0,"",VLOOKUP(E965,Sheet2!$W:$AA,3,0))</f>
        <v/>
      </c>
      <c r="Q965" s="6" t="str">
        <f>IF(VLOOKUP(E965,Sheet2!$W:$AA,4,0)=0,"",VLOOKUP(E965,Sheet2!$W:$AA,4,0))</f>
        <v/>
      </c>
      <c r="R965" s="8">
        <f t="shared" si="191"/>
        <v>100</v>
      </c>
      <c r="S965" s="8">
        <f t="shared" si="187"/>
        <v>2</v>
      </c>
    </row>
    <row r="966" spans="1:19">
      <c r="A966" s="6">
        <f t="shared" si="188"/>
        <v>19301</v>
      </c>
      <c r="B966" s="6">
        <f t="shared" si="180"/>
        <v>193</v>
      </c>
      <c r="C966" s="6">
        <f t="shared" si="189"/>
        <v>1</v>
      </c>
      <c r="D966" s="6" t="str">
        <f t="shared" si="190"/>
        <v>关卡193怪物1</v>
      </c>
      <c r="E966" s="6">
        <v>108</v>
      </c>
      <c r="G966" s="6" t="s">
        <v>1388</v>
      </c>
      <c r="H966" s="6">
        <f t="shared" si="196"/>
        <v>0</v>
      </c>
      <c r="I966" s="6" t="str">
        <f>IF(VLOOKUP(E966,Sheet2!$W:$AA,5,0)=0,"",VLOOKUP(E966,Sheet2!$W:$AA,5,0))</f>
        <v/>
      </c>
      <c r="J966" s="6">
        <v>0</v>
      </c>
      <c r="K966" s="6">
        <v>0</v>
      </c>
      <c r="L966" s="6" t="str">
        <f>IF(VLOOKUP(E966,Sheet2!$W:$AA,2,0)=0,"",VLOOKUP(E966,Sheet2!$W:$AA,2,0))</f>
        <v/>
      </c>
      <c r="N966" s="6" t="str">
        <f>IF(VLOOKUP(E966,Sheet2!$W:$AA,3,0)=0,"",VLOOKUP(E966,Sheet2!$W:$AA,3,0))</f>
        <v/>
      </c>
      <c r="Q966" s="6" t="str">
        <f>IF(VLOOKUP(E966,Sheet2!$W:$AA,4,0)=0,"",VLOOKUP(E966,Sheet2!$W:$AA,4,0))</f>
        <v/>
      </c>
      <c r="R966" s="8">
        <f t="shared" si="191"/>
        <v>24</v>
      </c>
      <c r="S966" s="8">
        <f t="shared" si="187"/>
        <v>2</v>
      </c>
    </row>
    <row r="967" spans="1:19">
      <c r="A967" s="6">
        <f t="shared" si="188"/>
        <v>19302</v>
      </c>
      <c r="B967" s="6">
        <f t="shared" si="180"/>
        <v>193</v>
      </c>
      <c r="C967" s="6">
        <f t="shared" si="189"/>
        <v>2</v>
      </c>
      <c r="D967" s="6" t="str">
        <f t="shared" si="192"/>
        <v>关卡193怪物2</v>
      </c>
      <c r="E967" s="6">
        <v>107</v>
      </c>
      <c r="G967" s="6" t="s">
        <v>1389</v>
      </c>
      <c r="H967" s="6">
        <f t="shared" si="196"/>
        <v>0</v>
      </c>
      <c r="I967" s="6" t="str">
        <f>IF(VLOOKUP(E967,Sheet2!$W:$AA,5,0)=0,"",VLOOKUP(E967,Sheet2!$W:$AA,5,0))</f>
        <v>[60004]</v>
      </c>
      <c r="J967" s="6">
        <v>0</v>
      </c>
      <c r="K967" s="6">
        <v>0</v>
      </c>
      <c r="L967" s="6">
        <f>IF(VLOOKUP(E967,Sheet2!$W:$AA,2,0)=0,"",VLOOKUP(E967,Sheet2!$W:$AA,2,0))</f>
        <v>1</v>
      </c>
      <c r="N967" s="6" t="str">
        <f>IF(VLOOKUP(E967,Sheet2!$W:$AA,3,0)=0,"",VLOOKUP(E967,Sheet2!$W:$AA,3,0))</f>
        <v/>
      </c>
      <c r="Q967" s="6" t="str">
        <f>IF(VLOOKUP(E967,Sheet2!$W:$AA,4,0)=0,"",VLOOKUP(E967,Sheet2!$W:$AA,4,0))</f>
        <v>[{50013,6}]</v>
      </c>
      <c r="R967" s="8">
        <f t="shared" si="191"/>
        <v>24</v>
      </c>
      <c r="S967" s="8">
        <f t="shared" si="187"/>
        <v>2</v>
      </c>
    </row>
    <row r="968" spans="1:19">
      <c r="A968" s="6">
        <f t="shared" si="188"/>
        <v>19303</v>
      </c>
      <c r="B968" s="6">
        <f t="shared" si="180"/>
        <v>193</v>
      </c>
      <c r="C968" s="6">
        <f t="shared" si="189"/>
        <v>3</v>
      </c>
      <c r="D968" s="6" t="str">
        <f t="shared" si="193"/>
        <v>关卡193怪物3</v>
      </c>
      <c r="E968" s="6">
        <v>109</v>
      </c>
      <c r="G968" s="6" t="s">
        <v>1390</v>
      </c>
      <c r="H968" s="6">
        <f t="shared" si="196"/>
        <v>0</v>
      </c>
      <c r="I968" s="6" t="str">
        <f>IF(VLOOKUP(E968,Sheet2!$W:$AA,5,0)=0,"",VLOOKUP(E968,Sheet2!$W:$AA,5,0))</f>
        <v/>
      </c>
      <c r="J968" s="6">
        <v>0</v>
      </c>
      <c r="K968" s="6">
        <v>0</v>
      </c>
      <c r="L968" s="6">
        <f>IF(VLOOKUP(E968,Sheet2!$W:$AA,2,0)=0,"",VLOOKUP(E968,Sheet2!$W:$AA,2,0))</f>
        <v>1</v>
      </c>
      <c r="N968" s="6" t="str">
        <f>IF(VLOOKUP(E968,Sheet2!$W:$AA,3,0)=0,"",VLOOKUP(E968,Sheet2!$W:$AA,3,0))</f>
        <v/>
      </c>
      <c r="Q968" s="6" t="str">
        <f>IF(VLOOKUP(E968,Sheet2!$W:$AA,4,0)=0,"",VLOOKUP(E968,Sheet2!$W:$AA,4,0))</f>
        <v>[{50014,6}]</v>
      </c>
      <c r="R968" s="8">
        <f t="shared" si="191"/>
        <v>24</v>
      </c>
      <c r="S968" s="8">
        <f t="shared" si="187"/>
        <v>2</v>
      </c>
    </row>
    <row r="969" spans="1:19">
      <c r="A969" s="6">
        <f t="shared" si="188"/>
        <v>19321</v>
      </c>
      <c r="B969" s="6">
        <f t="shared" si="180"/>
        <v>193</v>
      </c>
      <c r="C969" s="6">
        <f t="shared" si="189"/>
        <v>4</v>
      </c>
      <c r="D969" s="6" t="str">
        <f t="shared" si="194"/>
        <v>关卡193BOSS1</v>
      </c>
      <c r="E969" s="6">
        <v>508</v>
      </c>
      <c r="G969" s="6" t="s">
        <v>1391</v>
      </c>
      <c r="H969" s="6">
        <f t="shared" si="196"/>
        <v>2</v>
      </c>
      <c r="I969" s="6" t="str">
        <f>IF(VLOOKUP(E969,Sheet2!$W:$AA,5,0)=0,"",VLOOKUP(E969,Sheet2!$W:$AA,5,0))</f>
        <v/>
      </c>
      <c r="J969" s="6">
        <v>0</v>
      </c>
      <c r="K969" s="6">
        <v>0</v>
      </c>
      <c r="L969" s="6" t="str">
        <f>IF(VLOOKUP(E969,Sheet2!$W:$AA,2,0)=0,"",VLOOKUP(E969,Sheet2!$W:$AA,2,0))</f>
        <v/>
      </c>
      <c r="N969" s="6" t="str">
        <f>IF(VLOOKUP(E969,Sheet2!$W:$AA,3,0)=0,"",VLOOKUP(E969,Sheet2!$W:$AA,3,0))</f>
        <v/>
      </c>
      <c r="Q969" s="6" t="str">
        <f>IF(VLOOKUP(E969,Sheet2!$W:$AA,4,0)=0,"",VLOOKUP(E969,Sheet2!$W:$AA,4,0))</f>
        <v/>
      </c>
      <c r="R969" s="8">
        <f t="shared" si="191"/>
        <v>100</v>
      </c>
      <c r="S969" s="8">
        <f t="shared" si="187"/>
        <v>2</v>
      </c>
    </row>
    <row r="970" spans="1:19">
      <c r="A970" s="6">
        <f t="shared" si="188"/>
        <v>19331</v>
      </c>
      <c r="B970" s="6">
        <f t="shared" si="180"/>
        <v>193</v>
      </c>
      <c r="C970" s="6">
        <f t="shared" si="189"/>
        <v>5</v>
      </c>
      <c r="D970" s="6" t="str">
        <f t="shared" si="195"/>
        <v>关卡193BOSS2</v>
      </c>
      <c r="E970" s="6">
        <v>508</v>
      </c>
      <c r="G970" s="6" t="s">
        <v>1392</v>
      </c>
      <c r="H970" s="6">
        <f t="shared" si="196"/>
        <v>2</v>
      </c>
      <c r="I970" s="6" t="str">
        <f>IF(VLOOKUP(E970,Sheet2!$W:$AA,5,0)=0,"",VLOOKUP(E970,Sheet2!$W:$AA,5,0))</f>
        <v/>
      </c>
      <c r="J970" s="6">
        <v>0</v>
      </c>
      <c r="K970" s="6">
        <v>0</v>
      </c>
      <c r="L970" s="6" t="str">
        <f>IF(VLOOKUP(E970,Sheet2!$W:$AA,2,0)=0,"",VLOOKUP(E970,Sheet2!$W:$AA,2,0))</f>
        <v/>
      </c>
      <c r="N970" s="6" t="str">
        <f>IF(VLOOKUP(E970,Sheet2!$W:$AA,3,0)=0,"",VLOOKUP(E970,Sheet2!$W:$AA,3,0))</f>
        <v/>
      </c>
      <c r="Q970" s="6" t="str">
        <f>IF(VLOOKUP(E970,Sheet2!$W:$AA,4,0)=0,"",VLOOKUP(E970,Sheet2!$W:$AA,4,0))</f>
        <v/>
      </c>
      <c r="R970" s="8">
        <f t="shared" si="191"/>
        <v>100</v>
      </c>
      <c r="S970" s="8">
        <f t="shared" si="187"/>
        <v>2</v>
      </c>
    </row>
    <row r="971" spans="1:19">
      <c r="A971" s="6">
        <f t="shared" si="188"/>
        <v>19401</v>
      </c>
      <c r="B971" s="6">
        <f t="shared" si="180"/>
        <v>194</v>
      </c>
      <c r="C971" s="6">
        <f t="shared" si="189"/>
        <v>1</v>
      </c>
      <c r="D971" s="6" t="str">
        <f t="shared" si="190"/>
        <v>关卡194怪物1</v>
      </c>
      <c r="E971" s="6">
        <v>100</v>
      </c>
      <c r="G971" s="6" t="s">
        <v>1393</v>
      </c>
      <c r="H971" s="6">
        <f t="shared" si="196"/>
        <v>0</v>
      </c>
      <c r="I971" s="6" t="str">
        <f>IF(VLOOKUP(E971,Sheet2!$W:$AA,5,0)=0,"",VLOOKUP(E971,Sheet2!$W:$AA,5,0))</f>
        <v>[60002]</v>
      </c>
      <c r="J971" s="6">
        <v>0</v>
      </c>
      <c r="K971" s="6">
        <v>0</v>
      </c>
      <c r="L971" s="6" t="str">
        <f>IF(VLOOKUP(E971,Sheet2!$W:$AA,2,0)=0,"",VLOOKUP(E971,Sheet2!$W:$AA,2,0))</f>
        <v/>
      </c>
      <c r="N971" s="6">
        <f>IF(VLOOKUP(E971,Sheet2!$W:$AA,3,0)=0,"",VLOOKUP(E971,Sheet2!$W:$AA,3,0))</f>
        <v>2001</v>
      </c>
      <c r="Q971" s="6" t="str">
        <f>IF(VLOOKUP(E971,Sheet2!$W:$AA,4,0)=0,"",VLOOKUP(E971,Sheet2!$W:$AA,4,0))</f>
        <v/>
      </c>
      <c r="R971" s="8">
        <f t="shared" si="191"/>
        <v>24</v>
      </c>
      <c r="S971" s="8">
        <f t="shared" si="187"/>
        <v>2</v>
      </c>
    </row>
    <row r="972" spans="1:19">
      <c r="A972" s="6">
        <f t="shared" si="188"/>
        <v>19402</v>
      </c>
      <c r="B972" s="6">
        <f t="shared" si="180"/>
        <v>194</v>
      </c>
      <c r="C972" s="6">
        <f t="shared" si="189"/>
        <v>2</v>
      </c>
      <c r="D972" s="6" t="str">
        <f t="shared" si="192"/>
        <v>关卡194怪物2</v>
      </c>
      <c r="E972" s="6">
        <v>102</v>
      </c>
      <c r="G972" s="6" t="s">
        <v>1394</v>
      </c>
      <c r="H972" s="6">
        <f t="shared" si="196"/>
        <v>0</v>
      </c>
      <c r="I972" s="6" t="str">
        <f>IF(VLOOKUP(E972,Sheet2!$W:$AA,5,0)=0,"",VLOOKUP(E972,Sheet2!$W:$AA,5,0))</f>
        <v/>
      </c>
      <c r="J972" s="6">
        <v>0</v>
      </c>
      <c r="K972" s="6">
        <v>0</v>
      </c>
      <c r="L972" s="6">
        <f>IF(VLOOKUP(E972,Sheet2!$W:$AA,2,0)=0,"",VLOOKUP(E972,Sheet2!$W:$AA,2,0))</f>
        <v>1</v>
      </c>
      <c r="N972" s="6" t="str">
        <f>IF(VLOOKUP(E972,Sheet2!$W:$AA,3,0)=0,"",VLOOKUP(E972,Sheet2!$W:$AA,3,0))</f>
        <v/>
      </c>
      <c r="Q972" s="6" t="str">
        <f>IF(VLOOKUP(E972,Sheet2!$W:$AA,4,0)=0,"",VLOOKUP(E972,Sheet2!$W:$AA,4,0))</f>
        <v>[{50011,6}]</v>
      </c>
      <c r="R972" s="8">
        <f t="shared" si="191"/>
        <v>24</v>
      </c>
      <c r="S972" s="8">
        <f t="shared" si="187"/>
        <v>2</v>
      </c>
    </row>
    <row r="973" spans="1:19">
      <c r="A973" s="6">
        <f t="shared" si="188"/>
        <v>19403</v>
      </c>
      <c r="B973" s="6">
        <f t="shared" si="180"/>
        <v>194</v>
      </c>
      <c r="C973" s="6">
        <f t="shared" si="189"/>
        <v>3</v>
      </c>
      <c r="D973" s="6" t="str">
        <f t="shared" si="193"/>
        <v>关卡194怪物3</v>
      </c>
      <c r="E973" s="6">
        <v>105</v>
      </c>
      <c r="G973" s="6" t="s">
        <v>1395</v>
      </c>
      <c r="H973" s="6">
        <f t="shared" si="196"/>
        <v>0</v>
      </c>
      <c r="I973" s="6" t="str">
        <f>IF(VLOOKUP(E973,Sheet2!$W:$AA,5,0)=0,"",VLOOKUP(E973,Sheet2!$W:$AA,5,0))</f>
        <v>[60003]</v>
      </c>
      <c r="J973" s="6">
        <v>0</v>
      </c>
      <c r="K973" s="6">
        <v>0</v>
      </c>
      <c r="L973" s="6" t="str">
        <f>IF(VLOOKUP(E973,Sheet2!$W:$AA,2,0)=0,"",VLOOKUP(E973,Sheet2!$W:$AA,2,0))</f>
        <v/>
      </c>
      <c r="N973" s="6" t="str">
        <f>IF(VLOOKUP(E973,Sheet2!$W:$AA,3,0)=0,"",VLOOKUP(E973,Sheet2!$W:$AA,3,0))</f>
        <v/>
      </c>
      <c r="Q973" s="6" t="str">
        <f>IF(VLOOKUP(E973,Sheet2!$W:$AA,4,0)=0,"",VLOOKUP(E973,Sheet2!$W:$AA,4,0))</f>
        <v/>
      </c>
      <c r="R973" s="8">
        <f t="shared" si="191"/>
        <v>24</v>
      </c>
      <c r="S973" s="8">
        <f t="shared" si="187"/>
        <v>2</v>
      </c>
    </row>
    <row r="974" spans="1:19">
      <c r="A974" s="6">
        <f t="shared" si="188"/>
        <v>19421</v>
      </c>
      <c r="B974" s="6">
        <f t="shared" si="180"/>
        <v>194</v>
      </c>
      <c r="C974" s="6">
        <f t="shared" si="189"/>
        <v>4</v>
      </c>
      <c r="D974" s="6" t="str">
        <f t="shared" si="194"/>
        <v>关卡194BOSS1</v>
      </c>
      <c r="E974" s="6">
        <v>502</v>
      </c>
      <c r="G974" s="6" t="s">
        <v>1396</v>
      </c>
      <c r="H974" s="6">
        <f t="shared" si="196"/>
        <v>2</v>
      </c>
      <c r="I974" s="6" t="str">
        <f>IF(VLOOKUP(E974,Sheet2!$W:$AA,5,0)=0,"",VLOOKUP(E974,Sheet2!$W:$AA,5,0))</f>
        <v/>
      </c>
      <c r="J974" s="6">
        <v>0</v>
      </c>
      <c r="K974" s="6">
        <v>0</v>
      </c>
      <c r="L974" s="6">
        <f>IF(VLOOKUP(E974,Sheet2!$W:$AA,2,0)=0,"",VLOOKUP(E974,Sheet2!$W:$AA,2,0))</f>
        <v>1</v>
      </c>
      <c r="N974" s="6" t="str">
        <f>IF(VLOOKUP(E974,Sheet2!$W:$AA,3,0)=0,"",VLOOKUP(E974,Sheet2!$W:$AA,3,0))</f>
        <v/>
      </c>
      <c r="Q974" s="6" t="str">
        <f>IF(VLOOKUP(E974,Sheet2!$W:$AA,4,0)=0,"",VLOOKUP(E974,Sheet2!$W:$AA,4,0))</f>
        <v>[{50021,6}]</v>
      </c>
      <c r="R974" s="8">
        <f t="shared" si="191"/>
        <v>100</v>
      </c>
      <c r="S974" s="8">
        <f t="shared" si="187"/>
        <v>2</v>
      </c>
    </row>
    <row r="975" spans="1:19">
      <c r="A975" s="6">
        <f t="shared" si="188"/>
        <v>19431</v>
      </c>
      <c r="B975" s="6">
        <f t="shared" si="180"/>
        <v>194</v>
      </c>
      <c r="C975" s="6">
        <f t="shared" si="189"/>
        <v>5</v>
      </c>
      <c r="D975" s="6" t="str">
        <f t="shared" si="195"/>
        <v>关卡194BOSS2</v>
      </c>
      <c r="E975" s="6">
        <v>500</v>
      </c>
      <c r="G975" s="6" t="s">
        <v>1397</v>
      </c>
      <c r="H975" s="6">
        <f t="shared" si="196"/>
        <v>2</v>
      </c>
      <c r="I975" s="6" t="str">
        <f>IF(VLOOKUP(E975,Sheet2!$W:$AA,5,0)=0,"",VLOOKUP(E975,Sheet2!$W:$AA,5,0))</f>
        <v>[60002]</v>
      </c>
      <c r="J975" s="6">
        <v>0</v>
      </c>
      <c r="K975" s="6">
        <v>0</v>
      </c>
      <c r="L975" s="6" t="str">
        <f>IF(VLOOKUP(E975,Sheet2!$W:$AA,2,0)=0,"",VLOOKUP(E975,Sheet2!$W:$AA,2,0))</f>
        <v/>
      </c>
      <c r="N975" s="6">
        <f>IF(VLOOKUP(E975,Sheet2!$W:$AA,3,0)=0,"",VLOOKUP(E975,Sheet2!$W:$AA,3,0))</f>
        <v>2001</v>
      </c>
      <c r="Q975" s="6" t="str">
        <f>IF(VLOOKUP(E975,Sheet2!$W:$AA,4,0)=0,"",VLOOKUP(E975,Sheet2!$W:$AA,4,0))</f>
        <v/>
      </c>
      <c r="R975" s="8">
        <f t="shared" si="191"/>
        <v>100</v>
      </c>
      <c r="S975" s="8">
        <f t="shared" si="187"/>
        <v>2</v>
      </c>
    </row>
    <row r="976" spans="1:19">
      <c r="A976" s="6">
        <f t="shared" si="188"/>
        <v>19501</v>
      </c>
      <c r="B976" s="6">
        <f t="shared" ref="B976:B1005" si="197">B971+1</f>
        <v>195</v>
      </c>
      <c r="C976" s="6">
        <f t="shared" si="189"/>
        <v>1</v>
      </c>
      <c r="D976" s="6" t="str">
        <f t="shared" si="190"/>
        <v>关卡195怪物1</v>
      </c>
      <c r="E976" s="6">
        <v>115</v>
      </c>
      <c r="G976" s="6" t="s">
        <v>1398</v>
      </c>
      <c r="H976" s="6">
        <f t="shared" si="196"/>
        <v>0</v>
      </c>
      <c r="I976" s="6" t="str">
        <f>IF(VLOOKUP(E976,Sheet2!$W:$AA,5,0)=0,"",VLOOKUP(E976,Sheet2!$W:$AA,5,0))</f>
        <v/>
      </c>
      <c r="J976" s="6">
        <v>0</v>
      </c>
      <c r="K976" s="6">
        <v>0</v>
      </c>
      <c r="L976" s="6" t="str">
        <f>IF(VLOOKUP(E976,Sheet2!$W:$AA,2,0)=0,"",VLOOKUP(E976,Sheet2!$W:$AA,2,0))</f>
        <v/>
      </c>
      <c r="N976" s="6" t="str">
        <f>IF(VLOOKUP(E976,Sheet2!$W:$AA,3,0)=0,"",VLOOKUP(E976,Sheet2!$W:$AA,3,0))</f>
        <v/>
      </c>
      <c r="Q976" s="6" t="str">
        <f>IF(VLOOKUP(E976,Sheet2!$W:$AA,4,0)=0,"",VLOOKUP(E976,Sheet2!$W:$AA,4,0))</f>
        <v/>
      </c>
      <c r="R976" s="8">
        <f t="shared" si="191"/>
        <v>24</v>
      </c>
      <c r="S976" s="8">
        <f t="shared" si="187"/>
        <v>2</v>
      </c>
    </row>
    <row r="977" spans="1:19">
      <c r="A977" s="6">
        <f t="shared" si="188"/>
        <v>19502</v>
      </c>
      <c r="B977" s="6">
        <f t="shared" si="197"/>
        <v>195</v>
      </c>
      <c r="C977" s="6">
        <f t="shared" si="189"/>
        <v>2</v>
      </c>
      <c r="D977" s="6" t="str">
        <f t="shared" si="192"/>
        <v>关卡195怪物2</v>
      </c>
      <c r="E977" s="6">
        <v>112</v>
      </c>
      <c r="G977" s="6" t="s">
        <v>1399</v>
      </c>
      <c r="H977" s="6">
        <f t="shared" si="196"/>
        <v>0</v>
      </c>
      <c r="I977" s="6" t="str">
        <f>IF(VLOOKUP(E977,Sheet2!$W:$AA,5,0)=0,"",VLOOKUP(E977,Sheet2!$W:$AA,5,0))</f>
        <v/>
      </c>
      <c r="J977" s="6">
        <v>0</v>
      </c>
      <c r="K977" s="6">
        <v>0</v>
      </c>
      <c r="L977" s="6">
        <f>IF(VLOOKUP(E977,Sheet2!$W:$AA,2,0)=0,"",VLOOKUP(E977,Sheet2!$W:$AA,2,0))</f>
        <v>1</v>
      </c>
      <c r="N977" s="6" t="str">
        <f>IF(VLOOKUP(E977,Sheet2!$W:$AA,3,0)=0,"",VLOOKUP(E977,Sheet2!$W:$AA,3,0))</f>
        <v/>
      </c>
      <c r="Q977" s="6" t="str">
        <f>IF(VLOOKUP(E977,Sheet2!$W:$AA,4,0)=0,"",VLOOKUP(E977,Sheet2!$W:$AA,4,0))</f>
        <v>[{50015,6}]</v>
      </c>
      <c r="R977" s="8">
        <f t="shared" si="191"/>
        <v>24</v>
      </c>
      <c r="S977" s="8">
        <f t="shared" si="187"/>
        <v>2</v>
      </c>
    </row>
    <row r="978" spans="1:19">
      <c r="A978" s="6">
        <f t="shared" si="188"/>
        <v>19503</v>
      </c>
      <c r="B978" s="6">
        <f t="shared" si="197"/>
        <v>195</v>
      </c>
      <c r="C978" s="6">
        <f t="shared" si="189"/>
        <v>3</v>
      </c>
      <c r="D978" s="6" t="str">
        <f t="shared" si="193"/>
        <v>关卡195怪物3</v>
      </c>
      <c r="E978" s="6">
        <v>113</v>
      </c>
      <c r="G978" s="6" t="s">
        <v>1400</v>
      </c>
      <c r="H978" s="6">
        <f t="shared" si="196"/>
        <v>0</v>
      </c>
      <c r="I978" s="6" t="str">
        <f>IF(VLOOKUP(E978,Sheet2!$W:$AA,5,0)=0,"",VLOOKUP(E978,Sheet2!$W:$AA,5,0))</f>
        <v>[60005]</v>
      </c>
      <c r="J978" s="6">
        <v>0</v>
      </c>
      <c r="K978" s="6">
        <v>0</v>
      </c>
      <c r="L978" s="6">
        <f>IF(VLOOKUP(E978,Sheet2!$W:$AA,2,0)=0,"",VLOOKUP(E978,Sheet2!$W:$AA,2,0))</f>
        <v>1</v>
      </c>
      <c r="N978" s="6" t="str">
        <f>IF(VLOOKUP(E978,Sheet2!$W:$AA,3,0)=0,"",VLOOKUP(E978,Sheet2!$W:$AA,3,0))</f>
        <v/>
      </c>
      <c r="Q978" s="6" t="str">
        <f>IF(VLOOKUP(E978,Sheet2!$W:$AA,4,0)=0,"",VLOOKUP(E978,Sheet2!$W:$AA,4,0))</f>
        <v>[{50016,6}]</v>
      </c>
      <c r="R978" s="8">
        <f t="shared" si="191"/>
        <v>24</v>
      </c>
      <c r="S978" s="8">
        <f t="shared" si="187"/>
        <v>2</v>
      </c>
    </row>
    <row r="979" spans="1:19">
      <c r="A979" s="6">
        <f t="shared" si="188"/>
        <v>19521</v>
      </c>
      <c r="B979" s="6">
        <f t="shared" si="197"/>
        <v>195</v>
      </c>
      <c r="C979" s="6">
        <f t="shared" si="189"/>
        <v>4</v>
      </c>
      <c r="D979" s="6" t="str">
        <f t="shared" si="194"/>
        <v>关卡195BOSS1</v>
      </c>
      <c r="E979" s="6">
        <v>515</v>
      </c>
      <c r="G979" s="6" t="s">
        <v>1401</v>
      </c>
      <c r="H979" s="6">
        <f t="shared" si="196"/>
        <v>2</v>
      </c>
      <c r="I979" s="6" t="str">
        <f>IF(VLOOKUP(E979,Sheet2!$W:$AA,5,0)=0,"",VLOOKUP(E979,Sheet2!$W:$AA,5,0))</f>
        <v/>
      </c>
      <c r="J979" s="6">
        <v>0</v>
      </c>
      <c r="K979" s="6">
        <v>0</v>
      </c>
      <c r="L979" s="6" t="str">
        <f>IF(VLOOKUP(E979,Sheet2!$W:$AA,2,0)=0,"",VLOOKUP(E979,Sheet2!$W:$AA,2,0))</f>
        <v/>
      </c>
      <c r="N979" s="6" t="str">
        <f>IF(VLOOKUP(E979,Sheet2!$W:$AA,3,0)=0,"",VLOOKUP(E979,Sheet2!$W:$AA,3,0))</f>
        <v/>
      </c>
      <c r="Q979" s="6" t="str">
        <f>IF(VLOOKUP(E979,Sheet2!$W:$AA,4,0)=0,"",VLOOKUP(E979,Sheet2!$W:$AA,4,0))</f>
        <v/>
      </c>
      <c r="R979" s="8">
        <f t="shared" si="191"/>
        <v>100</v>
      </c>
      <c r="S979" s="8">
        <f t="shared" si="187"/>
        <v>2</v>
      </c>
    </row>
    <row r="980" spans="1:19">
      <c r="A980" s="6">
        <f t="shared" si="188"/>
        <v>19531</v>
      </c>
      <c r="B980" s="6">
        <f t="shared" si="197"/>
        <v>195</v>
      </c>
      <c r="C980" s="6">
        <f t="shared" si="189"/>
        <v>5</v>
      </c>
      <c r="D980" s="6" t="str">
        <f t="shared" si="195"/>
        <v>关卡195BOSS2</v>
      </c>
      <c r="E980" s="6">
        <v>515</v>
      </c>
      <c r="G980" s="6" t="s">
        <v>1402</v>
      </c>
      <c r="H980" s="6">
        <f t="shared" si="196"/>
        <v>2</v>
      </c>
      <c r="I980" s="6" t="str">
        <f>IF(VLOOKUP(E980,Sheet2!$W:$AA,5,0)=0,"",VLOOKUP(E980,Sheet2!$W:$AA,5,0))</f>
        <v/>
      </c>
      <c r="J980" s="6">
        <v>0</v>
      </c>
      <c r="K980" s="6">
        <v>0</v>
      </c>
      <c r="L980" s="6" t="str">
        <f>IF(VLOOKUP(E980,Sheet2!$W:$AA,2,0)=0,"",VLOOKUP(E980,Sheet2!$W:$AA,2,0))</f>
        <v/>
      </c>
      <c r="N980" s="6" t="str">
        <f>IF(VLOOKUP(E980,Sheet2!$W:$AA,3,0)=0,"",VLOOKUP(E980,Sheet2!$W:$AA,3,0))</f>
        <v/>
      </c>
      <c r="Q980" s="6" t="str">
        <f>IF(VLOOKUP(E980,Sheet2!$W:$AA,4,0)=0,"",VLOOKUP(E980,Sheet2!$W:$AA,4,0))</f>
        <v/>
      </c>
      <c r="R980" s="8">
        <f t="shared" si="191"/>
        <v>100</v>
      </c>
      <c r="S980" s="8">
        <f t="shared" si="187"/>
        <v>2</v>
      </c>
    </row>
    <row r="981" spans="1:19">
      <c r="A981" s="6">
        <f t="shared" si="188"/>
        <v>19601</v>
      </c>
      <c r="B981" s="6">
        <f t="shared" si="197"/>
        <v>196</v>
      </c>
      <c r="C981" s="6">
        <f t="shared" si="189"/>
        <v>1</v>
      </c>
      <c r="D981" s="6" t="str">
        <f t="shared" si="190"/>
        <v>关卡196怪物1</v>
      </c>
      <c r="E981" s="6">
        <v>110</v>
      </c>
      <c r="G981" s="6" t="s">
        <v>1403</v>
      </c>
      <c r="H981" s="6">
        <f t="shared" si="196"/>
        <v>0</v>
      </c>
      <c r="I981" s="6" t="str">
        <f>IF(VLOOKUP(E981,Sheet2!$W:$AA,5,0)=0,"",VLOOKUP(E981,Sheet2!$W:$AA,5,0))</f>
        <v/>
      </c>
      <c r="J981" s="6">
        <v>0</v>
      </c>
      <c r="K981" s="6">
        <v>0</v>
      </c>
      <c r="L981" s="6" t="str">
        <f>IF(VLOOKUP(E981,Sheet2!$W:$AA,2,0)=0,"",VLOOKUP(E981,Sheet2!$W:$AA,2,0))</f>
        <v/>
      </c>
      <c r="N981" s="6" t="str">
        <f>IF(VLOOKUP(E981,Sheet2!$W:$AA,3,0)=0,"",VLOOKUP(E981,Sheet2!$W:$AA,3,0))</f>
        <v/>
      </c>
      <c r="Q981" s="6" t="str">
        <f>IF(VLOOKUP(E981,Sheet2!$W:$AA,4,0)=0,"",VLOOKUP(E981,Sheet2!$W:$AA,4,0))</f>
        <v/>
      </c>
      <c r="R981" s="8">
        <f t="shared" si="191"/>
        <v>24</v>
      </c>
      <c r="S981" s="8">
        <f t="shared" si="187"/>
        <v>2</v>
      </c>
    </row>
    <row r="982" spans="1:19">
      <c r="A982" s="6">
        <f t="shared" si="188"/>
        <v>19602</v>
      </c>
      <c r="B982" s="6">
        <f t="shared" si="197"/>
        <v>196</v>
      </c>
      <c r="C982" s="6">
        <f t="shared" si="189"/>
        <v>2</v>
      </c>
      <c r="D982" s="6" t="str">
        <f t="shared" si="192"/>
        <v>关卡196怪物2</v>
      </c>
      <c r="E982" s="6">
        <v>109</v>
      </c>
      <c r="G982" s="6" t="s">
        <v>1404</v>
      </c>
      <c r="H982" s="6">
        <f t="shared" si="196"/>
        <v>0</v>
      </c>
      <c r="I982" s="6" t="str">
        <f>IF(VLOOKUP(E982,Sheet2!$W:$AA,5,0)=0,"",VLOOKUP(E982,Sheet2!$W:$AA,5,0))</f>
        <v/>
      </c>
      <c r="J982" s="6">
        <v>0</v>
      </c>
      <c r="K982" s="6">
        <v>0</v>
      </c>
      <c r="L982" s="6">
        <f>IF(VLOOKUP(E982,Sheet2!$W:$AA,2,0)=0,"",VLOOKUP(E982,Sheet2!$W:$AA,2,0))</f>
        <v>1</v>
      </c>
      <c r="N982" s="6" t="str">
        <f>IF(VLOOKUP(E982,Sheet2!$W:$AA,3,0)=0,"",VLOOKUP(E982,Sheet2!$W:$AA,3,0))</f>
        <v/>
      </c>
      <c r="Q982" s="6" t="str">
        <f>IF(VLOOKUP(E982,Sheet2!$W:$AA,4,0)=0,"",VLOOKUP(E982,Sheet2!$W:$AA,4,0))</f>
        <v>[{50014,6}]</v>
      </c>
      <c r="R982" s="8">
        <f t="shared" si="191"/>
        <v>24</v>
      </c>
      <c r="S982" s="8">
        <f t="shared" si="187"/>
        <v>2</v>
      </c>
    </row>
    <row r="983" spans="1:19">
      <c r="A983" s="6">
        <f t="shared" si="188"/>
        <v>19603</v>
      </c>
      <c r="B983" s="6">
        <f t="shared" si="197"/>
        <v>196</v>
      </c>
      <c r="C983" s="6">
        <f t="shared" si="189"/>
        <v>3</v>
      </c>
      <c r="D983" s="6" t="str">
        <f t="shared" si="193"/>
        <v>关卡196怪物3</v>
      </c>
      <c r="E983" s="6">
        <v>114</v>
      </c>
      <c r="G983" s="6" t="s">
        <v>1405</v>
      </c>
      <c r="H983" s="6">
        <f t="shared" si="196"/>
        <v>0</v>
      </c>
      <c r="I983" s="6" t="str">
        <f>IF(VLOOKUP(E983,Sheet2!$W:$AA,5,0)=0,"",VLOOKUP(E983,Sheet2!$W:$AA,5,0))</f>
        <v/>
      </c>
      <c r="J983" s="6">
        <v>0</v>
      </c>
      <c r="K983" s="6">
        <v>0</v>
      </c>
      <c r="L983" s="6" t="str">
        <f>IF(VLOOKUP(E983,Sheet2!$W:$AA,2,0)=0,"",VLOOKUP(E983,Sheet2!$W:$AA,2,0))</f>
        <v/>
      </c>
      <c r="N983" s="6" t="str">
        <f>IF(VLOOKUP(E983,Sheet2!$W:$AA,3,0)=0,"",VLOOKUP(E983,Sheet2!$W:$AA,3,0))</f>
        <v/>
      </c>
      <c r="Q983" s="6" t="str">
        <f>IF(VLOOKUP(E983,Sheet2!$W:$AA,4,0)=0,"",VLOOKUP(E983,Sheet2!$W:$AA,4,0))</f>
        <v/>
      </c>
      <c r="R983" s="8">
        <f t="shared" si="191"/>
        <v>24</v>
      </c>
      <c r="S983" s="8">
        <f t="shared" si="187"/>
        <v>2</v>
      </c>
    </row>
    <row r="984" spans="1:19">
      <c r="A984" s="6">
        <f t="shared" si="188"/>
        <v>19621</v>
      </c>
      <c r="B984" s="6">
        <f t="shared" si="197"/>
        <v>196</v>
      </c>
      <c r="C984" s="6">
        <f t="shared" si="189"/>
        <v>4</v>
      </c>
      <c r="D984" s="6" t="str">
        <f t="shared" si="194"/>
        <v>关卡196BOSS1</v>
      </c>
      <c r="E984" s="6">
        <v>514</v>
      </c>
      <c r="G984" s="6" t="s">
        <v>1406</v>
      </c>
      <c r="H984" s="6">
        <f t="shared" si="196"/>
        <v>2</v>
      </c>
      <c r="I984" s="6" t="str">
        <f>IF(VLOOKUP(E984,Sheet2!$W:$AA,5,0)=0,"",VLOOKUP(E984,Sheet2!$W:$AA,5,0))</f>
        <v/>
      </c>
      <c r="J984" s="6">
        <v>0</v>
      </c>
      <c r="K984" s="6">
        <v>0</v>
      </c>
      <c r="L984" s="6" t="str">
        <f>IF(VLOOKUP(E984,Sheet2!$W:$AA,2,0)=0,"",VLOOKUP(E984,Sheet2!$W:$AA,2,0))</f>
        <v/>
      </c>
      <c r="N984" s="6" t="str">
        <f>IF(VLOOKUP(E984,Sheet2!$W:$AA,3,0)=0,"",VLOOKUP(E984,Sheet2!$W:$AA,3,0))</f>
        <v/>
      </c>
      <c r="Q984" s="6" t="str">
        <f>IF(VLOOKUP(E984,Sheet2!$W:$AA,4,0)=0,"",VLOOKUP(E984,Sheet2!$W:$AA,4,0))</f>
        <v/>
      </c>
      <c r="R984" s="8">
        <f t="shared" si="191"/>
        <v>100</v>
      </c>
      <c r="S984" s="8">
        <f t="shared" si="187"/>
        <v>2</v>
      </c>
    </row>
    <row r="985" spans="1:19">
      <c r="A985" s="6">
        <f t="shared" si="188"/>
        <v>19631</v>
      </c>
      <c r="B985" s="6">
        <f t="shared" si="197"/>
        <v>196</v>
      </c>
      <c r="C985" s="6">
        <f t="shared" si="189"/>
        <v>5</v>
      </c>
      <c r="D985" s="6" t="str">
        <f t="shared" si="195"/>
        <v>关卡196BOSS2</v>
      </c>
      <c r="E985" s="6">
        <v>514</v>
      </c>
      <c r="G985" s="6" t="s">
        <v>1407</v>
      </c>
      <c r="H985" s="6">
        <f t="shared" si="196"/>
        <v>2</v>
      </c>
      <c r="I985" s="6" t="str">
        <f>IF(VLOOKUP(E985,Sheet2!$W:$AA,5,0)=0,"",VLOOKUP(E985,Sheet2!$W:$AA,5,0))</f>
        <v/>
      </c>
      <c r="J985" s="6">
        <v>0</v>
      </c>
      <c r="K985" s="6">
        <v>0</v>
      </c>
      <c r="L985" s="6" t="str">
        <f>IF(VLOOKUP(E985,Sheet2!$W:$AA,2,0)=0,"",VLOOKUP(E985,Sheet2!$W:$AA,2,0))</f>
        <v/>
      </c>
      <c r="N985" s="6" t="str">
        <f>IF(VLOOKUP(E985,Sheet2!$W:$AA,3,0)=0,"",VLOOKUP(E985,Sheet2!$W:$AA,3,0))</f>
        <v/>
      </c>
      <c r="Q985" s="6" t="str">
        <f>IF(VLOOKUP(E985,Sheet2!$W:$AA,4,0)=0,"",VLOOKUP(E985,Sheet2!$W:$AA,4,0))</f>
        <v/>
      </c>
      <c r="R985" s="8">
        <f t="shared" si="191"/>
        <v>100</v>
      </c>
      <c r="S985" s="8">
        <f t="shared" si="187"/>
        <v>2</v>
      </c>
    </row>
    <row r="986" spans="1:19">
      <c r="A986" s="6">
        <f t="shared" si="188"/>
        <v>19701</v>
      </c>
      <c r="B986" s="6">
        <f t="shared" si="197"/>
        <v>197</v>
      </c>
      <c r="C986" s="6">
        <f t="shared" si="189"/>
        <v>1</v>
      </c>
      <c r="D986" s="6" t="str">
        <f t="shared" si="190"/>
        <v>关卡197怪物1</v>
      </c>
      <c r="E986" s="6">
        <v>125</v>
      </c>
      <c r="G986" s="6" t="s">
        <v>1408</v>
      </c>
      <c r="H986" s="6">
        <f t="shared" si="196"/>
        <v>0</v>
      </c>
      <c r="I986" s="6" t="str">
        <f>IF(VLOOKUP(E986,Sheet2!$W:$AA,5,0)=0,"",VLOOKUP(E986,Sheet2!$W:$AA,5,0))</f>
        <v>[60016]</v>
      </c>
      <c r="J986" s="6">
        <v>0</v>
      </c>
      <c r="K986" s="6">
        <v>0</v>
      </c>
      <c r="L986" s="6" t="str">
        <f>IF(VLOOKUP(E986,Sheet2!$W:$AA,2,0)=0,"",VLOOKUP(E986,Sheet2!$W:$AA,2,0))</f>
        <v/>
      </c>
      <c r="N986" s="6" t="str">
        <f>IF(VLOOKUP(E986,Sheet2!$W:$AA,3,0)=0,"",VLOOKUP(E986,Sheet2!$W:$AA,3,0))</f>
        <v/>
      </c>
      <c r="Q986" s="6" t="str">
        <f>IF(VLOOKUP(E986,Sheet2!$W:$AA,4,0)=0,"",VLOOKUP(E986,Sheet2!$W:$AA,4,0))</f>
        <v/>
      </c>
      <c r="R986" s="8">
        <f t="shared" si="191"/>
        <v>24</v>
      </c>
      <c r="S986" s="8">
        <f t="shared" si="187"/>
        <v>2</v>
      </c>
    </row>
    <row r="987" spans="1:19">
      <c r="A987" s="6">
        <f t="shared" si="188"/>
        <v>19702</v>
      </c>
      <c r="B987" s="6">
        <f t="shared" si="197"/>
        <v>197</v>
      </c>
      <c r="C987" s="6">
        <f t="shared" si="189"/>
        <v>2</v>
      </c>
      <c r="D987" s="6" t="str">
        <f t="shared" si="192"/>
        <v>关卡197怪物2</v>
      </c>
      <c r="E987" s="6">
        <v>127</v>
      </c>
      <c r="G987" s="6" t="s">
        <v>1409</v>
      </c>
      <c r="H987" s="6">
        <f t="shared" si="196"/>
        <v>0</v>
      </c>
      <c r="I987" s="6" t="str">
        <f>IF(VLOOKUP(E987,Sheet2!$W:$AA,5,0)=0,"",VLOOKUP(E987,Sheet2!$W:$AA,5,0))</f>
        <v>[60015]</v>
      </c>
      <c r="J987" s="6">
        <v>0</v>
      </c>
      <c r="K987" s="6">
        <v>0</v>
      </c>
      <c r="L987" s="6" t="str">
        <f>IF(VLOOKUP(E987,Sheet2!$W:$AA,2,0)=0,"",VLOOKUP(E987,Sheet2!$W:$AA,2,0))</f>
        <v/>
      </c>
      <c r="N987" s="6" t="str">
        <f>IF(VLOOKUP(E987,Sheet2!$W:$AA,3,0)=0,"",VLOOKUP(E987,Sheet2!$W:$AA,3,0))</f>
        <v/>
      </c>
      <c r="Q987" s="6" t="str">
        <f>IF(VLOOKUP(E987,Sheet2!$W:$AA,4,0)=0,"",VLOOKUP(E987,Sheet2!$W:$AA,4,0))</f>
        <v/>
      </c>
      <c r="R987" s="8">
        <f t="shared" si="191"/>
        <v>24</v>
      </c>
      <c r="S987" s="8">
        <f t="shared" si="187"/>
        <v>2</v>
      </c>
    </row>
    <row r="988" spans="1:19">
      <c r="A988" s="6">
        <f t="shared" si="188"/>
        <v>19703</v>
      </c>
      <c r="B988" s="6">
        <f t="shared" si="197"/>
        <v>197</v>
      </c>
      <c r="C988" s="6">
        <f t="shared" si="189"/>
        <v>3</v>
      </c>
      <c r="D988" s="6" t="str">
        <f t="shared" si="193"/>
        <v>关卡197怪物3</v>
      </c>
      <c r="E988" s="6">
        <v>126</v>
      </c>
      <c r="G988" s="6" t="s">
        <v>1410</v>
      </c>
      <c r="H988" s="6">
        <f t="shared" si="196"/>
        <v>0</v>
      </c>
      <c r="I988" s="6" t="str">
        <f>IF(VLOOKUP(E988,Sheet2!$W:$AA,5,0)=0,"",VLOOKUP(E988,Sheet2!$W:$AA,5,0))</f>
        <v>[60014]</v>
      </c>
      <c r="J988" s="6">
        <v>0</v>
      </c>
      <c r="K988" s="6">
        <v>0</v>
      </c>
      <c r="L988" s="6">
        <f>IF(VLOOKUP(E988,Sheet2!$W:$AA,2,0)=0,"",VLOOKUP(E988,Sheet2!$W:$AA,2,0))</f>
        <v>1</v>
      </c>
      <c r="N988" s="6" t="str">
        <f>IF(VLOOKUP(E988,Sheet2!$W:$AA,3,0)=0,"",VLOOKUP(E988,Sheet2!$W:$AA,3,0))</f>
        <v/>
      </c>
      <c r="Q988" s="6" t="str">
        <f>IF(VLOOKUP(E988,Sheet2!$W:$AA,4,0)=0,"",VLOOKUP(E988,Sheet2!$W:$AA,4,0))</f>
        <v>[{50031,6}]</v>
      </c>
      <c r="R988" s="8">
        <f t="shared" si="191"/>
        <v>24</v>
      </c>
      <c r="S988" s="8">
        <f t="shared" si="187"/>
        <v>2</v>
      </c>
    </row>
    <row r="989" spans="1:19">
      <c r="A989" s="6">
        <f t="shared" si="188"/>
        <v>19721</v>
      </c>
      <c r="B989" s="6">
        <f t="shared" si="197"/>
        <v>197</v>
      </c>
      <c r="C989" s="6">
        <f t="shared" si="189"/>
        <v>4</v>
      </c>
      <c r="D989" s="6" t="str">
        <f t="shared" si="194"/>
        <v>关卡197BOSS1</v>
      </c>
      <c r="E989" s="6">
        <v>527</v>
      </c>
      <c r="G989" s="6" t="s">
        <v>1411</v>
      </c>
      <c r="H989" s="6">
        <f t="shared" si="196"/>
        <v>2</v>
      </c>
      <c r="I989" s="6" t="str">
        <f>IF(VLOOKUP(E989,Sheet2!$W:$AA,5,0)=0,"",VLOOKUP(E989,Sheet2!$W:$AA,5,0))</f>
        <v>[60015]</v>
      </c>
      <c r="J989" s="6">
        <v>0</v>
      </c>
      <c r="K989" s="6">
        <v>0</v>
      </c>
      <c r="L989" s="6" t="str">
        <f>IF(VLOOKUP(E989,Sheet2!$W:$AA,2,0)=0,"",VLOOKUP(E989,Sheet2!$W:$AA,2,0))</f>
        <v/>
      </c>
      <c r="N989" s="6" t="str">
        <f>IF(VLOOKUP(E989,Sheet2!$W:$AA,3,0)=0,"",VLOOKUP(E989,Sheet2!$W:$AA,3,0))</f>
        <v/>
      </c>
      <c r="Q989" s="6" t="str">
        <f>IF(VLOOKUP(E989,Sheet2!$W:$AA,4,0)=0,"",VLOOKUP(E989,Sheet2!$W:$AA,4,0))</f>
        <v/>
      </c>
      <c r="R989" s="8">
        <f t="shared" si="191"/>
        <v>100</v>
      </c>
      <c r="S989" s="8">
        <f t="shared" si="187"/>
        <v>2</v>
      </c>
    </row>
    <row r="990" spans="1:19">
      <c r="A990" s="6">
        <f t="shared" si="188"/>
        <v>19731</v>
      </c>
      <c r="B990" s="6">
        <f t="shared" si="197"/>
        <v>197</v>
      </c>
      <c r="C990" s="6">
        <f t="shared" si="189"/>
        <v>5</v>
      </c>
      <c r="D990" s="6" t="str">
        <f t="shared" si="195"/>
        <v>关卡197BOSS2</v>
      </c>
      <c r="E990" s="6">
        <v>527</v>
      </c>
      <c r="G990" s="6" t="s">
        <v>1412</v>
      </c>
      <c r="H990" s="6">
        <f t="shared" si="196"/>
        <v>2</v>
      </c>
      <c r="I990" s="6" t="str">
        <f>IF(VLOOKUP(E990,Sheet2!$W:$AA,5,0)=0,"",VLOOKUP(E990,Sheet2!$W:$AA,5,0))</f>
        <v>[60015]</v>
      </c>
      <c r="J990" s="6">
        <v>0</v>
      </c>
      <c r="K990" s="6">
        <v>0</v>
      </c>
      <c r="L990" s="6" t="str">
        <f>IF(VLOOKUP(E990,Sheet2!$W:$AA,2,0)=0,"",VLOOKUP(E990,Sheet2!$W:$AA,2,0))</f>
        <v/>
      </c>
      <c r="N990" s="6" t="str">
        <f>IF(VLOOKUP(E990,Sheet2!$W:$AA,3,0)=0,"",VLOOKUP(E990,Sheet2!$W:$AA,3,0))</f>
        <v/>
      </c>
      <c r="Q990" s="6" t="str">
        <f>IF(VLOOKUP(E990,Sheet2!$W:$AA,4,0)=0,"",VLOOKUP(E990,Sheet2!$W:$AA,4,0))</f>
        <v/>
      </c>
      <c r="R990" s="8">
        <f t="shared" si="191"/>
        <v>100</v>
      </c>
      <c r="S990" s="8">
        <f t="shared" si="187"/>
        <v>2</v>
      </c>
    </row>
    <row r="991" spans="1:19">
      <c r="A991" s="6">
        <f t="shared" si="188"/>
        <v>19801</v>
      </c>
      <c r="B991" s="6">
        <f t="shared" si="197"/>
        <v>198</v>
      </c>
      <c r="C991" s="6">
        <f t="shared" si="189"/>
        <v>1</v>
      </c>
      <c r="D991" s="6" t="str">
        <f t="shared" si="190"/>
        <v>关卡198怪物1</v>
      </c>
      <c r="E991" s="6">
        <v>117</v>
      </c>
      <c r="G991" s="6" t="s">
        <v>1413</v>
      </c>
      <c r="H991" s="6">
        <f t="shared" si="196"/>
        <v>0</v>
      </c>
      <c r="I991" s="6" t="str">
        <f>IF(VLOOKUP(E991,Sheet2!$W:$AA,5,0)=0,"",VLOOKUP(E991,Sheet2!$W:$AA,5,0))</f>
        <v/>
      </c>
      <c r="J991" s="6">
        <v>0</v>
      </c>
      <c r="K991" s="6">
        <v>0</v>
      </c>
      <c r="L991" s="6" t="str">
        <f>IF(VLOOKUP(E991,Sheet2!$W:$AA,2,0)=0,"",VLOOKUP(E991,Sheet2!$W:$AA,2,0))</f>
        <v/>
      </c>
      <c r="N991" s="6" t="str">
        <f>IF(VLOOKUP(E991,Sheet2!$W:$AA,3,0)=0,"",VLOOKUP(E991,Sheet2!$W:$AA,3,0))</f>
        <v/>
      </c>
      <c r="Q991" s="6" t="str">
        <f>IF(VLOOKUP(E991,Sheet2!$W:$AA,4,0)=0,"",VLOOKUP(E991,Sheet2!$W:$AA,4,0))</f>
        <v/>
      </c>
      <c r="R991" s="8">
        <f t="shared" si="191"/>
        <v>24</v>
      </c>
      <c r="S991" s="8">
        <f t="shared" si="187"/>
        <v>2</v>
      </c>
    </row>
    <row r="992" spans="1:19">
      <c r="A992" s="6">
        <f t="shared" si="188"/>
        <v>19802</v>
      </c>
      <c r="B992" s="6">
        <f t="shared" si="197"/>
        <v>198</v>
      </c>
      <c r="C992" s="6">
        <f t="shared" si="189"/>
        <v>2</v>
      </c>
      <c r="D992" s="6" t="str">
        <f t="shared" si="192"/>
        <v>关卡198怪物2</v>
      </c>
      <c r="E992" s="6">
        <v>116</v>
      </c>
      <c r="G992" s="6" t="s">
        <v>1414</v>
      </c>
      <c r="H992" s="6">
        <f t="shared" si="196"/>
        <v>0</v>
      </c>
      <c r="I992" s="6" t="str">
        <f>IF(VLOOKUP(E992,Sheet2!$W:$AA,5,0)=0,"",VLOOKUP(E992,Sheet2!$W:$AA,5,0))</f>
        <v>[60007]</v>
      </c>
      <c r="J992" s="6">
        <v>0</v>
      </c>
      <c r="K992" s="6">
        <v>0</v>
      </c>
      <c r="L992" s="6" t="str">
        <f>IF(VLOOKUP(E992,Sheet2!$W:$AA,2,0)=0,"",VLOOKUP(E992,Sheet2!$W:$AA,2,0))</f>
        <v/>
      </c>
      <c r="N992" s="6" t="str">
        <f>IF(VLOOKUP(E992,Sheet2!$W:$AA,3,0)=0,"",VLOOKUP(E992,Sheet2!$W:$AA,3,0))</f>
        <v/>
      </c>
      <c r="Q992" s="6" t="str">
        <f>IF(VLOOKUP(E992,Sheet2!$W:$AA,4,0)=0,"",VLOOKUP(E992,Sheet2!$W:$AA,4,0))</f>
        <v/>
      </c>
      <c r="R992" s="8">
        <f t="shared" si="191"/>
        <v>24</v>
      </c>
      <c r="S992" s="8">
        <f t="shared" si="187"/>
        <v>2</v>
      </c>
    </row>
    <row r="993" spans="1:19">
      <c r="A993" s="6">
        <f t="shared" si="188"/>
        <v>19803</v>
      </c>
      <c r="B993" s="6">
        <f t="shared" si="197"/>
        <v>198</v>
      </c>
      <c r="C993" s="6">
        <f t="shared" si="189"/>
        <v>3</v>
      </c>
      <c r="D993" s="6" t="str">
        <f t="shared" si="193"/>
        <v>关卡198怪物3</v>
      </c>
      <c r="E993" s="6">
        <v>119</v>
      </c>
      <c r="G993" s="6" t="s">
        <v>1415</v>
      </c>
      <c r="H993" s="6">
        <f t="shared" si="196"/>
        <v>0</v>
      </c>
      <c r="I993" s="6" t="str">
        <f>IF(VLOOKUP(E993,Sheet2!$W:$AA,5,0)=0,"",VLOOKUP(E993,Sheet2!$W:$AA,5,0))</f>
        <v/>
      </c>
      <c r="J993" s="6">
        <v>0</v>
      </c>
      <c r="K993" s="6">
        <v>0</v>
      </c>
      <c r="L993" s="6">
        <f>IF(VLOOKUP(E993,Sheet2!$W:$AA,2,0)=0,"",VLOOKUP(E993,Sheet2!$W:$AA,2,0))</f>
        <v>1</v>
      </c>
      <c r="N993" s="6" t="str">
        <f>IF(VLOOKUP(E993,Sheet2!$W:$AA,3,0)=0,"",VLOOKUP(E993,Sheet2!$W:$AA,3,0))</f>
        <v/>
      </c>
      <c r="Q993" s="6" t="str">
        <f>IF(VLOOKUP(E993,Sheet2!$W:$AA,4,0)=0,"",VLOOKUP(E993,Sheet2!$W:$AA,4,0))</f>
        <v>[{50018,6}]</v>
      </c>
      <c r="R993" s="8">
        <f t="shared" si="191"/>
        <v>24</v>
      </c>
      <c r="S993" s="8">
        <f t="shared" si="187"/>
        <v>2</v>
      </c>
    </row>
    <row r="994" spans="1:19">
      <c r="A994" s="6">
        <f t="shared" si="188"/>
        <v>19821</v>
      </c>
      <c r="B994" s="6">
        <f t="shared" si="197"/>
        <v>198</v>
      </c>
      <c r="C994" s="6">
        <f t="shared" si="189"/>
        <v>4</v>
      </c>
      <c r="D994" s="6" t="str">
        <f t="shared" si="194"/>
        <v>关卡198BOSS1</v>
      </c>
      <c r="E994" s="6">
        <v>517</v>
      </c>
      <c r="G994" s="6" t="s">
        <v>1416</v>
      </c>
      <c r="H994" s="6">
        <f t="shared" si="196"/>
        <v>2</v>
      </c>
      <c r="I994" s="6" t="str">
        <f>IF(VLOOKUP(E994,Sheet2!$W:$AA,5,0)=0,"",VLOOKUP(E994,Sheet2!$W:$AA,5,0))</f>
        <v/>
      </c>
      <c r="J994" s="6">
        <v>0</v>
      </c>
      <c r="K994" s="6">
        <v>0</v>
      </c>
      <c r="L994" s="6" t="str">
        <f>IF(VLOOKUP(E994,Sheet2!$W:$AA,2,0)=0,"",VLOOKUP(E994,Sheet2!$W:$AA,2,0))</f>
        <v/>
      </c>
      <c r="N994" s="6" t="str">
        <f>IF(VLOOKUP(E994,Sheet2!$W:$AA,3,0)=0,"",VLOOKUP(E994,Sheet2!$W:$AA,3,0))</f>
        <v/>
      </c>
      <c r="Q994" s="6" t="str">
        <f>IF(VLOOKUP(E994,Sheet2!$W:$AA,4,0)=0,"",VLOOKUP(E994,Sheet2!$W:$AA,4,0))</f>
        <v/>
      </c>
      <c r="R994" s="8">
        <f t="shared" si="191"/>
        <v>100</v>
      </c>
      <c r="S994" s="8">
        <f t="shared" si="187"/>
        <v>2</v>
      </c>
    </row>
    <row r="995" spans="1:19">
      <c r="A995" s="6">
        <f t="shared" si="188"/>
        <v>19831</v>
      </c>
      <c r="B995" s="6">
        <f t="shared" si="197"/>
        <v>198</v>
      </c>
      <c r="C995" s="6">
        <f t="shared" si="189"/>
        <v>5</v>
      </c>
      <c r="D995" s="6" t="str">
        <f t="shared" si="195"/>
        <v>关卡198BOSS2</v>
      </c>
      <c r="E995" s="6">
        <v>517</v>
      </c>
      <c r="G995" s="6" t="s">
        <v>1417</v>
      </c>
      <c r="H995" s="6">
        <f t="shared" si="196"/>
        <v>2</v>
      </c>
      <c r="I995" s="6" t="str">
        <f>IF(VLOOKUP(E995,Sheet2!$W:$AA,5,0)=0,"",VLOOKUP(E995,Sheet2!$W:$AA,5,0))</f>
        <v/>
      </c>
      <c r="J995" s="6">
        <v>0</v>
      </c>
      <c r="K995" s="6">
        <v>0</v>
      </c>
      <c r="L995" s="6" t="str">
        <f>IF(VLOOKUP(E995,Sheet2!$W:$AA,2,0)=0,"",VLOOKUP(E995,Sheet2!$W:$AA,2,0))</f>
        <v/>
      </c>
      <c r="N995" s="6" t="str">
        <f>IF(VLOOKUP(E995,Sheet2!$W:$AA,3,0)=0,"",VLOOKUP(E995,Sheet2!$W:$AA,3,0))</f>
        <v/>
      </c>
      <c r="Q995" s="6" t="str">
        <f>IF(VLOOKUP(E995,Sheet2!$W:$AA,4,0)=0,"",VLOOKUP(E995,Sheet2!$W:$AA,4,0))</f>
        <v/>
      </c>
      <c r="R995" s="8">
        <f t="shared" si="191"/>
        <v>100</v>
      </c>
      <c r="S995" s="8">
        <f t="shared" si="187"/>
        <v>2</v>
      </c>
    </row>
    <row r="996" spans="1:19">
      <c r="A996" s="6">
        <f t="shared" si="188"/>
        <v>19901</v>
      </c>
      <c r="B996" s="6">
        <f t="shared" si="197"/>
        <v>199</v>
      </c>
      <c r="C996" s="6">
        <f t="shared" si="189"/>
        <v>1</v>
      </c>
      <c r="D996" s="6" t="str">
        <f t="shared" si="190"/>
        <v>关卡199怪物1</v>
      </c>
      <c r="E996" s="6">
        <v>125</v>
      </c>
      <c r="G996" s="6" t="s">
        <v>1418</v>
      </c>
      <c r="H996" s="6">
        <f t="shared" si="196"/>
        <v>0</v>
      </c>
      <c r="I996" s="6" t="str">
        <f>IF(VLOOKUP(E996,Sheet2!$W:$AA,5,0)=0,"",VLOOKUP(E996,Sheet2!$W:$AA,5,0))</f>
        <v>[60016]</v>
      </c>
      <c r="J996" s="6">
        <v>0</v>
      </c>
      <c r="K996" s="6">
        <v>0</v>
      </c>
      <c r="L996" s="6" t="str">
        <f>IF(VLOOKUP(E996,Sheet2!$W:$AA,2,0)=0,"",VLOOKUP(E996,Sheet2!$W:$AA,2,0))</f>
        <v/>
      </c>
      <c r="N996" s="6" t="str">
        <f>IF(VLOOKUP(E996,Sheet2!$W:$AA,3,0)=0,"",VLOOKUP(E996,Sheet2!$W:$AA,3,0))</f>
        <v/>
      </c>
      <c r="Q996" s="6" t="str">
        <f>IF(VLOOKUP(E996,Sheet2!$W:$AA,4,0)=0,"",VLOOKUP(E996,Sheet2!$W:$AA,4,0))</f>
        <v/>
      </c>
      <c r="R996" s="8">
        <f t="shared" si="191"/>
        <v>24</v>
      </c>
      <c r="S996" s="8">
        <f t="shared" si="187"/>
        <v>2</v>
      </c>
    </row>
    <row r="997" spans="1:19">
      <c r="A997" s="6">
        <f t="shared" si="188"/>
        <v>19902</v>
      </c>
      <c r="B997" s="6">
        <f t="shared" si="197"/>
        <v>199</v>
      </c>
      <c r="C997" s="6">
        <f t="shared" si="189"/>
        <v>2</v>
      </c>
      <c r="D997" s="6" t="str">
        <f t="shared" si="192"/>
        <v>关卡199怪物2</v>
      </c>
      <c r="E997" s="6">
        <v>124</v>
      </c>
      <c r="G997" s="6" t="s">
        <v>1419</v>
      </c>
      <c r="H997" s="6">
        <f t="shared" si="196"/>
        <v>0</v>
      </c>
      <c r="I997" s="6" t="str">
        <f>IF(VLOOKUP(E997,Sheet2!$W:$AA,5,0)=0,"",VLOOKUP(E997,Sheet2!$W:$AA,5,0))</f>
        <v>[60013]</v>
      </c>
      <c r="J997" s="6">
        <v>0</v>
      </c>
      <c r="K997" s="6">
        <v>0</v>
      </c>
      <c r="L997" s="6" t="str">
        <f>IF(VLOOKUP(E997,Sheet2!$W:$AA,2,0)=0,"",VLOOKUP(E997,Sheet2!$W:$AA,2,0))</f>
        <v/>
      </c>
      <c r="N997" s="6" t="str">
        <f>IF(VLOOKUP(E997,Sheet2!$W:$AA,3,0)=0,"",VLOOKUP(E997,Sheet2!$W:$AA,3,0))</f>
        <v/>
      </c>
      <c r="Q997" s="6" t="str">
        <f>IF(VLOOKUP(E997,Sheet2!$W:$AA,4,0)=0,"",VLOOKUP(E997,Sheet2!$W:$AA,4,0))</f>
        <v/>
      </c>
      <c r="R997" s="8">
        <f t="shared" si="191"/>
        <v>24</v>
      </c>
      <c r="S997" s="8">
        <f t="shared" si="187"/>
        <v>2</v>
      </c>
    </row>
    <row r="998" spans="1:19">
      <c r="A998" s="6">
        <f t="shared" si="188"/>
        <v>19903</v>
      </c>
      <c r="B998" s="6">
        <f t="shared" si="197"/>
        <v>199</v>
      </c>
      <c r="C998" s="6">
        <f t="shared" si="189"/>
        <v>3</v>
      </c>
      <c r="D998" s="6" t="str">
        <f t="shared" si="193"/>
        <v>关卡199怪物3</v>
      </c>
      <c r="E998" s="6">
        <v>128</v>
      </c>
      <c r="G998" s="6" t="s">
        <v>1420</v>
      </c>
      <c r="H998" s="6">
        <f t="shared" si="196"/>
        <v>0</v>
      </c>
      <c r="I998" s="6" t="str">
        <f>IF(VLOOKUP(E998,Sheet2!$W:$AA,5,0)=0,"",VLOOKUP(E998,Sheet2!$W:$AA,5,0))</f>
        <v>[60017]</v>
      </c>
      <c r="J998" s="6">
        <v>0</v>
      </c>
      <c r="K998" s="6">
        <v>0</v>
      </c>
      <c r="L998" s="6" t="str">
        <f>IF(VLOOKUP(E998,Sheet2!$W:$AA,2,0)=0,"",VLOOKUP(E998,Sheet2!$W:$AA,2,0))</f>
        <v/>
      </c>
      <c r="N998" s="6" t="str">
        <f>IF(VLOOKUP(E998,Sheet2!$W:$AA,3,0)=0,"",VLOOKUP(E998,Sheet2!$W:$AA,3,0))</f>
        <v/>
      </c>
      <c r="Q998" s="6" t="str">
        <f>IF(VLOOKUP(E998,Sheet2!$W:$AA,4,0)=0,"",VLOOKUP(E998,Sheet2!$W:$AA,4,0))</f>
        <v/>
      </c>
      <c r="R998" s="8">
        <f t="shared" si="191"/>
        <v>24</v>
      </c>
      <c r="S998" s="8">
        <f t="shared" si="187"/>
        <v>2</v>
      </c>
    </row>
    <row r="999" spans="1:19">
      <c r="A999" s="6">
        <f t="shared" si="188"/>
        <v>19921</v>
      </c>
      <c r="B999" s="6">
        <f t="shared" si="197"/>
        <v>199</v>
      </c>
      <c r="C999" s="6">
        <f t="shared" si="189"/>
        <v>4</v>
      </c>
      <c r="D999" s="6" t="str">
        <f t="shared" si="194"/>
        <v>关卡199BOSS1</v>
      </c>
      <c r="E999" s="6">
        <v>524</v>
      </c>
      <c r="G999" s="6" t="s">
        <v>1421</v>
      </c>
      <c r="H999" s="6">
        <f t="shared" si="196"/>
        <v>2</v>
      </c>
      <c r="I999" s="6" t="str">
        <f>IF(VLOOKUP(E999,Sheet2!$W:$AA,5,0)=0,"",VLOOKUP(E999,Sheet2!$W:$AA,5,0))</f>
        <v>[60013]</v>
      </c>
      <c r="J999" s="6">
        <v>0</v>
      </c>
      <c r="K999" s="6">
        <v>0</v>
      </c>
      <c r="L999" s="6" t="str">
        <f>IF(VLOOKUP(E999,Sheet2!$W:$AA,2,0)=0,"",VLOOKUP(E999,Sheet2!$W:$AA,2,0))</f>
        <v/>
      </c>
      <c r="N999" s="6" t="str">
        <f>IF(VLOOKUP(E999,Sheet2!$W:$AA,3,0)=0,"",VLOOKUP(E999,Sheet2!$W:$AA,3,0))</f>
        <v/>
      </c>
      <c r="Q999" s="6" t="str">
        <f>IF(VLOOKUP(E999,Sheet2!$W:$AA,4,0)=0,"",VLOOKUP(E999,Sheet2!$W:$AA,4,0))</f>
        <v/>
      </c>
      <c r="R999" s="8">
        <f t="shared" si="191"/>
        <v>100</v>
      </c>
      <c r="S999" s="8">
        <f t="shared" si="187"/>
        <v>2</v>
      </c>
    </row>
    <row r="1000" spans="1:19">
      <c r="A1000" s="6">
        <f t="shared" si="188"/>
        <v>19931</v>
      </c>
      <c r="B1000" s="6">
        <f t="shared" si="197"/>
        <v>199</v>
      </c>
      <c r="C1000" s="6">
        <f t="shared" si="189"/>
        <v>5</v>
      </c>
      <c r="D1000" s="6" t="str">
        <f t="shared" si="195"/>
        <v>关卡199BOSS2</v>
      </c>
      <c r="E1000" s="6">
        <v>524</v>
      </c>
      <c r="G1000" s="6" t="s">
        <v>1422</v>
      </c>
      <c r="H1000" s="6">
        <f t="shared" si="196"/>
        <v>2</v>
      </c>
      <c r="I1000" s="6" t="str">
        <f>IF(VLOOKUP(E1000,Sheet2!$W:$AA,5,0)=0,"",VLOOKUP(E1000,Sheet2!$W:$AA,5,0))</f>
        <v>[60013]</v>
      </c>
      <c r="J1000" s="6">
        <v>0</v>
      </c>
      <c r="K1000" s="6">
        <v>0</v>
      </c>
      <c r="L1000" s="6" t="str">
        <f>IF(VLOOKUP(E1000,Sheet2!$W:$AA,2,0)=0,"",VLOOKUP(E1000,Sheet2!$W:$AA,2,0))</f>
        <v/>
      </c>
      <c r="N1000" s="6" t="str">
        <f>IF(VLOOKUP(E1000,Sheet2!$W:$AA,3,0)=0,"",VLOOKUP(E1000,Sheet2!$W:$AA,3,0))</f>
        <v/>
      </c>
      <c r="Q1000" s="6" t="str">
        <f>IF(VLOOKUP(E1000,Sheet2!$W:$AA,4,0)=0,"",VLOOKUP(E1000,Sheet2!$W:$AA,4,0))</f>
        <v/>
      </c>
      <c r="R1000" s="8">
        <f t="shared" si="191"/>
        <v>100</v>
      </c>
      <c r="S1000" s="8">
        <f t="shared" si="187"/>
        <v>2</v>
      </c>
    </row>
    <row r="1001" spans="1:19">
      <c r="A1001" s="6">
        <f t="shared" si="188"/>
        <v>20001</v>
      </c>
      <c r="B1001" s="6">
        <f t="shared" si="197"/>
        <v>200</v>
      </c>
      <c r="C1001" s="6">
        <f t="shared" si="189"/>
        <v>1</v>
      </c>
      <c r="D1001" s="6" t="str">
        <f t="shared" si="190"/>
        <v>关卡200怪物1</v>
      </c>
      <c r="E1001" s="6">
        <v>100</v>
      </c>
      <c r="G1001" s="6" t="s">
        <v>1423</v>
      </c>
      <c r="H1001" s="6">
        <f t="shared" si="196"/>
        <v>0</v>
      </c>
      <c r="I1001" s="6" t="str">
        <f>IF(VLOOKUP(E1001,Sheet2!$W:$AA,5,0)=0,"",VLOOKUP(E1001,Sheet2!$W:$AA,5,0))</f>
        <v>[60002]</v>
      </c>
      <c r="J1001" s="6">
        <v>0</v>
      </c>
      <c r="K1001" s="6">
        <v>0</v>
      </c>
      <c r="L1001" s="6" t="str">
        <f>IF(VLOOKUP(E1001,Sheet2!$W:$AA,2,0)=0,"",VLOOKUP(E1001,Sheet2!$W:$AA,2,0))</f>
        <v/>
      </c>
      <c r="N1001" s="6">
        <f>IF(VLOOKUP(E1001,Sheet2!$W:$AA,3,0)=0,"",VLOOKUP(E1001,Sheet2!$W:$AA,3,0))</f>
        <v>2001</v>
      </c>
      <c r="Q1001" s="6" t="str">
        <f>IF(VLOOKUP(E1001,Sheet2!$W:$AA,4,0)=0,"",VLOOKUP(E1001,Sheet2!$W:$AA,4,0))</f>
        <v/>
      </c>
      <c r="R1001" s="8">
        <f t="shared" si="191"/>
        <v>24</v>
      </c>
      <c r="S1001" s="8">
        <f t="shared" si="187"/>
        <v>2</v>
      </c>
    </row>
    <row r="1002" spans="1:19">
      <c r="A1002" s="6">
        <f t="shared" si="188"/>
        <v>20002</v>
      </c>
      <c r="B1002" s="6">
        <f t="shared" si="197"/>
        <v>200</v>
      </c>
      <c r="C1002" s="6">
        <f t="shared" si="189"/>
        <v>2</v>
      </c>
      <c r="D1002" s="6" t="str">
        <f t="shared" si="192"/>
        <v>关卡200怪物2</v>
      </c>
      <c r="E1002" s="6">
        <v>102</v>
      </c>
      <c r="G1002" s="6" t="s">
        <v>1424</v>
      </c>
      <c r="H1002" s="6">
        <f t="shared" si="196"/>
        <v>0</v>
      </c>
      <c r="I1002" s="6" t="str">
        <f>IF(VLOOKUP(E1002,Sheet2!$W:$AA,5,0)=0,"",VLOOKUP(E1002,Sheet2!$W:$AA,5,0))</f>
        <v/>
      </c>
      <c r="J1002" s="6">
        <v>0</v>
      </c>
      <c r="K1002" s="6">
        <v>0</v>
      </c>
      <c r="L1002" s="6">
        <f>IF(VLOOKUP(E1002,Sheet2!$W:$AA,2,0)=0,"",VLOOKUP(E1002,Sheet2!$W:$AA,2,0))</f>
        <v>1</v>
      </c>
      <c r="N1002" s="6" t="str">
        <f>IF(VLOOKUP(E1002,Sheet2!$W:$AA,3,0)=0,"",VLOOKUP(E1002,Sheet2!$W:$AA,3,0))</f>
        <v/>
      </c>
      <c r="Q1002" s="6" t="str">
        <f>IF(VLOOKUP(E1002,Sheet2!$W:$AA,4,0)=0,"",VLOOKUP(E1002,Sheet2!$W:$AA,4,0))</f>
        <v>[{50011,6}]</v>
      </c>
      <c r="R1002" s="8">
        <f t="shared" si="191"/>
        <v>24</v>
      </c>
      <c r="S1002" s="8">
        <f t="shared" si="187"/>
        <v>2</v>
      </c>
    </row>
    <row r="1003" spans="1:19">
      <c r="A1003" s="6">
        <f t="shared" si="188"/>
        <v>20003</v>
      </c>
      <c r="B1003" s="6">
        <f t="shared" si="197"/>
        <v>200</v>
      </c>
      <c r="C1003" s="6">
        <f t="shared" si="189"/>
        <v>3</v>
      </c>
      <c r="D1003" s="6" t="str">
        <f t="shared" si="193"/>
        <v>关卡200怪物3</v>
      </c>
      <c r="E1003" s="6">
        <v>105</v>
      </c>
      <c r="G1003" s="6" t="s">
        <v>1425</v>
      </c>
      <c r="H1003" s="6">
        <f t="shared" si="196"/>
        <v>0</v>
      </c>
      <c r="I1003" s="6" t="str">
        <f>IF(VLOOKUP(E1003,Sheet2!$W:$AA,5,0)=0,"",VLOOKUP(E1003,Sheet2!$W:$AA,5,0))</f>
        <v>[60003]</v>
      </c>
      <c r="J1003" s="6">
        <v>0</v>
      </c>
      <c r="K1003" s="6">
        <v>0</v>
      </c>
      <c r="L1003" s="6" t="str">
        <f>IF(VLOOKUP(E1003,Sheet2!$W:$AA,2,0)=0,"",VLOOKUP(E1003,Sheet2!$W:$AA,2,0))</f>
        <v/>
      </c>
      <c r="N1003" s="6" t="str">
        <f>IF(VLOOKUP(E1003,Sheet2!$W:$AA,3,0)=0,"",VLOOKUP(E1003,Sheet2!$W:$AA,3,0))</f>
        <v/>
      </c>
      <c r="Q1003" s="6" t="str">
        <f>IF(VLOOKUP(E1003,Sheet2!$W:$AA,4,0)=0,"",VLOOKUP(E1003,Sheet2!$W:$AA,4,0))</f>
        <v/>
      </c>
      <c r="R1003" s="8">
        <f t="shared" si="191"/>
        <v>24</v>
      </c>
      <c r="S1003" s="8">
        <f t="shared" si="187"/>
        <v>2</v>
      </c>
    </row>
    <row r="1004" spans="1:19">
      <c r="A1004" s="6">
        <f t="shared" si="188"/>
        <v>20021</v>
      </c>
      <c r="B1004" s="6">
        <f t="shared" si="197"/>
        <v>200</v>
      </c>
      <c r="C1004" s="6">
        <f t="shared" si="189"/>
        <v>4</v>
      </c>
      <c r="D1004" s="6" t="str">
        <f t="shared" si="194"/>
        <v>关卡200BOSS1</v>
      </c>
      <c r="E1004" s="6">
        <v>502</v>
      </c>
      <c r="G1004" s="6" t="s">
        <v>1426</v>
      </c>
      <c r="H1004" s="6">
        <f t="shared" si="196"/>
        <v>2</v>
      </c>
      <c r="I1004" s="6" t="str">
        <f>IF(VLOOKUP(E1004,Sheet2!$W:$AA,5,0)=0,"",VLOOKUP(E1004,Sheet2!$W:$AA,5,0))</f>
        <v/>
      </c>
      <c r="J1004" s="6">
        <v>0</v>
      </c>
      <c r="K1004" s="6">
        <v>0</v>
      </c>
      <c r="L1004" s="6">
        <f>IF(VLOOKUP(E1004,Sheet2!$W:$AA,2,0)=0,"",VLOOKUP(E1004,Sheet2!$W:$AA,2,0))</f>
        <v>1</v>
      </c>
      <c r="N1004" s="6" t="str">
        <f>IF(VLOOKUP(E1004,Sheet2!$W:$AA,3,0)=0,"",VLOOKUP(E1004,Sheet2!$W:$AA,3,0))</f>
        <v/>
      </c>
      <c r="Q1004" s="6" t="str">
        <f>IF(VLOOKUP(E1004,Sheet2!$W:$AA,4,0)=0,"",VLOOKUP(E1004,Sheet2!$W:$AA,4,0))</f>
        <v>[{50021,6}]</v>
      </c>
      <c r="R1004" s="8">
        <f t="shared" si="191"/>
        <v>100</v>
      </c>
      <c r="S1004" s="8">
        <f t="shared" si="187"/>
        <v>2</v>
      </c>
    </row>
    <row r="1005" spans="1:19">
      <c r="A1005" s="6">
        <f t="shared" si="188"/>
        <v>20031</v>
      </c>
      <c r="B1005" s="6">
        <f t="shared" si="197"/>
        <v>200</v>
      </c>
      <c r="C1005" s="6">
        <f t="shared" si="189"/>
        <v>5</v>
      </c>
      <c r="D1005" s="6" t="str">
        <f t="shared" si="195"/>
        <v>关卡200BOSS2</v>
      </c>
      <c r="E1005" s="6">
        <v>500</v>
      </c>
      <c r="G1005" s="6" t="s">
        <v>1427</v>
      </c>
      <c r="H1005" s="6">
        <f t="shared" si="196"/>
        <v>2</v>
      </c>
      <c r="I1005" s="6" t="str">
        <f>IF(VLOOKUP(E1005,Sheet2!$W:$AA,5,0)=0,"",VLOOKUP(E1005,Sheet2!$W:$AA,5,0))</f>
        <v>[60002]</v>
      </c>
      <c r="J1005" s="6">
        <v>0</v>
      </c>
      <c r="K1005" s="6">
        <v>0</v>
      </c>
      <c r="L1005" s="6" t="str">
        <f>IF(VLOOKUP(E1005,Sheet2!$W:$AA,2,0)=0,"",VLOOKUP(E1005,Sheet2!$W:$AA,2,0))</f>
        <v/>
      </c>
      <c r="N1005" s="6">
        <f>IF(VLOOKUP(E1005,Sheet2!$W:$AA,3,0)=0,"",VLOOKUP(E1005,Sheet2!$W:$AA,3,0))</f>
        <v>2001</v>
      </c>
      <c r="Q1005" s="6" t="str">
        <f>IF(VLOOKUP(E1005,Sheet2!$W:$AA,4,0)=0,"",VLOOKUP(E1005,Sheet2!$W:$AA,4,0))</f>
        <v/>
      </c>
      <c r="R1005" s="8">
        <f t="shared" si="191"/>
        <v>100</v>
      </c>
      <c r="S1005" s="8">
        <f t="shared" ref="S1005:S1055" si="198">S1004</f>
        <v>2</v>
      </c>
    </row>
    <row r="1006" spans="1:19">
      <c r="A1006" s="6">
        <f t="shared" si="188"/>
        <v>20101</v>
      </c>
      <c r="B1006" s="6">
        <f t="shared" ref="B1006:B1055" si="199">B1001+1</f>
        <v>201</v>
      </c>
      <c r="C1006" s="6">
        <f t="shared" si="189"/>
        <v>1</v>
      </c>
      <c r="D1006" s="6" t="str">
        <f t="shared" ref="D1006:D1055" si="200">"关卡"&amp;B1006&amp;"怪物1"</f>
        <v>关卡201怪物1</v>
      </c>
      <c r="E1006" s="6">
        <v>125</v>
      </c>
      <c r="G1006" s="6" t="s">
        <v>1428</v>
      </c>
      <c r="H1006" s="6">
        <f t="shared" si="196"/>
        <v>0</v>
      </c>
      <c r="I1006" s="6" t="str">
        <f>IF(VLOOKUP(E1006,Sheet2!$W:$AA,5,0)=0,"",VLOOKUP(E1006,Sheet2!$W:$AA,5,0))</f>
        <v>[60016]</v>
      </c>
      <c r="J1006" s="6">
        <v>0</v>
      </c>
      <c r="K1006" s="6">
        <v>0</v>
      </c>
      <c r="L1006" s="6" t="str">
        <f>IF(VLOOKUP(E1006,Sheet2!$W:$AA,2,0)=0,"",VLOOKUP(E1006,Sheet2!$W:$AA,2,0))</f>
        <v/>
      </c>
      <c r="N1006" s="6" t="str">
        <f>IF(VLOOKUP(E1006,Sheet2!$W:$AA,3,0)=0,"",VLOOKUP(E1006,Sheet2!$W:$AA,3,0))</f>
        <v/>
      </c>
      <c r="Q1006" s="6" t="str">
        <f>IF(VLOOKUP(E1006,Sheet2!$W:$AA,4,0)=0,"",VLOOKUP(E1006,Sheet2!$W:$AA,4,0))</f>
        <v/>
      </c>
      <c r="R1006" s="8">
        <f t="shared" si="191"/>
        <v>24</v>
      </c>
      <c r="S1006" s="8">
        <f t="shared" si="198"/>
        <v>2</v>
      </c>
    </row>
    <row r="1007" spans="1:19">
      <c r="A1007" s="6">
        <f t="shared" si="188"/>
        <v>20102</v>
      </c>
      <c r="B1007" s="6">
        <f t="shared" si="199"/>
        <v>201</v>
      </c>
      <c r="C1007" s="6">
        <f t="shared" si="189"/>
        <v>2</v>
      </c>
      <c r="D1007" s="6" t="str">
        <f t="shared" ref="D1007:D1055" si="201">"关卡"&amp;B1007&amp;"怪物2"</f>
        <v>关卡201怪物2</v>
      </c>
      <c r="E1007" s="6">
        <v>127</v>
      </c>
      <c r="G1007" s="6" t="s">
        <v>1429</v>
      </c>
      <c r="H1007" s="6">
        <f t="shared" si="196"/>
        <v>0</v>
      </c>
      <c r="I1007" s="6" t="str">
        <f>IF(VLOOKUP(E1007,Sheet2!$W:$AA,5,0)=0,"",VLOOKUP(E1007,Sheet2!$W:$AA,5,0))</f>
        <v>[60015]</v>
      </c>
      <c r="J1007" s="6">
        <v>0</v>
      </c>
      <c r="K1007" s="6">
        <v>0</v>
      </c>
      <c r="L1007" s="6" t="str">
        <f>IF(VLOOKUP(E1007,Sheet2!$W:$AA,2,0)=0,"",VLOOKUP(E1007,Sheet2!$W:$AA,2,0))</f>
        <v/>
      </c>
      <c r="N1007" s="6" t="str">
        <f>IF(VLOOKUP(E1007,Sheet2!$W:$AA,3,0)=0,"",VLOOKUP(E1007,Sheet2!$W:$AA,3,0))</f>
        <v/>
      </c>
      <c r="Q1007" s="6" t="str">
        <f>IF(VLOOKUP(E1007,Sheet2!$W:$AA,4,0)=0,"",VLOOKUP(E1007,Sheet2!$W:$AA,4,0))</f>
        <v/>
      </c>
      <c r="R1007" s="8">
        <f t="shared" si="191"/>
        <v>24</v>
      </c>
      <c r="S1007" s="8">
        <f t="shared" si="198"/>
        <v>2</v>
      </c>
    </row>
    <row r="1008" spans="1:19">
      <c r="A1008" s="6">
        <f t="shared" si="188"/>
        <v>20103</v>
      </c>
      <c r="B1008" s="6">
        <f t="shared" si="199"/>
        <v>201</v>
      </c>
      <c r="C1008" s="6">
        <f t="shared" si="189"/>
        <v>3</v>
      </c>
      <c r="D1008" s="6" t="str">
        <f t="shared" ref="D1008:D1055" si="202">"关卡"&amp;B1008&amp;"怪物3"</f>
        <v>关卡201怪物3</v>
      </c>
      <c r="E1008" s="6">
        <v>126</v>
      </c>
      <c r="G1008" s="6" t="s">
        <v>1430</v>
      </c>
      <c r="H1008" s="6">
        <f t="shared" si="196"/>
        <v>0</v>
      </c>
      <c r="I1008" s="6" t="str">
        <f>IF(VLOOKUP(E1008,Sheet2!$W:$AA,5,0)=0,"",VLOOKUP(E1008,Sheet2!$W:$AA,5,0))</f>
        <v>[60014]</v>
      </c>
      <c r="J1008" s="6">
        <v>0</v>
      </c>
      <c r="K1008" s="6">
        <v>0</v>
      </c>
      <c r="L1008" s="6">
        <f>IF(VLOOKUP(E1008,Sheet2!$W:$AA,2,0)=0,"",VLOOKUP(E1008,Sheet2!$W:$AA,2,0))</f>
        <v>1</v>
      </c>
      <c r="N1008" s="6" t="str">
        <f>IF(VLOOKUP(E1008,Sheet2!$W:$AA,3,0)=0,"",VLOOKUP(E1008,Sheet2!$W:$AA,3,0))</f>
        <v/>
      </c>
      <c r="Q1008" s="6" t="str">
        <f>IF(VLOOKUP(E1008,Sheet2!$W:$AA,4,0)=0,"",VLOOKUP(E1008,Sheet2!$W:$AA,4,0))</f>
        <v>[{50031,6}]</v>
      </c>
      <c r="R1008" s="8">
        <f t="shared" si="191"/>
        <v>24</v>
      </c>
      <c r="S1008" s="8">
        <f t="shared" si="198"/>
        <v>2</v>
      </c>
    </row>
    <row r="1009" spans="1:19">
      <c r="A1009" s="6">
        <f t="shared" si="188"/>
        <v>20121</v>
      </c>
      <c r="B1009" s="6">
        <f t="shared" si="199"/>
        <v>201</v>
      </c>
      <c r="C1009" s="6">
        <f t="shared" si="189"/>
        <v>4</v>
      </c>
      <c r="D1009" s="6" t="str">
        <f t="shared" ref="D1009:D1055" si="203">"关卡"&amp;B1009&amp;"BOSS1"</f>
        <v>关卡201BOSS1</v>
      </c>
      <c r="E1009" s="6">
        <v>527</v>
      </c>
      <c r="G1009" s="6" t="s">
        <v>1431</v>
      </c>
      <c r="H1009" s="6">
        <f t="shared" si="196"/>
        <v>2</v>
      </c>
      <c r="I1009" s="6" t="str">
        <f>IF(VLOOKUP(E1009,Sheet2!$W:$AA,5,0)=0,"",VLOOKUP(E1009,Sheet2!$W:$AA,5,0))</f>
        <v>[60015]</v>
      </c>
      <c r="J1009" s="6">
        <v>0</v>
      </c>
      <c r="K1009" s="6">
        <v>0</v>
      </c>
      <c r="L1009" s="6" t="str">
        <f>IF(VLOOKUP(E1009,Sheet2!$W:$AA,2,0)=0,"",VLOOKUP(E1009,Sheet2!$W:$AA,2,0))</f>
        <v/>
      </c>
      <c r="N1009" s="6" t="str">
        <f>IF(VLOOKUP(E1009,Sheet2!$W:$AA,3,0)=0,"",VLOOKUP(E1009,Sheet2!$W:$AA,3,0))</f>
        <v/>
      </c>
      <c r="Q1009" s="6" t="str">
        <f>IF(VLOOKUP(E1009,Sheet2!$W:$AA,4,0)=0,"",VLOOKUP(E1009,Sheet2!$W:$AA,4,0))</f>
        <v/>
      </c>
      <c r="R1009" s="8">
        <f t="shared" si="191"/>
        <v>100</v>
      </c>
      <c r="S1009" s="8">
        <f t="shared" si="198"/>
        <v>2</v>
      </c>
    </row>
    <row r="1010" spans="1:19">
      <c r="A1010" s="6">
        <f t="shared" si="188"/>
        <v>20131</v>
      </c>
      <c r="B1010" s="6">
        <f t="shared" si="199"/>
        <v>201</v>
      </c>
      <c r="C1010" s="6">
        <f t="shared" si="189"/>
        <v>5</v>
      </c>
      <c r="D1010" s="6" t="str">
        <f t="shared" ref="D1010:D1055" si="204">"关卡"&amp;B1010&amp;"BOSS2"</f>
        <v>关卡201BOSS2</v>
      </c>
      <c r="E1010" s="6">
        <v>527</v>
      </c>
      <c r="G1010" s="6" t="s">
        <v>1432</v>
      </c>
      <c r="H1010" s="6">
        <f t="shared" si="196"/>
        <v>2</v>
      </c>
      <c r="I1010" s="6" t="str">
        <f>IF(VLOOKUP(E1010,Sheet2!$W:$AA,5,0)=0,"",VLOOKUP(E1010,Sheet2!$W:$AA,5,0))</f>
        <v>[60015]</v>
      </c>
      <c r="J1010" s="6">
        <v>0</v>
      </c>
      <c r="K1010" s="6">
        <v>0</v>
      </c>
      <c r="L1010" s="6" t="str">
        <f>IF(VLOOKUP(E1010,Sheet2!$W:$AA,2,0)=0,"",VLOOKUP(E1010,Sheet2!$W:$AA,2,0))</f>
        <v/>
      </c>
      <c r="N1010" s="6" t="str">
        <f>IF(VLOOKUP(E1010,Sheet2!$W:$AA,3,0)=0,"",VLOOKUP(E1010,Sheet2!$W:$AA,3,0))</f>
        <v/>
      </c>
      <c r="Q1010" s="6" t="str">
        <f>IF(VLOOKUP(E1010,Sheet2!$W:$AA,4,0)=0,"",VLOOKUP(E1010,Sheet2!$W:$AA,4,0))</f>
        <v/>
      </c>
      <c r="R1010" s="8">
        <f t="shared" si="191"/>
        <v>100</v>
      </c>
      <c r="S1010" s="8">
        <f t="shared" si="198"/>
        <v>2</v>
      </c>
    </row>
    <row r="1011" spans="1:19">
      <c r="A1011" s="6">
        <f t="shared" si="188"/>
        <v>20201</v>
      </c>
      <c r="B1011" s="6">
        <f t="shared" si="199"/>
        <v>202</v>
      </c>
      <c r="C1011" s="6">
        <f t="shared" si="189"/>
        <v>1</v>
      </c>
      <c r="D1011" s="6" t="str">
        <f t="shared" si="200"/>
        <v>关卡202怪物1</v>
      </c>
      <c r="E1011" s="6">
        <v>101</v>
      </c>
      <c r="G1011" s="6" t="s">
        <v>1433</v>
      </c>
      <c r="H1011" s="6">
        <f t="shared" si="196"/>
        <v>0</v>
      </c>
      <c r="I1011" s="6" t="str">
        <f>IF(VLOOKUP(E1011,Sheet2!$W:$AA,5,0)=0,"",VLOOKUP(E1011,Sheet2!$W:$AA,5,0))</f>
        <v/>
      </c>
      <c r="J1011" s="6">
        <v>0</v>
      </c>
      <c r="K1011" s="6">
        <v>0</v>
      </c>
      <c r="L1011" s="6" t="str">
        <f>IF(VLOOKUP(E1011,Sheet2!$W:$AA,2,0)=0,"",VLOOKUP(E1011,Sheet2!$W:$AA,2,0))</f>
        <v/>
      </c>
      <c r="N1011" s="6" t="str">
        <f>IF(VLOOKUP(E1011,Sheet2!$W:$AA,3,0)=0,"",VLOOKUP(E1011,Sheet2!$W:$AA,3,0))</f>
        <v/>
      </c>
      <c r="Q1011" s="6" t="str">
        <f>IF(VLOOKUP(E1011,Sheet2!$W:$AA,4,0)=0,"",VLOOKUP(E1011,Sheet2!$W:$AA,4,0))</f>
        <v/>
      </c>
      <c r="R1011" s="8">
        <f t="shared" si="191"/>
        <v>24</v>
      </c>
      <c r="S1011" s="8">
        <f t="shared" si="198"/>
        <v>2</v>
      </c>
    </row>
    <row r="1012" spans="1:19">
      <c r="A1012" s="6">
        <f t="shared" ref="A1012:A1055" si="205">A1007+100</f>
        <v>20202</v>
      </c>
      <c r="B1012" s="6">
        <f t="shared" si="199"/>
        <v>202</v>
      </c>
      <c r="C1012" s="6">
        <f t="shared" si="189"/>
        <v>2</v>
      </c>
      <c r="D1012" s="6" t="str">
        <f t="shared" si="201"/>
        <v>关卡202怪物2</v>
      </c>
      <c r="E1012" s="6">
        <v>106</v>
      </c>
      <c r="G1012" s="6" t="s">
        <v>1434</v>
      </c>
      <c r="H1012" s="6">
        <f t="shared" si="196"/>
        <v>0</v>
      </c>
      <c r="I1012" s="6" t="str">
        <f>IF(VLOOKUP(E1012,Sheet2!$W:$AA,5,0)=0,"",VLOOKUP(E1012,Sheet2!$W:$AA,5,0))</f>
        <v>[60002]</v>
      </c>
      <c r="J1012" s="6">
        <v>0</v>
      </c>
      <c r="K1012" s="6">
        <v>0</v>
      </c>
      <c r="L1012" s="6">
        <f>IF(VLOOKUP(E1012,Sheet2!$W:$AA,2,0)=0,"",VLOOKUP(E1012,Sheet2!$W:$AA,2,0))</f>
        <v>1</v>
      </c>
      <c r="N1012" s="6">
        <f>IF(VLOOKUP(E1012,Sheet2!$W:$AA,3,0)=0,"",VLOOKUP(E1012,Sheet2!$W:$AA,3,0))</f>
        <v>2002</v>
      </c>
      <c r="Q1012" s="6" t="str">
        <f>IF(VLOOKUP(E1012,Sheet2!$W:$AA,4,0)=0,"",VLOOKUP(E1012,Sheet2!$W:$AA,4,0))</f>
        <v>[{50012,6}]</v>
      </c>
      <c r="R1012" s="8">
        <f t="shared" si="191"/>
        <v>24</v>
      </c>
      <c r="S1012" s="8">
        <f t="shared" si="198"/>
        <v>2</v>
      </c>
    </row>
    <row r="1013" spans="1:19">
      <c r="A1013" s="6">
        <f t="shared" si="205"/>
        <v>20203</v>
      </c>
      <c r="B1013" s="6">
        <f t="shared" si="199"/>
        <v>202</v>
      </c>
      <c r="C1013" s="6">
        <f t="shared" ref="C1013:C1055" si="206">C1008</f>
        <v>3</v>
      </c>
      <c r="D1013" s="6" t="str">
        <f t="shared" si="202"/>
        <v>关卡202怪物3</v>
      </c>
      <c r="E1013" s="6">
        <v>106</v>
      </c>
      <c r="G1013" s="6" t="s">
        <v>1435</v>
      </c>
      <c r="H1013" s="6">
        <f t="shared" si="196"/>
        <v>0</v>
      </c>
      <c r="I1013" s="6" t="str">
        <f>IF(VLOOKUP(E1013,Sheet2!$W:$AA,5,0)=0,"",VLOOKUP(E1013,Sheet2!$W:$AA,5,0))</f>
        <v>[60002]</v>
      </c>
      <c r="J1013" s="6">
        <v>0</v>
      </c>
      <c r="K1013" s="6">
        <v>0</v>
      </c>
      <c r="L1013" s="6">
        <f>IF(VLOOKUP(E1013,Sheet2!$W:$AA,2,0)=0,"",VLOOKUP(E1013,Sheet2!$W:$AA,2,0))</f>
        <v>1</v>
      </c>
      <c r="N1013" s="6">
        <f>IF(VLOOKUP(E1013,Sheet2!$W:$AA,3,0)=0,"",VLOOKUP(E1013,Sheet2!$W:$AA,3,0))</f>
        <v>2002</v>
      </c>
      <c r="Q1013" s="6" t="str">
        <f>IF(VLOOKUP(E1013,Sheet2!$W:$AA,4,0)=0,"",VLOOKUP(E1013,Sheet2!$W:$AA,4,0))</f>
        <v>[{50012,6}]</v>
      </c>
      <c r="R1013" s="8">
        <f t="shared" si="191"/>
        <v>24</v>
      </c>
      <c r="S1013" s="8">
        <f t="shared" si="198"/>
        <v>2</v>
      </c>
    </row>
    <row r="1014" spans="1:19">
      <c r="A1014" s="6">
        <f t="shared" si="205"/>
        <v>20221</v>
      </c>
      <c r="B1014" s="6">
        <f t="shared" si="199"/>
        <v>202</v>
      </c>
      <c r="C1014" s="6">
        <f t="shared" si="206"/>
        <v>4</v>
      </c>
      <c r="D1014" s="6" t="str">
        <f t="shared" si="203"/>
        <v>关卡202BOSS1</v>
      </c>
      <c r="E1014" s="6">
        <v>501</v>
      </c>
      <c r="G1014" s="6" t="s">
        <v>1436</v>
      </c>
      <c r="H1014" s="6">
        <f t="shared" si="196"/>
        <v>2</v>
      </c>
      <c r="I1014" s="6" t="str">
        <f>IF(VLOOKUP(E1014,Sheet2!$W:$AA,5,0)=0,"",VLOOKUP(E1014,Sheet2!$W:$AA,5,0))</f>
        <v/>
      </c>
      <c r="J1014" s="6">
        <v>0</v>
      </c>
      <c r="K1014" s="6">
        <v>0</v>
      </c>
      <c r="L1014" s="6" t="str">
        <f>IF(VLOOKUP(E1014,Sheet2!$W:$AA,2,0)=0,"",VLOOKUP(E1014,Sheet2!$W:$AA,2,0))</f>
        <v/>
      </c>
      <c r="N1014" s="6" t="str">
        <f>IF(VLOOKUP(E1014,Sheet2!$W:$AA,3,0)=0,"",VLOOKUP(E1014,Sheet2!$W:$AA,3,0))</f>
        <v/>
      </c>
      <c r="Q1014" s="6" t="str">
        <f>IF(VLOOKUP(E1014,Sheet2!$W:$AA,4,0)=0,"",VLOOKUP(E1014,Sheet2!$W:$AA,4,0))</f>
        <v/>
      </c>
      <c r="R1014" s="8">
        <f t="shared" si="191"/>
        <v>100</v>
      </c>
      <c r="S1014" s="8">
        <f t="shared" si="198"/>
        <v>2</v>
      </c>
    </row>
    <row r="1015" spans="1:19">
      <c r="A1015" s="6">
        <f t="shared" si="205"/>
        <v>20231</v>
      </c>
      <c r="B1015" s="6">
        <f t="shared" si="199"/>
        <v>202</v>
      </c>
      <c r="C1015" s="6">
        <f t="shared" si="206"/>
        <v>5</v>
      </c>
      <c r="D1015" s="6" t="str">
        <f t="shared" si="204"/>
        <v>关卡202BOSS2</v>
      </c>
      <c r="E1015" s="6">
        <v>501</v>
      </c>
      <c r="G1015" s="6" t="s">
        <v>1437</v>
      </c>
      <c r="H1015" s="6">
        <f t="shared" si="196"/>
        <v>2</v>
      </c>
      <c r="I1015" s="6" t="str">
        <f>IF(VLOOKUP(E1015,Sheet2!$W:$AA,5,0)=0,"",VLOOKUP(E1015,Sheet2!$W:$AA,5,0))</f>
        <v/>
      </c>
      <c r="J1015" s="6">
        <v>0</v>
      </c>
      <c r="K1015" s="6">
        <v>0</v>
      </c>
      <c r="L1015" s="6" t="str">
        <f>IF(VLOOKUP(E1015,Sheet2!$W:$AA,2,0)=0,"",VLOOKUP(E1015,Sheet2!$W:$AA,2,0))</f>
        <v/>
      </c>
      <c r="N1015" s="6" t="str">
        <f>IF(VLOOKUP(E1015,Sheet2!$W:$AA,3,0)=0,"",VLOOKUP(E1015,Sheet2!$W:$AA,3,0))</f>
        <v/>
      </c>
      <c r="Q1015" s="6" t="str">
        <f>IF(VLOOKUP(E1015,Sheet2!$W:$AA,4,0)=0,"",VLOOKUP(E1015,Sheet2!$W:$AA,4,0))</f>
        <v/>
      </c>
      <c r="R1015" s="8">
        <f t="shared" si="191"/>
        <v>100</v>
      </c>
      <c r="S1015" s="8">
        <f t="shared" si="198"/>
        <v>2</v>
      </c>
    </row>
    <row r="1016" spans="1:19">
      <c r="A1016" s="6">
        <f t="shared" si="205"/>
        <v>20301</v>
      </c>
      <c r="B1016" s="6">
        <f t="shared" si="199"/>
        <v>203</v>
      </c>
      <c r="C1016" s="6">
        <f t="shared" si="206"/>
        <v>1</v>
      </c>
      <c r="D1016" s="6" t="str">
        <f t="shared" si="200"/>
        <v>关卡203怪物1</v>
      </c>
      <c r="E1016" s="6">
        <v>108</v>
      </c>
      <c r="G1016" s="6" t="s">
        <v>1438</v>
      </c>
      <c r="H1016" s="6">
        <f t="shared" si="196"/>
        <v>0</v>
      </c>
      <c r="I1016" s="6" t="str">
        <f>IF(VLOOKUP(E1016,Sheet2!$W:$AA,5,0)=0,"",VLOOKUP(E1016,Sheet2!$W:$AA,5,0))</f>
        <v/>
      </c>
      <c r="J1016" s="6">
        <v>0</v>
      </c>
      <c r="K1016" s="6">
        <v>0</v>
      </c>
      <c r="L1016" s="6" t="str">
        <f>IF(VLOOKUP(E1016,Sheet2!$W:$AA,2,0)=0,"",VLOOKUP(E1016,Sheet2!$W:$AA,2,0))</f>
        <v/>
      </c>
      <c r="N1016" s="6" t="str">
        <f>IF(VLOOKUP(E1016,Sheet2!$W:$AA,3,0)=0,"",VLOOKUP(E1016,Sheet2!$W:$AA,3,0))</f>
        <v/>
      </c>
      <c r="Q1016" s="6" t="str">
        <f>IF(VLOOKUP(E1016,Sheet2!$W:$AA,4,0)=0,"",VLOOKUP(E1016,Sheet2!$W:$AA,4,0))</f>
        <v/>
      </c>
      <c r="R1016" s="8">
        <f t="shared" si="191"/>
        <v>24</v>
      </c>
      <c r="S1016" s="8">
        <f t="shared" si="198"/>
        <v>2</v>
      </c>
    </row>
    <row r="1017" spans="1:19">
      <c r="A1017" s="6">
        <f t="shared" si="205"/>
        <v>20302</v>
      </c>
      <c r="B1017" s="6">
        <f t="shared" si="199"/>
        <v>203</v>
      </c>
      <c r="C1017" s="6">
        <f t="shared" si="206"/>
        <v>2</v>
      </c>
      <c r="D1017" s="6" t="str">
        <f t="shared" si="201"/>
        <v>关卡203怪物2</v>
      </c>
      <c r="E1017" s="6">
        <v>107</v>
      </c>
      <c r="G1017" s="6" t="s">
        <v>1439</v>
      </c>
      <c r="H1017" s="6">
        <f t="shared" si="196"/>
        <v>0</v>
      </c>
      <c r="I1017" s="6" t="str">
        <f>IF(VLOOKUP(E1017,Sheet2!$W:$AA,5,0)=0,"",VLOOKUP(E1017,Sheet2!$W:$AA,5,0))</f>
        <v>[60004]</v>
      </c>
      <c r="J1017" s="6">
        <v>0</v>
      </c>
      <c r="K1017" s="6">
        <v>0</v>
      </c>
      <c r="L1017" s="6">
        <f>IF(VLOOKUP(E1017,Sheet2!$W:$AA,2,0)=0,"",VLOOKUP(E1017,Sheet2!$W:$AA,2,0))</f>
        <v>1</v>
      </c>
      <c r="N1017" s="6" t="str">
        <f>IF(VLOOKUP(E1017,Sheet2!$W:$AA,3,0)=0,"",VLOOKUP(E1017,Sheet2!$W:$AA,3,0))</f>
        <v/>
      </c>
      <c r="Q1017" s="6" t="str">
        <f>IF(VLOOKUP(E1017,Sheet2!$W:$AA,4,0)=0,"",VLOOKUP(E1017,Sheet2!$W:$AA,4,0))</f>
        <v>[{50013,6}]</v>
      </c>
      <c r="R1017" s="8">
        <f t="shared" si="191"/>
        <v>24</v>
      </c>
      <c r="S1017" s="8">
        <f t="shared" si="198"/>
        <v>2</v>
      </c>
    </row>
    <row r="1018" spans="1:19">
      <c r="A1018" s="6">
        <f t="shared" si="205"/>
        <v>20303</v>
      </c>
      <c r="B1018" s="6">
        <f t="shared" si="199"/>
        <v>203</v>
      </c>
      <c r="C1018" s="6">
        <f t="shared" si="206"/>
        <v>3</v>
      </c>
      <c r="D1018" s="6" t="str">
        <f t="shared" si="202"/>
        <v>关卡203怪物3</v>
      </c>
      <c r="E1018" s="6">
        <v>109</v>
      </c>
      <c r="G1018" s="6" t="s">
        <v>1440</v>
      </c>
      <c r="H1018" s="6">
        <f t="shared" si="196"/>
        <v>0</v>
      </c>
      <c r="I1018" s="6" t="str">
        <f>IF(VLOOKUP(E1018,Sheet2!$W:$AA,5,0)=0,"",VLOOKUP(E1018,Sheet2!$W:$AA,5,0))</f>
        <v/>
      </c>
      <c r="J1018" s="6">
        <v>0</v>
      </c>
      <c r="K1018" s="6">
        <v>0</v>
      </c>
      <c r="L1018" s="6">
        <f>IF(VLOOKUP(E1018,Sheet2!$W:$AA,2,0)=0,"",VLOOKUP(E1018,Sheet2!$W:$AA,2,0))</f>
        <v>1</v>
      </c>
      <c r="N1018" s="6" t="str">
        <f>IF(VLOOKUP(E1018,Sheet2!$W:$AA,3,0)=0,"",VLOOKUP(E1018,Sheet2!$W:$AA,3,0))</f>
        <v/>
      </c>
      <c r="Q1018" s="6" t="str">
        <f>IF(VLOOKUP(E1018,Sheet2!$W:$AA,4,0)=0,"",VLOOKUP(E1018,Sheet2!$W:$AA,4,0))</f>
        <v>[{50014,6}]</v>
      </c>
      <c r="R1018" s="8">
        <f t="shared" si="191"/>
        <v>24</v>
      </c>
      <c r="S1018" s="8">
        <f t="shared" si="198"/>
        <v>2</v>
      </c>
    </row>
    <row r="1019" spans="1:19">
      <c r="A1019" s="6">
        <f t="shared" si="205"/>
        <v>20321</v>
      </c>
      <c r="B1019" s="6">
        <f t="shared" si="199"/>
        <v>203</v>
      </c>
      <c r="C1019" s="6">
        <f t="shared" si="206"/>
        <v>4</v>
      </c>
      <c r="D1019" s="6" t="str">
        <f t="shared" si="203"/>
        <v>关卡203BOSS1</v>
      </c>
      <c r="E1019" s="6">
        <v>508</v>
      </c>
      <c r="G1019" s="6" t="s">
        <v>1441</v>
      </c>
      <c r="H1019" s="6">
        <f t="shared" si="196"/>
        <v>2</v>
      </c>
      <c r="I1019" s="6" t="str">
        <f>IF(VLOOKUP(E1019,Sheet2!$W:$AA,5,0)=0,"",VLOOKUP(E1019,Sheet2!$W:$AA,5,0))</f>
        <v/>
      </c>
      <c r="J1019" s="6">
        <v>0</v>
      </c>
      <c r="K1019" s="6">
        <v>0</v>
      </c>
      <c r="L1019" s="6" t="str">
        <f>IF(VLOOKUP(E1019,Sheet2!$W:$AA,2,0)=0,"",VLOOKUP(E1019,Sheet2!$W:$AA,2,0))</f>
        <v/>
      </c>
      <c r="N1019" s="6" t="str">
        <f>IF(VLOOKUP(E1019,Sheet2!$W:$AA,3,0)=0,"",VLOOKUP(E1019,Sheet2!$W:$AA,3,0))</f>
        <v/>
      </c>
      <c r="Q1019" s="6" t="str">
        <f>IF(VLOOKUP(E1019,Sheet2!$W:$AA,4,0)=0,"",VLOOKUP(E1019,Sheet2!$W:$AA,4,0))</f>
        <v/>
      </c>
      <c r="R1019" s="8">
        <f t="shared" si="191"/>
        <v>100</v>
      </c>
      <c r="S1019" s="8">
        <f t="shared" si="198"/>
        <v>2</v>
      </c>
    </row>
    <row r="1020" spans="1:19">
      <c r="A1020" s="6">
        <f t="shared" si="205"/>
        <v>20331</v>
      </c>
      <c r="B1020" s="6">
        <f t="shared" si="199"/>
        <v>203</v>
      </c>
      <c r="C1020" s="6">
        <f t="shared" si="206"/>
        <v>5</v>
      </c>
      <c r="D1020" s="6" t="str">
        <f t="shared" si="204"/>
        <v>关卡203BOSS2</v>
      </c>
      <c r="E1020" s="6">
        <v>508</v>
      </c>
      <c r="G1020" s="6" t="s">
        <v>1442</v>
      </c>
      <c r="H1020" s="6">
        <f t="shared" si="196"/>
        <v>2</v>
      </c>
      <c r="I1020" s="6" t="str">
        <f>IF(VLOOKUP(E1020,Sheet2!$W:$AA,5,0)=0,"",VLOOKUP(E1020,Sheet2!$W:$AA,5,0))</f>
        <v/>
      </c>
      <c r="J1020" s="6">
        <v>0</v>
      </c>
      <c r="K1020" s="6">
        <v>0</v>
      </c>
      <c r="L1020" s="6" t="str">
        <f>IF(VLOOKUP(E1020,Sheet2!$W:$AA,2,0)=0,"",VLOOKUP(E1020,Sheet2!$W:$AA,2,0))</f>
        <v/>
      </c>
      <c r="N1020" s="6" t="str">
        <f>IF(VLOOKUP(E1020,Sheet2!$W:$AA,3,0)=0,"",VLOOKUP(E1020,Sheet2!$W:$AA,3,0))</f>
        <v/>
      </c>
      <c r="Q1020" s="6" t="str">
        <f>IF(VLOOKUP(E1020,Sheet2!$W:$AA,4,0)=0,"",VLOOKUP(E1020,Sheet2!$W:$AA,4,0))</f>
        <v/>
      </c>
      <c r="R1020" s="8">
        <f t="shared" ref="R1020:R1055" si="207">R1015</f>
        <v>100</v>
      </c>
      <c r="S1020" s="8">
        <f t="shared" si="198"/>
        <v>2</v>
      </c>
    </row>
    <row r="1021" spans="1:19">
      <c r="A1021" s="6">
        <f t="shared" si="205"/>
        <v>20401</v>
      </c>
      <c r="B1021" s="6">
        <f t="shared" si="199"/>
        <v>204</v>
      </c>
      <c r="C1021" s="6">
        <f t="shared" si="206"/>
        <v>1</v>
      </c>
      <c r="D1021" s="6" t="str">
        <f t="shared" si="200"/>
        <v>关卡204怪物1</v>
      </c>
      <c r="E1021" s="6">
        <v>100</v>
      </c>
      <c r="G1021" s="6" t="s">
        <v>1443</v>
      </c>
      <c r="H1021" s="6">
        <f t="shared" si="196"/>
        <v>0</v>
      </c>
      <c r="I1021" s="6" t="str">
        <f>IF(VLOOKUP(E1021,Sheet2!$W:$AA,5,0)=0,"",VLOOKUP(E1021,Sheet2!$W:$AA,5,0))</f>
        <v>[60002]</v>
      </c>
      <c r="J1021" s="6">
        <v>0</v>
      </c>
      <c r="K1021" s="6">
        <v>0</v>
      </c>
      <c r="L1021" s="6" t="str">
        <f>IF(VLOOKUP(E1021,Sheet2!$W:$AA,2,0)=0,"",VLOOKUP(E1021,Sheet2!$W:$AA,2,0))</f>
        <v/>
      </c>
      <c r="N1021" s="6">
        <f>IF(VLOOKUP(E1021,Sheet2!$W:$AA,3,0)=0,"",VLOOKUP(E1021,Sheet2!$W:$AA,3,0))</f>
        <v>2001</v>
      </c>
      <c r="Q1021" s="6" t="str">
        <f>IF(VLOOKUP(E1021,Sheet2!$W:$AA,4,0)=0,"",VLOOKUP(E1021,Sheet2!$W:$AA,4,0))</f>
        <v/>
      </c>
      <c r="R1021" s="8">
        <f t="shared" si="207"/>
        <v>24</v>
      </c>
      <c r="S1021" s="8">
        <f t="shared" si="198"/>
        <v>2</v>
      </c>
    </row>
    <row r="1022" spans="1:19">
      <c r="A1022" s="6">
        <f t="shared" si="205"/>
        <v>20402</v>
      </c>
      <c r="B1022" s="6">
        <f t="shared" si="199"/>
        <v>204</v>
      </c>
      <c r="C1022" s="6">
        <f t="shared" si="206"/>
        <v>2</v>
      </c>
      <c r="D1022" s="6" t="str">
        <f t="shared" si="201"/>
        <v>关卡204怪物2</v>
      </c>
      <c r="E1022" s="6">
        <v>102</v>
      </c>
      <c r="G1022" s="6" t="s">
        <v>1444</v>
      </c>
      <c r="H1022" s="6">
        <f t="shared" si="196"/>
        <v>0</v>
      </c>
      <c r="I1022" s="6" t="str">
        <f>IF(VLOOKUP(E1022,Sheet2!$W:$AA,5,0)=0,"",VLOOKUP(E1022,Sheet2!$W:$AA,5,0))</f>
        <v/>
      </c>
      <c r="J1022" s="6">
        <v>0</v>
      </c>
      <c r="K1022" s="6">
        <v>0</v>
      </c>
      <c r="L1022" s="6">
        <f>IF(VLOOKUP(E1022,Sheet2!$W:$AA,2,0)=0,"",VLOOKUP(E1022,Sheet2!$W:$AA,2,0))</f>
        <v>1</v>
      </c>
      <c r="N1022" s="6" t="str">
        <f>IF(VLOOKUP(E1022,Sheet2!$W:$AA,3,0)=0,"",VLOOKUP(E1022,Sheet2!$W:$AA,3,0))</f>
        <v/>
      </c>
      <c r="Q1022" s="6" t="str">
        <f>IF(VLOOKUP(E1022,Sheet2!$W:$AA,4,0)=0,"",VLOOKUP(E1022,Sheet2!$W:$AA,4,0))</f>
        <v>[{50011,6}]</v>
      </c>
      <c r="R1022" s="8">
        <f t="shared" si="207"/>
        <v>24</v>
      </c>
      <c r="S1022" s="8">
        <f t="shared" si="198"/>
        <v>2</v>
      </c>
    </row>
    <row r="1023" spans="1:19">
      <c r="A1023" s="6">
        <f t="shared" si="205"/>
        <v>20403</v>
      </c>
      <c r="B1023" s="6">
        <f t="shared" si="199"/>
        <v>204</v>
      </c>
      <c r="C1023" s="6">
        <f t="shared" si="206"/>
        <v>3</v>
      </c>
      <c r="D1023" s="6" t="str">
        <f t="shared" si="202"/>
        <v>关卡204怪物3</v>
      </c>
      <c r="E1023" s="6">
        <v>105</v>
      </c>
      <c r="G1023" s="6" t="s">
        <v>1445</v>
      </c>
      <c r="H1023" s="6">
        <f t="shared" si="196"/>
        <v>0</v>
      </c>
      <c r="I1023" s="6" t="str">
        <f>IF(VLOOKUP(E1023,Sheet2!$W:$AA,5,0)=0,"",VLOOKUP(E1023,Sheet2!$W:$AA,5,0))</f>
        <v>[60003]</v>
      </c>
      <c r="J1023" s="6">
        <v>0</v>
      </c>
      <c r="K1023" s="6">
        <v>0</v>
      </c>
      <c r="L1023" s="6" t="str">
        <f>IF(VLOOKUP(E1023,Sheet2!$W:$AA,2,0)=0,"",VLOOKUP(E1023,Sheet2!$W:$AA,2,0))</f>
        <v/>
      </c>
      <c r="N1023" s="6" t="str">
        <f>IF(VLOOKUP(E1023,Sheet2!$W:$AA,3,0)=0,"",VLOOKUP(E1023,Sheet2!$W:$AA,3,0))</f>
        <v/>
      </c>
      <c r="Q1023" s="6" t="str">
        <f>IF(VLOOKUP(E1023,Sheet2!$W:$AA,4,0)=0,"",VLOOKUP(E1023,Sheet2!$W:$AA,4,0))</f>
        <v/>
      </c>
      <c r="R1023" s="8">
        <f t="shared" si="207"/>
        <v>24</v>
      </c>
      <c r="S1023" s="8">
        <f t="shared" si="198"/>
        <v>2</v>
      </c>
    </row>
    <row r="1024" spans="1:19">
      <c r="A1024" s="6">
        <f t="shared" si="205"/>
        <v>20421</v>
      </c>
      <c r="B1024" s="6">
        <f t="shared" si="199"/>
        <v>204</v>
      </c>
      <c r="C1024" s="6">
        <f t="shared" si="206"/>
        <v>4</v>
      </c>
      <c r="D1024" s="6" t="str">
        <f t="shared" si="203"/>
        <v>关卡204BOSS1</v>
      </c>
      <c r="E1024" s="6">
        <v>502</v>
      </c>
      <c r="G1024" s="6" t="s">
        <v>1446</v>
      </c>
      <c r="H1024" s="6">
        <f t="shared" si="196"/>
        <v>2</v>
      </c>
      <c r="I1024" s="6" t="str">
        <f>IF(VLOOKUP(E1024,Sheet2!$W:$AA,5,0)=0,"",VLOOKUP(E1024,Sheet2!$W:$AA,5,0))</f>
        <v/>
      </c>
      <c r="J1024" s="6">
        <v>0</v>
      </c>
      <c r="K1024" s="6">
        <v>0</v>
      </c>
      <c r="L1024" s="6">
        <f>IF(VLOOKUP(E1024,Sheet2!$W:$AA,2,0)=0,"",VLOOKUP(E1024,Sheet2!$W:$AA,2,0))</f>
        <v>1</v>
      </c>
      <c r="N1024" s="6" t="str">
        <f>IF(VLOOKUP(E1024,Sheet2!$W:$AA,3,0)=0,"",VLOOKUP(E1024,Sheet2!$W:$AA,3,0))</f>
        <v/>
      </c>
      <c r="Q1024" s="6" t="str">
        <f>IF(VLOOKUP(E1024,Sheet2!$W:$AA,4,0)=0,"",VLOOKUP(E1024,Sheet2!$W:$AA,4,0))</f>
        <v>[{50021,6}]</v>
      </c>
      <c r="R1024" s="8">
        <f t="shared" si="207"/>
        <v>100</v>
      </c>
      <c r="S1024" s="8">
        <f t="shared" si="198"/>
        <v>2</v>
      </c>
    </row>
    <row r="1025" spans="1:19">
      <c r="A1025" s="6">
        <f t="shared" si="205"/>
        <v>20431</v>
      </c>
      <c r="B1025" s="6">
        <f t="shared" si="199"/>
        <v>204</v>
      </c>
      <c r="C1025" s="6">
        <f t="shared" si="206"/>
        <v>5</v>
      </c>
      <c r="D1025" s="6" t="str">
        <f t="shared" si="204"/>
        <v>关卡204BOSS2</v>
      </c>
      <c r="E1025" s="6">
        <v>500</v>
      </c>
      <c r="G1025" s="6" t="s">
        <v>1447</v>
      </c>
      <c r="H1025" s="6">
        <f t="shared" si="196"/>
        <v>2</v>
      </c>
      <c r="I1025" s="6" t="str">
        <f>IF(VLOOKUP(E1025,Sheet2!$W:$AA,5,0)=0,"",VLOOKUP(E1025,Sheet2!$W:$AA,5,0))</f>
        <v>[60002]</v>
      </c>
      <c r="J1025" s="6">
        <v>0</v>
      </c>
      <c r="K1025" s="6">
        <v>0</v>
      </c>
      <c r="L1025" s="6" t="str">
        <f>IF(VLOOKUP(E1025,Sheet2!$W:$AA,2,0)=0,"",VLOOKUP(E1025,Sheet2!$W:$AA,2,0))</f>
        <v/>
      </c>
      <c r="N1025" s="6">
        <f>IF(VLOOKUP(E1025,Sheet2!$W:$AA,3,0)=0,"",VLOOKUP(E1025,Sheet2!$W:$AA,3,0))</f>
        <v>2001</v>
      </c>
      <c r="Q1025" s="6" t="str">
        <f>IF(VLOOKUP(E1025,Sheet2!$W:$AA,4,0)=0,"",VLOOKUP(E1025,Sheet2!$W:$AA,4,0))</f>
        <v/>
      </c>
      <c r="R1025" s="8">
        <f t="shared" si="207"/>
        <v>100</v>
      </c>
      <c r="S1025" s="8">
        <f t="shared" si="198"/>
        <v>2</v>
      </c>
    </row>
    <row r="1026" spans="1:19">
      <c r="A1026" s="6">
        <f t="shared" si="205"/>
        <v>20501</v>
      </c>
      <c r="B1026" s="6">
        <f t="shared" si="199"/>
        <v>205</v>
      </c>
      <c r="C1026" s="6">
        <f t="shared" si="206"/>
        <v>1</v>
      </c>
      <c r="D1026" s="6" t="str">
        <f t="shared" si="200"/>
        <v>关卡205怪物1</v>
      </c>
      <c r="E1026" s="6">
        <v>115</v>
      </c>
      <c r="G1026" s="6" t="s">
        <v>1448</v>
      </c>
      <c r="H1026" s="6">
        <f t="shared" ref="H1026:H1055" si="208">H1021</f>
        <v>0</v>
      </c>
      <c r="I1026" s="6" t="str">
        <f>IF(VLOOKUP(E1026,Sheet2!$W:$AA,5,0)=0,"",VLOOKUP(E1026,Sheet2!$W:$AA,5,0))</f>
        <v/>
      </c>
      <c r="J1026" s="6">
        <v>0</v>
      </c>
      <c r="K1026" s="6">
        <v>0</v>
      </c>
      <c r="L1026" s="6" t="str">
        <f>IF(VLOOKUP(E1026,Sheet2!$W:$AA,2,0)=0,"",VLOOKUP(E1026,Sheet2!$W:$AA,2,0))</f>
        <v/>
      </c>
      <c r="N1026" s="6" t="str">
        <f>IF(VLOOKUP(E1026,Sheet2!$W:$AA,3,0)=0,"",VLOOKUP(E1026,Sheet2!$W:$AA,3,0))</f>
        <v/>
      </c>
      <c r="Q1026" s="6" t="str">
        <f>IF(VLOOKUP(E1026,Sheet2!$W:$AA,4,0)=0,"",VLOOKUP(E1026,Sheet2!$W:$AA,4,0))</f>
        <v/>
      </c>
      <c r="R1026" s="8">
        <f t="shared" si="207"/>
        <v>24</v>
      </c>
      <c r="S1026" s="8">
        <f t="shared" si="198"/>
        <v>2</v>
      </c>
    </row>
    <row r="1027" spans="1:19">
      <c r="A1027" s="6">
        <f t="shared" si="205"/>
        <v>20502</v>
      </c>
      <c r="B1027" s="6">
        <f t="shared" si="199"/>
        <v>205</v>
      </c>
      <c r="C1027" s="6">
        <f t="shared" si="206"/>
        <v>2</v>
      </c>
      <c r="D1027" s="6" t="str">
        <f t="shared" si="201"/>
        <v>关卡205怪物2</v>
      </c>
      <c r="E1027" s="6">
        <v>112</v>
      </c>
      <c r="G1027" s="6" t="s">
        <v>1449</v>
      </c>
      <c r="H1027" s="6">
        <f t="shared" si="208"/>
        <v>0</v>
      </c>
      <c r="I1027" s="6" t="str">
        <f>IF(VLOOKUP(E1027,Sheet2!$W:$AA,5,0)=0,"",VLOOKUP(E1027,Sheet2!$W:$AA,5,0))</f>
        <v/>
      </c>
      <c r="J1027" s="6">
        <v>0</v>
      </c>
      <c r="K1027" s="6">
        <v>0</v>
      </c>
      <c r="L1027" s="6">
        <f>IF(VLOOKUP(E1027,Sheet2!$W:$AA,2,0)=0,"",VLOOKUP(E1027,Sheet2!$W:$AA,2,0))</f>
        <v>1</v>
      </c>
      <c r="N1027" s="6" t="str">
        <f>IF(VLOOKUP(E1027,Sheet2!$W:$AA,3,0)=0,"",VLOOKUP(E1027,Sheet2!$W:$AA,3,0))</f>
        <v/>
      </c>
      <c r="Q1027" s="6" t="str">
        <f>IF(VLOOKUP(E1027,Sheet2!$W:$AA,4,0)=0,"",VLOOKUP(E1027,Sheet2!$W:$AA,4,0))</f>
        <v>[{50015,6}]</v>
      </c>
      <c r="R1027" s="8">
        <f t="shared" si="207"/>
        <v>24</v>
      </c>
      <c r="S1027" s="8">
        <f t="shared" si="198"/>
        <v>2</v>
      </c>
    </row>
    <row r="1028" spans="1:19">
      <c r="A1028" s="6">
        <f t="shared" si="205"/>
        <v>20503</v>
      </c>
      <c r="B1028" s="6">
        <f t="shared" si="199"/>
        <v>205</v>
      </c>
      <c r="C1028" s="6">
        <f t="shared" si="206"/>
        <v>3</v>
      </c>
      <c r="D1028" s="6" t="str">
        <f t="shared" si="202"/>
        <v>关卡205怪物3</v>
      </c>
      <c r="E1028" s="6">
        <v>113</v>
      </c>
      <c r="G1028" s="6" t="s">
        <v>1450</v>
      </c>
      <c r="H1028" s="6">
        <f t="shared" si="208"/>
        <v>0</v>
      </c>
      <c r="I1028" s="6" t="str">
        <f>IF(VLOOKUP(E1028,Sheet2!$W:$AA,5,0)=0,"",VLOOKUP(E1028,Sheet2!$W:$AA,5,0))</f>
        <v>[60005]</v>
      </c>
      <c r="J1028" s="6">
        <v>0</v>
      </c>
      <c r="K1028" s="6">
        <v>0</v>
      </c>
      <c r="L1028" s="6">
        <f>IF(VLOOKUP(E1028,Sheet2!$W:$AA,2,0)=0,"",VLOOKUP(E1028,Sheet2!$W:$AA,2,0))</f>
        <v>1</v>
      </c>
      <c r="N1028" s="6" t="str">
        <f>IF(VLOOKUP(E1028,Sheet2!$W:$AA,3,0)=0,"",VLOOKUP(E1028,Sheet2!$W:$AA,3,0))</f>
        <v/>
      </c>
      <c r="Q1028" s="6" t="str">
        <f>IF(VLOOKUP(E1028,Sheet2!$W:$AA,4,0)=0,"",VLOOKUP(E1028,Sheet2!$W:$AA,4,0))</f>
        <v>[{50016,6}]</v>
      </c>
      <c r="R1028" s="8">
        <f t="shared" si="207"/>
        <v>24</v>
      </c>
      <c r="S1028" s="8">
        <f t="shared" si="198"/>
        <v>2</v>
      </c>
    </row>
    <row r="1029" spans="1:19">
      <c r="A1029" s="6">
        <f t="shared" si="205"/>
        <v>20521</v>
      </c>
      <c r="B1029" s="6">
        <f t="shared" si="199"/>
        <v>205</v>
      </c>
      <c r="C1029" s="6">
        <f t="shared" si="206"/>
        <v>4</v>
      </c>
      <c r="D1029" s="6" t="str">
        <f t="shared" si="203"/>
        <v>关卡205BOSS1</v>
      </c>
      <c r="E1029" s="6">
        <v>515</v>
      </c>
      <c r="G1029" s="6" t="s">
        <v>1451</v>
      </c>
      <c r="H1029" s="6">
        <f t="shared" si="208"/>
        <v>2</v>
      </c>
      <c r="I1029" s="6" t="str">
        <f>IF(VLOOKUP(E1029,Sheet2!$W:$AA,5,0)=0,"",VLOOKUP(E1029,Sheet2!$W:$AA,5,0))</f>
        <v/>
      </c>
      <c r="J1029" s="6">
        <v>0</v>
      </c>
      <c r="K1029" s="6">
        <v>0</v>
      </c>
      <c r="L1029" s="6" t="str">
        <f>IF(VLOOKUP(E1029,Sheet2!$W:$AA,2,0)=0,"",VLOOKUP(E1029,Sheet2!$W:$AA,2,0))</f>
        <v/>
      </c>
      <c r="N1029" s="6" t="str">
        <f>IF(VLOOKUP(E1029,Sheet2!$W:$AA,3,0)=0,"",VLOOKUP(E1029,Sheet2!$W:$AA,3,0))</f>
        <v/>
      </c>
      <c r="Q1029" s="6" t="str">
        <f>IF(VLOOKUP(E1029,Sheet2!$W:$AA,4,0)=0,"",VLOOKUP(E1029,Sheet2!$W:$AA,4,0))</f>
        <v/>
      </c>
      <c r="R1029" s="8">
        <f t="shared" si="207"/>
        <v>100</v>
      </c>
      <c r="S1029" s="8">
        <f t="shared" si="198"/>
        <v>2</v>
      </c>
    </row>
    <row r="1030" spans="1:19">
      <c r="A1030" s="6">
        <f t="shared" si="205"/>
        <v>20531</v>
      </c>
      <c r="B1030" s="6">
        <f t="shared" si="199"/>
        <v>205</v>
      </c>
      <c r="C1030" s="6">
        <f t="shared" si="206"/>
        <v>5</v>
      </c>
      <c r="D1030" s="6" t="str">
        <f t="shared" si="204"/>
        <v>关卡205BOSS2</v>
      </c>
      <c r="E1030" s="6">
        <v>515</v>
      </c>
      <c r="G1030" s="6" t="s">
        <v>1452</v>
      </c>
      <c r="H1030" s="6">
        <f t="shared" si="208"/>
        <v>2</v>
      </c>
      <c r="I1030" s="6" t="str">
        <f>IF(VLOOKUP(E1030,Sheet2!$W:$AA,5,0)=0,"",VLOOKUP(E1030,Sheet2!$W:$AA,5,0))</f>
        <v/>
      </c>
      <c r="J1030" s="6">
        <v>0</v>
      </c>
      <c r="K1030" s="6">
        <v>0</v>
      </c>
      <c r="L1030" s="6" t="str">
        <f>IF(VLOOKUP(E1030,Sheet2!$W:$AA,2,0)=0,"",VLOOKUP(E1030,Sheet2!$W:$AA,2,0))</f>
        <v/>
      </c>
      <c r="N1030" s="6" t="str">
        <f>IF(VLOOKUP(E1030,Sheet2!$W:$AA,3,0)=0,"",VLOOKUP(E1030,Sheet2!$W:$AA,3,0))</f>
        <v/>
      </c>
      <c r="Q1030" s="6" t="str">
        <f>IF(VLOOKUP(E1030,Sheet2!$W:$AA,4,0)=0,"",VLOOKUP(E1030,Sheet2!$W:$AA,4,0))</f>
        <v/>
      </c>
      <c r="R1030" s="8">
        <f t="shared" si="207"/>
        <v>100</v>
      </c>
      <c r="S1030" s="8">
        <f t="shared" si="198"/>
        <v>2</v>
      </c>
    </row>
    <row r="1031" spans="1:19">
      <c r="A1031" s="6">
        <f t="shared" si="205"/>
        <v>20601</v>
      </c>
      <c r="B1031" s="6">
        <f t="shared" si="199"/>
        <v>206</v>
      </c>
      <c r="C1031" s="6">
        <f t="shared" si="206"/>
        <v>1</v>
      </c>
      <c r="D1031" s="6" t="str">
        <f t="shared" si="200"/>
        <v>关卡206怪物1</v>
      </c>
      <c r="E1031" s="6">
        <v>110</v>
      </c>
      <c r="G1031" s="6" t="s">
        <v>1453</v>
      </c>
      <c r="H1031" s="6">
        <f t="shared" si="208"/>
        <v>0</v>
      </c>
      <c r="I1031" s="6" t="str">
        <f>IF(VLOOKUP(E1031,Sheet2!$W:$AA,5,0)=0,"",VLOOKUP(E1031,Sheet2!$W:$AA,5,0))</f>
        <v/>
      </c>
      <c r="J1031" s="6">
        <v>0</v>
      </c>
      <c r="K1031" s="6">
        <v>0</v>
      </c>
      <c r="L1031" s="6" t="str">
        <f>IF(VLOOKUP(E1031,Sheet2!$W:$AA,2,0)=0,"",VLOOKUP(E1031,Sheet2!$W:$AA,2,0))</f>
        <v/>
      </c>
      <c r="N1031" s="6" t="str">
        <f>IF(VLOOKUP(E1031,Sheet2!$W:$AA,3,0)=0,"",VLOOKUP(E1031,Sheet2!$W:$AA,3,0))</f>
        <v/>
      </c>
      <c r="Q1031" s="6" t="str">
        <f>IF(VLOOKUP(E1031,Sheet2!$W:$AA,4,0)=0,"",VLOOKUP(E1031,Sheet2!$W:$AA,4,0))</f>
        <v/>
      </c>
      <c r="R1031" s="8">
        <f t="shared" si="207"/>
        <v>24</v>
      </c>
      <c r="S1031" s="8">
        <f t="shared" si="198"/>
        <v>2</v>
      </c>
    </row>
    <row r="1032" spans="1:19">
      <c r="A1032" s="6">
        <f t="shared" si="205"/>
        <v>20602</v>
      </c>
      <c r="B1032" s="6">
        <f t="shared" si="199"/>
        <v>206</v>
      </c>
      <c r="C1032" s="6">
        <f t="shared" si="206"/>
        <v>2</v>
      </c>
      <c r="D1032" s="6" t="str">
        <f t="shared" si="201"/>
        <v>关卡206怪物2</v>
      </c>
      <c r="E1032" s="6">
        <v>109</v>
      </c>
      <c r="G1032" s="6" t="s">
        <v>1454</v>
      </c>
      <c r="H1032" s="6">
        <f t="shared" si="208"/>
        <v>0</v>
      </c>
      <c r="I1032" s="6" t="str">
        <f>IF(VLOOKUP(E1032,Sheet2!$W:$AA,5,0)=0,"",VLOOKUP(E1032,Sheet2!$W:$AA,5,0))</f>
        <v/>
      </c>
      <c r="J1032" s="6">
        <v>0</v>
      </c>
      <c r="K1032" s="6">
        <v>0</v>
      </c>
      <c r="L1032" s="6">
        <f>IF(VLOOKUP(E1032,Sheet2!$W:$AA,2,0)=0,"",VLOOKUP(E1032,Sheet2!$W:$AA,2,0))</f>
        <v>1</v>
      </c>
      <c r="N1032" s="6" t="str">
        <f>IF(VLOOKUP(E1032,Sheet2!$W:$AA,3,0)=0,"",VLOOKUP(E1032,Sheet2!$W:$AA,3,0))</f>
        <v/>
      </c>
      <c r="Q1032" s="6" t="str">
        <f>IF(VLOOKUP(E1032,Sheet2!$W:$AA,4,0)=0,"",VLOOKUP(E1032,Sheet2!$W:$AA,4,0))</f>
        <v>[{50014,6}]</v>
      </c>
      <c r="R1032" s="8">
        <f t="shared" si="207"/>
        <v>24</v>
      </c>
      <c r="S1032" s="8">
        <f t="shared" si="198"/>
        <v>2</v>
      </c>
    </row>
    <row r="1033" spans="1:19">
      <c r="A1033" s="6">
        <f t="shared" si="205"/>
        <v>20603</v>
      </c>
      <c r="B1033" s="6">
        <f t="shared" si="199"/>
        <v>206</v>
      </c>
      <c r="C1033" s="6">
        <f t="shared" si="206"/>
        <v>3</v>
      </c>
      <c r="D1033" s="6" t="str">
        <f t="shared" si="202"/>
        <v>关卡206怪物3</v>
      </c>
      <c r="E1033" s="6">
        <v>114</v>
      </c>
      <c r="G1033" s="6" t="s">
        <v>1455</v>
      </c>
      <c r="H1033" s="6">
        <f t="shared" si="208"/>
        <v>0</v>
      </c>
      <c r="I1033" s="6" t="str">
        <f>IF(VLOOKUP(E1033,Sheet2!$W:$AA,5,0)=0,"",VLOOKUP(E1033,Sheet2!$W:$AA,5,0))</f>
        <v/>
      </c>
      <c r="J1033" s="6">
        <v>0</v>
      </c>
      <c r="K1033" s="6">
        <v>0</v>
      </c>
      <c r="L1033" s="6" t="str">
        <f>IF(VLOOKUP(E1033,Sheet2!$W:$AA,2,0)=0,"",VLOOKUP(E1033,Sheet2!$W:$AA,2,0))</f>
        <v/>
      </c>
      <c r="N1033" s="6" t="str">
        <f>IF(VLOOKUP(E1033,Sheet2!$W:$AA,3,0)=0,"",VLOOKUP(E1033,Sheet2!$W:$AA,3,0))</f>
        <v/>
      </c>
      <c r="Q1033" s="6" t="str">
        <f>IF(VLOOKUP(E1033,Sheet2!$W:$AA,4,0)=0,"",VLOOKUP(E1033,Sheet2!$W:$AA,4,0))</f>
        <v/>
      </c>
      <c r="R1033" s="8">
        <f t="shared" si="207"/>
        <v>24</v>
      </c>
      <c r="S1033" s="8">
        <f t="shared" si="198"/>
        <v>2</v>
      </c>
    </row>
    <row r="1034" spans="1:19">
      <c r="A1034" s="6">
        <f t="shared" si="205"/>
        <v>20621</v>
      </c>
      <c r="B1034" s="6">
        <f t="shared" si="199"/>
        <v>206</v>
      </c>
      <c r="C1034" s="6">
        <f t="shared" si="206"/>
        <v>4</v>
      </c>
      <c r="D1034" s="6" t="str">
        <f t="shared" si="203"/>
        <v>关卡206BOSS1</v>
      </c>
      <c r="E1034" s="6">
        <v>514</v>
      </c>
      <c r="G1034" s="6" t="s">
        <v>1456</v>
      </c>
      <c r="H1034" s="6">
        <f t="shared" si="208"/>
        <v>2</v>
      </c>
      <c r="I1034" s="6" t="str">
        <f>IF(VLOOKUP(E1034,Sheet2!$W:$AA,5,0)=0,"",VLOOKUP(E1034,Sheet2!$W:$AA,5,0))</f>
        <v/>
      </c>
      <c r="J1034" s="6">
        <v>0</v>
      </c>
      <c r="K1034" s="6">
        <v>0</v>
      </c>
      <c r="L1034" s="6" t="str">
        <f>IF(VLOOKUP(E1034,Sheet2!$W:$AA,2,0)=0,"",VLOOKUP(E1034,Sheet2!$W:$AA,2,0))</f>
        <v/>
      </c>
      <c r="N1034" s="6" t="str">
        <f>IF(VLOOKUP(E1034,Sheet2!$W:$AA,3,0)=0,"",VLOOKUP(E1034,Sheet2!$W:$AA,3,0))</f>
        <v/>
      </c>
      <c r="Q1034" s="6" t="str">
        <f>IF(VLOOKUP(E1034,Sheet2!$W:$AA,4,0)=0,"",VLOOKUP(E1034,Sheet2!$W:$AA,4,0))</f>
        <v/>
      </c>
      <c r="R1034" s="8">
        <f t="shared" si="207"/>
        <v>100</v>
      </c>
      <c r="S1034" s="8">
        <f t="shared" si="198"/>
        <v>2</v>
      </c>
    </row>
    <row r="1035" spans="1:19">
      <c r="A1035" s="6">
        <f t="shared" si="205"/>
        <v>20631</v>
      </c>
      <c r="B1035" s="6">
        <f t="shared" si="199"/>
        <v>206</v>
      </c>
      <c r="C1035" s="6">
        <f t="shared" si="206"/>
        <v>5</v>
      </c>
      <c r="D1035" s="6" t="str">
        <f t="shared" si="204"/>
        <v>关卡206BOSS2</v>
      </c>
      <c r="E1035" s="6">
        <v>514</v>
      </c>
      <c r="G1035" s="6" t="s">
        <v>1457</v>
      </c>
      <c r="H1035" s="6">
        <f t="shared" si="208"/>
        <v>2</v>
      </c>
      <c r="I1035" s="6" t="str">
        <f>IF(VLOOKUP(E1035,Sheet2!$W:$AA,5,0)=0,"",VLOOKUP(E1035,Sheet2!$W:$AA,5,0))</f>
        <v/>
      </c>
      <c r="J1035" s="6">
        <v>0</v>
      </c>
      <c r="K1035" s="6">
        <v>0</v>
      </c>
      <c r="L1035" s="6" t="str">
        <f>IF(VLOOKUP(E1035,Sheet2!$W:$AA,2,0)=0,"",VLOOKUP(E1035,Sheet2!$W:$AA,2,0))</f>
        <v/>
      </c>
      <c r="N1035" s="6" t="str">
        <f>IF(VLOOKUP(E1035,Sheet2!$W:$AA,3,0)=0,"",VLOOKUP(E1035,Sheet2!$W:$AA,3,0))</f>
        <v/>
      </c>
      <c r="Q1035" s="6" t="str">
        <f>IF(VLOOKUP(E1035,Sheet2!$W:$AA,4,0)=0,"",VLOOKUP(E1035,Sheet2!$W:$AA,4,0))</f>
        <v/>
      </c>
      <c r="R1035" s="8">
        <f t="shared" si="207"/>
        <v>100</v>
      </c>
      <c r="S1035" s="8">
        <f t="shared" si="198"/>
        <v>2</v>
      </c>
    </row>
    <row r="1036" spans="1:19">
      <c r="A1036" s="6">
        <f t="shared" si="205"/>
        <v>20701</v>
      </c>
      <c r="B1036" s="6">
        <f t="shared" si="199"/>
        <v>207</v>
      </c>
      <c r="C1036" s="6">
        <f t="shared" si="206"/>
        <v>1</v>
      </c>
      <c r="D1036" s="6" t="str">
        <f t="shared" si="200"/>
        <v>关卡207怪物1</v>
      </c>
      <c r="E1036" s="6">
        <v>125</v>
      </c>
      <c r="G1036" s="6" t="s">
        <v>1458</v>
      </c>
      <c r="H1036" s="6">
        <f t="shared" si="208"/>
        <v>0</v>
      </c>
      <c r="I1036" s="6" t="str">
        <f>IF(VLOOKUP(E1036,Sheet2!$W:$AA,5,0)=0,"",VLOOKUP(E1036,Sheet2!$W:$AA,5,0))</f>
        <v>[60016]</v>
      </c>
      <c r="J1036" s="6">
        <v>0</v>
      </c>
      <c r="K1036" s="6">
        <v>0</v>
      </c>
      <c r="L1036" s="6" t="str">
        <f>IF(VLOOKUP(E1036,Sheet2!$W:$AA,2,0)=0,"",VLOOKUP(E1036,Sheet2!$W:$AA,2,0))</f>
        <v/>
      </c>
      <c r="N1036" s="6" t="str">
        <f>IF(VLOOKUP(E1036,Sheet2!$W:$AA,3,0)=0,"",VLOOKUP(E1036,Sheet2!$W:$AA,3,0))</f>
        <v/>
      </c>
      <c r="Q1036" s="6" t="str">
        <f>IF(VLOOKUP(E1036,Sheet2!$W:$AA,4,0)=0,"",VLOOKUP(E1036,Sheet2!$W:$AA,4,0))</f>
        <v/>
      </c>
      <c r="R1036" s="8">
        <f t="shared" si="207"/>
        <v>24</v>
      </c>
      <c r="S1036" s="8">
        <f t="shared" si="198"/>
        <v>2</v>
      </c>
    </row>
    <row r="1037" spans="1:19">
      <c r="A1037" s="6">
        <f t="shared" si="205"/>
        <v>20702</v>
      </c>
      <c r="B1037" s="6">
        <f t="shared" si="199"/>
        <v>207</v>
      </c>
      <c r="C1037" s="6">
        <f t="shared" si="206"/>
        <v>2</v>
      </c>
      <c r="D1037" s="6" t="str">
        <f t="shared" si="201"/>
        <v>关卡207怪物2</v>
      </c>
      <c r="E1037" s="6">
        <v>127</v>
      </c>
      <c r="G1037" s="6" t="s">
        <v>1459</v>
      </c>
      <c r="H1037" s="6">
        <f t="shared" si="208"/>
        <v>0</v>
      </c>
      <c r="I1037" s="6" t="str">
        <f>IF(VLOOKUP(E1037,Sheet2!$W:$AA,5,0)=0,"",VLOOKUP(E1037,Sheet2!$W:$AA,5,0))</f>
        <v>[60015]</v>
      </c>
      <c r="J1037" s="6">
        <v>0</v>
      </c>
      <c r="K1037" s="6">
        <v>0</v>
      </c>
      <c r="L1037" s="6" t="str">
        <f>IF(VLOOKUP(E1037,Sheet2!$W:$AA,2,0)=0,"",VLOOKUP(E1037,Sheet2!$W:$AA,2,0))</f>
        <v/>
      </c>
      <c r="N1037" s="6" t="str">
        <f>IF(VLOOKUP(E1037,Sheet2!$W:$AA,3,0)=0,"",VLOOKUP(E1037,Sheet2!$W:$AA,3,0))</f>
        <v/>
      </c>
      <c r="Q1037" s="6" t="str">
        <f>IF(VLOOKUP(E1037,Sheet2!$W:$AA,4,0)=0,"",VLOOKUP(E1037,Sheet2!$W:$AA,4,0))</f>
        <v/>
      </c>
      <c r="R1037" s="8">
        <f t="shared" si="207"/>
        <v>24</v>
      </c>
      <c r="S1037" s="8">
        <f t="shared" si="198"/>
        <v>2</v>
      </c>
    </row>
    <row r="1038" spans="1:19">
      <c r="A1038" s="6">
        <f t="shared" si="205"/>
        <v>20703</v>
      </c>
      <c r="B1038" s="6">
        <f t="shared" si="199"/>
        <v>207</v>
      </c>
      <c r="C1038" s="6">
        <f t="shared" si="206"/>
        <v>3</v>
      </c>
      <c r="D1038" s="6" t="str">
        <f t="shared" si="202"/>
        <v>关卡207怪物3</v>
      </c>
      <c r="E1038" s="6">
        <v>126</v>
      </c>
      <c r="G1038" s="6" t="s">
        <v>1460</v>
      </c>
      <c r="H1038" s="6">
        <f t="shared" si="208"/>
        <v>0</v>
      </c>
      <c r="I1038" s="6" t="str">
        <f>IF(VLOOKUP(E1038,Sheet2!$W:$AA,5,0)=0,"",VLOOKUP(E1038,Sheet2!$W:$AA,5,0))</f>
        <v>[60014]</v>
      </c>
      <c r="J1038" s="6">
        <v>0</v>
      </c>
      <c r="K1038" s="6">
        <v>0</v>
      </c>
      <c r="L1038" s="6">
        <f>IF(VLOOKUP(E1038,Sheet2!$W:$AA,2,0)=0,"",VLOOKUP(E1038,Sheet2!$W:$AA,2,0))</f>
        <v>1</v>
      </c>
      <c r="N1038" s="6" t="str">
        <f>IF(VLOOKUP(E1038,Sheet2!$W:$AA,3,0)=0,"",VLOOKUP(E1038,Sheet2!$W:$AA,3,0))</f>
        <v/>
      </c>
      <c r="Q1038" s="6" t="str">
        <f>IF(VLOOKUP(E1038,Sheet2!$W:$AA,4,0)=0,"",VLOOKUP(E1038,Sheet2!$W:$AA,4,0))</f>
        <v>[{50031,6}]</v>
      </c>
      <c r="R1038" s="8">
        <f t="shared" si="207"/>
        <v>24</v>
      </c>
      <c r="S1038" s="8">
        <f t="shared" si="198"/>
        <v>2</v>
      </c>
    </row>
    <row r="1039" spans="1:19">
      <c r="A1039" s="6">
        <f t="shared" si="205"/>
        <v>20721</v>
      </c>
      <c r="B1039" s="6">
        <f t="shared" si="199"/>
        <v>207</v>
      </c>
      <c r="C1039" s="6">
        <f t="shared" si="206"/>
        <v>4</v>
      </c>
      <c r="D1039" s="6" t="str">
        <f t="shared" si="203"/>
        <v>关卡207BOSS1</v>
      </c>
      <c r="E1039" s="6">
        <v>527</v>
      </c>
      <c r="G1039" s="6" t="s">
        <v>1461</v>
      </c>
      <c r="H1039" s="6">
        <f t="shared" si="208"/>
        <v>2</v>
      </c>
      <c r="I1039" s="6" t="str">
        <f>IF(VLOOKUP(E1039,Sheet2!$W:$AA,5,0)=0,"",VLOOKUP(E1039,Sheet2!$W:$AA,5,0))</f>
        <v>[60015]</v>
      </c>
      <c r="J1039" s="6">
        <v>0</v>
      </c>
      <c r="K1039" s="6">
        <v>0</v>
      </c>
      <c r="L1039" s="6" t="str">
        <f>IF(VLOOKUP(E1039,Sheet2!$W:$AA,2,0)=0,"",VLOOKUP(E1039,Sheet2!$W:$AA,2,0))</f>
        <v/>
      </c>
      <c r="N1039" s="6" t="str">
        <f>IF(VLOOKUP(E1039,Sheet2!$W:$AA,3,0)=0,"",VLOOKUP(E1039,Sheet2!$W:$AA,3,0))</f>
        <v/>
      </c>
      <c r="Q1039" s="6" t="str">
        <f>IF(VLOOKUP(E1039,Sheet2!$W:$AA,4,0)=0,"",VLOOKUP(E1039,Sheet2!$W:$AA,4,0))</f>
        <v/>
      </c>
      <c r="R1039" s="8">
        <f t="shared" si="207"/>
        <v>100</v>
      </c>
      <c r="S1039" s="8">
        <f t="shared" si="198"/>
        <v>2</v>
      </c>
    </row>
    <row r="1040" spans="1:19">
      <c r="A1040" s="6">
        <f t="shared" si="205"/>
        <v>20731</v>
      </c>
      <c r="B1040" s="6">
        <f t="shared" si="199"/>
        <v>207</v>
      </c>
      <c r="C1040" s="6">
        <f t="shared" si="206"/>
        <v>5</v>
      </c>
      <c r="D1040" s="6" t="str">
        <f t="shared" si="204"/>
        <v>关卡207BOSS2</v>
      </c>
      <c r="E1040" s="6">
        <v>527</v>
      </c>
      <c r="G1040" s="6" t="s">
        <v>1462</v>
      </c>
      <c r="H1040" s="6">
        <f t="shared" si="208"/>
        <v>2</v>
      </c>
      <c r="I1040" s="6" t="str">
        <f>IF(VLOOKUP(E1040,Sheet2!$W:$AA,5,0)=0,"",VLOOKUP(E1040,Sheet2!$W:$AA,5,0))</f>
        <v>[60015]</v>
      </c>
      <c r="J1040" s="6">
        <v>0</v>
      </c>
      <c r="K1040" s="6">
        <v>0</v>
      </c>
      <c r="L1040" s="6" t="str">
        <f>IF(VLOOKUP(E1040,Sheet2!$W:$AA,2,0)=0,"",VLOOKUP(E1040,Sheet2!$W:$AA,2,0))</f>
        <v/>
      </c>
      <c r="N1040" s="6" t="str">
        <f>IF(VLOOKUP(E1040,Sheet2!$W:$AA,3,0)=0,"",VLOOKUP(E1040,Sheet2!$W:$AA,3,0))</f>
        <v/>
      </c>
      <c r="Q1040" s="6" t="str">
        <f>IF(VLOOKUP(E1040,Sheet2!$W:$AA,4,0)=0,"",VLOOKUP(E1040,Sheet2!$W:$AA,4,0))</f>
        <v/>
      </c>
      <c r="R1040" s="8">
        <f t="shared" si="207"/>
        <v>100</v>
      </c>
      <c r="S1040" s="8">
        <f t="shared" si="198"/>
        <v>2</v>
      </c>
    </row>
    <row r="1041" spans="1:19">
      <c r="A1041" s="6">
        <f t="shared" si="205"/>
        <v>20801</v>
      </c>
      <c r="B1041" s="6">
        <f t="shared" si="199"/>
        <v>208</v>
      </c>
      <c r="C1041" s="6">
        <f t="shared" si="206"/>
        <v>1</v>
      </c>
      <c r="D1041" s="6" t="str">
        <f t="shared" si="200"/>
        <v>关卡208怪物1</v>
      </c>
      <c r="E1041" s="6">
        <v>117</v>
      </c>
      <c r="G1041" s="6" t="s">
        <v>1463</v>
      </c>
      <c r="H1041" s="6">
        <f t="shared" si="208"/>
        <v>0</v>
      </c>
      <c r="I1041" s="6" t="str">
        <f>IF(VLOOKUP(E1041,Sheet2!$W:$AA,5,0)=0,"",VLOOKUP(E1041,Sheet2!$W:$AA,5,0))</f>
        <v/>
      </c>
      <c r="J1041" s="6">
        <v>0</v>
      </c>
      <c r="K1041" s="6">
        <v>0</v>
      </c>
      <c r="L1041" s="6" t="str">
        <f>IF(VLOOKUP(E1041,Sheet2!$W:$AA,2,0)=0,"",VLOOKUP(E1041,Sheet2!$W:$AA,2,0))</f>
        <v/>
      </c>
      <c r="N1041" s="6" t="str">
        <f>IF(VLOOKUP(E1041,Sheet2!$W:$AA,3,0)=0,"",VLOOKUP(E1041,Sheet2!$W:$AA,3,0))</f>
        <v/>
      </c>
      <c r="Q1041" s="6" t="str">
        <f>IF(VLOOKUP(E1041,Sheet2!$W:$AA,4,0)=0,"",VLOOKUP(E1041,Sheet2!$W:$AA,4,0))</f>
        <v/>
      </c>
      <c r="R1041" s="8">
        <f t="shared" si="207"/>
        <v>24</v>
      </c>
      <c r="S1041" s="8">
        <f t="shared" si="198"/>
        <v>2</v>
      </c>
    </row>
    <row r="1042" spans="1:19">
      <c r="A1042" s="6">
        <f t="shared" si="205"/>
        <v>20802</v>
      </c>
      <c r="B1042" s="6">
        <f t="shared" si="199"/>
        <v>208</v>
      </c>
      <c r="C1042" s="6">
        <f t="shared" si="206"/>
        <v>2</v>
      </c>
      <c r="D1042" s="6" t="str">
        <f t="shared" si="201"/>
        <v>关卡208怪物2</v>
      </c>
      <c r="E1042" s="6">
        <v>116</v>
      </c>
      <c r="G1042" s="6" t="s">
        <v>1464</v>
      </c>
      <c r="H1042" s="6">
        <f t="shared" si="208"/>
        <v>0</v>
      </c>
      <c r="I1042" s="6" t="str">
        <f>IF(VLOOKUP(E1042,Sheet2!$W:$AA,5,0)=0,"",VLOOKUP(E1042,Sheet2!$W:$AA,5,0))</f>
        <v>[60007]</v>
      </c>
      <c r="J1042" s="6">
        <v>0</v>
      </c>
      <c r="K1042" s="6">
        <v>0</v>
      </c>
      <c r="L1042" s="6" t="str">
        <f>IF(VLOOKUP(E1042,Sheet2!$W:$AA,2,0)=0,"",VLOOKUP(E1042,Sheet2!$W:$AA,2,0))</f>
        <v/>
      </c>
      <c r="N1042" s="6" t="str">
        <f>IF(VLOOKUP(E1042,Sheet2!$W:$AA,3,0)=0,"",VLOOKUP(E1042,Sheet2!$W:$AA,3,0))</f>
        <v/>
      </c>
      <c r="Q1042" s="6" t="str">
        <f>IF(VLOOKUP(E1042,Sheet2!$W:$AA,4,0)=0,"",VLOOKUP(E1042,Sheet2!$W:$AA,4,0))</f>
        <v/>
      </c>
      <c r="R1042" s="8">
        <f t="shared" si="207"/>
        <v>24</v>
      </c>
      <c r="S1042" s="8">
        <f t="shared" si="198"/>
        <v>2</v>
      </c>
    </row>
    <row r="1043" spans="1:19">
      <c r="A1043" s="6">
        <f t="shared" si="205"/>
        <v>20803</v>
      </c>
      <c r="B1043" s="6">
        <f t="shared" si="199"/>
        <v>208</v>
      </c>
      <c r="C1043" s="6">
        <f t="shared" si="206"/>
        <v>3</v>
      </c>
      <c r="D1043" s="6" t="str">
        <f t="shared" si="202"/>
        <v>关卡208怪物3</v>
      </c>
      <c r="E1043" s="6">
        <v>119</v>
      </c>
      <c r="G1043" s="6" t="s">
        <v>1465</v>
      </c>
      <c r="H1043" s="6">
        <f t="shared" si="208"/>
        <v>0</v>
      </c>
      <c r="I1043" s="6" t="str">
        <f>IF(VLOOKUP(E1043,Sheet2!$W:$AA,5,0)=0,"",VLOOKUP(E1043,Sheet2!$W:$AA,5,0))</f>
        <v/>
      </c>
      <c r="J1043" s="6">
        <v>0</v>
      </c>
      <c r="K1043" s="6">
        <v>0</v>
      </c>
      <c r="L1043" s="6">
        <f>IF(VLOOKUP(E1043,Sheet2!$W:$AA,2,0)=0,"",VLOOKUP(E1043,Sheet2!$W:$AA,2,0))</f>
        <v>1</v>
      </c>
      <c r="N1043" s="6" t="str">
        <f>IF(VLOOKUP(E1043,Sheet2!$W:$AA,3,0)=0,"",VLOOKUP(E1043,Sheet2!$W:$AA,3,0))</f>
        <v/>
      </c>
      <c r="Q1043" s="6" t="str">
        <f>IF(VLOOKUP(E1043,Sheet2!$W:$AA,4,0)=0,"",VLOOKUP(E1043,Sheet2!$W:$AA,4,0))</f>
        <v>[{50018,6}]</v>
      </c>
      <c r="R1043" s="8">
        <f t="shared" si="207"/>
        <v>24</v>
      </c>
      <c r="S1043" s="8">
        <f t="shared" si="198"/>
        <v>2</v>
      </c>
    </row>
    <row r="1044" spans="1:19">
      <c r="A1044" s="6">
        <f t="shared" si="205"/>
        <v>20821</v>
      </c>
      <c r="B1044" s="6">
        <f t="shared" si="199"/>
        <v>208</v>
      </c>
      <c r="C1044" s="6">
        <f t="shared" si="206"/>
        <v>4</v>
      </c>
      <c r="D1044" s="6" t="str">
        <f t="shared" si="203"/>
        <v>关卡208BOSS1</v>
      </c>
      <c r="E1044" s="6">
        <v>517</v>
      </c>
      <c r="G1044" s="6" t="s">
        <v>1466</v>
      </c>
      <c r="H1044" s="6">
        <f t="shared" si="208"/>
        <v>2</v>
      </c>
      <c r="I1044" s="6" t="str">
        <f>IF(VLOOKUP(E1044,Sheet2!$W:$AA,5,0)=0,"",VLOOKUP(E1044,Sheet2!$W:$AA,5,0))</f>
        <v/>
      </c>
      <c r="J1044" s="6">
        <v>0</v>
      </c>
      <c r="K1044" s="6">
        <v>0</v>
      </c>
      <c r="L1044" s="6" t="str">
        <f>IF(VLOOKUP(E1044,Sheet2!$W:$AA,2,0)=0,"",VLOOKUP(E1044,Sheet2!$W:$AA,2,0))</f>
        <v/>
      </c>
      <c r="N1044" s="6" t="str">
        <f>IF(VLOOKUP(E1044,Sheet2!$W:$AA,3,0)=0,"",VLOOKUP(E1044,Sheet2!$W:$AA,3,0))</f>
        <v/>
      </c>
      <c r="Q1044" s="6" t="str">
        <f>IF(VLOOKUP(E1044,Sheet2!$W:$AA,4,0)=0,"",VLOOKUP(E1044,Sheet2!$W:$AA,4,0))</f>
        <v/>
      </c>
      <c r="R1044" s="8">
        <f t="shared" si="207"/>
        <v>100</v>
      </c>
      <c r="S1044" s="8">
        <f t="shared" si="198"/>
        <v>2</v>
      </c>
    </row>
    <row r="1045" spans="1:19">
      <c r="A1045" s="6">
        <f t="shared" si="205"/>
        <v>20831</v>
      </c>
      <c r="B1045" s="6">
        <f t="shared" si="199"/>
        <v>208</v>
      </c>
      <c r="C1045" s="6">
        <f t="shared" si="206"/>
        <v>5</v>
      </c>
      <c r="D1045" s="6" t="str">
        <f t="shared" si="204"/>
        <v>关卡208BOSS2</v>
      </c>
      <c r="E1045" s="6">
        <v>517</v>
      </c>
      <c r="G1045" s="6" t="s">
        <v>1467</v>
      </c>
      <c r="H1045" s="6">
        <f t="shared" si="208"/>
        <v>2</v>
      </c>
      <c r="I1045" s="6" t="str">
        <f>IF(VLOOKUP(E1045,Sheet2!$W:$AA,5,0)=0,"",VLOOKUP(E1045,Sheet2!$W:$AA,5,0))</f>
        <v/>
      </c>
      <c r="J1045" s="6">
        <v>0</v>
      </c>
      <c r="K1045" s="6">
        <v>0</v>
      </c>
      <c r="L1045" s="6" t="str">
        <f>IF(VLOOKUP(E1045,Sheet2!$W:$AA,2,0)=0,"",VLOOKUP(E1045,Sheet2!$W:$AA,2,0))</f>
        <v/>
      </c>
      <c r="N1045" s="6" t="str">
        <f>IF(VLOOKUP(E1045,Sheet2!$W:$AA,3,0)=0,"",VLOOKUP(E1045,Sheet2!$W:$AA,3,0))</f>
        <v/>
      </c>
      <c r="Q1045" s="6" t="str">
        <f>IF(VLOOKUP(E1045,Sheet2!$W:$AA,4,0)=0,"",VLOOKUP(E1045,Sheet2!$W:$AA,4,0))</f>
        <v/>
      </c>
      <c r="R1045" s="8">
        <f t="shared" si="207"/>
        <v>100</v>
      </c>
      <c r="S1045" s="8">
        <f t="shared" si="198"/>
        <v>2</v>
      </c>
    </row>
    <row r="1046" spans="1:19">
      <c r="A1046" s="6">
        <f t="shared" si="205"/>
        <v>20901</v>
      </c>
      <c r="B1046" s="6">
        <f t="shared" si="199"/>
        <v>209</v>
      </c>
      <c r="C1046" s="6">
        <f t="shared" si="206"/>
        <v>1</v>
      </c>
      <c r="D1046" s="6" t="str">
        <f t="shared" si="200"/>
        <v>关卡209怪物1</v>
      </c>
      <c r="E1046" s="6">
        <v>125</v>
      </c>
      <c r="G1046" s="6" t="s">
        <v>1468</v>
      </c>
      <c r="H1046" s="6">
        <f t="shared" si="208"/>
        <v>0</v>
      </c>
      <c r="I1046" s="6" t="str">
        <f>IF(VLOOKUP(E1046,Sheet2!$W:$AA,5,0)=0,"",VLOOKUP(E1046,Sheet2!$W:$AA,5,0))</f>
        <v>[60016]</v>
      </c>
      <c r="J1046" s="6">
        <v>0</v>
      </c>
      <c r="K1046" s="6">
        <v>0</v>
      </c>
      <c r="L1046" s="6" t="str">
        <f>IF(VLOOKUP(E1046,Sheet2!$W:$AA,2,0)=0,"",VLOOKUP(E1046,Sheet2!$W:$AA,2,0))</f>
        <v/>
      </c>
      <c r="N1046" s="6" t="str">
        <f>IF(VLOOKUP(E1046,Sheet2!$W:$AA,3,0)=0,"",VLOOKUP(E1046,Sheet2!$W:$AA,3,0))</f>
        <v/>
      </c>
      <c r="Q1046" s="6" t="str">
        <f>IF(VLOOKUP(E1046,Sheet2!$W:$AA,4,0)=0,"",VLOOKUP(E1046,Sheet2!$W:$AA,4,0))</f>
        <v/>
      </c>
      <c r="R1046" s="8">
        <f t="shared" si="207"/>
        <v>24</v>
      </c>
      <c r="S1046" s="8">
        <f t="shared" si="198"/>
        <v>2</v>
      </c>
    </row>
    <row r="1047" spans="1:19">
      <c r="A1047" s="6">
        <f t="shared" si="205"/>
        <v>20902</v>
      </c>
      <c r="B1047" s="6">
        <f t="shared" si="199"/>
        <v>209</v>
      </c>
      <c r="C1047" s="6">
        <f t="shared" si="206"/>
        <v>2</v>
      </c>
      <c r="D1047" s="6" t="str">
        <f t="shared" si="201"/>
        <v>关卡209怪物2</v>
      </c>
      <c r="E1047" s="6">
        <v>124</v>
      </c>
      <c r="G1047" s="6" t="s">
        <v>1469</v>
      </c>
      <c r="H1047" s="6">
        <f t="shared" si="208"/>
        <v>0</v>
      </c>
      <c r="I1047" s="6" t="str">
        <f>IF(VLOOKUP(E1047,Sheet2!$W:$AA,5,0)=0,"",VLOOKUP(E1047,Sheet2!$W:$AA,5,0))</f>
        <v>[60013]</v>
      </c>
      <c r="J1047" s="6">
        <v>0</v>
      </c>
      <c r="K1047" s="6">
        <v>0</v>
      </c>
      <c r="L1047" s="6" t="str">
        <f>IF(VLOOKUP(E1047,Sheet2!$W:$AA,2,0)=0,"",VLOOKUP(E1047,Sheet2!$W:$AA,2,0))</f>
        <v/>
      </c>
      <c r="N1047" s="6" t="str">
        <f>IF(VLOOKUP(E1047,Sheet2!$W:$AA,3,0)=0,"",VLOOKUP(E1047,Sheet2!$W:$AA,3,0))</f>
        <v/>
      </c>
      <c r="Q1047" s="6" t="str">
        <f>IF(VLOOKUP(E1047,Sheet2!$W:$AA,4,0)=0,"",VLOOKUP(E1047,Sheet2!$W:$AA,4,0))</f>
        <v/>
      </c>
      <c r="R1047" s="8">
        <f t="shared" si="207"/>
        <v>24</v>
      </c>
      <c r="S1047" s="8">
        <f t="shared" si="198"/>
        <v>2</v>
      </c>
    </row>
    <row r="1048" spans="1:19">
      <c r="A1048" s="6">
        <f t="shared" si="205"/>
        <v>20903</v>
      </c>
      <c r="B1048" s="6">
        <f t="shared" si="199"/>
        <v>209</v>
      </c>
      <c r="C1048" s="6">
        <f t="shared" si="206"/>
        <v>3</v>
      </c>
      <c r="D1048" s="6" t="str">
        <f t="shared" si="202"/>
        <v>关卡209怪物3</v>
      </c>
      <c r="E1048" s="6">
        <v>128</v>
      </c>
      <c r="G1048" s="6" t="s">
        <v>1470</v>
      </c>
      <c r="H1048" s="6">
        <f t="shared" si="208"/>
        <v>0</v>
      </c>
      <c r="I1048" s="6" t="str">
        <f>IF(VLOOKUP(E1048,Sheet2!$W:$AA,5,0)=0,"",VLOOKUP(E1048,Sheet2!$W:$AA,5,0))</f>
        <v>[60017]</v>
      </c>
      <c r="J1048" s="6">
        <v>0</v>
      </c>
      <c r="K1048" s="6">
        <v>0</v>
      </c>
      <c r="L1048" s="6" t="str">
        <f>IF(VLOOKUP(E1048,Sheet2!$W:$AA,2,0)=0,"",VLOOKUP(E1048,Sheet2!$W:$AA,2,0))</f>
        <v/>
      </c>
      <c r="N1048" s="6" t="str">
        <f>IF(VLOOKUP(E1048,Sheet2!$W:$AA,3,0)=0,"",VLOOKUP(E1048,Sheet2!$W:$AA,3,0))</f>
        <v/>
      </c>
      <c r="Q1048" s="6" t="str">
        <f>IF(VLOOKUP(E1048,Sheet2!$W:$AA,4,0)=0,"",VLOOKUP(E1048,Sheet2!$W:$AA,4,0))</f>
        <v/>
      </c>
      <c r="R1048" s="8">
        <f t="shared" si="207"/>
        <v>24</v>
      </c>
      <c r="S1048" s="8">
        <f t="shared" si="198"/>
        <v>2</v>
      </c>
    </row>
    <row r="1049" spans="1:19">
      <c r="A1049" s="6">
        <f t="shared" si="205"/>
        <v>20921</v>
      </c>
      <c r="B1049" s="6">
        <f t="shared" si="199"/>
        <v>209</v>
      </c>
      <c r="C1049" s="6">
        <f t="shared" si="206"/>
        <v>4</v>
      </c>
      <c r="D1049" s="6" t="str">
        <f t="shared" si="203"/>
        <v>关卡209BOSS1</v>
      </c>
      <c r="E1049" s="6">
        <v>524</v>
      </c>
      <c r="G1049" s="6" t="s">
        <v>1471</v>
      </c>
      <c r="H1049" s="6">
        <f t="shared" si="208"/>
        <v>2</v>
      </c>
      <c r="I1049" s="6" t="str">
        <f>IF(VLOOKUP(E1049,Sheet2!$W:$AA,5,0)=0,"",VLOOKUP(E1049,Sheet2!$W:$AA,5,0))</f>
        <v>[60013]</v>
      </c>
      <c r="J1049" s="6">
        <v>0</v>
      </c>
      <c r="K1049" s="6">
        <v>0</v>
      </c>
      <c r="L1049" s="6" t="str">
        <f>IF(VLOOKUP(E1049,Sheet2!$W:$AA,2,0)=0,"",VLOOKUP(E1049,Sheet2!$W:$AA,2,0))</f>
        <v/>
      </c>
      <c r="N1049" s="6" t="str">
        <f>IF(VLOOKUP(E1049,Sheet2!$W:$AA,3,0)=0,"",VLOOKUP(E1049,Sheet2!$W:$AA,3,0))</f>
        <v/>
      </c>
      <c r="Q1049" s="6" t="str">
        <f>IF(VLOOKUP(E1049,Sheet2!$W:$AA,4,0)=0,"",VLOOKUP(E1049,Sheet2!$W:$AA,4,0))</f>
        <v/>
      </c>
      <c r="R1049" s="8">
        <f t="shared" si="207"/>
        <v>100</v>
      </c>
      <c r="S1049" s="8">
        <f t="shared" si="198"/>
        <v>2</v>
      </c>
    </row>
    <row r="1050" spans="1:19">
      <c r="A1050" s="6">
        <f t="shared" si="205"/>
        <v>20931</v>
      </c>
      <c r="B1050" s="6">
        <f t="shared" si="199"/>
        <v>209</v>
      </c>
      <c r="C1050" s="6">
        <f t="shared" si="206"/>
        <v>5</v>
      </c>
      <c r="D1050" s="6" t="str">
        <f t="shared" si="204"/>
        <v>关卡209BOSS2</v>
      </c>
      <c r="E1050" s="6">
        <v>524</v>
      </c>
      <c r="G1050" s="6" t="s">
        <v>1472</v>
      </c>
      <c r="H1050" s="6">
        <f t="shared" si="208"/>
        <v>2</v>
      </c>
      <c r="I1050" s="6" t="str">
        <f>IF(VLOOKUP(E1050,Sheet2!$W:$AA,5,0)=0,"",VLOOKUP(E1050,Sheet2!$W:$AA,5,0))</f>
        <v>[60013]</v>
      </c>
      <c r="J1050" s="6">
        <v>0</v>
      </c>
      <c r="K1050" s="6">
        <v>0</v>
      </c>
      <c r="L1050" s="6" t="str">
        <f>IF(VLOOKUP(E1050,Sheet2!$W:$AA,2,0)=0,"",VLOOKUP(E1050,Sheet2!$W:$AA,2,0))</f>
        <v/>
      </c>
      <c r="N1050" s="6" t="str">
        <f>IF(VLOOKUP(E1050,Sheet2!$W:$AA,3,0)=0,"",VLOOKUP(E1050,Sheet2!$W:$AA,3,0))</f>
        <v/>
      </c>
      <c r="Q1050" s="6" t="str">
        <f>IF(VLOOKUP(E1050,Sheet2!$W:$AA,4,0)=0,"",VLOOKUP(E1050,Sheet2!$W:$AA,4,0))</f>
        <v/>
      </c>
      <c r="R1050" s="8">
        <f t="shared" si="207"/>
        <v>100</v>
      </c>
      <c r="S1050" s="8">
        <f t="shared" si="198"/>
        <v>2</v>
      </c>
    </row>
    <row r="1051" spans="1:19">
      <c r="A1051" s="6">
        <f t="shared" si="205"/>
        <v>21001</v>
      </c>
      <c r="B1051" s="6">
        <f t="shared" si="199"/>
        <v>210</v>
      </c>
      <c r="C1051" s="6">
        <f t="shared" si="206"/>
        <v>1</v>
      </c>
      <c r="D1051" s="6" t="str">
        <f t="shared" si="200"/>
        <v>关卡210怪物1</v>
      </c>
      <c r="E1051" s="6">
        <v>100</v>
      </c>
      <c r="G1051" s="6" t="s">
        <v>1473</v>
      </c>
      <c r="H1051" s="6">
        <f t="shared" si="208"/>
        <v>0</v>
      </c>
      <c r="I1051" s="6" t="str">
        <f>IF(VLOOKUP(E1051,Sheet2!$W:$AA,5,0)=0,"",VLOOKUP(E1051,Sheet2!$W:$AA,5,0))</f>
        <v>[60002]</v>
      </c>
      <c r="J1051" s="6">
        <v>0</v>
      </c>
      <c r="K1051" s="6">
        <v>0</v>
      </c>
      <c r="L1051" s="6" t="str">
        <f>IF(VLOOKUP(E1051,Sheet2!$W:$AA,2,0)=0,"",VLOOKUP(E1051,Sheet2!$W:$AA,2,0))</f>
        <v/>
      </c>
      <c r="N1051" s="6">
        <f>IF(VLOOKUP(E1051,Sheet2!$W:$AA,3,0)=0,"",VLOOKUP(E1051,Sheet2!$W:$AA,3,0))</f>
        <v>2001</v>
      </c>
      <c r="Q1051" s="6" t="str">
        <f>IF(VLOOKUP(E1051,Sheet2!$W:$AA,4,0)=0,"",VLOOKUP(E1051,Sheet2!$W:$AA,4,0))</f>
        <v/>
      </c>
      <c r="R1051" s="8">
        <f t="shared" si="207"/>
        <v>24</v>
      </c>
      <c r="S1051" s="8">
        <f t="shared" si="198"/>
        <v>2</v>
      </c>
    </row>
    <row r="1052" spans="1:19">
      <c r="A1052" s="6">
        <f t="shared" si="205"/>
        <v>21002</v>
      </c>
      <c r="B1052" s="6">
        <f t="shared" si="199"/>
        <v>210</v>
      </c>
      <c r="C1052" s="6">
        <f t="shared" si="206"/>
        <v>2</v>
      </c>
      <c r="D1052" s="6" t="str">
        <f t="shared" si="201"/>
        <v>关卡210怪物2</v>
      </c>
      <c r="E1052" s="6">
        <v>102</v>
      </c>
      <c r="G1052" s="6" t="s">
        <v>1474</v>
      </c>
      <c r="H1052" s="6">
        <f t="shared" si="208"/>
        <v>0</v>
      </c>
      <c r="I1052" s="6" t="str">
        <f>IF(VLOOKUP(E1052,Sheet2!$W:$AA,5,0)=0,"",VLOOKUP(E1052,Sheet2!$W:$AA,5,0))</f>
        <v/>
      </c>
      <c r="J1052" s="6">
        <v>0</v>
      </c>
      <c r="K1052" s="6">
        <v>0</v>
      </c>
      <c r="L1052" s="6">
        <f>IF(VLOOKUP(E1052,Sheet2!$W:$AA,2,0)=0,"",VLOOKUP(E1052,Sheet2!$W:$AA,2,0))</f>
        <v>1</v>
      </c>
      <c r="N1052" s="6" t="str">
        <f>IF(VLOOKUP(E1052,Sheet2!$W:$AA,3,0)=0,"",VLOOKUP(E1052,Sheet2!$W:$AA,3,0))</f>
        <v/>
      </c>
      <c r="Q1052" s="6" t="str">
        <f>IF(VLOOKUP(E1052,Sheet2!$W:$AA,4,0)=0,"",VLOOKUP(E1052,Sheet2!$W:$AA,4,0))</f>
        <v>[{50011,6}]</v>
      </c>
      <c r="R1052" s="8">
        <f t="shared" si="207"/>
        <v>24</v>
      </c>
      <c r="S1052" s="8">
        <f t="shared" si="198"/>
        <v>2</v>
      </c>
    </row>
    <row r="1053" spans="1:19">
      <c r="A1053" s="6">
        <f t="shared" si="205"/>
        <v>21003</v>
      </c>
      <c r="B1053" s="6">
        <f t="shared" si="199"/>
        <v>210</v>
      </c>
      <c r="C1053" s="6">
        <f t="shared" si="206"/>
        <v>3</v>
      </c>
      <c r="D1053" s="6" t="str">
        <f t="shared" si="202"/>
        <v>关卡210怪物3</v>
      </c>
      <c r="E1053" s="6">
        <v>105</v>
      </c>
      <c r="G1053" s="6" t="s">
        <v>1475</v>
      </c>
      <c r="H1053" s="6">
        <f t="shared" si="208"/>
        <v>0</v>
      </c>
      <c r="I1053" s="6" t="str">
        <f>IF(VLOOKUP(E1053,Sheet2!$W:$AA,5,0)=0,"",VLOOKUP(E1053,Sheet2!$W:$AA,5,0))</f>
        <v>[60003]</v>
      </c>
      <c r="J1053" s="6">
        <v>0</v>
      </c>
      <c r="K1053" s="6">
        <v>0</v>
      </c>
      <c r="L1053" s="6" t="str">
        <f>IF(VLOOKUP(E1053,Sheet2!$W:$AA,2,0)=0,"",VLOOKUP(E1053,Sheet2!$W:$AA,2,0))</f>
        <v/>
      </c>
      <c r="N1053" s="6" t="str">
        <f>IF(VLOOKUP(E1053,Sheet2!$W:$AA,3,0)=0,"",VLOOKUP(E1053,Sheet2!$W:$AA,3,0))</f>
        <v/>
      </c>
      <c r="Q1053" s="6" t="str">
        <f>IF(VLOOKUP(E1053,Sheet2!$W:$AA,4,0)=0,"",VLOOKUP(E1053,Sheet2!$W:$AA,4,0))</f>
        <v/>
      </c>
      <c r="R1053" s="8">
        <f t="shared" si="207"/>
        <v>24</v>
      </c>
      <c r="S1053" s="8">
        <f t="shared" si="198"/>
        <v>2</v>
      </c>
    </row>
    <row r="1054" spans="1:19">
      <c r="A1054" s="6">
        <f t="shared" si="205"/>
        <v>21021</v>
      </c>
      <c r="B1054" s="6">
        <f t="shared" si="199"/>
        <v>210</v>
      </c>
      <c r="C1054" s="6">
        <f t="shared" si="206"/>
        <v>4</v>
      </c>
      <c r="D1054" s="6" t="str">
        <f t="shared" si="203"/>
        <v>关卡210BOSS1</v>
      </c>
      <c r="E1054" s="6">
        <v>502</v>
      </c>
      <c r="G1054" s="6" t="s">
        <v>1476</v>
      </c>
      <c r="H1054" s="6">
        <f t="shared" si="208"/>
        <v>2</v>
      </c>
      <c r="I1054" s="6" t="str">
        <f>IF(VLOOKUP(E1054,Sheet2!$W:$AA,5,0)=0,"",VLOOKUP(E1054,Sheet2!$W:$AA,5,0))</f>
        <v/>
      </c>
      <c r="J1054" s="6">
        <v>0</v>
      </c>
      <c r="K1054" s="6">
        <v>0</v>
      </c>
      <c r="L1054" s="6">
        <f>IF(VLOOKUP(E1054,Sheet2!$W:$AA,2,0)=0,"",VLOOKUP(E1054,Sheet2!$W:$AA,2,0))</f>
        <v>1</v>
      </c>
      <c r="N1054" s="6" t="str">
        <f>IF(VLOOKUP(E1054,Sheet2!$W:$AA,3,0)=0,"",VLOOKUP(E1054,Sheet2!$W:$AA,3,0))</f>
        <v/>
      </c>
      <c r="Q1054" s="6" t="str">
        <f>IF(VLOOKUP(E1054,Sheet2!$W:$AA,4,0)=0,"",VLOOKUP(E1054,Sheet2!$W:$AA,4,0))</f>
        <v>[{50021,6}]</v>
      </c>
      <c r="R1054" s="8">
        <f t="shared" si="207"/>
        <v>100</v>
      </c>
      <c r="S1054" s="8">
        <f t="shared" si="198"/>
        <v>2</v>
      </c>
    </row>
    <row r="1055" spans="1:19">
      <c r="A1055" s="6">
        <f t="shared" si="205"/>
        <v>21031</v>
      </c>
      <c r="B1055" s="6">
        <f t="shared" si="199"/>
        <v>210</v>
      </c>
      <c r="C1055" s="6">
        <f t="shared" si="206"/>
        <v>5</v>
      </c>
      <c r="D1055" s="6" t="str">
        <f t="shared" si="204"/>
        <v>关卡210BOSS2</v>
      </c>
      <c r="E1055" s="6">
        <v>500</v>
      </c>
      <c r="G1055" s="6" t="s">
        <v>1477</v>
      </c>
      <c r="H1055" s="6">
        <f t="shared" si="208"/>
        <v>2</v>
      </c>
      <c r="I1055" s="6" t="str">
        <f>IF(VLOOKUP(E1055,Sheet2!$W:$AA,5,0)=0,"",VLOOKUP(E1055,Sheet2!$W:$AA,5,0))</f>
        <v>[60002]</v>
      </c>
      <c r="J1055" s="6">
        <v>0</v>
      </c>
      <c r="K1055" s="6">
        <v>0</v>
      </c>
      <c r="L1055" s="6" t="str">
        <f>IF(VLOOKUP(E1055,Sheet2!$W:$AA,2,0)=0,"",VLOOKUP(E1055,Sheet2!$W:$AA,2,0))</f>
        <v/>
      </c>
      <c r="N1055" s="6">
        <f>IF(VLOOKUP(E1055,Sheet2!$W:$AA,3,0)=0,"",VLOOKUP(E1055,Sheet2!$W:$AA,3,0))</f>
        <v>2001</v>
      </c>
      <c r="Q1055" s="6" t="str">
        <f>IF(VLOOKUP(E1055,Sheet2!$W:$AA,4,0)=0,"",VLOOKUP(E1055,Sheet2!$W:$AA,4,0))</f>
        <v/>
      </c>
      <c r="R1055" s="8">
        <f t="shared" si="207"/>
        <v>100</v>
      </c>
      <c r="S1055" s="8">
        <f t="shared" si="198"/>
        <v>2</v>
      </c>
    </row>
    <row r="1056" spans="1:19">
      <c r="A1056" s="6">
        <v>900001</v>
      </c>
      <c r="B1056" s="6">
        <v>0</v>
      </c>
      <c r="C1056" s="6">
        <v>0</v>
      </c>
      <c r="D1056" s="6" t="s">
        <v>1478</v>
      </c>
      <c r="E1056" s="6">
        <v>520</v>
      </c>
      <c r="G1056" s="6" t="s">
        <v>1479</v>
      </c>
      <c r="H1056" s="6">
        <v>2</v>
      </c>
      <c r="I1056" s="6" t="s">
        <v>1480</v>
      </c>
      <c r="J1056" s="6">
        <v>0</v>
      </c>
      <c r="K1056" s="6">
        <v>0</v>
      </c>
      <c r="L1056" s="6" t="str">
        <f>IF(VLOOKUP(E1056,Sheet2!$W:$AA,2,0)=0,"",VLOOKUP(E1056,Sheet2!$W:$AA,2,0))</f>
        <v/>
      </c>
      <c r="Q1056" s="6" t="s">
        <v>1481</v>
      </c>
      <c r="R1056" s="8">
        <v>1000</v>
      </c>
      <c r="S1056" s="8">
        <v>2</v>
      </c>
    </row>
    <row r="1057" spans="1:19">
      <c r="A1057" s="6">
        <v>900002</v>
      </c>
      <c r="B1057" s="6">
        <v>0</v>
      </c>
      <c r="C1057" s="6">
        <v>0</v>
      </c>
      <c r="D1057" s="6" t="s">
        <v>1482</v>
      </c>
      <c r="E1057" s="6">
        <v>518</v>
      </c>
      <c r="G1057" s="6" t="s">
        <v>1479</v>
      </c>
      <c r="H1057" s="6">
        <v>2</v>
      </c>
      <c r="I1057" s="6" t="s">
        <v>1480</v>
      </c>
      <c r="J1057" s="6">
        <v>0</v>
      </c>
      <c r="K1057" s="6">
        <v>0</v>
      </c>
      <c r="Q1057" s="6" t="s">
        <v>1483</v>
      </c>
      <c r="R1057" s="8">
        <v>1000</v>
      </c>
      <c r="S1057" s="8">
        <v>2</v>
      </c>
    </row>
  </sheetData>
  <autoFilter xmlns:etc="http://www.wps.cn/officeDocument/2017/etCustomData" ref="A5:R1057" etc:filterBottomFollowUsedRange="0">
    <sortState ref="A5:R1057">
      <sortCondition ref="A5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53"/>
  <sheetViews>
    <sheetView topLeftCell="A1019" workbookViewId="0">
      <selection activeCell="O1004" sqref="O1004:O1053"/>
    </sheetView>
  </sheetViews>
  <sheetFormatPr defaultColWidth="9" defaultRowHeight="13.5"/>
  <cols>
    <col min="26" max="26" width="11.5" customWidth="1"/>
  </cols>
  <sheetData>
    <row r="1" spans="22:22">
      <c r="V1" s="2" t="s">
        <v>1484</v>
      </c>
    </row>
    <row r="2" spans="3:22">
      <c r="C2" t="s">
        <v>1485</v>
      </c>
      <c r="D2" t="s">
        <v>1486</v>
      </c>
      <c r="E2" t="s">
        <v>1487</v>
      </c>
      <c r="V2" t="s">
        <v>1488</v>
      </c>
    </row>
    <row r="3" spans="1:7">
      <c r="A3" t="s">
        <v>1489</v>
      </c>
      <c r="B3" t="s">
        <v>1490</v>
      </c>
      <c r="C3" t="s">
        <v>1491</v>
      </c>
      <c r="D3" t="s">
        <v>1492</v>
      </c>
      <c r="E3" t="s">
        <v>1493</v>
      </c>
      <c r="F3" t="s">
        <v>1494</v>
      </c>
      <c r="G3" t="s">
        <v>1495</v>
      </c>
    </row>
    <row r="4" spans="1:28">
      <c r="A4">
        <f>Sheet1!E6</f>
        <v>101</v>
      </c>
      <c r="B4">
        <v>1</v>
      </c>
      <c r="C4">
        <v>3000</v>
      </c>
      <c r="D4">
        <f>VLOOKUP(B4,[1]怪物!$N$34:$Q$43,2,0)</f>
        <v>60</v>
      </c>
      <c r="E4">
        <f>VLOOKUP(A4,[1]怪物!$N$3:$Q$13,4,0)</f>
        <v>6</v>
      </c>
      <c r="F4" s="1">
        <f>VLOOKUP(A4,$W:$AB,6,0)</f>
        <v>8500</v>
      </c>
      <c r="H4" t="str">
        <f>$C$2&amp;C$3&amp;$D$2&amp;C4&amp;$E$2</f>
        <v>{cd,3000}</v>
      </c>
      <c r="I4" t="str">
        <f>$C$2&amp;D$3&amp;$D$2&amp;D4&amp;$E$2</f>
        <v>{hp,60}</v>
      </c>
      <c r="J4" t="str">
        <f t="shared" ref="J4:K4" si="0">$C$2&amp;E$3&amp;$D$2&amp;E4&amp;$E$2</f>
        <v>{atk,6}</v>
      </c>
      <c r="K4" t="str">
        <f t="shared" si="0"/>
        <v>{spd,8500}</v>
      </c>
      <c r="L4" t="str">
        <f>IF(VLOOKUP(A4,$W:$AC,7,0)=0,"",VLOOKUP(A4,$W:$AC,7,0))</f>
        <v/>
      </c>
      <c r="O4" t="str">
        <f>"["&amp;_xlfn.TEXTJOIN(",",1,H4:M4)&amp;"]"</f>
        <v>[{cd,3000},{hp,60},{atk,6},{spd,8500}]</v>
      </c>
      <c r="W4" s="3">
        <v>100</v>
      </c>
      <c r="X4" s="3"/>
      <c r="Y4" s="3">
        <v>2001</v>
      </c>
      <c r="Z4" s="3"/>
      <c r="AA4" s="3" t="s">
        <v>51</v>
      </c>
      <c r="AB4">
        <v>8500</v>
      </c>
    </row>
    <row r="5" spans="1:28">
      <c r="A5">
        <f>Sheet1!E7</f>
        <v>100</v>
      </c>
      <c r="B5">
        <v>1</v>
      </c>
      <c r="C5">
        <v>3000</v>
      </c>
      <c r="D5">
        <f>VLOOKUP(B5,[1]怪物!$N$34:$Q$43,3,0)</f>
        <v>50</v>
      </c>
      <c r="E5">
        <f>VLOOKUP(A5,[1]怪物!$N$3:$Q$13,4,0)</f>
        <v>4</v>
      </c>
      <c r="F5" s="1">
        <f t="shared" ref="F5:F68" si="1">VLOOKUP(A5,$W:$AB,6,0)</f>
        <v>8500</v>
      </c>
      <c r="H5" t="str">
        <f t="shared" ref="H5:H55" si="2">$C$2&amp;C$3&amp;$D$2&amp;C5&amp;$E$2</f>
        <v>{cd,3000}</v>
      </c>
      <c r="I5" t="str">
        <f t="shared" ref="I5:I53" si="3">$C$2&amp;D$3&amp;$D$2&amp;D5&amp;$E$2</f>
        <v>{hp,50}</v>
      </c>
      <c r="J5" t="str">
        <f t="shared" ref="J5:J53" si="4">$C$2&amp;E$3&amp;$D$2&amp;E5&amp;$E$2</f>
        <v>{atk,4}</v>
      </c>
      <c r="K5" t="str">
        <f t="shared" ref="K5:K53" si="5">$C$2&amp;F$3&amp;$D$2&amp;F5&amp;$E$2</f>
        <v>{spd,8500}</v>
      </c>
      <c r="L5" t="str">
        <f t="shared" ref="L5:L68" si="6">IF(VLOOKUP(A5,$W:$AC,7,0)=0,"",VLOOKUP(A5,$W:$AC,7,0))</f>
        <v/>
      </c>
      <c r="O5" t="str">
        <f t="shared" ref="O5:O68" si="7">"["&amp;_xlfn.TEXTJOIN(",",1,H5:M5)&amp;"]"</f>
        <v>[{cd,3000},{hp,50},{atk,4},{spd,8500}]</v>
      </c>
      <c r="W5" s="3">
        <v>101</v>
      </c>
      <c r="X5" s="3"/>
      <c r="Y5" s="3"/>
      <c r="Z5" s="3"/>
      <c r="AA5" s="3"/>
      <c r="AB5">
        <v>8500</v>
      </c>
    </row>
    <row r="6" spans="1:28">
      <c r="A6">
        <f>Sheet1!E8</f>
        <v>101</v>
      </c>
      <c r="B6">
        <v>1</v>
      </c>
      <c r="C6">
        <v>3000</v>
      </c>
      <c r="D6">
        <f>VLOOKUP(B6,[1]怪物!$N$34:$Q$43,4,0)</f>
        <v>40</v>
      </c>
      <c r="E6">
        <f>VLOOKUP(A6,[1]怪物!$N$3:$Q$13,4,0)</f>
        <v>6</v>
      </c>
      <c r="F6" s="1">
        <f t="shared" si="1"/>
        <v>8500</v>
      </c>
      <c r="H6" t="str">
        <f t="shared" si="2"/>
        <v>{cd,3000}</v>
      </c>
      <c r="I6" t="str">
        <f t="shared" si="3"/>
        <v>{hp,40}</v>
      </c>
      <c r="J6" t="str">
        <f t="shared" si="4"/>
        <v>{atk,6}</v>
      </c>
      <c r="K6" t="str">
        <f t="shared" si="5"/>
        <v>{spd,8500}</v>
      </c>
      <c r="L6" t="str">
        <f t="shared" si="6"/>
        <v/>
      </c>
      <c r="O6" t="str">
        <f t="shared" si="7"/>
        <v>[{cd,3000},{hp,40},{atk,6},{spd,8500}]</v>
      </c>
      <c r="W6" s="3">
        <v>102</v>
      </c>
      <c r="X6" s="3">
        <v>1</v>
      </c>
      <c r="Y6" s="3"/>
      <c r="Z6" s="3" t="s">
        <v>62</v>
      </c>
      <c r="AA6" s="3"/>
      <c r="AB6">
        <v>8500</v>
      </c>
    </row>
    <row r="7" spans="1:28">
      <c r="A7">
        <f>Sheet1!E9</f>
        <v>501</v>
      </c>
      <c r="B7">
        <v>1</v>
      </c>
      <c r="C7">
        <v>3000</v>
      </c>
      <c r="D7">
        <f>VLOOKUP(B7,[1]怪物!$U$34:$W$43,2,0)</f>
        <v>1350</v>
      </c>
      <c r="E7">
        <f>VLOOKUP(A7,[1]怪物!$R$3:$T$13,2,0)</f>
        <v>15</v>
      </c>
      <c r="F7" s="1">
        <f t="shared" si="1"/>
        <v>8500</v>
      </c>
      <c r="H7" t="str">
        <f t="shared" si="2"/>
        <v>{cd,3000}</v>
      </c>
      <c r="I7" t="str">
        <f t="shared" si="3"/>
        <v>{hp,1350}</v>
      </c>
      <c r="J7" t="str">
        <f t="shared" si="4"/>
        <v>{atk,15}</v>
      </c>
      <c r="K7" t="str">
        <f t="shared" si="5"/>
        <v>{spd,8500}</v>
      </c>
      <c r="L7" t="str">
        <f t="shared" si="6"/>
        <v/>
      </c>
      <c r="O7" t="str">
        <f t="shared" si="7"/>
        <v>[{cd,3000},{hp,1350},{atk,15},{spd,8500}]</v>
      </c>
      <c r="W7" s="3">
        <v>103</v>
      </c>
      <c r="X7" s="3"/>
      <c r="Y7" s="3"/>
      <c r="Z7" s="3"/>
      <c r="AA7" s="3" t="s">
        <v>66</v>
      </c>
      <c r="AB7">
        <v>8500</v>
      </c>
    </row>
    <row r="8" spans="1:28">
      <c r="A8">
        <f>Sheet1!E10</f>
        <v>501</v>
      </c>
      <c r="B8">
        <v>1</v>
      </c>
      <c r="C8">
        <v>3000</v>
      </c>
      <c r="D8">
        <f>VLOOKUP(B8,[1]怪物!$U$34:$W$43,3,0)</f>
        <v>2250</v>
      </c>
      <c r="E8">
        <f>VLOOKUP(A8,[1]怪物!$R$3:$T$13,3,0)</f>
        <v>30</v>
      </c>
      <c r="F8" s="1">
        <f t="shared" si="1"/>
        <v>8500</v>
      </c>
      <c r="H8" t="str">
        <f t="shared" si="2"/>
        <v>{cd,3000}</v>
      </c>
      <c r="I8" t="str">
        <f t="shared" si="3"/>
        <v>{hp,2250}</v>
      </c>
      <c r="J8" t="str">
        <f t="shared" si="4"/>
        <v>{atk,30}</v>
      </c>
      <c r="K8" t="str">
        <f t="shared" si="5"/>
        <v>{spd,8500}</v>
      </c>
      <c r="L8" t="str">
        <f t="shared" si="6"/>
        <v/>
      </c>
      <c r="O8" t="str">
        <f t="shared" si="7"/>
        <v>[{cd,3000},{hp,2250},{atk,30},{spd,8500}]</v>
      </c>
      <c r="W8" s="3">
        <v>104</v>
      </c>
      <c r="X8" s="3"/>
      <c r="Y8" s="3"/>
      <c r="Z8" s="3"/>
      <c r="AA8" s="3"/>
      <c r="AB8">
        <v>8500</v>
      </c>
    </row>
    <row r="9" spans="1:28">
      <c r="A9">
        <f>Sheet1!E11</f>
        <v>101</v>
      </c>
      <c r="B9">
        <f>B4+1</f>
        <v>2</v>
      </c>
      <c r="C9">
        <v>3000</v>
      </c>
      <c r="D9">
        <f>VLOOKUP(B9,[1]怪物!$N$34:$Q$43,2,0)</f>
        <v>60</v>
      </c>
      <c r="E9">
        <f>VLOOKUP(A9,[1]怪物!$N$3:$Q$13,4,0)</f>
        <v>6</v>
      </c>
      <c r="F9" s="1">
        <f t="shared" si="1"/>
        <v>8500</v>
      </c>
      <c r="H9" t="str">
        <f t="shared" si="2"/>
        <v>{cd,3000}</v>
      </c>
      <c r="I9" t="str">
        <f t="shared" si="3"/>
        <v>{hp,60}</v>
      </c>
      <c r="J9" t="str">
        <f t="shared" si="4"/>
        <v>{atk,6}</v>
      </c>
      <c r="K9" t="str">
        <f t="shared" si="5"/>
        <v>{spd,8500}</v>
      </c>
      <c r="L9" t="str">
        <f t="shared" si="6"/>
        <v/>
      </c>
      <c r="O9" t="str">
        <f t="shared" si="7"/>
        <v>[{cd,3000},{hp,60},{atk,6},{spd,8500}]</v>
      </c>
      <c r="W9" s="3">
        <v>105</v>
      </c>
      <c r="X9" s="3"/>
      <c r="Y9" s="3"/>
      <c r="Z9" s="3"/>
      <c r="AA9" s="3" t="s">
        <v>91</v>
      </c>
      <c r="AB9">
        <v>8500</v>
      </c>
    </row>
    <row r="10" spans="1:28">
      <c r="A10">
        <f>Sheet1!E12</f>
        <v>100</v>
      </c>
      <c r="B10">
        <f t="shared" ref="B10:B53" si="8">B5+1</f>
        <v>2</v>
      </c>
      <c r="C10">
        <v>3000</v>
      </c>
      <c r="D10">
        <f>VLOOKUP(B10,[1]怪物!$N$34:$Q$43,3,0)</f>
        <v>50</v>
      </c>
      <c r="E10">
        <f>VLOOKUP(A10,[1]怪物!$N$3:$Q$13,4,0)</f>
        <v>4</v>
      </c>
      <c r="F10" s="1">
        <f t="shared" si="1"/>
        <v>8500</v>
      </c>
      <c r="H10" t="str">
        <f t="shared" si="2"/>
        <v>{cd,3000}</v>
      </c>
      <c r="I10" t="str">
        <f t="shared" si="3"/>
        <v>{hp,50}</v>
      </c>
      <c r="J10" t="str">
        <f t="shared" si="4"/>
        <v>{atk,4}</v>
      </c>
      <c r="K10" t="str">
        <f t="shared" si="5"/>
        <v>{spd,8500}</v>
      </c>
      <c r="L10" t="str">
        <f t="shared" si="6"/>
        <v/>
      </c>
      <c r="O10" t="str">
        <f t="shared" si="7"/>
        <v>[{cd,3000},{hp,50},{atk,4},{spd,8500}]</v>
      </c>
      <c r="W10" s="3">
        <v>106</v>
      </c>
      <c r="X10" s="3">
        <v>1</v>
      </c>
      <c r="Y10" s="3">
        <v>2002</v>
      </c>
      <c r="Z10" s="3" t="s">
        <v>81</v>
      </c>
      <c r="AA10" s="3" t="s">
        <v>51</v>
      </c>
      <c r="AB10">
        <v>8500</v>
      </c>
    </row>
    <row r="11" spans="1:28">
      <c r="A11">
        <f>Sheet1!E13</f>
        <v>102</v>
      </c>
      <c r="B11">
        <f t="shared" si="8"/>
        <v>2</v>
      </c>
      <c r="C11">
        <v>3000</v>
      </c>
      <c r="D11">
        <f>VLOOKUP(B11,[1]怪物!$N$34:$Q$43,4,0)</f>
        <v>40</v>
      </c>
      <c r="E11">
        <f>VLOOKUP(A11,[1]怪物!$N$3:$Q$13,4,0)</f>
        <v>3</v>
      </c>
      <c r="F11" s="1">
        <f t="shared" si="1"/>
        <v>8500</v>
      </c>
      <c r="H11" t="str">
        <f t="shared" si="2"/>
        <v>{cd,3000}</v>
      </c>
      <c r="I11" t="str">
        <f t="shared" si="3"/>
        <v>{hp,40}</v>
      </c>
      <c r="J11" t="str">
        <f t="shared" si="4"/>
        <v>{atk,3}</v>
      </c>
      <c r="K11" t="str">
        <f t="shared" si="5"/>
        <v>{spd,8500}</v>
      </c>
      <c r="L11" t="str">
        <f t="shared" si="6"/>
        <v/>
      </c>
      <c r="O11" t="str">
        <f t="shared" si="7"/>
        <v>[{cd,3000},{hp,40},{atk,3},{spd,8500}]</v>
      </c>
      <c r="W11" s="3">
        <v>107</v>
      </c>
      <c r="X11" s="3">
        <v>1</v>
      </c>
      <c r="Y11" s="3"/>
      <c r="Z11" s="3" t="s">
        <v>113</v>
      </c>
      <c r="AA11" s="3" t="s">
        <v>112</v>
      </c>
      <c r="AB11">
        <v>8500</v>
      </c>
    </row>
    <row r="12" spans="1:28">
      <c r="A12">
        <f>Sheet1!E14</f>
        <v>501</v>
      </c>
      <c r="B12">
        <f t="shared" si="8"/>
        <v>2</v>
      </c>
      <c r="C12">
        <v>3000</v>
      </c>
      <c r="D12">
        <f>VLOOKUP(B12,[1]怪物!$U$34:$W$43,2,0)</f>
        <v>1350</v>
      </c>
      <c r="E12">
        <f>VLOOKUP(A12,[1]怪物!$R$3:$T$13,2,0)</f>
        <v>15</v>
      </c>
      <c r="F12" s="1">
        <f t="shared" si="1"/>
        <v>8500</v>
      </c>
      <c r="H12" t="str">
        <f t="shared" si="2"/>
        <v>{cd,3000}</v>
      </c>
      <c r="I12" t="str">
        <f t="shared" si="3"/>
        <v>{hp,1350}</v>
      </c>
      <c r="J12" t="str">
        <f t="shared" si="4"/>
        <v>{atk,15}</v>
      </c>
      <c r="K12" t="str">
        <f t="shared" si="5"/>
        <v>{spd,8500}</v>
      </c>
      <c r="L12" t="str">
        <f t="shared" si="6"/>
        <v/>
      </c>
      <c r="O12" t="str">
        <f t="shared" si="7"/>
        <v>[{cd,3000},{hp,1350},{atk,15},{spd,8500}]</v>
      </c>
      <c r="W12" s="3">
        <v>108</v>
      </c>
      <c r="X12" s="3"/>
      <c r="Y12" s="3"/>
      <c r="Z12" s="3"/>
      <c r="AA12" s="3"/>
      <c r="AB12">
        <v>8500</v>
      </c>
    </row>
    <row r="13" spans="1:28">
      <c r="A13">
        <f>Sheet1!E15</f>
        <v>501</v>
      </c>
      <c r="B13">
        <f t="shared" si="8"/>
        <v>2</v>
      </c>
      <c r="C13">
        <v>3000</v>
      </c>
      <c r="D13">
        <f>VLOOKUP(B13,[1]怪物!$U$34:$W$43,3,0)</f>
        <v>2250</v>
      </c>
      <c r="E13">
        <f>VLOOKUP(A13,[1]怪物!$R$3:$T$13,3,0)</f>
        <v>30</v>
      </c>
      <c r="F13" s="1">
        <f t="shared" si="1"/>
        <v>8500</v>
      </c>
      <c r="H13" t="str">
        <f t="shared" si="2"/>
        <v>{cd,3000}</v>
      </c>
      <c r="I13" t="str">
        <f t="shared" si="3"/>
        <v>{hp,2250}</v>
      </c>
      <c r="J13" t="str">
        <f t="shared" si="4"/>
        <v>{atk,30}</v>
      </c>
      <c r="K13" t="str">
        <f t="shared" si="5"/>
        <v>{spd,8500}</v>
      </c>
      <c r="L13" t="str">
        <f t="shared" si="6"/>
        <v/>
      </c>
      <c r="O13" t="str">
        <f t="shared" si="7"/>
        <v>[{cd,3000},{hp,2250},{atk,30},{spd,8500}]</v>
      </c>
      <c r="W13" s="3">
        <v>109</v>
      </c>
      <c r="X13" s="3">
        <v>1</v>
      </c>
      <c r="Y13" s="3"/>
      <c r="Z13" s="3" t="s">
        <v>133</v>
      </c>
      <c r="AA13" s="3"/>
      <c r="AB13">
        <v>8500</v>
      </c>
    </row>
    <row r="14" spans="1:28">
      <c r="A14">
        <f>Sheet1!E16</f>
        <v>103</v>
      </c>
      <c r="B14">
        <f t="shared" si="8"/>
        <v>3</v>
      </c>
      <c r="C14">
        <v>3000</v>
      </c>
      <c r="D14">
        <f>VLOOKUP(B14,[1]怪物!$N$34:$Q$43,2,0)</f>
        <v>60</v>
      </c>
      <c r="E14">
        <f>VLOOKUP(A14,[1]怪物!$N$3:$Q$13,4,0)</f>
        <v>6</v>
      </c>
      <c r="F14" s="1">
        <f t="shared" si="1"/>
        <v>8500</v>
      </c>
      <c r="H14" t="str">
        <f t="shared" si="2"/>
        <v>{cd,3000}</v>
      </c>
      <c r="I14" t="str">
        <f t="shared" si="3"/>
        <v>{hp,60}</v>
      </c>
      <c r="J14" t="str">
        <f t="shared" si="4"/>
        <v>{atk,6}</v>
      </c>
      <c r="K14" t="str">
        <f t="shared" si="5"/>
        <v>{spd,8500}</v>
      </c>
      <c r="L14" t="str">
        <f t="shared" si="6"/>
        <v/>
      </c>
      <c r="O14" t="str">
        <f t="shared" si="7"/>
        <v>[{cd,3000},{hp,60},{atk,6},{spd,8500}]</v>
      </c>
      <c r="W14" s="3">
        <v>110</v>
      </c>
      <c r="X14" s="3"/>
      <c r="Y14" s="3"/>
      <c r="Z14" s="3"/>
      <c r="AA14" s="3"/>
      <c r="AB14">
        <v>8500</v>
      </c>
    </row>
    <row r="15" spans="1:28">
      <c r="A15">
        <f>Sheet1!E17</f>
        <v>104</v>
      </c>
      <c r="B15">
        <f t="shared" si="8"/>
        <v>3</v>
      </c>
      <c r="C15">
        <v>3000</v>
      </c>
      <c r="D15">
        <f>VLOOKUP(B15,[1]怪物!$N$34:$Q$43,3,0)</f>
        <v>50</v>
      </c>
      <c r="E15">
        <f>VLOOKUP(A15,[1]怪物!$N$3:$Q$13,4,0)</f>
        <v>9</v>
      </c>
      <c r="F15" s="1">
        <f t="shared" si="1"/>
        <v>8500</v>
      </c>
      <c r="H15" t="str">
        <f t="shared" si="2"/>
        <v>{cd,3000}</v>
      </c>
      <c r="I15" t="str">
        <f t="shared" si="3"/>
        <v>{hp,50}</v>
      </c>
      <c r="J15" t="str">
        <f t="shared" si="4"/>
        <v>{atk,9}</v>
      </c>
      <c r="K15" t="str">
        <f t="shared" si="5"/>
        <v>{spd,8500}</v>
      </c>
      <c r="L15" t="str">
        <f t="shared" si="6"/>
        <v/>
      </c>
      <c r="O15" t="str">
        <f t="shared" si="7"/>
        <v>[{cd,3000},{hp,50},{atk,9},{spd,8500}]</v>
      </c>
      <c r="W15" s="3">
        <v>111</v>
      </c>
      <c r="X15" s="3"/>
      <c r="Y15" s="3"/>
      <c r="Z15" s="3"/>
      <c r="AA15" s="3"/>
      <c r="AB15">
        <v>8500</v>
      </c>
    </row>
    <row r="16" spans="1:28">
      <c r="A16">
        <f>Sheet1!E18</f>
        <v>104</v>
      </c>
      <c r="B16">
        <f t="shared" si="8"/>
        <v>3</v>
      </c>
      <c r="C16">
        <v>3000</v>
      </c>
      <c r="D16">
        <f>VLOOKUP(B16,[1]怪物!$N$34:$Q$43,4,0)</f>
        <v>40</v>
      </c>
      <c r="E16">
        <f>VLOOKUP(A16,[1]怪物!$N$3:$Q$13,4,0)</f>
        <v>9</v>
      </c>
      <c r="F16" s="1">
        <f t="shared" si="1"/>
        <v>8500</v>
      </c>
      <c r="H16" t="str">
        <f t="shared" si="2"/>
        <v>{cd,3000}</v>
      </c>
      <c r="I16" t="str">
        <f t="shared" si="3"/>
        <v>{hp,40}</v>
      </c>
      <c r="J16" t="str">
        <f t="shared" si="4"/>
        <v>{atk,9}</v>
      </c>
      <c r="K16" t="str">
        <f t="shared" si="5"/>
        <v>{spd,8500}</v>
      </c>
      <c r="L16" t="str">
        <f t="shared" si="6"/>
        <v/>
      </c>
      <c r="O16" t="str">
        <f t="shared" si="7"/>
        <v>[{cd,3000},{hp,40},{atk,9},{spd,8500}]</v>
      </c>
      <c r="W16" s="3">
        <v>112</v>
      </c>
      <c r="X16" s="3">
        <v>1</v>
      </c>
      <c r="Y16" s="3"/>
      <c r="Z16" s="3" t="s">
        <v>1496</v>
      </c>
      <c r="AA16" s="3"/>
      <c r="AB16">
        <v>8500</v>
      </c>
    </row>
    <row r="17" spans="1:28">
      <c r="A17">
        <f>Sheet1!E19</f>
        <v>504</v>
      </c>
      <c r="B17">
        <f t="shared" si="8"/>
        <v>3</v>
      </c>
      <c r="C17">
        <v>3000</v>
      </c>
      <c r="D17">
        <f>VLOOKUP(B17,[1]怪物!$U$34:$W$43,2,0)</f>
        <v>1350</v>
      </c>
      <c r="E17">
        <f>VLOOKUP(A17,[1]怪物!$R$3:$T$13,2,0)</f>
        <v>22</v>
      </c>
      <c r="F17" s="1">
        <f t="shared" si="1"/>
        <v>8500</v>
      </c>
      <c r="H17" t="str">
        <f t="shared" si="2"/>
        <v>{cd,3000}</v>
      </c>
      <c r="I17" t="str">
        <f t="shared" si="3"/>
        <v>{hp,1350}</v>
      </c>
      <c r="J17" t="str">
        <f t="shared" si="4"/>
        <v>{atk,22}</v>
      </c>
      <c r="K17" t="str">
        <f t="shared" si="5"/>
        <v>{spd,8500}</v>
      </c>
      <c r="L17" t="str">
        <f t="shared" si="6"/>
        <v/>
      </c>
      <c r="O17" t="str">
        <f t="shared" si="7"/>
        <v>[{cd,3000},{hp,1350},{atk,22},{spd,8500}]</v>
      </c>
      <c r="W17" s="3">
        <v>113</v>
      </c>
      <c r="X17" s="3">
        <v>1</v>
      </c>
      <c r="Y17" s="3"/>
      <c r="Z17" s="3" t="s">
        <v>1497</v>
      </c>
      <c r="AA17" s="3" t="s">
        <v>1498</v>
      </c>
      <c r="AB17">
        <v>8500</v>
      </c>
    </row>
    <row r="18" spans="1:28">
      <c r="A18">
        <f>Sheet1!E20</f>
        <v>504</v>
      </c>
      <c r="B18">
        <f t="shared" si="8"/>
        <v>3</v>
      </c>
      <c r="C18">
        <v>3000</v>
      </c>
      <c r="D18">
        <f>VLOOKUP(B18,[1]怪物!$U$34:$W$43,3,0)</f>
        <v>2250</v>
      </c>
      <c r="E18">
        <f>VLOOKUP(A18,[1]怪物!$R$3:$T$13,3,0)</f>
        <v>45</v>
      </c>
      <c r="F18" s="1">
        <f t="shared" si="1"/>
        <v>8500</v>
      </c>
      <c r="H18" t="str">
        <f t="shared" si="2"/>
        <v>{cd,3000}</v>
      </c>
      <c r="I18" t="str">
        <f t="shared" si="3"/>
        <v>{hp,2250}</v>
      </c>
      <c r="J18" t="str">
        <f t="shared" si="4"/>
        <v>{atk,45}</v>
      </c>
      <c r="K18" t="str">
        <f t="shared" si="5"/>
        <v>{spd,8500}</v>
      </c>
      <c r="L18" t="str">
        <f t="shared" si="6"/>
        <v/>
      </c>
      <c r="O18" t="str">
        <f t="shared" si="7"/>
        <v>[{cd,3000},{hp,2250},{atk,45},{spd,8500}]</v>
      </c>
      <c r="W18" s="3">
        <v>114</v>
      </c>
      <c r="X18" s="3"/>
      <c r="Y18" s="3"/>
      <c r="Z18" s="3"/>
      <c r="AA18" s="3"/>
      <c r="AB18">
        <v>8500</v>
      </c>
    </row>
    <row r="19" spans="1:28">
      <c r="A19">
        <f>Sheet1!E21</f>
        <v>103</v>
      </c>
      <c r="B19">
        <f t="shared" si="8"/>
        <v>4</v>
      </c>
      <c r="C19">
        <v>3000</v>
      </c>
      <c r="D19">
        <f>VLOOKUP(B19,[1]怪物!$N$34:$Q$43,2,0)</f>
        <v>80</v>
      </c>
      <c r="E19">
        <f>VLOOKUP(A19,[1]怪物!$N$3:$Q$13,4,0)</f>
        <v>6</v>
      </c>
      <c r="F19" s="1">
        <f t="shared" si="1"/>
        <v>8500</v>
      </c>
      <c r="H19" t="str">
        <f t="shared" si="2"/>
        <v>{cd,3000}</v>
      </c>
      <c r="I19" t="str">
        <f t="shared" si="3"/>
        <v>{hp,80}</v>
      </c>
      <c r="J19" t="str">
        <f t="shared" si="4"/>
        <v>{atk,6}</v>
      </c>
      <c r="K19" t="str">
        <f t="shared" si="5"/>
        <v>{spd,8500}</v>
      </c>
      <c r="L19" t="str">
        <f t="shared" si="6"/>
        <v/>
      </c>
      <c r="O19" t="str">
        <f t="shared" si="7"/>
        <v>[{cd,3000},{hp,80},{atk,6},{spd,8500}]</v>
      </c>
      <c r="W19" s="3">
        <v>115</v>
      </c>
      <c r="X19" s="3"/>
      <c r="Y19" s="3"/>
      <c r="Z19" s="3"/>
      <c r="AA19" s="3"/>
      <c r="AB19">
        <v>8500</v>
      </c>
    </row>
    <row r="20" spans="1:28">
      <c r="A20">
        <f>Sheet1!E22</f>
        <v>104</v>
      </c>
      <c r="B20">
        <f t="shared" si="8"/>
        <v>4</v>
      </c>
      <c r="C20">
        <v>3000</v>
      </c>
      <c r="D20">
        <f>VLOOKUP(B20,[1]怪物!$N$34:$Q$43,3,0)</f>
        <v>70</v>
      </c>
      <c r="E20">
        <f>VLOOKUP(A20,[1]怪物!$N$3:$Q$13,4,0)</f>
        <v>9</v>
      </c>
      <c r="F20" s="1">
        <f t="shared" si="1"/>
        <v>8500</v>
      </c>
      <c r="H20" t="str">
        <f t="shared" si="2"/>
        <v>{cd,3000}</v>
      </c>
      <c r="I20" t="str">
        <f t="shared" si="3"/>
        <v>{hp,70}</v>
      </c>
      <c r="J20" t="str">
        <f t="shared" si="4"/>
        <v>{atk,9}</v>
      </c>
      <c r="K20" t="str">
        <f t="shared" si="5"/>
        <v>{spd,8500}</v>
      </c>
      <c r="L20" t="str">
        <f t="shared" si="6"/>
        <v/>
      </c>
      <c r="O20" t="str">
        <f t="shared" si="7"/>
        <v>[{cd,3000},{hp,70},{atk,9},{spd,8500}]</v>
      </c>
      <c r="W20" s="3">
        <v>116</v>
      </c>
      <c r="X20" s="3"/>
      <c r="Y20" s="3"/>
      <c r="Z20" s="3"/>
      <c r="AA20" s="3" t="s">
        <v>1499</v>
      </c>
      <c r="AB20">
        <v>20000</v>
      </c>
    </row>
    <row r="21" spans="1:29">
      <c r="A21">
        <f>Sheet1!E23</f>
        <v>106</v>
      </c>
      <c r="B21">
        <f t="shared" si="8"/>
        <v>4</v>
      </c>
      <c r="C21">
        <v>3000</v>
      </c>
      <c r="D21">
        <f>VLOOKUP(B21,[1]怪物!$N$34:$Q$43,4,0)</f>
        <v>60</v>
      </c>
      <c r="E21">
        <f>VLOOKUP(A21,[1]怪物!$N$3:$Q$13,4,0)</f>
        <v>5</v>
      </c>
      <c r="F21" s="1">
        <f t="shared" si="1"/>
        <v>8500</v>
      </c>
      <c r="H21" t="str">
        <f t="shared" si="2"/>
        <v>{cd,3000}</v>
      </c>
      <c r="I21" t="str">
        <f t="shared" si="3"/>
        <v>{hp,60}</v>
      </c>
      <c r="J21" t="str">
        <f t="shared" si="4"/>
        <v>{atk,5}</v>
      </c>
      <c r="K21" t="str">
        <f t="shared" si="5"/>
        <v>{spd,8500}</v>
      </c>
      <c r="L21" t="str">
        <f t="shared" si="6"/>
        <v/>
      </c>
      <c r="O21" t="str">
        <f t="shared" si="7"/>
        <v>[{cd,3000},{hp,60},{atk,5},{spd,8500}]</v>
      </c>
      <c r="W21" s="3">
        <v>117</v>
      </c>
      <c r="X21" s="3"/>
      <c r="Y21" s="3"/>
      <c r="Z21" s="3"/>
      <c r="AA21" s="3"/>
      <c r="AB21">
        <v>8500</v>
      </c>
      <c r="AC21" s="2" t="s">
        <v>1484</v>
      </c>
    </row>
    <row r="22" spans="1:28">
      <c r="A22">
        <f>Sheet1!E24</f>
        <v>503</v>
      </c>
      <c r="B22">
        <f t="shared" si="8"/>
        <v>4</v>
      </c>
      <c r="C22">
        <v>3000</v>
      </c>
      <c r="D22">
        <f>VLOOKUP(B22,[1]怪物!$U$34:$W$43,2,0)</f>
        <v>1800</v>
      </c>
      <c r="E22">
        <f>VLOOKUP(A22,[1]怪物!$R$3:$T$13,2,0)</f>
        <v>15</v>
      </c>
      <c r="F22" s="1">
        <f t="shared" si="1"/>
        <v>8500</v>
      </c>
      <c r="H22" t="str">
        <f t="shared" si="2"/>
        <v>{cd,3000}</v>
      </c>
      <c r="I22" t="str">
        <f t="shared" si="3"/>
        <v>{hp,1800}</v>
      </c>
      <c r="J22" t="str">
        <f t="shared" si="4"/>
        <v>{atk,15}</v>
      </c>
      <c r="K22" t="str">
        <f t="shared" si="5"/>
        <v>{spd,8500}</v>
      </c>
      <c r="L22" t="str">
        <f t="shared" si="6"/>
        <v/>
      </c>
      <c r="O22" t="str">
        <f t="shared" si="7"/>
        <v>[{cd,3000},{hp,1800},{atk,15},{spd,8500}]</v>
      </c>
      <c r="W22" s="3">
        <v>118</v>
      </c>
      <c r="X22" s="3">
        <v>1</v>
      </c>
      <c r="Y22" s="3"/>
      <c r="Z22" s="3" t="s">
        <v>1500</v>
      </c>
      <c r="AA22" s="3" t="s">
        <v>1501</v>
      </c>
      <c r="AB22">
        <v>8500</v>
      </c>
    </row>
    <row r="23" spans="1:29">
      <c r="A23">
        <f>Sheet1!E25</f>
        <v>503</v>
      </c>
      <c r="B23">
        <f t="shared" si="8"/>
        <v>4</v>
      </c>
      <c r="C23">
        <v>3000</v>
      </c>
      <c r="D23">
        <f>VLOOKUP(B23,[1]怪物!$U$34:$W$43,3,0)</f>
        <v>3000</v>
      </c>
      <c r="E23">
        <f>VLOOKUP(A23,[1]怪物!$R$3:$T$13,3,0)</f>
        <v>30</v>
      </c>
      <c r="F23" s="1">
        <f t="shared" si="1"/>
        <v>8500</v>
      </c>
      <c r="H23" t="str">
        <f t="shared" si="2"/>
        <v>{cd,3000}</v>
      </c>
      <c r="I23" t="str">
        <f t="shared" si="3"/>
        <v>{hp,3000}</v>
      </c>
      <c r="J23" t="str">
        <f t="shared" si="4"/>
        <v>{atk,30}</v>
      </c>
      <c r="K23" t="str">
        <f t="shared" si="5"/>
        <v>{spd,8500}</v>
      </c>
      <c r="L23" t="str">
        <f t="shared" si="6"/>
        <v/>
      </c>
      <c r="O23" t="str">
        <f t="shared" si="7"/>
        <v>[{cd,3000},{hp,3000},{atk,30},{spd,8500}]</v>
      </c>
      <c r="W23" s="3">
        <v>119</v>
      </c>
      <c r="X23" s="3">
        <v>1</v>
      </c>
      <c r="Y23" s="3"/>
      <c r="Z23" s="3" t="s">
        <v>1502</v>
      </c>
      <c r="AA23" s="3"/>
      <c r="AB23">
        <v>8500</v>
      </c>
      <c r="AC23" t="s">
        <v>1488</v>
      </c>
    </row>
    <row r="24" spans="1:28">
      <c r="A24">
        <f>Sheet1!E26</f>
        <v>100</v>
      </c>
      <c r="B24">
        <f t="shared" si="8"/>
        <v>5</v>
      </c>
      <c r="C24">
        <v>3000</v>
      </c>
      <c r="D24">
        <f>VLOOKUP(B24,[1]怪物!$N$34:$Q$43,2,0)</f>
        <v>100</v>
      </c>
      <c r="E24">
        <f>VLOOKUP(A24,[1]怪物!$N$3:$Q$13,4,0)</f>
        <v>4</v>
      </c>
      <c r="F24" s="1">
        <f t="shared" si="1"/>
        <v>8500</v>
      </c>
      <c r="H24" t="str">
        <f t="shared" si="2"/>
        <v>{cd,3000}</v>
      </c>
      <c r="I24" t="str">
        <f t="shared" si="3"/>
        <v>{hp,100}</v>
      </c>
      <c r="J24" t="str">
        <f t="shared" si="4"/>
        <v>{atk,4}</v>
      </c>
      <c r="K24" t="str">
        <f t="shared" si="5"/>
        <v>{spd,8500}</v>
      </c>
      <c r="L24" t="str">
        <f t="shared" si="6"/>
        <v/>
      </c>
      <c r="O24" t="str">
        <f t="shared" si="7"/>
        <v>[{cd,3000},{hp,100},{atk,4},{spd,8500}]</v>
      </c>
      <c r="W24" s="3">
        <v>120</v>
      </c>
      <c r="X24" s="3"/>
      <c r="Y24" s="3"/>
      <c r="Z24" s="3"/>
      <c r="AA24" s="3"/>
      <c r="AB24">
        <v>8500</v>
      </c>
    </row>
    <row r="25" spans="1:29">
      <c r="A25">
        <f>Sheet1!E27</f>
        <v>102</v>
      </c>
      <c r="B25">
        <f t="shared" si="8"/>
        <v>5</v>
      </c>
      <c r="C25">
        <v>3000</v>
      </c>
      <c r="D25">
        <f>VLOOKUP(B25,[1]怪物!$N$34:$Q$43,3,0)</f>
        <v>90</v>
      </c>
      <c r="E25">
        <f>VLOOKUP(A25,[1]怪物!$N$3:$Q$13,4,0)</f>
        <v>3</v>
      </c>
      <c r="F25" s="1">
        <f t="shared" si="1"/>
        <v>8500</v>
      </c>
      <c r="H25" t="str">
        <f t="shared" si="2"/>
        <v>{cd,3000}</v>
      </c>
      <c r="I25" t="str">
        <f t="shared" si="3"/>
        <v>{hp,90}</v>
      </c>
      <c r="J25" t="str">
        <f t="shared" si="4"/>
        <v>{atk,3}</v>
      </c>
      <c r="K25" t="str">
        <f t="shared" si="5"/>
        <v>{spd,8500}</v>
      </c>
      <c r="L25" t="str">
        <f t="shared" si="6"/>
        <v/>
      </c>
      <c r="O25" t="str">
        <f t="shared" si="7"/>
        <v>[{cd,3000},{hp,90},{atk,3},{spd,8500}]</v>
      </c>
      <c r="W25" s="3">
        <v>121</v>
      </c>
      <c r="X25" s="3"/>
      <c r="Y25" s="3"/>
      <c r="Z25" s="3"/>
      <c r="AA25" s="3"/>
      <c r="AB25">
        <v>8500</v>
      </c>
      <c r="AC25" s="2" t="s">
        <v>1503</v>
      </c>
    </row>
    <row r="26" spans="1:28">
      <c r="A26">
        <f>Sheet1!E28</f>
        <v>105</v>
      </c>
      <c r="B26">
        <f t="shared" si="8"/>
        <v>5</v>
      </c>
      <c r="C26">
        <v>3000</v>
      </c>
      <c r="D26">
        <f>VLOOKUP(B26,[1]怪物!$N$34:$Q$43,4,0)</f>
        <v>80</v>
      </c>
      <c r="E26">
        <f>VLOOKUP(A26,[1]怪物!$N$3:$Q$13,4,0)</f>
        <v>6</v>
      </c>
      <c r="F26" s="1">
        <f t="shared" si="1"/>
        <v>8500</v>
      </c>
      <c r="H26" t="str">
        <f t="shared" si="2"/>
        <v>{cd,3000}</v>
      </c>
      <c r="I26" t="str">
        <f t="shared" si="3"/>
        <v>{hp,80}</v>
      </c>
      <c r="J26" t="str">
        <f t="shared" si="4"/>
        <v>{atk,6}</v>
      </c>
      <c r="K26" t="str">
        <f t="shared" si="5"/>
        <v>{spd,8500}</v>
      </c>
      <c r="L26" t="str">
        <f t="shared" si="6"/>
        <v/>
      </c>
      <c r="O26" t="str">
        <f t="shared" si="7"/>
        <v>[{cd,3000},{hp,80},{atk,6},{spd,8500}]</v>
      </c>
      <c r="W26" s="3">
        <v>122</v>
      </c>
      <c r="X26" s="3"/>
      <c r="Y26" s="3"/>
      <c r="Z26" s="3"/>
      <c r="AA26" s="4" t="s">
        <v>1504</v>
      </c>
      <c r="AB26">
        <v>8500</v>
      </c>
    </row>
    <row r="27" spans="1:28">
      <c r="A27">
        <f>Sheet1!E29</f>
        <v>502</v>
      </c>
      <c r="B27">
        <f t="shared" si="8"/>
        <v>5</v>
      </c>
      <c r="C27">
        <v>3000</v>
      </c>
      <c r="D27">
        <f>VLOOKUP(B27,[1]怪物!$U$34:$W$43,2,0)</f>
        <v>2250</v>
      </c>
      <c r="E27">
        <f>VLOOKUP(A27,[1]怪物!$R$3:$T$13,2,0)</f>
        <v>10</v>
      </c>
      <c r="F27" s="1">
        <f t="shared" si="1"/>
        <v>8500</v>
      </c>
      <c r="H27" t="str">
        <f t="shared" si="2"/>
        <v>{cd,3000}</v>
      </c>
      <c r="I27" t="str">
        <f t="shared" si="3"/>
        <v>{hp,2250}</v>
      </c>
      <c r="J27" t="str">
        <f t="shared" si="4"/>
        <v>{atk,10}</v>
      </c>
      <c r="K27" t="str">
        <f t="shared" si="5"/>
        <v>{spd,8500}</v>
      </c>
      <c r="L27" t="str">
        <f t="shared" si="6"/>
        <v/>
      </c>
      <c r="O27" t="str">
        <f t="shared" si="7"/>
        <v>[{cd,3000},{hp,2250},{atk,10},{spd,8500}]</v>
      </c>
      <c r="W27" s="3">
        <v>123</v>
      </c>
      <c r="X27" s="3">
        <v>1</v>
      </c>
      <c r="Y27" s="3"/>
      <c r="Z27" s="4" t="s">
        <v>1505</v>
      </c>
      <c r="AA27" s="4" t="s">
        <v>1506</v>
      </c>
      <c r="AB27">
        <v>8500</v>
      </c>
    </row>
    <row r="28" spans="1:29">
      <c r="A28">
        <f>Sheet1!E30</f>
        <v>500</v>
      </c>
      <c r="B28">
        <f t="shared" si="8"/>
        <v>5</v>
      </c>
      <c r="C28">
        <v>3000</v>
      </c>
      <c r="D28">
        <f>VLOOKUP(B28,[1]怪物!$U$34:$W$43,3,0)</f>
        <v>3750</v>
      </c>
      <c r="E28">
        <f>VLOOKUP(A28,[1]怪物!$R$3:$T$13,3,0)</f>
        <v>20</v>
      </c>
      <c r="F28" s="1">
        <f t="shared" si="1"/>
        <v>8500</v>
      </c>
      <c r="H28" t="str">
        <f t="shared" si="2"/>
        <v>{cd,3000}</v>
      </c>
      <c r="I28" t="str">
        <f t="shared" si="3"/>
        <v>{hp,3750}</v>
      </c>
      <c r="J28" t="str">
        <f t="shared" si="4"/>
        <v>{atk,20}</v>
      </c>
      <c r="K28" t="str">
        <f t="shared" si="5"/>
        <v>{spd,8500}</v>
      </c>
      <c r="L28" t="str">
        <f t="shared" si="6"/>
        <v/>
      </c>
      <c r="O28" t="str">
        <f t="shared" si="7"/>
        <v>[{cd,3000},{hp,3750},{atk,20},{spd,8500}]</v>
      </c>
      <c r="W28" s="3">
        <v>124</v>
      </c>
      <c r="X28" s="3"/>
      <c r="Y28" s="3"/>
      <c r="Z28" s="3"/>
      <c r="AA28" s="4" t="s">
        <v>1507</v>
      </c>
      <c r="AB28">
        <v>8500</v>
      </c>
      <c r="AC28" t="s">
        <v>1508</v>
      </c>
    </row>
    <row r="29" spans="1:28">
      <c r="A29">
        <f>Sheet1!E31</f>
        <v>100</v>
      </c>
      <c r="B29">
        <f t="shared" si="8"/>
        <v>6</v>
      </c>
      <c r="C29">
        <v>3000</v>
      </c>
      <c r="D29">
        <f>VLOOKUP(B29,[1]怪物!$N$34:$Q$43,2,0)</f>
        <v>120</v>
      </c>
      <c r="E29">
        <f>VLOOKUP(A29,[1]怪物!$N$3:$Q$13,4,0)</f>
        <v>4</v>
      </c>
      <c r="F29" s="1">
        <f t="shared" si="1"/>
        <v>8500</v>
      </c>
      <c r="H29" t="str">
        <f t="shared" si="2"/>
        <v>{cd,3000}</v>
      </c>
      <c r="I29" t="str">
        <f t="shared" si="3"/>
        <v>{hp,120}</v>
      </c>
      <c r="J29" t="str">
        <f t="shared" si="4"/>
        <v>{atk,4}</v>
      </c>
      <c r="K29" t="str">
        <f t="shared" si="5"/>
        <v>{spd,8500}</v>
      </c>
      <c r="L29" t="str">
        <f t="shared" si="6"/>
        <v/>
      </c>
      <c r="O29" t="str">
        <f t="shared" si="7"/>
        <v>[{cd,3000},{hp,120},{atk,4},{spd,8500}]</v>
      </c>
      <c r="W29" s="3">
        <v>125</v>
      </c>
      <c r="X29" s="3"/>
      <c r="Y29" s="3"/>
      <c r="Z29" s="3"/>
      <c r="AA29" s="3" t="s">
        <v>1509</v>
      </c>
      <c r="AB29">
        <v>8500</v>
      </c>
    </row>
    <row r="30" spans="1:29">
      <c r="A30">
        <f>Sheet1!E32</f>
        <v>105</v>
      </c>
      <c r="B30">
        <f t="shared" si="8"/>
        <v>6</v>
      </c>
      <c r="C30">
        <v>3000</v>
      </c>
      <c r="D30">
        <f>VLOOKUP(B30,[1]怪物!$N$34:$Q$43,3,0)</f>
        <v>110</v>
      </c>
      <c r="E30">
        <f>VLOOKUP(A30,[1]怪物!$N$3:$Q$13,4,0)</f>
        <v>6</v>
      </c>
      <c r="F30" s="1">
        <f t="shared" si="1"/>
        <v>8500</v>
      </c>
      <c r="H30" t="str">
        <f t="shared" si="2"/>
        <v>{cd,3000}</v>
      </c>
      <c r="I30" t="str">
        <f t="shared" si="3"/>
        <v>{hp,110}</v>
      </c>
      <c r="J30" t="str">
        <f t="shared" si="4"/>
        <v>{atk,6}</v>
      </c>
      <c r="K30" t="str">
        <f t="shared" si="5"/>
        <v>{spd,8500}</v>
      </c>
      <c r="L30" t="str">
        <f t="shared" si="6"/>
        <v/>
      </c>
      <c r="O30" t="str">
        <f t="shared" si="7"/>
        <v>[{cd,3000},{hp,110},{atk,6},{spd,8500}]</v>
      </c>
      <c r="W30" s="3">
        <v>126</v>
      </c>
      <c r="X30" s="3">
        <v>1</v>
      </c>
      <c r="Y30" s="3"/>
      <c r="Z30" s="3" t="s">
        <v>1510</v>
      </c>
      <c r="AA30" s="3" t="s">
        <v>1511</v>
      </c>
      <c r="AB30">
        <v>8500</v>
      </c>
      <c r="AC30" t="s">
        <v>1512</v>
      </c>
    </row>
    <row r="31" spans="1:28">
      <c r="A31">
        <f>Sheet1!E33</f>
        <v>102</v>
      </c>
      <c r="B31">
        <f t="shared" si="8"/>
        <v>6</v>
      </c>
      <c r="C31">
        <v>3000</v>
      </c>
      <c r="D31">
        <f>VLOOKUP(B31,[1]怪物!$N$34:$Q$43,4,0)</f>
        <v>100</v>
      </c>
      <c r="E31">
        <f>VLOOKUP(A31,[1]怪物!$N$3:$Q$13,4,0)</f>
        <v>3</v>
      </c>
      <c r="F31" s="1">
        <f t="shared" si="1"/>
        <v>8500</v>
      </c>
      <c r="H31" t="str">
        <f t="shared" si="2"/>
        <v>{cd,3000}</v>
      </c>
      <c r="I31" t="str">
        <f t="shared" si="3"/>
        <v>{hp,100}</v>
      </c>
      <c r="J31" t="str">
        <f t="shared" si="4"/>
        <v>{atk,3}</v>
      </c>
      <c r="K31" t="str">
        <f t="shared" si="5"/>
        <v>{spd,8500}</v>
      </c>
      <c r="L31" t="str">
        <f t="shared" si="6"/>
        <v/>
      </c>
      <c r="O31" t="str">
        <f t="shared" si="7"/>
        <v>[{cd,3000},{hp,100},{atk,3},{spd,8500}]</v>
      </c>
      <c r="W31" s="3">
        <v>127</v>
      </c>
      <c r="X31" s="3"/>
      <c r="Y31" s="3"/>
      <c r="Z31" s="3"/>
      <c r="AA31" s="3" t="s">
        <v>1513</v>
      </c>
      <c r="AB31">
        <v>8500</v>
      </c>
    </row>
    <row r="32" spans="1:29">
      <c r="A32">
        <f>Sheet1!E34</f>
        <v>502</v>
      </c>
      <c r="B32">
        <f t="shared" si="8"/>
        <v>6</v>
      </c>
      <c r="C32">
        <v>3000</v>
      </c>
      <c r="D32">
        <f>VLOOKUP(B32,[1]怪物!$U$34:$W$43,2,0)</f>
        <v>2700</v>
      </c>
      <c r="E32">
        <f>VLOOKUP(A32,[1]怪物!$R$3:$T$13,2,0)</f>
        <v>10</v>
      </c>
      <c r="F32" s="1">
        <f t="shared" si="1"/>
        <v>8500</v>
      </c>
      <c r="H32" t="str">
        <f t="shared" si="2"/>
        <v>{cd,3000}</v>
      </c>
      <c r="I32" t="str">
        <f t="shared" si="3"/>
        <v>{hp,2700}</v>
      </c>
      <c r="J32" t="str">
        <f t="shared" si="4"/>
        <v>{atk,10}</v>
      </c>
      <c r="K32" t="str">
        <f t="shared" si="5"/>
        <v>{spd,8500}</v>
      </c>
      <c r="L32" t="str">
        <f t="shared" si="6"/>
        <v/>
      </c>
      <c r="O32" t="str">
        <f t="shared" si="7"/>
        <v>[{cd,3000},{hp,2700},{atk,10},{spd,8500}]</v>
      </c>
      <c r="W32" s="3">
        <v>128</v>
      </c>
      <c r="X32" s="3"/>
      <c r="Y32" s="3"/>
      <c r="Z32" s="3"/>
      <c r="AA32" s="3" t="s">
        <v>1514</v>
      </c>
      <c r="AB32">
        <v>8500</v>
      </c>
      <c r="AC32" s="2" t="s">
        <v>1515</v>
      </c>
    </row>
    <row r="33" spans="1:28">
      <c r="A33">
        <f>Sheet1!E35</f>
        <v>502</v>
      </c>
      <c r="B33">
        <f t="shared" si="8"/>
        <v>6</v>
      </c>
      <c r="C33">
        <v>3000</v>
      </c>
      <c r="D33">
        <f>VLOOKUP(B33,[1]怪物!$U$34:$W$43,3,0)</f>
        <v>4500</v>
      </c>
      <c r="E33">
        <f>VLOOKUP(A33,[1]怪物!$R$3:$T$13,3,0)</f>
        <v>21</v>
      </c>
      <c r="F33" s="1">
        <f t="shared" si="1"/>
        <v>8500</v>
      </c>
      <c r="H33" t="str">
        <f t="shared" si="2"/>
        <v>{cd,3000}</v>
      </c>
      <c r="I33" t="str">
        <f t="shared" si="3"/>
        <v>{hp,4500}</v>
      </c>
      <c r="J33" t="str">
        <f t="shared" si="4"/>
        <v>{atk,21}</v>
      </c>
      <c r="K33" t="str">
        <f t="shared" si="5"/>
        <v>{spd,8500}</v>
      </c>
      <c r="L33" t="str">
        <f t="shared" si="6"/>
        <v/>
      </c>
      <c r="O33" t="str">
        <f t="shared" si="7"/>
        <v>[{cd,3000},{hp,4500},{atk,21},{spd,8500}]</v>
      </c>
      <c r="W33" s="3">
        <v>129</v>
      </c>
      <c r="X33" s="3"/>
      <c r="Y33" s="3"/>
      <c r="Z33" s="3"/>
      <c r="AA33" s="3"/>
      <c r="AB33">
        <v>8500</v>
      </c>
    </row>
    <row r="34" spans="1:28">
      <c r="A34">
        <f>Sheet1!E36</f>
        <v>104</v>
      </c>
      <c r="B34">
        <f t="shared" si="8"/>
        <v>7</v>
      </c>
      <c r="C34">
        <v>3000</v>
      </c>
      <c r="D34">
        <f>VLOOKUP(B34,[1]怪物!$N$34:$Q$43,2,0)</f>
        <v>140</v>
      </c>
      <c r="E34">
        <f>VLOOKUP(A34,[1]怪物!$N$3:$Q$13,4,0)</f>
        <v>9</v>
      </c>
      <c r="F34" s="1">
        <f t="shared" si="1"/>
        <v>8500</v>
      </c>
      <c r="H34" t="str">
        <f t="shared" si="2"/>
        <v>{cd,3000}</v>
      </c>
      <c r="I34" t="str">
        <f t="shared" si="3"/>
        <v>{hp,140}</v>
      </c>
      <c r="J34" t="str">
        <f t="shared" si="4"/>
        <v>{atk,9}</v>
      </c>
      <c r="K34" t="str">
        <f t="shared" si="5"/>
        <v>{spd,8500}</v>
      </c>
      <c r="L34" t="str">
        <f t="shared" si="6"/>
        <v/>
      </c>
      <c r="O34" t="str">
        <f t="shared" si="7"/>
        <v>[{cd,3000},{hp,140},{atk,9},{spd,8500}]</v>
      </c>
      <c r="W34" s="3">
        <v>500</v>
      </c>
      <c r="X34" s="3"/>
      <c r="Y34" s="3">
        <v>2001</v>
      </c>
      <c r="Z34" s="3"/>
      <c r="AA34" s="3" t="s">
        <v>51</v>
      </c>
      <c r="AB34">
        <v>8500</v>
      </c>
    </row>
    <row r="35" spans="1:28">
      <c r="A35">
        <f>Sheet1!E37</f>
        <v>106</v>
      </c>
      <c r="B35">
        <f t="shared" si="8"/>
        <v>7</v>
      </c>
      <c r="C35">
        <v>3000</v>
      </c>
      <c r="D35">
        <f>VLOOKUP(B35,[1]怪物!$N$34:$Q$43,3,0)</f>
        <v>130</v>
      </c>
      <c r="E35">
        <f>VLOOKUP(A35,[1]怪物!$N$3:$Q$13,4,0)</f>
        <v>5</v>
      </c>
      <c r="F35" s="1">
        <f t="shared" si="1"/>
        <v>8500</v>
      </c>
      <c r="H35" t="str">
        <f t="shared" si="2"/>
        <v>{cd,3000}</v>
      </c>
      <c r="I35" t="str">
        <f t="shared" si="3"/>
        <v>{hp,130}</v>
      </c>
      <c r="J35" t="str">
        <f t="shared" si="4"/>
        <v>{atk,5}</v>
      </c>
      <c r="K35" t="str">
        <f t="shared" si="5"/>
        <v>{spd,8500}</v>
      </c>
      <c r="L35" t="str">
        <f t="shared" si="6"/>
        <v/>
      </c>
      <c r="O35" t="str">
        <f t="shared" si="7"/>
        <v>[{cd,3000},{hp,130},{atk,5},{spd,8500}]</v>
      </c>
      <c r="W35" s="3">
        <v>501</v>
      </c>
      <c r="X35" s="3"/>
      <c r="Y35" s="3"/>
      <c r="Z35" s="3"/>
      <c r="AA35" s="3"/>
      <c r="AB35">
        <v>8500</v>
      </c>
    </row>
    <row r="36" spans="1:28">
      <c r="A36">
        <f>Sheet1!E38</f>
        <v>107</v>
      </c>
      <c r="B36">
        <f t="shared" si="8"/>
        <v>7</v>
      </c>
      <c r="C36">
        <v>3000</v>
      </c>
      <c r="D36">
        <f>VLOOKUP(B36,[1]怪物!$N$34:$Q$43,4,0)</f>
        <v>120</v>
      </c>
      <c r="E36">
        <f>VLOOKUP(A36,[1]怪物!$N$3:$Q$13,4,0)</f>
        <v>4</v>
      </c>
      <c r="F36" s="1">
        <f t="shared" si="1"/>
        <v>8500</v>
      </c>
      <c r="H36" t="str">
        <f t="shared" si="2"/>
        <v>{cd,3000}</v>
      </c>
      <c r="I36" t="str">
        <f t="shared" si="3"/>
        <v>{hp,120}</v>
      </c>
      <c r="J36" t="str">
        <f t="shared" si="4"/>
        <v>{atk,4}</v>
      </c>
      <c r="K36" t="str">
        <f t="shared" si="5"/>
        <v>{spd,8500}</v>
      </c>
      <c r="L36" t="str">
        <f t="shared" si="6"/>
        <v/>
      </c>
      <c r="O36" t="str">
        <f t="shared" si="7"/>
        <v>[{cd,3000},{hp,120},{atk,4},{spd,8500}]</v>
      </c>
      <c r="W36" s="3">
        <v>502</v>
      </c>
      <c r="X36" s="3">
        <v>1</v>
      </c>
      <c r="Y36" s="3"/>
      <c r="Z36" s="3" t="s">
        <v>94</v>
      </c>
      <c r="AA36" s="3"/>
      <c r="AB36">
        <v>8500</v>
      </c>
    </row>
    <row r="37" spans="1:28">
      <c r="A37">
        <f>Sheet1!E39</f>
        <v>503</v>
      </c>
      <c r="B37">
        <f t="shared" si="8"/>
        <v>7</v>
      </c>
      <c r="C37">
        <v>3000</v>
      </c>
      <c r="D37">
        <f>VLOOKUP(B37,[1]怪物!$U$34:$W$43,2,0)</f>
        <v>3150</v>
      </c>
      <c r="E37">
        <f>VLOOKUP(A37,[1]怪物!$R$3:$T$13,2,0)</f>
        <v>15</v>
      </c>
      <c r="F37" s="1">
        <f t="shared" si="1"/>
        <v>8500</v>
      </c>
      <c r="H37" t="str">
        <f t="shared" si="2"/>
        <v>{cd,3000}</v>
      </c>
      <c r="I37" t="str">
        <f t="shared" si="3"/>
        <v>{hp,3150}</v>
      </c>
      <c r="J37" t="str">
        <f t="shared" si="4"/>
        <v>{atk,15}</v>
      </c>
      <c r="K37" t="str">
        <f t="shared" si="5"/>
        <v>{spd,8500}</v>
      </c>
      <c r="L37" t="str">
        <f t="shared" si="6"/>
        <v/>
      </c>
      <c r="O37" t="str">
        <f t="shared" si="7"/>
        <v>[{cd,3000},{hp,3150},{atk,15},{spd,8500}]</v>
      </c>
      <c r="W37" s="3">
        <v>503</v>
      </c>
      <c r="X37" s="3"/>
      <c r="Y37" s="3"/>
      <c r="Z37" s="3"/>
      <c r="AA37" s="3" t="s">
        <v>66</v>
      </c>
      <c r="AB37">
        <v>8500</v>
      </c>
    </row>
    <row r="38" spans="1:28">
      <c r="A38">
        <f>Sheet1!E40</f>
        <v>503</v>
      </c>
      <c r="B38">
        <f t="shared" si="8"/>
        <v>7</v>
      </c>
      <c r="C38">
        <v>3000</v>
      </c>
      <c r="D38">
        <f>VLOOKUP(B38,[1]怪物!$U$34:$W$43,3,0)</f>
        <v>5250</v>
      </c>
      <c r="E38">
        <f>VLOOKUP(A38,[1]怪物!$R$3:$T$13,3,0)</f>
        <v>30</v>
      </c>
      <c r="F38" s="1">
        <f t="shared" si="1"/>
        <v>8500</v>
      </c>
      <c r="H38" t="str">
        <f t="shared" si="2"/>
        <v>{cd,3000}</v>
      </c>
      <c r="I38" t="str">
        <f t="shared" si="3"/>
        <v>{hp,5250}</v>
      </c>
      <c r="J38" t="str">
        <f t="shared" si="4"/>
        <v>{atk,30}</v>
      </c>
      <c r="K38" t="str">
        <f t="shared" si="5"/>
        <v>{spd,8500}</v>
      </c>
      <c r="L38" t="str">
        <f t="shared" si="6"/>
        <v/>
      </c>
      <c r="O38" t="str">
        <f t="shared" si="7"/>
        <v>[{cd,3000},{hp,5250},{atk,30},{spd,8500}]</v>
      </c>
      <c r="W38" s="3">
        <v>504</v>
      </c>
      <c r="X38" s="3"/>
      <c r="Y38" s="3"/>
      <c r="Z38" s="3"/>
      <c r="AA38" s="3"/>
      <c r="AB38">
        <v>8500</v>
      </c>
    </row>
    <row r="39" spans="1:28">
      <c r="A39">
        <f>Sheet1!E41</f>
        <v>103</v>
      </c>
      <c r="B39">
        <f t="shared" si="8"/>
        <v>8</v>
      </c>
      <c r="C39">
        <v>3000</v>
      </c>
      <c r="D39">
        <f>VLOOKUP(B39,[1]怪物!$N$34:$Q$43,2,0)</f>
        <v>160</v>
      </c>
      <c r="E39">
        <f>VLOOKUP(A39,[1]怪物!$N$3:$Q$13,4,0)</f>
        <v>6</v>
      </c>
      <c r="F39" s="1">
        <f t="shared" si="1"/>
        <v>8500</v>
      </c>
      <c r="H39" t="str">
        <f t="shared" si="2"/>
        <v>{cd,3000}</v>
      </c>
      <c r="I39" t="str">
        <f t="shared" si="3"/>
        <v>{hp,160}</v>
      </c>
      <c r="J39" t="str">
        <f t="shared" si="4"/>
        <v>{atk,6}</v>
      </c>
      <c r="K39" t="str">
        <f t="shared" si="5"/>
        <v>{spd,8500}</v>
      </c>
      <c r="L39" t="str">
        <f t="shared" si="6"/>
        <v/>
      </c>
      <c r="O39" t="str">
        <f t="shared" si="7"/>
        <v>[{cd,3000},{hp,160},{atk,6},{spd,8500}]</v>
      </c>
      <c r="W39" s="3">
        <v>505</v>
      </c>
      <c r="X39" s="3"/>
      <c r="Y39" s="3"/>
      <c r="Z39" s="3"/>
      <c r="AA39" s="3"/>
      <c r="AB39">
        <v>8500</v>
      </c>
    </row>
    <row r="40" spans="1:28">
      <c r="A40">
        <f>Sheet1!E42</f>
        <v>107</v>
      </c>
      <c r="B40">
        <f t="shared" si="8"/>
        <v>8</v>
      </c>
      <c r="C40">
        <v>3000</v>
      </c>
      <c r="D40">
        <f>VLOOKUP(B40,[1]怪物!$N$34:$Q$43,3,0)</f>
        <v>150</v>
      </c>
      <c r="E40">
        <f>VLOOKUP(A40,[1]怪物!$N$3:$Q$13,4,0)</f>
        <v>4</v>
      </c>
      <c r="F40" s="1">
        <f t="shared" si="1"/>
        <v>8500</v>
      </c>
      <c r="H40" t="str">
        <f t="shared" si="2"/>
        <v>{cd,3000}</v>
      </c>
      <c r="I40" t="str">
        <f t="shared" si="3"/>
        <v>{hp,150}</v>
      </c>
      <c r="J40" t="str">
        <f t="shared" si="4"/>
        <v>{atk,4}</v>
      </c>
      <c r="K40" t="str">
        <f t="shared" si="5"/>
        <v>{spd,8500}</v>
      </c>
      <c r="L40" t="str">
        <f t="shared" si="6"/>
        <v/>
      </c>
      <c r="O40" t="str">
        <f t="shared" si="7"/>
        <v>[{cd,3000},{hp,150},{atk,4},{spd,8500}]</v>
      </c>
      <c r="W40" s="3">
        <v>506</v>
      </c>
      <c r="X40" s="3">
        <v>1</v>
      </c>
      <c r="Y40" s="3">
        <v>2002</v>
      </c>
      <c r="Z40" s="3" t="s">
        <v>126</v>
      </c>
      <c r="AA40" s="3" t="s">
        <v>51</v>
      </c>
      <c r="AB40">
        <v>8500</v>
      </c>
    </row>
    <row r="41" spans="1:28">
      <c r="A41">
        <f>Sheet1!E43</f>
        <v>106</v>
      </c>
      <c r="B41">
        <f t="shared" si="8"/>
        <v>8</v>
      </c>
      <c r="C41">
        <v>3000</v>
      </c>
      <c r="D41">
        <f>VLOOKUP(B41,[1]怪物!$N$34:$Q$43,4,0)</f>
        <v>140</v>
      </c>
      <c r="E41">
        <f>VLOOKUP(A41,[1]怪物!$N$3:$Q$13,4,0)</f>
        <v>5</v>
      </c>
      <c r="F41" s="1">
        <f t="shared" si="1"/>
        <v>8500</v>
      </c>
      <c r="H41" t="str">
        <f t="shared" si="2"/>
        <v>{cd,3000}</v>
      </c>
      <c r="I41" t="str">
        <f t="shared" si="3"/>
        <v>{hp,140}</v>
      </c>
      <c r="J41" t="str">
        <f t="shared" si="4"/>
        <v>{atk,5}</v>
      </c>
      <c r="K41" t="str">
        <f t="shared" si="5"/>
        <v>{spd,8500}</v>
      </c>
      <c r="L41" t="str">
        <f t="shared" si="6"/>
        <v/>
      </c>
      <c r="O41" t="str">
        <f t="shared" si="7"/>
        <v>[{cd,3000},{hp,140},{atk,5},{spd,8500}]</v>
      </c>
      <c r="W41" s="3">
        <v>507</v>
      </c>
      <c r="X41" s="3">
        <v>1</v>
      </c>
      <c r="Y41" s="3"/>
      <c r="Z41" s="3" t="s">
        <v>1516</v>
      </c>
      <c r="AA41" s="3"/>
      <c r="AB41">
        <v>8500</v>
      </c>
    </row>
    <row r="42" spans="1:28">
      <c r="A42">
        <f>Sheet1!E44</f>
        <v>506</v>
      </c>
      <c r="B42">
        <f t="shared" si="8"/>
        <v>8</v>
      </c>
      <c r="C42">
        <v>3000</v>
      </c>
      <c r="D42">
        <f>VLOOKUP(B42,[1]怪物!$U$34:$W$43,2,0)</f>
        <v>3600</v>
      </c>
      <c r="E42">
        <f>VLOOKUP(A42,[1]怪物!$R$3:$T$13,2,0)</f>
        <v>13</v>
      </c>
      <c r="F42" s="1">
        <f t="shared" si="1"/>
        <v>8500</v>
      </c>
      <c r="H42" t="str">
        <f t="shared" si="2"/>
        <v>{cd,3000}</v>
      </c>
      <c r="I42" t="str">
        <f t="shared" si="3"/>
        <v>{hp,3600}</v>
      </c>
      <c r="J42" t="str">
        <f t="shared" si="4"/>
        <v>{atk,13}</v>
      </c>
      <c r="K42" t="str">
        <f t="shared" si="5"/>
        <v>{spd,8500}</v>
      </c>
      <c r="L42" t="str">
        <f t="shared" si="6"/>
        <v/>
      </c>
      <c r="O42" t="str">
        <f t="shared" si="7"/>
        <v>[{cd,3000},{hp,3600},{atk,13},{spd,8500}]</v>
      </c>
      <c r="W42" s="3">
        <v>508</v>
      </c>
      <c r="X42" s="3"/>
      <c r="Y42" s="3"/>
      <c r="Z42" s="3"/>
      <c r="AA42" s="3"/>
      <c r="AB42">
        <v>8500</v>
      </c>
    </row>
    <row r="43" spans="1:28">
      <c r="A43">
        <f>Sheet1!E45</f>
        <v>506</v>
      </c>
      <c r="B43">
        <f t="shared" si="8"/>
        <v>8</v>
      </c>
      <c r="C43">
        <v>3000</v>
      </c>
      <c r="D43">
        <f>VLOOKUP(B43,[1]怪物!$U$34:$W$43,3,0)</f>
        <v>6000</v>
      </c>
      <c r="E43">
        <f>VLOOKUP(A43,[1]怪物!$R$3:$T$13,3,0)</f>
        <v>26</v>
      </c>
      <c r="F43" s="1">
        <f t="shared" si="1"/>
        <v>8500</v>
      </c>
      <c r="H43" t="str">
        <f t="shared" si="2"/>
        <v>{cd,3000}</v>
      </c>
      <c r="I43" t="str">
        <f t="shared" si="3"/>
        <v>{hp,6000}</v>
      </c>
      <c r="J43" t="str">
        <f t="shared" si="4"/>
        <v>{atk,26}</v>
      </c>
      <c r="K43" t="str">
        <f t="shared" si="5"/>
        <v>{spd,8500}</v>
      </c>
      <c r="L43" t="str">
        <f t="shared" si="6"/>
        <v/>
      </c>
      <c r="O43" t="str">
        <f t="shared" si="7"/>
        <v>[{cd,3000},{hp,6000},{atk,26},{spd,8500}]</v>
      </c>
      <c r="W43" s="3">
        <v>509</v>
      </c>
      <c r="X43" s="3">
        <v>1</v>
      </c>
      <c r="Y43" s="3"/>
      <c r="Z43" s="3" t="s">
        <v>147</v>
      </c>
      <c r="AA43" s="3"/>
      <c r="AB43">
        <v>8500</v>
      </c>
    </row>
    <row r="44" spans="1:28">
      <c r="A44">
        <f>Sheet1!E46</f>
        <v>108</v>
      </c>
      <c r="B44">
        <f t="shared" si="8"/>
        <v>9</v>
      </c>
      <c r="C44">
        <v>3000</v>
      </c>
      <c r="D44">
        <f>VLOOKUP(B44,[1]怪物!$N$34:$Q$43,2,0)</f>
        <v>180</v>
      </c>
      <c r="E44">
        <f>VLOOKUP(A44,[1]怪物!$N$3:$Q$13,4,0)</f>
        <v>10</v>
      </c>
      <c r="F44" s="1">
        <f t="shared" si="1"/>
        <v>8500</v>
      </c>
      <c r="H44" t="str">
        <f t="shared" si="2"/>
        <v>{cd,3000}</v>
      </c>
      <c r="I44" t="str">
        <f t="shared" si="3"/>
        <v>{hp,180}</v>
      </c>
      <c r="J44" t="str">
        <f t="shared" si="4"/>
        <v>{atk,10}</v>
      </c>
      <c r="K44" t="str">
        <f t="shared" si="5"/>
        <v>{spd,8500}</v>
      </c>
      <c r="L44" t="str">
        <f t="shared" si="6"/>
        <v/>
      </c>
      <c r="O44" t="str">
        <f t="shared" si="7"/>
        <v>[{cd,3000},{hp,180},{atk,10},{spd,8500}]</v>
      </c>
      <c r="W44" s="3">
        <v>510</v>
      </c>
      <c r="X44" s="3"/>
      <c r="Y44" s="3"/>
      <c r="Z44" s="3"/>
      <c r="AA44" s="3"/>
      <c r="AB44">
        <v>8500</v>
      </c>
    </row>
    <row r="45" spans="1:28">
      <c r="A45">
        <f>Sheet1!E47</f>
        <v>109</v>
      </c>
      <c r="B45">
        <f t="shared" si="8"/>
        <v>9</v>
      </c>
      <c r="C45">
        <v>3000</v>
      </c>
      <c r="D45">
        <f>VLOOKUP(B45,[1]怪物!$N$34:$Q$43,3,0)</f>
        <v>170</v>
      </c>
      <c r="E45">
        <f>VLOOKUP(A45,[1]怪物!$N$3:$Q$13,4,0)</f>
        <v>4</v>
      </c>
      <c r="F45" s="1">
        <f t="shared" si="1"/>
        <v>8500</v>
      </c>
      <c r="H45" t="str">
        <f t="shared" si="2"/>
        <v>{cd,3000}</v>
      </c>
      <c r="I45" t="str">
        <f t="shared" si="3"/>
        <v>{hp,170}</v>
      </c>
      <c r="J45" t="str">
        <f t="shared" si="4"/>
        <v>{atk,4}</v>
      </c>
      <c r="K45" t="str">
        <f t="shared" si="5"/>
        <v>{spd,8500}</v>
      </c>
      <c r="L45" t="str">
        <f t="shared" si="6"/>
        <v/>
      </c>
      <c r="O45" t="str">
        <f t="shared" si="7"/>
        <v>[{cd,3000},{hp,170},{atk,4},{spd,8500}]</v>
      </c>
      <c r="W45" s="3">
        <v>511</v>
      </c>
      <c r="X45" s="3"/>
      <c r="Y45" s="3"/>
      <c r="Z45" s="3"/>
      <c r="AA45" s="3"/>
      <c r="AB45">
        <v>8500</v>
      </c>
    </row>
    <row r="46" spans="1:28">
      <c r="A46">
        <f>Sheet1!E48</f>
        <v>109</v>
      </c>
      <c r="B46">
        <f t="shared" si="8"/>
        <v>9</v>
      </c>
      <c r="C46">
        <v>3000</v>
      </c>
      <c r="D46">
        <f>VLOOKUP(B46,[1]怪物!$N$34:$Q$43,4,0)</f>
        <v>160</v>
      </c>
      <c r="E46">
        <f>VLOOKUP(A46,[1]怪物!$N$3:$Q$13,4,0)</f>
        <v>4</v>
      </c>
      <c r="F46" s="1">
        <f t="shared" si="1"/>
        <v>8500</v>
      </c>
      <c r="H46" t="str">
        <f t="shared" si="2"/>
        <v>{cd,3000}</v>
      </c>
      <c r="I46" t="str">
        <f t="shared" si="3"/>
        <v>{hp,160}</v>
      </c>
      <c r="J46" t="str">
        <f t="shared" si="4"/>
        <v>{atk,4}</v>
      </c>
      <c r="K46" t="str">
        <f t="shared" si="5"/>
        <v>{spd,8500}</v>
      </c>
      <c r="L46" t="str">
        <f t="shared" si="6"/>
        <v/>
      </c>
      <c r="O46" t="str">
        <f t="shared" si="7"/>
        <v>[{cd,3000},{hp,160},{atk,4},{spd,8500}]</v>
      </c>
      <c r="W46" s="3">
        <v>512</v>
      </c>
      <c r="X46" s="3">
        <v>1</v>
      </c>
      <c r="Y46" s="3"/>
      <c r="Z46" s="3" t="s">
        <v>1517</v>
      </c>
      <c r="AA46" s="3"/>
      <c r="AB46">
        <v>8500</v>
      </c>
    </row>
    <row r="47" spans="1:28">
      <c r="A47">
        <f>Sheet1!E49</f>
        <v>508</v>
      </c>
      <c r="B47">
        <f t="shared" si="8"/>
        <v>9</v>
      </c>
      <c r="C47">
        <v>3000</v>
      </c>
      <c r="D47">
        <f>VLOOKUP(B47,[1]怪物!$U$34:$W$43,2,0)</f>
        <v>4050</v>
      </c>
      <c r="E47">
        <f>VLOOKUP(A47,[1]怪物!$R$3:$T$13,2,0)</f>
        <v>25</v>
      </c>
      <c r="F47" s="1">
        <f t="shared" si="1"/>
        <v>8500</v>
      </c>
      <c r="H47" t="str">
        <f t="shared" si="2"/>
        <v>{cd,3000}</v>
      </c>
      <c r="I47" t="str">
        <f t="shared" si="3"/>
        <v>{hp,4050}</v>
      </c>
      <c r="J47" t="str">
        <f t="shared" si="4"/>
        <v>{atk,25}</v>
      </c>
      <c r="K47" t="str">
        <f t="shared" si="5"/>
        <v>{spd,8500}</v>
      </c>
      <c r="L47" t="str">
        <f t="shared" si="6"/>
        <v/>
      </c>
      <c r="O47" t="str">
        <f t="shared" si="7"/>
        <v>[{cd,3000},{hp,4050},{atk,25},{spd,8500}]</v>
      </c>
      <c r="W47" s="3">
        <v>513</v>
      </c>
      <c r="X47" s="3">
        <v>1</v>
      </c>
      <c r="Y47" s="3"/>
      <c r="Z47" s="3" t="s">
        <v>1518</v>
      </c>
      <c r="AA47" s="3" t="s">
        <v>1498</v>
      </c>
      <c r="AB47">
        <v>8500</v>
      </c>
    </row>
    <row r="48" spans="1:28">
      <c r="A48">
        <f>Sheet1!E50</f>
        <v>508</v>
      </c>
      <c r="B48">
        <f t="shared" si="8"/>
        <v>9</v>
      </c>
      <c r="C48">
        <v>3000</v>
      </c>
      <c r="D48">
        <f>VLOOKUP(B48,[1]怪物!$U$34:$W$43,3,0)</f>
        <v>6750</v>
      </c>
      <c r="E48">
        <f>VLOOKUP(A48,[1]怪物!$R$3:$T$13,3,0)</f>
        <v>50</v>
      </c>
      <c r="F48" s="1">
        <f t="shared" si="1"/>
        <v>8500</v>
      </c>
      <c r="H48" t="str">
        <f t="shared" si="2"/>
        <v>{cd,3000}</v>
      </c>
      <c r="I48" t="str">
        <f t="shared" si="3"/>
        <v>{hp,6750}</v>
      </c>
      <c r="J48" t="str">
        <f t="shared" si="4"/>
        <v>{atk,50}</v>
      </c>
      <c r="K48" t="str">
        <f t="shared" si="5"/>
        <v>{spd,8500}</v>
      </c>
      <c r="L48" t="str">
        <f t="shared" si="6"/>
        <v/>
      </c>
      <c r="O48" t="str">
        <f t="shared" si="7"/>
        <v>[{cd,3000},{hp,6750},{atk,50},{spd,8500}]</v>
      </c>
      <c r="W48" s="3">
        <v>514</v>
      </c>
      <c r="X48" s="3"/>
      <c r="Y48" s="3"/>
      <c r="Z48" s="3"/>
      <c r="AA48" s="3"/>
      <c r="AB48">
        <v>8500</v>
      </c>
    </row>
    <row r="49" spans="1:28">
      <c r="A49">
        <f>Sheet1!E51</f>
        <v>108</v>
      </c>
      <c r="B49">
        <f t="shared" si="8"/>
        <v>10</v>
      </c>
      <c r="C49">
        <v>3000</v>
      </c>
      <c r="D49">
        <f>VLOOKUP(B49,[1]怪物!$N$34:$Q$43,2,0)</f>
        <v>200</v>
      </c>
      <c r="E49">
        <f>VLOOKUP(A49,[1]怪物!$N$3:$Q$13,4,0)</f>
        <v>10</v>
      </c>
      <c r="F49" s="1">
        <f t="shared" si="1"/>
        <v>8500</v>
      </c>
      <c r="H49" t="str">
        <f t="shared" si="2"/>
        <v>{cd,3000}</v>
      </c>
      <c r="I49" t="str">
        <f t="shared" si="3"/>
        <v>{hp,200}</v>
      </c>
      <c r="J49" t="str">
        <f t="shared" si="4"/>
        <v>{atk,10}</v>
      </c>
      <c r="K49" t="str">
        <f t="shared" si="5"/>
        <v>{spd,8500}</v>
      </c>
      <c r="L49" t="str">
        <f t="shared" si="6"/>
        <v/>
      </c>
      <c r="O49" t="str">
        <f t="shared" si="7"/>
        <v>[{cd,3000},{hp,200},{atk,10},{spd,8500}]</v>
      </c>
      <c r="W49" s="3">
        <v>515</v>
      </c>
      <c r="X49" s="3"/>
      <c r="Y49" s="3"/>
      <c r="Z49" s="3"/>
      <c r="AA49" s="3"/>
      <c r="AB49">
        <v>8500</v>
      </c>
    </row>
    <row r="50" spans="1:28">
      <c r="A50">
        <f>Sheet1!E52</f>
        <v>109</v>
      </c>
      <c r="B50">
        <f t="shared" si="8"/>
        <v>10</v>
      </c>
      <c r="C50">
        <v>3000</v>
      </c>
      <c r="D50">
        <f>VLOOKUP(B50,[1]怪物!$N$34:$Q$43,3,0)</f>
        <v>190</v>
      </c>
      <c r="E50">
        <f>VLOOKUP(A50,[1]怪物!$N$3:$Q$13,4,0)</f>
        <v>4</v>
      </c>
      <c r="F50" s="1">
        <f t="shared" si="1"/>
        <v>8500</v>
      </c>
      <c r="H50" t="str">
        <f t="shared" si="2"/>
        <v>{cd,3000}</v>
      </c>
      <c r="I50" t="str">
        <f t="shared" si="3"/>
        <v>{hp,190}</v>
      </c>
      <c r="J50" t="str">
        <f t="shared" si="4"/>
        <v>{atk,4}</v>
      </c>
      <c r="K50" t="str">
        <f t="shared" si="5"/>
        <v>{spd,8500}</v>
      </c>
      <c r="L50" t="str">
        <f t="shared" si="6"/>
        <v/>
      </c>
      <c r="O50" t="str">
        <f t="shared" si="7"/>
        <v>[{cd,3000},{hp,190},{atk,4},{spd,8500}]</v>
      </c>
      <c r="W50" s="3">
        <v>516</v>
      </c>
      <c r="X50" s="3"/>
      <c r="Y50" s="3"/>
      <c r="Z50" s="3"/>
      <c r="AA50" s="3" t="s">
        <v>1499</v>
      </c>
      <c r="AB50">
        <v>8500</v>
      </c>
    </row>
    <row r="51" spans="1:29">
      <c r="A51">
        <f>Sheet1!E53</f>
        <v>110</v>
      </c>
      <c r="B51">
        <f t="shared" si="8"/>
        <v>10</v>
      </c>
      <c r="C51">
        <v>3000</v>
      </c>
      <c r="D51">
        <f>VLOOKUP(B51,[1]怪物!$N$34:$Q$43,4,0)</f>
        <v>180</v>
      </c>
      <c r="E51">
        <f>VLOOKUP(A51,[1]怪物!$N$3:$Q$13,4,0)</f>
        <v>10</v>
      </c>
      <c r="F51" s="1">
        <f t="shared" si="1"/>
        <v>8500</v>
      </c>
      <c r="H51" t="str">
        <f t="shared" si="2"/>
        <v>{cd,3000}</v>
      </c>
      <c r="I51" t="str">
        <f t="shared" si="3"/>
        <v>{hp,180}</v>
      </c>
      <c r="J51" t="str">
        <f t="shared" si="4"/>
        <v>{atk,10}</v>
      </c>
      <c r="K51" t="str">
        <f t="shared" si="5"/>
        <v>{spd,8500}</v>
      </c>
      <c r="L51" t="str">
        <f t="shared" si="6"/>
        <v/>
      </c>
      <c r="O51" t="str">
        <f t="shared" si="7"/>
        <v>[{cd,3000},{hp,180},{atk,10},{spd,8500}]</v>
      </c>
      <c r="W51" s="3">
        <v>517</v>
      </c>
      <c r="X51" s="3"/>
      <c r="Y51" s="3"/>
      <c r="Z51" s="3"/>
      <c r="AA51" s="3"/>
      <c r="AB51">
        <v>8500</v>
      </c>
      <c r="AC51" s="2" t="s">
        <v>1484</v>
      </c>
    </row>
    <row r="52" spans="1:28">
      <c r="A52">
        <f>Sheet1!E54</f>
        <v>509</v>
      </c>
      <c r="B52">
        <f t="shared" si="8"/>
        <v>10</v>
      </c>
      <c r="C52">
        <v>3000</v>
      </c>
      <c r="D52">
        <f>VLOOKUP(B52,[1]怪物!$U$34:$W$43,2,0)</f>
        <v>8438</v>
      </c>
      <c r="E52">
        <f>VLOOKUP(A52,[1]怪物!$R$3:$T$13,2,0)</f>
        <v>14</v>
      </c>
      <c r="F52" s="1">
        <f t="shared" si="1"/>
        <v>8500</v>
      </c>
      <c r="H52" t="str">
        <f t="shared" si="2"/>
        <v>{cd,3000}</v>
      </c>
      <c r="I52" t="str">
        <f t="shared" si="3"/>
        <v>{hp,8438}</v>
      </c>
      <c r="J52" t="str">
        <f t="shared" si="4"/>
        <v>{atk,14}</v>
      </c>
      <c r="K52" t="str">
        <f t="shared" si="5"/>
        <v>{spd,8500}</v>
      </c>
      <c r="L52" t="str">
        <f t="shared" si="6"/>
        <v/>
      </c>
      <c r="O52" t="str">
        <f t="shared" si="7"/>
        <v>[{cd,3000},{hp,8438},{atk,14},{spd,8500}]</v>
      </c>
      <c r="W52" s="3">
        <v>518</v>
      </c>
      <c r="X52" s="3">
        <v>1</v>
      </c>
      <c r="Y52" s="3"/>
      <c r="Z52" s="3" t="s">
        <v>1519</v>
      </c>
      <c r="AA52" s="3" t="s">
        <v>1501</v>
      </c>
      <c r="AB52">
        <v>8500</v>
      </c>
    </row>
    <row r="53" spans="1:29">
      <c r="A53">
        <f>Sheet1!E55</f>
        <v>509</v>
      </c>
      <c r="B53">
        <f t="shared" si="8"/>
        <v>10</v>
      </c>
      <c r="C53">
        <v>3000</v>
      </c>
      <c r="D53">
        <f>VLOOKUP(B53,[1]怪物!$U$34:$W$43,3,0)</f>
        <v>11250</v>
      </c>
      <c r="E53">
        <f>VLOOKUP(A53,[1]怪物!$R$3:$T$13,3,0)</f>
        <v>28</v>
      </c>
      <c r="F53" s="1">
        <f t="shared" si="1"/>
        <v>8500</v>
      </c>
      <c r="H53" t="str">
        <f t="shared" si="2"/>
        <v>{cd,3000}</v>
      </c>
      <c r="I53" t="str">
        <f t="shared" si="3"/>
        <v>{hp,11250}</v>
      </c>
      <c r="J53" t="str">
        <f t="shared" si="4"/>
        <v>{atk,28}</v>
      </c>
      <c r="K53" t="str">
        <f t="shared" si="5"/>
        <v>{spd,8500}</v>
      </c>
      <c r="L53" t="str">
        <f t="shared" si="6"/>
        <v/>
      </c>
      <c r="O53" t="str">
        <f t="shared" si="7"/>
        <v>[{cd,3000},{hp,11250},{atk,28},{spd,8500}]</v>
      </c>
      <c r="W53" s="3">
        <v>519</v>
      </c>
      <c r="X53" s="3">
        <v>1</v>
      </c>
      <c r="Y53" s="3"/>
      <c r="Z53" s="3" t="s">
        <v>1520</v>
      </c>
      <c r="AA53" s="3"/>
      <c r="AB53">
        <v>8500</v>
      </c>
      <c r="AC53" t="s">
        <v>1488</v>
      </c>
    </row>
    <row r="54" spans="1:28">
      <c r="A54">
        <v>101</v>
      </c>
      <c r="B54">
        <f t="shared" ref="B54:B68" si="9">B49+1</f>
        <v>11</v>
      </c>
      <c r="C54">
        <v>3000</v>
      </c>
      <c r="D54">
        <f>VLOOKUP(B54,[1]怪物!$N$34:$Q$47,2,0)</f>
        <v>240</v>
      </c>
      <c r="E54">
        <f>VLOOKUP(A54,[1]怪物!$V$3:$Y$13,4,0)</f>
        <v>9</v>
      </c>
      <c r="F54" s="1">
        <f t="shared" si="1"/>
        <v>8500</v>
      </c>
      <c r="H54" t="str">
        <f t="shared" si="2"/>
        <v>{cd,3000}</v>
      </c>
      <c r="I54" t="str">
        <f t="shared" ref="I54:I68" si="10">$C$2&amp;D$3&amp;$D$2&amp;D54&amp;$E$2</f>
        <v>{hp,240}</v>
      </c>
      <c r="J54" t="str">
        <f t="shared" ref="J54:J68" si="11">$C$2&amp;E$3&amp;$D$2&amp;E54&amp;$E$2</f>
        <v>{atk,9}</v>
      </c>
      <c r="K54" t="str">
        <f t="shared" ref="K54:K68" si="12">$C$2&amp;F$3&amp;$D$2&amp;F54&amp;$E$2</f>
        <v>{spd,8500}</v>
      </c>
      <c r="L54" t="str">
        <f t="shared" si="6"/>
        <v/>
      </c>
      <c r="O54" t="str">
        <f t="shared" si="7"/>
        <v>[{cd,3000},{hp,240},{atk,9},{spd,8500}]</v>
      </c>
      <c r="W54" s="3">
        <v>520</v>
      </c>
      <c r="X54" s="3"/>
      <c r="Y54" s="3"/>
      <c r="Z54" s="3"/>
      <c r="AA54" s="3"/>
      <c r="AB54">
        <v>8500</v>
      </c>
    </row>
    <row r="55" spans="1:29">
      <c r="A55">
        <v>100</v>
      </c>
      <c r="B55">
        <f t="shared" si="9"/>
        <v>11</v>
      </c>
      <c r="C55">
        <v>3000</v>
      </c>
      <c r="D55">
        <f>VLOOKUP(B55,[1]怪物!$N$34:$Q$47,3,0)</f>
        <v>230</v>
      </c>
      <c r="E55">
        <f>VLOOKUP(A55,[1]怪物!$V$3:$Y$13,4,0)</f>
        <v>6</v>
      </c>
      <c r="F55" s="1">
        <f t="shared" si="1"/>
        <v>8500</v>
      </c>
      <c r="H55" t="str">
        <f t="shared" si="2"/>
        <v>{cd,3000}</v>
      </c>
      <c r="I55" t="str">
        <f t="shared" si="10"/>
        <v>{hp,230}</v>
      </c>
      <c r="J55" t="str">
        <f t="shared" si="11"/>
        <v>{atk,6}</v>
      </c>
      <c r="K55" t="str">
        <f t="shared" si="12"/>
        <v>{spd,8500}</v>
      </c>
      <c r="L55" t="str">
        <f t="shared" si="6"/>
        <v/>
      </c>
      <c r="O55" t="str">
        <f t="shared" si="7"/>
        <v>[{cd,3000},{hp,230},{atk,6},{spd,8500}]</v>
      </c>
      <c r="W55" s="3">
        <v>521</v>
      </c>
      <c r="X55" s="3"/>
      <c r="Y55" s="3"/>
      <c r="Z55" s="3"/>
      <c r="AA55" s="3"/>
      <c r="AB55">
        <v>8500</v>
      </c>
      <c r="AC55" s="2" t="s">
        <v>1503</v>
      </c>
    </row>
    <row r="56" spans="1:28">
      <c r="A56">
        <v>102</v>
      </c>
      <c r="B56">
        <f t="shared" si="9"/>
        <v>11</v>
      </c>
      <c r="C56">
        <v>3000</v>
      </c>
      <c r="D56">
        <f>VLOOKUP(B56,[1]怪物!$N$34:$Q$47,4,0)</f>
        <v>220</v>
      </c>
      <c r="E56">
        <f>VLOOKUP(A56,[1]怪物!$V$3:$Y$13,4,0)</f>
        <v>5</v>
      </c>
      <c r="F56" s="1">
        <f t="shared" si="1"/>
        <v>8500</v>
      </c>
      <c r="H56" t="str">
        <f t="shared" ref="H56:H68" si="13">$C$2&amp;C$3&amp;$D$2&amp;C56&amp;$E$2</f>
        <v>{cd,3000}</v>
      </c>
      <c r="I56" t="str">
        <f t="shared" si="10"/>
        <v>{hp,220}</v>
      </c>
      <c r="J56" t="str">
        <f t="shared" si="11"/>
        <v>{atk,5}</v>
      </c>
      <c r="K56" t="str">
        <f t="shared" si="12"/>
        <v>{spd,8500}</v>
      </c>
      <c r="L56" t="str">
        <f t="shared" si="6"/>
        <v/>
      </c>
      <c r="O56" t="str">
        <f t="shared" si="7"/>
        <v>[{cd,3000},{hp,220},{atk,5},{spd,8500}]</v>
      </c>
      <c r="W56" s="3">
        <v>522</v>
      </c>
      <c r="X56" s="3"/>
      <c r="Y56" s="3"/>
      <c r="Z56" s="3"/>
      <c r="AA56" s="4" t="s">
        <v>1504</v>
      </c>
      <c r="AB56">
        <v>8500</v>
      </c>
    </row>
    <row r="57" spans="1:28">
      <c r="A57">
        <v>501</v>
      </c>
      <c r="B57">
        <f t="shared" si="9"/>
        <v>11</v>
      </c>
      <c r="C57">
        <v>3000</v>
      </c>
      <c r="D57">
        <f>VLOOKUP(B57,[1]怪物!$U$34:$W$47,2,0)</f>
        <v>10125</v>
      </c>
      <c r="E57">
        <f>VLOOKUP(A57,[1]怪物!$Z$3:$AB$13,2,0)</f>
        <v>45</v>
      </c>
      <c r="F57" s="1">
        <f t="shared" si="1"/>
        <v>8500</v>
      </c>
      <c r="H57" t="str">
        <f t="shared" si="13"/>
        <v>{cd,3000}</v>
      </c>
      <c r="I57" t="str">
        <f t="shared" si="10"/>
        <v>{hp,10125}</v>
      </c>
      <c r="J57" t="str">
        <f t="shared" si="11"/>
        <v>{atk,45}</v>
      </c>
      <c r="K57" t="str">
        <f t="shared" si="12"/>
        <v>{spd,8500}</v>
      </c>
      <c r="L57" t="str">
        <f t="shared" si="6"/>
        <v/>
      </c>
      <c r="O57" t="str">
        <f t="shared" si="7"/>
        <v>[{cd,3000},{hp,10125},{atk,45},{spd,8500}]</v>
      </c>
      <c r="W57" s="3">
        <v>523</v>
      </c>
      <c r="X57" s="3">
        <v>1</v>
      </c>
      <c r="Y57" s="3"/>
      <c r="Z57" s="4" t="s">
        <v>1521</v>
      </c>
      <c r="AA57" s="4" t="s">
        <v>1506</v>
      </c>
      <c r="AB57">
        <v>8500</v>
      </c>
    </row>
    <row r="58" spans="1:29">
      <c r="A58">
        <v>501</v>
      </c>
      <c r="B58">
        <f t="shared" si="9"/>
        <v>11</v>
      </c>
      <c r="C58">
        <v>3000</v>
      </c>
      <c r="D58">
        <f>VLOOKUP(B58,[1]怪物!$U$34:$W$47,3,0)</f>
        <v>13500</v>
      </c>
      <c r="E58">
        <f>VLOOKUP(A58,[1]怪物!$Z$3:$AB$13,3,0)</f>
        <v>90</v>
      </c>
      <c r="F58" s="1">
        <f t="shared" si="1"/>
        <v>8500</v>
      </c>
      <c r="H58" t="str">
        <f t="shared" si="13"/>
        <v>{cd,3000}</v>
      </c>
      <c r="I58" t="str">
        <f t="shared" si="10"/>
        <v>{hp,13500}</v>
      </c>
      <c r="J58" t="str">
        <f t="shared" si="11"/>
        <v>{atk,90}</v>
      </c>
      <c r="K58" t="str">
        <f t="shared" si="12"/>
        <v>{spd,8500}</v>
      </c>
      <c r="L58" t="str">
        <f t="shared" si="6"/>
        <v/>
      </c>
      <c r="O58" t="str">
        <f t="shared" si="7"/>
        <v>[{cd,3000},{hp,13500},{atk,90},{spd,8500}]</v>
      </c>
      <c r="W58" s="3">
        <v>524</v>
      </c>
      <c r="X58" s="3"/>
      <c r="Y58" s="3"/>
      <c r="Z58" s="3"/>
      <c r="AA58" s="4" t="s">
        <v>1507</v>
      </c>
      <c r="AB58">
        <v>8500</v>
      </c>
      <c r="AC58" t="s">
        <v>1508</v>
      </c>
    </row>
    <row r="59" spans="1:28">
      <c r="A59">
        <v>101</v>
      </c>
      <c r="B59">
        <f t="shared" si="9"/>
        <v>12</v>
      </c>
      <c r="C59">
        <v>3000</v>
      </c>
      <c r="D59">
        <f>VLOOKUP(B59,[1]怪物!$N$34:$Q$47,2,0)</f>
        <v>280</v>
      </c>
      <c r="E59">
        <f>VLOOKUP(A59,[1]怪物!$V$3:$Y$13,4,0)</f>
        <v>9</v>
      </c>
      <c r="F59" s="1">
        <f t="shared" si="1"/>
        <v>8500</v>
      </c>
      <c r="H59" t="str">
        <f t="shared" si="13"/>
        <v>{cd,3000}</v>
      </c>
      <c r="I59" t="str">
        <f t="shared" si="10"/>
        <v>{hp,280}</v>
      </c>
      <c r="J59" t="str">
        <f t="shared" si="11"/>
        <v>{atk,9}</v>
      </c>
      <c r="K59" t="str">
        <f t="shared" si="12"/>
        <v>{spd,8500}</v>
      </c>
      <c r="L59" t="str">
        <f t="shared" si="6"/>
        <v/>
      </c>
      <c r="O59" t="str">
        <f t="shared" si="7"/>
        <v>[{cd,3000},{hp,280},{atk,9},{spd,8500}]</v>
      </c>
      <c r="W59" s="3">
        <v>525</v>
      </c>
      <c r="X59" s="3"/>
      <c r="Y59" s="3"/>
      <c r="Z59" s="3"/>
      <c r="AA59" s="3" t="s">
        <v>1509</v>
      </c>
      <c r="AB59">
        <v>8500</v>
      </c>
    </row>
    <row r="60" spans="1:29">
      <c r="A60">
        <v>100</v>
      </c>
      <c r="B60">
        <f t="shared" si="9"/>
        <v>12</v>
      </c>
      <c r="C60">
        <v>3000</v>
      </c>
      <c r="D60">
        <f>VLOOKUP(B60,[1]怪物!$N$34:$Q$47,3,0)</f>
        <v>270</v>
      </c>
      <c r="E60">
        <f>VLOOKUP(A60,[1]怪物!$V$3:$Y$13,4,0)</f>
        <v>6</v>
      </c>
      <c r="F60" s="1">
        <f t="shared" si="1"/>
        <v>8500</v>
      </c>
      <c r="H60" t="str">
        <f t="shared" si="13"/>
        <v>{cd,3000}</v>
      </c>
      <c r="I60" t="str">
        <f t="shared" si="10"/>
        <v>{hp,270}</v>
      </c>
      <c r="J60" t="str">
        <f t="shared" si="11"/>
        <v>{atk,6}</v>
      </c>
      <c r="K60" t="str">
        <f t="shared" si="12"/>
        <v>{spd,8500}</v>
      </c>
      <c r="L60" t="str">
        <f t="shared" si="6"/>
        <v/>
      </c>
      <c r="O60" t="str">
        <f t="shared" si="7"/>
        <v>[{cd,3000},{hp,270},{atk,6},{spd,8500}]</v>
      </c>
      <c r="W60" s="3">
        <v>526</v>
      </c>
      <c r="X60" s="3">
        <v>1</v>
      </c>
      <c r="Y60" s="3"/>
      <c r="Z60" s="3" t="s">
        <v>1522</v>
      </c>
      <c r="AA60" s="3" t="s">
        <v>1511</v>
      </c>
      <c r="AB60">
        <v>8500</v>
      </c>
      <c r="AC60" t="s">
        <v>1512</v>
      </c>
    </row>
    <row r="61" spans="1:28">
      <c r="A61">
        <v>102</v>
      </c>
      <c r="B61">
        <f t="shared" si="9"/>
        <v>12</v>
      </c>
      <c r="C61">
        <v>3000</v>
      </c>
      <c r="D61">
        <f>VLOOKUP(B61,[1]怪物!$N$34:$Q$47,4,0)</f>
        <v>260</v>
      </c>
      <c r="E61">
        <f>VLOOKUP(A61,[1]怪物!$V$3:$Y$13,4,0)</f>
        <v>5</v>
      </c>
      <c r="F61" s="1">
        <f t="shared" si="1"/>
        <v>8500</v>
      </c>
      <c r="H61" t="str">
        <f t="shared" si="13"/>
        <v>{cd,3000}</v>
      </c>
      <c r="I61" t="str">
        <f t="shared" si="10"/>
        <v>{hp,260}</v>
      </c>
      <c r="J61" t="str">
        <f t="shared" si="11"/>
        <v>{atk,5}</v>
      </c>
      <c r="K61" t="str">
        <f t="shared" si="12"/>
        <v>{spd,8500}</v>
      </c>
      <c r="L61" t="str">
        <f t="shared" si="6"/>
        <v/>
      </c>
      <c r="O61" t="str">
        <f t="shared" si="7"/>
        <v>[{cd,3000},{hp,260},{atk,5},{spd,8500}]</v>
      </c>
      <c r="W61" s="3">
        <v>527</v>
      </c>
      <c r="X61" s="3"/>
      <c r="Y61" s="3"/>
      <c r="Z61" s="3"/>
      <c r="AA61" s="3" t="s">
        <v>1513</v>
      </c>
      <c r="AB61">
        <v>8500</v>
      </c>
    </row>
    <row r="62" spans="1:29">
      <c r="A62">
        <v>502</v>
      </c>
      <c r="B62">
        <f t="shared" si="9"/>
        <v>12</v>
      </c>
      <c r="C62">
        <v>3000</v>
      </c>
      <c r="D62">
        <f>VLOOKUP(B62,[1]怪物!$U$34:$W$47,2,0)</f>
        <v>11813</v>
      </c>
      <c r="E62">
        <f>VLOOKUP(A62,[1]怪物!$Z$3:$AB$13,2,0)</f>
        <v>25</v>
      </c>
      <c r="F62" s="1">
        <f t="shared" si="1"/>
        <v>8500</v>
      </c>
      <c r="H62" t="str">
        <f t="shared" si="13"/>
        <v>{cd,3000}</v>
      </c>
      <c r="I62" t="str">
        <f t="shared" si="10"/>
        <v>{hp,11813}</v>
      </c>
      <c r="J62" t="str">
        <f t="shared" si="11"/>
        <v>{atk,25}</v>
      </c>
      <c r="K62" t="str">
        <f t="shared" si="12"/>
        <v>{spd,8500}</v>
      </c>
      <c r="L62" t="str">
        <f t="shared" si="6"/>
        <v/>
      </c>
      <c r="O62" t="str">
        <f t="shared" si="7"/>
        <v>[{cd,3000},{hp,11813},{atk,25},{spd,8500}]</v>
      </c>
      <c r="W62" s="3">
        <v>528</v>
      </c>
      <c r="X62" s="3"/>
      <c r="Y62" s="3"/>
      <c r="Z62" s="3"/>
      <c r="AA62" s="3" t="s">
        <v>1514</v>
      </c>
      <c r="AB62">
        <v>8500</v>
      </c>
      <c r="AC62" s="2" t="s">
        <v>1515</v>
      </c>
    </row>
    <row r="63" spans="1:28">
      <c r="A63">
        <v>502</v>
      </c>
      <c r="B63">
        <f t="shared" si="9"/>
        <v>12</v>
      </c>
      <c r="C63">
        <v>3000</v>
      </c>
      <c r="D63">
        <f>VLOOKUP(B63,[1]怪物!$U$34:$W$47,3,0)</f>
        <v>15750</v>
      </c>
      <c r="E63">
        <f>VLOOKUP(A63,[1]怪物!$Z$3:$AB$13,3,0)</f>
        <v>50</v>
      </c>
      <c r="F63" s="1">
        <f t="shared" si="1"/>
        <v>8500</v>
      </c>
      <c r="H63" t="str">
        <f t="shared" si="13"/>
        <v>{cd,3000}</v>
      </c>
      <c r="I63" t="str">
        <f t="shared" si="10"/>
        <v>{hp,15750}</v>
      </c>
      <c r="J63" t="str">
        <f t="shared" si="11"/>
        <v>{atk,50}</v>
      </c>
      <c r="K63" t="str">
        <f t="shared" si="12"/>
        <v>{spd,8500}</v>
      </c>
      <c r="L63" t="str">
        <f t="shared" si="6"/>
        <v/>
      </c>
      <c r="O63" t="str">
        <f t="shared" si="7"/>
        <v>[{cd,3000},{hp,15750},{atk,50},{spd,8500}]</v>
      </c>
      <c r="W63" s="3">
        <v>529</v>
      </c>
      <c r="X63" s="3"/>
      <c r="Y63" s="3"/>
      <c r="Z63" s="3"/>
      <c r="AA63" s="3"/>
      <c r="AB63">
        <v>8500</v>
      </c>
    </row>
    <row r="64" spans="1:28">
      <c r="A64">
        <v>103</v>
      </c>
      <c r="B64">
        <f t="shared" si="9"/>
        <v>13</v>
      </c>
      <c r="C64">
        <v>3000</v>
      </c>
      <c r="D64">
        <f>VLOOKUP(B64,[1]怪物!$N$34:$Q$47,2,0)</f>
        <v>320</v>
      </c>
      <c r="E64">
        <f>VLOOKUP(A64,[1]怪物!$V$3:$Y$13,4,0)</f>
        <v>9</v>
      </c>
      <c r="F64" s="1">
        <f t="shared" si="1"/>
        <v>8500</v>
      </c>
      <c r="H64" t="str">
        <f t="shared" si="13"/>
        <v>{cd,3000}</v>
      </c>
      <c r="I64" t="str">
        <f t="shared" si="10"/>
        <v>{hp,320}</v>
      </c>
      <c r="J64" t="str">
        <f t="shared" si="11"/>
        <v>{atk,9}</v>
      </c>
      <c r="K64" t="str">
        <f t="shared" si="12"/>
        <v>{spd,8500}</v>
      </c>
      <c r="L64" t="str">
        <f t="shared" si="6"/>
        <v/>
      </c>
      <c r="O64" t="str">
        <f t="shared" si="7"/>
        <v>[{cd,3000},{hp,320},{atk,9},{spd,8500}]</v>
      </c>
      <c r="W64" s="3">
        <v>530</v>
      </c>
      <c r="X64" s="3"/>
      <c r="Y64" s="3"/>
      <c r="Z64" s="3"/>
      <c r="AA64" s="3"/>
      <c r="AB64">
        <v>8500</v>
      </c>
    </row>
    <row r="65" spans="1:15">
      <c r="A65">
        <v>104</v>
      </c>
      <c r="B65">
        <f t="shared" si="9"/>
        <v>13</v>
      </c>
      <c r="C65">
        <v>3000</v>
      </c>
      <c r="D65">
        <f>VLOOKUP(B65,[1]怪物!$N$34:$Q$47,3,0)</f>
        <v>310</v>
      </c>
      <c r="E65">
        <f>VLOOKUP(A65,[1]怪物!$V$3:$Y$13,4,0)</f>
        <v>14</v>
      </c>
      <c r="F65" s="1">
        <f t="shared" si="1"/>
        <v>8500</v>
      </c>
      <c r="H65" t="str">
        <f t="shared" si="13"/>
        <v>{cd,3000}</v>
      </c>
      <c r="I65" t="str">
        <f t="shared" si="10"/>
        <v>{hp,310}</v>
      </c>
      <c r="J65" t="str">
        <f t="shared" si="11"/>
        <v>{atk,14}</v>
      </c>
      <c r="K65" t="str">
        <f t="shared" si="12"/>
        <v>{spd,8500}</v>
      </c>
      <c r="L65" t="str">
        <f t="shared" si="6"/>
        <v/>
      </c>
      <c r="O65" t="str">
        <f t="shared" si="7"/>
        <v>[{cd,3000},{hp,310},{atk,14},{spd,8500}]</v>
      </c>
    </row>
    <row r="66" spans="1:15">
      <c r="A66">
        <v>100</v>
      </c>
      <c r="B66">
        <f t="shared" si="9"/>
        <v>13</v>
      </c>
      <c r="C66">
        <v>3000</v>
      </c>
      <c r="D66">
        <f>VLOOKUP(B66,[1]怪物!$N$34:$Q$47,4,0)</f>
        <v>300</v>
      </c>
      <c r="E66">
        <f>VLOOKUP(A66,[1]怪物!$V$3:$Y$13,4,0)</f>
        <v>6</v>
      </c>
      <c r="F66" s="1">
        <f t="shared" si="1"/>
        <v>8500</v>
      </c>
      <c r="H66" t="str">
        <f t="shared" si="13"/>
        <v>{cd,3000}</v>
      </c>
      <c r="I66" t="str">
        <f t="shared" si="10"/>
        <v>{hp,300}</v>
      </c>
      <c r="J66" t="str">
        <f t="shared" si="11"/>
        <v>{atk,6}</v>
      </c>
      <c r="K66" t="str">
        <f t="shared" si="12"/>
        <v>{spd,8500}</v>
      </c>
      <c r="L66" t="str">
        <f t="shared" si="6"/>
        <v/>
      </c>
      <c r="O66" t="str">
        <f t="shared" si="7"/>
        <v>[{cd,3000},{hp,300},{atk,6},{spd,8500}]</v>
      </c>
    </row>
    <row r="67" spans="1:15">
      <c r="A67">
        <v>504</v>
      </c>
      <c r="B67">
        <f t="shared" si="9"/>
        <v>13</v>
      </c>
      <c r="C67">
        <v>3000</v>
      </c>
      <c r="D67">
        <f>VLOOKUP(B67,[1]怪物!$U$34:$W$47,2,0)</f>
        <v>13500</v>
      </c>
      <c r="E67">
        <f>VLOOKUP(A67,[1]怪物!$Z$3:$AB$13,2,0)</f>
        <v>70</v>
      </c>
      <c r="F67" s="1">
        <f t="shared" si="1"/>
        <v>8500</v>
      </c>
      <c r="H67" t="str">
        <f t="shared" si="13"/>
        <v>{cd,3000}</v>
      </c>
      <c r="I67" t="str">
        <f t="shared" si="10"/>
        <v>{hp,13500}</v>
      </c>
      <c r="J67" t="str">
        <f t="shared" si="11"/>
        <v>{atk,70}</v>
      </c>
      <c r="K67" t="str">
        <f t="shared" si="12"/>
        <v>{spd,8500}</v>
      </c>
      <c r="L67" t="str">
        <f t="shared" si="6"/>
        <v/>
      </c>
      <c r="O67" t="str">
        <f t="shared" si="7"/>
        <v>[{cd,3000},{hp,13500},{atk,70},{spd,8500}]</v>
      </c>
    </row>
    <row r="68" spans="1:15">
      <c r="A68">
        <v>504</v>
      </c>
      <c r="B68">
        <f t="shared" si="9"/>
        <v>13</v>
      </c>
      <c r="C68">
        <v>3000</v>
      </c>
      <c r="D68">
        <f>VLOOKUP(B68,[1]怪物!$U$34:$W$47,3,0)</f>
        <v>18000</v>
      </c>
      <c r="E68">
        <f>VLOOKUP(A68,[1]怪物!$Z$3:$AB$13,3,0)</f>
        <v>140</v>
      </c>
      <c r="F68" s="1">
        <f t="shared" si="1"/>
        <v>8500</v>
      </c>
      <c r="H68" t="str">
        <f t="shared" si="13"/>
        <v>{cd,3000}</v>
      </c>
      <c r="I68" t="str">
        <f t="shared" si="10"/>
        <v>{hp,18000}</v>
      </c>
      <c r="J68" t="str">
        <f t="shared" si="11"/>
        <v>{atk,140}</v>
      </c>
      <c r="K68" t="str">
        <f t="shared" si="12"/>
        <v>{spd,8500}</v>
      </c>
      <c r="L68" t="str">
        <f t="shared" si="6"/>
        <v/>
      </c>
      <c r="O68" t="str">
        <f t="shared" si="7"/>
        <v>[{cd,3000},{hp,18000},{atk,140},{spd,8500}]</v>
      </c>
    </row>
    <row r="69" spans="1:15">
      <c r="A69">
        <v>103</v>
      </c>
      <c r="B69">
        <f t="shared" ref="B69:B132" si="14">B64+1</f>
        <v>14</v>
      </c>
      <c r="C69">
        <v>3000</v>
      </c>
      <c r="D69">
        <f>VLOOKUP(B69,[1]怪物!$N$34:$Q$63,2,0)</f>
        <v>360</v>
      </c>
      <c r="E69">
        <f>VLOOKUP(A69,[1]怪物!$V$3:$Y$18,4,0)</f>
        <v>9</v>
      </c>
      <c r="F69" s="1">
        <f t="shared" ref="F69:F132" si="15">VLOOKUP(A69,$W:$AB,6,0)</f>
        <v>8500</v>
      </c>
      <c r="H69" t="str">
        <f t="shared" ref="H69:H132" si="16">$C$2&amp;C$3&amp;$D$2&amp;C69&amp;$E$2</f>
        <v>{cd,3000}</v>
      </c>
      <c r="I69" t="str">
        <f t="shared" ref="I69:I132" si="17">$C$2&amp;D$3&amp;$D$2&amp;D69&amp;$E$2</f>
        <v>{hp,360}</v>
      </c>
      <c r="J69" t="str">
        <f t="shared" ref="J69:J132" si="18">$C$2&amp;E$3&amp;$D$2&amp;E69&amp;$E$2</f>
        <v>{atk,9}</v>
      </c>
      <c r="K69" t="str">
        <f t="shared" ref="K69:K132" si="19">$C$2&amp;F$3&amp;$D$2&amp;F69&amp;$E$2</f>
        <v>{spd,8500}</v>
      </c>
      <c r="L69" t="str">
        <f t="shared" ref="L69:L132" si="20">IF(VLOOKUP(A69,$W:$AC,7,0)=0,"",VLOOKUP(A69,$W:$AC,7,0))</f>
        <v/>
      </c>
      <c r="O69" t="str">
        <f t="shared" ref="O69:O132" si="21">"["&amp;_xlfn.TEXTJOIN(",",1,H69:M69)&amp;"]"</f>
        <v>[{cd,3000},{hp,360},{atk,9},{spd,8500}]</v>
      </c>
    </row>
    <row r="70" spans="1:15">
      <c r="A70">
        <v>104</v>
      </c>
      <c r="B70">
        <f t="shared" si="14"/>
        <v>14</v>
      </c>
      <c r="C70">
        <v>3000</v>
      </c>
      <c r="D70">
        <f>VLOOKUP(B70,[1]怪物!$N$34:$Q$63,3,0)</f>
        <v>432</v>
      </c>
      <c r="E70">
        <f>VLOOKUP(A70,[1]怪物!$V$3:$Y$18,4,0)</f>
        <v>14</v>
      </c>
      <c r="F70" s="1">
        <f t="shared" si="15"/>
        <v>8500</v>
      </c>
      <c r="H70" t="str">
        <f t="shared" si="16"/>
        <v>{cd,3000}</v>
      </c>
      <c r="I70" t="str">
        <f t="shared" si="17"/>
        <v>{hp,432}</v>
      </c>
      <c r="J70" t="str">
        <f t="shared" si="18"/>
        <v>{atk,14}</v>
      </c>
      <c r="K70" t="str">
        <f t="shared" si="19"/>
        <v>{spd,8500}</v>
      </c>
      <c r="L70" t="str">
        <f t="shared" si="20"/>
        <v/>
      </c>
      <c r="O70" t="str">
        <f t="shared" si="21"/>
        <v>[{cd,3000},{hp,432},{atk,14},{spd,8500}]</v>
      </c>
    </row>
    <row r="71" spans="1:15">
      <c r="A71">
        <v>106</v>
      </c>
      <c r="B71">
        <f t="shared" si="14"/>
        <v>14</v>
      </c>
      <c r="C71">
        <v>3000</v>
      </c>
      <c r="D71">
        <f>VLOOKUP(B71,[1]怪物!$N$34:$Q$63,4,0)</f>
        <v>540</v>
      </c>
      <c r="E71">
        <f>VLOOKUP(A71,[1]怪物!$V$3:$Y$18,4,0)</f>
        <v>8</v>
      </c>
      <c r="F71" s="1">
        <f t="shared" si="15"/>
        <v>8500</v>
      </c>
      <c r="H71" t="str">
        <f t="shared" si="16"/>
        <v>{cd,3000}</v>
      </c>
      <c r="I71" t="str">
        <f t="shared" si="17"/>
        <v>{hp,540}</v>
      </c>
      <c r="J71" t="str">
        <f t="shared" si="18"/>
        <v>{atk,8}</v>
      </c>
      <c r="K71" t="str">
        <f t="shared" si="19"/>
        <v>{spd,8500}</v>
      </c>
      <c r="L71" t="str">
        <f t="shared" si="20"/>
        <v/>
      </c>
      <c r="O71" t="str">
        <f t="shared" si="21"/>
        <v>[{cd,3000},{hp,540},{atk,8},{spd,8500}]</v>
      </c>
    </row>
    <row r="72" spans="1:15">
      <c r="A72">
        <v>503</v>
      </c>
      <c r="B72">
        <f t="shared" si="14"/>
        <v>14</v>
      </c>
      <c r="C72">
        <v>3000</v>
      </c>
      <c r="D72">
        <f>VLOOKUP(B72,[1]怪物!$U$34:$W$63,2,0)</f>
        <v>15188</v>
      </c>
      <c r="E72">
        <f>VLOOKUP(A72,[1]怪物!$Z$3:$AB$18,2,0)</f>
        <v>45</v>
      </c>
      <c r="F72" s="1">
        <f t="shared" si="15"/>
        <v>8500</v>
      </c>
      <c r="H72" t="str">
        <f t="shared" si="16"/>
        <v>{cd,3000}</v>
      </c>
      <c r="I72" t="str">
        <f t="shared" si="17"/>
        <v>{hp,15188}</v>
      </c>
      <c r="J72" t="str">
        <f t="shared" si="18"/>
        <v>{atk,45}</v>
      </c>
      <c r="K72" t="str">
        <f t="shared" si="19"/>
        <v>{spd,8500}</v>
      </c>
      <c r="L72" t="str">
        <f t="shared" si="20"/>
        <v/>
      </c>
      <c r="O72" t="str">
        <f t="shared" si="21"/>
        <v>[{cd,3000},{hp,15188},{atk,45},{spd,8500}]</v>
      </c>
    </row>
    <row r="73" spans="1:15">
      <c r="A73">
        <v>503</v>
      </c>
      <c r="B73">
        <f t="shared" si="14"/>
        <v>14</v>
      </c>
      <c r="C73">
        <v>3000</v>
      </c>
      <c r="D73">
        <f>VLOOKUP(B73,[1]怪物!$U$34:$W$63,3,0)</f>
        <v>20250</v>
      </c>
      <c r="E73">
        <f>VLOOKUP(A73,[1]怪物!$Z$3:$AB$18,3,0)</f>
        <v>90</v>
      </c>
      <c r="F73" s="1">
        <f t="shared" si="15"/>
        <v>8500</v>
      </c>
      <c r="H73" t="str">
        <f t="shared" si="16"/>
        <v>{cd,3000}</v>
      </c>
      <c r="I73" t="str">
        <f t="shared" si="17"/>
        <v>{hp,20250}</v>
      </c>
      <c r="J73" t="str">
        <f t="shared" si="18"/>
        <v>{atk,90}</v>
      </c>
      <c r="K73" t="str">
        <f t="shared" si="19"/>
        <v>{spd,8500}</v>
      </c>
      <c r="L73" t="str">
        <f t="shared" si="20"/>
        <v/>
      </c>
      <c r="O73" t="str">
        <f t="shared" si="21"/>
        <v>[{cd,3000},{hp,20250},{atk,90},{spd,8500}]</v>
      </c>
    </row>
    <row r="74" spans="1:15">
      <c r="A74">
        <v>108</v>
      </c>
      <c r="B74">
        <f t="shared" si="14"/>
        <v>15</v>
      </c>
      <c r="C74">
        <v>3000</v>
      </c>
      <c r="D74">
        <f>VLOOKUP(B74,[1]怪物!$N$34:$Q$63,2,0)</f>
        <v>400</v>
      </c>
      <c r="E74">
        <f>VLOOKUP(A74,[1]怪物!$V$3:$Y$18,4,0)</f>
        <v>15</v>
      </c>
      <c r="F74" s="1">
        <f t="shared" si="15"/>
        <v>8500</v>
      </c>
      <c r="H74" t="str">
        <f t="shared" si="16"/>
        <v>{cd,3000}</v>
      </c>
      <c r="I74" t="str">
        <f t="shared" si="17"/>
        <v>{hp,400}</v>
      </c>
      <c r="J74" t="str">
        <f t="shared" si="18"/>
        <v>{atk,15}</v>
      </c>
      <c r="K74" t="str">
        <f t="shared" si="19"/>
        <v>{spd,8500}</v>
      </c>
      <c r="L74" t="str">
        <f t="shared" si="20"/>
        <v/>
      </c>
      <c r="O74" t="str">
        <f t="shared" si="21"/>
        <v>[{cd,3000},{hp,400},{atk,15},{spd,8500}]</v>
      </c>
    </row>
    <row r="75" spans="1:15">
      <c r="A75">
        <v>110</v>
      </c>
      <c r="B75">
        <f t="shared" si="14"/>
        <v>15</v>
      </c>
      <c r="C75">
        <v>3000</v>
      </c>
      <c r="D75">
        <f>VLOOKUP(B75,[1]怪物!$N$34:$Q$63,3,0)</f>
        <v>480</v>
      </c>
      <c r="E75">
        <f>VLOOKUP(A75,[1]怪物!$V$3:$Y$18,4,0)</f>
        <v>15</v>
      </c>
      <c r="F75" s="1">
        <f t="shared" si="15"/>
        <v>8500</v>
      </c>
      <c r="H75" t="str">
        <f t="shared" si="16"/>
        <v>{cd,3000}</v>
      </c>
      <c r="I75" t="str">
        <f t="shared" si="17"/>
        <v>{hp,480}</v>
      </c>
      <c r="J75" t="str">
        <f t="shared" si="18"/>
        <v>{atk,15}</v>
      </c>
      <c r="K75" t="str">
        <f t="shared" si="19"/>
        <v>{spd,8500}</v>
      </c>
      <c r="L75" t="str">
        <f t="shared" si="20"/>
        <v/>
      </c>
      <c r="O75" t="str">
        <f t="shared" si="21"/>
        <v>[{cd,3000},{hp,480},{atk,15},{spd,8500}]</v>
      </c>
    </row>
    <row r="76" spans="1:15">
      <c r="A76">
        <v>114</v>
      </c>
      <c r="B76">
        <f t="shared" si="14"/>
        <v>15</v>
      </c>
      <c r="C76">
        <v>3000</v>
      </c>
      <c r="D76">
        <f>VLOOKUP(B76,[1]怪物!$N$34:$Q$63,4,0)</f>
        <v>600</v>
      </c>
      <c r="E76">
        <f>VLOOKUP(A76,[1]怪物!$V$3:$Y$18,4,0)</f>
        <v>8</v>
      </c>
      <c r="F76" s="1">
        <f t="shared" si="15"/>
        <v>8500</v>
      </c>
      <c r="H76" t="str">
        <f t="shared" si="16"/>
        <v>{cd,3000}</v>
      </c>
      <c r="I76" t="str">
        <f t="shared" si="17"/>
        <v>{hp,600}</v>
      </c>
      <c r="J76" t="str">
        <f t="shared" si="18"/>
        <v>{atk,8}</v>
      </c>
      <c r="K76" t="str">
        <f t="shared" si="19"/>
        <v>{spd,8500}</v>
      </c>
      <c r="L76" t="str">
        <f t="shared" si="20"/>
        <v/>
      </c>
      <c r="O76" t="str">
        <f t="shared" si="21"/>
        <v>[{cd,3000},{hp,600},{atk,8},{spd,8500}]</v>
      </c>
    </row>
    <row r="77" spans="1:15">
      <c r="A77">
        <v>508</v>
      </c>
      <c r="B77">
        <f t="shared" si="14"/>
        <v>15</v>
      </c>
      <c r="C77">
        <v>3000</v>
      </c>
      <c r="D77">
        <f>VLOOKUP(B77,[1]怪物!$U$34:$W$63,2,0)</f>
        <v>16875</v>
      </c>
      <c r="E77">
        <f>VLOOKUP(A77,[1]怪物!$Z$3:$AB$18,2,0)</f>
        <v>75</v>
      </c>
      <c r="F77" s="1">
        <f t="shared" si="15"/>
        <v>8500</v>
      </c>
      <c r="H77" t="str">
        <f t="shared" si="16"/>
        <v>{cd,3000}</v>
      </c>
      <c r="I77" t="str">
        <f t="shared" si="17"/>
        <v>{hp,16875}</v>
      </c>
      <c r="J77" t="str">
        <f t="shared" si="18"/>
        <v>{atk,75}</v>
      </c>
      <c r="K77" t="str">
        <f t="shared" si="19"/>
        <v>{spd,8500}</v>
      </c>
      <c r="L77" t="str">
        <f t="shared" si="20"/>
        <v/>
      </c>
      <c r="O77" t="str">
        <f t="shared" si="21"/>
        <v>[{cd,3000},{hp,16875},{atk,75},{spd,8500}]</v>
      </c>
    </row>
    <row r="78" spans="1:15">
      <c r="A78">
        <v>508</v>
      </c>
      <c r="B78">
        <f t="shared" si="14"/>
        <v>15</v>
      </c>
      <c r="C78">
        <v>3000</v>
      </c>
      <c r="D78">
        <f>VLOOKUP(B78,[1]怪物!$U$34:$W$63,3,0)</f>
        <v>22500</v>
      </c>
      <c r="E78">
        <f>VLOOKUP(A78,[1]怪物!$Z$3:$AB$18,3,0)</f>
        <v>150</v>
      </c>
      <c r="F78" s="1">
        <f t="shared" si="15"/>
        <v>8500</v>
      </c>
      <c r="H78" t="str">
        <f t="shared" si="16"/>
        <v>{cd,3000}</v>
      </c>
      <c r="I78" t="str">
        <f t="shared" si="17"/>
        <v>{hp,22500}</v>
      </c>
      <c r="J78" t="str">
        <f t="shared" si="18"/>
        <v>{atk,150}</v>
      </c>
      <c r="K78" t="str">
        <f t="shared" si="19"/>
        <v>{spd,8500}</v>
      </c>
      <c r="L78" t="str">
        <f t="shared" si="20"/>
        <v/>
      </c>
      <c r="O78" t="str">
        <f t="shared" si="21"/>
        <v>[{cd,3000},{hp,22500},{atk,150},{spd,8500}]</v>
      </c>
    </row>
    <row r="79" spans="1:15">
      <c r="A79">
        <v>110</v>
      </c>
      <c r="B79">
        <f t="shared" si="14"/>
        <v>16</v>
      </c>
      <c r="C79">
        <v>3000</v>
      </c>
      <c r="D79">
        <f>VLOOKUP(B79,[1]怪物!$N$34:$Q$63,2,0)</f>
        <v>460</v>
      </c>
      <c r="E79">
        <f>VLOOKUP(A79,[1]怪物!$V$3:$Y$18,4,0)</f>
        <v>15</v>
      </c>
      <c r="F79" s="1">
        <f t="shared" si="15"/>
        <v>8500</v>
      </c>
      <c r="H79" t="str">
        <f t="shared" si="16"/>
        <v>{cd,3000}</v>
      </c>
      <c r="I79" t="str">
        <f t="shared" si="17"/>
        <v>{hp,460}</v>
      </c>
      <c r="J79" t="str">
        <f t="shared" si="18"/>
        <v>{atk,15}</v>
      </c>
      <c r="K79" t="str">
        <f t="shared" si="19"/>
        <v>{spd,8500}</v>
      </c>
      <c r="L79" t="str">
        <f t="shared" si="20"/>
        <v/>
      </c>
      <c r="O79" t="str">
        <f t="shared" si="21"/>
        <v>[{cd,3000},{hp,460},{atk,15},{spd,8500}]</v>
      </c>
    </row>
    <row r="80" spans="1:15">
      <c r="A80">
        <v>114</v>
      </c>
      <c r="B80">
        <f t="shared" si="14"/>
        <v>16</v>
      </c>
      <c r="C80">
        <v>3000</v>
      </c>
      <c r="D80">
        <f>VLOOKUP(B80,[1]怪物!$N$34:$Q$63,3,0)</f>
        <v>552</v>
      </c>
      <c r="E80">
        <f>VLOOKUP(A80,[1]怪物!$V$3:$Y$18,4,0)</f>
        <v>8</v>
      </c>
      <c r="F80" s="1">
        <f t="shared" si="15"/>
        <v>8500</v>
      </c>
      <c r="H80" t="str">
        <f t="shared" si="16"/>
        <v>{cd,3000}</v>
      </c>
      <c r="I80" t="str">
        <f t="shared" si="17"/>
        <v>{hp,552}</v>
      </c>
      <c r="J80" t="str">
        <f t="shared" si="18"/>
        <v>{atk,8}</v>
      </c>
      <c r="K80" t="str">
        <f t="shared" si="19"/>
        <v>{spd,8500}</v>
      </c>
      <c r="L80" t="str">
        <f t="shared" si="20"/>
        <v/>
      </c>
      <c r="O80" t="str">
        <f t="shared" si="21"/>
        <v>[{cd,3000},{hp,552},{atk,8},{spd,8500}]</v>
      </c>
    </row>
    <row r="81" spans="1:15">
      <c r="A81">
        <v>109</v>
      </c>
      <c r="B81">
        <f t="shared" si="14"/>
        <v>16</v>
      </c>
      <c r="C81">
        <v>3000</v>
      </c>
      <c r="D81">
        <f>VLOOKUP(B81,[1]怪物!$N$34:$Q$63,4,0)</f>
        <v>690</v>
      </c>
      <c r="E81">
        <f>VLOOKUP(A81,[1]怪物!$V$3:$Y$18,4,0)</f>
        <v>6</v>
      </c>
      <c r="F81" s="1">
        <f t="shared" si="15"/>
        <v>8500</v>
      </c>
      <c r="H81" t="str">
        <f t="shared" si="16"/>
        <v>{cd,3000}</v>
      </c>
      <c r="I81" t="str">
        <f t="shared" si="17"/>
        <v>{hp,690}</v>
      </c>
      <c r="J81" t="str">
        <f t="shared" si="18"/>
        <v>{atk,6}</v>
      </c>
      <c r="K81" t="str">
        <f t="shared" si="19"/>
        <v>{spd,8500}</v>
      </c>
      <c r="L81" t="str">
        <f t="shared" si="20"/>
        <v/>
      </c>
      <c r="O81" t="str">
        <f t="shared" si="21"/>
        <v>[{cd,3000},{hp,690},{atk,6},{spd,8500}]</v>
      </c>
    </row>
    <row r="82" spans="1:15">
      <c r="A82">
        <v>514</v>
      </c>
      <c r="B82">
        <f t="shared" si="14"/>
        <v>16</v>
      </c>
      <c r="C82">
        <v>3000</v>
      </c>
      <c r="D82">
        <f>VLOOKUP(B82,[1]怪物!$U$34:$W$63,2,0)</f>
        <v>19406</v>
      </c>
      <c r="E82">
        <f>VLOOKUP(A82,[1]怪物!$Z$3:$AB$18,2,0)</f>
        <v>40</v>
      </c>
      <c r="F82" s="1">
        <f t="shared" si="15"/>
        <v>8500</v>
      </c>
      <c r="H82" t="str">
        <f t="shared" si="16"/>
        <v>{cd,3000}</v>
      </c>
      <c r="I82" t="str">
        <f t="shared" si="17"/>
        <v>{hp,19406}</v>
      </c>
      <c r="J82" t="str">
        <f t="shared" si="18"/>
        <v>{atk,40}</v>
      </c>
      <c r="K82" t="str">
        <f t="shared" si="19"/>
        <v>{spd,8500}</v>
      </c>
      <c r="L82" t="str">
        <f t="shared" si="20"/>
        <v/>
      </c>
      <c r="O82" t="str">
        <f t="shared" si="21"/>
        <v>[{cd,3000},{hp,19406},{atk,40},{spd,8500}]</v>
      </c>
    </row>
    <row r="83" spans="1:15">
      <c r="A83">
        <v>514</v>
      </c>
      <c r="B83">
        <f t="shared" si="14"/>
        <v>16</v>
      </c>
      <c r="C83">
        <v>3000</v>
      </c>
      <c r="D83">
        <f>VLOOKUP(B83,[1]怪物!$U$34:$W$63,3,0)</f>
        <v>25875</v>
      </c>
      <c r="E83">
        <f>VLOOKUP(A83,[1]怪物!$Z$3:$AB$18,3,0)</f>
        <v>80</v>
      </c>
      <c r="F83" s="1">
        <f t="shared" si="15"/>
        <v>8500</v>
      </c>
      <c r="H83" t="str">
        <f t="shared" si="16"/>
        <v>{cd,3000}</v>
      </c>
      <c r="I83" t="str">
        <f t="shared" si="17"/>
        <v>{hp,25875}</v>
      </c>
      <c r="J83" t="str">
        <f t="shared" si="18"/>
        <v>{atk,80}</v>
      </c>
      <c r="K83" t="str">
        <f t="shared" si="19"/>
        <v>{spd,8500}</v>
      </c>
      <c r="L83" t="str">
        <f t="shared" si="20"/>
        <v/>
      </c>
      <c r="O83" t="str">
        <f t="shared" si="21"/>
        <v>[{cd,3000},{hp,25875},{atk,80},{spd,8500}]</v>
      </c>
    </row>
    <row r="84" spans="1:15">
      <c r="A84">
        <v>100</v>
      </c>
      <c r="B84">
        <f t="shared" si="14"/>
        <v>17</v>
      </c>
      <c r="C84">
        <v>3000</v>
      </c>
      <c r="D84">
        <f>VLOOKUP(B84,[1]怪物!$N$34:$Q$63,2,0)</f>
        <v>520</v>
      </c>
      <c r="E84">
        <f>VLOOKUP(A84,[1]怪物!$V$3:$Y$18,4,0)</f>
        <v>6</v>
      </c>
      <c r="F84" s="1">
        <f t="shared" si="15"/>
        <v>8500</v>
      </c>
      <c r="H84" t="str">
        <f t="shared" si="16"/>
        <v>{cd,3000}</v>
      </c>
      <c r="I84" t="str">
        <f t="shared" si="17"/>
        <v>{hp,520}</v>
      </c>
      <c r="J84" t="str">
        <f t="shared" si="18"/>
        <v>{atk,6}</v>
      </c>
      <c r="K84" t="str">
        <f t="shared" si="19"/>
        <v>{spd,8500}</v>
      </c>
      <c r="L84" t="str">
        <f t="shared" si="20"/>
        <v/>
      </c>
      <c r="O84" t="str">
        <f t="shared" si="21"/>
        <v>[{cd,3000},{hp,520},{atk,6},{spd,8500}]</v>
      </c>
    </row>
    <row r="85" spans="1:15">
      <c r="A85">
        <v>102</v>
      </c>
      <c r="B85">
        <f t="shared" si="14"/>
        <v>17</v>
      </c>
      <c r="C85">
        <v>3000</v>
      </c>
      <c r="D85">
        <f>VLOOKUP(B85,[1]怪物!$N$34:$Q$63,3,0)</f>
        <v>624</v>
      </c>
      <c r="E85">
        <f>VLOOKUP(A85,[1]怪物!$V$3:$Y$18,4,0)</f>
        <v>5</v>
      </c>
      <c r="F85" s="1">
        <f t="shared" si="15"/>
        <v>8500</v>
      </c>
      <c r="H85" t="str">
        <f t="shared" si="16"/>
        <v>{cd,3000}</v>
      </c>
      <c r="I85" t="str">
        <f t="shared" si="17"/>
        <v>{hp,624}</v>
      </c>
      <c r="J85" t="str">
        <f t="shared" si="18"/>
        <v>{atk,5}</v>
      </c>
      <c r="K85" t="str">
        <f t="shared" si="19"/>
        <v>{spd,8500}</v>
      </c>
      <c r="L85" t="str">
        <f t="shared" si="20"/>
        <v/>
      </c>
      <c r="O85" t="str">
        <f t="shared" si="21"/>
        <v>[{cd,3000},{hp,624},{atk,5},{spd,8500}]</v>
      </c>
    </row>
    <row r="86" spans="1:15">
      <c r="A86">
        <v>105</v>
      </c>
      <c r="B86">
        <f t="shared" si="14"/>
        <v>17</v>
      </c>
      <c r="C86">
        <v>3000</v>
      </c>
      <c r="D86">
        <f>VLOOKUP(B86,[1]怪物!$N$34:$Q$63,4,0)</f>
        <v>780</v>
      </c>
      <c r="E86">
        <f>VLOOKUP(A86,[1]怪物!$V$3:$Y$18,4,0)</f>
        <v>9</v>
      </c>
      <c r="F86" s="1">
        <f t="shared" si="15"/>
        <v>8500</v>
      </c>
      <c r="H86" t="str">
        <f t="shared" si="16"/>
        <v>{cd,3000}</v>
      </c>
      <c r="I86" t="str">
        <f t="shared" si="17"/>
        <v>{hp,780}</v>
      </c>
      <c r="J86" t="str">
        <f t="shared" si="18"/>
        <v>{atk,9}</v>
      </c>
      <c r="K86" t="str">
        <f t="shared" si="19"/>
        <v>{spd,8500}</v>
      </c>
      <c r="L86" t="str">
        <f t="shared" si="20"/>
        <v/>
      </c>
      <c r="O86" t="str">
        <f t="shared" si="21"/>
        <v>[{cd,3000},{hp,780},{atk,9},{spd,8500}]</v>
      </c>
    </row>
    <row r="87" spans="1:15">
      <c r="A87">
        <v>502</v>
      </c>
      <c r="B87">
        <f t="shared" si="14"/>
        <v>17</v>
      </c>
      <c r="C87">
        <v>3000</v>
      </c>
      <c r="D87">
        <f>VLOOKUP(B87,[1]怪物!$U$34:$W$63,2,0)</f>
        <v>21938</v>
      </c>
      <c r="E87">
        <f>VLOOKUP(A87,[1]怪物!$Z$3:$AB$18,2,0)</f>
        <v>25</v>
      </c>
      <c r="F87" s="1">
        <f t="shared" si="15"/>
        <v>8500</v>
      </c>
      <c r="H87" t="str">
        <f t="shared" si="16"/>
        <v>{cd,3000}</v>
      </c>
      <c r="I87" t="str">
        <f t="shared" si="17"/>
        <v>{hp,21938}</v>
      </c>
      <c r="J87" t="str">
        <f t="shared" si="18"/>
        <v>{atk,25}</v>
      </c>
      <c r="K87" t="str">
        <f t="shared" si="19"/>
        <v>{spd,8500}</v>
      </c>
      <c r="L87" t="str">
        <f t="shared" si="20"/>
        <v/>
      </c>
      <c r="O87" t="str">
        <f t="shared" si="21"/>
        <v>[{cd,3000},{hp,21938},{atk,25},{spd,8500}]</v>
      </c>
    </row>
    <row r="88" spans="1:15">
      <c r="A88">
        <v>502</v>
      </c>
      <c r="B88">
        <f t="shared" si="14"/>
        <v>17</v>
      </c>
      <c r="C88">
        <v>3000</v>
      </c>
      <c r="D88">
        <f>VLOOKUP(B88,[1]怪物!$U$34:$W$63,3,0)</f>
        <v>29250</v>
      </c>
      <c r="E88">
        <f>VLOOKUP(A88,[1]怪物!$Z$3:$AB$18,3,0)</f>
        <v>50</v>
      </c>
      <c r="F88" s="1">
        <f t="shared" si="15"/>
        <v>8500</v>
      </c>
      <c r="H88" t="str">
        <f t="shared" si="16"/>
        <v>{cd,3000}</v>
      </c>
      <c r="I88" t="str">
        <f t="shared" si="17"/>
        <v>{hp,29250}</v>
      </c>
      <c r="J88" t="str">
        <f t="shared" si="18"/>
        <v>{atk,50}</v>
      </c>
      <c r="K88" t="str">
        <f t="shared" si="19"/>
        <v>{spd,8500}</v>
      </c>
      <c r="L88" t="str">
        <f t="shared" si="20"/>
        <v/>
      </c>
      <c r="O88" t="str">
        <f t="shared" si="21"/>
        <v>[{cd,3000},{hp,29250},{atk,50},{spd,8500}]</v>
      </c>
    </row>
    <row r="89" spans="1:15">
      <c r="A89">
        <v>100</v>
      </c>
      <c r="B89">
        <f t="shared" si="14"/>
        <v>18</v>
      </c>
      <c r="C89">
        <v>3000</v>
      </c>
      <c r="D89">
        <f>VLOOKUP(B89,[1]怪物!$N$34:$Q$63,2,0)</f>
        <v>580</v>
      </c>
      <c r="E89">
        <f>VLOOKUP(A89,[1]怪物!$V$3:$Y$18,4,0)</f>
        <v>6</v>
      </c>
      <c r="F89" s="1">
        <f t="shared" si="15"/>
        <v>8500</v>
      </c>
      <c r="H89" t="str">
        <f t="shared" si="16"/>
        <v>{cd,3000}</v>
      </c>
      <c r="I89" t="str">
        <f t="shared" si="17"/>
        <v>{hp,580}</v>
      </c>
      <c r="J89" t="str">
        <f t="shared" si="18"/>
        <v>{atk,6}</v>
      </c>
      <c r="K89" t="str">
        <f t="shared" si="19"/>
        <v>{spd,8500}</v>
      </c>
      <c r="L89" t="str">
        <f t="shared" si="20"/>
        <v/>
      </c>
      <c r="O89" t="str">
        <f t="shared" si="21"/>
        <v>[{cd,3000},{hp,580},{atk,6},{spd,8500}]</v>
      </c>
    </row>
    <row r="90" spans="1:15">
      <c r="A90">
        <v>105</v>
      </c>
      <c r="B90">
        <f t="shared" si="14"/>
        <v>18</v>
      </c>
      <c r="C90">
        <v>3000</v>
      </c>
      <c r="D90">
        <f>VLOOKUP(B90,[1]怪物!$N$34:$Q$63,3,0)</f>
        <v>696</v>
      </c>
      <c r="E90">
        <f>VLOOKUP(A90,[1]怪物!$V$3:$Y$18,4,0)</f>
        <v>9</v>
      </c>
      <c r="F90" s="1">
        <f t="shared" si="15"/>
        <v>8500</v>
      </c>
      <c r="H90" t="str">
        <f t="shared" si="16"/>
        <v>{cd,3000}</v>
      </c>
      <c r="I90" t="str">
        <f t="shared" si="17"/>
        <v>{hp,696}</v>
      </c>
      <c r="J90" t="str">
        <f t="shared" si="18"/>
        <v>{atk,9}</v>
      </c>
      <c r="K90" t="str">
        <f t="shared" si="19"/>
        <v>{spd,8500}</v>
      </c>
      <c r="L90" t="str">
        <f t="shared" si="20"/>
        <v/>
      </c>
      <c r="O90" t="str">
        <f t="shared" si="21"/>
        <v>[{cd,3000},{hp,696},{atk,9},{spd,8500}]</v>
      </c>
    </row>
    <row r="91" spans="1:15">
      <c r="A91">
        <v>102</v>
      </c>
      <c r="B91">
        <f t="shared" si="14"/>
        <v>18</v>
      </c>
      <c r="C91">
        <v>3000</v>
      </c>
      <c r="D91">
        <f>VLOOKUP(B91,[1]怪物!$N$34:$Q$63,4,0)</f>
        <v>870</v>
      </c>
      <c r="E91">
        <f>VLOOKUP(A91,[1]怪物!$V$3:$Y$18,4,0)</f>
        <v>5</v>
      </c>
      <c r="F91" s="1">
        <f t="shared" si="15"/>
        <v>8500</v>
      </c>
      <c r="H91" t="str">
        <f t="shared" si="16"/>
        <v>{cd,3000}</v>
      </c>
      <c r="I91" t="str">
        <f t="shared" si="17"/>
        <v>{hp,870}</v>
      </c>
      <c r="J91" t="str">
        <f t="shared" si="18"/>
        <v>{atk,5}</v>
      </c>
      <c r="K91" t="str">
        <f t="shared" si="19"/>
        <v>{spd,8500}</v>
      </c>
      <c r="L91" t="str">
        <f t="shared" si="20"/>
        <v/>
      </c>
      <c r="O91" t="str">
        <f t="shared" si="21"/>
        <v>[{cd,3000},{hp,870},{atk,5},{spd,8500}]</v>
      </c>
    </row>
    <row r="92" spans="1:15">
      <c r="A92">
        <v>502</v>
      </c>
      <c r="B92">
        <f t="shared" si="14"/>
        <v>18</v>
      </c>
      <c r="C92">
        <v>3000</v>
      </c>
      <c r="D92">
        <f>VLOOKUP(B92,[1]怪物!$U$34:$W$63,2,0)</f>
        <v>24469</v>
      </c>
      <c r="E92">
        <f>VLOOKUP(A92,[1]怪物!$Z$3:$AB$18,2,0)</f>
        <v>25</v>
      </c>
      <c r="F92" s="1">
        <f t="shared" si="15"/>
        <v>8500</v>
      </c>
      <c r="H92" t="str">
        <f t="shared" si="16"/>
        <v>{cd,3000}</v>
      </c>
      <c r="I92" t="str">
        <f t="shared" si="17"/>
        <v>{hp,24469}</v>
      </c>
      <c r="J92" t="str">
        <f t="shared" si="18"/>
        <v>{atk,25}</v>
      </c>
      <c r="K92" t="str">
        <f t="shared" si="19"/>
        <v>{spd,8500}</v>
      </c>
      <c r="L92" t="str">
        <f t="shared" si="20"/>
        <v/>
      </c>
      <c r="O92" t="str">
        <f t="shared" si="21"/>
        <v>[{cd,3000},{hp,24469},{atk,25},{spd,8500}]</v>
      </c>
    </row>
    <row r="93" spans="1:15">
      <c r="A93">
        <v>502</v>
      </c>
      <c r="B93">
        <f t="shared" si="14"/>
        <v>18</v>
      </c>
      <c r="C93">
        <v>3000</v>
      </c>
      <c r="D93">
        <f>VLOOKUP(B93,[1]怪物!$U$34:$W$63,3,0)</f>
        <v>32625</v>
      </c>
      <c r="E93">
        <f>VLOOKUP(A93,[1]怪物!$Z$3:$AB$18,3,0)</f>
        <v>50</v>
      </c>
      <c r="F93" s="1">
        <f t="shared" si="15"/>
        <v>8500</v>
      </c>
      <c r="H93" t="str">
        <f t="shared" si="16"/>
        <v>{cd,3000}</v>
      </c>
      <c r="I93" t="str">
        <f t="shared" si="17"/>
        <v>{hp,32625}</v>
      </c>
      <c r="J93" t="str">
        <f t="shared" si="18"/>
        <v>{atk,50}</v>
      </c>
      <c r="K93" t="str">
        <f t="shared" si="19"/>
        <v>{spd,8500}</v>
      </c>
      <c r="L93" t="str">
        <f t="shared" si="20"/>
        <v/>
      </c>
      <c r="O93" t="str">
        <f t="shared" si="21"/>
        <v>[{cd,3000},{hp,32625},{atk,50},{spd,8500}]</v>
      </c>
    </row>
    <row r="94" spans="1:15">
      <c r="A94">
        <v>104</v>
      </c>
      <c r="B94">
        <f t="shared" si="14"/>
        <v>19</v>
      </c>
      <c r="C94">
        <v>3000</v>
      </c>
      <c r="D94">
        <f>VLOOKUP(B94,[1]怪物!$N$34:$Q$63,2,0)</f>
        <v>640</v>
      </c>
      <c r="E94">
        <f>VLOOKUP(A94,[1]怪物!$V$3:$Y$18,4,0)</f>
        <v>14</v>
      </c>
      <c r="F94" s="1">
        <f t="shared" si="15"/>
        <v>8500</v>
      </c>
      <c r="H94" t="str">
        <f t="shared" si="16"/>
        <v>{cd,3000}</v>
      </c>
      <c r="I94" t="str">
        <f t="shared" si="17"/>
        <v>{hp,640}</v>
      </c>
      <c r="J94" t="str">
        <f t="shared" si="18"/>
        <v>{atk,14}</v>
      </c>
      <c r="K94" t="str">
        <f t="shared" si="19"/>
        <v>{spd,8500}</v>
      </c>
      <c r="L94" t="str">
        <f t="shared" si="20"/>
        <v/>
      </c>
      <c r="O94" t="str">
        <f t="shared" si="21"/>
        <v>[{cd,3000},{hp,640},{atk,14},{spd,8500}]</v>
      </c>
    </row>
    <row r="95" spans="1:15">
      <c r="A95">
        <v>106</v>
      </c>
      <c r="B95">
        <f t="shared" si="14"/>
        <v>19</v>
      </c>
      <c r="C95">
        <v>3000</v>
      </c>
      <c r="D95">
        <f>VLOOKUP(B95,[1]怪物!$N$34:$Q$63,3,0)</f>
        <v>768</v>
      </c>
      <c r="E95">
        <f>VLOOKUP(A95,[1]怪物!$V$3:$Y$18,4,0)</f>
        <v>8</v>
      </c>
      <c r="F95" s="1">
        <f t="shared" si="15"/>
        <v>8500</v>
      </c>
      <c r="H95" t="str">
        <f t="shared" si="16"/>
        <v>{cd,3000}</v>
      </c>
      <c r="I95" t="str">
        <f t="shared" si="17"/>
        <v>{hp,768}</v>
      </c>
      <c r="J95" t="str">
        <f t="shared" si="18"/>
        <v>{atk,8}</v>
      </c>
      <c r="K95" t="str">
        <f t="shared" si="19"/>
        <v>{spd,8500}</v>
      </c>
      <c r="L95" t="str">
        <f t="shared" si="20"/>
        <v/>
      </c>
      <c r="O95" t="str">
        <f t="shared" si="21"/>
        <v>[{cd,3000},{hp,768},{atk,8},{spd,8500}]</v>
      </c>
    </row>
    <row r="96" spans="1:15">
      <c r="A96">
        <v>107</v>
      </c>
      <c r="B96">
        <f t="shared" si="14"/>
        <v>19</v>
      </c>
      <c r="C96">
        <v>3000</v>
      </c>
      <c r="D96">
        <f>VLOOKUP(B96,[1]怪物!$N$34:$Q$63,4,0)</f>
        <v>960</v>
      </c>
      <c r="E96">
        <f>VLOOKUP(A96,[1]怪物!$V$3:$Y$18,4,0)</f>
        <v>6</v>
      </c>
      <c r="F96" s="1">
        <f t="shared" si="15"/>
        <v>8500</v>
      </c>
      <c r="H96" t="str">
        <f t="shared" si="16"/>
        <v>{cd,3000}</v>
      </c>
      <c r="I96" t="str">
        <f t="shared" si="17"/>
        <v>{hp,960}</v>
      </c>
      <c r="J96" t="str">
        <f t="shared" si="18"/>
        <v>{atk,6}</v>
      </c>
      <c r="K96" t="str">
        <f t="shared" si="19"/>
        <v>{spd,8500}</v>
      </c>
      <c r="L96" t="str">
        <f t="shared" si="20"/>
        <v/>
      </c>
      <c r="O96" t="str">
        <f t="shared" si="21"/>
        <v>[{cd,3000},{hp,960},{atk,6},{spd,8500}]</v>
      </c>
    </row>
    <row r="97" spans="1:15">
      <c r="A97">
        <v>503</v>
      </c>
      <c r="B97">
        <f t="shared" si="14"/>
        <v>19</v>
      </c>
      <c r="C97">
        <v>3000</v>
      </c>
      <c r="D97">
        <f>VLOOKUP(B97,[1]怪物!$U$34:$W$63,2,0)</f>
        <v>27000</v>
      </c>
      <c r="E97">
        <f>VLOOKUP(A97,[1]怪物!$Z$3:$AB$18,2,0)</f>
        <v>45</v>
      </c>
      <c r="F97" s="1">
        <f t="shared" si="15"/>
        <v>8500</v>
      </c>
      <c r="H97" t="str">
        <f t="shared" si="16"/>
        <v>{cd,3000}</v>
      </c>
      <c r="I97" t="str">
        <f t="shared" si="17"/>
        <v>{hp,27000}</v>
      </c>
      <c r="J97" t="str">
        <f t="shared" si="18"/>
        <v>{atk,45}</v>
      </c>
      <c r="K97" t="str">
        <f t="shared" si="19"/>
        <v>{spd,8500}</v>
      </c>
      <c r="L97" t="str">
        <f t="shared" si="20"/>
        <v/>
      </c>
      <c r="O97" t="str">
        <f t="shared" si="21"/>
        <v>[{cd,3000},{hp,27000},{atk,45},{spd,8500}]</v>
      </c>
    </row>
    <row r="98" spans="1:15">
      <c r="A98">
        <v>503</v>
      </c>
      <c r="B98">
        <f t="shared" si="14"/>
        <v>19</v>
      </c>
      <c r="C98">
        <v>3000</v>
      </c>
      <c r="D98">
        <f>VLOOKUP(B98,[1]怪物!$U$34:$W$63,3,0)</f>
        <v>36000</v>
      </c>
      <c r="E98">
        <f>VLOOKUP(A98,[1]怪物!$Z$3:$AB$18,3,0)</f>
        <v>90</v>
      </c>
      <c r="F98" s="1">
        <f t="shared" si="15"/>
        <v>8500</v>
      </c>
      <c r="H98" t="str">
        <f t="shared" si="16"/>
        <v>{cd,3000}</v>
      </c>
      <c r="I98" t="str">
        <f t="shared" si="17"/>
        <v>{hp,36000}</v>
      </c>
      <c r="J98" t="str">
        <f t="shared" si="18"/>
        <v>{atk,90}</v>
      </c>
      <c r="K98" t="str">
        <f t="shared" si="19"/>
        <v>{spd,8500}</v>
      </c>
      <c r="L98" t="str">
        <f t="shared" si="20"/>
        <v/>
      </c>
      <c r="O98" t="str">
        <f t="shared" si="21"/>
        <v>[{cd,3000},{hp,36000},{atk,90},{spd,8500}]</v>
      </c>
    </row>
    <row r="99" spans="1:15">
      <c r="A99">
        <v>103</v>
      </c>
      <c r="B99">
        <f t="shared" si="14"/>
        <v>20</v>
      </c>
      <c r="C99">
        <v>3000</v>
      </c>
      <c r="D99">
        <f>VLOOKUP(B99,[1]怪物!$N$34:$Q$63,2,0)</f>
        <v>700</v>
      </c>
      <c r="E99">
        <f>VLOOKUP(A99,[1]怪物!$V$3:$Y$18,4,0)</f>
        <v>9</v>
      </c>
      <c r="F99" s="1">
        <f t="shared" si="15"/>
        <v>8500</v>
      </c>
      <c r="H99" t="str">
        <f t="shared" si="16"/>
        <v>{cd,3000}</v>
      </c>
      <c r="I99" t="str">
        <f t="shared" si="17"/>
        <v>{hp,700}</v>
      </c>
      <c r="J99" t="str">
        <f t="shared" si="18"/>
        <v>{atk,9}</v>
      </c>
      <c r="K99" t="str">
        <f t="shared" si="19"/>
        <v>{spd,8500}</v>
      </c>
      <c r="L99" t="str">
        <f t="shared" si="20"/>
        <v/>
      </c>
      <c r="O99" t="str">
        <f t="shared" si="21"/>
        <v>[{cd,3000},{hp,700},{atk,9},{spd,8500}]</v>
      </c>
    </row>
    <row r="100" spans="1:15">
      <c r="A100">
        <v>107</v>
      </c>
      <c r="B100">
        <f t="shared" si="14"/>
        <v>20</v>
      </c>
      <c r="C100">
        <v>3000</v>
      </c>
      <c r="D100">
        <f>VLOOKUP(B100,[1]怪物!$N$34:$Q$63,3,0)</f>
        <v>840</v>
      </c>
      <c r="E100">
        <f>VLOOKUP(A100,[1]怪物!$V$3:$Y$18,4,0)</f>
        <v>6</v>
      </c>
      <c r="F100" s="1">
        <f t="shared" si="15"/>
        <v>8500</v>
      </c>
      <c r="H100" t="str">
        <f t="shared" si="16"/>
        <v>{cd,3000}</v>
      </c>
      <c r="I100" t="str">
        <f t="shared" si="17"/>
        <v>{hp,840}</v>
      </c>
      <c r="J100" t="str">
        <f t="shared" si="18"/>
        <v>{atk,6}</v>
      </c>
      <c r="K100" t="str">
        <f t="shared" si="19"/>
        <v>{spd,8500}</v>
      </c>
      <c r="L100" t="str">
        <f t="shared" si="20"/>
        <v/>
      </c>
      <c r="O100" t="str">
        <f t="shared" si="21"/>
        <v>[{cd,3000},{hp,840},{atk,6},{spd,8500}]</v>
      </c>
    </row>
    <row r="101" spans="1:15">
      <c r="A101">
        <v>106</v>
      </c>
      <c r="B101">
        <f t="shared" si="14"/>
        <v>20</v>
      </c>
      <c r="C101">
        <v>3000</v>
      </c>
      <c r="D101">
        <f>VLOOKUP(B101,[1]怪物!$N$34:$Q$63,4,0)</f>
        <v>1050</v>
      </c>
      <c r="E101">
        <f>VLOOKUP(A101,[1]怪物!$V$3:$Y$18,4,0)</f>
        <v>8</v>
      </c>
      <c r="F101" s="1">
        <f t="shared" si="15"/>
        <v>8500</v>
      </c>
      <c r="H101" t="str">
        <f t="shared" si="16"/>
        <v>{cd,3000}</v>
      </c>
      <c r="I101" t="str">
        <f t="shared" si="17"/>
        <v>{hp,1050}</v>
      </c>
      <c r="J101" t="str">
        <f t="shared" si="18"/>
        <v>{atk,8}</v>
      </c>
      <c r="K101" t="str">
        <f t="shared" si="19"/>
        <v>{spd,8500}</v>
      </c>
      <c r="L101" t="str">
        <f t="shared" si="20"/>
        <v/>
      </c>
      <c r="O101" t="str">
        <f t="shared" si="21"/>
        <v>[{cd,3000},{hp,1050},{atk,8},{spd,8500}]</v>
      </c>
    </row>
    <row r="102" spans="1:15">
      <c r="A102">
        <v>506</v>
      </c>
      <c r="B102">
        <f t="shared" si="14"/>
        <v>20</v>
      </c>
      <c r="C102">
        <v>3000</v>
      </c>
      <c r="D102">
        <f>VLOOKUP(B102,[1]怪物!$U$34:$W$63,2,0)</f>
        <v>42000</v>
      </c>
      <c r="E102">
        <f>VLOOKUP(A102,[1]怪物!$Z$3:$AB$18,2,0)</f>
        <v>40</v>
      </c>
      <c r="F102" s="1">
        <f t="shared" si="15"/>
        <v>8500</v>
      </c>
      <c r="H102" t="str">
        <f t="shared" si="16"/>
        <v>{cd,3000}</v>
      </c>
      <c r="I102" t="str">
        <f t="shared" si="17"/>
        <v>{hp,42000}</v>
      </c>
      <c r="J102" t="str">
        <f t="shared" si="18"/>
        <v>{atk,40}</v>
      </c>
      <c r="K102" t="str">
        <f t="shared" si="19"/>
        <v>{spd,8500}</v>
      </c>
      <c r="L102" t="str">
        <f t="shared" si="20"/>
        <v/>
      </c>
      <c r="O102" t="str">
        <f t="shared" si="21"/>
        <v>[{cd,3000},{hp,42000},{atk,40},{spd,8500}]</v>
      </c>
    </row>
    <row r="103" spans="1:15">
      <c r="A103">
        <v>506</v>
      </c>
      <c r="B103">
        <f t="shared" si="14"/>
        <v>20</v>
      </c>
      <c r="C103">
        <v>3000</v>
      </c>
      <c r="D103">
        <f>VLOOKUP(B103,[1]怪物!$U$34:$W$63,3,0)</f>
        <v>56000</v>
      </c>
      <c r="E103">
        <f>VLOOKUP(A103,[1]怪物!$Z$3:$AB$18,3,0)</f>
        <v>80</v>
      </c>
      <c r="F103" s="1">
        <f t="shared" si="15"/>
        <v>8500</v>
      </c>
      <c r="H103" t="str">
        <f t="shared" si="16"/>
        <v>{cd,3000}</v>
      </c>
      <c r="I103" t="str">
        <f t="shared" si="17"/>
        <v>{hp,56000}</v>
      </c>
      <c r="J103" t="str">
        <f t="shared" si="18"/>
        <v>{atk,80}</v>
      </c>
      <c r="K103" t="str">
        <f t="shared" si="19"/>
        <v>{spd,8500}</v>
      </c>
      <c r="L103" t="str">
        <f t="shared" si="20"/>
        <v/>
      </c>
      <c r="O103" t="str">
        <f t="shared" si="21"/>
        <v>[{cd,3000},{hp,56000},{atk,80},{spd,8500}]</v>
      </c>
    </row>
    <row r="104" spans="1:15">
      <c r="A104">
        <v>108</v>
      </c>
      <c r="B104">
        <f t="shared" si="14"/>
        <v>21</v>
      </c>
      <c r="C104">
        <v>3000</v>
      </c>
      <c r="D104">
        <f>VLOOKUP(B104,[1]怪物!$N$34:$Q$63,2,0)</f>
        <v>800</v>
      </c>
      <c r="E104">
        <f>VLOOKUP(A104,[1]怪物!$AD$3:$AG$18,4,0)</f>
        <v>40</v>
      </c>
      <c r="F104" s="1">
        <f t="shared" si="15"/>
        <v>8500</v>
      </c>
      <c r="H104" t="str">
        <f t="shared" si="16"/>
        <v>{cd,3000}</v>
      </c>
      <c r="I104" t="str">
        <f t="shared" si="17"/>
        <v>{hp,800}</v>
      </c>
      <c r="J104" t="str">
        <f t="shared" si="18"/>
        <v>{atk,40}</v>
      </c>
      <c r="K104" t="str">
        <f t="shared" si="19"/>
        <v>{spd,8500}</v>
      </c>
      <c r="L104" t="str">
        <f t="shared" si="20"/>
        <v/>
      </c>
      <c r="O104" t="str">
        <f t="shared" si="21"/>
        <v>[{cd,3000},{hp,800},{atk,40},{spd,8500}]</v>
      </c>
    </row>
    <row r="105" spans="1:15">
      <c r="A105">
        <v>109</v>
      </c>
      <c r="B105">
        <f t="shared" si="14"/>
        <v>21</v>
      </c>
      <c r="C105">
        <v>3000</v>
      </c>
      <c r="D105">
        <f>VLOOKUP(B105,[1]怪物!$N$34:$Q$63,3,0)</f>
        <v>960</v>
      </c>
      <c r="E105">
        <f>VLOOKUP(A105,[1]怪物!$AD$3:$AG$18,4,0)</f>
        <v>16</v>
      </c>
      <c r="F105" s="1">
        <f t="shared" si="15"/>
        <v>8500</v>
      </c>
      <c r="H105" t="str">
        <f t="shared" si="16"/>
        <v>{cd,3000}</v>
      </c>
      <c r="I105" t="str">
        <f t="shared" si="17"/>
        <v>{hp,960}</v>
      </c>
      <c r="J105" t="str">
        <f t="shared" si="18"/>
        <v>{atk,16}</v>
      </c>
      <c r="K105" t="str">
        <f t="shared" si="19"/>
        <v>{spd,8500}</v>
      </c>
      <c r="L105" t="str">
        <f t="shared" si="20"/>
        <v/>
      </c>
      <c r="O105" t="str">
        <f t="shared" si="21"/>
        <v>[{cd,3000},{hp,960},{atk,16},{spd,8500}]</v>
      </c>
    </row>
    <row r="106" spans="1:15">
      <c r="A106">
        <v>109</v>
      </c>
      <c r="B106">
        <f t="shared" si="14"/>
        <v>21</v>
      </c>
      <c r="C106">
        <v>3000</v>
      </c>
      <c r="D106">
        <f>VLOOKUP(B106,[1]怪物!$N$34:$Q$63,4,0)</f>
        <v>1200</v>
      </c>
      <c r="E106">
        <f>VLOOKUP(A106,[1]怪物!$AD$3:$AG$18,4,0)</f>
        <v>16</v>
      </c>
      <c r="F106" s="1">
        <f t="shared" si="15"/>
        <v>8500</v>
      </c>
      <c r="H106" t="str">
        <f t="shared" si="16"/>
        <v>{cd,3000}</v>
      </c>
      <c r="I106" t="str">
        <f t="shared" si="17"/>
        <v>{hp,1200}</v>
      </c>
      <c r="J106" t="str">
        <f t="shared" si="18"/>
        <v>{atk,16}</v>
      </c>
      <c r="K106" t="str">
        <f t="shared" si="19"/>
        <v>{spd,8500}</v>
      </c>
      <c r="L106" t="str">
        <f t="shared" si="20"/>
        <v/>
      </c>
      <c r="O106" t="str">
        <f t="shared" si="21"/>
        <v>[{cd,3000},{hp,1200},{atk,16},{spd,8500}]</v>
      </c>
    </row>
    <row r="107" spans="1:15">
      <c r="A107">
        <v>508</v>
      </c>
      <c r="B107">
        <f t="shared" si="14"/>
        <v>21</v>
      </c>
      <c r="C107">
        <v>3000</v>
      </c>
      <c r="D107">
        <f>VLOOKUP(B107,[1]怪物!$U$34:$W$63,2,0)</f>
        <v>48000</v>
      </c>
      <c r="E107">
        <f>VLOOKUP(A107,[1]怪物!$AH$3:$AJ$18,2,0)</f>
        <v>100</v>
      </c>
      <c r="F107" s="1">
        <f t="shared" si="15"/>
        <v>8500</v>
      </c>
      <c r="H107" t="str">
        <f t="shared" si="16"/>
        <v>{cd,3000}</v>
      </c>
      <c r="I107" t="str">
        <f t="shared" si="17"/>
        <v>{hp,48000}</v>
      </c>
      <c r="J107" t="str">
        <f t="shared" si="18"/>
        <v>{atk,100}</v>
      </c>
      <c r="K107" t="str">
        <f t="shared" si="19"/>
        <v>{spd,8500}</v>
      </c>
      <c r="L107" t="str">
        <f t="shared" si="20"/>
        <v/>
      </c>
      <c r="O107" t="str">
        <f t="shared" si="21"/>
        <v>[{cd,3000},{hp,48000},{atk,100},{spd,8500}]</v>
      </c>
    </row>
    <row r="108" spans="1:15">
      <c r="A108">
        <v>508</v>
      </c>
      <c r="B108">
        <f t="shared" si="14"/>
        <v>21</v>
      </c>
      <c r="C108">
        <v>3000</v>
      </c>
      <c r="D108">
        <f>VLOOKUP(B108,[1]怪物!$U$34:$W$63,3,0)</f>
        <v>64000</v>
      </c>
      <c r="E108">
        <f>VLOOKUP(A108,[1]怪物!$AH$3:$AJ$18,3,0)</f>
        <v>200</v>
      </c>
      <c r="F108" s="1">
        <f t="shared" si="15"/>
        <v>8500</v>
      </c>
      <c r="H108" t="str">
        <f t="shared" si="16"/>
        <v>{cd,3000}</v>
      </c>
      <c r="I108" t="str">
        <f t="shared" si="17"/>
        <v>{hp,64000}</v>
      </c>
      <c r="J108" t="str">
        <f t="shared" si="18"/>
        <v>{atk,200}</v>
      </c>
      <c r="K108" t="str">
        <f t="shared" si="19"/>
        <v>{spd,8500}</v>
      </c>
      <c r="L108" t="str">
        <f t="shared" si="20"/>
        <v/>
      </c>
      <c r="O108" t="str">
        <f t="shared" si="21"/>
        <v>[{cd,3000},{hp,64000},{atk,200},{spd,8500}]</v>
      </c>
    </row>
    <row r="109" spans="1:15">
      <c r="A109">
        <v>108</v>
      </c>
      <c r="B109">
        <f t="shared" si="14"/>
        <v>22</v>
      </c>
      <c r="C109">
        <v>3000</v>
      </c>
      <c r="D109">
        <f>VLOOKUP(B109,[1]怪物!$N$34:$Q$63,2,0)</f>
        <v>900</v>
      </c>
      <c r="E109">
        <f>VLOOKUP(A109,[1]怪物!$AD$3:$AG$18,4,0)</f>
        <v>40</v>
      </c>
      <c r="F109" s="1">
        <f t="shared" si="15"/>
        <v>8500</v>
      </c>
      <c r="H109" t="str">
        <f t="shared" si="16"/>
        <v>{cd,3000}</v>
      </c>
      <c r="I109" t="str">
        <f t="shared" si="17"/>
        <v>{hp,900}</v>
      </c>
      <c r="J109" t="str">
        <f t="shared" si="18"/>
        <v>{atk,40}</v>
      </c>
      <c r="K109" t="str">
        <f t="shared" si="19"/>
        <v>{spd,8500}</v>
      </c>
      <c r="L109" t="str">
        <f t="shared" si="20"/>
        <v/>
      </c>
      <c r="O109" t="str">
        <f t="shared" si="21"/>
        <v>[{cd,3000},{hp,900},{atk,40},{spd,8500}]</v>
      </c>
    </row>
    <row r="110" spans="1:15">
      <c r="A110">
        <v>109</v>
      </c>
      <c r="B110">
        <f t="shared" si="14"/>
        <v>22</v>
      </c>
      <c r="C110">
        <v>3000</v>
      </c>
      <c r="D110">
        <f>VLOOKUP(B110,[1]怪物!$N$34:$Q$63,3,0)</f>
        <v>1080</v>
      </c>
      <c r="E110">
        <f>VLOOKUP(A110,[1]怪物!$AD$3:$AG$18,4,0)</f>
        <v>16</v>
      </c>
      <c r="F110" s="1">
        <f t="shared" si="15"/>
        <v>8500</v>
      </c>
      <c r="H110" t="str">
        <f t="shared" si="16"/>
        <v>{cd,3000}</v>
      </c>
      <c r="I110" t="str">
        <f t="shared" si="17"/>
        <v>{hp,1080}</v>
      </c>
      <c r="J110" t="str">
        <f t="shared" si="18"/>
        <v>{atk,16}</v>
      </c>
      <c r="K110" t="str">
        <f t="shared" si="19"/>
        <v>{spd,8500}</v>
      </c>
      <c r="L110" t="str">
        <f t="shared" si="20"/>
        <v/>
      </c>
      <c r="O110" t="str">
        <f t="shared" si="21"/>
        <v>[{cd,3000},{hp,1080},{atk,16},{spd,8500}]</v>
      </c>
    </row>
    <row r="111" spans="1:15">
      <c r="A111">
        <v>110</v>
      </c>
      <c r="B111">
        <f t="shared" si="14"/>
        <v>22</v>
      </c>
      <c r="C111">
        <v>3000</v>
      </c>
      <c r="D111">
        <f>VLOOKUP(B111,[1]怪物!$N$34:$Q$63,4,0)</f>
        <v>1350</v>
      </c>
      <c r="E111">
        <f>VLOOKUP(A111,[1]怪物!$AD$3:$AG$18,4,0)</f>
        <v>40</v>
      </c>
      <c r="F111" s="1">
        <f t="shared" si="15"/>
        <v>8500</v>
      </c>
      <c r="H111" t="str">
        <f t="shared" si="16"/>
        <v>{cd,3000}</v>
      </c>
      <c r="I111" t="str">
        <f t="shared" si="17"/>
        <v>{hp,1350}</v>
      </c>
      <c r="J111" t="str">
        <f t="shared" si="18"/>
        <v>{atk,40}</v>
      </c>
      <c r="K111" t="str">
        <f t="shared" si="19"/>
        <v>{spd,8500}</v>
      </c>
      <c r="L111" t="str">
        <f t="shared" si="20"/>
        <v/>
      </c>
      <c r="O111" t="str">
        <f t="shared" si="21"/>
        <v>[{cd,3000},{hp,1350},{atk,40},{spd,8500}]</v>
      </c>
    </row>
    <row r="112" spans="1:15">
      <c r="A112">
        <v>509</v>
      </c>
      <c r="B112">
        <f t="shared" si="14"/>
        <v>22</v>
      </c>
      <c r="C112">
        <v>3000</v>
      </c>
      <c r="D112">
        <f>VLOOKUP(B112,[1]怪物!$U$34:$W$63,2,0)</f>
        <v>54000</v>
      </c>
      <c r="E112">
        <f>VLOOKUP(A112,[1]怪物!$AH$3:$AJ$18,2,0)</f>
        <v>40</v>
      </c>
      <c r="F112" s="1">
        <f t="shared" si="15"/>
        <v>8500</v>
      </c>
      <c r="H112" t="str">
        <f t="shared" si="16"/>
        <v>{cd,3000}</v>
      </c>
      <c r="I112" t="str">
        <f t="shared" si="17"/>
        <v>{hp,54000}</v>
      </c>
      <c r="J112" t="str">
        <f t="shared" si="18"/>
        <v>{atk,40}</v>
      </c>
      <c r="K112" t="str">
        <f t="shared" si="19"/>
        <v>{spd,8500}</v>
      </c>
      <c r="L112" t="str">
        <f t="shared" si="20"/>
        <v/>
      </c>
      <c r="O112" t="str">
        <f t="shared" si="21"/>
        <v>[{cd,3000},{hp,54000},{atk,40},{spd,8500}]</v>
      </c>
    </row>
    <row r="113" spans="1:15">
      <c r="A113">
        <v>509</v>
      </c>
      <c r="B113">
        <f t="shared" si="14"/>
        <v>22</v>
      </c>
      <c r="C113">
        <v>3000</v>
      </c>
      <c r="D113">
        <f>VLOOKUP(B113,[1]怪物!$U$34:$W$63,3,0)</f>
        <v>72000</v>
      </c>
      <c r="E113">
        <f>VLOOKUP(A113,[1]怪物!$AH$3:$AJ$18,3,0)</f>
        <v>80</v>
      </c>
      <c r="F113" s="1">
        <f t="shared" si="15"/>
        <v>8500</v>
      </c>
      <c r="H113" t="str">
        <f t="shared" si="16"/>
        <v>{cd,3000}</v>
      </c>
      <c r="I113" t="str">
        <f t="shared" si="17"/>
        <v>{hp,72000}</v>
      </c>
      <c r="J113" t="str">
        <f t="shared" si="18"/>
        <v>{atk,80}</v>
      </c>
      <c r="K113" t="str">
        <f t="shared" si="19"/>
        <v>{spd,8500}</v>
      </c>
      <c r="L113" t="str">
        <f t="shared" si="20"/>
        <v/>
      </c>
      <c r="O113" t="str">
        <f t="shared" si="21"/>
        <v>[{cd,3000},{hp,72000},{atk,80},{spd,8500}]</v>
      </c>
    </row>
    <row r="114" spans="1:15">
      <c r="A114">
        <v>111</v>
      </c>
      <c r="B114">
        <f t="shared" si="14"/>
        <v>23</v>
      </c>
      <c r="C114">
        <v>3000</v>
      </c>
      <c r="D114">
        <f>VLOOKUP(B114,[1]怪物!$N$34:$Q$63,2,0)</f>
        <v>1000</v>
      </c>
      <c r="E114">
        <f>VLOOKUP(A114,[1]怪物!$AD$3:$AG$18,4,0)</f>
        <v>24</v>
      </c>
      <c r="F114" s="1">
        <f t="shared" si="15"/>
        <v>8500</v>
      </c>
      <c r="H114" t="str">
        <f t="shared" si="16"/>
        <v>{cd,3000}</v>
      </c>
      <c r="I114" t="str">
        <f t="shared" si="17"/>
        <v>{hp,1000}</v>
      </c>
      <c r="J114" t="str">
        <f t="shared" si="18"/>
        <v>{atk,24}</v>
      </c>
      <c r="K114" t="str">
        <f t="shared" si="19"/>
        <v>{spd,8500}</v>
      </c>
      <c r="L114" t="str">
        <f t="shared" si="20"/>
        <v/>
      </c>
      <c r="O114" t="str">
        <f t="shared" si="21"/>
        <v>[{cd,3000},{hp,1000},{atk,24},{spd,8500}]</v>
      </c>
    </row>
    <row r="115" spans="1:15">
      <c r="A115">
        <v>112</v>
      </c>
      <c r="B115">
        <f t="shared" si="14"/>
        <v>23</v>
      </c>
      <c r="C115">
        <v>3000</v>
      </c>
      <c r="D115">
        <f>VLOOKUP(B115,[1]怪物!$N$34:$Q$63,3,0)</f>
        <v>1200</v>
      </c>
      <c r="E115">
        <f>VLOOKUP(A115,[1]怪物!$AD$3:$AG$18,4,0)</f>
        <v>16</v>
      </c>
      <c r="F115" s="1">
        <f t="shared" si="15"/>
        <v>8500</v>
      </c>
      <c r="H115" t="str">
        <f t="shared" si="16"/>
        <v>{cd,3000}</v>
      </c>
      <c r="I115" t="str">
        <f t="shared" si="17"/>
        <v>{hp,1200}</v>
      </c>
      <c r="J115" t="str">
        <f t="shared" si="18"/>
        <v>{atk,16}</v>
      </c>
      <c r="K115" t="str">
        <f t="shared" si="19"/>
        <v>{spd,8500}</v>
      </c>
      <c r="L115" t="str">
        <f t="shared" si="20"/>
        <v/>
      </c>
      <c r="O115" t="str">
        <f t="shared" si="21"/>
        <v>[{cd,3000},{hp,1200},{atk,16},{spd,8500}]</v>
      </c>
    </row>
    <row r="116" spans="1:15">
      <c r="A116">
        <v>113</v>
      </c>
      <c r="B116">
        <f t="shared" si="14"/>
        <v>23</v>
      </c>
      <c r="C116">
        <v>3000</v>
      </c>
      <c r="D116">
        <f>VLOOKUP(B116,[1]怪物!$N$34:$Q$63,4,0)</f>
        <v>1500</v>
      </c>
      <c r="E116">
        <f>VLOOKUP(A116,[1]怪物!$AD$3:$AG$18,4,0)</f>
        <v>16</v>
      </c>
      <c r="F116" s="1">
        <f t="shared" si="15"/>
        <v>8500</v>
      </c>
      <c r="H116" t="str">
        <f t="shared" si="16"/>
        <v>{cd,3000}</v>
      </c>
      <c r="I116" t="str">
        <f t="shared" si="17"/>
        <v>{hp,1500}</v>
      </c>
      <c r="J116" t="str">
        <f t="shared" si="18"/>
        <v>{atk,16}</v>
      </c>
      <c r="K116" t="str">
        <f t="shared" si="19"/>
        <v>{spd,8500}</v>
      </c>
      <c r="L116" t="str">
        <f t="shared" si="20"/>
        <v/>
      </c>
      <c r="O116" t="str">
        <f t="shared" si="21"/>
        <v>[{cd,3000},{hp,1500},{atk,16},{spd,8500}]</v>
      </c>
    </row>
    <row r="117" spans="1:15">
      <c r="A117">
        <v>511</v>
      </c>
      <c r="B117">
        <f t="shared" si="14"/>
        <v>23</v>
      </c>
      <c r="C117">
        <v>3000</v>
      </c>
      <c r="D117">
        <f>VLOOKUP(B117,[1]怪物!$U$34:$W$63,2,0)</f>
        <v>60000</v>
      </c>
      <c r="E117">
        <f>VLOOKUP(A117,[1]怪物!$AH$3:$AJ$18,2,0)</f>
        <v>60</v>
      </c>
      <c r="F117" s="1">
        <f t="shared" si="15"/>
        <v>8500</v>
      </c>
      <c r="H117" t="str">
        <f t="shared" si="16"/>
        <v>{cd,3000}</v>
      </c>
      <c r="I117" t="str">
        <f t="shared" si="17"/>
        <v>{hp,60000}</v>
      </c>
      <c r="J117" t="str">
        <f t="shared" si="18"/>
        <v>{atk,60}</v>
      </c>
      <c r="K117" t="str">
        <f t="shared" si="19"/>
        <v>{spd,8500}</v>
      </c>
      <c r="L117" t="str">
        <f t="shared" si="20"/>
        <v/>
      </c>
      <c r="O117" t="str">
        <f t="shared" si="21"/>
        <v>[{cd,3000},{hp,60000},{atk,60},{spd,8500}]</v>
      </c>
    </row>
    <row r="118" spans="1:15">
      <c r="A118">
        <v>511</v>
      </c>
      <c r="B118">
        <f t="shared" si="14"/>
        <v>23</v>
      </c>
      <c r="C118">
        <v>3000</v>
      </c>
      <c r="D118">
        <f>VLOOKUP(B118,[1]怪物!$U$34:$W$63,3,0)</f>
        <v>80000</v>
      </c>
      <c r="E118">
        <f>VLOOKUP(A118,[1]怪物!$AH$3:$AJ$18,3,0)</f>
        <v>120</v>
      </c>
      <c r="F118" s="1">
        <f t="shared" si="15"/>
        <v>8500</v>
      </c>
      <c r="H118" t="str">
        <f t="shared" si="16"/>
        <v>{cd,3000}</v>
      </c>
      <c r="I118" t="str">
        <f t="shared" si="17"/>
        <v>{hp,80000}</v>
      </c>
      <c r="J118" t="str">
        <f t="shared" si="18"/>
        <v>{atk,120}</v>
      </c>
      <c r="K118" t="str">
        <f t="shared" si="19"/>
        <v>{spd,8500}</v>
      </c>
      <c r="L118" t="str">
        <f t="shared" si="20"/>
        <v/>
      </c>
      <c r="O118" t="str">
        <f t="shared" si="21"/>
        <v>[{cd,3000},{hp,80000},{atk,120},{spd,8500}]</v>
      </c>
    </row>
    <row r="119" spans="1:15">
      <c r="A119">
        <v>111</v>
      </c>
      <c r="B119">
        <f t="shared" si="14"/>
        <v>24</v>
      </c>
      <c r="C119">
        <v>3000</v>
      </c>
      <c r="D119">
        <f>VLOOKUP(B119,[1]怪物!$N$34:$Q$63,2,0)</f>
        <v>1100</v>
      </c>
      <c r="E119">
        <f>VLOOKUP(A119,[1]怪物!$AD$3:$AG$18,4,0)</f>
        <v>24</v>
      </c>
      <c r="F119" s="1">
        <f t="shared" si="15"/>
        <v>8500</v>
      </c>
      <c r="H119" t="str">
        <f t="shared" si="16"/>
        <v>{cd,3000}</v>
      </c>
      <c r="I119" t="str">
        <f t="shared" si="17"/>
        <v>{hp,1100}</v>
      </c>
      <c r="J119" t="str">
        <f t="shared" si="18"/>
        <v>{atk,24}</v>
      </c>
      <c r="K119" t="str">
        <f t="shared" si="19"/>
        <v>{spd,8500}</v>
      </c>
      <c r="L119" t="str">
        <f t="shared" si="20"/>
        <v/>
      </c>
      <c r="O119" t="str">
        <f t="shared" si="21"/>
        <v>[{cd,3000},{hp,1100},{atk,24},{spd,8500}]</v>
      </c>
    </row>
    <row r="120" spans="1:15">
      <c r="A120">
        <v>112</v>
      </c>
      <c r="B120">
        <f t="shared" si="14"/>
        <v>24</v>
      </c>
      <c r="C120">
        <v>3000</v>
      </c>
      <c r="D120">
        <f>VLOOKUP(B120,[1]怪物!$N$34:$Q$63,3,0)</f>
        <v>1320</v>
      </c>
      <c r="E120">
        <f>VLOOKUP(A120,[1]怪物!$AD$3:$AG$18,4,0)</f>
        <v>16</v>
      </c>
      <c r="F120" s="1">
        <f t="shared" si="15"/>
        <v>8500</v>
      </c>
      <c r="H120" t="str">
        <f t="shared" si="16"/>
        <v>{cd,3000}</v>
      </c>
      <c r="I120" t="str">
        <f t="shared" si="17"/>
        <v>{hp,1320}</v>
      </c>
      <c r="J120" t="str">
        <f t="shared" si="18"/>
        <v>{atk,16}</v>
      </c>
      <c r="K120" t="str">
        <f t="shared" si="19"/>
        <v>{spd,8500}</v>
      </c>
      <c r="L120" t="str">
        <f t="shared" si="20"/>
        <v/>
      </c>
      <c r="O120" t="str">
        <f t="shared" si="21"/>
        <v>[{cd,3000},{hp,1320},{atk,16},{spd,8500}]</v>
      </c>
    </row>
    <row r="121" spans="1:15">
      <c r="A121">
        <v>115</v>
      </c>
      <c r="B121">
        <f t="shared" si="14"/>
        <v>24</v>
      </c>
      <c r="C121">
        <v>3000</v>
      </c>
      <c r="D121">
        <f>VLOOKUP(B121,[1]怪物!$N$34:$Q$63,4,0)</f>
        <v>1650</v>
      </c>
      <c r="E121">
        <f>VLOOKUP(A121,[1]怪物!$AD$3:$AG$18,4,0)</f>
        <v>40</v>
      </c>
      <c r="F121" s="1">
        <f t="shared" si="15"/>
        <v>8500</v>
      </c>
      <c r="H121" t="str">
        <f t="shared" si="16"/>
        <v>{cd,3000}</v>
      </c>
      <c r="I121" t="str">
        <f t="shared" si="17"/>
        <v>{hp,1650}</v>
      </c>
      <c r="J121" t="str">
        <f t="shared" si="18"/>
        <v>{atk,40}</v>
      </c>
      <c r="K121" t="str">
        <f t="shared" si="19"/>
        <v>{spd,8500}</v>
      </c>
      <c r="L121" t="str">
        <f t="shared" si="20"/>
        <v/>
      </c>
      <c r="O121" t="str">
        <f t="shared" si="21"/>
        <v>[{cd,3000},{hp,1650},{atk,40},{spd,8500}]</v>
      </c>
    </row>
    <row r="122" spans="1:15">
      <c r="A122">
        <v>512</v>
      </c>
      <c r="B122">
        <f t="shared" si="14"/>
        <v>24</v>
      </c>
      <c r="C122">
        <v>3000</v>
      </c>
      <c r="D122">
        <f>VLOOKUP(B122,[1]怪物!$U$34:$W$63,2,0)</f>
        <v>66000</v>
      </c>
      <c r="E122">
        <f>VLOOKUP(A122,[1]怪物!$AH$3:$AJ$18,2,0)</f>
        <v>40</v>
      </c>
      <c r="F122" s="1">
        <f t="shared" si="15"/>
        <v>8500</v>
      </c>
      <c r="H122" t="str">
        <f t="shared" si="16"/>
        <v>{cd,3000}</v>
      </c>
      <c r="I122" t="str">
        <f t="shared" si="17"/>
        <v>{hp,66000}</v>
      </c>
      <c r="J122" t="str">
        <f t="shared" si="18"/>
        <v>{atk,40}</v>
      </c>
      <c r="K122" t="str">
        <f t="shared" si="19"/>
        <v>{spd,8500}</v>
      </c>
      <c r="L122" t="str">
        <f t="shared" si="20"/>
        <v/>
      </c>
      <c r="O122" t="str">
        <f t="shared" si="21"/>
        <v>[{cd,3000},{hp,66000},{atk,40},{spd,8500}]</v>
      </c>
    </row>
    <row r="123" spans="1:15">
      <c r="A123">
        <v>512</v>
      </c>
      <c r="B123">
        <f t="shared" si="14"/>
        <v>24</v>
      </c>
      <c r="C123">
        <v>3000</v>
      </c>
      <c r="D123">
        <f>VLOOKUP(B123,[1]怪物!$U$34:$W$63,3,0)</f>
        <v>88000</v>
      </c>
      <c r="E123">
        <f>VLOOKUP(A123,[1]怪物!$AH$3:$AJ$18,3,0)</f>
        <v>80</v>
      </c>
      <c r="F123" s="1">
        <f t="shared" si="15"/>
        <v>8500</v>
      </c>
      <c r="H123" t="str">
        <f t="shared" si="16"/>
        <v>{cd,3000}</v>
      </c>
      <c r="I123" t="str">
        <f t="shared" si="17"/>
        <v>{hp,88000}</v>
      </c>
      <c r="J123" t="str">
        <f t="shared" si="18"/>
        <v>{atk,80}</v>
      </c>
      <c r="K123" t="str">
        <f t="shared" si="19"/>
        <v>{spd,8500}</v>
      </c>
      <c r="L123" t="str">
        <f t="shared" si="20"/>
        <v/>
      </c>
      <c r="O123" t="str">
        <f t="shared" si="21"/>
        <v>[{cd,3000},{hp,88000},{atk,80},{spd,8500}]</v>
      </c>
    </row>
    <row r="124" spans="1:15">
      <c r="A124">
        <v>101</v>
      </c>
      <c r="B124">
        <f t="shared" si="14"/>
        <v>25</v>
      </c>
      <c r="C124">
        <v>3000</v>
      </c>
      <c r="D124">
        <f>VLOOKUP(B124,[1]怪物!$N$34:$Q$63,2,0)</f>
        <v>1200</v>
      </c>
      <c r="E124">
        <f>VLOOKUP(A124,[1]怪物!$AD$3:$AG$18,4,0)</f>
        <v>24</v>
      </c>
      <c r="F124" s="1">
        <f t="shared" si="15"/>
        <v>8500</v>
      </c>
      <c r="H124" t="str">
        <f t="shared" si="16"/>
        <v>{cd,3000}</v>
      </c>
      <c r="I124" t="str">
        <f t="shared" si="17"/>
        <v>{hp,1200}</v>
      </c>
      <c r="J124" t="str">
        <f t="shared" si="18"/>
        <v>{atk,24}</v>
      </c>
      <c r="K124" t="str">
        <f t="shared" si="19"/>
        <v>{spd,8500}</v>
      </c>
      <c r="L124" t="str">
        <f t="shared" si="20"/>
        <v/>
      </c>
      <c r="O124" t="str">
        <f t="shared" si="21"/>
        <v>[{cd,3000},{hp,1200},{atk,24},{spd,8500}]</v>
      </c>
    </row>
    <row r="125" spans="1:15">
      <c r="A125">
        <v>100</v>
      </c>
      <c r="B125">
        <f t="shared" si="14"/>
        <v>25</v>
      </c>
      <c r="C125">
        <v>3000</v>
      </c>
      <c r="D125">
        <f>VLOOKUP(B125,[1]怪物!$N$34:$Q$63,3,0)</f>
        <v>1440</v>
      </c>
      <c r="E125">
        <f>VLOOKUP(A125,[1]怪物!$AD$3:$AG$18,4,0)</f>
        <v>16</v>
      </c>
      <c r="F125" s="1">
        <f t="shared" si="15"/>
        <v>8500</v>
      </c>
      <c r="H125" t="str">
        <f t="shared" si="16"/>
        <v>{cd,3000}</v>
      </c>
      <c r="I125" t="str">
        <f t="shared" si="17"/>
        <v>{hp,1440}</v>
      </c>
      <c r="J125" t="str">
        <f t="shared" si="18"/>
        <v>{atk,16}</v>
      </c>
      <c r="K125" t="str">
        <f t="shared" si="19"/>
        <v>{spd,8500}</v>
      </c>
      <c r="L125" t="str">
        <f t="shared" si="20"/>
        <v/>
      </c>
      <c r="O125" t="str">
        <f t="shared" si="21"/>
        <v>[{cd,3000},{hp,1440},{atk,16},{spd,8500}]</v>
      </c>
    </row>
    <row r="126" spans="1:15">
      <c r="A126">
        <v>102</v>
      </c>
      <c r="B126">
        <f t="shared" si="14"/>
        <v>25</v>
      </c>
      <c r="C126">
        <v>3000</v>
      </c>
      <c r="D126">
        <f>VLOOKUP(B126,[1]怪物!$N$34:$Q$63,4,0)</f>
        <v>1800</v>
      </c>
      <c r="E126">
        <f>VLOOKUP(A126,[1]怪物!$AD$3:$AG$18,4,0)</f>
        <v>12</v>
      </c>
      <c r="F126" s="1">
        <f t="shared" si="15"/>
        <v>8500</v>
      </c>
      <c r="H126" t="str">
        <f t="shared" si="16"/>
        <v>{cd,3000}</v>
      </c>
      <c r="I126" t="str">
        <f t="shared" si="17"/>
        <v>{hp,1800}</v>
      </c>
      <c r="J126" t="str">
        <f t="shared" si="18"/>
        <v>{atk,12}</v>
      </c>
      <c r="K126" t="str">
        <f t="shared" si="19"/>
        <v>{spd,8500}</v>
      </c>
      <c r="L126" t="str">
        <f t="shared" si="20"/>
        <v/>
      </c>
      <c r="O126" t="str">
        <f t="shared" si="21"/>
        <v>[{cd,3000},{hp,1800},{atk,12},{spd,8500}]</v>
      </c>
    </row>
    <row r="127" spans="1:15">
      <c r="A127">
        <v>501</v>
      </c>
      <c r="B127">
        <f t="shared" si="14"/>
        <v>25</v>
      </c>
      <c r="C127">
        <v>3000</v>
      </c>
      <c r="D127">
        <f>VLOOKUP(B127,[1]怪物!$U$34:$W$63,2,0)</f>
        <v>72000</v>
      </c>
      <c r="E127">
        <f>VLOOKUP(A127,[1]怪物!$AH$3:$AJ$18,2,0)</f>
        <v>60</v>
      </c>
      <c r="F127" s="1">
        <f t="shared" si="15"/>
        <v>8500</v>
      </c>
      <c r="H127" t="str">
        <f t="shared" si="16"/>
        <v>{cd,3000}</v>
      </c>
      <c r="I127" t="str">
        <f t="shared" si="17"/>
        <v>{hp,72000}</v>
      </c>
      <c r="J127" t="str">
        <f t="shared" si="18"/>
        <v>{atk,60}</v>
      </c>
      <c r="K127" t="str">
        <f t="shared" si="19"/>
        <v>{spd,8500}</v>
      </c>
      <c r="L127" t="str">
        <f t="shared" si="20"/>
        <v/>
      </c>
      <c r="O127" t="str">
        <f t="shared" si="21"/>
        <v>[{cd,3000},{hp,72000},{atk,60},{spd,8500}]</v>
      </c>
    </row>
    <row r="128" spans="1:15">
      <c r="A128">
        <v>501</v>
      </c>
      <c r="B128">
        <f t="shared" si="14"/>
        <v>25</v>
      </c>
      <c r="C128">
        <v>3000</v>
      </c>
      <c r="D128">
        <f>VLOOKUP(B128,[1]怪物!$U$34:$W$63,3,0)</f>
        <v>96000</v>
      </c>
      <c r="E128">
        <f>VLOOKUP(A128,[1]怪物!$AH$3:$AJ$18,3,0)</f>
        <v>120</v>
      </c>
      <c r="F128" s="1">
        <f t="shared" si="15"/>
        <v>8500</v>
      </c>
      <c r="H128" t="str">
        <f t="shared" si="16"/>
        <v>{cd,3000}</v>
      </c>
      <c r="I128" t="str">
        <f t="shared" si="17"/>
        <v>{hp,96000}</v>
      </c>
      <c r="J128" t="str">
        <f t="shared" si="18"/>
        <v>{atk,120}</v>
      </c>
      <c r="K128" t="str">
        <f t="shared" si="19"/>
        <v>{spd,8500}</v>
      </c>
      <c r="L128" t="str">
        <f t="shared" si="20"/>
        <v/>
      </c>
      <c r="O128" t="str">
        <f t="shared" si="21"/>
        <v>[{cd,3000},{hp,96000},{atk,120},{spd,8500}]</v>
      </c>
    </row>
    <row r="129" spans="1:15">
      <c r="A129">
        <v>101</v>
      </c>
      <c r="B129">
        <f t="shared" si="14"/>
        <v>26</v>
      </c>
      <c r="C129">
        <v>3000</v>
      </c>
      <c r="D129">
        <f>VLOOKUP(B129,[1]怪物!$N$34:$Q$63,2,0)</f>
        <v>1300</v>
      </c>
      <c r="E129">
        <f>VLOOKUP(A129,[1]怪物!$AD$3:$AG$18,4,0)</f>
        <v>24</v>
      </c>
      <c r="F129" s="1">
        <f t="shared" si="15"/>
        <v>8500</v>
      </c>
      <c r="H129" t="str">
        <f t="shared" si="16"/>
        <v>{cd,3000}</v>
      </c>
      <c r="I129" t="str">
        <f t="shared" si="17"/>
        <v>{hp,1300}</v>
      </c>
      <c r="J129" t="str">
        <f t="shared" si="18"/>
        <v>{atk,24}</v>
      </c>
      <c r="K129" t="str">
        <f t="shared" si="19"/>
        <v>{spd,8500}</v>
      </c>
      <c r="L129" t="str">
        <f t="shared" si="20"/>
        <v/>
      </c>
      <c r="O129" t="str">
        <f t="shared" si="21"/>
        <v>[{cd,3000},{hp,1300},{atk,24},{spd,8500}]</v>
      </c>
    </row>
    <row r="130" spans="1:15">
      <c r="A130">
        <v>100</v>
      </c>
      <c r="B130">
        <f t="shared" si="14"/>
        <v>26</v>
      </c>
      <c r="C130">
        <v>3000</v>
      </c>
      <c r="D130">
        <f>VLOOKUP(B130,[1]怪物!$N$34:$Q$63,3,0)</f>
        <v>1560</v>
      </c>
      <c r="E130">
        <f>VLOOKUP(A130,[1]怪物!$AD$3:$AG$18,4,0)</f>
        <v>16</v>
      </c>
      <c r="F130" s="1">
        <f t="shared" si="15"/>
        <v>8500</v>
      </c>
      <c r="H130" t="str">
        <f t="shared" si="16"/>
        <v>{cd,3000}</v>
      </c>
      <c r="I130" t="str">
        <f t="shared" si="17"/>
        <v>{hp,1560}</v>
      </c>
      <c r="J130" t="str">
        <f t="shared" si="18"/>
        <v>{atk,16}</v>
      </c>
      <c r="K130" t="str">
        <f t="shared" si="19"/>
        <v>{spd,8500}</v>
      </c>
      <c r="L130" t="str">
        <f t="shared" si="20"/>
        <v/>
      </c>
      <c r="O130" t="str">
        <f t="shared" si="21"/>
        <v>[{cd,3000},{hp,1560},{atk,16},{spd,8500}]</v>
      </c>
    </row>
    <row r="131" spans="1:15">
      <c r="A131">
        <v>102</v>
      </c>
      <c r="B131">
        <f t="shared" si="14"/>
        <v>26</v>
      </c>
      <c r="C131">
        <v>3000</v>
      </c>
      <c r="D131">
        <f>VLOOKUP(B131,[1]怪物!$N$34:$Q$63,4,0)</f>
        <v>1950</v>
      </c>
      <c r="E131">
        <f>VLOOKUP(A131,[1]怪物!$AD$3:$AG$18,4,0)</f>
        <v>12</v>
      </c>
      <c r="F131" s="1">
        <f t="shared" si="15"/>
        <v>8500</v>
      </c>
      <c r="H131" t="str">
        <f t="shared" si="16"/>
        <v>{cd,3000}</v>
      </c>
      <c r="I131" t="str">
        <f t="shared" si="17"/>
        <v>{hp,1950}</v>
      </c>
      <c r="J131" t="str">
        <f t="shared" si="18"/>
        <v>{atk,12}</v>
      </c>
      <c r="K131" t="str">
        <f t="shared" si="19"/>
        <v>{spd,8500}</v>
      </c>
      <c r="L131" t="str">
        <f t="shared" si="20"/>
        <v/>
      </c>
      <c r="O131" t="str">
        <f t="shared" si="21"/>
        <v>[{cd,3000},{hp,1950},{atk,12},{spd,8500}]</v>
      </c>
    </row>
    <row r="132" spans="1:15">
      <c r="A132">
        <v>502</v>
      </c>
      <c r="B132">
        <f t="shared" si="14"/>
        <v>26</v>
      </c>
      <c r="C132">
        <v>3000</v>
      </c>
      <c r="D132">
        <f>VLOOKUP(B132,[1]怪物!$U$34:$W$63,2,0)</f>
        <v>78000</v>
      </c>
      <c r="E132">
        <f>VLOOKUP(A132,[1]怪物!$AH$3:$AJ$18,2,0)</f>
        <v>30</v>
      </c>
      <c r="F132" s="1">
        <f t="shared" si="15"/>
        <v>8500</v>
      </c>
      <c r="H132" t="str">
        <f t="shared" si="16"/>
        <v>{cd,3000}</v>
      </c>
      <c r="I132" t="str">
        <f t="shared" si="17"/>
        <v>{hp,78000}</v>
      </c>
      <c r="J132" t="str">
        <f t="shared" si="18"/>
        <v>{atk,30}</v>
      </c>
      <c r="K132" t="str">
        <f t="shared" si="19"/>
        <v>{spd,8500}</v>
      </c>
      <c r="L132" t="str">
        <f t="shared" si="20"/>
        <v/>
      </c>
      <c r="O132" t="str">
        <f t="shared" si="21"/>
        <v>[{cd,3000},{hp,78000},{atk,30},{spd,8500}]</v>
      </c>
    </row>
    <row r="133" spans="1:15">
      <c r="A133">
        <v>502</v>
      </c>
      <c r="B133">
        <f t="shared" ref="B133:B153" si="22">B128+1</f>
        <v>26</v>
      </c>
      <c r="C133">
        <v>3000</v>
      </c>
      <c r="D133">
        <f>VLOOKUP(B133,[1]怪物!$U$34:$W$63,3,0)</f>
        <v>104000</v>
      </c>
      <c r="E133">
        <f>VLOOKUP(A133,[1]怪物!$AH$3:$AJ$18,3,0)</f>
        <v>60</v>
      </c>
      <c r="F133" s="1">
        <f t="shared" ref="F133:F196" si="23">VLOOKUP(A133,$W:$AB,6,0)</f>
        <v>8500</v>
      </c>
      <c r="H133" t="str">
        <f t="shared" ref="H133:H153" si="24">$C$2&amp;C$3&amp;$D$2&amp;C133&amp;$E$2</f>
        <v>{cd,3000}</v>
      </c>
      <c r="I133" t="str">
        <f t="shared" ref="I133:I153" si="25">$C$2&amp;D$3&amp;$D$2&amp;D133&amp;$E$2</f>
        <v>{hp,104000}</v>
      </c>
      <c r="J133" t="str">
        <f t="shared" ref="J133:J153" si="26">$C$2&amp;E$3&amp;$D$2&amp;E133&amp;$E$2</f>
        <v>{atk,60}</v>
      </c>
      <c r="K133" t="str">
        <f t="shared" ref="K133:K153" si="27">$C$2&amp;F$3&amp;$D$2&amp;F133&amp;$E$2</f>
        <v>{spd,8500}</v>
      </c>
      <c r="L133" t="str">
        <f t="shared" ref="L133:L196" si="28">IF(VLOOKUP(A133,$W:$AC,7,0)=0,"",VLOOKUP(A133,$W:$AC,7,0))</f>
        <v/>
      </c>
      <c r="O133" t="str">
        <f t="shared" ref="O133:O196" si="29">"["&amp;_xlfn.TEXTJOIN(",",1,H133:M133)&amp;"]"</f>
        <v>[{cd,3000},{hp,104000},{atk,60},{spd,8500}]</v>
      </c>
    </row>
    <row r="134" spans="1:15">
      <c r="A134">
        <v>103</v>
      </c>
      <c r="B134">
        <f t="shared" si="22"/>
        <v>27</v>
      </c>
      <c r="C134">
        <v>3000</v>
      </c>
      <c r="D134">
        <f>VLOOKUP(B134,[1]怪物!$N$34:$Q$63,2,0)</f>
        <v>1400</v>
      </c>
      <c r="E134">
        <f>VLOOKUP(A134,[1]怪物!$AD$3:$AG$18,4,0)</f>
        <v>24</v>
      </c>
      <c r="F134" s="1">
        <f t="shared" si="23"/>
        <v>8500</v>
      </c>
      <c r="H134" t="str">
        <f t="shared" si="24"/>
        <v>{cd,3000}</v>
      </c>
      <c r="I134" t="str">
        <f t="shared" si="25"/>
        <v>{hp,1400}</v>
      </c>
      <c r="J134" t="str">
        <f t="shared" si="26"/>
        <v>{atk,24}</v>
      </c>
      <c r="K134" t="str">
        <f t="shared" si="27"/>
        <v>{spd,8500}</v>
      </c>
      <c r="L134" t="str">
        <f t="shared" si="28"/>
        <v/>
      </c>
      <c r="O134" t="str">
        <f t="shared" si="29"/>
        <v>[{cd,3000},{hp,1400},{atk,24},{spd,8500}]</v>
      </c>
    </row>
    <row r="135" spans="1:15">
      <c r="A135">
        <v>104</v>
      </c>
      <c r="B135">
        <f t="shared" si="22"/>
        <v>27</v>
      </c>
      <c r="C135">
        <v>3000</v>
      </c>
      <c r="D135">
        <f>VLOOKUP(B135,[1]怪物!$N$34:$Q$63,3,0)</f>
        <v>1680</v>
      </c>
      <c r="E135">
        <f>VLOOKUP(A135,[1]怪物!$AD$3:$AG$18,4,0)</f>
        <v>36</v>
      </c>
      <c r="F135" s="1">
        <f t="shared" si="23"/>
        <v>8500</v>
      </c>
      <c r="H135" t="str">
        <f t="shared" si="24"/>
        <v>{cd,3000}</v>
      </c>
      <c r="I135" t="str">
        <f t="shared" si="25"/>
        <v>{hp,1680}</v>
      </c>
      <c r="J135" t="str">
        <f t="shared" si="26"/>
        <v>{atk,36}</v>
      </c>
      <c r="K135" t="str">
        <f t="shared" si="27"/>
        <v>{spd,8500}</v>
      </c>
      <c r="L135" t="str">
        <f t="shared" si="28"/>
        <v/>
      </c>
      <c r="O135" t="str">
        <f t="shared" si="29"/>
        <v>[{cd,3000},{hp,1680},{atk,36},{spd,8500}]</v>
      </c>
    </row>
    <row r="136" spans="1:15">
      <c r="A136">
        <v>104</v>
      </c>
      <c r="B136">
        <f t="shared" si="22"/>
        <v>27</v>
      </c>
      <c r="C136">
        <v>3000</v>
      </c>
      <c r="D136">
        <f>VLOOKUP(B136,[1]怪物!$N$34:$Q$63,4,0)</f>
        <v>2100</v>
      </c>
      <c r="E136">
        <f>VLOOKUP(A136,[1]怪物!$AD$3:$AG$18,4,0)</f>
        <v>36</v>
      </c>
      <c r="F136" s="1">
        <f t="shared" si="23"/>
        <v>8500</v>
      </c>
      <c r="H136" t="str">
        <f t="shared" si="24"/>
        <v>{cd,3000}</v>
      </c>
      <c r="I136" t="str">
        <f t="shared" si="25"/>
        <v>{hp,2100}</v>
      </c>
      <c r="J136" t="str">
        <f t="shared" si="26"/>
        <v>{atk,36}</v>
      </c>
      <c r="K136" t="str">
        <f t="shared" si="27"/>
        <v>{spd,8500}</v>
      </c>
      <c r="L136" t="str">
        <f t="shared" si="28"/>
        <v/>
      </c>
      <c r="O136" t="str">
        <f t="shared" si="29"/>
        <v>[{cd,3000},{hp,2100},{atk,36},{spd,8500}]</v>
      </c>
    </row>
    <row r="137" spans="1:15">
      <c r="A137">
        <v>504</v>
      </c>
      <c r="B137">
        <f t="shared" si="22"/>
        <v>27</v>
      </c>
      <c r="C137">
        <v>3000</v>
      </c>
      <c r="D137">
        <f>VLOOKUP(B137,[1]怪物!$U$34:$W$63,2,0)</f>
        <v>84000</v>
      </c>
      <c r="E137">
        <f>VLOOKUP(A137,[1]怪物!$AH$3:$AJ$18,2,0)</f>
        <v>90</v>
      </c>
      <c r="F137" s="1">
        <f t="shared" si="23"/>
        <v>8500</v>
      </c>
      <c r="H137" t="str">
        <f t="shared" si="24"/>
        <v>{cd,3000}</v>
      </c>
      <c r="I137" t="str">
        <f t="shared" si="25"/>
        <v>{hp,84000}</v>
      </c>
      <c r="J137" t="str">
        <f t="shared" si="26"/>
        <v>{atk,90}</v>
      </c>
      <c r="K137" t="str">
        <f t="shared" si="27"/>
        <v>{spd,8500}</v>
      </c>
      <c r="L137" t="str">
        <f t="shared" si="28"/>
        <v/>
      </c>
      <c r="O137" t="str">
        <f t="shared" si="29"/>
        <v>[{cd,3000},{hp,84000},{atk,90},{spd,8500}]</v>
      </c>
    </row>
    <row r="138" spans="1:15">
      <c r="A138">
        <v>504</v>
      </c>
      <c r="B138">
        <f t="shared" si="22"/>
        <v>27</v>
      </c>
      <c r="C138">
        <v>3000</v>
      </c>
      <c r="D138">
        <f>VLOOKUP(B138,[1]怪物!$U$34:$W$63,3,0)</f>
        <v>112000</v>
      </c>
      <c r="E138">
        <f>VLOOKUP(A138,[1]怪物!$AH$3:$AJ$18,3,0)</f>
        <v>180</v>
      </c>
      <c r="F138" s="1">
        <f t="shared" si="23"/>
        <v>8500</v>
      </c>
      <c r="H138" t="str">
        <f t="shared" si="24"/>
        <v>{cd,3000}</v>
      </c>
      <c r="I138" t="str">
        <f t="shared" si="25"/>
        <v>{hp,112000}</v>
      </c>
      <c r="J138" t="str">
        <f t="shared" si="26"/>
        <v>{atk,180}</v>
      </c>
      <c r="K138" t="str">
        <f t="shared" si="27"/>
        <v>{spd,8500}</v>
      </c>
      <c r="L138" t="str">
        <f t="shared" si="28"/>
        <v/>
      </c>
      <c r="O138" t="str">
        <f t="shared" si="29"/>
        <v>[{cd,3000},{hp,112000},{atk,180},{spd,8500}]</v>
      </c>
    </row>
    <row r="139" spans="1:15">
      <c r="A139">
        <v>103</v>
      </c>
      <c r="B139">
        <f t="shared" si="22"/>
        <v>28</v>
      </c>
      <c r="C139">
        <v>3000</v>
      </c>
      <c r="D139">
        <f>VLOOKUP(B139,[1]怪物!$N$34:$Q$63,2,0)</f>
        <v>1500</v>
      </c>
      <c r="E139">
        <f>VLOOKUP(A139,[1]怪物!$AD$3:$AG$18,4,0)</f>
        <v>24</v>
      </c>
      <c r="F139" s="1">
        <f t="shared" si="23"/>
        <v>8500</v>
      </c>
      <c r="H139" t="str">
        <f t="shared" si="24"/>
        <v>{cd,3000}</v>
      </c>
      <c r="I139" t="str">
        <f t="shared" si="25"/>
        <v>{hp,1500}</v>
      </c>
      <c r="J139" t="str">
        <f t="shared" si="26"/>
        <v>{atk,24}</v>
      </c>
      <c r="K139" t="str">
        <f t="shared" si="27"/>
        <v>{spd,8500}</v>
      </c>
      <c r="L139" t="str">
        <f t="shared" si="28"/>
        <v/>
      </c>
      <c r="O139" t="str">
        <f t="shared" si="29"/>
        <v>[{cd,3000},{hp,1500},{atk,24},{spd,8500}]</v>
      </c>
    </row>
    <row r="140" spans="1:15">
      <c r="A140">
        <v>104</v>
      </c>
      <c r="B140">
        <f t="shared" si="22"/>
        <v>28</v>
      </c>
      <c r="C140">
        <v>3000</v>
      </c>
      <c r="D140">
        <f>VLOOKUP(B140,[1]怪物!$N$34:$Q$63,3,0)</f>
        <v>1800</v>
      </c>
      <c r="E140">
        <f>VLOOKUP(A140,[1]怪物!$AD$3:$AG$18,4,0)</f>
        <v>36</v>
      </c>
      <c r="F140" s="1">
        <f t="shared" si="23"/>
        <v>8500</v>
      </c>
      <c r="H140" t="str">
        <f t="shared" si="24"/>
        <v>{cd,3000}</v>
      </c>
      <c r="I140" t="str">
        <f t="shared" si="25"/>
        <v>{hp,1800}</v>
      </c>
      <c r="J140" t="str">
        <f t="shared" si="26"/>
        <v>{atk,36}</v>
      </c>
      <c r="K140" t="str">
        <f t="shared" si="27"/>
        <v>{spd,8500}</v>
      </c>
      <c r="L140" t="str">
        <f t="shared" si="28"/>
        <v/>
      </c>
      <c r="O140" t="str">
        <f t="shared" si="29"/>
        <v>[{cd,3000},{hp,1800},{atk,36},{spd,8500}]</v>
      </c>
    </row>
    <row r="141" spans="1:15">
      <c r="A141">
        <v>106</v>
      </c>
      <c r="B141">
        <f t="shared" si="22"/>
        <v>28</v>
      </c>
      <c r="C141">
        <v>3000</v>
      </c>
      <c r="D141">
        <f>VLOOKUP(B141,[1]怪物!$N$34:$Q$63,4,0)</f>
        <v>2250</v>
      </c>
      <c r="E141">
        <f>VLOOKUP(A141,[1]怪物!$AD$3:$AG$18,4,0)</f>
        <v>20</v>
      </c>
      <c r="F141" s="1">
        <f t="shared" si="23"/>
        <v>8500</v>
      </c>
      <c r="H141" t="str">
        <f t="shared" si="24"/>
        <v>{cd,3000}</v>
      </c>
      <c r="I141" t="str">
        <f t="shared" si="25"/>
        <v>{hp,2250}</v>
      </c>
      <c r="J141" t="str">
        <f t="shared" si="26"/>
        <v>{atk,20}</v>
      </c>
      <c r="K141" t="str">
        <f t="shared" si="27"/>
        <v>{spd,8500}</v>
      </c>
      <c r="L141" t="str">
        <f t="shared" si="28"/>
        <v/>
      </c>
      <c r="O141" t="str">
        <f t="shared" si="29"/>
        <v>[{cd,3000},{hp,2250},{atk,20},{spd,8500}]</v>
      </c>
    </row>
    <row r="142" spans="1:15">
      <c r="A142">
        <v>503</v>
      </c>
      <c r="B142">
        <f t="shared" si="22"/>
        <v>28</v>
      </c>
      <c r="C142">
        <v>3000</v>
      </c>
      <c r="D142">
        <f>VLOOKUP(B142,[1]怪物!$U$34:$W$63,2,0)</f>
        <v>90000</v>
      </c>
      <c r="E142">
        <f>VLOOKUP(A142,[1]怪物!$AH$3:$AJ$18,2,0)</f>
        <v>60</v>
      </c>
      <c r="F142" s="1">
        <f t="shared" si="23"/>
        <v>8500</v>
      </c>
      <c r="H142" t="str">
        <f t="shared" si="24"/>
        <v>{cd,3000}</v>
      </c>
      <c r="I142" t="str">
        <f t="shared" si="25"/>
        <v>{hp,90000}</v>
      </c>
      <c r="J142" t="str">
        <f t="shared" si="26"/>
        <v>{atk,60}</v>
      </c>
      <c r="K142" t="str">
        <f t="shared" si="27"/>
        <v>{spd,8500}</v>
      </c>
      <c r="L142" t="str">
        <f t="shared" si="28"/>
        <v/>
      </c>
      <c r="O142" t="str">
        <f t="shared" si="29"/>
        <v>[{cd,3000},{hp,90000},{atk,60},{spd,8500}]</v>
      </c>
    </row>
    <row r="143" spans="1:15">
      <c r="A143">
        <v>503</v>
      </c>
      <c r="B143">
        <f t="shared" si="22"/>
        <v>28</v>
      </c>
      <c r="C143">
        <v>3000</v>
      </c>
      <c r="D143">
        <f>VLOOKUP(B143,[1]怪物!$U$34:$W$63,3,0)</f>
        <v>120000</v>
      </c>
      <c r="E143">
        <f>VLOOKUP(A143,[1]怪物!$AH$3:$AJ$18,3,0)</f>
        <v>120</v>
      </c>
      <c r="F143" s="1">
        <f t="shared" si="23"/>
        <v>8500</v>
      </c>
      <c r="H143" t="str">
        <f t="shared" si="24"/>
        <v>{cd,3000}</v>
      </c>
      <c r="I143" t="str">
        <f t="shared" si="25"/>
        <v>{hp,120000}</v>
      </c>
      <c r="J143" t="str">
        <f t="shared" si="26"/>
        <v>{atk,120}</v>
      </c>
      <c r="K143" t="str">
        <f t="shared" si="27"/>
        <v>{spd,8500}</v>
      </c>
      <c r="L143" t="str">
        <f t="shared" si="28"/>
        <v/>
      </c>
      <c r="O143" t="str">
        <f t="shared" si="29"/>
        <v>[{cd,3000},{hp,120000},{atk,120},{spd,8500}]</v>
      </c>
    </row>
    <row r="144" spans="1:15">
      <c r="A144">
        <v>108</v>
      </c>
      <c r="B144">
        <f t="shared" si="22"/>
        <v>29</v>
      </c>
      <c r="C144">
        <v>3000</v>
      </c>
      <c r="D144">
        <f>VLOOKUP(B144,[1]怪物!$N$34:$Q$63,2,0)</f>
        <v>1600</v>
      </c>
      <c r="E144">
        <f>VLOOKUP(A144,[1]怪物!$AD$3:$AG$18,4,0)</f>
        <v>40</v>
      </c>
      <c r="F144" s="1">
        <f t="shared" si="23"/>
        <v>8500</v>
      </c>
      <c r="H144" t="str">
        <f t="shared" si="24"/>
        <v>{cd,3000}</v>
      </c>
      <c r="I144" t="str">
        <f t="shared" si="25"/>
        <v>{hp,1600}</v>
      </c>
      <c r="J144" t="str">
        <f t="shared" si="26"/>
        <v>{atk,40}</v>
      </c>
      <c r="K144" t="str">
        <f t="shared" si="27"/>
        <v>{spd,8500}</v>
      </c>
      <c r="L144" t="str">
        <f t="shared" si="28"/>
        <v/>
      </c>
      <c r="O144" t="str">
        <f t="shared" si="29"/>
        <v>[{cd,3000},{hp,1600},{atk,40},{spd,8500}]</v>
      </c>
    </row>
    <row r="145" spans="1:15">
      <c r="A145">
        <v>110</v>
      </c>
      <c r="B145">
        <f t="shared" si="22"/>
        <v>29</v>
      </c>
      <c r="C145">
        <v>3000</v>
      </c>
      <c r="D145">
        <f>VLOOKUP(B145,[1]怪物!$N$34:$Q$63,3,0)</f>
        <v>1920</v>
      </c>
      <c r="E145">
        <f>VLOOKUP(A145,[1]怪物!$AD$3:$AG$18,4,0)</f>
        <v>40</v>
      </c>
      <c r="F145" s="1">
        <f t="shared" si="23"/>
        <v>8500</v>
      </c>
      <c r="H145" t="str">
        <f t="shared" si="24"/>
        <v>{cd,3000}</v>
      </c>
      <c r="I145" t="str">
        <f t="shared" si="25"/>
        <v>{hp,1920}</v>
      </c>
      <c r="J145" t="str">
        <f t="shared" si="26"/>
        <v>{atk,40}</v>
      </c>
      <c r="K145" t="str">
        <f t="shared" si="27"/>
        <v>{spd,8500}</v>
      </c>
      <c r="L145" t="str">
        <f t="shared" si="28"/>
        <v/>
      </c>
      <c r="O145" t="str">
        <f t="shared" si="29"/>
        <v>[{cd,3000},{hp,1920},{atk,40},{spd,8500}]</v>
      </c>
    </row>
    <row r="146" spans="1:15">
      <c r="A146">
        <v>114</v>
      </c>
      <c r="B146">
        <f t="shared" si="22"/>
        <v>29</v>
      </c>
      <c r="C146">
        <v>3000</v>
      </c>
      <c r="D146">
        <f>VLOOKUP(B146,[1]怪物!$N$34:$Q$63,4,0)</f>
        <v>2400</v>
      </c>
      <c r="E146">
        <f>VLOOKUP(A146,[1]怪物!$AD$3:$AG$18,4,0)</f>
        <v>20</v>
      </c>
      <c r="F146" s="1">
        <f t="shared" si="23"/>
        <v>8500</v>
      </c>
      <c r="H146" t="str">
        <f t="shared" si="24"/>
        <v>{cd,3000}</v>
      </c>
      <c r="I146" t="str">
        <f t="shared" si="25"/>
        <v>{hp,2400}</v>
      </c>
      <c r="J146" t="str">
        <f t="shared" si="26"/>
        <v>{atk,20}</v>
      </c>
      <c r="K146" t="str">
        <f t="shared" si="27"/>
        <v>{spd,8500}</v>
      </c>
      <c r="L146" t="str">
        <f t="shared" si="28"/>
        <v/>
      </c>
      <c r="O146" t="str">
        <f t="shared" si="29"/>
        <v>[{cd,3000},{hp,2400},{atk,20},{spd,8500}]</v>
      </c>
    </row>
    <row r="147" spans="1:15">
      <c r="A147">
        <v>508</v>
      </c>
      <c r="B147">
        <f t="shared" si="22"/>
        <v>29</v>
      </c>
      <c r="C147">
        <v>3000</v>
      </c>
      <c r="D147">
        <f>VLOOKUP(B147,[1]怪物!$U$34:$W$63,2,0)</f>
        <v>96000</v>
      </c>
      <c r="E147">
        <f>VLOOKUP(A147,[1]怪物!$AH$3:$AJ$18,2,0)</f>
        <v>100</v>
      </c>
      <c r="F147" s="1">
        <f t="shared" si="23"/>
        <v>8500</v>
      </c>
      <c r="H147" t="str">
        <f t="shared" si="24"/>
        <v>{cd,3000}</v>
      </c>
      <c r="I147" t="str">
        <f t="shared" si="25"/>
        <v>{hp,96000}</v>
      </c>
      <c r="J147" t="str">
        <f t="shared" si="26"/>
        <v>{atk,100}</v>
      </c>
      <c r="K147" t="str">
        <f t="shared" si="27"/>
        <v>{spd,8500}</v>
      </c>
      <c r="L147" t="str">
        <f t="shared" si="28"/>
        <v/>
      </c>
      <c r="O147" t="str">
        <f t="shared" si="29"/>
        <v>[{cd,3000},{hp,96000},{atk,100},{spd,8500}]</v>
      </c>
    </row>
    <row r="148" spans="1:15">
      <c r="A148">
        <v>508</v>
      </c>
      <c r="B148">
        <f t="shared" si="22"/>
        <v>29</v>
      </c>
      <c r="C148">
        <v>3000</v>
      </c>
      <c r="D148">
        <f>VLOOKUP(B148,[1]怪物!$U$34:$W$63,3,0)</f>
        <v>128000</v>
      </c>
      <c r="E148">
        <f>VLOOKUP(A148,[1]怪物!$AH$3:$AJ$18,3,0)</f>
        <v>200</v>
      </c>
      <c r="F148" s="1">
        <f t="shared" si="23"/>
        <v>8500</v>
      </c>
      <c r="H148" t="str">
        <f t="shared" si="24"/>
        <v>{cd,3000}</v>
      </c>
      <c r="I148" t="str">
        <f t="shared" si="25"/>
        <v>{hp,128000}</v>
      </c>
      <c r="J148" t="str">
        <f t="shared" si="26"/>
        <v>{atk,200}</v>
      </c>
      <c r="K148" t="str">
        <f t="shared" si="27"/>
        <v>{spd,8500}</v>
      </c>
      <c r="L148" t="str">
        <f t="shared" si="28"/>
        <v/>
      </c>
      <c r="O148" t="str">
        <f t="shared" si="29"/>
        <v>[{cd,3000},{hp,128000},{atk,200},{spd,8500}]</v>
      </c>
    </row>
    <row r="149" spans="1:15">
      <c r="A149">
        <v>110</v>
      </c>
      <c r="B149">
        <f t="shared" si="22"/>
        <v>30</v>
      </c>
      <c r="C149">
        <v>3000</v>
      </c>
      <c r="D149">
        <f>VLOOKUP(B149,[1]怪物!$N$34:$Q$63,2,0)</f>
        <v>1700</v>
      </c>
      <c r="E149">
        <f>VLOOKUP(A149,[1]怪物!$AD$3:$AG$18,4,0)</f>
        <v>40</v>
      </c>
      <c r="F149" s="1">
        <f t="shared" si="23"/>
        <v>8500</v>
      </c>
      <c r="H149" t="str">
        <f t="shared" si="24"/>
        <v>{cd,3000}</v>
      </c>
      <c r="I149" t="str">
        <f t="shared" si="25"/>
        <v>{hp,1700}</v>
      </c>
      <c r="J149" t="str">
        <f t="shared" si="26"/>
        <v>{atk,40}</v>
      </c>
      <c r="K149" t="str">
        <f t="shared" si="27"/>
        <v>{spd,8500}</v>
      </c>
      <c r="L149" t="str">
        <f t="shared" si="28"/>
        <v/>
      </c>
      <c r="O149" t="str">
        <f t="shared" si="29"/>
        <v>[{cd,3000},{hp,1700},{atk,40},{spd,8500}]</v>
      </c>
    </row>
    <row r="150" spans="1:15">
      <c r="A150">
        <v>114</v>
      </c>
      <c r="B150">
        <f t="shared" si="22"/>
        <v>30</v>
      </c>
      <c r="C150">
        <v>3000</v>
      </c>
      <c r="D150">
        <f>VLOOKUP(B150,[1]怪物!$N$34:$Q$63,3,0)</f>
        <v>2040</v>
      </c>
      <c r="E150">
        <f>VLOOKUP(A150,[1]怪物!$AD$3:$AG$18,4,0)</f>
        <v>20</v>
      </c>
      <c r="F150" s="1">
        <f t="shared" si="23"/>
        <v>8500</v>
      </c>
      <c r="H150" t="str">
        <f t="shared" si="24"/>
        <v>{cd,3000}</v>
      </c>
      <c r="I150" t="str">
        <f t="shared" si="25"/>
        <v>{hp,2040}</v>
      </c>
      <c r="J150" t="str">
        <f t="shared" si="26"/>
        <v>{atk,20}</v>
      </c>
      <c r="K150" t="str">
        <f t="shared" si="27"/>
        <v>{spd,8500}</v>
      </c>
      <c r="L150" t="str">
        <f t="shared" si="28"/>
        <v/>
      </c>
      <c r="O150" t="str">
        <f t="shared" si="29"/>
        <v>[{cd,3000},{hp,2040},{atk,20},{spd,8500}]</v>
      </c>
    </row>
    <row r="151" spans="1:15">
      <c r="A151">
        <v>109</v>
      </c>
      <c r="B151">
        <f t="shared" si="22"/>
        <v>30</v>
      </c>
      <c r="C151">
        <v>3000</v>
      </c>
      <c r="D151">
        <f>VLOOKUP(B151,[1]怪物!$N$34:$Q$63,4,0)</f>
        <v>2550</v>
      </c>
      <c r="E151">
        <f>VLOOKUP(A151,[1]怪物!$AD$3:$AG$18,4,0)</f>
        <v>16</v>
      </c>
      <c r="F151" s="1">
        <f t="shared" si="23"/>
        <v>8500</v>
      </c>
      <c r="H151" t="str">
        <f t="shared" si="24"/>
        <v>{cd,3000}</v>
      </c>
      <c r="I151" t="str">
        <f t="shared" si="25"/>
        <v>{hp,2550}</v>
      </c>
      <c r="J151" t="str">
        <f t="shared" si="26"/>
        <v>{atk,16}</v>
      </c>
      <c r="K151" t="str">
        <f t="shared" si="27"/>
        <v>{spd,8500}</v>
      </c>
      <c r="L151" t="str">
        <f t="shared" si="28"/>
        <v/>
      </c>
      <c r="O151" t="str">
        <f t="shared" si="29"/>
        <v>[{cd,3000},{hp,2550},{atk,16},{spd,8500}]</v>
      </c>
    </row>
    <row r="152" spans="1:15">
      <c r="A152">
        <v>514</v>
      </c>
      <c r="B152">
        <f t="shared" si="22"/>
        <v>30</v>
      </c>
      <c r="C152">
        <v>3000</v>
      </c>
      <c r="D152">
        <f>VLOOKUP(B152,[1]怪物!$U$34:$W$63,2,0)</f>
        <v>102000</v>
      </c>
      <c r="E152">
        <f>VLOOKUP(A152,[1]怪物!$AH$3:$AJ$18,2,0)</f>
        <v>50</v>
      </c>
      <c r="F152" s="1">
        <f t="shared" si="23"/>
        <v>8500</v>
      </c>
      <c r="H152" t="str">
        <f t="shared" si="24"/>
        <v>{cd,3000}</v>
      </c>
      <c r="I152" t="str">
        <f t="shared" si="25"/>
        <v>{hp,102000}</v>
      </c>
      <c r="J152" t="str">
        <f t="shared" si="26"/>
        <v>{atk,50}</v>
      </c>
      <c r="K152" t="str">
        <f t="shared" si="27"/>
        <v>{spd,8500}</v>
      </c>
      <c r="L152" t="str">
        <f t="shared" si="28"/>
        <v/>
      </c>
      <c r="O152" t="str">
        <f t="shared" si="29"/>
        <v>[{cd,3000},{hp,102000},{atk,50},{spd,8500}]</v>
      </c>
    </row>
    <row r="153" spans="1:15">
      <c r="A153">
        <v>514</v>
      </c>
      <c r="B153">
        <f t="shared" si="22"/>
        <v>30</v>
      </c>
      <c r="C153">
        <v>3000</v>
      </c>
      <c r="D153">
        <f>VLOOKUP(B153,[1]怪物!$U$34:$W$63,3,0)</f>
        <v>136000</v>
      </c>
      <c r="E153">
        <f>VLOOKUP(A153,[1]怪物!$AH$3:$AJ$18,3,0)</f>
        <v>100</v>
      </c>
      <c r="F153" s="1">
        <f t="shared" si="23"/>
        <v>8500</v>
      </c>
      <c r="H153" t="str">
        <f t="shared" si="24"/>
        <v>{cd,3000}</v>
      </c>
      <c r="I153" t="str">
        <f t="shared" si="25"/>
        <v>{hp,136000}</v>
      </c>
      <c r="J153" t="str">
        <f t="shared" si="26"/>
        <v>{atk,100}</v>
      </c>
      <c r="K153" t="str">
        <f t="shared" si="27"/>
        <v>{spd,8500}</v>
      </c>
      <c r="L153" t="str">
        <f t="shared" si="28"/>
        <v/>
      </c>
      <c r="O153" t="str">
        <f t="shared" si="29"/>
        <v>[{cd,3000},{hp,136000},{atk,100},{spd,8500}]</v>
      </c>
    </row>
    <row r="154" spans="1:15">
      <c r="A154">
        <v>111</v>
      </c>
      <c r="B154">
        <f t="shared" ref="B154:B178" si="30">B149+1</f>
        <v>31</v>
      </c>
      <c r="C154">
        <v>3000</v>
      </c>
      <c r="D154">
        <f>VLOOKUP(B154,[1]怪物!$N$34:$T$103,2,0)</f>
        <v>1900</v>
      </c>
      <c r="E154">
        <f>VLOOKUP(B154,[1]怪物!$N$34:$T$103,5,0)</f>
        <v>30</v>
      </c>
      <c r="F154" s="1">
        <f t="shared" si="23"/>
        <v>8500</v>
      </c>
      <c r="H154" t="str">
        <f t="shared" ref="H154:H178" si="31">$C$2&amp;C$3&amp;$D$2&amp;C154&amp;$E$2</f>
        <v>{cd,3000}</v>
      </c>
      <c r="I154" t="str">
        <f t="shared" ref="I154:I178" si="32">$C$2&amp;D$3&amp;$D$2&amp;D154&amp;$E$2</f>
        <v>{hp,1900}</v>
      </c>
      <c r="J154" t="str">
        <f t="shared" ref="J154:J178" si="33">$C$2&amp;E$3&amp;$D$2&amp;E154&amp;$E$2</f>
        <v>{atk,30}</v>
      </c>
      <c r="K154" t="str">
        <f t="shared" ref="K154:K178" si="34">$C$2&amp;F$3&amp;$D$2&amp;F154&amp;$E$2</f>
        <v>{spd,8500}</v>
      </c>
      <c r="L154" t="str">
        <f t="shared" si="28"/>
        <v/>
      </c>
      <c r="O154" t="str">
        <f t="shared" si="29"/>
        <v>[{cd,3000},{hp,1900},{atk,30},{spd,8500}]</v>
      </c>
    </row>
    <row r="155" spans="1:15">
      <c r="A155">
        <v>115</v>
      </c>
      <c r="B155">
        <f t="shared" si="30"/>
        <v>31</v>
      </c>
      <c r="C155">
        <v>3000</v>
      </c>
      <c r="D155">
        <f>VLOOKUP(B155,[1]怪物!$N$34:$T$103,3,0)</f>
        <v>2280</v>
      </c>
      <c r="E155">
        <f>VLOOKUP(B155,[1]怪物!$N$34:$T$103,6,0)</f>
        <v>36</v>
      </c>
      <c r="F155" s="1">
        <f t="shared" si="23"/>
        <v>8500</v>
      </c>
      <c r="H155" t="str">
        <f t="shared" si="31"/>
        <v>{cd,3000}</v>
      </c>
      <c r="I155" t="str">
        <f t="shared" si="32"/>
        <v>{hp,2280}</v>
      </c>
      <c r="J155" t="str">
        <f t="shared" si="33"/>
        <v>{atk,36}</v>
      </c>
      <c r="K155" t="str">
        <f t="shared" si="34"/>
        <v>{spd,8500}</v>
      </c>
      <c r="L155" t="str">
        <f t="shared" si="28"/>
        <v/>
      </c>
      <c r="O155" t="str">
        <f t="shared" si="29"/>
        <v>[{cd,3000},{hp,2280},{atk,36},{spd,8500}]</v>
      </c>
    </row>
    <row r="156" spans="1:15">
      <c r="A156">
        <v>113</v>
      </c>
      <c r="B156">
        <f t="shared" si="30"/>
        <v>31</v>
      </c>
      <c r="C156">
        <v>3000</v>
      </c>
      <c r="D156">
        <f>VLOOKUP(B156,[1]怪物!$N$34:$T$103,4,0)</f>
        <v>2850</v>
      </c>
      <c r="E156">
        <f>VLOOKUP(B156,[1]怪物!$N$34:$T$103,7,0)</f>
        <v>45</v>
      </c>
      <c r="F156" s="1">
        <f t="shared" si="23"/>
        <v>8500</v>
      </c>
      <c r="H156" t="str">
        <f t="shared" si="31"/>
        <v>{cd,3000}</v>
      </c>
      <c r="I156" t="str">
        <f t="shared" si="32"/>
        <v>{hp,2850}</v>
      </c>
      <c r="J156" t="str">
        <f t="shared" si="33"/>
        <v>{atk,45}</v>
      </c>
      <c r="K156" t="str">
        <f t="shared" si="34"/>
        <v>{spd,8500}</v>
      </c>
      <c r="L156" t="str">
        <f t="shared" si="28"/>
        <v/>
      </c>
      <c r="O156" t="str">
        <f t="shared" si="29"/>
        <v>[{cd,3000},{hp,2850},{atk,45},{spd,8500}]</v>
      </c>
    </row>
    <row r="157" spans="1:15">
      <c r="A157">
        <v>515</v>
      </c>
      <c r="B157">
        <f t="shared" si="30"/>
        <v>31</v>
      </c>
      <c r="C157">
        <v>3000</v>
      </c>
      <c r="D157">
        <f>VLOOKUP(B157,[1]怪物!$U$34:$Y$104,2,0)</f>
        <v>114000</v>
      </c>
      <c r="E157">
        <f>VLOOKUP(B157,[1]怪物!$U$34:$Y$104,4,0)</f>
        <v>75</v>
      </c>
      <c r="F157" s="1">
        <f t="shared" si="23"/>
        <v>8500</v>
      </c>
      <c r="H157" t="str">
        <f t="shared" si="31"/>
        <v>{cd,3000}</v>
      </c>
      <c r="I157" t="str">
        <f t="shared" si="32"/>
        <v>{hp,114000}</v>
      </c>
      <c r="J157" t="str">
        <f t="shared" si="33"/>
        <v>{atk,75}</v>
      </c>
      <c r="K157" t="str">
        <f t="shared" si="34"/>
        <v>{spd,8500}</v>
      </c>
      <c r="L157" t="str">
        <f t="shared" si="28"/>
        <v/>
      </c>
      <c r="O157" t="str">
        <f t="shared" si="29"/>
        <v>[{cd,3000},{hp,114000},{atk,75},{spd,8500}]</v>
      </c>
    </row>
    <row r="158" spans="1:15">
      <c r="A158">
        <v>515</v>
      </c>
      <c r="B158">
        <f t="shared" si="30"/>
        <v>31</v>
      </c>
      <c r="C158">
        <v>3000</v>
      </c>
      <c r="D158">
        <f>VLOOKUP(B158,[1]怪物!$U$34:$Y$104,3,0)</f>
        <v>152000</v>
      </c>
      <c r="E158">
        <f>VLOOKUP(B158,[1]怪物!$U$34:$Y$104,5,0)</f>
        <v>150</v>
      </c>
      <c r="F158" s="1">
        <f t="shared" si="23"/>
        <v>8500</v>
      </c>
      <c r="H158" t="str">
        <f t="shared" si="31"/>
        <v>{cd,3000}</v>
      </c>
      <c r="I158" t="str">
        <f t="shared" si="32"/>
        <v>{hp,152000}</v>
      </c>
      <c r="J158" t="str">
        <f t="shared" si="33"/>
        <v>{atk,150}</v>
      </c>
      <c r="K158" t="str">
        <f t="shared" si="34"/>
        <v>{spd,8500}</v>
      </c>
      <c r="L158" t="str">
        <f t="shared" si="28"/>
        <v/>
      </c>
      <c r="O158" t="str">
        <f t="shared" si="29"/>
        <v>[{cd,3000},{hp,152000},{atk,150},{spd,8500}]</v>
      </c>
    </row>
    <row r="159" spans="1:15">
      <c r="A159">
        <v>115</v>
      </c>
      <c r="B159">
        <f t="shared" si="30"/>
        <v>32</v>
      </c>
      <c r="C159">
        <v>3000</v>
      </c>
      <c r="D159">
        <f>VLOOKUP(B159,[1]怪物!$N$34:$T$103,2,0)</f>
        <v>2100</v>
      </c>
      <c r="E159">
        <f>VLOOKUP(B159,[1]怪物!$N$34:$T$103,5,0)</f>
        <v>32</v>
      </c>
      <c r="F159" s="1">
        <f t="shared" si="23"/>
        <v>8500</v>
      </c>
      <c r="H159" t="str">
        <f t="shared" si="31"/>
        <v>{cd,3000}</v>
      </c>
      <c r="I159" t="str">
        <f t="shared" si="32"/>
        <v>{hp,2100}</v>
      </c>
      <c r="J159" t="str">
        <f t="shared" si="33"/>
        <v>{atk,32}</v>
      </c>
      <c r="K159" t="str">
        <f t="shared" si="34"/>
        <v>{spd,8500}</v>
      </c>
      <c r="L159" t="str">
        <f t="shared" si="28"/>
        <v/>
      </c>
      <c r="O159" t="str">
        <f t="shared" si="29"/>
        <v>[{cd,3000},{hp,2100},{atk,32},{spd,8500}]</v>
      </c>
    </row>
    <row r="160" spans="1:15">
      <c r="A160">
        <v>113</v>
      </c>
      <c r="B160">
        <f t="shared" si="30"/>
        <v>32</v>
      </c>
      <c r="C160">
        <v>3000</v>
      </c>
      <c r="D160">
        <f>VLOOKUP(B160,[1]怪物!$N$34:$T$103,3,0)</f>
        <v>2520</v>
      </c>
      <c r="E160">
        <f>VLOOKUP(B160,[1]怪物!$N$34:$T$103,6,0)</f>
        <v>38</v>
      </c>
      <c r="F160" s="1">
        <f t="shared" si="23"/>
        <v>8500</v>
      </c>
      <c r="H160" t="str">
        <f t="shared" si="31"/>
        <v>{cd,3000}</v>
      </c>
      <c r="I160" t="str">
        <f t="shared" si="32"/>
        <v>{hp,2520}</v>
      </c>
      <c r="J160" t="str">
        <f t="shared" si="33"/>
        <v>{atk,38}</v>
      </c>
      <c r="K160" t="str">
        <f t="shared" si="34"/>
        <v>{spd,8500}</v>
      </c>
      <c r="L160" t="str">
        <f t="shared" si="28"/>
        <v/>
      </c>
      <c r="O160" t="str">
        <f t="shared" si="29"/>
        <v>[{cd,3000},{hp,2520},{atk,38},{spd,8500}]</v>
      </c>
    </row>
    <row r="161" spans="1:15">
      <c r="A161">
        <v>113</v>
      </c>
      <c r="B161">
        <f t="shared" si="30"/>
        <v>32</v>
      </c>
      <c r="C161">
        <v>3000</v>
      </c>
      <c r="D161">
        <f>VLOOKUP(B161,[1]怪物!$N$34:$T$103,4,0)</f>
        <v>3150</v>
      </c>
      <c r="E161">
        <f>VLOOKUP(B161,[1]怪物!$N$34:$T$103,7,0)</f>
        <v>48</v>
      </c>
      <c r="F161" s="1">
        <f t="shared" si="23"/>
        <v>8500</v>
      </c>
      <c r="H161" t="str">
        <f t="shared" si="31"/>
        <v>{cd,3000}</v>
      </c>
      <c r="I161" t="str">
        <f t="shared" si="32"/>
        <v>{hp,3150}</v>
      </c>
      <c r="J161" t="str">
        <f t="shared" si="33"/>
        <v>{atk,48}</v>
      </c>
      <c r="K161" t="str">
        <f t="shared" si="34"/>
        <v>{spd,8500}</v>
      </c>
      <c r="L161" t="str">
        <f t="shared" si="28"/>
        <v/>
      </c>
      <c r="O161" t="str">
        <f t="shared" si="29"/>
        <v>[{cd,3000},{hp,3150},{atk,48},{spd,8500}]</v>
      </c>
    </row>
    <row r="162" spans="1:15">
      <c r="A162">
        <v>515</v>
      </c>
      <c r="B162">
        <f t="shared" si="30"/>
        <v>32</v>
      </c>
      <c r="C162">
        <v>3000</v>
      </c>
      <c r="D162">
        <f>VLOOKUP(B162,[1]怪物!$U$34:$Y$104,2,0)</f>
        <v>126000</v>
      </c>
      <c r="E162">
        <f>VLOOKUP(B162,[1]怪物!$U$34:$Y$104,4,0)</f>
        <v>80</v>
      </c>
      <c r="F162" s="1">
        <f t="shared" si="23"/>
        <v>8500</v>
      </c>
      <c r="H162" t="str">
        <f t="shared" si="31"/>
        <v>{cd,3000}</v>
      </c>
      <c r="I162" t="str">
        <f t="shared" si="32"/>
        <v>{hp,126000}</v>
      </c>
      <c r="J162" t="str">
        <f t="shared" si="33"/>
        <v>{atk,80}</v>
      </c>
      <c r="K162" t="str">
        <f t="shared" si="34"/>
        <v>{spd,8500}</v>
      </c>
      <c r="L162" t="str">
        <f t="shared" si="28"/>
        <v/>
      </c>
      <c r="O162" t="str">
        <f t="shared" si="29"/>
        <v>[{cd,3000},{hp,126000},{atk,80},{spd,8500}]</v>
      </c>
    </row>
    <row r="163" spans="1:15">
      <c r="A163">
        <v>515</v>
      </c>
      <c r="B163">
        <f t="shared" si="30"/>
        <v>32</v>
      </c>
      <c r="C163">
        <v>3000</v>
      </c>
      <c r="D163">
        <f>VLOOKUP(B163,[1]怪物!$U$34:$Y$104,3,0)</f>
        <v>168000</v>
      </c>
      <c r="E163">
        <f>VLOOKUP(B163,[1]怪物!$U$34:$Y$104,5,0)</f>
        <v>160</v>
      </c>
      <c r="F163" s="1">
        <f t="shared" si="23"/>
        <v>8500</v>
      </c>
      <c r="H163" t="str">
        <f t="shared" si="31"/>
        <v>{cd,3000}</v>
      </c>
      <c r="I163" t="str">
        <f t="shared" si="32"/>
        <v>{hp,168000}</v>
      </c>
      <c r="J163" t="str">
        <f t="shared" si="33"/>
        <v>{atk,160}</v>
      </c>
      <c r="K163" t="str">
        <f t="shared" si="34"/>
        <v>{spd,8500}</v>
      </c>
      <c r="L163" t="str">
        <f t="shared" si="28"/>
        <v/>
      </c>
      <c r="O163" t="str">
        <f t="shared" si="29"/>
        <v>[{cd,3000},{hp,168000},{atk,160},{spd,8500}]</v>
      </c>
    </row>
    <row r="164" spans="1:15">
      <c r="A164">
        <v>100</v>
      </c>
      <c r="B164">
        <f t="shared" si="30"/>
        <v>33</v>
      </c>
      <c r="C164">
        <v>3000</v>
      </c>
      <c r="D164">
        <f>VLOOKUP(B164,[1]怪物!$N$34:$T$103,2,0)</f>
        <v>2300</v>
      </c>
      <c r="E164">
        <f>VLOOKUP(B164,[1]怪物!$N$34:$T$103,5,0)</f>
        <v>34</v>
      </c>
      <c r="F164" s="1">
        <f t="shared" si="23"/>
        <v>8500</v>
      </c>
      <c r="H164" t="str">
        <f t="shared" si="31"/>
        <v>{cd,3000}</v>
      </c>
      <c r="I164" t="str">
        <f t="shared" si="32"/>
        <v>{hp,2300}</v>
      </c>
      <c r="J164" t="str">
        <f t="shared" si="33"/>
        <v>{atk,34}</v>
      </c>
      <c r="K164" t="str">
        <f t="shared" si="34"/>
        <v>{spd,8500}</v>
      </c>
      <c r="L164" t="str">
        <f t="shared" si="28"/>
        <v/>
      </c>
      <c r="O164" t="str">
        <f t="shared" si="29"/>
        <v>[{cd,3000},{hp,2300},{atk,34},{spd,8500}]</v>
      </c>
    </row>
    <row r="165" spans="1:15">
      <c r="A165">
        <v>102</v>
      </c>
      <c r="B165">
        <f t="shared" si="30"/>
        <v>33</v>
      </c>
      <c r="C165">
        <v>3000</v>
      </c>
      <c r="D165">
        <f>VLOOKUP(B165,[1]怪物!$N$34:$T$103,3,0)</f>
        <v>2760</v>
      </c>
      <c r="E165">
        <f>VLOOKUP(B165,[1]怪物!$N$34:$T$103,6,0)</f>
        <v>41</v>
      </c>
      <c r="F165" s="1">
        <f t="shared" si="23"/>
        <v>8500</v>
      </c>
      <c r="H165" t="str">
        <f t="shared" si="31"/>
        <v>{cd,3000}</v>
      </c>
      <c r="I165" t="str">
        <f t="shared" si="32"/>
        <v>{hp,2760}</v>
      </c>
      <c r="J165" t="str">
        <f t="shared" si="33"/>
        <v>{atk,41}</v>
      </c>
      <c r="K165" t="str">
        <f t="shared" si="34"/>
        <v>{spd,8500}</v>
      </c>
      <c r="L165" t="str">
        <f t="shared" si="28"/>
        <v/>
      </c>
      <c r="O165" t="str">
        <f t="shared" si="29"/>
        <v>[{cd,3000},{hp,2760},{atk,41},{spd,8500}]</v>
      </c>
    </row>
    <row r="166" spans="1:15">
      <c r="A166">
        <v>105</v>
      </c>
      <c r="B166">
        <f t="shared" si="30"/>
        <v>33</v>
      </c>
      <c r="C166">
        <v>3000</v>
      </c>
      <c r="D166">
        <f>VLOOKUP(B166,[1]怪物!$N$34:$T$103,4,0)</f>
        <v>3450</v>
      </c>
      <c r="E166">
        <f>VLOOKUP(B166,[1]怪物!$N$34:$T$103,7,0)</f>
        <v>51</v>
      </c>
      <c r="F166" s="1">
        <f t="shared" si="23"/>
        <v>8500</v>
      </c>
      <c r="H166" t="str">
        <f t="shared" si="31"/>
        <v>{cd,3000}</v>
      </c>
      <c r="I166" t="str">
        <f t="shared" si="32"/>
        <v>{hp,3450}</v>
      </c>
      <c r="J166" t="str">
        <f t="shared" si="33"/>
        <v>{atk,51}</v>
      </c>
      <c r="K166" t="str">
        <f t="shared" si="34"/>
        <v>{spd,8500}</v>
      </c>
      <c r="L166" t="str">
        <f t="shared" si="28"/>
        <v/>
      </c>
      <c r="O166" t="str">
        <f t="shared" si="29"/>
        <v>[{cd,3000},{hp,3450},{atk,51},{spd,8500}]</v>
      </c>
    </row>
    <row r="167" spans="1:15">
      <c r="A167">
        <v>502</v>
      </c>
      <c r="B167">
        <f t="shared" si="30"/>
        <v>33</v>
      </c>
      <c r="C167">
        <v>3000</v>
      </c>
      <c r="D167">
        <f>VLOOKUP(B167,[1]怪物!$U$34:$Y$104,2,0)</f>
        <v>138000</v>
      </c>
      <c r="E167">
        <f>VLOOKUP(B167,[1]怪物!$U$34:$Y$104,4,0)</f>
        <v>85</v>
      </c>
      <c r="F167" s="1">
        <f t="shared" si="23"/>
        <v>8500</v>
      </c>
      <c r="H167" t="str">
        <f t="shared" si="31"/>
        <v>{cd,3000}</v>
      </c>
      <c r="I167" t="str">
        <f t="shared" si="32"/>
        <v>{hp,138000}</v>
      </c>
      <c r="J167" t="str">
        <f t="shared" si="33"/>
        <v>{atk,85}</v>
      </c>
      <c r="K167" t="str">
        <f t="shared" si="34"/>
        <v>{spd,8500}</v>
      </c>
      <c r="L167" t="str">
        <f t="shared" si="28"/>
        <v/>
      </c>
      <c r="O167" t="str">
        <f t="shared" si="29"/>
        <v>[{cd,3000},{hp,138000},{atk,85},{spd,8500}]</v>
      </c>
    </row>
    <row r="168" spans="1:15">
      <c r="A168">
        <v>500</v>
      </c>
      <c r="B168">
        <f t="shared" si="30"/>
        <v>33</v>
      </c>
      <c r="C168">
        <v>3000</v>
      </c>
      <c r="D168">
        <f>VLOOKUP(B168,[1]怪物!$U$34:$Y$104,3,0)</f>
        <v>184000</v>
      </c>
      <c r="E168">
        <f>VLOOKUP(B168,[1]怪物!$U$34:$Y$104,5,0)</f>
        <v>170</v>
      </c>
      <c r="F168" s="1">
        <f t="shared" si="23"/>
        <v>8500</v>
      </c>
      <c r="H168" t="str">
        <f t="shared" si="31"/>
        <v>{cd,3000}</v>
      </c>
      <c r="I168" t="str">
        <f t="shared" si="32"/>
        <v>{hp,184000}</v>
      </c>
      <c r="J168" t="str">
        <f t="shared" si="33"/>
        <v>{atk,170}</v>
      </c>
      <c r="K168" t="str">
        <f t="shared" si="34"/>
        <v>{spd,8500}</v>
      </c>
      <c r="L168" t="str">
        <f t="shared" si="28"/>
        <v/>
      </c>
      <c r="O168" t="str">
        <f t="shared" si="29"/>
        <v>[{cd,3000},{hp,184000},{atk,170},{spd,8500}]</v>
      </c>
    </row>
    <row r="169" spans="1:15">
      <c r="A169">
        <v>100</v>
      </c>
      <c r="B169">
        <f t="shared" si="30"/>
        <v>34</v>
      </c>
      <c r="C169">
        <v>3000</v>
      </c>
      <c r="D169">
        <f>VLOOKUP(B169,[1]怪物!$N$34:$T$103,2,0)</f>
        <v>3500</v>
      </c>
      <c r="E169">
        <f>VLOOKUP(B169,[1]怪物!$N$34:$T$103,5,0)</f>
        <v>45</v>
      </c>
      <c r="F169" s="1">
        <f t="shared" si="23"/>
        <v>8500</v>
      </c>
      <c r="H169" t="str">
        <f t="shared" si="31"/>
        <v>{cd,3000}</v>
      </c>
      <c r="I169" t="str">
        <f t="shared" si="32"/>
        <v>{hp,3500}</v>
      </c>
      <c r="J169" t="str">
        <f t="shared" si="33"/>
        <v>{atk,45}</v>
      </c>
      <c r="K169" t="str">
        <f t="shared" si="34"/>
        <v>{spd,8500}</v>
      </c>
      <c r="L169" t="str">
        <f t="shared" si="28"/>
        <v/>
      </c>
      <c r="O169" t="str">
        <f t="shared" si="29"/>
        <v>[{cd,3000},{hp,3500},{atk,45},{spd,8500}]</v>
      </c>
    </row>
    <row r="170" spans="1:15">
      <c r="A170">
        <v>105</v>
      </c>
      <c r="B170">
        <f t="shared" si="30"/>
        <v>34</v>
      </c>
      <c r="C170">
        <v>3000</v>
      </c>
      <c r="D170">
        <f>VLOOKUP(B170,[1]怪物!$N$34:$T$103,3,0)</f>
        <v>4200</v>
      </c>
      <c r="E170">
        <f>VLOOKUP(B170,[1]怪物!$N$34:$T$103,6,0)</f>
        <v>54</v>
      </c>
      <c r="F170" s="1">
        <f t="shared" si="23"/>
        <v>8500</v>
      </c>
      <c r="H170" t="str">
        <f t="shared" si="31"/>
        <v>{cd,3000}</v>
      </c>
      <c r="I170" t="str">
        <f t="shared" si="32"/>
        <v>{hp,4200}</v>
      </c>
      <c r="J170" t="str">
        <f t="shared" si="33"/>
        <v>{atk,54}</v>
      </c>
      <c r="K170" t="str">
        <f t="shared" si="34"/>
        <v>{spd,8500}</v>
      </c>
      <c r="L170" t="str">
        <f t="shared" si="28"/>
        <v/>
      </c>
      <c r="O170" t="str">
        <f t="shared" si="29"/>
        <v>[{cd,3000},{hp,4200},{atk,54},{spd,8500}]</v>
      </c>
    </row>
    <row r="171" spans="1:15">
      <c r="A171">
        <v>102</v>
      </c>
      <c r="B171">
        <f t="shared" si="30"/>
        <v>34</v>
      </c>
      <c r="C171">
        <v>3000</v>
      </c>
      <c r="D171">
        <f>VLOOKUP(B171,[1]怪物!$N$34:$T$103,4,0)</f>
        <v>5250</v>
      </c>
      <c r="E171">
        <f>VLOOKUP(B171,[1]怪物!$N$34:$T$103,7,0)</f>
        <v>68</v>
      </c>
      <c r="F171" s="1">
        <f t="shared" si="23"/>
        <v>8500</v>
      </c>
      <c r="H171" t="str">
        <f t="shared" si="31"/>
        <v>{cd,3000}</v>
      </c>
      <c r="I171" t="str">
        <f t="shared" si="32"/>
        <v>{hp,5250}</v>
      </c>
      <c r="J171" t="str">
        <f t="shared" si="33"/>
        <v>{atk,68}</v>
      </c>
      <c r="K171" t="str">
        <f t="shared" si="34"/>
        <v>{spd,8500}</v>
      </c>
      <c r="L171" t="str">
        <f t="shared" si="28"/>
        <v/>
      </c>
      <c r="O171" t="str">
        <f t="shared" si="29"/>
        <v>[{cd,3000},{hp,5250},{atk,68},{spd,8500}]</v>
      </c>
    </row>
    <row r="172" spans="1:15">
      <c r="A172">
        <v>502</v>
      </c>
      <c r="B172">
        <f t="shared" si="30"/>
        <v>34</v>
      </c>
      <c r="C172">
        <v>3000</v>
      </c>
      <c r="D172">
        <f>VLOOKUP(B172,[1]怪物!$U$34:$Y$104,2,0)</f>
        <v>210000</v>
      </c>
      <c r="E172">
        <f>VLOOKUP(B172,[1]怪物!$U$34:$Y$104,4,0)</f>
        <v>113</v>
      </c>
      <c r="F172" s="1">
        <f t="shared" si="23"/>
        <v>8500</v>
      </c>
      <c r="H172" t="str">
        <f t="shared" si="31"/>
        <v>{cd,3000}</v>
      </c>
      <c r="I172" t="str">
        <f t="shared" si="32"/>
        <v>{hp,210000}</v>
      </c>
      <c r="J172" t="str">
        <f t="shared" si="33"/>
        <v>{atk,113}</v>
      </c>
      <c r="K172" t="str">
        <f t="shared" si="34"/>
        <v>{spd,8500}</v>
      </c>
      <c r="L172" t="str">
        <f t="shared" si="28"/>
        <v/>
      </c>
      <c r="O172" t="str">
        <f t="shared" si="29"/>
        <v>[{cd,3000},{hp,210000},{atk,113},{spd,8500}]</v>
      </c>
    </row>
    <row r="173" spans="1:15">
      <c r="A173">
        <v>502</v>
      </c>
      <c r="B173">
        <f t="shared" si="30"/>
        <v>34</v>
      </c>
      <c r="C173">
        <v>3000</v>
      </c>
      <c r="D173">
        <f>VLOOKUP(B173,[1]怪物!$U$34:$Y$104,3,0)</f>
        <v>280000</v>
      </c>
      <c r="E173">
        <f>VLOOKUP(B173,[1]怪物!$U$34:$Y$104,5,0)</f>
        <v>225</v>
      </c>
      <c r="F173" s="1">
        <f t="shared" si="23"/>
        <v>8500</v>
      </c>
      <c r="H173" t="str">
        <f t="shared" si="31"/>
        <v>{cd,3000}</v>
      </c>
      <c r="I173" t="str">
        <f t="shared" si="32"/>
        <v>{hp,280000}</v>
      </c>
      <c r="J173" t="str">
        <f t="shared" si="33"/>
        <v>{atk,225}</v>
      </c>
      <c r="K173" t="str">
        <f t="shared" si="34"/>
        <v>{spd,8500}</v>
      </c>
      <c r="L173" t="str">
        <f t="shared" si="28"/>
        <v/>
      </c>
      <c r="O173" t="str">
        <f t="shared" si="29"/>
        <v>[{cd,3000},{hp,280000},{atk,225},{spd,8500}]</v>
      </c>
    </row>
    <row r="174" spans="1:15">
      <c r="A174">
        <v>104</v>
      </c>
      <c r="B174">
        <f t="shared" si="30"/>
        <v>35</v>
      </c>
      <c r="C174">
        <v>3000</v>
      </c>
      <c r="D174">
        <f>VLOOKUP(B174,[1]怪物!$N$34:$T$103,2,0)</f>
        <v>2500</v>
      </c>
      <c r="E174">
        <f>VLOOKUP(B174,[1]怪物!$N$34:$T$103,5,0)</f>
        <v>36</v>
      </c>
      <c r="F174" s="1">
        <f t="shared" si="23"/>
        <v>8500</v>
      </c>
      <c r="H174" t="str">
        <f t="shared" si="31"/>
        <v>{cd,3000}</v>
      </c>
      <c r="I174" t="str">
        <f t="shared" si="32"/>
        <v>{hp,2500}</v>
      </c>
      <c r="J174" t="str">
        <f t="shared" si="33"/>
        <v>{atk,36}</v>
      </c>
      <c r="K174" t="str">
        <f t="shared" si="34"/>
        <v>{spd,8500}</v>
      </c>
      <c r="L174" t="str">
        <f t="shared" si="28"/>
        <v/>
      </c>
      <c r="O174" t="str">
        <f t="shared" si="29"/>
        <v>[{cd,3000},{hp,2500},{atk,36},{spd,8500}]</v>
      </c>
    </row>
    <row r="175" spans="1:15">
      <c r="A175">
        <v>106</v>
      </c>
      <c r="B175">
        <f t="shared" si="30"/>
        <v>35</v>
      </c>
      <c r="C175">
        <v>3000</v>
      </c>
      <c r="D175">
        <f>VLOOKUP(B175,[1]怪物!$N$34:$T$103,3,0)</f>
        <v>3000</v>
      </c>
      <c r="E175">
        <f>VLOOKUP(B175,[1]怪物!$N$34:$T$103,6,0)</f>
        <v>43</v>
      </c>
      <c r="F175" s="1">
        <f t="shared" si="23"/>
        <v>8500</v>
      </c>
      <c r="H175" t="str">
        <f t="shared" si="31"/>
        <v>{cd,3000}</v>
      </c>
      <c r="I175" t="str">
        <f t="shared" si="32"/>
        <v>{hp,3000}</v>
      </c>
      <c r="J175" t="str">
        <f t="shared" si="33"/>
        <v>{atk,43}</v>
      </c>
      <c r="K175" t="str">
        <f t="shared" si="34"/>
        <v>{spd,8500}</v>
      </c>
      <c r="L175" t="str">
        <f t="shared" si="28"/>
        <v/>
      </c>
      <c r="O175" t="str">
        <f t="shared" si="29"/>
        <v>[{cd,3000},{hp,3000},{atk,43},{spd,8500}]</v>
      </c>
    </row>
    <row r="176" spans="1:15">
      <c r="A176">
        <v>107</v>
      </c>
      <c r="B176">
        <f t="shared" si="30"/>
        <v>35</v>
      </c>
      <c r="C176">
        <v>3000</v>
      </c>
      <c r="D176">
        <f>VLOOKUP(B176,[1]怪物!$N$34:$T$103,4,0)</f>
        <v>3750</v>
      </c>
      <c r="E176">
        <f>VLOOKUP(B176,[1]怪物!$N$34:$T$103,7,0)</f>
        <v>54</v>
      </c>
      <c r="F176" s="1">
        <f t="shared" si="23"/>
        <v>8500</v>
      </c>
      <c r="H176" t="str">
        <f t="shared" si="31"/>
        <v>{cd,3000}</v>
      </c>
      <c r="I176" t="str">
        <f t="shared" si="32"/>
        <v>{hp,3750}</v>
      </c>
      <c r="J176" t="str">
        <f t="shared" si="33"/>
        <v>{atk,54}</v>
      </c>
      <c r="K176" t="str">
        <f t="shared" si="34"/>
        <v>{spd,8500}</v>
      </c>
      <c r="L176" t="str">
        <f t="shared" si="28"/>
        <v/>
      </c>
      <c r="O176" t="str">
        <f t="shared" si="29"/>
        <v>[{cd,3000},{hp,3750},{atk,54},{spd,8500}]</v>
      </c>
    </row>
    <row r="177" spans="1:15">
      <c r="A177">
        <v>503</v>
      </c>
      <c r="B177">
        <f t="shared" si="30"/>
        <v>35</v>
      </c>
      <c r="C177">
        <v>3000</v>
      </c>
      <c r="D177">
        <f>VLOOKUP(B177,[1]怪物!$U$34:$Y$104,2,0)</f>
        <v>150000</v>
      </c>
      <c r="E177">
        <f>VLOOKUP(B177,[1]怪物!$U$34:$Y$104,4,0)</f>
        <v>90</v>
      </c>
      <c r="F177" s="1">
        <f t="shared" si="23"/>
        <v>8500</v>
      </c>
      <c r="H177" t="str">
        <f t="shared" si="31"/>
        <v>{cd,3000}</v>
      </c>
      <c r="I177" t="str">
        <f t="shared" si="32"/>
        <v>{hp,150000}</v>
      </c>
      <c r="J177" t="str">
        <f t="shared" si="33"/>
        <v>{atk,90}</v>
      </c>
      <c r="K177" t="str">
        <f t="shared" si="34"/>
        <v>{spd,8500}</v>
      </c>
      <c r="L177" t="str">
        <f t="shared" si="28"/>
        <v/>
      </c>
      <c r="O177" t="str">
        <f t="shared" si="29"/>
        <v>[{cd,3000},{hp,150000},{atk,90},{spd,8500}]</v>
      </c>
    </row>
    <row r="178" spans="1:15">
      <c r="A178">
        <v>503</v>
      </c>
      <c r="B178">
        <f t="shared" si="30"/>
        <v>35</v>
      </c>
      <c r="C178">
        <v>3000</v>
      </c>
      <c r="D178">
        <f>VLOOKUP(B178,[1]怪物!$U$34:$Y$104,3,0)</f>
        <v>200000</v>
      </c>
      <c r="E178">
        <f>VLOOKUP(B178,[1]怪物!$U$34:$Y$104,5,0)</f>
        <v>180</v>
      </c>
      <c r="F178" s="1">
        <f t="shared" si="23"/>
        <v>8500</v>
      </c>
      <c r="H178" t="str">
        <f t="shared" si="31"/>
        <v>{cd,3000}</v>
      </c>
      <c r="I178" t="str">
        <f t="shared" si="32"/>
        <v>{hp,200000}</v>
      </c>
      <c r="J178" t="str">
        <f t="shared" si="33"/>
        <v>{atk,180}</v>
      </c>
      <c r="K178" t="str">
        <f t="shared" si="34"/>
        <v>{spd,8500}</v>
      </c>
      <c r="L178" t="str">
        <f t="shared" si="28"/>
        <v/>
      </c>
      <c r="O178" t="str">
        <f t="shared" si="29"/>
        <v>[{cd,3000},{hp,200000},{atk,180},{spd,8500}]</v>
      </c>
    </row>
    <row r="179" spans="1:15">
      <c r="A179">
        <v>103</v>
      </c>
      <c r="B179">
        <f t="shared" ref="B179:B242" si="35">B174+1</f>
        <v>36</v>
      </c>
      <c r="C179">
        <v>3000</v>
      </c>
      <c r="D179">
        <f>VLOOKUP(B179,[1]怪物!$N$34:$T$103,2,0)</f>
        <v>2700</v>
      </c>
      <c r="E179">
        <f>VLOOKUP(B179,[1]怪物!$N$34:$T$103,5,0)</f>
        <v>36</v>
      </c>
      <c r="F179" s="1">
        <f t="shared" si="23"/>
        <v>8500</v>
      </c>
      <c r="H179" t="str">
        <f t="shared" ref="H179:H203" si="36">$C$2&amp;C$3&amp;$D$2&amp;C179&amp;$E$2</f>
        <v>{cd,3000}</v>
      </c>
      <c r="I179" t="str">
        <f t="shared" ref="I179:I203" si="37">$C$2&amp;D$3&amp;$D$2&amp;D179&amp;$E$2</f>
        <v>{hp,2700}</v>
      </c>
      <c r="J179" t="str">
        <f t="shared" ref="J179:J203" si="38">$C$2&amp;E$3&amp;$D$2&amp;E179&amp;$E$2</f>
        <v>{atk,36}</v>
      </c>
      <c r="K179" t="str">
        <f t="shared" ref="K179:K203" si="39">$C$2&amp;F$3&amp;$D$2&amp;F179&amp;$E$2</f>
        <v>{spd,8500}</v>
      </c>
      <c r="L179" t="str">
        <f t="shared" si="28"/>
        <v/>
      </c>
      <c r="O179" t="str">
        <f t="shared" si="29"/>
        <v>[{cd,3000},{hp,2700},{atk,36},{spd,8500}]</v>
      </c>
    </row>
    <row r="180" spans="1:15">
      <c r="A180">
        <v>107</v>
      </c>
      <c r="B180">
        <f t="shared" si="35"/>
        <v>36</v>
      </c>
      <c r="C180">
        <v>3000</v>
      </c>
      <c r="D180">
        <f>VLOOKUP(B180,[1]怪物!$N$34:$T$103,3,0)</f>
        <v>3240</v>
      </c>
      <c r="E180">
        <f>VLOOKUP(B180,[1]怪物!$N$34:$T$103,6,0)</f>
        <v>43</v>
      </c>
      <c r="F180" s="1">
        <f t="shared" si="23"/>
        <v>8500</v>
      </c>
      <c r="H180" t="str">
        <f t="shared" si="36"/>
        <v>{cd,3000}</v>
      </c>
      <c r="I180" t="str">
        <f t="shared" si="37"/>
        <v>{hp,3240}</v>
      </c>
      <c r="J180" t="str">
        <f t="shared" si="38"/>
        <v>{atk,43}</v>
      </c>
      <c r="K180" t="str">
        <f t="shared" si="39"/>
        <v>{spd,8500}</v>
      </c>
      <c r="L180" t="str">
        <f t="shared" si="28"/>
        <v/>
      </c>
      <c r="O180" t="str">
        <f t="shared" si="29"/>
        <v>[{cd,3000},{hp,3240},{atk,43},{spd,8500}]</v>
      </c>
    </row>
    <row r="181" spans="1:15">
      <c r="A181">
        <v>106</v>
      </c>
      <c r="B181">
        <f t="shared" si="35"/>
        <v>36</v>
      </c>
      <c r="C181">
        <v>3000</v>
      </c>
      <c r="D181">
        <f>VLOOKUP(B181,[1]怪物!$N$34:$T$103,4,0)</f>
        <v>4050</v>
      </c>
      <c r="E181">
        <f>VLOOKUP(B181,[1]怪物!$N$34:$T$103,7,0)</f>
        <v>54</v>
      </c>
      <c r="F181" s="1">
        <f t="shared" si="23"/>
        <v>8500</v>
      </c>
      <c r="H181" t="str">
        <f t="shared" si="36"/>
        <v>{cd,3000}</v>
      </c>
      <c r="I181" t="str">
        <f t="shared" si="37"/>
        <v>{hp,4050}</v>
      </c>
      <c r="J181" t="str">
        <f t="shared" si="38"/>
        <v>{atk,54}</v>
      </c>
      <c r="K181" t="str">
        <f t="shared" si="39"/>
        <v>{spd,8500}</v>
      </c>
      <c r="L181" t="str">
        <f t="shared" si="28"/>
        <v/>
      </c>
      <c r="O181" t="str">
        <f t="shared" si="29"/>
        <v>[{cd,3000},{hp,4050},{atk,54},{spd,8500}]</v>
      </c>
    </row>
    <row r="182" spans="1:15">
      <c r="A182">
        <v>506</v>
      </c>
      <c r="B182">
        <f t="shared" si="35"/>
        <v>36</v>
      </c>
      <c r="C182">
        <v>3000</v>
      </c>
      <c r="D182">
        <f>VLOOKUP(B182,[1]怪物!$U$34:$Y$104,2,0)</f>
        <v>162000</v>
      </c>
      <c r="E182">
        <f>VLOOKUP(B182,[1]怪物!$U$34:$Y$104,4,0)</f>
        <v>90</v>
      </c>
      <c r="F182" s="1">
        <f t="shared" si="23"/>
        <v>8500</v>
      </c>
      <c r="H182" t="str">
        <f t="shared" si="36"/>
        <v>{cd,3000}</v>
      </c>
      <c r="I182" t="str">
        <f t="shared" si="37"/>
        <v>{hp,162000}</v>
      </c>
      <c r="J182" t="str">
        <f t="shared" si="38"/>
        <v>{atk,90}</v>
      </c>
      <c r="K182" t="str">
        <f t="shared" si="39"/>
        <v>{spd,8500}</v>
      </c>
      <c r="L182" t="str">
        <f t="shared" si="28"/>
        <v/>
      </c>
      <c r="O182" t="str">
        <f t="shared" si="29"/>
        <v>[{cd,3000},{hp,162000},{atk,90},{spd,8500}]</v>
      </c>
    </row>
    <row r="183" spans="1:15">
      <c r="A183">
        <v>506</v>
      </c>
      <c r="B183">
        <f t="shared" si="35"/>
        <v>36</v>
      </c>
      <c r="C183">
        <v>3000</v>
      </c>
      <c r="D183">
        <f>VLOOKUP(B183,[1]怪物!$U$34:$Y$104,3,0)</f>
        <v>216000</v>
      </c>
      <c r="E183">
        <f>VLOOKUP(B183,[1]怪物!$U$34:$Y$104,5,0)</f>
        <v>180</v>
      </c>
      <c r="F183" s="1">
        <f t="shared" si="23"/>
        <v>8500</v>
      </c>
      <c r="H183" t="str">
        <f t="shared" si="36"/>
        <v>{cd,3000}</v>
      </c>
      <c r="I183" t="str">
        <f t="shared" si="37"/>
        <v>{hp,216000}</v>
      </c>
      <c r="J183" t="str">
        <f t="shared" si="38"/>
        <v>{atk,180}</v>
      </c>
      <c r="K183" t="str">
        <f t="shared" si="39"/>
        <v>{spd,8500}</v>
      </c>
      <c r="L183" t="str">
        <f t="shared" si="28"/>
        <v/>
      </c>
      <c r="O183" t="str">
        <f t="shared" si="29"/>
        <v>[{cd,3000},{hp,216000},{atk,180},{spd,8500}]</v>
      </c>
    </row>
    <row r="184" spans="1:15">
      <c r="A184">
        <v>108</v>
      </c>
      <c r="B184">
        <f t="shared" si="35"/>
        <v>37</v>
      </c>
      <c r="C184">
        <v>3000</v>
      </c>
      <c r="D184">
        <f>VLOOKUP(B184,[1]怪物!$N$34:$T$103,2,0)</f>
        <v>2900</v>
      </c>
      <c r="E184">
        <f>VLOOKUP(B184,[1]怪物!$N$34:$T$103,5,0)</f>
        <v>38</v>
      </c>
      <c r="F184" s="1">
        <f t="shared" si="23"/>
        <v>8500</v>
      </c>
      <c r="H184" t="str">
        <f t="shared" si="36"/>
        <v>{cd,3000}</v>
      </c>
      <c r="I184" t="str">
        <f t="shared" si="37"/>
        <v>{hp,2900}</v>
      </c>
      <c r="J184" t="str">
        <f t="shared" si="38"/>
        <v>{atk,38}</v>
      </c>
      <c r="K184" t="str">
        <f t="shared" si="39"/>
        <v>{spd,8500}</v>
      </c>
      <c r="L184" t="str">
        <f t="shared" si="28"/>
        <v/>
      </c>
      <c r="O184" t="str">
        <f t="shared" si="29"/>
        <v>[{cd,3000},{hp,2900},{atk,38},{spd,8500}]</v>
      </c>
    </row>
    <row r="185" spans="1:15">
      <c r="A185">
        <v>109</v>
      </c>
      <c r="B185">
        <f t="shared" si="35"/>
        <v>37</v>
      </c>
      <c r="C185">
        <v>3000</v>
      </c>
      <c r="D185">
        <f>VLOOKUP(B185,[1]怪物!$N$34:$T$103,3,0)</f>
        <v>3480</v>
      </c>
      <c r="E185">
        <f>VLOOKUP(B185,[1]怪物!$N$34:$T$103,6,0)</f>
        <v>46</v>
      </c>
      <c r="F185" s="1">
        <f t="shared" si="23"/>
        <v>8500</v>
      </c>
      <c r="H185" t="str">
        <f t="shared" si="36"/>
        <v>{cd,3000}</v>
      </c>
      <c r="I185" t="str">
        <f t="shared" si="37"/>
        <v>{hp,3480}</v>
      </c>
      <c r="J185" t="str">
        <f t="shared" si="38"/>
        <v>{atk,46}</v>
      </c>
      <c r="K185" t="str">
        <f t="shared" si="39"/>
        <v>{spd,8500}</v>
      </c>
      <c r="L185" t="str">
        <f t="shared" si="28"/>
        <v/>
      </c>
      <c r="O185" t="str">
        <f t="shared" si="29"/>
        <v>[{cd,3000},{hp,3480},{atk,46},{spd,8500}]</v>
      </c>
    </row>
    <row r="186" spans="1:15">
      <c r="A186">
        <v>109</v>
      </c>
      <c r="B186">
        <f t="shared" si="35"/>
        <v>37</v>
      </c>
      <c r="C186">
        <v>3000</v>
      </c>
      <c r="D186">
        <f>VLOOKUP(B186,[1]怪物!$N$34:$T$103,4,0)</f>
        <v>4350</v>
      </c>
      <c r="E186">
        <f>VLOOKUP(B186,[1]怪物!$N$34:$T$103,7,0)</f>
        <v>57</v>
      </c>
      <c r="F186" s="1">
        <f t="shared" si="23"/>
        <v>8500</v>
      </c>
      <c r="H186" t="str">
        <f t="shared" si="36"/>
        <v>{cd,3000}</v>
      </c>
      <c r="I186" t="str">
        <f t="shared" si="37"/>
        <v>{hp,4350}</v>
      </c>
      <c r="J186" t="str">
        <f t="shared" si="38"/>
        <v>{atk,57}</v>
      </c>
      <c r="K186" t="str">
        <f t="shared" si="39"/>
        <v>{spd,8500}</v>
      </c>
      <c r="L186" t="str">
        <f t="shared" si="28"/>
        <v/>
      </c>
      <c r="O186" t="str">
        <f t="shared" si="29"/>
        <v>[{cd,3000},{hp,4350},{atk,57},{spd,8500}]</v>
      </c>
    </row>
    <row r="187" spans="1:15">
      <c r="A187">
        <v>508</v>
      </c>
      <c r="B187">
        <f t="shared" si="35"/>
        <v>37</v>
      </c>
      <c r="C187">
        <v>3000</v>
      </c>
      <c r="D187">
        <f>VLOOKUP(B187,[1]怪物!$U$34:$Y$104,2,0)</f>
        <v>174000</v>
      </c>
      <c r="E187">
        <f>VLOOKUP(B187,[1]怪物!$U$34:$Y$104,4,0)</f>
        <v>95</v>
      </c>
      <c r="F187" s="1">
        <f t="shared" si="23"/>
        <v>8500</v>
      </c>
      <c r="H187" t="str">
        <f t="shared" si="36"/>
        <v>{cd,3000}</v>
      </c>
      <c r="I187" t="str">
        <f t="shared" si="37"/>
        <v>{hp,174000}</v>
      </c>
      <c r="J187" t="str">
        <f t="shared" si="38"/>
        <v>{atk,95}</v>
      </c>
      <c r="K187" t="str">
        <f t="shared" si="39"/>
        <v>{spd,8500}</v>
      </c>
      <c r="L187" t="str">
        <f t="shared" si="28"/>
        <v/>
      </c>
      <c r="O187" t="str">
        <f t="shared" si="29"/>
        <v>[{cd,3000},{hp,174000},{atk,95},{spd,8500}]</v>
      </c>
    </row>
    <row r="188" spans="1:15">
      <c r="A188">
        <v>508</v>
      </c>
      <c r="B188">
        <f t="shared" si="35"/>
        <v>37</v>
      </c>
      <c r="C188">
        <v>3000</v>
      </c>
      <c r="D188">
        <f>VLOOKUP(B188,[1]怪物!$U$34:$Y$104,3,0)</f>
        <v>232000</v>
      </c>
      <c r="E188">
        <f>VLOOKUP(B188,[1]怪物!$U$34:$Y$104,5,0)</f>
        <v>190</v>
      </c>
      <c r="F188" s="1">
        <f t="shared" si="23"/>
        <v>8500</v>
      </c>
      <c r="H188" t="str">
        <f t="shared" si="36"/>
        <v>{cd,3000}</v>
      </c>
      <c r="I188" t="str">
        <f t="shared" si="37"/>
        <v>{hp,232000}</v>
      </c>
      <c r="J188" t="str">
        <f t="shared" si="38"/>
        <v>{atk,190}</v>
      </c>
      <c r="K188" t="str">
        <f t="shared" si="39"/>
        <v>{spd,8500}</v>
      </c>
      <c r="L188" t="str">
        <f t="shared" si="28"/>
        <v/>
      </c>
      <c r="O188" t="str">
        <f t="shared" si="29"/>
        <v>[{cd,3000},{hp,232000},{atk,190},{spd,8500}]</v>
      </c>
    </row>
    <row r="189" spans="1:15">
      <c r="A189">
        <v>108</v>
      </c>
      <c r="B189">
        <f t="shared" si="35"/>
        <v>38</v>
      </c>
      <c r="C189">
        <v>3000</v>
      </c>
      <c r="D189">
        <f>VLOOKUP(B189,[1]怪物!$N$34:$T$103,2,0)</f>
        <v>3100</v>
      </c>
      <c r="E189">
        <f>VLOOKUP(B189,[1]怪物!$N$34:$T$103,5,0)</f>
        <v>40</v>
      </c>
      <c r="F189" s="1">
        <f t="shared" si="23"/>
        <v>8500</v>
      </c>
      <c r="H189" t="str">
        <f t="shared" si="36"/>
        <v>{cd,3000}</v>
      </c>
      <c r="I189" t="str">
        <f t="shared" si="37"/>
        <v>{hp,3100}</v>
      </c>
      <c r="J189" t="str">
        <f t="shared" si="38"/>
        <v>{atk,40}</v>
      </c>
      <c r="K189" t="str">
        <f t="shared" si="39"/>
        <v>{spd,8500}</v>
      </c>
      <c r="L189" t="str">
        <f t="shared" si="28"/>
        <v/>
      </c>
      <c r="O189" t="str">
        <f t="shared" si="29"/>
        <v>[{cd,3000},{hp,3100},{atk,40},{spd,8500}]</v>
      </c>
    </row>
    <row r="190" spans="1:15">
      <c r="A190">
        <v>109</v>
      </c>
      <c r="B190">
        <f t="shared" si="35"/>
        <v>38</v>
      </c>
      <c r="C190">
        <v>3000</v>
      </c>
      <c r="D190">
        <f>VLOOKUP(B190,[1]怪物!$N$34:$T$103,3,0)</f>
        <v>3720</v>
      </c>
      <c r="E190">
        <f>VLOOKUP(B190,[1]怪物!$N$34:$T$103,6,0)</f>
        <v>48</v>
      </c>
      <c r="F190" s="1">
        <f t="shared" si="23"/>
        <v>8500</v>
      </c>
      <c r="H190" t="str">
        <f t="shared" si="36"/>
        <v>{cd,3000}</v>
      </c>
      <c r="I190" t="str">
        <f t="shared" si="37"/>
        <v>{hp,3720}</v>
      </c>
      <c r="J190" t="str">
        <f t="shared" si="38"/>
        <v>{atk,48}</v>
      </c>
      <c r="K190" t="str">
        <f t="shared" si="39"/>
        <v>{spd,8500}</v>
      </c>
      <c r="L190" t="str">
        <f t="shared" si="28"/>
        <v/>
      </c>
      <c r="O190" t="str">
        <f t="shared" si="29"/>
        <v>[{cd,3000},{hp,3720},{atk,48},{spd,8500}]</v>
      </c>
    </row>
    <row r="191" spans="1:15">
      <c r="A191">
        <v>110</v>
      </c>
      <c r="B191">
        <f t="shared" si="35"/>
        <v>38</v>
      </c>
      <c r="C191">
        <v>3000</v>
      </c>
      <c r="D191">
        <f>VLOOKUP(B191,[1]怪物!$N$34:$T$103,4,0)</f>
        <v>4650</v>
      </c>
      <c r="E191">
        <f>VLOOKUP(B191,[1]怪物!$N$34:$T$103,7,0)</f>
        <v>60</v>
      </c>
      <c r="F191" s="1">
        <f t="shared" si="23"/>
        <v>8500</v>
      </c>
      <c r="H191" t="str">
        <f t="shared" si="36"/>
        <v>{cd,3000}</v>
      </c>
      <c r="I191" t="str">
        <f t="shared" si="37"/>
        <v>{hp,4650}</v>
      </c>
      <c r="J191" t="str">
        <f t="shared" si="38"/>
        <v>{atk,60}</v>
      </c>
      <c r="K191" t="str">
        <f t="shared" si="39"/>
        <v>{spd,8500}</v>
      </c>
      <c r="L191" t="str">
        <f t="shared" si="28"/>
        <v/>
      </c>
      <c r="O191" t="str">
        <f t="shared" si="29"/>
        <v>[{cd,3000},{hp,4650},{atk,60},{spd,8500}]</v>
      </c>
    </row>
    <row r="192" spans="1:15">
      <c r="A192">
        <v>509</v>
      </c>
      <c r="B192">
        <f t="shared" si="35"/>
        <v>38</v>
      </c>
      <c r="C192">
        <v>3000</v>
      </c>
      <c r="D192">
        <f>VLOOKUP(B192,[1]怪物!$U$34:$Y$104,2,0)</f>
        <v>186000</v>
      </c>
      <c r="E192">
        <f>VLOOKUP(B192,[1]怪物!$U$34:$Y$104,4,0)</f>
        <v>100</v>
      </c>
      <c r="F192" s="1">
        <f t="shared" si="23"/>
        <v>8500</v>
      </c>
      <c r="H192" t="str">
        <f t="shared" si="36"/>
        <v>{cd,3000}</v>
      </c>
      <c r="I192" t="str">
        <f t="shared" si="37"/>
        <v>{hp,186000}</v>
      </c>
      <c r="J192" t="str">
        <f t="shared" si="38"/>
        <v>{atk,100}</v>
      </c>
      <c r="K192" t="str">
        <f t="shared" si="39"/>
        <v>{spd,8500}</v>
      </c>
      <c r="L192" t="str">
        <f t="shared" si="28"/>
        <v/>
      </c>
      <c r="O192" t="str">
        <f t="shared" si="29"/>
        <v>[{cd,3000},{hp,186000},{atk,100},{spd,8500}]</v>
      </c>
    </row>
    <row r="193" spans="1:15">
      <c r="A193">
        <v>509</v>
      </c>
      <c r="B193">
        <f t="shared" si="35"/>
        <v>38</v>
      </c>
      <c r="C193">
        <v>3000</v>
      </c>
      <c r="D193">
        <f>VLOOKUP(B193,[1]怪物!$U$34:$Y$104,3,0)</f>
        <v>248000</v>
      </c>
      <c r="E193">
        <f>VLOOKUP(B193,[1]怪物!$U$34:$Y$104,5,0)</f>
        <v>200</v>
      </c>
      <c r="F193" s="1">
        <f t="shared" si="23"/>
        <v>8500</v>
      </c>
      <c r="H193" t="str">
        <f t="shared" si="36"/>
        <v>{cd,3000}</v>
      </c>
      <c r="I193" t="str">
        <f t="shared" si="37"/>
        <v>{hp,248000}</v>
      </c>
      <c r="J193" t="str">
        <f t="shared" si="38"/>
        <v>{atk,200}</v>
      </c>
      <c r="K193" t="str">
        <f t="shared" si="39"/>
        <v>{spd,8500}</v>
      </c>
      <c r="L193" t="str">
        <f t="shared" si="28"/>
        <v/>
      </c>
      <c r="O193" t="str">
        <f t="shared" si="29"/>
        <v>[{cd,3000},{hp,248000},{atk,200},{spd,8500}]</v>
      </c>
    </row>
    <row r="194" spans="1:15">
      <c r="A194">
        <v>111</v>
      </c>
      <c r="B194">
        <f t="shared" si="35"/>
        <v>39</v>
      </c>
      <c r="C194">
        <v>3000</v>
      </c>
      <c r="D194">
        <f>VLOOKUP(B194,[1]怪物!$N$34:$T$103,2,0)</f>
        <v>3300</v>
      </c>
      <c r="E194">
        <f>VLOOKUP(B194,[1]怪物!$N$34:$T$103,5,0)</f>
        <v>42</v>
      </c>
      <c r="F194" s="1">
        <f t="shared" si="23"/>
        <v>8500</v>
      </c>
      <c r="H194" t="str">
        <f t="shared" si="36"/>
        <v>{cd,3000}</v>
      </c>
      <c r="I194" t="str">
        <f t="shared" si="37"/>
        <v>{hp,3300}</v>
      </c>
      <c r="J194" t="str">
        <f t="shared" si="38"/>
        <v>{atk,42}</v>
      </c>
      <c r="K194" t="str">
        <f t="shared" si="39"/>
        <v>{spd,8500}</v>
      </c>
      <c r="L194" t="str">
        <f t="shared" si="28"/>
        <v/>
      </c>
      <c r="O194" t="str">
        <f t="shared" si="29"/>
        <v>[{cd,3000},{hp,3300},{atk,42},{spd,8500}]</v>
      </c>
    </row>
    <row r="195" spans="1:15">
      <c r="A195">
        <v>112</v>
      </c>
      <c r="B195">
        <f t="shared" si="35"/>
        <v>39</v>
      </c>
      <c r="C195">
        <v>3000</v>
      </c>
      <c r="D195">
        <f>VLOOKUP(B195,[1]怪物!$N$34:$T$103,3,0)</f>
        <v>3960</v>
      </c>
      <c r="E195">
        <f>VLOOKUP(B195,[1]怪物!$N$34:$T$103,6,0)</f>
        <v>50</v>
      </c>
      <c r="F195" s="1">
        <f t="shared" si="23"/>
        <v>8500</v>
      </c>
      <c r="H195" t="str">
        <f t="shared" si="36"/>
        <v>{cd,3000}</v>
      </c>
      <c r="I195" t="str">
        <f t="shared" si="37"/>
        <v>{hp,3960}</v>
      </c>
      <c r="J195" t="str">
        <f t="shared" si="38"/>
        <v>{atk,50}</v>
      </c>
      <c r="K195" t="str">
        <f t="shared" si="39"/>
        <v>{spd,8500}</v>
      </c>
      <c r="L195" t="str">
        <f t="shared" si="28"/>
        <v/>
      </c>
      <c r="O195" t="str">
        <f t="shared" si="29"/>
        <v>[{cd,3000},{hp,3960},{atk,50},{spd,8500}]</v>
      </c>
    </row>
    <row r="196" spans="1:15">
      <c r="A196">
        <v>113</v>
      </c>
      <c r="B196">
        <f t="shared" si="35"/>
        <v>39</v>
      </c>
      <c r="C196">
        <v>3000</v>
      </c>
      <c r="D196">
        <f>VLOOKUP(B196,[1]怪物!$N$34:$T$103,4,0)</f>
        <v>4950</v>
      </c>
      <c r="E196">
        <f>VLOOKUP(B196,[1]怪物!$N$34:$T$103,7,0)</f>
        <v>63</v>
      </c>
      <c r="F196" s="1">
        <f t="shared" si="23"/>
        <v>8500</v>
      </c>
      <c r="H196" t="str">
        <f t="shared" si="36"/>
        <v>{cd,3000}</v>
      </c>
      <c r="I196" t="str">
        <f t="shared" si="37"/>
        <v>{hp,4950}</v>
      </c>
      <c r="J196" t="str">
        <f t="shared" si="38"/>
        <v>{atk,63}</v>
      </c>
      <c r="K196" t="str">
        <f t="shared" si="39"/>
        <v>{spd,8500}</v>
      </c>
      <c r="L196" t="str">
        <f t="shared" si="28"/>
        <v/>
      </c>
      <c r="O196" t="str">
        <f t="shared" si="29"/>
        <v>[{cd,3000},{hp,4950},{atk,63},{spd,8500}]</v>
      </c>
    </row>
    <row r="197" spans="1:15">
      <c r="A197">
        <v>511</v>
      </c>
      <c r="B197">
        <f t="shared" si="35"/>
        <v>39</v>
      </c>
      <c r="C197">
        <v>3000</v>
      </c>
      <c r="D197">
        <f>VLOOKUP(B197,[1]怪物!$U$34:$Y$104,2,0)</f>
        <v>198000</v>
      </c>
      <c r="E197">
        <f>VLOOKUP(B197,[1]怪物!$U$34:$Y$104,4,0)</f>
        <v>105</v>
      </c>
      <c r="F197" s="1">
        <f t="shared" ref="F197:F260" si="40">VLOOKUP(A197,$W:$AB,6,0)</f>
        <v>8500</v>
      </c>
      <c r="H197" t="str">
        <f t="shared" si="36"/>
        <v>{cd,3000}</v>
      </c>
      <c r="I197" t="str">
        <f t="shared" si="37"/>
        <v>{hp,198000}</v>
      </c>
      <c r="J197" t="str">
        <f t="shared" si="38"/>
        <v>{atk,105}</v>
      </c>
      <c r="K197" t="str">
        <f t="shared" si="39"/>
        <v>{spd,8500}</v>
      </c>
      <c r="L197" t="str">
        <f t="shared" ref="L197:L260" si="41">IF(VLOOKUP(A197,$W:$AC,7,0)=0,"",VLOOKUP(A197,$W:$AC,7,0))</f>
        <v/>
      </c>
      <c r="O197" t="str">
        <f t="shared" ref="O197:O260" si="42">"["&amp;_xlfn.TEXTJOIN(",",1,H197:M197)&amp;"]"</f>
        <v>[{cd,3000},{hp,198000},{atk,105},{spd,8500}]</v>
      </c>
    </row>
    <row r="198" spans="1:15">
      <c r="A198">
        <v>511</v>
      </c>
      <c r="B198">
        <f t="shared" si="35"/>
        <v>39</v>
      </c>
      <c r="C198">
        <v>3000</v>
      </c>
      <c r="D198">
        <f>VLOOKUP(B198,[1]怪物!$U$34:$Y$104,3,0)</f>
        <v>264000</v>
      </c>
      <c r="E198">
        <f>VLOOKUP(B198,[1]怪物!$U$34:$Y$104,5,0)</f>
        <v>210</v>
      </c>
      <c r="F198" s="1">
        <f t="shared" si="40"/>
        <v>8500</v>
      </c>
      <c r="H198" t="str">
        <f t="shared" si="36"/>
        <v>{cd,3000}</v>
      </c>
      <c r="I198" t="str">
        <f t="shared" si="37"/>
        <v>{hp,264000}</v>
      </c>
      <c r="J198" t="str">
        <f t="shared" si="38"/>
        <v>{atk,210}</v>
      </c>
      <c r="K198" t="str">
        <f t="shared" si="39"/>
        <v>{spd,8500}</v>
      </c>
      <c r="L198" t="str">
        <f t="shared" si="41"/>
        <v/>
      </c>
      <c r="O198" t="str">
        <f t="shared" si="42"/>
        <v>[{cd,3000},{hp,264000},{atk,210},{spd,8500}]</v>
      </c>
    </row>
    <row r="199" spans="1:15">
      <c r="A199">
        <v>111</v>
      </c>
      <c r="B199">
        <f t="shared" si="35"/>
        <v>40</v>
      </c>
      <c r="C199">
        <v>3000</v>
      </c>
      <c r="D199">
        <f>VLOOKUP(B199,[1]怪物!$N$34:$T$103,2,0)</f>
        <v>4500</v>
      </c>
      <c r="E199">
        <f>VLOOKUP(B199,[1]怪物!$N$34:$T$103,5,0)</f>
        <v>50</v>
      </c>
      <c r="F199" s="1">
        <f t="shared" si="40"/>
        <v>8500</v>
      </c>
      <c r="H199" t="str">
        <f t="shared" si="36"/>
        <v>{cd,3000}</v>
      </c>
      <c r="I199" t="str">
        <f t="shared" si="37"/>
        <v>{hp,4500}</v>
      </c>
      <c r="J199" t="str">
        <f t="shared" si="38"/>
        <v>{atk,50}</v>
      </c>
      <c r="K199" t="str">
        <f t="shared" si="39"/>
        <v>{spd,8500}</v>
      </c>
      <c r="L199" t="str">
        <f t="shared" si="41"/>
        <v/>
      </c>
      <c r="O199" t="str">
        <f t="shared" si="42"/>
        <v>[{cd,3000},{hp,4500},{atk,50},{spd,8500}]</v>
      </c>
    </row>
    <row r="200" spans="1:15">
      <c r="A200">
        <v>112</v>
      </c>
      <c r="B200">
        <f t="shared" si="35"/>
        <v>40</v>
      </c>
      <c r="C200">
        <v>3000</v>
      </c>
      <c r="D200">
        <f>VLOOKUP(B200,[1]怪物!$N$34:$T$103,3,0)</f>
        <v>5400</v>
      </c>
      <c r="E200">
        <f>VLOOKUP(B200,[1]怪物!$N$34:$T$103,6,0)</f>
        <v>60</v>
      </c>
      <c r="F200" s="1">
        <f t="shared" si="40"/>
        <v>8500</v>
      </c>
      <c r="H200" t="str">
        <f t="shared" si="36"/>
        <v>{cd,3000}</v>
      </c>
      <c r="I200" t="str">
        <f t="shared" si="37"/>
        <v>{hp,5400}</v>
      </c>
      <c r="J200" t="str">
        <f t="shared" si="38"/>
        <v>{atk,60}</v>
      </c>
      <c r="K200" t="str">
        <f t="shared" si="39"/>
        <v>{spd,8500}</v>
      </c>
      <c r="L200" t="str">
        <f t="shared" si="41"/>
        <v/>
      </c>
      <c r="O200" t="str">
        <f t="shared" si="42"/>
        <v>[{cd,3000},{hp,5400},{atk,60},{spd,8500}]</v>
      </c>
    </row>
    <row r="201" spans="1:15">
      <c r="A201">
        <v>115</v>
      </c>
      <c r="B201">
        <f t="shared" si="35"/>
        <v>40</v>
      </c>
      <c r="C201">
        <v>3000</v>
      </c>
      <c r="D201">
        <f>VLOOKUP(B201,[1]怪物!$N$34:$T$103,4,0)</f>
        <v>6750</v>
      </c>
      <c r="E201">
        <f>VLOOKUP(B201,[1]怪物!$N$34:$T$103,7,0)</f>
        <v>75</v>
      </c>
      <c r="F201" s="1">
        <f t="shared" si="40"/>
        <v>8500</v>
      </c>
      <c r="H201" t="str">
        <f t="shared" si="36"/>
        <v>{cd,3000}</v>
      </c>
      <c r="I201" t="str">
        <f t="shared" si="37"/>
        <v>{hp,6750}</v>
      </c>
      <c r="J201" t="str">
        <f t="shared" si="38"/>
        <v>{atk,75}</v>
      </c>
      <c r="K201" t="str">
        <f t="shared" si="39"/>
        <v>{spd,8500}</v>
      </c>
      <c r="L201" t="str">
        <f t="shared" si="41"/>
        <v/>
      </c>
      <c r="O201" t="str">
        <f t="shared" si="42"/>
        <v>[{cd,3000},{hp,6750},{atk,75},{spd,8500}]</v>
      </c>
    </row>
    <row r="202" spans="1:15">
      <c r="A202">
        <v>512</v>
      </c>
      <c r="B202">
        <f t="shared" si="35"/>
        <v>40</v>
      </c>
      <c r="C202">
        <v>3000</v>
      </c>
      <c r="D202">
        <f>VLOOKUP(B202,[1]怪物!$U$34:$Y$104,2,0)</f>
        <v>270000</v>
      </c>
      <c r="E202">
        <f>VLOOKUP(B202,[1]怪物!$U$34:$Y$104,4,0)</f>
        <v>125</v>
      </c>
      <c r="F202" s="1">
        <f t="shared" si="40"/>
        <v>8500</v>
      </c>
      <c r="H202" t="str">
        <f t="shared" si="36"/>
        <v>{cd,3000}</v>
      </c>
      <c r="I202" t="str">
        <f t="shared" si="37"/>
        <v>{hp,270000}</v>
      </c>
      <c r="J202" t="str">
        <f t="shared" si="38"/>
        <v>{atk,125}</v>
      </c>
      <c r="K202" t="str">
        <f t="shared" si="39"/>
        <v>{spd,8500}</v>
      </c>
      <c r="L202" t="str">
        <f t="shared" si="41"/>
        <v/>
      </c>
      <c r="O202" t="str">
        <f t="shared" si="42"/>
        <v>[{cd,3000},{hp,270000},{atk,125},{spd,8500}]</v>
      </c>
    </row>
    <row r="203" spans="1:15">
      <c r="A203">
        <v>512</v>
      </c>
      <c r="B203">
        <f t="shared" si="35"/>
        <v>40</v>
      </c>
      <c r="C203">
        <v>3000</v>
      </c>
      <c r="D203">
        <f>VLOOKUP(B203,[1]怪物!$U$34:$Y$104,3,0)</f>
        <v>360000</v>
      </c>
      <c r="E203">
        <f>VLOOKUP(B203,[1]怪物!$U$34:$Y$104,5,0)</f>
        <v>250</v>
      </c>
      <c r="F203" s="1">
        <f t="shared" si="40"/>
        <v>8500</v>
      </c>
      <c r="H203" t="str">
        <f t="shared" si="36"/>
        <v>{cd,3000}</v>
      </c>
      <c r="I203" t="str">
        <f t="shared" si="37"/>
        <v>{hp,360000}</v>
      </c>
      <c r="J203" t="str">
        <f t="shared" si="38"/>
        <v>{atk,250}</v>
      </c>
      <c r="K203" t="str">
        <f t="shared" si="39"/>
        <v>{spd,8500}</v>
      </c>
      <c r="L203" t="str">
        <f t="shared" si="41"/>
        <v/>
      </c>
      <c r="O203" t="str">
        <f t="shared" si="42"/>
        <v>[{cd,3000},{hp,360000},{atk,250},{spd,8500}]</v>
      </c>
    </row>
    <row r="204" spans="1:15">
      <c r="A204">
        <v>101</v>
      </c>
      <c r="B204">
        <f t="shared" si="35"/>
        <v>41</v>
      </c>
      <c r="C204">
        <v>3000</v>
      </c>
      <c r="D204">
        <f>VLOOKUP(B204,[1]怪物!$N$34:$T$103,2,0)</f>
        <v>3700</v>
      </c>
      <c r="E204">
        <f>VLOOKUP(B204,[1]怪物!$N$34:$T$103,5,0)</f>
        <v>44</v>
      </c>
      <c r="F204" s="1">
        <f t="shared" si="40"/>
        <v>8500</v>
      </c>
      <c r="H204" t="str">
        <f t="shared" ref="H204:H228" si="43">$C$2&amp;C$3&amp;$D$2&amp;C204&amp;$E$2</f>
        <v>{cd,3000}</v>
      </c>
      <c r="I204" t="str">
        <f t="shared" ref="I204:I228" si="44">$C$2&amp;D$3&amp;$D$2&amp;D204&amp;$E$2</f>
        <v>{hp,3700}</v>
      </c>
      <c r="J204" t="str">
        <f t="shared" ref="J204:J228" si="45">$C$2&amp;E$3&amp;$D$2&amp;E204&amp;$E$2</f>
        <v>{atk,44}</v>
      </c>
      <c r="K204" t="str">
        <f t="shared" ref="K204:K228" si="46">$C$2&amp;F$3&amp;$D$2&amp;F204&amp;$E$2</f>
        <v>{spd,8500}</v>
      </c>
      <c r="L204" t="str">
        <f t="shared" si="41"/>
        <v/>
      </c>
      <c r="O204" t="str">
        <f t="shared" si="42"/>
        <v>[{cd,3000},{hp,3700},{atk,44},{spd,8500}]</v>
      </c>
    </row>
    <row r="205" spans="1:15">
      <c r="A205">
        <v>100</v>
      </c>
      <c r="B205">
        <f t="shared" si="35"/>
        <v>41</v>
      </c>
      <c r="C205">
        <v>3000</v>
      </c>
      <c r="D205">
        <f>VLOOKUP(B205,[1]怪物!$N$34:$T$103,3,0)</f>
        <v>4440</v>
      </c>
      <c r="E205">
        <f>VLOOKUP(B205,[1]怪物!$N$34:$T$103,6,0)</f>
        <v>53</v>
      </c>
      <c r="F205" s="1">
        <f t="shared" si="40"/>
        <v>8500</v>
      </c>
      <c r="H205" t="str">
        <f t="shared" si="43"/>
        <v>{cd,3000}</v>
      </c>
      <c r="I205" t="str">
        <f t="shared" si="44"/>
        <v>{hp,4440}</v>
      </c>
      <c r="J205" t="str">
        <f t="shared" si="45"/>
        <v>{atk,53}</v>
      </c>
      <c r="K205" t="str">
        <f t="shared" si="46"/>
        <v>{spd,8500}</v>
      </c>
      <c r="L205" t="str">
        <f t="shared" si="41"/>
        <v/>
      </c>
      <c r="O205" t="str">
        <f t="shared" si="42"/>
        <v>[{cd,3000},{hp,4440},{atk,53},{spd,8500}]</v>
      </c>
    </row>
    <row r="206" spans="1:15">
      <c r="A206">
        <v>102</v>
      </c>
      <c r="B206">
        <f t="shared" si="35"/>
        <v>41</v>
      </c>
      <c r="C206">
        <v>3000</v>
      </c>
      <c r="D206">
        <f>VLOOKUP(B206,[1]怪物!$N$34:$T$103,4,0)</f>
        <v>5550</v>
      </c>
      <c r="E206">
        <f>VLOOKUP(B206,[1]怪物!$N$34:$T$103,7,0)</f>
        <v>66</v>
      </c>
      <c r="F206" s="1">
        <f t="shared" si="40"/>
        <v>8500</v>
      </c>
      <c r="H206" t="str">
        <f t="shared" si="43"/>
        <v>{cd,3000}</v>
      </c>
      <c r="I206" t="str">
        <f t="shared" si="44"/>
        <v>{hp,5550}</v>
      </c>
      <c r="J206" t="str">
        <f t="shared" si="45"/>
        <v>{atk,66}</v>
      </c>
      <c r="K206" t="str">
        <f t="shared" si="46"/>
        <v>{spd,8500}</v>
      </c>
      <c r="L206" t="str">
        <f t="shared" si="41"/>
        <v/>
      </c>
      <c r="O206" t="str">
        <f t="shared" si="42"/>
        <v>[{cd,3000},{hp,5550},{atk,66},{spd,8500}]</v>
      </c>
    </row>
    <row r="207" spans="1:15">
      <c r="A207">
        <v>501</v>
      </c>
      <c r="B207">
        <f t="shared" si="35"/>
        <v>41</v>
      </c>
      <c r="C207">
        <v>3000</v>
      </c>
      <c r="D207">
        <f>VLOOKUP(B207,[1]怪物!$U$34:$Y$104,2,0)</f>
        <v>222000</v>
      </c>
      <c r="E207">
        <f>VLOOKUP(B207,[1]怪物!$U$34:$Y$104,4,0)</f>
        <v>110</v>
      </c>
      <c r="F207" s="1">
        <f t="shared" si="40"/>
        <v>8500</v>
      </c>
      <c r="H207" t="str">
        <f t="shared" si="43"/>
        <v>{cd,3000}</v>
      </c>
      <c r="I207" t="str">
        <f t="shared" si="44"/>
        <v>{hp,222000}</v>
      </c>
      <c r="J207" t="str">
        <f t="shared" si="45"/>
        <v>{atk,110}</v>
      </c>
      <c r="K207" t="str">
        <f t="shared" si="46"/>
        <v>{spd,8500}</v>
      </c>
      <c r="L207" t="str">
        <f t="shared" si="41"/>
        <v/>
      </c>
      <c r="O207" t="str">
        <f t="shared" si="42"/>
        <v>[{cd,3000},{hp,222000},{atk,110},{spd,8500}]</v>
      </c>
    </row>
    <row r="208" spans="1:15">
      <c r="A208">
        <v>501</v>
      </c>
      <c r="B208">
        <f t="shared" si="35"/>
        <v>41</v>
      </c>
      <c r="C208">
        <v>3000</v>
      </c>
      <c r="D208">
        <f>VLOOKUP(B208,[1]怪物!$U$34:$Y$104,3,0)</f>
        <v>296000</v>
      </c>
      <c r="E208">
        <f>VLOOKUP(B208,[1]怪物!$U$34:$Y$104,5,0)</f>
        <v>220</v>
      </c>
      <c r="F208" s="1">
        <f t="shared" si="40"/>
        <v>8500</v>
      </c>
      <c r="H208" t="str">
        <f t="shared" si="43"/>
        <v>{cd,3000}</v>
      </c>
      <c r="I208" t="str">
        <f t="shared" si="44"/>
        <v>{hp,296000}</v>
      </c>
      <c r="J208" t="str">
        <f t="shared" si="45"/>
        <v>{atk,220}</v>
      </c>
      <c r="K208" t="str">
        <f t="shared" si="46"/>
        <v>{spd,8500}</v>
      </c>
      <c r="L208" t="str">
        <f t="shared" si="41"/>
        <v/>
      </c>
      <c r="O208" t="str">
        <f t="shared" si="42"/>
        <v>[{cd,3000},{hp,296000},{atk,220},{spd,8500}]</v>
      </c>
    </row>
    <row r="209" spans="1:15">
      <c r="A209">
        <v>101</v>
      </c>
      <c r="B209">
        <f t="shared" si="35"/>
        <v>42</v>
      </c>
      <c r="C209">
        <v>3000</v>
      </c>
      <c r="D209">
        <f>VLOOKUP(B209,[1]怪物!$N$34:$T$103,2,0)</f>
        <v>4100</v>
      </c>
      <c r="E209">
        <f>VLOOKUP(B209,[1]怪物!$N$34:$T$103,5,0)</f>
        <v>46</v>
      </c>
      <c r="F209" s="1">
        <f t="shared" si="40"/>
        <v>8500</v>
      </c>
      <c r="H209" t="str">
        <f t="shared" si="43"/>
        <v>{cd,3000}</v>
      </c>
      <c r="I209" t="str">
        <f t="shared" si="44"/>
        <v>{hp,4100}</v>
      </c>
      <c r="J209" t="str">
        <f t="shared" si="45"/>
        <v>{atk,46}</v>
      </c>
      <c r="K209" t="str">
        <f t="shared" si="46"/>
        <v>{spd,8500}</v>
      </c>
      <c r="L209" t="str">
        <f t="shared" si="41"/>
        <v/>
      </c>
      <c r="O209" t="str">
        <f t="shared" si="42"/>
        <v>[{cd,3000},{hp,4100},{atk,46},{spd,8500}]</v>
      </c>
    </row>
    <row r="210" spans="1:15">
      <c r="A210">
        <v>100</v>
      </c>
      <c r="B210">
        <f t="shared" si="35"/>
        <v>42</v>
      </c>
      <c r="C210">
        <v>3000</v>
      </c>
      <c r="D210">
        <f>VLOOKUP(B210,[1]怪物!$N$34:$T$103,3,0)</f>
        <v>4920</v>
      </c>
      <c r="E210">
        <f>VLOOKUP(B210,[1]怪物!$N$34:$T$103,6,0)</f>
        <v>55</v>
      </c>
      <c r="F210" s="1">
        <f t="shared" si="40"/>
        <v>8500</v>
      </c>
      <c r="H210" t="str">
        <f t="shared" si="43"/>
        <v>{cd,3000}</v>
      </c>
      <c r="I210" t="str">
        <f t="shared" si="44"/>
        <v>{hp,4920}</v>
      </c>
      <c r="J210" t="str">
        <f t="shared" si="45"/>
        <v>{atk,55}</v>
      </c>
      <c r="K210" t="str">
        <f t="shared" si="46"/>
        <v>{spd,8500}</v>
      </c>
      <c r="L210" t="str">
        <f t="shared" si="41"/>
        <v/>
      </c>
      <c r="O210" t="str">
        <f t="shared" si="42"/>
        <v>[{cd,3000},{hp,4920},{atk,55},{spd,8500}]</v>
      </c>
    </row>
    <row r="211" spans="1:15">
      <c r="A211">
        <v>102</v>
      </c>
      <c r="B211">
        <f t="shared" si="35"/>
        <v>42</v>
      </c>
      <c r="C211">
        <v>3000</v>
      </c>
      <c r="D211">
        <f>VLOOKUP(B211,[1]怪物!$N$34:$T$103,4,0)</f>
        <v>6150</v>
      </c>
      <c r="E211">
        <f>VLOOKUP(B211,[1]怪物!$N$34:$T$103,7,0)</f>
        <v>69</v>
      </c>
      <c r="F211" s="1">
        <f t="shared" si="40"/>
        <v>8500</v>
      </c>
      <c r="H211" t="str">
        <f t="shared" si="43"/>
        <v>{cd,3000}</v>
      </c>
      <c r="I211" t="str">
        <f t="shared" si="44"/>
        <v>{hp,6150}</v>
      </c>
      <c r="J211" t="str">
        <f t="shared" si="45"/>
        <v>{atk,69}</v>
      </c>
      <c r="K211" t="str">
        <f t="shared" si="46"/>
        <v>{spd,8500}</v>
      </c>
      <c r="L211" t="str">
        <f t="shared" si="41"/>
        <v/>
      </c>
      <c r="O211" t="str">
        <f t="shared" si="42"/>
        <v>[{cd,3000},{hp,6150},{atk,69},{spd,8500}]</v>
      </c>
    </row>
    <row r="212" spans="1:15">
      <c r="A212">
        <v>502</v>
      </c>
      <c r="B212">
        <f t="shared" si="35"/>
        <v>42</v>
      </c>
      <c r="C212">
        <v>3000</v>
      </c>
      <c r="D212">
        <f>VLOOKUP(B212,[1]怪物!$U$34:$Y$104,2,0)</f>
        <v>246000</v>
      </c>
      <c r="E212">
        <f>VLOOKUP(B212,[1]怪物!$U$34:$Y$104,4,0)</f>
        <v>115</v>
      </c>
      <c r="F212" s="1">
        <f t="shared" si="40"/>
        <v>8500</v>
      </c>
      <c r="H212" t="str">
        <f t="shared" si="43"/>
        <v>{cd,3000}</v>
      </c>
      <c r="I212" t="str">
        <f t="shared" si="44"/>
        <v>{hp,246000}</v>
      </c>
      <c r="J212" t="str">
        <f t="shared" si="45"/>
        <v>{atk,115}</v>
      </c>
      <c r="K212" t="str">
        <f t="shared" si="46"/>
        <v>{spd,8500}</v>
      </c>
      <c r="L212" t="str">
        <f t="shared" si="41"/>
        <v/>
      </c>
      <c r="O212" t="str">
        <f t="shared" si="42"/>
        <v>[{cd,3000},{hp,246000},{atk,115},{spd,8500}]</v>
      </c>
    </row>
    <row r="213" spans="1:15">
      <c r="A213">
        <v>502</v>
      </c>
      <c r="B213">
        <f t="shared" si="35"/>
        <v>42</v>
      </c>
      <c r="C213">
        <v>3000</v>
      </c>
      <c r="D213">
        <f>VLOOKUP(B213,[1]怪物!$U$34:$Y$104,3,0)</f>
        <v>328000</v>
      </c>
      <c r="E213">
        <f>VLOOKUP(B213,[1]怪物!$U$34:$Y$104,5,0)</f>
        <v>230</v>
      </c>
      <c r="F213" s="1">
        <f t="shared" si="40"/>
        <v>8500</v>
      </c>
      <c r="H213" t="str">
        <f t="shared" si="43"/>
        <v>{cd,3000}</v>
      </c>
      <c r="I213" t="str">
        <f t="shared" si="44"/>
        <v>{hp,328000}</v>
      </c>
      <c r="J213" t="str">
        <f t="shared" si="45"/>
        <v>{atk,230}</v>
      </c>
      <c r="K213" t="str">
        <f t="shared" si="46"/>
        <v>{spd,8500}</v>
      </c>
      <c r="L213" t="str">
        <f t="shared" si="41"/>
        <v/>
      </c>
      <c r="O213" t="str">
        <f t="shared" si="42"/>
        <v>[{cd,3000},{hp,328000},{atk,230},{spd,8500}]</v>
      </c>
    </row>
    <row r="214" spans="1:15">
      <c r="A214">
        <v>103</v>
      </c>
      <c r="B214">
        <f t="shared" si="35"/>
        <v>43</v>
      </c>
      <c r="C214">
        <v>3000</v>
      </c>
      <c r="D214">
        <f>VLOOKUP(B214,[1]怪物!$N$34:$T$103,2,0)</f>
        <v>4500</v>
      </c>
      <c r="E214">
        <f>VLOOKUP(B214,[1]怪物!$N$34:$T$103,5,0)</f>
        <v>48</v>
      </c>
      <c r="F214" s="1">
        <f t="shared" si="40"/>
        <v>8500</v>
      </c>
      <c r="H214" t="str">
        <f t="shared" si="43"/>
        <v>{cd,3000}</v>
      </c>
      <c r="I214" t="str">
        <f t="shared" si="44"/>
        <v>{hp,4500}</v>
      </c>
      <c r="J214" t="str">
        <f t="shared" si="45"/>
        <v>{atk,48}</v>
      </c>
      <c r="K214" t="str">
        <f t="shared" si="46"/>
        <v>{spd,8500}</v>
      </c>
      <c r="L214" t="str">
        <f t="shared" si="41"/>
        <v/>
      </c>
      <c r="O214" t="str">
        <f t="shared" si="42"/>
        <v>[{cd,3000},{hp,4500},{atk,48},{spd,8500}]</v>
      </c>
    </row>
    <row r="215" spans="1:15">
      <c r="A215">
        <v>104</v>
      </c>
      <c r="B215">
        <f t="shared" si="35"/>
        <v>43</v>
      </c>
      <c r="C215">
        <v>3000</v>
      </c>
      <c r="D215">
        <f>VLOOKUP(B215,[1]怪物!$N$34:$T$103,3,0)</f>
        <v>5400</v>
      </c>
      <c r="E215">
        <f>VLOOKUP(B215,[1]怪物!$N$34:$T$103,6,0)</f>
        <v>58</v>
      </c>
      <c r="F215" s="1">
        <f t="shared" si="40"/>
        <v>8500</v>
      </c>
      <c r="H215" t="str">
        <f t="shared" si="43"/>
        <v>{cd,3000}</v>
      </c>
      <c r="I215" t="str">
        <f t="shared" si="44"/>
        <v>{hp,5400}</v>
      </c>
      <c r="J215" t="str">
        <f t="shared" si="45"/>
        <v>{atk,58}</v>
      </c>
      <c r="K215" t="str">
        <f t="shared" si="46"/>
        <v>{spd,8500}</v>
      </c>
      <c r="L215" t="str">
        <f t="shared" si="41"/>
        <v/>
      </c>
      <c r="O215" t="str">
        <f t="shared" si="42"/>
        <v>[{cd,3000},{hp,5400},{atk,58},{spd,8500}]</v>
      </c>
    </row>
    <row r="216" spans="1:15">
      <c r="A216">
        <v>104</v>
      </c>
      <c r="B216">
        <f t="shared" si="35"/>
        <v>43</v>
      </c>
      <c r="C216">
        <v>3000</v>
      </c>
      <c r="D216">
        <f>VLOOKUP(B216,[1]怪物!$N$34:$T$103,4,0)</f>
        <v>6750</v>
      </c>
      <c r="E216">
        <f>VLOOKUP(B216,[1]怪物!$N$34:$T$103,7,0)</f>
        <v>72</v>
      </c>
      <c r="F216" s="1">
        <f t="shared" si="40"/>
        <v>8500</v>
      </c>
      <c r="H216" t="str">
        <f t="shared" si="43"/>
        <v>{cd,3000}</v>
      </c>
      <c r="I216" t="str">
        <f t="shared" si="44"/>
        <v>{hp,6750}</v>
      </c>
      <c r="J216" t="str">
        <f t="shared" si="45"/>
        <v>{atk,72}</v>
      </c>
      <c r="K216" t="str">
        <f t="shared" si="46"/>
        <v>{spd,8500}</v>
      </c>
      <c r="L216" t="str">
        <f t="shared" si="41"/>
        <v/>
      </c>
      <c r="O216" t="str">
        <f t="shared" si="42"/>
        <v>[{cd,3000},{hp,6750},{atk,72},{spd,8500}]</v>
      </c>
    </row>
    <row r="217" spans="1:15">
      <c r="A217">
        <v>504</v>
      </c>
      <c r="B217">
        <f t="shared" si="35"/>
        <v>43</v>
      </c>
      <c r="C217">
        <v>3000</v>
      </c>
      <c r="D217">
        <f>VLOOKUP(B217,[1]怪物!$U$34:$Y$104,2,0)</f>
        <v>270000</v>
      </c>
      <c r="E217">
        <f>VLOOKUP(B217,[1]怪物!$U$34:$Y$104,4,0)</f>
        <v>120</v>
      </c>
      <c r="F217" s="1">
        <f t="shared" si="40"/>
        <v>8500</v>
      </c>
      <c r="H217" t="str">
        <f t="shared" si="43"/>
        <v>{cd,3000}</v>
      </c>
      <c r="I217" t="str">
        <f t="shared" si="44"/>
        <v>{hp,270000}</v>
      </c>
      <c r="J217" t="str">
        <f t="shared" si="45"/>
        <v>{atk,120}</v>
      </c>
      <c r="K217" t="str">
        <f t="shared" si="46"/>
        <v>{spd,8500}</v>
      </c>
      <c r="L217" t="str">
        <f t="shared" si="41"/>
        <v/>
      </c>
      <c r="O217" t="str">
        <f t="shared" si="42"/>
        <v>[{cd,3000},{hp,270000},{atk,120},{spd,8500}]</v>
      </c>
    </row>
    <row r="218" spans="1:15">
      <c r="A218">
        <v>504</v>
      </c>
      <c r="B218">
        <f t="shared" si="35"/>
        <v>43</v>
      </c>
      <c r="C218">
        <v>3000</v>
      </c>
      <c r="D218">
        <f>VLOOKUP(B218,[1]怪物!$U$34:$Y$104,3,0)</f>
        <v>360000</v>
      </c>
      <c r="E218">
        <f>VLOOKUP(B218,[1]怪物!$U$34:$Y$104,5,0)</f>
        <v>240</v>
      </c>
      <c r="F218" s="1">
        <f t="shared" si="40"/>
        <v>8500</v>
      </c>
      <c r="H218" t="str">
        <f t="shared" si="43"/>
        <v>{cd,3000}</v>
      </c>
      <c r="I218" t="str">
        <f t="shared" si="44"/>
        <v>{hp,360000}</v>
      </c>
      <c r="J218" t="str">
        <f t="shared" si="45"/>
        <v>{atk,240}</v>
      </c>
      <c r="K218" t="str">
        <f t="shared" si="46"/>
        <v>{spd,8500}</v>
      </c>
      <c r="L218" t="str">
        <f t="shared" si="41"/>
        <v/>
      </c>
      <c r="O218" t="str">
        <f t="shared" si="42"/>
        <v>[{cd,3000},{hp,360000},{atk,240},{spd,8500}]</v>
      </c>
    </row>
    <row r="219" spans="1:15">
      <c r="A219">
        <v>103</v>
      </c>
      <c r="B219">
        <f t="shared" si="35"/>
        <v>44</v>
      </c>
      <c r="C219">
        <v>3000</v>
      </c>
      <c r="D219">
        <f>VLOOKUP(B219,[1]怪物!$N$34:$T$103,2,0)</f>
        <v>6000</v>
      </c>
      <c r="E219">
        <f>VLOOKUP(B219,[1]怪物!$N$34:$T$103,5,0)</f>
        <v>60</v>
      </c>
      <c r="F219" s="1">
        <f t="shared" si="40"/>
        <v>8500</v>
      </c>
      <c r="H219" t="str">
        <f t="shared" si="43"/>
        <v>{cd,3000}</v>
      </c>
      <c r="I219" t="str">
        <f t="shared" si="44"/>
        <v>{hp,6000}</v>
      </c>
      <c r="J219" t="str">
        <f t="shared" si="45"/>
        <v>{atk,60}</v>
      </c>
      <c r="K219" t="str">
        <f t="shared" si="46"/>
        <v>{spd,8500}</v>
      </c>
      <c r="L219" t="str">
        <f t="shared" si="41"/>
        <v/>
      </c>
      <c r="O219" t="str">
        <f t="shared" si="42"/>
        <v>[{cd,3000},{hp,6000},{atk,60},{spd,8500}]</v>
      </c>
    </row>
    <row r="220" spans="1:15">
      <c r="A220">
        <v>104</v>
      </c>
      <c r="B220">
        <f t="shared" si="35"/>
        <v>44</v>
      </c>
      <c r="C220">
        <v>3000</v>
      </c>
      <c r="D220">
        <f>VLOOKUP(B220,[1]怪物!$N$34:$T$103,3,0)</f>
        <v>7200</v>
      </c>
      <c r="E220">
        <f>VLOOKUP(B220,[1]怪物!$N$34:$T$103,6,0)</f>
        <v>72</v>
      </c>
      <c r="F220" s="1">
        <f t="shared" si="40"/>
        <v>8500</v>
      </c>
      <c r="H220" t="str">
        <f t="shared" si="43"/>
        <v>{cd,3000}</v>
      </c>
      <c r="I220" t="str">
        <f t="shared" si="44"/>
        <v>{hp,7200}</v>
      </c>
      <c r="J220" t="str">
        <f t="shared" si="45"/>
        <v>{atk,72}</v>
      </c>
      <c r="K220" t="str">
        <f t="shared" si="46"/>
        <v>{spd,8500}</v>
      </c>
      <c r="L220" t="str">
        <f t="shared" si="41"/>
        <v/>
      </c>
      <c r="O220" t="str">
        <f t="shared" si="42"/>
        <v>[{cd,3000},{hp,7200},{atk,72},{spd,8500}]</v>
      </c>
    </row>
    <row r="221" spans="1:15">
      <c r="A221">
        <v>106</v>
      </c>
      <c r="B221">
        <f t="shared" si="35"/>
        <v>44</v>
      </c>
      <c r="C221">
        <v>3000</v>
      </c>
      <c r="D221">
        <f>VLOOKUP(B221,[1]怪物!$N$34:$T$103,4,0)</f>
        <v>9000</v>
      </c>
      <c r="E221">
        <f>VLOOKUP(B221,[1]怪物!$N$34:$T$103,7,0)</f>
        <v>90</v>
      </c>
      <c r="F221" s="1">
        <f t="shared" si="40"/>
        <v>8500</v>
      </c>
      <c r="H221" t="str">
        <f t="shared" si="43"/>
        <v>{cd,3000}</v>
      </c>
      <c r="I221" t="str">
        <f t="shared" si="44"/>
        <v>{hp,9000}</v>
      </c>
      <c r="J221" t="str">
        <f t="shared" si="45"/>
        <v>{atk,90}</v>
      </c>
      <c r="K221" t="str">
        <f t="shared" si="46"/>
        <v>{spd,8500}</v>
      </c>
      <c r="L221" t="str">
        <f t="shared" si="41"/>
        <v/>
      </c>
      <c r="O221" t="str">
        <f t="shared" si="42"/>
        <v>[{cd,3000},{hp,9000},{atk,90},{spd,8500}]</v>
      </c>
    </row>
    <row r="222" spans="1:15">
      <c r="A222">
        <v>503</v>
      </c>
      <c r="B222">
        <f t="shared" si="35"/>
        <v>44</v>
      </c>
      <c r="C222">
        <v>3000</v>
      </c>
      <c r="D222">
        <f>VLOOKUP(B222,[1]怪物!$U$34:$Y$104,2,0)</f>
        <v>360000</v>
      </c>
      <c r="E222">
        <f>VLOOKUP(B222,[1]怪物!$U$34:$Y$104,4,0)</f>
        <v>150</v>
      </c>
      <c r="F222" s="1">
        <f t="shared" si="40"/>
        <v>8500</v>
      </c>
      <c r="H222" t="str">
        <f t="shared" si="43"/>
        <v>{cd,3000}</v>
      </c>
      <c r="I222" t="str">
        <f t="shared" si="44"/>
        <v>{hp,360000}</v>
      </c>
      <c r="J222" t="str">
        <f t="shared" si="45"/>
        <v>{atk,150}</v>
      </c>
      <c r="K222" t="str">
        <f t="shared" si="46"/>
        <v>{spd,8500}</v>
      </c>
      <c r="L222" t="str">
        <f t="shared" si="41"/>
        <v/>
      </c>
      <c r="O222" t="str">
        <f t="shared" si="42"/>
        <v>[{cd,3000},{hp,360000},{atk,150},{spd,8500}]</v>
      </c>
    </row>
    <row r="223" spans="1:15">
      <c r="A223">
        <v>503</v>
      </c>
      <c r="B223">
        <f t="shared" si="35"/>
        <v>44</v>
      </c>
      <c r="C223">
        <v>3000</v>
      </c>
      <c r="D223">
        <f>VLOOKUP(B223,[1]怪物!$U$34:$Y$104,3,0)</f>
        <v>480000</v>
      </c>
      <c r="E223">
        <f>VLOOKUP(B223,[1]怪物!$U$34:$Y$104,5,0)</f>
        <v>300</v>
      </c>
      <c r="F223" s="1">
        <f t="shared" si="40"/>
        <v>8500</v>
      </c>
      <c r="H223" t="str">
        <f t="shared" si="43"/>
        <v>{cd,3000}</v>
      </c>
      <c r="I223" t="str">
        <f t="shared" si="44"/>
        <v>{hp,480000}</v>
      </c>
      <c r="J223" t="str">
        <f t="shared" si="45"/>
        <v>{atk,300}</v>
      </c>
      <c r="K223" t="str">
        <f t="shared" si="46"/>
        <v>{spd,8500}</v>
      </c>
      <c r="L223" t="str">
        <f t="shared" si="41"/>
        <v/>
      </c>
      <c r="O223" t="str">
        <f t="shared" si="42"/>
        <v>[{cd,3000},{hp,480000},{atk,300},{spd,8500}]</v>
      </c>
    </row>
    <row r="224" spans="1:15">
      <c r="A224">
        <v>108</v>
      </c>
      <c r="B224">
        <f t="shared" si="35"/>
        <v>45</v>
      </c>
      <c r="C224">
        <v>3000</v>
      </c>
      <c r="D224">
        <f>VLOOKUP(B224,[1]怪物!$N$34:$T$103,2,0)</f>
        <v>4900</v>
      </c>
      <c r="E224">
        <f>VLOOKUP(B224,[1]怪物!$N$34:$T$103,5,0)</f>
        <v>50</v>
      </c>
      <c r="F224" s="1">
        <f t="shared" si="40"/>
        <v>8500</v>
      </c>
      <c r="H224" t="str">
        <f t="shared" si="43"/>
        <v>{cd,3000}</v>
      </c>
      <c r="I224" t="str">
        <f t="shared" si="44"/>
        <v>{hp,4900}</v>
      </c>
      <c r="J224" t="str">
        <f t="shared" si="45"/>
        <v>{atk,50}</v>
      </c>
      <c r="K224" t="str">
        <f t="shared" si="46"/>
        <v>{spd,8500}</v>
      </c>
      <c r="L224" t="str">
        <f t="shared" si="41"/>
        <v/>
      </c>
      <c r="O224" t="str">
        <f t="shared" si="42"/>
        <v>[{cd,3000},{hp,4900},{atk,50},{spd,8500}]</v>
      </c>
    </row>
    <row r="225" spans="1:15">
      <c r="A225">
        <v>110</v>
      </c>
      <c r="B225">
        <f t="shared" si="35"/>
        <v>45</v>
      </c>
      <c r="C225">
        <v>3000</v>
      </c>
      <c r="D225">
        <f>VLOOKUP(B225,[1]怪物!$N$34:$T$103,3,0)</f>
        <v>5880</v>
      </c>
      <c r="E225">
        <f>VLOOKUP(B225,[1]怪物!$N$34:$T$103,6,0)</f>
        <v>60</v>
      </c>
      <c r="F225" s="1">
        <f t="shared" si="40"/>
        <v>8500</v>
      </c>
      <c r="H225" t="str">
        <f t="shared" si="43"/>
        <v>{cd,3000}</v>
      </c>
      <c r="I225" t="str">
        <f t="shared" si="44"/>
        <v>{hp,5880}</v>
      </c>
      <c r="J225" t="str">
        <f t="shared" si="45"/>
        <v>{atk,60}</v>
      </c>
      <c r="K225" t="str">
        <f t="shared" si="46"/>
        <v>{spd,8500}</v>
      </c>
      <c r="L225" t="str">
        <f t="shared" si="41"/>
        <v/>
      </c>
      <c r="O225" t="str">
        <f t="shared" si="42"/>
        <v>[{cd,3000},{hp,5880},{atk,60},{spd,8500}]</v>
      </c>
    </row>
    <row r="226" spans="1:15">
      <c r="A226">
        <v>114</v>
      </c>
      <c r="B226">
        <f t="shared" si="35"/>
        <v>45</v>
      </c>
      <c r="C226">
        <v>3000</v>
      </c>
      <c r="D226">
        <f>VLOOKUP(B226,[1]怪物!$N$34:$T$103,4,0)</f>
        <v>7350</v>
      </c>
      <c r="E226">
        <f>VLOOKUP(B226,[1]怪物!$N$34:$T$103,7,0)</f>
        <v>75</v>
      </c>
      <c r="F226" s="1">
        <f t="shared" si="40"/>
        <v>8500</v>
      </c>
      <c r="H226" t="str">
        <f t="shared" si="43"/>
        <v>{cd,3000}</v>
      </c>
      <c r="I226" t="str">
        <f t="shared" si="44"/>
        <v>{hp,7350}</v>
      </c>
      <c r="J226" t="str">
        <f t="shared" si="45"/>
        <v>{atk,75}</v>
      </c>
      <c r="K226" t="str">
        <f t="shared" si="46"/>
        <v>{spd,8500}</v>
      </c>
      <c r="L226" t="str">
        <f t="shared" si="41"/>
        <v/>
      </c>
      <c r="O226" t="str">
        <f t="shared" si="42"/>
        <v>[{cd,3000},{hp,7350},{atk,75},{spd,8500}]</v>
      </c>
    </row>
    <row r="227" spans="1:15">
      <c r="A227">
        <v>508</v>
      </c>
      <c r="B227">
        <f t="shared" si="35"/>
        <v>45</v>
      </c>
      <c r="C227">
        <v>3000</v>
      </c>
      <c r="D227">
        <f>VLOOKUP(B227,[1]怪物!$U$34:$Y$104,2,0)</f>
        <v>294000</v>
      </c>
      <c r="E227">
        <f>VLOOKUP(B227,[1]怪物!$U$34:$Y$104,4,0)</f>
        <v>125</v>
      </c>
      <c r="F227" s="1">
        <f t="shared" si="40"/>
        <v>8500</v>
      </c>
      <c r="H227" t="str">
        <f t="shared" si="43"/>
        <v>{cd,3000}</v>
      </c>
      <c r="I227" t="str">
        <f t="shared" si="44"/>
        <v>{hp,294000}</v>
      </c>
      <c r="J227" t="str">
        <f t="shared" si="45"/>
        <v>{atk,125}</v>
      </c>
      <c r="K227" t="str">
        <f t="shared" si="46"/>
        <v>{spd,8500}</v>
      </c>
      <c r="L227" t="str">
        <f t="shared" si="41"/>
        <v/>
      </c>
      <c r="O227" t="str">
        <f t="shared" si="42"/>
        <v>[{cd,3000},{hp,294000},{atk,125},{spd,8500}]</v>
      </c>
    </row>
    <row r="228" spans="1:15">
      <c r="A228">
        <v>508</v>
      </c>
      <c r="B228">
        <f t="shared" si="35"/>
        <v>45</v>
      </c>
      <c r="C228">
        <v>3000</v>
      </c>
      <c r="D228">
        <f>VLOOKUP(B228,[1]怪物!$U$34:$Y$104,3,0)</f>
        <v>392000</v>
      </c>
      <c r="E228">
        <f>VLOOKUP(B228,[1]怪物!$U$34:$Y$104,5,0)</f>
        <v>250</v>
      </c>
      <c r="F228" s="1">
        <f t="shared" si="40"/>
        <v>8500</v>
      </c>
      <c r="H228" t="str">
        <f t="shared" si="43"/>
        <v>{cd,3000}</v>
      </c>
      <c r="I228" t="str">
        <f t="shared" si="44"/>
        <v>{hp,392000}</v>
      </c>
      <c r="J228" t="str">
        <f t="shared" si="45"/>
        <v>{atk,250}</v>
      </c>
      <c r="K228" t="str">
        <f t="shared" si="46"/>
        <v>{spd,8500}</v>
      </c>
      <c r="L228" t="str">
        <f t="shared" si="41"/>
        <v/>
      </c>
      <c r="O228" t="str">
        <f t="shared" si="42"/>
        <v>[{cd,3000},{hp,392000},{atk,250},{spd,8500}]</v>
      </c>
    </row>
    <row r="229" spans="1:15">
      <c r="A229">
        <v>110</v>
      </c>
      <c r="B229">
        <f t="shared" si="35"/>
        <v>46</v>
      </c>
      <c r="C229">
        <v>3000</v>
      </c>
      <c r="D229">
        <f>VLOOKUP(B229,[1]怪物!$N$34:$T$103,2,0)</f>
        <v>5300</v>
      </c>
      <c r="E229">
        <f>VLOOKUP(B229,[1]怪物!$N$34:$T$103,5,0)</f>
        <v>54</v>
      </c>
      <c r="F229" s="1">
        <f t="shared" si="40"/>
        <v>8500</v>
      </c>
      <c r="H229" t="str">
        <f t="shared" ref="H229:H253" si="47">$C$2&amp;C$3&amp;$D$2&amp;C229&amp;$E$2</f>
        <v>{cd,3000}</v>
      </c>
      <c r="I229" t="str">
        <f t="shared" ref="I229:I253" si="48">$C$2&amp;D$3&amp;$D$2&amp;D229&amp;$E$2</f>
        <v>{hp,5300}</v>
      </c>
      <c r="J229" t="str">
        <f t="shared" ref="J229:J253" si="49">$C$2&amp;E$3&amp;$D$2&amp;E229&amp;$E$2</f>
        <v>{atk,54}</v>
      </c>
      <c r="K229" t="str">
        <f t="shared" ref="K229:K253" si="50">$C$2&amp;F$3&amp;$D$2&amp;F229&amp;$E$2</f>
        <v>{spd,8500}</v>
      </c>
      <c r="L229" t="str">
        <f t="shared" si="41"/>
        <v/>
      </c>
      <c r="O229" t="str">
        <f t="shared" si="42"/>
        <v>[{cd,3000},{hp,5300},{atk,54},{spd,8500}]</v>
      </c>
    </row>
    <row r="230" spans="1:15">
      <c r="A230">
        <v>114</v>
      </c>
      <c r="B230">
        <f t="shared" si="35"/>
        <v>46</v>
      </c>
      <c r="C230">
        <v>3000</v>
      </c>
      <c r="D230">
        <f>VLOOKUP(B230,[1]怪物!$N$34:$T$103,3,0)</f>
        <v>6360</v>
      </c>
      <c r="E230">
        <f>VLOOKUP(B230,[1]怪物!$N$34:$T$103,6,0)</f>
        <v>65</v>
      </c>
      <c r="F230" s="1">
        <f t="shared" si="40"/>
        <v>8500</v>
      </c>
      <c r="H230" t="str">
        <f t="shared" si="47"/>
        <v>{cd,3000}</v>
      </c>
      <c r="I230" t="str">
        <f t="shared" si="48"/>
        <v>{hp,6360}</v>
      </c>
      <c r="J230" t="str">
        <f t="shared" si="49"/>
        <v>{atk,65}</v>
      </c>
      <c r="K230" t="str">
        <f t="shared" si="50"/>
        <v>{spd,8500}</v>
      </c>
      <c r="L230" t="str">
        <f t="shared" si="41"/>
        <v/>
      </c>
      <c r="O230" t="str">
        <f t="shared" si="42"/>
        <v>[{cd,3000},{hp,6360},{atk,65},{spd,8500}]</v>
      </c>
    </row>
    <row r="231" spans="1:15">
      <c r="A231">
        <v>109</v>
      </c>
      <c r="B231">
        <f t="shared" si="35"/>
        <v>46</v>
      </c>
      <c r="C231">
        <v>3000</v>
      </c>
      <c r="D231">
        <f>VLOOKUP(B231,[1]怪物!$N$34:$T$103,4,0)</f>
        <v>7950</v>
      </c>
      <c r="E231">
        <f>VLOOKUP(B231,[1]怪物!$N$34:$T$103,7,0)</f>
        <v>81</v>
      </c>
      <c r="F231" s="1">
        <f t="shared" si="40"/>
        <v>8500</v>
      </c>
      <c r="H231" t="str">
        <f t="shared" si="47"/>
        <v>{cd,3000}</v>
      </c>
      <c r="I231" t="str">
        <f t="shared" si="48"/>
        <v>{hp,7950}</v>
      </c>
      <c r="J231" t="str">
        <f t="shared" si="49"/>
        <v>{atk,81}</v>
      </c>
      <c r="K231" t="str">
        <f t="shared" si="50"/>
        <v>{spd,8500}</v>
      </c>
      <c r="L231" t="str">
        <f t="shared" si="41"/>
        <v/>
      </c>
      <c r="O231" t="str">
        <f t="shared" si="42"/>
        <v>[{cd,3000},{hp,7950},{atk,81},{spd,8500}]</v>
      </c>
    </row>
    <row r="232" spans="1:15">
      <c r="A232">
        <v>514</v>
      </c>
      <c r="B232">
        <f t="shared" si="35"/>
        <v>46</v>
      </c>
      <c r="C232">
        <v>3000</v>
      </c>
      <c r="D232">
        <f>VLOOKUP(B232,[1]怪物!$U$34:$Y$104,2,0)</f>
        <v>318000</v>
      </c>
      <c r="E232">
        <f>VLOOKUP(B232,[1]怪物!$U$34:$Y$104,4,0)</f>
        <v>135</v>
      </c>
      <c r="F232" s="1">
        <f t="shared" si="40"/>
        <v>8500</v>
      </c>
      <c r="H232" t="str">
        <f t="shared" si="47"/>
        <v>{cd,3000}</v>
      </c>
      <c r="I232" t="str">
        <f t="shared" si="48"/>
        <v>{hp,318000}</v>
      </c>
      <c r="J232" t="str">
        <f t="shared" si="49"/>
        <v>{atk,135}</v>
      </c>
      <c r="K232" t="str">
        <f t="shared" si="50"/>
        <v>{spd,8500}</v>
      </c>
      <c r="L232" t="str">
        <f t="shared" si="41"/>
        <v/>
      </c>
      <c r="O232" t="str">
        <f t="shared" si="42"/>
        <v>[{cd,3000},{hp,318000},{atk,135},{spd,8500}]</v>
      </c>
    </row>
    <row r="233" spans="1:15">
      <c r="A233">
        <v>514</v>
      </c>
      <c r="B233">
        <f t="shared" si="35"/>
        <v>46</v>
      </c>
      <c r="C233">
        <v>3000</v>
      </c>
      <c r="D233">
        <f>VLOOKUP(B233,[1]怪物!$U$34:$Y$104,3,0)</f>
        <v>424000</v>
      </c>
      <c r="E233">
        <f>VLOOKUP(B233,[1]怪物!$U$34:$Y$104,5,0)</f>
        <v>270</v>
      </c>
      <c r="F233" s="1">
        <f t="shared" si="40"/>
        <v>8500</v>
      </c>
      <c r="H233" t="str">
        <f t="shared" si="47"/>
        <v>{cd,3000}</v>
      </c>
      <c r="I233" t="str">
        <f t="shared" si="48"/>
        <v>{hp,424000}</v>
      </c>
      <c r="J233" t="str">
        <f t="shared" si="49"/>
        <v>{atk,270}</v>
      </c>
      <c r="K233" t="str">
        <f t="shared" si="50"/>
        <v>{spd,8500}</v>
      </c>
      <c r="L233" t="str">
        <f t="shared" si="41"/>
        <v/>
      </c>
      <c r="O233" t="str">
        <f t="shared" si="42"/>
        <v>[{cd,3000},{hp,424000},{atk,270},{spd,8500}]</v>
      </c>
    </row>
    <row r="234" spans="1:15">
      <c r="A234">
        <v>111</v>
      </c>
      <c r="B234">
        <f t="shared" si="35"/>
        <v>47</v>
      </c>
      <c r="C234">
        <v>3000</v>
      </c>
      <c r="D234">
        <f>VLOOKUP(B234,[1]怪物!$N$34:$T$103,2,0)</f>
        <v>5700</v>
      </c>
      <c r="E234">
        <f>VLOOKUP(B234,[1]怪物!$N$34:$T$103,5,0)</f>
        <v>56</v>
      </c>
      <c r="F234" s="1">
        <f t="shared" si="40"/>
        <v>8500</v>
      </c>
      <c r="H234" t="str">
        <f t="shared" si="47"/>
        <v>{cd,3000}</v>
      </c>
      <c r="I234" t="str">
        <f t="shared" si="48"/>
        <v>{hp,5700}</v>
      </c>
      <c r="J234" t="str">
        <f t="shared" si="49"/>
        <v>{atk,56}</v>
      </c>
      <c r="K234" t="str">
        <f t="shared" si="50"/>
        <v>{spd,8500}</v>
      </c>
      <c r="L234" t="str">
        <f t="shared" si="41"/>
        <v/>
      </c>
      <c r="O234" t="str">
        <f t="shared" si="42"/>
        <v>[{cd,3000},{hp,5700},{atk,56},{spd,8500}]</v>
      </c>
    </row>
    <row r="235" spans="1:15">
      <c r="A235">
        <v>115</v>
      </c>
      <c r="B235">
        <f t="shared" si="35"/>
        <v>47</v>
      </c>
      <c r="C235">
        <v>3000</v>
      </c>
      <c r="D235">
        <f>VLOOKUP(B235,[1]怪物!$N$34:$T$103,3,0)</f>
        <v>6840</v>
      </c>
      <c r="E235">
        <f>VLOOKUP(B235,[1]怪物!$N$34:$T$103,6,0)</f>
        <v>67</v>
      </c>
      <c r="F235" s="1">
        <f t="shared" si="40"/>
        <v>8500</v>
      </c>
      <c r="H235" t="str">
        <f t="shared" si="47"/>
        <v>{cd,3000}</v>
      </c>
      <c r="I235" t="str">
        <f t="shared" si="48"/>
        <v>{hp,6840}</v>
      </c>
      <c r="J235" t="str">
        <f t="shared" si="49"/>
        <v>{atk,67}</v>
      </c>
      <c r="K235" t="str">
        <f t="shared" si="50"/>
        <v>{spd,8500}</v>
      </c>
      <c r="L235" t="str">
        <f t="shared" si="41"/>
        <v/>
      </c>
      <c r="O235" t="str">
        <f t="shared" si="42"/>
        <v>[{cd,3000},{hp,6840},{atk,67},{spd,8500}]</v>
      </c>
    </row>
    <row r="236" spans="1:15">
      <c r="A236">
        <v>113</v>
      </c>
      <c r="B236">
        <f t="shared" si="35"/>
        <v>47</v>
      </c>
      <c r="C236">
        <v>3000</v>
      </c>
      <c r="D236">
        <f>VLOOKUP(B236,[1]怪物!$N$34:$T$103,4,0)</f>
        <v>8550</v>
      </c>
      <c r="E236">
        <f>VLOOKUP(B236,[1]怪物!$N$34:$T$103,7,0)</f>
        <v>84</v>
      </c>
      <c r="F236" s="1">
        <f t="shared" si="40"/>
        <v>8500</v>
      </c>
      <c r="H236" t="str">
        <f t="shared" si="47"/>
        <v>{cd,3000}</v>
      </c>
      <c r="I236" t="str">
        <f t="shared" si="48"/>
        <v>{hp,8550}</v>
      </c>
      <c r="J236" t="str">
        <f t="shared" si="49"/>
        <v>{atk,84}</v>
      </c>
      <c r="K236" t="str">
        <f t="shared" si="50"/>
        <v>{spd,8500}</v>
      </c>
      <c r="L236" t="str">
        <f t="shared" si="41"/>
        <v/>
      </c>
      <c r="O236" t="str">
        <f t="shared" si="42"/>
        <v>[{cd,3000},{hp,8550},{atk,84},{spd,8500}]</v>
      </c>
    </row>
    <row r="237" spans="1:15">
      <c r="A237">
        <v>515</v>
      </c>
      <c r="B237">
        <f t="shared" si="35"/>
        <v>47</v>
      </c>
      <c r="C237">
        <v>3000</v>
      </c>
      <c r="D237">
        <f>VLOOKUP(B237,[1]怪物!$U$34:$Y$104,2,0)</f>
        <v>342000</v>
      </c>
      <c r="E237">
        <f>VLOOKUP(B237,[1]怪物!$U$34:$Y$104,4,0)</f>
        <v>140</v>
      </c>
      <c r="F237" s="1">
        <f t="shared" si="40"/>
        <v>8500</v>
      </c>
      <c r="H237" t="str">
        <f t="shared" si="47"/>
        <v>{cd,3000}</v>
      </c>
      <c r="I237" t="str">
        <f t="shared" si="48"/>
        <v>{hp,342000}</v>
      </c>
      <c r="J237" t="str">
        <f t="shared" si="49"/>
        <v>{atk,140}</v>
      </c>
      <c r="K237" t="str">
        <f t="shared" si="50"/>
        <v>{spd,8500}</v>
      </c>
      <c r="L237" t="str">
        <f t="shared" si="41"/>
        <v/>
      </c>
      <c r="O237" t="str">
        <f t="shared" si="42"/>
        <v>[{cd,3000},{hp,342000},{atk,140},{spd,8500}]</v>
      </c>
    </row>
    <row r="238" spans="1:15">
      <c r="A238">
        <v>515</v>
      </c>
      <c r="B238">
        <f t="shared" si="35"/>
        <v>47</v>
      </c>
      <c r="C238">
        <v>3000</v>
      </c>
      <c r="D238">
        <f>VLOOKUP(B238,[1]怪物!$U$34:$Y$104,3,0)</f>
        <v>456000</v>
      </c>
      <c r="E238">
        <f>VLOOKUP(B238,[1]怪物!$U$34:$Y$104,5,0)</f>
        <v>280</v>
      </c>
      <c r="F238" s="1">
        <f t="shared" si="40"/>
        <v>8500</v>
      </c>
      <c r="H238" t="str">
        <f t="shared" si="47"/>
        <v>{cd,3000}</v>
      </c>
      <c r="I238" t="str">
        <f t="shared" si="48"/>
        <v>{hp,456000}</v>
      </c>
      <c r="J238" t="str">
        <f t="shared" si="49"/>
        <v>{atk,280}</v>
      </c>
      <c r="K238" t="str">
        <f t="shared" si="50"/>
        <v>{spd,8500}</v>
      </c>
      <c r="L238" t="str">
        <f t="shared" si="41"/>
        <v/>
      </c>
      <c r="O238" t="str">
        <f t="shared" si="42"/>
        <v>[{cd,3000},{hp,456000},{atk,280},{spd,8500}]</v>
      </c>
    </row>
    <row r="239" spans="1:15">
      <c r="A239">
        <v>115</v>
      </c>
      <c r="B239">
        <f t="shared" si="35"/>
        <v>48</v>
      </c>
      <c r="C239">
        <v>3000</v>
      </c>
      <c r="D239">
        <f>VLOOKUP(B239,[1]怪物!$N$34:$T$103,2,0)</f>
        <v>6100</v>
      </c>
      <c r="E239">
        <f>VLOOKUP(B239,[1]怪物!$N$34:$T$103,5,0)</f>
        <v>58</v>
      </c>
      <c r="F239" s="1">
        <f t="shared" si="40"/>
        <v>8500</v>
      </c>
      <c r="H239" t="str">
        <f t="shared" si="47"/>
        <v>{cd,3000}</v>
      </c>
      <c r="I239" t="str">
        <f t="shared" si="48"/>
        <v>{hp,6100}</v>
      </c>
      <c r="J239" t="str">
        <f t="shared" si="49"/>
        <v>{atk,58}</v>
      </c>
      <c r="K239" t="str">
        <f t="shared" si="50"/>
        <v>{spd,8500}</v>
      </c>
      <c r="L239" t="str">
        <f t="shared" si="41"/>
        <v/>
      </c>
      <c r="O239" t="str">
        <f t="shared" si="42"/>
        <v>[{cd,3000},{hp,6100},{atk,58},{spd,8500}]</v>
      </c>
    </row>
    <row r="240" spans="1:15">
      <c r="A240">
        <v>113</v>
      </c>
      <c r="B240">
        <f t="shared" si="35"/>
        <v>48</v>
      </c>
      <c r="C240">
        <v>3000</v>
      </c>
      <c r="D240">
        <f>VLOOKUP(B240,[1]怪物!$N$34:$T$103,3,0)</f>
        <v>7320</v>
      </c>
      <c r="E240">
        <f>VLOOKUP(B240,[1]怪物!$N$34:$T$103,6,0)</f>
        <v>70</v>
      </c>
      <c r="F240" s="1">
        <f t="shared" si="40"/>
        <v>8500</v>
      </c>
      <c r="H240" t="str">
        <f t="shared" si="47"/>
        <v>{cd,3000}</v>
      </c>
      <c r="I240" t="str">
        <f t="shared" si="48"/>
        <v>{hp,7320}</v>
      </c>
      <c r="J240" t="str">
        <f t="shared" si="49"/>
        <v>{atk,70}</v>
      </c>
      <c r="K240" t="str">
        <f t="shared" si="50"/>
        <v>{spd,8500}</v>
      </c>
      <c r="L240" t="str">
        <f t="shared" si="41"/>
        <v/>
      </c>
      <c r="O240" t="str">
        <f t="shared" si="42"/>
        <v>[{cd,3000},{hp,7320},{atk,70},{spd,8500}]</v>
      </c>
    </row>
    <row r="241" spans="1:15">
      <c r="A241">
        <v>113</v>
      </c>
      <c r="B241">
        <f t="shared" si="35"/>
        <v>48</v>
      </c>
      <c r="C241">
        <v>3000</v>
      </c>
      <c r="D241">
        <f>VLOOKUP(B241,[1]怪物!$N$34:$T$103,4,0)</f>
        <v>9150</v>
      </c>
      <c r="E241">
        <f>VLOOKUP(B241,[1]怪物!$N$34:$T$103,7,0)</f>
        <v>87</v>
      </c>
      <c r="F241" s="1">
        <f t="shared" si="40"/>
        <v>8500</v>
      </c>
      <c r="H241" t="str">
        <f t="shared" si="47"/>
        <v>{cd,3000}</v>
      </c>
      <c r="I241" t="str">
        <f t="shared" si="48"/>
        <v>{hp,9150}</v>
      </c>
      <c r="J241" t="str">
        <f t="shared" si="49"/>
        <v>{atk,87}</v>
      </c>
      <c r="K241" t="str">
        <f t="shared" si="50"/>
        <v>{spd,8500}</v>
      </c>
      <c r="L241" t="str">
        <f t="shared" si="41"/>
        <v/>
      </c>
      <c r="O241" t="str">
        <f t="shared" si="42"/>
        <v>[{cd,3000},{hp,9150},{atk,87},{spd,8500}]</v>
      </c>
    </row>
    <row r="242" spans="1:15">
      <c r="A242">
        <v>515</v>
      </c>
      <c r="B242">
        <f t="shared" si="35"/>
        <v>48</v>
      </c>
      <c r="C242">
        <v>3000</v>
      </c>
      <c r="D242">
        <f>VLOOKUP(B242,[1]怪物!$U$34:$Y$104,2,0)</f>
        <v>366000</v>
      </c>
      <c r="E242">
        <f>VLOOKUP(B242,[1]怪物!$U$34:$Y$104,4,0)</f>
        <v>145</v>
      </c>
      <c r="F242" s="1">
        <f t="shared" si="40"/>
        <v>8500</v>
      </c>
      <c r="H242" t="str">
        <f t="shared" si="47"/>
        <v>{cd,3000}</v>
      </c>
      <c r="I242" t="str">
        <f t="shared" si="48"/>
        <v>{hp,366000}</v>
      </c>
      <c r="J242" t="str">
        <f t="shared" si="49"/>
        <v>{atk,145}</v>
      </c>
      <c r="K242" t="str">
        <f t="shared" si="50"/>
        <v>{spd,8500}</v>
      </c>
      <c r="L242" t="str">
        <f t="shared" si="41"/>
        <v/>
      </c>
      <c r="O242" t="str">
        <f t="shared" si="42"/>
        <v>[{cd,3000},{hp,366000},{atk,145},{spd,8500}]</v>
      </c>
    </row>
    <row r="243" spans="1:15">
      <c r="A243">
        <v>515</v>
      </c>
      <c r="B243">
        <f t="shared" ref="B243:B306" si="51">B238+1</f>
        <v>48</v>
      </c>
      <c r="C243">
        <v>3000</v>
      </c>
      <c r="D243">
        <f>VLOOKUP(B243,[1]怪物!$U$34:$Y$104,3,0)</f>
        <v>488000</v>
      </c>
      <c r="E243">
        <f>VLOOKUP(B243,[1]怪物!$U$34:$Y$104,5,0)</f>
        <v>290</v>
      </c>
      <c r="F243" s="1">
        <f t="shared" si="40"/>
        <v>8500</v>
      </c>
      <c r="H243" t="str">
        <f t="shared" si="47"/>
        <v>{cd,3000}</v>
      </c>
      <c r="I243" t="str">
        <f t="shared" si="48"/>
        <v>{hp,488000}</v>
      </c>
      <c r="J243" t="str">
        <f t="shared" si="49"/>
        <v>{atk,290}</v>
      </c>
      <c r="K243" t="str">
        <f t="shared" si="50"/>
        <v>{spd,8500}</v>
      </c>
      <c r="L243" t="str">
        <f t="shared" si="41"/>
        <v/>
      </c>
      <c r="O243" t="str">
        <f t="shared" si="42"/>
        <v>[{cd,3000},{hp,488000},{atk,290},{spd,8500}]</v>
      </c>
    </row>
    <row r="244" spans="1:15">
      <c r="A244">
        <v>100</v>
      </c>
      <c r="B244">
        <f t="shared" si="51"/>
        <v>49</v>
      </c>
      <c r="C244">
        <v>3000</v>
      </c>
      <c r="D244">
        <f>VLOOKUP(B244,[1]怪物!$N$34:$T$103,2,0)</f>
        <v>6500</v>
      </c>
      <c r="E244">
        <f>VLOOKUP(B244,[1]怪物!$N$34:$T$103,5,0)</f>
        <v>60</v>
      </c>
      <c r="F244" s="1">
        <f t="shared" si="40"/>
        <v>8500</v>
      </c>
      <c r="H244" t="str">
        <f t="shared" si="47"/>
        <v>{cd,3000}</v>
      </c>
      <c r="I244" t="str">
        <f t="shared" si="48"/>
        <v>{hp,6500}</v>
      </c>
      <c r="J244" t="str">
        <f t="shared" si="49"/>
        <v>{atk,60}</v>
      </c>
      <c r="K244" t="str">
        <f t="shared" si="50"/>
        <v>{spd,8500}</v>
      </c>
      <c r="L244" t="str">
        <f t="shared" si="41"/>
        <v/>
      </c>
      <c r="O244" t="str">
        <f t="shared" si="42"/>
        <v>[{cd,3000},{hp,6500},{atk,60},{spd,8500}]</v>
      </c>
    </row>
    <row r="245" spans="1:15">
      <c r="A245">
        <v>102</v>
      </c>
      <c r="B245">
        <f t="shared" si="51"/>
        <v>49</v>
      </c>
      <c r="C245">
        <v>3000</v>
      </c>
      <c r="D245">
        <f>VLOOKUP(B245,[1]怪物!$N$34:$T$103,3,0)</f>
        <v>7800</v>
      </c>
      <c r="E245">
        <f>VLOOKUP(B245,[1]怪物!$N$34:$T$103,6,0)</f>
        <v>72</v>
      </c>
      <c r="F245" s="1">
        <f t="shared" si="40"/>
        <v>8500</v>
      </c>
      <c r="H245" t="str">
        <f t="shared" si="47"/>
        <v>{cd,3000}</v>
      </c>
      <c r="I245" t="str">
        <f t="shared" si="48"/>
        <v>{hp,7800}</v>
      </c>
      <c r="J245" t="str">
        <f t="shared" si="49"/>
        <v>{atk,72}</v>
      </c>
      <c r="K245" t="str">
        <f t="shared" si="50"/>
        <v>{spd,8500}</v>
      </c>
      <c r="L245" t="str">
        <f t="shared" si="41"/>
        <v/>
      </c>
      <c r="O245" t="str">
        <f t="shared" si="42"/>
        <v>[{cd,3000},{hp,7800},{atk,72},{spd,8500}]</v>
      </c>
    </row>
    <row r="246" spans="1:15">
      <c r="A246">
        <v>105</v>
      </c>
      <c r="B246">
        <f t="shared" si="51"/>
        <v>49</v>
      </c>
      <c r="C246">
        <v>3000</v>
      </c>
      <c r="D246">
        <f>VLOOKUP(B246,[1]怪物!$N$34:$T$103,4,0)</f>
        <v>9750</v>
      </c>
      <c r="E246">
        <f>VLOOKUP(B246,[1]怪物!$N$34:$T$103,7,0)</f>
        <v>90</v>
      </c>
      <c r="F246" s="1">
        <f t="shared" si="40"/>
        <v>8500</v>
      </c>
      <c r="H246" t="str">
        <f t="shared" si="47"/>
        <v>{cd,3000}</v>
      </c>
      <c r="I246" t="str">
        <f t="shared" si="48"/>
        <v>{hp,9750}</v>
      </c>
      <c r="J246" t="str">
        <f t="shared" si="49"/>
        <v>{atk,90}</v>
      </c>
      <c r="K246" t="str">
        <f t="shared" si="50"/>
        <v>{spd,8500}</v>
      </c>
      <c r="L246" t="str">
        <f t="shared" si="41"/>
        <v/>
      </c>
      <c r="O246" t="str">
        <f t="shared" si="42"/>
        <v>[{cd,3000},{hp,9750},{atk,90},{spd,8500}]</v>
      </c>
    </row>
    <row r="247" spans="1:15">
      <c r="A247">
        <v>502</v>
      </c>
      <c r="B247">
        <f t="shared" si="51"/>
        <v>49</v>
      </c>
      <c r="C247">
        <v>3000</v>
      </c>
      <c r="D247">
        <f>VLOOKUP(B247,[1]怪物!$U$34:$Y$104,2,0)</f>
        <v>390000</v>
      </c>
      <c r="E247">
        <f>VLOOKUP(B247,[1]怪物!$U$34:$Y$104,4,0)</f>
        <v>150</v>
      </c>
      <c r="F247" s="1">
        <f t="shared" si="40"/>
        <v>8500</v>
      </c>
      <c r="H247" t="str">
        <f t="shared" si="47"/>
        <v>{cd,3000}</v>
      </c>
      <c r="I247" t="str">
        <f t="shared" si="48"/>
        <v>{hp,390000}</v>
      </c>
      <c r="J247" t="str">
        <f t="shared" si="49"/>
        <v>{atk,150}</v>
      </c>
      <c r="K247" t="str">
        <f t="shared" si="50"/>
        <v>{spd,8500}</v>
      </c>
      <c r="L247" t="str">
        <f t="shared" si="41"/>
        <v/>
      </c>
      <c r="O247" t="str">
        <f t="shared" si="42"/>
        <v>[{cd,3000},{hp,390000},{atk,150},{spd,8500}]</v>
      </c>
    </row>
    <row r="248" spans="1:15">
      <c r="A248">
        <v>500</v>
      </c>
      <c r="B248">
        <f t="shared" si="51"/>
        <v>49</v>
      </c>
      <c r="C248">
        <v>3000</v>
      </c>
      <c r="D248">
        <f>VLOOKUP(B248,[1]怪物!$U$34:$Y$104,3,0)</f>
        <v>520000</v>
      </c>
      <c r="E248">
        <f>VLOOKUP(B248,[1]怪物!$U$34:$Y$104,5,0)</f>
        <v>300</v>
      </c>
      <c r="F248" s="1">
        <f t="shared" si="40"/>
        <v>8500</v>
      </c>
      <c r="H248" t="str">
        <f t="shared" si="47"/>
        <v>{cd,3000}</v>
      </c>
      <c r="I248" t="str">
        <f t="shared" si="48"/>
        <v>{hp,520000}</v>
      </c>
      <c r="J248" t="str">
        <f t="shared" si="49"/>
        <v>{atk,300}</v>
      </c>
      <c r="K248" t="str">
        <f t="shared" si="50"/>
        <v>{spd,8500}</v>
      </c>
      <c r="L248" t="str">
        <f t="shared" si="41"/>
        <v/>
      </c>
      <c r="O248" t="str">
        <f t="shared" si="42"/>
        <v>[{cd,3000},{hp,520000},{atk,300},{spd,8500}]</v>
      </c>
    </row>
    <row r="249" spans="1:15">
      <c r="A249">
        <v>100</v>
      </c>
      <c r="B249">
        <f t="shared" si="51"/>
        <v>50</v>
      </c>
      <c r="C249">
        <v>3000</v>
      </c>
      <c r="D249">
        <f>VLOOKUP(B249,[1]怪物!$N$34:$T$103,2,0)</f>
        <v>7500</v>
      </c>
      <c r="E249">
        <f>VLOOKUP(B249,[1]怪物!$N$34:$T$103,5,0)</f>
        <v>70</v>
      </c>
      <c r="F249" s="1">
        <f t="shared" si="40"/>
        <v>8500</v>
      </c>
      <c r="H249" t="str">
        <f t="shared" si="47"/>
        <v>{cd,3000}</v>
      </c>
      <c r="I249" t="str">
        <f t="shared" si="48"/>
        <v>{hp,7500}</v>
      </c>
      <c r="J249" t="str">
        <f t="shared" si="49"/>
        <v>{atk,70}</v>
      </c>
      <c r="K249" t="str">
        <f t="shared" si="50"/>
        <v>{spd,8500}</v>
      </c>
      <c r="L249" t="str">
        <f t="shared" si="41"/>
        <v/>
      </c>
      <c r="O249" t="str">
        <f t="shared" si="42"/>
        <v>[{cd,3000},{hp,7500},{atk,70},{spd,8500}]</v>
      </c>
    </row>
    <row r="250" spans="1:15">
      <c r="A250">
        <v>105</v>
      </c>
      <c r="B250">
        <f t="shared" si="51"/>
        <v>50</v>
      </c>
      <c r="C250">
        <v>3000</v>
      </c>
      <c r="D250">
        <f>VLOOKUP(B250,[1]怪物!$N$34:$T$103,3,0)</f>
        <v>9000</v>
      </c>
      <c r="E250">
        <f>VLOOKUP(B250,[1]怪物!$N$34:$T$103,6,0)</f>
        <v>84</v>
      </c>
      <c r="F250" s="1">
        <f t="shared" si="40"/>
        <v>8500</v>
      </c>
      <c r="H250" t="str">
        <f t="shared" si="47"/>
        <v>{cd,3000}</v>
      </c>
      <c r="I250" t="str">
        <f t="shared" si="48"/>
        <v>{hp,9000}</v>
      </c>
      <c r="J250" t="str">
        <f t="shared" si="49"/>
        <v>{atk,84}</v>
      </c>
      <c r="K250" t="str">
        <f t="shared" si="50"/>
        <v>{spd,8500}</v>
      </c>
      <c r="L250" t="str">
        <f t="shared" si="41"/>
        <v/>
      </c>
      <c r="O250" t="str">
        <f t="shared" si="42"/>
        <v>[{cd,3000},{hp,9000},{atk,84},{spd,8500}]</v>
      </c>
    </row>
    <row r="251" spans="1:15">
      <c r="A251">
        <v>102</v>
      </c>
      <c r="B251">
        <f t="shared" si="51"/>
        <v>50</v>
      </c>
      <c r="C251">
        <v>3000</v>
      </c>
      <c r="D251">
        <f>VLOOKUP(B251,[1]怪物!$N$34:$T$103,4,0)</f>
        <v>11250</v>
      </c>
      <c r="E251">
        <f>VLOOKUP(B251,[1]怪物!$N$34:$T$103,7,0)</f>
        <v>105</v>
      </c>
      <c r="F251" s="1">
        <f t="shared" si="40"/>
        <v>8500</v>
      </c>
      <c r="H251" t="str">
        <f t="shared" si="47"/>
        <v>{cd,3000}</v>
      </c>
      <c r="I251" t="str">
        <f t="shared" si="48"/>
        <v>{hp,11250}</v>
      </c>
      <c r="J251" t="str">
        <f t="shared" si="49"/>
        <v>{atk,105}</v>
      </c>
      <c r="K251" t="str">
        <f t="shared" si="50"/>
        <v>{spd,8500}</v>
      </c>
      <c r="L251" t="str">
        <f t="shared" si="41"/>
        <v/>
      </c>
      <c r="O251" t="str">
        <f t="shared" si="42"/>
        <v>[{cd,3000},{hp,11250},{atk,105},{spd,8500}]</v>
      </c>
    </row>
    <row r="252" spans="1:15">
      <c r="A252">
        <v>502</v>
      </c>
      <c r="B252">
        <f t="shared" si="51"/>
        <v>50</v>
      </c>
      <c r="C252">
        <v>3000</v>
      </c>
      <c r="D252">
        <f>VLOOKUP(B252,[1]怪物!$U$34:$Y$104,2,0)</f>
        <v>450000</v>
      </c>
      <c r="E252">
        <f>VLOOKUP(B252,[1]怪物!$U$34:$Y$104,4,0)</f>
        <v>175</v>
      </c>
      <c r="F252" s="1">
        <f t="shared" si="40"/>
        <v>8500</v>
      </c>
      <c r="H252" t="str">
        <f t="shared" si="47"/>
        <v>{cd,3000}</v>
      </c>
      <c r="I252" t="str">
        <f t="shared" si="48"/>
        <v>{hp,450000}</v>
      </c>
      <c r="J252" t="str">
        <f t="shared" si="49"/>
        <v>{atk,175}</v>
      </c>
      <c r="K252" t="str">
        <f t="shared" si="50"/>
        <v>{spd,8500}</v>
      </c>
      <c r="L252" t="str">
        <f t="shared" si="41"/>
        <v/>
      </c>
      <c r="O252" t="str">
        <f t="shared" si="42"/>
        <v>[{cd,3000},{hp,450000},{atk,175},{spd,8500}]</v>
      </c>
    </row>
    <row r="253" spans="1:15">
      <c r="A253">
        <v>502</v>
      </c>
      <c r="B253">
        <f t="shared" si="51"/>
        <v>50</v>
      </c>
      <c r="C253">
        <v>3000</v>
      </c>
      <c r="D253">
        <f>VLOOKUP(B253,[1]怪物!$U$34:$Y$104,3,0)</f>
        <v>600000</v>
      </c>
      <c r="E253">
        <f>VLOOKUP(B253,[1]怪物!$U$34:$Y$104,5,0)</f>
        <v>350</v>
      </c>
      <c r="F253" s="1">
        <f t="shared" si="40"/>
        <v>8500</v>
      </c>
      <c r="H253" t="str">
        <f t="shared" si="47"/>
        <v>{cd,3000}</v>
      </c>
      <c r="I253" t="str">
        <f t="shared" si="48"/>
        <v>{hp,600000}</v>
      </c>
      <c r="J253" t="str">
        <f t="shared" si="49"/>
        <v>{atk,350}</v>
      </c>
      <c r="K253" t="str">
        <f t="shared" si="50"/>
        <v>{spd,8500}</v>
      </c>
      <c r="L253" t="str">
        <f t="shared" si="41"/>
        <v/>
      </c>
      <c r="O253" t="str">
        <f t="shared" si="42"/>
        <v>[{cd,3000},{hp,600000},{atk,350},{spd,8500}]</v>
      </c>
    </row>
    <row r="254" spans="1:15">
      <c r="A254">
        <v>104</v>
      </c>
      <c r="B254">
        <f t="shared" si="51"/>
        <v>51</v>
      </c>
      <c r="C254">
        <v>3000</v>
      </c>
      <c r="D254">
        <f>VLOOKUP(B254,[1]怪物!$N$34:$T$103,2,0)</f>
        <v>6900</v>
      </c>
      <c r="E254">
        <f>VLOOKUP(B254,[1]怪物!$N$34:$T$103,5,0)</f>
        <v>64</v>
      </c>
      <c r="F254" s="1">
        <f t="shared" si="40"/>
        <v>8500</v>
      </c>
      <c r="H254" t="str">
        <f t="shared" ref="H254:H303" si="52">$C$2&amp;C$3&amp;$D$2&amp;C254&amp;$E$2</f>
        <v>{cd,3000}</v>
      </c>
      <c r="I254" t="str">
        <f t="shared" ref="I254:I303" si="53">$C$2&amp;D$3&amp;$D$2&amp;D254&amp;$E$2</f>
        <v>{hp,6900}</v>
      </c>
      <c r="J254" t="str">
        <f t="shared" ref="J254:J303" si="54">$C$2&amp;E$3&amp;$D$2&amp;E254&amp;$E$2</f>
        <v>{atk,64}</v>
      </c>
      <c r="K254" t="str">
        <f t="shared" ref="K254:K303" si="55">$C$2&amp;F$3&amp;$D$2&amp;F254&amp;$E$2</f>
        <v>{spd,8500}</v>
      </c>
      <c r="L254" t="str">
        <f t="shared" si="41"/>
        <v/>
      </c>
      <c r="O254" t="str">
        <f t="shared" si="42"/>
        <v>[{cd,3000},{hp,6900},{atk,64},{spd,8500}]</v>
      </c>
    </row>
    <row r="255" spans="1:15">
      <c r="A255">
        <v>106</v>
      </c>
      <c r="B255">
        <f t="shared" si="51"/>
        <v>51</v>
      </c>
      <c r="C255">
        <v>3000</v>
      </c>
      <c r="D255">
        <f>VLOOKUP(B255,[1]怪物!$N$34:$T$103,3,0)</f>
        <v>8280</v>
      </c>
      <c r="E255">
        <f>VLOOKUP(B255,[1]怪物!$N$34:$T$103,6,0)</f>
        <v>77</v>
      </c>
      <c r="F255" s="1">
        <f t="shared" si="40"/>
        <v>8500</v>
      </c>
      <c r="H255" t="str">
        <f t="shared" si="52"/>
        <v>{cd,3000}</v>
      </c>
      <c r="I255" t="str">
        <f t="shared" si="53"/>
        <v>{hp,8280}</v>
      </c>
      <c r="J255" t="str">
        <f t="shared" si="54"/>
        <v>{atk,77}</v>
      </c>
      <c r="K255" t="str">
        <f t="shared" si="55"/>
        <v>{spd,8500}</v>
      </c>
      <c r="L255" t="str">
        <f t="shared" si="41"/>
        <v/>
      </c>
      <c r="O255" t="str">
        <f t="shared" si="42"/>
        <v>[{cd,3000},{hp,8280},{atk,77},{spd,8500}]</v>
      </c>
    </row>
    <row r="256" spans="1:15">
      <c r="A256">
        <v>107</v>
      </c>
      <c r="B256">
        <f t="shared" si="51"/>
        <v>51</v>
      </c>
      <c r="C256">
        <v>3000</v>
      </c>
      <c r="D256">
        <f>VLOOKUP(B256,[1]怪物!$N$34:$T$103,4,0)</f>
        <v>10350</v>
      </c>
      <c r="E256">
        <f>VLOOKUP(B256,[1]怪物!$N$34:$T$103,7,0)</f>
        <v>96</v>
      </c>
      <c r="F256" s="1">
        <f t="shared" si="40"/>
        <v>8500</v>
      </c>
      <c r="H256" t="str">
        <f t="shared" si="52"/>
        <v>{cd,3000}</v>
      </c>
      <c r="I256" t="str">
        <f t="shared" si="53"/>
        <v>{hp,10350}</v>
      </c>
      <c r="J256" t="str">
        <f t="shared" si="54"/>
        <v>{atk,96}</v>
      </c>
      <c r="K256" t="str">
        <f t="shared" si="55"/>
        <v>{spd,8500}</v>
      </c>
      <c r="L256" t="str">
        <f t="shared" si="41"/>
        <v/>
      </c>
      <c r="O256" t="str">
        <f t="shared" si="42"/>
        <v>[{cd,3000},{hp,10350},{atk,96},{spd,8500}]</v>
      </c>
    </row>
    <row r="257" spans="1:15">
      <c r="A257">
        <v>503</v>
      </c>
      <c r="B257">
        <f t="shared" si="51"/>
        <v>51</v>
      </c>
      <c r="C257">
        <v>3000</v>
      </c>
      <c r="D257">
        <f>VLOOKUP(B257,[1]怪物!$U$34:$Y$104,2,0)</f>
        <v>414000</v>
      </c>
      <c r="E257">
        <f>VLOOKUP(B257,[1]怪物!$U$34:$Y$104,4,0)</f>
        <v>160</v>
      </c>
      <c r="F257" s="1">
        <f t="shared" si="40"/>
        <v>8500</v>
      </c>
      <c r="H257" t="str">
        <f t="shared" si="52"/>
        <v>{cd,3000}</v>
      </c>
      <c r="I257" t="str">
        <f t="shared" si="53"/>
        <v>{hp,414000}</v>
      </c>
      <c r="J257" t="str">
        <f t="shared" si="54"/>
        <v>{atk,160}</v>
      </c>
      <c r="K257" t="str">
        <f t="shared" si="55"/>
        <v>{spd,8500}</v>
      </c>
      <c r="L257" t="str">
        <f t="shared" si="41"/>
        <v/>
      </c>
      <c r="O257" t="str">
        <f t="shared" si="42"/>
        <v>[{cd,3000},{hp,414000},{atk,160},{spd,8500}]</v>
      </c>
    </row>
    <row r="258" spans="1:15">
      <c r="A258">
        <v>503</v>
      </c>
      <c r="B258">
        <f t="shared" si="51"/>
        <v>51</v>
      </c>
      <c r="C258">
        <v>3000</v>
      </c>
      <c r="D258">
        <f>VLOOKUP(B258,[1]怪物!$U$34:$Y$104,3,0)</f>
        <v>552000</v>
      </c>
      <c r="E258">
        <f>VLOOKUP(B258,[1]怪物!$U$34:$Y$104,5,0)</f>
        <v>320</v>
      </c>
      <c r="F258" s="1">
        <f t="shared" si="40"/>
        <v>8500</v>
      </c>
      <c r="H258" t="str">
        <f t="shared" si="52"/>
        <v>{cd,3000}</v>
      </c>
      <c r="I258" t="str">
        <f t="shared" si="53"/>
        <v>{hp,552000}</v>
      </c>
      <c r="J258" t="str">
        <f t="shared" si="54"/>
        <v>{atk,320}</v>
      </c>
      <c r="K258" t="str">
        <f t="shared" si="55"/>
        <v>{spd,8500}</v>
      </c>
      <c r="L258" t="str">
        <f t="shared" si="41"/>
        <v/>
      </c>
      <c r="O258" t="str">
        <f t="shared" si="42"/>
        <v>[{cd,3000},{hp,552000},{atk,320},{spd,8500}]</v>
      </c>
    </row>
    <row r="259" spans="1:15">
      <c r="A259">
        <v>103</v>
      </c>
      <c r="B259">
        <f t="shared" si="51"/>
        <v>52</v>
      </c>
      <c r="C259">
        <v>3000</v>
      </c>
      <c r="D259">
        <f>VLOOKUP(B259,[1]怪物!$N$34:$T$103,2,0)</f>
        <v>7300</v>
      </c>
      <c r="E259">
        <f>VLOOKUP(B259,[1]怪物!$N$34:$T$103,5,0)</f>
        <v>66</v>
      </c>
      <c r="F259" s="1">
        <f t="shared" si="40"/>
        <v>8500</v>
      </c>
      <c r="H259" t="str">
        <f t="shared" si="52"/>
        <v>{cd,3000}</v>
      </c>
      <c r="I259" t="str">
        <f t="shared" si="53"/>
        <v>{hp,7300}</v>
      </c>
      <c r="J259" t="str">
        <f t="shared" si="54"/>
        <v>{atk,66}</v>
      </c>
      <c r="K259" t="str">
        <f t="shared" si="55"/>
        <v>{spd,8500}</v>
      </c>
      <c r="L259" t="str">
        <f t="shared" si="41"/>
        <v/>
      </c>
      <c r="O259" t="str">
        <f t="shared" si="42"/>
        <v>[{cd,3000},{hp,7300},{atk,66},{spd,8500}]</v>
      </c>
    </row>
    <row r="260" spans="1:15">
      <c r="A260">
        <v>107</v>
      </c>
      <c r="B260">
        <f t="shared" si="51"/>
        <v>52</v>
      </c>
      <c r="C260">
        <v>3000</v>
      </c>
      <c r="D260">
        <f>VLOOKUP(B260,[1]怪物!$N$34:$T$103,3,0)</f>
        <v>8760</v>
      </c>
      <c r="E260">
        <f>VLOOKUP(B260,[1]怪物!$N$34:$T$103,6,0)</f>
        <v>79</v>
      </c>
      <c r="F260" s="1">
        <f t="shared" si="40"/>
        <v>8500</v>
      </c>
      <c r="H260" t="str">
        <f t="shared" si="52"/>
        <v>{cd,3000}</v>
      </c>
      <c r="I260" t="str">
        <f t="shared" si="53"/>
        <v>{hp,8760}</v>
      </c>
      <c r="J260" t="str">
        <f t="shared" si="54"/>
        <v>{atk,79}</v>
      </c>
      <c r="K260" t="str">
        <f t="shared" si="55"/>
        <v>{spd,8500}</v>
      </c>
      <c r="L260" t="str">
        <f t="shared" si="41"/>
        <v/>
      </c>
      <c r="O260" t="str">
        <f t="shared" si="42"/>
        <v>[{cd,3000},{hp,8760},{atk,79},{spd,8500}]</v>
      </c>
    </row>
    <row r="261" spans="1:15">
      <c r="A261">
        <v>106</v>
      </c>
      <c r="B261">
        <f t="shared" si="51"/>
        <v>52</v>
      </c>
      <c r="C261">
        <v>3000</v>
      </c>
      <c r="D261">
        <f>VLOOKUP(B261,[1]怪物!$N$34:$T$103,4,0)</f>
        <v>10950</v>
      </c>
      <c r="E261">
        <f>VLOOKUP(B261,[1]怪物!$N$34:$T$103,7,0)</f>
        <v>99</v>
      </c>
      <c r="F261" s="1">
        <f t="shared" ref="F261:F324" si="56">VLOOKUP(A261,$W:$AB,6,0)</f>
        <v>8500</v>
      </c>
      <c r="H261" t="str">
        <f t="shared" si="52"/>
        <v>{cd,3000}</v>
      </c>
      <c r="I261" t="str">
        <f t="shared" si="53"/>
        <v>{hp,10950}</v>
      </c>
      <c r="J261" t="str">
        <f t="shared" si="54"/>
        <v>{atk,99}</v>
      </c>
      <c r="K261" t="str">
        <f t="shared" si="55"/>
        <v>{spd,8500}</v>
      </c>
      <c r="L261" t="str">
        <f t="shared" ref="L261:L324" si="57">IF(VLOOKUP(A261,$W:$AC,7,0)=0,"",VLOOKUP(A261,$W:$AC,7,0))</f>
        <v/>
      </c>
      <c r="O261" t="str">
        <f t="shared" ref="O261:O324" si="58">"["&amp;_xlfn.TEXTJOIN(",",1,H261:M261)&amp;"]"</f>
        <v>[{cd,3000},{hp,10950},{atk,99},{spd,8500}]</v>
      </c>
    </row>
    <row r="262" spans="1:15">
      <c r="A262">
        <v>506</v>
      </c>
      <c r="B262">
        <f t="shared" si="51"/>
        <v>52</v>
      </c>
      <c r="C262">
        <v>3000</v>
      </c>
      <c r="D262">
        <f>VLOOKUP(B262,[1]怪物!$U$34:$Y$104,2,0)</f>
        <v>438000</v>
      </c>
      <c r="E262">
        <f>VLOOKUP(B262,[1]怪物!$U$34:$Y$104,4,0)</f>
        <v>165</v>
      </c>
      <c r="F262" s="1">
        <f t="shared" si="56"/>
        <v>8500</v>
      </c>
      <c r="H262" t="str">
        <f t="shared" si="52"/>
        <v>{cd,3000}</v>
      </c>
      <c r="I262" t="str">
        <f t="shared" si="53"/>
        <v>{hp,438000}</v>
      </c>
      <c r="J262" t="str">
        <f t="shared" si="54"/>
        <v>{atk,165}</v>
      </c>
      <c r="K262" t="str">
        <f t="shared" si="55"/>
        <v>{spd,8500}</v>
      </c>
      <c r="L262" t="str">
        <f t="shared" si="57"/>
        <v/>
      </c>
      <c r="O262" t="str">
        <f t="shared" si="58"/>
        <v>[{cd,3000},{hp,438000},{atk,165},{spd,8500}]</v>
      </c>
    </row>
    <row r="263" spans="1:15">
      <c r="A263">
        <v>506</v>
      </c>
      <c r="B263">
        <f t="shared" si="51"/>
        <v>52</v>
      </c>
      <c r="C263">
        <v>3000</v>
      </c>
      <c r="D263">
        <f>VLOOKUP(B263,[1]怪物!$U$34:$Y$104,3,0)</f>
        <v>584000</v>
      </c>
      <c r="E263">
        <f>VLOOKUP(B263,[1]怪物!$U$34:$Y$104,5,0)</f>
        <v>330</v>
      </c>
      <c r="F263" s="1">
        <f t="shared" si="56"/>
        <v>8500</v>
      </c>
      <c r="H263" t="str">
        <f t="shared" si="52"/>
        <v>{cd,3000}</v>
      </c>
      <c r="I263" t="str">
        <f t="shared" si="53"/>
        <v>{hp,584000}</v>
      </c>
      <c r="J263" t="str">
        <f t="shared" si="54"/>
        <v>{atk,330}</v>
      </c>
      <c r="K263" t="str">
        <f t="shared" si="55"/>
        <v>{spd,8500}</v>
      </c>
      <c r="L263" t="str">
        <f t="shared" si="57"/>
        <v/>
      </c>
      <c r="O263" t="str">
        <f t="shared" si="58"/>
        <v>[{cd,3000},{hp,584000},{atk,330},{spd,8500}]</v>
      </c>
    </row>
    <row r="264" spans="1:15">
      <c r="A264">
        <v>108</v>
      </c>
      <c r="B264">
        <f t="shared" si="51"/>
        <v>53</v>
      </c>
      <c r="C264">
        <v>3000</v>
      </c>
      <c r="D264">
        <f>VLOOKUP(B264,[1]怪物!$N$34:$T$103,2,0)</f>
        <v>7700</v>
      </c>
      <c r="E264">
        <f>VLOOKUP(B264,[1]怪物!$N$34:$T$103,5,0)</f>
        <v>68</v>
      </c>
      <c r="F264" s="1">
        <f t="shared" si="56"/>
        <v>8500</v>
      </c>
      <c r="H264" t="str">
        <f t="shared" si="52"/>
        <v>{cd,3000}</v>
      </c>
      <c r="I264" t="str">
        <f t="shared" si="53"/>
        <v>{hp,7700}</v>
      </c>
      <c r="J264" t="str">
        <f t="shared" si="54"/>
        <v>{atk,68}</v>
      </c>
      <c r="K264" t="str">
        <f t="shared" si="55"/>
        <v>{spd,8500}</v>
      </c>
      <c r="L264" t="str">
        <f t="shared" si="57"/>
        <v/>
      </c>
      <c r="O264" t="str">
        <f t="shared" si="58"/>
        <v>[{cd,3000},{hp,7700},{atk,68},{spd,8500}]</v>
      </c>
    </row>
    <row r="265" spans="1:15">
      <c r="A265">
        <v>109</v>
      </c>
      <c r="B265">
        <f t="shared" si="51"/>
        <v>53</v>
      </c>
      <c r="C265">
        <v>3000</v>
      </c>
      <c r="D265">
        <f>VLOOKUP(B265,[1]怪物!$N$34:$T$103,3,0)</f>
        <v>9240</v>
      </c>
      <c r="E265">
        <f>VLOOKUP(B265,[1]怪物!$N$34:$T$103,6,0)</f>
        <v>82</v>
      </c>
      <c r="F265" s="1">
        <f t="shared" si="56"/>
        <v>8500</v>
      </c>
      <c r="H265" t="str">
        <f t="shared" si="52"/>
        <v>{cd,3000}</v>
      </c>
      <c r="I265" t="str">
        <f t="shared" si="53"/>
        <v>{hp,9240}</v>
      </c>
      <c r="J265" t="str">
        <f t="shared" si="54"/>
        <v>{atk,82}</v>
      </c>
      <c r="K265" t="str">
        <f t="shared" si="55"/>
        <v>{spd,8500}</v>
      </c>
      <c r="L265" t="str">
        <f t="shared" si="57"/>
        <v/>
      </c>
      <c r="O265" t="str">
        <f t="shared" si="58"/>
        <v>[{cd,3000},{hp,9240},{atk,82},{spd,8500}]</v>
      </c>
    </row>
    <row r="266" spans="1:15">
      <c r="A266">
        <v>109</v>
      </c>
      <c r="B266">
        <f t="shared" si="51"/>
        <v>53</v>
      </c>
      <c r="C266">
        <v>3000</v>
      </c>
      <c r="D266">
        <f>VLOOKUP(B266,[1]怪物!$N$34:$T$103,4,0)</f>
        <v>11550</v>
      </c>
      <c r="E266">
        <f>VLOOKUP(B266,[1]怪物!$N$34:$T$103,7,0)</f>
        <v>102</v>
      </c>
      <c r="F266" s="1">
        <f t="shared" si="56"/>
        <v>8500</v>
      </c>
      <c r="H266" t="str">
        <f t="shared" si="52"/>
        <v>{cd,3000}</v>
      </c>
      <c r="I266" t="str">
        <f t="shared" si="53"/>
        <v>{hp,11550}</v>
      </c>
      <c r="J266" t="str">
        <f t="shared" si="54"/>
        <v>{atk,102}</v>
      </c>
      <c r="K266" t="str">
        <f t="shared" si="55"/>
        <v>{spd,8500}</v>
      </c>
      <c r="L266" t="str">
        <f t="shared" si="57"/>
        <v/>
      </c>
      <c r="O266" t="str">
        <f t="shared" si="58"/>
        <v>[{cd,3000},{hp,11550},{atk,102},{spd,8500}]</v>
      </c>
    </row>
    <row r="267" spans="1:15">
      <c r="A267">
        <v>508</v>
      </c>
      <c r="B267">
        <f t="shared" si="51"/>
        <v>53</v>
      </c>
      <c r="C267">
        <v>3000</v>
      </c>
      <c r="D267">
        <f>VLOOKUP(B267,[1]怪物!$U$34:$Y$104,2,0)</f>
        <v>462000</v>
      </c>
      <c r="E267">
        <f>VLOOKUP(B267,[1]怪物!$U$34:$Y$104,4,0)</f>
        <v>170</v>
      </c>
      <c r="F267" s="1">
        <f t="shared" si="56"/>
        <v>8500</v>
      </c>
      <c r="H267" t="str">
        <f t="shared" si="52"/>
        <v>{cd,3000}</v>
      </c>
      <c r="I267" t="str">
        <f t="shared" si="53"/>
        <v>{hp,462000}</v>
      </c>
      <c r="J267" t="str">
        <f t="shared" si="54"/>
        <v>{atk,170}</v>
      </c>
      <c r="K267" t="str">
        <f t="shared" si="55"/>
        <v>{spd,8500}</v>
      </c>
      <c r="L267" t="str">
        <f t="shared" si="57"/>
        <v/>
      </c>
      <c r="O267" t="str">
        <f t="shared" si="58"/>
        <v>[{cd,3000},{hp,462000},{atk,170},{spd,8500}]</v>
      </c>
    </row>
    <row r="268" spans="1:15">
      <c r="A268">
        <v>508</v>
      </c>
      <c r="B268">
        <f t="shared" si="51"/>
        <v>53</v>
      </c>
      <c r="C268">
        <v>3000</v>
      </c>
      <c r="D268">
        <f>VLOOKUP(B268,[1]怪物!$U$34:$Y$104,3,0)</f>
        <v>616000</v>
      </c>
      <c r="E268">
        <f>VLOOKUP(B268,[1]怪物!$U$34:$Y$104,5,0)</f>
        <v>340</v>
      </c>
      <c r="F268" s="1">
        <f t="shared" si="56"/>
        <v>8500</v>
      </c>
      <c r="H268" t="str">
        <f t="shared" si="52"/>
        <v>{cd,3000}</v>
      </c>
      <c r="I268" t="str">
        <f t="shared" si="53"/>
        <v>{hp,616000}</v>
      </c>
      <c r="J268" t="str">
        <f t="shared" si="54"/>
        <v>{atk,340}</v>
      </c>
      <c r="K268" t="str">
        <f t="shared" si="55"/>
        <v>{spd,8500}</v>
      </c>
      <c r="L268" t="str">
        <f t="shared" si="57"/>
        <v/>
      </c>
      <c r="O268" t="str">
        <f t="shared" si="58"/>
        <v>[{cd,3000},{hp,616000},{atk,340},{spd,8500}]</v>
      </c>
    </row>
    <row r="269" spans="1:15">
      <c r="A269">
        <v>108</v>
      </c>
      <c r="B269">
        <f t="shared" si="51"/>
        <v>54</v>
      </c>
      <c r="C269">
        <v>3000</v>
      </c>
      <c r="D269">
        <f>VLOOKUP(B269,[1]怪物!$N$34:$T$103,2,0)</f>
        <v>9000</v>
      </c>
      <c r="E269">
        <f>VLOOKUP(B269,[1]怪物!$N$34:$T$103,5,0)</f>
        <v>80</v>
      </c>
      <c r="F269" s="1">
        <f t="shared" si="56"/>
        <v>8500</v>
      </c>
      <c r="H269" t="str">
        <f t="shared" si="52"/>
        <v>{cd,3000}</v>
      </c>
      <c r="I269" t="str">
        <f t="shared" si="53"/>
        <v>{hp,9000}</v>
      </c>
      <c r="J269" t="str">
        <f t="shared" si="54"/>
        <v>{atk,80}</v>
      </c>
      <c r="K269" t="str">
        <f t="shared" si="55"/>
        <v>{spd,8500}</v>
      </c>
      <c r="L269" t="str">
        <f t="shared" si="57"/>
        <v/>
      </c>
      <c r="O269" t="str">
        <f t="shared" si="58"/>
        <v>[{cd,3000},{hp,9000},{atk,80},{spd,8500}]</v>
      </c>
    </row>
    <row r="270" spans="1:15">
      <c r="A270">
        <v>109</v>
      </c>
      <c r="B270">
        <f t="shared" si="51"/>
        <v>54</v>
      </c>
      <c r="C270">
        <v>3000</v>
      </c>
      <c r="D270">
        <f>VLOOKUP(B270,[1]怪物!$N$34:$T$103,3,0)</f>
        <v>10800</v>
      </c>
      <c r="E270">
        <f>VLOOKUP(B270,[1]怪物!$N$34:$T$103,6,0)</f>
        <v>96</v>
      </c>
      <c r="F270" s="1">
        <f t="shared" si="56"/>
        <v>8500</v>
      </c>
      <c r="H270" t="str">
        <f t="shared" si="52"/>
        <v>{cd,3000}</v>
      </c>
      <c r="I270" t="str">
        <f t="shared" si="53"/>
        <v>{hp,10800}</v>
      </c>
      <c r="J270" t="str">
        <f t="shared" si="54"/>
        <v>{atk,96}</v>
      </c>
      <c r="K270" t="str">
        <f t="shared" si="55"/>
        <v>{spd,8500}</v>
      </c>
      <c r="L270" t="str">
        <f t="shared" si="57"/>
        <v/>
      </c>
      <c r="O270" t="str">
        <f t="shared" si="58"/>
        <v>[{cd,3000},{hp,10800},{atk,96},{spd,8500}]</v>
      </c>
    </row>
    <row r="271" spans="1:15">
      <c r="A271">
        <v>110</v>
      </c>
      <c r="B271">
        <f t="shared" si="51"/>
        <v>54</v>
      </c>
      <c r="C271">
        <v>3000</v>
      </c>
      <c r="D271">
        <f>VLOOKUP(B271,[1]怪物!$N$34:$T$103,4,0)</f>
        <v>13500</v>
      </c>
      <c r="E271">
        <f>VLOOKUP(B271,[1]怪物!$N$34:$T$103,7,0)</f>
        <v>120</v>
      </c>
      <c r="F271" s="1">
        <f t="shared" si="56"/>
        <v>8500</v>
      </c>
      <c r="H271" t="str">
        <f t="shared" si="52"/>
        <v>{cd,3000}</v>
      </c>
      <c r="I271" t="str">
        <f t="shared" si="53"/>
        <v>{hp,13500}</v>
      </c>
      <c r="J271" t="str">
        <f t="shared" si="54"/>
        <v>{atk,120}</v>
      </c>
      <c r="K271" t="str">
        <f t="shared" si="55"/>
        <v>{spd,8500}</v>
      </c>
      <c r="L271" t="str">
        <f t="shared" si="57"/>
        <v/>
      </c>
      <c r="O271" t="str">
        <f t="shared" si="58"/>
        <v>[{cd,3000},{hp,13500},{atk,120},{spd,8500}]</v>
      </c>
    </row>
    <row r="272" spans="1:15">
      <c r="A272">
        <v>509</v>
      </c>
      <c r="B272">
        <f t="shared" si="51"/>
        <v>54</v>
      </c>
      <c r="C272">
        <v>3000</v>
      </c>
      <c r="D272">
        <f>VLOOKUP(B272,[1]怪物!$U$34:$Y$104,2,0)</f>
        <v>540000</v>
      </c>
      <c r="E272">
        <f>VLOOKUP(B272,[1]怪物!$U$34:$Y$104,4,0)</f>
        <v>200</v>
      </c>
      <c r="F272" s="1">
        <f t="shared" si="56"/>
        <v>8500</v>
      </c>
      <c r="H272" t="str">
        <f t="shared" si="52"/>
        <v>{cd,3000}</v>
      </c>
      <c r="I272" t="str">
        <f t="shared" si="53"/>
        <v>{hp,540000}</v>
      </c>
      <c r="J272" t="str">
        <f t="shared" si="54"/>
        <v>{atk,200}</v>
      </c>
      <c r="K272" t="str">
        <f t="shared" si="55"/>
        <v>{spd,8500}</v>
      </c>
      <c r="L272" t="str">
        <f t="shared" si="57"/>
        <v/>
      </c>
      <c r="O272" t="str">
        <f t="shared" si="58"/>
        <v>[{cd,3000},{hp,540000},{atk,200},{spd,8500}]</v>
      </c>
    </row>
    <row r="273" spans="1:15">
      <c r="A273">
        <v>509</v>
      </c>
      <c r="B273">
        <f t="shared" si="51"/>
        <v>54</v>
      </c>
      <c r="C273">
        <v>3000</v>
      </c>
      <c r="D273">
        <f>VLOOKUP(B273,[1]怪物!$U$34:$Y$104,3,0)</f>
        <v>720000</v>
      </c>
      <c r="E273">
        <f>VLOOKUP(B273,[1]怪物!$U$34:$Y$104,5,0)</f>
        <v>400</v>
      </c>
      <c r="F273" s="1">
        <f t="shared" si="56"/>
        <v>8500</v>
      </c>
      <c r="H273" t="str">
        <f t="shared" si="52"/>
        <v>{cd,3000}</v>
      </c>
      <c r="I273" t="str">
        <f t="shared" si="53"/>
        <v>{hp,720000}</v>
      </c>
      <c r="J273" t="str">
        <f t="shared" si="54"/>
        <v>{atk,400}</v>
      </c>
      <c r="K273" t="str">
        <f t="shared" si="55"/>
        <v>{spd,8500}</v>
      </c>
      <c r="L273" t="str">
        <f t="shared" si="57"/>
        <v/>
      </c>
      <c r="O273" t="str">
        <f t="shared" si="58"/>
        <v>[{cd,3000},{hp,720000},{atk,400},{spd,8500}]</v>
      </c>
    </row>
    <row r="274" spans="1:15">
      <c r="A274">
        <v>111</v>
      </c>
      <c r="B274">
        <f t="shared" si="51"/>
        <v>55</v>
      </c>
      <c r="C274">
        <v>3000</v>
      </c>
      <c r="D274">
        <f>VLOOKUP(B274,[1]怪物!$N$34:$T$103,2,0)</f>
        <v>8100</v>
      </c>
      <c r="E274">
        <f>VLOOKUP(B274,[1]怪物!$N$34:$T$103,5,0)</f>
        <v>70</v>
      </c>
      <c r="F274" s="1">
        <f t="shared" si="56"/>
        <v>8500</v>
      </c>
      <c r="H274" t="str">
        <f t="shared" si="52"/>
        <v>{cd,3000}</v>
      </c>
      <c r="I274" t="str">
        <f t="shared" si="53"/>
        <v>{hp,8100}</v>
      </c>
      <c r="J274" t="str">
        <f t="shared" si="54"/>
        <v>{atk,70}</v>
      </c>
      <c r="K274" t="str">
        <f t="shared" si="55"/>
        <v>{spd,8500}</v>
      </c>
      <c r="L274" t="str">
        <f t="shared" si="57"/>
        <v/>
      </c>
      <c r="O274" t="str">
        <f t="shared" si="58"/>
        <v>[{cd,3000},{hp,8100},{atk,70},{spd,8500}]</v>
      </c>
    </row>
    <row r="275" spans="1:15">
      <c r="A275">
        <v>112</v>
      </c>
      <c r="B275">
        <f t="shared" si="51"/>
        <v>55</v>
      </c>
      <c r="C275">
        <v>3000</v>
      </c>
      <c r="D275">
        <f>VLOOKUP(B275,[1]怪物!$N$34:$T$103,3,0)</f>
        <v>9720</v>
      </c>
      <c r="E275">
        <f>VLOOKUP(B275,[1]怪物!$N$34:$T$103,6,0)</f>
        <v>84</v>
      </c>
      <c r="F275" s="1">
        <f t="shared" si="56"/>
        <v>8500</v>
      </c>
      <c r="H275" t="str">
        <f t="shared" si="52"/>
        <v>{cd,3000}</v>
      </c>
      <c r="I275" t="str">
        <f t="shared" si="53"/>
        <v>{hp,9720}</v>
      </c>
      <c r="J275" t="str">
        <f t="shared" si="54"/>
        <v>{atk,84}</v>
      </c>
      <c r="K275" t="str">
        <f t="shared" si="55"/>
        <v>{spd,8500}</v>
      </c>
      <c r="L275" t="str">
        <f t="shared" si="57"/>
        <v/>
      </c>
      <c r="O275" t="str">
        <f t="shared" si="58"/>
        <v>[{cd,3000},{hp,9720},{atk,84},{spd,8500}]</v>
      </c>
    </row>
    <row r="276" spans="1:15">
      <c r="A276">
        <v>113</v>
      </c>
      <c r="B276">
        <f t="shared" si="51"/>
        <v>55</v>
      </c>
      <c r="C276">
        <v>3000</v>
      </c>
      <c r="D276">
        <f>VLOOKUP(B276,[1]怪物!$N$34:$T$103,4,0)</f>
        <v>12150</v>
      </c>
      <c r="E276">
        <f>VLOOKUP(B276,[1]怪物!$N$34:$T$103,7,0)</f>
        <v>105</v>
      </c>
      <c r="F276" s="1">
        <f t="shared" si="56"/>
        <v>8500</v>
      </c>
      <c r="H276" t="str">
        <f t="shared" si="52"/>
        <v>{cd,3000}</v>
      </c>
      <c r="I276" t="str">
        <f t="shared" si="53"/>
        <v>{hp,12150}</v>
      </c>
      <c r="J276" t="str">
        <f t="shared" si="54"/>
        <v>{atk,105}</v>
      </c>
      <c r="K276" t="str">
        <f t="shared" si="55"/>
        <v>{spd,8500}</v>
      </c>
      <c r="L276" t="str">
        <f t="shared" si="57"/>
        <v/>
      </c>
      <c r="O276" t="str">
        <f t="shared" si="58"/>
        <v>[{cd,3000},{hp,12150},{atk,105},{spd,8500}]</v>
      </c>
    </row>
    <row r="277" spans="1:15">
      <c r="A277">
        <v>511</v>
      </c>
      <c r="B277">
        <f t="shared" si="51"/>
        <v>55</v>
      </c>
      <c r="C277">
        <v>3000</v>
      </c>
      <c r="D277">
        <f>VLOOKUP(B277,[1]怪物!$U$34:$Y$104,2,0)</f>
        <v>486000</v>
      </c>
      <c r="E277">
        <f>VLOOKUP(B277,[1]怪物!$U$34:$Y$104,4,0)</f>
        <v>175</v>
      </c>
      <c r="F277" s="1">
        <f t="shared" si="56"/>
        <v>8500</v>
      </c>
      <c r="H277" t="str">
        <f t="shared" si="52"/>
        <v>{cd,3000}</v>
      </c>
      <c r="I277" t="str">
        <f t="shared" si="53"/>
        <v>{hp,486000}</v>
      </c>
      <c r="J277" t="str">
        <f t="shared" si="54"/>
        <v>{atk,175}</v>
      </c>
      <c r="K277" t="str">
        <f t="shared" si="55"/>
        <v>{spd,8500}</v>
      </c>
      <c r="L277" t="str">
        <f t="shared" si="57"/>
        <v/>
      </c>
      <c r="O277" t="str">
        <f t="shared" si="58"/>
        <v>[{cd,3000},{hp,486000},{atk,175},{spd,8500}]</v>
      </c>
    </row>
    <row r="278" spans="1:15">
      <c r="A278">
        <v>511</v>
      </c>
      <c r="B278">
        <f t="shared" si="51"/>
        <v>55</v>
      </c>
      <c r="C278">
        <v>3000</v>
      </c>
      <c r="D278">
        <f>VLOOKUP(B278,[1]怪物!$U$34:$Y$104,3,0)</f>
        <v>648000</v>
      </c>
      <c r="E278">
        <f>VLOOKUP(B278,[1]怪物!$U$34:$Y$104,5,0)</f>
        <v>350</v>
      </c>
      <c r="F278" s="1">
        <f t="shared" si="56"/>
        <v>8500</v>
      </c>
      <c r="H278" t="str">
        <f t="shared" si="52"/>
        <v>{cd,3000}</v>
      </c>
      <c r="I278" t="str">
        <f t="shared" si="53"/>
        <v>{hp,648000}</v>
      </c>
      <c r="J278" t="str">
        <f t="shared" si="54"/>
        <v>{atk,350}</v>
      </c>
      <c r="K278" t="str">
        <f t="shared" si="55"/>
        <v>{spd,8500}</v>
      </c>
      <c r="L278" t="str">
        <f t="shared" si="57"/>
        <v/>
      </c>
      <c r="O278" t="str">
        <f t="shared" si="58"/>
        <v>[{cd,3000},{hp,648000},{atk,350},{spd,8500}]</v>
      </c>
    </row>
    <row r="279" spans="1:15">
      <c r="A279">
        <v>111</v>
      </c>
      <c r="B279">
        <f t="shared" si="51"/>
        <v>56</v>
      </c>
      <c r="C279">
        <v>3000</v>
      </c>
      <c r="D279">
        <f>VLOOKUP(B279,[1]怪物!$N$34:$T$103,2,0)</f>
        <v>8600</v>
      </c>
      <c r="E279">
        <f>VLOOKUP(B279,[1]怪物!$N$34:$T$103,5,0)</f>
        <v>79</v>
      </c>
      <c r="F279" s="1">
        <f t="shared" si="56"/>
        <v>8500</v>
      </c>
      <c r="H279" t="str">
        <f t="shared" si="52"/>
        <v>{cd,3000}</v>
      </c>
      <c r="I279" t="str">
        <f t="shared" si="53"/>
        <v>{hp,8600}</v>
      </c>
      <c r="J279" t="str">
        <f t="shared" si="54"/>
        <v>{atk,79}</v>
      </c>
      <c r="K279" t="str">
        <f t="shared" si="55"/>
        <v>{spd,8500}</v>
      </c>
      <c r="L279" t="str">
        <f t="shared" si="57"/>
        <v/>
      </c>
      <c r="O279" t="str">
        <f t="shared" si="58"/>
        <v>[{cd,3000},{hp,8600},{atk,79},{spd,8500}]</v>
      </c>
    </row>
    <row r="280" spans="1:15">
      <c r="A280">
        <v>112</v>
      </c>
      <c r="B280">
        <f t="shared" si="51"/>
        <v>56</v>
      </c>
      <c r="C280">
        <v>3000</v>
      </c>
      <c r="D280">
        <f>VLOOKUP(B280,[1]怪物!$N$34:$T$103,3,0)</f>
        <v>10320</v>
      </c>
      <c r="E280">
        <f>VLOOKUP(B280,[1]怪物!$N$34:$T$103,6,0)</f>
        <v>95</v>
      </c>
      <c r="F280" s="1">
        <f t="shared" si="56"/>
        <v>8500</v>
      </c>
      <c r="H280" t="str">
        <f t="shared" si="52"/>
        <v>{cd,3000}</v>
      </c>
      <c r="I280" t="str">
        <f t="shared" si="53"/>
        <v>{hp,10320}</v>
      </c>
      <c r="J280" t="str">
        <f t="shared" si="54"/>
        <v>{atk,95}</v>
      </c>
      <c r="K280" t="str">
        <f t="shared" si="55"/>
        <v>{spd,8500}</v>
      </c>
      <c r="L280" t="str">
        <f t="shared" si="57"/>
        <v/>
      </c>
      <c r="O280" t="str">
        <f t="shared" si="58"/>
        <v>[{cd,3000},{hp,10320},{atk,95},{spd,8500}]</v>
      </c>
    </row>
    <row r="281" spans="1:15">
      <c r="A281">
        <v>115</v>
      </c>
      <c r="B281">
        <f t="shared" si="51"/>
        <v>56</v>
      </c>
      <c r="C281">
        <v>3000</v>
      </c>
      <c r="D281">
        <f>VLOOKUP(B281,[1]怪物!$N$34:$T$103,4,0)</f>
        <v>12900</v>
      </c>
      <c r="E281">
        <f>VLOOKUP(B281,[1]怪物!$N$34:$T$103,7,0)</f>
        <v>119</v>
      </c>
      <c r="F281" s="1">
        <f t="shared" si="56"/>
        <v>8500</v>
      </c>
      <c r="H281" t="str">
        <f t="shared" si="52"/>
        <v>{cd,3000}</v>
      </c>
      <c r="I281" t="str">
        <f t="shared" si="53"/>
        <v>{hp,12900}</v>
      </c>
      <c r="J281" t="str">
        <f t="shared" si="54"/>
        <v>{atk,119}</v>
      </c>
      <c r="K281" t="str">
        <f t="shared" si="55"/>
        <v>{spd,8500}</v>
      </c>
      <c r="L281" t="str">
        <f t="shared" si="57"/>
        <v/>
      </c>
      <c r="O281" t="str">
        <f t="shared" si="58"/>
        <v>[{cd,3000},{hp,12900},{atk,119},{spd,8500}]</v>
      </c>
    </row>
    <row r="282" spans="1:15">
      <c r="A282">
        <v>512</v>
      </c>
      <c r="B282">
        <f t="shared" si="51"/>
        <v>56</v>
      </c>
      <c r="C282">
        <v>3000</v>
      </c>
      <c r="D282">
        <f>VLOOKUP(B282,[1]怪物!$U$34:$Y$104,2,0)</f>
        <v>516000</v>
      </c>
      <c r="E282">
        <f>VLOOKUP(B282,[1]怪物!$U$34:$Y$104,4,0)</f>
        <v>198</v>
      </c>
      <c r="F282" s="1">
        <f t="shared" si="56"/>
        <v>8500</v>
      </c>
      <c r="H282" t="str">
        <f t="shared" si="52"/>
        <v>{cd,3000}</v>
      </c>
      <c r="I282" t="str">
        <f t="shared" si="53"/>
        <v>{hp,516000}</v>
      </c>
      <c r="J282" t="str">
        <f t="shared" si="54"/>
        <v>{atk,198}</v>
      </c>
      <c r="K282" t="str">
        <f t="shared" si="55"/>
        <v>{spd,8500}</v>
      </c>
      <c r="L282" t="str">
        <f t="shared" si="57"/>
        <v/>
      </c>
      <c r="O282" t="str">
        <f t="shared" si="58"/>
        <v>[{cd,3000},{hp,516000},{atk,198},{spd,8500}]</v>
      </c>
    </row>
    <row r="283" spans="1:15">
      <c r="A283">
        <v>512</v>
      </c>
      <c r="B283">
        <f t="shared" si="51"/>
        <v>56</v>
      </c>
      <c r="C283">
        <v>3000</v>
      </c>
      <c r="D283">
        <f>VLOOKUP(B283,[1]怪物!$U$34:$Y$104,3,0)</f>
        <v>688000</v>
      </c>
      <c r="E283">
        <f>VLOOKUP(B283,[1]怪物!$U$34:$Y$104,5,0)</f>
        <v>395</v>
      </c>
      <c r="F283" s="1">
        <f t="shared" si="56"/>
        <v>8500</v>
      </c>
      <c r="H283" t="str">
        <f t="shared" si="52"/>
        <v>{cd,3000}</v>
      </c>
      <c r="I283" t="str">
        <f t="shared" si="53"/>
        <v>{hp,688000}</v>
      </c>
      <c r="J283" t="str">
        <f t="shared" si="54"/>
        <v>{atk,395}</v>
      </c>
      <c r="K283" t="str">
        <f t="shared" si="55"/>
        <v>{spd,8500}</v>
      </c>
      <c r="L283" t="str">
        <f t="shared" si="57"/>
        <v/>
      </c>
      <c r="O283" t="str">
        <f t="shared" si="58"/>
        <v>[{cd,3000},{hp,688000},{atk,395},{spd,8500}]</v>
      </c>
    </row>
    <row r="284" spans="1:15">
      <c r="A284">
        <v>101</v>
      </c>
      <c r="B284">
        <f t="shared" si="51"/>
        <v>57</v>
      </c>
      <c r="C284">
        <v>3000</v>
      </c>
      <c r="D284">
        <f>VLOOKUP(B284,[1]怪物!$N$34:$T$103,2,0)</f>
        <v>9100</v>
      </c>
      <c r="E284">
        <f>VLOOKUP(B284,[1]怪物!$N$34:$T$103,5,0)</f>
        <v>81</v>
      </c>
      <c r="F284" s="1">
        <f t="shared" si="56"/>
        <v>8500</v>
      </c>
      <c r="H284" t="str">
        <f t="shared" si="52"/>
        <v>{cd,3000}</v>
      </c>
      <c r="I284" t="str">
        <f t="shared" si="53"/>
        <v>{hp,9100}</v>
      </c>
      <c r="J284" t="str">
        <f t="shared" si="54"/>
        <v>{atk,81}</v>
      </c>
      <c r="K284" t="str">
        <f t="shared" si="55"/>
        <v>{spd,8500}</v>
      </c>
      <c r="L284" t="str">
        <f t="shared" si="57"/>
        <v/>
      </c>
      <c r="O284" t="str">
        <f t="shared" si="58"/>
        <v>[{cd,3000},{hp,9100},{atk,81},{spd,8500}]</v>
      </c>
    </row>
    <row r="285" spans="1:15">
      <c r="A285">
        <v>100</v>
      </c>
      <c r="B285">
        <f t="shared" si="51"/>
        <v>57</v>
      </c>
      <c r="C285">
        <v>3000</v>
      </c>
      <c r="D285">
        <f>VLOOKUP(B285,[1]怪物!$N$34:$T$103,3,0)</f>
        <v>10920</v>
      </c>
      <c r="E285">
        <f>VLOOKUP(B285,[1]怪物!$N$34:$T$103,6,0)</f>
        <v>97</v>
      </c>
      <c r="F285" s="1">
        <f t="shared" si="56"/>
        <v>8500</v>
      </c>
      <c r="H285" t="str">
        <f t="shared" si="52"/>
        <v>{cd,3000}</v>
      </c>
      <c r="I285" t="str">
        <f t="shared" si="53"/>
        <v>{hp,10920}</v>
      </c>
      <c r="J285" t="str">
        <f t="shared" si="54"/>
        <v>{atk,97}</v>
      </c>
      <c r="K285" t="str">
        <f t="shared" si="55"/>
        <v>{spd,8500}</v>
      </c>
      <c r="L285" t="str">
        <f t="shared" si="57"/>
        <v/>
      </c>
      <c r="O285" t="str">
        <f t="shared" si="58"/>
        <v>[{cd,3000},{hp,10920},{atk,97},{spd,8500}]</v>
      </c>
    </row>
    <row r="286" spans="1:15">
      <c r="A286">
        <v>102</v>
      </c>
      <c r="B286">
        <f t="shared" si="51"/>
        <v>57</v>
      </c>
      <c r="C286">
        <v>3000</v>
      </c>
      <c r="D286">
        <f>VLOOKUP(B286,[1]怪物!$N$34:$T$103,4,0)</f>
        <v>13650</v>
      </c>
      <c r="E286">
        <f>VLOOKUP(B286,[1]怪物!$N$34:$T$103,7,0)</f>
        <v>122</v>
      </c>
      <c r="F286" s="1">
        <f t="shared" si="56"/>
        <v>8500</v>
      </c>
      <c r="H286" t="str">
        <f t="shared" si="52"/>
        <v>{cd,3000}</v>
      </c>
      <c r="I286" t="str">
        <f t="shared" si="53"/>
        <v>{hp,13650}</v>
      </c>
      <c r="J286" t="str">
        <f t="shared" si="54"/>
        <v>{atk,122}</v>
      </c>
      <c r="K286" t="str">
        <f t="shared" si="55"/>
        <v>{spd,8500}</v>
      </c>
      <c r="L286" t="str">
        <f t="shared" si="57"/>
        <v/>
      </c>
      <c r="O286" t="str">
        <f t="shared" si="58"/>
        <v>[{cd,3000},{hp,13650},{atk,122},{spd,8500}]</v>
      </c>
    </row>
    <row r="287" spans="1:15">
      <c r="A287">
        <v>501</v>
      </c>
      <c r="B287">
        <f t="shared" si="51"/>
        <v>57</v>
      </c>
      <c r="C287">
        <v>3000</v>
      </c>
      <c r="D287">
        <f>VLOOKUP(B287,[1]怪物!$U$34:$Y$104,2,0)</f>
        <v>546000</v>
      </c>
      <c r="E287">
        <f>VLOOKUP(B287,[1]怪物!$U$34:$Y$104,4,0)</f>
        <v>203</v>
      </c>
      <c r="F287" s="1">
        <f t="shared" si="56"/>
        <v>8500</v>
      </c>
      <c r="H287" t="str">
        <f t="shared" si="52"/>
        <v>{cd,3000}</v>
      </c>
      <c r="I287" t="str">
        <f t="shared" si="53"/>
        <v>{hp,546000}</v>
      </c>
      <c r="J287" t="str">
        <f t="shared" si="54"/>
        <v>{atk,203}</v>
      </c>
      <c r="K287" t="str">
        <f t="shared" si="55"/>
        <v>{spd,8500}</v>
      </c>
      <c r="L287" t="str">
        <f t="shared" si="57"/>
        <v/>
      </c>
      <c r="O287" t="str">
        <f t="shared" si="58"/>
        <v>[{cd,3000},{hp,546000},{atk,203},{spd,8500}]</v>
      </c>
    </row>
    <row r="288" spans="1:15">
      <c r="A288">
        <v>501</v>
      </c>
      <c r="B288">
        <f t="shared" si="51"/>
        <v>57</v>
      </c>
      <c r="C288">
        <v>3000</v>
      </c>
      <c r="D288">
        <f>VLOOKUP(B288,[1]怪物!$U$34:$Y$104,3,0)</f>
        <v>728000</v>
      </c>
      <c r="E288">
        <f>VLOOKUP(B288,[1]怪物!$U$34:$Y$104,5,0)</f>
        <v>405</v>
      </c>
      <c r="F288" s="1">
        <f t="shared" si="56"/>
        <v>8500</v>
      </c>
      <c r="H288" t="str">
        <f t="shared" si="52"/>
        <v>{cd,3000}</v>
      </c>
      <c r="I288" t="str">
        <f t="shared" si="53"/>
        <v>{hp,728000}</v>
      </c>
      <c r="J288" t="str">
        <f t="shared" si="54"/>
        <v>{atk,405}</v>
      </c>
      <c r="K288" t="str">
        <f t="shared" si="55"/>
        <v>{spd,8500}</v>
      </c>
      <c r="L288" t="str">
        <f t="shared" si="57"/>
        <v/>
      </c>
      <c r="O288" t="str">
        <f t="shared" si="58"/>
        <v>[{cd,3000},{hp,728000},{atk,405},{spd,8500}]</v>
      </c>
    </row>
    <row r="289" spans="1:15">
      <c r="A289">
        <v>101</v>
      </c>
      <c r="B289">
        <f t="shared" si="51"/>
        <v>58</v>
      </c>
      <c r="C289">
        <v>3000</v>
      </c>
      <c r="D289">
        <f>VLOOKUP(B289,[1]怪物!$N$34:$T$103,2,0)</f>
        <v>9600</v>
      </c>
      <c r="E289">
        <f>VLOOKUP(B289,[1]怪物!$N$34:$T$103,5,0)</f>
        <v>83</v>
      </c>
      <c r="F289" s="1">
        <f t="shared" si="56"/>
        <v>8500</v>
      </c>
      <c r="H289" t="str">
        <f t="shared" si="52"/>
        <v>{cd,3000}</v>
      </c>
      <c r="I289" t="str">
        <f t="shared" si="53"/>
        <v>{hp,9600}</v>
      </c>
      <c r="J289" t="str">
        <f t="shared" si="54"/>
        <v>{atk,83}</v>
      </c>
      <c r="K289" t="str">
        <f t="shared" si="55"/>
        <v>{spd,8500}</v>
      </c>
      <c r="L289" t="str">
        <f t="shared" si="57"/>
        <v/>
      </c>
      <c r="O289" t="str">
        <f t="shared" si="58"/>
        <v>[{cd,3000},{hp,9600},{atk,83},{spd,8500}]</v>
      </c>
    </row>
    <row r="290" spans="1:15">
      <c r="A290">
        <v>100</v>
      </c>
      <c r="B290">
        <f t="shared" si="51"/>
        <v>58</v>
      </c>
      <c r="C290">
        <v>3000</v>
      </c>
      <c r="D290">
        <f>VLOOKUP(B290,[1]怪物!$N$34:$T$103,3,0)</f>
        <v>11520</v>
      </c>
      <c r="E290">
        <f>VLOOKUP(B290,[1]怪物!$N$34:$T$103,6,0)</f>
        <v>100</v>
      </c>
      <c r="F290" s="1">
        <f t="shared" si="56"/>
        <v>8500</v>
      </c>
      <c r="H290" t="str">
        <f t="shared" si="52"/>
        <v>{cd,3000}</v>
      </c>
      <c r="I290" t="str">
        <f t="shared" si="53"/>
        <v>{hp,11520}</v>
      </c>
      <c r="J290" t="str">
        <f t="shared" si="54"/>
        <v>{atk,100}</v>
      </c>
      <c r="K290" t="str">
        <f t="shared" si="55"/>
        <v>{spd,8500}</v>
      </c>
      <c r="L290" t="str">
        <f t="shared" si="57"/>
        <v/>
      </c>
      <c r="O290" t="str">
        <f t="shared" si="58"/>
        <v>[{cd,3000},{hp,11520},{atk,100},{spd,8500}]</v>
      </c>
    </row>
    <row r="291" spans="1:15">
      <c r="A291">
        <v>102</v>
      </c>
      <c r="B291">
        <f t="shared" si="51"/>
        <v>58</v>
      </c>
      <c r="C291">
        <v>3000</v>
      </c>
      <c r="D291">
        <f>VLOOKUP(B291,[1]怪物!$N$34:$T$103,4,0)</f>
        <v>14400</v>
      </c>
      <c r="E291">
        <f>VLOOKUP(B291,[1]怪物!$N$34:$T$103,7,0)</f>
        <v>125</v>
      </c>
      <c r="F291" s="1">
        <f t="shared" si="56"/>
        <v>8500</v>
      </c>
      <c r="H291" t="str">
        <f t="shared" si="52"/>
        <v>{cd,3000}</v>
      </c>
      <c r="I291" t="str">
        <f t="shared" si="53"/>
        <v>{hp,14400}</v>
      </c>
      <c r="J291" t="str">
        <f t="shared" si="54"/>
        <v>{atk,125}</v>
      </c>
      <c r="K291" t="str">
        <f t="shared" si="55"/>
        <v>{spd,8500}</v>
      </c>
      <c r="L291" t="str">
        <f t="shared" si="57"/>
        <v/>
      </c>
      <c r="O291" t="str">
        <f t="shared" si="58"/>
        <v>[{cd,3000},{hp,14400},{atk,125},{spd,8500}]</v>
      </c>
    </row>
    <row r="292" spans="1:15">
      <c r="A292">
        <v>502</v>
      </c>
      <c r="B292">
        <f t="shared" si="51"/>
        <v>58</v>
      </c>
      <c r="C292">
        <v>3000</v>
      </c>
      <c r="D292">
        <f>VLOOKUP(B292,[1]怪物!$U$34:$Y$104,2,0)</f>
        <v>576000</v>
      </c>
      <c r="E292">
        <f>VLOOKUP(B292,[1]怪物!$U$34:$Y$104,4,0)</f>
        <v>208</v>
      </c>
      <c r="F292" s="1">
        <f t="shared" si="56"/>
        <v>8500</v>
      </c>
      <c r="H292" t="str">
        <f t="shared" si="52"/>
        <v>{cd,3000}</v>
      </c>
      <c r="I292" t="str">
        <f t="shared" si="53"/>
        <v>{hp,576000}</v>
      </c>
      <c r="J292" t="str">
        <f t="shared" si="54"/>
        <v>{atk,208}</v>
      </c>
      <c r="K292" t="str">
        <f t="shared" si="55"/>
        <v>{spd,8500}</v>
      </c>
      <c r="L292" t="str">
        <f t="shared" si="57"/>
        <v/>
      </c>
      <c r="O292" t="str">
        <f t="shared" si="58"/>
        <v>[{cd,3000},{hp,576000},{atk,208},{spd,8500}]</v>
      </c>
    </row>
    <row r="293" spans="1:15">
      <c r="A293">
        <v>502</v>
      </c>
      <c r="B293">
        <f t="shared" si="51"/>
        <v>58</v>
      </c>
      <c r="C293">
        <v>3000</v>
      </c>
      <c r="D293">
        <f>VLOOKUP(B293,[1]怪物!$U$34:$Y$104,3,0)</f>
        <v>768000</v>
      </c>
      <c r="E293">
        <f>VLOOKUP(B293,[1]怪物!$U$34:$Y$104,5,0)</f>
        <v>415</v>
      </c>
      <c r="F293" s="1">
        <f t="shared" si="56"/>
        <v>8500</v>
      </c>
      <c r="H293" t="str">
        <f t="shared" si="52"/>
        <v>{cd,3000}</v>
      </c>
      <c r="I293" t="str">
        <f t="shared" si="53"/>
        <v>{hp,768000}</v>
      </c>
      <c r="J293" t="str">
        <f t="shared" si="54"/>
        <v>{atk,415}</v>
      </c>
      <c r="K293" t="str">
        <f t="shared" si="55"/>
        <v>{spd,8500}</v>
      </c>
      <c r="L293" t="str">
        <f t="shared" si="57"/>
        <v/>
      </c>
      <c r="O293" t="str">
        <f t="shared" si="58"/>
        <v>[{cd,3000},{hp,768000},{atk,415},{spd,8500}]</v>
      </c>
    </row>
    <row r="294" spans="1:15">
      <c r="A294">
        <v>103</v>
      </c>
      <c r="B294">
        <f t="shared" si="51"/>
        <v>59</v>
      </c>
      <c r="C294">
        <v>3000</v>
      </c>
      <c r="D294">
        <f>VLOOKUP(B294,[1]怪物!$N$34:$T$103,2,0)</f>
        <v>10100</v>
      </c>
      <c r="E294">
        <f>VLOOKUP(B294,[1]怪物!$N$34:$T$103,5,0)</f>
        <v>85</v>
      </c>
      <c r="F294" s="1">
        <f t="shared" si="56"/>
        <v>8500</v>
      </c>
      <c r="H294" t="str">
        <f t="shared" si="52"/>
        <v>{cd,3000}</v>
      </c>
      <c r="I294" t="str">
        <f t="shared" si="53"/>
        <v>{hp,10100}</v>
      </c>
      <c r="J294" t="str">
        <f t="shared" si="54"/>
        <v>{atk,85}</v>
      </c>
      <c r="K294" t="str">
        <f t="shared" si="55"/>
        <v>{spd,8500}</v>
      </c>
      <c r="L294" t="str">
        <f t="shared" si="57"/>
        <v/>
      </c>
      <c r="O294" t="str">
        <f t="shared" si="58"/>
        <v>[{cd,3000},{hp,10100},{atk,85},{spd,8500}]</v>
      </c>
    </row>
    <row r="295" spans="1:15">
      <c r="A295">
        <v>104</v>
      </c>
      <c r="B295">
        <f t="shared" si="51"/>
        <v>59</v>
      </c>
      <c r="C295">
        <v>3000</v>
      </c>
      <c r="D295">
        <f>VLOOKUP(B295,[1]怪物!$N$34:$T$103,3,0)</f>
        <v>12120</v>
      </c>
      <c r="E295">
        <f>VLOOKUP(B295,[1]怪物!$N$34:$T$103,6,0)</f>
        <v>102</v>
      </c>
      <c r="F295" s="1">
        <f t="shared" si="56"/>
        <v>8500</v>
      </c>
      <c r="H295" t="str">
        <f t="shared" si="52"/>
        <v>{cd,3000}</v>
      </c>
      <c r="I295" t="str">
        <f t="shared" si="53"/>
        <v>{hp,12120}</v>
      </c>
      <c r="J295" t="str">
        <f t="shared" si="54"/>
        <v>{atk,102}</v>
      </c>
      <c r="K295" t="str">
        <f t="shared" si="55"/>
        <v>{spd,8500}</v>
      </c>
      <c r="L295" t="str">
        <f t="shared" si="57"/>
        <v/>
      </c>
      <c r="O295" t="str">
        <f t="shared" si="58"/>
        <v>[{cd,3000},{hp,12120},{atk,102},{spd,8500}]</v>
      </c>
    </row>
    <row r="296" spans="1:15">
      <c r="A296">
        <v>104</v>
      </c>
      <c r="B296">
        <f t="shared" si="51"/>
        <v>59</v>
      </c>
      <c r="C296">
        <v>3000</v>
      </c>
      <c r="D296">
        <f>VLOOKUP(B296,[1]怪物!$N$34:$T$103,4,0)</f>
        <v>15150</v>
      </c>
      <c r="E296">
        <f>VLOOKUP(B296,[1]怪物!$N$34:$T$103,7,0)</f>
        <v>128</v>
      </c>
      <c r="F296" s="1">
        <f t="shared" si="56"/>
        <v>8500</v>
      </c>
      <c r="H296" t="str">
        <f t="shared" si="52"/>
        <v>{cd,3000}</v>
      </c>
      <c r="I296" t="str">
        <f t="shared" si="53"/>
        <v>{hp,15150}</v>
      </c>
      <c r="J296" t="str">
        <f t="shared" si="54"/>
        <v>{atk,128}</v>
      </c>
      <c r="K296" t="str">
        <f t="shared" si="55"/>
        <v>{spd,8500}</v>
      </c>
      <c r="L296" t="str">
        <f t="shared" si="57"/>
        <v/>
      </c>
      <c r="O296" t="str">
        <f t="shared" si="58"/>
        <v>[{cd,3000},{hp,15150},{atk,128},{spd,8500}]</v>
      </c>
    </row>
    <row r="297" spans="1:15">
      <c r="A297">
        <v>504</v>
      </c>
      <c r="B297">
        <f t="shared" si="51"/>
        <v>59</v>
      </c>
      <c r="C297">
        <v>3000</v>
      </c>
      <c r="D297">
        <f>VLOOKUP(B297,[1]怪物!$U$34:$Y$104,2,0)</f>
        <v>606000</v>
      </c>
      <c r="E297">
        <f>VLOOKUP(B297,[1]怪物!$U$34:$Y$104,4,0)</f>
        <v>213</v>
      </c>
      <c r="F297" s="1">
        <f t="shared" si="56"/>
        <v>8500</v>
      </c>
      <c r="H297" t="str">
        <f t="shared" si="52"/>
        <v>{cd,3000}</v>
      </c>
      <c r="I297" t="str">
        <f t="shared" si="53"/>
        <v>{hp,606000}</v>
      </c>
      <c r="J297" t="str">
        <f t="shared" si="54"/>
        <v>{atk,213}</v>
      </c>
      <c r="K297" t="str">
        <f t="shared" si="55"/>
        <v>{spd,8500}</v>
      </c>
      <c r="L297" t="str">
        <f t="shared" si="57"/>
        <v/>
      </c>
      <c r="O297" t="str">
        <f t="shared" si="58"/>
        <v>[{cd,3000},{hp,606000},{atk,213},{spd,8500}]</v>
      </c>
    </row>
    <row r="298" spans="1:15">
      <c r="A298">
        <v>504</v>
      </c>
      <c r="B298">
        <f t="shared" si="51"/>
        <v>59</v>
      </c>
      <c r="C298">
        <v>3000</v>
      </c>
      <c r="D298">
        <f>VLOOKUP(B298,[1]怪物!$U$34:$Y$104,3,0)</f>
        <v>808000</v>
      </c>
      <c r="E298">
        <f>VLOOKUP(B298,[1]怪物!$U$34:$Y$104,5,0)</f>
        <v>425</v>
      </c>
      <c r="F298" s="1">
        <f t="shared" si="56"/>
        <v>8500</v>
      </c>
      <c r="H298" t="str">
        <f t="shared" si="52"/>
        <v>{cd,3000}</v>
      </c>
      <c r="I298" t="str">
        <f t="shared" si="53"/>
        <v>{hp,808000}</v>
      </c>
      <c r="J298" t="str">
        <f t="shared" si="54"/>
        <v>{atk,425}</v>
      </c>
      <c r="K298" t="str">
        <f t="shared" si="55"/>
        <v>{spd,8500}</v>
      </c>
      <c r="L298" t="str">
        <f t="shared" si="57"/>
        <v/>
      </c>
      <c r="O298" t="str">
        <f t="shared" si="58"/>
        <v>[{cd,3000},{hp,808000},{atk,425},{spd,8500}]</v>
      </c>
    </row>
    <row r="299" spans="1:15">
      <c r="A299">
        <v>103</v>
      </c>
      <c r="B299">
        <f t="shared" si="51"/>
        <v>60</v>
      </c>
      <c r="C299">
        <v>3000</v>
      </c>
      <c r="D299">
        <f>VLOOKUP(B299,[1]怪物!$N$34:$T$103,2,0)</f>
        <v>11400</v>
      </c>
      <c r="E299">
        <f>VLOOKUP(B299,[1]怪物!$N$34:$T$103,5,0)</f>
        <v>90</v>
      </c>
      <c r="F299" s="1">
        <f t="shared" si="56"/>
        <v>8500</v>
      </c>
      <c r="H299" t="str">
        <f t="shared" si="52"/>
        <v>{cd,3000}</v>
      </c>
      <c r="I299" t="str">
        <f t="shared" si="53"/>
        <v>{hp,11400}</v>
      </c>
      <c r="J299" t="str">
        <f t="shared" si="54"/>
        <v>{atk,90}</v>
      </c>
      <c r="K299" t="str">
        <f t="shared" si="55"/>
        <v>{spd,8500}</v>
      </c>
      <c r="L299" t="str">
        <f t="shared" si="57"/>
        <v/>
      </c>
      <c r="O299" t="str">
        <f t="shared" si="58"/>
        <v>[{cd,3000},{hp,11400},{atk,90},{spd,8500}]</v>
      </c>
    </row>
    <row r="300" spans="1:15">
      <c r="A300">
        <v>104</v>
      </c>
      <c r="B300">
        <f t="shared" si="51"/>
        <v>60</v>
      </c>
      <c r="C300">
        <v>3000</v>
      </c>
      <c r="D300">
        <f>VLOOKUP(B300,[1]怪物!$N$34:$T$103,3,0)</f>
        <v>13680</v>
      </c>
      <c r="E300">
        <f>VLOOKUP(B300,[1]怪物!$N$34:$T$103,6,0)</f>
        <v>108</v>
      </c>
      <c r="F300" s="1">
        <f t="shared" si="56"/>
        <v>8500</v>
      </c>
      <c r="H300" t="str">
        <f t="shared" si="52"/>
        <v>{cd,3000}</v>
      </c>
      <c r="I300" t="str">
        <f t="shared" si="53"/>
        <v>{hp,13680}</v>
      </c>
      <c r="J300" t="str">
        <f t="shared" si="54"/>
        <v>{atk,108}</v>
      </c>
      <c r="K300" t="str">
        <f t="shared" si="55"/>
        <v>{spd,8500}</v>
      </c>
      <c r="L300" t="str">
        <f t="shared" si="57"/>
        <v/>
      </c>
      <c r="O300" t="str">
        <f t="shared" si="58"/>
        <v>[{cd,3000},{hp,13680},{atk,108},{spd,8500}]</v>
      </c>
    </row>
    <row r="301" spans="1:15">
      <c r="A301">
        <v>106</v>
      </c>
      <c r="B301">
        <f t="shared" si="51"/>
        <v>60</v>
      </c>
      <c r="C301">
        <v>3000</v>
      </c>
      <c r="D301">
        <f>VLOOKUP(B301,[1]怪物!$N$34:$T$103,4,0)</f>
        <v>17100</v>
      </c>
      <c r="E301">
        <f>VLOOKUP(B301,[1]怪物!$N$34:$T$103,7,0)</f>
        <v>135</v>
      </c>
      <c r="F301" s="1">
        <f t="shared" si="56"/>
        <v>8500</v>
      </c>
      <c r="H301" t="str">
        <f t="shared" si="52"/>
        <v>{cd,3000}</v>
      </c>
      <c r="I301" t="str">
        <f t="shared" si="53"/>
        <v>{hp,17100}</v>
      </c>
      <c r="J301" t="str">
        <f t="shared" si="54"/>
        <v>{atk,135}</v>
      </c>
      <c r="K301" t="str">
        <f t="shared" si="55"/>
        <v>{spd,8500}</v>
      </c>
      <c r="L301" t="str">
        <f t="shared" si="57"/>
        <v/>
      </c>
      <c r="O301" t="str">
        <f t="shared" si="58"/>
        <v>[{cd,3000},{hp,17100},{atk,135},{spd,8500}]</v>
      </c>
    </row>
    <row r="302" spans="1:15">
      <c r="A302">
        <v>503</v>
      </c>
      <c r="B302">
        <f t="shared" si="51"/>
        <v>60</v>
      </c>
      <c r="C302">
        <v>3000</v>
      </c>
      <c r="D302">
        <f>VLOOKUP(B302,[1]怪物!$U$34:$Y$104,2,0)</f>
        <v>684000</v>
      </c>
      <c r="E302">
        <f>VLOOKUP(B302,[1]怪物!$U$34:$Y$104,4,0)</f>
        <v>225</v>
      </c>
      <c r="F302" s="1">
        <f t="shared" si="56"/>
        <v>8500</v>
      </c>
      <c r="H302" t="str">
        <f t="shared" si="52"/>
        <v>{cd,3000}</v>
      </c>
      <c r="I302" t="str">
        <f t="shared" si="53"/>
        <v>{hp,684000}</v>
      </c>
      <c r="J302" t="str">
        <f t="shared" si="54"/>
        <v>{atk,225}</v>
      </c>
      <c r="K302" t="str">
        <f t="shared" si="55"/>
        <v>{spd,8500}</v>
      </c>
      <c r="L302" t="str">
        <f t="shared" si="57"/>
        <v/>
      </c>
      <c r="O302" t="str">
        <f t="shared" si="58"/>
        <v>[{cd,3000},{hp,684000},{atk,225},{spd,8500}]</v>
      </c>
    </row>
    <row r="303" spans="1:15">
      <c r="A303">
        <v>503</v>
      </c>
      <c r="B303">
        <f t="shared" si="51"/>
        <v>60</v>
      </c>
      <c r="C303">
        <v>3000</v>
      </c>
      <c r="D303">
        <f>VLOOKUP(B303,[1]怪物!$U$34:$Y$104,3,0)</f>
        <v>912000</v>
      </c>
      <c r="E303">
        <f>VLOOKUP(B303,[1]怪物!$U$34:$Y$104,5,0)</f>
        <v>450</v>
      </c>
      <c r="F303" s="1">
        <f t="shared" si="56"/>
        <v>8500</v>
      </c>
      <c r="H303" t="str">
        <f t="shared" si="52"/>
        <v>{cd,3000}</v>
      </c>
      <c r="I303" t="str">
        <f t="shared" si="53"/>
        <v>{hp,912000}</v>
      </c>
      <c r="J303" t="str">
        <f t="shared" si="54"/>
        <v>{atk,450}</v>
      </c>
      <c r="K303" t="str">
        <f t="shared" si="55"/>
        <v>{spd,8500}</v>
      </c>
      <c r="L303" t="str">
        <f t="shared" si="57"/>
        <v/>
      </c>
      <c r="O303" t="str">
        <f t="shared" si="58"/>
        <v>[{cd,3000},{hp,912000},{atk,450},{spd,8500}]</v>
      </c>
    </row>
    <row r="304" spans="1:15">
      <c r="A304">
        <f>Sheet1!E306</f>
        <v>108</v>
      </c>
      <c r="B304">
        <f t="shared" si="51"/>
        <v>61</v>
      </c>
      <c r="C304">
        <v>3000</v>
      </c>
      <c r="D304">
        <f>VLOOKUP(B304,[1]怪物!$N$34:$T$103,2,0)</f>
        <v>10500</v>
      </c>
      <c r="E304">
        <f>VLOOKUP(B304,[1]怪物!$N$34:$T$103,5,0)</f>
        <v>87</v>
      </c>
      <c r="F304" s="1">
        <f t="shared" si="56"/>
        <v>8500</v>
      </c>
      <c r="H304" t="str">
        <f t="shared" ref="H304:H353" si="59">$C$2&amp;C$3&amp;$D$2&amp;C304&amp;$E$2</f>
        <v>{cd,3000}</v>
      </c>
      <c r="I304" t="str">
        <f t="shared" ref="I304:I353" si="60">$C$2&amp;D$3&amp;$D$2&amp;D304&amp;$E$2</f>
        <v>{hp,10500}</v>
      </c>
      <c r="J304" t="str">
        <f t="shared" ref="J304:J353" si="61">$C$2&amp;E$3&amp;$D$2&amp;E304&amp;$E$2</f>
        <v>{atk,87}</v>
      </c>
      <c r="K304" t="str">
        <f t="shared" ref="K304:K353" si="62">$C$2&amp;F$3&amp;$D$2&amp;F304&amp;$E$2</f>
        <v>{spd,8500}</v>
      </c>
      <c r="L304" t="str">
        <f t="shared" si="57"/>
        <v/>
      </c>
      <c r="O304" t="str">
        <f t="shared" si="58"/>
        <v>[{cd,3000},{hp,10500},{atk,87},{spd,8500}]</v>
      </c>
    </row>
    <row r="305" spans="1:15">
      <c r="A305">
        <f>Sheet1!E307</f>
        <v>110</v>
      </c>
      <c r="B305">
        <f t="shared" si="51"/>
        <v>61</v>
      </c>
      <c r="C305">
        <v>3000</v>
      </c>
      <c r="D305">
        <f>VLOOKUP(B305,[1]怪物!$N$34:$T$103,3,0)</f>
        <v>12600</v>
      </c>
      <c r="E305">
        <f>VLOOKUP(B305,[1]怪物!$N$34:$T$103,6,0)</f>
        <v>104</v>
      </c>
      <c r="F305" s="1">
        <f t="shared" si="56"/>
        <v>8500</v>
      </c>
      <c r="H305" t="str">
        <f t="shared" si="59"/>
        <v>{cd,3000}</v>
      </c>
      <c r="I305" t="str">
        <f t="shared" si="60"/>
        <v>{hp,12600}</v>
      </c>
      <c r="J305" t="str">
        <f t="shared" si="61"/>
        <v>{atk,104}</v>
      </c>
      <c r="K305" t="str">
        <f t="shared" si="62"/>
        <v>{spd,8500}</v>
      </c>
      <c r="L305" t="str">
        <f t="shared" si="57"/>
        <v/>
      </c>
      <c r="O305" t="str">
        <f t="shared" si="58"/>
        <v>[{cd,3000},{hp,12600},{atk,104},{spd,8500}]</v>
      </c>
    </row>
    <row r="306" spans="1:15">
      <c r="A306">
        <f>Sheet1!E308</f>
        <v>114</v>
      </c>
      <c r="B306">
        <f t="shared" si="51"/>
        <v>61</v>
      </c>
      <c r="C306">
        <v>3000</v>
      </c>
      <c r="D306">
        <f>VLOOKUP(B306,[1]怪物!$N$34:$T$103,4,0)</f>
        <v>15750</v>
      </c>
      <c r="E306">
        <f>VLOOKUP(B306,[1]怪物!$N$34:$T$103,7,0)</f>
        <v>131</v>
      </c>
      <c r="F306" s="1">
        <f t="shared" si="56"/>
        <v>8500</v>
      </c>
      <c r="H306" t="str">
        <f t="shared" si="59"/>
        <v>{cd,3000}</v>
      </c>
      <c r="I306" t="str">
        <f t="shared" si="60"/>
        <v>{hp,15750}</v>
      </c>
      <c r="J306" t="str">
        <f t="shared" si="61"/>
        <v>{atk,131}</v>
      </c>
      <c r="K306" t="str">
        <f t="shared" si="62"/>
        <v>{spd,8500}</v>
      </c>
      <c r="L306" t="str">
        <f t="shared" si="57"/>
        <v/>
      </c>
      <c r="O306" t="str">
        <f t="shared" si="58"/>
        <v>[{cd,3000},{hp,15750},{atk,131},{spd,8500}]</v>
      </c>
    </row>
    <row r="307" spans="1:15">
      <c r="A307">
        <f>Sheet1!E309</f>
        <v>508</v>
      </c>
      <c r="B307">
        <f t="shared" ref="B307:B370" si="63">B302+1</f>
        <v>61</v>
      </c>
      <c r="C307">
        <v>3000</v>
      </c>
      <c r="D307">
        <f>VLOOKUP(B307,[1]怪物!$U$34:$Y$104,2,0)</f>
        <v>630000</v>
      </c>
      <c r="E307">
        <f>VLOOKUP(B307,[1]怪物!$U$34:$Y$104,4,0)</f>
        <v>218</v>
      </c>
      <c r="F307" s="1">
        <f t="shared" si="56"/>
        <v>8500</v>
      </c>
      <c r="H307" t="str">
        <f t="shared" si="59"/>
        <v>{cd,3000}</v>
      </c>
      <c r="I307" t="str">
        <f t="shared" si="60"/>
        <v>{hp,630000}</v>
      </c>
      <c r="J307" t="str">
        <f t="shared" si="61"/>
        <v>{atk,218}</v>
      </c>
      <c r="K307" t="str">
        <f t="shared" si="62"/>
        <v>{spd,8500}</v>
      </c>
      <c r="L307" t="str">
        <f t="shared" si="57"/>
        <v/>
      </c>
      <c r="O307" t="str">
        <f t="shared" si="58"/>
        <v>[{cd,3000},{hp,630000},{atk,218},{spd,8500}]</v>
      </c>
    </row>
    <row r="308" spans="1:15">
      <c r="A308">
        <f>Sheet1!E310</f>
        <v>508</v>
      </c>
      <c r="B308">
        <f t="shared" si="63"/>
        <v>61</v>
      </c>
      <c r="C308">
        <v>3000</v>
      </c>
      <c r="D308">
        <f>VLOOKUP(B308,[1]怪物!$U$34:$Y$104,3,0)</f>
        <v>840000</v>
      </c>
      <c r="E308">
        <f>VLOOKUP(B308,[1]怪物!$U$34:$Y$104,5,0)</f>
        <v>435</v>
      </c>
      <c r="F308" s="1">
        <f t="shared" si="56"/>
        <v>8500</v>
      </c>
      <c r="H308" t="str">
        <f t="shared" si="59"/>
        <v>{cd,3000}</v>
      </c>
      <c r="I308" t="str">
        <f t="shared" si="60"/>
        <v>{hp,840000}</v>
      </c>
      <c r="J308" t="str">
        <f t="shared" si="61"/>
        <v>{atk,435}</v>
      </c>
      <c r="K308" t="str">
        <f t="shared" si="62"/>
        <v>{spd,8500}</v>
      </c>
      <c r="L308" t="str">
        <f t="shared" si="57"/>
        <v/>
      </c>
      <c r="O308" t="str">
        <f t="shared" si="58"/>
        <v>[{cd,3000},{hp,840000},{atk,435},{spd,8500}]</v>
      </c>
    </row>
    <row r="309" spans="1:15">
      <c r="A309">
        <f>Sheet1!E311</f>
        <v>110</v>
      </c>
      <c r="B309">
        <f t="shared" si="63"/>
        <v>62</v>
      </c>
      <c r="C309">
        <v>3000</v>
      </c>
      <c r="D309">
        <f>VLOOKUP(B309,[1]怪物!$N$34:$T$103,2,0)</f>
        <v>10900</v>
      </c>
      <c r="E309">
        <f>VLOOKUP(B309,[1]怪物!$N$34:$T$103,5,0)</f>
        <v>89</v>
      </c>
      <c r="F309" s="1">
        <f t="shared" si="56"/>
        <v>8500</v>
      </c>
      <c r="H309" t="str">
        <f t="shared" si="59"/>
        <v>{cd,3000}</v>
      </c>
      <c r="I309" t="str">
        <f t="shared" si="60"/>
        <v>{hp,10900}</v>
      </c>
      <c r="J309" t="str">
        <f t="shared" si="61"/>
        <v>{atk,89}</v>
      </c>
      <c r="K309" t="str">
        <f t="shared" si="62"/>
        <v>{spd,8500}</v>
      </c>
      <c r="L309" t="str">
        <f t="shared" si="57"/>
        <v/>
      </c>
      <c r="O309" t="str">
        <f t="shared" si="58"/>
        <v>[{cd,3000},{hp,10900},{atk,89},{spd,8500}]</v>
      </c>
    </row>
    <row r="310" spans="1:15">
      <c r="A310">
        <f>Sheet1!E312</f>
        <v>114</v>
      </c>
      <c r="B310">
        <f t="shared" si="63"/>
        <v>62</v>
      </c>
      <c r="C310">
        <v>3000</v>
      </c>
      <c r="D310">
        <f>VLOOKUP(B310,[1]怪物!$N$34:$T$103,3,0)</f>
        <v>13080</v>
      </c>
      <c r="E310">
        <f>VLOOKUP(B310,[1]怪物!$N$34:$T$103,6,0)</f>
        <v>107</v>
      </c>
      <c r="F310" s="1">
        <f t="shared" si="56"/>
        <v>8500</v>
      </c>
      <c r="H310" t="str">
        <f t="shared" si="59"/>
        <v>{cd,3000}</v>
      </c>
      <c r="I310" t="str">
        <f t="shared" si="60"/>
        <v>{hp,13080}</v>
      </c>
      <c r="J310" t="str">
        <f t="shared" si="61"/>
        <v>{atk,107}</v>
      </c>
      <c r="K310" t="str">
        <f t="shared" si="62"/>
        <v>{spd,8500}</v>
      </c>
      <c r="L310" t="str">
        <f t="shared" si="57"/>
        <v/>
      </c>
      <c r="O310" t="str">
        <f t="shared" si="58"/>
        <v>[{cd,3000},{hp,13080},{atk,107},{spd,8500}]</v>
      </c>
    </row>
    <row r="311" spans="1:15">
      <c r="A311">
        <f>Sheet1!E313</f>
        <v>109</v>
      </c>
      <c r="B311">
        <f t="shared" si="63"/>
        <v>62</v>
      </c>
      <c r="C311">
        <v>3000</v>
      </c>
      <c r="D311">
        <f>VLOOKUP(B311,[1]怪物!$N$34:$T$103,4,0)</f>
        <v>16350</v>
      </c>
      <c r="E311">
        <f>VLOOKUP(B311,[1]怪物!$N$34:$T$103,7,0)</f>
        <v>134</v>
      </c>
      <c r="F311" s="1">
        <f t="shared" si="56"/>
        <v>8500</v>
      </c>
      <c r="H311" t="str">
        <f t="shared" si="59"/>
        <v>{cd,3000}</v>
      </c>
      <c r="I311" t="str">
        <f t="shared" si="60"/>
        <v>{hp,16350}</v>
      </c>
      <c r="J311" t="str">
        <f t="shared" si="61"/>
        <v>{atk,134}</v>
      </c>
      <c r="K311" t="str">
        <f t="shared" si="62"/>
        <v>{spd,8500}</v>
      </c>
      <c r="L311" t="str">
        <f t="shared" si="57"/>
        <v/>
      </c>
      <c r="O311" t="str">
        <f t="shared" si="58"/>
        <v>[{cd,3000},{hp,16350},{atk,134},{spd,8500}]</v>
      </c>
    </row>
    <row r="312" spans="1:15">
      <c r="A312">
        <f>Sheet1!E314</f>
        <v>514</v>
      </c>
      <c r="B312">
        <f t="shared" si="63"/>
        <v>62</v>
      </c>
      <c r="C312">
        <v>3000</v>
      </c>
      <c r="D312">
        <f>VLOOKUP(B312,[1]怪物!$U$34:$Y$104,2,0)</f>
        <v>654000</v>
      </c>
      <c r="E312">
        <f>VLOOKUP(B312,[1]怪物!$U$34:$Y$104,4,0)</f>
        <v>223</v>
      </c>
      <c r="F312" s="1">
        <f t="shared" si="56"/>
        <v>8500</v>
      </c>
      <c r="H312" t="str">
        <f t="shared" si="59"/>
        <v>{cd,3000}</v>
      </c>
      <c r="I312" t="str">
        <f t="shared" si="60"/>
        <v>{hp,654000}</v>
      </c>
      <c r="J312" t="str">
        <f t="shared" si="61"/>
        <v>{atk,223}</v>
      </c>
      <c r="K312" t="str">
        <f t="shared" si="62"/>
        <v>{spd,8500}</v>
      </c>
      <c r="L312" t="str">
        <f t="shared" si="57"/>
        <v/>
      </c>
      <c r="O312" t="str">
        <f t="shared" si="58"/>
        <v>[{cd,3000},{hp,654000},{atk,223},{spd,8500}]</v>
      </c>
    </row>
    <row r="313" spans="1:15">
      <c r="A313">
        <f>Sheet1!E315</f>
        <v>514</v>
      </c>
      <c r="B313">
        <f t="shared" si="63"/>
        <v>62</v>
      </c>
      <c r="C313">
        <v>3000</v>
      </c>
      <c r="D313">
        <f>VLOOKUP(B313,[1]怪物!$U$34:$Y$104,3,0)</f>
        <v>872000</v>
      </c>
      <c r="E313">
        <f>VLOOKUP(B313,[1]怪物!$U$34:$Y$104,5,0)</f>
        <v>445</v>
      </c>
      <c r="F313" s="1">
        <f t="shared" si="56"/>
        <v>8500</v>
      </c>
      <c r="H313" t="str">
        <f t="shared" si="59"/>
        <v>{cd,3000}</v>
      </c>
      <c r="I313" t="str">
        <f t="shared" si="60"/>
        <v>{hp,872000}</v>
      </c>
      <c r="J313" t="str">
        <f t="shared" si="61"/>
        <v>{atk,445}</v>
      </c>
      <c r="K313" t="str">
        <f t="shared" si="62"/>
        <v>{spd,8500}</v>
      </c>
      <c r="L313" t="str">
        <f t="shared" si="57"/>
        <v/>
      </c>
      <c r="O313" t="str">
        <f t="shared" si="58"/>
        <v>[{cd,3000},{hp,872000},{atk,445},{spd,8500}]</v>
      </c>
    </row>
    <row r="314" spans="1:15">
      <c r="A314">
        <f>Sheet1!E316</f>
        <v>111</v>
      </c>
      <c r="B314">
        <f t="shared" si="63"/>
        <v>63</v>
      </c>
      <c r="C314">
        <v>3000</v>
      </c>
      <c r="D314">
        <f>VLOOKUP(B314,[1]怪物!$N$34:$T$103,2,0)</f>
        <v>11500</v>
      </c>
      <c r="E314">
        <f>VLOOKUP(B314,[1]怪物!$N$34:$T$103,5,0)</f>
        <v>91</v>
      </c>
      <c r="F314" s="1">
        <f t="shared" si="56"/>
        <v>8500</v>
      </c>
      <c r="H314" t="str">
        <f t="shared" si="59"/>
        <v>{cd,3000}</v>
      </c>
      <c r="I314" t="str">
        <f t="shared" si="60"/>
        <v>{hp,11500}</v>
      </c>
      <c r="J314" t="str">
        <f t="shared" si="61"/>
        <v>{atk,91}</v>
      </c>
      <c r="K314" t="str">
        <f t="shared" si="62"/>
        <v>{spd,8500}</v>
      </c>
      <c r="L314" t="str">
        <f t="shared" si="57"/>
        <v/>
      </c>
      <c r="O314" t="str">
        <f t="shared" si="58"/>
        <v>[{cd,3000},{hp,11500},{atk,91},{spd,8500}]</v>
      </c>
    </row>
    <row r="315" spans="1:15">
      <c r="A315">
        <f>Sheet1!E317</f>
        <v>115</v>
      </c>
      <c r="B315">
        <f t="shared" si="63"/>
        <v>63</v>
      </c>
      <c r="C315">
        <v>3000</v>
      </c>
      <c r="D315">
        <f>VLOOKUP(B315,[1]怪物!$N$34:$T$103,3,0)</f>
        <v>13800</v>
      </c>
      <c r="E315">
        <f>VLOOKUP(B315,[1]怪物!$N$34:$T$103,6,0)</f>
        <v>109</v>
      </c>
      <c r="F315" s="1">
        <f t="shared" si="56"/>
        <v>8500</v>
      </c>
      <c r="H315" t="str">
        <f t="shared" si="59"/>
        <v>{cd,3000}</v>
      </c>
      <c r="I315" t="str">
        <f t="shared" si="60"/>
        <v>{hp,13800}</v>
      </c>
      <c r="J315" t="str">
        <f t="shared" si="61"/>
        <v>{atk,109}</v>
      </c>
      <c r="K315" t="str">
        <f t="shared" si="62"/>
        <v>{spd,8500}</v>
      </c>
      <c r="L315" t="str">
        <f t="shared" si="57"/>
        <v/>
      </c>
      <c r="O315" t="str">
        <f t="shared" si="58"/>
        <v>[{cd,3000},{hp,13800},{atk,109},{spd,8500}]</v>
      </c>
    </row>
    <row r="316" spans="1:15">
      <c r="A316">
        <f>Sheet1!E318</f>
        <v>113</v>
      </c>
      <c r="B316">
        <f t="shared" si="63"/>
        <v>63</v>
      </c>
      <c r="C316">
        <v>3000</v>
      </c>
      <c r="D316">
        <f>VLOOKUP(B316,[1]怪物!$N$34:$T$103,4,0)</f>
        <v>17250</v>
      </c>
      <c r="E316">
        <f>VLOOKUP(B316,[1]怪物!$N$34:$T$103,7,0)</f>
        <v>137</v>
      </c>
      <c r="F316" s="1">
        <f t="shared" si="56"/>
        <v>8500</v>
      </c>
      <c r="H316" t="str">
        <f t="shared" si="59"/>
        <v>{cd,3000}</v>
      </c>
      <c r="I316" t="str">
        <f t="shared" si="60"/>
        <v>{hp,17250}</v>
      </c>
      <c r="J316" t="str">
        <f t="shared" si="61"/>
        <v>{atk,137}</v>
      </c>
      <c r="K316" t="str">
        <f t="shared" si="62"/>
        <v>{spd,8500}</v>
      </c>
      <c r="L316" t="str">
        <f t="shared" si="57"/>
        <v/>
      </c>
      <c r="O316" t="str">
        <f t="shared" si="58"/>
        <v>[{cd,3000},{hp,17250},{atk,137},{spd,8500}]</v>
      </c>
    </row>
    <row r="317" spans="1:15">
      <c r="A317">
        <f>Sheet1!E319</f>
        <v>515</v>
      </c>
      <c r="B317">
        <f t="shared" si="63"/>
        <v>63</v>
      </c>
      <c r="C317">
        <v>3000</v>
      </c>
      <c r="D317">
        <f>VLOOKUP(B317,[1]怪物!$U$34:$Y$104,2,0)</f>
        <v>690000</v>
      </c>
      <c r="E317">
        <f>VLOOKUP(B317,[1]怪物!$U$34:$Y$104,4,0)</f>
        <v>228</v>
      </c>
      <c r="F317" s="1">
        <f t="shared" si="56"/>
        <v>8500</v>
      </c>
      <c r="H317" t="str">
        <f t="shared" si="59"/>
        <v>{cd,3000}</v>
      </c>
      <c r="I317" t="str">
        <f t="shared" si="60"/>
        <v>{hp,690000}</v>
      </c>
      <c r="J317" t="str">
        <f t="shared" si="61"/>
        <v>{atk,228}</v>
      </c>
      <c r="K317" t="str">
        <f t="shared" si="62"/>
        <v>{spd,8500}</v>
      </c>
      <c r="L317" t="str">
        <f t="shared" si="57"/>
        <v/>
      </c>
      <c r="O317" t="str">
        <f t="shared" si="58"/>
        <v>[{cd,3000},{hp,690000},{atk,228},{spd,8500}]</v>
      </c>
    </row>
    <row r="318" spans="1:15">
      <c r="A318">
        <f>Sheet1!E320</f>
        <v>515</v>
      </c>
      <c r="B318">
        <f t="shared" si="63"/>
        <v>63</v>
      </c>
      <c r="C318">
        <v>3000</v>
      </c>
      <c r="D318">
        <f>VLOOKUP(B318,[1]怪物!$U$34:$Y$104,3,0)</f>
        <v>920000</v>
      </c>
      <c r="E318">
        <f>VLOOKUP(B318,[1]怪物!$U$34:$Y$104,5,0)</f>
        <v>455</v>
      </c>
      <c r="F318" s="1">
        <f t="shared" si="56"/>
        <v>8500</v>
      </c>
      <c r="H318" t="str">
        <f t="shared" si="59"/>
        <v>{cd,3000}</v>
      </c>
      <c r="I318" t="str">
        <f t="shared" si="60"/>
        <v>{hp,920000}</v>
      </c>
      <c r="J318" t="str">
        <f t="shared" si="61"/>
        <v>{atk,455}</v>
      </c>
      <c r="K318" t="str">
        <f t="shared" si="62"/>
        <v>{spd,8500}</v>
      </c>
      <c r="L318" t="str">
        <f t="shared" si="57"/>
        <v/>
      </c>
      <c r="O318" t="str">
        <f t="shared" si="58"/>
        <v>[{cd,3000},{hp,920000},{atk,455},{spd,8500}]</v>
      </c>
    </row>
    <row r="319" spans="1:15">
      <c r="A319">
        <f>Sheet1!E321</f>
        <v>100</v>
      </c>
      <c r="B319">
        <f t="shared" si="63"/>
        <v>64</v>
      </c>
      <c r="C319">
        <v>3000</v>
      </c>
      <c r="D319">
        <f>VLOOKUP(B319,[1]怪物!$N$34:$T$103,2,0)</f>
        <v>13000</v>
      </c>
      <c r="E319">
        <f>VLOOKUP(B319,[1]怪物!$N$34:$T$103,5,0)</f>
        <v>100</v>
      </c>
      <c r="F319" s="1">
        <f t="shared" si="56"/>
        <v>8500</v>
      </c>
      <c r="H319" t="str">
        <f t="shared" si="59"/>
        <v>{cd,3000}</v>
      </c>
      <c r="I319" t="str">
        <f t="shared" si="60"/>
        <v>{hp,13000}</v>
      </c>
      <c r="J319" t="str">
        <f t="shared" si="61"/>
        <v>{atk,100}</v>
      </c>
      <c r="K319" t="str">
        <f t="shared" si="62"/>
        <v>{spd,8500}</v>
      </c>
      <c r="L319" t="str">
        <f t="shared" si="57"/>
        <v/>
      </c>
      <c r="O319" t="str">
        <f t="shared" si="58"/>
        <v>[{cd,3000},{hp,13000},{atk,100},{spd,8500}]</v>
      </c>
    </row>
    <row r="320" spans="1:15">
      <c r="A320">
        <f>Sheet1!E322</f>
        <v>102</v>
      </c>
      <c r="B320">
        <f t="shared" si="63"/>
        <v>64</v>
      </c>
      <c r="C320">
        <v>3000</v>
      </c>
      <c r="D320">
        <f>VLOOKUP(B320,[1]怪物!$N$34:$T$103,3,0)</f>
        <v>15600</v>
      </c>
      <c r="E320">
        <f>VLOOKUP(B320,[1]怪物!$N$34:$T$103,6,0)</f>
        <v>120</v>
      </c>
      <c r="F320" s="1">
        <f t="shared" si="56"/>
        <v>8500</v>
      </c>
      <c r="H320" t="str">
        <f t="shared" si="59"/>
        <v>{cd,3000}</v>
      </c>
      <c r="I320" t="str">
        <f t="shared" si="60"/>
        <v>{hp,15600}</v>
      </c>
      <c r="J320" t="str">
        <f t="shared" si="61"/>
        <v>{atk,120}</v>
      </c>
      <c r="K320" t="str">
        <f t="shared" si="62"/>
        <v>{spd,8500}</v>
      </c>
      <c r="L320" t="str">
        <f t="shared" si="57"/>
        <v/>
      </c>
      <c r="O320" t="str">
        <f t="shared" si="58"/>
        <v>[{cd,3000},{hp,15600},{atk,120},{spd,8500}]</v>
      </c>
    </row>
    <row r="321" spans="1:15">
      <c r="A321">
        <f>Sheet1!E323</f>
        <v>105</v>
      </c>
      <c r="B321">
        <f t="shared" si="63"/>
        <v>64</v>
      </c>
      <c r="C321">
        <v>3000</v>
      </c>
      <c r="D321">
        <f>VLOOKUP(B321,[1]怪物!$N$34:$T$103,4,0)</f>
        <v>19500</v>
      </c>
      <c r="E321">
        <f>VLOOKUP(B321,[1]怪物!$N$34:$T$103,7,0)</f>
        <v>150</v>
      </c>
      <c r="F321" s="1">
        <f t="shared" si="56"/>
        <v>8500</v>
      </c>
      <c r="H321" t="str">
        <f t="shared" si="59"/>
        <v>{cd,3000}</v>
      </c>
      <c r="I321" t="str">
        <f t="shared" si="60"/>
        <v>{hp,19500}</v>
      </c>
      <c r="J321" t="str">
        <f t="shared" si="61"/>
        <v>{atk,150}</v>
      </c>
      <c r="K321" t="str">
        <f t="shared" si="62"/>
        <v>{spd,8500}</v>
      </c>
      <c r="L321" t="str">
        <f t="shared" si="57"/>
        <v/>
      </c>
      <c r="O321" t="str">
        <f t="shared" si="58"/>
        <v>[{cd,3000},{hp,19500},{atk,150},{spd,8500}]</v>
      </c>
    </row>
    <row r="322" spans="1:15">
      <c r="A322">
        <f>Sheet1!E324</f>
        <v>502</v>
      </c>
      <c r="B322">
        <f t="shared" si="63"/>
        <v>64</v>
      </c>
      <c r="C322">
        <v>3000</v>
      </c>
      <c r="D322">
        <f>VLOOKUP(B322,[1]怪物!$U$34:$Y$104,2,0)</f>
        <v>780000</v>
      </c>
      <c r="E322">
        <f>VLOOKUP(B322,[1]怪物!$U$34:$Y$104,4,0)</f>
        <v>250</v>
      </c>
      <c r="F322" s="1">
        <f t="shared" si="56"/>
        <v>8500</v>
      </c>
      <c r="H322" t="str">
        <f t="shared" si="59"/>
        <v>{cd,3000}</v>
      </c>
      <c r="I322" t="str">
        <f t="shared" si="60"/>
        <v>{hp,780000}</v>
      </c>
      <c r="J322" t="str">
        <f t="shared" si="61"/>
        <v>{atk,250}</v>
      </c>
      <c r="K322" t="str">
        <f t="shared" si="62"/>
        <v>{spd,8500}</v>
      </c>
      <c r="L322" t="str">
        <f t="shared" si="57"/>
        <v/>
      </c>
      <c r="O322" t="str">
        <f t="shared" si="58"/>
        <v>[{cd,3000},{hp,780000},{atk,250},{spd,8500}]</v>
      </c>
    </row>
    <row r="323" spans="1:15">
      <c r="A323">
        <f>Sheet1!E325</f>
        <v>500</v>
      </c>
      <c r="B323">
        <f t="shared" si="63"/>
        <v>64</v>
      </c>
      <c r="C323">
        <v>3000</v>
      </c>
      <c r="D323">
        <f>VLOOKUP(B323,[1]怪物!$U$34:$Y$104,3,0)</f>
        <v>1040000</v>
      </c>
      <c r="E323">
        <f>VLOOKUP(B323,[1]怪物!$U$34:$Y$104,5,0)</f>
        <v>500</v>
      </c>
      <c r="F323" s="1">
        <f t="shared" si="56"/>
        <v>8500</v>
      </c>
      <c r="H323" t="str">
        <f t="shared" si="59"/>
        <v>{cd,3000}</v>
      </c>
      <c r="I323" t="str">
        <f t="shared" si="60"/>
        <v>{hp,1040000}</v>
      </c>
      <c r="J323" t="str">
        <f t="shared" si="61"/>
        <v>{atk,500}</v>
      </c>
      <c r="K323" t="str">
        <f t="shared" si="62"/>
        <v>{spd,8500}</v>
      </c>
      <c r="L323" t="str">
        <f t="shared" si="57"/>
        <v/>
      </c>
      <c r="O323" t="str">
        <f t="shared" si="58"/>
        <v>[{cd,3000},{hp,1040000},{atk,500},{spd,8500}]</v>
      </c>
    </row>
    <row r="324" spans="1:15">
      <c r="A324">
        <f>Sheet1!E326</f>
        <v>108</v>
      </c>
      <c r="B324">
        <f t="shared" si="63"/>
        <v>65</v>
      </c>
      <c r="C324">
        <v>3000</v>
      </c>
      <c r="D324">
        <f>VLOOKUP(B324,[1]怪物!$N$34:$T$103,2,0)</f>
        <v>12300</v>
      </c>
      <c r="E324">
        <f>VLOOKUP(B324,[1]怪物!$N$34:$T$103,5,0)</f>
        <v>93</v>
      </c>
      <c r="F324" s="1">
        <f t="shared" si="56"/>
        <v>8500</v>
      </c>
      <c r="H324" t="str">
        <f t="shared" si="59"/>
        <v>{cd,3000}</v>
      </c>
      <c r="I324" t="str">
        <f t="shared" si="60"/>
        <v>{hp,12300}</v>
      </c>
      <c r="J324" t="str">
        <f t="shared" si="61"/>
        <v>{atk,93}</v>
      </c>
      <c r="K324" t="str">
        <f t="shared" si="62"/>
        <v>{spd,8500}</v>
      </c>
      <c r="L324" t="str">
        <f t="shared" si="57"/>
        <v/>
      </c>
      <c r="O324" t="str">
        <f t="shared" si="58"/>
        <v>[{cd,3000},{hp,12300},{atk,93},{spd,8500}]</v>
      </c>
    </row>
    <row r="325" spans="1:15">
      <c r="A325">
        <f>Sheet1!E327</f>
        <v>110</v>
      </c>
      <c r="B325">
        <f t="shared" si="63"/>
        <v>65</v>
      </c>
      <c r="C325">
        <v>3000</v>
      </c>
      <c r="D325">
        <f>VLOOKUP(B325,[1]怪物!$N$34:$T$103,3,0)</f>
        <v>14760</v>
      </c>
      <c r="E325">
        <f>VLOOKUP(B325,[1]怪物!$N$34:$T$103,6,0)</f>
        <v>112</v>
      </c>
      <c r="F325" s="1">
        <f t="shared" ref="F325:F388" si="64">VLOOKUP(A325,$W:$AB,6,0)</f>
        <v>8500</v>
      </c>
      <c r="H325" t="str">
        <f t="shared" si="59"/>
        <v>{cd,3000}</v>
      </c>
      <c r="I325" t="str">
        <f t="shared" si="60"/>
        <v>{hp,14760}</v>
      </c>
      <c r="J325" t="str">
        <f t="shared" si="61"/>
        <v>{atk,112}</v>
      </c>
      <c r="K325" t="str">
        <f t="shared" si="62"/>
        <v>{spd,8500}</v>
      </c>
      <c r="L325" t="str">
        <f t="shared" ref="L325:L388" si="65">IF(VLOOKUP(A325,$W:$AC,7,0)=0,"",VLOOKUP(A325,$W:$AC,7,0))</f>
        <v/>
      </c>
      <c r="O325" t="str">
        <f t="shared" ref="O325:O388" si="66">"["&amp;_xlfn.TEXTJOIN(",",1,H325:M325)&amp;"]"</f>
        <v>[{cd,3000},{hp,14760},{atk,112},{spd,8500}]</v>
      </c>
    </row>
    <row r="326" spans="1:15">
      <c r="A326">
        <f>Sheet1!E328</f>
        <v>114</v>
      </c>
      <c r="B326">
        <f t="shared" si="63"/>
        <v>65</v>
      </c>
      <c r="C326">
        <v>3000</v>
      </c>
      <c r="D326">
        <f>VLOOKUP(B326,[1]怪物!$N$34:$T$103,4,0)</f>
        <v>18450</v>
      </c>
      <c r="E326">
        <f>VLOOKUP(B326,[1]怪物!$N$34:$T$103,7,0)</f>
        <v>140</v>
      </c>
      <c r="F326" s="1">
        <f t="shared" si="64"/>
        <v>8500</v>
      </c>
      <c r="H326" t="str">
        <f t="shared" si="59"/>
        <v>{cd,3000}</v>
      </c>
      <c r="I326" t="str">
        <f t="shared" si="60"/>
        <v>{hp,18450}</v>
      </c>
      <c r="J326" t="str">
        <f t="shared" si="61"/>
        <v>{atk,140}</v>
      </c>
      <c r="K326" t="str">
        <f t="shared" si="62"/>
        <v>{spd,8500}</v>
      </c>
      <c r="L326" t="str">
        <f t="shared" si="65"/>
        <v/>
      </c>
      <c r="O326" t="str">
        <f t="shared" si="66"/>
        <v>[{cd,3000},{hp,18450},{atk,140},{spd,8500}]</v>
      </c>
    </row>
    <row r="327" spans="1:15">
      <c r="A327">
        <f>Sheet1!E329</f>
        <v>508</v>
      </c>
      <c r="B327">
        <f t="shared" si="63"/>
        <v>65</v>
      </c>
      <c r="C327">
        <v>3000</v>
      </c>
      <c r="D327">
        <f>VLOOKUP(B327,[1]怪物!$U$34:$Y$104,2,0)</f>
        <v>738000</v>
      </c>
      <c r="E327">
        <f>VLOOKUP(B327,[1]怪物!$U$34:$Y$104,4,0)</f>
        <v>233</v>
      </c>
      <c r="F327" s="1">
        <f t="shared" si="64"/>
        <v>8500</v>
      </c>
      <c r="H327" t="str">
        <f t="shared" si="59"/>
        <v>{cd,3000}</v>
      </c>
      <c r="I327" t="str">
        <f t="shared" si="60"/>
        <v>{hp,738000}</v>
      </c>
      <c r="J327" t="str">
        <f t="shared" si="61"/>
        <v>{atk,233}</v>
      </c>
      <c r="K327" t="str">
        <f t="shared" si="62"/>
        <v>{spd,8500}</v>
      </c>
      <c r="L327" t="str">
        <f t="shared" si="65"/>
        <v/>
      </c>
      <c r="O327" t="str">
        <f t="shared" si="66"/>
        <v>[{cd,3000},{hp,738000},{atk,233},{spd,8500}]</v>
      </c>
    </row>
    <row r="328" spans="1:15">
      <c r="A328">
        <f>Sheet1!E330</f>
        <v>508</v>
      </c>
      <c r="B328">
        <f t="shared" si="63"/>
        <v>65</v>
      </c>
      <c r="C328">
        <v>3000</v>
      </c>
      <c r="D328">
        <f>VLOOKUP(B328,[1]怪物!$U$34:$Y$104,3,0)</f>
        <v>984000</v>
      </c>
      <c r="E328">
        <f>VLOOKUP(B328,[1]怪物!$U$34:$Y$104,5,0)</f>
        <v>465</v>
      </c>
      <c r="F328" s="1">
        <f t="shared" si="64"/>
        <v>8500</v>
      </c>
      <c r="H328" t="str">
        <f t="shared" si="59"/>
        <v>{cd,3000}</v>
      </c>
      <c r="I328" t="str">
        <f t="shared" si="60"/>
        <v>{hp,984000}</v>
      </c>
      <c r="J328" t="str">
        <f t="shared" si="61"/>
        <v>{atk,465}</v>
      </c>
      <c r="K328" t="str">
        <f t="shared" si="62"/>
        <v>{spd,8500}</v>
      </c>
      <c r="L328" t="str">
        <f t="shared" si="65"/>
        <v/>
      </c>
      <c r="O328" t="str">
        <f t="shared" si="66"/>
        <v>[{cd,3000},{hp,984000},{atk,465},{spd,8500}]</v>
      </c>
    </row>
    <row r="329" spans="1:15">
      <c r="A329">
        <f>Sheet1!E331</f>
        <v>110</v>
      </c>
      <c r="B329">
        <f t="shared" si="63"/>
        <v>66</v>
      </c>
      <c r="C329">
        <v>3000</v>
      </c>
      <c r="D329">
        <f>VLOOKUP(B329,[1]怪物!$N$34:$T$103,2,0)</f>
        <v>12500</v>
      </c>
      <c r="E329">
        <f>VLOOKUP(B329,[1]怪物!$N$34:$T$103,5,0)</f>
        <v>95</v>
      </c>
      <c r="F329" s="1">
        <f t="shared" si="64"/>
        <v>8500</v>
      </c>
      <c r="H329" t="str">
        <f t="shared" si="59"/>
        <v>{cd,3000}</v>
      </c>
      <c r="I329" t="str">
        <f t="shared" si="60"/>
        <v>{hp,12500}</v>
      </c>
      <c r="J329" t="str">
        <f t="shared" si="61"/>
        <v>{atk,95}</v>
      </c>
      <c r="K329" t="str">
        <f t="shared" si="62"/>
        <v>{spd,8500}</v>
      </c>
      <c r="L329" t="str">
        <f t="shared" si="65"/>
        <v/>
      </c>
      <c r="O329" t="str">
        <f t="shared" si="66"/>
        <v>[{cd,3000},{hp,12500},{atk,95},{spd,8500}]</v>
      </c>
    </row>
    <row r="330" spans="1:15">
      <c r="A330">
        <f>Sheet1!E332</f>
        <v>114</v>
      </c>
      <c r="B330">
        <f t="shared" si="63"/>
        <v>66</v>
      </c>
      <c r="C330">
        <v>3000</v>
      </c>
      <c r="D330">
        <f>VLOOKUP(B330,[1]怪物!$N$34:$T$103,3,0)</f>
        <v>15000</v>
      </c>
      <c r="E330">
        <f>VLOOKUP(B330,[1]怪物!$N$34:$T$103,6,0)</f>
        <v>114</v>
      </c>
      <c r="F330" s="1">
        <f t="shared" si="64"/>
        <v>8500</v>
      </c>
      <c r="H330" t="str">
        <f t="shared" si="59"/>
        <v>{cd,3000}</v>
      </c>
      <c r="I330" t="str">
        <f t="shared" si="60"/>
        <v>{hp,15000}</v>
      </c>
      <c r="J330" t="str">
        <f t="shared" si="61"/>
        <v>{atk,114}</v>
      </c>
      <c r="K330" t="str">
        <f t="shared" si="62"/>
        <v>{spd,8500}</v>
      </c>
      <c r="L330" t="str">
        <f t="shared" si="65"/>
        <v/>
      </c>
      <c r="O330" t="str">
        <f t="shared" si="66"/>
        <v>[{cd,3000},{hp,15000},{atk,114},{spd,8500}]</v>
      </c>
    </row>
    <row r="331" spans="1:15">
      <c r="A331">
        <f>Sheet1!E333</f>
        <v>109</v>
      </c>
      <c r="B331">
        <f t="shared" si="63"/>
        <v>66</v>
      </c>
      <c r="C331">
        <v>3000</v>
      </c>
      <c r="D331">
        <f>VLOOKUP(B331,[1]怪物!$N$34:$T$103,4,0)</f>
        <v>18750</v>
      </c>
      <c r="E331">
        <f>VLOOKUP(B331,[1]怪物!$N$34:$T$103,7,0)</f>
        <v>143</v>
      </c>
      <c r="F331" s="1">
        <f t="shared" si="64"/>
        <v>8500</v>
      </c>
      <c r="H331" t="str">
        <f t="shared" si="59"/>
        <v>{cd,3000}</v>
      </c>
      <c r="I331" t="str">
        <f t="shared" si="60"/>
        <v>{hp,18750}</v>
      </c>
      <c r="J331" t="str">
        <f t="shared" si="61"/>
        <v>{atk,143}</v>
      </c>
      <c r="K331" t="str">
        <f t="shared" si="62"/>
        <v>{spd,8500}</v>
      </c>
      <c r="L331" t="str">
        <f t="shared" si="65"/>
        <v/>
      </c>
      <c r="O331" t="str">
        <f t="shared" si="66"/>
        <v>[{cd,3000},{hp,18750},{atk,143},{spd,8500}]</v>
      </c>
    </row>
    <row r="332" spans="1:15">
      <c r="A332">
        <f>Sheet1!E334</f>
        <v>514</v>
      </c>
      <c r="B332">
        <f t="shared" si="63"/>
        <v>66</v>
      </c>
      <c r="C332">
        <v>3000</v>
      </c>
      <c r="D332">
        <f>VLOOKUP(B332,[1]怪物!$U$34:$Y$104,2,0)</f>
        <v>750000</v>
      </c>
      <c r="E332">
        <f>VLOOKUP(B332,[1]怪物!$U$34:$Y$104,4,0)</f>
        <v>238</v>
      </c>
      <c r="F332" s="1">
        <f t="shared" si="64"/>
        <v>8500</v>
      </c>
      <c r="H332" t="str">
        <f t="shared" si="59"/>
        <v>{cd,3000}</v>
      </c>
      <c r="I332" t="str">
        <f t="shared" si="60"/>
        <v>{hp,750000}</v>
      </c>
      <c r="J332" t="str">
        <f t="shared" si="61"/>
        <v>{atk,238}</v>
      </c>
      <c r="K332" t="str">
        <f t="shared" si="62"/>
        <v>{spd,8500}</v>
      </c>
      <c r="L332" t="str">
        <f t="shared" si="65"/>
        <v/>
      </c>
      <c r="O332" t="str">
        <f t="shared" si="66"/>
        <v>[{cd,3000},{hp,750000},{atk,238},{spd,8500}]</v>
      </c>
    </row>
    <row r="333" spans="1:15">
      <c r="A333">
        <f>Sheet1!E335</f>
        <v>514</v>
      </c>
      <c r="B333">
        <f t="shared" si="63"/>
        <v>66</v>
      </c>
      <c r="C333">
        <v>3000</v>
      </c>
      <c r="D333">
        <f>VLOOKUP(B333,[1]怪物!$U$34:$Y$104,3,0)</f>
        <v>1000000</v>
      </c>
      <c r="E333">
        <f>VLOOKUP(B333,[1]怪物!$U$34:$Y$104,5,0)</f>
        <v>475</v>
      </c>
      <c r="F333" s="1">
        <f t="shared" si="64"/>
        <v>8500</v>
      </c>
      <c r="H333" t="str">
        <f t="shared" si="59"/>
        <v>{cd,3000}</v>
      </c>
      <c r="I333" t="str">
        <f t="shared" si="60"/>
        <v>{hp,1000000}</v>
      </c>
      <c r="J333" t="str">
        <f t="shared" si="61"/>
        <v>{atk,475}</v>
      </c>
      <c r="K333" t="str">
        <f t="shared" si="62"/>
        <v>{spd,8500}</v>
      </c>
      <c r="L333" t="str">
        <f t="shared" si="65"/>
        <v/>
      </c>
      <c r="O333" t="str">
        <f t="shared" si="66"/>
        <v>[{cd,3000},{hp,1000000},{atk,475},{spd,8500}]</v>
      </c>
    </row>
    <row r="334" spans="1:15">
      <c r="A334">
        <f>Sheet1!E336</f>
        <v>103</v>
      </c>
      <c r="B334">
        <f t="shared" si="63"/>
        <v>67</v>
      </c>
      <c r="C334">
        <v>3000</v>
      </c>
      <c r="D334">
        <f>VLOOKUP(B334,[1]怪物!$N$34:$T$103,2,0)</f>
        <v>12900</v>
      </c>
      <c r="E334">
        <f>VLOOKUP(B334,[1]怪物!$N$34:$T$103,5,0)</f>
        <v>97</v>
      </c>
      <c r="F334" s="1">
        <f t="shared" si="64"/>
        <v>8500</v>
      </c>
      <c r="H334" t="str">
        <f t="shared" si="59"/>
        <v>{cd,3000}</v>
      </c>
      <c r="I334" t="str">
        <f t="shared" si="60"/>
        <v>{hp,12900}</v>
      </c>
      <c r="J334" t="str">
        <f t="shared" si="61"/>
        <v>{atk,97}</v>
      </c>
      <c r="K334" t="str">
        <f t="shared" si="62"/>
        <v>{spd,8500}</v>
      </c>
      <c r="L334" t="str">
        <f t="shared" si="65"/>
        <v/>
      </c>
      <c r="O334" t="str">
        <f t="shared" si="66"/>
        <v>[{cd,3000},{hp,12900},{atk,97},{spd,8500}]</v>
      </c>
    </row>
    <row r="335" spans="1:15">
      <c r="A335">
        <f>Sheet1!E337</f>
        <v>104</v>
      </c>
      <c r="B335">
        <f t="shared" si="63"/>
        <v>67</v>
      </c>
      <c r="C335">
        <v>3000</v>
      </c>
      <c r="D335">
        <f>VLOOKUP(B335,[1]怪物!$N$34:$T$103,3,0)</f>
        <v>15480</v>
      </c>
      <c r="E335">
        <f>VLOOKUP(B335,[1]怪物!$N$34:$T$103,6,0)</f>
        <v>116</v>
      </c>
      <c r="F335" s="1">
        <f t="shared" si="64"/>
        <v>8500</v>
      </c>
      <c r="H335" t="str">
        <f t="shared" si="59"/>
        <v>{cd,3000}</v>
      </c>
      <c r="I335" t="str">
        <f t="shared" si="60"/>
        <v>{hp,15480}</v>
      </c>
      <c r="J335" t="str">
        <f t="shared" si="61"/>
        <v>{atk,116}</v>
      </c>
      <c r="K335" t="str">
        <f t="shared" si="62"/>
        <v>{spd,8500}</v>
      </c>
      <c r="L335" t="str">
        <f t="shared" si="65"/>
        <v/>
      </c>
      <c r="O335" t="str">
        <f t="shared" si="66"/>
        <v>[{cd,3000},{hp,15480},{atk,116},{spd,8500}]</v>
      </c>
    </row>
    <row r="336" spans="1:15">
      <c r="A336">
        <f>Sheet1!E338</f>
        <v>104</v>
      </c>
      <c r="B336">
        <f t="shared" si="63"/>
        <v>67</v>
      </c>
      <c r="C336">
        <v>3000</v>
      </c>
      <c r="D336">
        <f>VLOOKUP(B336,[1]怪物!$N$34:$T$103,4,0)</f>
        <v>19350</v>
      </c>
      <c r="E336">
        <f>VLOOKUP(B336,[1]怪物!$N$34:$T$103,7,0)</f>
        <v>146</v>
      </c>
      <c r="F336" s="1">
        <f t="shared" si="64"/>
        <v>8500</v>
      </c>
      <c r="H336" t="str">
        <f t="shared" si="59"/>
        <v>{cd,3000}</v>
      </c>
      <c r="I336" t="str">
        <f t="shared" si="60"/>
        <v>{hp,19350}</v>
      </c>
      <c r="J336" t="str">
        <f t="shared" si="61"/>
        <v>{atk,146}</v>
      </c>
      <c r="K336" t="str">
        <f t="shared" si="62"/>
        <v>{spd,8500}</v>
      </c>
      <c r="L336" t="str">
        <f t="shared" si="65"/>
        <v/>
      </c>
      <c r="O336" t="str">
        <f t="shared" si="66"/>
        <v>[{cd,3000},{hp,19350},{atk,146},{spd,8500}]</v>
      </c>
    </row>
    <row r="337" spans="1:15">
      <c r="A337">
        <f>Sheet1!E339</f>
        <v>504</v>
      </c>
      <c r="B337">
        <f t="shared" si="63"/>
        <v>67</v>
      </c>
      <c r="C337">
        <v>3000</v>
      </c>
      <c r="D337">
        <f>VLOOKUP(B337,[1]怪物!$U$34:$Y$104,2,0)</f>
        <v>774000</v>
      </c>
      <c r="E337">
        <f>VLOOKUP(B337,[1]怪物!$U$34:$Y$104,4,0)</f>
        <v>243</v>
      </c>
      <c r="F337" s="1">
        <f t="shared" si="64"/>
        <v>8500</v>
      </c>
      <c r="H337" t="str">
        <f t="shared" si="59"/>
        <v>{cd,3000}</v>
      </c>
      <c r="I337" t="str">
        <f t="shared" si="60"/>
        <v>{hp,774000}</v>
      </c>
      <c r="J337" t="str">
        <f t="shared" si="61"/>
        <v>{atk,243}</v>
      </c>
      <c r="K337" t="str">
        <f t="shared" si="62"/>
        <v>{spd,8500}</v>
      </c>
      <c r="L337" t="str">
        <f t="shared" si="65"/>
        <v/>
      </c>
      <c r="O337" t="str">
        <f t="shared" si="66"/>
        <v>[{cd,3000},{hp,774000},{atk,243},{spd,8500}]</v>
      </c>
    </row>
    <row r="338" spans="1:15">
      <c r="A338">
        <f>Sheet1!E340</f>
        <v>504</v>
      </c>
      <c r="B338">
        <f t="shared" si="63"/>
        <v>67</v>
      </c>
      <c r="C338">
        <v>3000</v>
      </c>
      <c r="D338">
        <f>VLOOKUP(B338,[1]怪物!$U$34:$Y$104,3,0)</f>
        <v>1032000</v>
      </c>
      <c r="E338">
        <f>VLOOKUP(B338,[1]怪物!$U$34:$Y$104,5,0)</f>
        <v>485</v>
      </c>
      <c r="F338" s="1">
        <f t="shared" si="64"/>
        <v>8500</v>
      </c>
      <c r="H338" t="str">
        <f t="shared" si="59"/>
        <v>{cd,3000}</v>
      </c>
      <c r="I338" t="str">
        <f t="shared" si="60"/>
        <v>{hp,1032000}</v>
      </c>
      <c r="J338" t="str">
        <f t="shared" si="61"/>
        <v>{atk,485}</v>
      </c>
      <c r="K338" t="str">
        <f t="shared" si="62"/>
        <v>{spd,8500}</v>
      </c>
      <c r="L338" t="str">
        <f t="shared" si="65"/>
        <v/>
      </c>
      <c r="O338" t="str">
        <f t="shared" si="66"/>
        <v>[{cd,3000},{hp,1032000},{atk,485},{spd,8500}]</v>
      </c>
    </row>
    <row r="339" spans="1:15">
      <c r="A339">
        <f>Sheet1!E341</f>
        <v>103</v>
      </c>
      <c r="B339">
        <f t="shared" si="63"/>
        <v>68</v>
      </c>
      <c r="C339">
        <v>3000</v>
      </c>
      <c r="D339">
        <f>VLOOKUP(B339,[1]怪物!$N$34:$T$103,2,0)</f>
        <v>13500</v>
      </c>
      <c r="E339">
        <f>VLOOKUP(B339,[1]怪物!$N$34:$T$103,5,0)</f>
        <v>99</v>
      </c>
      <c r="F339" s="1">
        <f t="shared" si="64"/>
        <v>8500</v>
      </c>
      <c r="H339" t="str">
        <f t="shared" si="59"/>
        <v>{cd,3000}</v>
      </c>
      <c r="I339" t="str">
        <f t="shared" si="60"/>
        <v>{hp,13500}</v>
      </c>
      <c r="J339" t="str">
        <f t="shared" si="61"/>
        <v>{atk,99}</v>
      </c>
      <c r="K339" t="str">
        <f t="shared" si="62"/>
        <v>{spd,8500}</v>
      </c>
      <c r="L339" t="str">
        <f t="shared" si="65"/>
        <v/>
      </c>
      <c r="O339" t="str">
        <f t="shared" si="66"/>
        <v>[{cd,3000},{hp,13500},{atk,99},{spd,8500}]</v>
      </c>
    </row>
    <row r="340" spans="1:15">
      <c r="A340">
        <f>Sheet1!E342</f>
        <v>107</v>
      </c>
      <c r="B340">
        <f t="shared" si="63"/>
        <v>68</v>
      </c>
      <c r="C340">
        <v>3000</v>
      </c>
      <c r="D340">
        <f>VLOOKUP(B340,[1]怪物!$N$34:$T$103,3,0)</f>
        <v>16200</v>
      </c>
      <c r="E340">
        <f>VLOOKUP(B340,[1]怪物!$N$34:$T$103,6,0)</f>
        <v>119</v>
      </c>
      <c r="F340" s="1">
        <f t="shared" si="64"/>
        <v>8500</v>
      </c>
      <c r="H340" t="str">
        <f t="shared" si="59"/>
        <v>{cd,3000}</v>
      </c>
      <c r="I340" t="str">
        <f t="shared" si="60"/>
        <v>{hp,16200}</v>
      </c>
      <c r="J340" t="str">
        <f t="shared" si="61"/>
        <v>{atk,119}</v>
      </c>
      <c r="K340" t="str">
        <f t="shared" si="62"/>
        <v>{spd,8500}</v>
      </c>
      <c r="L340" t="str">
        <f t="shared" si="65"/>
        <v/>
      </c>
      <c r="O340" t="str">
        <f t="shared" si="66"/>
        <v>[{cd,3000},{hp,16200},{atk,119},{spd,8500}]</v>
      </c>
    </row>
    <row r="341" spans="1:15">
      <c r="A341">
        <f>Sheet1!E343</f>
        <v>106</v>
      </c>
      <c r="B341">
        <f t="shared" si="63"/>
        <v>68</v>
      </c>
      <c r="C341">
        <v>3000</v>
      </c>
      <c r="D341">
        <f>VLOOKUP(B341,[1]怪物!$N$34:$T$103,4,0)</f>
        <v>20250</v>
      </c>
      <c r="E341">
        <f>VLOOKUP(B341,[1]怪物!$N$34:$T$103,7,0)</f>
        <v>149</v>
      </c>
      <c r="F341" s="1">
        <f t="shared" si="64"/>
        <v>8500</v>
      </c>
      <c r="H341" t="str">
        <f t="shared" si="59"/>
        <v>{cd,3000}</v>
      </c>
      <c r="I341" t="str">
        <f t="shared" si="60"/>
        <v>{hp,20250}</v>
      </c>
      <c r="J341" t="str">
        <f t="shared" si="61"/>
        <v>{atk,149}</v>
      </c>
      <c r="K341" t="str">
        <f t="shared" si="62"/>
        <v>{spd,8500}</v>
      </c>
      <c r="L341" t="str">
        <f t="shared" si="65"/>
        <v/>
      </c>
      <c r="O341" t="str">
        <f t="shared" si="66"/>
        <v>[{cd,3000},{hp,20250},{atk,149},{spd,8500}]</v>
      </c>
    </row>
    <row r="342" spans="1:15">
      <c r="A342">
        <f>Sheet1!E344</f>
        <v>506</v>
      </c>
      <c r="B342">
        <f t="shared" si="63"/>
        <v>68</v>
      </c>
      <c r="C342">
        <v>3000</v>
      </c>
      <c r="D342">
        <f>VLOOKUP(B342,[1]怪物!$U$34:$Y$104,2,0)</f>
        <v>810000</v>
      </c>
      <c r="E342">
        <f>VLOOKUP(B342,[1]怪物!$U$34:$Y$104,4,0)</f>
        <v>248</v>
      </c>
      <c r="F342" s="1">
        <f t="shared" si="64"/>
        <v>8500</v>
      </c>
      <c r="H342" t="str">
        <f t="shared" si="59"/>
        <v>{cd,3000}</v>
      </c>
      <c r="I342" t="str">
        <f t="shared" si="60"/>
        <v>{hp,810000}</v>
      </c>
      <c r="J342" t="str">
        <f t="shared" si="61"/>
        <v>{atk,248}</v>
      </c>
      <c r="K342" t="str">
        <f t="shared" si="62"/>
        <v>{spd,8500}</v>
      </c>
      <c r="L342" t="str">
        <f t="shared" si="65"/>
        <v/>
      </c>
      <c r="O342" t="str">
        <f t="shared" si="66"/>
        <v>[{cd,3000},{hp,810000},{atk,248},{spd,8500}]</v>
      </c>
    </row>
    <row r="343" spans="1:15">
      <c r="A343">
        <f>Sheet1!E345</f>
        <v>506</v>
      </c>
      <c r="B343">
        <f t="shared" si="63"/>
        <v>68</v>
      </c>
      <c r="C343">
        <v>3000</v>
      </c>
      <c r="D343">
        <f>VLOOKUP(B343,[1]怪物!$U$34:$Y$104,3,0)</f>
        <v>1080000</v>
      </c>
      <c r="E343">
        <f>VLOOKUP(B343,[1]怪物!$U$34:$Y$104,5,0)</f>
        <v>495</v>
      </c>
      <c r="F343" s="1">
        <f t="shared" si="64"/>
        <v>8500</v>
      </c>
      <c r="H343" t="str">
        <f t="shared" si="59"/>
        <v>{cd,3000}</v>
      </c>
      <c r="I343" t="str">
        <f t="shared" si="60"/>
        <v>{hp,1080000}</v>
      </c>
      <c r="J343" t="str">
        <f t="shared" si="61"/>
        <v>{atk,495}</v>
      </c>
      <c r="K343" t="str">
        <f t="shared" si="62"/>
        <v>{spd,8500}</v>
      </c>
      <c r="L343" t="str">
        <f t="shared" si="65"/>
        <v/>
      </c>
      <c r="O343" t="str">
        <f t="shared" si="66"/>
        <v>[{cd,3000},{hp,1080000},{atk,495},{spd,8500}]</v>
      </c>
    </row>
    <row r="344" spans="1:15">
      <c r="A344">
        <f>Sheet1!E346</f>
        <v>108</v>
      </c>
      <c r="B344">
        <f t="shared" si="63"/>
        <v>69</v>
      </c>
      <c r="C344">
        <v>3000</v>
      </c>
      <c r="D344">
        <f>VLOOKUP(B344,[1]怪物!$N$34:$T$103,2,0)</f>
        <v>14300</v>
      </c>
      <c r="E344">
        <f>VLOOKUP(B344,[1]怪物!$N$34:$T$103,5,0)</f>
        <v>101</v>
      </c>
      <c r="F344" s="1">
        <f t="shared" si="64"/>
        <v>8500</v>
      </c>
      <c r="H344" t="str">
        <f t="shared" si="59"/>
        <v>{cd,3000}</v>
      </c>
      <c r="I344" t="str">
        <f t="shared" si="60"/>
        <v>{hp,14300}</v>
      </c>
      <c r="J344" t="str">
        <f t="shared" si="61"/>
        <v>{atk,101}</v>
      </c>
      <c r="K344" t="str">
        <f t="shared" si="62"/>
        <v>{spd,8500}</v>
      </c>
      <c r="L344" t="str">
        <f t="shared" si="65"/>
        <v/>
      </c>
      <c r="O344" t="str">
        <f t="shared" si="66"/>
        <v>[{cd,3000},{hp,14300},{atk,101},{spd,8500}]</v>
      </c>
    </row>
    <row r="345" spans="1:15">
      <c r="A345">
        <f>Sheet1!E347</f>
        <v>109</v>
      </c>
      <c r="B345">
        <f t="shared" si="63"/>
        <v>69</v>
      </c>
      <c r="C345">
        <v>3000</v>
      </c>
      <c r="D345">
        <f>VLOOKUP(B345,[1]怪物!$N$34:$T$103,3,0)</f>
        <v>17160</v>
      </c>
      <c r="E345">
        <f>VLOOKUP(B345,[1]怪物!$N$34:$T$103,6,0)</f>
        <v>121</v>
      </c>
      <c r="F345" s="1">
        <f t="shared" si="64"/>
        <v>8500</v>
      </c>
      <c r="H345" t="str">
        <f t="shared" si="59"/>
        <v>{cd,3000}</v>
      </c>
      <c r="I345" t="str">
        <f t="shared" si="60"/>
        <v>{hp,17160}</v>
      </c>
      <c r="J345" t="str">
        <f t="shared" si="61"/>
        <v>{atk,121}</v>
      </c>
      <c r="K345" t="str">
        <f t="shared" si="62"/>
        <v>{spd,8500}</v>
      </c>
      <c r="L345" t="str">
        <f t="shared" si="65"/>
        <v/>
      </c>
      <c r="O345" t="str">
        <f t="shared" si="66"/>
        <v>[{cd,3000},{hp,17160},{atk,121},{spd,8500}]</v>
      </c>
    </row>
    <row r="346" spans="1:15">
      <c r="A346">
        <f>Sheet1!E348</f>
        <v>109</v>
      </c>
      <c r="B346">
        <f t="shared" si="63"/>
        <v>69</v>
      </c>
      <c r="C346">
        <v>3000</v>
      </c>
      <c r="D346">
        <f>VLOOKUP(B346,[1]怪物!$N$34:$T$103,4,0)</f>
        <v>21450</v>
      </c>
      <c r="E346">
        <f>VLOOKUP(B346,[1]怪物!$N$34:$T$103,7,0)</f>
        <v>152</v>
      </c>
      <c r="F346" s="1">
        <f t="shared" si="64"/>
        <v>8500</v>
      </c>
      <c r="H346" t="str">
        <f t="shared" si="59"/>
        <v>{cd,3000}</v>
      </c>
      <c r="I346" t="str">
        <f t="shared" si="60"/>
        <v>{hp,21450}</v>
      </c>
      <c r="J346" t="str">
        <f t="shared" si="61"/>
        <v>{atk,152}</v>
      </c>
      <c r="K346" t="str">
        <f t="shared" si="62"/>
        <v>{spd,8500}</v>
      </c>
      <c r="L346" t="str">
        <f t="shared" si="65"/>
        <v/>
      </c>
      <c r="O346" t="str">
        <f t="shared" si="66"/>
        <v>[{cd,3000},{hp,21450},{atk,152},{spd,8500}]</v>
      </c>
    </row>
    <row r="347" spans="1:15">
      <c r="A347">
        <f>Sheet1!E349</f>
        <v>508</v>
      </c>
      <c r="B347">
        <f t="shared" si="63"/>
        <v>69</v>
      </c>
      <c r="C347">
        <v>3000</v>
      </c>
      <c r="D347">
        <f>VLOOKUP(B347,[1]怪物!$U$34:$Y$104,2,0)</f>
        <v>858000</v>
      </c>
      <c r="E347">
        <f>VLOOKUP(B347,[1]怪物!$U$34:$Y$104,4,0)</f>
        <v>253</v>
      </c>
      <c r="F347" s="1">
        <f t="shared" si="64"/>
        <v>8500</v>
      </c>
      <c r="H347" t="str">
        <f t="shared" si="59"/>
        <v>{cd,3000}</v>
      </c>
      <c r="I347" t="str">
        <f t="shared" si="60"/>
        <v>{hp,858000}</v>
      </c>
      <c r="J347" t="str">
        <f t="shared" si="61"/>
        <v>{atk,253}</v>
      </c>
      <c r="K347" t="str">
        <f t="shared" si="62"/>
        <v>{spd,8500}</v>
      </c>
      <c r="L347" t="str">
        <f t="shared" si="65"/>
        <v/>
      </c>
      <c r="O347" t="str">
        <f t="shared" si="66"/>
        <v>[{cd,3000},{hp,858000},{atk,253},{spd,8500}]</v>
      </c>
    </row>
    <row r="348" spans="1:15">
      <c r="A348">
        <f>Sheet1!E350</f>
        <v>508</v>
      </c>
      <c r="B348">
        <f t="shared" si="63"/>
        <v>69</v>
      </c>
      <c r="C348">
        <v>3000</v>
      </c>
      <c r="D348">
        <f>VLOOKUP(B348,[1]怪物!$U$34:$Y$104,3,0)</f>
        <v>1144000</v>
      </c>
      <c r="E348">
        <f>VLOOKUP(B348,[1]怪物!$U$34:$Y$104,5,0)</f>
        <v>505</v>
      </c>
      <c r="F348" s="1">
        <f t="shared" si="64"/>
        <v>8500</v>
      </c>
      <c r="H348" t="str">
        <f t="shared" si="59"/>
        <v>{cd,3000}</v>
      </c>
      <c r="I348" t="str">
        <f t="shared" si="60"/>
        <v>{hp,1144000}</v>
      </c>
      <c r="J348" t="str">
        <f t="shared" si="61"/>
        <v>{atk,505}</v>
      </c>
      <c r="K348" t="str">
        <f t="shared" si="62"/>
        <v>{spd,8500}</v>
      </c>
      <c r="L348" t="str">
        <f t="shared" si="65"/>
        <v/>
      </c>
      <c r="O348" t="str">
        <f t="shared" si="66"/>
        <v>[{cd,3000},{hp,1144000},{atk,505},{spd,8500}]</v>
      </c>
    </row>
    <row r="349" spans="1:15">
      <c r="A349">
        <f>Sheet1!E351</f>
        <v>100</v>
      </c>
      <c r="B349">
        <f t="shared" si="63"/>
        <v>70</v>
      </c>
      <c r="C349">
        <v>3000</v>
      </c>
      <c r="D349">
        <f>VLOOKUP(B349,[1]怪物!$N$34:$T$113,2,0)</f>
        <v>15000</v>
      </c>
      <c r="E349">
        <f>VLOOKUP(B349,[1]怪物!$N$34:$T$113,5,0)</f>
        <v>110</v>
      </c>
      <c r="F349" s="1">
        <f t="shared" si="64"/>
        <v>8500</v>
      </c>
      <c r="H349" t="str">
        <f t="shared" si="59"/>
        <v>{cd,3000}</v>
      </c>
      <c r="I349" t="str">
        <f t="shared" si="60"/>
        <v>{hp,15000}</v>
      </c>
      <c r="J349" t="str">
        <f t="shared" si="61"/>
        <v>{atk,110}</v>
      </c>
      <c r="K349" t="str">
        <f t="shared" si="62"/>
        <v>{spd,8500}</v>
      </c>
      <c r="L349" t="str">
        <f t="shared" si="65"/>
        <v/>
      </c>
      <c r="O349" t="str">
        <f t="shared" si="66"/>
        <v>[{cd,3000},{hp,15000},{atk,110},{spd,8500}]</v>
      </c>
    </row>
    <row r="350" spans="1:15">
      <c r="A350">
        <f>Sheet1!E352</f>
        <v>102</v>
      </c>
      <c r="B350">
        <f t="shared" si="63"/>
        <v>70</v>
      </c>
      <c r="C350">
        <v>3000</v>
      </c>
      <c r="D350">
        <f>VLOOKUP(B350,[1]怪物!$N$34:$T$113,3,0)</f>
        <v>18000</v>
      </c>
      <c r="E350">
        <f>VLOOKUP(B350,[1]怪物!$N$34:$T$113,6,0)</f>
        <v>132</v>
      </c>
      <c r="F350" s="1">
        <f t="shared" si="64"/>
        <v>8500</v>
      </c>
      <c r="H350" t="str">
        <f t="shared" si="59"/>
        <v>{cd,3000}</v>
      </c>
      <c r="I350" t="str">
        <f t="shared" si="60"/>
        <v>{hp,18000}</v>
      </c>
      <c r="J350" t="str">
        <f t="shared" si="61"/>
        <v>{atk,132}</v>
      </c>
      <c r="K350" t="str">
        <f t="shared" si="62"/>
        <v>{spd,8500}</v>
      </c>
      <c r="L350" t="str">
        <f t="shared" si="65"/>
        <v/>
      </c>
      <c r="O350" t="str">
        <f t="shared" si="66"/>
        <v>[{cd,3000},{hp,18000},{atk,132},{spd,8500}]</v>
      </c>
    </row>
    <row r="351" spans="1:15">
      <c r="A351">
        <f>Sheet1!E353</f>
        <v>105</v>
      </c>
      <c r="B351">
        <f t="shared" si="63"/>
        <v>70</v>
      </c>
      <c r="C351">
        <v>3000</v>
      </c>
      <c r="D351">
        <f>VLOOKUP(B351,[1]怪物!$N$34:$T$113,4,0)</f>
        <v>22500</v>
      </c>
      <c r="E351">
        <f>VLOOKUP(B351,[1]怪物!$N$34:$T$113,7,0)</f>
        <v>165</v>
      </c>
      <c r="F351" s="1">
        <f t="shared" si="64"/>
        <v>8500</v>
      </c>
      <c r="H351" t="str">
        <f t="shared" si="59"/>
        <v>{cd,3000}</v>
      </c>
      <c r="I351" t="str">
        <f t="shared" si="60"/>
        <v>{hp,22500}</v>
      </c>
      <c r="J351" t="str">
        <f t="shared" si="61"/>
        <v>{atk,165}</v>
      </c>
      <c r="K351" t="str">
        <f t="shared" si="62"/>
        <v>{spd,8500}</v>
      </c>
      <c r="L351" t="str">
        <f t="shared" si="65"/>
        <v/>
      </c>
      <c r="O351" t="str">
        <f t="shared" si="66"/>
        <v>[{cd,3000},{hp,22500},{atk,165},{spd,8500}]</v>
      </c>
    </row>
    <row r="352" spans="1:15">
      <c r="A352">
        <f>Sheet1!E354</f>
        <v>502</v>
      </c>
      <c r="B352">
        <f t="shared" si="63"/>
        <v>70</v>
      </c>
      <c r="C352">
        <v>3000</v>
      </c>
      <c r="D352">
        <f>VLOOKUP(B352,[1]怪物!$U$34:$Y$114,2,0)</f>
        <v>900000</v>
      </c>
      <c r="E352">
        <f>VLOOKUP(B352,[1]怪物!$U$34:$Y$114,4,0)</f>
        <v>275</v>
      </c>
      <c r="F352" s="1">
        <f t="shared" si="64"/>
        <v>8500</v>
      </c>
      <c r="H352" t="str">
        <f t="shared" si="59"/>
        <v>{cd,3000}</v>
      </c>
      <c r="I352" t="str">
        <f t="shared" si="60"/>
        <v>{hp,900000}</v>
      </c>
      <c r="J352" t="str">
        <f t="shared" si="61"/>
        <v>{atk,275}</v>
      </c>
      <c r="K352" t="str">
        <f t="shared" si="62"/>
        <v>{spd,8500}</v>
      </c>
      <c r="L352" t="str">
        <f t="shared" si="65"/>
        <v/>
      </c>
      <c r="O352" t="str">
        <f t="shared" si="66"/>
        <v>[{cd,3000},{hp,900000},{atk,275},{spd,8500}]</v>
      </c>
    </row>
    <row r="353" spans="1:15">
      <c r="A353">
        <f>Sheet1!E355</f>
        <v>500</v>
      </c>
      <c r="B353">
        <f t="shared" si="63"/>
        <v>70</v>
      </c>
      <c r="C353">
        <v>3000</v>
      </c>
      <c r="D353">
        <f>VLOOKUP(B353,[1]怪物!$U$34:$Y$114,3,0)</f>
        <v>1200000</v>
      </c>
      <c r="E353">
        <f>VLOOKUP(B353,[1]怪物!$U$34:$Y$114,5,0)</f>
        <v>550</v>
      </c>
      <c r="F353" s="1">
        <f t="shared" si="64"/>
        <v>8500</v>
      </c>
      <c r="H353" t="str">
        <f t="shared" si="59"/>
        <v>{cd,3000}</v>
      </c>
      <c r="I353" t="str">
        <f t="shared" si="60"/>
        <v>{hp,1200000}</v>
      </c>
      <c r="J353" t="str">
        <f t="shared" si="61"/>
        <v>{atk,550}</v>
      </c>
      <c r="K353" t="str">
        <f t="shared" si="62"/>
        <v>{spd,8500}</v>
      </c>
      <c r="L353" t="str">
        <f t="shared" si="65"/>
        <v/>
      </c>
      <c r="O353" t="str">
        <f t="shared" si="66"/>
        <v>[{cd,3000},{hp,1200000},{atk,550},{spd,8500}]</v>
      </c>
    </row>
    <row r="354" spans="1:15">
      <c r="A354">
        <f>Sheet1!E356</f>
        <v>111</v>
      </c>
      <c r="B354">
        <f t="shared" si="63"/>
        <v>71</v>
      </c>
      <c r="C354">
        <v>3000</v>
      </c>
      <c r="D354">
        <f>VLOOKUP(B354,[1]怪物!$N$34:$T$113,2,0)</f>
        <v>14500</v>
      </c>
      <c r="E354">
        <f>VLOOKUP(B354,[1]怪物!$N$34:$T$113,5,0)</f>
        <v>103</v>
      </c>
      <c r="F354" s="1">
        <f t="shared" si="64"/>
        <v>8500</v>
      </c>
      <c r="H354" t="str">
        <f t="shared" ref="H354:H378" si="67">$C$2&amp;C$3&amp;$D$2&amp;C354&amp;$E$2</f>
        <v>{cd,3000}</v>
      </c>
      <c r="I354" t="str">
        <f t="shared" ref="I354:I378" si="68">$C$2&amp;D$3&amp;$D$2&amp;D354&amp;$E$2</f>
        <v>{hp,14500}</v>
      </c>
      <c r="J354" t="str">
        <f t="shared" ref="J354:J378" si="69">$C$2&amp;E$3&amp;$D$2&amp;E354&amp;$E$2</f>
        <v>{atk,103}</v>
      </c>
      <c r="K354" t="str">
        <f t="shared" ref="K354:K378" si="70">$C$2&amp;F$3&amp;$D$2&amp;F354&amp;$E$2</f>
        <v>{spd,8500}</v>
      </c>
      <c r="L354" t="str">
        <f t="shared" si="65"/>
        <v/>
      </c>
      <c r="O354" t="str">
        <f t="shared" si="66"/>
        <v>[{cd,3000},{hp,14500},{atk,103},{spd,8500}]</v>
      </c>
    </row>
    <row r="355" spans="1:15">
      <c r="A355">
        <f>Sheet1!E357</f>
        <v>112</v>
      </c>
      <c r="B355">
        <f t="shared" si="63"/>
        <v>71</v>
      </c>
      <c r="C355">
        <v>3000</v>
      </c>
      <c r="D355">
        <f>VLOOKUP(B355,[1]怪物!$N$34:$T$113,3,0)</f>
        <v>17400</v>
      </c>
      <c r="E355">
        <f>VLOOKUP(B355,[1]怪物!$N$34:$T$113,6,0)</f>
        <v>124</v>
      </c>
      <c r="F355" s="1">
        <f t="shared" si="64"/>
        <v>8500</v>
      </c>
      <c r="H355" t="str">
        <f t="shared" si="67"/>
        <v>{cd,3000}</v>
      </c>
      <c r="I355" t="str">
        <f t="shared" si="68"/>
        <v>{hp,17400}</v>
      </c>
      <c r="J355" t="str">
        <f t="shared" si="69"/>
        <v>{atk,124}</v>
      </c>
      <c r="K355" t="str">
        <f t="shared" si="70"/>
        <v>{spd,8500}</v>
      </c>
      <c r="L355" t="str">
        <f t="shared" si="65"/>
        <v/>
      </c>
      <c r="O355" t="str">
        <f t="shared" si="66"/>
        <v>[{cd,3000},{hp,17400},{atk,124},{spd,8500}]</v>
      </c>
    </row>
    <row r="356" spans="1:15">
      <c r="A356">
        <f>Sheet1!E358</f>
        <v>113</v>
      </c>
      <c r="B356">
        <f t="shared" si="63"/>
        <v>71</v>
      </c>
      <c r="C356">
        <v>3000</v>
      </c>
      <c r="D356">
        <f>VLOOKUP(B356,[1]怪物!$N$34:$T$113,4,0)</f>
        <v>21750</v>
      </c>
      <c r="E356">
        <f>VLOOKUP(B356,[1]怪物!$N$34:$T$113,7,0)</f>
        <v>155</v>
      </c>
      <c r="F356" s="1">
        <f t="shared" si="64"/>
        <v>8500</v>
      </c>
      <c r="H356" t="str">
        <f t="shared" si="67"/>
        <v>{cd,3000}</v>
      </c>
      <c r="I356" t="str">
        <f t="shared" si="68"/>
        <v>{hp,21750}</v>
      </c>
      <c r="J356" t="str">
        <f t="shared" si="69"/>
        <v>{atk,155}</v>
      </c>
      <c r="K356" t="str">
        <f t="shared" si="70"/>
        <v>{spd,8500}</v>
      </c>
      <c r="L356" t="str">
        <f t="shared" si="65"/>
        <v/>
      </c>
      <c r="O356" t="str">
        <f t="shared" si="66"/>
        <v>[{cd,3000},{hp,21750},{atk,155},{spd,8500}]</v>
      </c>
    </row>
    <row r="357" spans="1:15">
      <c r="A357">
        <f>Sheet1!E359</f>
        <v>511</v>
      </c>
      <c r="B357">
        <f t="shared" si="63"/>
        <v>71</v>
      </c>
      <c r="C357">
        <v>3000</v>
      </c>
      <c r="D357">
        <f>VLOOKUP(B357,[1]怪物!$U$34:$Y$114,2,0)</f>
        <v>870000</v>
      </c>
      <c r="E357">
        <f>VLOOKUP(B357,[1]怪物!$U$34:$Y$114,4,0)</f>
        <v>258</v>
      </c>
      <c r="F357" s="1">
        <f t="shared" si="64"/>
        <v>8500</v>
      </c>
      <c r="H357" t="str">
        <f t="shared" si="67"/>
        <v>{cd,3000}</v>
      </c>
      <c r="I357" t="str">
        <f t="shared" si="68"/>
        <v>{hp,870000}</v>
      </c>
      <c r="J357" t="str">
        <f t="shared" si="69"/>
        <v>{atk,258}</v>
      </c>
      <c r="K357" t="str">
        <f t="shared" si="70"/>
        <v>{spd,8500}</v>
      </c>
      <c r="L357" t="str">
        <f t="shared" si="65"/>
        <v/>
      </c>
      <c r="O357" t="str">
        <f t="shared" si="66"/>
        <v>[{cd,3000},{hp,870000},{atk,258},{spd,8500}]</v>
      </c>
    </row>
    <row r="358" spans="1:15">
      <c r="A358">
        <f>Sheet1!E360</f>
        <v>511</v>
      </c>
      <c r="B358">
        <f t="shared" si="63"/>
        <v>71</v>
      </c>
      <c r="C358">
        <v>3000</v>
      </c>
      <c r="D358">
        <f>VLOOKUP(B358,[1]怪物!$U$34:$Y$114,3,0)</f>
        <v>1160000</v>
      </c>
      <c r="E358">
        <f>VLOOKUP(B358,[1]怪物!$U$34:$Y$114,5,0)</f>
        <v>515</v>
      </c>
      <c r="F358" s="1">
        <f t="shared" si="64"/>
        <v>8500</v>
      </c>
      <c r="H358" t="str">
        <f t="shared" si="67"/>
        <v>{cd,3000}</v>
      </c>
      <c r="I358" t="str">
        <f t="shared" si="68"/>
        <v>{hp,1160000}</v>
      </c>
      <c r="J358" t="str">
        <f t="shared" si="69"/>
        <v>{atk,515}</v>
      </c>
      <c r="K358" t="str">
        <f t="shared" si="70"/>
        <v>{spd,8500}</v>
      </c>
      <c r="L358" t="str">
        <f t="shared" si="65"/>
        <v/>
      </c>
      <c r="O358" t="str">
        <f t="shared" si="66"/>
        <v>[{cd,3000},{hp,1160000},{atk,515},{spd,8500}]</v>
      </c>
    </row>
    <row r="359" spans="1:15">
      <c r="A359">
        <f>Sheet1!E361</f>
        <v>111</v>
      </c>
      <c r="B359">
        <f t="shared" si="63"/>
        <v>72</v>
      </c>
      <c r="C359">
        <v>3000</v>
      </c>
      <c r="D359">
        <f>VLOOKUP(B359,[1]怪物!$N$34:$T$113,2,0)</f>
        <v>14900</v>
      </c>
      <c r="E359">
        <f>VLOOKUP(B359,[1]怪物!$N$34:$T$113,5,0)</f>
        <v>105</v>
      </c>
      <c r="F359" s="1">
        <f t="shared" si="64"/>
        <v>8500</v>
      </c>
      <c r="H359" t="str">
        <f t="shared" si="67"/>
        <v>{cd,3000}</v>
      </c>
      <c r="I359" t="str">
        <f t="shared" si="68"/>
        <v>{hp,14900}</v>
      </c>
      <c r="J359" t="str">
        <f t="shared" si="69"/>
        <v>{atk,105}</v>
      </c>
      <c r="K359" t="str">
        <f t="shared" si="70"/>
        <v>{spd,8500}</v>
      </c>
      <c r="L359" t="str">
        <f t="shared" si="65"/>
        <v/>
      </c>
      <c r="O359" t="str">
        <f t="shared" si="66"/>
        <v>[{cd,3000},{hp,14900},{atk,105},{spd,8500}]</v>
      </c>
    </row>
    <row r="360" spans="1:15">
      <c r="A360">
        <f>Sheet1!E362</f>
        <v>112</v>
      </c>
      <c r="B360">
        <f t="shared" si="63"/>
        <v>72</v>
      </c>
      <c r="C360">
        <v>3000</v>
      </c>
      <c r="D360">
        <f>VLOOKUP(B360,[1]怪物!$N$34:$T$113,3,0)</f>
        <v>17880</v>
      </c>
      <c r="E360">
        <f>VLOOKUP(B360,[1]怪物!$N$34:$T$113,6,0)</f>
        <v>126</v>
      </c>
      <c r="F360" s="1">
        <f t="shared" si="64"/>
        <v>8500</v>
      </c>
      <c r="H360" t="str">
        <f t="shared" si="67"/>
        <v>{cd,3000}</v>
      </c>
      <c r="I360" t="str">
        <f t="shared" si="68"/>
        <v>{hp,17880}</v>
      </c>
      <c r="J360" t="str">
        <f t="shared" si="69"/>
        <v>{atk,126}</v>
      </c>
      <c r="K360" t="str">
        <f t="shared" si="70"/>
        <v>{spd,8500}</v>
      </c>
      <c r="L360" t="str">
        <f t="shared" si="65"/>
        <v/>
      </c>
      <c r="O360" t="str">
        <f t="shared" si="66"/>
        <v>[{cd,3000},{hp,17880},{atk,126},{spd,8500}]</v>
      </c>
    </row>
    <row r="361" spans="1:15">
      <c r="A361">
        <f>Sheet1!E363</f>
        <v>115</v>
      </c>
      <c r="B361">
        <f t="shared" si="63"/>
        <v>72</v>
      </c>
      <c r="C361">
        <v>3000</v>
      </c>
      <c r="D361">
        <f>VLOOKUP(B361,[1]怪物!$N$34:$T$113,4,0)</f>
        <v>22350</v>
      </c>
      <c r="E361">
        <f>VLOOKUP(B361,[1]怪物!$N$34:$T$113,7,0)</f>
        <v>158</v>
      </c>
      <c r="F361" s="1">
        <f t="shared" si="64"/>
        <v>8500</v>
      </c>
      <c r="H361" t="str">
        <f t="shared" si="67"/>
        <v>{cd,3000}</v>
      </c>
      <c r="I361" t="str">
        <f t="shared" si="68"/>
        <v>{hp,22350}</v>
      </c>
      <c r="J361" t="str">
        <f t="shared" si="69"/>
        <v>{atk,158}</v>
      </c>
      <c r="K361" t="str">
        <f t="shared" si="70"/>
        <v>{spd,8500}</v>
      </c>
      <c r="L361" t="str">
        <f t="shared" si="65"/>
        <v/>
      </c>
      <c r="O361" t="str">
        <f t="shared" si="66"/>
        <v>[{cd,3000},{hp,22350},{atk,158},{spd,8500}]</v>
      </c>
    </row>
    <row r="362" spans="1:15">
      <c r="A362">
        <f>Sheet1!E364</f>
        <v>512</v>
      </c>
      <c r="B362">
        <f t="shared" si="63"/>
        <v>72</v>
      </c>
      <c r="C362">
        <v>3000</v>
      </c>
      <c r="D362">
        <f>VLOOKUP(B362,[1]怪物!$U$34:$Y$114,2,0)</f>
        <v>894000</v>
      </c>
      <c r="E362">
        <f>VLOOKUP(B362,[1]怪物!$U$34:$Y$114,4,0)</f>
        <v>263</v>
      </c>
      <c r="F362" s="1">
        <f t="shared" si="64"/>
        <v>8500</v>
      </c>
      <c r="H362" t="str">
        <f t="shared" si="67"/>
        <v>{cd,3000}</v>
      </c>
      <c r="I362" t="str">
        <f t="shared" si="68"/>
        <v>{hp,894000}</v>
      </c>
      <c r="J362" t="str">
        <f t="shared" si="69"/>
        <v>{atk,263}</v>
      </c>
      <c r="K362" t="str">
        <f t="shared" si="70"/>
        <v>{spd,8500}</v>
      </c>
      <c r="L362" t="str">
        <f t="shared" si="65"/>
        <v/>
      </c>
      <c r="O362" t="str">
        <f t="shared" si="66"/>
        <v>[{cd,3000},{hp,894000},{atk,263},{spd,8500}]</v>
      </c>
    </row>
    <row r="363" spans="1:15">
      <c r="A363">
        <f>Sheet1!E365</f>
        <v>512</v>
      </c>
      <c r="B363">
        <f t="shared" si="63"/>
        <v>72</v>
      </c>
      <c r="C363">
        <v>3000</v>
      </c>
      <c r="D363">
        <f>VLOOKUP(B363,[1]怪物!$U$34:$Y$114,3,0)</f>
        <v>1192000</v>
      </c>
      <c r="E363">
        <f>VLOOKUP(B363,[1]怪物!$U$34:$Y$114,5,0)</f>
        <v>525</v>
      </c>
      <c r="F363" s="1">
        <f t="shared" si="64"/>
        <v>8500</v>
      </c>
      <c r="H363" t="str">
        <f t="shared" si="67"/>
        <v>{cd,3000}</v>
      </c>
      <c r="I363" t="str">
        <f t="shared" si="68"/>
        <v>{hp,1192000}</v>
      </c>
      <c r="J363" t="str">
        <f t="shared" si="69"/>
        <v>{atk,525}</v>
      </c>
      <c r="K363" t="str">
        <f t="shared" si="70"/>
        <v>{spd,8500}</v>
      </c>
      <c r="L363" t="str">
        <f t="shared" si="65"/>
        <v/>
      </c>
      <c r="O363" t="str">
        <f t="shared" si="66"/>
        <v>[{cd,3000},{hp,1192000},{atk,525},{spd,8500}]</v>
      </c>
    </row>
    <row r="364" spans="1:15">
      <c r="A364">
        <f>Sheet1!E366</f>
        <v>101</v>
      </c>
      <c r="B364">
        <f t="shared" si="63"/>
        <v>73</v>
      </c>
      <c r="C364">
        <v>3000</v>
      </c>
      <c r="D364">
        <f>VLOOKUP(B364,[1]怪物!$N$34:$T$113,2,0)</f>
        <v>15500</v>
      </c>
      <c r="E364">
        <f>VLOOKUP(B364,[1]怪物!$N$34:$T$113,5,0)</f>
        <v>107</v>
      </c>
      <c r="F364" s="1">
        <f t="shared" si="64"/>
        <v>8500</v>
      </c>
      <c r="H364" t="str">
        <f t="shared" si="67"/>
        <v>{cd,3000}</v>
      </c>
      <c r="I364" t="str">
        <f t="shared" si="68"/>
        <v>{hp,15500}</v>
      </c>
      <c r="J364" t="str">
        <f t="shared" si="69"/>
        <v>{atk,107}</v>
      </c>
      <c r="K364" t="str">
        <f t="shared" si="70"/>
        <v>{spd,8500}</v>
      </c>
      <c r="L364" t="str">
        <f t="shared" si="65"/>
        <v/>
      </c>
      <c r="O364" t="str">
        <f t="shared" si="66"/>
        <v>[{cd,3000},{hp,15500},{atk,107},{spd,8500}]</v>
      </c>
    </row>
    <row r="365" spans="1:15">
      <c r="A365">
        <f>Sheet1!E367</f>
        <v>100</v>
      </c>
      <c r="B365">
        <f t="shared" si="63"/>
        <v>73</v>
      </c>
      <c r="C365">
        <v>3000</v>
      </c>
      <c r="D365">
        <f>VLOOKUP(B365,[1]怪物!$N$34:$T$113,3,0)</f>
        <v>18600</v>
      </c>
      <c r="E365">
        <f>VLOOKUP(B365,[1]怪物!$N$34:$T$113,6,0)</f>
        <v>128</v>
      </c>
      <c r="F365" s="1">
        <f t="shared" si="64"/>
        <v>8500</v>
      </c>
      <c r="H365" t="str">
        <f t="shared" si="67"/>
        <v>{cd,3000}</v>
      </c>
      <c r="I365" t="str">
        <f t="shared" si="68"/>
        <v>{hp,18600}</v>
      </c>
      <c r="J365" t="str">
        <f t="shared" si="69"/>
        <v>{atk,128}</v>
      </c>
      <c r="K365" t="str">
        <f t="shared" si="70"/>
        <v>{spd,8500}</v>
      </c>
      <c r="L365" t="str">
        <f t="shared" si="65"/>
        <v/>
      </c>
      <c r="O365" t="str">
        <f t="shared" si="66"/>
        <v>[{cd,3000},{hp,18600},{atk,128},{spd,8500}]</v>
      </c>
    </row>
    <row r="366" spans="1:15">
      <c r="A366">
        <f>Sheet1!E368</f>
        <v>102</v>
      </c>
      <c r="B366">
        <f t="shared" si="63"/>
        <v>73</v>
      </c>
      <c r="C366">
        <v>3000</v>
      </c>
      <c r="D366">
        <f>VLOOKUP(B366,[1]怪物!$N$34:$T$113,4,0)</f>
        <v>23250</v>
      </c>
      <c r="E366">
        <f>VLOOKUP(B366,[1]怪物!$N$34:$T$113,7,0)</f>
        <v>161</v>
      </c>
      <c r="F366" s="1">
        <f t="shared" si="64"/>
        <v>8500</v>
      </c>
      <c r="H366" t="str">
        <f t="shared" si="67"/>
        <v>{cd,3000}</v>
      </c>
      <c r="I366" t="str">
        <f t="shared" si="68"/>
        <v>{hp,23250}</v>
      </c>
      <c r="J366" t="str">
        <f t="shared" si="69"/>
        <v>{atk,161}</v>
      </c>
      <c r="K366" t="str">
        <f t="shared" si="70"/>
        <v>{spd,8500}</v>
      </c>
      <c r="L366" t="str">
        <f t="shared" si="65"/>
        <v/>
      </c>
      <c r="O366" t="str">
        <f t="shared" si="66"/>
        <v>[{cd,3000},{hp,23250},{atk,161},{spd,8500}]</v>
      </c>
    </row>
    <row r="367" spans="1:15">
      <c r="A367">
        <f>Sheet1!E369</f>
        <v>501</v>
      </c>
      <c r="B367">
        <f t="shared" si="63"/>
        <v>73</v>
      </c>
      <c r="C367">
        <v>3000</v>
      </c>
      <c r="D367">
        <f>VLOOKUP(B367,[1]怪物!$U$34:$Y$114,2,0)</f>
        <v>930000</v>
      </c>
      <c r="E367">
        <f>VLOOKUP(B367,[1]怪物!$U$34:$Y$114,4,0)</f>
        <v>268</v>
      </c>
      <c r="F367" s="1">
        <f t="shared" si="64"/>
        <v>8500</v>
      </c>
      <c r="H367" t="str">
        <f t="shared" si="67"/>
        <v>{cd,3000}</v>
      </c>
      <c r="I367" t="str">
        <f t="shared" si="68"/>
        <v>{hp,930000}</v>
      </c>
      <c r="J367" t="str">
        <f t="shared" si="69"/>
        <v>{atk,268}</v>
      </c>
      <c r="K367" t="str">
        <f t="shared" si="70"/>
        <v>{spd,8500}</v>
      </c>
      <c r="L367" t="str">
        <f t="shared" si="65"/>
        <v/>
      </c>
      <c r="O367" t="str">
        <f t="shared" si="66"/>
        <v>[{cd,3000},{hp,930000},{atk,268},{spd,8500}]</v>
      </c>
    </row>
    <row r="368" spans="1:15">
      <c r="A368">
        <f>Sheet1!E370</f>
        <v>501</v>
      </c>
      <c r="B368">
        <f t="shared" si="63"/>
        <v>73</v>
      </c>
      <c r="C368">
        <v>3000</v>
      </c>
      <c r="D368">
        <f>VLOOKUP(B368,[1]怪物!$U$34:$Y$114,3,0)</f>
        <v>1240000</v>
      </c>
      <c r="E368">
        <f>VLOOKUP(B368,[1]怪物!$U$34:$Y$114,5,0)</f>
        <v>535</v>
      </c>
      <c r="F368" s="1">
        <f t="shared" si="64"/>
        <v>8500</v>
      </c>
      <c r="H368" t="str">
        <f t="shared" si="67"/>
        <v>{cd,3000}</v>
      </c>
      <c r="I368" t="str">
        <f t="shared" si="68"/>
        <v>{hp,1240000}</v>
      </c>
      <c r="J368" t="str">
        <f t="shared" si="69"/>
        <v>{atk,535}</v>
      </c>
      <c r="K368" t="str">
        <f t="shared" si="70"/>
        <v>{spd,8500}</v>
      </c>
      <c r="L368" t="str">
        <f t="shared" si="65"/>
        <v/>
      </c>
      <c r="O368" t="str">
        <f t="shared" si="66"/>
        <v>[{cd,3000},{hp,1240000},{atk,535},{spd,8500}]</v>
      </c>
    </row>
    <row r="369" spans="1:15">
      <c r="A369">
        <f>Sheet1!E371</f>
        <v>101</v>
      </c>
      <c r="B369">
        <f t="shared" si="63"/>
        <v>74</v>
      </c>
      <c r="C369">
        <v>3000</v>
      </c>
      <c r="D369">
        <f>VLOOKUP(B369,[1]怪物!$N$34:$T$113,2,0)</f>
        <v>16300</v>
      </c>
      <c r="E369">
        <f>VLOOKUP(B369,[1]怪物!$N$34:$T$113,5,0)</f>
        <v>109</v>
      </c>
      <c r="F369" s="1">
        <f t="shared" si="64"/>
        <v>8500</v>
      </c>
      <c r="H369" t="str">
        <f t="shared" si="67"/>
        <v>{cd,3000}</v>
      </c>
      <c r="I369" t="str">
        <f t="shared" si="68"/>
        <v>{hp,16300}</v>
      </c>
      <c r="J369" t="str">
        <f t="shared" si="69"/>
        <v>{atk,109}</v>
      </c>
      <c r="K369" t="str">
        <f t="shared" si="70"/>
        <v>{spd,8500}</v>
      </c>
      <c r="L369" t="str">
        <f t="shared" si="65"/>
        <v/>
      </c>
      <c r="O369" t="str">
        <f t="shared" si="66"/>
        <v>[{cd,3000},{hp,16300},{atk,109},{spd,8500}]</v>
      </c>
    </row>
    <row r="370" spans="1:15">
      <c r="A370">
        <f>Sheet1!E372</f>
        <v>100</v>
      </c>
      <c r="B370">
        <f t="shared" si="63"/>
        <v>74</v>
      </c>
      <c r="C370">
        <v>3000</v>
      </c>
      <c r="D370">
        <f>VLOOKUP(B370,[1]怪物!$N$34:$T$113,3,0)</f>
        <v>19560</v>
      </c>
      <c r="E370">
        <f>VLOOKUP(B370,[1]怪物!$N$34:$T$113,6,0)</f>
        <v>131</v>
      </c>
      <c r="F370" s="1">
        <f t="shared" si="64"/>
        <v>8500</v>
      </c>
      <c r="H370" t="str">
        <f t="shared" si="67"/>
        <v>{cd,3000}</v>
      </c>
      <c r="I370" t="str">
        <f t="shared" si="68"/>
        <v>{hp,19560}</v>
      </c>
      <c r="J370" t="str">
        <f t="shared" si="69"/>
        <v>{atk,131}</v>
      </c>
      <c r="K370" t="str">
        <f t="shared" si="70"/>
        <v>{spd,8500}</v>
      </c>
      <c r="L370" t="str">
        <f t="shared" si="65"/>
        <v/>
      </c>
      <c r="O370" t="str">
        <f t="shared" si="66"/>
        <v>[{cd,3000},{hp,19560},{atk,131},{spd,8500}]</v>
      </c>
    </row>
    <row r="371" spans="1:15">
      <c r="A371">
        <f>Sheet1!E373</f>
        <v>102</v>
      </c>
      <c r="B371">
        <f t="shared" ref="B371:B434" si="71">B366+1</f>
        <v>74</v>
      </c>
      <c r="C371">
        <v>3000</v>
      </c>
      <c r="D371">
        <f>VLOOKUP(B371,[1]怪物!$N$34:$T$113,4,0)</f>
        <v>24450</v>
      </c>
      <c r="E371">
        <f>VLOOKUP(B371,[1]怪物!$N$34:$T$113,7,0)</f>
        <v>164</v>
      </c>
      <c r="F371" s="1">
        <f t="shared" si="64"/>
        <v>8500</v>
      </c>
      <c r="H371" t="str">
        <f t="shared" si="67"/>
        <v>{cd,3000}</v>
      </c>
      <c r="I371" t="str">
        <f t="shared" si="68"/>
        <v>{hp,24450}</v>
      </c>
      <c r="J371" t="str">
        <f t="shared" si="69"/>
        <v>{atk,164}</v>
      </c>
      <c r="K371" t="str">
        <f t="shared" si="70"/>
        <v>{spd,8500}</v>
      </c>
      <c r="L371" t="str">
        <f t="shared" si="65"/>
        <v/>
      </c>
      <c r="O371" t="str">
        <f t="shared" si="66"/>
        <v>[{cd,3000},{hp,24450},{atk,164},{spd,8500}]</v>
      </c>
    </row>
    <row r="372" spans="1:15">
      <c r="A372">
        <f>Sheet1!E374</f>
        <v>502</v>
      </c>
      <c r="B372">
        <f t="shared" si="71"/>
        <v>74</v>
      </c>
      <c r="C372">
        <v>3000</v>
      </c>
      <c r="D372">
        <f>VLOOKUP(B372,[1]怪物!$U$34:$Y$114,2,0)</f>
        <v>978000</v>
      </c>
      <c r="E372">
        <f>VLOOKUP(B372,[1]怪物!$U$34:$Y$114,4,0)</f>
        <v>273</v>
      </c>
      <c r="F372" s="1">
        <f t="shared" si="64"/>
        <v>8500</v>
      </c>
      <c r="H372" t="str">
        <f t="shared" si="67"/>
        <v>{cd,3000}</v>
      </c>
      <c r="I372" t="str">
        <f t="shared" si="68"/>
        <v>{hp,978000}</v>
      </c>
      <c r="J372" t="str">
        <f t="shared" si="69"/>
        <v>{atk,273}</v>
      </c>
      <c r="K372" t="str">
        <f t="shared" si="70"/>
        <v>{spd,8500}</v>
      </c>
      <c r="L372" t="str">
        <f t="shared" si="65"/>
        <v/>
      </c>
      <c r="O372" t="str">
        <f t="shared" si="66"/>
        <v>[{cd,3000},{hp,978000},{atk,273},{spd,8500}]</v>
      </c>
    </row>
    <row r="373" spans="1:15">
      <c r="A373">
        <f>Sheet1!E375</f>
        <v>502</v>
      </c>
      <c r="B373">
        <f t="shared" si="71"/>
        <v>74</v>
      </c>
      <c r="C373">
        <v>3000</v>
      </c>
      <c r="D373">
        <f>VLOOKUP(B373,[1]怪物!$U$34:$Y$114,3,0)</f>
        <v>1304000</v>
      </c>
      <c r="E373">
        <f>VLOOKUP(B373,[1]怪物!$U$34:$Y$114,5,0)</f>
        <v>545</v>
      </c>
      <c r="F373" s="1">
        <f t="shared" si="64"/>
        <v>8500</v>
      </c>
      <c r="H373" t="str">
        <f t="shared" si="67"/>
        <v>{cd,3000}</v>
      </c>
      <c r="I373" t="str">
        <f t="shared" si="68"/>
        <v>{hp,1304000}</v>
      </c>
      <c r="J373" t="str">
        <f t="shared" si="69"/>
        <v>{atk,545}</v>
      </c>
      <c r="K373" t="str">
        <f t="shared" si="70"/>
        <v>{spd,8500}</v>
      </c>
      <c r="L373" t="str">
        <f t="shared" si="65"/>
        <v/>
      </c>
      <c r="O373" t="str">
        <f t="shared" si="66"/>
        <v>[{cd,3000},{hp,1304000},{atk,545},{spd,8500}]</v>
      </c>
    </row>
    <row r="374" spans="1:15">
      <c r="A374">
        <f>Sheet1!E376</f>
        <v>100</v>
      </c>
      <c r="B374">
        <f t="shared" si="71"/>
        <v>75</v>
      </c>
      <c r="C374">
        <v>3000</v>
      </c>
      <c r="D374">
        <f>VLOOKUP(B374,[1]怪物!$N$34:$T$133,2,0)</f>
        <v>17000</v>
      </c>
      <c r="E374">
        <f>VLOOKUP(B374,[1]怪物!$N$34:$T$133,5,0)</f>
        <v>120</v>
      </c>
      <c r="F374" s="1">
        <f t="shared" si="64"/>
        <v>8500</v>
      </c>
      <c r="H374" t="str">
        <f t="shared" si="67"/>
        <v>{cd,3000}</v>
      </c>
      <c r="I374" t="str">
        <f t="shared" si="68"/>
        <v>{hp,17000}</v>
      </c>
      <c r="J374" t="str">
        <f t="shared" si="69"/>
        <v>{atk,120}</v>
      </c>
      <c r="K374" t="str">
        <f t="shared" si="70"/>
        <v>{spd,8500}</v>
      </c>
      <c r="L374" t="str">
        <f t="shared" si="65"/>
        <v/>
      </c>
      <c r="O374" t="str">
        <f t="shared" si="66"/>
        <v>[{cd,3000},{hp,17000},{atk,120},{spd,8500}]</v>
      </c>
    </row>
    <row r="375" spans="1:15">
      <c r="A375">
        <f>Sheet1!E377</f>
        <v>102</v>
      </c>
      <c r="B375">
        <f t="shared" si="71"/>
        <v>75</v>
      </c>
      <c r="C375">
        <v>3000</v>
      </c>
      <c r="D375">
        <f>VLOOKUP(B375,[1]怪物!$N$34:$T$133,3,0)</f>
        <v>20400</v>
      </c>
      <c r="E375">
        <f>VLOOKUP(B375,[1]怪物!$N$34:$T$133,6,0)</f>
        <v>144</v>
      </c>
      <c r="F375" s="1">
        <f t="shared" si="64"/>
        <v>8500</v>
      </c>
      <c r="H375" t="str">
        <f t="shared" si="67"/>
        <v>{cd,3000}</v>
      </c>
      <c r="I375" t="str">
        <f t="shared" si="68"/>
        <v>{hp,20400}</v>
      </c>
      <c r="J375" t="str">
        <f t="shared" si="69"/>
        <v>{atk,144}</v>
      </c>
      <c r="K375" t="str">
        <f t="shared" si="70"/>
        <v>{spd,8500}</v>
      </c>
      <c r="L375" t="str">
        <f t="shared" si="65"/>
        <v/>
      </c>
      <c r="O375" t="str">
        <f t="shared" si="66"/>
        <v>[{cd,3000},{hp,20400},{atk,144},{spd,8500}]</v>
      </c>
    </row>
    <row r="376" spans="1:15">
      <c r="A376">
        <f>Sheet1!E378</f>
        <v>105</v>
      </c>
      <c r="B376">
        <f t="shared" si="71"/>
        <v>75</v>
      </c>
      <c r="C376">
        <v>3000</v>
      </c>
      <c r="D376">
        <f>VLOOKUP(B376,[1]怪物!$N$34:$T$133,4,0)</f>
        <v>25500</v>
      </c>
      <c r="E376">
        <f>VLOOKUP(B376,[1]怪物!$N$34:$T$133,7,0)</f>
        <v>180</v>
      </c>
      <c r="F376" s="1">
        <f t="shared" si="64"/>
        <v>8500</v>
      </c>
      <c r="H376" t="str">
        <f t="shared" si="67"/>
        <v>{cd,3000}</v>
      </c>
      <c r="I376" t="str">
        <f t="shared" si="68"/>
        <v>{hp,25500}</v>
      </c>
      <c r="J376" t="str">
        <f t="shared" si="69"/>
        <v>{atk,180}</v>
      </c>
      <c r="K376" t="str">
        <f t="shared" si="70"/>
        <v>{spd,8500}</v>
      </c>
      <c r="L376" t="str">
        <f t="shared" si="65"/>
        <v/>
      </c>
      <c r="O376" t="str">
        <f t="shared" si="66"/>
        <v>[{cd,3000},{hp,25500},{atk,180},{spd,8500}]</v>
      </c>
    </row>
    <row r="377" spans="1:15">
      <c r="A377">
        <f>Sheet1!E379</f>
        <v>502</v>
      </c>
      <c r="B377">
        <f t="shared" si="71"/>
        <v>75</v>
      </c>
      <c r="C377">
        <v>3000</v>
      </c>
      <c r="D377">
        <f>VLOOKUP(B377,[1]怪物!$U$34:$Y$134,2,0)</f>
        <v>1020000</v>
      </c>
      <c r="E377">
        <f>VLOOKUP(B377,[1]怪物!$U$34:$Y$134,4,0)</f>
        <v>300</v>
      </c>
      <c r="F377" s="1">
        <f t="shared" si="64"/>
        <v>8500</v>
      </c>
      <c r="H377" t="str">
        <f t="shared" si="67"/>
        <v>{cd,3000}</v>
      </c>
      <c r="I377" t="str">
        <f t="shared" si="68"/>
        <v>{hp,1020000}</v>
      </c>
      <c r="J377" t="str">
        <f t="shared" si="69"/>
        <v>{atk,300}</v>
      </c>
      <c r="K377" t="str">
        <f t="shared" si="70"/>
        <v>{spd,8500}</v>
      </c>
      <c r="L377" t="str">
        <f t="shared" si="65"/>
        <v/>
      </c>
      <c r="O377" t="str">
        <f t="shared" si="66"/>
        <v>[{cd,3000},{hp,1020000},{atk,300},{spd,8500}]</v>
      </c>
    </row>
    <row r="378" spans="1:15">
      <c r="A378">
        <f>Sheet1!E380</f>
        <v>500</v>
      </c>
      <c r="B378">
        <f t="shared" si="71"/>
        <v>75</v>
      </c>
      <c r="C378">
        <v>3000</v>
      </c>
      <c r="D378">
        <f>VLOOKUP(B378,[1]怪物!$U$34:$Y$134,3,0)</f>
        <v>1360000</v>
      </c>
      <c r="E378">
        <f>VLOOKUP(B378,[1]怪物!$U$34:$Y$134,5,0)</f>
        <v>600</v>
      </c>
      <c r="F378" s="1">
        <f t="shared" si="64"/>
        <v>8500</v>
      </c>
      <c r="H378" t="str">
        <f t="shared" si="67"/>
        <v>{cd,3000}</v>
      </c>
      <c r="I378" t="str">
        <f t="shared" si="68"/>
        <v>{hp,1360000}</v>
      </c>
      <c r="J378" t="str">
        <f t="shared" si="69"/>
        <v>{atk,600}</v>
      </c>
      <c r="K378" t="str">
        <f t="shared" si="70"/>
        <v>{spd,8500}</v>
      </c>
      <c r="L378" t="str">
        <f t="shared" si="65"/>
        <v/>
      </c>
      <c r="O378" t="str">
        <f t="shared" si="66"/>
        <v>[{cd,3000},{hp,1360000},{atk,600},{spd,8500}]</v>
      </c>
    </row>
    <row r="379" spans="1:15">
      <c r="A379">
        <f>Sheet1!E381</f>
        <v>103</v>
      </c>
      <c r="B379">
        <f t="shared" si="71"/>
        <v>76</v>
      </c>
      <c r="C379">
        <v>3000</v>
      </c>
      <c r="D379">
        <f>VLOOKUP(B379,[1]怪物!$N$34:$T$133,2,0)</f>
        <v>16500</v>
      </c>
      <c r="E379">
        <f>VLOOKUP(B379,[1]怪物!$N$34:$T$133,5,0)</f>
        <v>111</v>
      </c>
      <c r="F379" s="1">
        <f t="shared" si="64"/>
        <v>8500</v>
      </c>
      <c r="H379" t="str">
        <f t="shared" ref="H379:H428" si="72">$C$2&amp;C$3&amp;$D$2&amp;C379&amp;$E$2</f>
        <v>{cd,3000}</v>
      </c>
      <c r="I379" t="str">
        <f t="shared" ref="I379:I428" si="73">$C$2&amp;D$3&amp;$D$2&amp;D379&amp;$E$2</f>
        <v>{hp,16500}</v>
      </c>
      <c r="J379" t="str">
        <f t="shared" ref="J379:J428" si="74">$C$2&amp;E$3&amp;$D$2&amp;E379&amp;$E$2</f>
        <v>{atk,111}</v>
      </c>
      <c r="K379" t="str">
        <f t="shared" ref="K379:K428" si="75">$C$2&amp;F$3&amp;$D$2&amp;F379&amp;$E$2</f>
        <v>{spd,8500}</v>
      </c>
      <c r="L379" t="str">
        <f t="shared" si="65"/>
        <v/>
      </c>
      <c r="O379" t="str">
        <f t="shared" si="66"/>
        <v>[{cd,3000},{hp,16500},{atk,111},{spd,8500}]</v>
      </c>
    </row>
    <row r="380" spans="1:15">
      <c r="A380">
        <f>Sheet1!E382</f>
        <v>104</v>
      </c>
      <c r="B380">
        <f t="shared" si="71"/>
        <v>76</v>
      </c>
      <c r="C380">
        <v>3000</v>
      </c>
      <c r="D380">
        <f>VLOOKUP(B380,[1]怪物!$N$34:$T$133,3,0)</f>
        <v>19800</v>
      </c>
      <c r="E380">
        <f>VLOOKUP(B380,[1]怪物!$N$34:$T$133,6,0)</f>
        <v>133</v>
      </c>
      <c r="F380" s="1">
        <f t="shared" si="64"/>
        <v>8500</v>
      </c>
      <c r="H380" t="str">
        <f t="shared" si="72"/>
        <v>{cd,3000}</v>
      </c>
      <c r="I380" t="str">
        <f t="shared" si="73"/>
        <v>{hp,19800}</v>
      </c>
      <c r="J380" t="str">
        <f t="shared" si="74"/>
        <v>{atk,133}</v>
      </c>
      <c r="K380" t="str">
        <f t="shared" si="75"/>
        <v>{spd,8500}</v>
      </c>
      <c r="L380" t="str">
        <f t="shared" si="65"/>
        <v/>
      </c>
      <c r="O380" t="str">
        <f t="shared" si="66"/>
        <v>[{cd,3000},{hp,19800},{atk,133},{spd,8500}]</v>
      </c>
    </row>
    <row r="381" spans="1:15">
      <c r="A381">
        <f>Sheet1!E383</f>
        <v>104</v>
      </c>
      <c r="B381">
        <f t="shared" si="71"/>
        <v>76</v>
      </c>
      <c r="C381">
        <v>3000</v>
      </c>
      <c r="D381">
        <f>VLOOKUP(B381,[1]怪物!$N$34:$T$133,4,0)</f>
        <v>24750</v>
      </c>
      <c r="E381">
        <f>VLOOKUP(B381,[1]怪物!$N$34:$T$133,7,0)</f>
        <v>167</v>
      </c>
      <c r="F381" s="1">
        <f t="shared" si="64"/>
        <v>8500</v>
      </c>
      <c r="H381" t="str">
        <f t="shared" si="72"/>
        <v>{cd,3000}</v>
      </c>
      <c r="I381" t="str">
        <f t="shared" si="73"/>
        <v>{hp,24750}</v>
      </c>
      <c r="J381" t="str">
        <f t="shared" si="74"/>
        <v>{atk,167}</v>
      </c>
      <c r="K381" t="str">
        <f t="shared" si="75"/>
        <v>{spd,8500}</v>
      </c>
      <c r="L381" t="str">
        <f t="shared" si="65"/>
        <v/>
      </c>
      <c r="O381" t="str">
        <f t="shared" si="66"/>
        <v>[{cd,3000},{hp,24750},{atk,167},{spd,8500}]</v>
      </c>
    </row>
    <row r="382" spans="1:15">
      <c r="A382">
        <f>Sheet1!E384</f>
        <v>504</v>
      </c>
      <c r="B382">
        <f t="shared" si="71"/>
        <v>76</v>
      </c>
      <c r="C382">
        <v>3000</v>
      </c>
      <c r="D382">
        <f>VLOOKUP(B382,[1]怪物!$U$34:$Y$134,2,0)</f>
        <v>990000</v>
      </c>
      <c r="E382">
        <f>VLOOKUP(B382,[1]怪物!$U$34:$Y$134,4,0)</f>
        <v>278</v>
      </c>
      <c r="F382" s="1">
        <f t="shared" si="64"/>
        <v>8500</v>
      </c>
      <c r="H382" t="str">
        <f t="shared" si="72"/>
        <v>{cd,3000}</v>
      </c>
      <c r="I382" t="str">
        <f t="shared" si="73"/>
        <v>{hp,990000}</v>
      </c>
      <c r="J382" t="str">
        <f t="shared" si="74"/>
        <v>{atk,278}</v>
      </c>
      <c r="K382" t="str">
        <f t="shared" si="75"/>
        <v>{spd,8500}</v>
      </c>
      <c r="L382" t="str">
        <f t="shared" si="65"/>
        <v/>
      </c>
      <c r="O382" t="str">
        <f t="shared" si="66"/>
        <v>[{cd,3000},{hp,990000},{atk,278},{spd,8500}]</v>
      </c>
    </row>
    <row r="383" spans="1:15">
      <c r="A383">
        <f>Sheet1!E385</f>
        <v>504</v>
      </c>
      <c r="B383">
        <f t="shared" si="71"/>
        <v>76</v>
      </c>
      <c r="C383">
        <v>3000</v>
      </c>
      <c r="D383">
        <f>VLOOKUP(B383,[1]怪物!$U$34:$Y$134,3,0)</f>
        <v>1320000</v>
      </c>
      <c r="E383">
        <f>VLOOKUP(B383,[1]怪物!$U$34:$Y$134,5,0)</f>
        <v>555</v>
      </c>
      <c r="F383" s="1">
        <f t="shared" si="64"/>
        <v>8500</v>
      </c>
      <c r="H383" t="str">
        <f t="shared" si="72"/>
        <v>{cd,3000}</v>
      </c>
      <c r="I383" t="str">
        <f t="shared" si="73"/>
        <v>{hp,1320000}</v>
      </c>
      <c r="J383" t="str">
        <f t="shared" si="74"/>
        <v>{atk,555}</v>
      </c>
      <c r="K383" t="str">
        <f t="shared" si="75"/>
        <v>{spd,8500}</v>
      </c>
      <c r="L383" t="str">
        <f t="shared" si="65"/>
        <v/>
      </c>
      <c r="O383" t="str">
        <f t="shared" si="66"/>
        <v>[{cd,3000},{hp,1320000},{atk,555},{spd,8500}]</v>
      </c>
    </row>
    <row r="384" spans="1:15">
      <c r="A384">
        <f>Sheet1!E386</f>
        <v>103</v>
      </c>
      <c r="B384">
        <f t="shared" si="71"/>
        <v>77</v>
      </c>
      <c r="C384">
        <v>3000</v>
      </c>
      <c r="D384">
        <f>VLOOKUP(B384,[1]怪物!$N$34:$T$133,2,0)</f>
        <v>16900</v>
      </c>
      <c r="E384">
        <f>VLOOKUP(B384,[1]怪物!$N$34:$T$133,5,0)</f>
        <v>122</v>
      </c>
      <c r="F384" s="1">
        <f t="shared" si="64"/>
        <v>8500</v>
      </c>
      <c r="H384" t="str">
        <f t="shared" si="72"/>
        <v>{cd,3000}</v>
      </c>
      <c r="I384" t="str">
        <f t="shared" si="73"/>
        <v>{hp,16900}</v>
      </c>
      <c r="J384" t="str">
        <f t="shared" si="74"/>
        <v>{atk,122}</v>
      </c>
      <c r="K384" t="str">
        <f t="shared" si="75"/>
        <v>{spd,8500}</v>
      </c>
      <c r="L384" t="str">
        <f t="shared" si="65"/>
        <v/>
      </c>
      <c r="O384" t="str">
        <f t="shared" si="66"/>
        <v>[{cd,3000},{hp,16900},{atk,122},{spd,8500}]</v>
      </c>
    </row>
    <row r="385" spans="1:15">
      <c r="A385">
        <f>Sheet1!E387</f>
        <v>104</v>
      </c>
      <c r="B385">
        <f t="shared" si="71"/>
        <v>77</v>
      </c>
      <c r="C385">
        <v>3000</v>
      </c>
      <c r="D385">
        <f>VLOOKUP(B385,[1]怪物!$N$34:$T$133,3,0)</f>
        <v>20280</v>
      </c>
      <c r="E385">
        <f>VLOOKUP(B385,[1]怪物!$N$34:$T$133,6,0)</f>
        <v>146</v>
      </c>
      <c r="F385" s="1">
        <f t="shared" si="64"/>
        <v>8500</v>
      </c>
      <c r="H385" t="str">
        <f t="shared" si="72"/>
        <v>{cd,3000}</v>
      </c>
      <c r="I385" t="str">
        <f t="shared" si="73"/>
        <v>{hp,20280}</v>
      </c>
      <c r="J385" t="str">
        <f t="shared" si="74"/>
        <v>{atk,146}</v>
      </c>
      <c r="K385" t="str">
        <f t="shared" si="75"/>
        <v>{spd,8500}</v>
      </c>
      <c r="L385" t="str">
        <f t="shared" si="65"/>
        <v/>
      </c>
      <c r="O385" t="str">
        <f t="shared" si="66"/>
        <v>[{cd,3000},{hp,20280},{atk,146},{spd,8500}]</v>
      </c>
    </row>
    <row r="386" spans="1:15">
      <c r="A386">
        <f>Sheet1!E388</f>
        <v>106</v>
      </c>
      <c r="B386">
        <f t="shared" si="71"/>
        <v>77</v>
      </c>
      <c r="C386">
        <v>3000</v>
      </c>
      <c r="D386">
        <f>VLOOKUP(B386,[1]怪物!$N$34:$T$133,4,0)</f>
        <v>25350</v>
      </c>
      <c r="E386">
        <f>VLOOKUP(B386,[1]怪物!$N$34:$T$133,7,0)</f>
        <v>183</v>
      </c>
      <c r="F386" s="1">
        <f t="shared" si="64"/>
        <v>8500</v>
      </c>
      <c r="H386" t="str">
        <f t="shared" si="72"/>
        <v>{cd,3000}</v>
      </c>
      <c r="I386" t="str">
        <f t="shared" si="73"/>
        <v>{hp,25350}</v>
      </c>
      <c r="J386" t="str">
        <f t="shared" si="74"/>
        <v>{atk,183}</v>
      </c>
      <c r="K386" t="str">
        <f t="shared" si="75"/>
        <v>{spd,8500}</v>
      </c>
      <c r="L386" t="str">
        <f t="shared" si="65"/>
        <v/>
      </c>
      <c r="O386" t="str">
        <f t="shared" si="66"/>
        <v>[{cd,3000},{hp,25350},{atk,183},{spd,8500}]</v>
      </c>
    </row>
    <row r="387" spans="1:15">
      <c r="A387">
        <f>Sheet1!E389</f>
        <v>503</v>
      </c>
      <c r="B387">
        <f t="shared" si="71"/>
        <v>77</v>
      </c>
      <c r="C387">
        <v>3000</v>
      </c>
      <c r="D387">
        <f>VLOOKUP(B387,[1]怪物!$U$34:$Y$134,2,0)</f>
        <v>1014000</v>
      </c>
      <c r="E387">
        <f>VLOOKUP(B387,[1]怪物!$U$34:$Y$134,4,0)</f>
        <v>305</v>
      </c>
      <c r="F387" s="1">
        <f t="shared" si="64"/>
        <v>8500</v>
      </c>
      <c r="H387" t="str">
        <f t="shared" si="72"/>
        <v>{cd,3000}</v>
      </c>
      <c r="I387" t="str">
        <f t="shared" si="73"/>
        <v>{hp,1014000}</v>
      </c>
      <c r="J387" t="str">
        <f t="shared" si="74"/>
        <v>{atk,305}</v>
      </c>
      <c r="K387" t="str">
        <f t="shared" si="75"/>
        <v>{spd,8500}</v>
      </c>
      <c r="L387" t="str">
        <f t="shared" si="65"/>
        <v/>
      </c>
      <c r="O387" t="str">
        <f t="shared" si="66"/>
        <v>[{cd,3000},{hp,1014000},{atk,305},{spd,8500}]</v>
      </c>
    </row>
    <row r="388" spans="1:15">
      <c r="A388">
        <f>Sheet1!E390</f>
        <v>503</v>
      </c>
      <c r="B388">
        <f t="shared" si="71"/>
        <v>77</v>
      </c>
      <c r="C388">
        <v>3000</v>
      </c>
      <c r="D388">
        <f>VLOOKUP(B388,[1]怪物!$U$34:$Y$134,3,0)</f>
        <v>1352000</v>
      </c>
      <c r="E388">
        <f>VLOOKUP(B388,[1]怪物!$U$34:$Y$134,5,0)</f>
        <v>610</v>
      </c>
      <c r="F388" s="1">
        <f t="shared" si="64"/>
        <v>8500</v>
      </c>
      <c r="H388" t="str">
        <f t="shared" si="72"/>
        <v>{cd,3000}</v>
      </c>
      <c r="I388" t="str">
        <f t="shared" si="73"/>
        <v>{hp,1352000}</v>
      </c>
      <c r="J388" t="str">
        <f t="shared" si="74"/>
        <v>{atk,610}</v>
      </c>
      <c r="K388" t="str">
        <f t="shared" si="75"/>
        <v>{spd,8500}</v>
      </c>
      <c r="L388" t="str">
        <f t="shared" si="65"/>
        <v/>
      </c>
      <c r="O388" t="str">
        <f t="shared" si="66"/>
        <v>[{cd,3000},{hp,1352000},{atk,610},{spd,8500}]</v>
      </c>
    </row>
    <row r="389" spans="1:15">
      <c r="A389">
        <f>Sheet1!E391</f>
        <v>108</v>
      </c>
      <c r="B389">
        <f t="shared" si="71"/>
        <v>78</v>
      </c>
      <c r="C389">
        <v>3000</v>
      </c>
      <c r="D389">
        <f>VLOOKUP(B389,[1]怪物!$N$34:$T$133,2,0)</f>
        <v>17500</v>
      </c>
      <c r="E389">
        <f>VLOOKUP(B389,[1]怪物!$N$34:$T$133,5,0)</f>
        <v>113</v>
      </c>
      <c r="F389" s="1">
        <f t="shared" ref="F389:F452" si="76">VLOOKUP(A389,$W:$AB,6,0)</f>
        <v>8500</v>
      </c>
      <c r="H389" t="str">
        <f t="shared" si="72"/>
        <v>{cd,3000}</v>
      </c>
      <c r="I389" t="str">
        <f t="shared" si="73"/>
        <v>{hp,17500}</v>
      </c>
      <c r="J389" t="str">
        <f t="shared" si="74"/>
        <v>{atk,113}</v>
      </c>
      <c r="K389" t="str">
        <f t="shared" si="75"/>
        <v>{spd,8500}</v>
      </c>
      <c r="L389" t="str">
        <f t="shared" ref="L389:L452" si="77">IF(VLOOKUP(A389,$W:$AC,7,0)=0,"",VLOOKUP(A389,$W:$AC,7,0))</f>
        <v/>
      </c>
      <c r="O389" t="str">
        <f t="shared" ref="O389:O452" si="78">"["&amp;_xlfn.TEXTJOIN(",",1,H389:M389)&amp;"]"</f>
        <v>[{cd,3000},{hp,17500},{atk,113},{spd,8500}]</v>
      </c>
    </row>
    <row r="390" spans="1:15">
      <c r="A390">
        <f>Sheet1!E392</f>
        <v>110</v>
      </c>
      <c r="B390">
        <f t="shared" si="71"/>
        <v>78</v>
      </c>
      <c r="C390">
        <v>3000</v>
      </c>
      <c r="D390">
        <f>VLOOKUP(B390,[1]怪物!$N$34:$T$133,3,0)</f>
        <v>21000</v>
      </c>
      <c r="E390">
        <f>VLOOKUP(B390,[1]怪物!$N$34:$T$133,6,0)</f>
        <v>136</v>
      </c>
      <c r="F390" s="1">
        <f t="shared" si="76"/>
        <v>8500</v>
      </c>
      <c r="H390" t="str">
        <f t="shared" si="72"/>
        <v>{cd,3000}</v>
      </c>
      <c r="I390" t="str">
        <f t="shared" si="73"/>
        <v>{hp,21000}</v>
      </c>
      <c r="J390" t="str">
        <f t="shared" si="74"/>
        <v>{atk,136}</v>
      </c>
      <c r="K390" t="str">
        <f t="shared" si="75"/>
        <v>{spd,8500}</v>
      </c>
      <c r="L390" t="str">
        <f t="shared" si="77"/>
        <v/>
      </c>
      <c r="O390" t="str">
        <f t="shared" si="78"/>
        <v>[{cd,3000},{hp,21000},{atk,136},{spd,8500}]</v>
      </c>
    </row>
    <row r="391" spans="1:15">
      <c r="A391">
        <f>Sheet1!E393</f>
        <v>114</v>
      </c>
      <c r="B391">
        <f t="shared" si="71"/>
        <v>78</v>
      </c>
      <c r="C391">
        <v>3000</v>
      </c>
      <c r="D391">
        <f>VLOOKUP(B391,[1]怪物!$N$34:$T$133,4,0)</f>
        <v>26250</v>
      </c>
      <c r="E391">
        <f>VLOOKUP(B391,[1]怪物!$N$34:$T$133,7,0)</f>
        <v>170</v>
      </c>
      <c r="F391" s="1">
        <f t="shared" si="76"/>
        <v>8500</v>
      </c>
      <c r="H391" t="str">
        <f t="shared" si="72"/>
        <v>{cd,3000}</v>
      </c>
      <c r="I391" t="str">
        <f t="shared" si="73"/>
        <v>{hp,26250}</v>
      </c>
      <c r="J391" t="str">
        <f t="shared" si="74"/>
        <v>{atk,170}</v>
      </c>
      <c r="K391" t="str">
        <f t="shared" si="75"/>
        <v>{spd,8500}</v>
      </c>
      <c r="L391" t="str">
        <f t="shared" si="77"/>
        <v/>
      </c>
      <c r="O391" t="str">
        <f t="shared" si="78"/>
        <v>[{cd,3000},{hp,26250},{atk,170},{spd,8500}]</v>
      </c>
    </row>
    <row r="392" spans="1:15">
      <c r="A392">
        <f>Sheet1!E394</f>
        <v>508</v>
      </c>
      <c r="B392">
        <f t="shared" si="71"/>
        <v>78</v>
      </c>
      <c r="C392">
        <v>3000</v>
      </c>
      <c r="D392">
        <f>VLOOKUP(B392,[1]怪物!$U$34:$Y$134,2,0)</f>
        <v>1050000</v>
      </c>
      <c r="E392">
        <f>VLOOKUP(B392,[1]怪物!$U$34:$Y$134,4,0)</f>
        <v>283</v>
      </c>
      <c r="F392" s="1">
        <f t="shared" si="76"/>
        <v>8500</v>
      </c>
      <c r="H392" t="str">
        <f t="shared" si="72"/>
        <v>{cd,3000}</v>
      </c>
      <c r="I392" t="str">
        <f t="shared" si="73"/>
        <v>{hp,1050000}</v>
      </c>
      <c r="J392" t="str">
        <f t="shared" si="74"/>
        <v>{atk,283}</v>
      </c>
      <c r="K392" t="str">
        <f t="shared" si="75"/>
        <v>{spd,8500}</v>
      </c>
      <c r="L392" t="str">
        <f t="shared" si="77"/>
        <v/>
      </c>
      <c r="O392" t="str">
        <f t="shared" si="78"/>
        <v>[{cd,3000},{hp,1050000},{atk,283},{spd,8500}]</v>
      </c>
    </row>
    <row r="393" spans="1:15">
      <c r="A393">
        <f>Sheet1!E395</f>
        <v>508</v>
      </c>
      <c r="B393">
        <f t="shared" si="71"/>
        <v>78</v>
      </c>
      <c r="C393">
        <v>3000</v>
      </c>
      <c r="D393">
        <f>VLOOKUP(B393,[1]怪物!$U$34:$Y$134,3,0)</f>
        <v>1400000</v>
      </c>
      <c r="E393">
        <f>VLOOKUP(B393,[1]怪物!$U$34:$Y$134,5,0)</f>
        <v>565</v>
      </c>
      <c r="F393" s="1">
        <f t="shared" si="76"/>
        <v>8500</v>
      </c>
      <c r="H393" t="str">
        <f t="shared" si="72"/>
        <v>{cd,3000}</v>
      </c>
      <c r="I393" t="str">
        <f t="shared" si="73"/>
        <v>{hp,1400000}</v>
      </c>
      <c r="J393" t="str">
        <f t="shared" si="74"/>
        <v>{atk,565}</v>
      </c>
      <c r="K393" t="str">
        <f t="shared" si="75"/>
        <v>{spd,8500}</v>
      </c>
      <c r="L393" t="str">
        <f t="shared" si="77"/>
        <v/>
      </c>
      <c r="O393" t="str">
        <f t="shared" si="78"/>
        <v>[{cd,3000},{hp,1400000},{atk,565},{spd,8500}]</v>
      </c>
    </row>
    <row r="394" spans="1:15">
      <c r="A394">
        <f>Sheet1!E396</f>
        <v>110</v>
      </c>
      <c r="B394">
        <f t="shared" si="71"/>
        <v>79</v>
      </c>
      <c r="C394">
        <v>3000</v>
      </c>
      <c r="D394">
        <f>VLOOKUP(B394,[1]怪物!$N$34:$T$133,2,0)</f>
        <v>18300</v>
      </c>
      <c r="E394">
        <f>VLOOKUP(B394,[1]怪物!$N$34:$T$133,5,0)</f>
        <v>124</v>
      </c>
      <c r="F394" s="1">
        <f t="shared" si="76"/>
        <v>8500</v>
      </c>
      <c r="H394" t="str">
        <f t="shared" si="72"/>
        <v>{cd,3000}</v>
      </c>
      <c r="I394" t="str">
        <f t="shared" si="73"/>
        <v>{hp,18300}</v>
      </c>
      <c r="J394" t="str">
        <f t="shared" si="74"/>
        <v>{atk,124}</v>
      </c>
      <c r="K394" t="str">
        <f t="shared" si="75"/>
        <v>{spd,8500}</v>
      </c>
      <c r="L394" t="str">
        <f t="shared" si="77"/>
        <v/>
      </c>
      <c r="O394" t="str">
        <f t="shared" si="78"/>
        <v>[{cd,3000},{hp,18300},{atk,124},{spd,8500}]</v>
      </c>
    </row>
    <row r="395" spans="1:15">
      <c r="A395">
        <f>Sheet1!E397</f>
        <v>114</v>
      </c>
      <c r="B395">
        <f t="shared" si="71"/>
        <v>79</v>
      </c>
      <c r="C395">
        <v>3000</v>
      </c>
      <c r="D395">
        <f>VLOOKUP(B395,[1]怪物!$N$34:$T$133,3,0)</f>
        <v>21960</v>
      </c>
      <c r="E395">
        <f>VLOOKUP(B395,[1]怪物!$N$34:$T$133,6,0)</f>
        <v>149</v>
      </c>
      <c r="F395" s="1">
        <f t="shared" si="76"/>
        <v>8500</v>
      </c>
      <c r="H395" t="str">
        <f t="shared" si="72"/>
        <v>{cd,3000}</v>
      </c>
      <c r="I395" t="str">
        <f t="shared" si="73"/>
        <v>{hp,21960}</v>
      </c>
      <c r="J395" t="str">
        <f t="shared" si="74"/>
        <v>{atk,149}</v>
      </c>
      <c r="K395" t="str">
        <f t="shared" si="75"/>
        <v>{spd,8500}</v>
      </c>
      <c r="L395" t="str">
        <f t="shared" si="77"/>
        <v/>
      </c>
      <c r="O395" t="str">
        <f t="shared" si="78"/>
        <v>[{cd,3000},{hp,21960},{atk,149},{spd,8500}]</v>
      </c>
    </row>
    <row r="396" spans="1:15">
      <c r="A396">
        <f>Sheet1!E398</f>
        <v>109</v>
      </c>
      <c r="B396">
        <f t="shared" si="71"/>
        <v>79</v>
      </c>
      <c r="C396">
        <v>3000</v>
      </c>
      <c r="D396">
        <f>VLOOKUP(B396,[1]怪物!$N$34:$T$133,4,0)</f>
        <v>27450</v>
      </c>
      <c r="E396">
        <f>VLOOKUP(B396,[1]怪物!$N$34:$T$133,7,0)</f>
        <v>186</v>
      </c>
      <c r="F396" s="1">
        <f t="shared" si="76"/>
        <v>8500</v>
      </c>
      <c r="H396" t="str">
        <f t="shared" si="72"/>
        <v>{cd,3000}</v>
      </c>
      <c r="I396" t="str">
        <f t="shared" si="73"/>
        <v>{hp,27450}</v>
      </c>
      <c r="J396" t="str">
        <f t="shared" si="74"/>
        <v>{atk,186}</v>
      </c>
      <c r="K396" t="str">
        <f t="shared" si="75"/>
        <v>{spd,8500}</v>
      </c>
      <c r="L396" t="str">
        <f t="shared" si="77"/>
        <v/>
      </c>
      <c r="O396" t="str">
        <f t="shared" si="78"/>
        <v>[{cd,3000},{hp,27450},{atk,186},{spd,8500}]</v>
      </c>
    </row>
    <row r="397" spans="1:15">
      <c r="A397">
        <f>Sheet1!E399</f>
        <v>514</v>
      </c>
      <c r="B397">
        <f t="shared" si="71"/>
        <v>79</v>
      </c>
      <c r="C397">
        <v>3000</v>
      </c>
      <c r="D397">
        <f>VLOOKUP(B397,[1]怪物!$U$34:$Y$134,2,0)</f>
        <v>1098000</v>
      </c>
      <c r="E397">
        <f>VLOOKUP(B397,[1]怪物!$U$34:$Y$134,4,0)</f>
        <v>310</v>
      </c>
      <c r="F397" s="1">
        <f t="shared" si="76"/>
        <v>8500</v>
      </c>
      <c r="H397" t="str">
        <f t="shared" si="72"/>
        <v>{cd,3000}</v>
      </c>
      <c r="I397" t="str">
        <f t="shared" si="73"/>
        <v>{hp,1098000}</v>
      </c>
      <c r="J397" t="str">
        <f t="shared" si="74"/>
        <v>{atk,310}</v>
      </c>
      <c r="K397" t="str">
        <f t="shared" si="75"/>
        <v>{spd,8500}</v>
      </c>
      <c r="L397" t="str">
        <f t="shared" si="77"/>
        <v/>
      </c>
      <c r="O397" t="str">
        <f t="shared" si="78"/>
        <v>[{cd,3000},{hp,1098000},{atk,310},{spd,8500}]</v>
      </c>
    </row>
    <row r="398" spans="1:15">
      <c r="A398">
        <f>Sheet1!E400</f>
        <v>514</v>
      </c>
      <c r="B398">
        <f t="shared" si="71"/>
        <v>79</v>
      </c>
      <c r="C398">
        <v>3000</v>
      </c>
      <c r="D398">
        <f>VLOOKUP(B398,[1]怪物!$U$34:$Y$134,3,0)</f>
        <v>1464000</v>
      </c>
      <c r="E398">
        <f>VLOOKUP(B398,[1]怪物!$U$34:$Y$134,5,0)</f>
        <v>620</v>
      </c>
      <c r="F398" s="1">
        <f t="shared" si="76"/>
        <v>8500</v>
      </c>
      <c r="H398" t="str">
        <f t="shared" si="72"/>
        <v>{cd,3000}</v>
      </c>
      <c r="I398" t="str">
        <f t="shared" si="73"/>
        <v>{hp,1464000}</v>
      </c>
      <c r="J398" t="str">
        <f t="shared" si="74"/>
        <v>{atk,620}</v>
      </c>
      <c r="K398" t="str">
        <f t="shared" si="75"/>
        <v>{spd,8500}</v>
      </c>
      <c r="L398" t="str">
        <f t="shared" si="77"/>
        <v/>
      </c>
      <c r="O398" t="str">
        <f t="shared" si="78"/>
        <v>[{cd,3000},{hp,1464000},{atk,620},{spd,8500}]</v>
      </c>
    </row>
    <row r="399" spans="1:15">
      <c r="A399">
        <f>Sheet1!E401</f>
        <v>100</v>
      </c>
      <c r="B399">
        <f t="shared" si="71"/>
        <v>80</v>
      </c>
      <c r="C399">
        <v>3000</v>
      </c>
      <c r="D399">
        <f>VLOOKUP(B399,[1]怪物!$N$34:$T$133,2,0)</f>
        <v>19000</v>
      </c>
      <c r="E399">
        <f>VLOOKUP(B399,[1]怪物!$N$34:$T$133,5,0)</f>
        <v>130</v>
      </c>
      <c r="F399" s="1">
        <f t="shared" si="76"/>
        <v>8500</v>
      </c>
      <c r="H399" t="str">
        <f t="shared" si="72"/>
        <v>{cd,3000}</v>
      </c>
      <c r="I399" t="str">
        <f t="shared" si="73"/>
        <v>{hp,19000}</v>
      </c>
      <c r="J399" t="str">
        <f t="shared" si="74"/>
        <v>{atk,130}</v>
      </c>
      <c r="K399" t="str">
        <f t="shared" si="75"/>
        <v>{spd,8500}</v>
      </c>
      <c r="L399" t="str">
        <f t="shared" si="77"/>
        <v/>
      </c>
      <c r="O399" t="str">
        <f t="shared" si="78"/>
        <v>[{cd,3000},{hp,19000},{atk,130},{spd,8500}]</v>
      </c>
    </row>
    <row r="400" spans="1:15">
      <c r="A400">
        <f>Sheet1!E402</f>
        <v>102</v>
      </c>
      <c r="B400">
        <f t="shared" si="71"/>
        <v>80</v>
      </c>
      <c r="C400">
        <v>3000</v>
      </c>
      <c r="D400">
        <f>VLOOKUP(B400,[1]怪物!$N$34:$T$133,3,0)</f>
        <v>22800</v>
      </c>
      <c r="E400">
        <f>VLOOKUP(B400,[1]怪物!$N$34:$T$133,6,0)</f>
        <v>156</v>
      </c>
      <c r="F400" s="1">
        <f t="shared" si="76"/>
        <v>8500</v>
      </c>
      <c r="H400" t="str">
        <f t="shared" si="72"/>
        <v>{cd,3000}</v>
      </c>
      <c r="I400" t="str">
        <f t="shared" si="73"/>
        <v>{hp,22800}</v>
      </c>
      <c r="J400" t="str">
        <f t="shared" si="74"/>
        <v>{atk,156}</v>
      </c>
      <c r="K400" t="str">
        <f t="shared" si="75"/>
        <v>{spd,8500}</v>
      </c>
      <c r="L400" t="str">
        <f t="shared" si="77"/>
        <v/>
      </c>
      <c r="O400" t="str">
        <f t="shared" si="78"/>
        <v>[{cd,3000},{hp,22800},{atk,156},{spd,8500}]</v>
      </c>
    </row>
    <row r="401" spans="1:15">
      <c r="A401">
        <f>Sheet1!E403</f>
        <v>105</v>
      </c>
      <c r="B401">
        <f t="shared" si="71"/>
        <v>80</v>
      </c>
      <c r="C401">
        <v>3000</v>
      </c>
      <c r="D401">
        <f>VLOOKUP(B401,[1]怪物!$N$34:$T$133,4,0)</f>
        <v>28500</v>
      </c>
      <c r="E401">
        <f>VLOOKUP(B401,[1]怪物!$N$34:$T$133,7,0)</f>
        <v>195</v>
      </c>
      <c r="F401" s="1">
        <f t="shared" si="76"/>
        <v>8500</v>
      </c>
      <c r="H401" t="str">
        <f t="shared" si="72"/>
        <v>{cd,3000}</v>
      </c>
      <c r="I401" t="str">
        <f t="shared" si="73"/>
        <v>{hp,28500}</v>
      </c>
      <c r="J401" t="str">
        <f t="shared" si="74"/>
        <v>{atk,195}</v>
      </c>
      <c r="K401" t="str">
        <f t="shared" si="75"/>
        <v>{spd,8500}</v>
      </c>
      <c r="L401" t="str">
        <f t="shared" si="77"/>
        <v/>
      </c>
      <c r="O401" t="str">
        <f t="shared" si="78"/>
        <v>[{cd,3000},{hp,28500},{atk,195},{spd,8500}]</v>
      </c>
    </row>
    <row r="402" spans="1:15">
      <c r="A402">
        <f>Sheet1!E404</f>
        <v>502</v>
      </c>
      <c r="B402">
        <f t="shared" si="71"/>
        <v>80</v>
      </c>
      <c r="C402">
        <v>3000</v>
      </c>
      <c r="D402">
        <f>VLOOKUP(B402,[1]怪物!$U$34:$Y$134,2,0)</f>
        <v>1140000</v>
      </c>
      <c r="E402">
        <f>VLOOKUP(B402,[1]怪物!$U$34:$Y$134,4,0)</f>
        <v>325</v>
      </c>
      <c r="F402" s="1">
        <f t="shared" si="76"/>
        <v>8500</v>
      </c>
      <c r="H402" t="str">
        <f t="shared" si="72"/>
        <v>{cd,3000}</v>
      </c>
      <c r="I402" t="str">
        <f t="shared" si="73"/>
        <v>{hp,1140000}</v>
      </c>
      <c r="J402" t="str">
        <f t="shared" si="74"/>
        <v>{atk,325}</v>
      </c>
      <c r="K402" t="str">
        <f t="shared" si="75"/>
        <v>{spd,8500}</v>
      </c>
      <c r="L402" t="str">
        <f t="shared" si="77"/>
        <v/>
      </c>
      <c r="O402" t="str">
        <f t="shared" si="78"/>
        <v>[{cd,3000},{hp,1140000},{atk,325},{spd,8500}]</v>
      </c>
    </row>
    <row r="403" spans="1:15">
      <c r="A403">
        <f>Sheet1!E405</f>
        <v>500</v>
      </c>
      <c r="B403">
        <f t="shared" si="71"/>
        <v>80</v>
      </c>
      <c r="C403">
        <v>3000</v>
      </c>
      <c r="D403">
        <f>VLOOKUP(B403,[1]怪物!$U$34:$Y$134,3,0)</f>
        <v>1520000</v>
      </c>
      <c r="E403">
        <f>VLOOKUP(B403,[1]怪物!$U$34:$Y$134,5,0)</f>
        <v>650</v>
      </c>
      <c r="F403" s="1">
        <f t="shared" si="76"/>
        <v>8500</v>
      </c>
      <c r="H403" t="str">
        <f t="shared" si="72"/>
        <v>{cd,3000}</v>
      </c>
      <c r="I403" t="str">
        <f t="shared" si="73"/>
        <v>{hp,1520000}</v>
      </c>
      <c r="J403" t="str">
        <f t="shared" si="74"/>
        <v>{atk,650}</v>
      </c>
      <c r="K403" t="str">
        <f t="shared" si="75"/>
        <v>{spd,8500}</v>
      </c>
      <c r="L403" t="str">
        <f t="shared" si="77"/>
        <v/>
      </c>
      <c r="O403" t="str">
        <f t="shared" si="78"/>
        <v>[{cd,3000},{hp,1520000},{atk,650},{spd,8500}]</v>
      </c>
    </row>
    <row r="404" spans="1:15">
      <c r="A404">
        <f>Sheet1!E406</f>
        <v>111</v>
      </c>
      <c r="B404">
        <f t="shared" si="71"/>
        <v>81</v>
      </c>
      <c r="C404">
        <v>3000</v>
      </c>
      <c r="D404">
        <f>VLOOKUP(B404,[1]怪物!$N$34:$T$133,2,0)</f>
        <v>18500</v>
      </c>
      <c r="E404">
        <f>VLOOKUP(B404,[1]怪物!$N$34:$T$133,5,0)</f>
        <v>126</v>
      </c>
      <c r="F404" s="1">
        <f t="shared" si="76"/>
        <v>8500</v>
      </c>
      <c r="H404" t="str">
        <f t="shared" si="72"/>
        <v>{cd,3000}</v>
      </c>
      <c r="I404" t="str">
        <f t="shared" si="73"/>
        <v>{hp,18500}</v>
      </c>
      <c r="J404" t="str">
        <f t="shared" si="74"/>
        <v>{atk,126}</v>
      </c>
      <c r="K404" t="str">
        <f t="shared" si="75"/>
        <v>{spd,8500}</v>
      </c>
      <c r="L404" t="str">
        <f t="shared" si="77"/>
        <v/>
      </c>
      <c r="O404" t="str">
        <f t="shared" si="78"/>
        <v>[{cd,3000},{hp,18500},{atk,126},{spd,8500}]</v>
      </c>
    </row>
    <row r="405" spans="1:15">
      <c r="A405">
        <f>Sheet1!E407</f>
        <v>115</v>
      </c>
      <c r="B405">
        <f t="shared" si="71"/>
        <v>81</v>
      </c>
      <c r="C405">
        <v>3000</v>
      </c>
      <c r="D405">
        <f>VLOOKUP(B405,[1]怪物!$N$34:$T$133,3,0)</f>
        <v>22200</v>
      </c>
      <c r="E405">
        <f>VLOOKUP(B405,[1]怪物!$N$34:$T$133,6,0)</f>
        <v>151</v>
      </c>
      <c r="F405" s="1">
        <f t="shared" si="76"/>
        <v>8500</v>
      </c>
      <c r="H405" t="str">
        <f t="shared" si="72"/>
        <v>{cd,3000}</v>
      </c>
      <c r="I405" t="str">
        <f t="shared" si="73"/>
        <v>{hp,22200}</v>
      </c>
      <c r="J405" t="str">
        <f t="shared" si="74"/>
        <v>{atk,151}</v>
      </c>
      <c r="K405" t="str">
        <f t="shared" si="75"/>
        <v>{spd,8500}</v>
      </c>
      <c r="L405" t="str">
        <f t="shared" si="77"/>
        <v/>
      </c>
      <c r="O405" t="str">
        <f t="shared" si="78"/>
        <v>[{cd,3000},{hp,22200},{atk,151},{spd,8500}]</v>
      </c>
    </row>
    <row r="406" spans="1:15">
      <c r="A406">
        <f>Sheet1!E408</f>
        <v>113</v>
      </c>
      <c r="B406">
        <f t="shared" si="71"/>
        <v>81</v>
      </c>
      <c r="C406">
        <v>3000</v>
      </c>
      <c r="D406">
        <f>VLOOKUP(B406,[1]怪物!$N$34:$T$133,4,0)</f>
        <v>27750</v>
      </c>
      <c r="E406">
        <f>VLOOKUP(B406,[1]怪物!$N$34:$T$133,7,0)</f>
        <v>189</v>
      </c>
      <c r="F406" s="1">
        <f t="shared" si="76"/>
        <v>8500</v>
      </c>
      <c r="H406" t="str">
        <f t="shared" si="72"/>
        <v>{cd,3000}</v>
      </c>
      <c r="I406" t="str">
        <f t="shared" si="73"/>
        <v>{hp,27750}</v>
      </c>
      <c r="J406" t="str">
        <f t="shared" si="74"/>
        <v>{atk,189}</v>
      </c>
      <c r="K406" t="str">
        <f t="shared" si="75"/>
        <v>{spd,8500}</v>
      </c>
      <c r="L406" t="str">
        <f t="shared" si="77"/>
        <v/>
      </c>
      <c r="O406" t="str">
        <f t="shared" si="78"/>
        <v>[{cd,3000},{hp,27750},{atk,189},{spd,8500}]</v>
      </c>
    </row>
    <row r="407" spans="1:15">
      <c r="A407">
        <f>Sheet1!E409</f>
        <v>515</v>
      </c>
      <c r="B407">
        <f t="shared" si="71"/>
        <v>81</v>
      </c>
      <c r="C407">
        <v>3000</v>
      </c>
      <c r="D407">
        <f>VLOOKUP(B407,[1]怪物!$U$34:$Y$134,2,0)</f>
        <v>1110000</v>
      </c>
      <c r="E407">
        <f>VLOOKUP(B407,[1]怪物!$U$34:$Y$134,4,0)</f>
        <v>315</v>
      </c>
      <c r="F407" s="1">
        <f t="shared" si="76"/>
        <v>8500</v>
      </c>
      <c r="H407" t="str">
        <f t="shared" si="72"/>
        <v>{cd,3000}</v>
      </c>
      <c r="I407" t="str">
        <f t="shared" si="73"/>
        <v>{hp,1110000}</v>
      </c>
      <c r="J407" t="str">
        <f t="shared" si="74"/>
        <v>{atk,315}</v>
      </c>
      <c r="K407" t="str">
        <f t="shared" si="75"/>
        <v>{spd,8500}</v>
      </c>
      <c r="L407" t="str">
        <f t="shared" si="77"/>
        <v/>
      </c>
      <c r="O407" t="str">
        <f t="shared" si="78"/>
        <v>[{cd,3000},{hp,1110000},{atk,315},{spd,8500}]</v>
      </c>
    </row>
    <row r="408" spans="1:15">
      <c r="A408">
        <f>Sheet1!E410</f>
        <v>515</v>
      </c>
      <c r="B408">
        <f t="shared" si="71"/>
        <v>81</v>
      </c>
      <c r="C408">
        <v>3000</v>
      </c>
      <c r="D408">
        <f>VLOOKUP(B408,[1]怪物!$U$34:$Y$134,3,0)</f>
        <v>1480000</v>
      </c>
      <c r="E408">
        <f>VLOOKUP(B408,[1]怪物!$U$34:$Y$134,5,0)</f>
        <v>630</v>
      </c>
      <c r="F408" s="1">
        <f t="shared" si="76"/>
        <v>8500</v>
      </c>
      <c r="H408" t="str">
        <f t="shared" si="72"/>
        <v>{cd,3000}</v>
      </c>
      <c r="I408" t="str">
        <f t="shared" si="73"/>
        <v>{hp,1480000}</v>
      </c>
      <c r="J408" t="str">
        <f t="shared" si="74"/>
        <v>{atk,630}</v>
      </c>
      <c r="K408" t="str">
        <f t="shared" si="75"/>
        <v>{spd,8500}</v>
      </c>
      <c r="L408" t="str">
        <f t="shared" si="77"/>
        <v/>
      </c>
      <c r="O408" t="str">
        <f t="shared" si="78"/>
        <v>[{cd,3000},{hp,1480000},{atk,630},{spd,8500}]</v>
      </c>
    </row>
    <row r="409" spans="1:15">
      <c r="A409">
        <f>Sheet1!E411</f>
        <v>115</v>
      </c>
      <c r="B409">
        <f t="shared" si="71"/>
        <v>82</v>
      </c>
      <c r="C409">
        <v>3000</v>
      </c>
      <c r="D409">
        <f>VLOOKUP(B409,[1]怪物!$N$34:$T$133,2,0)</f>
        <v>18900</v>
      </c>
      <c r="E409">
        <f>VLOOKUP(B409,[1]怪物!$N$34:$T$133,5,0)</f>
        <v>128</v>
      </c>
      <c r="F409" s="1">
        <f t="shared" si="76"/>
        <v>8500</v>
      </c>
      <c r="H409" t="str">
        <f t="shared" si="72"/>
        <v>{cd,3000}</v>
      </c>
      <c r="I409" t="str">
        <f t="shared" si="73"/>
        <v>{hp,18900}</v>
      </c>
      <c r="J409" t="str">
        <f t="shared" si="74"/>
        <v>{atk,128}</v>
      </c>
      <c r="K409" t="str">
        <f t="shared" si="75"/>
        <v>{spd,8500}</v>
      </c>
      <c r="L409" t="str">
        <f t="shared" si="77"/>
        <v/>
      </c>
      <c r="O409" t="str">
        <f t="shared" si="78"/>
        <v>[{cd,3000},{hp,18900},{atk,128},{spd,8500}]</v>
      </c>
    </row>
    <row r="410" spans="1:15">
      <c r="A410">
        <f>Sheet1!E412</f>
        <v>113</v>
      </c>
      <c r="B410">
        <f t="shared" si="71"/>
        <v>82</v>
      </c>
      <c r="C410">
        <v>3000</v>
      </c>
      <c r="D410">
        <f>VLOOKUP(B410,[1]怪物!$N$34:$T$133,3,0)</f>
        <v>22680</v>
      </c>
      <c r="E410">
        <f>VLOOKUP(B410,[1]怪物!$N$34:$T$133,6,0)</f>
        <v>154</v>
      </c>
      <c r="F410" s="1">
        <f t="shared" si="76"/>
        <v>8500</v>
      </c>
      <c r="H410" t="str">
        <f t="shared" si="72"/>
        <v>{cd,3000}</v>
      </c>
      <c r="I410" t="str">
        <f t="shared" si="73"/>
        <v>{hp,22680}</v>
      </c>
      <c r="J410" t="str">
        <f t="shared" si="74"/>
        <v>{atk,154}</v>
      </c>
      <c r="K410" t="str">
        <f t="shared" si="75"/>
        <v>{spd,8500}</v>
      </c>
      <c r="L410" t="str">
        <f t="shared" si="77"/>
        <v/>
      </c>
      <c r="O410" t="str">
        <f t="shared" si="78"/>
        <v>[{cd,3000},{hp,22680},{atk,154},{spd,8500}]</v>
      </c>
    </row>
    <row r="411" spans="1:15">
      <c r="A411">
        <f>Sheet1!E413</f>
        <v>113</v>
      </c>
      <c r="B411">
        <f t="shared" si="71"/>
        <v>82</v>
      </c>
      <c r="C411">
        <v>3000</v>
      </c>
      <c r="D411">
        <f>VLOOKUP(B411,[1]怪物!$N$34:$T$133,4,0)</f>
        <v>28350</v>
      </c>
      <c r="E411">
        <f>VLOOKUP(B411,[1]怪物!$N$34:$T$133,7,0)</f>
        <v>192</v>
      </c>
      <c r="F411" s="1">
        <f t="shared" si="76"/>
        <v>8500</v>
      </c>
      <c r="H411" t="str">
        <f t="shared" si="72"/>
        <v>{cd,3000}</v>
      </c>
      <c r="I411" t="str">
        <f t="shared" si="73"/>
        <v>{hp,28350}</v>
      </c>
      <c r="J411" t="str">
        <f t="shared" si="74"/>
        <v>{atk,192}</v>
      </c>
      <c r="K411" t="str">
        <f t="shared" si="75"/>
        <v>{spd,8500}</v>
      </c>
      <c r="L411" t="str">
        <f t="shared" si="77"/>
        <v/>
      </c>
      <c r="O411" t="str">
        <f t="shared" si="78"/>
        <v>[{cd,3000},{hp,28350},{atk,192},{spd,8500}]</v>
      </c>
    </row>
    <row r="412" spans="1:15">
      <c r="A412">
        <f>Sheet1!E414</f>
        <v>515</v>
      </c>
      <c r="B412">
        <f t="shared" si="71"/>
        <v>82</v>
      </c>
      <c r="C412">
        <v>3000</v>
      </c>
      <c r="D412">
        <f>VLOOKUP(B412,[1]怪物!$U$34:$Y$134,2,0)</f>
        <v>1134000</v>
      </c>
      <c r="E412">
        <f>VLOOKUP(B412,[1]怪物!$U$34:$Y$134,4,0)</f>
        <v>320</v>
      </c>
      <c r="F412" s="1">
        <f t="shared" si="76"/>
        <v>8500</v>
      </c>
      <c r="H412" t="str">
        <f t="shared" si="72"/>
        <v>{cd,3000}</v>
      </c>
      <c r="I412" t="str">
        <f t="shared" si="73"/>
        <v>{hp,1134000}</v>
      </c>
      <c r="J412" t="str">
        <f t="shared" si="74"/>
        <v>{atk,320}</v>
      </c>
      <c r="K412" t="str">
        <f t="shared" si="75"/>
        <v>{spd,8500}</v>
      </c>
      <c r="L412" t="str">
        <f t="shared" si="77"/>
        <v/>
      </c>
      <c r="O412" t="str">
        <f t="shared" si="78"/>
        <v>[{cd,3000},{hp,1134000},{atk,320},{spd,8500}]</v>
      </c>
    </row>
    <row r="413" spans="1:15">
      <c r="A413">
        <f>Sheet1!E415</f>
        <v>515</v>
      </c>
      <c r="B413">
        <f t="shared" si="71"/>
        <v>82</v>
      </c>
      <c r="C413">
        <v>3000</v>
      </c>
      <c r="D413">
        <f>VLOOKUP(B413,[1]怪物!$U$34:$Y$134,3,0)</f>
        <v>1512000</v>
      </c>
      <c r="E413">
        <f>VLOOKUP(B413,[1]怪物!$U$34:$Y$134,5,0)</f>
        <v>640</v>
      </c>
      <c r="F413" s="1">
        <f t="shared" si="76"/>
        <v>8500</v>
      </c>
      <c r="H413" t="str">
        <f t="shared" si="72"/>
        <v>{cd,3000}</v>
      </c>
      <c r="I413" t="str">
        <f t="shared" si="73"/>
        <v>{hp,1512000}</v>
      </c>
      <c r="J413" t="str">
        <f t="shared" si="74"/>
        <v>{atk,640}</v>
      </c>
      <c r="K413" t="str">
        <f t="shared" si="75"/>
        <v>{spd,8500}</v>
      </c>
      <c r="L413" t="str">
        <f t="shared" si="77"/>
        <v/>
      </c>
      <c r="O413" t="str">
        <f t="shared" si="78"/>
        <v>[{cd,3000},{hp,1512000},{atk,640},{spd,8500}]</v>
      </c>
    </row>
    <row r="414" spans="1:15">
      <c r="A414">
        <f>Sheet1!E416</f>
        <v>108</v>
      </c>
      <c r="B414">
        <f t="shared" si="71"/>
        <v>83</v>
      </c>
      <c r="C414">
        <v>3000</v>
      </c>
      <c r="D414">
        <f>VLOOKUP(B414,[1]怪物!$N$34:$T$133,2,0)</f>
        <v>19500</v>
      </c>
      <c r="E414">
        <f>VLOOKUP(B414,[1]怪物!$N$34:$T$133,5,0)</f>
        <v>130</v>
      </c>
      <c r="F414" s="1">
        <f t="shared" si="76"/>
        <v>8500</v>
      </c>
      <c r="H414" t="str">
        <f t="shared" si="72"/>
        <v>{cd,3000}</v>
      </c>
      <c r="I414" t="str">
        <f t="shared" si="73"/>
        <v>{hp,19500}</v>
      </c>
      <c r="J414" t="str">
        <f t="shared" si="74"/>
        <v>{atk,130}</v>
      </c>
      <c r="K414" t="str">
        <f t="shared" si="75"/>
        <v>{spd,8500}</v>
      </c>
      <c r="L414" t="str">
        <f t="shared" si="77"/>
        <v/>
      </c>
      <c r="O414" t="str">
        <f t="shared" si="78"/>
        <v>[{cd,3000},{hp,19500},{atk,130},{spd,8500}]</v>
      </c>
    </row>
    <row r="415" spans="1:15">
      <c r="A415">
        <f>Sheet1!E417</f>
        <v>109</v>
      </c>
      <c r="B415">
        <f t="shared" si="71"/>
        <v>83</v>
      </c>
      <c r="C415">
        <v>3000</v>
      </c>
      <c r="D415">
        <f>VLOOKUP(B415,[1]怪物!$N$34:$T$133,3,0)</f>
        <v>23400</v>
      </c>
      <c r="E415">
        <f>VLOOKUP(B415,[1]怪物!$N$34:$T$133,6,0)</f>
        <v>156</v>
      </c>
      <c r="F415" s="1">
        <f t="shared" si="76"/>
        <v>8500</v>
      </c>
      <c r="H415" t="str">
        <f t="shared" si="72"/>
        <v>{cd,3000}</v>
      </c>
      <c r="I415" t="str">
        <f t="shared" si="73"/>
        <v>{hp,23400}</v>
      </c>
      <c r="J415" t="str">
        <f t="shared" si="74"/>
        <v>{atk,156}</v>
      </c>
      <c r="K415" t="str">
        <f t="shared" si="75"/>
        <v>{spd,8500}</v>
      </c>
      <c r="L415" t="str">
        <f t="shared" si="77"/>
        <v/>
      </c>
      <c r="O415" t="str">
        <f t="shared" si="78"/>
        <v>[{cd,3000},{hp,23400},{atk,156},{spd,8500}]</v>
      </c>
    </row>
    <row r="416" spans="1:15">
      <c r="A416">
        <f>Sheet1!E418</f>
        <v>109</v>
      </c>
      <c r="B416">
        <f t="shared" si="71"/>
        <v>83</v>
      </c>
      <c r="C416">
        <v>3000</v>
      </c>
      <c r="D416">
        <f>VLOOKUP(B416,[1]怪物!$N$34:$T$133,4,0)</f>
        <v>29250</v>
      </c>
      <c r="E416">
        <f>VLOOKUP(B416,[1]怪物!$N$34:$T$133,7,0)</f>
        <v>195</v>
      </c>
      <c r="F416" s="1">
        <f t="shared" si="76"/>
        <v>8500</v>
      </c>
      <c r="H416" t="str">
        <f t="shared" si="72"/>
        <v>{cd,3000}</v>
      </c>
      <c r="I416" t="str">
        <f t="shared" si="73"/>
        <v>{hp,29250}</v>
      </c>
      <c r="J416" t="str">
        <f t="shared" si="74"/>
        <v>{atk,195}</v>
      </c>
      <c r="K416" t="str">
        <f t="shared" si="75"/>
        <v>{spd,8500}</v>
      </c>
      <c r="L416" t="str">
        <f t="shared" si="77"/>
        <v/>
      </c>
      <c r="O416" t="str">
        <f t="shared" si="78"/>
        <v>[{cd,3000},{hp,29250},{atk,195},{spd,8500}]</v>
      </c>
    </row>
    <row r="417" spans="1:15">
      <c r="A417">
        <f>Sheet1!E419</f>
        <v>508</v>
      </c>
      <c r="B417">
        <f t="shared" si="71"/>
        <v>83</v>
      </c>
      <c r="C417">
        <v>3000</v>
      </c>
      <c r="D417">
        <f>VLOOKUP(B417,[1]怪物!$U$34:$Y$134,2,0)</f>
        <v>1170000</v>
      </c>
      <c r="E417">
        <f>VLOOKUP(B417,[1]怪物!$U$34:$Y$134,4,0)</f>
        <v>325</v>
      </c>
      <c r="F417" s="1">
        <f t="shared" si="76"/>
        <v>8500</v>
      </c>
      <c r="H417" t="str">
        <f t="shared" si="72"/>
        <v>{cd,3000}</v>
      </c>
      <c r="I417" t="str">
        <f t="shared" si="73"/>
        <v>{hp,1170000}</v>
      </c>
      <c r="J417" t="str">
        <f t="shared" si="74"/>
        <v>{atk,325}</v>
      </c>
      <c r="K417" t="str">
        <f t="shared" si="75"/>
        <v>{spd,8500}</v>
      </c>
      <c r="L417" t="str">
        <f t="shared" si="77"/>
        <v/>
      </c>
      <c r="O417" t="str">
        <f t="shared" si="78"/>
        <v>[{cd,3000},{hp,1170000},{atk,325},{spd,8500}]</v>
      </c>
    </row>
    <row r="418" spans="1:15">
      <c r="A418">
        <f>Sheet1!E420</f>
        <v>508</v>
      </c>
      <c r="B418">
        <f t="shared" si="71"/>
        <v>83</v>
      </c>
      <c r="C418">
        <v>3000</v>
      </c>
      <c r="D418">
        <f>VLOOKUP(B418,[1]怪物!$U$34:$Y$134,3,0)</f>
        <v>1560000</v>
      </c>
      <c r="E418">
        <f>VLOOKUP(B418,[1]怪物!$U$34:$Y$134,5,0)</f>
        <v>650</v>
      </c>
      <c r="F418" s="1">
        <f t="shared" si="76"/>
        <v>8500</v>
      </c>
      <c r="H418" t="str">
        <f t="shared" si="72"/>
        <v>{cd,3000}</v>
      </c>
      <c r="I418" t="str">
        <f t="shared" si="73"/>
        <v>{hp,1560000}</v>
      </c>
      <c r="J418" t="str">
        <f t="shared" si="74"/>
        <v>{atk,650}</v>
      </c>
      <c r="K418" t="str">
        <f t="shared" si="75"/>
        <v>{spd,8500}</v>
      </c>
      <c r="L418" t="str">
        <f t="shared" si="77"/>
        <v/>
      </c>
      <c r="O418" t="str">
        <f t="shared" si="78"/>
        <v>[{cd,3000},{hp,1560000},{atk,650},{spd,8500}]</v>
      </c>
    </row>
    <row r="419" spans="1:15">
      <c r="A419">
        <f>Sheet1!E421</f>
        <v>108</v>
      </c>
      <c r="B419">
        <f t="shared" si="71"/>
        <v>84</v>
      </c>
      <c r="C419">
        <v>3000</v>
      </c>
      <c r="D419">
        <f>VLOOKUP(B419,[1]怪物!$N$34:$T$133,2,0)</f>
        <v>20300</v>
      </c>
      <c r="E419">
        <f>VLOOKUP(B419,[1]怪物!$N$34:$T$133,5,0)</f>
        <v>132</v>
      </c>
      <c r="F419" s="1">
        <f t="shared" si="76"/>
        <v>8500</v>
      </c>
      <c r="H419" t="str">
        <f t="shared" si="72"/>
        <v>{cd,3000}</v>
      </c>
      <c r="I419" t="str">
        <f t="shared" si="73"/>
        <v>{hp,20300}</v>
      </c>
      <c r="J419" t="str">
        <f t="shared" si="74"/>
        <v>{atk,132}</v>
      </c>
      <c r="K419" t="str">
        <f t="shared" si="75"/>
        <v>{spd,8500}</v>
      </c>
      <c r="L419" t="str">
        <f t="shared" si="77"/>
        <v/>
      </c>
      <c r="O419" t="str">
        <f t="shared" si="78"/>
        <v>[{cd,3000},{hp,20300},{atk,132},{spd,8500}]</v>
      </c>
    </row>
    <row r="420" spans="1:15">
      <c r="A420">
        <f>Sheet1!E422</f>
        <v>109</v>
      </c>
      <c r="B420">
        <f t="shared" si="71"/>
        <v>84</v>
      </c>
      <c r="C420">
        <v>3000</v>
      </c>
      <c r="D420">
        <f>VLOOKUP(B420,[1]怪物!$N$34:$T$133,3,0)</f>
        <v>24360</v>
      </c>
      <c r="E420">
        <f>VLOOKUP(B420,[1]怪物!$N$34:$T$133,6,0)</f>
        <v>158</v>
      </c>
      <c r="F420" s="1">
        <f t="shared" si="76"/>
        <v>8500</v>
      </c>
      <c r="H420" t="str">
        <f t="shared" si="72"/>
        <v>{cd,3000}</v>
      </c>
      <c r="I420" t="str">
        <f t="shared" si="73"/>
        <v>{hp,24360}</v>
      </c>
      <c r="J420" t="str">
        <f t="shared" si="74"/>
        <v>{atk,158}</v>
      </c>
      <c r="K420" t="str">
        <f t="shared" si="75"/>
        <v>{spd,8500}</v>
      </c>
      <c r="L420" t="str">
        <f t="shared" si="77"/>
        <v/>
      </c>
      <c r="O420" t="str">
        <f t="shared" si="78"/>
        <v>[{cd,3000},{hp,24360},{atk,158},{spd,8500}]</v>
      </c>
    </row>
    <row r="421" spans="1:15">
      <c r="A421">
        <f>Sheet1!E423</f>
        <v>110</v>
      </c>
      <c r="B421">
        <f t="shared" si="71"/>
        <v>84</v>
      </c>
      <c r="C421">
        <v>3000</v>
      </c>
      <c r="D421">
        <f>VLOOKUP(B421,[1]怪物!$N$34:$T$133,4,0)</f>
        <v>30450</v>
      </c>
      <c r="E421">
        <f>VLOOKUP(B421,[1]怪物!$N$34:$T$133,7,0)</f>
        <v>198</v>
      </c>
      <c r="F421" s="1">
        <f t="shared" si="76"/>
        <v>8500</v>
      </c>
      <c r="H421" t="str">
        <f t="shared" si="72"/>
        <v>{cd,3000}</v>
      </c>
      <c r="I421" t="str">
        <f t="shared" si="73"/>
        <v>{hp,30450}</v>
      </c>
      <c r="J421" t="str">
        <f t="shared" si="74"/>
        <v>{atk,198}</v>
      </c>
      <c r="K421" t="str">
        <f t="shared" si="75"/>
        <v>{spd,8500}</v>
      </c>
      <c r="L421" t="str">
        <f t="shared" si="77"/>
        <v/>
      </c>
      <c r="O421" t="str">
        <f t="shared" si="78"/>
        <v>[{cd,3000},{hp,30450},{atk,198},{spd,8500}]</v>
      </c>
    </row>
    <row r="422" spans="1:15">
      <c r="A422">
        <f>Sheet1!E424</f>
        <v>509</v>
      </c>
      <c r="B422">
        <f t="shared" si="71"/>
        <v>84</v>
      </c>
      <c r="C422">
        <v>3000</v>
      </c>
      <c r="D422">
        <f>VLOOKUP(B422,[1]怪物!$U$34:$Y$134,2,0)</f>
        <v>1218000</v>
      </c>
      <c r="E422">
        <f>VLOOKUP(B422,[1]怪物!$U$34:$Y$134,4,0)</f>
        <v>330</v>
      </c>
      <c r="F422" s="1">
        <f t="shared" si="76"/>
        <v>8500</v>
      </c>
      <c r="H422" t="str">
        <f t="shared" si="72"/>
        <v>{cd,3000}</v>
      </c>
      <c r="I422" t="str">
        <f t="shared" si="73"/>
        <v>{hp,1218000}</v>
      </c>
      <c r="J422" t="str">
        <f t="shared" si="74"/>
        <v>{atk,330}</v>
      </c>
      <c r="K422" t="str">
        <f t="shared" si="75"/>
        <v>{spd,8500}</v>
      </c>
      <c r="L422" t="str">
        <f t="shared" si="77"/>
        <v/>
      </c>
      <c r="O422" t="str">
        <f t="shared" si="78"/>
        <v>[{cd,3000},{hp,1218000},{atk,330},{spd,8500}]</v>
      </c>
    </row>
    <row r="423" spans="1:15">
      <c r="A423">
        <f>Sheet1!E425</f>
        <v>509</v>
      </c>
      <c r="B423">
        <f t="shared" si="71"/>
        <v>84</v>
      </c>
      <c r="C423">
        <v>3000</v>
      </c>
      <c r="D423">
        <f>VLOOKUP(B423,[1]怪物!$U$34:$Y$134,3,0)</f>
        <v>1624000</v>
      </c>
      <c r="E423">
        <f>VLOOKUP(B423,[1]怪物!$U$34:$Y$134,5,0)</f>
        <v>660</v>
      </c>
      <c r="F423" s="1">
        <f t="shared" si="76"/>
        <v>8500</v>
      </c>
      <c r="H423" t="str">
        <f t="shared" si="72"/>
        <v>{cd,3000}</v>
      </c>
      <c r="I423" t="str">
        <f t="shared" si="73"/>
        <v>{hp,1624000}</v>
      </c>
      <c r="J423" t="str">
        <f t="shared" si="74"/>
        <v>{atk,660}</v>
      </c>
      <c r="K423" t="str">
        <f t="shared" si="75"/>
        <v>{spd,8500}</v>
      </c>
      <c r="L423" t="str">
        <f t="shared" si="77"/>
        <v/>
      </c>
      <c r="O423" t="str">
        <f t="shared" si="78"/>
        <v>[{cd,3000},{hp,1624000},{atk,660},{spd,8500}]</v>
      </c>
    </row>
    <row r="424" spans="1:15">
      <c r="A424">
        <f>Sheet1!E426</f>
        <v>100</v>
      </c>
      <c r="B424">
        <f t="shared" si="71"/>
        <v>85</v>
      </c>
      <c r="C424">
        <v>3000</v>
      </c>
      <c r="D424">
        <f>VLOOKUP(B424,[1]怪物!$N$34:$T$133,2,0)</f>
        <v>21000</v>
      </c>
      <c r="E424">
        <f>VLOOKUP(B424,[1]怪物!$N$34:$T$133,5,0)</f>
        <v>140</v>
      </c>
      <c r="F424" s="1">
        <f t="shared" si="76"/>
        <v>8500</v>
      </c>
      <c r="H424" t="str">
        <f t="shared" si="72"/>
        <v>{cd,3000}</v>
      </c>
      <c r="I424" t="str">
        <f t="shared" si="73"/>
        <v>{hp,21000}</v>
      </c>
      <c r="J424" t="str">
        <f t="shared" si="74"/>
        <v>{atk,140}</v>
      </c>
      <c r="K424" t="str">
        <f t="shared" si="75"/>
        <v>{spd,8500}</v>
      </c>
      <c r="L424" t="str">
        <f t="shared" si="77"/>
        <v/>
      </c>
      <c r="O424" t="str">
        <f t="shared" si="78"/>
        <v>[{cd,3000},{hp,21000},{atk,140},{spd,8500}]</v>
      </c>
    </row>
    <row r="425" spans="1:15">
      <c r="A425">
        <f>Sheet1!E427</f>
        <v>102</v>
      </c>
      <c r="B425">
        <f t="shared" si="71"/>
        <v>85</v>
      </c>
      <c r="C425">
        <v>3000</v>
      </c>
      <c r="D425">
        <f>VLOOKUP(B425,[1]怪物!$N$34:$T$133,3,0)</f>
        <v>25200</v>
      </c>
      <c r="E425">
        <f>VLOOKUP(B425,[1]怪物!$N$34:$T$133,6,0)</f>
        <v>168</v>
      </c>
      <c r="F425" s="1">
        <f t="shared" si="76"/>
        <v>8500</v>
      </c>
      <c r="H425" t="str">
        <f t="shared" si="72"/>
        <v>{cd,3000}</v>
      </c>
      <c r="I425" t="str">
        <f t="shared" si="73"/>
        <v>{hp,25200}</v>
      </c>
      <c r="J425" t="str">
        <f t="shared" si="74"/>
        <v>{atk,168}</v>
      </c>
      <c r="K425" t="str">
        <f t="shared" si="75"/>
        <v>{spd,8500}</v>
      </c>
      <c r="L425" t="str">
        <f t="shared" si="77"/>
        <v/>
      </c>
      <c r="O425" t="str">
        <f t="shared" si="78"/>
        <v>[{cd,3000},{hp,25200},{atk,168},{spd,8500}]</v>
      </c>
    </row>
    <row r="426" spans="1:15">
      <c r="A426">
        <f>Sheet1!E428</f>
        <v>105</v>
      </c>
      <c r="B426">
        <f t="shared" si="71"/>
        <v>85</v>
      </c>
      <c r="C426">
        <v>3000</v>
      </c>
      <c r="D426">
        <f>VLOOKUP(B426,[1]怪物!$N$34:$T$133,4,0)</f>
        <v>31500</v>
      </c>
      <c r="E426">
        <f>VLOOKUP(B426,[1]怪物!$N$34:$T$133,7,0)</f>
        <v>210</v>
      </c>
      <c r="F426" s="1">
        <f t="shared" si="76"/>
        <v>8500</v>
      </c>
      <c r="H426" t="str">
        <f t="shared" si="72"/>
        <v>{cd,3000}</v>
      </c>
      <c r="I426" t="str">
        <f t="shared" si="73"/>
        <v>{hp,31500}</v>
      </c>
      <c r="J426" t="str">
        <f t="shared" si="74"/>
        <v>{atk,210}</v>
      </c>
      <c r="K426" t="str">
        <f t="shared" si="75"/>
        <v>{spd,8500}</v>
      </c>
      <c r="L426" t="str">
        <f t="shared" si="77"/>
        <v/>
      </c>
      <c r="O426" t="str">
        <f t="shared" si="78"/>
        <v>[{cd,3000},{hp,31500},{atk,210},{spd,8500}]</v>
      </c>
    </row>
    <row r="427" spans="1:15">
      <c r="A427">
        <f>Sheet1!E429</f>
        <v>502</v>
      </c>
      <c r="B427">
        <f t="shared" si="71"/>
        <v>85</v>
      </c>
      <c r="C427">
        <v>3000</v>
      </c>
      <c r="D427">
        <f>VLOOKUP(B427,[1]怪物!$U$34:$Y$134,2,0)</f>
        <v>1260000</v>
      </c>
      <c r="E427">
        <f>VLOOKUP(B427,[1]怪物!$U$34:$Y$134,4,0)</f>
        <v>350</v>
      </c>
      <c r="F427" s="1">
        <f t="shared" si="76"/>
        <v>8500</v>
      </c>
      <c r="H427" t="str">
        <f t="shared" si="72"/>
        <v>{cd,3000}</v>
      </c>
      <c r="I427" t="str">
        <f t="shared" si="73"/>
        <v>{hp,1260000}</v>
      </c>
      <c r="J427" t="str">
        <f t="shared" si="74"/>
        <v>{atk,350}</v>
      </c>
      <c r="K427" t="str">
        <f t="shared" si="75"/>
        <v>{spd,8500}</v>
      </c>
      <c r="L427" t="str">
        <f t="shared" si="77"/>
        <v/>
      </c>
      <c r="O427" t="str">
        <f t="shared" si="78"/>
        <v>[{cd,3000},{hp,1260000},{atk,350},{spd,8500}]</v>
      </c>
    </row>
    <row r="428" spans="1:15">
      <c r="A428">
        <f>Sheet1!E430</f>
        <v>500</v>
      </c>
      <c r="B428">
        <f t="shared" si="71"/>
        <v>85</v>
      </c>
      <c r="C428">
        <v>3000</v>
      </c>
      <c r="D428">
        <f>VLOOKUP(B428,[1]怪物!$U$34:$Y$134,3,0)</f>
        <v>1680000</v>
      </c>
      <c r="E428">
        <f>VLOOKUP(B428,[1]怪物!$U$34:$Y$134,5,0)</f>
        <v>700</v>
      </c>
      <c r="F428" s="1">
        <f t="shared" si="76"/>
        <v>8500</v>
      </c>
      <c r="H428" t="str">
        <f t="shared" si="72"/>
        <v>{cd,3000}</v>
      </c>
      <c r="I428" t="str">
        <f t="shared" si="73"/>
        <v>{hp,1680000}</v>
      </c>
      <c r="J428" t="str">
        <f t="shared" si="74"/>
        <v>{atk,700}</v>
      </c>
      <c r="K428" t="str">
        <f t="shared" si="75"/>
        <v>{spd,8500}</v>
      </c>
      <c r="L428" t="str">
        <f t="shared" si="77"/>
        <v/>
      </c>
      <c r="O428" t="str">
        <f t="shared" si="78"/>
        <v>[{cd,3000},{hp,1680000},{atk,700},{spd,8500}]</v>
      </c>
    </row>
    <row r="429" spans="1:15">
      <c r="A429">
        <f>Sheet1!E431</f>
        <v>111</v>
      </c>
      <c r="B429">
        <f t="shared" si="71"/>
        <v>86</v>
      </c>
      <c r="C429">
        <v>3000</v>
      </c>
      <c r="D429">
        <f>VLOOKUP(B429,[1]怪物!$N$34:$T$133,2,0)</f>
        <v>20500</v>
      </c>
      <c r="E429">
        <f>VLOOKUP(B429,[1]怪物!$N$34:$T$133,5,0)</f>
        <v>134</v>
      </c>
      <c r="F429" s="1">
        <f t="shared" si="76"/>
        <v>8500</v>
      </c>
      <c r="H429" t="str">
        <f t="shared" ref="H429:H453" si="79">$C$2&amp;C$3&amp;$D$2&amp;C429&amp;$E$2</f>
        <v>{cd,3000}</v>
      </c>
      <c r="I429" t="str">
        <f t="shared" ref="I429:I453" si="80">$C$2&amp;D$3&amp;$D$2&amp;D429&amp;$E$2</f>
        <v>{hp,20500}</v>
      </c>
      <c r="J429" t="str">
        <f t="shared" ref="J429:J453" si="81">$C$2&amp;E$3&amp;$D$2&amp;E429&amp;$E$2</f>
        <v>{atk,134}</v>
      </c>
      <c r="K429" t="str">
        <f t="shared" ref="K429:K453" si="82">$C$2&amp;F$3&amp;$D$2&amp;F429&amp;$E$2</f>
        <v>{spd,8500}</v>
      </c>
      <c r="L429" t="str">
        <f t="shared" si="77"/>
        <v/>
      </c>
      <c r="O429" t="str">
        <f t="shared" si="78"/>
        <v>[{cd,3000},{hp,20500},{atk,134},{spd,8500}]</v>
      </c>
    </row>
    <row r="430" spans="1:15">
      <c r="A430">
        <f>Sheet1!E432</f>
        <v>112</v>
      </c>
      <c r="B430">
        <f t="shared" si="71"/>
        <v>86</v>
      </c>
      <c r="C430">
        <v>3000</v>
      </c>
      <c r="D430">
        <f>VLOOKUP(B430,[1]怪物!$N$34:$T$133,3,0)</f>
        <v>24600</v>
      </c>
      <c r="E430">
        <f>VLOOKUP(B430,[1]怪物!$N$34:$T$133,6,0)</f>
        <v>161</v>
      </c>
      <c r="F430" s="1">
        <f t="shared" si="76"/>
        <v>8500</v>
      </c>
      <c r="H430" t="str">
        <f t="shared" si="79"/>
        <v>{cd,3000}</v>
      </c>
      <c r="I430" t="str">
        <f t="shared" si="80"/>
        <v>{hp,24600}</v>
      </c>
      <c r="J430" t="str">
        <f t="shared" si="81"/>
        <v>{atk,161}</v>
      </c>
      <c r="K430" t="str">
        <f t="shared" si="82"/>
        <v>{spd,8500}</v>
      </c>
      <c r="L430" t="str">
        <f t="shared" si="77"/>
        <v/>
      </c>
      <c r="O430" t="str">
        <f t="shared" si="78"/>
        <v>[{cd,3000},{hp,24600},{atk,161},{spd,8500}]</v>
      </c>
    </row>
    <row r="431" spans="1:15">
      <c r="A431">
        <f>Sheet1!E433</f>
        <v>113</v>
      </c>
      <c r="B431">
        <f t="shared" si="71"/>
        <v>86</v>
      </c>
      <c r="C431">
        <v>3000</v>
      </c>
      <c r="D431">
        <f>VLOOKUP(B431,[1]怪物!$N$34:$T$133,4,0)</f>
        <v>30750</v>
      </c>
      <c r="E431">
        <f>VLOOKUP(B431,[1]怪物!$N$34:$T$133,7,0)</f>
        <v>201</v>
      </c>
      <c r="F431" s="1">
        <f t="shared" si="76"/>
        <v>8500</v>
      </c>
      <c r="H431" t="str">
        <f t="shared" si="79"/>
        <v>{cd,3000}</v>
      </c>
      <c r="I431" t="str">
        <f t="shared" si="80"/>
        <v>{hp,30750}</v>
      </c>
      <c r="J431" t="str">
        <f t="shared" si="81"/>
        <v>{atk,201}</v>
      </c>
      <c r="K431" t="str">
        <f t="shared" si="82"/>
        <v>{spd,8500}</v>
      </c>
      <c r="L431" t="str">
        <f t="shared" si="77"/>
        <v/>
      </c>
      <c r="O431" t="str">
        <f t="shared" si="78"/>
        <v>[{cd,3000},{hp,30750},{atk,201},{spd,8500}]</v>
      </c>
    </row>
    <row r="432" spans="1:15">
      <c r="A432">
        <f>Sheet1!E434</f>
        <v>511</v>
      </c>
      <c r="B432">
        <f t="shared" si="71"/>
        <v>86</v>
      </c>
      <c r="C432">
        <v>3000</v>
      </c>
      <c r="D432">
        <f>VLOOKUP(B432,[1]怪物!$U$34:$Y$134,2,0)</f>
        <v>1230000</v>
      </c>
      <c r="E432">
        <f>VLOOKUP(B432,[1]怪物!$U$34:$Y$134,4,0)</f>
        <v>335</v>
      </c>
      <c r="F432" s="1">
        <f t="shared" si="76"/>
        <v>8500</v>
      </c>
      <c r="H432" t="str">
        <f t="shared" si="79"/>
        <v>{cd,3000}</v>
      </c>
      <c r="I432" t="str">
        <f t="shared" si="80"/>
        <v>{hp,1230000}</v>
      </c>
      <c r="J432" t="str">
        <f t="shared" si="81"/>
        <v>{atk,335}</v>
      </c>
      <c r="K432" t="str">
        <f t="shared" si="82"/>
        <v>{spd,8500}</v>
      </c>
      <c r="L432" t="str">
        <f t="shared" si="77"/>
        <v/>
      </c>
      <c r="O432" t="str">
        <f t="shared" si="78"/>
        <v>[{cd,3000},{hp,1230000},{atk,335},{spd,8500}]</v>
      </c>
    </row>
    <row r="433" spans="1:15">
      <c r="A433">
        <f>Sheet1!E435</f>
        <v>511</v>
      </c>
      <c r="B433">
        <f t="shared" si="71"/>
        <v>86</v>
      </c>
      <c r="C433">
        <v>3000</v>
      </c>
      <c r="D433">
        <f>VLOOKUP(B433,[1]怪物!$U$34:$Y$134,3,0)</f>
        <v>1640000</v>
      </c>
      <c r="E433">
        <f>VLOOKUP(B433,[1]怪物!$U$34:$Y$134,5,0)</f>
        <v>670</v>
      </c>
      <c r="F433" s="1">
        <f t="shared" si="76"/>
        <v>8500</v>
      </c>
      <c r="H433" t="str">
        <f t="shared" si="79"/>
        <v>{cd,3000}</v>
      </c>
      <c r="I433" t="str">
        <f t="shared" si="80"/>
        <v>{hp,1640000}</v>
      </c>
      <c r="J433" t="str">
        <f t="shared" si="81"/>
        <v>{atk,670}</v>
      </c>
      <c r="K433" t="str">
        <f t="shared" si="82"/>
        <v>{spd,8500}</v>
      </c>
      <c r="L433" t="str">
        <f t="shared" si="77"/>
        <v/>
      </c>
      <c r="O433" t="str">
        <f t="shared" si="78"/>
        <v>[{cd,3000},{hp,1640000},{atk,670},{spd,8500}]</v>
      </c>
    </row>
    <row r="434" spans="1:15">
      <c r="A434">
        <f>Sheet1!E436</f>
        <v>111</v>
      </c>
      <c r="B434">
        <f t="shared" si="71"/>
        <v>87</v>
      </c>
      <c r="C434">
        <v>3000</v>
      </c>
      <c r="D434">
        <f>VLOOKUP(B434,[1]怪物!$N$34:$T$133,2,0)</f>
        <v>20900</v>
      </c>
      <c r="E434">
        <f>VLOOKUP(B434,[1]怪物!$N$34:$T$133,5,0)</f>
        <v>136</v>
      </c>
      <c r="F434" s="1">
        <f t="shared" si="76"/>
        <v>8500</v>
      </c>
      <c r="H434" t="str">
        <f t="shared" si="79"/>
        <v>{cd,3000}</v>
      </c>
      <c r="I434" t="str">
        <f t="shared" si="80"/>
        <v>{hp,20900}</v>
      </c>
      <c r="J434" t="str">
        <f t="shared" si="81"/>
        <v>{atk,136}</v>
      </c>
      <c r="K434" t="str">
        <f t="shared" si="82"/>
        <v>{spd,8500}</v>
      </c>
      <c r="L434" t="str">
        <f t="shared" si="77"/>
        <v/>
      </c>
      <c r="O434" t="str">
        <f t="shared" si="78"/>
        <v>[{cd,3000},{hp,20900},{atk,136},{spd,8500}]</v>
      </c>
    </row>
    <row r="435" spans="1:15">
      <c r="A435">
        <f>Sheet1!E437</f>
        <v>112</v>
      </c>
      <c r="B435">
        <f t="shared" ref="B435:B453" si="83">B430+1</f>
        <v>87</v>
      </c>
      <c r="C435">
        <v>3000</v>
      </c>
      <c r="D435">
        <f>VLOOKUP(B435,[1]怪物!$N$34:$T$133,3,0)</f>
        <v>25080</v>
      </c>
      <c r="E435">
        <f>VLOOKUP(B435,[1]怪物!$N$34:$T$133,6,0)</f>
        <v>163</v>
      </c>
      <c r="F435" s="1">
        <f t="shared" si="76"/>
        <v>8500</v>
      </c>
      <c r="H435" t="str">
        <f t="shared" si="79"/>
        <v>{cd,3000}</v>
      </c>
      <c r="I435" t="str">
        <f t="shared" si="80"/>
        <v>{hp,25080}</v>
      </c>
      <c r="J435" t="str">
        <f t="shared" si="81"/>
        <v>{atk,163}</v>
      </c>
      <c r="K435" t="str">
        <f t="shared" si="82"/>
        <v>{spd,8500}</v>
      </c>
      <c r="L435" t="str">
        <f t="shared" si="77"/>
        <v/>
      </c>
      <c r="O435" t="str">
        <f t="shared" si="78"/>
        <v>[{cd,3000},{hp,25080},{atk,163},{spd,8500}]</v>
      </c>
    </row>
    <row r="436" spans="1:15">
      <c r="A436">
        <f>Sheet1!E438</f>
        <v>115</v>
      </c>
      <c r="B436">
        <f t="shared" si="83"/>
        <v>87</v>
      </c>
      <c r="C436">
        <v>3000</v>
      </c>
      <c r="D436">
        <f>VLOOKUP(B436,[1]怪物!$N$34:$T$133,4,0)</f>
        <v>31350</v>
      </c>
      <c r="E436">
        <f>VLOOKUP(B436,[1]怪物!$N$34:$T$133,7,0)</f>
        <v>204</v>
      </c>
      <c r="F436" s="1">
        <f t="shared" si="76"/>
        <v>8500</v>
      </c>
      <c r="H436" t="str">
        <f t="shared" si="79"/>
        <v>{cd,3000}</v>
      </c>
      <c r="I436" t="str">
        <f t="shared" si="80"/>
        <v>{hp,31350}</v>
      </c>
      <c r="J436" t="str">
        <f t="shared" si="81"/>
        <v>{atk,204}</v>
      </c>
      <c r="K436" t="str">
        <f t="shared" si="82"/>
        <v>{spd,8500}</v>
      </c>
      <c r="L436" t="str">
        <f t="shared" si="77"/>
        <v/>
      </c>
      <c r="O436" t="str">
        <f t="shared" si="78"/>
        <v>[{cd,3000},{hp,31350},{atk,204},{spd,8500}]</v>
      </c>
    </row>
    <row r="437" spans="1:15">
      <c r="A437">
        <f>Sheet1!E439</f>
        <v>512</v>
      </c>
      <c r="B437">
        <f t="shared" si="83"/>
        <v>87</v>
      </c>
      <c r="C437">
        <v>3000</v>
      </c>
      <c r="D437">
        <f>VLOOKUP(B437,[1]怪物!$U$34:$Y$134,2,0)</f>
        <v>1254000</v>
      </c>
      <c r="E437">
        <f>VLOOKUP(B437,[1]怪物!$U$34:$Y$134,4,0)</f>
        <v>340</v>
      </c>
      <c r="F437" s="1">
        <f t="shared" si="76"/>
        <v>8500</v>
      </c>
      <c r="H437" t="str">
        <f t="shared" si="79"/>
        <v>{cd,3000}</v>
      </c>
      <c r="I437" t="str">
        <f t="shared" si="80"/>
        <v>{hp,1254000}</v>
      </c>
      <c r="J437" t="str">
        <f t="shared" si="81"/>
        <v>{atk,340}</v>
      </c>
      <c r="K437" t="str">
        <f t="shared" si="82"/>
        <v>{spd,8500}</v>
      </c>
      <c r="L437" t="str">
        <f t="shared" si="77"/>
        <v/>
      </c>
      <c r="O437" t="str">
        <f t="shared" si="78"/>
        <v>[{cd,3000},{hp,1254000},{atk,340},{spd,8500}]</v>
      </c>
    </row>
    <row r="438" spans="1:15">
      <c r="A438">
        <f>Sheet1!E440</f>
        <v>512</v>
      </c>
      <c r="B438">
        <f t="shared" si="83"/>
        <v>87</v>
      </c>
      <c r="C438">
        <v>3000</v>
      </c>
      <c r="D438">
        <f>VLOOKUP(B438,[1]怪物!$U$34:$Y$134,3,0)</f>
        <v>1672000</v>
      </c>
      <c r="E438">
        <f>VLOOKUP(B438,[1]怪物!$U$34:$Y$134,5,0)</f>
        <v>680</v>
      </c>
      <c r="F438" s="1">
        <f t="shared" si="76"/>
        <v>8500</v>
      </c>
      <c r="H438" t="str">
        <f t="shared" si="79"/>
        <v>{cd,3000}</v>
      </c>
      <c r="I438" t="str">
        <f t="shared" si="80"/>
        <v>{hp,1672000}</v>
      </c>
      <c r="J438" t="str">
        <f t="shared" si="81"/>
        <v>{atk,680}</v>
      </c>
      <c r="K438" t="str">
        <f t="shared" si="82"/>
        <v>{spd,8500}</v>
      </c>
      <c r="L438" t="str">
        <f t="shared" si="77"/>
        <v/>
      </c>
      <c r="O438" t="str">
        <f t="shared" si="78"/>
        <v>[{cd,3000},{hp,1672000},{atk,680},{spd,8500}]</v>
      </c>
    </row>
    <row r="439" spans="1:15">
      <c r="A439">
        <f>Sheet1!E441</f>
        <v>103</v>
      </c>
      <c r="B439">
        <f t="shared" si="83"/>
        <v>88</v>
      </c>
      <c r="C439">
        <v>3000</v>
      </c>
      <c r="D439">
        <f>VLOOKUP(B439,[1]怪物!$N$34:$T$133,2,0)</f>
        <v>21500</v>
      </c>
      <c r="E439">
        <f>VLOOKUP(B439,[1]怪物!$N$34:$T$133,5,0)</f>
        <v>138</v>
      </c>
      <c r="F439" s="1">
        <f t="shared" si="76"/>
        <v>8500</v>
      </c>
      <c r="H439" t="str">
        <f t="shared" si="79"/>
        <v>{cd,3000}</v>
      </c>
      <c r="I439" t="str">
        <f t="shared" si="80"/>
        <v>{hp,21500}</v>
      </c>
      <c r="J439" t="str">
        <f t="shared" si="81"/>
        <v>{atk,138}</v>
      </c>
      <c r="K439" t="str">
        <f t="shared" si="82"/>
        <v>{spd,8500}</v>
      </c>
      <c r="L439" t="str">
        <f t="shared" si="77"/>
        <v/>
      </c>
      <c r="O439" t="str">
        <f t="shared" si="78"/>
        <v>[{cd,3000},{hp,21500},{atk,138},{spd,8500}]</v>
      </c>
    </row>
    <row r="440" spans="1:15">
      <c r="A440">
        <f>Sheet1!E442</f>
        <v>104</v>
      </c>
      <c r="B440">
        <f t="shared" si="83"/>
        <v>88</v>
      </c>
      <c r="C440">
        <v>3000</v>
      </c>
      <c r="D440">
        <f>VLOOKUP(B440,[1]怪物!$N$34:$T$133,3,0)</f>
        <v>25800</v>
      </c>
      <c r="E440">
        <f>VLOOKUP(B440,[1]怪物!$N$34:$T$133,6,0)</f>
        <v>166</v>
      </c>
      <c r="F440" s="1">
        <f t="shared" si="76"/>
        <v>8500</v>
      </c>
      <c r="H440" t="str">
        <f t="shared" si="79"/>
        <v>{cd,3000}</v>
      </c>
      <c r="I440" t="str">
        <f t="shared" si="80"/>
        <v>{hp,25800}</v>
      </c>
      <c r="J440" t="str">
        <f t="shared" si="81"/>
        <v>{atk,166}</v>
      </c>
      <c r="K440" t="str">
        <f t="shared" si="82"/>
        <v>{spd,8500}</v>
      </c>
      <c r="L440" t="str">
        <f t="shared" si="77"/>
        <v/>
      </c>
      <c r="O440" t="str">
        <f t="shared" si="78"/>
        <v>[{cd,3000},{hp,25800},{atk,166},{spd,8500}]</v>
      </c>
    </row>
    <row r="441" spans="1:15">
      <c r="A441">
        <f>Sheet1!E443</f>
        <v>104</v>
      </c>
      <c r="B441">
        <f t="shared" si="83"/>
        <v>88</v>
      </c>
      <c r="C441">
        <v>3000</v>
      </c>
      <c r="D441">
        <f>VLOOKUP(B441,[1]怪物!$N$34:$T$133,4,0)</f>
        <v>32250</v>
      </c>
      <c r="E441">
        <f>VLOOKUP(B441,[1]怪物!$N$34:$T$133,7,0)</f>
        <v>207</v>
      </c>
      <c r="F441" s="1">
        <f t="shared" si="76"/>
        <v>8500</v>
      </c>
      <c r="H441" t="str">
        <f t="shared" si="79"/>
        <v>{cd,3000}</v>
      </c>
      <c r="I441" t="str">
        <f t="shared" si="80"/>
        <v>{hp,32250}</v>
      </c>
      <c r="J441" t="str">
        <f t="shared" si="81"/>
        <v>{atk,207}</v>
      </c>
      <c r="K441" t="str">
        <f t="shared" si="82"/>
        <v>{spd,8500}</v>
      </c>
      <c r="L441" t="str">
        <f t="shared" si="77"/>
        <v/>
      </c>
      <c r="O441" t="str">
        <f t="shared" si="78"/>
        <v>[{cd,3000},{hp,32250},{atk,207},{spd,8500}]</v>
      </c>
    </row>
    <row r="442" spans="1:15">
      <c r="A442">
        <f>Sheet1!E444</f>
        <v>504</v>
      </c>
      <c r="B442">
        <f t="shared" si="83"/>
        <v>88</v>
      </c>
      <c r="C442">
        <v>3000</v>
      </c>
      <c r="D442">
        <f>VLOOKUP(B442,[1]怪物!$U$34:$Y$134,2,0)</f>
        <v>1290000</v>
      </c>
      <c r="E442">
        <f>VLOOKUP(B442,[1]怪物!$U$34:$Y$134,4,0)</f>
        <v>345</v>
      </c>
      <c r="F442" s="1">
        <f t="shared" si="76"/>
        <v>8500</v>
      </c>
      <c r="H442" t="str">
        <f t="shared" si="79"/>
        <v>{cd,3000}</v>
      </c>
      <c r="I442" t="str">
        <f t="shared" si="80"/>
        <v>{hp,1290000}</v>
      </c>
      <c r="J442" t="str">
        <f t="shared" si="81"/>
        <v>{atk,345}</v>
      </c>
      <c r="K442" t="str">
        <f t="shared" si="82"/>
        <v>{spd,8500}</v>
      </c>
      <c r="L442" t="str">
        <f t="shared" si="77"/>
        <v/>
      </c>
      <c r="O442" t="str">
        <f t="shared" si="78"/>
        <v>[{cd,3000},{hp,1290000},{atk,345},{spd,8500}]</v>
      </c>
    </row>
    <row r="443" spans="1:15">
      <c r="A443">
        <f>Sheet1!E445</f>
        <v>504</v>
      </c>
      <c r="B443">
        <f t="shared" si="83"/>
        <v>88</v>
      </c>
      <c r="C443">
        <v>3000</v>
      </c>
      <c r="D443">
        <f>VLOOKUP(B443,[1]怪物!$U$34:$Y$134,3,0)</f>
        <v>1720000</v>
      </c>
      <c r="E443">
        <f>VLOOKUP(B443,[1]怪物!$U$34:$Y$134,5,0)</f>
        <v>690</v>
      </c>
      <c r="F443" s="1">
        <f t="shared" si="76"/>
        <v>8500</v>
      </c>
      <c r="H443" t="str">
        <f t="shared" si="79"/>
        <v>{cd,3000}</v>
      </c>
      <c r="I443" t="str">
        <f t="shared" si="80"/>
        <v>{hp,1720000}</v>
      </c>
      <c r="J443" t="str">
        <f t="shared" si="81"/>
        <v>{atk,690}</v>
      </c>
      <c r="K443" t="str">
        <f t="shared" si="82"/>
        <v>{spd,8500}</v>
      </c>
      <c r="L443" t="str">
        <f t="shared" si="77"/>
        <v/>
      </c>
      <c r="O443" t="str">
        <f t="shared" si="78"/>
        <v>[{cd,3000},{hp,1720000},{atk,690},{spd,8500}]</v>
      </c>
    </row>
    <row r="444" spans="1:15">
      <c r="A444">
        <f>Sheet1!E446</f>
        <v>103</v>
      </c>
      <c r="B444">
        <f t="shared" si="83"/>
        <v>89</v>
      </c>
      <c r="C444">
        <v>3000</v>
      </c>
      <c r="D444">
        <f>VLOOKUP(B444,[1]怪物!$N$34:$T$133,2,0)</f>
        <v>22300</v>
      </c>
      <c r="E444">
        <f>VLOOKUP(B444,[1]怪物!$N$34:$T$133,5,0)</f>
        <v>140</v>
      </c>
      <c r="F444" s="1">
        <f t="shared" si="76"/>
        <v>8500</v>
      </c>
      <c r="H444" t="str">
        <f t="shared" si="79"/>
        <v>{cd,3000}</v>
      </c>
      <c r="I444" t="str">
        <f t="shared" si="80"/>
        <v>{hp,22300}</v>
      </c>
      <c r="J444" t="str">
        <f t="shared" si="81"/>
        <v>{atk,140}</v>
      </c>
      <c r="K444" t="str">
        <f t="shared" si="82"/>
        <v>{spd,8500}</v>
      </c>
      <c r="L444" t="str">
        <f t="shared" si="77"/>
        <v/>
      </c>
      <c r="O444" t="str">
        <f t="shared" si="78"/>
        <v>[{cd,3000},{hp,22300},{atk,140},{spd,8500}]</v>
      </c>
    </row>
    <row r="445" spans="1:15">
      <c r="A445">
        <f>Sheet1!E447</f>
        <v>104</v>
      </c>
      <c r="B445">
        <f t="shared" si="83"/>
        <v>89</v>
      </c>
      <c r="C445">
        <v>3000</v>
      </c>
      <c r="D445">
        <f>VLOOKUP(B445,[1]怪物!$N$34:$T$133,3,0)</f>
        <v>26760</v>
      </c>
      <c r="E445">
        <f>VLOOKUP(B445,[1]怪物!$N$34:$T$133,6,0)</f>
        <v>168</v>
      </c>
      <c r="F445" s="1">
        <f t="shared" si="76"/>
        <v>8500</v>
      </c>
      <c r="H445" t="str">
        <f t="shared" si="79"/>
        <v>{cd,3000}</v>
      </c>
      <c r="I445" t="str">
        <f t="shared" si="80"/>
        <v>{hp,26760}</v>
      </c>
      <c r="J445" t="str">
        <f t="shared" si="81"/>
        <v>{atk,168}</v>
      </c>
      <c r="K445" t="str">
        <f t="shared" si="82"/>
        <v>{spd,8500}</v>
      </c>
      <c r="L445" t="str">
        <f t="shared" si="77"/>
        <v/>
      </c>
      <c r="O445" t="str">
        <f t="shared" si="78"/>
        <v>[{cd,3000},{hp,26760},{atk,168},{spd,8500}]</v>
      </c>
    </row>
    <row r="446" spans="1:15">
      <c r="A446">
        <f>Sheet1!E448</f>
        <v>106</v>
      </c>
      <c r="B446">
        <f t="shared" si="83"/>
        <v>89</v>
      </c>
      <c r="C446">
        <v>3000</v>
      </c>
      <c r="D446">
        <f>VLOOKUP(B446,[1]怪物!$N$34:$T$133,4,0)</f>
        <v>33450</v>
      </c>
      <c r="E446">
        <f>VLOOKUP(B446,[1]怪物!$N$34:$T$133,7,0)</f>
        <v>210</v>
      </c>
      <c r="F446" s="1">
        <f t="shared" si="76"/>
        <v>8500</v>
      </c>
      <c r="H446" t="str">
        <f t="shared" si="79"/>
        <v>{cd,3000}</v>
      </c>
      <c r="I446" t="str">
        <f t="shared" si="80"/>
        <v>{hp,33450}</v>
      </c>
      <c r="J446" t="str">
        <f t="shared" si="81"/>
        <v>{atk,210}</v>
      </c>
      <c r="K446" t="str">
        <f t="shared" si="82"/>
        <v>{spd,8500}</v>
      </c>
      <c r="L446" t="str">
        <f t="shared" si="77"/>
        <v/>
      </c>
      <c r="O446" t="str">
        <f t="shared" si="78"/>
        <v>[{cd,3000},{hp,33450},{atk,210},{spd,8500}]</v>
      </c>
    </row>
    <row r="447" spans="1:15">
      <c r="A447">
        <f>Sheet1!E449</f>
        <v>503</v>
      </c>
      <c r="B447">
        <f t="shared" si="83"/>
        <v>89</v>
      </c>
      <c r="C447">
        <v>3000</v>
      </c>
      <c r="D447">
        <f>VLOOKUP(B447,[1]怪物!$U$34:$Y$134,2,0)</f>
        <v>1338000</v>
      </c>
      <c r="E447">
        <f>VLOOKUP(B447,[1]怪物!$U$34:$Y$134,4,0)</f>
        <v>350</v>
      </c>
      <c r="F447" s="1">
        <f t="shared" si="76"/>
        <v>8500</v>
      </c>
      <c r="H447" t="str">
        <f t="shared" si="79"/>
        <v>{cd,3000}</v>
      </c>
      <c r="I447" t="str">
        <f t="shared" si="80"/>
        <v>{hp,1338000}</v>
      </c>
      <c r="J447" t="str">
        <f t="shared" si="81"/>
        <v>{atk,350}</v>
      </c>
      <c r="K447" t="str">
        <f t="shared" si="82"/>
        <v>{spd,8500}</v>
      </c>
      <c r="L447" t="str">
        <f t="shared" si="77"/>
        <v/>
      </c>
      <c r="O447" t="str">
        <f t="shared" si="78"/>
        <v>[{cd,3000},{hp,1338000},{atk,350},{spd,8500}]</v>
      </c>
    </row>
    <row r="448" spans="1:15">
      <c r="A448">
        <f>Sheet1!E450</f>
        <v>503</v>
      </c>
      <c r="B448">
        <f t="shared" si="83"/>
        <v>89</v>
      </c>
      <c r="C448">
        <v>3000</v>
      </c>
      <c r="D448">
        <f>VLOOKUP(B448,[1]怪物!$U$34:$Y$134,3,0)</f>
        <v>1784000</v>
      </c>
      <c r="E448">
        <f>VLOOKUP(B448,[1]怪物!$U$34:$Y$134,5,0)</f>
        <v>700</v>
      </c>
      <c r="F448" s="1">
        <f t="shared" si="76"/>
        <v>8500</v>
      </c>
      <c r="H448" t="str">
        <f t="shared" si="79"/>
        <v>{cd,3000}</v>
      </c>
      <c r="I448" t="str">
        <f t="shared" si="80"/>
        <v>{hp,1784000}</v>
      </c>
      <c r="J448" t="str">
        <f t="shared" si="81"/>
        <v>{atk,700}</v>
      </c>
      <c r="K448" t="str">
        <f t="shared" si="82"/>
        <v>{spd,8500}</v>
      </c>
      <c r="L448" t="str">
        <f t="shared" si="77"/>
        <v/>
      </c>
      <c r="O448" t="str">
        <f t="shared" si="78"/>
        <v>[{cd,3000},{hp,1784000},{atk,700},{spd,8500}]</v>
      </c>
    </row>
    <row r="449" spans="1:15">
      <c r="A449">
        <f>Sheet1!E451</f>
        <v>100</v>
      </c>
      <c r="B449">
        <f t="shared" si="83"/>
        <v>90</v>
      </c>
      <c r="C449">
        <v>3000</v>
      </c>
      <c r="D449">
        <f>VLOOKUP(B449,[1]怪物!$N$34:$T$133,2,0)</f>
        <v>23000</v>
      </c>
      <c r="E449">
        <f>VLOOKUP(B449,[1]怪物!$N$34:$T$133,5,0)</f>
        <v>150</v>
      </c>
      <c r="F449" s="1">
        <f t="shared" si="76"/>
        <v>8500</v>
      </c>
      <c r="H449" t="str">
        <f t="shared" si="79"/>
        <v>{cd,3000}</v>
      </c>
      <c r="I449" t="str">
        <f t="shared" si="80"/>
        <v>{hp,23000}</v>
      </c>
      <c r="J449" t="str">
        <f t="shared" si="81"/>
        <v>{atk,150}</v>
      </c>
      <c r="K449" t="str">
        <f t="shared" si="82"/>
        <v>{spd,8500}</v>
      </c>
      <c r="L449" t="str">
        <f t="shared" si="77"/>
        <v/>
      </c>
      <c r="O449" t="str">
        <f t="shared" si="78"/>
        <v>[{cd,3000},{hp,23000},{atk,150},{spd,8500}]</v>
      </c>
    </row>
    <row r="450" spans="1:15">
      <c r="A450">
        <f>Sheet1!E452</f>
        <v>102</v>
      </c>
      <c r="B450">
        <f t="shared" si="83"/>
        <v>90</v>
      </c>
      <c r="C450">
        <v>3000</v>
      </c>
      <c r="D450">
        <f>VLOOKUP(B450,[1]怪物!$N$34:$T$133,3,0)</f>
        <v>27600</v>
      </c>
      <c r="E450">
        <f>VLOOKUP(B450,[1]怪物!$N$34:$T$133,6,0)</f>
        <v>180</v>
      </c>
      <c r="F450" s="1">
        <f t="shared" si="76"/>
        <v>8500</v>
      </c>
      <c r="H450" t="str">
        <f t="shared" si="79"/>
        <v>{cd,3000}</v>
      </c>
      <c r="I450" t="str">
        <f t="shared" si="80"/>
        <v>{hp,27600}</v>
      </c>
      <c r="J450" t="str">
        <f t="shared" si="81"/>
        <v>{atk,180}</v>
      </c>
      <c r="K450" t="str">
        <f t="shared" si="82"/>
        <v>{spd,8500}</v>
      </c>
      <c r="L450" t="str">
        <f t="shared" si="77"/>
        <v/>
      </c>
      <c r="O450" t="str">
        <f t="shared" si="78"/>
        <v>[{cd,3000},{hp,27600},{atk,180},{spd,8500}]</v>
      </c>
    </row>
    <row r="451" spans="1:15">
      <c r="A451">
        <f>Sheet1!E453</f>
        <v>105</v>
      </c>
      <c r="B451">
        <f t="shared" si="83"/>
        <v>90</v>
      </c>
      <c r="C451">
        <v>3000</v>
      </c>
      <c r="D451">
        <f>VLOOKUP(B451,[1]怪物!$N$34:$T$133,4,0)</f>
        <v>34500</v>
      </c>
      <c r="E451">
        <f>VLOOKUP(B451,[1]怪物!$N$34:$T$133,7,0)</f>
        <v>225</v>
      </c>
      <c r="F451" s="1">
        <f t="shared" si="76"/>
        <v>8500</v>
      </c>
      <c r="H451" t="str">
        <f t="shared" si="79"/>
        <v>{cd,3000}</v>
      </c>
      <c r="I451" t="str">
        <f t="shared" si="80"/>
        <v>{hp,34500}</v>
      </c>
      <c r="J451" t="str">
        <f t="shared" si="81"/>
        <v>{atk,225}</v>
      </c>
      <c r="K451" t="str">
        <f t="shared" si="82"/>
        <v>{spd,8500}</v>
      </c>
      <c r="L451" t="str">
        <f t="shared" si="77"/>
        <v/>
      </c>
      <c r="O451" t="str">
        <f t="shared" si="78"/>
        <v>[{cd,3000},{hp,34500},{atk,225},{spd,8500}]</v>
      </c>
    </row>
    <row r="452" spans="1:15">
      <c r="A452">
        <f>Sheet1!E454</f>
        <v>502</v>
      </c>
      <c r="B452">
        <f t="shared" si="83"/>
        <v>90</v>
      </c>
      <c r="C452">
        <v>3000</v>
      </c>
      <c r="D452">
        <f>VLOOKUP(B452,[1]怪物!$U$34:$Y$134,2,0)</f>
        <v>1380000</v>
      </c>
      <c r="E452">
        <f>VLOOKUP(B452,[1]怪物!$U$34:$Y$134,4,0)</f>
        <v>375</v>
      </c>
      <c r="F452" s="1">
        <f t="shared" si="76"/>
        <v>8500</v>
      </c>
      <c r="H452" t="str">
        <f t="shared" si="79"/>
        <v>{cd,3000}</v>
      </c>
      <c r="I452" t="str">
        <f t="shared" si="80"/>
        <v>{hp,1380000}</v>
      </c>
      <c r="J452" t="str">
        <f t="shared" si="81"/>
        <v>{atk,375}</v>
      </c>
      <c r="K452" t="str">
        <f t="shared" si="82"/>
        <v>{spd,8500}</v>
      </c>
      <c r="L452" t="str">
        <f t="shared" si="77"/>
        <v/>
      </c>
      <c r="O452" t="str">
        <f t="shared" si="78"/>
        <v>[{cd,3000},{hp,1380000},{atk,375},{spd,8500}]</v>
      </c>
    </row>
    <row r="453" spans="1:15">
      <c r="A453">
        <f>Sheet1!E455</f>
        <v>500</v>
      </c>
      <c r="B453">
        <f t="shared" si="83"/>
        <v>90</v>
      </c>
      <c r="C453">
        <v>3000</v>
      </c>
      <c r="D453">
        <f>VLOOKUP(B453,[1]怪物!$U$34:$Y$134,3,0)</f>
        <v>1840000</v>
      </c>
      <c r="E453">
        <f>VLOOKUP(B453,[1]怪物!$U$34:$Y$134,5,0)</f>
        <v>750</v>
      </c>
      <c r="F453" s="1">
        <f t="shared" ref="F453:F516" si="84">VLOOKUP(A453,$W:$AB,6,0)</f>
        <v>8500</v>
      </c>
      <c r="H453" t="str">
        <f t="shared" si="79"/>
        <v>{cd,3000}</v>
      </c>
      <c r="I453" t="str">
        <f t="shared" si="80"/>
        <v>{hp,1840000}</v>
      </c>
      <c r="J453" t="str">
        <f t="shared" si="81"/>
        <v>{atk,750}</v>
      </c>
      <c r="K453" t="str">
        <f t="shared" si="82"/>
        <v>{spd,8500}</v>
      </c>
      <c r="L453" t="str">
        <f t="shared" ref="L453:L516" si="85">IF(VLOOKUP(A453,$W:$AC,7,0)=0,"",VLOOKUP(A453,$W:$AC,7,0))</f>
        <v/>
      </c>
      <c r="O453" t="str">
        <f t="shared" ref="O453:O516" si="86">"["&amp;_xlfn.TEXTJOIN(",",1,H453:M453)&amp;"]"</f>
        <v>[{cd,3000},{hp,1840000},{atk,750},{spd,8500}]</v>
      </c>
    </row>
    <row r="454" spans="1:15">
      <c r="A454">
        <f>Sheet1!E456</f>
        <v>108</v>
      </c>
      <c r="B454">
        <f t="shared" ref="B454:B503" si="87">B449+1</f>
        <v>91</v>
      </c>
      <c r="C454">
        <v>3000</v>
      </c>
      <c r="D454">
        <f>VLOOKUP(B454,[1]怪物!$N$34:$T$133,2,0)</f>
        <v>22600</v>
      </c>
      <c r="E454">
        <f>VLOOKUP(B454,[1]怪物!$N$34:$T$133,5,0)</f>
        <v>142</v>
      </c>
      <c r="F454" s="1">
        <f t="shared" si="84"/>
        <v>8500</v>
      </c>
      <c r="H454" t="str">
        <f t="shared" ref="H454:H503" si="88">$C$2&amp;C$3&amp;$D$2&amp;C454&amp;$E$2</f>
        <v>{cd,3000}</v>
      </c>
      <c r="I454" t="str">
        <f t="shared" ref="I454:I503" si="89">$C$2&amp;D$3&amp;$D$2&amp;D454&amp;$E$2</f>
        <v>{hp,22600}</v>
      </c>
      <c r="J454" t="str">
        <f t="shared" ref="J454:J503" si="90">$C$2&amp;E$3&amp;$D$2&amp;E454&amp;$E$2</f>
        <v>{atk,142}</v>
      </c>
      <c r="K454" t="str">
        <f t="shared" ref="K454:K503" si="91">$C$2&amp;F$3&amp;$D$2&amp;F454&amp;$E$2</f>
        <v>{spd,8500}</v>
      </c>
      <c r="L454" t="str">
        <f t="shared" si="85"/>
        <v/>
      </c>
      <c r="O454" t="str">
        <f t="shared" si="86"/>
        <v>[{cd,3000},{hp,22600},{atk,142},{spd,8500}]</v>
      </c>
    </row>
    <row r="455" spans="1:15">
      <c r="A455">
        <f>Sheet1!E457</f>
        <v>117</v>
      </c>
      <c r="B455">
        <f t="shared" si="87"/>
        <v>91</v>
      </c>
      <c r="C455">
        <v>3000</v>
      </c>
      <c r="D455">
        <f>VLOOKUP(B455,[1]怪物!$N$34:$T$133,3,0)</f>
        <v>27120</v>
      </c>
      <c r="E455">
        <f>VLOOKUP(B455,[1]怪物!$N$34:$T$133,6,0)</f>
        <v>170</v>
      </c>
      <c r="F455" s="1">
        <f t="shared" si="84"/>
        <v>8500</v>
      </c>
      <c r="H455" t="str">
        <f t="shared" si="88"/>
        <v>{cd,3000}</v>
      </c>
      <c r="I455" t="str">
        <f t="shared" si="89"/>
        <v>{hp,27120}</v>
      </c>
      <c r="J455" t="str">
        <f t="shared" si="90"/>
        <v>{atk,170}</v>
      </c>
      <c r="K455" t="str">
        <f t="shared" si="91"/>
        <v>{spd,8500}</v>
      </c>
      <c r="L455" t="str">
        <f t="shared" si="85"/>
        <v>{downUnderPhAtk,5000}</v>
      </c>
      <c r="O455" t="str">
        <f t="shared" si="86"/>
        <v>[{cd,3000},{hp,27120},{atk,170},{spd,8500},{downUnderPhAtk,5000}]</v>
      </c>
    </row>
    <row r="456" spans="1:15">
      <c r="A456">
        <f>Sheet1!E458</f>
        <v>109</v>
      </c>
      <c r="B456">
        <f t="shared" si="87"/>
        <v>91</v>
      </c>
      <c r="C456">
        <v>3000</v>
      </c>
      <c r="D456">
        <f>VLOOKUP(B456,[1]怪物!$N$34:$T$133,4,0)</f>
        <v>33900</v>
      </c>
      <c r="E456">
        <f>VLOOKUP(B456,[1]怪物!$N$34:$T$133,7,0)</f>
        <v>213</v>
      </c>
      <c r="F456" s="1">
        <f t="shared" si="84"/>
        <v>8500</v>
      </c>
      <c r="H456" t="str">
        <f t="shared" si="88"/>
        <v>{cd,3000}</v>
      </c>
      <c r="I456" t="str">
        <f t="shared" si="89"/>
        <v>{hp,33900}</v>
      </c>
      <c r="J456" t="str">
        <f t="shared" si="90"/>
        <v>{atk,213}</v>
      </c>
      <c r="K456" t="str">
        <f t="shared" si="91"/>
        <v>{spd,8500}</v>
      </c>
      <c r="L456" t="str">
        <f t="shared" si="85"/>
        <v/>
      </c>
      <c r="O456" t="str">
        <f t="shared" si="86"/>
        <v>[{cd,3000},{hp,33900},{atk,213},{spd,8500}]</v>
      </c>
    </row>
    <row r="457" spans="1:15">
      <c r="A457">
        <f>Sheet1!E459</f>
        <v>517</v>
      </c>
      <c r="B457">
        <f t="shared" si="87"/>
        <v>91</v>
      </c>
      <c r="C457">
        <v>3000</v>
      </c>
      <c r="D457">
        <f>VLOOKUP(B457,[1]怪物!$U$34:$Y$134,2,0)</f>
        <v>1356000</v>
      </c>
      <c r="E457">
        <f>VLOOKUP(B457,[1]怪物!$U$34:$Y$134,4,0)</f>
        <v>355</v>
      </c>
      <c r="F457" s="1">
        <f t="shared" si="84"/>
        <v>8500</v>
      </c>
      <c r="H457" t="str">
        <f t="shared" si="88"/>
        <v>{cd,3000}</v>
      </c>
      <c r="I457" t="str">
        <f t="shared" si="89"/>
        <v>{hp,1356000}</v>
      </c>
      <c r="J457" t="str">
        <f t="shared" si="90"/>
        <v>{atk,355}</v>
      </c>
      <c r="K457" t="str">
        <f t="shared" si="91"/>
        <v>{spd,8500}</v>
      </c>
      <c r="L457" t="str">
        <f t="shared" si="85"/>
        <v>{downUnderPhAtk,5000}</v>
      </c>
      <c r="O457" t="str">
        <f t="shared" si="86"/>
        <v>[{cd,3000},{hp,1356000},{atk,355},{spd,8500},{downUnderPhAtk,5000}]</v>
      </c>
    </row>
    <row r="458" spans="1:15">
      <c r="A458">
        <f>Sheet1!E460</f>
        <v>517</v>
      </c>
      <c r="B458">
        <f t="shared" si="87"/>
        <v>91</v>
      </c>
      <c r="C458">
        <v>3000</v>
      </c>
      <c r="D458">
        <f>VLOOKUP(B458,[1]怪物!$U$34:$Y$134,3,0)</f>
        <v>1808000</v>
      </c>
      <c r="E458">
        <f>VLOOKUP(B458,[1]怪物!$U$34:$Y$134,5,0)</f>
        <v>710</v>
      </c>
      <c r="F458" s="1">
        <f t="shared" si="84"/>
        <v>8500</v>
      </c>
      <c r="H458" t="str">
        <f t="shared" si="88"/>
        <v>{cd,3000}</v>
      </c>
      <c r="I458" t="str">
        <f t="shared" si="89"/>
        <v>{hp,1808000}</v>
      </c>
      <c r="J458" t="str">
        <f t="shared" si="90"/>
        <v>{atk,710}</v>
      </c>
      <c r="K458" t="str">
        <f t="shared" si="91"/>
        <v>{spd,8500}</v>
      </c>
      <c r="L458" t="str">
        <f t="shared" si="85"/>
        <v>{downUnderPhAtk,5000}</v>
      </c>
      <c r="O458" t="str">
        <f t="shared" si="86"/>
        <v>[{cd,3000},{hp,1808000},{atk,710},{spd,8500},{downUnderPhAtk,5000}]</v>
      </c>
    </row>
    <row r="459" spans="1:15">
      <c r="A459">
        <f>Sheet1!E461</f>
        <v>108</v>
      </c>
      <c r="B459">
        <f t="shared" si="87"/>
        <v>92</v>
      </c>
      <c r="C459">
        <v>3000</v>
      </c>
      <c r="D459">
        <f>VLOOKUP(B459,[1]怪物!$N$34:$T$133,2,0)</f>
        <v>23200</v>
      </c>
      <c r="E459">
        <f>VLOOKUP(B459,[1]怪物!$N$34:$T$133,5,0)</f>
        <v>144</v>
      </c>
      <c r="F459" s="1">
        <f t="shared" si="84"/>
        <v>8500</v>
      </c>
      <c r="H459" t="str">
        <f t="shared" si="88"/>
        <v>{cd,3000}</v>
      </c>
      <c r="I459" t="str">
        <f t="shared" si="89"/>
        <v>{hp,23200}</v>
      </c>
      <c r="J459" t="str">
        <f t="shared" si="90"/>
        <v>{atk,144}</v>
      </c>
      <c r="K459" t="str">
        <f t="shared" si="91"/>
        <v>{spd,8500}</v>
      </c>
      <c r="L459" t="str">
        <f t="shared" si="85"/>
        <v/>
      </c>
      <c r="O459" t="str">
        <f t="shared" si="86"/>
        <v>[{cd,3000},{hp,23200},{atk,144},{spd,8500}]</v>
      </c>
    </row>
    <row r="460" spans="1:15">
      <c r="A460">
        <f>Sheet1!E462</f>
        <v>110</v>
      </c>
      <c r="B460">
        <f t="shared" si="87"/>
        <v>92</v>
      </c>
      <c r="C460">
        <v>3000</v>
      </c>
      <c r="D460">
        <f>VLOOKUP(B460,[1]怪物!$N$34:$T$133,3,0)</f>
        <v>27840</v>
      </c>
      <c r="E460">
        <f>VLOOKUP(B460,[1]怪物!$N$34:$T$133,6,0)</f>
        <v>173</v>
      </c>
      <c r="F460" s="1">
        <f t="shared" si="84"/>
        <v>8500</v>
      </c>
      <c r="H460" t="str">
        <f t="shared" si="88"/>
        <v>{cd,3000}</v>
      </c>
      <c r="I460" t="str">
        <f t="shared" si="89"/>
        <v>{hp,27840}</v>
      </c>
      <c r="J460" t="str">
        <f t="shared" si="90"/>
        <v>{atk,173}</v>
      </c>
      <c r="K460" t="str">
        <f t="shared" si="91"/>
        <v>{spd,8500}</v>
      </c>
      <c r="L460" t="str">
        <f t="shared" si="85"/>
        <v/>
      </c>
      <c r="O460" t="str">
        <f t="shared" si="86"/>
        <v>[{cd,3000},{hp,27840},{atk,173},{spd,8500}]</v>
      </c>
    </row>
    <row r="461" spans="1:15">
      <c r="A461">
        <f>Sheet1!E463</f>
        <v>114</v>
      </c>
      <c r="B461">
        <f t="shared" si="87"/>
        <v>92</v>
      </c>
      <c r="C461">
        <v>3000</v>
      </c>
      <c r="D461">
        <f>VLOOKUP(B461,[1]怪物!$N$34:$T$133,4,0)</f>
        <v>34800</v>
      </c>
      <c r="E461">
        <f>VLOOKUP(B461,[1]怪物!$N$34:$T$133,7,0)</f>
        <v>216</v>
      </c>
      <c r="F461" s="1">
        <f t="shared" si="84"/>
        <v>8500</v>
      </c>
      <c r="H461" t="str">
        <f t="shared" si="88"/>
        <v>{cd,3000}</v>
      </c>
      <c r="I461" t="str">
        <f t="shared" si="89"/>
        <v>{hp,34800}</v>
      </c>
      <c r="J461" t="str">
        <f t="shared" si="90"/>
        <v>{atk,216}</v>
      </c>
      <c r="K461" t="str">
        <f t="shared" si="91"/>
        <v>{spd,8500}</v>
      </c>
      <c r="L461" t="str">
        <f t="shared" si="85"/>
        <v/>
      </c>
      <c r="O461" t="str">
        <f t="shared" si="86"/>
        <v>[{cd,3000},{hp,34800},{atk,216},{spd,8500}]</v>
      </c>
    </row>
    <row r="462" spans="1:15">
      <c r="A462">
        <f>Sheet1!E464</f>
        <v>508</v>
      </c>
      <c r="B462">
        <f t="shared" si="87"/>
        <v>92</v>
      </c>
      <c r="C462">
        <v>3000</v>
      </c>
      <c r="D462">
        <f>VLOOKUP(B462,[1]怪物!$U$34:$Y$134,2,0)</f>
        <v>1392000</v>
      </c>
      <c r="E462">
        <f>VLOOKUP(B462,[1]怪物!$U$34:$Y$134,4,0)</f>
        <v>360</v>
      </c>
      <c r="F462" s="1">
        <f t="shared" si="84"/>
        <v>8500</v>
      </c>
      <c r="H462" t="str">
        <f t="shared" si="88"/>
        <v>{cd,3000}</v>
      </c>
      <c r="I462" t="str">
        <f t="shared" si="89"/>
        <v>{hp,1392000}</v>
      </c>
      <c r="J462" t="str">
        <f t="shared" si="90"/>
        <v>{atk,360}</v>
      </c>
      <c r="K462" t="str">
        <f t="shared" si="91"/>
        <v>{spd,8500}</v>
      </c>
      <c r="L462" t="str">
        <f t="shared" si="85"/>
        <v/>
      </c>
      <c r="O462" t="str">
        <f t="shared" si="86"/>
        <v>[{cd,3000},{hp,1392000},{atk,360},{spd,8500}]</v>
      </c>
    </row>
    <row r="463" spans="1:15">
      <c r="A463">
        <f>Sheet1!E465</f>
        <v>508</v>
      </c>
      <c r="B463">
        <f t="shared" si="87"/>
        <v>92</v>
      </c>
      <c r="C463">
        <v>3000</v>
      </c>
      <c r="D463">
        <f>VLOOKUP(B463,[1]怪物!$U$34:$Y$134,3,0)</f>
        <v>1856000</v>
      </c>
      <c r="E463">
        <f>VLOOKUP(B463,[1]怪物!$U$34:$Y$134,5,0)</f>
        <v>720</v>
      </c>
      <c r="F463" s="1">
        <f t="shared" si="84"/>
        <v>8500</v>
      </c>
      <c r="H463" t="str">
        <f t="shared" si="88"/>
        <v>{cd,3000}</v>
      </c>
      <c r="I463" t="str">
        <f t="shared" si="89"/>
        <v>{hp,1856000}</v>
      </c>
      <c r="J463" t="str">
        <f t="shared" si="90"/>
        <v>{atk,720}</v>
      </c>
      <c r="K463" t="str">
        <f t="shared" si="91"/>
        <v>{spd,8500}</v>
      </c>
      <c r="L463" t="str">
        <f t="shared" si="85"/>
        <v/>
      </c>
      <c r="O463" t="str">
        <f t="shared" si="86"/>
        <v>[{cd,3000},{hp,1856000},{atk,720},{spd,8500}]</v>
      </c>
    </row>
    <row r="464" spans="1:15">
      <c r="A464">
        <f>Sheet1!E466</f>
        <v>110</v>
      </c>
      <c r="B464">
        <f t="shared" si="87"/>
        <v>93</v>
      </c>
      <c r="C464">
        <v>3000</v>
      </c>
      <c r="D464">
        <f>VLOOKUP(B464,[1]怪物!$N$34:$T$133,2,0)</f>
        <v>24100</v>
      </c>
      <c r="E464">
        <f>VLOOKUP(B464,[1]怪物!$N$34:$T$133,5,0)</f>
        <v>146</v>
      </c>
      <c r="F464" s="1">
        <f t="shared" si="84"/>
        <v>8500</v>
      </c>
      <c r="H464" t="str">
        <f t="shared" si="88"/>
        <v>{cd,3000}</v>
      </c>
      <c r="I464" t="str">
        <f t="shared" si="89"/>
        <v>{hp,24100}</v>
      </c>
      <c r="J464" t="str">
        <f t="shared" si="90"/>
        <v>{atk,146}</v>
      </c>
      <c r="K464" t="str">
        <f t="shared" si="91"/>
        <v>{spd,8500}</v>
      </c>
      <c r="L464" t="str">
        <f t="shared" si="85"/>
        <v/>
      </c>
      <c r="O464" t="str">
        <f t="shared" si="86"/>
        <v>[{cd,3000},{hp,24100},{atk,146},{spd,8500}]</v>
      </c>
    </row>
    <row r="465" spans="1:15">
      <c r="A465">
        <f>Sheet1!E467</f>
        <v>117</v>
      </c>
      <c r="B465">
        <f t="shared" si="87"/>
        <v>93</v>
      </c>
      <c r="C465">
        <v>3000</v>
      </c>
      <c r="D465">
        <f>VLOOKUP(B465,[1]怪物!$N$34:$T$133,3,0)</f>
        <v>28920</v>
      </c>
      <c r="E465">
        <f>VLOOKUP(B465,[1]怪物!$N$34:$T$133,6,0)</f>
        <v>175</v>
      </c>
      <c r="F465" s="1">
        <f t="shared" si="84"/>
        <v>8500</v>
      </c>
      <c r="H465" t="str">
        <f t="shared" si="88"/>
        <v>{cd,3000}</v>
      </c>
      <c r="I465" t="str">
        <f t="shared" si="89"/>
        <v>{hp,28920}</v>
      </c>
      <c r="J465" t="str">
        <f t="shared" si="90"/>
        <v>{atk,175}</v>
      </c>
      <c r="K465" t="str">
        <f t="shared" si="91"/>
        <v>{spd,8500}</v>
      </c>
      <c r="L465" t="str">
        <f t="shared" si="85"/>
        <v>{downUnderPhAtk,5000}</v>
      </c>
      <c r="O465" t="str">
        <f t="shared" si="86"/>
        <v>[{cd,3000},{hp,28920},{atk,175},{spd,8500},{downUnderPhAtk,5000}]</v>
      </c>
    </row>
    <row r="466" spans="1:15">
      <c r="A466">
        <f>Sheet1!E468</f>
        <v>109</v>
      </c>
      <c r="B466">
        <f t="shared" si="87"/>
        <v>93</v>
      </c>
      <c r="C466">
        <v>3000</v>
      </c>
      <c r="D466">
        <f>VLOOKUP(B466,[1]怪物!$N$34:$T$133,4,0)</f>
        <v>36150</v>
      </c>
      <c r="E466">
        <f>VLOOKUP(B466,[1]怪物!$N$34:$T$133,7,0)</f>
        <v>219</v>
      </c>
      <c r="F466" s="1">
        <f t="shared" si="84"/>
        <v>8500</v>
      </c>
      <c r="H466" t="str">
        <f t="shared" si="88"/>
        <v>{cd,3000}</v>
      </c>
      <c r="I466" t="str">
        <f t="shared" si="89"/>
        <v>{hp,36150}</v>
      </c>
      <c r="J466" t="str">
        <f t="shared" si="90"/>
        <v>{atk,219}</v>
      </c>
      <c r="K466" t="str">
        <f t="shared" si="91"/>
        <v>{spd,8500}</v>
      </c>
      <c r="L466" t="str">
        <f t="shared" si="85"/>
        <v/>
      </c>
      <c r="O466" t="str">
        <f t="shared" si="86"/>
        <v>[{cd,3000},{hp,36150},{atk,219},{spd,8500}]</v>
      </c>
    </row>
    <row r="467" spans="1:15">
      <c r="A467">
        <f>Sheet1!E469</f>
        <v>517</v>
      </c>
      <c r="B467">
        <f t="shared" si="87"/>
        <v>93</v>
      </c>
      <c r="C467">
        <v>3000</v>
      </c>
      <c r="D467">
        <f>VLOOKUP(B467,[1]怪物!$U$34:$Y$134,2,0)</f>
        <v>1446000</v>
      </c>
      <c r="E467">
        <f>VLOOKUP(B467,[1]怪物!$U$34:$Y$134,4,0)</f>
        <v>365</v>
      </c>
      <c r="F467" s="1">
        <f t="shared" si="84"/>
        <v>8500</v>
      </c>
      <c r="H467" t="str">
        <f t="shared" si="88"/>
        <v>{cd,3000}</v>
      </c>
      <c r="I467" t="str">
        <f t="shared" si="89"/>
        <v>{hp,1446000}</v>
      </c>
      <c r="J467" t="str">
        <f t="shared" si="90"/>
        <v>{atk,365}</v>
      </c>
      <c r="K467" t="str">
        <f t="shared" si="91"/>
        <v>{spd,8500}</v>
      </c>
      <c r="L467" t="str">
        <f t="shared" si="85"/>
        <v>{downUnderPhAtk,5000}</v>
      </c>
      <c r="O467" t="str">
        <f t="shared" si="86"/>
        <v>[{cd,3000},{hp,1446000},{atk,365},{spd,8500},{downUnderPhAtk,5000}]</v>
      </c>
    </row>
    <row r="468" spans="1:15">
      <c r="A468">
        <f>Sheet1!E470</f>
        <v>517</v>
      </c>
      <c r="B468">
        <f t="shared" si="87"/>
        <v>93</v>
      </c>
      <c r="C468">
        <v>3000</v>
      </c>
      <c r="D468">
        <f>VLOOKUP(B468,[1]怪物!$U$34:$Y$134,3,0)</f>
        <v>1928000</v>
      </c>
      <c r="E468">
        <f>VLOOKUP(B468,[1]怪物!$U$34:$Y$134,5,0)</f>
        <v>730</v>
      </c>
      <c r="F468" s="1">
        <f t="shared" si="84"/>
        <v>8500</v>
      </c>
      <c r="H468" t="str">
        <f t="shared" si="88"/>
        <v>{cd,3000}</v>
      </c>
      <c r="I468" t="str">
        <f t="shared" si="89"/>
        <v>{hp,1928000}</v>
      </c>
      <c r="J468" t="str">
        <f t="shared" si="90"/>
        <v>{atk,730}</v>
      </c>
      <c r="K468" t="str">
        <f t="shared" si="91"/>
        <v>{spd,8500}</v>
      </c>
      <c r="L468" t="str">
        <f t="shared" si="85"/>
        <v>{downUnderPhAtk,5000}</v>
      </c>
      <c r="O468" t="str">
        <f t="shared" si="86"/>
        <v>[{cd,3000},{hp,1928000},{atk,730},{spd,8500},{downUnderPhAtk,5000}]</v>
      </c>
    </row>
    <row r="469" spans="1:15">
      <c r="A469">
        <f>Sheet1!E471</f>
        <v>108</v>
      </c>
      <c r="B469">
        <f t="shared" si="87"/>
        <v>94</v>
      </c>
      <c r="C469">
        <v>3000</v>
      </c>
      <c r="D469">
        <f>VLOOKUP(B469,[1]怪物!$N$34:$T$133,2,0)</f>
        <v>25300</v>
      </c>
      <c r="E469">
        <f>VLOOKUP(B469,[1]怪物!$N$34:$T$133,5,0)</f>
        <v>148</v>
      </c>
      <c r="F469" s="1">
        <f t="shared" si="84"/>
        <v>8500</v>
      </c>
      <c r="H469" t="str">
        <f t="shared" si="88"/>
        <v>{cd,3000}</v>
      </c>
      <c r="I469" t="str">
        <f t="shared" si="89"/>
        <v>{hp,25300}</v>
      </c>
      <c r="J469" t="str">
        <f t="shared" si="90"/>
        <v>{atk,148}</v>
      </c>
      <c r="K469" t="str">
        <f t="shared" si="91"/>
        <v>{spd,8500}</v>
      </c>
      <c r="L469" t="str">
        <f t="shared" si="85"/>
        <v/>
      </c>
      <c r="O469" t="str">
        <f t="shared" si="86"/>
        <v>[{cd,3000},{hp,25300},{atk,148},{spd,8500}]</v>
      </c>
    </row>
    <row r="470" spans="1:15">
      <c r="A470">
        <f>Sheet1!E472</f>
        <v>109</v>
      </c>
      <c r="B470">
        <f t="shared" si="87"/>
        <v>94</v>
      </c>
      <c r="C470">
        <v>3000</v>
      </c>
      <c r="D470">
        <f>VLOOKUP(B470,[1]怪物!$N$34:$T$133,3,0)</f>
        <v>30360</v>
      </c>
      <c r="E470">
        <f>VLOOKUP(B470,[1]怪物!$N$34:$T$133,6,0)</f>
        <v>178</v>
      </c>
      <c r="F470" s="1">
        <f t="shared" si="84"/>
        <v>8500</v>
      </c>
      <c r="H470" t="str">
        <f t="shared" si="88"/>
        <v>{cd,3000}</v>
      </c>
      <c r="I470" t="str">
        <f t="shared" si="89"/>
        <v>{hp,30360}</v>
      </c>
      <c r="J470" t="str">
        <f t="shared" si="90"/>
        <v>{atk,178}</v>
      </c>
      <c r="K470" t="str">
        <f t="shared" si="91"/>
        <v>{spd,8500}</v>
      </c>
      <c r="L470" t="str">
        <f t="shared" si="85"/>
        <v/>
      </c>
      <c r="O470" t="str">
        <f t="shared" si="86"/>
        <v>[{cd,3000},{hp,30360},{atk,178},{spd,8500}]</v>
      </c>
    </row>
    <row r="471" spans="1:15">
      <c r="A471">
        <f>Sheet1!E473</f>
        <v>110</v>
      </c>
      <c r="B471">
        <f t="shared" si="87"/>
        <v>94</v>
      </c>
      <c r="C471">
        <v>3000</v>
      </c>
      <c r="D471">
        <f>VLOOKUP(B471,[1]怪物!$N$34:$T$133,4,0)</f>
        <v>37950</v>
      </c>
      <c r="E471">
        <f>VLOOKUP(B471,[1]怪物!$N$34:$T$133,7,0)</f>
        <v>222</v>
      </c>
      <c r="F471" s="1">
        <f t="shared" si="84"/>
        <v>8500</v>
      </c>
      <c r="H471" t="str">
        <f t="shared" si="88"/>
        <v>{cd,3000}</v>
      </c>
      <c r="I471" t="str">
        <f t="shared" si="89"/>
        <v>{hp,37950}</v>
      </c>
      <c r="J471" t="str">
        <f t="shared" si="90"/>
        <v>{atk,222}</v>
      </c>
      <c r="K471" t="str">
        <f t="shared" si="91"/>
        <v>{spd,8500}</v>
      </c>
      <c r="L471" t="str">
        <f t="shared" si="85"/>
        <v/>
      </c>
      <c r="O471" t="str">
        <f t="shared" si="86"/>
        <v>[{cd,3000},{hp,37950},{atk,222},{spd,8500}]</v>
      </c>
    </row>
    <row r="472" spans="1:15">
      <c r="A472">
        <f>Sheet1!E474</f>
        <v>509</v>
      </c>
      <c r="B472">
        <f t="shared" si="87"/>
        <v>94</v>
      </c>
      <c r="C472">
        <v>3000</v>
      </c>
      <c r="D472">
        <f>VLOOKUP(B472,[1]怪物!$U$34:$Y$134,2,0)</f>
        <v>1518000</v>
      </c>
      <c r="E472">
        <f>VLOOKUP(B472,[1]怪物!$U$34:$Y$134,4,0)</f>
        <v>370</v>
      </c>
      <c r="F472" s="1">
        <f t="shared" si="84"/>
        <v>8500</v>
      </c>
      <c r="H472" t="str">
        <f t="shared" si="88"/>
        <v>{cd,3000}</v>
      </c>
      <c r="I472" t="str">
        <f t="shared" si="89"/>
        <v>{hp,1518000}</v>
      </c>
      <c r="J472" t="str">
        <f t="shared" si="90"/>
        <v>{atk,370}</v>
      </c>
      <c r="K472" t="str">
        <f t="shared" si="91"/>
        <v>{spd,8500}</v>
      </c>
      <c r="L472" t="str">
        <f t="shared" si="85"/>
        <v/>
      </c>
      <c r="O472" t="str">
        <f t="shared" si="86"/>
        <v>[{cd,3000},{hp,1518000},{atk,370},{spd,8500}]</v>
      </c>
    </row>
    <row r="473" spans="1:15">
      <c r="A473">
        <f>Sheet1!E475</f>
        <v>509</v>
      </c>
      <c r="B473">
        <f t="shared" si="87"/>
        <v>94</v>
      </c>
      <c r="C473">
        <v>3000</v>
      </c>
      <c r="D473">
        <f>VLOOKUP(B473,[1]怪物!$U$34:$Y$134,3,0)</f>
        <v>2024000</v>
      </c>
      <c r="E473">
        <f>VLOOKUP(B473,[1]怪物!$U$34:$Y$134,5,0)</f>
        <v>740</v>
      </c>
      <c r="F473" s="1">
        <f t="shared" si="84"/>
        <v>8500</v>
      </c>
      <c r="H473" t="str">
        <f t="shared" si="88"/>
        <v>{cd,3000}</v>
      </c>
      <c r="I473" t="str">
        <f t="shared" si="89"/>
        <v>{hp,2024000}</v>
      </c>
      <c r="J473" t="str">
        <f t="shared" si="90"/>
        <v>{atk,740}</v>
      </c>
      <c r="K473" t="str">
        <f t="shared" si="91"/>
        <v>{spd,8500}</v>
      </c>
      <c r="L473" t="str">
        <f t="shared" si="85"/>
        <v/>
      </c>
      <c r="O473" t="str">
        <f t="shared" si="86"/>
        <v>[{cd,3000},{hp,2024000},{atk,740},{spd,8500}]</v>
      </c>
    </row>
    <row r="474" spans="1:15">
      <c r="A474">
        <f>Sheet1!E476</f>
        <v>100</v>
      </c>
      <c r="B474">
        <f t="shared" si="87"/>
        <v>95</v>
      </c>
      <c r="C474">
        <v>3000</v>
      </c>
      <c r="D474">
        <f>VLOOKUP(B474,[1]怪物!$N$34:$T$133,2,0)</f>
        <v>26500</v>
      </c>
      <c r="E474">
        <f>VLOOKUP(B474,[1]怪物!$N$34:$T$133,5,0)</f>
        <v>160</v>
      </c>
      <c r="F474" s="1">
        <f t="shared" si="84"/>
        <v>8500</v>
      </c>
      <c r="H474" t="str">
        <f t="shared" si="88"/>
        <v>{cd,3000}</v>
      </c>
      <c r="I474" t="str">
        <f t="shared" si="89"/>
        <v>{hp,26500}</v>
      </c>
      <c r="J474" t="str">
        <f t="shared" si="90"/>
        <v>{atk,160}</v>
      </c>
      <c r="K474" t="str">
        <f t="shared" si="91"/>
        <v>{spd,8500}</v>
      </c>
      <c r="L474" t="str">
        <f t="shared" si="85"/>
        <v/>
      </c>
      <c r="O474" t="str">
        <f t="shared" si="86"/>
        <v>[{cd,3000},{hp,26500},{atk,160},{spd,8500}]</v>
      </c>
    </row>
    <row r="475" spans="1:15">
      <c r="A475">
        <f>Sheet1!E477</f>
        <v>102</v>
      </c>
      <c r="B475">
        <f t="shared" si="87"/>
        <v>95</v>
      </c>
      <c r="C475">
        <v>3000</v>
      </c>
      <c r="D475">
        <f>VLOOKUP(B475,[1]怪物!$N$34:$T$133,3,0)</f>
        <v>31800</v>
      </c>
      <c r="E475">
        <f>VLOOKUP(B475,[1]怪物!$N$34:$T$133,6,0)</f>
        <v>192</v>
      </c>
      <c r="F475" s="1">
        <f t="shared" si="84"/>
        <v>8500</v>
      </c>
      <c r="H475" t="str">
        <f t="shared" si="88"/>
        <v>{cd,3000}</v>
      </c>
      <c r="I475" t="str">
        <f t="shared" si="89"/>
        <v>{hp,31800}</v>
      </c>
      <c r="J475" t="str">
        <f t="shared" si="90"/>
        <v>{atk,192}</v>
      </c>
      <c r="K475" t="str">
        <f t="shared" si="91"/>
        <v>{spd,8500}</v>
      </c>
      <c r="L475" t="str">
        <f t="shared" si="85"/>
        <v/>
      </c>
      <c r="O475" t="str">
        <f t="shared" si="86"/>
        <v>[{cd,3000},{hp,31800},{atk,192},{spd,8500}]</v>
      </c>
    </row>
    <row r="476" spans="1:15">
      <c r="A476">
        <f>Sheet1!E478</f>
        <v>105</v>
      </c>
      <c r="B476">
        <f t="shared" si="87"/>
        <v>95</v>
      </c>
      <c r="C476">
        <v>3000</v>
      </c>
      <c r="D476">
        <f>VLOOKUP(B476,[1]怪物!$N$34:$T$133,4,0)</f>
        <v>39750</v>
      </c>
      <c r="E476">
        <f>VLOOKUP(B476,[1]怪物!$N$34:$T$133,7,0)</f>
        <v>240</v>
      </c>
      <c r="F476" s="1">
        <f t="shared" si="84"/>
        <v>8500</v>
      </c>
      <c r="H476" t="str">
        <f t="shared" si="88"/>
        <v>{cd,3000}</v>
      </c>
      <c r="I476" t="str">
        <f t="shared" si="89"/>
        <v>{hp,39750}</v>
      </c>
      <c r="J476" t="str">
        <f t="shared" si="90"/>
        <v>{atk,240}</v>
      </c>
      <c r="K476" t="str">
        <f t="shared" si="91"/>
        <v>{spd,8500}</v>
      </c>
      <c r="L476" t="str">
        <f t="shared" si="85"/>
        <v/>
      </c>
      <c r="O476" t="str">
        <f t="shared" si="86"/>
        <v>[{cd,3000},{hp,39750},{atk,240},{spd,8500}]</v>
      </c>
    </row>
    <row r="477" spans="1:15">
      <c r="A477">
        <f>Sheet1!E479</f>
        <v>502</v>
      </c>
      <c r="B477">
        <f t="shared" si="87"/>
        <v>95</v>
      </c>
      <c r="C477">
        <v>3000</v>
      </c>
      <c r="D477">
        <f>VLOOKUP(B477,[1]怪物!$U$34:$Y$134,2,0)</f>
        <v>1590000</v>
      </c>
      <c r="E477">
        <f>VLOOKUP(B477,[1]怪物!$U$34:$Y$134,4,0)</f>
        <v>400</v>
      </c>
      <c r="F477" s="1">
        <f t="shared" si="84"/>
        <v>8500</v>
      </c>
      <c r="H477" t="str">
        <f t="shared" si="88"/>
        <v>{cd,3000}</v>
      </c>
      <c r="I477" t="str">
        <f t="shared" si="89"/>
        <v>{hp,1590000}</v>
      </c>
      <c r="J477" t="str">
        <f t="shared" si="90"/>
        <v>{atk,400}</v>
      </c>
      <c r="K477" t="str">
        <f t="shared" si="91"/>
        <v>{spd,8500}</v>
      </c>
      <c r="L477" t="str">
        <f t="shared" si="85"/>
        <v/>
      </c>
      <c r="O477" t="str">
        <f t="shared" si="86"/>
        <v>[{cd,3000},{hp,1590000},{atk,400},{spd,8500}]</v>
      </c>
    </row>
    <row r="478" spans="1:15">
      <c r="A478">
        <f>Sheet1!E480</f>
        <v>500</v>
      </c>
      <c r="B478">
        <f t="shared" si="87"/>
        <v>95</v>
      </c>
      <c r="C478">
        <v>3000</v>
      </c>
      <c r="D478">
        <f>VLOOKUP(B478,[1]怪物!$U$34:$Y$134,3,0)</f>
        <v>2120000</v>
      </c>
      <c r="E478">
        <f>VLOOKUP(B478,[1]怪物!$U$34:$Y$134,5,0)</f>
        <v>800</v>
      </c>
      <c r="F478" s="1">
        <f t="shared" si="84"/>
        <v>8500</v>
      </c>
      <c r="H478" t="str">
        <f t="shared" si="88"/>
        <v>{cd,3000}</v>
      </c>
      <c r="I478" t="str">
        <f t="shared" si="89"/>
        <v>{hp,2120000}</v>
      </c>
      <c r="J478" t="str">
        <f t="shared" si="90"/>
        <v>{atk,800}</v>
      </c>
      <c r="K478" t="str">
        <f t="shared" si="91"/>
        <v>{spd,8500}</v>
      </c>
      <c r="L478" t="str">
        <f t="shared" si="85"/>
        <v/>
      </c>
      <c r="O478" t="str">
        <f t="shared" si="86"/>
        <v>[{cd,3000},{hp,2120000},{atk,800},{spd,8500}]</v>
      </c>
    </row>
    <row r="479" spans="1:15">
      <c r="A479">
        <f>Sheet1!E481</f>
        <v>111</v>
      </c>
      <c r="B479">
        <f t="shared" si="87"/>
        <v>96</v>
      </c>
      <c r="C479">
        <v>3000</v>
      </c>
      <c r="D479">
        <f>VLOOKUP(B479,[1]怪物!$N$34:$T$133,2,0)</f>
        <v>25600</v>
      </c>
      <c r="E479">
        <f>VLOOKUP(B479,[1]怪物!$N$34:$T$133,5,0)</f>
        <v>150</v>
      </c>
      <c r="F479" s="1">
        <f t="shared" si="84"/>
        <v>8500</v>
      </c>
      <c r="H479" t="str">
        <f t="shared" si="88"/>
        <v>{cd,3000}</v>
      </c>
      <c r="I479" t="str">
        <f t="shared" si="89"/>
        <v>{hp,25600}</v>
      </c>
      <c r="J479" t="str">
        <f t="shared" si="90"/>
        <v>{atk,150}</v>
      </c>
      <c r="K479" t="str">
        <f t="shared" si="91"/>
        <v>{spd,8500}</v>
      </c>
      <c r="L479" t="str">
        <f t="shared" si="85"/>
        <v/>
      </c>
      <c r="O479" t="str">
        <f t="shared" si="86"/>
        <v>[{cd,3000},{hp,25600},{atk,150},{spd,8500}]</v>
      </c>
    </row>
    <row r="480" spans="1:15">
      <c r="A480">
        <f>Sheet1!E482</f>
        <v>112</v>
      </c>
      <c r="B480">
        <f t="shared" si="87"/>
        <v>96</v>
      </c>
      <c r="C480">
        <v>3000</v>
      </c>
      <c r="D480">
        <f>VLOOKUP(B480,[1]怪物!$N$34:$T$133,3,0)</f>
        <v>30720</v>
      </c>
      <c r="E480">
        <f>VLOOKUP(B480,[1]怪物!$N$34:$T$133,6,0)</f>
        <v>180</v>
      </c>
      <c r="F480" s="1">
        <f t="shared" si="84"/>
        <v>8500</v>
      </c>
      <c r="H480" t="str">
        <f t="shared" si="88"/>
        <v>{cd,3000}</v>
      </c>
      <c r="I480" t="str">
        <f t="shared" si="89"/>
        <v>{hp,30720}</v>
      </c>
      <c r="J480" t="str">
        <f t="shared" si="90"/>
        <v>{atk,180}</v>
      </c>
      <c r="K480" t="str">
        <f t="shared" si="91"/>
        <v>{spd,8500}</v>
      </c>
      <c r="L480" t="str">
        <f t="shared" si="85"/>
        <v/>
      </c>
      <c r="O480" t="str">
        <f t="shared" si="86"/>
        <v>[{cd,3000},{hp,30720},{atk,180},{spd,8500}]</v>
      </c>
    </row>
    <row r="481" spans="1:15">
      <c r="A481">
        <f>Sheet1!E483</f>
        <v>113</v>
      </c>
      <c r="B481">
        <f t="shared" si="87"/>
        <v>96</v>
      </c>
      <c r="C481">
        <v>3000</v>
      </c>
      <c r="D481">
        <f>VLOOKUP(B481,[1]怪物!$N$34:$T$133,4,0)</f>
        <v>38400</v>
      </c>
      <c r="E481">
        <f>VLOOKUP(B481,[1]怪物!$N$34:$T$133,7,0)</f>
        <v>225</v>
      </c>
      <c r="F481" s="1">
        <f t="shared" si="84"/>
        <v>8500</v>
      </c>
      <c r="H481" t="str">
        <f t="shared" si="88"/>
        <v>{cd,3000}</v>
      </c>
      <c r="I481" t="str">
        <f t="shared" si="89"/>
        <v>{hp,38400}</v>
      </c>
      <c r="J481" t="str">
        <f t="shared" si="90"/>
        <v>{atk,225}</v>
      </c>
      <c r="K481" t="str">
        <f t="shared" si="91"/>
        <v>{spd,8500}</v>
      </c>
      <c r="L481" t="str">
        <f t="shared" si="85"/>
        <v/>
      </c>
      <c r="O481" t="str">
        <f t="shared" si="86"/>
        <v>[{cd,3000},{hp,38400},{atk,225},{spd,8500}]</v>
      </c>
    </row>
    <row r="482" spans="1:15">
      <c r="A482">
        <f>Sheet1!E484</f>
        <v>511</v>
      </c>
      <c r="B482">
        <f t="shared" si="87"/>
        <v>96</v>
      </c>
      <c r="C482">
        <v>3000</v>
      </c>
      <c r="D482">
        <f>VLOOKUP(B482,[1]怪物!$U$34:$Y$134,2,0)</f>
        <v>1536000</v>
      </c>
      <c r="E482">
        <f>VLOOKUP(B482,[1]怪物!$U$34:$Y$134,4,0)</f>
        <v>375</v>
      </c>
      <c r="F482" s="1">
        <f t="shared" si="84"/>
        <v>8500</v>
      </c>
      <c r="H482" t="str">
        <f t="shared" si="88"/>
        <v>{cd,3000}</v>
      </c>
      <c r="I482" t="str">
        <f t="shared" si="89"/>
        <v>{hp,1536000}</v>
      </c>
      <c r="J482" t="str">
        <f t="shared" si="90"/>
        <v>{atk,375}</v>
      </c>
      <c r="K482" t="str">
        <f t="shared" si="91"/>
        <v>{spd,8500}</v>
      </c>
      <c r="L482" t="str">
        <f t="shared" si="85"/>
        <v/>
      </c>
      <c r="O482" t="str">
        <f t="shared" si="86"/>
        <v>[{cd,3000},{hp,1536000},{atk,375},{spd,8500}]</v>
      </c>
    </row>
    <row r="483" spans="1:15">
      <c r="A483">
        <f>Sheet1!E485</f>
        <v>511</v>
      </c>
      <c r="B483">
        <f t="shared" si="87"/>
        <v>96</v>
      </c>
      <c r="C483">
        <v>3000</v>
      </c>
      <c r="D483">
        <f>VLOOKUP(B483,[1]怪物!$U$34:$Y$134,3,0)</f>
        <v>2048000</v>
      </c>
      <c r="E483">
        <f>VLOOKUP(B483,[1]怪物!$U$34:$Y$134,5,0)</f>
        <v>750</v>
      </c>
      <c r="F483" s="1">
        <f t="shared" si="84"/>
        <v>8500</v>
      </c>
      <c r="H483" t="str">
        <f t="shared" si="88"/>
        <v>{cd,3000}</v>
      </c>
      <c r="I483" t="str">
        <f t="shared" si="89"/>
        <v>{hp,2048000}</v>
      </c>
      <c r="J483" t="str">
        <f t="shared" si="90"/>
        <v>{atk,750}</v>
      </c>
      <c r="K483" t="str">
        <f t="shared" si="91"/>
        <v>{spd,8500}</v>
      </c>
      <c r="L483" t="str">
        <f t="shared" si="85"/>
        <v/>
      </c>
      <c r="O483" t="str">
        <f t="shared" si="86"/>
        <v>[{cd,3000},{hp,2048000},{atk,750},{spd,8500}]</v>
      </c>
    </row>
    <row r="484" spans="1:15">
      <c r="A484">
        <f>Sheet1!E486</f>
        <v>111</v>
      </c>
      <c r="B484">
        <f t="shared" si="87"/>
        <v>97</v>
      </c>
      <c r="C484">
        <v>3000</v>
      </c>
      <c r="D484">
        <f>VLOOKUP(B484,[1]怪物!$N$34:$T$133,2,0)</f>
        <v>26200</v>
      </c>
      <c r="E484">
        <f>VLOOKUP(B484,[1]怪物!$N$34:$T$133,5,0)</f>
        <v>152</v>
      </c>
      <c r="F484" s="1">
        <f t="shared" si="84"/>
        <v>8500</v>
      </c>
      <c r="H484" t="str">
        <f t="shared" si="88"/>
        <v>{cd,3000}</v>
      </c>
      <c r="I484" t="str">
        <f t="shared" si="89"/>
        <v>{hp,26200}</v>
      </c>
      <c r="J484" t="str">
        <f t="shared" si="90"/>
        <v>{atk,152}</v>
      </c>
      <c r="K484" t="str">
        <f t="shared" si="91"/>
        <v>{spd,8500}</v>
      </c>
      <c r="L484" t="str">
        <f t="shared" si="85"/>
        <v/>
      </c>
      <c r="O484" t="str">
        <f t="shared" si="86"/>
        <v>[{cd,3000},{hp,26200},{atk,152},{spd,8500}]</v>
      </c>
    </row>
    <row r="485" spans="1:15">
      <c r="A485">
        <f>Sheet1!E487</f>
        <v>119</v>
      </c>
      <c r="B485">
        <f t="shared" si="87"/>
        <v>97</v>
      </c>
      <c r="C485">
        <v>3000</v>
      </c>
      <c r="D485">
        <f>VLOOKUP(B485,[1]怪物!$N$34:$T$133,3,0)</f>
        <v>31440</v>
      </c>
      <c r="E485">
        <f>VLOOKUP(B485,[1]怪物!$N$34:$T$133,6,0)</f>
        <v>182</v>
      </c>
      <c r="F485" s="1">
        <f t="shared" si="84"/>
        <v>8500</v>
      </c>
      <c r="H485" t="str">
        <f t="shared" si="88"/>
        <v>{cd,3000}</v>
      </c>
      <c r="I485" t="str">
        <f t="shared" si="89"/>
        <v>{hp,31440}</v>
      </c>
      <c r="J485" t="str">
        <f t="shared" si="90"/>
        <v>{atk,182}</v>
      </c>
      <c r="K485" t="str">
        <f t="shared" si="91"/>
        <v>{spd,8500}</v>
      </c>
      <c r="L485" t="str">
        <f t="shared" si="85"/>
        <v>{downUnderMagicAtk,5000}</v>
      </c>
      <c r="O485" t="str">
        <f t="shared" si="86"/>
        <v>[{cd,3000},{hp,31440},{atk,182},{spd,8500},{downUnderMagicAtk,5000}]</v>
      </c>
    </row>
    <row r="486" spans="1:15">
      <c r="A486">
        <f>Sheet1!E488</f>
        <v>115</v>
      </c>
      <c r="B486">
        <f t="shared" si="87"/>
        <v>97</v>
      </c>
      <c r="C486">
        <v>3000</v>
      </c>
      <c r="D486">
        <f>VLOOKUP(B486,[1]怪物!$N$34:$T$133,4,0)</f>
        <v>39300</v>
      </c>
      <c r="E486">
        <f>VLOOKUP(B486,[1]怪物!$N$34:$T$133,7,0)</f>
        <v>228</v>
      </c>
      <c r="F486" s="1">
        <f t="shared" si="84"/>
        <v>8500</v>
      </c>
      <c r="H486" t="str">
        <f t="shared" si="88"/>
        <v>{cd,3000}</v>
      </c>
      <c r="I486" t="str">
        <f t="shared" si="89"/>
        <v>{hp,39300}</v>
      </c>
      <c r="J486" t="str">
        <f t="shared" si="90"/>
        <v>{atk,228}</v>
      </c>
      <c r="K486" t="str">
        <f t="shared" si="91"/>
        <v>{spd,8500}</v>
      </c>
      <c r="L486" t="str">
        <f t="shared" si="85"/>
        <v/>
      </c>
      <c r="O486" t="str">
        <f t="shared" si="86"/>
        <v>[{cd,3000},{hp,39300},{atk,228},{spd,8500}]</v>
      </c>
    </row>
    <row r="487" spans="1:15">
      <c r="A487">
        <f>Sheet1!E489</f>
        <v>519</v>
      </c>
      <c r="B487">
        <f t="shared" si="87"/>
        <v>97</v>
      </c>
      <c r="C487">
        <v>3000</v>
      </c>
      <c r="D487">
        <f>VLOOKUP(B487,[1]怪物!$U$34:$Y$134,2,0)</f>
        <v>1572000</v>
      </c>
      <c r="E487">
        <f>VLOOKUP(B487,[1]怪物!$U$34:$Y$134,4,0)</f>
        <v>380</v>
      </c>
      <c r="F487" s="1">
        <f t="shared" si="84"/>
        <v>8500</v>
      </c>
      <c r="H487" t="str">
        <f t="shared" si="88"/>
        <v>{cd,3000}</v>
      </c>
      <c r="I487" t="str">
        <f t="shared" si="89"/>
        <v>{hp,1572000}</v>
      </c>
      <c r="J487" t="str">
        <f t="shared" si="90"/>
        <v>{atk,380}</v>
      </c>
      <c r="K487" t="str">
        <f t="shared" si="91"/>
        <v>{spd,8500}</v>
      </c>
      <c r="L487" t="str">
        <f t="shared" si="85"/>
        <v>{downUnderMagicAtk,5000}</v>
      </c>
      <c r="O487" t="str">
        <f t="shared" si="86"/>
        <v>[{cd,3000},{hp,1572000},{atk,380},{spd,8500},{downUnderMagicAtk,5000}]</v>
      </c>
    </row>
    <row r="488" spans="1:15">
      <c r="A488">
        <f>Sheet1!E490</f>
        <v>519</v>
      </c>
      <c r="B488">
        <f t="shared" si="87"/>
        <v>97</v>
      </c>
      <c r="C488">
        <v>3000</v>
      </c>
      <c r="D488">
        <f>VLOOKUP(B488,[1]怪物!$U$34:$Y$134,3,0)</f>
        <v>2096000</v>
      </c>
      <c r="E488">
        <f>VLOOKUP(B488,[1]怪物!$U$34:$Y$134,5,0)</f>
        <v>760</v>
      </c>
      <c r="F488" s="1">
        <f t="shared" si="84"/>
        <v>8500</v>
      </c>
      <c r="H488" t="str">
        <f t="shared" si="88"/>
        <v>{cd,3000}</v>
      </c>
      <c r="I488" t="str">
        <f t="shared" si="89"/>
        <v>{hp,2096000}</v>
      </c>
      <c r="J488" t="str">
        <f t="shared" si="90"/>
        <v>{atk,760}</v>
      </c>
      <c r="K488" t="str">
        <f t="shared" si="91"/>
        <v>{spd,8500}</v>
      </c>
      <c r="L488" t="str">
        <f t="shared" si="85"/>
        <v>{downUnderMagicAtk,5000}</v>
      </c>
      <c r="O488" t="str">
        <f t="shared" si="86"/>
        <v>[{cd,3000},{hp,2096000},{atk,760},{spd,8500},{downUnderMagicAtk,5000}]</v>
      </c>
    </row>
    <row r="489" spans="1:15">
      <c r="A489">
        <f>Sheet1!E491</f>
        <v>111</v>
      </c>
      <c r="B489">
        <f t="shared" si="87"/>
        <v>98</v>
      </c>
      <c r="C489">
        <v>3000</v>
      </c>
      <c r="D489">
        <f>VLOOKUP(B489,[1]怪物!$N$34:$T$133,2,0)</f>
        <v>27100</v>
      </c>
      <c r="E489">
        <f>VLOOKUP(B489,[1]怪物!$N$34:$T$133,5,0)</f>
        <v>154</v>
      </c>
      <c r="F489" s="1">
        <f t="shared" si="84"/>
        <v>8500</v>
      </c>
      <c r="H489" t="str">
        <f t="shared" si="88"/>
        <v>{cd,3000}</v>
      </c>
      <c r="I489" t="str">
        <f t="shared" si="89"/>
        <v>{hp,27100}</v>
      </c>
      <c r="J489" t="str">
        <f t="shared" si="90"/>
        <v>{atk,154}</v>
      </c>
      <c r="K489" t="str">
        <f t="shared" si="91"/>
        <v>{spd,8500}</v>
      </c>
      <c r="L489" t="str">
        <f t="shared" si="85"/>
        <v/>
      </c>
      <c r="O489" t="str">
        <f t="shared" si="86"/>
        <v>[{cd,3000},{hp,27100},{atk,154},{spd,8500}]</v>
      </c>
    </row>
    <row r="490" spans="1:15">
      <c r="A490">
        <f>Sheet1!E492</f>
        <v>115</v>
      </c>
      <c r="B490">
        <f t="shared" si="87"/>
        <v>98</v>
      </c>
      <c r="C490">
        <v>3000</v>
      </c>
      <c r="D490">
        <f>VLOOKUP(B490,[1]怪物!$N$34:$T$133,3,0)</f>
        <v>32520</v>
      </c>
      <c r="E490">
        <f>VLOOKUP(B490,[1]怪物!$N$34:$T$133,6,0)</f>
        <v>185</v>
      </c>
      <c r="F490" s="1">
        <f t="shared" si="84"/>
        <v>8500</v>
      </c>
      <c r="H490" t="str">
        <f t="shared" si="88"/>
        <v>{cd,3000}</v>
      </c>
      <c r="I490" t="str">
        <f t="shared" si="89"/>
        <v>{hp,32520}</v>
      </c>
      <c r="J490" t="str">
        <f t="shared" si="90"/>
        <v>{atk,185}</v>
      </c>
      <c r="K490" t="str">
        <f t="shared" si="91"/>
        <v>{spd,8500}</v>
      </c>
      <c r="L490" t="str">
        <f t="shared" si="85"/>
        <v/>
      </c>
      <c r="O490" t="str">
        <f t="shared" si="86"/>
        <v>[{cd,3000},{hp,32520},{atk,185},{spd,8500}]</v>
      </c>
    </row>
    <row r="491" spans="1:15">
      <c r="A491">
        <f>Sheet1!E493</f>
        <v>113</v>
      </c>
      <c r="B491">
        <f t="shared" si="87"/>
        <v>98</v>
      </c>
      <c r="C491">
        <v>3000</v>
      </c>
      <c r="D491">
        <f>VLOOKUP(B491,[1]怪物!$N$34:$T$133,4,0)</f>
        <v>40650</v>
      </c>
      <c r="E491">
        <f>VLOOKUP(B491,[1]怪物!$N$34:$T$133,7,0)</f>
        <v>231</v>
      </c>
      <c r="F491" s="1">
        <f t="shared" si="84"/>
        <v>8500</v>
      </c>
      <c r="H491" t="str">
        <f t="shared" si="88"/>
        <v>{cd,3000}</v>
      </c>
      <c r="I491" t="str">
        <f t="shared" si="89"/>
        <v>{hp,40650}</v>
      </c>
      <c r="J491" t="str">
        <f t="shared" si="90"/>
        <v>{atk,231}</v>
      </c>
      <c r="K491" t="str">
        <f t="shared" si="91"/>
        <v>{spd,8500}</v>
      </c>
      <c r="L491" t="str">
        <f t="shared" si="85"/>
        <v/>
      </c>
      <c r="O491" t="str">
        <f t="shared" si="86"/>
        <v>[{cd,3000},{hp,40650},{atk,231},{spd,8500}]</v>
      </c>
    </row>
    <row r="492" spans="1:15">
      <c r="A492">
        <f>Sheet1!E494</f>
        <v>515</v>
      </c>
      <c r="B492">
        <f t="shared" si="87"/>
        <v>98</v>
      </c>
      <c r="C492">
        <v>3000</v>
      </c>
      <c r="D492">
        <f>VLOOKUP(B492,[1]怪物!$U$34:$Y$134,2,0)</f>
        <v>1626000</v>
      </c>
      <c r="E492">
        <f>VLOOKUP(B492,[1]怪物!$U$34:$Y$134,4,0)</f>
        <v>385</v>
      </c>
      <c r="F492" s="1">
        <f t="shared" si="84"/>
        <v>8500</v>
      </c>
      <c r="H492" t="str">
        <f t="shared" si="88"/>
        <v>{cd,3000}</v>
      </c>
      <c r="I492" t="str">
        <f t="shared" si="89"/>
        <v>{hp,1626000}</v>
      </c>
      <c r="J492" t="str">
        <f t="shared" si="90"/>
        <v>{atk,385}</v>
      </c>
      <c r="K492" t="str">
        <f t="shared" si="91"/>
        <v>{spd,8500}</v>
      </c>
      <c r="L492" t="str">
        <f t="shared" si="85"/>
        <v/>
      </c>
      <c r="O492" t="str">
        <f t="shared" si="86"/>
        <v>[{cd,3000},{hp,1626000},{atk,385},{spd,8500}]</v>
      </c>
    </row>
    <row r="493" spans="1:15">
      <c r="A493">
        <f>Sheet1!E495</f>
        <v>515</v>
      </c>
      <c r="B493">
        <f t="shared" si="87"/>
        <v>98</v>
      </c>
      <c r="C493">
        <v>3000</v>
      </c>
      <c r="D493">
        <f>VLOOKUP(B493,[1]怪物!$U$34:$Y$134,3,0)</f>
        <v>2168000</v>
      </c>
      <c r="E493">
        <f>VLOOKUP(B493,[1]怪物!$U$34:$Y$134,5,0)</f>
        <v>770</v>
      </c>
      <c r="F493" s="1">
        <f t="shared" si="84"/>
        <v>8500</v>
      </c>
      <c r="H493" t="str">
        <f t="shared" si="88"/>
        <v>{cd,3000}</v>
      </c>
      <c r="I493" t="str">
        <f t="shared" si="89"/>
        <v>{hp,2168000}</v>
      </c>
      <c r="J493" t="str">
        <f t="shared" si="90"/>
        <v>{atk,770}</v>
      </c>
      <c r="K493" t="str">
        <f t="shared" si="91"/>
        <v>{spd,8500}</v>
      </c>
      <c r="L493" t="str">
        <f t="shared" si="85"/>
        <v/>
      </c>
      <c r="O493" t="str">
        <f t="shared" si="86"/>
        <v>[{cd,3000},{hp,2168000},{atk,770},{spd,8500}]</v>
      </c>
    </row>
    <row r="494" spans="1:15">
      <c r="A494">
        <f>Sheet1!E496</f>
        <v>115</v>
      </c>
      <c r="B494">
        <f t="shared" si="87"/>
        <v>99</v>
      </c>
      <c r="C494">
        <v>3000</v>
      </c>
      <c r="D494">
        <f>VLOOKUP(B494,[1]怪物!$N$34:$T$133,2,0)</f>
        <v>28300</v>
      </c>
      <c r="E494">
        <f>VLOOKUP(B494,[1]怪物!$N$34:$T$133,5,0)</f>
        <v>156</v>
      </c>
      <c r="F494" s="1">
        <f t="shared" si="84"/>
        <v>8500</v>
      </c>
      <c r="H494" t="str">
        <f t="shared" si="88"/>
        <v>{cd,3000}</v>
      </c>
      <c r="I494" t="str">
        <f t="shared" si="89"/>
        <v>{hp,28300}</v>
      </c>
      <c r="J494" t="str">
        <f t="shared" si="90"/>
        <v>{atk,156}</v>
      </c>
      <c r="K494" t="str">
        <f t="shared" si="91"/>
        <v>{spd,8500}</v>
      </c>
      <c r="L494" t="str">
        <f t="shared" si="85"/>
        <v/>
      </c>
      <c r="O494" t="str">
        <f t="shared" si="86"/>
        <v>[{cd,3000},{hp,28300},{atk,156},{spd,8500}]</v>
      </c>
    </row>
    <row r="495" spans="1:15">
      <c r="A495">
        <f>Sheet1!E497</f>
        <v>119</v>
      </c>
      <c r="B495">
        <f t="shared" si="87"/>
        <v>99</v>
      </c>
      <c r="C495">
        <v>3000</v>
      </c>
      <c r="D495">
        <f>VLOOKUP(B495,[1]怪物!$N$34:$T$133,3,0)</f>
        <v>33960</v>
      </c>
      <c r="E495">
        <f>VLOOKUP(B495,[1]怪物!$N$34:$T$133,6,0)</f>
        <v>187</v>
      </c>
      <c r="F495" s="1">
        <f t="shared" si="84"/>
        <v>8500</v>
      </c>
      <c r="H495" t="str">
        <f t="shared" si="88"/>
        <v>{cd,3000}</v>
      </c>
      <c r="I495" t="str">
        <f t="shared" si="89"/>
        <v>{hp,33960}</v>
      </c>
      <c r="J495" t="str">
        <f t="shared" si="90"/>
        <v>{atk,187}</v>
      </c>
      <c r="K495" t="str">
        <f t="shared" si="91"/>
        <v>{spd,8500}</v>
      </c>
      <c r="L495" t="str">
        <f t="shared" si="85"/>
        <v>{downUnderMagicAtk,5000}</v>
      </c>
      <c r="O495" t="str">
        <f t="shared" si="86"/>
        <v>[{cd,3000},{hp,33960},{atk,187},{spd,8500},{downUnderMagicAtk,5000}]</v>
      </c>
    </row>
    <row r="496" spans="1:15">
      <c r="A496">
        <f>Sheet1!E498</f>
        <v>113</v>
      </c>
      <c r="B496">
        <f t="shared" si="87"/>
        <v>99</v>
      </c>
      <c r="C496">
        <v>3000</v>
      </c>
      <c r="D496">
        <f>VLOOKUP(B496,[1]怪物!$N$34:$T$133,4,0)</f>
        <v>42450</v>
      </c>
      <c r="E496">
        <f>VLOOKUP(B496,[1]怪物!$N$34:$T$133,7,0)</f>
        <v>234</v>
      </c>
      <c r="F496" s="1">
        <f t="shared" si="84"/>
        <v>8500</v>
      </c>
      <c r="H496" t="str">
        <f t="shared" si="88"/>
        <v>{cd,3000}</v>
      </c>
      <c r="I496" t="str">
        <f t="shared" si="89"/>
        <v>{hp,42450}</v>
      </c>
      <c r="J496" t="str">
        <f t="shared" si="90"/>
        <v>{atk,234}</v>
      </c>
      <c r="K496" t="str">
        <f t="shared" si="91"/>
        <v>{spd,8500}</v>
      </c>
      <c r="L496" t="str">
        <f t="shared" si="85"/>
        <v/>
      </c>
      <c r="O496" t="str">
        <f t="shared" si="86"/>
        <v>[{cd,3000},{hp,42450},{atk,234},{spd,8500}]</v>
      </c>
    </row>
    <row r="497" spans="1:15">
      <c r="A497">
        <f>Sheet1!E499</f>
        <v>519</v>
      </c>
      <c r="B497">
        <f t="shared" si="87"/>
        <v>99</v>
      </c>
      <c r="C497">
        <v>3000</v>
      </c>
      <c r="D497">
        <f>VLOOKUP(B497,[1]怪物!$U$34:$Y$134,2,0)</f>
        <v>1698000</v>
      </c>
      <c r="E497">
        <f>VLOOKUP(B497,[1]怪物!$U$34:$Y$134,4,0)</f>
        <v>390</v>
      </c>
      <c r="F497" s="1">
        <f t="shared" si="84"/>
        <v>8500</v>
      </c>
      <c r="H497" t="str">
        <f t="shared" si="88"/>
        <v>{cd,3000}</v>
      </c>
      <c r="I497" t="str">
        <f t="shared" si="89"/>
        <v>{hp,1698000}</v>
      </c>
      <c r="J497" t="str">
        <f t="shared" si="90"/>
        <v>{atk,390}</v>
      </c>
      <c r="K497" t="str">
        <f t="shared" si="91"/>
        <v>{spd,8500}</v>
      </c>
      <c r="L497" t="str">
        <f t="shared" si="85"/>
        <v>{downUnderMagicAtk,5000}</v>
      </c>
      <c r="O497" t="str">
        <f t="shared" si="86"/>
        <v>[{cd,3000},{hp,1698000},{atk,390},{spd,8500},{downUnderMagicAtk,5000}]</v>
      </c>
    </row>
    <row r="498" spans="1:15">
      <c r="A498">
        <f>Sheet1!E500</f>
        <v>519</v>
      </c>
      <c r="B498">
        <f t="shared" si="87"/>
        <v>99</v>
      </c>
      <c r="C498">
        <v>3000</v>
      </c>
      <c r="D498">
        <f>VLOOKUP(B498,[1]怪物!$U$34:$Y$134,3,0)</f>
        <v>2264000</v>
      </c>
      <c r="E498">
        <f>VLOOKUP(B498,[1]怪物!$U$34:$Y$134,5,0)</f>
        <v>780</v>
      </c>
      <c r="F498" s="1">
        <f t="shared" si="84"/>
        <v>8500</v>
      </c>
      <c r="H498" t="str">
        <f t="shared" si="88"/>
        <v>{cd,3000}</v>
      </c>
      <c r="I498" t="str">
        <f t="shared" si="89"/>
        <v>{hp,2264000}</v>
      </c>
      <c r="J498" t="str">
        <f t="shared" si="90"/>
        <v>{atk,780}</v>
      </c>
      <c r="K498" t="str">
        <f t="shared" si="91"/>
        <v>{spd,8500}</v>
      </c>
      <c r="L498" t="str">
        <f t="shared" si="85"/>
        <v>{downUnderMagicAtk,5000}</v>
      </c>
      <c r="O498" t="str">
        <f t="shared" si="86"/>
        <v>[{cd,3000},{hp,2264000},{atk,780},{spd,8500},{downUnderMagicAtk,5000}]</v>
      </c>
    </row>
    <row r="499" spans="1:15">
      <c r="A499">
        <f>Sheet1!E501</f>
        <v>100</v>
      </c>
      <c r="B499">
        <f t="shared" si="87"/>
        <v>100</v>
      </c>
      <c r="C499">
        <v>3000</v>
      </c>
      <c r="D499">
        <f>VLOOKUP(B499,[1]怪物!$N$34:$T$233,2,0)</f>
        <v>30000</v>
      </c>
      <c r="E499">
        <f>VLOOKUP(B499,[1]怪物!$N$34:$T$233,5,0)</f>
        <v>170</v>
      </c>
      <c r="F499" s="1">
        <f t="shared" si="84"/>
        <v>8500</v>
      </c>
      <c r="H499" t="str">
        <f t="shared" si="88"/>
        <v>{cd,3000}</v>
      </c>
      <c r="I499" t="str">
        <f t="shared" si="89"/>
        <v>{hp,30000}</v>
      </c>
      <c r="J499" t="str">
        <f t="shared" si="90"/>
        <v>{atk,170}</v>
      </c>
      <c r="K499" t="str">
        <f t="shared" si="91"/>
        <v>{spd,8500}</v>
      </c>
      <c r="L499" t="str">
        <f t="shared" si="85"/>
        <v/>
      </c>
      <c r="O499" t="str">
        <f t="shared" si="86"/>
        <v>[{cd,3000},{hp,30000},{atk,170},{spd,8500}]</v>
      </c>
    </row>
    <row r="500" spans="1:15">
      <c r="A500">
        <f>Sheet1!E502</f>
        <v>102</v>
      </c>
      <c r="B500">
        <f t="shared" si="87"/>
        <v>100</v>
      </c>
      <c r="C500">
        <v>3000</v>
      </c>
      <c r="D500">
        <f>VLOOKUP(B500,[1]怪物!$N$34:$T$233,3,0)</f>
        <v>36000</v>
      </c>
      <c r="E500">
        <f>VLOOKUP(B500,[1]怪物!$N$34:$T$233,6,0)</f>
        <v>204</v>
      </c>
      <c r="F500" s="1">
        <f t="shared" si="84"/>
        <v>8500</v>
      </c>
      <c r="H500" t="str">
        <f t="shared" si="88"/>
        <v>{cd,3000}</v>
      </c>
      <c r="I500" t="str">
        <f t="shared" si="89"/>
        <v>{hp,36000}</v>
      </c>
      <c r="J500" t="str">
        <f t="shared" si="90"/>
        <v>{atk,204}</v>
      </c>
      <c r="K500" t="str">
        <f t="shared" si="91"/>
        <v>{spd,8500}</v>
      </c>
      <c r="L500" t="str">
        <f t="shared" si="85"/>
        <v/>
      </c>
      <c r="O500" t="str">
        <f t="shared" si="86"/>
        <v>[{cd,3000},{hp,36000},{atk,204},{spd,8500}]</v>
      </c>
    </row>
    <row r="501" spans="1:15">
      <c r="A501">
        <f>Sheet1!E503</f>
        <v>105</v>
      </c>
      <c r="B501">
        <f t="shared" si="87"/>
        <v>100</v>
      </c>
      <c r="C501">
        <v>3000</v>
      </c>
      <c r="D501">
        <f>VLOOKUP(B501,[1]怪物!$N$34:$T$233,4,0)</f>
        <v>45000</v>
      </c>
      <c r="E501">
        <f>VLOOKUP(B501,[1]怪物!$N$34:$T$233,7,0)</f>
        <v>255</v>
      </c>
      <c r="F501" s="1">
        <f t="shared" si="84"/>
        <v>8500</v>
      </c>
      <c r="H501" t="str">
        <f t="shared" si="88"/>
        <v>{cd,3000}</v>
      </c>
      <c r="I501" t="str">
        <f t="shared" si="89"/>
        <v>{hp,45000}</v>
      </c>
      <c r="J501" t="str">
        <f t="shared" si="90"/>
        <v>{atk,255}</v>
      </c>
      <c r="K501" t="str">
        <f t="shared" si="91"/>
        <v>{spd,8500}</v>
      </c>
      <c r="L501" t="str">
        <f t="shared" si="85"/>
        <v/>
      </c>
      <c r="O501" t="str">
        <f t="shared" si="86"/>
        <v>[{cd,3000},{hp,45000},{atk,255},{spd,8500}]</v>
      </c>
    </row>
    <row r="502" spans="1:15">
      <c r="A502">
        <f>Sheet1!E504</f>
        <v>502</v>
      </c>
      <c r="B502">
        <f t="shared" si="87"/>
        <v>100</v>
      </c>
      <c r="C502">
        <v>3000</v>
      </c>
      <c r="D502">
        <f>VLOOKUP(B502,[1]怪物!$U$34:$Y$234,2,0)</f>
        <v>1800000</v>
      </c>
      <c r="E502">
        <f>VLOOKUP(B502,[1]怪物!$U$34:$Y$234,4,0)</f>
        <v>425</v>
      </c>
      <c r="F502" s="1">
        <f t="shared" si="84"/>
        <v>8500</v>
      </c>
      <c r="H502" t="str">
        <f t="shared" si="88"/>
        <v>{cd,3000}</v>
      </c>
      <c r="I502" t="str">
        <f t="shared" si="89"/>
        <v>{hp,1800000}</v>
      </c>
      <c r="J502" t="str">
        <f t="shared" si="90"/>
        <v>{atk,425}</v>
      </c>
      <c r="K502" t="str">
        <f t="shared" si="91"/>
        <v>{spd,8500}</v>
      </c>
      <c r="L502" t="str">
        <f t="shared" si="85"/>
        <v/>
      </c>
      <c r="O502" t="str">
        <f t="shared" si="86"/>
        <v>[{cd,3000},{hp,1800000},{atk,425},{spd,8500}]</v>
      </c>
    </row>
    <row r="503" spans="1:15">
      <c r="A503">
        <f>Sheet1!E505</f>
        <v>500</v>
      </c>
      <c r="B503">
        <f t="shared" si="87"/>
        <v>100</v>
      </c>
      <c r="C503">
        <v>3000</v>
      </c>
      <c r="D503">
        <f>VLOOKUP(B503,[1]怪物!$U$34:$Y$234,3,0)</f>
        <v>2400000</v>
      </c>
      <c r="E503">
        <f>VLOOKUP(B503,[1]怪物!$U$34:$Y$234,5,0)</f>
        <v>850</v>
      </c>
      <c r="F503" s="1">
        <f t="shared" si="84"/>
        <v>8500</v>
      </c>
      <c r="H503" t="str">
        <f t="shared" si="88"/>
        <v>{cd,3000}</v>
      </c>
      <c r="I503" t="str">
        <f t="shared" si="89"/>
        <v>{hp,2400000}</v>
      </c>
      <c r="J503" t="str">
        <f t="shared" si="90"/>
        <v>{atk,850}</v>
      </c>
      <c r="K503" t="str">
        <f t="shared" si="91"/>
        <v>{spd,8500}</v>
      </c>
      <c r="L503" t="str">
        <f t="shared" si="85"/>
        <v/>
      </c>
      <c r="O503" t="str">
        <f t="shared" si="86"/>
        <v>[{cd,3000},{hp,2400000},{atk,850},{spd,8500}]</v>
      </c>
    </row>
    <row r="504" spans="1:15">
      <c r="A504">
        <f>Sheet1!E506</f>
        <v>117</v>
      </c>
      <c r="B504">
        <f t="shared" ref="B504:B528" si="92">B499+1</f>
        <v>101</v>
      </c>
      <c r="C504">
        <v>3000</v>
      </c>
      <c r="D504">
        <f>VLOOKUP(B504,[1]怪物!$N$34:$T$233,2,0)</f>
        <v>28700</v>
      </c>
      <c r="E504">
        <f>VLOOKUP(B504,[2]怪物!$N$134:$T$233,5,0)</f>
        <v>160</v>
      </c>
      <c r="F504" s="1">
        <f t="shared" si="84"/>
        <v>8500</v>
      </c>
      <c r="H504" t="str">
        <f t="shared" ref="H504:H528" si="93">$C$2&amp;C$3&amp;$D$2&amp;C504&amp;$E$2</f>
        <v>{cd,3000}</v>
      </c>
      <c r="I504" t="str">
        <f t="shared" ref="I504:I528" si="94">$C$2&amp;D$3&amp;$D$2&amp;D504&amp;$E$2</f>
        <v>{hp,28700}</v>
      </c>
      <c r="J504" t="str">
        <f t="shared" ref="J504:J528" si="95">$C$2&amp;E$3&amp;$D$2&amp;E504&amp;$E$2</f>
        <v>{atk,160}</v>
      </c>
      <c r="K504" t="str">
        <f t="shared" ref="K504:K528" si="96">$C$2&amp;F$3&amp;$D$2&amp;F504&amp;$E$2</f>
        <v>{spd,8500}</v>
      </c>
      <c r="L504" t="str">
        <f t="shared" si="85"/>
        <v>{downUnderPhAtk,5000}</v>
      </c>
      <c r="O504" t="str">
        <f t="shared" si="86"/>
        <v>[{cd,3000},{hp,28700},{atk,160},{spd,8500},{downUnderPhAtk,5000}]</v>
      </c>
    </row>
    <row r="505" spans="1:15">
      <c r="A505">
        <f>Sheet1!E507</f>
        <v>116</v>
      </c>
      <c r="B505">
        <f t="shared" si="92"/>
        <v>101</v>
      </c>
      <c r="C505">
        <v>3000</v>
      </c>
      <c r="D505">
        <f>VLOOKUP(B505,[1]怪物!$N$34:$T$233,3,0)</f>
        <v>34440</v>
      </c>
      <c r="E505">
        <f>VLOOKUP(B505,[2]怪物!$N$134:$T$233,6,0)</f>
        <v>192</v>
      </c>
      <c r="F505" s="1">
        <f t="shared" si="84"/>
        <v>20000</v>
      </c>
      <c r="H505" t="str">
        <f t="shared" si="93"/>
        <v>{cd,3000}</v>
      </c>
      <c r="I505" t="str">
        <f t="shared" si="94"/>
        <v>{hp,34440}</v>
      </c>
      <c r="J505" t="str">
        <f t="shared" si="95"/>
        <v>{atk,192}</v>
      </c>
      <c r="K505" t="str">
        <f t="shared" si="96"/>
        <v>{spd,20000}</v>
      </c>
      <c r="L505" t="str">
        <f t="shared" si="85"/>
        <v/>
      </c>
      <c r="O505" t="str">
        <f t="shared" si="86"/>
        <v>[{cd,3000},{hp,34440},{atk,192},{spd,20000}]</v>
      </c>
    </row>
    <row r="506" spans="1:15">
      <c r="A506">
        <f>Sheet1!E508</f>
        <v>112</v>
      </c>
      <c r="B506">
        <f t="shared" si="92"/>
        <v>101</v>
      </c>
      <c r="C506">
        <v>3000</v>
      </c>
      <c r="D506">
        <f>VLOOKUP(B506,[1]怪物!$N$34:$T$233,4,0)</f>
        <v>43050</v>
      </c>
      <c r="E506">
        <f>VLOOKUP(B506,[2]怪物!$N$134:$T$233,7,0)</f>
        <v>240</v>
      </c>
      <c r="F506" s="1">
        <f t="shared" si="84"/>
        <v>8500</v>
      </c>
      <c r="H506" t="str">
        <f t="shared" si="93"/>
        <v>{cd,3000}</v>
      </c>
      <c r="I506" t="str">
        <f t="shared" si="94"/>
        <v>{hp,43050}</v>
      </c>
      <c r="J506" t="str">
        <f t="shared" si="95"/>
        <v>{atk,240}</v>
      </c>
      <c r="K506" t="str">
        <f t="shared" si="96"/>
        <v>{spd,8500}</v>
      </c>
      <c r="L506" t="str">
        <f t="shared" si="85"/>
        <v/>
      </c>
      <c r="O506" t="str">
        <f t="shared" si="86"/>
        <v>[{cd,3000},{hp,43050},{atk,240},{spd,8500}]</v>
      </c>
    </row>
    <row r="507" spans="1:15">
      <c r="A507">
        <f>Sheet1!E509</f>
        <v>117</v>
      </c>
      <c r="B507">
        <f t="shared" si="92"/>
        <v>101</v>
      </c>
      <c r="C507">
        <v>3000</v>
      </c>
      <c r="D507">
        <f>VLOOKUP(B507,[1]怪物!$U$34:$Y$234,2,0)</f>
        <v>1722000</v>
      </c>
      <c r="E507">
        <f>VLOOKUP(B507,[2]怪物!$U$134:$Y$233,4,0)</f>
        <v>400</v>
      </c>
      <c r="F507" s="1">
        <f t="shared" si="84"/>
        <v>8500</v>
      </c>
      <c r="H507" t="str">
        <f t="shared" si="93"/>
        <v>{cd,3000}</v>
      </c>
      <c r="I507" t="str">
        <f t="shared" si="94"/>
        <v>{hp,1722000}</v>
      </c>
      <c r="J507" t="str">
        <f t="shared" si="95"/>
        <v>{atk,400}</v>
      </c>
      <c r="K507" t="str">
        <f t="shared" si="96"/>
        <v>{spd,8500}</v>
      </c>
      <c r="L507" t="str">
        <f t="shared" si="85"/>
        <v>{downUnderPhAtk,5000}</v>
      </c>
      <c r="O507" t="str">
        <f t="shared" si="86"/>
        <v>[{cd,3000},{hp,1722000},{atk,400},{spd,8500},{downUnderPhAtk,5000}]</v>
      </c>
    </row>
    <row r="508" spans="1:15">
      <c r="A508">
        <f>Sheet1!E510</f>
        <v>117</v>
      </c>
      <c r="B508">
        <f t="shared" si="92"/>
        <v>101</v>
      </c>
      <c r="C508">
        <v>3000</v>
      </c>
      <c r="D508">
        <f>VLOOKUP(B508,[1]怪物!$U$34:$Y$234,3,0)</f>
        <v>2296000</v>
      </c>
      <c r="E508">
        <f>VLOOKUP(B508,[2]怪物!$U$134:$Y$233,5,0)</f>
        <v>800</v>
      </c>
      <c r="F508" s="1">
        <f t="shared" si="84"/>
        <v>8500</v>
      </c>
      <c r="H508" t="str">
        <f t="shared" si="93"/>
        <v>{cd,3000}</v>
      </c>
      <c r="I508" t="str">
        <f t="shared" si="94"/>
        <v>{hp,2296000}</v>
      </c>
      <c r="J508" t="str">
        <f t="shared" si="95"/>
        <v>{atk,800}</v>
      </c>
      <c r="K508" t="str">
        <f t="shared" si="96"/>
        <v>{spd,8500}</v>
      </c>
      <c r="L508" t="str">
        <f t="shared" si="85"/>
        <v>{downUnderPhAtk,5000}</v>
      </c>
      <c r="O508" t="str">
        <f t="shared" si="86"/>
        <v>[{cd,3000},{hp,2296000},{atk,800},{spd,8500},{downUnderPhAtk,5000}]</v>
      </c>
    </row>
    <row r="509" spans="1:15">
      <c r="A509">
        <f>Sheet1!E511</f>
        <v>104</v>
      </c>
      <c r="B509">
        <f t="shared" si="92"/>
        <v>102</v>
      </c>
      <c r="C509">
        <v>3000</v>
      </c>
      <c r="D509">
        <f>VLOOKUP(B509,[1]怪物!$N$34:$T$233,2,0)</f>
        <v>29500</v>
      </c>
      <c r="E509">
        <f>VLOOKUP(B509,[2]怪物!$N$134:$T$233,5,0)</f>
        <v>164</v>
      </c>
      <c r="F509" s="1">
        <f t="shared" si="84"/>
        <v>8500</v>
      </c>
      <c r="H509" t="str">
        <f t="shared" si="93"/>
        <v>{cd,3000}</v>
      </c>
      <c r="I509" t="str">
        <f t="shared" si="94"/>
        <v>{hp,29500}</v>
      </c>
      <c r="J509" t="str">
        <f t="shared" si="95"/>
        <v>{atk,164}</v>
      </c>
      <c r="K509" t="str">
        <f t="shared" si="96"/>
        <v>{spd,8500}</v>
      </c>
      <c r="L509" t="str">
        <f t="shared" si="85"/>
        <v/>
      </c>
      <c r="O509" t="str">
        <f t="shared" si="86"/>
        <v>[{cd,3000},{hp,29500},{atk,164},{spd,8500}]</v>
      </c>
    </row>
    <row r="510" spans="1:15">
      <c r="A510">
        <f>Sheet1!E512</f>
        <v>119</v>
      </c>
      <c r="B510">
        <f t="shared" si="92"/>
        <v>102</v>
      </c>
      <c r="C510">
        <v>3000</v>
      </c>
      <c r="D510">
        <f>VLOOKUP(B510,[1]怪物!$N$34:$T$233,3,0)</f>
        <v>35400</v>
      </c>
      <c r="E510">
        <f>VLOOKUP(B510,[2]怪物!$N$134:$T$233,6,0)</f>
        <v>197</v>
      </c>
      <c r="F510" s="1">
        <f t="shared" si="84"/>
        <v>8500</v>
      </c>
      <c r="H510" t="str">
        <f t="shared" si="93"/>
        <v>{cd,3000}</v>
      </c>
      <c r="I510" t="str">
        <f t="shared" si="94"/>
        <v>{hp,35400}</v>
      </c>
      <c r="J510" t="str">
        <f t="shared" si="95"/>
        <v>{atk,197}</v>
      </c>
      <c r="K510" t="str">
        <f t="shared" si="96"/>
        <v>{spd,8500}</v>
      </c>
      <c r="L510" t="str">
        <f t="shared" si="85"/>
        <v>{downUnderMagicAtk,5000}</v>
      </c>
      <c r="O510" t="str">
        <f t="shared" si="86"/>
        <v>[{cd,3000},{hp,35400},{atk,197},{spd,8500},{downUnderMagicAtk,5000}]</v>
      </c>
    </row>
    <row r="511" spans="1:15">
      <c r="A511">
        <f>Sheet1!E513</f>
        <v>118</v>
      </c>
      <c r="B511">
        <f t="shared" si="92"/>
        <v>102</v>
      </c>
      <c r="C511">
        <v>3000</v>
      </c>
      <c r="D511">
        <f>VLOOKUP(B511,[1]怪物!$N$34:$T$233,4,0)</f>
        <v>44250</v>
      </c>
      <c r="E511">
        <f>VLOOKUP(B511,[2]怪物!$N$134:$T$233,7,0)</f>
        <v>246</v>
      </c>
      <c r="F511" s="1">
        <f t="shared" si="84"/>
        <v>8500</v>
      </c>
      <c r="H511" t="str">
        <f t="shared" si="93"/>
        <v>{cd,3000}</v>
      </c>
      <c r="I511" t="str">
        <f t="shared" si="94"/>
        <v>{hp,44250}</v>
      </c>
      <c r="J511" t="str">
        <f t="shared" si="95"/>
        <v>{atk,246}</v>
      </c>
      <c r="K511" t="str">
        <f t="shared" si="96"/>
        <v>{spd,8500}</v>
      </c>
      <c r="L511" t="str">
        <f t="shared" si="85"/>
        <v/>
      </c>
      <c r="O511" t="str">
        <f t="shared" si="86"/>
        <v>[{cd,3000},{hp,44250},{atk,246},{spd,8500}]</v>
      </c>
    </row>
    <row r="512" spans="1:15">
      <c r="A512">
        <f>Sheet1!E514</f>
        <v>119</v>
      </c>
      <c r="B512">
        <f t="shared" si="92"/>
        <v>102</v>
      </c>
      <c r="C512">
        <v>3000</v>
      </c>
      <c r="D512">
        <f>VLOOKUP(B512,[1]怪物!$U$34:$Y$234,2,0)</f>
        <v>1770000</v>
      </c>
      <c r="E512">
        <f>VLOOKUP(B512,[2]怪物!$U$134:$Y$233,4,0)</f>
        <v>410</v>
      </c>
      <c r="F512" s="1">
        <f t="shared" si="84"/>
        <v>8500</v>
      </c>
      <c r="H512" t="str">
        <f t="shared" si="93"/>
        <v>{cd,3000}</v>
      </c>
      <c r="I512" t="str">
        <f t="shared" si="94"/>
        <v>{hp,1770000}</v>
      </c>
      <c r="J512" t="str">
        <f t="shared" si="95"/>
        <v>{atk,410}</v>
      </c>
      <c r="K512" t="str">
        <f t="shared" si="96"/>
        <v>{spd,8500}</v>
      </c>
      <c r="L512" t="str">
        <f t="shared" si="85"/>
        <v>{downUnderMagicAtk,5000}</v>
      </c>
      <c r="O512" t="str">
        <f t="shared" si="86"/>
        <v>[{cd,3000},{hp,1770000},{atk,410},{spd,8500},{downUnderMagicAtk,5000}]</v>
      </c>
    </row>
    <row r="513" spans="1:15">
      <c r="A513">
        <f>Sheet1!E515</f>
        <v>119</v>
      </c>
      <c r="B513">
        <f t="shared" si="92"/>
        <v>102</v>
      </c>
      <c r="C513">
        <v>3000</v>
      </c>
      <c r="D513">
        <f>VLOOKUP(B513,[1]怪物!$U$34:$Y$234,3,0)</f>
        <v>2360000</v>
      </c>
      <c r="E513">
        <f>VLOOKUP(B513,[2]怪物!$U$134:$Y$233,5,0)</f>
        <v>820</v>
      </c>
      <c r="F513" s="1">
        <f t="shared" si="84"/>
        <v>8500</v>
      </c>
      <c r="H513" t="str">
        <f t="shared" si="93"/>
        <v>{cd,3000}</v>
      </c>
      <c r="I513" t="str">
        <f t="shared" si="94"/>
        <v>{hp,2360000}</v>
      </c>
      <c r="J513" t="str">
        <f t="shared" si="95"/>
        <v>{atk,820}</v>
      </c>
      <c r="K513" t="str">
        <f t="shared" si="96"/>
        <v>{spd,8500}</v>
      </c>
      <c r="L513" t="str">
        <f t="shared" si="85"/>
        <v>{downUnderMagicAtk,5000}</v>
      </c>
      <c r="O513" t="str">
        <f t="shared" si="86"/>
        <v>[{cd,3000},{hp,2360000},{atk,820},{spd,8500},{downUnderMagicAtk,5000}]</v>
      </c>
    </row>
    <row r="514" spans="1:15">
      <c r="A514">
        <f>Sheet1!E516</f>
        <v>119</v>
      </c>
      <c r="B514">
        <f t="shared" si="92"/>
        <v>103</v>
      </c>
      <c r="C514">
        <v>3000</v>
      </c>
      <c r="D514">
        <f>VLOOKUP(B514,[1]怪物!$N$34:$T$233,2,0)</f>
        <v>30700</v>
      </c>
      <c r="E514">
        <f>VLOOKUP(B514,[2]怪物!$N$134:$T$233,5,0)</f>
        <v>168</v>
      </c>
      <c r="F514" s="1">
        <f t="shared" si="84"/>
        <v>8500</v>
      </c>
      <c r="H514" t="str">
        <f t="shared" si="93"/>
        <v>{cd,3000}</v>
      </c>
      <c r="I514" t="str">
        <f t="shared" si="94"/>
        <v>{hp,30700}</v>
      </c>
      <c r="J514" t="str">
        <f t="shared" si="95"/>
        <v>{atk,168}</v>
      </c>
      <c r="K514" t="str">
        <f t="shared" si="96"/>
        <v>{spd,8500}</v>
      </c>
      <c r="L514" t="str">
        <f t="shared" si="85"/>
        <v>{downUnderMagicAtk,5000}</v>
      </c>
      <c r="O514" t="str">
        <f t="shared" si="86"/>
        <v>[{cd,3000},{hp,30700},{atk,168},{spd,8500},{downUnderMagicAtk,5000}]</v>
      </c>
    </row>
    <row r="515" spans="1:15">
      <c r="A515">
        <f>Sheet1!E517</f>
        <v>116</v>
      </c>
      <c r="B515">
        <f t="shared" si="92"/>
        <v>103</v>
      </c>
      <c r="C515">
        <v>3000</v>
      </c>
      <c r="D515">
        <f>VLOOKUP(B515,[1]怪物!$N$34:$T$233,3,0)</f>
        <v>36840</v>
      </c>
      <c r="E515">
        <f>VLOOKUP(B515,[2]怪物!$N$134:$T$233,6,0)</f>
        <v>202</v>
      </c>
      <c r="F515" s="1">
        <f t="shared" si="84"/>
        <v>20000</v>
      </c>
      <c r="H515" t="str">
        <f t="shared" si="93"/>
        <v>{cd,3000}</v>
      </c>
      <c r="I515" t="str">
        <f t="shared" si="94"/>
        <v>{hp,36840}</v>
      </c>
      <c r="J515" t="str">
        <f t="shared" si="95"/>
        <v>{atk,202}</v>
      </c>
      <c r="K515" t="str">
        <f t="shared" si="96"/>
        <v>{spd,20000}</v>
      </c>
      <c r="L515" t="str">
        <f t="shared" si="85"/>
        <v/>
      </c>
      <c r="O515" t="str">
        <f t="shared" si="86"/>
        <v>[{cd,3000},{hp,36840},{atk,202},{spd,20000}]</v>
      </c>
    </row>
    <row r="516" spans="1:15">
      <c r="A516">
        <f>Sheet1!E518</f>
        <v>118</v>
      </c>
      <c r="B516">
        <f t="shared" si="92"/>
        <v>103</v>
      </c>
      <c r="C516">
        <v>3000</v>
      </c>
      <c r="D516">
        <f>VLOOKUP(B516,[1]怪物!$N$34:$T$233,4,0)</f>
        <v>46050</v>
      </c>
      <c r="E516">
        <f>VLOOKUP(B516,[2]怪物!$N$134:$T$233,7,0)</f>
        <v>252</v>
      </c>
      <c r="F516" s="1">
        <f t="shared" si="84"/>
        <v>8500</v>
      </c>
      <c r="H516" t="str">
        <f t="shared" si="93"/>
        <v>{cd,3000}</v>
      </c>
      <c r="I516" t="str">
        <f t="shared" si="94"/>
        <v>{hp,46050}</v>
      </c>
      <c r="J516" t="str">
        <f t="shared" si="95"/>
        <v>{atk,252}</v>
      </c>
      <c r="K516" t="str">
        <f t="shared" si="96"/>
        <v>{spd,8500}</v>
      </c>
      <c r="L516" t="str">
        <f t="shared" si="85"/>
        <v/>
      </c>
      <c r="O516" t="str">
        <f t="shared" si="86"/>
        <v>[{cd,3000},{hp,46050},{atk,252},{spd,8500}]</v>
      </c>
    </row>
    <row r="517" spans="1:15">
      <c r="A517">
        <f>Sheet1!E519</f>
        <v>119</v>
      </c>
      <c r="B517">
        <f t="shared" si="92"/>
        <v>103</v>
      </c>
      <c r="C517">
        <v>3000</v>
      </c>
      <c r="D517">
        <f>VLOOKUP(B517,[1]怪物!$U$34:$Y$234,2,0)</f>
        <v>1842000</v>
      </c>
      <c r="E517">
        <f>VLOOKUP(B517,[2]怪物!$U$134:$Y$233,4,0)</f>
        <v>420</v>
      </c>
      <c r="F517" s="1">
        <f t="shared" ref="F517:F580" si="97">VLOOKUP(A517,$W:$AB,6,0)</f>
        <v>8500</v>
      </c>
      <c r="H517" t="str">
        <f t="shared" si="93"/>
        <v>{cd,3000}</v>
      </c>
      <c r="I517" t="str">
        <f t="shared" si="94"/>
        <v>{hp,1842000}</v>
      </c>
      <c r="J517" t="str">
        <f t="shared" si="95"/>
        <v>{atk,420}</v>
      </c>
      <c r="K517" t="str">
        <f t="shared" si="96"/>
        <v>{spd,8500}</v>
      </c>
      <c r="L517" t="str">
        <f t="shared" ref="L517:L580" si="98">IF(VLOOKUP(A517,$W:$AC,7,0)=0,"",VLOOKUP(A517,$W:$AC,7,0))</f>
        <v>{downUnderMagicAtk,5000}</v>
      </c>
      <c r="O517" t="str">
        <f t="shared" ref="O517:O580" si="99">"["&amp;_xlfn.TEXTJOIN(",",1,H517:M517)&amp;"]"</f>
        <v>[{cd,3000},{hp,1842000},{atk,420},{spd,8500},{downUnderMagicAtk,5000}]</v>
      </c>
    </row>
    <row r="518" spans="1:15">
      <c r="A518">
        <f>Sheet1!E520</f>
        <v>119</v>
      </c>
      <c r="B518">
        <f t="shared" si="92"/>
        <v>103</v>
      </c>
      <c r="C518">
        <v>3000</v>
      </c>
      <c r="D518">
        <f>VLOOKUP(B518,[1]怪物!$U$34:$Y$234,3,0)</f>
        <v>2456000</v>
      </c>
      <c r="E518">
        <f>VLOOKUP(B518,[2]怪物!$U$134:$Y$233,5,0)</f>
        <v>840</v>
      </c>
      <c r="F518" s="1">
        <f t="shared" si="97"/>
        <v>8500</v>
      </c>
      <c r="H518" t="str">
        <f t="shared" si="93"/>
        <v>{cd,3000}</v>
      </c>
      <c r="I518" t="str">
        <f t="shared" si="94"/>
        <v>{hp,2456000}</v>
      </c>
      <c r="J518" t="str">
        <f t="shared" si="95"/>
        <v>{atk,840}</v>
      </c>
      <c r="K518" t="str">
        <f t="shared" si="96"/>
        <v>{spd,8500}</v>
      </c>
      <c r="L518" t="str">
        <f t="shared" si="98"/>
        <v>{downUnderMagicAtk,5000}</v>
      </c>
      <c r="O518" t="str">
        <f t="shared" si="99"/>
        <v>[{cd,3000},{hp,2456000},{atk,840},{spd,8500},{downUnderMagicAtk,5000}]</v>
      </c>
    </row>
    <row r="519" spans="1:15">
      <c r="A519">
        <f>Sheet1!E521</f>
        <v>100</v>
      </c>
      <c r="B519">
        <f t="shared" si="92"/>
        <v>104</v>
      </c>
      <c r="C519">
        <v>3000</v>
      </c>
      <c r="D519">
        <f>VLOOKUP(B519,[1]怪物!$N$34:$T$233,2,0)</f>
        <v>32400</v>
      </c>
      <c r="E519">
        <f>VLOOKUP(B519,[2]怪物!$N$134:$T$233,5,0)</f>
        <v>200</v>
      </c>
      <c r="F519" s="1">
        <f t="shared" si="97"/>
        <v>8500</v>
      </c>
      <c r="H519" t="str">
        <f t="shared" si="93"/>
        <v>{cd,3000}</v>
      </c>
      <c r="I519" t="str">
        <f t="shared" si="94"/>
        <v>{hp,32400}</v>
      </c>
      <c r="J519" t="str">
        <f t="shared" si="95"/>
        <v>{atk,200}</v>
      </c>
      <c r="K519" t="str">
        <f t="shared" si="96"/>
        <v>{spd,8500}</v>
      </c>
      <c r="L519" t="str">
        <f t="shared" si="98"/>
        <v/>
      </c>
      <c r="O519" t="str">
        <f t="shared" si="99"/>
        <v>[{cd,3000},{hp,32400},{atk,200},{spd,8500}]</v>
      </c>
    </row>
    <row r="520" spans="1:15">
      <c r="A520">
        <f>Sheet1!E522</f>
        <v>102</v>
      </c>
      <c r="B520">
        <f t="shared" si="92"/>
        <v>104</v>
      </c>
      <c r="C520">
        <v>3000</v>
      </c>
      <c r="D520">
        <f>VLOOKUP(B520,[1]怪物!$N$34:$T$233,3,0)</f>
        <v>38880</v>
      </c>
      <c r="E520">
        <f>VLOOKUP(B520,[2]怪物!$N$134:$T$233,6,0)</f>
        <v>240</v>
      </c>
      <c r="F520" s="1">
        <f t="shared" si="97"/>
        <v>8500</v>
      </c>
      <c r="H520" t="str">
        <f t="shared" si="93"/>
        <v>{cd,3000}</v>
      </c>
      <c r="I520" t="str">
        <f t="shared" si="94"/>
        <v>{hp,38880}</v>
      </c>
      <c r="J520" t="str">
        <f t="shared" si="95"/>
        <v>{atk,240}</v>
      </c>
      <c r="K520" t="str">
        <f t="shared" si="96"/>
        <v>{spd,8500}</v>
      </c>
      <c r="L520" t="str">
        <f t="shared" si="98"/>
        <v/>
      </c>
      <c r="O520" t="str">
        <f t="shared" si="99"/>
        <v>[{cd,3000},{hp,38880},{atk,240},{spd,8500}]</v>
      </c>
    </row>
    <row r="521" spans="1:15">
      <c r="A521">
        <f>Sheet1!E523</f>
        <v>105</v>
      </c>
      <c r="B521">
        <f t="shared" si="92"/>
        <v>104</v>
      </c>
      <c r="C521">
        <v>3000</v>
      </c>
      <c r="D521">
        <f>VLOOKUP(B521,[1]怪物!$N$34:$T$233,4,0)</f>
        <v>48600</v>
      </c>
      <c r="E521">
        <f>VLOOKUP(B521,[2]怪物!$N$134:$T$233,7,0)</f>
        <v>300</v>
      </c>
      <c r="F521" s="1">
        <f t="shared" si="97"/>
        <v>8500</v>
      </c>
      <c r="H521" t="str">
        <f t="shared" si="93"/>
        <v>{cd,3000}</v>
      </c>
      <c r="I521" t="str">
        <f t="shared" si="94"/>
        <v>{hp,48600}</v>
      </c>
      <c r="J521" t="str">
        <f t="shared" si="95"/>
        <v>{atk,300}</v>
      </c>
      <c r="K521" t="str">
        <f t="shared" si="96"/>
        <v>{spd,8500}</v>
      </c>
      <c r="L521" t="str">
        <f t="shared" si="98"/>
        <v/>
      </c>
      <c r="O521" t="str">
        <f t="shared" si="99"/>
        <v>[{cd,3000},{hp,48600},{atk,300},{spd,8500}]</v>
      </c>
    </row>
    <row r="522" spans="1:15">
      <c r="A522">
        <f>Sheet1!E524</f>
        <v>502</v>
      </c>
      <c r="B522">
        <f t="shared" si="92"/>
        <v>104</v>
      </c>
      <c r="C522">
        <v>3000</v>
      </c>
      <c r="D522">
        <f>VLOOKUP(B522,[1]怪物!$U$34:$Y$234,2,0)</f>
        <v>1944000</v>
      </c>
      <c r="E522">
        <f>VLOOKUP(B522,[2]怪物!$U$134:$Y$233,4,0)</f>
        <v>500</v>
      </c>
      <c r="F522" s="1">
        <f t="shared" si="97"/>
        <v>8500</v>
      </c>
      <c r="H522" t="str">
        <f t="shared" si="93"/>
        <v>{cd,3000}</v>
      </c>
      <c r="I522" t="str">
        <f t="shared" si="94"/>
        <v>{hp,1944000}</v>
      </c>
      <c r="J522" t="str">
        <f t="shared" si="95"/>
        <v>{atk,500}</v>
      </c>
      <c r="K522" t="str">
        <f t="shared" si="96"/>
        <v>{spd,8500}</v>
      </c>
      <c r="L522" t="str">
        <f t="shared" si="98"/>
        <v/>
      </c>
      <c r="O522" t="str">
        <f t="shared" si="99"/>
        <v>[{cd,3000},{hp,1944000},{atk,500},{spd,8500}]</v>
      </c>
    </row>
    <row r="523" spans="1:15">
      <c r="A523">
        <f>Sheet1!E525</f>
        <v>500</v>
      </c>
      <c r="B523">
        <f t="shared" si="92"/>
        <v>104</v>
      </c>
      <c r="C523">
        <v>3000</v>
      </c>
      <c r="D523">
        <f>VLOOKUP(B523,[1]怪物!$U$34:$Y$234,3,0)</f>
        <v>2592000</v>
      </c>
      <c r="E523">
        <f>VLOOKUP(B523,[2]怪物!$U$134:$Y$233,5,0)</f>
        <v>1000</v>
      </c>
      <c r="F523" s="1">
        <f t="shared" si="97"/>
        <v>8500</v>
      </c>
      <c r="H523" t="str">
        <f t="shared" si="93"/>
        <v>{cd,3000}</v>
      </c>
      <c r="I523" t="str">
        <f t="shared" si="94"/>
        <v>{hp,2592000}</v>
      </c>
      <c r="J523" t="str">
        <f t="shared" si="95"/>
        <v>{atk,1000}</v>
      </c>
      <c r="K523" t="str">
        <f t="shared" si="96"/>
        <v>{spd,8500}</v>
      </c>
      <c r="L523" t="str">
        <f t="shared" si="98"/>
        <v/>
      </c>
      <c r="O523" t="str">
        <f t="shared" si="99"/>
        <v>[{cd,3000},{hp,2592000},{atk,1000},{spd,8500}]</v>
      </c>
    </row>
    <row r="524" spans="1:15">
      <c r="A524">
        <f>Sheet1!E526</f>
        <v>111</v>
      </c>
      <c r="B524">
        <f t="shared" si="92"/>
        <v>105</v>
      </c>
      <c r="C524">
        <v>3000</v>
      </c>
      <c r="D524">
        <f>VLOOKUP(B524,[1]怪物!$N$34:$T$233,2,0)</f>
        <v>31100</v>
      </c>
      <c r="E524">
        <f>VLOOKUP(B524,[2]怪物!$N$134:$T$233,5,0)</f>
        <v>172</v>
      </c>
      <c r="F524" s="1">
        <f t="shared" si="97"/>
        <v>8500</v>
      </c>
      <c r="H524" t="str">
        <f t="shared" si="93"/>
        <v>{cd,3000}</v>
      </c>
      <c r="I524" t="str">
        <f t="shared" si="94"/>
        <v>{hp,31100}</v>
      </c>
      <c r="J524" t="str">
        <f t="shared" si="95"/>
        <v>{atk,172}</v>
      </c>
      <c r="K524" t="str">
        <f t="shared" si="96"/>
        <v>{spd,8500}</v>
      </c>
      <c r="L524" t="str">
        <f t="shared" si="98"/>
        <v/>
      </c>
      <c r="O524" t="str">
        <f t="shared" si="99"/>
        <v>[{cd,3000},{hp,31100},{atk,172},{spd,8500}]</v>
      </c>
    </row>
    <row r="525" spans="1:15">
      <c r="A525">
        <f>Sheet1!E527</f>
        <v>112</v>
      </c>
      <c r="B525">
        <f t="shared" si="92"/>
        <v>105</v>
      </c>
      <c r="C525">
        <v>3000</v>
      </c>
      <c r="D525">
        <f>VLOOKUP(B525,[1]怪物!$N$34:$T$233,3,0)</f>
        <v>37320</v>
      </c>
      <c r="E525">
        <f>VLOOKUP(B525,[2]怪物!$N$134:$T$233,6,0)</f>
        <v>206</v>
      </c>
      <c r="F525" s="1">
        <f t="shared" si="97"/>
        <v>8500</v>
      </c>
      <c r="H525" t="str">
        <f t="shared" si="93"/>
        <v>{cd,3000}</v>
      </c>
      <c r="I525" t="str">
        <f t="shared" si="94"/>
        <v>{hp,37320}</v>
      </c>
      <c r="J525" t="str">
        <f t="shared" si="95"/>
        <v>{atk,206}</v>
      </c>
      <c r="K525" t="str">
        <f t="shared" si="96"/>
        <v>{spd,8500}</v>
      </c>
      <c r="L525" t="str">
        <f t="shared" si="98"/>
        <v/>
      </c>
      <c r="O525" t="str">
        <f t="shared" si="99"/>
        <v>[{cd,3000},{hp,37320},{atk,206},{spd,8500}]</v>
      </c>
    </row>
    <row r="526" spans="1:15">
      <c r="A526">
        <f>Sheet1!E528</f>
        <v>113</v>
      </c>
      <c r="B526">
        <f t="shared" si="92"/>
        <v>105</v>
      </c>
      <c r="C526">
        <v>3000</v>
      </c>
      <c r="D526">
        <f>VLOOKUP(B526,[1]怪物!$N$34:$T$233,4,0)</f>
        <v>46650</v>
      </c>
      <c r="E526">
        <f>VLOOKUP(B526,[2]怪物!$N$134:$T$233,7,0)</f>
        <v>258</v>
      </c>
      <c r="F526" s="1">
        <f t="shared" si="97"/>
        <v>8500</v>
      </c>
      <c r="H526" t="str">
        <f t="shared" si="93"/>
        <v>{cd,3000}</v>
      </c>
      <c r="I526" t="str">
        <f t="shared" si="94"/>
        <v>{hp,46650}</v>
      </c>
      <c r="J526" t="str">
        <f t="shared" si="95"/>
        <v>{atk,258}</v>
      </c>
      <c r="K526" t="str">
        <f t="shared" si="96"/>
        <v>{spd,8500}</v>
      </c>
      <c r="L526" t="str">
        <f t="shared" si="98"/>
        <v/>
      </c>
      <c r="O526" t="str">
        <f t="shared" si="99"/>
        <v>[{cd,3000},{hp,46650},{atk,258},{spd,8500}]</v>
      </c>
    </row>
    <row r="527" spans="1:15">
      <c r="A527">
        <f>Sheet1!E529</f>
        <v>511</v>
      </c>
      <c r="B527">
        <f t="shared" si="92"/>
        <v>105</v>
      </c>
      <c r="C527">
        <v>3000</v>
      </c>
      <c r="D527">
        <f>VLOOKUP(B527,[1]怪物!$U$34:$Y$234,2,0)</f>
        <v>1866000</v>
      </c>
      <c r="E527">
        <f>VLOOKUP(B527,[2]怪物!$U$134:$Y$233,4,0)</f>
        <v>430</v>
      </c>
      <c r="F527" s="1">
        <f t="shared" si="97"/>
        <v>8500</v>
      </c>
      <c r="H527" t="str">
        <f t="shared" si="93"/>
        <v>{cd,3000}</v>
      </c>
      <c r="I527" t="str">
        <f t="shared" si="94"/>
        <v>{hp,1866000}</v>
      </c>
      <c r="J527" t="str">
        <f t="shared" si="95"/>
        <v>{atk,430}</v>
      </c>
      <c r="K527" t="str">
        <f t="shared" si="96"/>
        <v>{spd,8500}</v>
      </c>
      <c r="L527" t="str">
        <f t="shared" si="98"/>
        <v/>
      </c>
      <c r="O527" t="str">
        <f t="shared" si="99"/>
        <v>[{cd,3000},{hp,1866000},{atk,430},{spd,8500}]</v>
      </c>
    </row>
    <row r="528" spans="1:15">
      <c r="A528">
        <f>Sheet1!E530</f>
        <v>511</v>
      </c>
      <c r="B528">
        <f t="shared" si="92"/>
        <v>105</v>
      </c>
      <c r="C528">
        <v>3000</v>
      </c>
      <c r="D528">
        <f>VLOOKUP(B528,[1]怪物!$U$34:$Y$234,3,0)</f>
        <v>2488000</v>
      </c>
      <c r="E528">
        <f>VLOOKUP(B528,[2]怪物!$U$134:$Y$233,5,0)</f>
        <v>860</v>
      </c>
      <c r="F528" s="1">
        <f t="shared" si="97"/>
        <v>8500</v>
      </c>
      <c r="H528" t="str">
        <f t="shared" si="93"/>
        <v>{cd,3000}</v>
      </c>
      <c r="I528" t="str">
        <f t="shared" si="94"/>
        <v>{hp,2488000}</v>
      </c>
      <c r="J528" t="str">
        <f t="shared" si="95"/>
        <v>{atk,860}</v>
      </c>
      <c r="K528" t="str">
        <f t="shared" si="96"/>
        <v>{spd,8500}</v>
      </c>
      <c r="L528" t="str">
        <f t="shared" si="98"/>
        <v/>
      </c>
      <c r="O528" t="str">
        <f t="shared" si="99"/>
        <v>[{cd,3000},{hp,2488000},{atk,860},{spd,8500}]</v>
      </c>
    </row>
    <row r="529" spans="1:15">
      <c r="A529">
        <f>Sheet1!E531</f>
        <v>103</v>
      </c>
      <c r="B529">
        <f t="shared" ref="B529:B592" si="100">B524+1</f>
        <v>106</v>
      </c>
      <c r="C529">
        <v>3000</v>
      </c>
      <c r="D529">
        <f>VLOOKUP(B529,[1]怪物!$N$34:$T$233,2,0)</f>
        <v>31700</v>
      </c>
      <c r="E529">
        <f>VLOOKUP(B529,[2]怪物!$N$134:$T$233,5,0)</f>
        <v>176</v>
      </c>
      <c r="F529" s="1">
        <f t="shared" si="97"/>
        <v>8500</v>
      </c>
      <c r="H529" t="str">
        <f t="shared" ref="H529:H553" si="101">$C$2&amp;C$3&amp;$D$2&amp;C529&amp;$E$2</f>
        <v>{cd,3000}</v>
      </c>
      <c r="I529" t="str">
        <f t="shared" ref="I529:I553" si="102">$C$2&amp;D$3&amp;$D$2&amp;D529&amp;$E$2</f>
        <v>{hp,31700}</v>
      </c>
      <c r="J529" t="str">
        <f t="shared" ref="J529:J553" si="103">$C$2&amp;E$3&amp;$D$2&amp;E529&amp;$E$2</f>
        <v>{atk,176}</v>
      </c>
      <c r="K529" t="str">
        <f t="shared" ref="K529:K553" si="104">$C$2&amp;F$3&amp;$D$2&amp;F529&amp;$E$2</f>
        <v>{spd,8500}</v>
      </c>
      <c r="L529" t="str">
        <f t="shared" si="98"/>
        <v/>
      </c>
      <c r="O529" t="str">
        <f t="shared" si="99"/>
        <v>[{cd,3000},{hp,31700},{atk,176},{spd,8500}]</v>
      </c>
    </row>
    <row r="530" spans="1:15">
      <c r="A530">
        <f>Sheet1!E532</f>
        <v>104</v>
      </c>
      <c r="B530">
        <f t="shared" si="100"/>
        <v>106</v>
      </c>
      <c r="C530">
        <v>3000</v>
      </c>
      <c r="D530">
        <f>VLOOKUP(B530,[1]怪物!$N$34:$T$233,3,0)</f>
        <v>38040</v>
      </c>
      <c r="E530">
        <f>VLOOKUP(B530,[2]怪物!$N$134:$T$233,6,0)</f>
        <v>211</v>
      </c>
      <c r="F530" s="1">
        <f t="shared" si="97"/>
        <v>8500</v>
      </c>
      <c r="H530" t="str">
        <f t="shared" si="101"/>
        <v>{cd,3000}</v>
      </c>
      <c r="I530" t="str">
        <f t="shared" si="102"/>
        <v>{hp,38040}</v>
      </c>
      <c r="J530" t="str">
        <f t="shared" si="103"/>
        <v>{atk,211}</v>
      </c>
      <c r="K530" t="str">
        <f t="shared" si="104"/>
        <v>{spd,8500}</v>
      </c>
      <c r="L530" t="str">
        <f t="shared" si="98"/>
        <v/>
      </c>
      <c r="O530" t="str">
        <f t="shared" si="99"/>
        <v>[{cd,3000},{hp,38040},{atk,211},{spd,8500}]</v>
      </c>
    </row>
    <row r="531" spans="1:15">
      <c r="A531">
        <f>Sheet1!E533</f>
        <v>105</v>
      </c>
      <c r="B531">
        <f t="shared" si="100"/>
        <v>106</v>
      </c>
      <c r="C531">
        <v>3000</v>
      </c>
      <c r="D531">
        <f>VLOOKUP(B531,[1]怪物!$N$34:$T$233,4,0)</f>
        <v>47550</v>
      </c>
      <c r="E531">
        <f>VLOOKUP(B531,[2]怪物!$N$134:$T$233,7,0)</f>
        <v>264</v>
      </c>
      <c r="F531" s="1">
        <f t="shared" si="97"/>
        <v>8500</v>
      </c>
      <c r="H531" t="str">
        <f t="shared" si="101"/>
        <v>{cd,3000}</v>
      </c>
      <c r="I531" t="str">
        <f t="shared" si="102"/>
        <v>{hp,47550}</v>
      </c>
      <c r="J531" t="str">
        <f t="shared" si="103"/>
        <v>{atk,264}</v>
      </c>
      <c r="K531" t="str">
        <f t="shared" si="104"/>
        <v>{spd,8500}</v>
      </c>
      <c r="L531" t="str">
        <f t="shared" si="98"/>
        <v/>
      </c>
      <c r="O531" t="str">
        <f t="shared" si="99"/>
        <v>[{cd,3000},{hp,47550},{atk,264},{spd,8500}]</v>
      </c>
    </row>
    <row r="532" spans="1:15">
      <c r="A532">
        <f>Sheet1!E534</f>
        <v>103</v>
      </c>
      <c r="B532">
        <f t="shared" si="100"/>
        <v>106</v>
      </c>
      <c r="C532">
        <v>3000</v>
      </c>
      <c r="D532">
        <f>VLOOKUP(B532,[1]怪物!$U$34:$Y$234,2,0)</f>
        <v>1902000</v>
      </c>
      <c r="E532">
        <f>VLOOKUP(B532,[2]怪物!$U$134:$Y$233,4,0)</f>
        <v>440</v>
      </c>
      <c r="F532" s="1">
        <f t="shared" si="97"/>
        <v>8500</v>
      </c>
      <c r="H532" t="str">
        <f t="shared" si="101"/>
        <v>{cd,3000}</v>
      </c>
      <c r="I532" t="str">
        <f t="shared" si="102"/>
        <v>{hp,1902000}</v>
      </c>
      <c r="J532" t="str">
        <f t="shared" si="103"/>
        <v>{atk,440}</v>
      </c>
      <c r="K532" t="str">
        <f t="shared" si="104"/>
        <v>{spd,8500}</v>
      </c>
      <c r="L532" t="str">
        <f t="shared" si="98"/>
        <v/>
      </c>
      <c r="O532" t="str">
        <f t="shared" si="99"/>
        <v>[{cd,3000},{hp,1902000},{atk,440},{spd,8500}]</v>
      </c>
    </row>
    <row r="533" spans="1:15">
      <c r="A533">
        <f>Sheet1!E535</f>
        <v>103</v>
      </c>
      <c r="B533">
        <f t="shared" si="100"/>
        <v>106</v>
      </c>
      <c r="C533">
        <v>3000</v>
      </c>
      <c r="D533">
        <f>VLOOKUP(B533,[1]怪物!$U$34:$Y$234,3,0)</f>
        <v>2536000</v>
      </c>
      <c r="E533">
        <f>VLOOKUP(B533,[2]怪物!$U$134:$Y$233,5,0)</f>
        <v>880</v>
      </c>
      <c r="F533" s="1">
        <f t="shared" si="97"/>
        <v>8500</v>
      </c>
      <c r="H533" t="str">
        <f t="shared" si="101"/>
        <v>{cd,3000}</v>
      </c>
      <c r="I533" t="str">
        <f t="shared" si="102"/>
        <v>{hp,2536000}</v>
      </c>
      <c r="J533" t="str">
        <f t="shared" si="103"/>
        <v>{atk,880}</v>
      </c>
      <c r="K533" t="str">
        <f t="shared" si="104"/>
        <v>{spd,8500}</v>
      </c>
      <c r="L533" t="str">
        <f t="shared" si="98"/>
        <v/>
      </c>
      <c r="O533" t="str">
        <f t="shared" si="99"/>
        <v>[{cd,3000},{hp,2536000},{atk,880},{spd,8500}]</v>
      </c>
    </row>
    <row r="534" spans="1:15">
      <c r="A534">
        <f>Sheet1!E536</f>
        <v>117</v>
      </c>
      <c r="B534">
        <f t="shared" si="100"/>
        <v>107</v>
      </c>
      <c r="C534">
        <v>3000</v>
      </c>
      <c r="D534">
        <f>VLOOKUP(B534,[1]怪物!$N$34:$T$233,2,0)</f>
        <v>32500</v>
      </c>
      <c r="E534">
        <f>VLOOKUP(B534,[2]怪物!$N$134:$T$233,5,0)</f>
        <v>180</v>
      </c>
      <c r="F534" s="1">
        <f t="shared" si="97"/>
        <v>8500</v>
      </c>
      <c r="H534" t="str">
        <f t="shared" si="101"/>
        <v>{cd,3000}</v>
      </c>
      <c r="I534" t="str">
        <f t="shared" si="102"/>
        <v>{hp,32500}</v>
      </c>
      <c r="J534" t="str">
        <f t="shared" si="103"/>
        <v>{atk,180}</v>
      </c>
      <c r="K534" t="str">
        <f t="shared" si="104"/>
        <v>{spd,8500}</v>
      </c>
      <c r="L534" t="str">
        <f t="shared" si="98"/>
        <v>{downUnderPhAtk,5000}</v>
      </c>
      <c r="O534" t="str">
        <f t="shared" si="99"/>
        <v>[{cd,3000},{hp,32500},{atk,180},{spd,8500},{downUnderPhAtk,5000}]</v>
      </c>
    </row>
    <row r="535" spans="1:15">
      <c r="A535">
        <f>Sheet1!E537</f>
        <v>116</v>
      </c>
      <c r="B535">
        <f t="shared" si="100"/>
        <v>107</v>
      </c>
      <c r="C535">
        <v>3000</v>
      </c>
      <c r="D535">
        <f>VLOOKUP(B535,[1]怪物!$N$34:$T$233,3,0)</f>
        <v>39000</v>
      </c>
      <c r="E535">
        <f>VLOOKUP(B535,[2]怪物!$N$134:$T$233,6,0)</f>
        <v>216</v>
      </c>
      <c r="F535" s="1">
        <f t="shared" si="97"/>
        <v>20000</v>
      </c>
      <c r="H535" t="str">
        <f t="shared" si="101"/>
        <v>{cd,3000}</v>
      </c>
      <c r="I535" t="str">
        <f t="shared" si="102"/>
        <v>{hp,39000}</v>
      </c>
      <c r="J535" t="str">
        <f t="shared" si="103"/>
        <v>{atk,216}</v>
      </c>
      <c r="K535" t="str">
        <f t="shared" si="104"/>
        <v>{spd,20000}</v>
      </c>
      <c r="L535" t="str">
        <f t="shared" si="98"/>
        <v/>
      </c>
      <c r="O535" t="str">
        <f t="shared" si="99"/>
        <v>[{cd,3000},{hp,39000},{atk,216},{spd,20000}]</v>
      </c>
    </row>
    <row r="536" spans="1:15">
      <c r="A536">
        <f>Sheet1!E538</f>
        <v>112</v>
      </c>
      <c r="B536">
        <f t="shared" si="100"/>
        <v>107</v>
      </c>
      <c r="C536">
        <v>3000</v>
      </c>
      <c r="D536">
        <f>VLOOKUP(B536,[1]怪物!$N$34:$T$233,4,0)</f>
        <v>48750</v>
      </c>
      <c r="E536">
        <f>VLOOKUP(B536,[2]怪物!$N$134:$T$233,7,0)</f>
        <v>270</v>
      </c>
      <c r="F536" s="1">
        <f t="shared" si="97"/>
        <v>8500</v>
      </c>
      <c r="H536" t="str">
        <f t="shared" si="101"/>
        <v>{cd,3000}</v>
      </c>
      <c r="I536" t="str">
        <f t="shared" si="102"/>
        <v>{hp,48750}</v>
      </c>
      <c r="J536" t="str">
        <f t="shared" si="103"/>
        <v>{atk,270}</v>
      </c>
      <c r="K536" t="str">
        <f t="shared" si="104"/>
        <v>{spd,8500}</v>
      </c>
      <c r="L536" t="str">
        <f t="shared" si="98"/>
        <v/>
      </c>
      <c r="O536" t="str">
        <f t="shared" si="99"/>
        <v>[{cd,3000},{hp,48750},{atk,270},{spd,8500}]</v>
      </c>
    </row>
    <row r="537" spans="1:15">
      <c r="A537">
        <f>Sheet1!E539</f>
        <v>117</v>
      </c>
      <c r="B537">
        <f t="shared" si="100"/>
        <v>107</v>
      </c>
      <c r="C537">
        <v>3000</v>
      </c>
      <c r="D537">
        <f>VLOOKUP(B537,[1]怪物!$U$34:$Y$234,2,0)</f>
        <v>1950000</v>
      </c>
      <c r="E537">
        <f>VLOOKUP(B537,[2]怪物!$U$134:$Y$233,4,0)</f>
        <v>450</v>
      </c>
      <c r="F537" s="1">
        <f t="shared" si="97"/>
        <v>8500</v>
      </c>
      <c r="H537" t="str">
        <f t="shared" si="101"/>
        <v>{cd,3000}</v>
      </c>
      <c r="I537" t="str">
        <f t="shared" si="102"/>
        <v>{hp,1950000}</v>
      </c>
      <c r="J537" t="str">
        <f t="shared" si="103"/>
        <v>{atk,450}</v>
      </c>
      <c r="K537" t="str">
        <f t="shared" si="104"/>
        <v>{spd,8500}</v>
      </c>
      <c r="L537" t="str">
        <f t="shared" si="98"/>
        <v>{downUnderPhAtk,5000}</v>
      </c>
      <c r="O537" t="str">
        <f t="shared" si="99"/>
        <v>[{cd,3000},{hp,1950000},{atk,450},{spd,8500},{downUnderPhAtk,5000}]</v>
      </c>
    </row>
    <row r="538" spans="1:15">
      <c r="A538">
        <f>Sheet1!E540</f>
        <v>117</v>
      </c>
      <c r="B538">
        <f t="shared" si="100"/>
        <v>107</v>
      </c>
      <c r="C538">
        <v>3000</v>
      </c>
      <c r="D538">
        <f>VLOOKUP(B538,[1]怪物!$U$34:$Y$234,3,0)</f>
        <v>2600000</v>
      </c>
      <c r="E538">
        <f>VLOOKUP(B538,[2]怪物!$U$134:$Y$233,5,0)</f>
        <v>900</v>
      </c>
      <c r="F538" s="1">
        <f t="shared" si="97"/>
        <v>8500</v>
      </c>
      <c r="H538" t="str">
        <f t="shared" si="101"/>
        <v>{cd,3000}</v>
      </c>
      <c r="I538" t="str">
        <f t="shared" si="102"/>
        <v>{hp,2600000}</v>
      </c>
      <c r="J538" t="str">
        <f t="shared" si="103"/>
        <v>{atk,900}</v>
      </c>
      <c r="K538" t="str">
        <f t="shared" si="104"/>
        <v>{spd,8500}</v>
      </c>
      <c r="L538" t="str">
        <f t="shared" si="98"/>
        <v>{downUnderPhAtk,5000}</v>
      </c>
      <c r="O538" t="str">
        <f t="shared" si="99"/>
        <v>[{cd,3000},{hp,2600000},{atk,900},{spd,8500},{downUnderPhAtk,5000}]</v>
      </c>
    </row>
    <row r="539" spans="1:15">
      <c r="A539">
        <f>Sheet1!E541</f>
        <v>119</v>
      </c>
      <c r="B539">
        <f t="shared" si="100"/>
        <v>108</v>
      </c>
      <c r="C539">
        <v>3000</v>
      </c>
      <c r="D539">
        <f>VLOOKUP(B539,[1]怪物!$N$34:$T$233,2,0)</f>
        <v>33500</v>
      </c>
      <c r="E539">
        <f>VLOOKUP(B539,[2]怪物!$N$134:$T$233,5,0)</f>
        <v>184</v>
      </c>
      <c r="F539" s="1">
        <f t="shared" si="97"/>
        <v>8500</v>
      </c>
      <c r="H539" t="str">
        <f t="shared" si="101"/>
        <v>{cd,3000}</v>
      </c>
      <c r="I539" t="str">
        <f t="shared" si="102"/>
        <v>{hp,33500}</v>
      </c>
      <c r="J539" t="str">
        <f t="shared" si="103"/>
        <v>{atk,184}</v>
      </c>
      <c r="K539" t="str">
        <f t="shared" si="104"/>
        <v>{spd,8500}</v>
      </c>
      <c r="L539" t="str">
        <f t="shared" si="98"/>
        <v>{downUnderMagicAtk,5000}</v>
      </c>
      <c r="O539" t="str">
        <f t="shared" si="99"/>
        <v>[{cd,3000},{hp,33500},{atk,184},{spd,8500},{downUnderMagicAtk,5000}]</v>
      </c>
    </row>
    <row r="540" spans="1:15">
      <c r="A540">
        <f>Sheet1!E542</f>
        <v>116</v>
      </c>
      <c r="B540">
        <f t="shared" si="100"/>
        <v>108</v>
      </c>
      <c r="C540">
        <v>3000</v>
      </c>
      <c r="D540">
        <f>VLOOKUP(B540,[1]怪物!$N$34:$T$233,3,0)</f>
        <v>40200</v>
      </c>
      <c r="E540">
        <f>VLOOKUP(B540,[2]怪物!$N$134:$T$233,6,0)</f>
        <v>221</v>
      </c>
      <c r="F540" s="1">
        <f t="shared" si="97"/>
        <v>20000</v>
      </c>
      <c r="H540" t="str">
        <f t="shared" si="101"/>
        <v>{cd,3000}</v>
      </c>
      <c r="I540" t="str">
        <f t="shared" si="102"/>
        <v>{hp,40200}</v>
      </c>
      <c r="J540" t="str">
        <f t="shared" si="103"/>
        <v>{atk,221}</v>
      </c>
      <c r="K540" t="str">
        <f t="shared" si="104"/>
        <v>{spd,20000}</v>
      </c>
      <c r="L540" t="str">
        <f t="shared" si="98"/>
        <v/>
      </c>
      <c r="O540" t="str">
        <f t="shared" si="99"/>
        <v>[{cd,3000},{hp,40200},{atk,221},{spd,20000}]</v>
      </c>
    </row>
    <row r="541" spans="1:15">
      <c r="A541">
        <f>Sheet1!E543</f>
        <v>118</v>
      </c>
      <c r="B541">
        <f t="shared" si="100"/>
        <v>108</v>
      </c>
      <c r="C541">
        <v>3000</v>
      </c>
      <c r="D541">
        <f>VLOOKUP(B541,[1]怪物!$N$34:$T$233,4,0)</f>
        <v>50250</v>
      </c>
      <c r="E541">
        <f>VLOOKUP(B541,[2]怪物!$N$134:$T$233,7,0)</f>
        <v>276</v>
      </c>
      <c r="F541" s="1">
        <f t="shared" si="97"/>
        <v>8500</v>
      </c>
      <c r="H541" t="str">
        <f t="shared" si="101"/>
        <v>{cd,3000}</v>
      </c>
      <c r="I541" t="str">
        <f t="shared" si="102"/>
        <v>{hp,50250}</v>
      </c>
      <c r="J541" t="str">
        <f t="shared" si="103"/>
        <v>{atk,276}</v>
      </c>
      <c r="K541" t="str">
        <f t="shared" si="104"/>
        <v>{spd,8500}</v>
      </c>
      <c r="L541" t="str">
        <f t="shared" si="98"/>
        <v/>
      </c>
      <c r="O541" t="str">
        <f t="shared" si="99"/>
        <v>[{cd,3000},{hp,50250},{atk,276},{spd,8500}]</v>
      </c>
    </row>
    <row r="542" spans="1:15">
      <c r="A542">
        <f>Sheet1!E544</f>
        <v>119</v>
      </c>
      <c r="B542">
        <f t="shared" si="100"/>
        <v>108</v>
      </c>
      <c r="C542">
        <v>3000</v>
      </c>
      <c r="D542">
        <f>VLOOKUP(B542,[1]怪物!$U$34:$Y$234,2,0)</f>
        <v>2010000</v>
      </c>
      <c r="E542">
        <f>VLOOKUP(B542,[2]怪物!$U$134:$Y$233,4,0)</f>
        <v>460</v>
      </c>
      <c r="F542" s="1">
        <f t="shared" si="97"/>
        <v>8500</v>
      </c>
      <c r="H542" t="str">
        <f t="shared" si="101"/>
        <v>{cd,3000}</v>
      </c>
      <c r="I542" t="str">
        <f t="shared" si="102"/>
        <v>{hp,2010000}</v>
      </c>
      <c r="J542" t="str">
        <f t="shared" si="103"/>
        <v>{atk,460}</v>
      </c>
      <c r="K542" t="str">
        <f t="shared" si="104"/>
        <v>{spd,8500}</v>
      </c>
      <c r="L542" t="str">
        <f t="shared" si="98"/>
        <v>{downUnderMagicAtk,5000}</v>
      </c>
      <c r="O542" t="str">
        <f t="shared" si="99"/>
        <v>[{cd,3000},{hp,2010000},{atk,460},{spd,8500},{downUnderMagicAtk,5000}]</v>
      </c>
    </row>
    <row r="543" spans="1:15">
      <c r="A543">
        <f>Sheet1!E545</f>
        <v>119</v>
      </c>
      <c r="B543">
        <f t="shared" si="100"/>
        <v>108</v>
      </c>
      <c r="C543">
        <v>3000</v>
      </c>
      <c r="D543">
        <f>VLOOKUP(B543,[1]怪物!$U$34:$Y$234,3,0)</f>
        <v>2680000</v>
      </c>
      <c r="E543">
        <f>VLOOKUP(B543,[2]怪物!$U$134:$Y$233,5,0)</f>
        <v>920</v>
      </c>
      <c r="F543" s="1">
        <f t="shared" si="97"/>
        <v>8500</v>
      </c>
      <c r="H543" t="str">
        <f t="shared" si="101"/>
        <v>{cd,3000}</v>
      </c>
      <c r="I543" t="str">
        <f t="shared" si="102"/>
        <v>{hp,2680000}</v>
      </c>
      <c r="J543" t="str">
        <f t="shared" si="103"/>
        <v>{atk,920}</v>
      </c>
      <c r="K543" t="str">
        <f t="shared" si="104"/>
        <v>{spd,8500}</v>
      </c>
      <c r="L543" t="str">
        <f t="shared" si="98"/>
        <v>{downUnderMagicAtk,5000}</v>
      </c>
      <c r="O543" t="str">
        <f t="shared" si="99"/>
        <v>[{cd,3000},{hp,2680000},{atk,920},{spd,8500},{downUnderMagicAtk,5000}]</v>
      </c>
    </row>
    <row r="544" spans="1:15">
      <c r="A544">
        <f>Sheet1!E546</f>
        <v>108</v>
      </c>
      <c r="B544">
        <f t="shared" si="100"/>
        <v>109</v>
      </c>
      <c r="C544">
        <v>3000</v>
      </c>
      <c r="D544">
        <f>VLOOKUP(B544,[1]怪物!$N$34:$T$233,2,0)</f>
        <v>34700</v>
      </c>
      <c r="E544">
        <f>VLOOKUP(B544,[2]怪物!$N$134:$T$233,5,0)</f>
        <v>188</v>
      </c>
      <c r="F544" s="1">
        <f t="shared" si="97"/>
        <v>8500</v>
      </c>
      <c r="H544" t="str">
        <f t="shared" si="101"/>
        <v>{cd,3000}</v>
      </c>
      <c r="I544" t="str">
        <f t="shared" si="102"/>
        <v>{hp,34700}</v>
      </c>
      <c r="J544" t="str">
        <f t="shared" si="103"/>
        <v>{atk,188}</v>
      </c>
      <c r="K544" t="str">
        <f t="shared" si="104"/>
        <v>{spd,8500}</v>
      </c>
      <c r="L544" t="str">
        <f t="shared" si="98"/>
        <v/>
      </c>
      <c r="O544" t="str">
        <f t="shared" si="99"/>
        <v>[{cd,3000},{hp,34700},{atk,188},{spd,8500}]</v>
      </c>
    </row>
    <row r="545" spans="1:15">
      <c r="A545">
        <f>Sheet1!E547</f>
        <v>107</v>
      </c>
      <c r="B545">
        <f t="shared" si="100"/>
        <v>109</v>
      </c>
      <c r="C545">
        <v>3000</v>
      </c>
      <c r="D545">
        <f>VLOOKUP(B545,[1]怪物!$N$34:$T$233,3,0)</f>
        <v>41640</v>
      </c>
      <c r="E545">
        <f>VLOOKUP(B545,[2]怪物!$N$134:$T$233,6,0)</f>
        <v>226</v>
      </c>
      <c r="F545" s="1">
        <f t="shared" si="97"/>
        <v>8500</v>
      </c>
      <c r="H545" t="str">
        <f t="shared" si="101"/>
        <v>{cd,3000}</v>
      </c>
      <c r="I545" t="str">
        <f t="shared" si="102"/>
        <v>{hp,41640}</v>
      </c>
      <c r="J545" t="str">
        <f t="shared" si="103"/>
        <v>{atk,226}</v>
      </c>
      <c r="K545" t="str">
        <f t="shared" si="104"/>
        <v>{spd,8500}</v>
      </c>
      <c r="L545" t="str">
        <f t="shared" si="98"/>
        <v/>
      </c>
      <c r="O545" t="str">
        <f t="shared" si="99"/>
        <v>[{cd,3000},{hp,41640},{atk,226},{spd,8500}]</v>
      </c>
    </row>
    <row r="546" spans="1:15">
      <c r="A546">
        <f>Sheet1!E548</f>
        <v>109</v>
      </c>
      <c r="B546">
        <f t="shared" si="100"/>
        <v>109</v>
      </c>
      <c r="C546">
        <v>3000</v>
      </c>
      <c r="D546">
        <f>VLOOKUP(B546,[1]怪物!$N$34:$T$233,4,0)</f>
        <v>52050</v>
      </c>
      <c r="E546">
        <f>VLOOKUP(B546,[2]怪物!$N$134:$T$233,7,0)</f>
        <v>282</v>
      </c>
      <c r="F546" s="1">
        <f t="shared" si="97"/>
        <v>8500</v>
      </c>
      <c r="H546" t="str">
        <f t="shared" si="101"/>
        <v>{cd,3000}</v>
      </c>
      <c r="I546" t="str">
        <f t="shared" si="102"/>
        <v>{hp,52050}</v>
      </c>
      <c r="J546" t="str">
        <f t="shared" si="103"/>
        <v>{atk,282}</v>
      </c>
      <c r="K546" t="str">
        <f t="shared" si="104"/>
        <v>{spd,8500}</v>
      </c>
      <c r="L546" t="str">
        <f t="shared" si="98"/>
        <v/>
      </c>
      <c r="O546" t="str">
        <f t="shared" si="99"/>
        <v>[{cd,3000},{hp,52050},{atk,282},{spd,8500}]</v>
      </c>
    </row>
    <row r="547" spans="1:15">
      <c r="A547">
        <f>Sheet1!E549</f>
        <v>109</v>
      </c>
      <c r="B547">
        <f t="shared" si="100"/>
        <v>109</v>
      </c>
      <c r="C547">
        <v>3000</v>
      </c>
      <c r="D547">
        <f>VLOOKUP(B547,[1]怪物!$U$34:$Y$234,2,0)</f>
        <v>2082000</v>
      </c>
      <c r="E547">
        <f>VLOOKUP(B547,[2]怪物!$U$134:$Y$233,4,0)</f>
        <v>470</v>
      </c>
      <c r="F547" s="1">
        <f t="shared" si="97"/>
        <v>8500</v>
      </c>
      <c r="H547" t="str">
        <f t="shared" si="101"/>
        <v>{cd,3000}</v>
      </c>
      <c r="I547" t="str">
        <f t="shared" si="102"/>
        <v>{hp,2082000}</v>
      </c>
      <c r="J547" t="str">
        <f t="shared" si="103"/>
        <v>{atk,470}</v>
      </c>
      <c r="K547" t="str">
        <f t="shared" si="104"/>
        <v>{spd,8500}</v>
      </c>
      <c r="L547" t="str">
        <f t="shared" si="98"/>
        <v/>
      </c>
      <c r="O547" t="str">
        <f t="shared" si="99"/>
        <v>[{cd,3000},{hp,2082000},{atk,470},{spd,8500}]</v>
      </c>
    </row>
    <row r="548" spans="1:15">
      <c r="A548">
        <f>Sheet1!E550</f>
        <v>109</v>
      </c>
      <c r="B548">
        <f t="shared" si="100"/>
        <v>109</v>
      </c>
      <c r="C548">
        <v>3000</v>
      </c>
      <c r="D548">
        <f>VLOOKUP(B548,[1]怪物!$U$34:$Y$234,3,0)</f>
        <v>2776000</v>
      </c>
      <c r="E548">
        <f>VLOOKUP(B548,[2]怪物!$U$134:$Y$233,5,0)</f>
        <v>940</v>
      </c>
      <c r="F548" s="1">
        <f t="shared" si="97"/>
        <v>8500</v>
      </c>
      <c r="H548" t="str">
        <f t="shared" si="101"/>
        <v>{cd,3000}</v>
      </c>
      <c r="I548" t="str">
        <f t="shared" si="102"/>
        <v>{hp,2776000}</v>
      </c>
      <c r="J548" t="str">
        <f t="shared" si="103"/>
        <v>{atk,940}</v>
      </c>
      <c r="K548" t="str">
        <f t="shared" si="104"/>
        <v>{spd,8500}</v>
      </c>
      <c r="L548" t="str">
        <f t="shared" si="98"/>
        <v/>
      </c>
      <c r="O548" t="str">
        <f t="shared" si="99"/>
        <v>[{cd,3000},{hp,2776000},{atk,940},{spd,8500}]</v>
      </c>
    </row>
    <row r="549" spans="1:15">
      <c r="A549">
        <f>Sheet1!E551</f>
        <v>100</v>
      </c>
      <c r="B549">
        <f t="shared" si="100"/>
        <v>110</v>
      </c>
      <c r="C549">
        <v>3000</v>
      </c>
      <c r="D549">
        <f>VLOOKUP(B549,[1]怪物!$N$34:$T$233,2,0)</f>
        <v>36400</v>
      </c>
      <c r="E549">
        <f>VLOOKUP(B549,[2]怪物!$N$134:$T$233,5,0)</f>
        <v>220</v>
      </c>
      <c r="F549" s="1">
        <f t="shared" si="97"/>
        <v>8500</v>
      </c>
      <c r="H549" t="str">
        <f t="shared" si="101"/>
        <v>{cd,3000}</v>
      </c>
      <c r="I549" t="str">
        <f t="shared" si="102"/>
        <v>{hp,36400}</v>
      </c>
      <c r="J549" t="str">
        <f t="shared" si="103"/>
        <v>{atk,220}</v>
      </c>
      <c r="K549" t="str">
        <f t="shared" si="104"/>
        <v>{spd,8500}</v>
      </c>
      <c r="L549" t="str">
        <f t="shared" si="98"/>
        <v/>
      </c>
      <c r="O549" t="str">
        <f t="shared" si="99"/>
        <v>[{cd,3000},{hp,36400},{atk,220},{spd,8500}]</v>
      </c>
    </row>
    <row r="550" spans="1:15">
      <c r="A550">
        <f>Sheet1!E552</f>
        <v>102</v>
      </c>
      <c r="B550">
        <f t="shared" si="100"/>
        <v>110</v>
      </c>
      <c r="C550">
        <v>3000</v>
      </c>
      <c r="D550">
        <f>VLOOKUP(B550,[1]怪物!$N$34:$T$233,3,0)</f>
        <v>43680</v>
      </c>
      <c r="E550">
        <f>VLOOKUP(B550,[2]怪物!$N$134:$T$233,6,0)</f>
        <v>264</v>
      </c>
      <c r="F550" s="1">
        <f t="shared" si="97"/>
        <v>8500</v>
      </c>
      <c r="H550" t="str">
        <f t="shared" si="101"/>
        <v>{cd,3000}</v>
      </c>
      <c r="I550" t="str">
        <f t="shared" si="102"/>
        <v>{hp,43680}</v>
      </c>
      <c r="J550" t="str">
        <f t="shared" si="103"/>
        <v>{atk,264}</v>
      </c>
      <c r="K550" t="str">
        <f t="shared" si="104"/>
        <v>{spd,8500}</v>
      </c>
      <c r="L550" t="str">
        <f t="shared" si="98"/>
        <v/>
      </c>
      <c r="O550" t="str">
        <f t="shared" si="99"/>
        <v>[{cd,3000},{hp,43680},{atk,264},{spd,8500}]</v>
      </c>
    </row>
    <row r="551" spans="1:15">
      <c r="A551">
        <f>Sheet1!E553</f>
        <v>105</v>
      </c>
      <c r="B551">
        <f t="shared" si="100"/>
        <v>110</v>
      </c>
      <c r="C551">
        <v>3000</v>
      </c>
      <c r="D551">
        <f>VLOOKUP(B551,[1]怪物!$N$34:$T$233,4,0)</f>
        <v>54600</v>
      </c>
      <c r="E551">
        <f>VLOOKUP(B551,[2]怪物!$N$134:$T$233,7,0)</f>
        <v>330</v>
      </c>
      <c r="F551" s="1">
        <f t="shared" si="97"/>
        <v>8500</v>
      </c>
      <c r="H551" t="str">
        <f t="shared" si="101"/>
        <v>{cd,3000}</v>
      </c>
      <c r="I551" t="str">
        <f t="shared" si="102"/>
        <v>{hp,54600}</v>
      </c>
      <c r="J551" t="str">
        <f t="shared" si="103"/>
        <v>{atk,330}</v>
      </c>
      <c r="K551" t="str">
        <f t="shared" si="104"/>
        <v>{spd,8500}</v>
      </c>
      <c r="L551" t="str">
        <f t="shared" si="98"/>
        <v/>
      </c>
      <c r="O551" t="str">
        <f t="shared" si="99"/>
        <v>[{cd,3000},{hp,54600},{atk,330},{spd,8500}]</v>
      </c>
    </row>
    <row r="552" spans="1:15">
      <c r="A552">
        <f>Sheet1!E554</f>
        <v>502</v>
      </c>
      <c r="B552">
        <f t="shared" si="100"/>
        <v>110</v>
      </c>
      <c r="C552">
        <v>3000</v>
      </c>
      <c r="D552">
        <f>VLOOKUP(B552,[1]怪物!$U$34:$Y$234,2,0)</f>
        <v>2184000</v>
      </c>
      <c r="E552">
        <f>VLOOKUP(B552,[2]怪物!$U$134:$Y$233,4,0)</f>
        <v>550</v>
      </c>
      <c r="F552" s="1">
        <f t="shared" si="97"/>
        <v>8500</v>
      </c>
      <c r="H552" t="str">
        <f t="shared" si="101"/>
        <v>{cd,3000}</v>
      </c>
      <c r="I552" t="str">
        <f t="shared" si="102"/>
        <v>{hp,2184000}</v>
      </c>
      <c r="J552" t="str">
        <f t="shared" si="103"/>
        <v>{atk,550}</v>
      </c>
      <c r="K552" t="str">
        <f t="shared" si="104"/>
        <v>{spd,8500}</v>
      </c>
      <c r="L552" t="str">
        <f t="shared" si="98"/>
        <v/>
      </c>
      <c r="O552" t="str">
        <f t="shared" si="99"/>
        <v>[{cd,3000},{hp,2184000},{atk,550},{spd,8500}]</v>
      </c>
    </row>
    <row r="553" spans="1:15">
      <c r="A553">
        <f>Sheet1!E555</f>
        <v>500</v>
      </c>
      <c r="B553">
        <f t="shared" si="100"/>
        <v>110</v>
      </c>
      <c r="C553">
        <v>3000</v>
      </c>
      <c r="D553">
        <f>VLOOKUP(B553,[1]怪物!$U$34:$Y$234,3,0)</f>
        <v>2912000</v>
      </c>
      <c r="E553">
        <f>VLOOKUP(B553,[2]怪物!$U$134:$Y$233,5,0)</f>
        <v>1100</v>
      </c>
      <c r="F553" s="1">
        <f t="shared" si="97"/>
        <v>8500</v>
      </c>
      <c r="H553" t="str">
        <f t="shared" si="101"/>
        <v>{cd,3000}</v>
      </c>
      <c r="I553" t="str">
        <f t="shared" si="102"/>
        <v>{hp,2912000}</v>
      </c>
      <c r="J553" t="str">
        <f t="shared" si="103"/>
        <v>{atk,1100}</v>
      </c>
      <c r="K553" t="str">
        <f t="shared" si="104"/>
        <v>{spd,8500}</v>
      </c>
      <c r="L553" t="str">
        <f t="shared" si="98"/>
        <v/>
      </c>
      <c r="O553" t="str">
        <f t="shared" si="99"/>
        <v>[{cd,3000},{hp,2912000},{atk,1100},{spd,8500}]</v>
      </c>
    </row>
    <row r="554" spans="1:15">
      <c r="A554">
        <f>Sheet1!E556</f>
        <v>103</v>
      </c>
      <c r="B554">
        <f t="shared" si="100"/>
        <v>111</v>
      </c>
      <c r="C554">
        <v>3000</v>
      </c>
      <c r="D554">
        <f>VLOOKUP(B554,[1]怪物!$N$34:$T$233,2,0)</f>
        <v>35100</v>
      </c>
      <c r="E554">
        <f>VLOOKUP(B554,[2]怪物!$N$134:$T$233,5,0)</f>
        <v>192</v>
      </c>
      <c r="F554" s="1">
        <f t="shared" si="97"/>
        <v>8500</v>
      </c>
      <c r="H554" t="str">
        <f t="shared" ref="H554:H603" si="105">$C$2&amp;C$3&amp;$D$2&amp;C554&amp;$E$2</f>
        <v>{cd,3000}</v>
      </c>
      <c r="I554" t="str">
        <f t="shared" ref="I554:I603" si="106">$C$2&amp;D$3&amp;$D$2&amp;D554&amp;$E$2</f>
        <v>{hp,35100}</v>
      </c>
      <c r="J554" t="str">
        <f t="shared" ref="J554:J603" si="107">$C$2&amp;E$3&amp;$D$2&amp;E554&amp;$E$2</f>
        <v>{atk,192}</v>
      </c>
      <c r="K554" t="str">
        <f t="shared" ref="K554:K603" si="108">$C$2&amp;F$3&amp;$D$2&amp;F554&amp;$E$2</f>
        <v>{spd,8500}</v>
      </c>
      <c r="L554" t="str">
        <f t="shared" si="98"/>
        <v/>
      </c>
      <c r="O554" t="str">
        <f t="shared" si="99"/>
        <v>[{cd,3000},{hp,35100},{atk,192},{spd,8500}]</v>
      </c>
    </row>
    <row r="555" spans="1:15">
      <c r="A555">
        <f>Sheet1!E557</f>
        <v>104</v>
      </c>
      <c r="B555">
        <f t="shared" si="100"/>
        <v>111</v>
      </c>
      <c r="C555">
        <v>3000</v>
      </c>
      <c r="D555">
        <f>VLOOKUP(B555,[1]怪物!$N$34:$T$233,3,0)</f>
        <v>42120</v>
      </c>
      <c r="E555">
        <f>VLOOKUP(B555,[2]怪物!$N$134:$T$233,6,0)</f>
        <v>230</v>
      </c>
      <c r="F555" s="1">
        <f t="shared" si="97"/>
        <v>8500</v>
      </c>
      <c r="H555" t="str">
        <f t="shared" si="105"/>
        <v>{cd,3000}</v>
      </c>
      <c r="I555" t="str">
        <f t="shared" si="106"/>
        <v>{hp,42120}</v>
      </c>
      <c r="J555" t="str">
        <f t="shared" si="107"/>
        <v>{atk,230}</v>
      </c>
      <c r="K555" t="str">
        <f t="shared" si="108"/>
        <v>{spd,8500}</v>
      </c>
      <c r="L555" t="str">
        <f t="shared" si="98"/>
        <v/>
      </c>
      <c r="O555" t="str">
        <f t="shared" si="99"/>
        <v>[{cd,3000},{hp,42120},{atk,230},{spd,8500}]</v>
      </c>
    </row>
    <row r="556" spans="1:15">
      <c r="A556">
        <f>Sheet1!E558</f>
        <v>105</v>
      </c>
      <c r="B556">
        <f t="shared" si="100"/>
        <v>111</v>
      </c>
      <c r="C556">
        <v>3000</v>
      </c>
      <c r="D556">
        <f>VLOOKUP(B556,[1]怪物!$N$34:$T$233,4,0)</f>
        <v>52650</v>
      </c>
      <c r="E556">
        <f>VLOOKUP(B556,[2]怪物!$N$134:$T$233,7,0)</f>
        <v>288</v>
      </c>
      <c r="F556" s="1">
        <f t="shared" si="97"/>
        <v>8500</v>
      </c>
      <c r="H556" t="str">
        <f t="shared" si="105"/>
        <v>{cd,3000}</v>
      </c>
      <c r="I556" t="str">
        <f t="shared" si="106"/>
        <v>{hp,52650}</v>
      </c>
      <c r="J556" t="str">
        <f t="shared" si="107"/>
        <v>{atk,288}</v>
      </c>
      <c r="K556" t="str">
        <f t="shared" si="108"/>
        <v>{spd,8500}</v>
      </c>
      <c r="L556" t="str">
        <f t="shared" si="98"/>
        <v/>
      </c>
      <c r="O556" t="str">
        <f t="shared" si="99"/>
        <v>[{cd,3000},{hp,52650},{atk,288},{spd,8500}]</v>
      </c>
    </row>
    <row r="557" spans="1:15">
      <c r="A557">
        <f>Sheet1!E559</f>
        <v>103</v>
      </c>
      <c r="B557">
        <f t="shared" si="100"/>
        <v>111</v>
      </c>
      <c r="C557">
        <v>3000</v>
      </c>
      <c r="D557">
        <f>VLOOKUP(B557,[1]怪物!$U$34:$Y$234,2,0)</f>
        <v>2106000</v>
      </c>
      <c r="E557">
        <f>VLOOKUP(B557,[2]怪物!$U$134:$Y$233,4,0)</f>
        <v>480</v>
      </c>
      <c r="F557" s="1">
        <f t="shared" si="97"/>
        <v>8500</v>
      </c>
      <c r="H557" t="str">
        <f t="shared" si="105"/>
        <v>{cd,3000}</v>
      </c>
      <c r="I557" t="str">
        <f t="shared" si="106"/>
        <v>{hp,2106000}</v>
      </c>
      <c r="J557" t="str">
        <f t="shared" si="107"/>
        <v>{atk,480}</v>
      </c>
      <c r="K557" t="str">
        <f t="shared" si="108"/>
        <v>{spd,8500}</v>
      </c>
      <c r="L557" t="str">
        <f t="shared" si="98"/>
        <v/>
      </c>
      <c r="O557" t="str">
        <f t="shared" si="99"/>
        <v>[{cd,3000},{hp,2106000},{atk,480},{spd,8500}]</v>
      </c>
    </row>
    <row r="558" spans="1:15">
      <c r="A558">
        <f>Sheet1!E560</f>
        <v>103</v>
      </c>
      <c r="B558">
        <f t="shared" si="100"/>
        <v>111</v>
      </c>
      <c r="C558">
        <v>3000</v>
      </c>
      <c r="D558">
        <f>VLOOKUP(B558,[1]怪物!$U$34:$Y$234,3,0)</f>
        <v>2808000</v>
      </c>
      <c r="E558">
        <f>VLOOKUP(B558,[2]怪物!$U$134:$Y$233,5,0)</f>
        <v>960</v>
      </c>
      <c r="F558" s="1">
        <f t="shared" si="97"/>
        <v>8500</v>
      </c>
      <c r="H558" t="str">
        <f t="shared" si="105"/>
        <v>{cd,3000}</v>
      </c>
      <c r="I558" t="str">
        <f t="shared" si="106"/>
        <v>{hp,2808000}</v>
      </c>
      <c r="J558" t="str">
        <f t="shared" si="107"/>
        <v>{atk,960}</v>
      </c>
      <c r="K558" t="str">
        <f t="shared" si="108"/>
        <v>{spd,8500}</v>
      </c>
      <c r="L558" t="str">
        <f t="shared" si="98"/>
        <v/>
      </c>
      <c r="O558" t="str">
        <f t="shared" si="99"/>
        <v>[{cd,3000},{hp,2808000},{atk,960},{spd,8500}]</v>
      </c>
    </row>
    <row r="559" spans="1:15">
      <c r="A559">
        <f>Sheet1!E561</f>
        <v>111</v>
      </c>
      <c r="B559">
        <f t="shared" si="100"/>
        <v>112</v>
      </c>
      <c r="C559">
        <v>3000</v>
      </c>
      <c r="D559">
        <f>VLOOKUP(B559,[1]怪物!$N$34:$T$233,2,0)</f>
        <v>35700</v>
      </c>
      <c r="E559">
        <f>VLOOKUP(B559,[2]怪物!$N$134:$T$233,5,0)</f>
        <v>196</v>
      </c>
      <c r="F559" s="1">
        <f t="shared" si="97"/>
        <v>8500</v>
      </c>
      <c r="H559" t="str">
        <f t="shared" si="105"/>
        <v>{cd,3000}</v>
      </c>
      <c r="I559" t="str">
        <f t="shared" si="106"/>
        <v>{hp,35700}</v>
      </c>
      <c r="J559" t="str">
        <f t="shared" si="107"/>
        <v>{atk,196}</v>
      </c>
      <c r="K559" t="str">
        <f t="shared" si="108"/>
        <v>{spd,8500}</v>
      </c>
      <c r="L559" t="str">
        <f t="shared" si="98"/>
        <v/>
      </c>
      <c r="O559" t="str">
        <f t="shared" si="99"/>
        <v>[{cd,3000},{hp,35700},{atk,196},{spd,8500}]</v>
      </c>
    </row>
    <row r="560" spans="1:15">
      <c r="A560">
        <f>Sheet1!E562</f>
        <v>112</v>
      </c>
      <c r="B560">
        <f t="shared" si="100"/>
        <v>112</v>
      </c>
      <c r="C560">
        <v>3000</v>
      </c>
      <c r="D560">
        <f>VLOOKUP(B560,[1]怪物!$N$34:$T$233,3,0)</f>
        <v>42840</v>
      </c>
      <c r="E560">
        <f>VLOOKUP(B560,[2]怪物!$N$134:$T$233,6,0)</f>
        <v>235</v>
      </c>
      <c r="F560" s="1">
        <f t="shared" si="97"/>
        <v>8500</v>
      </c>
      <c r="H560" t="str">
        <f t="shared" si="105"/>
        <v>{cd,3000}</v>
      </c>
      <c r="I560" t="str">
        <f t="shared" si="106"/>
        <v>{hp,42840}</v>
      </c>
      <c r="J560" t="str">
        <f t="shared" si="107"/>
        <v>{atk,235}</v>
      </c>
      <c r="K560" t="str">
        <f t="shared" si="108"/>
        <v>{spd,8500}</v>
      </c>
      <c r="L560" t="str">
        <f t="shared" si="98"/>
        <v/>
      </c>
      <c r="O560" t="str">
        <f t="shared" si="99"/>
        <v>[{cd,3000},{hp,42840},{atk,235},{spd,8500}]</v>
      </c>
    </row>
    <row r="561" spans="1:15">
      <c r="A561">
        <f>Sheet1!E563</f>
        <v>113</v>
      </c>
      <c r="B561">
        <f t="shared" si="100"/>
        <v>112</v>
      </c>
      <c r="C561">
        <v>3000</v>
      </c>
      <c r="D561">
        <f>VLOOKUP(B561,[1]怪物!$N$34:$T$233,4,0)</f>
        <v>53550</v>
      </c>
      <c r="E561">
        <f>VLOOKUP(B561,[2]怪物!$N$134:$T$233,7,0)</f>
        <v>294</v>
      </c>
      <c r="F561" s="1">
        <f t="shared" si="97"/>
        <v>8500</v>
      </c>
      <c r="H561" t="str">
        <f t="shared" si="105"/>
        <v>{cd,3000}</v>
      </c>
      <c r="I561" t="str">
        <f t="shared" si="106"/>
        <v>{hp,53550}</v>
      </c>
      <c r="J561" t="str">
        <f t="shared" si="107"/>
        <v>{atk,294}</v>
      </c>
      <c r="K561" t="str">
        <f t="shared" si="108"/>
        <v>{spd,8500}</v>
      </c>
      <c r="L561" t="str">
        <f t="shared" si="98"/>
        <v/>
      </c>
      <c r="O561" t="str">
        <f t="shared" si="99"/>
        <v>[{cd,3000},{hp,53550},{atk,294},{spd,8500}]</v>
      </c>
    </row>
    <row r="562" spans="1:15">
      <c r="A562">
        <f>Sheet1!E564</f>
        <v>511</v>
      </c>
      <c r="B562">
        <f t="shared" si="100"/>
        <v>112</v>
      </c>
      <c r="C562">
        <v>3000</v>
      </c>
      <c r="D562">
        <f>VLOOKUP(B562,[1]怪物!$U$34:$Y$234,2,0)</f>
        <v>2142000</v>
      </c>
      <c r="E562">
        <f>VLOOKUP(B562,[2]怪物!$U$134:$Y$233,4,0)</f>
        <v>490</v>
      </c>
      <c r="F562" s="1">
        <f t="shared" si="97"/>
        <v>8500</v>
      </c>
      <c r="H562" t="str">
        <f t="shared" si="105"/>
        <v>{cd,3000}</v>
      </c>
      <c r="I562" t="str">
        <f t="shared" si="106"/>
        <v>{hp,2142000}</v>
      </c>
      <c r="J562" t="str">
        <f t="shared" si="107"/>
        <v>{atk,490}</v>
      </c>
      <c r="K562" t="str">
        <f t="shared" si="108"/>
        <v>{spd,8500}</v>
      </c>
      <c r="L562" t="str">
        <f t="shared" si="98"/>
        <v/>
      </c>
      <c r="O562" t="str">
        <f t="shared" si="99"/>
        <v>[{cd,3000},{hp,2142000},{atk,490},{spd,8500}]</v>
      </c>
    </row>
    <row r="563" spans="1:15">
      <c r="A563">
        <f>Sheet1!E565</f>
        <v>511</v>
      </c>
      <c r="B563">
        <f t="shared" si="100"/>
        <v>112</v>
      </c>
      <c r="C563">
        <v>3000</v>
      </c>
      <c r="D563">
        <f>VLOOKUP(B563,[1]怪物!$U$34:$Y$234,3,0)</f>
        <v>2856000</v>
      </c>
      <c r="E563">
        <f>VLOOKUP(B563,[2]怪物!$U$134:$Y$233,5,0)</f>
        <v>980</v>
      </c>
      <c r="F563" s="1">
        <f t="shared" si="97"/>
        <v>8500</v>
      </c>
      <c r="H563" t="str">
        <f t="shared" si="105"/>
        <v>{cd,3000}</v>
      </c>
      <c r="I563" t="str">
        <f t="shared" si="106"/>
        <v>{hp,2856000}</v>
      </c>
      <c r="J563" t="str">
        <f t="shared" si="107"/>
        <v>{atk,980}</v>
      </c>
      <c r="K563" t="str">
        <f t="shared" si="108"/>
        <v>{spd,8500}</v>
      </c>
      <c r="L563" t="str">
        <f t="shared" si="98"/>
        <v/>
      </c>
      <c r="O563" t="str">
        <f t="shared" si="99"/>
        <v>[{cd,3000},{hp,2856000},{atk,980},{spd,8500}]</v>
      </c>
    </row>
    <row r="564" spans="1:15">
      <c r="A564">
        <f>Sheet1!E566</f>
        <v>104</v>
      </c>
      <c r="B564">
        <f t="shared" si="100"/>
        <v>113</v>
      </c>
      <c r="C564">
        <v>3000</v>
      </c>
      <c r="D564">
        <f>VLOOKUP(B564,[1]怪物!$N$34:$T$233,2,0)</f>
        <v>36500</v>
      </c>
      <c r="E564">
        <f>VLOOKUP(B564,[2]怪物!$N$134:$T$233,5,0)</f>
        <v>200</v>
      </c>
      <c r="F564" s="1">
        <f t="shared" si="97"/>
        <v>8500</v>
      </c>
      <c r="H564" t="str">
        <f t="shared" si="105"/>
        <v>{cd,3000}</v>
      </c>
      <c r="I564" t="str">
        <f t="shared" si="106"/>
        <v>{hp,36500}</v>
      </c>
      <c r="J564" t="str">
        <f t="shared" si="107"/>
        <v>{atk,200}</v>
      </c>
      <c r="K564" t="str">
        <f t="shared" si="108"/>
        <v>{spd,8500}</v>
      </c>
      <c r="L564" t="str">
        <f t="shared" si="98"/>
        <v/>
      </c>
      <c r="O564" t="str">
        <f t="shared" si="99"/>
        <v>[{cd,3000},{hp,36500},{atk,200},{spd,8500}]</v>
      </c>
    </row>
    <row r="565" spans="1:15">
      <c r="A565">
        <f>Sheet1!E567</f>
        <v>106</v>
      </c>
      <c r="B565">
        <f t="shared" si="100"/>
        <v>113</v>
      </c>
      <c r="C565">
        <v>3000</v>
      </c>
      <c r="D565">
        <f>VLOOKUP(B565,[1]怪物!$N$34:$T$233,3,0)</f>
        <v>43800</v>
      </c>
      <c r="E565">
        <f>VLOOKUP(B565,[2]怪物!$N$134:$T$233,6,0)</f>
        <v>240</v>
      </c>
      <c r="F565" s="1">
        <f t="shared" si="97"/>
        <v>8500</v>
      </c>
      <c r="H565" t="str">
        <f t="shared" si="105"/>
        <v>{cd,3000}</v>
      </c>
      <c r="I565" t="str">
        <f t="shared" si="106"/>
        <v>{hp,43800}</v>
      </c>
      <c r="J565" t="str">
        <f t="shared" si="107"/>
        <v>{atk,240}</v>
      </c>
      <c r="K565" t="str">
        <f t="shared" si="108"/>
        <v>{spd,8500}</v>
      </c>
      <c r="L565" t="str">
        <f t="shared" si="98"/>
        <v/>
      </c>
      <c r="O565" t="str">
        <f t="shared" si="99"/>
        <v>[{cd,3000},{hp,43800},{atk,240},{spd,8500}]</v>
      </c>
    </row>
    <row r="566" spans="1:15">
      <c r="A566">
        <f>Sheet1!E568</f>
        <v>118</v>
      </c>
      <c r="B566">
        <f t="shared" si="100"/>
        <v>113</v>
      </c>
      <c r="C566">
        <v>3000</v>
      </c>
      <c r="D566">
        <f>VLOOKUP(B566,[1]怪物!$N$34:$T$233,4,0)</f>
        <v>54750</v>
      </c>
      <c r="E566">
        <f>VLOOKUP(B566,[2]怪物!$N$134:$T$233,7,0)</f>
        <v>300</v>
      </c>
      <c r="F566" s="1">
        <f t="shared" si="97"/>
        <v>8500</v>
      </c>
      <c r="H566" t="str">
        <f t="shared" si="105"/>
        <v>{cd,3000}</v>
      </c>
      <c r="I566" t="str">
        <f t="shared" si="106"/>
        <v>{hp,54750}</v>
      </c>
      <c r="J566" t="str">
        <f t="shared" si="107"/>
        <v>{atk,300}</v>
      </c>
      <c r="K566" t="str">
        <f t="shared" si="108"/>
        <v>{spd,8500}</v>
      </c>
      <c r="L566" t="str">
        <f t="shared" si="98"/>
        <v/>
      </c>
      <c r="O566" t="str">
        <f t="shared" si="99"/>
        <v>[{cd,3000},{hp,54750},{atk,300},{spd,8500}]</v>
      </c>
    </row>
    <row r="567" spans="1:15">
      <c r="A567">
        <f>Sheet1!E569</f>
        <v>119</v>
      </c>
      <c r="B567">
        <f t="shared" si="100"/>
        <v>113</v>
      </c>
      <c r="C567">
        <v>3000</v>
      </c>
      <c r="D567">
        <f>VLOOKUP(B567,[1]怪物!$U$34:$Y$234,2,0)</f>
        <v>2190000</v>
      </c>
      <c r="E567">
        <f>VLOOKUP(B567,[2]怪物!$U$134:$Y$233,4,0)</f>
        <v>500</v>
      </c>
      <c r="F567" s="1">
        <f t="shared" si="97"/>
        <v>8500</v>
      </c>
      <c r="H567" t="str">
        <f t="shared" si="105"/>
        <v>{cd,3000}</v>
      </c>
      <c r="I567" t="str">
        <f t="shared" si="106"/>
        <v>{hp,2190000}</v>
      </c>
      <c r="J567" t="str">
        <f t="shared" si="107"/>
        <v>{atk,500}</v>
      </c>
      <c r="K567" t="str">
        <f t="shared" si="108"/>
        <v>{spd,8500}</v>
      </c>
      <c r="L567" t="str">
        <f t="shared" si="98"/>
        <v>{downUnderMagicAtk,5000}</v>
      </c>
      <c r="O567" t="str">
        <f t="shared" si="99"/>
        <v>[{cd,3000},{hp,2190000},{atk,500},{spd,8500},{downUnderMagicAtk,5000}]</v>
      </c>
    </row>
    <row r="568" spans="1:15">
      <c r="A568">
        <f>Sheet1!E570</f>
        <v>119</v>
      </c>
      <c r="B568">
        <f t="shared" si="100"/>
        <v>113</v>
      </c>
      <c r="C568">
        <v>3000</v>
      </c>
      <c r="D568">
        <f>VLOOKUP(B568,[1]怪物!$U$34:$Y$234,3,0)</f>
        <v>2920000</v>
      </c>
      <c r="E568">
        <f>VLOOKUP(B568,[2]怪物!$U$134:$Y$233,5,0)</f>
        <v>1000</v>
      </c>
      <c r="F568" s="1">
        <f t="shared" si="97"/>
        <v>8500</v>
      </c>
      <c r="H568" t="str">
        <f t="shared" si="105"/>
        <v>{cd,3000}</v>
      </c>
      <c r="I568" t="str">
        <f t="shared" si="106"/>
        <v>{hp,2920000}</v>
      </c>
      <c r="J568" t="str">
        <f t="shared" si="107"/>
        <v>{atk,1000}</v>
      </c>
      <c r="K568" t="str">
        <f t="shared" si="108"/>
        <v>{spd,8500}</v>
      </c>
      <c r="L568" t="str">
        <f t="shared" si="98"/>
        <v>{downUnderMagicAtk,5000}</v>
      </c>
      <c r="O568" t="str">
        <f t="shared" si="99"/>
        <v>[{cd,3000},{hp,2920000},{atk,1000},{spd,8500},{downUnderMagicAtk,5000}]</v>
      </c>
    </row>
    <row r="569" spans="1:15">
      <c r="A569">
        <f>Sheet1!E571</f>
        <v>100</v>
      </c>
      <c r="B569">
        <f t="shared" si="100"/>
        <v>114</v>
      </c>
      <c r="C569">
        <v>3000</v>
      </c>
      <c r="D569">
        <f>VLOOKUP(B569,[1]怪物!$N$34:$T$233,2,0)</f>
        <v>38400</v>
      </c>
      <c r="E569">
        <f>VLOOKUP(B569,[2]怪物!$N$134:$T$233,5,0)</f>
        <v>240</v>
      </c>
      <c r="F569" s="1">
        <f t="shared" si="97"/>
        <v>8500</v>
      </c>
      <c r="H569" t="str">
        <f t="shared" si="105"/>
        <v>{cd,3000}</v>
      </c>
      <c r="I569" t="str">
        <f t="shared" si="106"/>
        <v>{hp,38400}</v>
      </c>
      <c r="J569" t="str">
        <f t="shared" si="107"/>
        <v>{atk,240}</v>
      </c>
      <c r="K569" t="str">
        <f t="shared" si="108"/>
        <v>{spd,8500}</v>
      </c>
      <c r="L569" t="str">
        <f t="shared" si="98"/>
        <v/>
      </c>
      <c r="O569" t="str">
        <f t="shared" si="99"/>
        <v>[{cd,3000},{hp,38400},{atk,240},{spd,8500}]</v>
      </c>
    </row>
    <row r="570" spans="1:15">
      <c r="A570">
        <f>Sheet1!E572</f>
        <v>102</v>
      </c>
      <c r="B570">
        <f t="shared" si="100"/>
        <v>114</v>
      </c>
      <c r="C570">
        <v>3000</v>
      </c>
      <c r="D570">
        <f>VLOOKUP(B570,[1]怪物!$N$34:$T$233,3,0)</f>
        <v>46080</v>
      </c>
      <c r="E570">
        <f>VLOOKUP(B570,[2]怪物!$N$134:$T$233,6,0)</f>
        <v>288</v>
      </c>
      <c r="F570" s="1">
        <f t="shared" si="97"/>
        <v>8500</v>
      </c>
      <c r="H570" t="str">
        <f t="shared" si="105"/>
        <v>{cd,3000}</v>
      </c>
      <c r="I570" t="str">
        <f t="shared" si="106"/>
        <v>{hp,46080}</v>
      </c>
      <c r="J570" t="str">
        <f t="shared" si="107"/>
        <v>{atk,288}</v>
      </c>
      <c r="K570" t="str">
        <f t="shared" si="108"/>
        <v>{spd,8500}</v>
      </c>
      <c r="L570" t="str">
        <f t="shared" si="98"/>
        <v/>
      </c>
      <c r="O570" t="str">
        <f t="shared" si="99"/>
        <v>[{cd,3000},{hp,46080},{atk,288},{spd,8500}]</v>
      </c>
    </row>
    <row r="571" spans="1:15">
      <c r="A571">
        <f>Sheet1!E573</f>
        <v>105</v>
      </c>
      <c r="B571">
        <f t="shared" si="100"/>
        <v>114</v>
      </c>
      <c r="C571">
        <v>3000</v>
      </c>
      <c r="D571">
        <f>VLOOKUP(B571,[1]怪物!$N$34:$T$233,4,0)</f>
        <v>57600</v>
      </c>
      <c r="E571">
        <f>VLOOKUP(B571,[2]怪物!$N$134:$T$233,7,0)</f>
        <v>360</v>
      </c>
      <c r="F571" s="1">
        <f t="shared" si="97"/>
        <v>8500</v>
      </c>
      <c r="H571" t="str">
        <f t="shared" si="105"/>
        <v>{cd,3000}</v>
      </c>
      <c r="I571" t="str">
        <f t="shared" si="106"/>
        <v>{hp,57600}</v>
      </c>
      <c r="J571" t="str">
        <f t="shared" si="107"/>
        <v>{atk,360}</v>
      </c>
      <c r="K571" t="str">
        <f t="shared" si="108"/>
        <v>{spd,8500}</v>
      </c>
      <c r="L571" t="str">
        <f t="shared" si="98"/>
        <v/>
      </c>
      <c r="O571" t="str">
        <f t="shared" si="99"/>
        <v>[{cd,3000},{hp,57600},{atk,360},{spd,8500}]</v>
      </c>
    </row>
    <row r="572" spans="1:15">
      <c r="A572">
        <f>Sheet1!E574</f>
        <v>502</v>
      </c>
      <c r="B572">
        <f t="shared" si="100"/>
        <v>114</v>
      </c>
      <c r="C572">
        <v>3000</v>
      </c>
      <c r="D572">
        <f>VLOOKUP(B572,[1]怪物!$U$34:$Y$234,2,0)</f>
        <v>2304000</v>
      </c>
      <c r="E572">
        <f>VLOOKUP(B572,[2]怪物!$U$134:$Y$233,4,0)</f>
        <v>600</v>
      </c>
      <c r="F572" s="1">
        <f t="shared" si="97"/>
        <v>8500</v>
      </c>
      <c r="H572" t="str">
        <f t="shared" si="105"/>
        <v>{cd,3000}</v>
      </c>
      <c r="I572" t="str">
        <f t="shared" si="106"/>
        <v>{hp,2304000}</v>
      </c>
      <c r="J572" t="str">
        <f t="shared" si="107"/>
        <v>{atk,600}</v>
      </c>
      <c r="K572" t="str">
        <f t="shared" si="108"/>
        <v>{spd,8500}</v>
      </c>
      <c r="L572" t="str">
        <f t="shared" si="98"/>
        <v/>
      </c>
      <c r="O572" t="str">
        <f t="shared" si="99"/>
        <v>[{cd,3000},{hp,2304000},{atk,600},{spd,8500}]</v>
      </c>
    </row>
    <row r="573" spans="1:15">
      <c r="A573">
        <f>Sheet1!E575</f>
        <v>500</v>
      </c>
      <c r="B573">
        <f t="shared" si="100"/>
        <v>114</v>
      </c>
      <c r="C573">
        <v>3000</v>
      </c>
      <c r="D573">
        <f>VLOOKUP(B573,[1]怪物!$U$34:$Y$234,3,0)</f>
        <v>3072000</v>
      </c>
      <c r="E573">
        <f>VLOOKUP(B573,[2]怪物!$U$134:$Y$233,5,0)</f>
        <v>1200</v>
      </c>
      <c r="F573" s="1">
        <f t="shared" si="97"/>
        <v>8500</v>
      </c>
      <c r="H573" t="str">
        <f t="shared" si="105"/>
        <v>{cd,3000}</v>
      </c>
      <c r="I573" t="str">
        <f t="shared" si="106"/>
        <v>{hp,3072000}</v>
      </c>
      <c r="J573" t="str">
        <f t="shared" si="107"/>
        <v>{atk,1200}</v>
      </c>
      <c r="K573" t="str">
        <f t="shared" si="108"/>
        <v>{spd,8500}</v>
      </c>
      <c r="L573" t="str">
        <f t="shared" si="98"/>
        <v/>
      </c>
      <c r="O573" t="str">
        <f t="shared" si="99"/>
        <v>[{cd,3000},{hp,3072000},{atk,1200},{spd,8500}]</v>
      </c>
    </row>
    <row r="574" spans="1:15">
      <c r="A574">
        <f>Sheet1!E576</f>
        <v>117</v>
      </c>
      <c r="B574">
        <f t="shared" si="100"/>
        <v>115</v>
      </c>
      <c r="C574">
        <v>3000</v>
      </c>
      <c r="D574">
        <f>VLOOKUP(B574,[1]怪物!$N$34:$T$233,2,0)</f>
        <v>36900</v>
      </c>
      <c r="E574">
        <f>VLOOKUP(B574,[2]怪物!$N$134:$T$233,5,0)</f>
        <v>204</v>
      </c>
      <c r="F574" s="1">
        <f t="shared" si="97"/>
        <v>8500</v>
      </c>
      <c r="H574" t="str">
        <f t="shared" si="105"/>
        <v>{cd,3000}</v>
      </c>
      <c r="I574" t="str">
        <f t="shared" si="106"/>
        <v>{hp,36900}</v>
      </c>
      <c r="J574" t="str">
        <f t="shared" si="107"/>
        <v>{atk,204}</v>
      </c>
      <c r="K574" t="str">
        <f t="shared" si="108"/>
        <v>{spd,8500}</v>
      </c>
      <c r="L574" t="str">
        <f t="shared" si="98"/>
        <v>{downUnderPhAtk,5000}</v>
      </c>
      <c r="O574" t="str">
        <f t="shared" si="99"/>
        <v>[{cd,3000},{hp,36900},{atk,204},{spd,8500},{downUnderPhAtk,5000}]</v>
      </c>
    </row>
    <row r="575" spans="1:15">
      <c r="A575">
        <f>Sheet1!E577</f>
        <v>116</v>
      </c>
      <c r="B575">
        <f t="shared" si="100"/>
        <v>115</v>
      </c>
      <c r="C575">
        <v>3000</v>
      </c>
      <c r="D575">
        <f>VLOOKUP(B575,[1]怪物!$N$34:$T$233,3,0)</f>
        <v>44280</v>
      </c>
      <c r="E575">
        <f>VLOOKUP(B575,[2]怪物!$N$134:$T$233,6,0)</f>
        <v>245</v>
      </c>
      <c r="F575" s="1">
        <f t="shared" si="97"/>
        <v>20000</v>
      </c>
      <c r="H575" t="str">
        <f t="shared" si="105"/>
        <v>{cd,3000}</v>
      </c>
      <c r="I575" t="str">
        <f t="shared" si="106"/>
        <v>{hp,44280}</v>
      </c>
      <c r="J575" t="str">
        <f t="shared" si="107"/>
        <v>{atk,245}</v>
      </c>
      <c r="K575" t="str">
        <f t="shared" si="108"/>
        <v>{spd,20000}</v>
      </c>
      <c r="L575" t="str">
        <f t="shared" si="98"/>
        <v/>
      </c>
      <c r="O575" t="str">
        <f t="shared" si="99"/>
        <v>[{cd,3000},{hp,44280},{atk,245},{spd,20000}]</v>
      </c>
    </row>
    <row r="576" spans="1:15">
      <c r="A576">
        <f>Sheet1!E578</f>
        <v>112</v>
      </c>
      <c r="B576">
        <f t="shared" si="100"/>
        <v>115</v>
      </c>
      <c r="C576">
        <v>3000</v>
      </c>
      <c r="D576">
        <f>VLOOKUP(B576,[1]怪物!$N$34:$T$233,4,0)</f>
        <v>55350</v>
      </c>
      <c r="E576">
        <f>VLOOKUP(B576,[2]怪物!$N$134:$T$233,7,0)</f>
        <v>306</v>
      </c>
      <c r="F576" s="1">
        <f t="shared" si="97"/>
        <v>8500</v>
      </c>
      <c r="H576" t="str">
        <f t="shared" si="105"/>
        <v>{cd,3000}</v>
      </c>
      <c r="I576" t="str">
        <f t="shared" si="106"/>
        <v>{hp,55350}</v>
      </c>
      <c r="J576" t="str">
        <f t="shared" si="107"/>
        <v>{atk,306}</v>
      </c>
      <c r="K576" t="str">
        <f t="shared" si="108"/>
        <v>{spd,8500}</v>
      </c>
      <c r="L576" t="str">
        <f t="shared" si="98"/>
        <v/>
      </c>
      <c r="O576" t="str">
        <f t="shared" si="99"/>
        <v>[{cd,3000},{hp,55350},{atk,306},{spd,8500}]</v>
      </c>
    </row>
    <row r="577" spans="1:15">
      <c r="A577">
        <f>Sheet1!E579</f>
        <v>117</v>
      </c>
      <c r="B577">
        <f t="shared" si="100"/>
        <v>115</v>
      </c>
      <c r="C577">
        <v>3000</v>
      </c>
      <c r="D577">
        <f>VLOOKUP(B577,[1]怪物!$U$34:$Y$234,2,0)</f>
        <v>2214000</v>
      </c>
      <c r="E577">
        <f>VLOOKUP(B577,[2]怪物!$U$134:$Y$233,4,0)</f>
        <v>510</v>
      </c>
      <c r="F577" s="1">
        <f t="shared" si="97"/>
        <v>8500</v>
      </c>
      <c r="H577" t="str">
        <f t="shared" si="105"/>
        <v>{cd,3000}</v>
      </c>
      <c r="I577" t="str">
        <f t="shared" si="106"/>
        <v>{hp,2214000}</v>
      </c>
      <c r="J577" t="str">
        <f t="shared" si="107"/>
        <v>{atk,510}</v>
      </c>
      <c r="K577" t="str">
        <f t="shared" si="108"/>
        <v>{spd,8500}</v>
      </c>
      <c r="L577" t="str">
        <f t="shared" si="98"/>
        <v>{downUnderPhAtk,5000}</v>
      </c>
      <c r="O577" t="str">
        <f t="shared" si="99"/>
        <v>[{cd,3000},{hp,2214000},{atk,510},{spd,8500},{downUnderPhAtk,5000}]</v>
      </c>
    </row>
    <row r="578" spans="1:15">
      <c r="A578">
        <f>Sheet1!E580</f>
        <v>117</v>
      </c>
      <c r="B578">
        <f t="shared" si="100"/>
        <v>115</v>
      </c>
      <c r="C578">
        <v>3000</v>
      </c>
      <c r="D578">
        <f>VLOOKUP(B578,[1]怪物!$U$34:$Y$234,3,0)</f>
        <v>2952000</v>
      </c>
      <c r="E578">
        <f>VLOOKUP(B578,[2]怪物!$U$134:$Y$233,5,0)</f>
        <v>1020</v>
      </c>
      <c r="F578" s="1">
        <f t="shared" si="97"/>
        <v>8500</v>
      </c>
      <c r="H578" t="str">
        <f t="shared" si="105"/>
        <v>{cd,3000}</v>
      </c>
      <c r="I578" t="str">
        <f t="shared" si="106"/>
        <v>{hp,2952000}</v>
      </c>
      <c r="J578" t="str">
        <f t="shared" si="107"/>
        <v>{atk,1020}</v>
      </c>
      <c r="K578" t="str">
        <f t="shared" si="108"/>
        <v>{spd,8500}</v>
      </c>
      <c r="L578" t="str">
        <f t="shared" si="98"/>
        <v>{downUnderPhAtk,5000}</v>
      </c>
      <c r="O578" t="str">
        <f t="shared" si="99"/>
        <v>[{cd,3000},{hp,2952000},{atk,1020},{spd,8500},{downUnderPhAtk,5000}]</v>
      </c>
    </row>
    <row r="579" spans="1:15">
      <c r="A579">
        <f>Sheet1!E581</f>
        <v>104</v>
      </c>
      <c r="B579">
        <f t="shared" si="100"/>
        <v>116</v>
      </c>
      <c r="C579">
        <v>3000</v>
      </c>
      <c r="D579">
        <f>VLOOKUP(B579,[1]怪物!$N$34:$T$233,2,0)</f>
        <v>37500</v>
      </c>
      <c r="E579">
        <f>VLOOKUP(B579,[2]怪物!$N$134:$T$233,5,0)</f>
        <v>208</v>
      </c>
      <c r="F579" s="1">
        <f t="shared" si="97"/>
        <v>8500</v>
      </c>
      <c r="H579" t="str">
        <f t="shared" si="105"/>
        <v>{cd,3000}</v>
      </c>
      <c r="I579" t="str">
        <f t="shared" si="106"/>
        <v>{hp,37500}</v>
      </c>
      <c r="J579" t="str">
        <f t="shared" si="107"/>
        <v>{atk,208}</v>
      </c>
      <c r="K579" t="str">
        <f t="shared" si="108"/>
        <v>{spd,8500}</v>
      </c>
      <c r="L579" t="str">
        <f t="shared" si="98"/>
        <v/>
      </c>
      <c r="O579" t="str">
        <f t="shared" si="99"/>
        <v>[{cd,3000},{hp,37500},{atk,208},{spd,8500}]</v>
      </c>
    </row>
    <row r="580" spans="1:15">
      <c r="A580">
        <f>Sheet1!E582</f>
        <v>119</v>
      </c>
      <c r="B580">
        <f t="shared" si="100"/>
        <v>116</v>
      </c>
      <c r="C580">
        <v>3000</v>
      </c>
      <c r="D580">
        <f>VLOOKUP(B580,[1]怪物!$N$34:$T$233,3,0)</f>
        <v>45000</v>
      </c>
      <c r="E580">
        <f>VLOOKUP(B580,[2]怪物!$N$134:$T$233,6,0)</f>
        <v>250</v>
      </c>
      <c r="F580" s="1">
        <f t="shared" si="97"/>
        <v>8500</v>
      </c>
      <c r="H580" t="str">
        <f t="shared" si="105"/>
        <v>{cd,3000}</v>
      </c>
      <c r="I580" t="str">
        <f t="shared" si="106"/>
        <v>{hp,45000}</v>
      </c>
      <c r="J580" t="str">
        <f t="shared" si="107"/>
        <v>{atk,250}</v>
      </c>
      <c r="K580" t="str">
        <f t="shared" si="108"/>
        <v>{spd,8500}</v>
      </c>
      <c r="L580" t="str">
        <f t="shared" si="98"/>
        <v>{downUnderMagicAtk,5000}</v>
      </c>
      <c r="O580" t="str">
        <f t="shared" si="99"/>
        <v>[{cd,3000},{hp,45000},{atk,250},{spd,8500},{downUnderMagicAtk,5000}]</v>
      </c>
    </row>
    <row r="581" spans="1:15">
      <c r="A581">
        <f>Sheet1!E583</f>
        <v>118</v>
      </c>
      <c r="B581">
        <f t="shared" si="100"/>
        <v>116</v>
      </c>
      <c r="C581">
        <v>3000</v>
      </c>
      <c r="D581">
        <f>VLOOKUP(B581,[1]怪物!$N$34:$T$233,4,0)</f>
        <v>56250</v>
      </c>
      <c r="E581">
        <f>VLOOKUP(B581,[2]怪物!$N$134:$T$233,7,0)</f>
        <v>312</v>
      </c>
      <c r="F581" s="1">
        <f t="shared" ref="F581:F644" si="109">VLOOKUP(A581,$W:$AB,6,0)</f>
        <v>8500</v>
      </c>
      <c r="H581" t="str">
        <f t="shared" si="105"/>
        <v>{cd,3000}</v>
      </c>
      <c r="I581" t="str">
        <f t="shared" si="106"/>
        <v>{hp,56250}</v>
      </c>
      <c r="J581" t="str">
        <f t="shared" si="107"/>
        <v>{atk,312}</v>
      </c>
      <c r="K581" t="str">
        <f t="shared" si="108"/>
        <v>{spd,8500}</v>
      </c>
      <c r="L581" t="str">
        <f t="shared" ref="L581:L644" si="110">IF(VLOOKUP(A581,$W:$AC,7,0)=0,"",VLOOKUP(A581,$W:$AC,7,0))</f>
        <v/>
      </c>
      <c r="O581" t="str">
        <f t="shared" ref="O581:O644" si="111">"["&amp;_xlfn.TEXTJOIN(",",1,H581:M581)&amp;"]"</f>
        <v>[{cd,3000},{hp,56250},{atk,312},{spd,8500}]</v>
      </c>
    </row>
    <row r="582" spans="1:15">
      <c r="A582">
        <f>Sheet1!E584</f>
        <v>119</v>
      </c>
      <c r="B582">
        <f t="shared" si="100"/>
        <v>116</v>
      </c>
      <c r="C582">
        <v>3000</v>
      </c>
      <c r="D582">
        <f>VLOOKUP(B582,[1]怪物!$U$34:$Y$234,2,0)</f>
        <v>2250000</v>
      </c>
      <c r="E582">
        <f>VLOOKUP(B582,[2]怪物!$U$134:$Y$233,4,0)</f>
        <v>520</v>
      </c>
      <c r="F582" s="1">
        <f t="shared" si="109"/>
        <v>8500</v>
      </c>
      <c r="H582" t="str">
        <f t="shared" si="105"/>
        <v>{cd,3000}</v>
      </c>
      <c r="I582" t="str">
        <f t="shared" si="106"/>
        <v>{hp,2250000}</v>
      </c>
      <c r="J582" t="str">
        <f t="shared" si="107"/>
        <v>{atk,520}</v>
      </c>
      <c r="K582" t="str">
        <f t="shared" si="108"/>
        <v>{spd,8500}</v>
      </c>
      <c r="L582" t="str">
        <f t="shared" si="110"/>
        <v>{downUnderMagicAtk,5000}</v>
      </c>
      <c r="O582" t="str">
        <f t="shared" si="111"/>
        <v>[{cd,3000},{hp,2250000},{atk,520},{spd,8500},{downUnderMagicAtk,5000}]</v>
      </c>
    </row>
    <row r="583" spans="1:15">
      <c r="A583">
        <f>Sheet1!E585</f>
        <v>119</v>
      </c>
      <c r="B583">
        <f t="shared" si="100"/>
        <v>116</v>
      </c>
      <c r="C583">
        <v>3000</v>
      </c>
      <c r="D583">
        <f>VLOOKUP(B583,[1]怪物!$U$34:$Y$234,3,0)</f>
        <v>3000000</v>
      </c>
      <c r="E583">
        <f>VLOOKUP(B583,[2]怪物!$U$134:$Y$233,5,0)</f>
        <v>1040</v>
      </c>
      <c r="F583" s="1">
        <f t="shared" si="109"/>
        <v>8500</v>
      </c>
      <c r="H583" t="str">
        <f t="shared" si="105"/>
        <v>{cd,3000}</v>
      </c>
      <c r="I583" t="str">
        <f t="shared" si="106"/>
        <v>{hp,3000000}</v>
      </c>
      <c r="J583" t="str">
        <f t="shared" si="107"/>
        <v>{atk,1040}</v>
      </c>
      <c r="K583" t="str">
        <f t="shared" si="108"/>
        <v>{spd,8500}</v>
      </c>
      <c r="L583" t="str">
        <f t="shared" si="110"/>
        <v>{downUnderMagicAtk,5000}</v>
      </c>
      <c r="O583" t="str">
        <f t="shared" si="111"/>
        <v>[{cd,3000},{hp,3000000},{atk,1040},{spd,8500},{downUnderMagicAtk,5000}]</v>
      </c>
    </row>
    <row r="584" spans="1:15">
      <c r="A584">
        <f>Sheet1!E586</f>
        <v>115</v>
      </c>
      <c r="B584">
        <f t="shared" si="100"/>
        <v>117</v>
      </c>
      <c r="C584">
        <v>3000</v>
      </c>
      <c r="D584">
        <f>VLOOKUP(B584,[1]怪物!$N$34:$T$233,2,0)</f>
        <v>38300</v>
      </c>
      <c r="E584">
        <f>VLOOKUP(B584,[2]怪物!$N$134:$T$233,5,0)</f>
        <v>212</v>
      </c>
      <c r="F584" s="1">
        <f t="shared" si="109"/>
        <v>8500</v>
      </c>
      <c r="H584" t="str">
        <f t="shared" si="105"/>
        <v>{cd,3000}</v>
      </c>
      <c r="I584" t="str">
        <f t="shared" si="106"/>
        <v>{hp,38300}</v>
      </c>
      <c r="J584" t="str">
        <f t="shared" si="107"/>
        <v>{atk,212}</v>
      </c>
      <c r="K584" t="str">
        <f t="shared" si="108"/>
        <v>{spd,8500}</v>
      </c>
      <c r="L584" t="str">
        <f t="shared" si="110"/>
        <v/>
      </c>
      <c r="O584" t="str">
        <f t="shared" si="111"/>
        <v>[{cd,3000},{hp,38300},{atk,212},{spd,8500}]</v>
      </c>
    </row>
    <row r="585" spans="1:15">
      <c r="A585">
        <f>Sheet1!E587</f>
        <v>119</v>
      </c>
      <c r="B585">
        <f t="shared" si="100"/>
        <v>117</v>
      </c>
      <c r="C585">
        <v>3000</v>
      </c>
      <c r="D585">
        <f>VLOOKUP(B585,[1]怪物!$N$34:$T$233,3,0)</f>
        <v>45960</v>
      </c>
      <c r="E585">
        <f>VLOOKUP(B585,[2]怪物!$N$134:$T$233,6,0)</f>
        <v>254</v>
      </c>
      <c r="F585" s="1">
        <f t="shared" si="109"/>
        <v>8500</v>
      </c>
      <c r="H585" t="str">
        <f t="shared" si="105"/>
        <v>{cd,3000}</v>
      </c>
      <c r="I585" t="str">
        <f t="shared" si="106"/>
        <v>{hp,45960}</v>
      </c>
      <c r="J585" t="str">
        <f t="shared" si="107"/>
        <v>{atk,254}</v>
      </c>
      <c r="K585" t="str">
        <f t="shared" si="108"/>
        <v>{spd,8500}</v>
      </c>
      <c r="L585" t="str">
        <f t="shared" si="110"/>
        <v>{downUnderMagicAtk,5000}</v>
      </c>
      <c r="O585" t="str">
        <f t="shared" si="111"/>
        <v>[{cd,3000},{hp,45960},{atk,254},{spd,8500},{downUnderMagicAtk,5000}]</v>
      </c>
    </row>
    <row r="586" spans="1:15">
      <c r="A586">
        <f>Sheet1!E588</f>
        <v>113</v>
      </c>
      <c r="B586">
        <f t="shared" si="100"/>
        <v>117</v>
      </c>
      <c r="C586">
        <v>3000</v>
      </c>
      <c r="D586">
        <f>VLOOKUP(B586,[1]怪物!$N$34:$T$233,4,0)</f>
        <v>57450</v>
      </c>
      <c r="E586">
        <f>VLOOKUP(B586,[2]怪物!$N$134:$T$233,7,0)</f>
        <v>318</v>
      </c>
      <c r="F586" s="1">
        <f t="shared" si="109"/>
        <v>8500</v>
      </c>
      <c r="H586" t="str">
        <f t="shared" si="105"/>
        <v>{cd,3000}</v>
      </c>
      <c r="I586" t="str">
        <f t="shared" si="106"/>
        <v>{hp,57450}</v>
      </c>
      <c r="J586" t="str">
        <f t="shared" si="107"/>
        <v>{atk,318}</v>
      </c>
      <c r="K586" t="str">
        <f t="shared" si="108"/>
        <v>{spd,8500}</v>
      </c>
      <c r="L586" t="str">
        <f t="shared" si="110"/>
        <v/>
      </c>
      <c r="O586" t="str">
        <f t="shared" si="111"/>
        <v>[{cd,3000},{hp,57450},{atk,318},{spd,8500}]</v>
      </c>
    </row>
    <row r="587" spans="1:15">
      <c r="A587">
        <f>Sheet1!E589</f>
        <v>519</v>
      </c>
      <c r="B587">
        <f t="shared" si="100"/>
        <v>117</v>
      </c>
      <c r="C587">
        <v>3000</v>
      </c>
      <c r="D587">
        <f>VLOOKUP(B587,[1]怪物!$U$34:$Y$234,2,0)</f>
        <v>2298000</v>
      </c>
      <c r="E587">
        <f>VLOOKUP(B587,[2]怪物!$U$134:$Y$233,4,0)</f>
        <v>530</v>
      </c>
      <c r="F587" s="1">
        <f t="shared" si="109"/>
        <v>8500</v>
      </c>
      <c r="H587" t="str">
        <f t="shared" si="105"/>
        <v>{cd,3000}</v>
      </c>
      <c r="I587" t="str">
        <f t="shared" si="106"/>
        <v>{hp,2298000}</v>
      </c>
      <c r="J587" t="str">
        <f t="shared" si="107"/>
        <v>{atk,530}</v>
      </c>
      <c r="K587" t="str">
        <f t="shared" si="108"/>
        <v>{spd,8500}</v>
      </c>
      <c r="L587" t="str">
        <f t="shared" si="110"/>
        <v>{downUnderMagicAtk,5000}</v>
      </c>
      <c r="O587" t="str">
        <f t="shared" si="111"/>
        <v>[{cd,3000},{hp,2298000},{atk,530},{spd,8500},{downUnderMagicAtk,5000}]</v>
      </c>
    </row>
    <row r="588" spans="1:15">
      <c r="A588">
        <f>Sheet1!E590</f>
        <v>519</v>
      </c>
      <c r="B588">
        <f t="shared" si="100"/>
        <v>117</v>
      </c>
      <c r="C588">
        <v>3000</v>
      </c>
      <c r="D588">
        <f>VLOOKUP(B588,[1]怪物!$U$34:$Y$234,3,0)</f>
        <v>3064000</v>
      </c>
      <c r="E588">
        <f>VLOOKUP(B588,[2]怪物!$U$134:$Y$233,5,0)</f>
        <v>1060</v>
      </c>
      <c r="F588" s="1">
        <f t="shared" si="109"/>
        <v>8500</v>
      </c>
      <c r="H588" t="str">
        <f t="shared" si="105"/>
        <v>{cd,3000}</v>
      </c>
      <c r="I588" t="str">
        <f t="shared" si="106"/>
        <v>{hp,3064000}</v>
      </c>
      <c r="J588" t="str">
        <f t="shared" si="107"/>
        <v>{atk,1060}</v>
      </c>
      <c r="K588" t="str">
        <f t="shared" si="108"/>
        <v>{spd,8500}</v>
      </c>
      <c r="L588" t="str">
        <f t="shared" si="110"/>
        <v>{downUnderMagicAtk,5000}</v>
      </c>
      <c r="O588" t="str">
        <f t="shared" si="111"/>
        <v>[{cd,3000},{hp,3064000},{atk,1060},{spd,8500},{downUnderMagicAtk,5000}]</v>
      </c>
    </row>
    <row r="589" spans="1:15">
      <c r="A589">
        <f>Sheet1!E591</f>
        <v>119</v>
      </c>
      <c r="B589">
        <f t="shared" si="100"/>
        <v>118</v>
      </c>
      <c r="C589">
        <v>3000</v>
      </c>
      <c r="D589">
        <f>VLOOKUP(B589,[1]怪物!$N$34:$T$233,2,0)</f>
        <v>39500</v>
      </c>
      <c r="E589">
        <f>VLOOKUP(B589,[2]怪物!$N$134:$T$233,5,0)</f>
        <v>216</v>
      </c>
      <c r="F589" s="1">
        <f t="shared" si="109"/>
        <v>8500</v>
      </c>
      <c r="H589" t="str">
        <f t="shared" si="105"/>
        <v>{cd,3000}</v>
      </c>
      <c r="I589" t="str">
        <f t="shared" si="106"/>
        <v>{hp,39500}</v>
      </c>
      <c r="J589" t="str">
        <f t="shared" si="107"/>
        <v>{atk,216}</v>
      </c>
      <c r="K589" t="str">
        <f t="shared" si="108"/>
        <v>{spd,8500}</v>
      </c>
      <c r="L589" t="str">
        <f t="shared" si="110"/>
        <v>{downUnderMagicAtk,5000}</v>
      </c>
      <c r="O589" t="str">
        <f t="shared" si="111"/>
        <v>[{cd,3000},{hp,39500},{atk,216},{spd,8500},{downUnderMagicAtk,5000}]</v>
      </c>
    </row>
    <row r="590" spans="1:15">
      <c r="A590">
        <f>Sheet1!E592</f>
        <v>116</v>
      </c>
      <c r="B590">
        <f t="shared" si="100"/>
        <v>118</v>
      </c>
      <c r="C590">
        <v>3000</v>
      </c>
      <c r="D590">
        <f>VLOOKUP(B590,[1]怪物!$N$34:$T$233,3,0)</f>
        <v>47400</v>
      </c>
      <c r="E590">
        <f>VLOOKUP(B590,[2]怪物!$N$134:$T$233,6,0)</f>
        <v>259</v>
      </c>
      <c r="F590" s="1">
        <f t="shared" si="109"/>
        <v>20000</v>
      </c>
      <c r="H590" t="str">
        <f t="shared" si="105"/>
        <v>{cd,3000}</v>
      </c>
      <c r="I590" t="str">
        <f t="shared" si="106"/>
        <v>{hp,47400}</v>
      </c>
      <c r="J590" t="str">
        <f t="shared" si="107"/>
        <v>{atk,259}</v>
      </c>
      <c r="K590" t="str">
        <f t="shared" si="108"/>
        <v>{spd,20000}</v>
      </c>
      <c r="L590" t="str">
        <f t="shared" si="110"/>
        <v/>
      </c>
      <c r="O590" t="str">
        <f t="shared" si="111"/>
        <v>[{cd,3000},{hp,47400},{atk,259},{spd,20000}]</v>
      </c>
    </row>
    <row r="591" spans="1:15">
      <c r="A591">
        <f>Sheet1!E593</f>
        <v>118</v>
      </c>
      <c r="B591">
        <f t="shared" si="100"/>
        <v>118</v>
      </c>
      <c r="C591">
        <v>3000</v>
      </c>
      <c r="D591">
        <f>VLOOKUP(B591,[1]怪物!$N$34:$T$233,4,0)</f>
        <v>59250</v>
      </c>
      <c r="E591">
        <f>VLOOKUP(B591,[2]怪物!$N$134:$T$233,7,0)</f>
        <v>324</v>
      </c>
      <c r="F591" s="1">
        <f t="shared" si="109"/>
        <v>8500</v>
      </c>
      <c r="H591" t="str">
        <f t="shared" si="105"/>
        <v>{cd,3000}</v>
      </c>
      <c r="I591" t="str">
        <f t="shared" si="106"/>
        <v>{hp,59250}</v>
      </c>
      <c r="J591" t="str">
        <f t="shared" si="107"/>
        <v>{atk,324}</v>
      </c>
      <c r="K591" t="str">
        <f t="shared" si="108"/>
        <v>{spd,8500}</v>
      </c>
      <c r="L591" t="str">
        <f t="shared" si="110"/>
        <v/>
      </c>
      <c r="O591" t="str">
        <f t="shared" si="111"/>
        <v>[{cd,3000},{hp,59250},{atk,324},{spd,8500}]</v>
      </c>
    </row>
    <row r="592" spans="1:15">
      <c r="A592">
        <f>Sheet1!E594</f>
        <v>119</v>
      </c>
      <c r="B592">
        <f t="shared" si="100"/>
        <v>118</v>
      </c>
      <c r="C592">
        <v>3000</v>
      </c>
      <c r="D592">
        <f>VLOOKUP(B592,[1]怪物!$U$34:$Y$234,2,0)</f>
        <v>2370000</v>
      </c>
      <c r="E592">
        <f>VLOOKUP(B592,[2]怪物!$U$134:$Y$233,4,0)</f>
        <v>540</v>
      </c>
      <c r="F592" s="1">
        <f t="shared" si="109"/>
        <v>8500</v>
      </c>
      <c r="H592" t="str">
        <f t="shared" si="105"/>
        <v>{cd,3000}</v>
      </c>
      <c r="I592" t="str">
        <f t="shared" si="106"/>
        <v>{hp,2370000}</v>
      </c>
      <c r="J592" t="str">
        <f t="shared" si="107"/>
        <v>{atk,540}</v>
      </c>
      <c r="K592" t="str">
        <f t="shared" si="108"/>
        <v>{spd,8500}</v>
      </c>
      <c r="L592" t="str">
        <f t="shared" si="110"/>
        <v>{downUnderMagicAtk,5000}</v>
      </c>
      <c r="O592" t="str">
        <f t="shared" si="111"/>
        <v>[{cd,3000},{hp,2370000},{atk,540},{spd,8500},{downUnderMagicAtk,5000}]</v>
      </c>
    </row>
    <row r="593" spans="1:15">
      <c r="A593">
        <f>Sheet1!E595</f>
        <v>119</v>
      </c>
      <c r="B593">
        <f t="shared" ref="B593:B656" si="112">B588+1</f>
        <v>118</v>
      </c>
      <c r="C593">
        <v>3000</v>
      </c>
      <c r="D593">
        <f>VLOOKUP(B593,[1]怪物!$U$34:$Y$234,3,0)</f>
        <v>3160000</v>
      </c>
      <c r="E593">
        <f>VLOOKUP(B593,[2]怪物!$U$134:$Y$233,5,0)</f>
        <v>1080</v>
      </c>
      <c r="F593" s="1">
        <f t="shared" si="109"/>
        <v>8500</v>
      </c>
      <c r="H593" t="str">
        <f t="shared" si="105"/>
        <v>{cd,3000}</v>
      </c>
      <c r="I593" t="str">
        <f t="shared" si="106"/>
        <v>{hp,3160000}</v>
      </c>
      <c r="J593" t="str">
        <f t="shared" si="107"/>
        <v>{atk,1080}</v>
      </c>
      <c r="K593" t="str">
        <f t="shared" si="108"/>
        <v>{spd,8500}</v>
      </c>
      <c r="L593" t="str">
        <f t="shared" si="110"/>
        <v>{downUnderMagicAtk,5000}</v>
      </c>
      <c r="O593" t="str">
        <f t="shared" si="111"/>
        <v>[{cd,3000},{hp,3160000},{atk,1080},{spd,8500},{downUnderMagicAtk,5000}]</v>
      </c>
    </row>
    <row r="594" spans="1:15">
      <c r="A594">
        <f>Sheet1!E596</f>
        <v>111</v>
      </c>
      <c r="B594">
        <f t="shared" si="112"/>
        <v>119</v>
      </c>
      <c r="C594">
        <v>3000</v>
      </c>
      <c r="D594">
        <f>VLOOKUP(B594,[1]怪物!$N$34:$T$233,2,0)</f>
        <v>41100</v>
      </c>
      <c r="E594">
        <f>VLOOKUP(B594,[2]怪物!$N$134:$T$233,5,0)</f>
        <v>220</v>
      </c>
      <c r="F594" s="1">
        <f t="shared" si="109"/>
        <v>8500</v>
      </c>
      <c r="H594" t="str">
        <f t="shared" si="105"/>
        <v>{cd,3000}</v>
      </c>
      <c r="I594" t="str">
        <f t="shared" si="106"/>
        <v>{hp,41100}</v>
      </c>
      <c r="J594" t="str">
        <f t="shared" si="107"/>
        <v>{atk,220}</v>
      </c>
      <c r="K594" t="str">
        <f t="shared" si="108"/>
        <v>{spd,8500}</v>
      </c>
      <c r="L594" t="str">
        <f t="shared" si="110"/>
        <v/>
      </c>
      <c r="O594" t="str">
        <f t="shared" si="111"/>
        <v>[{cd,3000},{hp,41100},{atk,220},{spd,8500}]</v>
      </c>
    </row>
    <row r="595" spans="1:15">
      <c r="A595">
        <f>Sheet1!E597</f>
        <v>112</v>
      </c>
      <c r="B595">
        <f t="shared" si="112"/>
        <v>119</v>
      </c>
      <c r="C595">
        <v>3000</v>
      </c>
      <c r="D595">
        <f>VLOOKUP(B595,[1]怪物!$N$34:$T$233,3,0)</f>
        <v>49320</v>
      </c>
      <c r="E595">
        <f>VLOOKUP(B595,[2]怪物!$N$134:$T$233,6,0)</f>
        <v>264</v>
      </c>
      <c r="F595" s="1">
        <f t="shared" si="109"/>
        <v>8500</v>
      </c>
      <c r="H595" t="str">
        <f t="shared" si="105"/>
        <v>{cd,3000}</v>
      </c>
      <c r="I595" t="str">
        <f t="shared" si="106"/>
        <v>{hp,49320}</v>
      </c>
      <c r="J595" t="str">
        <f t="shared" si="107"/>
        <v>{atk,264}</v>
      </c>
      <c r="K595" t="str">
        <f t="shared" si="108"/>
        <v>{spd,8500}</v>
      </c>
      <c r="L595" t="str">
        <f t="shared" si="110"/>
        <v/>
      </c>
      <c r="O595" t="str">
        <f t="shared" si="111"/>
        <v>[{cd,3000},{hp,49320},{atk,264},{spd,8500}]</v>
      </c>
    </row>
    <row r="596" spans="1:15">
      <c r="A596">
        <f>Sheet1!E598</f>
        <v>113</v>
      </c>
      <c r="B596">
        <f t="shared" si="112"/>
        <v>119</v>
      </c>
      <c r="C596">
        <v>3000</v>
      </c>
      <c r="D596">
        <f>VLOOKUP(B596,[1]怪物!$N$34:$T$233,4,0)</f>
        <v>61650</v>
      </c>
      <c r="E596">
        <f>VLOOKUP(B596,[2]怪物!$N$134:$T$233,7,0)</f>
        <v>330</v>
      </c>
      <c r="F596" s="1">
        <f t="shared" si="109"/>
        <v>8500</v>
      </c>
      <c r="H596" t="str">
        <f t="shared" si="105"/>
        <v>{cd,3000}</v>
      </c>
      <c r="I596" t="str">
        <f t="shared" si="106"/>
        <v>{hp,61650}</v>
      </c>
      <c r="J596" t="str">
        <f t="shared" si="107"/>
        <v>{atk,330}</v>
      </c>
      <c r="K596" t="str">
        <f t="shared" si="108"/>
        <v>{spd,8500}</v>
      </c>
      <c r="L596" t="str">
        <f t="shared" si="110"/>
        <v/>
      </c>
      <c r="O596" t="str">
        <f t="shared" si="111"/>
        <v>[{cd,3000},{hp,61650},{atk,330},{spd,8500}]</v>
      </c>
    </row>
    <row r="597" spans="1:15">
      <c r="A597">
        <f>Sheet1!E599</f>
        <v>511</v>
      </c>
      <c r="B597">
        <f t="shared" si="112"/>
        <v>119</v>
      </c>
      <c r="C597">
        <v>3000</v>
      </c>
      <c r="D597">
        <f>VLOOKUP(B597,[1]怪物!$U$34:$Y$234,2,0)</f>
        <v>2466000</v>
      </c>
      <c r="E597">
        <f>VLOOKUP(B597,[2]怪物!$U$134:$Y$233,4,0)</f>
        <v>550</v>
      </c>
      <c r="F597" s="1">
        <f t="shared" si="109"/>
        <v>8500</v>
      </c>
      <c r="H597" t="str">
        <f t="shared" si="105"/>
        <v>{cd,3000}</v>
      </c>
      <c r="I597" t="str">
        <f t="shared" si="106"/>
        <v>{hp,2466000}</v>
      </c>
      <c r="J597" t="str">
        <f t="shared" si="107"/>
        <v>{atk,550}</v>
      </c>
      <c r="K597" t="str">
        <f t="shared" si="108"/>
        <v>{spd,8500}</v>
      </c>
      <c r="L597" t="str">
        <f t="shared" si="110"/>
        <v/>
      </c>
      <c r="O597" t="str">
        <f t="shared" si="111"/>
        <v>[{cd,3000},{hp,2466000},{atk,550},{spd,8500}]</v>
      </c>
    </row>
    <row r="598" spans="1:15">
      <c r="A598">
        <f>Sheet1!E600</f>
        <v>511</v>
      </c>
      <c r="B598">
        <f t="shared" si="112"/>
        <v>119</v>
      </c>
      <c r="C598">
        <v>3000</v>
      </c>
      <c r="D598">
        <f>VLOOKUP(B598,[1]怪物!$U$34:$Y$234,3,0)</f>
        <v>3288000</v>
      </c>
      <c r="E598">
        <f>VLOOKUP(B598,[2]怪物!$U$134:$Y$233,5,0)</f>
        <v>1100</v>
      </c>
      <c r="F598" s="1">
        <f t="shared" si="109"/>
        <v>8500</v>
      </c>
      <c r="H598" t="str">
        <f t="shared" si="105"/>
        <v>{cd,3000}</v>
      </c>
      <c r="I598" t="str">
        <f t="shared" si="106"/>
        <v>{hp,3288000}</v>
      </c>
      <c r="J598" t="str">
        <f t="shared" si="107"/>
        <v>{atk,1100}</v>
      </c>
      <c r="K598" t="str">
        <f t="shared" si="108"/>
        <v>{spd,8500}</v>
      </c>
      <c r="L598" t="str">
        <f t="shared" si="110"/>
        <v/>
      </c>
      <c r="O598" t="str">
        <f t="shared" si="111"/>
        <v>[{cd,3000},{hp,3288000},{atk,1100},{spd,8500}]</v>
      </c>
    </row>
    <row r="599" spans="1:15">
      <c r="A599">
        <f>Sheet1!E601</f>
        <v>100</v>
      </c>
      <c r="B599">
        <f t="shared" si="112"/>
        <v>120</v>
      </c>
      <c r="C599">
        <v>3000</v>
      </c>
      <c r="D599">
        <f>VLOOKUP(B599,[1]怪物!$N$34:$T$233,2,0)</f>
        <v>42400</v>
      </c>
      <c r="E599">
        <f>VLOOKUP(B599,[2]怪物!$N$134:$T$233,5,0)</f>
        <v>260</v>
      </c>
      <c r="F599" s="1">
        <f t="shared" si="109"/>
        <v>8500</v>
      </c>
      <c r="H599" t="str">
        <f t="shared" si="105"/>
        <v>{cd,3000}</v>
      </c>
      <c r="I599" t="str">
        <f t="shared" si="106"/>
        <v>{hp,42400}</v>
      </c>
      <c r="J599" t="str">
        <f t="shared" si="107"/>
        <v>{atk,260}</v>
      </c>
      <c r="K599" t="str">
        <f t="shared" si="108"/>
        <v>{spd,8500}</v>
      </c>
      <c r="L599" t="str">
        <f t="shared" si="110"/>
        <v/>
      </c>
      <c r="O599" t="str">
        <f t="shared" si="111"/>
        <v>[{cd,3000},{hp,42400},{atk,260},{spd,8500}]</v>
      </c>
    </row>
    <row r="600" spans="1:15">
      <c r="A600">
        <f>Sheet1!E602</f>
        <v>102</v>
      </c>
      <c r="B600">
        <f t="shared" si="112"/>
        <v>120</v>
      </c>
      <c r="C600">
        <v>3000</v>
      </c>
      <c r="D600">
        <f>VLOOKUP(B600,[1]怪物!$N$34:$T$233,3,0)</f>
        <v>50880</v>
      </c>
      <c r="E600">
        <f>VLOOKUP(B600,[2]怪物!$N$134:$T$233,6,0)</f>
        <v>312</v>
      </c>
      <c r="F600" s="1">
        <f t="shared" si="109"/>
        <v>8500</v>
      </c>
      <c r="H600" t="str">
        <f t="shared" si="105"/>
        <v>{cd,3000}</v>
      </c>
      <c r="I600" t="str">
        <f t="shared" si="106"/>
        <v>{hp,50880}</v>
      </c>
      <c r="J600" t="str">
        <f t="shared" si="107"/>
        <v>{atk,312}</v>
      </c>
      <c r="K600" t="str">
        <f t="shared" si="108"/>
        <v>{spd,8500}</v>
      </c>
      <c r="L600" t="str">
        <f t="shared" si="110"/>
        <v/>
      </c>
      <c r="O600" t="str">
        <f t="shared" si="111"/>
        <v>[{cd,3000},{hp,50880},{atk,312},{spd,8500}]</v>
      </c>
    </row>
    <row r="601" spans="1:15">
      <c r="A601">
        <f>Sheet1!E603</f>
        <v>105</v>
      </c>
      <c r="B601">
        <f t="shared" si="112"/>
        <v>120</v>
      </c>
      <c r="C601">
        <v>3000</v>
      </c>
      <c r="D601">
        <f>VLOOKUP(B601,[1]怪物!$N$34:$T$233,4,0)</f>
        <v>63600</v>
      </c>
      <c r="E601">
        <f>VLOOKUP(B601,[2]怪物!$N$134:$T$233,7,0)</f>
        <v>390</v>
      </c>
      <c r="F601" s="1">
        <f t="shared" si="109"/>
        <v>8500</v>
      </c>
      <c r="H601" t="str">
        <f t="shared" si="105"/>
        <v>{cd,3000}</v>
      </c>
      <c r="I601" t="str">
        <f t="shared" si="106"/>
        <v>{hp,63600}</v>
      </c>
      <c r="J601" t="str">
        <f t="shared" si="107"/>
        <v>{atk,390}</v>
      </c>
      <c r="K601" t="str">
        <f t="shared" si="108"/>
        <v>{spd,8500}</v>
      </c>
      <c r="L601" t="str">
        <f t="shared" si="110"/>
        <v/>
      </c>
      <c r="O601" t="str">
        <f t="shared" si="111"/>
        <v>[{cd,3000},{hp,63600},{atk,390},{spd,8500}]</v>
      </c>
    </row>
    <row r="602" spans="1:15">
      <c r="A602">
        <f>Sheet1!E604</f>
        <v>502</v>
      </c>
      <c r="B602">
        <f t="shared" si="112"/>
        <v>120</v>
      </c>
      <c r="C602">
        <v>3000</v>
      </c>
      <c r="D602">
        <f>VLOOKUP(B602,[1]怪物!$U$34:$Y$234,2,0)</f>
        <v>2544000</v>
      </c>
      <c r="E602">
        <f>VLOOKUP(B602,[2]怪物!$U$134:$Y$233,4,0)</f>
        <v>650</v>
      </c>
      <c r="F602" s="1">
        <f t="shared" si="109"/>
        <v>8500</v>
      </c>
      <c r="H602" t="str">
        <f t="shared" si="105"/>
        <v>{cd,3000}</v>
      </c>
      <c r="I602" t="str">
        <f t="shared" si="106"/>
        <v>{hp,2544000}</v>
      </c>
      <c r="J602" t="str">
        <f t="shared" si="107"/>
        <v>{atk,650}</v>
      </c>
      <c r="K602" t="str">
        <f t="shared" si="108"/>
        <v>{spd,8500}</v>
      </c>
      <c r="L602" t="str">
        <f t="shared" si="110"/>
        <v/>
      </c>
      <c r="O602" t="str">
        <f t="shared" si="111"/>
        <v>[{cd,3000},{hp,2544000},{atk,650},{spd,8500}]</v>
      </c>
    </row>
    <row r="603" spans="1:15">
      <c r="A603">
        <f>Sheet1!E605</f>
        <v>500</v>
      </c>
      <c r="B603">
        <f t="shared" si="112"/>
        <v>120</v>
      </c>
      <c r="C603">
        <v>3000</v>
      </c>
      <c r="D603">
        <f>VLOOKUP(B603,[1]怪物!$U$34:$Y$234,3,0)</f>
        <v>3392000</v>
      </c>
      <c r="E603">
        <f>VLOOKUP(B603,[2]怪物!$U$134:$Y$233,5,0)</f>
        <v>1300</v>
      </c>
      <c r="F603" s="1">
        <f t="shared" si="109"/>
        <v>8500</v>
      </c>
      <c r="H603" t="str">
        <f t="shared" si="105"/>
        <v>{cd,3000}</v>
      </c>
      <c r="I603" t="str">
        <f t="shared" si="106"/>
        <v>{hp,3392000}</v>
      </c>
      <c r="J603" t="str">
        <f t="shared" si="107"/>
        <v>{atk,1300}</v>
      </c>
      <c r="K603" t="str">
        <f t="shared" si="108"/>
        <v>{spd,8500}</v>
      </c>
      <c r="L603" t="str">
        <f t="shared" si="110"/>
        <v/>
      </c>
      <c r="O603" t="str">
        <f t="shared" si="111"/>
        <v>[{cd,3000},{hp,3392000},{atk,1300},{spd,8500}]</v>
      </c>
    </row>
    <row r="604" spans="1:15">
      <c r="A604">
        <f>Sheet1!E606</f>
        <v>117</v>
      </c>
      <c r="B604">
        <f t="shared" si="112"/>
        <v>121</v>
      </c>
      <c r="C604">
        <v>3000</v>
      </c>
      <c r="D604">
        <f>VLOOKUP(B604,[1]怪物!$N$34:$T$233,2,0)</f>
        <v>41500</v>
      </c>
      <c r="E604">
        <f>VLOOKUP(B604,[2]怪物!$N$134:$T$233,5,0)</f>
        <v>226</v>
      </c>
      <c r="F604" s="1">
        <f t="shared" si="109"/>
        <v>8500</v>
      </c>
      <c r="H604" t="str">
        <f t="shared" ref="H604:H653" si="113">$C$2&amp;C$3&amp;$D$2&amp;C604&amp;$E$2</f>
        <v>{cd,3000}</v>
      </c>
      <c r="I604" t="str">
        <f t="shared" ref="I604:I653" si="114">$C$2&amp;D$3&amp;$D$2&amp;D604&amp;$E$2</f>
        <v>{hp,41500}</v>
      </c>
      <c r="J604" t="str">
        <f t="shared" ref="J604:J653" si="115">$C$2&amp;E$3&amp;$D$2&amp;E604&amp;$E$2</f>
        <v>{atk,226}</v>
      </c>
      <c r="K604" t="str">
        <f t="shared" ref="K604:K653" si="116">$C$2&amp;F$3&amp;$D$2&amp;F604&amp;$E$2</f>
        <v>{spd,8500}</v>
      </c>
      <c r="L604" t="str">
        <f t="shared" si="110"/>
        <v>{downUnderPhAtk,5000}</v>
      </c>
      <c r="O604" t="str">
        <f t="shared" si="111"/>
        <v>[{cd,3000},{hp,41500},{atk,226},{spd,8500},{downUnderPhAtk,5000}]</v>
      </c>
    </row>
    <row r="605" spans="1:15">
      <c r="A605">
        <f>Sheet1!E607</f>
        <v>116</v>
      </c>
      <c r="B605">
        <f t="shared" si="112"/>
        <v>121</v>
      </c>
      <c r="C605">
        <v>3000</v>
      </c>
      <c r="D605">
        <f>VLOOKUP(B605,[1]怪物!$N$34:$T$233,3,0)</f>
        <v>49800</v>
      </c>
      <c r="E605">
        <f>VLOOKUP(B605,[2]怪物!$N$134:$T$233,6,0)</f>
        <v>271</v>
      </c>
      <c r="F605" s="1">
        <f t="shared" si="109"/>
        <v>20000</v>
      </c>
      <c r="H605" t="str">
        <f t="shared" si="113"/>
        <v>{cd,3000}</v>
      </c>
      <c r="I605" t="str">
        <f t="shared" si="114"/>
        <v>{hp,49800}</v>
      </c>
      <c r="J605" t="str">
        <f t="shared" si="115"/>
        <v>{atk,271}</v>
      </c>
      <c r="K605" t="str">
        <f t="shared" si="116"/>
        <v>{spd,20000}</v>
      </c>
      <c r="L605" t="str">
        <f t="shared" si="110"/>
        <v/>
      </c>
      <c r="O605" t="str">
        <f t="shared" si="111"/>
        <v>[{cd,3000},{hp,49800},{atk,271},{spd,20000}]</v>
      </c>
    </row>
    <row r="606" spans="1:15">
      <c r="A606">
        <f>Sheet1!E608</f>
        <v>112</v>
      </c>
      <c r="B606">
        <f t="shared" si="112"/>
        <v>121</v>
      </c>
      <c r="C606">
        <v>3000</v>
      </c>
      <c r="D606">
        <f>VLOOKUP(B606,[1]怪物!$N$34:$T$233,4,0)</f>
        <v>62250</v>
      </c>
      <c r="E606">
        <f>VLOOKUP(B606,[2]怪物!$N$134:$T$233,7,0)</f>
        <v>339</v>
      </c>
      <c r="F606" s="1">
        <f t="shared" si="109"/>
        <v>8500</v>
      </c>
      <c r="H606" t="str">
        <f t="shared" si="113"/>
        <v>{cd,3000}</v>
      </c>
      <c r="I606" t="str">
        <f t="shared" si="114"/>
        <v>{hp,62250}</v>
      </c>
      <c r="J606" t="str">
        <f t="shared" si="115"/>
        <v>{atk,339}</v>
      </c>
      <c r="K606" t="str">
        <f t="shared" si="116"/>
        <v>{spd,8500}</v>
      </c>
      <c r="L606" t="str">
        <f t="shared" si="110"/>
        <v/>
      </c>
      <c r="O606" t="str">
        <f t="shared" si="111"/>
        <v>[{cd,3000},{hp,62250},{atk,339},{spd,8500}]</v>
      </c>
    </row>
    <row r="607" spans="1:15">
      <c r="A607">
        <f>Sheet1!E609</f>
        <v>117</v>
      </c>
      <c r="B607">
        <f t="shared" si="112"/>
        <v>121</v>
      </c>
      <c r="C607">
        <v>3000</v>
      </c>
      <c r="D607">
        <f>VLOOKUP(B607,[1]怪物!$U$34:$Y$234,2,0)</f>
        <v>2490000</v>
      </c>
      <c r="E607">
        <f>VLOOKUP(B607,[2]怪物!$U$134:$Y$233,4,0)</f>
        <v>565</v>
      </c>
      <c r="F607" s="1">
        <f t="shared" si="109"/>
        <v>8500</v>
      </c>
      <c r="H607" t="str">
        <f t="shared" si="113"/>
        <v>{cd,3000}</v>
      </c>
      <c r="I607" t="str">
        <f t="shared" si="114"/>
        <v>{hp,2490000}</v>
      </c>
      <c r="J607" t="str">
        <f t="shared" si="115"/>
        <v>{atk,565}</v>
      </c>
      <c r="K607" t="str">
        <f t="shared" si="116"/>
        <v>{spd,8500}</v>
      </c>
      <c r="L607" t="str">
        <f t="shared" si="110"/>
        <v>{downUnderPhAtk,5000}</v>
      </c>
      <c r="O607" t="str">
        <f t="shared" si="111"/>
        <v>[{cd,3000},{hp,2490000},{atk,565},{spd,8500},{downUnderPhAtk,5000}]</v>
      </c>
    </row>
    <row r="608" spans="1:15">
      <c r="A608">
        <f>Sheet1!E610</f>
        <v>117</v>
      </c>
      <c r="B608">
        <f t="shared" si="112"/>
        <v>121</v>
      </c>
      <c r="C608">
        <v>3000</v>
      </c>
      <c r="D608">
        <f>VLOOKUP(B608,[1]怪物!$U$34:$Y$234,3,0)</f>
        <v>3320000</v>
      </c>
      <c r="E608">
        <f>VLOOKUP(B608,[2]怪物!$U$134:$Y$233,5,0)</f>
        <v>1130</v>
      </c>
      <c r="F608" s="1">
        <f t="shared" si="109"/>
        <v>8500</v>
      </c>
      <c r="H608" t="str">
        <f t="shared" si="113"/>
        <v>{cd,3000}</v>
      </c>
      <c r="I608" t="str">
        <f t="shared" si="114"/>
        <v>{hp,3320000}</v>
      </c>
      <c r="J608" t="str">
        <f t="shared" si="115"/>
        <v>{atk,1130}</v>
      </c>
      <c r="K608" t="str">
        <f t="shared" si="116"/>
        <v>{spd,8500}</v>
      </c>
      <c r="L608" t="str">
        <f t="shared" si="110"/>
        <v>{downUnderPhAtk,5000}</v>
      </c>
      <c r="O608" t="str">
        <f t="shared" si="111"/>
        <v>[{cd,3000},{hp,3320000},{atk,1130},{spd,8500},{downUnderPhAtk,5000}]</v>
      </c>
    </row>
    <row r="609" spans="1:15">
      <c r="A609">
        <f>Sheet1!E611</f>
        <v>104</v>
      </c>
      <c r="B609">
        <f t="shared" si="112"/>
        <v>122</v>
      </c>
      <c r="C609">
        <v>3000</v>
      </c>
      <c r="D609">
        <f>VLOOKUP(B609,[1]怪物!$N$34:$T$233,2,0)</f>
        <v>42100</v>
      </c>
      <c r="E609">
        <f>VLOOKUP(B609,[2]怪物!$N$134:$T$233,5,0)</f>
        <v>232</v>
      </c>
      <c r="F609" s="1">
        <f t="shared" si="109"/>
        <v>8500</v>
      </c>
      <c r="H609" t="str">
        <f t="shared" si="113"/>
        <v>{cd,3000}</v>
      </c>
      <c r="I609" t="str">
        <f t="shared" si="114"/>
        <v>{hp,42100}</v>
      </c>
      <c r="J609" t="str">
        <f t="shared" si="115"/>
        <v>{atk,232}</v>
      </c>
      <c r="K609" t="str">
        <f t="shared" si="116"/>
        <v>{spd,8500}</v>
      </c>
      <c r="L609" t="str">
        <f t="shared" si="110"/>
        <v/>
      </c>
      <c r="O609" t="str">
        <f t="shared" si="111"/>
        <v>[{cd,3000},{hp,42100},{atk,232},{spd,8500}]</v>
      </c>
    </row>
    <row r="610" spans="1:15">
      <c r="A610">
        <f>Sheet1!E612</f>
        <v>119</v>
      </c>
      <c r="B610">
        <f t="shared" si="112"/>
        <v>122</v>
      </c>
      <c r="C610">
        <v>3000</v>
      </c>
      <c r="D610">
        <f>VLOOKUP(B610,[1]怪物!$N$34:$T$233,3,0)</f>
        <v>50520</v>
      </c>
      <c r="E610">
        <f>VLOOKUP(B610,[2]怪物!$N$134:$T$233,6,0)</f>
        <v>278</v>
      </c>
      <c r="F610" s="1">
        <f t="shared" si="109"/>
        <v>8500</v>
      </c>
      <c r="H610" t="str">
        <f t="shared" si="113"/>
        <v>{cd,3000}</v>
      </c>
      <c r="I610" t="str">
        <f t="shared" si="114"/>
        <v>{hp,50520}</v>
      </c>
      <c r="J610" t="str">
        <f t="shared" si="115"/>
        <v>{atk,278}</v>
      </c>
      <c r="K610" t="str">
        <f t="shared" si="116"/>
        <v>{spd,8500}</v>
      </c>
      <c r="L610" t="str">
        <f t="shared" si="110"/>
        <v>{downUnderMagicAtk,5000}</v>
      </c>
      <c r="O610" t="str">
        <f t="shared" si="111"/>
        <v>[{cd,3000},{hp,50520},{atk,278},{spd,8500},{downUnderMagicAtk,5000}]</v>
      </c>
    </row>
    <row r="611" spans="1:15">
      <c r="A611">
        <f>Sheet1!E613</f>
        <v>118</v>
      </c>
      <c r="B611">
        <f t="shared" si="112"/>
        <v>122</v>
      </c>
      <c r="C611">
        <v>3000</v>
      </c>
      <c r="D611">
        <f>VLOOKUP(B611,[1]怪物!$N$34:$T$233,4,0)</f>
        <v>63150</v>
      </c>
      <c r="E611">
        <f>VLOOKUP(B611,[2]怪物!$N$134:$T$233,7,0)</f>
        <v>348</v>
      </c>
      <c r="F611" s="1">
        <f t="shared" si="109"/>
        <v>8500</v>
      </c>
      <c r="H611" t="str">
        <f t="shared" si="113"/>
        <v>{cd,3000}</v>
      </c>
      <c r="I611" t="str">
        <f t="shared" si="114"/>
        <v>{hp,63150}</v>
      </c>
      <c r="J611" t="str">
        <f t="shared" si="115"/>
        <v>{atk,348}</v>
      </c>
      <c r="K611" t="str">
        <f t="shared" si="116"/>
        <v>{spd,8500}</v>
      </c>
      <c r="L611" t="str">
        <f t="shared" si="110"/>
        <v/>
      </c>
      <c r="O611" t="str">
        <f t="shared" si="111"/>
        <v>[{cd,3000},{hp,63150},{atk,348},{spd,8500}]</v>
      </c>
    </row>
    <row r="612" spans="1:15">
      <c r="A612">
        <f>Sheet1!E614</f>
        <v>119</v>
      </c>
      <c r="B612">
        <f t="shared" si="112"/>
        <v>122</v>
      </c>
      <c r="C612">
        <v>3000</v>
      </c>
      <c r="D612">
        <f>VLOOKUP(B612,[1]怪物!$U$34:$Y$234,2,0)</f>
        <v>2526000</v>
      </c>
      <c r="E612">
        <f>VLOOKUP(B612,[2]怪物!$U$134:$Y$233,4,0)</f>
        <v>580</v>
      </c>
      <c r="F612" s="1">
        <f t="shared" si="109"/>
        <v>8500</v>
      </c>
      <c r="H612" t="str">
        <f t="shared" si="113"/>
        <v>{cd,3000}</v>
      </c>
      <c r="I612" t="str">
        <f t="shared" si="114"/>
        <v>{hp,2526000}</v>
      </c>
      <c r="J612" t="str">
        <f t="shared" si="115"/>
        <v>{atk,580}</v>
      </c>
      <c r="K612" t="str">
        <f t="shared" si="116"/>
        <v>{spd,8500}</v>
      </c>
      <c r="L612" t="str">
        <f t="shared" si="110"/>
        <v>{downUnderMagicAtk,5000}</v>
      </c>
      <c r="O612" t="str">
        <f t="shared" si="111"/>
        <v>[{cd,3000},{hp,2526000},{atk,580},{spd,8500},{downUnderMagicAtk,5000}]</v>
      </c>
    </row>
    <row r="613" spans="1:15">
      <c r="A613">
        <f>Sheet1!E615</f>
        <v>119</v>
      </c>
      <c r="B613">
        <f t="shared" si="112"/>
        <v>122</v>
      </c>
      <c r="C613">
        <v>3000</v>
      </c>
      <c r="D613">
        <f>VLOOKUP(B613,[1]怪物!$U$34:$Y$234,3,0)</f>
        <v>3368000</v>
      </c>
      <c r="E613">
        <f>VLOOKUP(B613,[2]怪物!$U$134:$Y$233,5,0)</f>
        <v>1160</v>
      </c>
      <c r="F613" s="1">
        <f t="shared" si="109"/>
        <v>8500</v>
      </c>
      <c r="H613" t="str">
        <f t="shared" si="113"/>
        <v>{cd,3000}</v>
      </c>
      <c r="I613" t="str">
        <f t="shared" si="114"/>
        <v>{hp,3368000}</v>
      </c>
      <c r="J613" t="str">
        <f t="shared" si="115"/>
        <v>{atk,1160}</v>
      </c>
      <c r="K613" t="str">
        <f t="shared" si="116"/>
        <v>{spd,8500}</v>
      </c>
      <c r="L613" t="str">
        <f t="shared" si="110"/>
        <v>{downUnderMagicAtk,5000}</v>
      </c>
      <c r="O613" t="str">
        <f t="shared" si="111"/>
        <v>[{cd,3000},{hp,3368000},{atk,1160},{spd,8500},{downUnderMagicAtk,5000}]</v>
      </c>
    </row>
    <row r="614" spans="1:15">
      <c r="A614">
        <f>Sheet1!E616</f>
        <v>119</v>
      </c>
      <c r="B614">
        <f t="shared" si="112"/>
        <v>123</v>
      </c>
      <c r="C614">
        <v>3000</v>
      </c>
      <c r="D614">
        <f>VLOOKUP(B614,[1]怪物!$N$34:$T$233,2,0)</f>
        <v>42900</v>
      </c>
      <c r="E614">
        <f>VLOOKUP(B614,[2]怪物!$N$134:$T$233,5,0)</f>
        <v>238</v>
      </c>
      <c r="F614" s="1">
        <f t="shared" si="109"/>
        <v>8500</v>
      </c>
      <c r="H614" t="str">
        <f t="shared" si="113"/>
        <v>{cd,3000}</v>
      </c>
      <c r="I614" t="str">
        <f t="shared" si="114"/>
        <v>{hp,42900}</v>
      </c>
      <c r="J614" t="str">
        <f t="shared" si="115"/>
        <v>{atk,238}</v>
      </c>
      <c r="K614" t="str">
        <f t="shared" si="116"/>
        <v>{spd,8500}</v>
      </c>
      <c r="L614" t="str">
        <f t="shared" si="110"/>
        <v>{downUnderMagicAtk,5000}</v>
      </c>
      <c r="O614" t="str">
        <f t="shared" si="111"/>
        <v>[{cd,3000},{hp,42900},{atk,238},{spd,8500},{downUnderMagicAtk,5000}]</v>
      </c>
    </row>
    <row r="615" spans="1:15">
      <c r="A615">
        <f>Sheet1!E617</f>
        <v>116</v>
      </c>
      <c r="B615">
        <f t="shared" si="112"/>
        <v>123</v>
      </c>
      <c r="C615">
        <v>3000</v>
      </c>
      <c r="D615">
        <f>VLOOKUP(B615,[1]怪物!$N$34:$T$233,3,0)</f>
        <v>51480</v>
      </c>
      <c r="E615">
        <f>VLOOKUP(B615,[2]怪物!$N$134:$T$233,6,0)</f>
        <v>286</v>
      </c>
      <c r="F615" s="1">
        <f t="shared" si="109"/>
        <v>20000</v>
      </c>
      <c r="H615" t="str">
        <f t="shared" si="113"/>
        <v>{cd,3000}</v>
      </c>
      <c r="I615" t="str">
        <f t="shared" si="114"/>
        <v>{hp,51480}</v>
      </c>
      <c r="J615" t="str">
        <f t="shared" si="115"/>
        <v>{atk,286}</v>
      </c>
      <c r="K615" t="str">
        <f t="shared" si="116"/>
        <v>{spd,20000}</v>
      </c>
      <c r="L615" t="str">
        <f t="shared" si="110"/>
        <v/>
      </c>
      <c r="O615" t="str">
        <f t="shared" si="111"/>
        <v>[{cd,3000},{hp,51480},{atk,286},{spd,20000}]</v>
      </c>
    </row>
    <row r="616" spans="1:15">
      <c r="A616">
        <f>Sheet1!E618</f>
        <v>118</v>
      </c>
      <c r="B616">
        <f t="shared" si="112"/>
        <v>123</v>
      </c>
      <c r="C616">
        <v>3000</v>
      </c>
      <c r="D616">
        <f>VLOOKUP(B616,[1]怪物!$N$34:$T$233,4,0)</f>
        <v>64350</v>
      </c>
      <c r="E616">
        <f>VLOOKUP(B616,[2]怪物!$N$134:$T$233,7,0)</f>
        <v>357</v>
      </c>
      <c r="F616" s="1">
        <f t="shared" si="109"/>
        <v>8500</v>
      </c>
      <c r="H616" t="str">
        <f t="shared" si="113"/>
        <v>{cd,3000}</v>
      </c>
      <c r="I616" t="str">
        <f t="shared" si="114"/>
        <v>{hp,64350}</v>
      </c>
      <c r="J616" t="str">
        <f t="shared" si="115"/>
        <v>{atk,357}</v>
      </c>
      <c r="K616" t="str">
        <f t="shared" si="116"/>
        <v>{spd,8500}</v>
      </c>
      <c r="L616" t="str">
        <f t="shared" si="110"/>
        <v/>
      </c>
      <c r="O616" t="str">
        <f t="shared" si="111"/>
        <v>[{cd,3000},{hp,64350},{atk,357},{spd,8500}]</v>
      </c>
    </row>
    <row r="617" spans="1:15">
      <c r="A617">
        <f>Sheet1!E619</f>
        <v>119</v>
      </c>
      <c r="B617">
        <f t="shared" si="112"/>
        <v>123</v>
      </c>
      <c r="C617">
        <v>3000</v>
      </c>
      <c r="D617">
        <f>VLOOKUP(B617,[1]怪物!$U$34:$Y$234,2,0)</f>
        <v>2574000</v>
      </c>
      <c r="E617">
        <f>VLOOKUP(B617,[2]怪物!$U$134:$Y$233,4,0)</f>
        <v>595</v>
      </c>
      <c r="F617" s="1">
        <f t="shared" si="109"/>
        <v>8500</v>
      </c>
      <c r="H617" t="str">
        <f t="shared" si="113"/>
        <v>{cd,3000}</v>
      </c>
      <c r="I617" t="str">
        <f t="shared" si="114"/>
        <v>{hp,2574000}</v>
      </c>
      <c r="J617" t="str">
        <f t="shared" si="115"/>
        <v>{atk,595}</v>
      </c>
      <c r="K617" t="str">
        <f t="shared" si="116"/>
        <v>{spd,8500}</v>
      </c>
      <c r="L617" t="str">
        <f t="shared" si="110"/>
        <v>{downUnderMagicAtk,5000}</v>
      </c>
      <c r="O617" t="str">
        <f t="shared" si="111"/>
        <v>[{cd,3000},{hp,2574000},{atk,595},{spd,8500},{downUnderMagicAtk,5000}]</v>
      </c>
    </row>
    <row r="618" spans="1:15">
      <c r="A618">
        <f>Sheet1!E620</f>
        <v>119</v>
      </c>
      <c r="B618">
        <f t="shared" si="112"/>
        <v>123</v>
      </c>
      <c r="C618">
        <v>3000</v>
      </c>
      <c r="D618">
        <f>VLOOKUP(B618,[1]怪物!$U$34:$Y$234,3,0)</f>
        <v>3432000</v>
      </c>
      <c r="E618">
        <f>VLOOKUP(B618,[2]怪物!$U$134:$Y$233,5,0)</f>
        <v>1190</v>
      </c>
      <c r="F618" s="1">
        <f t="shared" si="109"/>
        <v>8500</v>
      </c>
      <c r="H618" t="str">
        <f t="shared" si="113"/>
        <v>{cd,3000}</v>
      </c>
      <c r="I618" t="str">
        <f t="shared" si="114"/>
        <v>{hp,3432000}</v>
      </c>
      <c r="J618" t="str">
        <f t="shared" si="115"/>
        <v>{atk,1190}</v>
      </c>
      <c r="K618" t="str">
        <f t="shared" si="116"/>
        <v>{spd,8500}</v>
      </c>
      <c r="L618" t="str">
        <f t="shared" si="110"/>
        <v>{downUnderMagicAtk,5000}</v>
      </c>
      <c r="O618" t="str">
        <f t="shared" si="111"/>
        <v>[{cd,3000},{hp,3432000},{atk,1190},{spd,8500},{downUnderMagicAtk,5000}]</v>
      </c>
    </row>
    <row r="619" spans="1:15">
      <c r="A619">
        <f>Sheet1!E621</f>
        <v>100</v>
      </c>
      <c r="B619">
        <f t="shared" si="112"/>
        <v>124</v>
      </c>
      <c r="C619">
        <v>3000</v>
      </c>
      <c r="D619">
        <f>VLOOKUP(B619,[1]怪物!$N$34:$T$233,2,0)</f>
        <v>44400</v>
      </c>
      <c r="E619">
        <f>VLOOKUP(B619,[2]怪物!$N$134:$T$233,5,0)</f>
        <v>280</v>
      </c>
      <c r="F619" s="1">
        <f t="shared" si="109"/>
        <v>8500</v>
      </c>
      <c r="H619" t="str">
        <f t="shared" si="113"/>
        <v>{cd,3000}</v>
      </c>
      <c r="I619" t="str">
        <f t="shared" si="114"/>
        <v>{hp,44400}</v>
      </c>
      <c r="J619" t="str">
        <f t="shared" si="115"/>
        <v>{atk,280}</v>
      </c>
      <c r="K619" t="str">
        <f t="shared" si="116"/>
        <v>{spd,8500}</v>
      </c>
      <c r="L619" t="str">
        <f t="shared" si="110"/>
        <v/>
      </c>
      <c r="O619" t="str">
        <f t="shared" si="111"/>
        <v>[{cd,3000},{hp,44400},{atk,280},{spd,8500}]</v>
      </c>
    </row>
    <row r="620" spans="1:15">
      <c r="A620">
        <f>Sheet1!E622</f>
        <v>102</v>
      </c>
      <c r="B620">
        <f t="shared" si="112"/>
        <v>124</v>
      </c>
      <c r="C620">
        <v>3000</v>
      </c>
      <c r="D620">
        <f>VLOOKUP(B620,[1]怪物!$N$34:$T$233,3,0)</f>
        <v>53280</v>
      </c>
      <c r="E620">
        <f>VLOOKUP(B620,[2]怪物!$N$134:$T$233,6,0)</f>
        <v>336</v>
      </c>
      <c r="F620" s="1">
        <f t="shared" si="109"/>
        <v>8500</v>
      </c>
      <c r="H620" t="str">
        <f t="shared" si="113"/>
        <v>{cd,3000}</v>
      </c>
      <c r="I620" t="str">
        <f t="shared" si="114"/>
        <v>{hp,53280}</v>
      </c>
      <c r="J620" t="str">
        <f t="shared" si="115"/>
        <v>{atk,336}</v>
      </c>
      <c r="K620" t="str">
        <f t="shared" si="116"/>
        <v>{spd,8500}</v>
      </c>
      <c r="L620" t="str">
        <f t="shared" si="110"/>
        <v/>
      </c>
      <c r="O620" t="str">
        <f t="shared" si="111"/>
        <v>[{cd,3000},{hp,53280},{atk,336},{spd,8500}]</v>
      </c>
    </row>
    <row r="621" spans="1:15">
      <c r="A621">
        <f>Sheet1!E623</f>
        <v>105</v>
      </c>
      <c r="B621">
        <f t="shared" si="112"/>
        <v>124</v>
      </c>
      <c r="C621">
        <v>3000</v>
      </c>
      <c r="D621">
        <f>VLOOKUP(B621,[1]怪物!$N$34:$T$233,4,0)</f>
        <v>66600</v>
      </c>
      <c r="E621">
        <f>VLOOKUP(B621,[2]怪物!$N$134:$T$233,7,0)</f>
        <v>420</v>
      </c>
      <c r="F621" s="1">
        <f t="shared" si="109"/>
        <v>8500</v>
      </c>
      <c r="H621" t="str">
        <f t="shared" si="113"/>
        <v>{cd,3000}</v>
      </c>
      <c r="I621" t="str">
        <f t="shared" si="114"/>
        <v>{hp,66600}</v>
      </c>
      <c r="J621" t="str">
        <f t="shared" si="115"/>
        <v>{atk,420}</v>
      </c>
      <c r="K621" t="str">
        <f t="shared" si="116"/>
        <v>{spd,8500}</v>
      </c>
      <c r="L621" t="str">
        <f t="shared" si="110"/>
        <v/>
      </c>
      <c r="O621" t="str">
        <f t="shared" si="111"/>
        <v>[{cd,3000},{hp,66600},{atk,420},{spd,8500}]</v>
      </c>
    </row>
    <row r="622" spans="1:15">
      <c r="A622">
        <f>Sheet1!E624</f>
        <v>502</v>
      </c>
      <c r="B622">
        <f t="shared" si="112"/>
        <v>124</v>
      </c>
      <c r="C622">
        <v>3000</v>
      </c>
      <c r="D622">
        <f>VLOOKUP(B622,[1]怪物!$U$34:$Y$234,2,0)</f>
        <v>2664000</v>
      </c>
      <c r="E622">
        <f>VLOOKUP(B622,[2]怪物!$U$134:$Y$233,4,0)</f>
        <v>700</v>
      </c>
      <c r="F622" s="1">
        <f t="shared" si="109"/>
        <v>8500</v>
      </c>
      <c r="H622" t="str">
        <f t="shared" si="113"/>
        <v>{cd,3000}</v>
      </c>
      <c r="I622" t="str">
        <f t="shared" si="114"/>
        <v>{hp,2664000}</v>
      </c>
      <c r="J622" t="str">
        <f t="shared" si="115"/>
        <v>{atk,700}</v>
      </c>
      <c r="K622" t="str">
        <f t="shared" si="116"/>
        <v>{spd,8500}</v>
      </c>
      <c r="L622" t="str">
        <f t="shared" si="110"/>
        <v/>
      </c>
      <c r="O622" t="str">
        <f t="shared" si="111"/>
        <v>[{cd,3000},{hp,2664000},{atk,700},{spd,8500}]</v>
      </c>
    </row>
    <row r="623" spans="1:15">
      <c r="A623">
        <f>Sheet1!E625</f>
        <v>500</v>
      </c>
      <c r="B623">
        <f t="shared" si="112"/>
        <v>124</v>
      </c>
      <c r="C623">
        <v>3000</v>
      </c>
      <c r="D623">
        <f>VLOOKUP(B623,[1]怪物!$U$34:$Y$234,3,0)</f>
        <v>3552000</v>
      </c>
      <c r="E623">
        <f>VLOOKUP(B623,[2]怪物!$U$134:$Y$233,5,0)</f>
        <v>1400</v>
      </c>
      <c r="F623" s="1">
        <f t="shared" si="109"/>
        <v>8500</v>
      </c>
      <c r="H623" t="str">
        <f t="shared" si="113"/>
        <v>{cd,3000}</v>
      </c>
      <c r="I623" t="str">
        <f t="shared" si="114"/>
        <v>{hp,3552000}</v>
      </c>
      <c r="J623" t="str">
        <f t="shared" si="115"/>
        <v>{atk,1400}</v>
      </c>
      <c r="K623" t="str">
        <f t="shared" si="116"/>
        <v>{spd,8500}</v>
      </c>
      <c r="L623" t="str">
        <f t="shared" si="110"/>
        <v/>
      </c>
      <c r="O623" t="str">
        <f t="shared" si="111"/>
        <v>[{cd,3000},{hp,3552000},{atk,1400},{spd,8500}]</v>
      </c>
    </row>
    <row r="624" spans="1:15">
      <c r="A624">
        <f>Sheet1!E626</f>
        <v>111</v>
      </c>
      <c r="B624">
        <f t="shared" si="112"/>
        <v>125</v>
      </c>
      <c r="C624">
        <v>3000</v>
      </c>
      <c r="D624">
        <f>VLOOKUP(B624,[1]怪物!$N$34:$T$233,2,0)</f>
        <v>43300</v>
      </c>
      <c r="E624">
        <f>VLOOKUP(B624,[2]怪物!$N$134:$T$233,5,0)</f>
        <v>244</v>
      </c>
      <c r="F624" s="1">
        <f t="shared" si="109"/>
        <v>8500</v>
      </c>
      <c r="H624" t="str">
        <f t="shared" si="113"/>
        <v>{cd,3000}</v>
      </c>
      <c r="I624" t="str">
        <f t="shared" si="114"/>
        <v>{hp,43300}</v>
      </c>
      <c r="J624" t="str">
        <f t="shared" si="115"/>
        <v>{atk,244}</v>
      </c>
      <c r="K624" t="str">
        <f t="shared" si="116"/>
        <v>{spd,8500}</v>
      </c>
      <c r="L624" t="str">
        <f t="shared" si="110"/>
        <v/>
      </c>
      <c r="O624" t="str">
        <f t="shared" si="111"/>
        <v>[{cd,3000},{hp,43300},{atk,244},{spd,8500}]</v>
      </c>
    </row>
    <row r="625" spans="1:15">
      <c r="A625">
        <f>Sheet1!E627</f>
        <v>112</v>
      </c>
      <c r="B625">
        <f t="shared" si="112"/>
        <v>125</v>
      </c>
      <c r="C625">
        <v>3000</v>
      </c>
      <c r="D625">
        <f>VLOOKUP(B625,[1]怪物!$N$34:$T$233,3,0)</f>
        <v>51960</v>
      </c>
      <c r="E625">
        <f>VLOOKUP(B625,[2]怪物!$N$134:$T$233,6,0)</f>
        <v>293</v>
      </c>
      <c r="F625" s="1">
        <f t="shared" si="109"/>
        <v>8500</v>
      </c>
      <c r="H625" t="str">
        <f t="shared" si="113"/>
        <v>{cd,3000}</v>
      </c>
      <c r="I625" t="str">
        <f t="shared" si="114"/>
        <v>{hp,51960}</v>
      </c>
      <c r="J625" t="str">
        <f t="shared" si="115"/>
        <v>{atk,293}</v>
      </c>
      <c r="K625" t="str">
        <f t="shared" si="116"/>
        <v>{spd,8500}</v>
      </c>
      <c r="L625" t="str">
        <f t="shared" si="110"/>
        <v/>
      </c>
      <c r="O625" t="str">
        <f t="shared" si="111"/>
        <v>[{cd,3000},{hp,51960},{atk,293},{spd,8500}]</v>
      </c>
    </row>
    <row r="626" spans="1:15">
      <c r="A626">
        <f>Sheet1!E628</f>
        <v>113</v>
      </c>
      <c r="B626">
        <f t="shared" si="112"/>
        <v>125</v>
      </c>
      <c r="C626">
        <v>3000</v>
      </c>
      <c r="D626">
        <f>VLOOKUP(B626,[1]怪物!$N$34:$T$233,4,0)</f>
        <v>64950</v>
      </c>
      <c r="E626">
        <f>VLOOKUP(B626,[2]怪物!$N$134:$T$233,7,0)</f>
        <v>366</v>
      </c>
      <c r="F626" s="1">
        <f t="shared" si="109"/>
        <v>8500</v>
      </c>
      <c r="H626" t="str">
        <f t="shared" si="113"/>
        <v>{cd,3000}</v>
      </c>
      <c r="I626" t="str">
        <f t="shared" si="114"/>
        <v>{hp,64950}</v>
      </c>
      <c r="J626" t="str">
        <f t="shared" si="115"/>
        <v>{atk,366}</v>
      </c>
      <c r="K626" t="str">
        <f t="shared" si="116"/>
        <v>{spd,8500}</v>
      </c>
      <c r="L626" t="str">
        <f t="shared" si="110"/>
        <v/>
      </c>
      <c r="O626" t="str">
        <f t="shared" si="111"/>
        <v>[{cd,3000},{hp,64950},{atk,366},{spd,8500}]</v>
      </c>
    </row>
    <row r="627" spans="1:15">
      <c r="A627">
        <f>Sheet1!E629</f>
        <v>511</v>
      </c>
      <c r="B627">
        <f t="shared" si="112"/>
        <v>125</v>
      </c>
      <c r="C627">
        <v>3000</v>
      </c>
      <c r="D627">
        <f>VLOOKUP(B627,[1]怪物!$U$34:$Y$234,2,0)</f>
        <v>2598000</v>
      </c>
      <c r="E627">
        <f>VLOOKUP(B627,[2]怪物!$U$134:$Y$233,4,0)</f>
        <v>610</v>
      </c>
      <c r="F627" s="1">
        <f t="shared" si="109"/>
        <v>8500</v>
      </c>
      <c r="H627" t="str">
        <f t="shared" si="113"/>
        <v>{cd,3000}</v>
      </c>
      <c r="I627" t="str">
        <f t="shared" si="114"/>
        <v>{hp,2598000}</v>
      </c>
      <c r="J627" t="str">
        <f t="shared" si="115"/>
        <v>{atk,610}</v>
      </c>
      <c r="K627" t="str">
        <f t="shared" si="116"/>
        <v>{spd,8500}</v>
      </c>
      <c r="L627" t="str">
        <f t="shared" si="110"/>
        <v/>
      </c>
      <c r="O627" t="str">
        <f t="shared" si="111"/>
        <v>[{cd,3000},{hp,2598000},{atk,610},{spd,8500}]</v>
      </c>
    </row>
    <row r="628" spans="1:15">
      <c r="A628">
        <f>Sheet1!E630</f>
        <v>511</v>
      </c>
      <c r="B628">
        <f t="shared" si="112"/>
        <v>125</v>
      </c>
      <c r="C628">
        <v>3000</v>
      </c>
      <c r="D628">
        <f>VLOOKUP(B628,[1]怪物!$U$34:$Y$234,3,0)</f>
        <v>3464000</v>
      </c>
      <c r="E628">
        <f>VLOOKUP(B628,[2]怪物!$U$134:$Y$233,5,0)</f>
        <v>1220</v>
      </c>
      <c r="F628" s="1">
        <f t="shared" si="109"/>
        <v>8500</v>
      </c>
      <c r="H628" t="str">
        <f t="shared" si="113"/>
        <v>{cd,3000}</v>
      </c>
      <c r="I628" t="str">
        <f t="shared" si="114"/>
        <v>{hp,3464000}</v>
      </c>
      <c r="J628" t="str">
        <f t="shared" si="115"/>
        <v>{atk,1220}</v>
      </c>
      <c r="K628" t="str">
        <f t="shared" si="116"/>
        <v>{spd,8500}</v>
      </c>
      <c r="L628" t="str">
        <f t="shared" si="110"/>
        <v/>
      </c>
      <c r="O628" t="str">
        <f t="shared" si="111"/>
        <v>[{cd,3000},{hp,3464000},{atk,1220},{spd,8500}]</v>
      </c>
    </row>
    <row r="629" spans="1:15">
      <c r="A629">
        <f>Sheet1!E631</f>
        <v>103</v>
      </c>
      <c r="B629">
        <f t="shared" si="112"/>
        <v>126</v>
      </c>
      <c r="C629">
        <v>3000</v>
      </c>
      <c r="D629">
        <f>VLOOKUP(B629,[1]怪物!$N$34:$T$233,2,0)</f>
        <v>43900</v>
      </c>
      <c r="E629">
        <f>VLOOKUP(B629,[2]怪物!$N$134:$T$233,5,0)</f>
        <v>250</v>
      </c>
      <c r="F629" s="1">
        <f t="shared" si="109"/>
        <v>8500</v>
      </c>
      <c r="H629" t="str">
        <f t="shared" si="113"/>
        <v>{cd,3000}</v>
      </c>
      <c r="I629" t="str">
        <f t="shared" si="114"/>
        <v>{hp,43900}</v>
      </c>
      <c r="J629" t="str">
        <f t="shared" si="115"/>
        <v>{atk,250}</v>
      </c>
      <c r="K629" t="str">
        <f t="shared" si="116"/>
        <v>{spd,8500}</v>
      </c>
      <c r="L629" t="str">
        <f t="shared" si="110"/>
        <v/>
      </c>
      <c r="O629" t="str">
        <f t="shared" si="111"/>
        <v>[{cd,3000},{hp,43900},{atk,250},{spd,8500}]</v>
      </c>
    </row>
    <row r="630" spans="1:15">
      <c r="A630">
        <f>Sheet1!E632</f>
        <v>104</v>
      </c>
      <c r="B630">
        <f t="shared" si="112"/>
        <v>126</v>
      </c>
      <c r="C630">
        <v>3000</v>
      </c>
      <c r="D630">
        <f>VLOOKUP(B630,[1]怪物!$N$34:$T$233,3,0)</f>
        <v>52680</v>
      </c>
      <c r="E630">
        <f>VLOOKUP(B630,[2]怪物!$N$134:$T$233,6,0)</f>
        <v>300</v>
      </c>
      <c r="F630" s="1">
        <f t="shared" si="109"/>
        <v>8500</v>
      </c>
      <c r="H630" t="str">
        <f t="shared" si="113"/>
        <v>{cd,3000}</v>
      </c>
      <c r="I630" t="str">
        <f t="shared" si="114"/>
        <v>{hp,52680}</v>
      </c>
      <c r="J630" t="str">
        <f t="shared" si="115"/>
        <v>{atk,300}</v>
      </c>
      <c r="K630" t="str">
        <f t="shared" si="116"/>
        <v>{spd,8500}</v>
      </c>
      <c r="L630" t="str">
        <f t="shared" si="110"/>
        <v/>
      </c>
      <c r="O630" t="str">
        <f t="shared" si="111"/>
        <v>[{cd,3000},{hp,52680},{atk,300},{spd,8500}]</v>
      </c>
    </row>
    <row r="631" spans="1:15">
      <c r="A631">
        <f>Sheet1!E633</f>
        <v>105</v>
      </c>
      <c r="B631">
        <f t="shared" si="112"/>
        <v>126</v>
      </c>
      <c r="C631">
        <v>3000</v>
      </c>
      <c r="D631">
        <f>VLOOKUP(B631,[1]怪物!$N$34:$T$233,4,0)</f>
        <v>65850</v>
      </c>
      <c r="E631">
        <f>VLOOKUP(B631,[2]怪物!$N$134:$T$233,7,0)</f>
        <v>375</v>
      </c>
      <c r="F631" s="1">
        <f t="shared" si="109"/>
        <v>8500</v>
      </c>
      <c r="H631" t="str">
        <f t="shared" si="113"/>
        <v>{cd,3000}</v>
      </c>
      <c r="I631" t="str">
        <f t="shared" si="114"/>
        <v>{hp,65850}</v>
      </c>
      <c r="J631" t="str">
        <f t="shared" si="115"/>
        <v>{atk,375}</v>
      </c>
      <c r="K631" t="str">
        <f t="shared" si="116"/>
        <v>{spd,8500}</v>
      </c>
      <c r="L631" t="str">
        <f t="shared" si="110"/>
        <v/>
      </c>
      <c r="O631" t="str">
        <f t="shared" si="111"/>
        <v>[{cd,3000},{hp,65850},{atk,375},{spd,8500}]</v>
      </c>
    </row>
    <row r="632" spans="1:15">
      <c r="A632">
        <f>Sheet1!E634</f>
        <v>103</v>
      </c>
      <c r="B632">
        <f t="shared" si="112"/>
        <v>126</v>
      </c>
      <c r="C632">
        <v>3000</v>
      </c>
      <c r="D632">
        <f>VLOOKUP(B632,[1]怪物!$U$34:$Y$234,2,0)</f>
        <v>2634000</v>
      </c>
      <c r="E632">
        <f>VLOOKUP(B632,[2]怪物!$U$134:$Y$233,4,0)</f>
        <v>625</v>
      </c>
      <c r="F632" s="1">
        <f t="shared" si="109"/>
        <v>8500</v>
      </c>
      <c r="H632" t="str">
        <f t="shared" si="113"/>
        <v>{cd,3000}</v>
      </c>
      <c r="I632" t="str">
        <f t="shared" si="114"/>
        <v>{hp,2634000}</v>
      </c>
      <c r="J632" t="str">
        <f t="shared" si="115"/>
        <v>{atk,625}</v>
      </c>
      <c r="K632" t="str">
        <f t="shared" si="116"/>
        <v>{spd,8500}</v>
      </c>
      <c r="L632" t="str">
        <f t="shared" si="110"/>
        <v/>
      </c>
      <c r="O632" t="str">
        <f t="shared" si="111"/>
        <v>[{cd,3000},{hp,2634000},{atk,625},{spd,8500}]</v>
      </c>
    </row>
    <row r="633" spans="1:15">
      <c r="A633">
        <f>Sheet1!E635</f>
        <v>103</v>
      </c>
      <c r="B633">
        <f t="shared" si="112"/>
        <v>126</v>
      </c>
      <c r="C633">
        <v>3000</v>
      </c>
      <c r="D633">
        <f>VLOOKUP(B633,[1]怪物!$U$34:$Y$234,3,0)</f>
        <v>3512000</v>
      </c>
      <c r="E633">
        <f>VLOOKUP(B633,[2]怪物!$U$134:$Y$233,5,0)</f>
        <v>1250</v>
      </c>
      <c r="F633" s="1">
        <f t="shared" si="109"/>
        <v>8500</v>
      </c>
      <c r="H633" t="str">
        <f t="shared" si="113"/>
        <v>{cd,3000}</v>
      </c>
      <c r="I633" t="str">
        <f t="shared" si="114"/>
        <v>{hp,3512000}</v>
      </c>
      <c r="J633" t="str">
        <f t="shared" si="115"/>
        <v>{atk,1250}</v>
      </c>
      <c r="K633" t="str">
        <f t="shared" si="116"/>
        <v>{spd,8500}</v>
      </c>
      <c r="L633" t="str">
        <f t="shared" si="110"/>
        <v/>
      </c>
      <c r="O633" t="str">
        <f t="shared" si="111"/>
        <v>[{cd,3000},{hp,3512000},{atk,1250},{spd,8500}]</v>
      </c>
    </row>
    <row r="634" spans="1:15">
      <c r="A634">
        <f>Sheet1!E636</f>
        <v>117</v>
      </c>
      <c r="B634">
        <f t="shared" si="112"/>
        <v>127</v>
      </c>
      <c r="C634">
        <v>3000</v>
      </c>
      <c r="D634">
        <f>VLOOKUP(B634,[1]怪物!$N$34:$T$233,2,0)</f>
        <v>44700</v>
      </c>
      <c r="E634">
        <f>VLOOKUP(B634,[2]怪物!$N$134:$T$233,5,0)</f>
        <v>256</v>
      </c>
      <c r="F634" s="1">
        <f t="shared" si="109"/>
        <v>8500</v>
      </c>
      <c r="H634" t="str">
        <f t="shared" si="113"/>
        <v>{cd,3000}</v>
      </c>
      <c r="I634" t="str">
        <f t="shared" si="114"/>
        <v>{hp,44700}</v>
      </c>
      <c r="J634" t="str">
        <f t="shared" si="115"/>
        <v>{atk,256}</v>
      </c>
      <c r="K634" t="str">
        <f t="shared" si="116"/>
        <v>{spd,8500}</v>
      </c>
      <c r="L634" t="str">
        <f t="shared" si="110"/>
        <v>{downUnderPhAtk,5000}</v>
      </c>
      <c r="O634" t="str">
        <f t="shared" si="111"/>
        <v>[{cd,3000},{hp,44700},{atk,256},{spd,8500},{downUnderPhAtk,5000}]</v>
      </c>
    </row>
    <row r="635" spans="1:15">
      <c r="A635">
        <f>Sheet1!E637</f>
        <v>116</v>
      </c>
      <c r="B635">
        <f t="shared" si="112"/>
        <v>127</v>
      </c>
      <c r="C635">
        <v>3000</v>
      </c>
      <c r="D635">
        <f>VLOOKUP(B635,[1]怪物!$N$34:$T$233,3,0)</f>
        <v>53640</v>
      </c>
      <c r="E635">
        <f>VLOOKUP(B635,[2]怪物!$N$134:$T$233,6,0)</f>
        <v>307</v>
      </c>
      <c r="F635" s="1">
        <f t="shared" si="109"/>
        <v>20000</v>
      </c>
      <c r="H635" t="str">
        <f t="shared" si="113"/>
        <v>{cd,3000}</v>
      </c>
      <c r="I635" t="str">
        <f t="shared" si="114"/>
        <v>{hp,53640}</v>
      </c>
      <c r="J635" t="str">
        <f t="shared" si="115"/>
        <v>{atk,307}</v>
      </c>
      <c r="K635" t="str">
        <f t="shared" si="116"/>
        <v>{spd,20000}</v>
      </c>
      <c r="L635" t="str">
        <f t="shared" si="110"/>
        <v/>
      </c>
      <c r="O635" t="str">
        <f t="shared" si="111"/>
        <v>[{cd,3000},{hp,53640},{atk,307},{spd,20000}]</v>
      </c>
    </row>
    <row r="636" spans="1:15">
      <c r="A636">
        <f>Sheet1!E638</f>
        <v>112</v>
      </c>
      <c r="B636">
        <f t="shared" si="112"/>
        <v>127</v>
      </c>
      <c r="C636">
        <v>3000</v>
      </c>
      <c r="D636">
        <f>VLOOKUP(B636,[1]怪物!$N$34:$T$233,4,0)</f>
        <v>67050</v>
      </c>
      <c r="E636">
        <f>VLOOKUP(B636,[2]怪物!$N$134:$T$233,7,0)</f>
        <v>384</v>
      </c>
      <c r="F636" s="1">
        <f t="shared" si="109"/>
        <v>8500</v>
      </c>
      <c r="H636" t="str">
        <f t="shared" si="113"/>
        <v>{cd,3000}</v>
      </c>
      <c r="I636" t="str">
        <f t="shared" si="114"/>
        <v>{hp,67050}</v>
      </c>
      <c r="J636" t="str">
        <f t="shared" si="115"/>
        <v>{atk,384}</v>
      </c>
      <c r="K636" t="str">
        <f t="shared" si="116"/>
        <v>{spd,8500}</v>
      </c>
      <c r="L636" t="str">
        <f t="shared" si="110"/>
        <v/>
      </c>
      <c r="O636" t="str">
        <f t="shared" si="111"/>
        <v>[{cd,3000},{hp,67050},{atk,384},{spd,8500}]</v>
      </c>
    </row>
    <row r="637" spans="1:15">
      <c r="A637">
        <f>Sheet1!E639</f>
        <v>117</v>
      </c>
      <c r="B637">
        <f t="shared" si="112"/>
        <v>127</v>
      </c>
      <c r="C637">
        <v>3000</v>
      </c>
      <c r="D637">
        <f>VLOOKUP(B637,[1]怪物!$U$34:$Y$234,2,0)</f>
        <v>2682000</v>
      </c>
      <c r="E637">
        <f>VLOOKUP(B637,[2]怪物!$U$134:$Y$233,4,0)</f>
        <v>640</v>
      </c>
      <c r="F637" s="1">
        <f t="shared" si="109"/>
        <v>8500</v>
      </c>
      <c r="H637" t="str">
        <f t="shared" si="113"/>
        <v>{cd,3000}</v>
      </c>
      <c r="I637" t="str">
        <f t="shared" si="114"/>
        <v>{hp,2682000}</v>
      </c>
      <c r="J637" t="str">
        <f t="shared" si="115"/>
        <v>{atk,640}</v>
      </c>
      <c r="K637" t="str">
        <f t="shared" si="116"/>
        <v>{spd,8500}</v>
      </c>
      <c r="L637" t="str">
        <f t="shared" si="110"/>
        <v>{downUnderPhAtk,5000}</v>
      </c>
      <c r="O637" t="str">
        <f t="shared" si="111"/>
        <v>[{cd,3000},{hp,2682000},{atk,640},{spd,8500},{downUnderPhAtk,5000}]</v>
      </c>
    </row>
    <row r="638" spans="1:15">
      <c r="A638">
        <f>Sheet1!E640</f>
        <v>117</v>
      </c>
      <c r="B638">
        <f t="shared" si="112"/>
        <v>127</v>
      </c>
      <c r="C638">
        <v>3000</v>
      </c>
      <c r="D638">
        <f>VLOOKUP(B638,[1]怪物!$U$34:$Y$234,3,0)</f>
        <v>3576000</v>
      </c>
      <c r="E638">
        <f>VLOOKUP(B638,[2]怪物!$U$134:$Y$233,5,0)</f>
        <v>1280</v>
      </c>
      <c r="F638" s="1">
        <f t="shared" si="109"/>
        <v>8500</v>
      </c>
      <c r="H638" t="str">
        <f t="shared" si="113"/>
        <v>{cd,3000}</v>
      </c>
      <c r="I638" t="str">
        <f t="shared" si="114"/>
        <v>{hp,3576000}</v>
      </c>
      <c r="J638" t="str">
        <f t="shared" si="115"/>
        <v>{atk,1280}</v>
      </c>
      <c r="K638" t="str">
        <f t="shared" si="116"/>
        <v>{spd,8500}</v>
      </c>
      <c r="L638" t="str">
        <f t="shared" si="110"/>
        <v>{downUnderPhAtk,5000}</v>
      </c>
      <c r="O638" t="str">
        <f t="shared" si="111"/>
        <v>[{cd,3000},{hp,3576000},{atk,1280},{spd,8500},{downUnderPhAtk,5000}]</v>
      </c>
    </row>
    <row r="639" spans="1:15">
      <c r="A639">
        <f>Sheet1!E641</f>
        <v>119</v>
      </c>
      <c r="B639">
        <f t="shared" si="112"/>
        <v>128</v>
      </c>
      <c r="C639">
        <v>3000</v>
      </c>
      <c r="D639">
        <f>VLOOKUP(B639,[1]怪物!$N$34:$T$233,2,0)</f>
        <v>45900</v>
      </c>
      <c r="E639">
        <f>VLOOKUP(B639,[2]怪物!$N$134:$T$233,5,0)</f>
        <v>262</v>
      </c>
      <c r="F639" s="1">
        <f t="shared" si="109"/>
        <v>8500</v>
      </c>
      <c r="H639" t="str">
        <f t="shared" si="113"/>
        <v>{cd,3000}</v>
      </c>
      <c r="I639" t="str">
        <f t="shared" si="114"/>
        <v>{hp,45900}</v>
      </c>
      <c r="J639" t="str">
        <f t="shared" si="115"/>
        <v>{atk,262}</v>
      </c>
      <c r="K639" t="str">
        <f t="shared" si="116"/>
        <v>{spd,8500}</v>
      </c>
      <c r="L639" t="str">
        <f t="shared" si="110"/>
        <v>{downUnderMagicAtk,5000}</v>
      </c>
      <c r="O639" t="str">
        <f t="shared" si="111"/>
        <v>[{cd,3000},{hp,45900},{atk,262},{spd,8500},{downUnderMagicAtk,5000}]</v>
      </c>
    </row>
    <row r="640" spans="1:15">
      <c r="A640">
        <f>Sheet1!E642</f>
        <v>116</v>
      </c>
      <c r="B640">
        <f t="shared" si="112"/>
        <v>128</v>
      </c>
      <c r="C640">
        <v>3000</v>
      </c>
      <c r="D640">
        <f>VLOOKUP(B640,[1]怪物!$N$34:$T$233,3,0)</f>
        <v>55080</v>
      </c>
      <c r="E640">
        <f>VLOOKUP(B640,[2]怪物!$N$134:$T$233,6,0)</f>
        <v>314</v>
      </c>
      <c r="F640" s="1">
        <f t="shared" si="109"/>
        <v>20000</v>
      </c>
      <c r="H640" t="str">
        <f t="shared" si="113"/>
        <v>{cd,3000}</v>
      </c>
      <c r="I640" t="str">
        <f t="shared" si="114"/>
        <v>{hp,55080}</v>
      </c>
      <c r="J640" t="str">
        <f t="shared" si="115"/>
        <v>{atk,314}</v>
      </c>
      <c r="K640" t="str">
        <f t="shared" si="116"/>
        <v>{spd,20000}</v>
      </c>
      <c r="L640" t="str">
        <f t="shared" si="110"/>
        <v/>
      </c>
      <c r="O640" t="str">
        <f t="shared" si="111"/>
        <v>[{cd,3000},{hp,55080},{atk,314},{spd,20000}]</v>
      </c>
    </row>
    <row r="641" spans="1:15">
      <c r="A641">
        <f>Sheet1!E643</f>
        <v>118</v>
      </c>
      <c r="B641">
        <f t="shared" si="112"/>
        <v>128</v>
      </c>
      <c r="C641">
        <v>3000</v>
      </c>
      <c r="D641">
        <f>VLOOKUP(B641,[1]怪物!$N$34:$T$233,4,0)</f>
        <v>68850</v>
      </c>
      <c r="E641">
        <f>VLOOKUP(B641,[2]怪物!$N$134:$T$233,7,0)</f>
        <v>393</v>
      </c>
      <c r="F641" s="1">
        <f t="shared" si="109"/>
        <v>8500</v>
      </c>
      <c r="H641" t="str">
        <f t="shared" si="113"/>
        <v>{cd,3000}</v>
      </c>
      <c r="I641" t="str">
        <f t="shared" si="114"/>
        <v>{hp,68850}</v>
      </c>
      <c r="J641" t="str">
        <f t="shared" si="115"/>
        <v>{atk,393}</v>
      </c>
      <c r="K641" t="str">
        <f t="shared" si="116"/>
        <v>{spd,8500}</v>
      </c>
      <c r="L641" t="str">
        <f t="shared" si="110"/>
        <v/>
      </c>
      <c r="O641" t="str">
        <f t="shared" si="111"/>
        <v>[{cd,3000},{hp,68850},{atk,393},{spd,8500}]</v>
      </c>
    </row>
    <row r="642" spans="1:15">
      <c r="A642">
        <f>Sheet1!E644</f>
        <v>119</v>
      </c>
      <c r="B642">
        <f t="shared" si="112"/>
        <v>128</v>
      </c>
      <c r="C642">
        <v>3000</v>
      </c>
      <c r="D642">
        <f>VLOOKUP(B642,[1]怪物!$U$34:$Y$234,2,0)</f>
        <v>2754000</v>
      </c>
      <c r="E642">
        <f>VLOOKUP(B642,[2]怪物!$U$134:$Y$233,4,0)</f>
        <v>655</v>
      </c>
      <c r="F642" s="1">
        <f t="shared" si="109"/>
        <v>8500</v>
      </c>
      <c r="H642" t="str">
        <f t="shared" si="113"/>
        <v>{cd,3000}</v>
      </c>
      <c r="I642" t="str">
        <f t="shared" si="114"/>
        <v>{hp,2754000}</v>
      </c>
      <c r="J642" t="str">
        <f t="shared" si="115"/>
        <v>{atk,655}</v>
      </c>
      <c r="K642" t="str">
        <f t="shared" si="116"/>
        <v>{spd,8500}</v>
      </c>
      <c r="L642" t="str">
        <f t="shared" si="110"/>
        <v>{downUnderMagicAtk,5000}</v>
      </c>
      <c r="O642" t="str">
        <f t="shared" si="111"/>
        <v>[{cd,3000},{hp,2754000},{atk,655},{spd,8500},{downUnderMagicAtk,5000}]</v>
      </c>
    </row>
    <row r="643" spans="1:15">
      <c r="A643">
        <f>Sheet1!E645</f>
        <v>119</v>
      </c>
      <c r="B643">
        <f t="shared" si="112"/>
        <v>128</v>
      </c>
      <c r="C643">
        <v>3000</v>
      </c>
      <c r="D643">
        <f>VLOOKUP(B643,[1]怪物!$U$34:$Y$234,3,0)</f>
        <v>3672000</v>
      </c>
      <c r="E643">
        <f>VLOOKUP(B643,[2]怪物!$U$134:$Y$233,5,0)</f>
        <v>1310</v>
      </c>
      <c r="F643" s="1">
        <f t="shared" si="109"/>
        <v>8500</v>
      </c>
      <c r="H643" t="str">
        <f t="shared" si="113"/>
        <v>{cd,3000}</v>
      </c>
      <c r="I643" t="str">
        <f t="shared" si="114"/>
        <v>{hp,3672000}</v>
      </c>
      <c r="J643" t="str">
        <f t="shared" si="115"/>
        <v>{atk,1310}</v>
      </c>
      <c r="K643" t="str">
        <f t="shared" si="116"/>
        <v>{spd,8500}</v>
      </c>
      <c r="L643" t="str">
        <f t="shared" si="110"/>
        <v>{downUnderMagicAtk,5000}</v>
      </c>
      <c r="O643" t="str">
        <f t="shared" si="111"/>
        <v>[{cd,3000},{hp,3672000},{atk,1310},{spd,8500},{downUnderMagicAtk,5000}]</v>
      </c>
    </row>
    <row r="644" spans="1:15">
      <c r="A644">
        <f>Sheet1!E646</f>
        <v>108</v>
      </c>
      <c r="B644">
        <f t="shared" si="112"/>
        <v>129</v>
      </c>
      <c r="C644">
        <v>3000</v>
      </c>
      <c r="D644">
        <f>VLOOKUP(B644,[1]怪物!$N$34:$T$233,2,0)</f>
        <v>47500</v>
      </c>
      <c r="E644">
        <f>VLOOKUP(B644,[2]怪物!$N$134:$T$233,5,0)</f>
        <v>268</v>
      </c>
      <c r="F644" s="1">
        <f t="shared" si="109"/>
        <v>8500</v>
      </c>
      <c r="H644" t="str">
        <f t="shared" si="113"/>
        <v>{cd,3000}</v>
      </c>
      <c r="I644" t="str">
        <f t="shared" si="114"/>
        <v>{hp,47500}</v>
      </c>
      <c r="J644" t="str">
        <f t="shared" si="115"/>
        <v>{atk,268}</v>
      </c>
      <c r="K644" t="str">
        <f t="shared" si="116"/>
        <v>{spd,8500}</v>
      </c>
      <c r="L644" t="str">
        <f t="shared" si="110"/>
        <v/>
      </c>
      <c r="O644" t="str">
        <f t="shared" si="111"/>
        <v>[{cd,3000},{hp,47500},{atk,268},{spd,8500}]</v>
      </c>
    </row>
    <row r="645" spans="1:15">
      <c r="A645">
        <f>Sheet1!E647</f>
        <v>107</v>
      </c>
      <c r="B645">
        <f t="shared" si="112"/>
        <v>129</v>
      </c>
      <c r="C645">
        <v>3000</v>
      </c>
      <c r="D645">
        <f>VLOOKUP(B645,[1]怪物!$N$34:$T$233,3,0)</f>
        <v>57000</v>
      </c>
      <c r="E645">
        <f>VLOOKUP(B645,[2]怪物!$N$134:$T$233,6,0)</f>
        <v>322</v>
      </c>
      <c r="F645" s="1">
        <f t="shared" ref="F645:F708" si="117">VLOOKUP(A645,$W:$AB,6,0)</f>
        <v>8500</v>
      </c>
      <c r="H645" t="str">
        <f t="shared" si="113"/>
        <v>{cd,3000}</v>
      </c>
      <c r="I645" t="str">
        <f t="shared" si="114"/>
        <v>{hp,57000}</v>
      </c>
      <c r="J645" t="str">
        <f t="shared" si="115"/>
        <v>{atk,322}</v>
      </c>
      <c r="K645" t="str">
        <f t="shared" si="116"/>
        <v>{spd,8500}</v>
      </c>
      <c r="L645" t="str">
        <f t="shared" ref="L645:L703" si="118">IF(VLOOKUP(A645,$W:$AC,7,0)=0,"",VLOOKUP(A645,$W:$AC,7,0))</f>
        <v/>
      </c>
      <c r="O645" t="str">
        <f t="shared" ref="O645:O708" si="119">"["&amp;_xlfn.TEXTJOIN(",",1,H645:M645)&amp;"]"</f>
        <v>[{cd,3000},{hp,57000},{atk,322},{spd,8500}]</v>
      </c>
    </row>
    <row r="646" spans="1:15">
      <c r="A646">
        <f>Sheet1!E648</f>
        <v>109</v>
      </c>
      <c r="B646">
        <f t="shared" si="112"/>
        <v>129</v>
      </c>
      <c r="C646">
        <v>3000</v>
      </c>
      <c r="D646">
        <f>VLOOKUP(B646,[1]怪物!$N$34:$T$233,4,0)</f>
        <v>71250</v>
      </c>
      <c r="E646">
        <f>VLOOKUP(B646,[2]怪物!$N$134:$T$233,7,0)</f>
        <v>402</v>
      </c>
      <c r="F646" s="1">
        <f t="shared" si="117"/>
        <v>8500</v>
      </c>
      <c r="H646" t="str">
        <f t="shared" si="113"/>
        <v>{cd,3000}</v>
      </c>
      <c r="I646" t="str">
        <f t="shared" si="114"/>
        <v>{hp,71250}</v>
      </c>
      <c r="J646" t="str">
        <f t="shared" si="115"/>
        <v>{atk,402}</v>
      </c>
      <c r="K646" t="str">
        <f t="shared" si="116"/>
        <v>{spd,8500}</v>
      </c>
      <c r="L646" t="str">
        <f t="shared" si="118"/>
        <v/>
      </c>
      <c r="O646" t="str">
        <f t="shared" si="119"/>
        <v>[{cd,3000},{hp,71250},{atk,402},{spd,8500}]</v>
      </c>
    </row>
    <row r="647" spans="1:15">
      <c r="A647">
        <f>Sheet1!E649</f>
        <v>109</v>
      </c>
      <c r="B647">
        <f t="shared" si="112"/>
        <v>129</v>
      </c>
      <c r="C647">
        <v>3000</v>
      </c>
      <c r="D647">
        <f>VLOOKUP(B647,[1]怪物!$U$34:$Y$234,2,0)</f>
        <v>2850000</v>
      </c>
      <c r="E647">
        <f>VLOOKUP(B647,[2]怪物!$U$134:$Y$233,4,0)</f>
        <v>670</v>
      </c>
      <c r="F647" s="1">
        <f t="shared" si="117"/>
        <v>8500</v>
      </c>
      <c r="H647" t="str">
        <f t="shared" si="113"/>
        <v>{cd,3000}</v>
      </c>
      <c r="I647" t="str">
        <f t="shared" si="114"/>
        <v>{hp,2850000}</v>
      </c>
      <c r="J647" t="str">
        <f t="shared" si="115"/>
        <v>{atk,670}</v>
      </c>
      <c r="K647" t="str">
        <f t="shared" si="116"/>
        <v>{spd,8500}</v>
      </c>
      <c r="L647" t="str">
        <f t="shared" si="118"/>
        <v/>
      </c>
      <c r="O647" t="str">
        <f t="shared" si="119"/>
        <v>[{cd,3000},{hp,2850000},{atk,670},{spd,8500}]</v>
      </c>
    </row>
    <row r="648" spans="1:15">
      <c r="A648">
        <f>Sheet1!E650</f>
        <v>109</v>
      </c>
      <c r="B648">
        <f t="shared" si="112"/>
        <v>129</v>
      </c>
      <c r="C648">
        <v>3000</v>
      </c>
      <c r="D648">
        <f>VLOOKUP(B648,[1]怪物!$U$34:$Y$234,3,0)</f>
        <v>3800000</v>
      </c>
      <c r="E648">
        <f>VLOOKUP(B648,[2]怪物!$U$134:$Y$233,5,0)</f>
        <v>1340</v>
      </c>
      <c r="F648" s="1">
        <f t="shared" si="117"/>
        <v>8500</v>
      </c>
      <c r="H648" t="str">
        <f t="shared" si="113"/>
        <v>{cd,3000}</v>
      </c>
      <c r="I648" t="str">
        <f t="shared" si="114"/>
        <v>{hp,3800000}</v>
      </c>
      <c r="J648" t="str">
        <f t="shared" si="115"/>
        <v>{atk,1340}</v>
      </c>
      <c r="K648" t="str">
        <f t="shared" si="116"/>
        <v>{spd,8500}</v>
      </c>
      <c r="L648" t="str">
        <f t="shared" si="118"/>
        <v/>
      </c>
      <c r="O648" t="str">
        <f t="shared" si="119"/>
        <v>[{cd,3000},{hp,3800000},{atk,1340},{spd,8500}]</v>
      </c>
    </row>
    <row r="649" spans="1:15">
      <c r="A649">
        <f>Sheet1!E651</f>
        <v>100</v>
      </c>
      <c r="B649">
        <f t="shared" si="112"/>
        <v>130</v>
      </c>
      <c r="C649">
        <v>3000</v>
      </c>
      <c r="D649">
        <f>VLOOKUP(B649,[1]怪物!$N$34:$T$233,2,0)</f>
        <v>48900</v>
      </c>
      <c r="E649">
        <f>VLOOKUP(B649,[2]怪物!$N$134:$T$233,5,0)</f>
        <v>300</v>
      </c>
      <c r="F649" s="1">
        <f t="shared" si="117"/>
        <v>8500</v>
      </c>
      <c r="H649" t="str">
        <f t="shared" si="113"/>
        <v>{cd,3000}</v>
      </c>
      <c r="I649" t="str">
        <f t="shared" si="114"/>
        <v>{hp,48900}</v>
      </c>
      <c r="J649" t="str">
        <f t="shared" si="115"/>
        <v>{atk,300}</v>
      </c>
      <c r="K649" t="str">
        <f t="shared" si="116"/>
        <v>{spd,8500}</v>
      </c>
      <c r="L649" t="str">
        <f t="shared" si="118"/>
        <v/>
      </c>
      <c r="O649" t="str">
        <f t="shared" si="119"/>
        <v>[{cd,3000},{hp,48900},{atk,300},{spd,8500}]</v>
      </c>
    </row>
    <row r="650" spans="1:15">
      <c r="A650">
        <f>Sheet1!E652</f>
        <v>102</v>
      </c>
      <c r="B650">
        <f t="shared" si="112"/>
        <v>130</v>
      </c>
      <c r="C650">
        <v>3000</v>
      </c>
      <c r="D650">
        <f>VLOOKUP(B650,[1]怪物!$N$34:$T$233,3,0)</f>
        <v>58680</v>
      </c>
      <c r="E650">
        <f>VLOOKUP(B650,[2]怪物!$N$134:$T$233,6,0)</f>
        <v>360</v>
      </c>
      <c r="F650" s="1">
        <f t="shared" si="117"/>
        <v>8500</v>
      </c>
      <c r="H650" t="str">
        <f t="shared" si="113"/>
        <v>{cd,3000}</v>
      </c>
      <c r="I650" t="str">
        <f t="shared" si="114"/>
        <v>{hp,58680}</v>
      </c>
      <c r="J650" t="str">
        <f t="shared" si="115"/>
        <v>{atk,360}</v>
      </c>
      <c r="K650" t="str">
        <f t="shared" si="116"/>
        <v>{spd,8500}</v>
      </c>
      <c r="L650" t="str">
        <f t="shared" si="118"/>
        <v/>
      </c>
      <c r="O650" t="str">
        <f t="shared" si="119"/>
        <v>[{cd,3000},{hp,58680},{atk,360},{spd,8500}]</v>
      </c>
    </row>
    <row r="651" spans="1:15">
      <c r="A651">
        <f>Sheet1!E653</f>
        <v>105</v>
      </c>
      <c r="B651">
        <f t="shared" si="112"/>
        <v>130</v>
      </c>
      <c r="C651">
        <v>3000</v>
      </c>
      <c r="D651">
        <f>VLOOKUP(B651,[1]怪物!$N$34:$T$233,4,0)</f>
        <v>73350</v>
      </c>
      <c r="E651">
        <f>VLOOKUP(B651,[2]怪物!$N$134:$T$233,7,0)</f>
        <v>450</v>
      </c>
      <c r="F651" s="1">
        <f t="shared" si="117"/>
        <v>8500</v>
      </c>
      <c r="H651" t="str">
        <f t="shared" si="113"/>
        <v>{cd,3000}</v>
      </c>
      <c r="I651" t="str">
        <f t="shared" si="114"/>
        <v>{hp,73350}</v>
      </c>
      <c r="J651" t="str">
        <f t="shared" si="115"/>
        <v>{atk,450}</v>
      </c>
      <c r="K651" t="str">
        <f t="shared" si="116"/>
        <v>{spd,8500}</v>
      </c>
      <c r="L651" t="str">
        <f t="shared" si="118"/>
        <v/>
      </c>
      <c r="O651" t="str">
        <f t="shared" si="119"/>
        <v>[{cd,3000},{hp,73350},{atk,450},{spd,8500}]</v>
      </c>
    </row>
    <row r="652" spans="1:15">
      <c r="A652">
        <f>Sheet1!E654</f>
        <v>502</v>
      </c>
      <c r="B652">
        <f t="shared" si="112"/>
        <v>130</v>
      </c>
      <c r="C652">
        <v>3000</v>
      </c>
      <c r="D652">
        <f>VLOOKUP(B652,[1]怪物!$U$34:$Y$234,2,0)</f>
        <v>2934000</v>
      </c>
      <c r="E652">
        <f>VLOOKUP(B652,[2]怪物!$U$134:$Y$233,4,0)</f>
        <v>750</v>
      </c>
      <c r="F652" s="1">
        <f t="shared" si="117"/>
        <v>8500</v>
      </c>
      <c r="H652" t="str">
        <f t="shared" si="113"/>
        <v>{cd,3000}</v>
      </c>
      <c r="I652" t="str">
        <f t="shared" si="114"/>
        <v>{hp,2934000}</v>
      </c>
      <c r="J652" t="str">
        <f t="shared" si="115"/>
        <v>{atk,750}</v>
      </c>
      <c r="K652" t="str">
        <f t="shared" si="116"/>
        <v>{spd,8500}</v>
      </c>
      <c r="L652" t="str">
        <f t="shared" si="118"/>
        <v/>
      </c>
      <c r="O652" t="str">
        <f t="shared" si="119"/>
        <v>[{cd,3000},{hp,2934000},{atk,750},{spd,8500}]</v>
      </c>
    </row>
    <row r="653" spans="1:15">
      <c r="A653">
        <f>Sheet1!E655</f>
        <v>500</v>
      </c>
      <c r="B653">
        <f t="shared" si="112"/>
        <v>130</v>
      </c>
      <c r="C653">
        <v>3000</v>
      </c>
      <c r="D653">
        <f>VLOOKUP(B653,[1]怪物!$U$34:$Y$234,3,0)</f>
        <v>3912000</v>
      </c>
      <c r="E653">
        <f>VLOOKUP(B653,[2]怪物!$U$134:$Y$233,5,0)</f>
        <v>1500</v>
      </c>
      <c r="F653" s="1">
        <f t="shared" si="117"/>
        <v>8500</v>
      </c>
      <c r="H653" t="str">
        <f t="shared" si="113"/>
        <v>{cd,3000}</v>
      </c>
      <c r="I653" t="str">
        <f t="shared" si="114"/>
        <v>{hp,3912000}</v>
      </c>
      <c r="J653" t="str">
        <f t="shared" si="115"/>
        <v>{atk,1500}</v>
      </c>
      <c r="K653" t="str">
        <f t="shared" si="116"/>
        <v>{spd,8500}</v>
      </c>
      <c r="L653" t="str">
        <f t="shared" si="118"/>
        <v/>
      </c>
      <c r="O653" t="str">
        <f t="shared" si="119"/>
        <v>[{cd,3000},{hp,3912000},{atk,1500},{spd,8500}]</v>
      </c>
    </row>
    <row r="654" spans="1:15">
      <c r="A654">
        <f>Sheet1!E656</f>
        <v>121</v>
      </c>
      <c r="B654">
        <f t="shared" si="112"/>
        <v>131</v>
      </c>
      <c r="C654">
        <v>3000</v>
      </c>
      <c r="D654">
        <f>VLOOKUP(B654,[1]怪物!$N$34:$T$233,2,0)</f>
        <v>48100</v>
      </c>
      <c r="E654">
        <f>VLOOKUP(B654,[2]怪物!$N$134:$T$233,5,0)</f>
        <v>274</v>
      </c>
      <c r="F654" s="1">
        <f>VLOOKUP(A654,$W:$AB,6,0)</f>
        <v>8500</v>
      </c>
      <c r="H654" t="str">
        <f t="shared" ref="H654:H703" si="120">$C$2&amp;C$3&amp;$D$2&amp;C654&amp;$E$2</f>
        <v>{cd,3000}</v>
      </c>
      <c r="I654" t="str">
        <f t="shared" ref="I654:I703" si="121">$C$2&amp;D$3&amp;$D$2&amp;D654&amp;$E$2</f>
        <v>{hp,48100}</v>
      </c>
      <c r="J654" t="str">
        <f t="shared" ref="J654:J703" si="122">$C$2&amp;E$3&amp;$D$2&amp;E654&amp;$E$2</f>
        <v>{atk,274}</v>
      </c>
      <c r="K654" t="str">
        <f t="shared" ref="K654:K703" si="123">$C$2&amp;F$3&amp;$D$2&amp;F654&amp;$E$2</f>
        <v>{spd,8500}</v>
      </c>
      <c r="L654" t="str">
        <f t="shared" si="118"/>
        <v>{firingDmgDown,5000}</v>
      </c>
      <c r="O654" t="str">
        <f t="shared" si="119"/>
        <v>[{cd,3000},{hp,48100},{atk,274},{spd,8500},{firingDmgDown,5000}]</v>
      </c>
    </row>
    <row r="655" spans="1:15">
      <c r="A655">
        <f>Sheet1!E657</f>
        <v>112</v>
      </c>
      <c r="B655">
        <f t="shared" si="112"/>
        <v>131</v>
      </c>
      <c r="C655">
        <v>3000</v>
      </c>
      <c r="D655">
        <f>VLOOKUP(B655,[1]怪物!$N$34:$T$233,3,0)</f>
        <v>57720</v>
      </c>
      <c r="E655">
        <f>VLOOKUP(B655,[2]怪物!$N$134:$T$233,6,0)</f>
        <v>329</v>
      </c>
      <c r="F655" s="1">
        <f t="shared" si="117"/>
        <v>8500</v>
      </c>
      <c r="H655" t="str">
        <f t="shared" si="120"/>
        <v>{cd,3000}</v>
      </c>
      <c r="I655" t="str">
        <f t="shared" si="121"/>
        <v>{hp,57720}</v>
      </c>
      <c r="J655" t="str">
        <f t="shared" si="122"/>
        <v>{atk,329}</v>
      </c>
      <c r="K655" t="str">
        <f t="shared" si="123"/>
        <v>{spd,8500}</v>
      </c>
      <c r="L655" t="str">
        <f t="shared" si="118"/>
        <v/>
      </c>
      <c r="O655" t="str">
        <f t="shared" si="119"/>
        <v>[{cd,3000},{hp,57720},{atk,329},{spd,8500}]</v>
      </c>
    </row>
    <row r="656" spans="1:15">
      <c r="A656">
        <f>Sheet1!E658</f>
        <v>113</v>
      </c>
      <c r="B656">
        <f t="shared" si="112"/>
        <v>131</v>
      </c>
      <c r="C656">
        <v>3000</v>
      </c>
      <c r="D656">
        <f>VLOOKUP(B656,[1]怪物!$N$34:$T$233,4,0)</f>
        <v>72150</v>
      </c>
      <c r="E656">
        <f>VLOOKUP(B656,[2]怪物!$N$134:$T$233,7,0)</f>
        <v>411</v>
      </c>
      <c r="F656" s="1">
        <f t="shared" si="117"/>
        <v>8500</v>
      </c>
      <c r="H656" t="str">
        <f t="shared" si="120"/>
        <v>{cd,3000}</v>
      </c>
      <c r="I656" t="str">
        <f t="shared" si="121"/>
        <v>{hp,72150}</v>
      </c>
      <c r="J656" t="str">
        <f t="shared" si="122"/>
        <v>{atk,411}</v>
      </c>
      <c r="K656" t="str">
        <f t="shared" si="123"/>
        <v>{spd,8500}</v>
      </c>
      <c r="L656" t="str">
        <f t="shared" si="118"/>
        <v/>
      </c>
      <c r="O656" t="str">
        <f t="shared" si="119"/>
        <v>[{cd,3000},{hp,72150},{atk,411},{spd,8500}]</v>
      </c>
    </row>
    <row r="657" spans="1:15">
      <c r="A657">
        <f>Sheet1!E659</f>
        <v>521</v>
      </c>
      <c r="B657">
        <f t="shared" ref="B657:B720" si="124">B652+1</f>
        <v>131</v>
      </c>
      <c r="C657">
        <v>3000</v>
      </c>
      <c r="D657">
        <f>VLOOKUP(B657,[1]怪物!$U$34:$Y$234,2,0)</f>
        <v>2886000</v>
      </c>
      <c r="E657">
        <f>VLOOKUP(B657,[2]怪物!$U$134:$Y$233,4,0)</f>
        <v>685</v>
      </c>
      <c r="F657" s="1">
        <f t="shared" si="117"/>
        <v>8500</v>
      </c>
      <c r="H657" t="str">
        <f t="shared" si="120"/>
        <v>{cd,3000}</v>
      </c>
      <c r="I657" t="str">
        <f t="shared" si="121"/>
        <v>{hp,2886000}</v>
      </c>
      <c r="J657" t="str">
        <f t="shared" si="122"/>
        <v>{atk,685}</v>
      </c>
      <c r="K657" t="str">
        <f t="shared" si="123"/>
        <v>{spd,8500}</v>
      </c>
      <c r="L657" t="str">
        <f t="shared" si="118"/>
        <v>{firingDmgDown,5000}</v>
      </c>
      <c r="O657" t="str">
        <f t="shared" si="119"/>
        <v>[{cd,3000},{hp,2886000},{atk,685},{spd,8500},{firingDmgDown,5000}]</v>
      </c>
    </row>
    <row r="658" spans="1:15">
      <c r="A658">
        <f>Sheet1!E660</f>
        <v>521</v>
      </c>
      <c r="B658">
        <f t="shared" si="124"/>
        <v>131</v>
      </c>
      <c r="C658">
        <v>3000</v>
      </c>
      <c r="D658">
        <f>VLOOKUP(B658,[1]怪物!$U$34:$Y$234,3,0)</f>
        <v>3848000</v>
      </c>
      <c r="E658">
        <f>VLOOKUP(B658,[2]怪物!$U$134:$Y$233,5,0)</f>
        <v>1370</v>
      </c>
      <c r="F658" s="1">
        <f t="shared" si="117"/>
        <v>8500</v>
      </c>
      <c r="H658" t="str">
        <f t="shared" si="120"/>
        <v>{cd,3000}</v>
      </c>
      <c r="I658" t="str">
        <f t="shared" si="121"/>
        <v>{hp,3848000}</v>
      </c>
      <c r="J658" t="str">
        <f t="shared" si="122"/>
        <v>{atk,1370}</v>
      </c>
      <c r="K658" t="str">
        <f t="shared" si="123"/>
        <v>{spd,8500}</v>
      </c>
      <c r="L658" t="str">
        <f t="shared" si="118"/>
        <v>{firingDmgDown,5000}</v>
      </c>
      <c r="O658" t="str">
        <f t="shared" si="119"/>
        <v>[{cd,3000},{hp,3848000},{atk,1370},{spd,8500},{firingDmgDown,5000}]</v>
      </c>
    </row>
    <row r="659" spans="1:15">
      <c r="A659">
        <f>Sheet1!E661</f>
        <v>122</v>
      </c>
      <c r="B659">
        <f t="shared" si="124"/>
        <v>132</v>
      </c>
      <c r="C659">
        <v>3000</v>
      </c>
      <c r="D659">
        <f>VLOOKUP(B659,[1]怪物!$N$34:$T$233,2,0)</f>
        <v>48900</v>
      </c>
      <c r="E659">
        <f>VLOOKUP(B659,[2]怪物!$N$134:$T$233,5,0)</f>
        <v>280</v>
      </c>
      <c r="F659" s="1">
        <f t="shared" si="117"/>
        <v>8500</v>
      </c>
      <c r="H659" t="str">
        <f t="shared" si="120"/>
        <v>{cd,3000}</v>
      </c>
      <c r="I659" t="str">
        <f t="shared" si="121"/>
        <v>{hp,48900}</v>
      </c>
      <c r="J659" t="str">
        <f t="shared" si="122"/>
        <v>{atk,280}</v>
      </c>
      <c r="K659" t="str">
        <f t="shared" si="123"/>
        <v>{spd,8500}</v>
      </c>
      <c r="L659" t="str">
        <f t="shared" si="118"/>
        <v/>
      </c>
      <c r="O659" t="str">
        <f t="shared" si="119"/>
        <v>[{cd,3000},{hp,48900},{atk,280},{spd,8500}]</v>
      </c>
    </row>
    <row r="660" spans="1:15">
      <c r="A660">
        <f>Sheet1!E662</f>
        <v>112</v>
      </c>
      <c r="B660">
        <f t="shared" si="124"/>
        <v>132</v>
      </c>
      <c r="C660">
        <v>3000</v>
      </c>
      <c r="D660">
        <f>VLOOKUP(B660,[1]怪物!$N$34:$T$233,3,0)</f>
        <v>58680</v>
      </c>
      <c r="E660">
        <f>VLOOKUP(B660,[2]怪物!$N$134:$T$233,6,0)</f>
        <v>336</v>
      </c>
      <c r="F660" s="1">
        <f t="shared" si="117"/>
        <v>8500</v>
      </c>
      <c r="H660" t="str">
        <f t="shared" si="120"/>
        <v>{cd,3000}</v>
      </c>
      <c r="I660" t="str">
        <f t="shared" si="121"/>
        <v>{hp,58680}</v>
      </c>
      <c r="J660" t="str">
        <f t="shared" si="122"/>
        <v>{atk,336}</v>
      </c>
      <c r="K660" t="str">
        <f t="shared" si="123"/>
        <v>{spd,8500}</v>
      </c>
      <c r="L660" t="str">
        <f t="shared" si="118"/>
        <v/>
      </c>
      <c r="O660" t="str">
        <f t="shared" si="119"/>
        <v>[{cd,3000},{hp,58680},{atk,336},{spd,8500}]</v>
      </c>
    </row>
    <row r="661" spans="1:15">
      <c r="A661">
        <f>Sheet1!E663</f>
        <v>115</v>
      </c>
      <c r="B661">
        <f t="shared" si="124"/>
        <v>132</v>
      </c>
      <c r="C661">
        <v>3000</v>
      </c>
      <c r="D661">
        <f>VLOOKUP(B661,[1]怪物!$N$34:$T$233,4,0)</f>
        <v>73350</v>
      </c>
      <c r="E661">
        <f>VLOOKUP(B661,[2]怪物!$N$134:$T$233,7,0)</f>
        <v>420</v>
      </c>
      <c r="F661" s="1">
        <f t="shared" si="117"/>
        <v>8500</v>
      </c>
      <c r="H661" t="str">
        <f t="shared" si="120"/>
        <v>{cd,3000}</v>
      </c>
      <c r="I661" t="str">
        <f t="shared" si="121"/>
        <v>{hp,73350}</v>
      </c>
      <c r="J661" t="str">
        <f t="shared" si="122"/>
        <v>{atk,420}</v>
      </c>
      <c r="K661" t="str">
        <f t="shared" si="123"/>
        <v>{spd,8500}</v>
      </c>
      <c r="L661" t="str">
        <f t="shared" si="118"/>
        <v/>
      </c>
      <c r="O661" t="str">
        <f t="shared" si="119"/>
        <v>[{cd,3000},{hp,73350},{atk,420},{spd,8500}]</v>
      </c>
    </row>
    <row r="662" spans="1:15">
      <c r="A662">
        <f>Sheet1!E664</f>
        <v>522</v>
      </c>
      <c r="B662">
        <f t="shared" si="124"/>
        <v>132</v>
      </c>
      <c r="C662">
        <v>3000</v>
      </c>
      <c r="D662">
        <f>VLOOKUP(B662,[1]怪物!$U$34:$Y$234,2,0)</f>
        <v>2934000</v>
      </c>
      <c r="E662">
        <f>VLOOKUP(B662,[2]怪物!$U$134:$Y$233,4,0)</f>
        <v>700</v>
      </c>
      <c r="F662" s="1">
        <f t="shared" si="117"/>
        <v>8500</v>
      </c>
      <c r="H662" t="str">
        <f t="shared" si="120"/>
        <v>{cd,3000}</v>
      </c>
      <c r="I662" t="str">
        <f t="shared" si="121"/>
        <v>{hp,2934000}</v>
      </c>
      <c r="J662" t="str">
        <f t="shared" si="122"/>
        <v>{atk,700}</v>
      </c>
      <c r="K662" t="str">
        <f t="shared" si="123"/>
        <v>{spd,8500}</v>
      </c>
      <c r="L662" t="str">
        <f t="shared" si="118"/>
        <v/>
      </c>
      <c r="O662" t="str">
        <f t="shared" si="119"/>
        <v>[{cd,3000},{hp,2934000},{atk,700},{spd,8500}]</v>
      </c>
    </row>
    <row r="663" spans="1:15">
      <c r="A663">
        <f>Sheet1!E665</f>
        <v>522</v>
      </c>
      <c r="B663">
        <f t="shared" si="124"/>
        <v>132</v>
      </c>
      <c r="C663">
        <v>3000</v>
      </c>
      <c r="D663">
        <f>VLOOKUP(B663,[1]怪物!$U$34:$Y$234,3,0)</f>
        <v>3912000</v>
      </c>
      <c r="E663">
        <f>VLOOKUP(B663,[2]怪物!$U$134:$Y$233,5,0)</f>
        <v>1400</v>
      </c>
      <c r="F663" s="1">
        <f t="shared" si="117"/>
        <v>8500</v>
      </c>
      <c r="H663" t="str">
        <f t="shared" si="120"/>
        <v>{cd,3000}</v>
      </c>
      <c r="I663" t="str">
        <f t="shared" si="121"/>
        <v>{hp,3912000}</v>
      </c>
      <c r="J663" t="str">
        <f t="shared" si="122"/>
        <v>{atk,1400}</v>
      </c>
      <c r="K663" t="str">
        <f t="shared" si="123"/>
        <v>{spd,8500}</v>
      </c>
      <c r="L663" t="str">
        <f t="shared" si="118"/>
        <v/>
      </c>
      <c r="O663" t="str">
        <f t="shared" si="119"/>
        <v>[{cd,3000},{hp,3912000},{atk,1400},{spd,8500}]</v>
      </c>
    </row>
    <row r="664" spans="1:15">
      <c r="A664">
        <f>Sheet1!E666</f>
        <v>103</v>
      </c>
      <c r="B664">
        <f t="shared" si="124"/>
        <v>133</v>
      </c>
      <c r="C664">
        <v>3000</v>
      </c>
      <c r="D664">
        <f>VLOOKUP(B664,[1]怪物!$N$34:$T$233,2,0)</f>
        <v>49900</v>
      </c>
      <c r="E664">
        <f>VLOOKUP(B664,[2]怪物!$N$134:$T$233,5,0)</f>
        <v>286</v>
      </c>
      <c r="F664" s="1">
        <f t="shared" si="117"/>
        <v>8500</v>
      </c>
      <c r="H664" t="str">
        <f t="shared" si="120"/>
        <v>{cd,3000}</v>
      </c>
      <c r="I664" t="str">
        <f t="shared" si="121"/>
        <v>{hp,49900}</v>
      </c>
      <c r="J664" t="str">
        <f t="shared" si="122"/>
        <v>{atk,286}</v>
      </c>
      <c r="K664" t="str">
        <f t="shared" si="123"/>
        <v>{spd,8500}</v>
      </c>
      <c r="L664" t="str">
        <f t="shared" si="118"/>
        <v/>
      </c>
      <c r="O664" t="str">
        <f t="shared" si="119"/>
        <v>[{cd,3000},{hp,49900},{atk,286},{spd,8500}]</v>
      </c>
    </row>
    <row r="665" spans="1:15">
      <c r="A665">
        <f>Sheet1!E667</f>
        <v>123</v>
      </c>
      <c r="B665">
        <f t="shared" si="124"/>
        <v>133</v>
      </c>
      <c r="C665">
        <v>3000</v>
      </c>
      <c r="D665">
        <f>VLOOKUP(B665,[1]怪物!$N$34:$T$233,3,0)</f>
        <v>59880</v>
      </c>
      <c r="E665">
        <f>VLOOKUP(B665,[2]怪物!$N$134:$T$233,6,0)</f>
        <v>343</v>
      </c>
      <c r="F665" s="1">
        <f t="shared" si="117"/>
        <v>8500</v>
      </c>
      <c r="H665" t="str">
        <f t="shared" si="120"/>
        <v>{cd,3000}</v>
      </c>
      <c r="I665" t="str">
        <f t="shared" si="121"/>
        <v>{hp,59880}</v>
      </c>
      <c r="J665" t="str">
        <f t="shared" si="122"/>
        <v>{atk,343}</v>
      </c>
      <c r="K665" t="str">
        <f t="shared" si="123"/>
        <v>{spd,8500}</v>
      </c>
      <c r="L665" t="str">
        <f t="shared" si="118"/>
        <v/>
      </c>
      <c r="O665" t="str">
        <f t="shared" si="119"/>
        <v>[{cd,3000},{hp,59880},{atk,343},{spd,8500}]</v>
      </c>
    </row>
    <row r="666" spans="1:15">
      <c r="A666">
        <f>Sheet1!E668</f>
        <v>123</v>
      </c>
      <c r="B666">
        <f t="shared" si="124"/>
        <v>133</v>
      </c>
      <c r="C666">
        <v>3000</v>
      </c>
      <c r="D666">
        <f>VLOOKUP(B666,[1]怪物!$N$34:$T$233,4,0)</f>
        <v>74850</v>
      </c>
      <c r="E666">
        <f>VLOOKUP(B666,[2]怪物!$N$134:$T$233,7,0)</f>
        <v>429</v>
      </c>
      <c r="F666" s="1">
        <f t="shared" si="117"/>
        <v>8500</v>
      </c>
      <c r="H666" t="str">
        <f t="shared" si="120"/>
        <v>{cd,3000}</v>
      </c>
      <c r="I666" t="str">
        <f t="shared" si="121"/>
        <v>{hp,74850}</v>
      </c>
      <c r="J666" t="str">
        <f t="shared" si="122"/>
        <v>{atk,429}</v>
      </c>
      <c r="K666" t="str">
        <f t="shared" si="123"/>
        <v>{spd,8500}</v>
      </c>
      <c r="L666" t="str">
        <f t="shared" si="118"/>
        <v/>
      </c>
      <c r="O666" t="str">
        <f t="shared" si="119"/>
        <v>[{cd,3000},{hp,74850},{atk,429},{spd,8500}]</v>
      </c>
    </row>
    <row r="667" spans="1:15">
      <c r="A667">
        <f>Sheet1!E669</f>
        <v>523</v>
      </c>
      <c r="B667">
        <f t="shared" si="124"/>
        <v>133</v>
      </c>
      <c r="C667">
        <v>3000</v>
      </c>
      <c r="D667">
        <f>VLOOKUP(B667,[1]怪物!$U$34:$Y$234,2,0)</f>
        <v>2994000</v>
      </c>
      <c r="E667">
        <f>VLOOKUP(B667,[2]怪物!$U$134:$Y$233,4,0)</f>
        <v>715</v>
      </c>
      <c r="F667" s="1">
        <f t="shared" si="117"/>
        <v>8500</v>
      </c>
      <c r="H667" t="str">
        <f t="shared" si="120"/>
        <v>{cd,3000}</v>
      </c>
      <c r="I667" t="str">
        <f t="shared" si="121"/>
        <v>{hp,2994000}</v>
      </c>
      <c r="J667" t="str">
        <f t="shared" si="122"/>
        <v>{atk,715}</v>
      </c>
      <c r="K667" t="str">
        <f t="shared" si="123"/>
        <v>{spd,8500}</v>
      </c>
      <c r="L667" t="str">
        <f t="shared" si="118"/>
        <v/>
      </c>
      <c r="O667" t="str">
        <f t="shared" si="119"/>
        <v>[{cd,3000},{hp,2994000},{atk,715},{spd,8500}]</v>
      </c>
    </row>
    <row r="668" spans="1:15">
      <c r="A668">
        <f>Sheet1!E670</f>
        <v>523</v>
      </c>
      <c r="B668">
        <f t="shared" si="124"/>
        <v>133</v>
      </c>
      <c r="C668">
        <v>3000</v>
      </c>
      <c r="D668">
        <f>VLOOKUP(B668,[1]怪物!$U$34:$Y$234,3,0)</f>
        <v>3992000</v>
      </c>
      <c r="E668">
        <f>VLOOKUP(B668,[2]怪物!$U$134:$Y$233,5,0)</f>
        <v>1430</v>
      </c>
      <c r="F668" s="1">
        <f t="shared" si="117"/>
        <v>8500</v>
      </c>
      <c r="H668" t="str">
        <f t="shared" si="120"/>
        <v>{cd,3000}</v>
      </c>
      <c r="I668" t="str">
        <f t="shared" si="121"/>
        <v>{hp,3992000}</v>
      </c>
      <c r="J668" t="str">
        <f t="shared" si="122"/>
        <v>{atk,1430}</v>
      </c>
      <c r="K668" t="str">
        <f t="shared" si="123"/>
        <v>{spd,8500}</v>
      </c>
      <c r="L668" t="str">
        <f t="shared" si="118"/>
        <v/>
      </c>
      <c r="O668" t="str">
        <f t="shared" si="119"/>
        <v>[{cd,3000},{hp,3992000},{atk,1430},{spd,8500}]</v>
      </c>
    </row>
    <row r="669" spans="1:15">
      <c r="A669">
        <f>Sheet1!E671</f>
        <v>100</v>
      </c>
      <c r="B669">
        <f t="shared" si="124"/>
        <v>134</v>
      </c>
      <c r="C669">
        <v>3000</v>
      </c>
      <c r="D669">
        <f>VLOOKUP(B669,[1]怪物!$N$34:$T$233,2,0)</f>
        <v>51400</v>
      </c>
      <c r="E669">
        <f>VLOOKUP(B669,[2]怪物!$N$134:$T$233,5,0)</f>
        <v>320</v>
      </c>
      <c r="F669" s="1">
        <f t="shared" si="117"/>
        <v>8500</v>
      </c>
      <c r="H669" t="str">
        <f t="shared" si="120"/>
        <v>{cd,3000}</v>
      </c>
      <c r="I669" t="str">
        <f t="shared" si="121"/>
        <v>{hp,51400}</v>
      </c>
      <c r="J669" t="str">
        <f t="shared" si="122"/>
        <v>{atk,320}</v>
      </c>
      <c r="K669" t="str">
        <f t="shared" si="123"/>
        <v>{spd,8500}</v>
      </c>
      <c r="L669" t="str">
        <f t="shared" si="118"/>
        <v/>
      </c>
      <c r="O669" t="str">
        <f t="shared" si="119"/>
        <v>[{cd,3000},{hp,51400},{atk,320},{spd,8500}]</v>
      </c>
    </row>
    <row r="670" spans="1:15">
      <c r="A670">
        <f>Sheet1!E672</f>
        <v>102</v>
      </c>
      <c r="B670">
        <f t="shared" si="124"/>
        <v>134</v>
      </c>
      <c r="C670">
        <v>3000</v>
      </c>
      <c r="D670">
        <f>VLOOKUP(B670,[1]怪物!$N$34:$T$233,3,0)</f>
        <v>61680</v>
      </c>
      <c r="E670">
        <f>VLOOKUP(B670,[2]怪物!$N$134:$T$233,6,0)</f>
        <v>384</v>
      </c>
      <c r="F670" s="1">
        <f t="shared" si="117"/>
        <v>8500</v>
      </c>
      <c r="H670" t="str">
        <f t="shared" si="120"/>
        <v>{cd,3000}</v>
      </c>
      <c r="I670" t="str">
        <f t="shared" si="121"/>
        <v>{hp,61680}</v>
      </c>
      <c r="J670" t="str">
        <f t="shared" si="122"/>
        <v>{atk,384}</v>
      </c>
      <c r="K670" t="str">
        <f t="shared" si="123"/>
        <v>{spd,8500}</v>
      </c>
      <c r="L670" t="str">
        <f t="shared" si="118"/>
        <v/>
      </c>
      <c r="O670" t="str">
        <f t="shared" si="119"/>
        <v>[{cd,3000},{hp,61680},{atk,384},{spd,8500}]</v>
      </c>
    </row>
    <row r="671" spans="1:15">
      <c r="A671">
        <f>Sheet1!E673</f>
        <v>105</v>
      </c>
      <c r="B671">
        <f t="shared" si="124"/>
        <v>134</v>
      </c>
      <c r="C671">
        <v>3000</v>
      </c>
      <c r="D671">
        <f>VLOOKUP(B671,[1]怪物!$N$34:$T$233,4,0)</f>
        <v>77100</v>
      </c>
      <c r="E671">
        <f>VLOOKUP(B671,[2]怪物!$N$134:$T$233,7,0)</f>
        <v>480</v>
      </c>
      <c r="F671" s="1">
        <f t="shared" si="117"/>
        <v>8500</v>
      </c>
      <c r="H671" t="str">
        <f t="shared" si="120"/>
        <v>{cd,3000}</v>
      </c>
      <c r="I671" t="str">
        <f t="shared" si="121"/>
        <v>{hp,77100}</v>
      </c>
      <c r="J671" t="str">
        <f t="shared" si="122"/>
        <v>{atk,480}</v>
      </c>
      <c r="K671" t="str">
        <f t="shared" si="123"/>
        <v>{spd,8500}</v>
      </c>
      <c r="L671" t="str">
        <f t="shared" si="118"/>
        <v/>
      </c>
      <c r="O671" t="str">
        <f t="shared" si="119"/>
        <v>[{cd,3000},{hp,77100},{atk,480},{spd,8500}]</v>
      </c>
    </row>
    <row r="672" spans="1:15">
      <c r="A672">
        <f>Sheet1!E674</f>
        <v>502</v>
      </c>
      <c r="B672">
        <f t="shared" si="124"/>
        <v>134</v>
      </c>
      <c r="C672">
        <v>3000</v>
      </c>
      <c r="D672">
        <f>VLOOKUP(B672,[1]怪物!$U$34:$Y$234,2,0)</f>
        <v>3084000</v>
      </c>
      <c r="E672">
        <f>VLOOKUP(B672,[2]怪物!$U$134:$Y$233,4,0)</f>
        <v>800</v>
      </c>
      <c r="F672" s="1">
        <f t="shared" si="117"/>
        <v>8500</v>
      </c>
      <c r="H672" t="str">
        <f t="shared" si="120"/>
        <v>{cd,3000}</v>
      </c>
      <c r="I672" t="str">
        <f t="shared" si="121"/>
        <v>{hp,3084000}</v>
      </c>
      <c r="J672" t="str">
        <f t="shared" si="122"/>
        <v>{atk,800}</v>
      </c>
      <c r="K672" t="str">
        <f t="shared" si="123"/>
        <v>{spd,8500}</v>
      </c>
      <c r="L672" t="str">
        <f t="shared" si="118"/>
        <v/>
      </c>
      <c r="O672" t="str">
        <f t="shared" si="119"/>
        <v>[{cd,3000},{hp,3084000},{atk,800},{spd,8500}]</v>
      </c>
    </row>
    <row r="673" spans="1:15">
      <c r="A673">
        <f>Sheet1!E675</f>
        <v>500</v>
      </c>
      <c r="B673">
        <f t="shared" si="124"/>
        <v>134</v>
      </c>
      <c r="C673">
        <v>3000</v>
      </c>
      <c r="D673">
        <f>VLOOKUP(B673,[1]怪物!$U$34:$Y$234,3,0)</f>
        <v>4112000</v>
      </c>
      <c r="E673">
        <f>VLOOKUP(B673,[2]怪物!$U$134:$Y$233,5,0)</f>
        <v>1600</v>
      </c>
      <c r="F673" s="1">
        <f t="shared" si="117"/>
        <v>8500</v>
      </c>
      <c r="H673" t="str">
        <f t="shared" si="120"/>
        <v>{cd,3000}</v>
      </c>
      <c r="I673" t="str">
        <f t="shared" si="121"/>
        <v>{hp,4112000}</v>
      </c>
      <c r="J673" t="str">
        <f t="shared" si="122"/>
        <v>{atk,1600}</v>
      </c>
      <c r="K673" t="str">
        <f t="shared" si="123"/>
        <v>{spd,8500}</v>
      </c>
      <c r="L673" t="str">
        <f t="shared" si="118"/>
        <v/>
      </c>
      <c r="O673" t="str">
        <f t="shared" si="119"/>
        <v>[{cd,3000},{hp,4112000},{atk,1600},{spd,8500}]</v>
      </c>
    </row>
    <row r="674" spans="1:15">
      <c r="A674">
        <f>Sheet1!E676</f>
        <v>103</v>
      </c>
      <c r="B674">
        <f t="shared" si="124"/>
        <v>135</v>
      </c>
      <c r="C674">
        <v>3000</v>
      </c>
      <c r="D674">
        <f>VLOOKUP(B674,[1]怪物!$N$34:$T$233,2,0)</f>
        <v>50500</v>
      </c>
      <c r="E674">
        <f>VLOOKUP(B674,[2]怪物!$N$134:$T$233,5,0)</f>
        <v>292</v>
      </c>
      <c r="F674" s="1">
        <f t="shared" si="117"/>
        <v>8500</v>
      </c>
      <c r="H674" t="str">
        <f t="shared" si="120"/>
        <v>{cd,3000}</v>
      </c>
      <c r="I674" t="str">
        <f t="shared" si="121"/>
        <v>{hp,50500}</v>
      </c>
      <c r="J674" t="str">
        <f t="shared" si="122"/>
        <v>{atk,292}</v>
      </c>
      <c r="K674" t="str">
        <f t="shared" si="123"/>
        <v>{spd,8500}</v>
      </c>
      <c r="L674" t="str">
        <f t="shared" si="118"/>
        <v/>
      </c>
      <c r="O674" t="str">
        <f t="shared" si="119"/>
        <v>[{cd,3000},{hp,50500},{atk,292},{spd,8500}]</v>
      </c>
    </row>
    <row r="675" spans="1:15">
      <c r="A675">
        <f>Sheet1!E677</f>
        <v>104</v>
      </c>
      <c r="B675">
        <f t="shared" si="124"/>
        <v>135</v>
      </c>
      <c r="C675">
        <v>3000</v>
      </c>
      <c r="D675">
        <f>VLOOKUP(B675,[1]怪物!$N$34:$T$233,3,0)</f>
        <v>60600</v>
      </c>
      <c r="E675">
        <f>VLOOKUP(B675,[2]怪物!$N$134:$T$233,6,0)</f>
        <v>350</v>
      </c>
      <c r="F675" s="1">
        <f t="shared" si="117"/>
        <v>8500</v>
      </c>
      <c r="H675" t="str">
        <f t="shared" si="120"/>
        <v>{cd,3000}</v>
      </c>
      <c r="I675" t="str">
        <f t="shared" si="121"/>
        <v>{hp,60600}</v>
      </c>
      <c r="J675" t="str">
        <f t="shared" si="122"/>
        <v>{atk,350}</v>
      </c>
      <c r="K675" t="str">
        <f t="shared" si="123"/>
        <v>{spd,8500}</v>
      </c>
      <c r="L675" t="str">
        <f t="shared" si="118"/>
        <v/>
      </c>
      <c r="O675" t="str">
        <f t="shared" si="119"/>
        <v>[{cd,3000},{hp,60600},{atk,350},{spd,8500}]</v>
      </c>
    </row>
    <row r="676" spans="1:15">
      <c r="A676">
        <f>Sheet1!E678</f>
        <v>106</v>
      </c>
      <c r="B676">
        <f t="shared" si="124"/>
        <v>135</v>
      </c>
      <c r="C676">
        <v>3000</v>
      </c>
      <c r="D676">
        <f>VLOOKUP(B676,[1]怪物!$N$34:$T$233,4,0)</f>
        <v>75750</v>
      </c>
      <c r="E676">
        <f>VLOOKUP(B676,[2]怪物!$N$134:$T$233,7,0)</f>
        <v>438</v>
      </c>
      <c r="F676" s="1">
        <f t="shared" si="117"/>
        <v>8500</v>
      </c>
      <c r="H676" t="str">
        <f t="shared" si="120"/>
        <v>{cd,3000}</v>
      </c>
      <c r="I676" t="str">
        <f t="shared" si="121"/>
        <v>{hp,75750}</v>
      </c>
      <c r="J676" t="str">
        <f t="shared" si="122"/>
        <v>{atk,438}</v>
      </c>
      <c r="K676" t="str">
        <f t="shared" si="123"/>
        <v>{spd,8500}</v>
      </c>
      <c r="L676" t="str">
        <f t="shared" si="118"/>
        <v/>
      </c>
      <c r="O676" t="str">
        <f t="shared" si="119"/>
        <v>[{cd,3000},{hp,75750},{atk,438},{spd,8500}]</v>
      </c>
    </row>
    <row r="677" spans="1:15">
      <c r="A677">
        <f>Sheet1!E679</f>
        <v>503</v>
      </c>
      <c r="B677">
        <f t="shared" si="124"/>
        <v>135</v>
      </c>
      <c r="C677">
        <v>3000</v>
      </c>
      <c r="D677">
        <f>VLOOKUP(B677,[1]怪物!$U$34:$Y$234,2,0)</f>
        <v>3030000</v>
      </c>
      <c r="E677">
        <f>VLOOKUP(B677,[2]怪物!$U$134:$Y$233,4,0)</f>
        <v>730</v>
      </c>
      <c r="F677" s="1">
        <f t="shared" si="117"/>
        <v>8500</v>
      </c>
      <c r="H677" t="str">
        <f t="shared" si="120"/>
        <v>{cd,3000}</v>
      </c>
      <c r="I677" t="str">
        <f t="shared" si="121"/>
        <v>{hp,3030000}</v>
      </c>
      <c r="J677" t="str">
        <f t="shared" si="122"/>
        <v>{atk,730}</v>
      </c>
      <c r="K677" t="str">
        <f t="shared" si="123"/>
        <v>{spd,8500}</v>
      </c>
      <c r="L677" t="str">
        <f t="shared" si="118"/>
        <v/>
      </c>
      <c r="O677" t="str">
        <f t="shared" si="119"/>
        <v>[{cd,3000},{hp,3030000},{atk,730},{spd,8500}]</v>
      </c>
    </row>
    <row r="678" spans="1:15">
      <c r="A678">
        <f>Sheet1!E680</f>
        <v>503</v>
      </c>
      <c r="B678">
        <f t="shared" si="124"/>
        <v>135</v>
      </c>
      <c r="C678">
        <v>3000</v>
      </c>
      <c r="D678">
        <f>VLOOKUP(B678,[1]怪物!$U$34:$Y$234,3,0)</f>
        <v>4040000</v>
      </c>
      <c r="E678">
        <f>VLOOKUP(B678,[2]怪物!$U$134:$Y$233,5,0)</f>
        <v>1460</v>
      </c>
      <c r="F678" s="1">
        <f t="shared" si="117"/>
        <v>8500</v>
      </c>
      <c r="H678" t="str">
        <f t="shared" si="120"/>
        <v>{cd,3000}</v>
      </c>
      <c r="I678" t="str">
        <f t="shared" si="121"/>
        <v>{hp,4040000}</v>
      </c>
      <c r="J678" t="str">
        <f t="shared" si="122"/>
        <v>{atk,1460}</v>
      </c>
      <c r="K678" t="str">
        <f t="shared" si="123"/>
        <v>{spd,8500}</v>
      </c>
      <c r="L678" t="str">
        <f t="shared" si="118"/>
        <v/>
      </c>
      <c r="O678" t="str">
        <f t="shared" si="119"/>
        <v>[{cd,3000},{hp,4040000},{atk,1460},{spd,8500}]</v>
      </c>
    </row>
    <row r="679" spans="1:15">
      <c r="A679">
        <f>Sheet1!E681</f>
        <v>103</v>
      </c>
      <c r="B679">
        <f t="shared" si="124"/>
        <v>136</v>
      </c>
      <c r="C679">
        <v>3000</v>
      </c>
      <c r="D679">
        <f>VLOOKUP(B679,[1]怪物!$N$34:$T$233,2,0)</f>
        <v>51300</v>
      </c>
      <c r="E679">
        <f>VLOOKUP(B679,[2]怪物!$N$134:$T$233,5,0)</f>
        <v>298</v>
      </c>
      <c r="F679" s="1">
        <f t="shared" si="117"/>
        <v>8500</v>
      </c>
      <c r="H679" t="str">
        <f t="shared" si="120"/>
        <v>{cd,3000}</v>
      </c>
      <c r="I679" t="str">
        <f t="shared" si="121"/>
        <v>{hp,51300}</v>
      </c>
      <c r="J679" t="str">
        <f t="shared" si="122"/>
        <v>{atk,298}</v>
      </c>
      <c r="K679" t="str">
        <f t="shared" si="123"/>
        <v>{spd,8500}</v>
      </c>
      <c r="L679" t="str">
        <f t="shared" si="118"/>
        <v/>
      </c>
      <c r="O679" t="str">
        <f t="shared" si="119"/>
        <v>[{cd,3000},{hp,51300},{atk,298},{spd,8500}]</v>
      </c>
    </row>
    <row r="680" spans="1:15">
      <c r="A680">
        <f>Sheet1!E682</f>
        <v>104</v>
      </c>
      <c r="B680">
        <f t="shared" si="124"/>
        <v>136</v>
      </c>
      <c r="C680">
        <v>3000</v>
      </c>
      <c r="D680">
        <f>VLOOKUP(B680,[1]怪物!$N$34:$T$233,3,0)</f>
        <v>61560</v>
      </c>
      <c r="E680">
        <f>VLOOKUP(B680,[2]怪物!$N$134:$T$233,6,0)</f>
        <v>358</v>
      </c>
      <c r="F680" s="1">
        <f t="shared" si="117"/>
        <v>8500</v>
      </c>
      <c r="H680" t="str">
        <f t="shared" si="120"/>
        <v>{cd,3000}</v>
      </c>
      <c r="I680" t="str">
        <f t="shared" si="121"/>
        <v>{hp,61560}</v>
      </c>
      <c r="J680" t="str">
        <f t="shared" si="122"/>
        <v>{atk,358}</v>
      </c>
      <c r="K680" t="str">
        <f t="shared" si="123"/>
        <v>{spd,8500}</v>
      </c>
      <c r="L680" t="str">
        <f t="shared" si="118"/>
        <v/>
      </c>
      <c r="O680" t="str">
        <f t="shared" si="119"/>
        <v>[{cd,3000},{hp,61560},{atk,358},{spd,8500}]</v>
      </c>
    </row>
    <row r="681" spans="1:15">
      <c r="A681">
        <f>Sheet1!E683</f>
        <v>105</v>
      </c>
      <c r="B681">
        <f t="shared" si="124"/>
        <v>136</v>
      </c>
      <c r="C681">
        <v>3000</v>
      </c>
      <c r="D681">
        <f>VLOOKUP(B681,[1]怪物!$N$34:$T$233,4,0)</f>
        <v>76950</v>
      </c>
      <c r="E681">
        <f>VLOOKUP(B681,[2]怪物!$N$134:$T$233,7,0)</f>
        <v>447</v>
      </c>
      <c r="F681" s="1">
        <f t="shared" si="117"/>
        <v>8500</v>
      </c>
      <c r="H681" t="str">
        <f t="shared" si="120"/>
        <v>{cd,3000}</v>
      </c>
      <c r="I681" t="str">
        <f t="shared" si="121"/>
        <v>{hp,76950}</v>
      </c>
      <c r="J681" t="str">
        <f t="shared" si="122"/>
        <v>{atk,447}</v>
      </c>
      <c r="K681" t="str">
        <f t="shared" si="123"/>
        <v>{spd,8500}</v>
      </c>
      <c r="L681" t="str">
        <f t="shared" si="118"/>
        <v/>
      </c>
      <c r="O681" t="str">
        <f t="shared" si="119"/>
        <v>[{cd,3000},{hp,76950},{atk,447},{spd,8500}]</v>
      </c>
    </row>
    <row r="682" spans="1:15">
      <c r="A682">
        <f>Sheet1!E684</f>
        <v>103</v>
      </c>
      <c r="B682">
        <f t="shared" si="124"/>
        <v>136</v>
      </c>
      <c r="C682">
        <v>3000</v>
      </c>
      <c r="D682">
        <f>VLOOKUP(B682,[1]怪物!$U$34:$Y$234,2,0)</f>
        <v>3078000</v>
      </c>
      <c r="E682">
        <f>VLOOKUP(B682,[2]怪物!$U$134:$Y$233,4,0)</f>
        <v>745</v>
      </c>
      <c r="F682" s="1">
        <f t="shared" si="117"/>
        <v>8500</v>
      </c>
      <c r="H682" t="str">
        <f t="shared" si="120"/>
        <v>{cd,3000}</v>
      </c>
      <c r="I682" t="str">
        <f t="shared" si="121"/>
        <v>{hp,3078000}</v>
      </c>
      <c r="J682" t="str">
        <f t="shared" si="122"/>
        <v>{atk,745}</v>
      </c>
      <c r="K682" t="str">
        <f t="shared" si="123"/>
        <v>{spd,8500}</v>
      </c>
      <c r="L682" t="str">
        <f t="shared" si="118"/>
        <v/>
      </c>
      <c r="O682" t="str">
        <f t="shared" si="119"/>
        <v>[{cd,3000},{hp,3078000},{atk,745},{spd,8500}]</v>
      </c>
    </row>
    <row r="683" spans="1:15">
      <c r="A683">
        <f>Sheet1!E685</f>
        <v>103</v>
      </c>
      <c r="B683">
        <f t="shared" si="124"/>
        <v>136</v>
      </c>
      <c r="C683">
        <v>3000</v>
      </c>
      <c r="D683">
        <f>VLOOKUP(B683,[1]怪物!$U$34:$Y$234,3,0)</f>
        <v>4104000</v>
      </c>
      <c r="E683">
        <f>VLOOKUP(B683,[2]怪物!$U$134:$Y$233,5,0)</f>
        <v>1490</v>
      </c>
      <c r="F683" s="1">
        <f t="shared" si="117"/>
        <v>8500</v>
      </c>
      <c r="H683" t="str">
        <f t="shared" si="120"/>
        <v>{cd,3000}</v>
      </c>
      <c r="I683" t="str">
        <f t="shared" si="121"/>
        <v>{hp,4104000}</v>
      </c>
      <c r="J683" t="str">
        <f t="shared" si="122"/>
        <v>{atk,1490}</v>
      </c>
      <c r="K683" t="str">
        <f t="shared" si="123"/>
        <v>{spd,8500}</v>
      </c>
      <c r="L683" t="str">
        <f t="shared" si="118"/>
        <v/>
      </c>
      <c r="O683" t="str">
        <f t="shared" si="119"/>
        <v>[{cd,3000},{hp,4104000},{atk,1490},{spd,8500}]</v>
      </c>
    </row>
    <row r="684" spans="1:15">
      <c r="A684">
        <f>Sheet1!E686</f>
        <v>117</v>
      </c>
      <c r="B684">
        <f t="shared" si="124"/>
        <v>137</v>
      </c>
      <c r="C684">
        <v>3000</v>
      </c>
      <c r="D684">
        <f>VLOOKUP(B684,[1]怪物!$N$34:$T$233,2,0)</f>
        <v>52300</v>
      </c>
      <c r="E684">
        <f>VLOOKUP(B684,[2]怪物!$N$134:$T$233,5,0)</f>
        <v>304</v>
      </c>
      <c r="F684" s="1">
        <f t="shared" si="117"/>
        <v>8500</v>
      </c>
      <c r="H684" t="str">
        <f t="shared" si="120"/>
        <v>{cd,3000}</v>
      </c>
      <c r="I684" t="str">
        <f t="shared" si="121"/>
        <v>{hp,52300}</v>
      </c>
      <c r="J684" t="str">
        <f t="shared" si="122"/>
        <v>{atk,304}</v>
      </c>
      <c r="K684" t="str">
        <f t="shared" si="123"/>
        <v>{spd,8500}</v>
      </c>
      <c r="L684" t="str">
        <f t="shared" si="118"/>
        <v>{downUnderPhAtk,5000}</v>
      </c>
      <c r="O684" t="str">
        <f t="shared" si="119"/>
        <v>[{cd,3000},{hp,52300},{atk,304},{spd,8500},{downUnderPhAtk,5000}]</v>
      </c>
    </row>
    <row r="685" spans="1:15">
      <c r="A685">
        <f>Sheet1!E687</f>
        <v>116</v>
      </c>
      <c r="B685">
        <f t="shared" si="124"/>
        <v>137</v>
      </c>
      <c r="C685">
        <v>3000</v>
      </c>
      <c r="D685">
        <f>VLOOKUP(B685,[1]怪物!$N$34:$T$233,3,0)</f>
        <v>62760</v>
      </c>
      <c r="E685">
        <f>VLOOKUP(B685,[2]怪物!$N$134:$T$233,6,0)</f>
        <v>365</v>
      </c>
      <c r="F685" s="1">
        <f t="shared" si="117"/>
        <v>20000</v>
      </c>
      <c r="H685" t="str">
        <f t="shared" si="120"/>
        <v>{cd,3000}</v>
      </c>
      <c r="I685" t="str">
        <f t="shared" si="121"/>
        <v>{hp,62760}</v>
      </c>
      <c r="J685" t="str">
        <f t="shared" si="122"/>
        <v>{atk,365}</v>
      </c>
      <c r="K685" t="str">
        <f t="shared" si="123"/>
        <v>{spd,20000}</v>
      </c>
      <c r="L685" t="str">
        <f t="shared" si="118"/>
        <v/>
      </c>
      <c r="O685" t="str">
        <f t="shared" si="119"/>
        <v>[{cd,3000},{hp,62760},{atk,365},{spd,20000}]</v>
      </c>
    </row>
    <row r="686" spans="1:15">
      <c r="A686">
        <f>Sheet1!E688</f>
        <v>112</v>
      </c>
      <c r="B686">
        <f t="shared" si="124"/>
        <v>137</v>
      </c>
      <c r="C686">
        <v>3000</v>
      </c>
      <c r="D686">
        <f>VLOOKUP(B686,[1]怪物!$N$34:$T$233,4,0)</f>
        <v>78450</v>
      </c>
      <c r="E686">
        <f>VLOOKUP(B686,[2]怪物!$N$134:$T$233,7,0)</f>
        <v>456</v>
      </c>
      <c r="F686" s="1">
        <f t="shared" si="117"/>
        <v>8500</v>
      </c>
      <c r="H686" t="str">
        <f t="shared" si="120"/>
        <v>{cd,3000}</v>
      </c>
      <c r="I686" t="str">
        <f t="shared" si="121"/>
        <v>{hp,78450}</v>
      </c>
      <c r="J686" t="str">
        <f t="shared" si="122"/>
        <v>{atk,456}</v>
      </c>
      <c r="K686" t="str">
        <f t="shared" si="123"/>
        <v>{spd,8500}</v>
      </c>
      <c r="L686" t="str">
        <f t="shared" si="118"/>
        <v/>
      </c>
      <c r="O686" t="str">
        <f t="shared" si="119"/>
        <v>[{cd,3000},{hp,78450},{atk,456},{spd,8500}]</v>
      </c>
    </row>
    <row r="687" spans="1:15">
      <c r="A687">
        <f>Sheet1!E689</f>
        <v>117</v>
      </c>
      <c r="B687">
        <f t="shared" si="124"/>
        <v>137</v>
      </c>
      <c r="C687">
        <v>3000</v>
      </c>
      <c r="D687">
        <f>VLOOKUP(B687,[1]怪物!$U$34:$Y$234,2,0)</f>
        <v>3138000</v>
      </c>
      <c r="E687">
        <f>VLOOKUP(B687,[2]怪物!$U$134:$Y$233,4,0)</f>
        <v>760</v>
      </c>
      <c r="F687" s="1">
        <f t="shared" si="117"/>
        <v>8500</v>
      </c>
      <c r="H687" t="str">
        <f t="shared" si="120"/>
        <v>{cd,3000}</v>
      </c>
      <c r="I687" t="str">
        <f t="shared" si="121"/>
        <v>{hp,3138000}</v>
      </c>
      <c r="J687" t="str">
        <f t="shared" si="122"/>
        <v>{atk,760}</v>
      </c>
      <c r="K687" t="str">
        <f t="shared" si="123"/>
        <v>{spd,8500}</v>
      </c>
      <c r="L687" t="str">
        <f t="shared" si="118"/>
        <v>{downUnderPhAtk,5000}</v>
      </c>
      <c r="O687" t="str">
        <f t="shared" si="119"/>
        <v>[{cd,3000},{hp,3138000},{atk,760},{spd,8500},{downUnderPhAtk,5000}]</v>
      </c>
    </row>
    <row r="688" spans="1:15">
      <c r="A688">
        <f>Sheet1!E690</f>
        <v>117</v>
      </c>
      <c r="B688">
        <f t="shared" si="124"/>
        <v>137</v>
      </c>
      <c r="C688">
        <v>3000</v>
      </c>
      <c r="D688">
        <f>VLOOKUP(B688,[1]怪物!$U$34:$Y$234,3,0)</f>
        <v>4184000</v>
      </c>
      <c r="E688">
        <f>VLOOKUP(B688,[2]怪物!$U$134:$Y$233,5,0)</f>
        <v>1520</v>
      </c>
      <c r="F688" s="1">
        <f t="shared" si="117"/>
        <v>8500</v>
      </c>
      <c r="H688" t="str">
        <f t="shared" si="120"/>
        <v>{cd,3000}</v>
      </c>
      <c r="I688" t="str">
        <f t="shared" si="121"/>
        <v>{hp,4184000}</v>
      </c>
      <c r="J688" t="str">
        <f t="shared" si="122"/>
        <v>{atk,1520}</v>
      </c>
      <c r="K688" t="str">
        <f t="shared" si="123"/>
        <v>{spd,8500}</v>
      </c>
      <c r="L688" t="str">
        <f t="shared" si="118"/>
        <v>{downUnderPhAtk,5000}</v>
      </c>
      <c r="O688" t="str">
        <f t="shared" si="119"/>
        <v>[{cd,3000},{hp,4184000},{atk,1520},{spd,8500},{downUnderPhAtk,5000}]</v>
      </c>
    </row>
    <row r="689" spans="1:15">
      <c r="A689">
        <f>Sheet1!E691</f>
        <v>119</v>
      </c>
      <c r="B689">
        <f t="shared" si="124"/>
        <v>138</v>
      </c>
      <c r="C689">
        <v>3000</v>
      </c>
      <c r="D689">
        <f>VLOOKUP(B689,[1]怪物!$N$34:$T$233,2,0)</f>
        <v>53500</v>
      </c>
      <c r="E689">
        <f>VLOOKUP(B689,[2]怪物!$N$134:$T$233,5,0)</f>
        <v>310</v>
      </c>
      <c r="F689" s="1">
        <f t="shared" si="117"/>
        <v>8500</v>
      </c>
      <c r="H689" t="str">
        <f t="shared" si="120"/>
        <v>{cd,3000}</v>
      </c>
      <c r="I689" t="str">
        <f t="shared" si="121"/>
        <v>{hp,53500}</v>
      </c>
      <c r="J689" t="str">
        <f t="shared" si="122"/>
        <v>{atk,310}</v>
      </c>
      <c r="K689" t="str">
        <f t="shared" si="123"/>
        <v>{spd,8500}</v>
      </c>
      <c r="L689" t="str">
        <f t="shared" si="118"/>
        <v>{downUnderMagicAtk,5000}</v>
      </c>
      <c r="O689" t="str">
        <f t="shared" si="119"/>
        <v>[{cd,3000},{hp,53500},{atk,310},{spd,8500},{downUnderMagicAtk,5000}]</v>
      </c>
    </row>
    <row r="690" spans="1:15">
      <c r="A690">
        <f>Sheet1!E692</f>
        <v>116</v>
      </c>
      <c r="B690">
        <f t="shared" si="124"/>
        <v>138</v>
      </c>
      <c r="C690">
        <v>3000</v>
      </c>
      <c r="D690">
        <f>VLOOKUP(B690,[1]怪物!$N$34:$T$233,3,0)</f>
        <v>64200</v>
      </c>
      <c r="E690">
        <f>VLOOKUP(B690,[2]怪物!$N$134:$T$233,6,0)</f>
        <v>372</v>
      </c>
      <c r="F690" s="1">
        <f t="shared" si="117"/>
        <v>20000</v>
      </c>
      <c r="H690" t="str">
        <f t="shared" si="120"/>
        <v>{cd,3000}</v>
      </c>
      <c r="I690" t="str">
        <f t="shared" si="121"/>
        <v>{hp,64200}</v>
      </c>
      <c r="J690" t="str">
        <f t="shared" si="122"/>
        <v>{atk,372}</v>
      </c>
      <c r="K690" t="str">
        <f t="shared" si="123"/>
        <v>{spd,20000}</v>
      </c>
      <c r="L690" t="str">
        <f t="shared" si="118"/>
        <v/>
      </c>
      <c r="O690" t="str">
        <f t="shared" si="119"/>
        <v>[{cd,3000},{hp,64200},{atk,372},{spd,20000}]</v>
      </c>
    </row>
    <row r="691" spans="1:15">
      <c r="A691">
        <f>Sheet1!E693</f>
        <v>118</v>
      </c>
      <c r="B691">
        <f t="shared" si="124"/>
        <v>138</v>
      </c>
      <c r="C691">
        <v>3000</v>
      </c>
      <c r="D691">
        <f>VLOOKUP(B691,[1]怪物!$N$34:$T$233,4,0)</f>
        <v>80250</v>
      </c>
      <c r="E691">
        <f>VLOOKUP(B691,[2]怪物!$N$134:$T$233,7,0)</f>
        <v>465</v>
      </c>
      <c r="F691" s="1">
        <f t="shared" si="117"/>
        <v>8500</v>
      </c>
      <c r="H691" t="str">
        <f t="shared" si="120"/>
        <v>{cd,3000}</v>
      </c>
      <c r="I691" t="str">
        <f t="shared" si="121"/>
        <v>{hp,80250}</v>
      </c>
      <c r="J691" t="str">
        <f t="shared" si="122"/>
        <v>{atk,465}</v>
      </c>
      <c r="K691" t="str">
        <f t="shared" si="123"/>
        <v>{spd,8500}</v>
      </c>
      <c r="L691" t="str">
        <f t="shared" si="118"/>
        <v/>
      </c>
      <c r="O691" t="str">
        <f t="shared" si="119"/>
        <v>[{cd,3000},{hp,80250},{atk,465},{spd,8500}]</v>
      </c>
    </row>
    <row r="692" spans="1:15">
      <c r="A692">
        <f>Sheet1!E694</f>
        <v>119</v>
      </c>
      <c r="B692">
        <f t="shared" si="124"/>
        <v>138</v>
      </c>
      <c r="C692">
        <v>3000</v>
      </c>
      <c r="D692">
        <f>VLOOKUP(B692,[1]怪物!$U$34:$Y$234,2,0)</f>
        <v>3210000</v>
      </c>
      <c r="E692">
        <f>VLOOKUP(B692,[2]怪物!$U$134:$Y$233,4,0)</f>
        <v>775</v>
      </c>
      <c r="F692" s="1">
        <f t="shared" si="117"/>
        <v>8500</v>
      </c>
      <c r="H692" t="str">
        <f t="shared" si="120"/>
        <v>{cd,3000}</v>
      </c>
      <c r="I692" t="str">
        <f t="shared" si="121"/>
        <v>{hp,3210000}</v>
      </c>
      <c r="J692" t="str">
        <f t="shared" si="122"/>
        <v>{atk,775}</v>
      </c>
      <c r="K692" t="str">
        <f t="shared" si="123"/>
        <v>{spd,8500}</v>
      </c>
      <c r="L692" t="str">
        <f t="shared" si="118"/>
        <v>{downUnderMagicAtk,5000}</v>
      </c>
      <c r="O692" t="str">
        <f t="shared" si="119"/>
        <v>[{cd,3000},{hp,3210000},{atk,775},{spd,8500},{downUnderMagicAtk,5000}]</v>
      </c>
    </row>
    <row r="693" spans="1:15">
      <c r="A693">
        <f>Sheet1!E695</f>
        <v>119</v>
      </c>
      <c r="B693">
        <f t="shared" si="124"/>
        <v>138</v>
      </c>
      <c r="C693">
        <v>3000</v>
      </c>
      <c r="D693">
        <f>VLOOKUP(B693,[1]怪物!$U$34:$Y$234,3,0)</f>
        <v>4280000</v>
      </c>
      <c r="E693">
        <f>VLOOKUP(B693,[2]怪物!$U$134:$Y$233,5,0)</f>
        <v>1550</v>
      </c>
      <c r="F693" s="1">
        <f t="shared" si="117"/>
        <v>8500</v>
      </c>
      <c r="H693" t="str">
        <f t="shared" si="120"/>
        <v>{cd,3000}</v>
      </c>
      <c r="I693" t="str">
        <f t="shared" si="121"/>
        <v>{hp,4280000}</v>
      </c>
      <c r="J693" t="str">
        <f t="shared" si="122"/>
        <v>{atk,1550}</v>
      </c>
      <c r="K693" t="str">
        <f t="shared" si="123"/>
        <v>{spd,8500}</v>
      </c>
      <c r="L693" t="str">
        <f t="shared" si="118"/>
        <v>{downUnderMagicAtk,5000}</v>
      </c>
      <c r="O693" t="str">
        <f t="shared" si="119"/>
        <v>[{cd,3000},{hp,4280000},{atk,1550},{spd,8500},{downUnderMagicAtk,5000}]</v>
      </c>
    </row>
    <row r="694" spans="1:15">
      <c r="A694">
        <f>Sheet1!E696</f>
        <v>121</v>
      </c>
      <c r="B694">
        <f t="shared" si="124"/>
        <v>139</v>
      </c>
      <c r="C694">
        <v>3000</v>
      </c>
      <c r="D694">
        <f>VLOOKUP(B694,[1]怪物!$N$34:$T$233,2,0)</f>
        <v>54900</v>
      </c>
      <c r="E694">
        <f>VLOOKUP(B694,[2]怪物!$N$134:$T$233,5,0)</f>
        <v>316</v>
      </c>
      <c r="F694" s="1">
        <f t="shared" si="117"/>
        <v>8500</v>
      </c>
      <c r="H694" t="str">
        <f t="shared" si="120"/>
        <v>{cd,3000}</v>
      </c>
      <c r="I694" t="str">
        <f t="shared" si="121"/>
        <v>{hp,54900}</v>
      </c>
      <c r="J694" t="str">
        <f t="shared" si="122"/>
        <v>{atk,316}</v>
      </c>
      <c r="K694" t="str">
        <f t="shared" si="123"/>
        <v>{spd,8500}</v>
      </c>
      <c r="L694" t="str">
        <f t="shared" si="118"/>
        <v>{firingDmgDown,5000}</v>
      </c>
      <c r="O694" t="str">
        <f t="shared" si="119"/>
        <v>[{cd,3000},{hp,54900},{atk,316},{spd,8500},{firingDmgDown,5000}]</v>
      </c>
    </row>
    <row r="695" spans="1:15">
      <c r="A695">
        <f>Sheet1!E697</f>
        <v>112</v>
      </c>
      <c r="B695">
        <f t="shared" si="124"/>
        <v>139</v>
      </c>
      <c r="C695">
        <v>3000</v>
      </c>
      <c r="D695">
        <f>VLOOKUP(B695,[1]怪物!$N$34:$T$233,3,0)</f>
        <v>65880</v>
      </c>
      <c r="E695">
        <f>VLOOKUP(B695,[2]怪物!$N$134:$T$233,6,0)</f>
        <v>379</v>
      </c>
      <c r="F695" s="1">
        <f t="shared" si="117"/>
        <v>8500</v>
      </c>
      <c r="H695" t="str">
        <f t="shared" si="120"/>
        <v>{cd,3000}</v>
      </c>
      <c r="I695" t="str">
        <f t="shared" si="121"/>
        <v>{hp,65880}</v>
      </c>
      <c r="J695" t="str">
        <f t="shared" si="122"/>
        <v>{atk,379}</v>
      </c>
      <c r="K695" t="str">
        <f t="shared" si="123"/>
        <v>{spd,8500}</v>
      </c>
      <c r="L695" t="str">
        <f t="shared" si="118"/>
        <v/>
      </c>
      <c r="O695" t="str">
        <f t="shared" si="119"/>
        <v>[{cd,3000},{hp,65880},{atk,379},{spd,8500}]</v>
      </c>
    </row>
    <row r="696" spans="1:15">
      <c r="A696">
        <f>Sheet1!E698</f>
        <v>113</v>
      </c>
      <c r="B696">
        <f t="shared" si="124"/>
        <v>139</v>
      </c>
      <c r="C696">
        <v>3000</v>
      </c>
      <c r="D696">
        <f>VLOOKUP(B696,[1]怪物!$N$34:$T$233,4,0)</f>
        <v>82350</v>
      </c>
      <c r="E696">
        <f>VLOOKUP(B696,[2]怪物!$N$134:$T$233,7,0)</f>
        <v>474</v>
      </c>
      <c r="F696" s="1">
        <f t="shared" si="117"/>
        <v>8500</v>
      </c>
      <c r="H696" t="str">
        <f t="shared" si="120"/>
        <v>{cd,3000}</v>
      </c>
      <c r="I696" t="str">
        <f t="shared" si="121"/>
        <v>{hp,82350}</v>
      </c>
      <c r="J696" t="str">
        <f t="shared" si="122"/>
        <v>{atk,474}</v>
      </c>
      <c r="K696" t="str">
        <f t="shared" si="123"/>
        <v>{spd,8500}</v>
      </c>
      <c r="L696" t="str">
        <f t="shared" si="118"/>
        <v/>
      </c>
      <c r="O696" t="str">
        <f t="shared" si="119"/>
        <v>[{cd,3000},{hp,82350},{atk,474},{spd,8500}]</v>
      </c>
    </row>
    <row r="697" spans="1:15">
      <c r="A697">
        <f>Sheet1!E699</f>
        <v>521</v>
      </c>
      <c r="B697">
        <f t="shared" si="124"/>
        <v>139</v>
      </c>
      <c r="C697">
        <v>3000</v>
      </c>
      <c r="D697">
        <f>VLOOKUP(B697,[1]怪物!$U$34:$Y$234,2,0)</f>
        <v>3294000</v>
      </c>
      <c r="E697">
        <f>VLOOKUP(B697,[2]怪物!$U$134:$Y$233,4,0)</f>
        <v>790</v>
      </c>
      <c r="F697" s="1">
        <f t="shared" si="117"/>
        <v>8500</v>
      </c>
      <c r="H697" t="str">
        <f t="shared" si="120"/>
        <v>{cd,3000}</v>
      </c>
      <c r="I697" t="str">
        <f t="shared" si="121"/>
        <v>{hp,3294000}</v>
      </c>
      <c r="J697" t="str">
        <f t="shared" si="122"/>
        <v>{atk,790}</v>
      </c>
      <c r="K697" t="str">
        <f t="shared" si="123"/>
        <v>{spd,8500}</v>
      </c>
      <c r="L697" t="str">
        <f t="shared" si="118"/>
        <v>{firingDmgDown,5000}</v>
      </c>
      <c r="O697" t="str">
        <f t="shared" si="119"/>
        <v>[{cd,3000},{hp,3294000},{atk,790},{spd,8500},{firingDmgDown,5000}]</v>
      </c>
    </row>
    <row r="698" spans="1:15">
      <c r="A698">
        <f>Sheet1!E700</f>
        <v>521</v>
      </c>
      <c r="B698">
        <f t="shared" si="124"/>
        <v>139</v>
      </c>
      <c r="C698">
        <v>3000</v>
      </c>
      <c r="D698">
        <f>VLOOKUP(B698,[1]怪物!$U$34:$Y$234,3,0)</f>
        <v>4392000</v>
      </c>
      <c r="E698">
        <f>VLOOKUP(B698,[2]怪物!$U$134:$Y$233,5,0)</f>
        <v>1580</v>
      </c>
      <c r="F698" s="1">
        <f t="shared" si="117"/>
        <v>8500</v>
      </c>
      <c r="H698" t="str">
        <f t="shared" si="120"/>
        <v>{cd,3000}</v>
      </c>
      <c r="I698" t="str">
        <f t="shared" si="121"/>
        <v>{hp,4392000}</v>
      </c>
      <c r="J698" t="str">
        <f t="shared" si="122"/>
        <v>{atk,1580}</v>
      </c>
      <c r="K698" t="str">
        <f t="shared" si="123"/>
        <v>{spd,8500}</v>
      </c>
      <c r="L698" t="str">
        <f t="shared" si="118"/>
        <v>{firingDmgDown,5000}</v>
      </c>
      <c r="O698" t="str">
        <f t="shared" si="119"/>
        <v>[{cd,3000},{hp,4392000},{atk,1580},{spd,8500},{firingDmgDown,5000}]</v>
      </c>
    </row>
    <row r="699" spans="1:15">
      <c r="A699">
        <f>Sheet1!E701</f>
        <v>100</v>
      </c>
      <c r="B699">
        <f t="shared" si="124"/>
        <v>140</v>
      </c>
      <c r="C699">
        <v>3000</v>
      </c>
      <c r="D699">
        <f>VLOOKUP(B699,[1]怪物!$N$34:$T$233,2,0)</f>
        <v>56400</v>
      </c>
      <c r="E699">
        <f>VLOOKUP(B699,[2]怪物!$N$134:$T$233,5,0)</f>
        <v>340</v>
      </c>
      <c r="F699" s="1">
        <f t="shared" si="117"/>
        <v>8500</v>
      </c>
      <c r="H699" t="str">
        <f t="shared" si="120"/>
        <v>{cd,3000}</v>
      </c>
      <c r="I699" t="str">
        <f t="shared" si="121"/>
        <v>{hp,56400}</v>
      </c>
      <c r="J699" t="str">
        <f t="shared" si="122"/>
        <v>{atk,340}</v>
      </c>
      <c r="K699" t="str">
        <f t="shared" si="123"/>
        <v>{spd,8500}</v>
      </c>
      <c r="L699" t="str">
        <f t="shared" si="118"/>
        <v/>
      </c>
      <c r="O699" t="str">
        <f t="shared" si="119"/>
        <v>[{cd,3000},{hp,56400},{atk,340},{spd,8500}]</v>
      </c>
    </row>
    <row r="700" spans="1:15">
      <c r="A700">
        <f>Sheet1!E702</f>
        <v>102</v>
      </c>
      <c r="B700">
        <f t="shared" si="124"/>
        <v>140</v>
      </c>
      <c r="C700">
        <v>3000</v>
      </c>
      <c r="D700">
        <f>VLOOKUP(B700,[1]怪物!$N$34:$T$233,3,0)</f>
        <v>67680</v>
      </c>
      <c r="E700">
        <f>VLOOKUP(B700,[2]怪物!$N$134:$T$233,6,0)</f>
        <v>408</v>
      </c>
      <c r="F700" s="1">
        <f t="shared" si="117"/>
        <v>8500</v>
      </c>
      <c r="H700" t="str">
        <f t="shared" si="120"/>
        <v>{cd,3000}</v>
      </c>
      <c r="I700" t="str">
        <f t="shared" si="121"/>
        <v>{hp,67680}</v>
      </c>
      <c r="J700" t="str">
        <f t="shared" si="122"/>
        <v>{atk,408}</v>
      </c>
      <c r="K700" t="str">
        <f t="shared" si="123"/>
        <v>{spd,8500}</v>
      </c>
      <c r="L700" t="str">
        <f t="shared" si="118"/>
        <v/>
      </c>
      <c r="O700" t="str">
        <f t="shared" si="119"/>
        <v>[{cd,3000},{hp,67680},{atk,408},{spd,8500}]</v>
      </c>
    </row>
    <row r="701" spans="1:15">
      <c r="A701">
        <f>Sheet1!E703</f>
        <v>105</v>
      </c>
      <c r="B701">
        <f t="shared" si="124"/>
        <v>140</v>
      </c>
      <c r="C701">
        <v>3000</v>
      </c>
      <c r="D701">
        <f>VLOOKUP(B701,[1]怪物!$N$34:$T$233,4,0)</f>
        <v>84600</v>
      </c>
      <c r="E701">
        <f>VLOOKUP(B701,[2]怪物!$N$134:$T$233,7,0)</f>
        <v>510</v>
      </c>
      <c r="F701" s="1">
        <f t="shared" si="117"/>
        <v>8500</v>
      </c>
      <c r="H701" t="str">
        <f t="shared" si="120"/>
        <v>{cd,3000}</v>
      </c>
      <c r="I701" t="str">
        <f t="shared" si="121"/>
        <v>{hp,84600}</v>
      </c>
      <c r="J701" t="str">
        <f t="shared" si="122"/>
        <v>{atk,510}</v>
      </c>
      <c r="K701" t="str">
        <f t="shared" si="123"/>
        <v>{spd,8500}</v>
      </c>
      <c r="L701" t="str">
        <f t="shared" si="118"/>
        <v/>
      </c>
      <c r="O701" t="str">
        <f t="shared" si="119"/>
        <v>[{cd,3000},{hp,84600},{atk,510},{spd,8500}]</v>
      </c>
    </row>
    <row r="702" spans="1:15">
      <c r="A702">
        <f>Sheet1!E704</f>
        <v>502</v>
      </c>
      <c r="B702">
        <f t="shared" si="124"/>
        <v>140</v>
      </c>
      <c r="C702">
        <v>3000</v>
      </c>
      <c r="D702">
        <f>VLOOKUP(B702,[1]怪物!$U$34:$Y$234,2,0)</f>
        <v>3384000</v>
      </c>
      <c r="E702">
        <f>VLOOKUP(B702,[2]怪物!$U$134:$Y$233,4,0)</f>
        <v>850</v>
      </c>
      <c r="F702" s="1">
        <f t="shared" si="117"/>
        <v>8500</v>
      </c>
      <c r="H702" t="str">
        <f t="shared" si="120"/>
        <v>{cd,3000}</v>
      </c>
      <c r="I702" t="str">
        <f t="shared" si="121"/>
        <v>{hp,3384000}</v>
      </c>
      <c r="J702" t="str">
        <f t="shared" si="122"/>
        <v>{atk,850}</v>
      </c>
      <c r="K702" t="str">
        <f t="shared" si="123"/>
        <v>{spd,8500}</v>
      </c>
      <c r="L702" t="str">
        <f t="shared" si="118"/>
        <v/>
      </c>
      <c r="O702" t="str">
        <f t="shared" si="119"/>
        <v>[{cd,3000},{hp,3384000},{atk,850},{spd,8500}]</v>
      </c>
    </row>
    <row r="703" spans="1:15">
      <c r="A703">
        <f>Sheet1!E705</f>
        <v>500</v>
      </c>
      <c r="B703">
        <f t="shared" si="124"/>
        <v>140</v>
      </c>
      <c r="C703">
        <v>3000</v>
      </c>
      <c r="D703">
        <f>VLOOKUP(B703,[1]怪物!$U$34:$Y$234,3,0)</f>
        <v>4512000</v>
      </c>
      <c r="E703">
        <f>VLOOKUP(B703,[2]怪物!$U$134:$Y$233,5,0)</f>
        <v>1700</v>
      </c>
      <c r="F703" s="1">
        <f t="shared" si="117"/>
        <v>8500</v>
      </c>
      <c r="H703" t="str">
        <f t="shared" si="120"/>
        <v>{cd,3000}</v>
      </c>
      <c r="I703" t="str">
        <f t="shared" si="121"/>
        <v>{hp,4512000}</v>
      </c>
      <c r="J703" t="str">
        <f t="shared" si="122"/>
        <v>{atk,1700}</v>
      </c>
      <c r="K703" t="str">
        <f t="shared" si="123"/>
        <v>{spd,8500}</v>
      </c>
      <c r="L703" t="str">
        <f t="shared" si="118"/>
        <v/>
      </c>
      <c r="O703" t="str">
        <f t="shared" si="119"/>
        <v>[{cd,3000},{hp,4512000},{atk,1700},{spd,8500}]</v>
      </c>
    </row>
    <row r="704" spans="1:15">
      <c r="A704">
        <f>Sheet1!E706</f>
        <v>122</v>
      </c>
      <c r="B704">
        <f t="shared" si="124"/>
        <v>141</v>
      </c>
      <c r="C704">
        <v>3000</v>
      </c>
      <c r="D704">
        <f>VLOOKUP(B704,[1]怪物!$N$34:$T$233,2,0)</f>
        <v>55500</v>
      </c>
      <c r="E704">
        <f>VLOOKUP(B704,[2]怪物!$N$134:$T$233,5,0)</f>
        <v>324</v>
      </c>
      <c r="F704" s="1">
        <f t="shared" si="117"/>
        <v>8500</v>
      </c>
      <c r="H704" t="str">
        <f t="shared" ref="H704:H753" si="125">$C$2&amp;C$3&amp;$D$2&amp;C704&amp;$E$2</f>
        <v>{cd,3000}</v>
      </c>
      <c r="I704" t="str">
        <f t="shared" ref="I704:I753" si="126">$C$2&amp;D$3&amp;$D$2&amp;D704&amp;$E$2</f>
        <v>{hp,55500}</v>
      </c>
      <c r="J704" t="str">
        <f t="shared" ref="J704:J753" si="127">$C$2&amp;E$3&amp;$D$2&amp;E704&amp;$E$2</f>
        <v>{atk,324}</v>
      </c>
      <c r="K704" t="str">
        <f t="shared" ref="K704:K753" si="128">$C$2&amp;F$3&amp;$D$2&amp;F704&amp;$E$2</f>
        <v>{spd,8500}</v>
      </c>
      <c r="L704" t="str">
        <f t="shared" ref="L704:L753" si="129">IF(VLOOKUP(A704,$W:$AC,7,0)=0,"",VLOOKUP(A704,$W:$AC,7,0))</f>
        <v/>
      </c>
      <c r="O704" t="str">
        <f t="shared" si="119"/>
        <v>[{cd,3000},{hp,55500},{atk,324},{spd,8500}]</v>
      </c>
    </row>
    <row r="705" spans="1:15">
      <c r="A705">
        <f>Sheet1!E707</f>
        <v>123</v>
      </c>
      <c r="B705">
        <f t="shared" si="124"/>
        <v>141</v>
      </c>
      <c r="C705">
        <v>3000</v>
      </c>
      <c r="D705">
        <f>VLOOKUP(B705,[1]怪物!$N$34:$T$233,3,0)</f>
        <v>66600</v>
      </c>
      <c r="E705">
        <f>VLOOKUP(B705,[2]怪物!$N$134:$T$233,6,0)</f>
        <v>389</v>
      </c>
      <c r="F705" s="1">
        <f t="shared" si="117"/>
        <v>8500</v>
      </c>
      <c r="H705" t="str">
        <f t="shared" si="125"/>
        <v>{cd,3000}</v>
      </c>
      <c r="I705" t="str">
        <f t="shared" si="126"/>
        <v>{hp,66600}</v>
      </c>
      <c r="J705" t="str">
        <f t="shared" si="127"/>
        <v>{atk,389}</v>
      </c>
      <c r="K705" t="str">
        <f t="shared" si="128"/>
        <v>{spd,8500}</v>
      </c>
      <c r="L705" t="str">
        <f t="shared" si="129"/>
        <v/>
      </c>
      <c r="O705" t="str">
        <f t="shared" si="119"/>
        <v>[{cd,3000},{hp,66600},{atk,389},{spd,8500}]</v>
      </c>
    </row>
    <row r="706" spans="1:15">
      <c r="A706">
        <f>Sheet1!E708</f>
        <v>123</v>
      </c>
      <c r="B706">
        <f t="shared" si="124"/>
        <v>141</v>
      </c>
      <c r="C706">
        <v>3000</v>
      </c>
      <c r="D706">
        <f>VLOOKUP(B706,[1]怪物!$N$34:$T$233,4,0)</f>
        <v>83250</v>
      </c>
      <c r="E706">
        <f>VLOOKUP(B706,[2]怪物!$N$134:$T$233,7,0)</f>
        <v>486</v>
      </c>
      <c r="F706" s="1">
        <f t="shared" si="117"/>
        <v>8500</v>
      </c>
      <c r="H706" t="str">
        <f t="shared" si="125"/>
        <v>{cd,3000}</v>
      </c>
      <c r="I706" t="str">
        <f t="shared" si="126"/>
        <v>{hp,83250}</v>
      </c>
      <c r="J706" t="str">
        <f t="shared" si="127"/>
        <v>{atk,486}</v>
      </c>
      <c r="K706" t="str">
        <f t="shared" si="128"/>
        <v>{spd,8500}</v>
      </c>
      <c r="L706" t="str">
        <f t="shared" si="129"/>
        <v/>
      </c>
      <c r="O706" t="str">
        <f t="shared" si="119"/>
        <v>[{cd,3000},{hp,83250},{atk,486},{spd,8500}]</v>
      </c>
    </row>
    <row r="707" spans="1:15">
      <c r="A707">
        <f>Sheet1!E709</f>
        <v>522</v>
      </c>
      <c r="B707">
        <f t="shared" si="124"/>
        <v>141</v>
      </c>
      <c r="C707">
        <v>3000</v>
      </c>
      <c r="D707">
        <f>VLOOKUP(B707,[1]怪物!$U$34:$Y$234,2,0)</f>
        <v>3330000</v>
      </c>
      <c r="E707">
        <f>VLOOKUP(B707,[2]怪物!$U$134:$Y$233,4,0)</f>
        <v>810</v>
      </c>
      <c r="F707" s="1">
        <f t="shared" si="117"/>
        <v>8500</v>
      </c>
      <c r="H707" t="str">
        <f t="shared" si="125"/>
        <v>{cd,3000}</v>
      </c>
      <c r="I707" t="str">
        <f t="shared" si="126"/>
        <v>{hp,3330000}</v>
      </c>
      <c r="J707" t="str">
        <f t="shared" si="127"/>
        <v>{atk,810}</v>
      </c>
      <c r="K707" t="str">
        <f t="shared" si="128"/>
        <v>{spd,8500}</v>
      </c>
      <c r="L707" t="str">
        <f t="shared" si="129"/>
        <v/>
      </c>
      <c r="O707" t="str">
        <f t="shared" si="119"/>
        <v>[{cd,3000},{hp,3330000},{atk,810},{spd,8500}]</v>
      </c>
    </row>
    <row r="708" spans="1:15">
      <c r="A708">
        <f>Sheet1!E710</f>
        <v>522</v>
      </c>
      <c r="B708">
        <f t="shared" si="124"/>
        <v>141</v>
      </c>
      <c r="C708">
        <v>3000</v>
      </c>
      <c r="D708">
        <f>VLOOKUP(B708,[1]怪物!$U$34:$Y$234,3,0)</f>
        <v>4440000</v>
      </c>
      <c r="E708">
        <f>VLOOKUP(B708,[2]怪物!$U$134:$Y$233,5,0)</f>
        <v>1620</v>
      </c>
      <c r="F708" s="1">
        <f t="shared" si="117"/>
        <v>8500</v>
      </c>
      <c r="H708" t="str">
        <f t="shared" si="125"/>
        <v>{cd,3000}</v>
      </c>
      <c r="I708" t="str">
        <f t="shared" si="126"/>
        <v>{hp,4440000}</v>
      </c>
      <c r="J708" t="str">
        <f t="shared" si="127"/>
        <v>{atk,1620}</v>
      </c>
      <c r="K708" t="str">
        <f t="shared" si="128"/>
        <v>{spd,8500}</v>
      </c>
      <c r="L708" t="str">
        <f t="shared" si="129"/>
        <v/>
      </c>
      <c r="O708" t="str">
        <f t="shared" si="119"/>
        <v>[{cd,3000},{hp,4440000},{atk,1620},{spd,8500}]</v>
      </c>
    </row>
    <row r="709" spans="1:15">
      <c r="A709">
        <f>Sheet1!E711</f>
        <v>117</v>
      </c>
      <c r="B709">
        <f t="shared" si="124"/>
        <v>142</v>
      </c>
      <c r="C709">
        <v>3000</v>
      </c>
      <c r="D709">
        <f>VLOOKUP(B709,[1]怪物!$N$34:$T$233,2,0)</f>
        <v>56300</v>
      </c>
      <c r="E709">
        <f>VLOOKUP(B709,[2]怪物!$N$134:$T$233,5,0)</f>
        <v>332</v>
      </c>
      <c r="F709" s="1">
        <f t="shared" ref="F709:F772" si="130">VLOOKUP(A709,$W:$AB,6,0)</f>
        <v>8500</v>
      </c>
      <c r="H709" t="str">
        <f t="shared" si="125"/>
        <v>{cd,3000}</v>
      </c>
      <c r="I709" t="str">
        <f t="shared" si="126"/>
        <v>{hp,56300}</v>
      </c>
      <c r="J709" t="str">
        <f t="shared" si="127"/>
        <v>{atk,332}</v>
      </c>
      <c r="K709" t="str">
        <f t="shared" si="128"/>
        <v>{spd,8500}</v>
      </c>
      <c r="L709" t="str">
        <f t="shared" si="129"/>
        <v>{downUnderPhAtk,5000}</v>
      </c>
      <c r="O709" t="str">
        <f t="shared" ref="O709:O772" si="131">"["&amp;_xlfn.TEXTJOIN(",",1,H709:M709)&amp;"]"</f>
        <v>[{cd,3000},{hp,56300},{atk,332},{spd,8500},{downUnderPhAtk,5000}]</v>
      </c>
    </row>
    <row r="710" spans="1:15">
      <c r="A710">
        <f>Sheet1!E712</f>
        <v>119</v>
      </c>
      <c r="B710">
        <f t="shared" si="124"/>
        <v>142</v>
      </c>
      <c r="C710">
        <v>3000</v>
      </c>
      <c r="D710">
        <f>VLOOKUP(B710,[1]怪物!$N$34:$T$233,3,0)</f>
        <v>67560</v>
      </c>
      <c r="E710">
        <f>VLOOKUP(B710,[2]怪物!$N$134:$T$233,6,0)</f>
        <v>398</v>
      </c>
      <c r="F710" s="1">
        <f t="shared" si="130"/>
        <v>8500</v>
      </c>
      <c r="H710" t="str">
        <f t="shared" si="125"/>
        <v>{cd,3000}</v>
      </c>
      <c r="I710" t="str">
        <f t="shared" si="126"/>
        <v>{hp,67560}</v>
      </c>
      <c r="J710" t="str">
        <f t="shared" si="127"/>
        <v>{atk,398}</v>
      </c>
      <c r="K710" t="str">
        <f t="shared" si="128"/>
        <v>{spd,8500}</v>
      </c>
      <c r="L710" t="str">
        <f t="shared" si="129"/>
        <v>{downUnderMagicAtk,5000}</v>
      </c>
      <c r="O710" t="str">
        <f t="shared" si="131"/>
        <v>[{cd,3000},{hp,67560},{atk,398},{spd,8500},{downUnderMagicAtk,5000}]</v>
      </c>
    </row>
    <row r="711" spans="1:15">
      <c r="A711">
        <f>Sheet1!E713</f>
        <v>118</v>
      </c>
      <c r="B711">
        <f t="shared" si="124"/>
        <v>142</v>
      </c>
      <c r="C711">
        <v>3000</v>
      </c>
      <c r="D711">
        <f>VLOOKUP(B711,[1]怪物!$N$34:$T$233,4,0)</f>
        <v>84450</v>
      </c>
      <c r="E711">
        <f>VLOOKUP(B711,[2]怪物!$N$134:$T$233,7,0)</f>
        <v>498</v>
      </c>
      <c r="F711" s="1">
        <f t="shared" si="130"/>
        <v>8500</v>
      </c>
      <c r="H711" t="str">
        <f t="shared" si="125"/>
        <v>{cd,3000}</v>
      </c>
      <c r="I711" t="str">
        <f t="shared" si="126"/>
        <v>{hp,84450}</v>
      </c>
      <c r="J711" t="str">
        <f t="shared" si="127"/>
        <v>{atk,498}</v>
      </c>
      <c r="K711" t="str">
        <f t="shared" si="128"/>
        <v>{spd,8500}</v>
      </c>
      <c r="L711" t="str">
        <f t="shared" si="129"/>
        <v/>
      </c>
      <c r="O711" t="str">
        <f t="shared" si="131"/>
        <v>[{cd,3000},{hp,84450},{atk,498},{spd,8500}]</v>
      </c>
    </row>
    <row r="712" spans="1:15">
      <c r="A712">
        <f>Sheet1!E714</f>
        <v>517</v>
      </c>
      <c r="B712">
        <f t="shared" si="124"/>
        <v>142</v>
      </c>
      <c r="C712">
        <v>3000</v>
      </c>
      <c r="D712">
        <f>VLOOKUP(B712,[1]怪物!$U$34:$Y$234,2,0)</f>
        <v>3378000</v>
      </c>
      <c r="E712">
        <f>VLOOKUP(B712,[2]怪物!$U$134:$Y$233,4,0)</f>
        <v>830</v>
      </c>
      <c r="F712" s="1">
        <f t="shared" si="130"/>
        <v>8500</v>
      </c>
      <c r="H712" t="str">
        <f t="shared" si="125"/>
        <v>{cd,3000}</v>
      </c>
      <c r="I712" t="str">
        <f t="shared" si="126"/>
        <v>{hp,3378000}</v>
      </c>
      <c r="J712" t="str">
        <f t="shared" si="127"/>
        <v>{atk,830}</v>
      </c>
      <c r="K712" t="str">
        <f t="shared" si="128"/>
        <v>{spd,8500}</v>
      </c>
      <c r="L712" t="str">
        <f t="shared" si="129"/>
        <v>{downUnderPhAtk,5000}</v>
      </c>
      <c r="O712" t="str">
        <f t="shared" si="131"/>
        <v>[{cd,3000},{hp,3378000},{atk,830},{spd,8500},{downUnderPhAtk,5000}]</v>
      </c>
    </row>
    <row r="713" spans="1:15">
      <c r="A713">
        <f>Sheet1!E715</f>
        <v>517</v>
      </c>
      <c r="B713">
        <f t="shared" si="124"/>
        <v>142</v>
      </c>
      <c r="C713">
        <v>3000</v>
      </c>
      <c r="D713">
        <f>VLOOKUP(B713,[1]怪物!$U$34:$Y$234,3,0)</f>
        <v>4504000</v>
      </c>
      <c r="E713">
        <f>VLOOKUP(B713,[2]怪物!$U$134:$Y$233,5,0)</f>
        <v>1660</v>
      </c>
      <c r="F713" s="1">
        <f t="shared" si="130"/>
        <v>8500</v>
      </c>
      <c r="H713" t="str">
        <f t="shared" si="125"/>
        <v>{cd,3000}</v>
      </c>
      <c r="I713" t="str">
        <f t="shared" si="126"/>
        <v>{hp,4504000}</v>
      </c>
      <c r="J713" t="str">
        <f t="shared" si="127"/>
        <v>{atk,1660}</v>
      </c>
      <c r="K713" t="str">
        <f t="shared" si="128"/>
        <v>{spd,8500}</v>
      </c>
      <c r="L713" t="str">
        <f t="shared" si="129"/>
        <v>{downUnderPhAtk,5000}</v>
      </c>
      <c r="O713" t="str">
        <f t="shared" si="131"/>
        <v>[{cd,3000},{hp,4504000},{atk,1660},{spd,8500},{downUnderPhAtk,5000}]</v>
      </c>
    </row>
    <row r="714" spans="1:15">
      <c r="A714">
        <f>Sheet1!E716</f>
        <v>101</v>
      </c>
      <c r="B714">
        <f t="shared" si="124"/>
        <v>143</v>
      </c>
      <c r="C714">
        <v>3000</v>
      </c>
      <c r="D714">
        <f>VLOOKUP(B714,[1]怪物!$N$34:$T$233,2,0)</f>
        <v>57300</v>
      </c>
      <c r="E714">
        <f>VLOOKUP(B714,[2]怪物!$N$134:$T$233,5,0)</f>
        <v>340</v>
      </c>
      <c r="F714" s="1">
        <f t="shared" si="130"/>
        <v>8500</v>
      </c>
      <c r="H714" t="str">
        <f t="shared" si="125"/>
        <v>{cd,3000}</v>
      </c>
      <c r="I714" t="str">
        <f t="shared" si="126"/>
        <v>{hp,57300}</v>
      </c>
      <c r="J714" t="str">
        <f t="shared" si="127"/>
        <v>{atk,340}</v>
      </c>
      <c r="K714" t="str">
        <f t="shared" si="128"/>
        <v>{spd,8500}</v>
      </c>
      <c r="L714" t="str">
        <f t="shared" si="129"/>
        <v/>
      </c>
      <c r="O714" t="str">
        <f t="shared" si="131"/>
        <v>[{cd,3000},{hp,57300},{atk,340},{spd,8500}]</v>
      </c>
    </row>
    <row r="715" spans="1:15">
      <c r="A715">
        <f>Sheet1!E717</f>
        <v>104</v>
      </c>
      <c r="B715">
        <f t="shared" si="124"/>
        <v>143</v>
      </c>
      <c r="C715">
        <v>3000</v>
      </c>
      <c r="D715">
        <f>VLOOKUP(B715,[1]怪物!$N$34:$T$233,3,0)</f>
        <v>68760</v>
      </c>
      <c r="E715">
        <f>VLOOKUP(B715,[2]怪物!$N$134:$T$233,6,0)</f>
        <v>408</v>
      </c>
      <c r="F715" s="1">
        <f t="shared" si="130"/>
        <v>8500</v>
      </c>
      <c r="H715" t="str">
        <f t="shared" si="125"/>
        <v>{cd,3000}</v>
      </c>
      <c r="I715" t="str">
        <f t="shared" si="126"/>
        <v>{hp,68760}</v>
      </c>
      <c r="J715" t="str">
        <f t="shared" si="127"/>
        <v>{atk,408}</v>
      </c>
      <c r="K715" t="str">
        <f t="shared" si="128"/>
        <v>{spd,8500}</v>
      </c>
      <c r="L715" t="str">
        <f t="shared" si="129"/>
        <v/>
      </c>
      <c r="O715" t="str">
        <f t="shared" si="131"/>
        <v>[{cd,3000},{hp,68760},{atk,408},{spd,8500}]</v>
      </c>
    </row>
    <row r="716" spans="1:15">
      <c r="A716">
        <f>Sheet1!E718</f>
        <v>106</v>
      </c>
      <c r="B716">
        <f t="shared" si="124"/>
        <v>143</v>
      </c>
      <c r="C716">
        <v>3000</v>
      </c>
      <c r="D716">
        <f>VLOOKUP(B716,[1]怪物!$N$34:$T$233,4,0)</f>
        <v>85950</v>
      </c>
      <c r="E716">
        <f>VLOOKUP(B716,[2]怪物!$N$134:$T$233,7,0)</f>
        <v>510</v>
      </c>
      <c r="F716" s="1">
        <f t="shared" si="130"/>
        <v>8500</v>
      </c>
      <c r="H716" t="str">
        <f t="shared" si="125"/>
        <v>{cd,3000}</v>
      </c>
      <c r="I716" t="str">
        <f t="shared" si="126"/>
        <v>{hp,85950}</v>
      </c>
      <c r="J716" t="str">
        <f t="shared" si="127"/>
        <v>{atk,510}</v>
      </c>
      <c r="K716" t="str">
        <f t="shared" si="128"/>
        <v>{spd,8500}</v>
      </c>
      <c r="L716" t="str">
        <f t="shared" si="129"/>
        <v/>
      </c>
      <c r="O716" t="str">
        <f t="shared" si="131"/>
        <v>[{cd,3000},{hp,85950},{atk,510},{spd,8500}]</v>
      </c>
    </row>
    <row r="717" spans="1:15">
      <c r="A717">
        <f>Sheet1!E719</f>
        <v>501</v>
      </c>
      <c r="B717">
        <f t="shared" si="124"/>
        <v>143</v>
      </c>
      <c r="C717">
        <v>3000</v>
      </c>
      <c r="D717">
        <f>VLOOKUP(B717,[1]怪物!$U$34:$Y$234,2,0)</f>
        <v>3438000</v>
      </c>
      <c r="E717">
        <f>VLOOKUP(B717,[2]怪物!$U$134:$Y$233,4,0)</f>
        <v>850</v>
      </c>
      <c r="F717" s="1">
        <f t="shared" si="130"/>
        <v>8500</v>
      </c>
      <c r="H717" t="str">
        <f t="shared" si="125"/>
        <v>{cd,3000}</v>
      </c>
      <c r="I717" t="str">
        <f t="shared" si="126"/>
        <v>{hp,3438000}</v>
      </c>
      <c r="J717" t="str">
        <f t="shared" si="127"/>
        <v>{atk,850}</v>
      </c>
      <c r="K717" t="str">
        <f t="shared" si="128"/>
        <v>{spd,8500}</v>
      </c>
      <c r="L717" t="str">
        <f t="shared" si="129"/>
        <v/>
      </c>
      <c r="O717" t="str">
        <f t="shared" si="131"/>
        <v>[{cd,3000},{hp,3438000},{atk,850},{spd,8500}]</v>
      </c>
    </row>
    <row r="718" spans="1:15">
      <c r="A718">
        <f>Sheet1!E720</f>
        <v>501</v>
      </c>
      <c r="B718">
        <f t="shared" si="124"/>
        <v>143</v>
      </c>
      <c r="C718">
        <v>3000</v>
      </c>
      <c r="D718">
        <f>VLOOKUP(B718,[1]怪物!$U$34:$Y$234,3,0)</f>
        <v>4584000</v>
      </c>
      <c r="E718">
        <f>VLOOKUP(B718,[2]怪物!$U$134:$Y$233,5,0)</f>
        <v>1700</v>
      </c>
      <c r="F718" s="1">
        <f t="shared" si="130"/>
        <v>8500</v>
      </c>
      <c r="H718" t="str">
        <f t="shared" si="125"/>
        <v>{cd,3000}</v>
      </c>
      <c r="I718" t="str">
        <f t="shared" si="126"/>
        <v>{hp,4584000}</v>
      </c>
      <c r="J718" t="str">
        <f t="shared" si="127"/>
        <v>{atk,1700}</v>
      </c>
      <c r="K718" t="str">
        <f t="shared" si="128"/>
        <v>{spd,8500}</v>
      </c>
      <c r="L718" t="str">
        <f t="shared" si="129"/>
        <v/>
      </c>
      <c r="O718" t="str">
        <f t="shared" si="131"/>
        <v>[{cd,3000},{hp,4584000},{atk,1700},{spd,8500}]</v>
      </c>
    </row>
    <row r="719" spans="1:15">
      <c r="A719">
        <f>Sheet1!E721</f>
        <v>100</v>
      </c>
      <c r="B719">
        <f t="shared" si="124"/>
        <v>144</v>
      </c>
      <c r="C719">
        <v>3000</v>
      </c>
      <c r="D719">
        <f>VLOOKUP(B719,[1]怪物!$N$34:$T$233,2,0)</f>
        <v>59300</v>
      </c>
      <c r="E719">
        <f>VLOOKUP(B719,[2]怪物!$N$134:$T$233,5,0)</f>
        <v>380</v>
      </c>
      <c r="F719" s="1">
        <f t="shared" si="130"/>
        <v>8500</v>
      </c>
      <c r="H719" t="str">
        <f t="shared" si="125"/>
        <v>{cd,3000}</v>
      </c>
      <c r="I719" t="str">
        <f t="shared" si="126"/>
        <v>{hp,59300}</v>
      </c>
      <c r="J719" t="str">
        <f t="shared" si="127"/>
        <v>{atk,380}</v>
      </c>
      <c r="K719" t="str">
        <f t="shared" si="128"/>
        <v>{spd,8500}</v>
      </c>
      <c r="L719" t="str">
        <f t="shared" si="129"/>
        <v/>
      </c>
      <c r="O719" t="str">
        <f t="shared" si="131"/>
        <v>[{cd,3000},{hp,59300},{atk,380},{spd,8500}]</v>
      </c>
    </row>
    <row r="720" spans="1:15">
      <c r="A720">
        <f>Sheet1!E722</f>
        <v>102</v>
      </c>
      <c r="B720">
        <f t="shared" si="124"/>
        <v>144</v>
      </c>
      <c r="C720">
        <v>3000</v>
      </c>
      <c r="D720">
        <f>VLOOKUP(B720,[1]怪物!$N$34:$T$233,3,0)</f>
        <v>71160</v>
      </c>
      <c r="E720">
        <f>VLOOKUP(B720,[2]怪物!$N$134:$T$233,6,0)</f>
        <v>456</v>
      </c>
      <c r="F720" s="1">
        <f t="shared" si="130"/>
        <v>8500</v>
      </c>
      <c r="H720" t="str">
        <f t="shared" si="125"/>
        <v>{cd,3000}</v>
      </c>
      <c r="I720" t="str">
        <f t="shared" si="126"/>
        <v>{hp,71160}</v>
      </c>
      <c r="J720" t="str">
        <f t="shared" si="127"/>
        <v>{atk,456}</v>
      </c>
      <c r="K720" t="str">
        <f t="shared" si="128"/>
        <v>{spd,8500}</v>
      </c>
      <c r="L720" t="str">
        <f t="shared" si="129"/>
        <v/>
      </c>
      <c r="O720" t="str">
        <f t="shared" si="131"/>
        <v>[{cd,3000},{hp,71160},{atk,456},{spd,8500}]</v>
      </c>
    </row>
    <row r="721" spans="1:15">
      <c r="A721">
        <f>Sheet1!E723</f>
        <v>105</v>
      </c>
      <c r="B721">
        <f t="shared" ref="B721:B753" si="132">B716+1</f>
        <v>144</v>
      </c>
      <c r="C721">
        <v>3000</v>
      </c>
      <c r="D721">
        <f>VLOOKUP(B721,[1]怪物!$N$34:$T$233,4,0)</f>
        <v>88950</v>
      </c>
      <c r="E721">
        <f>VLOOKUP(B721,[2]怪物!$N$134:$T$233,7,0)</f>
        <v>570</v>
      </c>
      <c r="F721" s="1">
        <f t="shared" si="130"/>
        <v>8500</v>
      </c>
      <c r="H721" t="str">
        <f t="shared" si="125"/>
        <v>{cd,3000}</v>
      </c>
      <c r="I721" t="str">
        <f t="shared" si="126"/>
        <v>{hp,88950}</v>
      </c>
      <c r="J721" t="str">
        <f t="shared" si="127"/>
        <v>{atk,570}</v>
      </c>
      <c r="K721" t="str">
        <f t="shared" si="128"/>
        <v>{spd,8500}</v>
      </c>
      <c r="L721" t="str">
        <f t="shared" si="129"/>
        <v/>
      </c>
      <c r="O721" t="str">
        <f t="shared" si="131"/>
        <v>[{cd,3000},{hp,88950},{atk,570},{spd,8500}]</v>
      </c>
    </row>
    <row r="722" spans="1:15">
      <c r="A722">
        <f>Sheet1!E724</f>
        <v>502</v>
      </c>
      <c r="B722">
        <f t="shared" si="132"/>
        <v>144</v>
      </c>
      <c r="C722">
        <v>3000</v>
      </c>
      <c r="D722">
        <f>VLOOKUP(B722,[1]怪物!$U$34:$Y$234,2,0)</f>
        <v>3558000</v>
      </c>
      <c r="E722">
        <f>VLOOKUP(B722,[2]怪物!$U$134:$Y$233,4,0)</f>
        <v>950</v>
      </c>
      <c r="F722" s="1">
        <f t="shared" si="130"/>
        <v>8500</v>
      </c>
      <c r="H722" t="str">
        <f t="shared" si="125"/>
        <v>{cd,3000}</v>
      </c>
      <c r="I722" t="str">
        <f t="shared" si="126"/>
        <v>{hp,3558000}</v>
      </c>
      <c r="J722" t="str">
        <f t="shared" si="127"/>
        <v>{atk,950}</v>
      </c>
      <c r="K722" t="str">
        <f t="shared" si="128"/>
        <v>{spd,8500}</v>
      </c>
      <c r="L722" t="str">
        <f t="shared" si="129"/>
        <v/>
      </c>
      <c r="O722" t="str">
        <f t="shared" si="131"/>
        <v>[{cd,3000},{hp,3558000},{atk,950},{spd,8500}]</v>
      </c>
    </row>
    <row r="723" spans="1:15">
      <c r="A723">
        <f>Sheet1!E725</f>
        <v>500</v>
      </c>
      <c r="B723">
        <f t="shared" si="132"/>
        <v>144</v>
      </c>
      <c r="C723">
        <v>3000</v>
      </c>
      <c r="D723">
        <f>VLOOKUP(B723,[1]怪物!$U$34:$Y$234,3,0)</f>
        <v>4744000</v>
      </c>
      <c r="E723">
        <f>VLOOKUP(B723,[2]怪物!$U$134:$Y$233,5,0)</f>
        <v>1900</v>
      </c>
      <c r="F723" s="1">
        <f t="shared" si="130"/>
        <v>8500</v>
      </c>
      <c r="H723" t="str">
        <f t="shared" si="125"/>
        <v>{cd,3000}</v>
      </c>
      <c r="I723" t="str">
        <f t="shared" si="126"/>
        <v>{hp,4744000}</v>
      </c>
      <c r="J723" t="str">
        <f t="shared" si="127"/>
        <v>{atk,1900}</v>
      </c>
      <c r="K723" t="str">
        <f t="shared" si="128"/>
        <v>{spd,8500}</v>
      </c>
      <c r="L723" t="str">
        <f t="shared" si="129"/>
        <v/>
      </c>
      <c r="O723" t="str">
        <f t="shared" si="131"/>
        <v>[{cd,3000},{hp,4744000},{atk,1900},{spd,8500}]</v>
      </c>
    </row>
    <row r="724" spans="1:15">
      <c r="A724">
        <f>Sheet1!E726</f>
        <v>117</v>
      </c>
      <c r="B724">
        <f t="shared" si="132"/>
        <v>145</v>
      </c>
      <c r="C724">
        <v>3000</v>
      </c>
      <c r="D724">
        <f>VLOOKUP(B724,[1]怪物!$N$34:$T$233,2,0)</f>
        <v>57900</v>
      </c>
      <c r="E724">
        <f>VLOOKUP(B724,[2]怪物!$N$134:$T$233,5,0)</f>
        <v>348</v>
      </c>
      <c r="F724" s="1">
        <f t="shared" si="130"/>
        <v>8500</v>
      </c>
      <c r="H724" t="str">
        <f t="shared" si="125"/>
        <v>{cd,3000}</v>
      </c>
      <c r="I724" t="str">
        <f t="shared" si="126"/>
        <v>{hp,57900}</v>
      </c>
      <c r="J724" t="str">
        <f t="shared" si="127"/>
        <v>{atk,348}</v>
      </c>
      <c r="K724" t="str">
        <f t="shared" si="128"/>
        <v>{spd,8500}</v>
      </c>
      <c r="L724" t="str">
        <f t="shared" si="129"/>
        <v>{downUnderPhAtk,5000}</v>
      </c>
      <c r="O724" t="str">
        <f t="shared" si="131"/>
        <v>[{cd,3000},{hp,57900},{atk,348},{spd,8500},{downUnderPhAtk,5000}]</v>
      </c>
    </row>
    <row r="725" spans="1:15">
      <c r="A725">
        <f>Sheet1!E727</f>
        <v>116</v>
      </c>
      <c r="B725">
        <f t="shared" si="132"/>
        <v>145</v>
      </c>
      <c r="C725">
        <v>3000</v>
      </c>
      <c r="D725">
        <f>VLOOKUP(B725,[1]怪物!$N$34:$T$233,3,0)</f>
        <v>69480</v>
      </c>
      <c r="E725">
        <f>VLOOKUP(B725,[2]怪物!$N$134:$T$233,6,0)</f>
        <v>418</v>
      </c>
      <c r="F725" s="1">
        <f t="shared" si="130"/>
        <v>20000</v>
      </c>
      <c r="H725" t="str">
        <f t="shared" si="125"/>
        <v>{cd,3000}</v>
      </c>
      <c r="I725" t="str">
        <f t="shared" si="126"/>
        <v>{hp,69480}</v>
      </c>
      <c r="J725" t="str">
        <f t="shared" si="127"/>
        <v>{atk,418}</v>
      </c>
      <c r="K725" t="str">
        <f t="shared" si="128"/>
        <v>{spd,20000}</v>
      </c>
      <c r="L725" t="str">
        <f t="shared" si="129"/>
        <v/>
      </c>
      <c r="O725" t="str">
        <f t="shared" si="131"/>
        <v>[{cd,3000},{hp,69480},{atk,418},{spd,20000}]</v>
      </c>
    </row>
    <row r="726" spans="1:15">
      <c r="A726">
        <f>Sheet1!E728</f>
        <v>116</v>
      </c>
      <c r="B726">
        <f t="shared" si="132"/>
        <v>145</v>
      </c>
      <c r="C726">
        <v>3000</v>
      </c>
      <c r="D726">
        <f>VLOOKUP(B726,[1]怪物!$N$34:$T$233,4,0)</f>
        <v>86850</v>
      </c>
      <c r="E726">
        <f>VLOOKUP(B726,[2]怪物!$N$134:$T$233,7,0)</f>
        <v>522</v>
      </c>
      <c r="F726" s="1">
        <f t="shared" si="130"/>
        <v>20000</v>
      </c>
      <c r="H726" t="str">
        <f t="shared" si="125"/>
        <v>{cd,3000}</v>
      </c>
      <c r="I726" t="str">
        <f t="shared" si="126"/>
        <v>{hp,86850}</v>
      </c>
      <c r="J726" t="str">
        <f t="shared" si="127"/>
        <v>{atk,522}</v>
      </c>
      <c r="K726" t="str">
        <f t="shared" si="128"/>
        <v>{spd,20000}</v>
      </c>
      <c r="L726" t="str">
        <f t="shared" si="129"/>
        <v/>
      </c>
      <c r="O726" t="str">
        <f t="shared" si="131"/>
        <v>[{cd,3000},{hp,86850},{atk,522},{spd,20000}]</v>
      </c>
    </row>
    <row r="727" spans="1:15">
      <c r="A727">
        <f>Sheet1!E729</f>
        <v>517</v>
      </c>
      <c r="B727">
        <f t="shared" si="132"/>
        <v>145</v>
      </c>
      <c r="C727">
        <v>3000</v>
      </c>
      <c r="D727">
        <f>VLOOKUP(B727,[1]怪物!$U$34:$Y$234,2,0)</f>
        <v>3474000</v>
      </c>
      <c r="E727">
        <f>VLOOKUP(B727,[2]怪物!$U$134:$Y$233,4,0)</f>
        <v>870</v>
      </c>
      <c r="F727" s="1">
        <f t="shared" si="130"/>
        <v>8500</v>
      </c>
      <c r="H727" t="str">
        <f t="shared" si="125"/>
        <v>{cd,3000}</v>
      </c>
      <c r="I727" t="str">
        <f t="shared" si="126"/>
        <v>{hp,3474000}</v>
      </c>
      <c r="J727" t="str">
        <f t="shared" si="127"/>
        <v>{atk,870}</v>
      </c>
      <c r="K727" t="str">
        <f t="shared" si="128"/>
        <v>{spd,8500}</v>
      </c>
      <c r="L727" t="str">
        <f t="shared" si="129"/>
        <v>{downUnderPhAtk,5000}</v>
      </c>
      <c r="O727" t="str">
        <f t="shared" si="131"/>
        <v>[{cd,3000},{hp,3474000},{atk,870},{spd,8500},{downUnderPhAtk,5000}]</v>
      </c>
    </row>
    <row r="728" spans="1:15">
      <c r="A728">
        <f>Sheet1!E730</f>
        <v>517</v>
      </c>
      <c r="B728">
        <f t="shared" si="132"/>
        <v>145</v>
      </c>
      <c r="C728">
        <v>3000</v>
      </c>
      <c r="D728">
        <f>VLOOKUP(B728,[1]怪物!$U$34:$Y$234,3,0)</f>
        <v>4632000</v>
      </c>
      <c r="E728">
        <f>VLOOKUP(B728,[2]怪物!$U$134:$Y$233,5,0)</f>
        <v>1740</v>
      </c>
      <c r="F728" s="1">
        <f t="shared" si="130"/>
        <v>8500</v>
      </c>
      <c r="H728" t="str">
        <f t="shared" si="125"/>
        <v>{cd,3000}</v>
      </c>
      <c r="I728" t="str">
        <f t="shared" si="126"/>
        <v>{hp,4632000}</v>
      </c>
      <c r="J728" t="str">
        <f t="shared" si="127"/>
        <v>{atk,1740}</v>
      </c>
      <c r="K728" t="str">
        <f t="shared" si="128"/>
        <v>{spd,8500}</v>
      </c>
      <c r="L728" t="str">
        <f t="shared" si="129"/>
        <v>{downUnderPhAtk,5000}</v>
      </c>
      <c r="O728" t="str">
        <f t="shared" si="131"/>
        <v>[{cd,3000},{hp,4632000},{atk,1740},{spd,8500},{downUnderPhAtk,5000}]</v>
      </c>
    </row>
    <row r="729" spans="1:15">
      <c r="A729">
        <f>Sheet1!E731</f>
        <v>121</v>
      </c>
      <c r="B729">
        <f t="shared" si="132"/>
        <v>146</v>
      </c>
      <c r="C729">
        <v>3000</v>
      </c>
      <c r="D729">
        <f>VLOOKUP(B729,[1]怪物!$N$34:$T$233,2,0)</f>
        <v>58700</v>
      </c>
      <c r="E729">
        <f>VLOOKUP(B729,[2]怪物!$N$134:$T$233,5,0)</f>
        <v>356</v>
      </c>
      <c r="F729" s="1">
        <f t="shared" si="130"/>
        <v>8500</v>
      </c>
      <c r="H729" t="str">
        <f t="shared" si="125"/>
        <v>{cd,3000}</v>
      </c>
      <c r="I729" t="str">
        <f t="shared" si="126"/>
        <v>{hp,58700}</v>
      </c>
      <c r="J729" t="str">
        <f t="shared" si="127"/>
        <v>{atk,356}</v>
      </c>
      <c r="K729" t="str">
        <f t="shared" si="128"/>
        <v>{spd,8500}</v>
      </c>
      <c r="L729" t="str">
        <f t="shared" si="129"/>
        <v>{firingDmgDown,5000}</v>
      </c>
      <c r="O729" t="str">
        <f t="shared" si="131"/>
        <v>[{cd,3000},{hp,58700},{atk,356},{spd,8500},{firingDmgDown,5000}]</v>
      </c>
    </row>
    <row r="730" spans="1:15">
      <c r="A730">
        <f>Sheet1!E732</f>
        <v>119</v>
      </c>
      <c r="B730">
        <f t="shared" si="132"/>
        <v>146</v>
      </c>
      <c r="C730">
        <v>3000</v>
      </c>
      <c r="D730">
        <f>VLOOKUP(B730,[1]怪物!$N$34:$T$233,3,0)</f>
        <v>70440</v>
      </c>
      <c r="E730">
        <f>VLOOKUP(B730,[2]怪物!$N$134:$T$233,6,0)</f>
        <v>427</v>
      </c>
      <c r="F730" s="1">
        <f t="shared" si="130"/>
        <v>8500</v>
      </c>
      <c r="H730" t="str">
        <f t="shared" si="125"/>
        <v>{cd,3000}</v>
      </c>
      <c r="I730" t="str">
        <f t="shared" si="126"/>
        <v>{hp,70440}</v>
      </c>
      <c r="J730" t="str">
        <f t="shared" si="127"/>
        <v>{atk,427}</v>
      </c>
      <c r="K730" t="str">
        <f t="shared" si="128"/>
        <v>{spd,8500}</v>
      </c>
      <c r="L730" t="str">
        <f t="shared" si="129"/>
        <v>{downUnderMagicAtk,5000}</v>
      </c>
      <c r="O730" t="str">
        <f t="shared" si="131"/>
        <v>[{cd,3000},{hp,70440},{atk,427},{spd,8500},{downUnderMagicAtk,5000}]</v>
      </c>
    </row>
    <row r="731" spans="1:15">
      <c r="A731">
        <f>Sheet1!E733</f>
        <v>118</v>
      </c>
      <c r="B731">
        <f t="shared" si="132"/>
        <v>146</v>
      </c>
      <c r="C731">
        <v>3000</v>
      </c>
      <c r="D731">
        <f>VLOOKUP(B731,[1]怪物!$N$34:$T$233,4,0)</f>
        <v>88050</v>
      </c>
      <c r="E731">
        <f>VLOOKUP(B731,[2]怪物!$N$134:$T$233,7,0)</f>
        <v>534</v>
      </c>
      <c r="F731" s="1">
        <f t="shared" si="130"/>
        <v>8500</v>
      </c>
      <c r="H731" t="str">
        <f t="shared" si="125"/>
        <v>{cd,3000}</v>
      </c>
      <c r="I731" t="str">
        <f t="shared" si="126"/>
        <v>{hp,88050}</v>
      </c>
      <c r="J731" t="str">
        <f t="shared" si="127"/>
        <v>{atk,534}</v>
      </c>
      <c r="K731" t="str">
        <f t="shared" si="128"/>
        <v>{spd,8500}</v>
      </c>
      <c r="L731" t="str">
        <f t="shared" si="129"/>
        <v/>
      </c>
      <c r="O731" t="str">
        <f t="shared" si="131"/>
        <v>[{cd,3000},{hp,88050},{atk,534},{spd,8500}]</v>
      </c>
    </row>
    <row r="732" spans="1:15">
      <c r="A732">
        <f>Sheet1!E734</f>
        <v>521</v>
      </c>
      <c r="B732">
        <f t="shared" si="132"/>
        <v>146</v>
      </c>
      <c r="C732">
        <v>3000</v>
      </c>
      <c r="D732">
        <f>VLOOKUP(B732,[1]怪物!$U$34:$Y$234,2,0)</f>
        <v>3522000</v>
      </c>
      <c r="E732">
        <f>VLOOKUP(B732,[2]怪物!$U$134:$Y$233,4,0)</f>
        <v>890</v>
      </c>
      <c r="F732" s="1">
        <f t="shared" si="130"/>
        <v>8500</v>
      </c>
      <c r="H732" t="str">
        <f t="shared" si="125"/>
        <v>{cd,3000}</v>
      </c>
      <c r="I732" t="str">
        <f t="shared" si="126"/>
        <v>{hp,3522000}</v>
      </c>
      <c r="J732" t="str">
        <f t="shared" si="127"/>
        <v>{atk,890}</v>
      </c>
      <c r="K732" t="str">
        <f t="shared" si="128"/>
        <v>{spd,8500}</v>
      </c>
      <c r="L732" t="str">
        <f t="shared" si="129"/>
        <v>{firingDmgDown,5000}</v>
      </c>
      <c r="O732" t="str">
        <f t="shared" si="131"/>
        <v>[{cd,3000},{hp,3522000},{atk,890},{spd,8500},{firingDmgDown,5000}]</v>
      </c>
    </row>
    <row r="733" spans="1:15">
      <c r="A733">
        <f>Sheet1!E735</f>
        <v>521</v>
      </c>
      <c r="B733">
        <f t="shared" si="132"/>
        <v>146</v>
      </c>
      <c r="C733">
        <v>3000</v>
      </c>
      <c r="D733">
        <f>VLOOKUP(B733,[1]怪物!$U$34:$Y$234,3,0)</f>
        <v>4696000</v>
      </c>
      <c r="E733">
        <f>VLOOKUP(B733,[2]怪物!$U$134:$Y$233,5,0)</f>
        <v>1780</v>
      </c>
      <c r="F733" s="1">
        <f t="shared" si="130"/>
        <v>8500</v>
      </c>
      <c r="H733" t="str">
        <f t="shared" si="125"/>
        <v>{cd,3000}</v>
      </c>
      <c r="I733" t="str">
        <f t="shared" si="126"/>
        <v>{hp,4696000}</v>
      </c>
      <c r="J733" t="str">
        <f t="shared" si="127"/>
        <v>{atk,1780}</v>
      </c>
      <c r="K733" t="str">
        <f t="shared" si="128"/>
        <v>{spd,8500}</v>
      </c>
      <c r="L733" t="str">
        <f t="shared" si="129"/>
        <v>{firingDmgDown,5000}</v>
      </c>
      <c r="O733" t="str">
        <f t="shared" si="131"/>
        <v>[{cd,3000},{hp,4696000},{atk,1780},{spd,8500},{firingDmgDown,5000}]</v>
      </c>
    </row>
    <row r="734" spans="1:15">
      <c r="A734">
        <f>Sheet1!E736</f>
        <v>122</v>
      </c>
      <c r="B734">
        <f t="shared" si="132"/>
        <v>147</v>
      </c>
      <c r="C734">
        <v>3000</v>
      </c>
      <c r="D734">
        <f>VLOOKUP(B734,[1]怪物!$N$34:$T$233,2,0)</f>
        <v>59700</v>
      </c>
      <c r="E734">
        <f>VLOOKUP(B734,[2]怪物!$N$134:$T$233,5,0)</f>
        <v>364</v>
      </c>
      <c r="F734" s="1">
        <f t="shared" si="130"/>
        <v>8500</v>
      </c>
      <c r="H734" t="str">
        <f t="shared" si="125"/>
        <v>{cd,3000}</v>
      </c>
      <c r="I734" t="str">
        <f t="shared" si="126"/>
        <v>{hp,59700}</v>
      </c>
      <c r="J734" t="str">
        <f t="shared" si="127"/>
        <v>{atk,364}</v>
      </c>
      <c r="K734" t="str">
        <f t="shared" si="128"/>
        <v>{spd,8500}</v>
      </c>
      <c r="L734" t="str">
        <f t="shared" si="129"/>
        <v/>
      </c>
      <c r="O734" t="str">
        <f t="shared" si="131"/>
        <v>[{cd,3000},{hp,59700},{atk,364},{spd,8500}]</v>
      </c>
    </row>
    <row r="735" spans="1:15">
      <c r="A735">
        <f>Sheet1!E737</f>
        <v>123</v>
      </c>
      <c r="B735">
        <f t="shared" si="132"/>
        <v>147</v>
      </c>
      <c r="C735">
        <v>3000</v>
      </c>
      <c r="D735">
        <f>VLOOKUP(B735,[1]怪物!$N$34:$T$233,3,0)</f>
        <v>71640</v>
      </c>
      <c r="E735">
        <f>VLOOKUP(B735,[2]怪物!$N$134:$T$233,6,0)</f>
        <v>437</v>
      </c>
      <c r="F735" s="1">
        <f t="shared" si="130"/>
        <v>8500</v>
      </c>
      <c r="H735" t="str">
        <f t="shared" si="125"/>
        <v>{cd,3000}</v>
      </c>
      <c r="I735" t="str">
        <f t="shared" si="126"/>
        <v>{hp,71640}</v>
      </c>
      <c r="J735" t="str">
        <f t="shared" si="127"/>
        <v>{atk,437}</v>
      </c>
      <c r="K735" t="str">
        <f t="shared" si="128"/>
        <v>{spd,8500}</v>
      </c>
      <c r="L735" t="str">
        <f t="shared" si="129"/>
        <v/>
      </c>
      <c r="O735" t="str">
        <f t="shared" si="131"/>
        <v>[{cd,3000},{hp,71640},{atk,437},{spd,8500}]</v>
      </c>
    </row>
    <row r="736" spans="1:15">
      <c r="A736">
        <f>Sheet1!E738</f>
        <v>123</v>
      </c>
      <c r="B736">
        <f t="shared" si="132"/>
        <v>147</v>
      </c>
      <c r="C736">
        <v>3000</v>
      </c>
      <c r="D736">
        <f>VLOOKUP(B736,[1]怪物!$N$34:$T$233,4,0)</f>
        <v>89550</v>
      </c>
      <c r="E736">
        <f>VLOOKUP(B736,[2]怪物!$N$134:$T$233,7,0)</f>
        <v>546</v>
      </c>
      <c r="F736" s="1">
        <f t="shared" si="130"/>
        <v>8500</v>
      </c>
      <c r="H736" t="str">
        <f t="shared" si="125"/>
        <v>{cd,3000}</v>
      </c>
      <c r="I736" t="str">
        <f t="shared" si="126"/>
        <v>{hp,89550}</v>
      </c>
      <c r="J736" t="str">
        <f t="shared" si="127"/>
        <v>{atk,546}</v>
      </c>
      <c r="K736" t="str">
        <f t="shared" si="128"/>
        <v>{spd,8500}</v>
      </c>
      <c r="L736" t="str">
        <f t="shared" si="129"/>
        <v/>
      </c>
      <c r="O736" t="str">
        <f t="shared" si="131"/>
        <v>[{cd,3000},{hp,89550},{atk,546},{spd,8500}]</v>
      </c>
    </row>
    <row r="737" spans="1:15">
      <c r="A737">
        <f>Sheet1!E739</f>
        <v>522</v>
      </c>
      <c r="B737">
        <f t="shared" si="132"/>
        <v>147</v>
      </c>
      <c r="C737">
        <v>3000</v>
      </c>
      <c r="D737">
        <f>VLOOKUP(B737,[1]怪物!$U$34:$Y$234,2,0)</f>
        <v>3582000</v>
      </c>
      <c r="E737">
        <f>VLOOKUP(B737,[2]怪物!$U$134:$Y$233,4,0)</f>
        <v>910</v>
      </c>
      <c r="F737" s="1">
        <f t="shared" si="130"/>
        <v>8500</v>
      </c>
      <c r="H737" t="str">
        <f t="shared" si="125"/>
        <v>{cd,3000}</v>
      </c>
      <c r="I737" t="str">
        <f t="shared" si="126"/>
        <v>{hp,3582000}</v>
      </c>
      <c r="J737" t="str">
        <f t="shared" si="127"/>
        <v>{atk,910}</v>
      </c>
      <c r="K737" t="str">
        <f t="shared" si="128"/>
        <v>{spd,8500}</v>
      </c>
      <c r="L737" t="str">
        <f t="shared" si="129"/>
        <v/>
      </c>
      <c r="O737" t="str">
        <f t="shared" si="131"/>
        <v>[{cd,3000},{hp,3582000},{atk,910},{spd,8500}]</v>
      </c>
    </row>
    <row r="738" spans="1:15">
      <c r="A738">
        <f>Sheet1!E740</f>
        <v>522</v>
      </c>
      <c r="B738">
        <f t="shared" si="132"/>
        <v>147</v>
      </c>
      <c r="C738">
        <v>3000</v>
      </c>
      <c r="D738">
        <f>VLOOKUP(B738,[1]怪物!$U$34:$Y$234,3,0)</f>
        <v>4776000</v>
      </c>
      <c r="E738">
        <f>VLOOKUP(B738,[2]怪物!$U$134:$Y$233,5,0)</f>
        <v>1820</v>
      </c>
      <c r="F738" s="1">
        <f t="shared" si="130"/>
        <v>8500</v>
      </c>
      <c r="H738" t="str">
        <f t="shared" si="125"/>
        <v>{cd,3000}</v>
      </c>
      <c r="I738" t="str">
        <f t="shared" si="126"/>
        <v>{hp,4776000}</v>
      </c>
      <c r="J738" t="str">
        <f t="shared" si="127"/>
        <v>{atk,1820}</v>
      </c>
      <c r="K738" t="str">
        <f t="shared" si="128"/>
        <v>{spd,8500}</v>
      </c>
      <c r="L738" t="str">
        <f t="shared" si="129"/>
        <v/>
      </c>
      <c r="O738" t="str">
        <f t="shared" si="131"/>
        <v>[{cd,3000},{hp,4776000},{atk,1820},{spd,8500}]</v>
      </c>
    </row>
    <row r="739" spans="1:15">
      <c r="A739">
        <f>Sheet1!E741</f>
        <v>121</v>
      </c>
      <c r="B739">
        <f t="shared" si="132"/>
        <v>148</v>
      </c>
      <c r="C739">
        <v>3000</v>
      </c>
      <c r="D739">
        <f>VLOOKUP(B739,[1]怪物!$N$34:$T$233,2,0)</f>
        <v>60900</v>
      </c>
      <c r="E739">
        <f>VLOOKUP(B739,[2]怪物!$N$134:$T$233,5,0)</f>
        <v>372</v>
      </c>
      <c r="F739" s="1">
        <f t="shared" si="130"/>
        <v>8500</v>
      </c>
      <c r="H739" t="str">
        <f t="shared" si="125"/>
        <v>{cd,3000}</v>
      </c>
      <c r="I739" t="str">
        <f t="shared" si="126"/>
        <v>{hp,60900}</v>
      </c>
      <c r="J739" t="str">
        <f t="shared" si="127"/>
        <v>{atk,372}</v>
      </c>
      <c r="K739" t="str">
        <f t="shared" si="128"/>
        <v>{spd,8500}</v>
      </c>
      <c r="L739" t="str">
        <f t="shared" si="129"/>
        <v>{firingDmgDown,5000}</v>
      </c>
      <c r="O739" t="str">
        <f t="shared" si="131"/>
        <v>[{cd,3000},{hp,60900},{atk,372},{spd,8500},{firingDmgDown,5000}]</v>
      </c>
    </row>
    <row r="740" spans="1:15">
      <c r="A740">
        <f>Sheet1!E742</f>
        <v>122</v>
      </c>
      <c r="B740">
        <f t="shared" si="132"/>
        <v>148</v>
      </c>
      <c r="C740">
        <v>3000</v>
      </c>
      <c r="D740">
        <f>VLOOKUP(B740,[1]怪物!$N$34:$T$233,3,0)</f>
        <v>73080</v>
      </c>
      <c r="E740">
        <f>VLOOKUP(B740,[2]怪物!$N$134:$T$233,6,0)</f>
        <v>446</v>
      </c>
      <c r="F740" s="1">
        <f t="shared" si="130"/>
        <v>8500</v>
      </c>
      <c r="H740" t="str">
        <f t="shared" si="125"/>
        <v>{cd,3000}</v>
      </c>
      <c r="I740" t="str">
        <f t="shared" si="126"/>
        <v>{hp,73080}</v>
      </c>
      <c r="J740" t="str">
        <f t="shared" si="127"/>
        <v>{atk,446}</v>
      </c>
      <c r="K740" t="str">
        <f t="shared" si="128"/>
        <v>{spd,8500}</v>
      </c>
      <c r="L740" t="str">
        <f t="shared" si="129"/>
        <v/>
      </c>
      <c r="O740" t="str">
        <f t="shared" si="131"/>
        <v>[{cd,3000},{hp,73080},{atk,446},{spd,8500}]</v>
      </c>
    </row>
    <row r="741" spans="1:15">
      <c r="A741">
        <f>Sheet1!E743</f>
        <v>123</v>
      </c>
      <c r="B741">
        <f t="shared" si="132"/>
        <v>148</v>
      </c>
      <c r="C741">
        <v>3000</v>
      </c>
      <c r="D741">
        <f>VLOOKUP(B741,[1]怪物!$N$34:$T$233,4,0)</f>
        <v>91350</v>
      </c>
      <c r="E741">
        <f>VLOOKUP(B741,[2]怪物!$N$134:$T$233,7,0)</f>
        <v>558</v>
      </c>
      <c r="F741" s="1">
        <f t="shared" si="130"/>
        <v>8500</v>
      </c>
      <c r="H741" t="str">
        <f t="shared" si="125"/>
        <v>{cd,3000}</v>
      </c>
      <c r="I741" t="str">
        <f t="shared" si="126"/>
        <v>{hp,91350}</v>
      </c>
      <c r="J741" t="str">
        <f t="shared" si="127"/>
        <v>{atk,558}</v>
      </c>
      <c r="K741" t="str">
        <f t="shared" si="128"/>
        <v>{spd,8500}</v>
      </c>
      <c r="L741" t="str">
        <f t="shared" si="129"/>
        <v/>
      </c>
      <c r="O741" t="str">
        <f t="shared" si="131"/>
        <v>[{cd,3000},{hp,91350},{atk,558},{spd,8500}]</v>
      </c>
    </row>
    <row r="742" spans="1:15">
      <c r="A742">
        <f>Sheet1!E744</f>
        <v>521</v>
      </c>
      <c r="B742">
        <f t="shared" si="132"/>
        <v>148</v>
      </c>
      <c r="C742">
        <v>3000</v>
      </c>
      <c r="D742">
        <f>VLOOKUP(B742,[1]怪物!$U$34:$Y$234,2,0)</f>
        <v>3654000</v>
      </c>
      <c r="E742">
        <f>VLOOKUP(B742,[2]怪物!$U$134:$Y$233,4,0)</f>
        <v>930</v>
      </c>
      <c r="F742" s="1">
        <f t="shared" si="130"/>
        <v>8500</v>
      </c>
      <c r="H742" t="str">
        <f t="shared" si="125"/>
        <v>{cd,3000}</v>
      </c>
      <c r="I742" t="str">
        <f t="shared" si="126"/>
        <v>{hp,3654000}</v>
      </c>
      <c r="J742" t="str">
        <f t="shared" si="127"/>
        <v>{atk,930}</v>
      </c>
      <c r="K742" t="str">
        <f t="shared" si="128"/>
        <v>{spd,8500}</v>
      </c>
      <c r="L742" t="str">
        <f t="shared" si="129"/>
        <v>{firingDmgDown,5000}</v>
      </c>
      <c r="O742" t="str">
        <f t="shared" si="131"/>
        <v>[{cd,3000},{hp,3654000},{atk,930},{spd,8500},{firingDmgDown,5000}]</v>
      </c>
    </row>
    <row r="743" spans="1:15">
      <c r="A743">
        <f>Sheet1!E745</f>
        <v>521</v>
      </c>
      <c r="B743">
        <f t="shared" si="132"/>
        <v>148</v>
      </c>
      <c r="C743">
        <v>3000</v>
      </c>
      <c r="D743">
        <f>VLOOKUP(B743,[1]怪物!$U$34:$Y$234,3,0)</f>
        <v>4872000</v>
      </c>
      <c r="E743">
        <f>VLOOKUP(B743,[2]怪物!$U$134:$Y$233,5,0)</f>
        <v>1860</v>
      </c>
      <c r="F743" s="1">
        <f t="shared" si="130"/>
        <v>8500</v>
      </c>
      <c r="H743" t="str">
        <f t="shared" si="125"/>
        <v>{cd,3000}</v>
      </c>
      <c r="I743" t="str">
        <f t="shared" si="126"/>
        <v>{hp,4872000}</v>
      </c>
      <c r="J743" t="str">
        <f t="shared" si="127"/>
        <v>{atk,1860}</v>
      </c>
      <c r="K743" t="str">
        <f t="shared" si="128"/>
        <v>{spd,8500}</v>
      </c>
      <c r="L743" t="str">
        <f t="shared" si="129"/>
        <v>{firingDmgDown,5000}</v>
      </c>
      <c r="O743" t="str">
        <f t="shared" si="131"/>
        <v>[{cd,3000},{hp,4872000},{atk,1860},{spd,8500},{firingDmgDown,5000}]</v>
      </c>
    </row>
    <row r="744" spans="1:15">
      <c r="A744">
        <f>Sheet1!E746</f>
        <v>114</v>
      </c>
      <c r="B744">
        <f t="shared" si="132"/>
        <v>149</v>
      </c>
      <c r="C744">
        <v>3000</v>
      </c>
      <c r="D744">
        <f>VLOOKUP(B744,[1]怪物!$N$34:$T$233,2,0)</f>
        <v>62300</v>
      </c>
      <c r="E744">
        <f>VLOOKUP(B744,[2]怪物!$N$134:$T$233,5,0)</f>
        <v>380</v>
      </c>
      <c r="F744" s="1">
        <f t="shared" si="130"/>
        <v>8500</v>
      </c>
      <c r="H744" t="str">
        <f t="shared" si="125"/>
        <v>{cd,3000}</v>
      </c>
      <c r="I744" t="str">
        <f t="shared" si="126"/>
        <v>{hp,62300}</v>
      </c>
      <c r="J744" t="str">
        <f t="shared" si="127"/>
        <v>{atk,380}</v>
      </c>
      <c r="K744" t="str">
        <f t="shared" si="128"/>
        <v>{spd,8500}</v>
      </c>
      <c r="L744" t="str">
        <f t="shared" si="129"/>
        <v/>
      </c>
      <c r="O744" t="str">
        <f t="shared" si="131"/>
        <v>[{cd,3000},{hp,62300},{atk,380},{spd,8500}]</v>
      </c>
    </row>
    <row r="745" spans="1:15">
      <c r="A745">
        <f>Sheet1!E747</f>
        <v>112</v>
      </c>
      <c r="B745">
        <f t="shared" si="132"/>
        <v>149</v>
      </c>
      <c r="C745">
        <v>3000</v>
      </c>
      <c r="D745">
        <f>VLOOKUP(B745,[1]怪物!$N$34:$T$233,3,0)</f>
        <v>74760</v>
      </c>
      <c r="E745">
        <f>VLOOKUP(B745,[2]怪物!$N$134:$T$233,6,0)</f>
        <v>456</v>
      </c>
      <c r="F745" s="1">
        <f t="shared" si="130"/>
        <v>8500</v>
      </c>
      <c r="H745" t="str">
        <f t="shared" si="125"/>
        <v>{cd,3000}</v>
      </c>
      <c r="I745" t="str">
        <f t="shared" si="126"/>
        <v>{hp,74760}</v>
      </c>
      <c r="J745" t="str">
        <f t="shared" si="127"/>
        <v>{atk,456}</v>
      </c>
      <c r="K745" t="str">
        <f t="shared" si="128"/>
        <v>{spd,8500}</v>
      </c>
      <c r="L745" t="str">
        <f t="shared" si="129"/>
        <v/>
      </c>
      <c r="O745" t="str">
        <f t="shared" si="131"/>
        <v>[{cd,3000},{hp,74760},{atk,456},{spd,8500}]</v>
      </c>
    </row>
    <row r="746" spans="1:15">
      <c r="A746">
        <f>Sheet1!E748</f>
        <v>113</v>
      </c>
      <c r="B746">
        <f t="shared" si="132"/>
        <v>149</v>
      </c>
      <c r="C746">
        <v>3000</v>
      </c>
      <c r="D746">
        <f>VLOOKUP(B746,[1]怪物!$N$34:$T$233,4,0)</f>
        <v>93450</v>
      </c>
      <c r="E746">
        <f>VLOOKUP(B746,[2]怪物!$N$134:$T$233,7,0)</f>
        <v>570</v>
      </c>
      <c r="F746" s="1">
        <f t="shared" si="130"/>
        <v>8500</v>
      </c>
      <c r="H746" t="str">
        <f t="shared" si="125"/>
        <v>{cd,3000}</v>
      </c>
      <c r="I746" t="str">
        <f t="shared" si="126"/>
        <v>{hp,93450}</v>
      </c>
      <c r="J746" t="str">
        <f t="shared" si="127"/>
        <v>{atk,570}</v>
      </c>
      <c r="K746" t="str">
        <f t="shared" si="128"/>
        <v>{spd,8500}</v>
      </c>
      <c r="L746" t="str">
        <f t="shared" si="129"/>
        <v/>
      </c>
      <c r="O746" t="str">
        <f t="shared" si="131"/>
        <v>[{cd,3000},{hp,93450},{atk,570},{spd,8500}]</v>
      </c>
    </row>
    <row r="747" spans="1:15">
      <c r="A747">
        <f>Sheet1!E749</f>
        <v>514</v>
      </c>
      <c r="B747">
        <f t="shared" si="132"/>
        <v>149</v>
      </c>
      <c r="C747">
        <v>3000</v>
      </c>
      <c r="D747">
        <f>VLOOKUP(B747,[1]怪物!$U$34:$Y$234,2,0)</f>
        <v>3738000</v>
      </c>
      <c r="E747">
        <f>VLOOKUP(B747,[2]怪物!$U$134:$Y$233,4,0)</f>
        <v>950</v>
      </c>
      <c r="F747" s="1">
        <f t="shared" si="130"/>
        <v>8500</v>
      </c>
      <c r="H747" t="str">
        <f t="shared" si="125"/>
        <v>{cd,3000}</v>
      </c>
      <c r="I747" t="str">
        <f t="shared" si="126"/>
        <v>{hp,3738000}</v>
      </c>
      <c r="J747" t="str">
        <f t="shared" si="127"/>
        <v>{atk,950}</v>
      </c>
      <c r="K747" t="str">
        <f t="shared" si="128"/>
        <v>{spd,8500}</v>
      </c>
      <c r="L747" t="str">
        <f t="shared" si="129"/>
        <v/>
      </c>
      <c r="O747" t="str">
        <f t="shared" si="131"/>
        <v>[{cd,3000},{hp,3738000},{atk,950},{spd,8500}]</v>
      </c>
    </row>
    <row r="748" spans="1:15">
      <c r="A748">
        <f>Sheet1!E750</f>
        <v>514</v>
      </c>
      <c r="B748">
        <f t="shared" si="132"/>
        <v>149</v>
      </c>
      <c r="C748">
        <v>3000</v>
      </c>
      <c r="D748">
        <f>VLOOKUP(B748,[1]怪物!$U$34:$Y$234,3,0)</f>
        <v>4984000</v>
      </c>
      <c r="E748">
        <f>VLOOKUP(B748,[2]怪物!$U$134:$Y$233,5,0)</f>
        <v>1900</v>
      </c>
      <c r="F748" s="1">
        <f t="shared" si="130"/>
        <v>8500</v>
      </c>
      <c r="H748" t="str">
        <f t="shared" si="125"/>
        <v>{cd,3000}</v>
      </c>
      <c r="I748" t="str">
        <f t="shared" si="126"/>
        <v>{hp,4984000}</v>
      </c>
      <c r="J748" t="str">
        <f t="shared" si="127"/>
        <v>{atk,1900}</v>
      </c>
      <c r="K748" t="str">
        <f t="shared" si="128"/>
        <v>{spd,8500}</v>
      </c>
      <c r="L748" t="str">
        <f t="shared" si="129"/>
        <v/>
      </c>
      <c r="O748" t="str">
        <f t="shared" si="131"/>
        <v>[{cd,3000},{hp,4984000},{atk,1900},{spd,8500}]</v>
      </c>
    </row>
    <row r="749" spans="1:15">
      <c r="A749">
        <f>Sheet1!E751</f>
        <v>100</v>
      </c>
      <c r="B749">
        <f t="shared" si="132"/>
        <v>150</v>
      </c>
      <c r="C749">
        <v>3000</v>
      </c>
      <c r="D749">
        <f>VLOOKUP(B749,[1]怪物!$N$34:$T$233,2,0)</f>
        <v>64300</v>
      </c>
      <c r="E749">
        <f>VLOOKUP(B749,[2]怪物!$N$134:$T$233,5,0)</f>
        <v>420</v>
      </c>
      <c r="F749" s="1">
        <f t="shared" si="130"/>
        <v>8500</v>
      </c>
      <c r="H749" t="str">
        <f t="shared" si="125"/>
        <v>{cd,3000}</v>
      </c>
      <c r="I749" t="str">
        <f t="shared" si="126"/>
        <v>{hp,64300}</v>
      </c>
      <c r="J749" t="str">
        <f t="shared" si="127"/>
        <v>{atk,420}</v>
      </c>
      <c r="K749" t="str">
        <f t="shared" si="128"/>
        <v>{spd,8500}</v>
      </c>
      <c r="L749" t="str">
        <f t="shared" si="129"/>
        <v/>
      </c>
      <c r="O749" t="str">
        <f t="shared" si="131"/>
        <v>[{cd,3000},{hp,64300},{atk,420},{spd,8500}]</v>
      </c>
    </row>
    <row r="750" spans="1:15">
      <c r="A750">
        <f>Sheet1!E752</f>
        <v>102</v>
      </c>
      <c r="B750">
        <f t="shared" si="132"/>
        <v>150</v>
      </c>
      <c r="C750">
        <v>3000</v>
      </c>
      <c r="D750">
        <f>VLOOKUP(B750,[1]怪物!$N$34:$T$233,3,0)</f>
        <v>77160</v>
      </c>
      <c r="E750">
        <f>VLOOKUP(B750,[2]怪物!$N$134:$T$233,6,0)</f>
        <v>504</v>
      </c>
      <c r="F750" s="1">
        <f t="shared" si="130"/>
        <v>8500</v>
      </c>
      <c r="H750" t="str">
        <f t="shared" si="125"/>
        <v>{cd,3000}</v>
      </c>
      <c r="I750" t="str">
        <f t="shared" si="126"/>
        <v>{hp,77160}</v>
      </c>
      <c r="J750" t="str">
        <f t="shared" si="127"/>
        <v>{atk,504}</v>
      </c>
      <c r="K750" t="str">
        <f t="shared" si="128"/>
        <v>{spd,8500}</v>
      </c>
      <c r="L750" t="str">
        <f t="shared" si="129"/>
        <v/>
      </c>
      <c r="O750" t="str">
        <f t="shared" si="131"/>
        <v>[{cd,3000},{hp,77160},{atk,504},{spd,8500}]</v>
      </c>
    </row>
    <row r="751" spans="1:15">
      <c r="A751">
        <f>Sheet1!E753</f>
        <v>105</v>
      </c>
      <c r="B751">
        <f t="shared" si="132"/>
        <v>150</v>
      </c>
      <c r="C751">
        <v>3000</v>
      </c>
      <c r="D751">
        <f>VLOOKUP(B751,[1]怪物!$N$34:$T$233,4,0)</f>
        <v>96450</v>
      </c>
      <c r="E751">
        <f>VLOOKUP(B751,[2]怪物!$N$134:$T$233,7,0)</f>
        <v>630</v>
      </c>
      <c r="F751" s="1">
        <f t="shared" si="130"/>
        <v>8500</v>
      </c>
      <c r="H751" t="str">
        <f t="shared" si="125"/>
        <v>{cd,3000}</v>
      </c>
      <c r="I751" t="str">
        <f t="shared" si="126"/>
        <v>{hp,96450}</v>
      </c>
      <c r="J751" t="str">
        <f t="shared" si="127"/>
        <v>{atk,630}</v>
      </c>
      <c r="K751" t="str">
        <f t="shared" si="128"/>
        <v>{spd,8500}</v>
      </c>
      <c r="L751" t="str">
        <f t="shared" si="129"/>
        <v/>
      </c>
      <c r="O751" t="str">
        <f t="shared" si="131"/>
        <v>[{cd,3000},{hp,96450},{atk,630},{spd,8500}]</v>
      </c>
    </row>
    <row r="752" spans="1:15">
      <c r="A752">
        <f>Sheet1!E754</f>
        <v>502</v>
      </c>
      <c r="B752">
        <f t="shared" si="132"/>
        <v>150</v>
      </c>
      <c r="C752">
        <v>3000</v>
      </c>
      <c r="D752">
        <f>VLOOKUP(B752,[1]怪物!$U$34:$Y$234,2,0)</f>
        <v>3858000</v>
      </c>
      <c r="E752">
        <f>VLOOKUP(B752,[2]怪物!$U$134:$Y$233,4,0)</f>
        <v>1050</v>
      </c>
      <c r="F752" s="1">
        <f t="shared" si="130"/>
        <v>8500</v>
      </c>
      <c r="H752" t="str">
        <f t="shared" si="125"/>
        <v>{cd,3000}</v>
      </c>
      <c r="I752" t="str">
        <f t="shared" si="126"/>
        <v>{hp,3858000}</v>
      </c>
      <c r="J752" t="str">
        <f t="shared" si="127"/>
        <v>{atk,1050}</v>
      </c>
      <c r="K752" t="str">
        <f t="shared" si="128"/>
        <v>{spd,8500}</v>
      </c>
      <c r="L752" t="str">
        <f t="shared" si="129"/>
        <v/>
      </c>
      <c r="O752" t="str">
        <f t="shared" si="131"/>
        <v>[{cd,3000},{hp,3858000},{atk,1050},{spd,8500}]</v>
      </c>
    </row>
    <row r="753" spans="1:15">
      <c r="A753">
        <f>Sheet1!E755</f>
        <v>500</v>
      </c>
      <c r="B753">
        <f t="shared" si="132"/>
        <v>150</v>
      </c>
      <c r="C753">
        <v>3000</v>
      </c>
      <c r="D753">
        <f>VLOOKUP(B753,[1]怪物!$U$34:$Y$234,3,0)</f>
        <v>5144000</v>
      </c>
      <c r="E753">
        <f>VLOOKUP(B753,[2]怪物!$U$134:$Y$233,5,0)</f>
        <v>2100</v>
      </c>
      <c r="F753" s="1">
        <f t="shared" si="130"/>
        <v>8500</v>
      </c>
      <c r="H753" t="str">
        <f t="shared" si="125"/>
        <v>{cd,3000}</v>
      </c>
      <c r="I753" t="str">
        <f t="shared" si="126"/>
        <v>{hp,5144000}</v>
      </c>
      <c r="J753" t="str">
        <f t="shared" si="127"/>
        <v>{atk,2100}</v>
      </c>
      <c r="K753" t="str">
        <f t="shared" si="128"/>
        <v>{spd,8500}</v>
      </c>
      <c r="L753" t="str">
        <f t="shared" si="129"/>
        <v/>
      </c>
      <c r="O753" t="str">
        <f t="shared" si="131"/>
        <v>[{cd,3000},{hp,5144000},{atk,2100},{spd,8500}]</v>
      </c>
    </row>
    <row r="754" spans="1:15">
      <c r="A754">
        <f>Sheet1!E756</f>
        <v>122</v>
      </c>
      <c r="B754">
        <f t="shared" ref="B754:B817" si="133">B749+1</f>
        <v>151</v>
      </c>
      <c r="C754">
        <v>3000</v>
      </c>
      <c r="D754">
        <f>VLOOKUP(B754,[1]怪物!$N$34:$T$233,2,0)</f>
        <v>62900</v>
      </c>
      <c r="E754">
        <f>VLOOKUP(B754,[2]怪物!$N$134:$T$233,5,0)</f>
        <v>388</v>
      </c>
      <c r="F754" s="1">
        <f t="shared" si="130"/>
        <v>8500</v>
      </c>
      <c r="H754" t="str">
        <f t="shared" ref="H754:H803" si="134">$C$2&amp;C$3&amp;$D$2&amp;C754&amp;$E$2</f>
        <v>{cd,3000}</v>
      </c>
      <c r="I754" t="str">
        <f t="shared" ref="I754:I803" si="135">$C$2&amp;D$3&amp;$D$2&amp;D754&amp;$E$2</f>
        <v>{hp,62900}</v>
      </c>
      <c r="J754" t="str">
        <f t="shared" ref="J754:J803" si="136">$C$2&amp;E$3&amp;$D$2&amp;E754&amp;$E$2</f>
        <v>{atk,388}</v>
      </c>
      <c r="K754" t="str">
        <f t="shared" ref="K754:K803" si="137">$C$2&amp;F$3&amp;$D$2&amp;F754&amp;$E$2</f>
        <v>{spd,8500}</v>
      </c>
      <c r="L754" t="str">
        <f t="shared" ref="L754:L803" si="138">IF(VLOOKUP(A754,$W:$AC,7,0)=0,"",VLOOKUP(A754,$W:$AC,7,0))</f>
        <v/>
      </c>
      <c r="O754" t="str">
        <f t="shared" si="131"/>
        <v>[{cd,3000},{hp,62900},{atk,388},{spd,8500}]</v>
      </c>
    </row>
    <row r="755" spans="1:15">
      <c r="A755">
        <f>Sheet1!E757</f>
        <v>123</v>
      </c>
      <c r="B755">
        <f t="shared" si="133"/>
        <v>151</v>
      </c>
      <c r="C755">
        <v>3000</v>
      </c>
      <c r="D755">
        <f>VLOOKUP(B755,[1]怪物!$N$34:$T$233,3,0)</f>
        <v>75480</v>
      </c>
      <c r="E755">
        <f>VLOOKUP(B755,[2]怪物!$N$134:$T$233,6,0)</f>
        <v>466</v>
      </c>
      <c r="F755" s="1">
        <f t="shared" si="130"/>
        <v>8500</v>
      </c>
      <c r="H755" t="str">
        <f t="shared" si="134"/>
        <v>{cd,3000}</v>
      </c>
      <c r="I755" t="str">
        <f t="shared" si="135"/>
        <v>{hp,75480}</v>
      </c>
      <c r="J755" t="str">
        <f t="shared" si="136"/>
        <v>{atk,466}</v>
      </c>
      <c r="K755" t="str">
        <f t="shared" si="137"/>
        <v>{spd,8500}</v>
      </c>
      <c r="L755" t="str">
        <f t="shared" si="138"/>
        <v/>
      </c>
      <c r="O755" t="str">
        <f t="shared" si="131"/>
        <v>[{cd,3000},{hp,75480},{atk,466},{spd,8500}]</v>
      </c>
    </row>
    <row r="756" spans="1:15">
      <c r="A756">
        <f>Sheet1!E758</f>
        <v>124</v>
      </c>
      <c r="B756">
        <f t="shared" si="133"/>
        <v>151</v>
      </c>
      <c r="C756">
        <v>3000</v>
      </c>
      <c r="D756">
        <f>VLOOKUP(B756,[1]怪物!$N$34:$T$233,4,0)</f>
        <v>94350</v>
      </c>
      <c r="E756">
        <f>VLOOKUP(B756,[2]怪物!$N$134:$T$233,7,0)</f>
        <v>582</v>
      </c>
      <c r="F756" s="1">
        <f t="shared" si="130"/>
        <v>8500</v>
      </c>
      <c r="H756" t="str">
        <f t="shared" si="134"/>
        <v>{cd,3000}</v>
      </c>
      <c r="I756" t="str">
        <f t="shared" si="135"/>
        <v>{hp,94350}</v>
      </c>
      <c r="J756" t="str">
        <f t="shared" si="136"/>
        <v>{atk,582}</v>
      </c>
      <c r="K756" t="str">
        <f t="shared" si="137"/>
        <v>{spd,8500}</v>
      </c>
      <c r="L756" t="str">
        <f t="shared" si="138"/>
        <v>{downCritDmg,5000},{resRate,2000}</v>
      </c>
      <c r="O756" t="str">
        <f t="shared" si="131"/>
        <v>[{cd,3000},{hp,94350},{atk,582},{spd,8500},{downCritDmg,5000},{resRate,2000}]</v>
      </c>
    </row>
    <row r="757" spans="1:15">
      <c r="A757">
        <f>Sheet1!E759</f>
        <v>522</v>
      </c>
      <c r="B757">
        <f t="shared" si="133"/>
        <v>151</v>
      </c>
      <c r="C757">
        <v>3000</v>
      </c>
      <c r="D757">
        <f>VLOOKUP(B757,[1]怪物!$U$34:$Y$234,2,0)</f>
        <v>3774000</v>
      </c>
      <c r="E757">
        <f>VLOOKUP(B757,[2]怪物!$U$134:$Y$233,4,0)</f>
        <v>970</v>
      </c>
      <c r="F757" s="1">
        <f t="shared" si="130"/>
        <v>8500</v>
      </c>
      <c r="H757" t="str">
        <f t="shared" si="134"/>
        <v>{cd,3000}</v>
      </c>
      <c r="I757" t="str">
        <f t="shared" si="135"/>
        <v>{hp,3774000}</v>
      </c>
      <c r="J757" t="str">
        <f t="shared" si="136"/>
        <v>{atk,970}</v>
      </c>
      <c r="K757" t="str">
        <f t="shared" si="137"/>
        <v>{spd,8500}</v>
      </c>
      <c r="L757" t="str">
        <f t="shared" si="138"/>
        <v/>
      </c>
      <c r="O757" t="str">
        <f t="shared" si="131"/>
        <v>[{cd,3000},{hp,3774000},{atk,970},{spd,8500}]</v>
      </c>
    </row>
    <row r="758" spans="1:15">
      <c r="A758">
        <f>Sheet1!E760</f>
        <v>522</v>
      </c>
      <c r="B758">
        <f t="shared" si="133"/>
        <v>151</v>
      </c>
      <c r="C758">
        <v>3000</v>
      </c>
      <c r="D758">
        <f>VLOOKUP(B758,[1]怪物!$U$34:$Y$234,3,0)</f>
        <v>5032000</v>
      </c>
      <c r="E758">
        <f>VLOOKUP(B758,[2]怪物!$U$134:$Y$233,5,0)</f>
        <v>1940</v>
      </c>
      <c r="F758" s="1">
        <f t="shared" si="130"/>
        <v>8500</v>
      </c>
      <c r="H758" t="str">
        <f t="shared" si="134"/>
        <v>{cd,3000}</v>
      </c>
      <c r="I758" t="str">
        <f t="shared" si="135"/>
        <v>{hp,5032000}</v>
      </c>
      <c r="J758" t="str">
        <f t="shared" si="136"/>
        <v>{atk,1940}</v>
      </c>
      <c r="K758" t="str">
        <f t="shared" si="137"/>
        <v>{spd,8500}</v>
      </c>
      <c r="L758" t="str">
        <f t="shared" si="138"/>
        <v/>
      </c>
      <c r="O758" t="str">
        <f t="shared" si="131"/>
        <v>[{cd,3000},{hp,5032000},{atk,1940},{spd,8500}]</v>
      </c>
    </row>
    <row r="759" spans="1:15">
      <c r="A759">
        <f>Sheet1!E761</f>
        <v>117</v>
      </c>
      <c r="B759">
        <f t="shared" si="133"/>
        <v>152</v>
      </c>
      <c r="C759">
        <v>3000</v>
      </c>
      <c r="D759">
        <f>VLOOKUP(B759,[1]怪物!$N$34:$T$233,2,0)</f>
        <v>63700</v>
      </c>
      <c r="E759">
        <f>VLOOKUP(B759,[2]怪物!$N$134:$T$233,5,0)</f>
        <v>396</v>
      </c>
      <c r="F759" s="1">
        <f t="shared" si="130"/>
        <v>8500</v>
      </c>
      <c r="H759" t="str">
        <f t="shared" si="134"/>
        <v>{cd,3000}</v>
      </c>
      <c r="I759" t="str">
        <f t="shared" si="135"/>
        <v>{hp,63700}</v>
      </c>
      <c r="J759" t="str">
        <f t="shared" si="136"/>
        <v>{atk,396}</v>
      </c>
      <c r="K759" t="str">
        <f t="shared" si="137"/>
        <v>{spd,8500}</v>
      </c>
      <c r="L759" t="str">
        <f t="shared" si="138"/>
        <v>{downUnderPhAtk,5000}</v>
      </c>
      <c r="O759" t="str">
        <f t="shared" si="131"/>
        <v>[{cd,3000},{hp,63700},{atk,396},{spd,8500},{downUnderPhAtk,5000}]</v>
      </c>
    </row>
    <row r="760" spans="1:15">
      <c r="A760">
        <f>Sheet1!E762</f>
        <v>119</v>
      </c>
      <c r="B760">
        <f t="shared" si="133"/>
        <v>152</v>
      </c>
      <c r="C760">
        <v>3000</v>
      </c>
      <c r="D760">
        <f>VLOOKUP(B760,[1]怪物!$N$34:$T$233,3,0)</f>
        <v>76440</v>
      </c>
      <c r="E760">
        <f>VLOOKUP(B760,[2]怪物!$N$134:$T$233,6,0)</f>
        <v>475</v>
      </c>
      <c r="F760" s="1">
        <f t="shared" si="130"/>
        <v>8500</v>
      </c>
      <c r="H760" t="str">
        <f t="shared" si="134"/>
        <v>{cd,3000}</v>
      </c>
      <c r="I760" t="str">
        <f t="shared" si="135"/>
        <v>{hp,76440}</v>
      </c>
      <c r="J760" t="str">
        <f t="shared" si="136"/>
        <v>{atk,475}</v>
      </c>
      <c r="K760" t="str">
        <f t="shared" si="137"/>
        <v>{spd,8500}</v>
      </c>
      <c r="L760" t="str">
        <f t="shared" si="138"/>
        <v>{downUnderMagicAtk,5000}</v>
      </c>
      <c r="O760" t="str">
        <f t="shared" si="131"/>
        <v>[{cd,3000},{hp,76440},{atk,475},{spd,8500},{downUnderMagicAtk,5000}]</v>
      </c>
    </row>
    <row r="761" spans="1:15">
      <c r="A761">
        <f>Sheet1!E763</f>
        <v>125</v>
      </c>
      <c r="B761">
        <f t="shared" si="133"/>
        <v>152</v>
      </c>
      <c r="C761">
        <v>3000</v>
      </c>
      <c r="D761">
        <f>VLOOKUP(B761,[1]怪物!$N$34:$T$233,4,0)</f>
        <v>95550</v>
      </c>
      <c r="E761">
        <f>VLOOKUP(B761,[2]怪物!$N$134:$T$233,7,0)</f>
        <v>594</v>
      </c>
      <c r="F761" s="1">
        <f t="shared" si="130"/>
        <v>8500</v>
      </c>
      <c r="H761" t="str">
        <f t="shared" si="134"/>
        <v>{cd,3000}</v>
      </c>
      <c r="I761" t="str">
        <f t="shared" si="135"/>
        <v>{hp,95550}</v>
      </c>
      <c r="J761" t="str">
        <f t="shared" si="136"/>
        <v>{atk,594}</v>
      </c>
      <c r="K761" t="str">
        <f t="shared" si="137"/>
        <v>{spd,8500}</v>
      </c>
      <c r="L761" t="str">
        <f t="shared" si="138"/>
        <v/>
      </c>
      <c r="O761" t="str">
        <f t="shared" si="131"/>
        <v>[{cd,3000},{hp,95550},{atk,594},{spd,8500}]</v>
      </c>
    </row>
    <row r="762" spans="1:15">
      <c r="A762">
        <f>Sheet1!E764</f>
        <v>517</v>
      </c>
      <c r="B762">
        <f t="shared" si="133"/>
        <v>152</v>
      </c>
      <c r="C762">
        <v>3000</v>
      </c>
      <c r="D762">
        <f>VLOOKUP(B762,[1]怪物!$U$34:$Y$234,2,0)</f>
        <v>3822000</v>
      </c>
      <c r="E762">
        <f>VLOOKUP(B762,[2]怪物!$U$134:$Y$233,4,0)</f>
        <v>990</v>
      </c>
      <c r="F762" s="1">
        <f t="shared" si="130"/>
        <v>8500</v>
      </c>
      <c r="H762" t="str">
        <f t="shared" si="134"/>
        <v>{cd,3000}</v>
      </c>
      <c r="I762" t="str">
        <f t="shared" si="135"/>
        <v>{hp,3822000}</v>
      </c>
      <c r="J762" t="str">
        <f t="shared" si="136"/>
        <v>{atk,990}</v>
      </c>
      <c r="K762" t="str">
        <f t="shared" si="137"/>
        <v>{spd,8500}</v>
      </c>
      <c r="L762" t="str">
        <f t="shared" si="138"/>
        <v>{downUnderPhAtk,5000}</v>
      </c>
      <c r="O762" t="str">
        <f t="shared" si="131"/>
        <v>[{cd,3000},{hp,3822000},{atk,990},{spd,8500},{downUnderPhAtk,5000}]</v>
      </c>
    </row>
    <row r="763" spans="1:15">
      <c r="A763">
        <f>Sheet1!E765</f>
        <v>517</v>
      </c>
      <c r="B763">
        <f t="shared" si="133"/>
        <v>152</v>
      </c>
      <c r="C763">
        <v>3000</v>
      </c>
      <c r="D763">
        <f>VLOOKUP(B763,[1]怪物!$U$34:$Y$234,3,0)</f>
        <v>5096000</v>
      </c>
      <c r="E763">
        <f>VLOOKUP(B763,[2]怪物!$U$134:$Y$233,5,0)</f>
        <v>1980</v>
      </c>
      <c r="F763" s="1">
        <f t="shared" si="130"/>
        <v>8500</v>
      </c>
      <c r="H763" t="str">
        <f t="shared" si="134"/>
        <v>{cd,3000}</v>
      </c>
      <c r="I763" t="str">
        <f t="shared" si="135"/>
        <v>{hp,5096000}</v>
      </c>
      <c r="J763" t="str">
        <f t="shared" si="136"/>
        <v>{atk,1980}</v>
      </c>
      <c r="K763" t="str">
        <f t="shared" si="137"/>
        <v>{spd,8500}</v>
      </c>
      <c r="L763" t="str">
        <f t="shared" si="138"/>
        <v>{downUnderPhAtk,5000}</v>
      </c>
      <c r="O763" t="str">
        <f t="shared" si="131"/>
        <v>[{cd,3000},{hp,5096000},{atk,1980},{spd,8500},{downUnderPhAtk,5000}]</v>
      </c>
    </row>
    <row r="764" spans="1:15">
      <c r="A764">
        <f>Sheet1!E766</f>
        <v>101</v>
      </c>
      <c r="B764">
        <f t="shared" si="133"/>
        <v>153</v>
      </c>
      <c r="C764">
        <v>3000</v>
      </c>
      <c r="D764">
        <f>VLOOKUP(B764,[1]怪物!$N$34:$T$233,2,0)</f>
        <v>64700</v>
      </c>
      <c r="E764">
        <f>VLOOKUP(B764,[2]怪物!$N$134:$T$233,5,0)</f>
        <v>404</v>
      </c>
      <c r="F764" s="1">
        <f t="shared" si="130"/>
        <v>8500</v>
      </c>
      <c r="H764" t="str">
        <f t="shared" si="134"/>
        <v>{cd,3000}</v>
      </c>
      <c r="I764" t="str">
        <f t="shared" si="135"/>
        <v>{hp,64700}</v>
      </c>
      <c r="J764" t="str">
        <f t="shared" si="136"/>
        <v>{atk,404}</v>
      </c>
      <c r="K764" t="str">
        <f t="shared" si="137"/>
        <v>{spd,8500}</v>
      </c>
      <c r="L764" t="str">
        <f t="shared" si="138"/>
        <v/>
      </c>
      <c r="O764" t="str">
        <f t="shared" si="131"/>
        <v>[{cd,3000},{hp,64700},{atk,404},{spd,8500}]</v>
      </c>
    </row>
    <row r="765" spans="1:15">
      <c r="A765">
        <f>Sheet1!E767</f>
        <v>127</v>
      </c>
      <c r="B765">
        <f t="shared" si="133"/>
        <v>153</v>
      </c>
      <c r="C765">
        <v>3000</v>
      </c>
      <c r="D765">
        <f>VLOOKUP(B765,[1]怪物!$N$34:$T$233,3,0)</f>
        <v>77640</v>
      </c>
      <c r="E765">
        <f>VLOOKUP(B765,[2]怪物!$N$134:$T$233,6,0)</f>
        <v>485</v>
      </c>
      <c r="F765" s="1">
        <f t="shared" si="130"/>
        <v>8500</v>
      </c>
      <c r="H765" t="str">
        <f t="shared" si="134"/>
        <v>{cd,3000}</v>
      </c>
      <c r="I765" t="str">
        <f t="shared" si="135"/>
        <v>{hp,77640}</v>
      </c>
      <c r="J765" t="str">
        <f t="shared" si="136"/>
        <v>{atk,485}</v>
      </c>
      <c r="K765" t="str">
        <f t="shared" si="137"/>
        <v>{spd,8500}</v>
      </c>
      <c r="L765" t="str">
        <f t="shared" si="138"/>
        <v/>
      </c>
      <c r="O765" t="str">
        <f t="shared" si="131"/>
        <v>[{cd,3000},{hp,77640},{atk,485},{spd,8500}]</v>
      </c>
    </row>
    <row r="766" spans="1:15">
      <c r="A766">
        <f>Sheet1!E768</f>
        <v>106</v>
      </c>
      <c r="B766">
        <f t="shared" si="133"/>
        <v>153</v>
      </c>
      <c r="C766">
        <v>3000</v>
      </c>
      <c r="D766">
        <f>VLOOKUP(B766,[1]怪物!$N$34:$T$233,4,0)</f>
        <v>97050</v>
      </c>
      <c r="E766">
        <f>VLOOKUP(B766,[2]怪物!$N$134:$T$233,7,0)</f>
        <v>606</v>
      </c>
      <c r="F766" s="1">
        <f t="shared" si="130"/>
        <v>8500</v>
      </c>
      <c r="H766" t="str">
        <f t="shared" si="134"/>
        <v>{cd,3000}</v>
      </c>
      <c r="I766" t="str">
        <f t="shared" si="135"/>
        <v>{hp,97050}</v>
      </c>
      <c r="J766" t="str">
        <f t="shared" si="136"/>
        <v>{atk,606}</v>
      </c>
      <c r="K766" t="str">
        <f t="shared" si="137"/>
        <v>{spd,8500}</v>
      </c>
      <c r="L766" t="str">
        <f t="shared" si="138"/>
        <v/>
      </c>
      <c r="O766" t="str">
        <f t="shared" si="131"/>
        <v>[{cd,3000},{hp,97050},{atk,606},{spd,8500}]</v>
      </c>
    </row>
    <row r="767" spans="1:15">
      <c r="A767">
        <f>Sheet1!E769</f>
        <v>501</v>
      </c>
      <c r="B767">
        <f t="shared" si="133"/>
        <v>153</v>
      </c>
      <c r="C767">
        <v>3000</v>
      </c>
      <c r="D767">
        <f>VLOOKUP(B767,[1]怪物!$U$34:$Y$234,2,0)</f>
        <v>3882000</v>
      </c>
      <c r="E767">
        <f>VLOOKUP(B767,[2]怪物!$U$134:$Y$233,4,0)</f>
        <v>1010</v>
      </c>
      <c r="F767" s="1">
        <f t="shared" si="130"/>
        <v>8500</v>
      </c>
      <c r="H767" t="str">
        <f t="shared" si="134"/>
        <v>{cd,3000}</v>
      </c>
      <c r="I767" t="str">
        <f t="shared" si="135"/>
        <v>{hp,3882000}</v>
      </c>
      <c r="J767" t="str">
        <f t="shared" si="136"/>
        <v>{atk,1010}</v>
      </c>
      <c r="K767" t="str">
        <f t="shared" si="137"/>
        <v>{spd,8500}</v>
      </c>
      <c r="L767" t="str">
        <f t="shared" si="138"/>
        <v/>
      </c>
      <c r="O767" t="str">
        <f t="shared" si="131"/>
        <v>[{cd,3000},{hp,3882000},{atk,1010},{spd,8500}]</v>
      </c>
    </row>
    <row r="768" spans="1:15">
      <c r="A768">
        <f>Sheet1!E770</f>
        <v>501</v>
      </c>
      <c r="B768">
        <f t="shared" si="133"/>
        <v>153</v>
      </c>
      <c r="C768">
        <v>3000</v>
      </c>
      <c r="D768">
        <f>VLOOKUP(B768,[1]怪物!$U$34:$Y$234,3,0)</f>
        <v>5176000</v>
      </c>
      <c r="E768">
        <f>VLOOKUP(B768,[2]怪物!$U$134:$Y$233,5,0)</f>
        <v>2020</v>
      </c>
      <c r="F768" s="1">
        <f t="shared" si="130"/>
        <v>8500</v>
      </c>
      <c r="H768" t="str">
        <f t="shared" si="134"/>
        <v>{cd,3000}</v>
      </c>
      <c r="I768" t="str">
        <f t="shared" si="135"/>
        <v>{hp,5176000}</v>
      </c>
      <c r="J768" t="str">
        <f t="shared" si="136"/>
        <v>{atk,2020}</v>
      </c>
      <c r="K768" t="str">
        <f t="shared" si="137"/>
        <v>{spd,8500}</v>
      </c>
      <c r="L768" t="str">
        <f t="shared" si="138"/>
        <v/>
      </c>
      <c r="O768" t="str">
        <f t="shared" si="131"/>
        <v>[{cd,3000},{hp,5176000},{atk,2020},{spd,8500}]</v>
      </c>
    </row>
    <row r="769" spans="1:15">
      <c r="A769">
        <f>Sheet1!E771</f>
        <v>100</v>
      </c>
      <c r="B769">
        <f t="shared" si="133"/>
        <v>154</v>
      </c>
      <c r="C769">
        <v>3000</v>
      </c>
      <c r="D769">
        <f>VLOOKUP(B769,[1]怪物!$N$34:$T$233,2,0)</f>
        <v>66700</v>
      </c>
      <c r="E769">
        <f>VLOOKUP(B769,[2]怪物!$N$134:$T$233,5,0)</f>
        <v>460</v>
      </c>
      <c r="F769" s="1">
        <f t="shared" si="130"/>
        <v>8500</v>
      </c>
      <c r="H769" t="str">
        <f t="shared" si="134"/>
        <v>{cd,3000}</v>
      </c>
      <c r="I769" t="str">
        <f t="shared" si="135"/>
        <v>{hp,66700}</v>
      </c>
      <c r="J769" t="str">
        <f t="shared" si="136"/>
        <v>{atk,460}</v>
      </c>
      <c r="K769" t="str">
        <f t="shared" si="137"/>
        <v>{spd,8500}</v>
      </c>
      <c r="L769" t="str">
        <f t="shared" si="138"/>
        <v/>
      </c>
      <c r="O769" t="str">
        <f t="shared" si="131"/>
        <v>[{cd,3000},{hp,66700},{atk,460},{spd,8500}]</v>
      </c>
    </row>
    <row r="770" spans="1:15">
      <c r="A770">
        <f>Sheet1!E772</f>
        <v>102</v>
      </c>
      <c r="B770">
        <f t="shared" si="133"/>
        <v>154</v>
      </c>
      <c r="C770">
        <v>3000</v>
      </c>
      <c r="D770">
        <f>VLOOKUP(B770,[1]怪物!$N$34:$T$233,3,0)</f>
        <v>80040</v>
      </c>
      <c r="E770">
        <f>VLOOKUP(B770,[2]怪物!$N$134:$T$233,6,0)</f>
        <v>552</v>
      </c>
      <c r="F770" s="1">
        <f t="shared" si="130"/>
        <v>8500</v>
      </c>
      <c r="H770" t="str">
        <f t="shared" si="134"/>
        <v>{cd,3000}</v>
      </c>
      <c r="I770" t="str">
        <f t="shared" si="135"/>
        <v>{hp,80040}</v>
      </c>
      <c r="J770" t="str">
        <f t="shared" si="136"/>
        <v>{atk,552}</v>
      </c>
      <c r="K770" t="str">
        <f t="shared" si="137"/>
        <v>{spd,8500}</v>
      </c>
      <c r="L770" t="str">
        <f t="shared" si="138"/>
        <v/>
      </c>
      <c r="O770" t="str">
        <f t="shared" si="131"/>
        <v>[{cd,3000},{hp,80040},{atk,552},{spd,8500}]</v>
      </c>
    </row>
    <row r="771" spans="1:15">
      <c r="A771">
        <f>Sheet1!E773</f>
        <v>105</v>
      </c>
      <c r="B771">
        <f t="shared" si="133"/>
        <v>154</v>
      </c>
      <c r="C771">
        <v>3000</v>
      </c>
      <c r="D771">
        <f>VLOOKUP(B771,[1]怪物!$N$34:$T$233,4,0)</f>
        <v>100050</v>
      </c>
      <c r="E771">
        <f>VLOOKUP(B771,[2]怪物!$N$134:$T$233,7,0)</f>
        <v>690</v>
      </c>
      <c r="F771" s="1">
        <f t="shared" si="130"/>
        <v>8500</v>
      </c>
      <c r="H771" t="str">
        <f t="shared" si="134"/>
        <v>{cd,3000}</v>
      </c>
      <c r="I771" t="str">
        <f t="shared" si="135"/>
        <v>{hp,100050}</v>
      </c>
      <c r="J771" t="str">
        <f t="shared" si="136"/>
        <v>{atk,690}</v>
      </c>
      <c r="K771" t="str">
        <f t="shared" si="137"/>
        <v>{spd,8500}</v>
      </c>
      <c r="L771" t="str">
        <f t="shared" si="138"/>
        <v/>
      </c>
      <c r="O771" t="str">
        <f t="shared" si="131"/>
        <v>[{cd,3000},{hp,100050},{atk,690},{spd,8500}]</v>
      </c>
    </row>
    <row r="772" spans="1:15">
      <c r="A772">
        <f>Sheet1!E774</f>
        <v>502</v>
      </c>
      <c r="B772">
        <f t="shared" si="133"/>
        <v>154</v>
      </c>
      <c r="C772">
        <v>3000</v>
      </c>
      <c r="D772">
        <f>VLOOKUP(B772,[1]怪物!$U$34:$Y$234,2,0)</f>
        <v>4002000</v>
      </c>
      <c r="E772">
        <f>VLOOKUP(B772,[2]怪物!$U$134:$Y$233,4,0)</f>
        <v>1150</v>
      </c>
      <c r="F772" s="1">
        <f t="shared" si="130"/>
        <v>8500</v>
      </c>
      <c r="H772" t="str">
        <f t="shared" si="134"/>
        <v>{cd,3000}</v>
      </c>
      <c r="I772" t="str">
        <f t="shared" si="135"/>
        <v>{hp,4002000}</v>
      </c>
      <c r="J772" t="str">
        <f t="shared" si="136"/>
        <v>{atk,1150}</v>
      </c>
      <c r="K772" t="str">
        <f t="shared" si="137"/>
        <v>{spd,8500}</v>
      </c>
      <c r="L772" t="str">
        <f t="shared" si="138"/>
        <v/>
      </c>
      <c r="O772" t="str">
        <f t="shared" si="131"/>
        <v>[{cd,3000},{hp,4002000},{atk,1150},{spd,8500}]</v>
      </c>
    </row>
    <row r="773" spans="1:15">
      <c r="A773">
        <f>Sheet1!E775</f>
        <v>500</v>
      </c>
      <c r="B773">
        <f t="shared" si="133"/>
        <v>154</v>
      </c>
      <c r="C773">
        <v>3000</v>
      </c>
      <c r="D773">
        <f>VLOOKUP(B773,[1]怪物!$U$34:$Y$234,3,0)</f>
        <v>5336000</v>
      </c>
      <c r="E773">
        <f>VLOOKUP(B773,[2]怪物!$U$134:$Y$233,5,0)</f>
        <v>2300</v>
      </c>
      <c r="F773" s="1">
        <f t="shared" ref="F773:F836" si="139">VLOOKUP(A773,$W:$AB,6,0)</f>
        <v>8500</v>
      </c>
      <c r="H773" t="str">
        <f t="shared" si="134"/>
        <v>{cd,3000}</v>
      </c>
      <c r="I773" t="str">
        <f t="shared" si="135"/>
        <v>{hp,5336000}</v>
      </c>
      <c r="J773" t="str">
        <f t="shared" si="136"/>
        <v>{atk,2300}</v>
      </c>
      <c r="K773" t="str">
        <f t="shared" si="137"/>
        <v>{spd,8500}</v>
      </c>
      <c r="L773" t="str">
        <f t="shared" si="138"/>
        <v/>
      </c>
      <c r="O773" t="str">
        <f t="shared" ref="O773:O836" si="140">"["&amp;_xlfn.TEXTJOIN(",",1,H773:M773)&amp;"]"</f>
        <v>[{cd,3000},{hp,5336000},{atk,2300},{spd,8500}]</v>
      </c>
    </row>
    <row r="774" spans="1:15">
      <c r="A774">
        <f>Sheet1!E776</f>
        <v>124</v>
      </c>
      <c r="B774">
        <f t="shared" si="133"/>
        <v>155</v>
      </c>
      <c r="C774">
        <v>3000</v>
      </c>
      <c r="D774">
        <f>VLOOKUP(B774,[1]怪物!$N$34:$T$233,2,0)</f>
        <v>65300</v>
      </c>
      <c r="E774">
        <f>VLOOKUP(B774,[2]怪物!$N$134:$T$233,5,0)</f>
        <v>412</v>
      </c>
      <c r="F774" s="1">
        <f t="shared" si="139"/>
        <v>8500</v>
      </c>
      <c r="H774" t="str">
        <f t="shared" si="134"/>
        <v>{cd,3000}</v>
      </c>
      <c r="I774" t="str">
        <f t="shared" si="135"/>
        <v>{hp,65300}</v>
      </c>
      <c r="J774" t="str">
        <f t="shared" si="136"/>
        <v>{atk,412}</v>
      </c>
      <c r="K774" t="str">
        <f t="shared" si="137"/>
        <v>{spd,8500}</v>
      </c>
      <c r="L774" t="str">
        <f t="shared" si="138"/>
        <v>{downCritDmg,5000},{resRate,2000}</v>
      </c>
      <c r="O774" t="str">
        <f t="shared" si="140"/>
        <v>[{cd,3000},{hp,65300},{atk,412},{spd,8500},{downCritDmg,5000},{resRate,2000}]</v>
      </c>
    </row>
    <row r="775" spans="1:15">
      <c r="A775">
        <f>Sheet1!E777</f>
        <v>126</v>
      </c>
      <c r="B775">
        <f t="shared" si="133"/>
        <v>155</v>
      </c>
      <c r="C775">
        <v>3000</v>
      </c>
      <c r="D775">
        <f>VLOOKUP(B775,[1]怪物!$N$34:$T$233,3,0)</f>
        <v>78360</v>
      </c>
      <c r="E775">
        <f>VLOOKUP(B775,[2]怪物!$N$134:$T$233,6,0)</f>
        <v>494</v>
      </c>
      <c r="F775" s="1">
        <f t="shared" si="139"/>
        <v>8500</v>
      </c>
      <c r="H775" t="str">
        <f t="shared" si="134"/>
        <v>{cd,3000}</v>
      </c>
      <c r="I775" t="str">
        <f t="shared" si="135"/>
        <v>{hp,78360}</v>
      </c>
      <c r="J775" t="str">
        <f t="shared" si="136"/>
        <v>{atk,494}</v>
      </c>
      <c r="K775" t="str">
        <f t="shared" si="137"/>
        <v>{spd,8500}</v>
      </c>
      <c r="L775" t="str">
        <f t="shared" si="138"/>
        <v>{miss,1500}</v>
      </c>
      <c r="O775" t="str">
        <f t="shared" si="140"/>
        <v>[{cd,3000},{hp,78360},{atk,494},{spd,8500},{miss,1500}]</v>
      </c>
    </row>
    <row r="776" spans="1:15">
      <c r="A776">
        <f>Sheet1!E778</f>
        <v>126</v>
      </c>
      <c r="B776">
        <f t="shared" si="133"/>
        <v>155</v>
      </c>
      <c r="C776">
        <v>3000</v>
      </c>
      <c r="D776">
        <f>VLOOKUP(B776,[1]怪物!$N$34:$T$233,4,0)</f>
        <v>97950</v>
      </c>
      <c r="E776">
        <f>VLOOKUP(B776,[2]怪物!$N$134:$T$233,7,0)</f>
        <v>618</v>
      </c>
      <c r="F776" s="1">
        <f t="shared" si="139"/>
        <v>8500</v>
      </c>
      <c r="H776" t="str">
        <f t="shared" si="134"/>
        <v>{cd,3000}</v>
      </c>
      <c r="I776" t="str">
        <f t="shared" si="135"/>
        <v>{hp,97950}</v>
      </c>
      <c r="J776" t="str">
        <f t="shared" si="136"/>
        <v>{atk,618}</v>
      </c>
      <c r="K776" t="str">
        <f t="shared" si="137"/>
        <v>{spd,8500}</v>
      </c>
      <c r="L776" t="str">
        <f t="shared" si="138"/>
        <v>{miss,1500}</v>
      </c>
      <c r="O776" t="str">
        <f t="shared" si="140"/>
        <v>[{cd,3000},{hp,97950},{atk,618},{spd,8500},{miss,1500}]</v>
      </c>
    </row>
    <row r="777" spans="1:15">
      <c r="A777">
        <f>Sheet1!E779</f>
        <v>524</v>
      </c>
      <c r="B777">
        <f t="shared" si="133"/>
        <v>155</v>
      </c>
      <c r="C777">
        <v>3000</v>
      </c>
      <c r="D777">
        <f>VLOOKUP(B777,[1]怪物!$U$34:$Y$234,2,0)</f>
        <v>3918000</v>
      </c>
      <c r="E777">
        <f>VLOOKUP(B777,[2]怪物!$U$134:$Y$233,4,0)</f>
        <v>1030</v>
      </c>
      <c r="F777" s="1">
        <f t="shared" si="139"/>
        <v>8500</v>
      </c>
      <c r="H777" t="str">
        <f t="shared" si="134"/>
        <v>{cd,3000}</v>
      </c>
      <c r="I777" t="str">
        <f t="shared" si="135"/>
        <v>{hp,3918000}</v>
      </c>
      <c r="J777" t="str">
        <f t="shared" si="136"/>
        <v>{atk,1030}</v>
      </c>
      <c r="K777" t="str">
        <f t="shared" si="137"/>
        <v>{spd,8500}</v>
      </c>
      <c r="L777" t="str">
        <f t="shared" si="138"/>
        <v>{downCritDmg,5000},{resRate,2000}</v>
      </c>
      <c r="O777" t="str">
        <f t="shared" si="140"/>
        <v>[{cd,3000},{hp,3918000},{atk,1030},{spd,8500},{downCritDmg,5000},{resRate,2000}]</v>
      </c>
    </row>
    <row r="778" spans="1:15">
      <c r="A778">
        <f>Sheet1!E780</f>
        <v>524</v>
      </c>
      <c r="B778">
        <f t="shared" si="133"/>
        <v>155</v>
      </c>
      <c r="C778">
        <v>3000</v>
      </c>
      <c r="D778">
        <f>VLOOKUP(B778,[1]怪物!$U$34:$Y$234,3,0)</f>
        <v>5224000</v>
      </c>
      <c r="E778">
        <f>VLOOKUP(B778,[2]怪物!$U$134:$Y$233,5,0)</f>
        <v>2060</v>
      </c>
      <c r="F778" s="1">
        <f t="shared" si="139"/>
        <v>8500</v>
      </c>
      <c r="H778" t="str">
        <f t="shared" si="134"/>
        <v>{cd,3000}</v>
      </c>
      <c r="I778" t="str">
        <f t="shared" si="135"/>
        <v>{hp,5224000}</v>
      </c>
      <c r="J778" t="str">
        <f t="shared" si="136"/>
        <v>{atk,2060}</v>
      </c>
      <c r="K778" t="str">
        <f t="shared" si="137"/>
        <v>{spd,8500}</v>
      </c>
      <c r="L778" t="str">
        <f t="shared" si="138"/>
        <v>{downCritDmg,5000},{resRate,2000}</v>
      </c>
      <c r="O778" t="str">
        <f t="shared" si="140"/>
        <v>[{cd,3000},{hp,5224000},{atk,2060},{spd,8500},{downCritDmg,5000},{resRate,2000}]</v>
      </c>
    </row>
    <row r="779" spans="1:15">
      <c r="A779">
        <f>Sheet1!E781</f>
        <v>121</v>
      </c>
      <c r="B779">
        <f t="shared" si="133"/>
        <v>156</v>
      </c>
      <c r="C779">
        <v>3000</v>
      </c>
      <c r="D779">
        <f>VLOOKUP(B779,[1]怪物!$N$34:$T$233,2,0)</f>
        <v>66100</v>
      </c>
      <c r="E779">
        <f>VLOOKUP(B779,[2]怪物!$N$134:$T$233,5,0)</f>
        <v>420</v>
      </c>
      <c r="F779" s="1">
        <f t="shared" si="139"/>
        <v>8500</v>
      </c>
      <c r="H779" t="str">
        <f t="shared" si="134"/>
        <v>{cd,3000}</v>
      </c>
      <c r="I779" t="str">
        <f t="shared" si="135"/>
        <v>{hp,66100}</v>
      </c>
      <c r="J779" t="str">
        <f t="shared" si="136"/>
        <v>{atk,420}</v>
      </c>
      <c r="K779" t="str">
        <f t="shared" si="137"/>
        <v>{spd,8500}</v>
      </c>
      <c r="L779" t="str">
        <f t="shared" si="138"/>
        <v>{firingDmgDown,5000}</v>
      </c>
      <c r="O779" t="str">
        <f t="shared" si="140"/>
        <v>[{cd,3000},{hp,66100},{atk,420},{spd,8500},{firingDmgDown,5000}]</v>
      </c>
    </row>
    <row r="780" spans="1:15">
      <c r="A780">
        <f>Sheet1!E782</f>
        <v>119</v>
      </c>
      <c r="B780">
        <f t="shared" si="133"/>
        <v>156</v>
      </c>
      <c r="C780">
        <v>3000</v>
      </c>
      <c r="D780">
        <f>VLOOKUP(B780,[1]怪物!$N$34:$T$233,3,0)</f>
        <v>79320</v>
      </c>
      <c r="E780">
        <f>VLOOKUP(B780,[2]怪物!$N$134:$T$233,6,0)</f>
        <v>504</v>
      </c>
      <c r="F780" s="1">
        <f t="shared" si="139"/>
        <v>8500</v>
      </c>
      <c r="H780" t="str">
        <f t="shared" si="134"/>
        <v>{cd,3000}</v>
      </c>
      <c r="I780" t="str">
        <f t="shared" si="135"/>
        <v>{hp,79320}</v>
      </c>
      <c r="J780" t="str">
        <f t="shared" si="136"/>
        <v>{atk,504}</v>
      </c>
      <c r="K780" t="str">
        <f t="shared" si="137"/>
        <v>{spd,8500}</v>
      </c>
      <c r="L780" t="str">
        <f t="shared" si="138"/>
        <v>{downUnderMagicAtk,5000}</v>
      </c>
      <c r="O780" t="str">
        <f t="shared" si="140"/>
        <v>[{cd,3000},{hp,79320},{atk,504},{spd,8500},{downUnderMagicAtk,5000}]</v>
      </c>
    </row>
    <row r="781" spans="1:15">
      <c r="A781">
        <f>Sheet1!E783</f>
        <v>118</v>
      </c>
      <c r="B781">
        <f t="shared" si="133"/>
        <v>156</v>
      </c>
      <c r="C781">
        <v>3000</v>
      </c>
      <c r="D781">
        <f>VLOOKUP(B781,[1]怪物!$N$34:$T$233,4,0)</f>
        <v>99150</v>
      </c>
      <c r="E781">
        <f>VLOOKUP(B781,[2]怪物!$N$134:$T$233,7,0)</f>
        <v>630</v>
      </c>
      <c r="F781" s="1">
        <f t="shared" si="139"/>
        <v>8500</v>
      </c>
      <c r="H781" t="str">
        <f t="shared" si="134"/>
        <v>{cd,3000}</v>
      </c>
      <c r="I781" t="str">
        <f t="shared" si="135"/>
        <v>{hp,99150}</v>
      </c>
      <c r="J781" t="str">
        <f t="shared" si="136"/>
        <v>{atk,630}</v>
      </c>
      <c r="K781" t="str">
        <f t="shared" si="137"/>
        <v>{spd,8500}</v>
      </c>
      <c r="L781" t="str">
        <f t="shared" si="138"/>
        <v/>
      </c>
      <c r="O781" t="str">
        <f t="shared" si="140"/>
        <v>[{cd,3000},{hp,99150},{atk,630},{spd,8500}]</v>
      </c>
    </row>
    <row r="782" spans="1:15">
      <c r="A782">
        <f>Sheet1!E784</f>
        <v>521</v>
      </c>
      <c r="B782">
        <f t="shared" si="133"/>
        <v>156</v>
      </c>
      <c r="C782">
        <v>3000</v>
      </c>
      <c r="D782">
        <f>VLOOKUP(B782,[1]怪物!$U$34:$Y$234,2,0)</f>
        <v>3966000</v>
      </c>
      <c r="E782">
        <f>VLOOKUP(B782,[2]怪物!$U$134:$Y$233,4,0)</f>
        <v>1050</v>
      </c>
      <c r="F782" s="1">
        <f t="shared" si="139"/>
        <v>8500</v>
      </c>
      <c r="H782" t="str">
        <f t="shared" si="134"/>
        <v>{cd,3000}</v>
      </c>
      <c r="I782" t="str">
        <f t="shared" si="135"/>
        <v>{hp,3966000}</v>
      </c>
      <c r="J782" t="str">
        <f t="shared" si="136"/>
        <v>{atk,1050}</v>
      </c>
      <c r="K782" t="str">
        <f t="shared" si="137"/>
        <v>{spd,8500}</v>
      </c>
      <c r="L782" t="str">
        <f t="shared" si="138"/>
        <v>{firingDmgDown,5000}</v>
      </c>
      <c r="O782" t="str">
        <f t="shared" si="140"/>
        <v>[{cd,3000},{hp,3966000},{atk,1050},{spd,8500},{firingDmgDown,5000}]</v>
      </c>
    </row>
    <row r="783" spans="1:15">
      <c r="A783">
        <f>Sheet1!E785</f>
        <v>521</v>
      </c>
      <c r="B783">
        <f t="shared" si="133"/>
        <v>156</v>
      </c>
      <c r="C783">
        <v>3000</v>
      </c>
      <c r="D783">
        <f>VLOOKUP(B783,[1]怪物!$U$34:$Y$234,3,0)</f>
        <v>5288000</v>
      </c>
      <c r="E783">
        <f>VLOOKUP(B783,[2]怪物!$U$134:$Y$233,5,0)</f>
        <v>2100</v>
      </c>
      <c r="F783" s="1">
        <f t="shared" si="139"/>
        <v>8500</v>
      </c>
      <c r="H783" t="str">
        <f t="shared" si="134"/>
        <v>{cd,3000}</v>
      </c>
      <c r="I783" t="str">
        <f t="shared" si="135"/>
        <v>{hp,5288000}</v>
      </c>
      <c r="J783" t="str">
        <f t="shared" si="136"/>
        <v>{atk,2100}</v>
      </c>
      <c r="K783" t="str">
        <f t="shared" si="137"/>
        <v>{spd,8500}</v>
      </c>
      <c r="L783" t="str">
        <f t="shared" si="138"/>
        <v>{firingDmgDown,5000}</v>
      </c>
      <c r="O783" t="str">
        <f t="shared" si="140"/>
        <v>[{cd,3000},{hp,5288000},{atk,2100},{spd,8500},{firingDmgDown,5000}]</v>
      </c>
    </row>
    <row r="784" spans="1:15">
      <c r="A784">
        <f>Sheet1!E786</f>
        <v>122</v>
      </c>
      <c r="B784">
        <f t="shared" si="133"/>
        <v>157</v>
      </c>
      <c r="C784">
        <v>3000</v>
      </c>
      <c r="D784">
        <f>VLOOKUP(B784,[1]怪物!$N$34:$T$233,2,0)</f>
        <v>67100</v>
      </c>
      <c r="E784">
        <f>VLOOKUP(B784,[2]怪物!$N$134:$T$233,5,0)</f>
        <v>428</v>
      </c>
      <c r="F784" s="1">
        <f t="shared" si="139"/>
        <v>8500</v>
      </c>
      <c r="H784" t="str">
        <f t="shared" si="134"/>
        <v>{cd,3000}</v>
      </c>
      <c r="I784" t="str">
        <f t="shared" si="135"/>
        <v>{hp,67100}</v>
      </c>
      <c r="J784" t="str">
        <f t="shared" si="136"/>
        <v>{atk,428}</v>
      </c>
      <c r="K784" t="str">
        <f t="shared" si="137"/>
        <v>{spd,8500}</v>
      </c>
      <c r="L784" t="str">
        <f t="shared" si="138"/>
        <v/>
      </c>
      <c r="O784" t="str">
        <f t="shared" si="140"/>
        <v>[{cd,3000},{hp,67100},{atk,428},{spd,8500}]</v>
      </c>
    </row>
    <row r="785" spans="1:15">
      <c r="A785">
        <f>Sheet1!E787</f>
        <v>123</v>
      </c>
      <c r="B785">
        <f t="shared" si="133"/>
        <v>157</v>
      </c>
      <c r="C785">
        <v>3000</v>
      </c>
      <c r="D785">
        <f>VLOOKUP(B785,[1]怪物!$N$34:$T$233,3,0)</f>
        <v>80520</v>
      </c>
      <c r="E785">
        <f>VLOOKUP(B785,[2]怪物!$N$134:$T$233,6,0)</f>
        <v>514</v>
      </c>
      <c r="F785" s="1">
        <f t="shared" si="139"/>
        <v>8500</v>
      </c>
      <c r="H785" t="str">
        <f t="shared" si="134"/>
        <v>{cd,3000}</v>
      </c>
      <c r="I785" t="str">
        <f t="shared" si="135"/>
        <v>{hp,80520}</v>
      </c>
      <c r="J785" t="str">
        <f t="shared" si="136"/>
        <v>{atk,514}</v>
      </c>
      <c r="K785" t="str">
        <f t="shared" si="137"/>
        <v>{spd,8500}</v>
      </c>
      <c r="L785" t="str">
        <f t="shared" si="138"/>
        <v/>
      </c>
      <c r="O785" t="str">
        <f t="shared" si="140"/>
        <v>[{cd,3000},{hp,80520},{atk,514},{spd,8500}]</v>
      </c>
    </row>
    <row r="786" spans="1:15">
      <c r="A786">
        <f>Sheet1!E788</f>
        <v>125</v>
      </c>
      <c r="B786">
        <f t="shared" si="133"/>
        <v>157</v>
      </c>
      <c r="C786">
        <v>3000</v>
      </c>
      <c r="D786">
        <f>VLOOKUP(B786,[1]怪物!$N$34:$T$233,4,0)</f>
        <v>100650</v>
      </c>
      <c r="E786">
        <f>VLOOKUP(B786,[2]怪物!$N$134:$T$233,7,0)</f>
        <v>642</v>
      </c>
      <c r="F786" s="1">
        <f t="shared" si="139"/>
        <v>8500</v>
      </c>
      <c r="H786" t="str">
        <f t="shared" si="134"/>
        <v>{cd,3000}</v>
      </c>
      <c r="I786" t="str">
        <f t="shared" si="135"/>
        <v>{hp,100650}</v>
      </c>
      <c r="J786" t="str">
        <f t="shared" si="136"/>
        <v>{atk,642}</v>
      </c>
      <c r="K786" t="str">
        <f t="shared" si="137"/>
        <v>{spd,8500}</v>
      </c>
      <c r="L786" t="str">
        <f t="shared" si="138"/>
        <v/>
      </c>
      <c r="O786" t="str">
        <f t="shared" si="140"/>
        <v>[{cd,3000},{hp,100650},{atk,642},{spd,8500}]</v>
      </c>
    </row>
    <row r="787" spans="1:15">
      <c r="A787">
        <f>Sheet1!E789</f>
        <v>522</v>
      </c>
      <c r="B787">
        <f t="shared" si="133"/>
        <v>157</v>
      </c>
      <c r="C787">
        <v>3000</v>
      </c>
      <c r="D787">
        <f>VLOOKUP(B787,[1]怪物!$U$34:$Y$234,2,0)</f>
        <v>4026000</v>
      </c>
      <c r="E787">
        <f>VLOOKUP(B787,[2]怪物!$U$134:$Y$233,4,0)</f>
        <v>1070</v>
      </c>
      <c r="F787" s="1">
        <f t="shared" si="139"/>
        <v>8500</v>
      </c>
      <c r="H787" t="str">
        <f t="shared" si="134"/>
        <v>{cd,3000}</v>
      </c>
      <c r="I787" t="str">
        <f t="shared" si="135"/>
        <v>{hp,4026000}</v>
      </c>
      <c r="J787" t="str">
        <f t="shared" si="136"/>
        <v>{atk,1070}</v>
      </c>
      <c r="K787" t="str">
        <f t="shared" si="137"/>
        <v>{spd,8500}</v>
      </c>
      <c r="L787" t="str">
        <f t="shared" si="138"/>
        <v/>
      </c>
      <c r="O787" t="str">
        <f t="shared" si="140"/>
        <v>[{cd,3000},{hp,4026000},{atk,1070},{spd,8500}]</v>
      </c>
    </row>
    <row r="788" spans="1:15">
      <c r="A788">
        <f>Sheet1!E790</f>
        <v>522</v>
      </c>
      <c r="B788">
        <f t="shared" si="133"/>
        <v>157</v>
      </c>
      <c r="C788">
        <v>3000</v>
      </c>
      <c r="D788">
        <f>VLOOKUP(B788,[1]怪物!$U$34:$Y$234,3,0)</f>
        <v>5368000</v>
      </c>
      <c r="E788">
        <f>VLOOKUP(B788,[2]怪物!$U$134:$Y$233,5,0)</f>
        <v>2140</v>
      </c>
      <c r="F788" s="1">
        <f t="shared" si="139"/>
        <v>8500</v>
      </c>
      <c r="H788" t="str">
        <f t="shared" si="134"/>
        <v>{cd,3000}</v>
      </c>
      <c r="I788" t="str">
        <f t="shared" si="135"/>
        <v>{hp,5368000}</v>
      </c>
      <c r="J788" t="str">
        <f t="shared" si="136"/>
        <v>{atk,2140}</v>
      </c>
      <c r="K788" t="str">
        <f t="shared" si="137"/>
        <v>{spd,8500}</v>
      </c>
      <c r="L788" t="str">
        <f t="shared" si="138"/>
        <v/>
      </c>
      <c r="O788" t="str">
        <f t="shared" si="140"/>
        <v>[{cd,3000},{hp,5368000},{atk,2140},{spd,8500}]</v>
      </c>
    </row>
    <row r="789" spans="1:15">
      <c r="A789">
        <f>Sheet1!E791</f>
        <v>121</v>
      </c>
      <c r="B789">
        <f t="shared" si="133"/>
        <v>158</v>
      </c>
      <c r="C789">
        <v>3000</v>
      </c>
      <c r="D789">
        <f>VLOOKUP(B789,[1]怪物!$N$34:$T$233,2,0)</f>
        <v>68300</v>
      </c>
      <c r="E789">
        <f>VLOOKUP(B789,[2]怪物!$N$134:$T$233,5,0)</f>
        <v>436</v>
      </c>
      <c r="F789" s="1">
        <f t="shared" si="139"/>
        <v>8500</v>
      </c>
      <c r="H789" t="str">
        <f t="shared" si="134"/>
        <v>{cd,3000}</v>
      </c>
      <c r="I789" t="str">
        <f t="shared" si="135"/>
        <v>{hp,68300}</v>
      </c>
      <c r="J789" t="str">
        <f t="shared" si="136"/>
        <v>{atk,436}</v>
      </c>
      <c r="K789" t="str">
        <f t="shared" si="137"/>
        <v>{spd,8500}</v>
      </c>
      <c r="L789" t="str">
        <f t="shared" si="138"/>
        <v>{firingDmgDown,5000}</v>
      </c>
      <c r="O789" t="str">
        <f t="shared" si="140"/>
        <v>[{cd,3000},{hp,68300},{atk,436},{spd,8500},{firingDmgDown,5000}]</v>
      </c>
    </row>
    <row r="790" spans="1:15">
      <c r="A790">
        <f>Sheet1!E792</f>
        <v>122</v>
      </c>
      <c r="B790">
        <f t="shared" si="133"/>
        <v>158</v>
      </c>
      <c r="C790">
        <v>3000</v>
      </c>
      <c r="D790">
        <f>VLOOKUP(B790,[1]怪物!$N$34:$T$233,3,0)</f>
        <v>81960</v>
      </c>
      <c r="E790">
        <f>VLOOKUP(B790,[2]怪物!$N$134:$T$233,6,0)</f>
        <v>523</v>
      </c>
      <c r="F790" s="1">
        <f t="shared" si="139"/>
        <v>8500</v>
      </c>
      <c r="H790" t="str">
        <f t="shared" si="134"/>
        <v>{cd,3000}</v>
      </c>
      <c r="I790" t="str">
        <f t="shared" si="135"/>
        <v>{hp,81960}</v>
      </c>
      <c r="J790" t="str">
        <f t="shared" si="136"/>
        <v>{atk,523}</v>
      </c>
      <c r="K790" t="str">
        <f t="shared" si="137"/>
        <v>{spd,8500}</v>
      </c>
      <c r="L790" t="str">
        <f t="shared" si="138"/>
        <v/>
      </c>
      <c r="O790" t="str">
        <f t="shared" si="140"/>
        <v>[{cd,3000},{hp,81960},{atk,523},{spd,8500}]</v>
      </c>
    </row>
    <row r="791" spans="1:15">
      <c r="A791">
        <f>Sheet1!E793</f>
        <v>126</v>
      </c>
      <c r="B791">
        <f t="shared" si="133"/>
        <v>158</v>
      </c>
      <c r="C791">
        <v>3000</v>
      </c>
      <c r="D791">
        <f>VLOOKUP(B791,[1]怪物!$N$34:$T$233,4,0)</f>
        <v>102450</v>
      </c>
      <c r="E791">
        <f>VLOOKUP(B791,[2]怪物!$N$134:$T$233,7,0)</f>
        <v>654</v>
      </c>
      <c r="F791" s="1">
        <f t="shared" si="139"/>
        <v>8500</v>
      </c>
      <c r="H791" t="str">
        <f t="shared" si="134"/>
        <v>{cd,3000}</v>
      </c>
      <c r="I791" t="str">
        <f t="shared" si="135"/>
        <v>{hp,102450}</v>
      </c>
      <c r="J791" t="str">
        <f t="shared" si="136"/>
        <v>{atk,654}</v>
      </c>
      <c r="K791" t="str">
        <f t="shared" si="137"/>
        <v>{spd,8500}</v>
      </c>
      <c r="L791" t="str">
        <f t="shared" si="138"/>
        <v>{miss,1500}</v>
      </c>
      <c r="O791" t="str">
        <f t="shared" si="140"/>
        <v>[{cd,3000},{hp,102450},{atk,654},{spd,8500},{miss,1500}]</v>
      </c>
    </row>
    <row r="792" spans="1:15">
      <c r="A792">
        <f>Sheet1!E794</f>
        <v>521</v>
      </c>
      <c r="B792">
        <f t="shared" si="133"/>
        <v>158</v>
      </c>
      <c r="C792">
        <v>3000</v>
      </c>
      <c r="D792">
        <f>VLOOKUP(B792,[1]怪物!$U$34:$Y$234,2,0)</f>
        <v>4098000</v>
      </c>
      <c r="E792">
        <f>VLOOKUP(B792,[2]怪物!$U$134:$Y$233,4,0)</f>
        <v>1090</v>
      </c>
      <c r="F792" s="1">
        <f t="shared" si="139"/>
        <v>8500</v>
      </c>
      <c r="H792" t="str">
        <f t="shared" si="134"/>
        <v>{cd,3000}</v>
      </c>
      <c r="I792" t="str">
        <f t="shared" si="135"/>
        <v>{hp,4098000}</v>
      </c>
      <c r="J792" t="str">
        <f t="shared" si="136"/>
        <v>{atk,1090}</v>
      </c>
      <c r="K792" t="str">
        <f t="shared" si="137"/>
        <v>{spd,8500}</v>
      </c>
      <c r="L792" t="str">
        <f t="shared" si="138"/>
        <v>{firingDmgDown,5000}</v>
      </c>
      <c r="O792" t="str">
        <f t="shared" si="140"/>
        <v>[{cd,3000},{hp,4098000},{atk,1090},{spd,8500},{firingDmgDown,5000}]</v>
      </c>
    </row>
    <row r="793" spans="1:15">
      <c r="A793">
        <f>Sheet1!E795</f>
        <v>521</v>
      </c>
      <c r="B793">
        <f t="shared" si="133"/>
        <v>158</v>
      </c>
      <c r="C793">
        <v>3000</v>
      </c>
      <c r="D793">
        <f>VLOOKUP(B793,[1]怪物!$U$34:$Y$234,3,0)</f>
        <v>5464000</v>
      </c>
      <c r="E793">
        <f>VLOOKUP(B793,[2]怪物!$U$134:$Y$233,5,0)</f>
        <v>2180</v>
      </c>
      <c r="F793" s="1">
        <f t="shared" si="139"/>
        <v>8500</v>
      </c>
      <c r="H793" t="str">
        <f t="shared" si="134"/>
        <v>{cd,3000}</v>
      </c>
      <c r="I793" t="str">
        <f t="shared" si="135"/>
        <v>{hp,5464000}</v>
      </c>
      <c r="J793" t="str">
        <f t="shared" si="136"/>
        <v>{atk,2180}</v>
      </c>
      <c r="K793" t="str">
        <f t="shared" si="137"/>
        <v>{spd,8500}</v>
      </c>
      <c r="L793" t="str">
        <f t="shared" si="138"/>
        <v>{firingDmgDown,5000}</v>
      </c>
      <c r="O793" t="str">
        <f t="shared" si="140"/>
        <v>[{cd,3000},{hp,5464000},{atk,2180},{spd,8500},{firingDmgDown,5000}]</v>
      </c>
    </row>
    <row r="794" spans="1:15">
      <c r="A794">
        <f>Sheet1!E796</f>
        <v>114</v>
      </c>
      <c r="B794">
        <f t="shared" si="133"/>
        <v>159</v>
      </c>
      <c r="C794">
        <v>3000</v>
      </c>
      <c r="D794">
        <f>VLOOKUP(B794,[1]怪物!$N$34:$T$233,2,0)</f>
        <v>69700</v>
      </c>
      <c r="E794">
        <f>VLOOKUP(B794,[2]怪物!$N$134:$T$233,5,0)</f>
        <v>444</v>
      </c>
      <c r="F794" s="1">
        <f t="shared" si="139"/>
        <v>8500</v>
      </c>
      <c r="H794" t="str">
        <f t="shared" si="134"/>
        <v>{cd,3000}</v>
      </c>
      <c r="I794" t="str">
        <f t="shared" si="135"/>
        <v>{hp,69700}</v>
      </c>
      <c r="J794" t="str">
        <f t="shared" si="136"/>
        <v>{atk,444}</v>
      </c>
      <c r="K794" t="str">
        <f t="shared" si="137"/>
        <v>{spd,8500}</v>
      </c>
      <c r="L794" t="str">
        <f t="shared" si="138"/>
        <v/>
      </c>
      <c r="O794" t="str">
        <f t="shared" si="140"/>
        <v>[{cd,3000},{hp,69700},{atk,444},{spd,8500}]</v>
      </c>
    </row>
    <row r="795" spans="1:15">
      <c r="A795">
        <f>Sheet1!E797</f>
        <v>127</v>
      </c>
      <c r="B795">
        <f t="shared" si="133"/>
        <v>159</v>
      </c>
      <c r="C795">
        <v>3000</v>
      </c>
      <c r="D795">
        <f>VLOOKUP(B795,[1]怪物!$N$34:$T$233,3,0)</f>
        <v>83640</v>
      </c>
      <c r="E795">
        <f>VLOOKUP(B795,[2]怪物!$N$134:$T$233,6,0)</f>
        <v>533</v>
      </c>
      <c r="F795" s="1">
        <f t="shared" si="139"/>
        <v>8500</v>
      </c>
      <c r="H795" t="str">
        <f t="shared" si="134"/>
        <v>{cd,3000}</v>
      </c>
      <c r="I795" t="str">
        <f t="shared" si="135"/>
        <v>{hp,83640}</v>
      </c>
      <c r="J795" t="str">
        <f t="shared" si="136"/>
        <v>{atk,533}</v>
      </c>
      <c r="K795" t="str">
        <f t="shared" si="137"/>
        <v>{spd,8500}</v>
      </c>
      <c r="L795" t="str">
        <f t="shared" si="138"/>
        <v/>
      </c>
      <c r="O795" t="str">
        <f t="shared" si="140"/>
        <v>[{cd,3000},{hp,83640},{atk,533},{spd,8500}]</v>
      </c>
    </row>
    <row r="796" spans="1:15">
      <c r="A796">
        <f>Sheet1!E798</f>
        <v>113</v>
      </c>
      <c r="B796">
        <f t="shared" si="133"/>
        <v>159</v>
      </c>
      <c r="C796">
        <v>3000</v>
      </c>
      <c r="D796">
        <f>VLOOKUP(B796,[1]怪物!$N$34:$T$233,4,0)</f>
        <v>104550</v>
      </c>
      <c r="E796">
        <f>VLOOKUP(B796,[2]怪物!$N$134:$T$233,7,0)</f>
        <v>666</v>
      </c>
      <c r="F796" s="1">
        <f t="shared" si="139"/>
        <v>8500</v>
      </c>
      <c r="H796" t="str">
        <f t="shared" si="134"/>
        <v>{cd,3000}</v>
      </c>
      <c r="I796" t="str">
        <f t="shared" si="135"/>
        <v>{hp,104550}</v>
      </c>
      <c r="J796" t="str">
        <f t="shared" si="136"/>
        <v>{atk,666}</v>
      </c>
      <c r="K796" t="str">
        <f t="shared" si="137"/>
        <v>{spd,8500}</v>
      </c>
      <c r="L796" t="str">
        <f t="shared" si="138"/>
        <v/>
      </c>
      <c r="O796" t="str">
        <f t="shared" si="140"/>
        <v>[{cd,3000},{hp,104550},{atk,666},{spd,8500}]</v>
      </c>
    </row>
    <row r="797" spans="1:15">
      <c r="A797">
        <f>Sheet1!E799</f>
        <v>514</v>
      </c>
      <c r="B797">
        <f t="shared" si="133"/>
        <v>159</v>
      </c>
      <c r="C797">
        <v>3000</v>
      </c>
      <c r="D797">
        <f>VLOOKUP(B797,[1]怪物!$U$34:$Y$234,2,0)</f>
        <v>4182000</v>
      </c>
      <c r="E797">
        <f>VLOOKUP(B797,[2]怪物!$U$134:$Y$233,4,0)</f>
        <v>1110</v>
      </c>
      <c r="F797" s="1">
        <f t="shared" si="139"/>
        <v>8500</v>
      </c>
      <c r="H797" t="str">
        <f t="shared" si="134"/>
        <v>{cd,3000}</v>
      </c>
      <c r="I797" t="str">
        <f t="shared" si="135"/>
        <v>{hp,4182000}</v>
      </c>
      <c r="J797" t="str">
        <f t="shared" si="136"/>
        <v>{atk,1110}</v>
      </c>
      <c r="K797" t="str">
        <f t="shared" si="137"/>
        <v>{spd,8500}</v>
      </c>
      <c r="L797" t="str">
        <f t="shared" si="138"/>
        <v/>
      </c>
      <c r="O797" t="str">
        <f t="shared" si="140"/>
        <v>[{cd,3000},{hp,4182000},{atk,1110},{spd,8500}]</v>
      </c>
    </row>
    <row r="798" spans="1:15">
      <c r="A798">
        <f>Sheet1!E800</f>
        <v>514</v>
      </c>
      <c r="B798">
        <f t="shared" si="133"/>
        <v>159</v>
      </c>
      <c r="C798">
        <v>3000</v>
      </c>
      <c r="D798">
        <f>VLOOKUP(B798,[1]怪物!$U$34:$Y$234,3,0)</f>
        <v>5576000</v>
      </c>
      <c r="E798">
        <f>VLOOKUP(B798,[2]怪物!$U$134:$Y$233,5,0)</f>
        <v>2220</v>
      </c>
      <c r="F798" s="1">
        <f t="shared" si="139"/>
        <v>8500</v>
      </c>
      <c r="H798" t="str">
        <f t="shared" si="134"/>
        <v>{cd,3000}</v>
      </c>
      <c r="I798" t="str">
        <f t="shared" si="135"/>
        <v>{hp,5576000}</v>
      </c>
      <c r="J798" t="str">
        <f t="shared" si="136"/>
        <v>{atk,2220}</v>
      </c>
      <c r="K798" t="str">
        <f t="shared" si="137"/>
        <v>{spd,8500}</v>
      </c>
      <c r="L798" t="str">
        <f t="shared" si="138"/>
        <v/>
      </c>
      <c r="O798" t="str">
        <f t="shared" si="140"/>
        <v>[{cd,3000},{hp,5576000},{atk,2220},{spd,8500}]</v>
      </c>
    </row>
    <row r="799" spans="1:15">
      <c r="A799">
        <f>Sheet1!E801</f>
        <v>100</v>
      </c>
      <c r="B799">
        <f t="shared" si="133"/>
        <v>160</v>
      </c>
      <c r="C799">
        <v>3000</v>
      </c>
      <c r="D799">
        <f>VLOOKUP(B799,[1]怪物!$N$34:$T$233,2,0)</f>
        <v>71700</v>
      </c>
      <c r="E799">
        <f>VLOOKUP(B799,[2]怪物!$N$134:$T$233,5,0)</f>
        <v>500</v>
      </c>
      <c r="F799" s="1">
        <f t="shared" si="139"/>
        <v>8500</v>
      </c>
      <c r="H799" t="str">
        <f t="shared" si="134"/>
        <v>{cd,3000}</v>
      </c>
      <c r="I799" t="str">
        <f t="shared" si="135"/>
        <v>{hp,71700}</v>
      </c>
      <c r="J799" t="str">
        <f t="shared" si="136"/>
        <v>{atk,500}</v>
      </c>
      <c r="K799" t="str">
        <f t="shared" si="137"/>
        <v>{spd,8500}</v>
      </c>
      <c r="L799" t="str">
        <f t="shared" si="138"/>
        <v/>
      </c>
      <c r="O799" t="str">
        <f t="shared" si="140"/>
        <v>[{cd,3000},{hp,71700},{atk,500},{spd,8500}]</v>
      </c>
    </row>
    <row r="800" spans="1:15">
      <c r="A800">
        <f>Sheet1!E802</f>
        <v>102</v>
      </c>
      <c r="B800">
        <f t="shared" si="133"/>
        <v>160</v>
      </c>
      <c r="C800">
        <v>3000</v>
      </c>
      <c r="D800">
        <f>VLOOKUP(B800,[1]怪物!$N$34:$T$233,3,0)</f>
        <v>86040</v>
      </c>
      <c r="E800">
        <f>VLOOKUP(B800,[2]怪物!$N$134:$T$233,6,0)</f>
        <v>600</v>
      </c>
      <c r="F800" s="1">
        <f t="shared" si="139"/>
        <v>8500</v>
      </c>
      <c r="H800" t="str">
        <f t="shared" si="134"/>
        <v>{cd,3000}</v>
      </c>
      <c r="I800" t="str">
        <f t="shared" si="135"/>
        <v>{hp,86040}</v>
      </c>
      <c r="J800" t="str">
        <f t="shared" si="136"/>
        <v>{atk,600}</v>
      </c>
      <c r="K800" t="str">
        <f t="shared" si="137"/>
        <v>{spd,8500}</v>
      </c>
      <c r="L800" t="str">
        <f t="shared" si="138"/>
        <v/>
      </c>
      <c r="O800" t="str">
        <f t="shared" si="140"/>
        <v>[{cd,3000},{hp,86040},{atk,600},{spd,8500}]</v>
      </c>
    </row>
    <row r="801" spans="1:15">
      <c r="A801">
        <f>Sheet1!E803</f>
        <v>105</v>
      </c>
      <c r="B801">
        <f t="shared" si="133"/>
        <v>160</v>
      </c>
      <c r="C801">
        <v>3000</v>
      </c>
      <c r="D801">
        <f>VLOOKUP(B801,[1]怪物!$N$34:$T$233,4,0)</f>
        <v>107550</v>
      </c>
      <c r="E801">
        <f>VLOOKUP(B801,[2]怪物!$N$134:$T$233,7,0)</f>
        <v>750</v>
      </c>
      <c r="F801" s="1">
        <f t="shared" si="139"/>
        <v>8500</v>
      </c>
      <c r="H801" t="str">
        <f t="shared" si="134"/>
        <v>{cd,3000}</v>
      </c>
      <c r="I801" t="str">
        <f t="shared" si="135"/>
        <v>{hp,107550}</v>
      </c>
      <c r="J801" t="str">
        <f t="shared" si="136"/>
        <v>{atk,750}</v>
      </c>
      <c r="K801" t="str">
        <f t="shared" si="137"/>
        <v>{spd,8500}</v>
      </c>
      <c r="L801" t="str">
        <f t="shared" si="138"/>
        <v/>
      </c>
      <c r="O801" t="str">
        <f t="shared" si="140"/>
        <v>[{cd,3000},{hp,107550},{atk,750},{spd,8500}]</v>
      </c>
    </row>
    <row r="802" spans="1:15">
      <c r="A802">
        <f>Sheet1!E804</f>
        <v>502</v>
      </c>
      <c r="B802">
        <f t="shared" si="133"/>
        <v>160</v>
      </c>
      <c r="C802">
        <v>3000</v>
      </c>
      <c r="D802">
        <f>VLOOKUP(B802,[1]怪物!$U$34:$Y$234,2,0)</f>
        <v>4302000</v>
      </c>
      <c r="E802">
        <f>VLOOKUP(B802,[2]怪物!$U$134:$Y$233,4,0)</f>
        <v>1250</v>
      </c>
      <c r="F802" s="1">
        <f t="shared" si="139"/>
        <v>8500</v>
      </c>
      <c r="H802" t="str">
        <f t="shared" si="134"/>
        <v>{cd,3000}</v>
      </c>
      <c r="I802" t="str">
        <f t="shared" si="135"/>
        <v>{hp,4302000}</v>
      </c>
      <c r="J802" t="str">
        <f t="shared" si="136"/>
        <v>{atk,1250}</v>
      </c>
      <c r="K802" t="str">
        <f t="shared" si="137"/>
        <v>{spd,8500}</v>
      </c>
      <c r="L802" t="str">
        <f t="shared" si="138"/>
        <v/>
      </c>
      <c r="O802" t="str">
        <f t="shared" si="140"/>
        <v>[{cd,3000},{hp,4302000},{atk,1250},{spd,8500}]</v>
      </c>
    </row>
    <row r="803" spans="1:15">
      <c r="A803">
        <f>Sheet1!E805</f>
        <v>500</v>
      </c>
      <c r="B803">
        <f t="shared" si="133"/>
        <v>160</v>
      </c>
      <c r="C803">
        <v>3000</v>
      </c>
      <c r="D803">
        <f>VLOOKUP(B803,[1]怪物!$U$34:$Y$234,3,0)</f>
        <v>5736000</v>
      </c>
      <c r="E803">
        <f>VLOOKUP(B803,[2]怪物!$U$134:$Y$233,5,0)</f>
        <v>2500</v>
      </c>
      <c r="F803" s="1">
        <f t="shared" si="139"/>
        <v>8500</v>
      </c>
      <c r="H803" t="str">
        <f t="shared" si="134"/>
        <v>{cd,3000}</v>
      </c>
      <c r="I803" t="str">
        <f t="shared" si="135"/>
        <v>{hp,5736000}</v>
      </c>
      <c r="J803" t="str">
        <f t="shared" si="136"/>
        <v>{atk,2500}</v>
      </c>
      <c r="K803" t="str">
        <f t="shared" si="137"/>
        <v>{spd,8500}</v>
      </c>
      <c r="L803" t="str">
        <f t="shared" si="138"/>
        <v/>
      </c>
      <c r="O803" t="str">
        <f t="shared" si="140"/>
        <v>[{cd,3000},{hp,5736000},{atk,2500},{spd,8500}]</v>
      </c>
    </row>
    <row r="804" spans="1:15">
      <c r="A804">
        <f>Sheet1!E806</f>
        <v>122</v>
      </c>
      <c r="B804">
        <f t="shared" si="133"/>
        <v>161</v>
      </c>
      <c r="C804">
        <v>3000</v>
      </c>
      <c r="D804">
        <f>VLOOKUP(B804,[1]怪物!$N$34:$T$233,2,0)</f>
        <v>70500</v>
      </c>
      <c r="E804">
        <f>VLOOKUP(B804,[2]怪物!$N$134:$T$233,5,0)</f>
        <v>454</v>
      </c>
      <c r="F804" s="1">
        <f t="shared" si="139"/>
        <v>8500</v>
      </c>
      <c r="H804" t="str">
        <f t="shared" ref="H804:H853" si="141">$C$2&amp;C$3&amp;$D$2&amp;C804&amp;$E$2</f>
        <v>{cd,3000}</v>
      </c>
      <c r="I804" t="str">
        <f t="shared" ref="I804:I853" si="142">$C$2&amp;D$3&amp;$D$2&amp;D804&amp;$E$2</f>
        <v>{hp,70500}</v>
      </c>
      <c r="J804" t="str">
        <f t="shared" ref="J804:J853" si="143">$C$2&amp;E$3&amp;$D$2&amp;E804&amp;$E$2</f>
        <v>{atk,454}</v>
      </c>
      <c r="K804" t="str">
        <f t="shared" ref="K804:K853" si="144">$C$2&amp;F$3&amp;$D$2&amp;F804&amp;$E$2</f>
        <v>{spd,8500}</v>
      </c>
      <c r="L804" t="str">
        <f t="shared" ref="L804:L853" si="145">IF(VLOOKUP(A804,$W:$AC,7,0)=0,"",VLOOKUP(A804,$W:$AC,7,0))</f>
        <v/>
      </c>
      <c r="O804" t="str">
        <f t="shared" si="140"/>
        <v>[{cd,3000},{hp,70500},{atk,454},{spd,8500}]</v>
      </c>
    </row>
    <row r="805" spans="1:15">
      <c r="A805">
        <f>Sheet1!E807</f>
        <v>123</v>
      </c>
      <c r="B805">
        <f t="shared" si="133"/>
        <v>161</v>
      </c>
      <c r="C805">
        <v>3000</v>
      </c>
      <c r="D805">
        <f>VLOOKUP(B805,[1]怪物!$N$34:$T$233,3,0)</f>
        <v>84600</v>
      </c>
      <c r="E805">
        <f>VLOOKUP(B805,[2]怪物!$N$134:$T$233,6,0)</f>
        <v>545</v>
      </c>
      <c r="F805" s="1">
        <f t="shared" si="139"/>
        <v>8500</v>
      </c>
      <c r="H805" t="str">
        <f t="shared" si="141"/>
        <v>{cd,3000}</v>
      </c>
      <c r="I805" t="str">
        <f t="shared" si="142"/>
        <v>{hp,84600}</v>
      </c>
      <c r="J805" t="str">
        <f t="shared" si="143"/>
        <v>{atk,545}</v>
      </c>
      <c r="K805" t="str">
        <f t="shared" si="144"/>
        <v>{spd,8500}</v>
      </c>
      <c r="L805" t="str">
        <f t="shared" si="145"/>
        <v/>
      </c>
      <c r="O805" t="str">
        <f t="shared" si="140"/>
        <v>[{cd,3000},{hp,84600},{atk,545},{spd,8500}]</v>
      </c>
    </row>
    <row r="806" spans="1:15">
      <c r="A806">
        <f>Sheet1!E808</f>
        <v>124</v>
      </c>
      <c r="B806">
        <f t="shared" si="133"/>
        <v>161</v>
      </c>
      <c r="C806">
        <v>3000</v>
      </c>
      <c r="D806">
        <f>VLOOKUP(B806,[1]怪物!$N$34:$T$233,4,0)</f>
        <v>105750</v>
      </c>
      <c r="E806">
        <f>VLOOKUP(B806,[2]怪物!$N$134:$T$233,7,0)</f>
        <v>681</v>
      </c>
      <c r="F806" s="1">
        <f t="shared" si="139"/>
        <v>8500</v>
      </c>
      <c r="H806" t="str">
        <f t="shared" si="141"/>
        <v>{cd,3000}</v>
      </c>
      <c r="I806" t="str">
        <f t="shared" si="142"/>
        <v>{hp,105750}</v>
      </c>
      <c r="J806" t="str">
        <f t="shared" si="143"/>
        <v>{atk,681}</v>
      </c>
      <c r="K806" t="str">
        <f t="shared" si="144"/>
        <v>{spd,8500}</v>
      </c>
      <c r="L806" t="str">
        <f t="shared" si="145"/>
        <v>{downCritDmg,5000},{resRate,2000}</v>
      </c>
      <c r="O806" t="str">
        <f t="shared" si="140"/>
        <v>[{cd,3000},{hp,105750},{atk,681},{spd,8500},{downCritDmg,5000},{resRate,2000}]</v>
      </c>
    </row>
    <row r="807" spans="1:15">
      <c r="A807">
        <f>Sheet1!E809</f>
        <v>522</v>
      </c>
      <c r="B807">
        <f t="shared" si="133"/>
        <v>161</v>
      </c>
      <c r="C807">
        <v>3000</v>
      </c>
      <c r="D807">
        <f>VLOOKUP(B807,[1]怪物!$U$34:$Y$234,2,0)</f>
        <v>4230000</v>
      </c>
      <c r="E807">
        <f>VLOOKUP(B807,[2]怪物!$U$134:$Y$233,4,0)</f>
        <v>1135</v>
      </c>
      <c r="F807" s="1">
        <f t="shared" si="139"/>
        <v>8500</v>
      </c>
      <c r="H807" t="str">
        <f t="shared" si="141"/>
        <v>{cd,3000}</v>
      </c>
      <c r="I807" t="str">
        <f t="shared" si="142"/>
        <v>{hp,4230000}</v>
      </c>
      <c r="J807" t="str">
        <f t="shared" si="143"/>
        <v>{atk,1135}</v>
      </c>
      <c r="K807" t="str">
        <f t="shared" si="144"/>
        <v>{spd,8500}</v>
      </c>
      <c r="L807" t="str">
        <f t="shared" si="145"/>
        <v/>
      </c>
      <c r="O807" t="str">
        <f t="shared" si="140"/>
        <v>[{cd,3000},{hp,4230000},{atk,1135},{spd,8500}]</v>
      </c>
    </row>
    <row r="808" spans="1:15">
      <c r="A808">
        <f>Sheet1!E810</f>
        <v>522</v>
      </c>
      <c r="B808">
        <f t="shared" si="133"/>
        <v>161</v>
      </c>
      <c r="C808">
        <v>3000</v>
      </c>
      <c r="D808">
        <f>VLOOKUP(B808,[1]怪物!$U$34:$Y$234,3,0)</f>
        <v>5640000</v>
      </c>
      <c r="E808">
        <f>VLOOKUP(B808,[2]怪物!$U$134:$Y$233,5,0)</f>
        <v>2270</v>
      </c>
      <c r="F808" s="1">
        <f t="shared" si="139"/>
        <v>8500</v>
      </c>
      <c r="H808" t="str">
        <f t="shared" si="141"/>
        <v>{cd,3000}</v>
      </c>
      <c r="I808" t="str">
        <f t="shared" si="142"/>
        <v>{hp,5640000}</v>
      </c>
      <c r="J808" t="str">
        <f t="shared" si="143"/>
        <v>{atk,2270}</v>
      </c>
      <c r="K808" t="str">
        <f t="shared" si="144"/>
        <v>{spd,8500}</v>
      </c>
      <c r="L808" t="str">
        <f t="shared" si="145"/>
        <v/>
      </c>
      <c r="O808" t="str">
        <f t="shared" si="140"/>
        <v>[{cd,3000},{hp,5640000},{atk,2270},{spd,8500}]</v>
      </c>
    </row>
    <row r="809" spans="1:15">
      <c r="A809">
        <f>Sheet1!E811</f>
        <v>117</v>
      </c>
      <c r="B809">
        <f t="shared" si="133"/>
        <v>162</v>
      </c>
      <c r="C809">
        <v>3000</v>
      </c>
      <c r="D809">
        <f>VLOOKUP(B809,[1]怪物!$N$34:$T$233,2,0)</f>
        <v>71500</v>
      </c>
      <c r="E809">
        <f>VLOOKUP(B809,[2]怪物!$N$134:$T$233,5,0)</f>
        <v>464</v>
      </c>
      <c r="F809" s="1">
        <f t="shared" si="139"/>
        <v>8500</v>
      </c>
      <c r="H809" t="str">
        <f t="shared" si="141"/>
        <v>{cd,3000}</v>
      </c>
      <c r="I809" t="str">
        <f t="shared" si="142"/>
        <v>{hp,71500}</v>
      </c>
      <c r="J809" t="str">
        <f t="shared" si="143"/>
        <v>{atk,464}</v>
      </c>
      <c r="K809" t="str">
        <f t="shared" si="144"/>
        <v>{spd,8500}</v>
      </c>
      <c r="L809" t="str">
        <f t="shared" si="145"/>
        <v>{downUnderPhAtk,5000}</v>
      </c>
      <c r="O809" t="str">
        <f t="shared" si="140"/>
        <v>[{cd,3000},{hp,71500},{atk,464},{spd,8500},{downUnderPhAtk,5000}]</v>
      </c>
    </row>
    <row r="810" spans="1:15">
      <c r="A810">
        <f>Sheet1!E812</f>
        <v>119</v>
      </c>
      <c r="B810">
        <f t="shared" si="133"/>
        <v>162</v>
      </c>
      <c r="C810">
        <v>3000</v>
      </c>
      <c r="D810">
        <f>VLOOKUP(B810,[1]怪物!$N$34:$T$233,3,0)</f>
        <v>85800</v>
      </c>
      <c r="E810">
        <f>VLOOKUP(B810,[2]怪物!$N$134:$T$233,6,0)</f>
        <v>557</v>
      </c>
      <c r="F810" s="1">
        <f t="shared" si="139"/>
        <v>8500</v>
      </c>
      <c r="H810" t="str">
        <f t="shared" si="141"/>
        <v>{cd,3000}</v>
      </c>
      <c r="I810" t="str">
        <f t="shared" si="142"/>
        <v>{hp,85800}</v>
      </c>
      <c r="J810" t="str">
        <f t="shared" si="143"/>
        <v>{atk,557}</v>
      </c>
      <c r="K810" t="str">
        <f t="shared" si="144"/>
        <v>{spd,8500}</v>
      </c>
      <c r="L810" t="str">
        <f t="shared" si="145"/>
        <v>{downUnderMagicAtk,5000}</v>
      </c>
      <c r="O810" t="str">
        <f t="shared" si="140"/>
        <v>[{cd,3000},{hp,85800},{atk,557},{spd,8500},{downUnderMagicAtk,5000}]</v>
      </c>
    </row>
    <row r="811" spans="1:15">
      <c r="A811">
        <f>Sheet1!E813</f>
        <v>125</v>
      </c>
      <c r="B811">
        <f t="shared" si="133"/>
        <v>162</v>
      </c>
      <c r="C811">
        <v>3000</v>
      </c>
      <c r="D811">
        <f>VLOOKUP(B811,[1]怪物!$N$34:$T$233,4,0)</f>
        <v>107250</v>
      </c>
      <c r="E811">
        <f>VLOOKUP(B811,[2]怪物!$N$134:$T$233,7,0)</f>
        <v>696</v>
      </c>
      <c r="F811" s="1">
        <f t="shared" si="139"/>
        <v>8500</v>
      </c>
      <c r="H811" t="str">
        <f t="shared" si="141"/>
        <v>{cd,3000}</v>
      </c>
      <c r="I811" t="str">
        <f t="shared" si="142"/>
        <v>{hp,107250}</v>
      </c>
      <c r="J811" t="str">
        <f t="shared" si="143"/>
        <v>{atk,696}</v>
      </c>
      <c r="K811" t="str">
        <f t="shared" si="144"/>
        <v>{spd,8500}</v>
      </c>
      <c r="L811" t="str">
        <f t="shared" si="145"/>
        <v/>
      </c>
      <c r="O811" t="str">
        <f t="shared" si="140"/>
        <v>[{cd,3000},{hp,107250},{atk,696},{spd,8500}]</v>
      </c>
    </row>
    <row r="812" spans="1:15">
      <c r="A812">
        <f>Sheet1!E814</f>
        <v>517</v>
      </c>
      <c r="B812">
        <f t="shared" si="133"/>
        <v>162</v>
      </c>
      <c r="C812">
        <v>3000</v>
      </c>
      <c r="D812">
        <f>VLOOKUP(B812,[1]怪物!$U$34:$Y$234,2,0)</f>
        <v>4290000</v>
      </c>
      <c r="E812">
        <f>VLOOKUP(B812,[2]怪物!$U$134:$Y$233,4,0)</f>
        <v>1160</v>
      </c>
      <c r="F812" s="1">
        <f t="shared" si="139"/>
        <v>8500</v>
      </c>
      <c r="H812" t="str">
        <f t="shared" si="141"/>
        <v>{cd,3000}</v>
      </c>
      <c r="I812" t="str">
        <f t="shared" si="142"/>
        <v>{hp,4290000}</v>
      </c>
      <c r="J812" t="str">
        <f t="shared" si="143"/>
        <v>{atk,1160}</v>
      </c>
      <c r="K812" t="str">
        <f t="shared" si="144"/>
        <v>{spd,8500}</v>
      </c>
      <c r="L812" t="str">
        <f t="shared" si="145"/>
        <v>{downUnderPhAtk,5000}</v>
      </c>
      <c r="O812" t="str">
        <f t="shared" si="140"/>
        <v>[{cd,3000},{hp,4290000},{atk,1160},{spd,8500},{downUnderPhAtk,5000}]</v>
      </c>
    </row>
    <row r="813" spans="1:15">
      <c r="A813">
        <f>Sheet1!E815</f>
        <v>517</v>
      </c>
      <c r="B813">
        <f t="shared" si="133"/>
        <v>162</v>
      </c>
      <c r="C813">
        <v>3000</v>
      </c>
      <c r="D813">
        <f>VLOOKUP(B813,[1]怪物!$U$34:$Y$234,3,0)</f>
        <v>5720000</v>
      </c>
      <c r="E813">
        <f>VLOOKUP(B813,[2]怪物!$U$134:$Y$233,5,0)</f>
        <v>2320</v>
      </c>
      <c r="F813" s="1">
        <f t="shared" si="139"/>
        <v>8500</v>
      </c>
      <c r="H813" t="str">
        <f t="shared" si="141"/>
        <v>{cd,3000}</v>
      </c>
      <c r="I813" t="str">
        <f t="shared" si="142"/>
        <v>{hp,5720000}</v>
      </c>
      <c r="J813" t="str">
        <f t="shared" si="143"/>
        <v>{atk,2320}</v>
      </c>
      <c r="K813" t="str">
        <f t="shared" si="144"/>
        <v>{spd,8500}</v>
      </c>
      <c r="L813" t="str">
        <f t="shared" si="145"/>
        <v>{downUnderPhAtk,5000}</v>
      </c>
      <c r="O813" t="str">
        <f t="shared" si="140"/>
        <v>[{cd,3000},{hp,5720000},{atk,2320},{spd,8500},{downUnderPhAtk,5000}]</v>
      </c>
    </row>
    <row r="814" spans="1:15">
      <c r="A814">
        <f>Sheet1!E816</f>
        <v>101</v>
      </c>
      <c r="B814">
        <f t="shared" si="133"/>
        <v>163</v>
      </c>
      <c r="C814">
        <v>3000</v>
      </c>
      <c r="D814">
        <f>VLOOKUP(B814,[1]怪物!$N$34:$T$233,2,0)</f>
        <v>72700</v>
      </c>
      <c r="E814">
        <f>VLOOKUP(B814,[2]怪物!$N$134:$T$233,5,0)</f>
        <v>474</v>
      </c>
      <c r="F814" s="1">
        <f t="shared" si="139"/>
        <v>8500</v>
      </c>
      <c r="H814" t="str">
        <f t="shared" si="141"/>
        <v>{cd,3000}</v>
      </c>
      <c r="I814" t="str">
        <f t="shared" si="142"/>
        <v>{hp,72700}</v>
      </c>
      <c r="J814" t="str">
        <f t="shared" si="143"/>
        <v>{atk,474}</v>
      </c>
      <c r="K814" t="str">
        <f t="shared" si="144"/>
        <v>{spd,8500}</v>
      </c>
      <c r="L814" t="str">
        <f t="shared" si="145"/>
        <v/>
      </c>
      <c r="O814" t="str">
        <f t="shared" si="140"/>
        <v>[{cd,3000},{hp,72700},{atk,474},{spd,8500}]</v>
      </c>
    </row>
    <row r="815" spans="1:15">
      <c r="A815">
        <f>Sheet1!E817</f>
        <v>127</v>
      </c>
      <c r="B815">
        <f t="shared" si="133"/>
        <v>163</v>
      </c>
      <c r="C815">
        <v>3000</v>
      </c>
      <c r="D815">
        <f>VLOOKUP(B815,[1]怪物!$N$34:$T$233,3,0)</f>
        <v>87240</v>
      </c>
      <c r="E815">
        <f>VLOOKUP(B815,[2]怪物!$N$134:$T$233,6,0)</f>
        <v>569</v>
      </c>
      <c r="F815" s="1">
        <f t="shared" si="139"/>
        <v>8500</v>
      </c>
      <c r="H815" t="str">
        <f t="shared" si="141"/>
        <v>{cd,3000}</v>
      </c>
      <c r="I815" t="str">
        <f t="shared" si="142"/>
        <v>{hp,87240}</v>
      </c>
      <c r="J815" t="str">
        <f t="shared" si="143"/>
        <v>{atk,569}</v>
      </c>
      <c r="K815" t="str">
        <f t="shared" si="144"/>
        <v>{spd,8500}</v>
      </c>
      <c r="L815" t="str">
        <f t="shared" si="145"/>
        <v/>
      </c>
      <c r="O815" t="str">
        <f t="shared" si="140"/>
        <v>[{cd,3000},{hp,87240},{atk,569},{spd,8500}]</v>
      </c>
    </row>
    <row r="816" spans="1:15">
      <c r="A816">
        <f>Sheet1!E818</f>
        <v>128</v>
      </c>
      <c r="B816">
        <f t="shared" si="133"/>
        <v>163</v>
      </c>
      <c r="C816">
        <v>3000</v>
      </c>
      <c r="D816">
        <f>VLOOKUP(B816,[1]怪物!$N$34:$T$233,4,0)</f>
        <v>109050</v>
      </c>
      <c r="E816">
        <f>VLOOKUP(B816,[2]怪物!$N$134:$T$233,7,0)</f>
        <v>711</v>
      </c>
      <c r="F816" s="1">
        <f t="shared" si="139"/>
        <v>8500</v>
      </c>
      <c r="H816" t="str">
        <f t="shared" si="141"/>
        <v>{cd,3000}</v>
      </c>
      <c r="I816" t="str">
        <f t="shared" si="142"/>
        <v>{hp,109050}</v>
      </c>
      <c r="J816" t="str">
        <f t="shared" si="143"/>
        <v>{atk,711}</v>
      </c>
      <c r="K816" t="str">
        <f t="shared" si="144"/>
        <v>{spd,8500}</v>
      </c>
      <c r="L816" t="str">
        <f t="shared" si="145"/>
        <v>{upUnderPhAtk,8000}</v>
      </c>
      <c r="O816" t="str">
        <f t="shared" si="140"/>
        <v>[{cd,3000},{hp,109050},{atk,711},{spd,8500},{upUnderPhAtk,8000}]</v>
      </c>
    </row>
    <row r="817" spans="1:15">
      <c r="A817">
        <f>Sheet1!E819</f>
        <v>501</v>
      </c>
      <c r="B817">
        <f t="shared" si="133"/>
        <v>163</v>
      </c>
      <c r="C817">
        <v>3000</v>
      </c>
      <c r="D817">
        <f>VLOOKUP(B817,[1]怪物!$U$34:$Y$234,2,0)</f>
        <v>4362000</v>
      </c>
      <c r="E817">
        <f>VLOOKUP(B817,[2]怪物!$U$134:$Y$233,4,0)</f>
        <v>1185</v>
      </c>
      <c r="F817" s="1">
        <f t="shared" si="139"/>
        <v>8500</v>
      </c>
      <c r="H817" t="str">
        <f t="shared" si="141"/>
        <v>{cd,3000}</v>
      </c>
      <c r="I817" t="str">
        <f t="shared" si="142"/>
        <v>{hp,4362000}</v>
      </c>
      <c r="J817" t="str">
        <f t="shared" si="143"/>
        <v>{atk,1185}</v>
      </c>
      <c r="K817" t="str">
        <f t="shared" si="144"/>
        <v>{spd,8500}</v>
      </c>
      <c r="L817" t="str">
        <f t="shared" si="145"/>
        <v/>
      </c>
      <c r="O817" t="str">
        <f t="shared" si="140"/>
        <v>[{cd,3000},{hp,4362000},{atk,1185},{spd,8500}]</v>
      </c>
    </row>
    <row r="818" spans="1:15">
      <c r="A818">
        <f>Sheet1!E820</f>
        <v>501</v>
      </c>
      <c r="B818">
        <f t="shared" ref="B818:B881" si="146">B813+1</f>
        <v>163</v>
      </c>
      <c r="C818">
        <v>3000</v>
      </c>
      <c r="D818">
        <f>VLOOKUP(B818,[1]怪物!$U$34:$Y$234,3,0)</f>
        <v>5816000</v>
      </c>
      <c r="E818">
        <f>VLOOKUP(B818,[2]怪物!$U$134:$Y$233,5,0)</f>
        <v>2370</v>
      </c>
      <c r="F818" s="1">
        <f t="shared" si="139"/>
        <v>8500</v>
      </c>
      <c r="H818" t="str">
        <f t="shared" si="141"/>
        <v>{cd,3000}</v>
      </c>
      <c r="I818" t="str">
        <f t="shared" si="142"/>
        <v>{hp,5816000}</v>
      </c>
      <c r="J818" t="str">
        <f t="shared" si="143"/>
        <v>{atk,2370}</v>
      </c>
      <c r="K818" t="str">
        <f t="shared" si="144"/>
        <v>{spd,8500}</v>
      </c>
      <c r="L818" t="str">
        <f t="shared" si="145"/>
        <v/>
      </c>
      <c r="O818" t="str">
        <f t="shared" si="140"/>
        <v>[{cd,3000},{hp,5816000},{atk,2370},{spd,8500}]</v>
      </c>
    </row>
    <row r="819" spans="1:15">
      <c r="A819">
        <f>Sheet1!E821</f>
        <v>100</v>
      </c>
      <c r="B819">
        <f t="shared" si="146"/>
        <v>164</v>
      </c>
      <c r="C819">
        <v>3000</v>
      </c>
      <c r="D819">
        <f>VLOOKUP(B819,[1]怪物!$N$34:$T$233,2,0)</f>
        <v>75200</v>
      </c>
      <c r="E819">
        <f>VLOOKUP(B819,[2]怪物!$N$134:$T$233,5,0)</f>
        <v>540</v>
      </c>
      <c r="F819" s="1">
        <f t="shared" si="139"/>
        <v>8500</v>
      </c>
      <c r="H819" t="str">
        <f t="shared" si="141"/>
        <v>{cd,3000}</v>
      </c>
      <c r="I819" t="str">
        <f t="shared" si="142"/>
        <v>{hp,75200}</v>
      </c>
      <c r="J819" t="str">
        <f t="shared" si="143"/>
        <v>{atk,540}</v>
      </c>
      <c r="K819" t="str">
        <f t="shared" si="144"/>
        <v>{spd,8500}</v>
      </c>
      <c r="L819" t="str">
        <f t="shared" si="145"/>
        <v/>
      </c>
      <c r="O819" t="str">
        <f t="shared" si="140"/>
        <v>[{cd,3000},{hp,75200},{atk,540},{spd,8500}]</v>
      </c>
    </row>
    <row r="820" spans="1:15">
      <c r="A820">
        <f>Sheet1!E822</f>
        <v>102</v>
      </c>
      <c r="B820">
        <f t="shared" si="146"/>
        <v>164</v>
      </c>
      <c r="C820">
        <v>3000</v>
      </c>
      <c r="D820">
        <f>VLOOKUP(B820,[1]怪物!$N$34:$T$233,3,0)</f>
        <v>90240</v>
      </c>
      <c r="E820">
        <f>VLOOKUP(B820,[2]怪物!$N$134:$T$233,6,0)</f>
        <v>648</v>
      </c>
      <c r="F820" s="1">
        <f t="shared" si="139"/>
        <v>8500</v>
      </c>
      <c r="H820" t="str">
        <f t="shared" si="141"/>
        <v>{cd,3000}</v>
      </c>
      <c r="I820" t="str">
        <f t="shared" si="142"/>
        <v>{hp,90240}</v>
      </c>
      <c r="J820" t="str">
        <f t="shared" si="143"/>
        <v>{atk,648}</v>
      </c>
      <c r="K820" t="str">
        <f t="shared" si="144"/>
        <v>{spd,8500}</v>
      </c>
      <c r="L820" t="str">
        <f t="shared" si="145"/>
        <v/>
      </c>
      <c r="O820" t="str">
        <f t="shared" si="140"/>
        <v>[{cd,3000},{hp,90240},{atk,648},{spd,8500}]</v>
      </c>
    </row>
    <row r="821" spans="1:15">
      <c r="A821">
        <f>Sheet1!E823</f>
        <v>105</v>
      </c>
      <c r="B821">
        <f t="shared" si="146"/>
        <v>164</v>
      </c>
      <c r="C821">
        <v>3000</v>
      </c>
      <c r="D821">
        <f>VLOOKUP(B821,[1]怪物!$N$34:$T$233,4,0)</f>
        <v>112800</v>
      </c>
      <c r="E821">
        <f>VLOOKUP(B821,[2]怪物!$N$134:$T$233,7,0)</f>
        <v>810</v>
      </c>
      <c r="F821" s="1">
        <f t="shared" si="139"/>
        <v>8500</v>
      </c>
      <c r="H821" t="str">
        <f t="shared" si="141"/>
        <v>{cd,3000}</v>
      </c>
      <c r="I821" t="str">
        <f t="shared" si="142"/>
        <v>{hp,112800}</v>
      </c>
      <c r="J821" t="str">
        <f t="shared" si="143"/>
        <v>{atk,810}</v>
      </c>
      <c r="K821" t="str">
        <f t="shared" si="144"/>
        <v>{spd,8500}</v>
      </c>
      <c r="L821" t="str">
        <f t="shared" si="145"/>
        <v/>
      </c>
      <c r="O821" t="str">
        <f t="shared" si="140"/>
        <v>[{cd,3000},{hp,112800},{atk,810},{spd,8500}]</v>
      </c>
    </row>
    <row r="822" spans="1:15">
      <c r="A822">
        <f>Sheet1!E824</f>
        <v>502</v>
      </c>
      <c r="B822">
        <f t="shared" si="146"/>
        <v>164</v>
      </c>
      <c r="C822">
        <v>3000</v>
      </c>
      <c r="D822">
        <f>VLOOKUP(B822,[1]怪物!$U$34:$Y$234,2,0)</f>
        <v>4512000</v>
      </c>
      <c r="E822">
        <f>VLOOKUP(B822,[2]怪物!$U$134:$Y$233,4,0)</f>
        <v>1350</v>
      </c>
      <c r="F822" s="1">
        <f t="shared" si="139"/>
        <v>8500</v>
      </c>
      <c r="H822" t="str">
        <f t="shared" si="141"/>
        <v>{cd,3000}</v>
      </c>
      <c r="I822" t="str">
        <f t="shared" si="142"/>
        <v>{hp,4512000}</v>
      </c>
      <c r="J822" t="str">
        <f t="shared" si="143"/>
        <v>{atk,1350}</v>
      </c>
      <c r="K822" t="str">
        <f t="shared" si="144"/>
        <v>{spd,8500}</v>
      </c>
      <c r="L822" t="str">
        <f t="shared" si="145"/>
        <v/>
      </c>
      <c r="O822" t="str">
        <f t="shared" si="140"/>
        <v>[{cd,3000},{hp,4512000},{atk,1350},{spd,8500}]</v>
      </c>
    </row>
    <row r="823" spans="1:15">
      <c r="A823">
        <f>Sheet1!E825</f>
        <v>500</v>
      </c>
      <c r="B823">
        <f t="shared" si="146"/>
        <v>164</v>
      </c>
      <c r="C823">
        <v>3000</v>
      </c>
      <c r="D823">
        <f>VLOOKUP(B823,[1]怪物!$U$34:$Y$234,3,0)</f>
        <v>6016000</v>
      </c>
      <c r="E823">
        <f>VLOOKUP(B823,[2]怪物!$U$134:$Y$233,5,0)</f>
        <v>2700</v>
      </c>
      <c r="F823" s="1">
        <f t="shared" si="139"/>
        <v>8500</v>
      </c>
      <c r="H823" t="str">
        <f t="shared" si="141"/>
        <v>{cd,3000}</v>
      </c>
      <c r="I823" t="str">
        <f t="shared" si="142"/>
        <v>{hp,6016000}</v>
      </c>
      <c r="J823" t="str">
        <f t="shared" si="143"/>
        <v>{atk,2700}</v>
      </c>
      <c r="K823" t="str">
        <f t="shared" si="144"/>
        <v>{spd,8500}</v>
      </c>
      <c r="L823" t="str">
        <f t="shared" si="145"/>
        <v/>
      </c>
      <c r="O823" t="str">
        <f t="shared" si="140"/>
        <v>[{cd,3000},{hp,6016000},{atk,2700},{spd,8500}]</v>
      </c>
    </row>
    <row r="824" spans="1:15">
      <c r="A824">
        <f>Sheet1!E826</f>
        <v>124</v>
      </c>
      <c r="B824">
        <f t="shared" si="146"/>
        <v>165</v>
      </c>
      <c r="C824">
        <v>3000</v>
      </c>
      <c r="D824">
        <f>VLOOKUP(B824,[1]怪物!$N$34:$T$233,2,0)</f>
        <v>73500</v>
      </c>
      <c r="E824">
        <f>VLOOKUP(B824,[2]怪物!$N$134:$T$233,5,0)</f>
        <v>484</v>
      </c>
      <c r="F824" s="1">
        <f t="shared" si="139"/>
        <v>8500</v>
      </c>
      <c r="H824" t="str">
        <f t="shared" si="141"/>
        <v>{cd,3000}</v>
      </c>
      <c r="I824" t="str">
        <f t="shared" si="142"/>
        <v>{hp,73500}</v>
      </c>
      <c r="J824" t="str">
        <f t="shared" si="143"/>
        <v>{atk,484}</v>
      </c>
      <c r="K824" t="str">
        <f t="shared" si="144"/>
        <v>{spd,8500}</v>
      </c>
      <c r="L824" t="str">
        <f t="shared" si="145"/>
        <v>{downCritDmg,5000},{resRate,2000}</v>
      </c>
      <c r="O824" t="str">
        <f t="shared" si="140"/>
        <v>[{cd,3000},{hp,73500},{atk,484},{spd,8500},{downCritDmg,5000},{resRate,2000}]</v>
      </c>
    </row>
    <row r="825" spans="1:15">
      <c r="A825">
        <f>Sheet1!E827</f>
        <v>126</v>
      </c>
      <c r="B825">
        <f t="shared" si="146"/>
        <v>165</v>
      </c>
      <c r="C825">
        <v>3000</v>
      </c>
      <c r="D825">
        <f>VLOOKUP(B825,[1]怪物!$N$34:$T$233,3,0)</f>
        <v>88200</v>
      </c>
      <c r="E825">
        <f>VLOOKUP(B825,[2]怪物!$N$134:$T$233,6,0)</f>
        <v>581</v>
      </c>
      <c r="F825" s="1">
        <f t="shared" si="139"/>
        <v>8500</v>
      </c>
      <c r="H825" t="str">
        <f t="shared" si="141"/>
        <v>{cd,3000}</v>
      </c>
      <c r="I825" t="str">
        <f t="shared" si="142"/>
        <v>{hp,88200}</v>
      </c>
      <c r="J825" t="str">
        <f t="shared" si="143"/>
        <v>{atk,581}</v>
      </c>
      <c r="K825" t="str">
        <f t="shared" si="144"/>
        <v>{spd,8500}</v>
      </c>
      <c r="L825" t="str">
        <f t="shared" si="145"/>
        <v>{miss,1500}</v>
      </c>
      <c r="O825" t="str">
        <f t="shared" si="140"/>
        <v>[{cd,3000},{hp,88200},{atk,581},{spd,8500},{miss,1500}]</v>
      </c>
    </row>
    <row r="826" spans="1:15">
      <c r="A826">
        <f>Sheet1!E828</f>
        <v>126</v>
      </c>
      <c r="B826">
        <f t="shared" si="146"/>
        <v>165</v>
      </c>
      <c r="C826">
        <v>3000</v>
      </c>
      <c r="D826">
        <f>VLOOKUP(B826,[1]怪物!$N$34:$T$233,4,0)</f>
        <v>110250</v>
      </c>
      <c r="E826">
        <f>VLOOKUP(B826,[2]怪物!$N$134:$T$233,7,0)</f>
        <v>726</v>
      </c>
      <c r="F826" s="1">
        <f t="shared" si="139"/>
        <v>8500</v>
      </c>
      <c r="H826" t="str">
        <f t="shared" si="141"/>
        <v>{cd,3000}</v>
      </c>
      <c r="I826" t="str">
        <f t="shared" si="142"/>
        <v>{hp,110250}</v>
      </c>
      <c r="J826" t="str">
        <f t="shared" si="143"/>
        <v>{atk,726}</v>
      </c>
      <c r="K826" t="str">
        <f t="shared" si="144"/>
        <v>{spd,8500}</v>
      </c>
      <c r="L826" t="str">
        <f t="shared" si="145"/>
        <v>{miss,1500}</v>
      </c>
      <c r="O826" t="str">
        <f t="shared" si="140"/>
        <v>[{cd,3000},{hp,110250},{atk,726},{spd,8500},{miss,1500}]</v>
      </c>
    </row>
    <row r="827" spans="1:15">
      <c r="A827">
        <f>Sheet1!E829</f>
        <v>524</v>
      </c>
      <c r="B827">
        <f t="shared" si="146"/>
        <v>165</v>
      </c>
      <c r="C827">
        <v>3000</v>
      </c>
      <c r="D827">
        <f>VLOOKUP(B827,[1]怪物!$U$34:$Y$234,2,0)</f>
        <v>4410000</v>
      </c>
      <c r="E827">
        <f>VLOOKUP(B827,[2]怪物!$U$134:$Y$233,4,0)</f>
        <v>1210</v>
      </c>
      <c r="F827" s="1">
        <f t="shared" si="139"/>
        <v>8500</v>
      </c>
      <c r="H827" t="str">
        <f t="shared" si="141"/>
        <v>{cd,3000}</v>
      </c>
      <c r="I827" t="str">
        <f t="shared" si="142"/>
        <v>{hp,4410000}</v>
      </c>
      <c r="J827" t="str">
        <f t="shared" si="143"/>
        <v>{atk,1210}</v>
      </c>
      <c r="K827" t="str">
        <f t="shared" si="144"/>
        <v>{spd,8500}</v>
      </c>
      <c r="L827" t="str">
        <f t="shared" si="145"/>
        <v>{downCritDmg,5000},{resRate,2000}</v>
      </c>
      <c r="O827" t="str">
        <f t="shared" si="140"/>
        <v>[{cd,3000},{hp,4410000},{atk,1210},{spd,8500},{downCritDmg,5000},{resRate,2000}]</v>
      </c>
    </row>
    <row r="828" spans="1:15">
      <c r="A828">
        <f>Sheet1!E830</f>
        <v>524</v>
      </c>
      <c r="B828">
        <f t="shared" si="146"/>
        <v>165</v>
      </c>
      <c r="C828">
        <v>3000</v>
      </c>
      <c r="D828">
        <f>VLOOKUP(B828,[1]怪物!$U$34:$Y$234,3,0)</f>
        <v>5880000</v>
      </c>
      <c r="E828">
        <f>VLOOKUP(B828,[2]怪物!$U$134:$Y$233,5,0)</f>
        <v>2420</v>
      </c>
      <c r="F828" s="1">
        <f t="shared" si="139"/>
        <v>8500</v>
      </c>
      <c r="H828" t="str">
        <f t="shared" si="141"/>
        <v>{cd,3000}</v>
      </c>
      <c r="I828" t="str">
        <f t="shared" si="142"/>
        <v>{hp,5880000}</v>
      </c>
      <c r="J828" t="str">
        <f t="shared" si="143"/>
        <v>{atk,2420}</v>
      </c>
      <c r="K828" t="str">
        <f t="shared" si="144"/>
        <v>{spd,8500}</v>
      </c>
      <c r="L828" t="str">
        <f t="shared" si="145"/>
        <v>{downCritDmg,5000},{resRate,2000}</v>
      </c>
      <c r="O828" t="str">
        <f t="shared" si="140"/>
        <v>[{cd,3000},{hp,5880000},{atk,2420},{spd,8500},{downCritDmg,5000},{resRate,2000}]</v>
      </c>
    </row>
    <row r="829" spans="1:15">
      <c r="A829">
        <f>Sheet1!E831</f>
        <v>121</v>
      </c>
      <c r="B829">
        <f t="shared" si="146"/>
        <v>166</v>
      </c>
      <c r="C829">
        <v>3000</v>
      </c>
      <c r="D829">
        <f>VLOOKUP(B829,[1]怪物!$N$34:$T$233,2,0)</f>
        <v>74500</v>
      </c>
      <c r="E829">
        <f>VLOOKUP(B829,[2]怪物!$N$134:$T$233,5,0)</f>
        <v>494</v>
      </c>
      <c r="F829" s="1">
        <f t="shared" si="139"/>
        <v>8500</v>
      </c>
      <c r="H829" t="str">
        <f t="shared" si="141"/>
        <v>{cd,3000}</v>
      </c>
      <c r="I829" t="str">
        <f t="shared" si="142"/>
        <v>{hp,74500}</v>
      </c>
      <c r="J829" t="str">
        <f t="shared" si="143"/>
        <v>{atk,494}</v>
      </c>
      <c r="K829" t="str">
        <f t="shared" si="144"/>
        <v>{spd,8500}</v>
      </c>
      <c r="L829" t="str">
        <f t="shared" si="145"/>
        <v>{firingDmgDown,5000}</v>
      </c>
      <c r="O829" t="str">
        <f t="shared" si="140"/>
        <v>[{cd,3000},{hp,74500},{atk,494},{spd,8500},{firingDmgDown,5000}]</v>
      </c>
    </row>
    <row r="830" spans="1:15">
      <c r="A830">
        <f>Sheet1!E832</f>
        <v>119</v>
      </c>
      <c r="B830">
        <f t="shared" si="146"/>
        <v>166</v>
      </c>
      <c r="C830">
        <v>3000</v>
      </c>
      <c r="D830">
        <f>VLOOKUP(B830,[1]怪物!$N$34:$T$233,3,0)</f>
        <v>89400</v>
      </c>
      <c r="E830">
        <f>VLOOKUP(B830,[2]怪物!$N$134:$T$233,6,0)</f>
        <v>593</v>
      </c>
      <c r="F830" s="1">
        <f t="shared" si="139"/>
        <v>8500</v>
      </c>
      <c r="H830" t="str">
        <f t="shared" si="141"/>
        <v>{cd,3000}</v>
      </c>
      <c r="I830" t="str">
        <f t="shared" si="142"/>
        <v>{hp,89400}</v>
      </c>
      <c r="J830" t="str">
        <f t="shared" si="143"/>
        <v>{atk,593}</v>
      </c>
      <c r="K830" t="str">
        <f t="shared" si="144"/>
        <v>{spd,8500}</v>
      </c>
      <c r="L830" t="str">
        <f t="shared" si="145"/>
        <v>{downUnderMagicAtk,5000}</v>
      </c>
      <c r="O830" t="str">
        <f t="shared" si="140"/>
        <v>[{cd,3000},{hp,89400},{atk,593},{spd,8500},{downUnderMagicAtk,5000}]</v>
      </c>
    </row>
    <row r="831" spans="1:15">
      <c r="A831">
        <f>Sheet1!E833</f>
        <v>118</v>
      </c>
      <c r="B831">
        <f t="shared" si="146"/>
        <v>166</v>
      </c>
      <c r="C831">
        <v>3000</v>
      </c>
      <c r="D831">
        <f>VLOOKUP(B831,[1]怪物!$N$34:$T$233,4,0)</f>
        <v>111750</v>
      </c>
      <c r="E831">
        <f>VLOOKUP(B831,[2]怪物!$N$134:$T$233,7,0)</f>
        <v>741</v>
      </c>
      <c r="F831" s="1">
        <f t="shared" si="139"/>
        <v>8500</v>
      </c>
      <c r="H831" t="str">
        <f t="shared" si="141"/>
        <v>{cd,3000}</v>
      </c>
      <c r="I831" t="str">
        <f t="shared" si="142"/>
        <v>{hp,111750}</v>
      </c>
      <c r="J831" t="str">
        <f t="shared" si="143"/>
        <v>{atk,741}</v>
      </c>
      <c r="K831" t="str">
        <f t="shared" si="144"/>
        <v>{spd,8500}</v>
      </c>
      <c r="L831" t="str">
        <f t="shared" si="145"/>
        <v/>
      </c>
      <c r="O831" t="str">
        <f t="shared" si="140"/>
        <v>[{cd,3000},{hp,111750},{atk,741},{spd,8500}]</v>
      </c>
    </row>
    <row r="832" spans="1:15">
      <c r="A832">
        <f>Sheet1!E834</f>
        <v>521</v>
      </c>
      <c r="B832">
        <f t="shared" si="146"/>
        <v>166</v>
      </c>
      <c r="C832">
        <v>3000</v>
      </c>
      <c r="D832">
        <f>VLOOKUP(B832,[1]怪物!$U$34:$Y$234,2,0)</f>
        <v>4470000</v>
      </c>
      <c r="E832">
        <f>VLOOKUP(B832,[2]怪物!$U$134:$Y$233,4,0)</f>
        <v>1235</v>
      </c>
      <c r="F832" s="1">
        <f t="shared" si="139"/>
        <v>8500</v>
      </c>
      <c r="H832" t="str">
        <f t="shared" si="141"/>
        <v>{cd,3000}</v>
      </c>
      <c r="I832" t="str">
        <f t="shared" si="142"/>
        <v>{hp,4470000}</v>
      </c>
      <c r="J832" t="str">
        <f t="shared" si="143"/>
        <v>{atk,1235}</v>
      </c>
      <c r="K832" t="str">
        <f t="shared" si="144"/>
        <v>{spd,8500}</v>
      </c>
      <c r="L832" t="str">
        <f t="shared" si="145"/>
        <v>{firingDmgDown,5000}</v>
      </c>
      <c r="O832" t="str">
        <f t="shared" si="140"/>
        <v>[{cd,3000},{hp,4470000},{atk,1235},{spd,8500},{firingDmgDown,5000}]</v>
      </c>
    </row>
    <row r="833" spans="1:15">
      <c r="A833">
        <f>Sheet1!E835</f>
        <v>521</v>
      </c>
      <c r="B833">
        <f t="shared" si="146"/>
        <v>166</v>
      </c>
      <c r="C833">
        <v>3000</v>
      </c>
      <c r="D833">
        <f>VLOOKUP(B833,[1]怪物!$U$34:$Y$234,3,0)</f>
        <v>5960000</v>
      </c>
      <c r="E833">
        <f>VLOOKUP(B833,[2]怪物!$U$134:$Y$233,5,0)</f>
        <v>2470</v>
      </c>
      <c r="F833" s="1">
        <f t="shared" si="139"/>
        <v>8500</v>
      </c>
      <c r="H833" t="str">
        <f t="shared" si="141"/>
        <v>{cd,3000}</v>
      </c>
      <c r="I833" t="str">
        <f t="shared" si="142"/>
        <v>{hp,5960000}</v>
      </c>
      <c r="J833" t="str">
        <f t="shared" si="143"/>
        <v>{atk,2470}</v>
      </c>
      <c r="K833" t="str">
        <f t="shared" si="144"/>
        <v>{spd,8500}</v>
      </c>
      <c r="L833" t="str">
        <f t="shared" si="145"/>
        <v>{firingDmgDown,5000}</v>
      </c>
      <c r="O833" t="str">
        <f t="shared" si="140"/>
        <v>[{cd,3000},{hp,5960000},{atk,2470},{spd,8500},{firingDmgDown,5000}]</v>
      </c>
    </row>
    <row r="834" spans="1:15">
      <c r="A834">
        <f>Sheet1!E836</f>
        <v>122</v>
      </c>
      <c r="B834">
        <f t="shared" si="146"/>
        <v>167</v>
      </c>
      <c r="C834">
        <v>3000</v>
      </c>
      <c r="D834">
        <f>VLOOKUP(B834,[1]怪物!$N$34:$T$233,2,0)</f>
        <v>75700</v>
      </c>
      <c r="E834">
        <f>VLOOKUP(B834,[2]怪物!$N$134:$T$233,5,0)</f>
        <v>504</v>
      </c>
      <c r="F834" s="1">
        <f t="shared" si="139"/>
        <v>8500</v>
      </c>
      <c r="H834" t="str">
        <f t="shared" si="141"/>
        <v>{cd,3000}</v>
      </c>
      <c r="I834" t="str">
        <f t="shared" si="142"/>
        <v>{hp,75700}</v>
      </c>
      <c r="J834" t="str">
        <f t="shared" si="143"/>
        <v>{atk,504}</v>
      </c>
      <c r="K834" t="str">
        <f t="shared" si="144"/>
        <v>{spd,8500}</v>
      </c>
      <c r="L834" t="str">
        <f t="shared" si="145"/>
        <v/>
      </c>
      <c r="O834" t="str">
        <f t="shared" si="140"/>
        <v>[{cd,3000},{hp,75700},{atk,504},{spd,8500}]</v>
      </c>
    </row>
    <row r="835" spans="1:15">
      <c r="A835">
        <f>Sheet1!E837</f>
        <v>123</v>
      </c>
      <c r="B835">
        <f t="shared" si="146"/>
        <v>167</v>
      </c>
      <c r="C835">
        <v>3000</v>
      </c>
      <c r="D835">
        <f>VLOOKUP(B835,[1]怪物!$N$34:$T$233,3,0)</f>
        <v>90840</v>
      </c>
      <c r="E835">
        <f>VLOOKUP(B835,[2]怪物!$N$134:$T$233,6,0)</f>
        <v>605</v>
      </c>
      <c r="F835" s="1">
        <f t="shared" si="139"/>
        <v>8500</v>
      </c>
      <c r="H835" t="str">
        <f t="shared" si="141"/>
        <v>{cd,3000}</v>
      </c>
      <c r="I835" t="str">
        <f t="shared" si="142"/>
        <v>{hp,90840}</v>
      </c>
      <c r="J835" t="str">
        <f t="shared" si="143"/>
        <v>{atk,605}</v>
      </c>
      <c r="K835" t="str">
        <f t="shared" si="144"/>
        <v>{spd,8500}</v>
      </c>
      <c r="L835" t="str">
        <f t="shared" si="145"/>
        <v/>
      </c>
      <c r="O835" t="str">
        <f t="shared" si="140"/>
        <v>[{cd,3000},{hp,90840},{atk,605},{spd,8500}]</v>
      </c>
    </row>
    <row r="836" spans="1:15">
      <c r="A836">
        <f>Sheet1!E838</f>
        <v>125</v>
      </c>
      <c r="B836">
        <f t="shared" si="146"/>
        <v>167</v>
      </c>
      <c r="C836">
        <v>3000</v>
      </c>
      <c r="D836">
        <f>VLOOKUP(B836,[1]怪物!$N$34:$T$233,4,0)</f>
        <v>113550</v>
      </c>
      <c r="E836">
        <f>VLOOKUP(B836,[2]怪物!$N$134:$T$233,7,0)</f>
        <v>756</v>
      </c>
      <c r="F836" s="1">
        <f t="shared" si="139"/>
        <v>8500</v>
      </c>
      <c r="H836" t="str">
        <f t="shared" si="141"/>
        <v>{cd,3000}</v>
      </c>
      <c r="I836" t="str">
        <f t="shared" si="142"/>
        <v>{hp,113550}</v>
      </c>
      <c r="J836" t="str">
        <f t="shared" si="143"/>
        <v>{atk,756}</v>
      </c>
      <c r="K836" t="str">
        <f t="shared" si="144"/>
        <v>{spd,8500}</v>
      </c>
      <c r="L836" t="str">
        <f t="shared" si="145"/>
        <v/>
      </c>
      <c r="O836" t="str">
        <f t="shared" si="140"/>
        <v>[{cd,3000},{hp,113550},{atk,756},{spd,8500}]</v>
      </c>
    </row>
    <row r="837" spans="1:15">
      <c r="A837">
        <f>Sheet1!E839</f>
        <v>522</v>
      </c>
      <c r="B837">
        <f t="shared" si="146"/>
        <v>167</v>
      </c>
      <c r="C837">
        <v>3000</v>
      </c>
      <c r="D837">
        <f>VLOOKUP(B837,[1]怪物!$U$34:$Y$234,2,0)</f>
        <v>4542000</v>
      </c>
      <c r="E837">
        <f>VLOOKUP(B837,[2]怪物!$U$134:$Y$233,4,0)</f>
        <v>1260</v>
      </c>
      <c r="F837" s="1">
        <f t="shared" ref="F837:F900" si="147">VLOOKUP(A837,$W:$AB,6,0)</f>
        <v>8500</v>
      </c>
      <c r="H837" t="str">
        <f t="shared" si="141"/>
        <v>{cd,3000}</v>
      </c>
      <c r="I837" t="str">
        <f t="shared" si="142"/>
        <v>{hp,4542000}</v>
      </c>
      <c r="J837" t="str">
        <f t="shared" si="143"/>
        <v>{atk,1260}</v>
      </c>
      <c r="K837" t="str">
        <f t="shared" si="144"/>
        <v>{spd,8500}</v>
      </c>
      <c r="L837" t="str">
        <f t="shared" si="145"/>
        <v/>
      </c>
      <c r="O837" t="str">
        <f t="shared" ref="O837:O900" si="148">"["&amp;_xlfn.TEXTJOIN(",",1,H837:M837)&amp;"]"</f>
        <v>[{cd,3000},{hp,4542000},{atk,1260},{spd,8500}]</v>
      </c>
    </row>
    <row r="838" spans="1:15">
      <c r="A838">
        <f>Sheet1!E840</f>
        <v>522</v>
      </c>
      <c r="B838">
        <f t="shared" si="146"/>
        <v>167</v>
      </c>
      <c r="C838">
        <v>3000</v>
      </c>
      <c r="D838">
        <f>VLOOKUP(B838,[1]怪物!$U$34:$Y$234,3,0)</f>
        <v>6056000</v>
      </c>
      <c r="E838">
        <f>VLOOKUP(B838,[2]怪物!$U$134:$Y$233,5,0)</f>
        <v>2520</v>
      </c>
      <c r="F838" s="1">
        <f t="shared" si="147"/>
        <v>8500</v>
      </c>
      <c r="H838" t="str">
        <f t="shared" si="141"/>
        <v>{cd,3000}</v>
      </c>
      <c r="I838" t="str">
        <f t="shared" si="142"/>
        <v>{hp,6056000}</v>
      </c>
      <c r="J838" t="str">
        <f t="shared" si="143"/>
        <v>{atk,2520}</v>
      </c>
      <c r="K838" t="str">
        <f t="shared" si="144"/>
        <v>{spd,8500}</v>
      </c>
      <c r="L838" t="str">
        <f t="shared" si="145"/>
        <v/>
      </c>
      <c r="O838" t="str">
        <f t="shared" si="148"/>
        <v>[{cd,3000},{hp,6056000},{atk,2520},{spd,8500}]</v>
      </c>
    </row>
    <row r="839" spans="1:15">
      <c r="A839">
        <f>Sheet1!E841</f>
        <v>121</v>
      </c>
      <c r="B839">
        <f t="shared" si="146"/>
        <v>168</v>
      </c>
      <c r="C839">
        <v>3000</v>
      </c>
      <c r="D839">
        <f>VLOOKUP(B839,[1]怪物!$N$34:$T$233,2,0)</f>
        <v>77100</v>
      </c>
      <c r="E839">
        <f>VLOOKUP(B839,[2]怪物!$N$134:$T$233,5,0)</f>
        <v>514</v>
      </c>
      <c r="F839" s="1">
        <f t="shared" si="147"/>
        <v>8500</v>
      </c>
      <c r="H839" t="str">
        <f t="shared" si="141"/>
        <v>{cd,3000}</v>
      </c>
      <c r="I839" t="str">
        <f t="shared" si="142"/>
        <v>{hp,77100}</v>
      </c>
      <c r="J839" t="str">
        <f t="shared" si="143"/>
        <v>{atk,514}</v>
      </c>
      <c r="K839" t="str">
        <f t="shared" si="144"/>
        <v>{spd,8500}</v>
      </c>
      <c r="L839" t="str">
        <f t="shared" si="145"/>
        <v>{firingDmgDown,5000}</v>
      </c>
      <c r="O839" t="str">
        <f t="shared" si="148"/>
        <v>[{cd,3000},{hp,77100},{atk,514},{spd,8500},{firingDmgDown,5000}]</v>
      </c>
    </row>
    <row r="840" spans="1:15">
      <c r="A840">
        <f>Sheet1!E842</f>
        <v>122</v>
      </c>
      <c r="B840">
        <f t="shared" si="146"/>
        <v>168</v>
      </c>
      <c r="C840">
        <v>3000</v>
      </c>
      <c r="D840">
        <f>VLOOKUP(B840,[1]怪物!$N$34:$T$233,3,0)</f>
        <v>92520</v>
      </c>
      <c r="E840">
        <f>VLOOKUP(B840,[2]怪物!$N$134:$T$233,6,0)</f>
        <v>617</v>
      </c>
      <c r="F840" s="1">
        <f t="shared" si="147"/>
        <v>8500</v>
      </c>
      <c r="H840" t="str">
        <f t="shared" si="141"/>
        <v>{cd,3000}</v>
      </c>
      <c r="I840" t="str">
        <f t="shared" si="142"/>
        <v>{hp,92520}</v>
      </c>
      <c r="J840" t="str">
        <f t="shared" si="143"/>
        <v>{atk,617}</v>
      </c>
      <c r="K840" t="str">
        <f t="shared" si="144"/>
        <v>{spd,8500}</v>
      </c>
      <c r="L840" t="str">
        <f t="shared" si="145"/>
        <v/>
      </c>
      <c r="O840" t="str">
        <f t="shared" si="148"/>
        <v>[{cd,3000},{hp,92520},{atk,617},{spd,8500}]</v>
      </c>
    </row>
    <row r="841" spans="1:15">
      <c r="A841">
        <f>Sheet1!E843</f>
        <v>126</v>
      </c>
      <c r="B841">
        <f t="shared" si="146"/>
        <v>168</v>
      </c>
      <c r="C841">
        <v>3000</v>
      </c>
      <c r="D841">
        <f>VLOOKUP(B841,[1]怪物!$N$34:$T$233,4,0)</f>
        <v>115650</v>
      </c>
      <c r="E841">
        <f>VLOOKUP(B841,[2]怪物!$N$134:$T$233,7,0)</f>
        <v>771</v>
      </c>
      <c r="F841" s="1">
        <f t="shared" si="147"/>
        <v>8500</v>
      </c>
      <c r="H841" t="str">
        <f t="shared" si="141"/>
        <v>{cd,3000}</v>
      </c>
      <c r="I841" t="str">
        <f t="shared" si="142"/>
        <v>{hp,115650}</v>
      </c>
      <c r="J841" t="str">
        <f t="shared" si="143"/>
        <v>{atk,771}</v>
      </c>
      <c r="K841" t="str">
        <f t="shared" si="144"/>
        <v>{spd,8500}</v>
      </c>
      <c r="L841" t="str">
        <f t="shared" si="145"/>
        <v>{miss,1500}</v>
      </c>
      <c r="O841" t="str">
        <f t="shared" si="148"/>
        <v>[{cd,3000},{hp,115650},{atk,771},{spd,8500},{miss,1500}]</v>
      </c>
    </row>
    <row r="842" spans="1:15">
      <c r="A842">
        <f>Sheet1!E844</f>
        <v>521</v>
      </c>
      <c r="B842">
        <f t="shared" si="146"/>
        <v>168</v>
      </c>
      <c r="C842">
        <v>3000</v>
      </c>
      <c r="D842">
        <f>VLOOKUP(B842,[1]怪物!$U$34:$Y$234,2,0)</f>
        <v>4626000</v>
      </c>
      <c r="E842">
        <f>VLOOKUP(B842,[2]怪物!$U$134:$Y$233,4,0)</f>
        <v>1285</v>
      </c>
      <c r="F842" s="1">
        <f t="shared" si="147"/>
        <v>8500</v>
      </c>
      <c r="H842" t="str">
        <f t="shared" si="141"/>
        <v>{cd,3000}</v>
      </c>
      <c r="I842" t="str">
        <f t="shared" si="142"/>
        <v>{hp,4626000}</v>
      </c>
      <c r="J842" t="str">
        <f t="shared" si="143"/>
        <v>{atk,1285}</v>
      </c>
      <c r="K842" t="str">
        <f t="shared" si="144"/>
        <v>{spd,8500}</v>
      </c>
      <c r="L842" t="str">
        <f t="shared" si="145"/>
        <v>{firingDmgDown,5000}</v>
      </c>
      <c r="O842" t="str">
        <f t="shared" si="148"/>
        <v>[{cd,3000},{hp,4626000},{atk,1285},{spd,8500},{firingDmgDown,5000}]</v>
      </c>
    </row>
    <row r="843" spans="1:15">
      <c r="A843">
        <f>Sheet1!E845</f>
        <v>521</v>
      </c>
      <c r="B843">
        <f t="shared" si="146"/>
        <v>168</v>
      </c>
      <c r="C843">
        <v>3000</v>
      </c>
      <c r="D843">
        <f>VLOOKUP(B843,[1]怪物!$U$34:$Y$234,3,0)</f>
        <v>6168000</v>
      </c>
      <c r="E843">
        <f>VLOOKUP(B843,[2]怪物!$U$134:$Y$233,5,0)</f>
        <v>2570</v>
      </c>
      <c r="F843" s="1">
        <f t="shared" si="147"/>
        <v>8500</v>
      </c>
      <c r="H843" t="str">
        <f t="shared" si="141"/>
        <v>{cd,3000}</v>
      </c>
      <c r="I843" t="str">
        <f t="shared" si="142"/>
        <v>{hp,6168000}</v>
      </c>
      <c r="J843" t="str">
        <f t="shared" si="143"/>
        <v>{atk,2570}</v>
      </c>
      <c r="K843" t="str">
        <f t="shared" si="144"/>
        <v>{spd,8500}</v>
      </c>
      <c r="L843" t="str">
        <f t="shared" si="145"/>
        <v>{firingDmgDown,5000}</v>
      </c>
      <c r="O843" t="str">
        <f t="shared" si="148"/>
        <v>[{cd,3000},{hp,6168000},{atk,2570},{spd,8500},{firingDmgDown,5000}]</v>
      </c>
    </row>
    <row r="844" spans="1:15">
      <c r="A844">
        <f>Sheet1!E846</f>
        <v>114</v>
      </c>
      <c r="B844">
        <f t="shared" si="146"/>
        <v>169</v>
      </c>
      <c r="C844">
        <v>3000</v>
      </c>
      <c r="D844">
        <f>VLOOKUP(B844,[1]怪物!$N$34:$T$233,2,0)</f>
        <v>78700</v>
      </c>
      <c r="E844">
        <f>VLOOKUP(B844,[2]怪物!$N$134:$T$233,5,0)</f>
        <v>524</v>
      </c>
      <c r="F844" s="1">
        <f t="shared" si="147"/>
        <v>8500</v>
      </c>
      <c r="H844" t="str">
        <f t="shared" si="141"/>
        <v>{cd,3000}</v>
      </c>
      <c r="I844" t="str">
        <f t="shared" si="142"/>
        <v>{hp,78700}</v>
      </c>
      <c r="J844" t="str">
        <f t="shared" si="143"/>
        <v>{atk,524}</v>
      </c>
      <c r="K844" t="str">
        <f t="shared" si="144"/>
        <v>{spd,8500}</v>
      </c>
      <c r="L844" t="str">
        <f t="shared" si="145"/>
        <v/>
      </c>
      <c r="O844" t="str">
        <f t="shared" si="148"/>
        <v>[{cd,3000},{hp,78700},{atk,524},{spd,8500}]</v>
      </c>
    </row>
    <row r="845" spans="1:15">
      <c r="A845">
        <f>Sheet1!E847</f>
        <v>127</v>
      </c>
      <c r="B845">
        <f t="shared" si="146"/>
        <v>169</v>
      </c>
      <c r="C845">
        <v>3000</v>
      </c>
      <c r="D845">
        <f>VLOOKUP(B845,[1]怪物!$N$34:$T$233,3,0)</f>
        <v>94440</v>
      </c>
      <c r="E845">
        <f>VLOOKUP(B845,[2]怪物!$N$134:$T$233,6,0)</f>
        <v>629</v>
      </c>
      <c r="F845" s="1">
        <f t="shared" si="147"/>
        <v>8500</v>
      </c>
      <c r="H845" t="str">
        <f t="shared" si="141"/>
        <v>{cd,3000}</v>
      </c>
      <c r="I845" t="str">
        <f t="shared" si="142"/>
        <v>{hp,94440}</v>
      </c>
      <c r="J845" t="str">
        <f t="shared" si="143"/>
        <v>{atk,629}</v>
      </c>
      <c r="K845" t="str">
        <f t="shared" si="144"/>
        <v>{spd,8500}</v>
      </c>
      <c r="L845" t="str">
        <f t="shared" si="145"/>
        <v/>
      </c>
      <c r="O845" t="str">
        <f t="shared" si="148"/>
        <v>[{cd,3000},{hp,94440},{atk,629},{spd,8500}]</v>
      </c>
    </row>
    <row r="846" spans="1:15">
      <c r="A846">
        <f>Sheet1!E848</f>
        <v>128</v>
      </c>
      <c r="B846">
        <f t="shared" si="146"/>
        <v>169</v>
      </c>
      <c r="C846">
        <v>3000</v>
      </c>
      <c r="D846">
        <f>VLOOKUP(B846,[1]怪物!$N$34:$T$233,4,0)</f>
        <v>118050</v>
      </c>
      <c r="E846">
        <f>VLOOKUP(B846,[2]怪物!$N$134:$T$233,7,0)</f>
        <v>786</v>
      </c>
      <c r="F846" s="1">
        <f t="shared" si="147"/>
        <v>8500</v>
      </c>
      <c r="H846" t="str">
        <f t="shared" si="141"/>
        <v>{cd,3000}</v>
      </c>
      <c r="I846" t="str">
        <f t="shared" si="142"/>
        <v>{hp,118050}</v>
      </c>
      <c r="J846" t="str">
        <f t="shared" si="143"/>
        <v>{atk,786}</v>
      </c>
      <c r="K846" t="str">
        <f t="shared" si="144"/>
        <v>{spd,8500}</v>
      </c>
      <c r="L846" t="str">
        <f t="shared" si="145"/>
        <v>{upUnderPhAtk,8000}</v>
      </c>
      <c r="O846" t="str">
        <f t="shared" si="148"/>
        <v>[{cd,3000},{hp,118050},{atk,786},{spd,8500},{upUnderPhAtk,8000}]</v>
      </c>
    </row>
    <row r="847" spans="1:15">
      <c r="A847">
        <f>Sheet1!E849</f>
        <v>514</v>
      </c>
      <c r="B847">
        <f t="shared" si="146"/>
        <v>169</v>
      </c>
      <c r="C847">
        <v>3000</v>
      </c>
      <c r="D847">
        <f>VLOOKUP(B847,[1]怪物!$U$34:$Y$234,2,0)</f>
        <v>4722000</v>
      </c>
      <c r="E847">
        <f>VLOOKUP(B847,[2]怪物!$U$134:$Y$233,4,0)</f>
        <v>1310</v>
      </c>
      <c r="F847" s="1">
        <f t="shared" si="147"/>
        <v>8500</v>
      </c>
      <c r="H847" t="str">
        <f t="shared" si="141"/>
        <v>{cd,3000}</v>
      </c>
      <c r="I847" t="str">
        <f t="shared" si="142"/>
        <v>{hp,4722000}</v>
      </c>
      <c r="J847" t="str">
        <f t="shared" si="143"/>
        <v>{atk,1310}</v>
      </c>
      <c r="K847" t="str">
        <f t="shared" si="144"/>
        <v>{spd,8500}</v>
      </c>
      <c r="L847" t="str">
        <f t="shared" si="145"/>
        <v/>
      </c>
      <c r="O847" t="str">
        <f t="shared" si="148"/>
        <v>[{cd,3000},{hp,4722000},{atk,1310},{spd,8500}]</v>
      </c>
    </row>
    <row r="848" spans="1:15">
      <c r="A848">
        <f>Sheet1!E850</f>
        <v>514</v>
      </c>
      <c r="B848">
        <f t="shared" si="146"/>
        <v>169</v>
      </c>
      <c r="C848">
        <v>3000</v>
      </c>
      <c r="D848">
        <f>VLOOKUP(B848,[1]怪物!$U$34:$Y$234,3,0)</f>
        <v>6296000</v>
      </c>
      <c r="E848">
        <f>VLOOKUP(B848,[2]怪物!$U$134:$Y$233,5,0)</f>
        <v>2620</v>
      </c>
      <c r="F848" s="1">
        <f t="shared" si="147"/>
        <v>8500</v>
      </c>
      <c r="H848" t="str">
        <f t="shared" si="141"/>
        <v>{cd,3000}</v>
      </c>
      <c r="I848" t="str">
        <f t="shared" si="142"/>
        <v>{hp,6296000}</v>
      </c>
      <c r="J848" t="str">
        <f t="shared" si="143"/>
        <v>{atk,2620}</v>
      </c>
      <c r="K848" t="str">
        <f t="shared" si="144"/>
        <v>{spd,8500}</v>
      </c>
      <c r="L848" t="str">
        <f t="shared" si="145"/>
        <v/>
      </c>
      <c r="O848" t="str">
        <f t="shared" si="148"/>
        <v>[{cd,3000},{hp,6296000},{atk,2620},{spd,8500}]</v>
      </c>
    </row>
    <row r="849" spans="1:15">
      <c r="A849">
        <f>Sheet1!E851</f>
        <v>100</v>
      </c>
      <c r="B849">
        <f t="shared" si="146"/>
        <v>170</v>
      </c>
      <c r="C849">
        <v>3000</v>
      </c>
      <c r="D849">
        <f>VLOOKUP(B849,[1]怪物!$N$34:$T$233,2,0)</f>
        <v>81200</v>
      </c>
      <c r="E849">
        <f>VLOOKUP(B849,[2]怪物!$N$134:$T$233,5,0)</f>
        <v>580</v>
      </c>
      <c r="F849" s="1">
        <f t="shared" si="147"/>
        <v>8500</v>
      </c>
      <c r="H849" t="str">
        <f t="shared" si="141"/>
        <v>{cd,3000}</v>
      </c>
      <c r="I849" t="str">
        <f t="shared" si="142"/>
        <v>{hp,81200}</v>
      </c>
      <c r="J849" t="str">
        <f t="shared" si="143"/>
        <v>{atk,580}</v>
      </c>
      <c r="K849" t="str">
        <f t="shared" si="144"/>
        <v>{spd,8500}</v>
      </c>
      <c r="L849" t="str">
        <f t="shared" si="145"/>
        <v/>
      </c>
      <c r="O849" t="str">
        <f t="shared" si="148"/>
        <v>[{cd,3000},{hp,81200},{atk,580},{spd,8500}]</v>
      </c>
    </row>
    <row r="850" spans="1:15">
      <c r="A850">
        <f>Sheet1!E852</f>
        <v>102</v>
      </c>
      <c r="B850">
        <f t="shared" si="146"/>
        <v>170</v>
      </c>
      <c r="C850">
        <v>3000</v>
      </c>
      <c r="D850">
        <f>VLOOKUP(B850,[1]怪物!$N$34:$T$233,3,0)</f>
        <v>97440</v>
      </c>
      <c r="E850">
        <f>VLOOKUP(B850,[2]怪物!$N$134:$T$233,6,0)</f>
        <v>696</v>
      </c>
      <c r="F850" s="1">
        <f t="shared" si="147"/>
        <v>8500</v>
      </c>
      <c r="H850" t="str">
        <f t="shared" si="141"/>
        <v>{cd,3000}</v>
      </c>
      <c r="I850" t="str">
        <f t="shared" si="142"/>
        <v>{hp,97440}</v>
      </c>
      <c r="J850" t="str">
        <f t="shared" si="143"/>
        <v>{atk,696}</v>
      </c>
      <c r="K850" t="str">
        <f t="shared" si="144"/>
        <v>{spd,8500}</v>
      </c>
      <c r="L850" t="str">
        <f t="shared" si="145"/>
        <v/>
      </c>
      <c r="O850" t="str">
        <f t="shared" si="148"/>
        <v>[{cd,3000},{hp,97440},{atk,696},{spd,8500}]</v>
      </c>
    </row>
    <row r="851" spans="1:15">
      <c r="A851">
        <f>Sheet1!E853</f>
        <v>105</v>
      </c>
      <c r="B851">
        <f t="shared" si="146"/>
        <v>170</v>
      </c>
      <c r="C851">
        <v>3000</v>
      </c>
      <c r="D851">
        <f>VLOOKUP(B851,[1]怪物!$N$34:$T$233,4,0)</f>
        <v>121800</v>
      </c>
      <c r="E851">
        <f>VLOOKUP(B851,[2]怪物!$N$134:$T$233,7,0)</f>
        <v>870</v>
      </c>
      <c r="F851" s="1">
        <f t="shared" si="147"/>
        <v>8500</v>
      </c>
      <c r="H851" t="str">
        <f t="shared" si="141"/>
        <v>{cd,3000}</v>
      </c>
      <c r="I851" t="str">
        <f t="shared" si="142"/>
        <v>{hp,121800}</v>
      </c>
      <c r="J851" t="str">
        <f t="shared" si="143"/>
        <v>{atk,870}</v>
      </c>
      <c r="K851" t="str">
        <f t="shared" si="144"/>
        <v>{spd,8500}</v>
      </c>
      <c r="L851" t="str">
        <f t="shared" si="145"/>
        <v/>
      </c>
      <c r="O851" t="str">
        <f t="shared" si="148"/>
        <v>[{cd,3000},{hp,121800},{atk,870},{spd,8500}]</v>
      </c>
    </row>
    <row r="852" spans="1:15">
      <c r="A852">
        <f>Sheet1!E854</f>
        <v>502</v>
      </c>
      <c r="B852">
        <f t="shared" si="146"/>
        <v>170</v>
      </c>
      <c r="C852">
        <v>3000</v>
      </c>
      <c r="D852">
        <f>VLOOKUP(B852,[1]怪物!$U$34:$Y$234,2,0)</f>
        <v>4872000</v>
      </c>
      <c r="E852">
        <f>VLOOKUP(B852,[2]怪物!$U$134:$Y$233,4,0)</f>
        <v>1450</v>
      </c>
      <c r="F852" s="1">
        <f t="shared" si="147"/>
        <v>8500</v>
      </c>
      <c r="H852" t="str">
        <f t="shared" si="141"/>
        <v>{cd,3000}</v>
      </c>
      <c r="I852" t="str">
        <f t="shared" si="142"/>
        <v>{hp,4872000}</v>
      </c>
      <c r="J852" t="str">
        <f t="shared" si="143"/>
        <v>{atk,1450}</v>
      </c>
      <c r="K852" t="str">
        <f t="shared" si="144"/>
        <v>{spd,8500}</v>
      </c>
      <c r="L852" t="str">
        <f t="shared" si="145"/>
        <v/>
      </c>
      <c r="O852" t="str">
        <f t="shared" si="148"/>
        <v>[{cd,3000},{hp,4872000},{atk,1450},{spd,8500}]</v>
      </c>
    </row>
    <row r="853" spans="1:15">
      <c r="A853">
        <f>Sheet1!E855</f>
        <v>500</v>
      </c>
      <c r="B853">
        <f t="shared" si="146"/>
        <v>170</v>
      </c>
      <c r="C853">
        <v>3000</v>
      </c>
      <c r="D853">
        <f>VLOOKUP(B853,[1]怪物!$U$34:$Y$234,3,0)</f>
        <v>6496000</v>
      </c>
      <c r="E853">
        <f>VLOOKUP(B853,[2]怪物!$U$134:$Y$233,5,0)</f>
        <v>2900</v>
      </c>
      <c r="F853" s="1">
        <f t="shared" si="147"/>
        <v>8500</v>
      </c>
      <c r="H853" t="str">
        <f t="shared" si="141"/>
        <v>{cd,3000}</v>
      </c>
      <c r="I853" t="str">
        <f t="shared" si="142"/>
        <v>{hp,6496000}</v>
      </c>
      <c r="J853" t="str">
        <f t="shared" si="143"/>
        <v>{atk,2900}</v>
      </c>
      <c r="K853" t="str">
        <f t="shared" si="144"/>
        <v>{spd,8500}</v>
      </c>
      <c r="L853" t="str">
        <f t="shared" si="145"/>
        <v/>
      </c>
      <c r="O853" t="str">
        <f t="shared" si="148"/>
        <v>[{cd,3000},{hp,6496000},{atk,2900},{spd,8500}]</v>
      </c>
    </row>
    <row r="854" spans="1:15">
      <c r="A854">
        <f>Sheet1!E856</f>
        <v>125</v>
      </c>
      <c r="B854">
        <f t="shared" si="146"/>
        <v>171</v>
      </c>
      <c r="C854">
        <v>3000</v>
      </c>
      <c r="D854">
        <f>VLOOKUP(B854,[1]怪物!$N$34:$T$233,2,0)</f>
        <v>79500</v>
      </c>
      <c r="E854">
        <f>VLOOKUP(B854,[2]怪物!$N$134:$T$233,5,0)</f>
        <v>534</v>
      </c>
      <c r="F854" s="1">
        <f t="shared" si="147"/>
        <v>8500</v>
      </c>
      <c r="H854" t="str">
        <f t="shared" ref="H854:H917" si="149">$C$2&amp;C$3&amp;$D$2&amp;C854&amp;$E$2</f>
        <v>{cd,3000}</v>
      </c>
      <c r="I854" t="str">
        <f t="shared" ref="I854:I917" si="150">$C$2&amp;D$3&amp;$D$2&amp;D854&amp;$E$2</f>
        <v>{hp,79500}</v>
      </c>
      <c r="J854" t="str">
        <f t="shared" ref="J854:J917" si="151">$C$2&amp;E$3&amp;$D$2&amp;E854&amp;$E$2</f>
        <v>{atk,534}</v>
      </c>
      <c r="K854" t="str">
        <f t="shared" ref="K854:K917" si="152">$C$2&amp;F$3&amp;$D$2&amp;F854&amp;$E$2</f>
        <v>{spd,8500}</v>
      </c>
      <c r="L854" t="str">
        <f t="shared" ref="L854:L917" si="153">IF(VLOOKUP(A854,$W:$AC,7,0)=0,"",VLOOKUP(A854,$W:$AC,7,0))</f>
        <v/>
      </c>
      <c r="O854" t="str">
        <f t="shared" si="148"/>
        <v>[{cd,3000},{hp,79500},{atk,534},{spd,8500}]</v>
      </c>
    </row>
    <row r="855" spans="1:15">
      <c r="A855">
        <f>Sheet1!E857</f>
        <v>127</v>
      </c>
      <c r="B855">
        <f t="shared" si="146"/>
        <v>171</v>
      </c>
      <c r="C855">
        <v>3000</v>
      </c>
      <c r="D855">
        <f>VLOOKUP(B855,[1]怪物!$N$34:$T$233,3,0)</f>
        <v>95400</v>
      </c>
      <c r="E855">
        <f>VLOOKUP(B855,[2]怪物!$N$134:$T$233,6,0)</f>
        <v>641</v>
      </c>
      <c r="F855" s="1">
        <f t="shared" si="147"/>
        <v>8500</v>
      </c>
      <c r="H855" t="str">
        <f t="shared" si="149"/>
        <v>{cd,3000}</v>
      </c>
      <c r="I855" t="str">
        <f t="shared" si="150"/>
        <v>{hp,95400}</v>
      </c>
      <c r="J855" t="str">
        <f t="shared" si="151"/>
        <v>{atk,641}</v>
      </c>
      <c r="K855" t="str">
        <f t="shared" si="152"/>
        <v>{spd,8500}</v>
      </c>
      <c r="L855" t="str">
        <f t="shared" si="153"/>
        <v/>
      </c>
      <c r="O855" t="str">
        <f t="shared" si="148"/>
        <v>[{cd,3000},{hp,95400},{atk,641},{spd,8500}]</v>
      </c>
    </row>
    <row r="856" spans="1:15">
      <c r="A856">
        <f>Sheet1!E858</f>
        <v>126</v>
      </c>
      <c r="B856">
        <f t="shared" si="146"/>
        <v>171</v>
      </c>
      <c r="C856">
        <v>3000</v>
      </c>
      <c r="D856">
        <f>VLOOKUP(B856,[1]怪物!$N$34:$T$233,4,0)</f>
        <v>119250</v>
      </c>
      <c r="E856">
        <f>VLOOKUP(B856,[2]怪物!$N$134:$T$233,7,0)</f>
        <v>801</v>
      </c>
      <c r="F856" s="1">
        <f t="shared" si="147"/>
        <v>8500</v>
      </c>
      <c r="H856" t="str">
        <f t="shared" si="149"/>
        <v>{cd,3000}</v>
      </c>
      <c r="I856" t="str">
        <f t="shared" si="150"/>
        <v>{hp,119250}</v>
      </c>
      <c r="J856" t="str">
        <f t="shared" si="151"/>
        <v>{atk,801}</v>
      </c>
      <c r="K856" t="str">
        <f t="shared" si="152"/>
        <v>{spd,8500}</v>
      </c>
      <c r="L856" t="str">
        <f t="shared" si="153"/>
        <v>{miss,1500}</v>
      </c>
      <c r="O856" t="str">
        <f t="shared" si="148"/>
        <v>[{cd,3000},{hp,119250},{atk,801},{spd,8500},{miss,1500}]</v>
      </c>
    </row>
    <row r="857" spans="1:15">
      <c r="A857">
        <f>Sheet1!E859</f>
        <v>527</v>
      </c>
      <c r="B857">
        <f t="shared" si="146"/>
        <v>171</v>
      </c>
      <c r="C857">
        <v>3000</v>
      </c>
      <c r="D857">
        <f>VLOOKUP(B857,[1]怪物!$U$34:$Y$234,2,0)</f>
        <v>4770000</v>
      </c>
      <c r="E857">
        <f>VLOOKUP(B857,[2]怪物!$U$134:$Y$233,4,0)</f>
        <v>2003</v>
      </c>
      <c r="F857" s="1">
        <f t="shared" si="147"/>
        <v>8500</v>
      </c>
      <c r="H857" t="str">
        <f t="shared" si="149"/>
        <v>{cd,3000}</v>
      </c>
      <c r="I857" t="str">
        <f t="shared" si="150"/>
        <v>{hp,4770000}</v>
      </c>
      <c r="J857" t="str">
        <f t="shared" si="151"/>
        <v>{atk,2003}</v>
      </c>
      <c r="K857" t="str">
        <f t="shared" si="152"/>
        <v>{spd,8500}</v>
      </c>
      <c r="L857" t="str">
        <f t="shared" si="153"/>
        <v/>
      </c>
      <c r="O857" t="str">
        <f t="shared" si="148"/>
        <v>[{cd,3000},{hp,4770000},{atk,2003},{spd,8500}]</v>
      </c>
    </row>
    <row r="858" spans="1:15">
      <c r="A858">
        <f>Sheet1!E860</f>
        <v>527</v>
      </c>
      <c r="B858">
        <f t="shared" si="146"/>
        <v>171</v>
      </c>
      <c r="C858">
        <v>3000</v>
      </c>
      <c r="D858">
        <f>VLOOKUP(B858,[1]怪物!$U$34:$Y$234,3,0)</f>
        <v>6360000</v>
      </c>
      <c r="E858">
        <f>VLOOKUP(B858,[2]怪物!$U$134:$Y$233,5,0)</f>
        <v>4005</v>
      </c>
      <c r="F858" s="1">
        <f t="shared" si="147"/>
        <v>8500</v>
      </c>
      <c r="H858" t="str">
        <f t="shared" si="149"/>
        <v>{cd,3000}</v>
      </c>
      <c r="I858" t="str">
        <f t="shared" si="150"/>
        <v>{hp,6360000}</v>
      </c>
      <c r="J858" t="str">
        <f t="shared" si="151"/>
        <v>{atk,4005}</v>
      </c>
      <c r="K858" t="str">
        <f t="shared" si="152"/>
        <v>{spd,8500}</v>
      </c>
      <c r="L858" t="str">
        <f t="shared" si="153"/>
        <v/>
      </c>
      <c r="O858" t="str">
        <f t="shared" si="148"/>
        <v>[{cd,3000},{hp,6360000},{atk,4005},{spd,8500}]</v>
      </c>
    </row>
    <row r="859" spans="1:15">
      <c r="A859">
        <f>Sheet1!E861</f>
        <v>101</v>
      </c>
      <c r="B859">
        <f t="shared" si="146"/>
        <v>172</v>
      </c>
      <c r="C859">
        <v>3000</v>
      </c>
      <c r="D859">
        <f>VLOOKUP(B859,[1]怪物!$N$34:$T$233,2,0)</f>
        <v>80500</v>
      </c>
      <c r="E859">
        <f>VLOOKUP(B859,[2]怪物!$N$134:$T$233,5,0)</f>
        <v>544</v>
      </c>
      <c r="F859" s="1">
        <f t="shared" si="147"/>
        <v>8500</v>
      </c>
      <c r="H859" t="str">
        <f t="shared" si="149"/>
        <v>{cd,3000}</v>
      </c>
      <c r="I859" t="str">
        <f t="shared" si="150"/>
        <v>{hp,80500}</v>
      </c>
      <c r="J859" t="str">
        <f t="shared" si="151"/>
        <v>{atk,544}</v>
      </c>
      <c r="K859" t="str">
        <f t="shared" si="152"/>
        <v>{spd,8500}</v>
      </c>
      <c r="L859" t="str">
        <f t="shared" si="153"/>
        <v/>
      </c>
      <c r="O859" t="str">
        <f t="shared" si="148"/>
        <v>[{cd,3000},{hp,80500},{atk,544},{spd,8500}]</v>
      </c>
    </row>
    <row r="860" spans="1:15">
      <c r="A860">
        <f>Sheet1!E862</f>
        <v>106</v>
      </c>
      <c r="B860">
        <f t="shared" si="146"/>
        <v>172</v>
      </c>
      <c r="C860">
        <v>3000</v>
      </c>
      <c r="D860">
        <f>VLOOKUP(B860,[1]怪物!$N$34:$T$233,3,0)</f>
        <v>96600</v>
      </c>
      <c r="E860">
        <f>VLOOKUP(B860,[2]怪物!$N$134:$T$233,6,0)</f>
        <v>653</v>
      </c>
      <c r="F860" s="1">
        <f t="shared" si="147"/>
        <v>8500</v>
      </c>
      <c r="H860" t="str">
        <f t="shared" si="149"/>
        <v>{cd,3000}</v>
      </c>
      <c r="I860" t="str">
        <f t="shared" si="150"/>
        <v>{hp,96600}</v>
      </c>
      <c r="J860" t="str">
        <f t="shared" si="151"/>
        <v>{atk,653}</v>
      </c>
      <c r="K860" t="str">
        <f t="shared" si="152"/>
        <v>{spd,8500}</v>
      </c>
      <c r="L860" t="str">
        <f t="shared" si="153"/>
        <v/>
      </c>
      <c r="O860" t="str">
        <f t="shared" si="148"/>
        <v>[{cd,3000},{hp,96600},{atk,653},{spd,8500}]</v>
      </c>
    </row>
    <row r="861" spans="1:15">
      <c r="A861">
        <f>Sheet1!E863</f>
        <v>106</v>
      </c>
      <c r="B861">
        <f t="shared" si="146"/>
        <v>172</v>
      </c>
      <c r="C861">
        <v>3000</v>
      </c>
      <c r="D861">
        <f>VLOOKUP(B861,[1]怪物!$N$34:$T$233,4,0)</f>
        <v>120750</v>
      </c>
      <c r="E861">
        <f>VLOOKUP(B861,[2]怪物!$N$134:$T$233,7,0)</f>
        <v>816</v>
      </c>
      <c r="F861" s="1">
        <f t="shared" si="147"/>
        <v>8500</v>
      </c>
      <c r="H861" t="str">
        <f t="shared" si="149"/>
        <v>{cd,3000}</v>
      </c>
      <c r="I861" t="str">
        <f t="shared" si="150"/>
        <v>{hp,120750}</v>
      </c>
      <c r="J861" t="str">
        <f t="shared" si="151"/>
        <v>{atk,816}</v>
      </c>
      <c r="K861" t="str">
        <f t="shared" si="152"/>
        <v>{spd,8500}</v>
      </c>
      <c r="L861" t="str">
        <f t="shared" si="153"/>
        <v/>
      </c>
      <c r="O861" t="str">
        <f t="shared" si="148"/>
        <v>[{cd,3000},{hp,120750},{atk,816},{spd,8500}]</v>
      </c>
    </row>
    <row r="862" spans="1:15">
      <c r="A862">
        <f>Sheet1!E864</f>
        <v>501</v>
      </c>
      <c r="B862">
        <f t="shared" si="146"/>
        <v>172</v>
      </c>
      <c r="C862">
        <v>3000</v>
      </c>
      <c r="D862">
        <f>VLOOKUP(B862,[1]怪物!$U$34:$Y$234,2,0)</f>
        <v>4830000</v>
      </c>
      <c r="E862">
        <f>VLOOKUP(B862,[2]怪物!$U$134:$Y$233,4,0)</f>
        <v>2040</v>
      </c>
      <c r="F862" s="1">
        <f t="shared" si="147"/>
        <v>8500</v>
      </c>
      <c r="H862" t="str">
        <f t="shared" si="149"/>
        <v>{cd,3000}</v>
      </c>
      <c r="I862" t="str">
        <f t="shared" si="150"/>
        <v>{hp,4830000}</v>
      </c>
      <c r="J862" t="str">
        <f t="shared" si="151"/>
        <v>{atk,2040}</v>
      </c>
      <c r="K862" t="str">
        <f t="shared" si="152"/>
        <v>{spd,8500}</v>
      </c>
      <c r="L862" t="str">
        <f t="shared" si="153"/>
        <v/>
      </c>
      <c r="O862" t="str">
        <f t="shared" si="148"/>
        <v>[{cd,3000},{hp,4830000},{atk,2040},{spd,8500}]</v>
      </c>
    </row>
    <row r="863" spans="1:15">
      <c r="A863">
        <f>Sheet1!E865</f>
        <v>501</v>
      </c>
      <c r="B863">
        <f t="shared" si="146"/>
        <v>172</v>
      </c>
      <c r="C863">
        <v>3000</v>
      </c>
      <c r="D863">
        <f>VLOOKUP(B863,[1]怪物!$U$34:$Y$234,3,0)</f>
        <v>6440000</v>
      </c>
      <c r="E863">
        <f>VLOOKUP(B863,[2]怪物!$U$134:$Y$233,5,0)</f>
        <v>4080</v>
      </c>
      <c r="F863" s="1">
        <f t="shared" si="147"/>
        <v>8500</v>
      </c>
      <c r="H863" t="str">
        <f t="shared" si="149"/>
        <v>{cd,3000}</v>
      </c>
      <c r="I863" t="str">
        <f t="shared" si="150"/>
        <v>{hp,6440000}</v>
      </c>
      <c r="J863" t="str">
        <f t="shared" si="151"/>
        <v>{atk,4080}</v>
      </c>
      <c r="K863" t="str">
        <f t="shared" si="152"/>
        <v>{spd,8500}</v>
      </c>
      <c r="L863" t="str">
        <f t="shared" si="153"/>
        <v/>
      </c>
      <c r="O863" t="str">
        <f t="shared" si="148"/>
        <v>[{cd,3000},{hp,6440000},{atk,4080},{spd,8500}]</v>
      </c>
    </row>
    <row r="864" spans="1:15">
      <c r="A864">
        <f>Sheet1!E866</f>
        <v>108</v>
      </c>
      <c r="B864">
        <f t="shared" si="146"/>
        <v>173</v>
      </c>
      <c r="C864">
        <v>3000</v>
      </c>
      <c r="D864">
        <f>VLOOKUP(B864,[1]怪物!$N$34:$T$233,2,0)</f>
        <v>81700</v>
      </c>
      <c r="E864">
        <f>VLOOKUP(B864,[2]怪物!$N$134:$T$233,5,0)</f>
        <v>554</v>
      </c>
      <c r="F864" s="1">
        <f t="shared" si="147"/>
        <v>8500</v>
      </c>
      <c r="H864" t="str">
        <f t="shared" si="149"/>
        <v>{cd,3000}</v>
      </c>
      <c r="I864" t="str">
        <f t="shared" si="150"/>
        <v>{hp,81700}</v>
      </c>
      <c r="J864" t="str">
        <f t="shared" si="151"/>
        <v>{atk,554}</v>
      </c>
      <c r="K864" t="str">
        <f t="shared" si="152"/>
        <v>{spd,8500}</v>
      </c>
      <c r="L864" t="str">
        <f t="shared" si="153"/>
        <v/>
      </c>
      <c r="O864" t="str">
        <f t="shared" si="148"/>
        <v>[{cd,3000},{hp,81700},{atk,554},{spd,8500}]</v>
      </c>
    </row>
    <row r="865" spans="1:15">
      <c r="A865">
        <f>Sheet1!E867</f>
        <v>107</v>
      </c>
      <c r="B865">
        <f t="shared" si="146"/>
        <v>173</v>
      </c>
      <c r="C865">
        <v>3000</v>
      </c>
      <c r="D865">
        <f>VLOOKUP(B865,[1]怪物!$N$34:$T$233,3,0)</f>
        <v>98040</v>
      </c>
      <c r="E865">
        <f>VLOOKUP(B865,[2]怪物!$N$134:$T$233,6,0)</f>
        <v>665</v>
      </c>
      <c r="F865" s="1">
        <f t="shared" si="147"/>
        <v>8500</v>
      </c>
      <c r="H865" t="str">
        <f t="shared" si="149"/>
        <v>{cd,3000}</v>
      </c>
      <c r="I865" t="str">
        <f t="shared" si="150"/>
        <v>{hp,98040}</v>
      </c>
      <c r="J865" t="str">
        <f t="shared" si="151"/>
        <v>{atk,665}</v>
      </c>
      <c r="K865" t="str">
        <f t="shared" si="152"/>
        <v>{spd,8500}</v>
      </c>
      <c r="L865" t="str">
        <f t="shared" si="153"/>
        <v/>
      </c>
      <c r="O865" t="str">
        <f t="shared" si="148"/>
        <v>[{cd,3000},{hp,98040},{atk,665},{spd,8500}]</v>
      </c>
    </row>
    <row r="866" spans="1:15">
      <c r="A866">
        <f>Sheet1!E868</f>
        <v>109</v>
      </c>
      <c r="B866">
        <f t="shared" si="146"/>
        <v>173</v>
      </c>
      <c r="C866">
        <v>3000</v>
      </c>
      <c r="D866">
        <f>VLOOKUP(B866,[1]怪物!$N$34:$T$233,4,0)</f>
        <v>122550</v>
      </c>
      <c r="E866">
        <f>VLOOKUP(B866,[2]怪物!$N$134:$T$233,7,0)</f>
        <v>831</v>
      </c>
      <c r="F866" s="1">
        <f t="shared" si="147"/>
        <v>8500</v>
      </c>
      <c r="H866" t="str">
        <f t="shared" si="149"/>
        <v>{cd,3000}</v>
      </c>
      <c r="I866" t="str">
        <f t="shared" si="150"/>
        <v>{hp,122550}</v>
      </c>
      <c r="J866" t="str">
        <f t="shared" si="151"/>
        <v>{atk,831}</v>
      </c>
      <c r="K866" t="str">
        <f t="shared" si="152"/>
        <v>{spd,8500}</v>
      </c>
      <c r="L866" t="str">
        <f t="shared" si="153"/>
        <v/>
      </c>
      <c r="O866" t="str">
        <f t="shared" si="148"/>
        <v>[{cd,3000},{hp,122550},{atk,831},{spd,8500}]</v>
      </c>
    </row>
    <row r="867" spans="1:15">
      <c r="A867">
        <f>Sheet1!E869</f>
        <v>508</v>
      </c>
      <c r="B867">
        <f t="shared" si="146"/>
        <v>173</v>
      </c>
      <c r="C867">
        <v>3000</v>
      </c>
      <c r="D867">
        <f>VLOOKUP(B867,[1]怪物!$U$34:$Y$234,2,0)</f>
        <v>4902000</v>
      </c>
      <c r="E867">
        <f>VLOOKUP(B867,[2]怪物!$U$134:$Y$233,4,0)</f>
        <v>2078</v>
      </c>
      <c r="F867" s="1">
        <f t="shared" si="147"/>
        <v>8500</v>
      </c>
      <c r="H867" t="str">
        <f t="shared" si="149"/>
        <v>{cd,3000}</v>
      </c>
      <c r="I867" t="str">
        <f t="shared" si="150"/>
        <v>{hp,4902000}</v>
      </c>
      <c r="J867" t="str">
        <f t="shared" si="151"/>
        <v>{atk,2078}</v>
      </c>
      <c r="K867" t="str">
        <f t="shared" si="152"/>
        <v>{spd,8500}</v>
      </c>
      <c r="L867" t="str">
        <f t="shared" si="153"/>
        <v/>
      </c>
      <c r="O867" t="str">
        <f t="shared" si="148"/>
        <v>[{cd,3000},{hp,4902000},{atk,2078},{spd,8500}]</v>
      </c>
    </row>
    <row r="868" spans="1:15">
      <c r="A868">
        <f>Sheet1!E870</f>
        <v>508</v>
      </c>
      <c r="B868">
        <f t="shared" si="146"/>
        <v>173</v>
      </c>
      <c r="C868">
        <v>3000</v>
      </c>
      <c r="D868">
        <f>VLOOKUP(B868,[1]怪物!$U$34:$Y$234,3,0)</f>
        <v>6536000</v>
      </c>
      <c r="E868">
        <f>VLOOKUP(B868,[2]怪物!$U$134:$Y$233,5,0)</f>
        <v>4155</v>
      </c>
      <c r="F868" s="1">
        <f t="shared" si="147"/>
        <v>8500</v>
      </c>
      <c r="H868" t="str">
        <f t="shared" si="149"/>
        <v>{cd,3000}</v>
      </c>
      <c r="I868" t="str">
        <f t="shared" si="150"/>
        <v>{hp,6536000}</v>
      </c>
      <c r="J868" t="str">
        <f t="shared" si="151"/>
        <v>{atk,4155}</v>
      </c>
      <c r="K868" t="str">
        <f t="shared" si="152"/>
        <v>{spd,8500}</v>
      </c>
      <c r="L868" t="str">
        <f t="shared" si="153"/>
        <v/>
      </c>
      <c r="O868" t="str">
        <f t="shared" si="148"/>
        <v>[{cd,3000},{hp,6536000},{atk,4155},{spd,8500}]</v>
      </c>
    </row>
    <row r="869" spans="1:15">
      <c r="A869">
        <f>Sheet1!E871</f>
        <v>100</v>
      </c>
      <c r="B869">
        <f t="shared" si="146"/>
        <v>174</v>
      </c>
      <c r="C869">
        <v>3000</v>
      </c>
      <c r="D869">
        <f>VLOOKUP(B869,[1]怪物!$N$34:$T$233,2,0)</f>
        <v>84200</v>
      </c>
      <c r="E869">
        <f>VLOOKUP(B869,[2]怪物!$N$134:$T$233,5,0)</f>
        <v>620</v>
      </c>
      <c r="F869" s="1">
        <f t="shared" si="147"/>
        <v>8500</v>
      </c>
      <c r="H869" t="str">
        <f t="shared" si="149"/>
        <v>{cd,3000}</v>
      </c>
      <c r="I869" t="str">
        <f t="shared" si="150"/>
        <v>{hp,84200}</v>
      </c>
      <c r="J869" t="str">
        <f t="shared" si="151"/>
        <v>{atk,620}</v>
      </c>
      <c r="K869" t="str">
        <f t="shared" si="152"/>
        <v>{spd,8500}</v>
      </c>
      <c r="L869" t="str">
        <f t="shared" si="153"/>
        <v/>
      </c>
      <c r="O869" t="str">
        <f t="shared" si="148"/>
        <v>[{cd,3000},{hp,84200},{atk,620},{spd,8500}]</v>
      </c>
    </row>
    <row r="870" spans="1:15">
      <c r="A870">
        <f>Sheet1!E872</f>
        <v>102</v>
      </c>
      <c r="B870">
        <f t="shared" si="146"/>
        <v>174</v>
      </c>
      <c r="C870">
        <v>3000</v>
      </c>
      <c r="D870">
        <f>VLOOKUP(B870,[1]怪物!$N$34:$T$233,3,0)</f>
        <v>101040</v>
      </c>
      <c r="E870">
        <f>VLOOKUP(B870,[2]怪物!$N$134:$T$233,6,0)</f>
        <v>744</v>
      </c>
      <c r="F870" s="1">
        <f t="shared" si="147"/>
        <v>8500</v>
      </c>
      <c r="H870" t="str">
        <f t="shared" si="149"/>
        <v>{cd,3000}</v>
      </c>
      <c r="I870" t="str">
        <f t="shared" si="150"/>
        <v>{hp,101040}</v>
      </c>
      <c r="J870" t="str">
        <f t="shared" si="151"/>
        <v>{atk,744}</v>
      </c>
      <c r="K870" t="str">
        <f t="shared" si="152"/>
        <v>{spd,8500}</v>
      </c>
      <c r="L870" t="str">
        <f t="shared" si="153"/>
        <v/>
      </c>
      <c r="O870" t="str">
        <f t="shared" si="148"/>
        <v>[{cd,3000},{hp,101040},{atk,744},{spd,8500}]</v>
      </c>
    </row>
    <row r="871" spans="1:15">
      <c r="A871">
        <f>Sheet1!E873</f>
        <v>105</v>
      </c>
      <c r="B871">
        <f t="shared" si="146"/>
        <v>174</v>
      </c>
      <c r="C871">
        <v>3000</v>
      </c>
      <c r="D871">
        <f>VLOOKUP(B871,[1]怪物!$N$34:$T$233,4,0)</f>
        <v>126300</v>
      </c>
      <c r="E871">
        <f>VLOOKUP(B871,[2]怪物!$N$134:$T$233,7,0)</f>
        <v>930</v>
      </c>
      <c r="F871" s="1">
        <f t="shared" si="147"/>
        <v>8500</v>
      </c>
      <c r="H871" t="str">
        <f t="shared" si="149"/>
        <v>{cd,3000}</v>
      </c>
      <c r="I871" t="str">
        <f t="shared" si="150"/>
        <v>{hp,126300}</v>
      </c>
      <c r="J871" t="str">
        <f t="shared" si="151"/>
        <v>{atk,930}</v>
      </c>
      <c r="K871" t="str">
        <f t="shared" si="152"/>
        <v>{spd,8500}</v>
      </c>
      <c r="L871" t="str">
        <f t="shared" si="153"/>
        <v/>
      </c>
      <c r="O871" t="str">
        <f t="shared" si="148"/>
        <v>[{cd,3000},{hp,126300},{atk,930},{spd,8500}]</v>
      </c>
    </row>
    <row r="872" spans="1:15">
      <c r="A872">
        <f>Sheet1!E874</f>
        <v>502</v>
      </c>
      <c r="B872">
        <f t="shared" si="146"/>
        <v>174</v>
      </c>
      <c r="C872">
        <v>3000</v>
      </c>
      <c r="D872">
        <f>VLOOKUP(B872,[1]怪物!$U$34:$Y$234,2,0)</f>
        <v>5052000</v>
      </c>
      <c r="E872">
        <f>VLOOKUP(B872,[2]怪物!$U$134:$Y$233,4,0)</f>
        <v>2325</v>
      </c>
      <c r="F872" s="1">
        <f t="shared" si="147"/>
        <v>8500</v>
      </c>
      <c r="H872" t="str">
        <f t="shared" si="149"/>
        <v>{cd,3000}</v>
      </c>
      <c r="I872" t="str">
        <f t="shared" si="150"/>
        <v>{hp,5052000}</v>
      </c>
      <c r="J872" t="str">
        <f t="shared" si="151"/>
        <v>{atk,2325}</v>
      </c>
      <c r="K872" t="str">
        <f t="shared" si="152"/>
        <v>{spd,8500}</v>
      </c>
      <c r="L872" t="str">
        <f t="shared" si="153"/>
        <v/>
      </c>
      <c r="O872" t="str">
        <f t="shared" si="148"/>
        <v>[{cd,3000},{hp,5052000},{atk,2325},{spd,8500}]</v>
      </c>
    </row>
    <row r="873" spans="1:15">
      <c r="A873">
        <f>Sheet1!E875</f>
        <v>500</v>
      </c>
      <c r="B873">
        <f t="shared" si="146"/>
        <v>174</v>
      </c>
      <c r="C873">
        <v>3000</v>
      </c>
      <c r="D873">
        <f>VLOOKUP(B873,[1]怪物!$U$34:$Y$234,3,0)</f>
        <v>6736000</v>
      </c>
      <c r="E873">
        <f>VLOOKUP(B873,[2]怪物!$U$134:$Y$233,5,0)</f>
        <v>4650</v>
      </c>
      <c r="F873" s="1">
        <f t="shared" si="147"/>
        <v>8500</v>
      </c>
      <c r="H873" t="str">
        <f t="shared" si="149"/>
        <v>{cd,3000}</v>
      </c>
      <c r="I873" t="str">
        <f t="shared" si="150"/>
        <v>{hp,6736000}</v>
      </c>
      <c r="J873" t="str">
        <f t="shared" si="151"/>
        <v>{atk,4650}</v>
      </c>
      <c r="K873" t="str">
        <f t="shared" si="152"/>
        <v>{spd,8500}</v>
      </c>
      <c r="L873" t="str">
        <f t="shared" si="153"/>
        <v/>
      </c>
      <c r="O873" t="str">
        <f t="shared" si="148"/>
        <v>[{cd,3000},{hp,6736000},{atk,4650},{spd,8500}]</v>
      </c>
    </row>
    <row r="874" spans="1:15">
      <c r="A874">
        <f>Sheet1!E876</f>
        <v>115</v>
      </c>
      <c r="B874">
        <f t="shared" si="146"/>
        <v>175</v>
      </c>
      <c r="C874">
        <v>3000</v>
      </c>
      <c r="D874">
        <f>VLOOKUP(B874,[1]怪物!$N$34:$T$233,2,0)</f>
        <v>82500</v>
      </c>
      <c r="E874">
        <f>VLOOKUP(B874,[2]怪物!$N$134:$T$233,5,0)</f>
        <v>564</v>
      </c>
      <c r="F874" s="1">
        <f t="shared" si="147"/>
        <v>8500</v>
      </c>
      <c r="H874" t="str">
        <f t="shared" si="149"/>
        <v>{cd,3000}</v>
      </c>
      <c r="I874" t="str">
        <f t="shared" si="150"/>
        <v>{hp,82500}</v>
      </c>
      <c r="J874" t="str">
        <f t="shared" si="151"/>
        <v>{atk,564}</v>
      </c>
      <c r="K874" t="str">
        <f t="shared" si="152"/>
        <v>{spd,8500}</v>
      </c>
      <c r="L874" t="str">
        <f t="shared" si="153"/>
        <v/>
      </c>
      <c r="O874" t="str">
        <f t="shared" si="148"/>
        <v>[{cd,3000},{hp,82500},{atk,564},{spd,8500}]</v>
      </c>
    </row>
    <row r="875" spans="1:15">
      <c r="A875">
        <f>Sheet1!E877</f>
        <v>112</v>
      </c>
      <c r="B875">
        <f t="shared" si="146"/>
        <v>175</v>
      </c>
      <c r="C875">
        <v>3000</v>
      </c>
      <c r="D875">
        <f>VLOOKUP(B875,[1]怪物!$N$34:$T$233,3,0)</f>
        <v>99000</v>
      </c>
      <c r="E875">
        <f>VLOOKUP(B875,[2]怪物!$N$134:$T$233,6,0)</f>
        <v>677</v>
      </c>
      <c r="F875" s="1">
        <f t="shared" si="147"/>
        <v>8500</v>
      </c>
      <c r="H875" t="str">
        <f t="shared" si="149"/>
        <v>{cd,3000}</v>
      </c>
      <c r="I875" t="str">
        <f t="shared" si="150"/>
        <v>{hp,99000}</v>
      </c>
      <c r="J875" t="str">
        <f t="shared" si="151"/>
        <v>{atk,677}</v>
      </c>
      <c r="K875" t="str">
        <f t="shared" si="152"/>
        <v>{spd,8500}</v>
      </c>
      <c r="L875" t="str">
        <f t="shared" si="153"/>
        <v/>
      </c>
      <c r="O875" t="str">
        <f t="shared" si="148"/>
        <v>[{cd,3000},{hp,99000},{atk,677},{spd,8500}]</v>
      </c>
    </row>
    <row r="876" spans="1:15">
      <c r="A876">
        <f>Sheet1!E878</f>
        <v>113</v>
      </c>
      <c r="B876">
        <f t="shared" si="146"/>
        <v>175</v>
      </c>
      <c r="C876">
        <v>3000</v>
      </c>
      <c r="D876">
        <f>VLOOKUP(B876,[1]怪物!$N$34:$T$233,4,0)</f>
        <v>123750</v>
      </c>
      <c r="E876">
        <f>VLOOKUP(B876,[2]怪物!$N$134:$T$233,7,0)</f>
        <v>846</v>
      </c>
      <c r="F876" s="1">
        <f t="shared" si="147"/>
        <v>8500</v>
      </c>
      <c r="H876" t="str">
        <f t="shared" si="149"/>
        <v>{cd,3000}</v>
      </c>
      <c r="I876" t="str">
        <f t="shared" si="150"/>
        <v>{hp,123750}</v>
      </c>
      <c r="J876" t="str">
        <f t="shared" si="151"/>
        <v>{atk,846}</v>
      </c>
      <c r="K876" t="str">
        <f t="shared" si="152"/>
        <v>{spd,8500}</v>
      </c>
      <c r="L876" t="str">
        <f t="shared" si="153"/>
        <v/>
      </c>
      <c r="O876" t="str">
        <f t="shared" si="148"/>
        <v>[{cd,3000},{hp,123750},{atk,846},{spd,8500}]</v>
      </c>
    </row>
    <row r="877" spans="1:15">
      <c r="A877">
        <f>Sheet1!E879</f>
        <v>515</v>
      </c>
      <c r="B877">
        <f t="shared" si="146"/>
        <v>175</v>
      </c>
      <c r="C877">
        <v>3000</v>
      </c>
      <c r="D877">
        <f>VLOOKUP(B877,[1]怪物!$U$34:$Y$234,2,0)</f>
        <v>4950000</v>
      </c>
      <c r="E877">
        <f>VLOOKUP(B877,[2]怪物!$U$134:$Y$233,4,0)</f>
        <v>2115</v>
      </c>
      <c r="F877" s="1">
        <f t="shared" si="147"/>
        <v>8500</v>
      </c>
      <c r="H877" t="str">
        <f t="shared" si="149"/>
        <v>{cd,3000}</v>
      </c>
      <c r="I877" t="str">
        <f t="shared" si="150"/>
        <v>{hp,4950000}</v>
      </c>
      <c r="J877" t="str">
        <f t="shared" si="151"/>
        <v>{atk,2115}</v>
      </c>
      <c r="K877" t="str">
        <f t="shared" si="152"/>
        <v>{spd,8500}</v>
      </c>
      <c r="L877" t="str">
        <f t="shared" si="153"/>
        <v/>
      </c>
      <c r="O877" t="str">
        <f t="shared" si="148"/>
        <v>[{cd,3000},{hp,4950000},{atk,2115},{spd,8500}]</v>
      </c>
    </row>
    <row r="878" spans="1:15">
      <c r="A878">
        <f>Sheet1!E880</f>
        <v>515</v>
      </c>
      <c r="B878">
        <f t="shared" si="146"/>
        <v>175</v>
      </c>
      <c r="C878">
        <v>3000</v>
      </c>
      <c r="D878">
        <f>VLOOKUP(B878,[1]怪物!$U$34:$Y$234,3,0)</f>
        <v>6600000</v>
      </c>
      <c r="E878">
        <f>VLOOKUP(B878,[2]怪物!$U$134:$Y$233,5,0)</f>
        <v>4230</v>
      </c>
      <c r="F878" s="1">
        <f t="shared" si="147"/>
        <v>8500</v>
      </c>
      <c r="H878" t="str">
        <f t="shared" si="149"/>
        <v>{cd,3000}</v>
      </c>
      <c r="I878" t="str">
        <f t="shared" si="150"/>
        <v>{hp,6600000}</v>
      </c>
      <c r="J878" t="str">
        <f t="shared" si="151"/>
        <v>{atk,4230}</v>
      </c>
      <c r="K878" t="str">
        <f t="shared" si="152"/>
        <v>{spd,8500}</v>
      </c>
      <c r="L878" t="str">
        <f t="shared" si="153"/>
        <v/>
      </c>
      <c r="O878" t="str">
        <f t="shared" si="148"/>
        <v>[{cd,3000},{hp,6600000},{atk,4230},{spd,8500}]</v>
      </c>
    </row>
    <row r="879" spans="1:15">
      <c r="A879">
        <f>Sheet1!E881</f>
        <v>110</v>
      </c>
      <c r="B879">
        <f t="shared" si="146"/>
        <v>176</v>
      </c>
      <c r="C879">
        <v>3000</v>
      </c>
      <c r="D879">
        <f>VLOOKUP(B879,[1]怪物!$N$34:$T$233,2,0)</f>
        <v>83500</v>
      </c>
      <c r="E879">
        <f>VLOOKUP(B879,[2]怪物!$N$134:$T$233,5,0)</f>
        <v>574</v>
      </c>
      <c r="F879" s="1">
        <f t="shared" si="147"/>
        <v>8500</v>
      </c>
      <c r="H879" t="str">
        <f t="shared" si="149"/>
        <v>{cd,3000}</v>
      </c>
      <c r="I879" t="str">
        <f t="shared" si="150"/>
        <v>{hp,83500}</v>
      </c>
      <c r="J879" t="str">
        <f t="shared" si="151"/>
        <v>{atk,574}</v>
      </c>
      <c r="K879" t="str">
        <f t="shared" si="152"/>
        <v>{spd,8500}</v>
      </c>
      <c r="L879" t="str">
        <f t="shared" si="153"/>
        <v/>
      </c>
      <c r="O879" t="str">
        <f t="shared" si="148"/>
        <v>[{cd,3000},{hp,83500},{atk,574},{spd,8500}]</v>
      </c>
    </row>
    <row r="880" spans="1:15">
      <c r="A880">
        <f>Sheet1!E882</f>
        <v>109</v>
      </c>
      <c r="B880">
        <f t="shared" si="146"/>
        <v>176</v>
      </c>
      <c r="C880">
        <v>3000</v>
      </c>
      <c r="D880">
        <f>VLOOKUP(B880,[1]怪物!$N$34:$T$233,3,0)</f>
        <v>100200</v>
      </c>
      <c r="E880">
        <f>VLOOKUP(B880,[2]怪物!$N$134:$T$233,6,0)</f>
        <v>689</v>
      </c>
      <c r="F880" s="1">
        <f t="shared" si="147"/>
        <v>8500</v>
      </c>
      <c r="H880" t="str">
        <f t="shared" si="149"/>
        <v>{cd,3000}</v>
      </c>
      <c r="I880" t="str">
        <f t="shared" si="150"/>
        <v>{hp,100200}</v>
      </c>
      <c r="J880" t="str">
        <f t="shared" si="151"/>
        <v>{atk,689}</v>
      </c>
      <c r="K880" t="str">
        <f t="shared" si="152"/>
        <v>{spd,8500}</v>
      </c>
      <c r="L880" t="str">
        <f t="shared" si="153"/>
        <v/>
      </c>
      <c r="O880" t="str">
        <f t="shared" si="148"/>
        <v>[{cd,3000},{hp,100200},{atk,689},{spd,8500}]</v>
      </c>
    </row>
    <row r="881" spans="1:15">
      <c r="A881">
        <f>Sheet1!E883</f>
        <v>114</v>
      </c>
      <c r="B881">
        <f t="shared" si="146"/>
        <v>176</v>
      </c>
      <c r="C881">
        <v>3000</v>
      </c>
      <c r="D881">
        <f>VLOOKUP(B881,[1]怪物!$N$34:$T$233,4,0)</f>
        <v>125250</v>
      </c>
      <c r="E881">
        <f>VLOOKUP(B881,[2]怪物!$N$134:$T$233,7,0)</f>
        <v>861</v>
      </c>
      <c r="F881" s="1">
        <f t="shared" si="147"/>
        <v>8500</v>
      </c>
      <c r="H881" t="str">
        <f t="shared" si="149"/>
        <v>{cd,3000}</v>
      </c>
      <c r="I881" t="str">
        <f t="shared" si="150"/>
        <v>{hp,125250}</v>
      </c>
      <c r="J881" t="str">
        <f t="shared" si="151"/>
        <v>{atk,861}</v>
      </c>
      <c r="K881" t="str">
        <f t="shared" si="152"/>
        <v>{spd,8500}</v>
      </c>
      <c r="L881" t="str">
        <f t="shared" si="153"/>
        <v/>
      </c>
      <c r="O881" t="str">
        <f t="shared" si="148"/>
        <v>[{cd,3000},{hp,125250},{atk,861},{spd,8500}]</v>
      </c>
    </row>
    <row r="882" spans="1:15">
      <c r="A882">
        <f>Sheet1!E884</f>
        <v>514</v>
      </c>
      <c r="B882">
        <f t="shared" ref="B882:B945" si="154">B877+1</f>
        <v>176</v>
      </c>
      <c r="C882">
        <v>3000</v>
      </c>
      <c r="D882">
        <f>VLOOKUP(B882,[1]怪物!$U$34:$Y$234,2,0)</f>
        <v>5010000</v>
      </c>
      <c r="E882">
        <f>VLOOKUP(B882,[2]怪物!$U$134:$Y$233,4,0)</f>
        <v>2153</v>
      </c>
      <c r="F882" s="1">
        <f t="shared" si="147"/>
        <v>8500</v>
      </c>
      <c r="H882" t="str">
        <f t="shared" si="149"/>
        <v>{cd,3000}</v>
      </c>
      <c r="I882" t="str">
        <f t="shared" si="150"/>
        <v>{hp,5010000}</v>
      </c>
      <c r="J882" t="str">
        <f t="shared" si="151"/>
        <v>{atk,2153}</v>
      </c>
      <c r="K882" t="str">
        <f t="shared" si="152"/>
        <v>{spd,8500}</v>
      </c>
      <c r="L882" t="str">
        <f t="shared" si="153"/>
        <v/>
      </c>
      <c r="O882" t="str">
        <f t="shared" si="148"/>
        <v>[{cd,3000},{hp,5010000},{atk,2153},{spd,8500}]</v>
      </c>
    </row>
    <row r="883" spans="1:15">
      <c r="A883">
        <f>Sheet1!E885</f>
        <v>514</v>
      </c>
      <c r="B883">
        <f t="shared" si="154"/>
        <v>176</v>
      </c>
      <c r="C883">
        <v>3000</v>
      </c>
      <c r="D883">
        <f>VLOOKUP(B883,[1]怪物!$U$34:$Y$234,3,0)</f>
        <v>6680000</v>
      </c>
      <c r="E883">
        <f>VLOOKUP(B883,[2]怪物!$U$134:$Y$233,5,0)</f>
        <v>4305</v>
      </c>
      <c r="F883" s="1">
        <f t="shared" si="147"/>
        <v>8500</v>
      </c>
      <c r="H883" t="str">
        <f t="shared" si="149"/>
        <v>{cd,3000}</v>
      </c>
      <c r="I883" t="str">
        <f t="shared" si="150"/>
        <v>{hp,6680000}</v>
      </c>
      <c r="J883" t="str">
        <f t="shared" si="151"/>
        <v>{atk,4305}</v>
      </c>
      <c r="K883" t="str">
        <f t="shared" si="152"/>
        <v>{spd,8500}</v>
      </c>
      <c r="L883" t="str">
        <f t="shared" si="153"/>
        <v/>
      </c>
      <c r="O883" t="str">
        <f t="shared" si="148"/>
        <v>[{cd,3000},{hp,6680000},{atk,4305},{spd,8500}]</v>
      </c>
    </row>
    <row r="884" spans="1:15">
      <c r="A884">
        <f>Sheet1!E886</f>
        <v>111</v>
      </c>
      <c r="B884">
        <f t="shared" si="154"/>
        <v>177</v>
      </c>
      <c r="C884">
        <v>3000</v>
      </c>
      <c r="D884">
        <f>VLOOKUP(B884,[1]怪物!$N$34:$T$233,2,0)</f>
        <v>84700</v>
      </c>
      <c r="E884">
        <f>VLOOKUP(B884,[2]怪物!$N$134:$T$233,5,0)</f>
        <v>584</v>
      </c>
      <c r="F884" s="1">
        <f t="shared" si="147"/>
        <v>8500</v>
      </c>
      <c r="H884" t="str">
        <f t="shared" si="149"/>
        <v>{cd,3000}</v>
      </c>
      <c r="I884" t="str">
        <f t="shared" si="150"/>
        <v>{hp,84700}</v>
      </c>
      <c r="J884" t="str">
        <f t="shared" si="151"/>
        <v>{atk,584}</v>
      </c>
      <c r="K884" t="str">
        <f t="shared" si="152"/>
        <v>{spd,8500}</v>
      </c>
      <c r="L884" t="str">
        <f t="shared" si="153"/>
        <v/>
      </c>
      <c r="O884" t="str">
        <f t="shared" si="148"/>
        <v>[{cd,3000},{hp,84700},{atk,584},{spd,8500}]</v>
      </c>
    </row>
    <row r="885" spans="1:15">
      <c r="A885">
        <f>Sheet1!E887</f>
        <v>112</v>
      </c>
      <c r="B885">
        <f t="shared" si="154"/>
        <v>177</v>
      </c>
      <c r="C885">
        <v>3000</v>
      </c>
      <c r="D885">
        <f>VLOOKUP(B885,[1]怪物!$N$34:$T$233,3,0)</f>
        <v>101640</v>
      </c>
      <c r="E885">
        <f>VLOOKUP(B885,[2]怪物!$N$134:$T$233,6,0)</f>
        <v>701</v>
      </c>
      <c r="F885" s="1">
        <f t="shared" si="147"/>
        <v>8500</v>
      </c>
      <c r="H885" t="str">
        <f t="shared" si="149"/>
        <v>{cd,3000}</v>
      </c>
      <c r="I885" t="str">
        <f t="shared" si="150"/>
        <v>{hp,101640}</v>
      </c>
      <c r="J885" t="str">
        <f t="shared" si="151"/>
        <v>{atk,701}</v>
      </c>
      <c r="K885" t="str">
        <f t="shared" si="152"/>
        <v>{spd,8500}</v>
      </c>
      <c r="L885" t="str">
        <f t="shared" si="153"/>
        <v/>
      </c>
      <c r="O885" t="str">
        <f t="shared" si="148"/>
        <v>[{cd,3000},{hp,101640},{atk,701},{spd,8500}]</v>
      </c>
    </row>
    <row r="886" spans="1:15">
      <c r="A886">
        <f>Sheet1!E888</f>
        <v>118</v>
      </c>
      <c r="B886">
        <f t="shared" si="154"/>
        <v>177</v>
      </c>
      <c r="C886">
        <v>3000</v>
      </c>
      <c r="D886">
        <f>VLOOKUP(B886,[1]怪物!$N$34:$T$233,4,0)</f>
        <v>127050</v>
      </c>
      <c r="E886">
        <f>VLOOKUP(B886,[2]怪物!$N$134:$T$233,7,0)</f>
        <v>876</v>
      </c>
      <c r="F886" s="1">
        <f t="shared" si="147"/>
        <v>8500</v>
      </c>
      <c r="H886" t="str">
        <f t="shared" si="149"/>
        <v>{cd,3000}</v>
      </c>
      <c r="I886" t="str">
        <f t="shared" si="150"/>
        <v>{hp,127050}</v>
      </c>
      <c r="J886" t="str">
        <f t="shared" si="151"/>
        <v>{atk,876}</v>
      </c>
      <c r="K886" t="str">
        <f t="shared" si="152"/>
        <v>{spd,8500}</v>
      </c>
      <c r="L886" t="str">
        <f t="shared" si="153"/>
        <v/>
      </c>
      <c r="O886" t="str">
        <f t="shared" si="148"/>
        <v>[{cd,3000},{hp,127050},{atk,876},{spd,8500}]</v>
      </c>
    </row>
    <row r="887" spans="1:15">
      <c r="A887">
        <f>Sheet1!E889</f>
        <v>511</v>
      </c>
      <c r="B887">
        <f t="shared" si="154"/>
        <v>177</v>
      </c>
      <c r="C887">
        <v>3000</v>
      </c>
      <c r="D887">
        <f>VLOOKUP(B887,[1]怪物!$U$34:$Y$234,2,0)</f>
        <v>5082000</v>
      </c>
      <c r="E887">
        <f>VLOOKUP(B887,[2]怪物!$U$134:$Y$233,4,0)</f>
        <v>2190</v>
      </c>
      <c r="F887" s="1">
        <f t="shared" si="147"/>
        <v>8500</v>
      </c>
      <c r="H887" t="str">
        <f t="shared" si="149"/>
        <v>{cd,3000}</v>
      </c>
      <c r="I887" t="str">
        <f t="shared" si="150"/>
        <v>{hp,5082000}</v>
      </c>
      <c r="J887" t="str">
        <f t="shared" si="151"/>
        <v>{atk,2190}</v>
      </c>
      <c r="K887" t="str">
        <f t="shared" si="152"/>
        <v>{spd,8500}</v>
      </c>
      <c r="L887" t="str">
        <f t="shared" si="153"/>
        <v/>
      </c>
      <c r="O887" t="str">
        <f t="shared" si="148"/>
        <v>[{cd,3000},{hp,5082000},{atk,2190},{spd,8500}]</v>
      </c>
    </row>
    <row r="888" spans="1:15">
      <c r="A888">
        <f>Sheet1!E890</f>
        <v>511</v>
      </c>
      <c r="B888">
        <f t="shared" si="154"/>
        <v>177</v>
      </c>
      <c r="C888">
        <v>3000</v>
      </c>
      <c r="D888">
        <f>VLOOKUP(B888,[1]怪物!$U$34:$Y$234,3,0)</f>
        <v>6776000</v>
      </c>
      <c r="E888">
        <f>VLOOKUP(B888,[2]怪物!$U$134:$Y$233,5,0)</f>
        <v>4380</v>
      </c>
      <c r="F888" s="1">
        <f t="shared" si="147"/>
        <v>8500</v>
      </c>
      <c r="H888" t="str">
        <f t="shared" si="149"/>
        <v>{cd,3000}</v>
      </c>
      <c r="I888" t="str">
        <f t="shared" si="150"/>
        <v>{hp,6776000}</v>
      </c>
      <c r="J888" t="str">
        <f t="shared" si="151"/>
        <v>{atk,4380}</v>
      </c>
      <c r="K888" t="str">
        <f t="shared" si="152"/>
        <v>{spd,8500}</v>
      </c>
      <c r="L888" t="str">
        <f t="shared" si="153"/>
        <v/>
      </c>
      <c r="O888" t="str">
        <f t="shared" si="148"/>
        <v>[{cd,3000},{hp,6776000},{atk,4380},{spd,8500}]</v>
      </c>
    </row>
    <row r="889" spans="1:15">
      <c r="A889">
        <f>Sheet1!E891</f>
        <v>117</v>
      </c>
      <c r="B889">
        <f t="shared" si="154"/>
        <v>178</v>
      </c>
      <c r="C889">
        <v>3000</v>
      </c>
      <c r="D889">
        <f>VLOOKUP(B889,[1]怪物!$N$34:$T$233,2,0)</f>
        <v>86100</v>
      </c>
      <c r="E889">
        <f>VLOOKUP(B889,[2]怪物!$N$134:$T$233,5,0)</f>
        <v>594</v>
      </c>
      <c r="F889" s="1">
        <f t="shared" si="147"/>
        <v>8500</v>
      </c>
      <c r="H889" t="str">
        <f t="shared" si="149"/>
        <v>{cd,3000}</v>
      </c>
      <c r="I889" t="str">
        <f t="shared" si="150"/>
        <v>{hp,86100}</v>
      </c>
      <c r="J889" t="str">
        <f t="shared" si="151"/>
        <v>{atk,594}</v>
      </c>
      <c r="K889" t="str">
        <f t="shared" si="152"/>
        <v>{spd,8500}</v>
      </c>
      <c r="L889" t="str">
        <f t="shared" si="153"/>
        <v>{downUnderPhAtk,5000}</v>
      </c>
      <c r="O889" t="str">
        <f t="shared" si="148"/>
        <v>[{cd,3000},{hp,86100},{atk,594},{spd,8500},{downUnderPhAtk,5000}]</v>
      </c>
    </row>
    <row r="890" spans="1:15">
      <c r="A890">
        <f>Sheet1!E892</f>
        <v>116</v>
      </c>
      <c r="B890">
        <f t="shared" si="154"/>
        <v>178</v>
      </c>
      <c r="C890">
        <v>3000</v>
      </c>
      <c r="D890">
        <f>VLOOKUP(B890,[1]怪物!$N$34:$T$233,3,0)</f>
        <v>103320</v>
      </c>
      <c r="E890">
        <f>VLOOKUP(B890,[2]怪物!$N$134:$T$233,6,0)</f>
        <v>713</v>
      </c>
      <c r="F890" s="1">
        <f t="shared" si="147"/>
        <v>20000</v>
      </c>
      <c r="H890" t="str">
        <f t="shared" si="149"/>
        <v>{cd,3000}</v>
      </c>
      <c r="I890" t="str">
        <f t="shared" si="150"/>
        <v>{hp,103320}</v>
      </c>
      <c r="J890" t="str">
        <f t="shared" si="151"/>
        <v>{atk,713}</v>
      </c>
      <c r="K890" t="str">
        <f t="shared" si="152"/>
        <v>{spd,20000}</v>
      </c>
      <c r="L890" t="str">
        <f t="shared" si="153"/>
        <v/>
      </c>
      <c r="O890" t="str">
        <f t="shared" si="148"/>
        <v>[{cd,3000},{hp,103320},{atk,713},{spd,20000}]</v>
      </c>
    </row>
    <row r="891" spans="1:15">
      <c r="A891">
        <f>Sheet1!E893</f>
        <v>119</v>
      </c>
      <c r="B891">
        <f t="shared" si="154"/>
        <v>178</v>
      </c>
      <c r="C891">
        <v>3000</v>
      </c>
      <c r="D891">
        <f>VLOOKUP(B891,[1]怪物!$N$34:$T$233,4,0)</f>
        <v>129150</v>
      </c>
      <c r="E891">
        <f>VLOOKUP(B891,[2]怪物!$N$134:$T$233,7,0)</f>
        <v>891</v>
      </c>
      <c r="F891" s="1">
        <f t="shared" si="147"/>
        <v>8500</v>
      </c>
      <c r="H891" t="str">
        <f t="shared" si="149"/>
        <v>{cd,3000}</v>
      </c>
      <c r="I891" t="str">
        <f t="shared" si="150"/>
        <v>{hp,129150}</v>
      </c>
      <c r="J891" t="str">
        <f t="shared" si="151"/>
        <v>{atk,891}</v>
      </c>
      <c r="K891" t="str">
        <f t="shared" si="152"/>
        <v>{spd,8500}</v>
      </c>
      <c r="L891" t="str">
        <f t="shared" si="153"/>
        <v>{downUnderMagicAtk,5000}</v>
      </c>
      <c r="O891" t="str">
        <f t="shared" si="148"/>
        <v>[{cd,3000},{hp,129150},{atk,891},{spd,8500},{downUnderMagicAtk,5000}]</v>
      </c>
    </row>
    <row r="892" spans="1:15">
      <c r="A892">
        <f>Sheet1!E894</f>
        <v>517</v>
      </c>
      <c r="B892">
        <f t="shared" si="154"/>
        <v>178</v>
      </c>
      <c r="C892">
        <v>3000</v>
      </c>
      <c r="D892">
        <f>VLOOKUP(B892,[1]怪物!$U$34:$Y$234,2,0)</f>
        <v>5166000</v>
      </c>
      <c r="E892">
        <f>VLOOKUP(B892,[2]怪物!$U$134:$Y$233,4,0)</f>
        <v>2228</v>
      </c>
      <c r="F892" s="1">
        <f t="shared" si="147"/>
        <v>8500</v>
      </c>
      <c r="H892" t="str">
        <f t="shared" si="149"/>
        <v>{cd,3000}</v>
      </c>
      <c r="I892" t="str">
        <f t="shared" si="150"/>
        <v>{hp,5166000}</v>
      </c>
      <c r="J892" t="str">
        <f t="shared" si="151"/>
        <v>{atk,2228}</v>
      </c>
      <c r="K892" t="str">
        <f t="shared" si="152"/>
        <v>{spd,8500}</v>
      </c>
      <c r="L892" t="str">
        <f t="shared" si="153"/>
        <v>{downUnderPhAtk,5000}</v>
      </c>
      <c r="O892" t="str">
        <f t="shared" si="148"/>
        <v>[{cd,3000},{hp,5166000},{atk,2228},{spd,8500},{downUnderPhAtk,5000}]</v>
      </c>
    </row>
    <row r="893" spans="1:15">
      <c r="A893">
        <f>Sheet1!E895</f>
        <v>517</v>
      </c>
      <c r="B893">
        <f t="shared" si="154"/>
        <v>178</v>
      </c>
      <c r="C893">
        <v>3000</v>
      </c>
      <c r="D893">
        <f>VLOOKUP(B893,[1]怪物!$U$34:$Y$234,3,0)</f>
        <v>6888000</v>
      </c>
      <c r="E893">
        <f>VLOOKUP(B893,[2]怪物!$U$134:$Y$233,5,0)</f>
        <v>4455</v>
      </c>
      <c r="F893" s="1">
        <f t="shared" si="147"/>
        <v>8500</v>
      </c>
      <c r="H893" t="str">
        <f t="shared" si="149"/>
        <v>{cd,3000}</v>
      </c>
      <c r="I893" t="str">
        <f t="shared" si="150"/>
        <v>{hp,6888000}</v>
      </c>
      <c r="J893" t="str">
        <f t="shared" si="151"/>
        <v>{atk,4455}</v>
      </c>
      <c r="K893" t="str">
        <f t="shared" si="152"/>
        <v>{spd,8500}</v>
      </c>
      <c r="L893" t="str">
        <f t="shared" si="153"/>
        <v>{downUnderPhAtk,5000}</v>
      </c>
      <c r="O893" t="str">
        <f t="shared" si="148"/>
        <v>[{cd,3000},{hp,6888000},{atk,4455},{spd,8500},{downUnderPhAtk,5000}]</v>
      </c>
    </row>
    <row r="894" spans="1:15">
      <c r="A894">
        <f>Sheet1!E896</f>
        <v>122</v>
      </c>
      <c r="B894">
        <f t="shared" si="154"/>
        <v>179</v>
      </c>
      <c r="C894">
        <v>3000</v>
      </c>
      <c r="D894">
        <f>VLOOKUP(B894,[1]怪物!$N$34:$T$233,2,0)</f>
        <v>87700</v>
      </c>
      <c r="E894">
        <f>VLOOKUP(B894,[2]怪物!$N$134:$T$233,5,0)</f>
        <v>604</v>
      </c>
      <c r="F894" s="1">
        <f t="shared" si="147"/>
        <v>8500</v>
      </c>
      <c r="H894" t="str">
        <f t="shared" si="149"/>
        <v>{cd,3000}</v>
      </c>
      <c r="I894" t="str">
        <f t="shared" si="150"/>
        <v>{hp,87700}</v>
      </c>
      <c r="J894" t="str">
        <f t="shared" si="151"/>
        <v>{atk,604}</v>
      </c>
      <c r="K894" t="str">
        <f t="shared" si="152"/>
        <v>{spd,8500}</v>
      </c>
      <c r="L894" t="str">
        <f t="shared" si="153"/>
        <v/>
      </c>
      <c r="O894" t="str">
        <f t="shared" si="148"/>
        <v>[{cd,3000},{hp,87700},{atk,604},{spd,8500}]</v>
      </c>
    </row>
    <row r="895" spans="1:15">
      <c r="A895">
        <f>Sheet1!E897</f>
        <v>124</v>
      </c>
      <c r="B895">
        <f t="shared" si="154"/>
        <v>179</v>
      </c>
      <c r="C895">
        <v>3000</v>
      </c>
      <c r="D895">
        <f>VLOOKUP(B895,[1]怪物!$N$34:$T$233,3,0)</f>
        <v>105240</v>
      </c>
      <c r="E895">
        <f>VLOOKUP(B895,[2]怪物!$N$134:$T$233,6,0)</f>
        <v>725</v>
      </c>
      <c r="F895" s="1">
        <f t="shared" si="147"/>
        <v>8500</v>
      </c>
      <c r="H895" t="str">
        <f t="shared" si="149"/>
        <v>{cd,3000}</v>
      </c>
      <c r="I895" t="str">
        <f t="shared" si="150"/>
        <v>{hp,105240}</v>
      </c>
      <c r="J895" t="str">
        <f t="shared" si="151"/>
        <v>{atk,725}</v>
      </c>
      <c r="K895" t="str">
        <f t="shared" si="152"/>
        <v>{spd,8500}</v>
      </c>
      <c r="L895" t="str">
        <f t="shared" si="153"/>
        <v>{downCritDmg,5000},{resRate,2000}</v>
      </c>
      <c r="O895" t="str">
        <f t="shared" si="148"/>
        <v>[{cd,3000},{hp,105240},{atk,725},{spd,8500},{downCritDmg,5000},{resRate,2000}]</v>
      </c>
    </row>
    <row r="896" spans="1:15">
      <c r="A896">
        <f>Sheet1!E898</f>
        <v>123</v>
      </c>
      <c r="B896">
        <f t="shared" si="154"/>
        <v>179</v>
      </c>
      <c r="C896">
        <v>3000</v>
      </c>
      <c r="D896">
        <f>VLOOKUP(B896,[1]怪物!$N$34:$T$233,4,0)</f>
        <v>131550</v>
      </c>
      <c r="E896">
        <f>VLOOKUP(B896,[2]怪物!$N$134:$T$233,7,0)</f>
        <v>906</v>
      </c>
      <c r="F896" s="1">
        <f t="shared" si="147"/>
        <v>8500</v>
      </c>
      <c r="H896" t="str">
        <f t="shared" si="149"/>
        <v>{cd,3000}</v>
      </c>
      <c r="I896" t="str">
        <f t="shared" si="150"/>
        <v>{hp,131550}</v>
      </c>
      <c r="J896" t="str">
        <f t="shared" si="151"/>
        <v>{atk,906}</v>
      </c>
      <c r="K896" t="str">
        <f t="shared" si="152"/>
        <v>{spd,8500}</v>
      </c>
      <c r="L896" t="str">
        <f t="shared" si="153"/>
        <v/>
      </c>
      <c r="O896" t="str">
        <f t="shared" si="148"/>
        <v>[{cd,3000},{hp,131550},{atk,906},{spd,8500}]</v>
      </c>
    </row>
    <row r="897" spans="1:15">
      <c r="A897">
        <f>Sheet1!E899</f>
        <v>524</v>
      </c>
      <c r="B897">
        <f t="shared" si="154"/>
        <v>179</v>
      </c>
      <c r="C897">
        <v>3000</v>
      </c>
      <c r="D897">
        <f>VLOOKUP(B897,[1]怪物!$U$34:$Y$234,2,0)</f>
        <v>5262000</v>
      </c>
      <c r="E897">
        <f>VLOOKUP(B897,[2]怪物!$U$134:$Y$233,4,0)</f>
        <v>2265</v>
      </c>
      <c r="F897" s="1">
        <f t="shared" si="147"/>
        <v>8500</v>
      </c>
      <c r="H897" t="str">
        <f t="shared" si="149"/>
        <v>{cd,3000}</v>
      </c>
      <c r="I897" t="str">
        <f t="shared" si="150"/>
        <v>{hp,5262000}</v>
      </c>
      <c r="J897" t="str">
        <f t="shared" si="151"/>
        <v>{atk,2265}</v>
      </c>
      <c r="K897" t="str">
        <f t="shared" si="152"/>
        <v>{spd,8500}</v>
      </c>
      <c r="L897" t="str">
        <f t="shared" si="153"/>
        <v>{downCritDmg,5000},{resRate,2000}</v>
      </c>
      <c r="O897" t="str">
        <f t="shared" si="148"/>
        <v>[{cd,3000},{hp,5262000},{atk,2265},{spd,8500},{downCritDmg,5000},{resRate,2000}]</v>
      </c>
    </row>
    <row r="898" spans="1:15">
      <c r="A898">
        <f>Sheet1!E900</f>
        <v>524</v>
      </c>
      <c r="B898">
        <f t="shared" si="154"/>
        <v>179</v>
      </c>
      <c r="C898">
        <v>3000</v>
      </c>
      <c r="D898">
        <f>VLOOKUP(B898,[1]怪物!$U$34:$Y$234,3,0)</f>
        <v>7016000</v>
      </c>
      <c r="E898">
        <f>VLOOKUP(B898,[2]怪物!$U$134:$Y$233,5,0)</f>
        <v>4530</v>
      </c>
      <c r="F898" s="1">
        <f t="shared" si="147"/>
        <v>8500</v>
      </c>
      <c r="H898" t="str">
        <f t="shared" si="149"/>
        <v>{cd,3000}</v>
      </c>
      <c r="I898" t="str">
        <f t="shared" si="150"/>
        <v>{hp,7016000}</v>
      </c>
      <c r="J898" t="str">
        <f t="shared" si="151"/>
        <v>{atk,4530}</v>
      </c>
      <c r="K898" t="str">
        <f t="shared" si="152"/>
        <v>{spd,8500}</v>
      </c>
      <c r="L898" t="str">
        <f t="shared" si="153"/>
        <v>{downCritDmg,5000},{resRate,2000}</v>
      </c>
      <c r="O898" t="str">
        <f t="shared" si="148"/>
        <v>[{cd,3000},{hp,7016000},{atk,4530},{spd,8500},{downCritDmg,5000},{resRate,2000}]</v>
      </c>
    </row>
    <row r="899" spans="1:15">
      <c r="A899">
        <f>Sheet1!E901</f>
        <v>100</v>
      </c>
      <c r="B899">
        <f t="shared" si="154"/>
        <v>180</v>
      </c>
      <c r="C899">
        <v>3000</v>
      </c>
      <c r="D899">
        <f>VLOOKUP(B899,[1]怪物!$N$34:$T$233,2,0)</f>
        <v>90200</v>
      </c>
      <c r="E899">
        <f>VLOOKUP(B899,[2]怪物!$N$134:$T$233,5,0)</f>
        <v>680</v>
      </c>
      <c r="F899" s="1">
        <f t="shared" si="147"/>
        <v>8500</v>
      </c>
      <c r="H899" t="str">
        <f t="shared" si="149"/>
        <v>{cd,3000}</v>
      </c>
      <c r="I899" t="str">
        <f t="shared" si="150"/>
        <v>{hp,90200}</v>
      </c>
      <c r="J899" t="str">
        <f t="shared" si="151"/>
        <v>{atk,680}</v>
      </c>
      <c r="K899" t="str">
        <f t="shared" si="152"/>
        <v>{spd,8500}</v>
      </c>
      <c r="L899" t="str">
        <f t="shared" si="153"/>
        <v/>
      </c>
      <c r="O899" t="str">
        <f t="shared" si="148"/>
        <v>[{cd,3000},{hp,90200},{atk,680},{spd,8500}]</v>
      </c>
    </row>
    <row r="900" spans="1:15">
      <c r="A900">
        <f>Sheet1!E902</f>
        <v>102</v>
      </c>
      <c r="B900">
        <f t="shared" si="154"/>
        <v>180</v>
      </c>
      <c r="C900">
        <v>3000</v>
      </c>
      <c r="D900">
        <f>VLOOKUP(B900,[1]怪物!$N$34:$T$233,3,0)</f>
        <v>108240</v>
      </c>
      <c r="E900">
        <f>VLOOKUP(B900,[2]怪物!$N$134:$T$233,6,0)</f>
        <v>816</v>
      </c>
      <c r="F900" s="1">
        <f t="shared" si="147"/>
        <v>8500</v>
      </c>
      <c r="H900" t="str">
        <f t="shared" si="149"/>
        <v>{cd,3000}</v>
      </c>
      <c r="I900" t="str">
        <f t="shared" si="150"/>
        <v>{hp,108240}</v>
      </c>
      <c r="J900" t="str">
        <f t="shared" si="151"/>
        <v>{atk,816}</v>
      </c>
      <c r="K900" t="str">
        <f t="shared" si="152"/>
        <v>{spd,8500}</v>
      </c>
      <c r="L900" t="str">
        <f t="shared" si="153"/>
        <v/>
      </c>
      <c r="O900" t="str">
        <f t="shared" si="148"/>
        <v>[{cd,3000},{hp,108240},{atk,816},{spd,8500}]</v>
      </c>
    </row>
    <row r="901" spans="1:15">
      <c r="A901">
        <f>Sheet1!E903</f>
        <v>105</v>
      </c>
      <c r="B901">
        <f t="shared" si="154"/>
        <v>180</v>
      </c>
      <c r="C901">
        <v>3000</v>
      </c>
      <c r="D901">
        <f>VLOOKUP(B901,[1]怪物!$N$34:$T$233,4,0)</f>
        <v>135300</v>
      </c>
      <c r="E901">
        <f>VLOOKUP(B901,[2]怪物!$N$134:$T$233,7,0)</f>
        <v>1020</v>
      </c>
      <c r="F901" s="1">
        <f t="shared" ref="F901:F964" si="155">VLOOKUP(A901,$W:$AB,6,0)</f>
        <v>8500</v>
      </c>
      <c r="H901" t="str">
        <f t="shared" si="149"/>
        <v>{cd,3000}</v>
      </c>
      <c r="I901" t="str">
        <f t="shared" si="150"/>
        <v>{hp,135300}</v>
      </c>
      <c r="J901" t="str">
        <f t="shared" si="151"/>
        <v>{atk,1020}</v>
      </c>
      <c r="K901" t="str">
        <f t="shared" si="152"/>
        <v>{spd,8500}</v>
      </c>
      <c r="L901" t="str">
        <f t="shared" si="153"/>
        <v/>
      </c>
      <c r="O901" t="str">
        <f t="shared" ref="O901:O964" si="156">"["&amp;_xlfn.TEXTJOIN(",",1,H901:M901)&amp;"]"</f>
        <v>[{cd,3000},{hp,135300},{atk,1020},{spd,8500}]</v>
      </c>
    </row>
    <row r="902" spans="1:15">
      <c r="A902">
        <f>Sheet1!E904</f>
        <v>502</v>
      </c>
      <c r="B902">
        <f t="shared" si="154"/>
        <v>180</v>
      </c>
      <c r="C902">
        <v>3000</v>
      </c>
      <c r="D902">
        <f>VLOOKUP(B902,[1]怪物!$U$34:$Y$234,2,0)</f>
        <v>5412000</v>
      </c>
      <c r="E902">
        <f>VLOOKUP(B902,[2]怪物!$U$134:$Y$233,4,0)</f>
        <v>2550</v>
      </c>
      <c r="F902" s="1">
        <f t="shared" si="155"/>
        <v>8500</v>
      </c>
      <c r="H902" t="str">
        <f t="shared" si="149"/>
        <v>{cd,3000}</v>
      </c>
      <c r="I902" t="str">
        <f t="shared" si="150"/>
        <v>{hp,5412000}</v>
      </c>
      <c r="J902" t="str">
        <f t="shared" si="151"/>
        <v>{atk,2550}</v>
      </c>
      <c r="K902" t="str">
        <f t="shared" si="152"/>
        <v>{spd,8500}</v>
      </c>
      <c r="L902" t="str">
        <f t="shared" si="153"/>
        <v/>
      </c>
      <c r="O902" t="str">
        <f t="shared" si="156"/>
        <v>[{cd,3000},{hp,5412000},{atk,2550},{spd,8500}]</v>
      </c>
    </row>
    <row r="903" spans="1:15">
      <c r="A903">
        <f>Sheet1!E905</f>
        <v>500</v>
      </c>
      <c r="B903">
        <f t="shared" si="154"/>
        <v>180</v>
      </c>
      <c r="C903">
        <v>3000</v>
      </c>
      <c r="D903">
        <f>VLOOKUP(B903,[1]怪物!$U$34:$Y$234,3,0)</f>
        <v>7216000</v>
      </c>
      <c r="E903">
        <f>VLOOKUP(B903,[2]怪物!$U$134:$Y$233,5,0)</f>
        <v>5100</v>
      </c>
      <c r="F903" s="1">
        <f t="shared" si="155"/>
        <v>8500</v>
      </c>
      <c r="H903" t="str">
        <f t="shared" si="149"/>
        <v>{cd,3000}</v>
      </c>
      <c r="I903" t="str">
        <f t="shared" si="150"/>
        <v>{hp,7216000}</v>
      </c>
      <c r="J903" t="str">
        <f t="shared" si="151"/>
        <v>{atk,5100}</v>
      </c>
      <c r="K903" t="str">
        <f t="shared" si="152"/>
        <v>{spd,8500}</v>
      </c>
      <c r="L903" t="str">
        <f t="shared" si="153"/>
        <v/>
      </c>
      <c r="O903" t="str">
        <f t="shared" si="156"/>
        <v>[{cd,3000},{hp,7216000},{atk,5100},{spd,8500}]</v>
      </c>
    </row>
    <row r="904" spans="1:15">
      <c r="A904">
        <f>Sheet1!E906</f>
        <v>125</v>
      </c>
      <c r="B904">
        <f t="shared" si="154"/>
        <v>181</v>
      </c>
      <c r="C904">
        <v>3000</v>
      </c>
      <c r="D904">
        <f>VLOOKUP(B904,[1]怪物!$N$34:$T$233,2,0)</f>
        <v>88700</v>
      </c>
      <c r="E904">
        <f>VLOOKUP(B904,[2]怪物!$N$134:$T$233,5,0)</f>
        <v>616</v>
      </c>
      <c r="F904" s="1">
        <f t="shared" si="155"/>
        <v>8500</v>
      </c>
      <c r="H904" t="str">
        <f t="shared" si="149"/>
        <v>{cd,3000}</v>
      </c>
      <c r="I904" t="str">
        <f t="shared" si="150"/>
        <v>{hp,88700}</v>
      </c>
      <c r="J904" t="str">
        <f t="shared" si="151"/>
        <v>{atk,616}</v>
      </c>
      <c r="K904" t="str">
        <f t="shared" si="152"/>
        <v>{spd,8500}</v>
      </c>
      <c r="L904" t="str">
        <f t="shared" si="153"/>
        <v/>
      </c>
      <c r="O904" t="str">
        <f t="shared" si="156"/>
        <v>[{cd,3000},{hp,88700},{atk,616},{spd,8500}]</v>
      </c>
    </row>
    <row r="905" spans="1:15">
      <c r="A905">
        <f>Sheet1!E907</f>
        <v>127</v>
      </c>
      <c r="B905">
        <f t="shared" si="154"/>
        <v>181</v>
      </c>
      <c r="C905">
        <v>3000</v>
      </c>
      <c r="D905">
        <f>VLOOKUP(B905,[1]怪物!$N$34:$T$233,3,0)</f>
        <v>106440</v>
      </c>
      <c r="E905">
        <f>VLOOKUP(B905,[2]怪物!$N$134:$T$233,6,0)</f>
        <v>739</v>
      </c>
      <c r="F905" s="1">
        <f t="shared" si="155"/>
        <v>8500</v>
      </c>
      <c r="H905" t="str">
        <f t="shared" si="149"/>
        <v>{cd,3000}</v>
      </c>
      <c r="I905" t="str">
        <f t="shared" si="150"/>
        <v>{hp,106440}</v>
      </c>
      <c r="J905" t="str">
        <f t="shared" si="151"/>
        <v>{atk,739}</v>
      </c>
      <c r="K905" t="str">
        <f t="shared" si="152"/>
        <v>{spd,8500}</v>
      </c>
      <c r="L905" t="str">
        <f t="shared" si="153"/>
        <v/>
      </c>
      <c r="O905" t="str">
        <f t="shared" si="156"/>
        <v>[{cd,3000},{hp,106440},{atk,739},{spd,8500}]</v>
      </c>
    </row>
    <row r="906" spans="1:15">
      <c r="A906">
        <f>Sheet1!E908</f>
        <v>126</v>
      </c>
      <c r="B906">
        <f t="shared" si="154"/>
        <v>181</v>
      </c>
      <c r="C906">
        <v>3000</v>
      </c>
      <c r="D906">
        <f>VLOOKUP(B906,[1]怪物!$N$34:$T$233,4,0)</f>
        <v>133050</v>
      </c>
      <c r="E906">
        <f>VLOOKUP(B906,[2]怪物!$N$134:$T$233,7,0)</f>
        <v>924</v>
      </c>
      <c r="F906" s="1">
        <f t="shared" si="155"/>
        <v>8500</v>
      </c>
      <c r="H906" t="str">
        <f t="shared" si="149"/>
        <v>{cd,3000}</v>
      </c>
      <c r="I906" t="str">
        <f t="shared" si="150"/>
        <v>{hp,133050}</v>
      </c>
      <c r="J906" t="str">
        <f t="shared" si="151"/>
        <v>{atk,924}</v>
      </c>
      <c r="K906" t="str">
        <f t="shared" si="152"/>
        <v>{spd,8500}</v>
      </c>
      <c r="L906" t="str">
        <f t="shared" si="153"/>
        <v>{miss,1500}</v>
      </c>
      <c r="O906" t="str">
        <f t="shared" si="156"/>
        <v>[{cd,3000},{hp,133050},{atk,924},{spd,8500},{miss,1500}]</v>
      </c>
    </row>
    <row r="907" spans="1:15">
      <c r="A907">
        <f>Sheet1!E909</f>
        <v>527</v>
      </c>
      <c r="B907">
        <f t="shared" si="154"/>
        <v>181</v>
      </c>
      <c r="C907">
        <v>3000</v>
      </c>
      <c r="D907">
        <f>VLOOKUP(B907,[1]怪物!$U$34:$Y$234,2,0)</f>
        <v>5322000</v>
      </c>
      <c r="E907">
        <f>VLOOKUP(B907,[2]怪物!$U$134:$Y$233,4,0)</f>
        <v>2310</v>
      </c>
      <c r="F907" s="1">
        <f t="shared" si="155"/>
        <v>8500</v>
      </c>
      <c r="H907" t="str">
        <f t="shared" si="149"/>
        <v>{cd,3000}</v>
      </c>
      <c r="I907" t="str">
        <f t="shared" si="150"/>
        <v>{hp,5322000}</v>
      </c>
      <c r="J907" t="str">
        <f t="shared" si="151"/>
        <v>{atk,2310}</v>
      </c>
      <c r="K907" t="str">
        <f t="shared" si="152"/>
        <v>{spd,8500}</v>
      </c>
      <c r="L907" t="str">
        <f t="shared" si="153"/>
        <v/>
      </c>
      <c r="O907" t="str">
        <f t="shared" si="156"/>
        <v>[{cd,3000},{hp,5322000},{atk,2310},{spd,8500}]</v>
      </c>
    </row>
    <row r="908" spans="1:15">
      <c r="A908">
        <f>Sheet1!E910</f>
        <v>527</v>
      </c>
      <c r="B908">
        <f t="shared" si="154"/>
        <v>181</v>
      </c>
      <c r="C908">
        <v>3000</v>
      </c>
      <c r="D908">
        <f>VLOOKUP(B908,[1]怪物!$U$34:$Y$234,3,0)</f>
        <v>7096000</v>
      </c>
      <c r="E908">
        <f>VLOOKUP(B908,[2]怪物!$U$134:$Y$233,5,0)</f>
        <v>4620</v>
      </c>
      <c r="F908" s="1">
        <f t="shared" si="155"/>
        <v>8500</v>
      </c>
      <c r="H908" t="str">
        <f t="shared" si="149"/>
        <v>{cd,3000}</v>
      </c>
      <c r="I908" t="str">
        <f t="shared" si="150"/>
        <v>{hp,7096000}</v>
      </c>
      <c r="J908" t="str">
        <f t="shared" si="151"/>
        <v>{atk,4620}</v>
      </c>
      <c r="K908" t="str">
        <f t="shared" si="152"/>
        <v>{spd,8500}</v>
      </c>
      <c r="L908" t="str">
        <f t="shared" si="153"/>
        <v/>
      </c>
      <c r="O908" t="str">
        <f t="shared" si="156"/>
        <v>[{cd,3000},{hp,7096000},{atk,4620},{spd,8500}]</v>
      </c>
    </row>
    <row r="909" spans="1:15">
      <c r="A909">
        <f>Sheet1!E911</f>
        <v>101</v>
      </c>
      <c r="B909">
        <f t="shared" si="154"/>
        <v>182</v>
      </c>
      <c r="C909">
        <v>3000</v>
      </c>
      <c r="D909">
        <f>VLOOKUP(B909,[1]怪物!$N$34:$T$233,2,0)</f>
        <v>89900</v>
      </c>
      <c r="E909">
        <f>VLOOKUP(B909,[2]怪物!$N$134:$T$233,5,0)</f>
        <v>628</v>
      </c>
      <c r="F909" s="1">
        <f t="shared" si="155"/>
        <v>8500</v>
      </c>
      <c r="H909" t="str">
        <f t="shared" si="149"/>
        <v>{cd,3000}</v>
      </c>
      <c r="I909" t="str">
        <f t="shared" si="150"/>
        <v>{hp,89900}</v>
      </c>
      <c r="J909" t="str">
        <f t="shared" si="151"/>
        <v>{atk,628}</v>
      </c>
      <c r="K909" t="str">
        <f t="shared" si="152"/>
        <v>{spd,8500}</v>
      </c>
      <c r="L909" t="str">
        <f t="shared" si="153"/>
        <v/>
      </c>
      <c r="O909" t="str">
        <f t="shared" si="156"/>
        <v>[{cd,3000},{hp,89900},{atk,628},{spd,8500}]</v>
      </c>
    </row>
    <row r="910" spans="1:15">
      <c r="A910">
        <f>Sheet1!E912</f>
        <v>106</v>
      </c>
      <c r="B910">
        <f t="shared" si="154"/>
        <v>182</v>
      </c>
      <c r="C910">
        <v>3000</v>
      </c>
      <c r="D910">
        <f>VLOOKUP(B910,[1]怪物!$N$34:$T$233,3,0)</f>
        <v>107880</v>
      </c>
      <c r="E910">
        <f>VLOOKUP(B910,[2]怪物!$N$134:$T$233,6,0)</f>
        <v>754</v>
      </c>
      <c r="F910" s="1">
        <f t="shared" si="155"/>
        <v>8500</v>
      </c>
      <c r="H910" t="str">
        <f t="shared" si="149"/>
        <v>{cd,3000}</v>
      </c>
      <c r="I910" t="str">
        <f t="shared" si="150"/>
        <v>{hp,107880}</v>
      </c>
      <c r="J910" t="str">
        <f t="shared" si="151"/>
        <v>{atk,754}</v>
      </c>
      <c r="K910" t="str">
        <f t="shared" si="152"/>
        <v>{spd,8500}</v>
      </c>
      <c r="L910" t="str">
        <f t="shared" si="153"/>
        <v/>
      </c>
      <c r="O910" t="str">
        <f t="shared" si="156"/>
        <v>[{cd,3000},{hp,107880},{atk,754},{spd,8500}]</v>
      </c>
    </row>
    <row r="911" spans="1:15">
      <c r="A911">
        <f>Sheet1!E913</f>
        <v>106</v>
      </c>
      <c r="B911">
        <f t="shared" si="154"/>
        <v>182</v>
      </c>
      <c r="C911">
        <v>3000</v>
      </c>
      <c r="D911">
        <f>VLOOKUP(B911,[1]怪物!$N$34:$T$233,4,0)</f>
        <v>134850</v>
      </c>
      <c r="E911">
        <f>VLOOKUP(B911,[2]怪物!$N$134:$T$233,7,0)</f>
        <v>942</v>
      </c>
      <c r="F911" s="1">
        <f t="shared" si="155"/>
        <v>8500</v>
      </c>
      <c r="H911" t="str">
        <f t="shared" si="149"/>
        <v>{cd,3000}</v>
      </c>
      <c r="I911" t="str">
        <f t="shared" si="150"/>
        <v>{hp,134850}</v>
      </c>
      <c r="J911" t="str">
        <f t="shared" si="151"/>
        <v>{atk,942}</v>
      </c>
      <c r="K911" t="str">
        <f t="shared" si="152"/>
        <v>{spd,8500}</v>
      </c>
      <c r="L911" t="str">
        <f t="shared" si="153"/>
        <v/>
      </c>
      <c r="O911" t="str">
        <f t="shared" si="156"/>
        <v>[{cd,3000},{hp,134850},{atk,942},{spd,8500}]</v>
      </c>
    </row>
    <row r="912" spans="1:15">
      <c r="A912">
        <f>Sheet1!E914</f>
        <v>501</v>
      </c>
      <c r="B912">
        <f t="shared" si="154"/>
        <v>182</v>
      </c>
      <c r="C912">
        <v>3000</v>
      </c>
      <c r="D912">
        <f>VLOOKUP(B912,[1]怪物!$U$34:$Y$234,2,0)</f>
        <v>5394000</v>
      </c>
      <c r="E912">
        <f>VLOOKUP(B912,[2]怪物!$U$134:$Y$233,4,0)</f>
        <v>2355</v>
      </c>
      <c r="F912" s="1">
        <f t="shared" si="155"/>
        <v>8500</v>
      </c>
      <c r="H912" t="str">
        <f t="shared" si="149"/>
        <v>{cd,3000}</v>
      </c>
      <c r="I912" t="str">
        <f t="shared" si="150"/>
        <v>{hp,5394000}</v>
      </c>
      <c r="J912" t="str">
        <f t="shared" si="151"/>
        <v>{atk,2355}</v>
      </c>
      <c r="K912" t="str">
        <f t="shared" si="152"/>
        <v>{spd,8500}</v>
      </c>
      <c r="L912" t="str">
        <f t="shared" si="153"/>
        <v/>
      </c>
      <c r="O912" t="str">
        <f t="shared" si="156"/>
        <v>[{cd,3000},{hp,5394000},{atk,2355},{spd,8500}]</v>
      </c>
    </row>
    <row r="913" spans="1:15">
      <c r="A913">
        <f>Sheet1!E915</f>
        <v>501</v>
      </c>
      <c r="B913">
        <f t="shared" si="154"/>
        <v>182</v>
      </c>
      <c r="C913">
        <v>3000</v>
      </c>
      <c r="D913">
        <f>VLOOKUP(B913,[1]怪物!$U$34:$Y$234,3,0)</f>
        <v>7192000</v>
      </c>
      <c r="E913">
        <f>VLOOKUP(B913,[2]怪物!$U$134:$Y$233,5,0)</f>
        <v>4710</v>
      </c>
      <c r="F913" s="1">
        <f t="shared" si="155"/>
        <v>8500</v>
      </c>
      <c r="H913" t="str">
        <f t="shared" si="149"/>
        <v>{cd,3000}</v>
      </c>
      <c r="I913" t="str">
        <f t="shared" si="150"/>
        <v>{hp,7192000}</v>
      </c>
      <c r="J913" t="str">
        <f t="shared" si="151"/>
        <v>{atk,4710}</v>
      </c>
      <c r="K913" t="str">
        <f t="shared" si="152"/>
        <v>{spd,8500}</v>
      </c>
      <c r="L913" t="str">
        <f t="shared" si="153"/>
        <v/>
      </c>
      <c r="O913" t="str">
        <f t="shared" si="156"/>
        <v>[{cd,3000},{hp,7192000},{atk,4710},{spd,8500}]</v>
      </c>
    </row>
    <row r="914" spans="1:15">
      <c r="A914">
        <f>Sheet1!E916</f>
        <v>108</v>
      </c>
      <c r="B914">
        <f t="shared" si="154"/>
        <v>183</v>
      </c>
      <c r="C914">
        <v>3000</v>
      </c>
      <c r="D914">
        <f>VLOOKUP(B914,[1]怪物!$N$34:$T$233,2,0)</f>
        <v>91300</v>
      </c>
      <c r="E914">
        <f>VLOOKUP(B914,[2]怪物!$N$134:$T$233,5,0)</f>
        <v>640</v>
      </c>
      <c r="F914" s="1">
        <f t="shared" si="155"/>
        <v>8500</v>
      </c>
      <c r="H914" t="str">
        <f t="shared" si="149"/>
        <v>{cd,3000}</v>
      </c>
      <c r="I914" t="str">
        <f t="shared" si="150"/>
        <v>{hp,91300}</v>
      </c>
      <c r="J914" t="str">
        <f t="shared" si="151"/>
        <v>{atk,640}</v>
      </c>
      <c r="K914" t="str">
        <f t="shared" si="152"/>
        <v>{spd,8500}</v>
      </c>
      <c r="L914" t="str">
        <f t="shared" si="153"/>
        <v/>
      </c>
      <c r="O914" t="str">
        <f t="shared" si="156"/>
        <v>[{cd,3000},{hp,91300},{atk,640},{spd,8500}]</v>
      </c>
    </row>
    <row r="915" spans="1:15">
      <c r="A915">
        <f>Sheet1!E917</f>
        <v>107</v>
      </c>
      <c r="B915">
        <f t="shared" si="154"/>
        <v>183</v>
      </c>
      <c r="C915">
        <v>3000</v>
      </c>
      <c r="D915">
        <f>VLOOKUP(B915,[1]怪物!$N$34:$T$233,3,0)</f>
        <v>109560</v>
      </c>
      <c r="E915">
        <f>VLOOKUP(B915,[2]怪物!$N$134:$T$233,6,0)</f>
        <v>768</v>
      </c>
      <c r="F915" s="1">
        <f t="shared" si="155"/>
        <v>8500</v>
      </c>
      <c r="H915" t="str">
        <f t="shared" si="149"/>
        <v>{cd,3000}</v>
      </c>
      <c r="I915" t="str">
        <f t="shared" si="150"/>
        <v>{hp,109560}</v>
      </c>
      <c r="J915" t="str">
        <f t="shared" si="151"/>
        <v>{atk,768}</v>
      </c>
      <c r="K915" t="str">
        <f t="shared" si="152"/>
        <v>{spd,8500}</v>
      </c>
      <c r="L915" t="str">
        <f t="shared" si="153"/>
        <v/>
      </c>
      <c r="O915" t="str">
        <f t="shared" si="156"/>
        <v>[{cd,3000},{hp,109560},{atk,768},{spd,8500}]</v>
      </c>
    </row>
    <row r="916" spans="1:15">
      <c r="A916">
        <f>Sheet1!E918</f>
        <v>109</v>
      </c>
      <c r="B916">
        <f t="shared" si="154"/>
        <v>183</v>
      </c>
      <c r="C916">
        <v>3000</v>
      </c>
      <c r="D916">
        <f>VLOOKUP(B916,[1]怪物!$N$34:$T$233,4,0)</f>
        <v>136950</v>
      </c>
      <c r="E916">
        <f>VLOOKUP(B916,[2]怪物!$N$134:$T$233,7,0)</f>
        <v>960</v>
      </c>
      <c r="F916" s="1">
        <f t="shared" si="155"/>
        <v>8500</v>
      </c>
      <c r="H916" t="str">
        <f t="shared" si="149"/>
        <v>{cd,3000}</v>
      </c>
      <c r="I916" t="str">
        <f t="shared" si="150"/>
        <v>{hp,136950}</v>
      </c>
      <c r="J916" t="str">
        <f t="shared" si="151"/>
        <v>{atk,960}</v>
      </c>
      <c r="K916" t="str">
        <f t="shared" si="152"/>
        <v>{spd,8500}</v>
      </c>
      <c r="L916" t="str">
        <f t="shared" si="153"/>
        <v/>
      </c>
      <c r="O916" t="str">
        <f t="shared" si="156"/>
        <v>[{cd,3000},{hp,136950},{atk,960},{spd,8500}]</v>
      </c>
    </row>
    <row r="917" spans="1:15">
      <c r="A917">
        <f>Sheet1!E919</f>
        <v>508</v>
      </c>
      <c r="B917">
        <f t="shared" si="154"/>
        <v>183</v>
      </c>
      <c r="C917">
        <v>3000</v>
      </c>
      <c r="D917">
        <f>VLOOKUP(B917,[1]怪物!$U$34:$Y$234,2,0)</f>
        <v>5478000</v>
      </c>
      <c r="E917">
        <f>VLOOKUP(B917,[2]怪物!$U$134:$Y$233,4,0)</f>
        <v>2400</v>
      </c>
      <c r="F917" s="1">
        <f t="shared" si="155"/>
        <v>8500</v>
      </c>
      <c r="H917" t="str">
        <f t="shared" si="149"/>
        <v>{cd,3000}</v>
      </c>
      <c r="I917" t="str">
        <f t="shared" si="150"/>
        <v>{hp,5478000}</v>
      </c>
      <c r="J917" t="str">
        <f t="shared" si="151"/>
        <v>{atk,2400}</v>
      </c>
      <c r="K917" t="str">
        <f t="shared" si="152"/>
        <v>{spd,8500}</v>
      </c>
      <c r="L917" t="str">
        <f t="shared" si="153"/>
        <v/>
      </c>
      <c r="O917" t="str">
        <f t="shared" si="156"/>
        <v>[{cd,3000},{hp,5478000},{atk,2400},{spd,8500}]</v>
      </c>
    </row>
    <row r="918" spans="1:15">
      <c r="A918">
        <f>Sheet1!E920</f>
        <v>508</v>
      </c>
      <c r="B918">
        <f t="shared" si="154"/>
        <v>183</v>
      </c>
      <c r="C918">
        <v>3000</v>
      </c>
      <c r="D918">
        <f>VLOOKUP(B918,[1]怪物!$U$34:$Y$234,3,0)</f>
        <v>7304000</v>
      </c>
      <c r="E918">
        <f>VLOOKUP(B918,[2]怪物!$U$134:$Y$233,5,0)</f>
        <v>4800</v>
      </c>
      <c r="F918" s="1">
        <f t="shared" si="155"/>
        <v>8500</v>
      </c>
      <c r="H918" t="str">
        <f t="shared" ref="H918:H953" si="157">$C$2&amp;C$3&amp;$D$2&amp;C918&amp;$E$2</f>
        <v>{cd,3000}</v>
      </c>
      <c r="I918" t="str">
        <f t="shared" ref="I918:I953" si="158">$C$2&amp;D$3&amp;$D$2&amp;D918&amp;$E$2</f>
        <v>{hp,7304000}</v>
      </c>
      <c r="J918" t="str">
        <f t="shared" ref="J918:J953" si="159">$C$2&amp;E$3&amp;$D$2&amp;E918&amp;$E$2</f>
        <v>{atk,4800}</v>
      </c>
      <c r="K918" t="str">
        <f t="shared" ref="K918:K953" si="160">$C$2&amp;F$3&amp;$D$2&amp;F918&amp;$E$2</f>
        <v>{spd,8500}</v>
      </c>
      <c r="L918" t="str">
        <f t="shared" ref="L918:L953" si="161">IF(VLOOKUP(A918,$W:$AC,7,0)=0,"",VLOOKUP(A918,$W:$AC,7,0))</f>
        <v/>
      </c>
      <c r="O918" t="str">
        <f t="shared" si="156"/>
        <v>[{cd,3000},{hp,7304000},{atk,4800},{spd,8500}]</v>
      </c>
    </row>
    <row r="919" spans="1:15">
      <c r="A919">
        <f>Sheet1!E921</f>
        <v>100</v>
      </c>
      <c r="B919">
        <f t="shared" si="154"/>
        <v>184</v>
      </c>
      <c r="C919">
        <v>3000</v>
      </c>
      <c r="D919">
        <f>VLOOKUP(B919,[1]怪物!$N$34:$T$233,2,0)</f>
        <v>94300</v>
      </c>
      <c r="E919">
        <f>VLOOKUP(B919,[2]怪物!$N$134:$T$233,5,0)</f>
        <v>740</v>
      </c>
      <c r="F919" s="1">
        <f t="shared" si="155"/>
        <v>8500</v>
      </c>
      <c r="H919" t="str">
        <f t="shared" si="157"/>
        <v>{cd,3000}</v>
      </c>
      <c r="I919" t="str">
        <f t="shared" si="158"/>
        <v>{hp,94300}</v>
      </c>
      <c r="J919" t="str">
        <f t="shared" si="159"/>
        <v>{atk,740}</v>
      </c>
      <c r="K919" t="str">
        <f t="shared" si="160"/>
        <v>{spd,8500}</v>
      </c>
      <c r="L919" t="str">
        <f t="shared" si="161"/>
        <v/>
      </c>
      <c r="O919" t="str">
        <f t="shared" si="156"/>
        <v>[{cd,3000},{hp,94300},{atk,740},{spd,8500}]</v>
      </c>
    </row>
    <row r="920" spans="1:15">
      <c r="A920">
        <f>Sheet1!E922</f>
        <v>102</v>
      </c>
      <c r="B920">
        <f t="shared" si="154"/>
        <v>184</v>
      </c>
      <c r="C920">
        <v>3000</v>
      </c>
      <c r="D920">
        <f>VLOOKUP(B920,[1]怪物!$N$34:$T$233,3,0)</f>
        <v>113160</v>
      </c>
      <c r="E920">
        <f>VLOOKUP(B920,[2]怪物!$N$134:$T$233,6,0)</f>
        <v>888</v>
      </c>
      <c r="F920" s="1">
        <f t="shared" si="155"/>
        <v>8500</v>
      </c>
      <c r="H920" t="str">
        <f t="shared" si="157"/>
        <v>{cd,3000}</v>
      </c>
      <c r="I920" t="str">
        <f t="shared" si="158"/>
        <v>{hp,113160}</v>
      </c>
      <c r="J920" t="str">
        <f t="shared" si="159"/>
        <v>{atk,888}</v>
      </c>
      <c r="K920" t="str">
        <f t="shared" si="160"/>
        <v>{spd,8500}</v>
      </c>
      <c r="L920" t="str">
        <f t="shared" si="161"/>
        <v/>
      </c>
      <c r="O920" t="str">
        <f t="shared" si="156"/>
        <v>[{cd,3000},{hp,113160},{atk,888},{spd,8500}]</v>
      </c>
    </row>
    <row r="921" spans="1:15">
      <c r="A921">
        <f>Sheet1!E923</f>
        <v>105</v>
      </c>
      <c r="B921">
        <f t="shared" si="154"/>
        <v>184</v>
      </c>
      <c r="C921">
        <v>3000</v>
      </c>
      <c r="D921">
        <f>VLOOKUP(B921,[1]怪物!$N$34:$T$233,4,0)</f>
        <v>141450</v>
      </c>
      <c r="E921">
        <f>VLOOKUP(B921,[2]怪物!$N$134:$T$233,7,0)</f>
        <v>1110</v>
      </c>
      <c r="F921" s="1">
        <f t="shared" si="155"/>
        <v>8500</v>
      </c>
      <c r="H921" t="str">
        <f t="shared" si="157"/>
        <v>{cd,3000}</v>
      </c>
      <c r="I921" t="str">
        <f t="shared" si="158"/>
        <v>{hp,141450}</v>
      </c>
      <c r="J921" t="str">
        <f t="shared" si="159"/>
        <v>{atk,1110}</v>
      </c>
      <c r="K921" t="str">
        <f t="shared" si="160"/>
        <v>{spd,8500}</v>
      </c>
      <c r="L921" t="str">
        <f t="shared" si="161"/>
        <v/>
      </c>
      <c r="O921" t="str">
        <f t="shared" si="156"/>
        <v>[{cd,3000},{hp,141450},{atk,1110},{spd,8500}]</v>
      </c>
    </row>
    <row r="922" spans="1:15">
      <c r="A922">
        <f>Sheet1!E924</f>
        <v>502</v>
      </c>
      <c r="B922">
        <f t="shared" si="154"/>
        <v>184</v>
      </c>
      <c r="C922">
        <v>3000</v>
      </c>
      <c r="D922">
        <f>VLOOKUP(B922,[1]怪物!$U$34:$Y$234,2,0)</f>
        <v>5658000</v>
      </c>
      <c r="E922">
        <f>VLOOKUP(B922,[2]怪物!$U$134:$Y$233,4,0)</f>
        <v>2775</v>
      </c>
      <c r="F922" s="1">
        <f t="shared" si="155"/>
        <v>8500</v>
      </c>
      <c r="H922" t="str">
        <f t="shared" si="157"/>
        <v>{cd,3000}</v>
      </c>
      <c r="I922" t="str">
        <f t="shared" si="158"/>
        <v>{hp,5658000}</v>
      </c>
      <c r="J922" t="str">
        <f t="shared" si="159"/>
        <v>{atk,2775}</v>
      </c>
      <c r="K922" t="str">
        <f t="shared" si="160"/>
        <v>{spd,8500}</v>
      </c>
      <c r="L922" t="str">
        <f t="shared" si="161"/>
        <v/>
      </c>
      <c r="O922" t="str">
        <f t="shared" si="156"/>
        <v>[{cd,3000},{hp,5658000},{atk,2775},{spd,8500}]</v>
      </c>
    </row>
    <row r="923" spans="1:15">
      <c r="A923">
        <f>Sheet1!E925</f>
        <v>500</v>
      </c>
      <c r="B923">
        <f t="shared" si="154"/>
        <v>184</v>
      </c>
      <c r="C923">
        <v>3000</v>
      </c>
      <c r="D923">
        <f>VLOOKUP(B923,[1]怪物!$U$34:$Y$234,3,0)</f>
        <v>7544000</v>
      </c>
      <c r="E923">
        <f>VLOOKUP(B923,[2]怪物!$U$134:$Y$233,5,0)</f>
        <v>5550</v>
      </c>
      <c r="F923" s="1">
        <f t="shared" si="155"/>
        <v>8500</v>
      </c>
      <c r="H923" t="str">
        <f t="shared" si="157"/>
        <v>{cd,3000}</v>
      </c>
      <c r="I923" t="str">
        <f t="shared" si="158"/>
        <v>{hp,7544000}</v>
      </c>
      <c r="J923" t="str">
        <f t="shared" si="159"/>
        <v>{atk,5550}</v>
      </c>
      <c r="K923" t="str">
        <f t="shared" si="160"/>
        <v>{spd,8500}</v>
      </c>
      <c r="L923" t="str">
        <f t="shared" si="161"/>
        <v/>
      </c>
      <c r="O923" t="str">
        <f t="shared" si="156"/>
        <v>[{cd,3000},{hp,7544000},{atk,5550},{spd,8500}]</v>
      </c>
    </row>
    <row r="924" spans="1:15">
      <c r="A924">
        <f>Sheet1!E926</f>
        <v>115</v>
      </c>
      <c r="B924">
        <f t="shared" si="154"/>
        <v>185</v>
      </c>
      <c r="C924">
        <v>3000</v>
      </c>
      <c r="D924">
        <f>VLOOKUP(B924,[1]怪物!$N$34:$T$233,2,0)</f>
        <v>92300</v>
      </c>
      <c r="E924">
        <f>VLOOKUP(B924,[2]怪物!$N$134:$T$233,5,0)</f>
        <v>652</v>
      </c>
      <c r="F924" s="1">
        <f t="shared" si="155"/>
        <v>8500</v>
      </c>
      <c r="H924" t="str">
        <f t="shared" si="157"/>
        <v>{cd,3000}</v>
      </c>
      <c r="I924" t="str">
        <f t="shared" si="158"/>
        <v>{hp,92300}</v>
      </c>
      <c r="J924" t="str">
        <f t="shared" si="159"/>
        <v>{atk,652}</v>
      </c>
      <c r="K924" t="str">
        <f t="shared" si="160"/>
        <v>{spd,8500}</v>
      </c>
      <c r="L924" t="str">
        <f t="shared" si="161"/>
        <v/>
      </c>
      <c r="O924" t="str">
        <f t="shared" si="156"/>
        <v>[{cd,3000},{hp,92300},{atk,652},{spd,8500}]</v>
      </c>
    </row>
    <row r="925" spans="1:15">
      <c r="A925">
        <f>Sheet1!E927</f>
        <v>112</v>
      </c>
      <c r="B925">
        <f t="shared" si="154"/>
        <v>185</v>
      </c>
      <c r="C925">
        <v>3000</v>
      </c>
      <c r="D925">
        <f>VLOOKUP(B925,[1]怪物!$N$34:$T$233,3,0)</f>
        <v>110760</v>
      </c>
      <c r="E925">
        <f>VLOOKUP(B925,[2]怪物!$N$134:$T$233,6,0)</f>
        <v>782</v>
      </c>
      <c r="F925" s="1">
        <f t="shared" si="155"/>
        <v>8500</v>
      </c>
      <c r="H925" t="str">
        <f t="shared" si="157"/>
        <v>{cd,3000}</v>
      </c>
      <c r="I925" t="str">
        <f t="shared" si="158"/>
        <v>{hp,110760}</v>
      </c>
      <c r="J925" t="str">
        <f t="shared" si="159"/>
        <v>{atk,782}</v>
      </c>
      <c r="K925" t="str">
        <f t="shared" si="160"/>
        <v>{spd,8500}</v>
      </c>
      <c r="L925" t="str">
        <f t="shared" si="161"/>
        <v/>
      </c>
      <c r="O925" t="str">
        <f t="shared" si="156"/>
        <v>[{cd,3000},{hp,110760},{atk,782},{spd,8500}]</v>
      </c>
    </row>
    <row r="926" spans="1:15">
      <c r="A926">
        <f>Sheet1!E928</f>
        <v>113</v>
      </c>
      <c r="B926">
        <f t="shared" si="154"/>
        <v>185</v>
      </c>
      <c r="C926">
        <v>3000</v>
      </c>
      <c r="D926">
        <f>VLOOKUP(B926,[1]怪物!$N$34:$T$233,4,0)</f>
        <v>138450</v>
      </c>
      <c r="E926">
        <f>VLOOKUP(B926,[2]怪物!$N$134:$T$233,7,0)</f>
        <v>978</v>
      </c>
      <c r="F926" s="1">
        <f t="shared" si="155"/>
        <v>8500</v>
      </c>
      <c r="H926" t="str">
        <f t="shared" si="157"/>
        <v>{cd,3000}</v>
      </c>
      <c r="I926" t="str">
        <f t="shared" si="158"/>
        <v>{hp,138450}</v>
      </c>
      <c r="J926" t="str">
        <f t="shared" si="159"/>
        <v>{atk,978}</v>
      </c>
      <c r="K926" t="str">
        <f t="shared" si="160"/>
        <v>{spd,8500}</v>
      </c>
      <c r="L926" t="str">
        <f t="shared" si="161"/>
        <v/>
      </c>
      <c r="O926" t="str">
        <f t="shared" si="156"/>
        <v>[{cd,3000},{hp,138450},{atk,978},{spd,8500}]</v>
      </c>
    </row>
    <row r="927" spans="1:15">
      <c r="A927">
        <f>Sheet1!E929</f>
        <v>515</v>
      </c>
      <c r="B927">
        <f t="shared" si="154"/>
        <v>185</v>
      </c>
      <c r="C927">
        <v>3000</v>
      </c>
      <c r="D927">
        <f>VLOOKUP(B927,[1]怪物!$U$34:$Y$234,2,0)</f>
        <v>5538000</v>
      </c>
      <c r="E927">
        <f>VLOOKUP(B927,[2]怪物!$U$134:$Y$233,4,0)</f>
        <v>2445</v>
      </c>
      <c r="F927" s="1">
        <f t="shared" si="155"/>
        <v>8500</v>
      </c>
      <c r="H927" t="str">
        <f t="shared" si="157"/>
        <v>{cd,3000}</v>
      </c>
      <c r="I927" t="str">
        <f t="shared" si="158"/>
        <v>{hp,5538000}</v>
      </c>
      <c r="J927" t="str">
        <f t="shared" si="159"/>
        <v>{atk,2445}</v>
      </c>
      <c r="K927" t="str">
        <f t="shared" si="160"/>
        <v>{spd,8500}</v>
      </c>
      <c r="L927" t="str">
        <f t="shared" si="161"/>
        <v/>
      </c>
      <c r="O927" t="str">
        <f t="shared" si="156"/>
        <v>[{cd,3000},{hp,5538000},{atk,2445},{spd,8500}]</v>
      </c>
    </row>
    <row r="928" spans="1:15">
      <c r="A928">
        <f>Sheet1!E930</f>
        <v>515</v>
      </c>
      <c r="B928">
        <f t="shared" si="154"/>
        <v>185</v>
      </c>
      <c r="C928">
        <v>3000</v>
      </c>
      <c r="D928">
        <f>VLOOKUP(B928,[1]怪物!$U$34:$Y$234,3,0)</f>
        <v>7384000</v>
      </c>
      <c r="E928">
        <f>VLOOKUP(B928,[2]怪物!$U$134:$Y$233,5,0)</f>
        <v>4890</v>
      </c>
      <c r="F928" s="1">
        <f t="shared" si="155"/>
        <v>8500</v>
      </c>
      <c r="H928" t="str">
        <f t="shared" si="157"/>
        <v>{cd,3000}</v>
      </c>
      <c r="I928" t="str">
        <f t="shared" si="158"/>
        <v>{hp,7384000}</v>
      </c>
      <c r="J928" t="str">
        <f t="shared" si="159"/>
        <v>{atk,4890}</v>
      </c>
      <c r="K928" t="str">
        <f t="shared" si="160"/>
        <v>{spd,8500}</v>
      </c>
      <c r="L928" t="str">
        <f t="shared" si="161"/>
        <v/>
      </c>
      <c r="O928" t="str">
        <f t="shared" si="156"/>
        <v>[{cd,3000},{hp,7384000},{atk,4890},{spd,8500}]</v>
      </c>
    </row>
    <row r="929" spans="1:15">
      <c r="A929">
        <f>Sheet1!E931</f>
        <v>110</v>
      </c>
      <c r="B929">
        <f t="shared" si="154"/>
        <v>186</v>
      </c>
      <c r="C929">
        <v>3000</v>
      </c>
      <c r="D929">
        <f>VLOOKUP(B929,[1]怪物!$N$34:$T$233,2,0)</f>
        <v>93500</v>
      </c>
      <c r="E929">
        <f>VLOOKUP(B929,[2]怪物!$N$134:$T$233,5,0)</f>
        <v>664</v>
      </c>
      <c r="F929" s="1">
        <f t="shared" si="155"/>
        <v>8500</v>
      </c>
      <c r="H929" t="str">
        <f t="shared" si="157"/>
        <v>{cd,3000}</v>
      </c>
      <c r="I929" t="str">
        <f t="shared" si="158"/>
        <v>{hp,93500}</v>
      </c>
      <c r="J929" t="str">
        <f t="shared" si="159"/>
        <v>{atk,664}</v>
      </c>
      <c r="K929" t="str">
        <f t="shared" si="160"/>
        <v>{spd,8500}</v>
      </c>
      <c r="L929" t="str">
        <f t="shared" si="161"/>
        <v/>
      </c>
      <c r="O929" t="str">
        <f t="shared" si="156"/>
        <v>[{cd,3000},{hp,93500},{atk,664},{spd,8500}]</v>
      </c>
    </row>
    <row r="930" spans="1:15">
      <c r="A930">
        <f>Sheet1!E932</f>
        <v>109</v>
      </c>
      <c r="B930">
        <f t="shared" si="154"/>
        <v>186</v>
      </c>
      <c r="C930">
        <v>3000</v>
      </c>
      <c r="D930">
        <f>VLOOKUP(B930,[1]怪物!$N$34:$T$233,3,0)</f>
        <v>112200</v>
      </c>
      <c r="E930">
        <f>VLOOKUP(B930,[2]怪物!$N$134:$T$233,6,0)</f>
        <v>797</v>
      </c>
      <c r="F930" s="1">
        <f t="shared" si="155"/>
        <v>8500</v>
      </c>
      <c r="H930" t="str">
        <f t="shared" si="157"/>
        <v>{cd,3000}</v>
      </c>
      <c r="I930" t="str">
        <f t="shared" si="158"/>
        <v>{hp,112200}</v>
      </c>
      <c r="J930" t="str">
        <f t="shared" si="159"/>
        <v>{atk,797}</v>
      </c>
      <c r="K930" t="str">
        <f t="shared" si="160"/>
        <v>{spd,8500}</v>
      </c>
      <c r="L930" t="str">
        <f t="shared" si="161"/>
        <v/>
      </c>
      <c r="O930" t="str">
        <f t="shared" si="156"/>
        <v>[{cd,3000},{hp,112200},{atk,797},{spd,8500}]</v>
      </c>
    </row>
    <row r="931" spans="1:15">
      <c r="A931">
        <f>Sheet1!E933</f>
        <v>114</v>
      </c>
      <c r="B931">
        <f t="shared" si="154"/>
        <v>186</v>
      </c>
      <c r="C931">
        <v>3000</v>
      </c>
      <c r="D931">
        <f>VLOOKUP(B931,[1]怪物!$N$34:$T$233,4,0)</f>
        <v>140250</v>
      </c>
      <c r="E931">
        <f>VLOOKUP(B931,[2]怪物!$N$134:$T$233,7,0)</f>
        <v>996</v>
      </c>
      <c r="F931" s="1">
        <f t="shared" si="155"/>
        <v>8500</v>
      </c>
      <c r="H931" t="str">
        <f t="shared" si="157"/>
        <v>{cd,3000}</v>
      </c>
      <c r="I931" t="str">
        <f t="shared" si="158"/>
        <v>{hp,140250}</v>
      </c>
      <c r="J931" t="str">
        <f t="shared" si="159"/>
        <v>{atk,996}</v>
      </c>
      <c r="K931" t="str">
        <f t="shared" si="160"/>
        <v>{spd,8500}</v>
      </c>
      <c r="L931" t="str">
        <f t="shared" si="161"/>
        <v/>
      </c>
      <c r="O931" t="str">
        <f t="shared" si="156"/>
        <v>[{cd,3000},{hp,140250},{atk,996},{spd,8500}]</v>
      </c>
    </row>
    <row r="932" spans="1:15">
      <c r="A932">
        <f>Sheet1!E934</f>
        <v>514</v>
      </c>
      <c r="B932">
        <f t="shared" si="154"/>
        <v>186</v>
      </c>
      <c r="C932">
        <v>3000</v>
      </c>
      <c r="D932">
        <f>VLOOKUP(B932,[1]怪物!$U$34:$Y$234,2,0)</f>
        <v>5610000</v>
      </c>
      <c r="E932">
        <f>VLOOKUP(B932,[2]怪物!$U$134:$Y$233,4,0)</f>
        <v>2490</v>
      </c>
      <c r="F932" s="1">
        <f t="shared" si="155"/>
        <v>8500</v>
      </c>
      <c r="H932" t="str">
        <f t="shared" si="157"/>
        <v>{cd,3000}</v>
      </c>
      <c r="I932" t="str">
        <f t="shared" si="158"/>
        <v>{hp,5610000}</v>
      </c>
      <c r="J932" t="str">
        <f t="shared" si="159"/>
        <v>{atk,2490}</v>
      </c>
      <c r="K932" t="str">
        <f t="shared" si="160"/>
        <v>{spd,8500}</v>
      </c>
      <c r="L932" t="str">
        <f t="shared" si="161"/>
        <v/>
      </c>
      <c r="O932" t="str">
        <f t="shared" si="156"/>
        <v>[{cd,3000},{hp,5610000},{atk,2490},{spd,8500}]</v>
      </c>
    </row>
    <row r="933" spans="1:15">
      <c r="A933">
        <f>Sheet1!E935</f>
        <v>514</v>
      </c>
      <c r="B933">
        <f t="shared" si="154"/>
        <v>186</v>
      </c>
      <c r="C933">
        <v>3000</v>
      </c>
      <c r="D933">
        <f>VLOOKUP(B933,[1]怪物!$U$34:$Y$234,3,0)</f>
        <v>7480000</v>
      </c>
      <c r="E933">
        <f>VLOOKUP(B933,[2]怪物!$U$134:$Y$233,5,0)</f>
        <v>4980</v>
      </c>
      <c r="F933" s="1">
        <f t="shared" si="155"/>
        <v>8500</v>
      </c>
      <c r="H933" t="str">
        <f t="shared" si="157"/>
        <v>{cd,3000}</v>
      </c>
      <c r="I933" t="str">
        <f t="shared" si="158"/>
        <v>{hp,7480000}</v>
      </c>
      <c r="J933" t="str">
        <f t="shared" si="159"/>
        <v>{atk,4980}</v>
      </c>
      <c r="K933" t="str">
        <f t="shared" si="160"/>
        <v>{spd,8500}</v>
      </c>
      <c r="L933" t="str">
        <f t="shared" si="161"/>
        <v/>
      </c>
      <c r="O933" t="str">
        <f t="shared" si="156"/>
        <v>[{cd,3000},{hp,7480000},{atk,4980},{spd,8500}]</v>
      </c>
    </row>
    <row r="934" spans="1:15">
      <c r="A934">
        <f>Sheet1!E936</f>
        <v>125</v>
      </c>
      <c r="B934">
        <f t="shared" si="154"/>
        <v>187</v>
      </c>
      <c r="C934">
        <v>3000</v>
      </c>
      <c r="D934">
        <f>VLOOKUP(B934,[1]怪物!$N$34:$T$233,2,0)</f>
        <v>94900</v>
      </c>
      <c r="E934">
        <f>VLOOKUP(B934,[2]怪物!$N$134:$T$233,5,0)</f>
        <v>676</v>
      </c>
      <c r="F934" s="1">
        <f t="shared" si="155"/>
        <v>8500</v>
      </c>
      <c r="H934" t="str">
        <f t="shared" si="157"/>
        <v>{cd,3000}</v>
      </c>
      <c r="I934" t="str">
        <f t="shared" si="158"/>
        <v>{hp,94900}</v>
      </c>
      <c r="J934" t="str">
        <f t="shared" si="159"/>
        <v>{atk,676}</v>
      </c>
      <c r="K934" t="str">
        <f t="shared" si="160"/>
        <v>{spd,8500}</v>
      </c>
      <c r="L934" t="str">
        <f t="shared" si="161"/>
        <v/>
      </c>
      <c r="O934" t="str">
        <f t="shared" si="156"/>
        <v>[{cd,3000},{hp,94900},{atk,676},{spd,8500}]</v>
      </c>
    </row>
    <row r="935" spans="1:15">
      <c r="A935">
        <f>Sheet1!E937</f>
        <v>127</v>
      </c>
      <c r="B935">
        <f t="shared" si="154"/>
        <v>187</v>
      </c>
      <c r="C935">
        <v>3000</v>
      </c>
      <c r="D935">
        <f>VLOOKUP(B935,[1]怪物!$N$34:$T$233,3,0)</f>
        <v>113880</v>
      </c>
      <c r="E935">
        <f>VLOOKUP(B935,[2]怪物!$N$134:$T$233,6,0)</f>
        <v>811</v>
      </c>
      <c r="F935" s="1">
        <f t="shared" si="155"/>
        <v>8500</v>
      </c>
      <c r="H935" t="str">
        <f t="shared" si="157"/>
        <v>{cd,3000}</v>
      </c>
      <c r="I935" t="str">
        <f t="shared" si="158"/>
        <v>{hp,113880}</v>
      </c>
      <c r="J935" t="str">
        <f t="shared" si="159"/>
        <v>{atk,811}</v>
      </c>
      <c r="K935" t="str">
        <f t="shared" si="160"/>
        <v>{spd,8500}</v>
      </c>
      <c r="L935" t="str">
        <f t="shared" si="161"/>
        <v/>
      </c>
      <c r="O935" t="str">
        <f t="shared" si="156"/>
        <v>[{cd,3000},{hp,113880},{atk,811},{spd,8500}]</v>
      </c>
    </row>
    <row r="936" spans="1:15">
      <c r="A936">
        <f>Sheet1!E938</f>
        <v>126</v>
      </c>
      <c r="B936">
        <f t="shared" si="154"/>
        <v>187</v>
      </c>
      <c r="C936">
        <v>3000</v>
      </c>
      <c r="D936">
        <f>VLOOKUP(B936,[1]怪物!$N$34:$T$233,4,0)</f>
        <v>142350</v>
      </c>
      <c r="E936">
        <f>VLOOKUP(B936,[2]怪物!$N$134:$T$233,7,0)</f>
        <v>1014</v>
      </c>
      <c r="F936" s="1">
        <f t="shared" si="155"/>
        <v>8500</v>
      </c>
      <c r="H936" t="str">
        <f t="shared" si="157"/>
        <v>{cd,3000}</v>
      </c>
      <c r="I936" t="str">
        <f t="shared" si="158"/>
        <v>{hp,142350}</v>
      </c>
      <c r="J936" t="str">
        <f t="shared" si="159"/>
        <v>{atk,1014}</v>
      </c>
      <c r="K936" t="str">
        <f t="shared" si="160"/>
        <v>{spd,8500}</v>
      </c>
      <c r="L936" t="str">
        <f t="shared" si="161"/>
        <v>{miss,1500}</v>
      </c>
      <c r="O936" t="str">
        <f t="shared" si="156"/>
        <v>[{cd,3000},{hp,142350},{atk,1014},{spd,8500},{miss,1500}]</v>
      </c>
    </row>
    <row r="937" spans="1:15">
      <c r="A937">
        <f>Sheet1!E939</f>
        <v>527</v>
      </c>
      <c r="B937">
        <f t="shared" si="154"/>
        <v>187</v>
      </c>
      <c r="C937">
        <v>3000</v>
      </c>
      <c r="D937">
        <f>VLOOKUP(B937,[1]怪物!$U$34:$Y$234,2,0)</f>
        <v>5694000</v>
      </c>
      <c r="E937">
        <f>VLOOKUP(B937,[2]怪物!$U$134:$Y$233,4,0)</f>
        <v>2535</v>
      </c>
      <c r="F937" s="1">
        <f t="shared" si="155"/>
        <v>8500</v>
      </c>
      <c r="H937" t="str">
        <f t="shared" si="157"/>
        <v>{cd,3000}</v>
      </c>
      <c r="I937" t="str">
        <f t="shared" si="158"/>
        <v>{hp,5694000}</v>
      </c>
      <c r="J937" t="str">
        <f t="shared" si="159"/>
        <v>{atk,2535}</v>
      </c>
      <c r="K937" t="str">
        <f t="shared" si="160"/>
        <v>{spd,8500}</v>
      </c>
      <c r="L937" t="str">
        <f t="shared" si="161"/>
        <v/>
      </c>
      <c r="O937" t="str">
        <f t="shared" si="156"/>
        <v>[{cd,3000},{hp,5694000},{atk,2535},{spd,8500}]</v>
      </c>
    </row>
    <row r="938" spans="1:15">
      <c r="A938">
        <f>Sheet1!E940</f>
        <v>527</v>
      </c>
      <c r="B938">
        <f t="shared" si="154"/>
        <v>187</v>
      </c>
      <c r="C938">
        <v>3000</v>
      </c>
      <c r="D938">
        <f>VLOOKUP(B938,[1]怪物!$U$34:$Y$234,3,0)</f>
        <v>7592000</v>
      </c>
      <c r="E938">
        <f>VLOOKUP(B938,[2]怪物!$U$134:$Y$233,5,0)</f>
        <v>5070</v>
      </c>
      <c r="F938" s="1">
        <f t="shared" si="155"/>
        <v>8500</v>
      </c>
      <c r="H938" t="str">
        <f t="shared" si="157"/>
        <v>{cd,3000}</v>
      </c>
      <c r="I938" t="str">
        <f t="shared" si="158"/>
        <v>{hp,7592000}</v>
      </c>
      <c r="J938" t="str">
        <f t="shared" si="159"/>
        <v>{atk,5070}</v>
      </c>
      <c r="K938" t="str">
        <f t="shared" si="160"/>
        <v>{spd,8500}</v>
      </c>
      <c r="L938" t="str">
        <f t="shared" si="161"/>
        <v/>
      </c>
      <c r="O938" t="str">
        <f t="shared" si="156"/>
        <v>[{cd,3000},{hp,7592000},{atk,5070},{spd,8500}]</v>
      </c>
    </row>
    <row r="939" spans="1:15">
      <c r="A939">
        <f>Sheet1!E941</f>
        <v>117</v>
      </c>
      <c r="B939">
        <f t="shared" si="154"/>
        <v>188</v>
      </c>
      <c r="C939">
        <v>3000</v>
      </c>
      <c r="D939">
        <f>VLOOKUP(B939,[1]怪物!$N$34:$T$233,2,0)</f>
        <v>96500</v>
      </c>
      <c r="E939">
        <f>VLOOKUP(B939,[2]怪物!$N$134:$T$233,5,0)</f>
        <v>688</v>
      </c>
      <c r="F939" s="1">
        <f t="shared" si="155"/>
        <v>8500</v>
      </c>
      <c r="H939" t="str">
        <f t="shared" si="157"/>
        <v>{cd,3000}</v>
      </c>
      <c r="I939" t="str">
        <f t="shared" si="158"/>
        <v>{hp,96500}</v>
      </c>
      <c r="J939" t="str">
        <f t="shared" si="159"/>
        <v>{atk,688}</v>
      </c>
      <c r="K939" t="str">
        <f t="shared" si="160"/>
        <v>{spd,8500}</v>
      </c>
      <c r="L939" t="str">
        <f t="shared" si="161"/>
        <v>{downUnderPhAtk,5000}</v>
      </c>
      <c r="O939" t="str">
        <f t="shared" si="156"/>
        <v>[{cd,3000},{hp,96500},{atk,688},{spd,8500},{downUnderPhAtk,5000}]</v>
      </c>
    </row>
    <row r="940" spans="1:15">
      <c r="A940">
        <f>Sheet1!E942</f>
        <v>116</v>
      </c>
      <c r="B940">
        <f t="shared" si="154"/>
        <v>188</v>
      </c>
      <c r="C940">
        <v>3000</v>
      </c>
      <c r="D940">
        <f>VLOOKUP(B940,[1]怪物!$N$34:$T$233,3,0)</f>
        <v>115800</v>
      </c>
      <c r="E940">
        <f>VLOOKUP(B940,[2]怪物!$N$134:$T$233,6,0)</f>
        <v>826</v>
      </c>
      <c r="F940" s="1">
        <f t="shared" si="155"/>
        <v>20000</v>
      </c>
      <c r="H940" t="str">
        <f t="shared" si="157"/>
        <v>{cd,3000}</v>
      </c>
      <c r="I940" t="str">
        <f t="shared" si="158"/>
        <v>{hp,115800}</v>
      </c>
      <c r="J940" t="str">
        <f t="shared" si="159"/>
        <v>{atk,826}</v>
      </c>
      <c r="K940" t="str">
        <f t="shared" si="160"/>
        <v>{spd,20000}</v>
      </c>
      <c r="L940" t="str">
        <f t="shared" si="161"/>
        <v/>
      </c>
      <c r="O940" t="str">
        <f t="shared" si="156"/>
        <v>[{cd,3000},{hp,115800},{atk,826},{spd,20000}]</v>
      </c>
    </row>
    <row r="941" spans="1:15">
      <c r="A941">
        <f>Sheet1!E943</f>
        <v>119</v>
      </c>
      <c r="B941">
        <f t="shared" si="154"/>
        <v>188</v>
      </c>
      <c r="C941">
        <v>3000</v>
      </c>
      <c r="D941">
        <f>VLOOKUP(B941,[1]怪物!$N$34:$T$233,4,0)</f>
        <v>144750</v>
      </c>
      <c r="E941">
        <f>VLOOKUP(B941,[2]怪物!$N$134:$T$233,7,0)</f>
        <v>1032</v>
      </c>
      <c r="F941" s="1">
        <f t="shared" si="155"/>
        <v>8500</v>
      </c>
      <c r="H941" t="str">
        <f t="shared" si="157"/>
        <v>{cd,3000}</v>
      </c>
      <c r="I941" t="str">
        <f t="shared" si="158"/>
        <v>{hp,144750}</v>
      </c>
      <c r="J941" t="str">
        <f t="shared" si="159"/>
        <v>{atk,1032}</v>
      </c>
      <c r="K941" t="str">
        <f t="shared" si="160"/>
        <v>{spd,8500}</v>
      </c>
      <c r="L941" t="str">
        <f t="shared" si="161"/>
        <v>{downUnderMagicAtk,5000}</v>
      </c>
      <c r="O941" t="str">
        <f t="shared" si="156"/>
        <v>[{cd,3000},{hp,144750},{atk,1032},{spd,8500},{downUnderMagicAtk,5000}]</v>
      </c>
    </row>
    <row r="942" spans="1:15">
      <c r="A942">
        <f>Sheet1!E944</f>
        <v>517</v>
      </c>
      <c r="B942">
        <f t="shared" si="154"/>
        <v>188</v>
      </c>
      <c r="C942">
        <v>3000</v>
      </c>
      <c r="D942">
        <f>VLOOKUP(B942,[1]怪物!$U$34:$Y$234,2,0)</f>
        <v>5790000</v>
      </c>
      <c r="E942">
        <f>VLOOKUP(B942,[2]怪物!$U$134:$Y$233,4,0)</f>
        <v>2580</v>
      </c>
      <c r="F942" s="1">
        <f t="shared" si="155"/>
        <v>8500</v>
      </c>
      <c r="H942" t="str">
        <f t="shared" si="157"/>
        <v>{cd,3000}</v>
      </c>
      <c r="I942" t="str">
        <f t="shared" si="158"/>
        <v>{hp,5790000}</v>
      </c>
      <c r="J942" t="str">
        <f t="shared" si="159"/>
        <v>{atk,2580}</v>
      </c>
      <c r="K942" t="str">
        <f t="shared" si="160"/>
        <v>{spd,8500}</v>
      </c>
      <c r="L942" t="str">
        <f t="shared" si="161"/>
        <v>{downUnderPhAtk,5000}</v>
      </c>
      <c r="O942" t="str">
        <f t="shared" si="156"/>
        <v>[{cd,3000},{hp,5790000},{atk,2580},{spd,8500},{downUnderPhAtk,5000}]</v>
      </c>
    </row>
    <row r="943" spans="1:15">
      <c r="A943">
        <f>Sheet1!E945</f>
        <v>517</v>
      </c>
      <c r="B943">
        <f t="shared" si="154"/>
        <v>188</v>
      </c>
      <c r="C943">
        <v>3000</v>
      </c>
      <c r="D943">
        <f>VLOOKUP(B943,[1]怪物!$U$34:$Y$234,3,0)</f>
        <v>7720000</v>
      </c>
      <c r="E943">
        <f>VLOOKUP(B943,[2]怪物!$U$134:$Y$233,5,0)</f>
        <v>5160</v>
      </c>
      <c r="F943" s="1">
        <f t="shared" si="155"/>
        <v>8500</v>
      </c>
      <c r="H943" t="str">
        <f t="shared" si="157"/>
        <v>{cd,3000}</v>
      </c>
      <c r="I943" t="str">
        <f t="shared" si="158"/>
        <v>{hp,7720000}</v>
      </c>
      <c r="J943" t="str">
        <f t="shared" si="159"/>
        <v>{atk,5160}</v>
      </c>
      <c r="K943" t="str">
        <f t="shared" si="160"/>
        <v>{spd,8500}</v>
      </c>
      <c r="L943" t="str">
        <f t="shared" si="161"/>
        <v>{downUnderPhAtk,5000}</v>
      </c>
      <c r="O943" t="str">
        <f t="shared" si="156"/>
        <v>[{cd,3000},{hp,7720000},{atk,5160},{spd,8500},{downUnderPhAtk,5000}]</v>
      </c>
    </row>
    <row r="944" spans="1:15">
      <c r="A944">
        <f>Sheet1!E946</f>
        <v>125</v>
      </c>
      <c r="B944">
        <f t="shared" si="154"/>
        <v>189</v>
      </c>
      <c r="C944">
        <v>3000</v>
      </c>
      <c r="D944">
        <f>VLOOKUP(B944,[1]怪物!$N$34:$T$233,2,0)</f>
        <v>98300</v>
      </c>
      <c r="E944">
        <f>VLOOKUP(B944,[2]怪物!$N$134:$T$233,5,0)</f>
        <v>700</v>
      </c>
      <c r="F944" s="1">
        <f t="shared" si="155"/>
        <v>8500</v>
      </c>
      <c r="H944" t="str">
        <f t="shared" si="157"/>
        <v>{cd,3000}</v>
      </c>
      <c r="I944" t="str">
        <f t="shared" si="158"/>
        <v>{hp,98300}</v>
      </c>
      <c r="J944" t="str">
        <f t="shared" si="159"/>
        <v>{atk,700}</v>
      </c>
      <c r="K944" t="str">
        <f t="shared" si="160"/>
        <v>{spd,8500}</v>
      </c>
      <c r="L944" t="str">
        <f t="shared" si="161"/>
        <v/>
      </c>
      <c r="O944" t="str">
        <f t="shared" si="156"/>
        <v>[{cd,3000},{hp,98300},{atk,700},{spd,8500}]</v>
      </c>
    </row>
    <row r="945" spans="1:15">
      <c r="A945">
        <f>Sheet1!E947</f>
        <v>124</v>
      </c>
      <c r="B945">
        <f t="shared" si="154"/>
        <v>189</v>
      </c>
      <c r="C945">
        <v>3000</v>
      </c>
      <c r="D945">
        <f>VLOOKUP(B945,[1]怪物!$N$34:$T$233,3,0)</f>
        <v>117960</v>
      </c>
      <c r="E945">
        <f>VLOOKUP(B945,[2]怪物!$N$134:$T$233,6,0)</f>
        <v>840</v>
      </c>
      <c r="F945" s="1">
        <f t="shared" si="155"/>
        <v>8500</v>
      </c>
      <c r="H945" t="str">
        <f t="shared" si="157"/>
        <v>{cd,3000}</v>
      </c>
      <c r="I945" t="str">
        <f t="shared" si="158"/>
        <v>{hp,117960}</v>
      </c>
      <c r="J945" t="str">
        <f t="shared" si="159"/>
        <v>{atk,840}</v>
      </c>
      <c r="K945" t="str">
        <f t="shared" si="160"/>
        <v>{spd,8500}</v>
      </c>
      <c r="L945" t="str">
        <f t="shared" si="161"/>
        <v>{downCritDmg,5000},{resRate,2000}</v>
      </c>
      <c r="O945" t="str">
        <f t="shared" si="156"/>
        <v>[{cd,3000},{hp,117960},{atk,840},{spd,8500},{downCritDmg,5000},{resRate,2000}]</v>
      </c>
    </row>
    <row r="946" spans="1:15">
      <c r="A946">
        <f>Sheet1!E948</f>
        <v>128</v>
      </c>
      <c r="B946">
        <f t="shared" ref="B946:B1003" si="162">B941+1</f>
        <v>189</v>
      </c>
      <c r="C946">
        <v>3000</v>
      </c>
      <c r="D946">
        <f>VLOOKUP(B946,[1]怪物!$N$34:$T$233,4,0)</f>
        <v>147450</v>
      </c>
      <c r="E946">
        <f>VLOOKUP(B946,[2]怪物!$N$134:$T$233,7,0)</f>
        <v>1050</v>
      </c>
      <c r="F946" s="1">
        <f t="shared" si="155"/>
        <v>8500</v>
      </c>
      <c r="H946" t="str">
        <f t="shared" si="157"/>
        <v>{cd,3000}</v>
      </c>
      <c r="I946" t="str">
        <f t="shared" si="158"/>
        <v>{hp,147450}</v>
      </c>
      <c r="J946" t="str">
        <f t="shared" si="159"/>
        <v>{atk,1050}</v>
      </c>
      <c r="K946" t="str">
        <f t="shared" si="160"/>
        <v>{spd,8500}</v>
      </c>
      <c r="L946" t="str">
        <f t="shared" si="161"/>
        <v>{upUnderPhAtk,8000}</v>
      </c>
      <c r="O946" t="str">
        <f t="shared" si="156"/>
        <v>[{cd,3000},{hp,147450},{atk,1050},{spd,8500},{upUnderPhAtk,8000}]</v>
      </c>
    </row>
    <row r="947" spans="1:15">
      <c r="A947">
        <f>Sheet1!E949</f>
        <v>524</v>
      </c>
      <c r="B947">
        <f t="shared" si="162"/>
        <v>189</v>
      </c>
      <c r="C947">
        <v>3000</v>
      </c>
      <c r="D947">
        <f>VLOOKUP(B947,[1]怪物!$U$34:$Y$234,2,0)</f>
        <v>5898000</v>
      </c>
      <c r="E947">
        <f>VLOOKUP(B947,[2]怪物!$U$134:$Y$233,4,0)</f>
        <v>2625</v>
      </c>
      <c r="F947" s="1">
        <f t="shared" si="155"/>
        <v>8500</v>
      </c>
      <c r="H947" t="str">
        <f t="shared" si="157"/>
        <v>{cd,3000}</v>
      </c>
      <c r="I947" t="str">
        <f t="shared" si="158"/>
        <v>{hp,5898000}</v>
      </c>
      <c r="J947" t="str">
        <f t="shared" si="159"/>
        <v>{atk,2625}</v>
      </c>
      <c r="K947" t="str">
        <f t="shared" si="160"/>
        <v>{spd,8500}</v>
      </c>
      <c r="L947" t="str">
        <f t="shared" si="161"/>
        <v>{downCritDmg,5000},{resRate,2000}</v>
      </c>
      <c r="O947" t="str">
        <f t="shared" si="156"/>
        <v>[{cd,3000},{hp,5898000},{atk,2625},{spd,8500},{downCritDmg,5000},{resRate,2000}]</v>
      </c>
    </row>
    <row r="948" spans="1:15">
      <c r="A948">
        <f>Sheet1!E950</f>
        <v>524</v>
      </c>
      <c r="B948">
        <f t="shared" si="162"/>
        <v>189</v>
      </c>
      <c r="C948">
        <v>3000</v>
      </c>
      <c r="D948">
        <f>VLOOKUP(B948,[1]怪物!$U$34:$Y$234,3,0)</f>
        <v>7864000</v>
      </c>
      <c r="E948">
        <f>VLOOKUP(B948,[2]怪物!$U$134:$Y$233,5,0)</f>
        <v>5250</v>
      </c>
      <c r="F948" s="1">
        <f t="shared" si="155"/>
        <v>8500</v>
      </c>
      <c r="H948" t="str">
        <f t="shared" si="157"/>
        <v>{cd,3000}</v>
      </c>
      <c r="I948" t="str">
        <f t="shared" si="158"/>
        <v>{hp,7864000}</v>
      </c>
      <c r="J948" t="str">
        <f t="shared" si="159"/>
        <v>{atk,5250}</v>
      </c>
      <c r="K948" t="str">
        <f t="shared" si="160"/>
        <v>{spd,8500}</v>
      </c>
      <c r="L948" t="str">
        <f t="shared" si="161"/>
        <v>{downCritDmg,5000},{resRate,2000}</v>
      </c>
      <c r="O948" t="str">
        <f t="shared" si="156"/>
        <v>[{cd,3000},{hp,7864000},{atk,5250},{spd,8500},{downCritDmg,5000},{resRate,2000}]</v>
      </c>
    </row>
    <row r="949" spans="1:15">
      <c r="A949">
        <f>Sheet1!E951</f>
        <v>100</v>
      </c>
      <c r="B949">
        <f t="shared" si="162"/>
        <v>190</v>
      </c>
      <c r="C949">
        <v>3000</v>
      </c>
      <c r="D949">
        <f>VLOOKUP(B949,[1]怪物!$N$34:$T$233,2,0)</f>
        <v>101300</v>
      </c>
      <c r="E949">
        <f>VLOOKUP(B949,[2]怪物!$N$134:$T$233,5,0)</f>
        <v>800</v>
      </c>
      <c r="F949" s="1">
        <f t="shared" si="155"/>
        <v>8500</v>
      </c>
      <c r="H949" t="str">
        <f t="shared" si="157"/>
        <v>{cd,3000}</v>
      </c>
      <c r="I949" t="str">
        <f t="shared" si="158"/>
        <v>{hp,101300}</v>
      </c>
      <c r="J949" t="str">
        <f t="shared" si="159"/>
        <v>{atk,800}</v>
      </c>
      <c r="K949" t="str">
        <f t="shared" si="160"/>
        <v>{spd,8500}</v>
      </c>
      <c r="L949" t="str">
        <f t="shared" si="161"/>
        <v/>
      </c>
      <c r="O949" t="str">
        <f t="shared" si="156"/>
        <v>[{cd,3000},{hp,101300},{atk,800},{spd,8500}]</v>
      </c>
    </row>
    <row r="950" spans="1:15">
      <c r="A950">
        <f>Sheet1!E952</f>
        <v>102</v>
      </c>
      <c r="B950">
        <f t="shared" si="162"/>
        <v>190</v>
      </c>
      <c r="C950">
        <v>3000</v>
      </c>
      <c r="D950">
        <f>VLOOKUP(B950,[1]怪物!$N$34:$T$233,3,0)</f>
        <v>121560</v>
      </c>
      <c r="E950">
        <f>VLOOKUP(B950,[2]怪物!$N$134:$T$233,6,0)</f>
        <v>960</v>
      </c>
      <c r="F950" s="1">
        <f t="shared" si="155"/>
        <v>8500</v>
      </c>
      <c r="H950" t="str">
        <f t="shared" si="157"/>
        <v>{cd,3000}</v>
      </c>
      <c r="I950" t="str">
        <f t="shared" si="158"/>
        <v>{hp,121560}</v>
      </c>
      <c r="J950" t="str">
        <f t="shared" si="159"/>
        <v>{atk,960}</v>
      </c>
      <c r="K950" t="str">
        <f t="shared" si="160"/>
        <v>{spd,8500}</v>
      </c>
      <c r="L950" t="str">
        <f t="shared" si="161"/>
        <v/>
      </c>
      <c r="O950" t="str">
        <f t="shared" si="156"/>
        <v>[{cd,3000},{hp,121560},{atk,960},{spd,8500}]</v>
      </c>
    </row>
    <row r="951" spans="1:15">
      <c r="A951">
        <f>Sheet1!E953</f>
        <v>105</v>
      </c>
      <c r="B951">
        <f t="shared" si="162"/>
        <v>190</v>
      </c>
      <c r="C951">
        <v>3000</v>
      </c>
      <c r="D951">
        <f>VLOOKUP(B951,[1]怪物!$N$34:$T$233,4,0)</f>
        <v>151950</v>
      </c>
      <c r="E951">
        <f>VLOOKUP(B951,[2]怪物!$N$134:$T$233,7,0)</f>
        <v>1200</v>
      </c>
      <c r="F951" s="1">
        <f t="shared" si="155"/>
        <v>8500</v>
      </c>
      <c r="H951" t="str">
        <f t="shared" si="157"/>
        <v>{cd,3000}</v>
      </c>
      <c r="I951" t="str">
        <f t="shared" si="158"/>
        <v>{hp,151950}</v>
      </c>
      <c r="J951" t="str">
        <f t="shared" si="159"/>
        <v>{atk,1200}</v>
      </c>
      <c r="K951" t="str">
        <f t="shared" si="160"/>
        <v>{spd,8500}</v>
      </c>
      <c r="L951" t="str">
        <f t="shared" si="161"/>
        <v/>
      </c>
      <c r="O951" t="str">
        <f t="shared" si="156"/>
        <v>[{cd,3000},{hp,151950},{atk,1200},{spd,8500}]</v>
      </c>
    </row>
    <row r="952" spans="1:15">
      <c r="A952">
        <f>Sheet1!E954</f>
        <v>502</v>
      </c>
      <c r="B952">
        <f t="shared" si="162"/>
        <v>190</v>
      </c>
      <c r="C952">
        <v>3000</v>
      </c>
      <c r="D952">
        <f>VLOOKUP(B952,[1]怪物!$U$34:$Y$234,2,0)</f>
        <v>6078000</v>
      </c>
      <c r="E952">
        <f>VLOOKUP(B952,[2]怪物!$U$134:$Y$233,4,0)</f>
        <v>3000</v>
      </c>
      <c r="F952" s="1">
        <f t="shared" si="155"/>
        <v>8500</v>
      </c>
      <c r="H952" t="str">
        <f t="shared" si="157"/>
        <v>{cd,3000}</v>
      </c>
      <c r="I952" t="str">
        <f t="shared" si="158"/>
        <v>{hp,6078000}</v>
      </c>
      <c r="J952" t="str">
        <f t="shared" si="159"/>
        <v>{atk,3000}</v>
      </c>
      <c r="K952" t="str">
        <f t="shared" si="160"/>
        <v>{spd,8500}</v>
      </c>
      <c r="L952" t="str">
        <f t="shared" si="161"/>
        <v/>
      </c>
      <c r="O952" t="str">
        <f t="shared" si="156"/>
        <v>[{cd,3000},{hp,6078000},{atk,3000},{spd,8500}]</v>
      </c>
    </row>
    <row r="953" spans="1:15">
      <c r="A953">
        <f>Sheet1!E955</f>
        <v>500</v>
      </c>
      <c r="B953">
        <f t="shared" si="162"/>
        <v>190</v>
      </c>
      <c r="C953">
        <v>3000</v>
      </c>
      <c r="D953">
        <f>VLOOKUP(B953,[1]怪物!$U$34:$Y$234,3,0)</f>
        <v>8104000</v>
      </c>
      <c r="E953">
        <f>VLOOKUP(B953,[2]怪物!$U$134:$Y$233,5,0)</f>
        <v>6000</v>
      </c>
      <c r="F953" s="1">
        <f t="shared" si="155"/>
        <v>8500</v>
      </c>
      <c r="H953" t="str">
        <f t="shared" si="157"/>
        <v>{cd,3000}</v>
      </c>
      <c r="I953" t="str">
        <f t="shared" si="158"/>
        <v>{hp,8104000}</v>
      </c>
      <c r="J953" t="str">
        <f t="shared" si="159"/>
        <v>{atk,6000}</v>
      </c>
      <c r="K953" t="str">
        <f t="shared" si="160"/>
        <v>{spd,8500}</v>
      </c>
      <c r="L953" t="str">
        <f t="shared" si="161"/>
        <v/>
      </c>
      <c r="O953" t="str">
        <f t="shared" si="156"/>
        <v>[{cd,3000},{hp,8104000},{atk,6000},{spd,8500}]</v>
      </c>
    </row>
    <row r="954" spans="1:15">
      <c r="A954">
        <f>Sheet1!E956</f>
        <v>125</v>
      </c>
      <c r="B954">
        <f t="shared" si="162"/>
        <v>191</v>
      </c>
      <c r="C954">
        <v>3000</v>
      </c>
      <c r="D954">
        <f>VLOOKUP(B954,[2]怪物!$N$134:$Q$233,2,0)</f>
        <v>99300</v>
      </c>
      <c r="E954">
        <f>VLOOKUP(B954,[2]怪物!$N$134:$T$233,5,0)</f>
        <v>712</v>
      </c>
      <c r="F954" s="1">
        <f t="shared" si="155"/>
        <v>8500</v>
      </c>
      <c r="H954" t="str">
        <f t="shared" ref="H954:H1003" si="163">$C$2&amp;C$3&amp;$D$2&amp;C954&amp;$E$2</f>
        <v>{cd,3000}</v>
      </c>
      <c r="I954" t="str">
        <f t="shared" ref="I954:I1003" si="164">$C$2&amp;D$3&amp;$D$2&amp;D954&amp;$E$2</f>
        <v>{hp,99300}</v>
      </c>
      <c r="J954" t="str">
        <f t="shared" ref="J954:J1003" si="165">$C$2&amp;E$3&amp;$D$2&amp;E954&amp;$E$2</f>
        <v>{atk,712}</v>
      </c>
      <c r="K954" t="str">
        <f t="shared" ref="K954:K1003" si="166">$C$2&amp;F$3&amp;$D$2&amp;F954&amp;$E$2</f>
        <v>{spd,8500}</v>
      </c>
      <c r="L954" t="str">
        <f t="shared" ref="L954:L1003" si="167">IF(VLOOKUP(A954,$W:$AC,7,0)=0,"",VLOOKUP(A954,$W:$AC,7,0))</f>
        <v/>
      </c>
      <c r="O954" t="str">
        <f t="shared" si="156"/>
        <v>[{cd,3000},{hp,99300},{atk,712},{spd,8500}]</v>
      </c>
    </row>
    <row r="955" spans="1:15">
      <c r="A955">
        <f>Sheet1!E957</f>
        <v>127</v>
      </c>
      <c r="B955">
        <f t="shared" si="162"/>
        <v>191</v>
      </c>
      <c r="C955">
        <v>3000</v>
      </c>
      <c r="D955">
        <f>VLOOKUP(B955,[2]怪物!$N$134:$Q$233,3,0)</f>
        <v>119160</v>
      </c>
      <c r="E955">
        <f>VLOOKUP(B955,[2]怪物!$N$134:$T$233,6,0)</f>
        <v>854</v>
      </c>
      <c r="F955" s="1">
        <f t="shared" si="155"/>
        <v>8500</v>
      </c>
      <c r="H955" t="str">
        <f t="shared" si="163"/>
        <v>{cd,3000}</v>
      </c>
      <c r="I955" t="str">
        <f t="shared" si="164"/>
        <v>{hp,119160}</v>
      </c>
      <c r="J955" t="str">
        <f t="shared" si="165"/>
        <v>{atk,854}</v>
      </c>
      <c r="K955" t="str">
        <f t="shared" si="166"/>
        <v>{spd,8500}</v>
      </c>
      <c r="L955" t="str">
        <f t="shared" si="167"/>
        <v/>
      </c>
      <c r="O955" t="str">
        <f t="shared" si="156"/>
        <v>[{cd,3000},{hp,119160},{atk,854},{spd,8500}]</v>
      </c>
    </row>
    <row r="956" spans="1:15">
      <c r="A956">
        <f>Sheet1!E958</f>
        <v>126</v>
      </c>
      <c r="B956">
        <f t="shared" si="162"/>
        <v>191</v>
      </c>
      <c r="C956">
        <v>3000</v>
      </c>
      <c r="D956">
        <f>VLOOKUP(B956,[2]怪物!$N$134:$Q$233,4,0)</f>
        <v>148950</v>
      </c>
      <c r="E956">
        <f>VLOOKUP(B956,[2]怪物!$N$134:$T$233,7,0)</f>
        <v>1068</v>
      </c>
      <c r="F956" s="1">
        <f t="shared" si="155"/>
        <v>8500</v>
      </c>
      <c r="H956" t="str">
        <f t="shared" si="163"/>
        <v>{cd,3000}</v>
      </c>
      <c r="I956" t="str">
        <f t="shared" si="164"/>
        <v>{hp,148950}</v>
      </c>
      <c r="J956" t="str">
        <f t="shared" si="165"/>
        <v>{atk,1068}</v>
      </c>
      <c r="K956" t="str">
        <f t="shared" si="166"/>
        <v>{spd,8500}</v>
      </c>
      <c r="L956" t="str">
        <f t="shared" si="167"/>
        <v>{miss,1500}</v>
      </c>
      <c r="O956" t="str">
        <f t="shared" si="156"/>
        <v>[{cd,3000},{hp,148950},{atk,1068},{spd,8500},{miss,1500}]</v>
      </c>
    </row>
    <row r="957" spans="1:15">
      <c r="A957">
        <f>Sheet1!E959</f>
        <v>527</v>
      </c>
      <c r="B957">
        <f t="shared" si="162"/>
        <v>191</v>
      </c>
      <c r="C957">
        <v>3000</v>
      </c>
      <c r="D957">
        <f>VLOOKUP(B957,[2]怪物!$U$134:$W$233,2,0)</f>
        <v>5958000</v>
      </c>
      <c r="E957">
        <f>VLOOKUP(B957,[2]怪物!$U$134:$Y$233,4,0)</f>
        <v>2670</v>
      </c>
      <c r="F957" s="1">
        <f t="shared" si="155"/>
        <v>8500</v>
      </c>
      <c r="H957" t="str">
        <f t="shared" si="163"/>
        <v>{cd,3000}</v>
      </c>
      <c r="I957" t="str">
        <f t="shared" si="164"/>
        <v>{hp,5958000}</v>
      </c>
      <c r="J957" t="str">
        <f t="shared" si="165"/>
        <v>{atk,2670}</v>
      </c>
      <c r="K957" t="str">
        <f t="shared" si="166"/>
        <v>{spd,8500}</v>
      </c>
      <c r="L957" t="str">
        <f t="shared" si="167"/>
        <v/>
      </c>
      <c r="O957" t="str">
        <f t="shared" si="156"/>
        <v>[{cd,3000},{hp,5958000},{atk,2670},{spd,8500}]</v>
      </c>
    </row>
    <row r="958" spans="1:15">
      <c r="A958">
        <f>Sheet1!E960</f>
        <v>527</v>
      </c>
      <c r="B958">
        <f t="shared" si="162"/>
        <v>191</v>
      </c>
      <c r="C958">
        <v>3000</v>
      </c>
      <c r="D958">
        <f>VLOOKUP(B958,[2]怪物!$U$134:$W$233,3,0)</f>
        <v>7944000</v>
      </c>
      <c r="E958">
        <f>VLOOKUP(B958,[2]怪物!$U$134:$Y$233,5,0)</f>
        <v>5340</v>
      </c>
      <c r="F958" s="1">
        <f t="shared" si="155"/>
        <v>8500</v>
      </c>
      <c r="H958" t="str">
        <f t="shared" si="163"/>
        <v>{cd,3000}</v>
      </c>
      <c r="I958" t="str">
        <f t="shared" si="164"/>
        <v>{hp,7944000}</v>
      </c>
      <c r="J958" t="str">
        <f t="shared" si="165"/>
        <v>{atk,5340}</v>
      </c>
      <c r="K958" t="str">
        <f t="shared" si="166"/>
        <v>{spd,8500}</v>
      </c>
      <c r="L958" t="str">
        <f t="shared" si="167"/>
        <v/>
      </c>
      <c r="O958" t="str">
        <f t="shared" si="156"/>
        <v>[{cd,3000},{hp,7944000},{atk,5340},{spd,8500}]</v>
      </c>
    </row>
    <row r="959" spans="1:15">
      <c r="A959">
        <f>Sheet1!E961</f>
        <v>101</v>
      </c>
      <c r="B959">
        <f t="shared" si="162"/>
        <v>192</v>
      </c>
      <c r="C959">
        <v>3000</v>
      </c>
      <c r="D959">
        <f>VLOOKUP(B959,[2]怪物!$N$134:$Q$233,2,0)</f>
        <v>100500</v>
      </c>
      <c r="E959">
        <f>VLOOKUP(B959,[2]怪物!$N$134:$T$233,5,0)</f>
        <v>724</v>
      </c>
      <c r="F959" s="1">
        <f t="shared" si="155"/>
        <v>8500</v>
      </c>
      <c r="H959" t="str">
        <f t="shared" si="163"/>
        <v>{cd,3000}</v>
      </c>
      <c r="I959" t="str">
        <f t="shared" si="164"/>
        <v>{hp,100500}</v>
      </c>
      <c r="J959" t="str">
        <f t="shared" si="165"/>
        <v>{atk,724}</v>
      </c>
      <c r="K959" t="str">
        <f t="shared" si="166"/>
        <v>{spd,8500}</v>
      </c>
      <c r="L959" t="str">
        <f t="shared" si="167"/>
        <v/>
      </c>
      <c r="O959" t="str">
        <f t="shared" si="156"/>
        <v>[{cd,3000},{hp,100500},{atk,724},{spd,8500}]</v>
      </c>
    </row>
    <row r="960" spans="1:15">
      <c r="A960">
        <f>Sheet1!E962</f>
        <v>106</v>
      </c>
      <c r="B960">
        <f t="shared" si="162"/>
        <v>192</v>
      </c>
      <c r="C960">
        <v>3000</v>
      </c>
      <c r="D960">
        <f>VLOOKUP(B960,[2]怪物!$N$134:$Q$233,3,0)</f>
        <v>120600</v>
      </c>
      <c r="E960">
        <f>VLOOKUP(B960,[2]怪物!$N$134:$T$233,6,0)</f>
        <v>869</v>
      </c>
      <c r="F960" s="1">
        <f t="shared" si="155"/>
        <v>8500</v>
      </c>
      <c r="H960" t="str">
        <f t="shared" si="163"/>
        <v>{cd,3000}</v>
      </c>
      <c r="I960" t="str">
        <f t="shared" si="164"/>
        <v>{hp,120600}</v>
      </c>
      <c r="J960" t="str">
        <f t="shared" si="165"/>
        <v>{atk,869}</v>
      </c>
      <c r="K960" t="str">
        <f t="shared" si="166"/>
        <v>{spd,8500}</v>
      </c>
      <c r="L960" t="str">
        <f t="shared" si="167"/>
        <v/>
      </c>
      <c r="O960" t="str">
        <f t="shared" si="156"/>
        <v>[{cd,3000},{hp,120600},{atk,869},{spd,8500}]</v>
      </c>
    </row>
    <row r="961" spans="1:15">
      <c r="A961">
        <f>Sheet1!E963</f>
        <v>106</v>
      </c>
      <c r="B961">
        <f t="shared" si="162"/>
        <v>192</v>
      </c>
      <c r="C961">
        <v>3000</v>
      </c>
      <c r="D961">
        <f>VLOOKUP(B961,[2]怪物!$N$134:$Q$233,4,0)</f>
        <v>150750</v>
      </c>
      <c r="E961">
        <f>VLOOKUP(B961,[2]怪物!$N$134:$T$233,7,0)</f>
        <v>1086</v>
      </c>
      <c r="F961" s="1">
        <f t="shared" si="155"/>
        <v>8500</v>
      </c>
      <c r="H961" t="str">
        <f t="shared" si="163"/>
        <v>{cd,3000}</v>
      </c>
      <c r="I961" t="str">
        <f t="shared" si="164"/>
        <v>{hp,150750}</v>
      </c>
      <c r="J961" t="str">
        <f t="shared" si="165"/>
        <v>{atk,1086}</v>
      </c>
      <c r="K961" t="str">
        <f t="shared" si="166"/>
        <v>{spd,8500}</v>
      </c>
      <c r="L961" t="str">
        <f t="shared" si="167"/>
        <v/>
      </c>
      <c r="O961" t="str">
        <f t="shared" si="156"/>
        <v>[{cd,3000},{hp,150750},{atk,1086},{spd,8500}]</v>
      </c>
    </row>
    <row r="962" spans="1:15">
      <c r="A962">
        <f>Sheet1!E964</f>
        <v>501</v>
      </c>
      <c r="B962">
        <f t="shared" si="162"/>
        <v>192</v>
      </c>
      <c r="C962">
        <v>3000</v>
      </c>
      <c r="D962">
        <f>VLOOKUP(B962,[2]怪物!$U$134:$W$233,2,0)</f>
        <v>6030000</v>
      </c>
      <c r="E962">
        <f>VLOOKUP(B962,[2]怪物!$U$134:$Y$233,4,0)</f>
        <v>2715</v>
      </c>
      <c r="F962" s="1">
        <f t="shared" si="155"/>
        <v>8500</v>
      </c>
      <c r="H962" t="str">
        <f t="shared" si="163"/>
        <v>{cd,3000}</v>
      </c>
      <c r="I962" t="str">
        <f t="shared" si="164"/>
        <v>{hp,6030000}</v>
      </c>
      <c r="J962" t="str">
        <f t="shared" si="165"/>
        <v>{atk,2715}</v>
      </c>
      <c r="K962" t="str">
        <f t="shared" si="166"/>
        <v>{spd,8500}</v>
      </c>
      <c r="L962" t="str">
        <f t="shared" si="167"/>
        <v/>
      </c>
      <c r="O962" t="str">
        <f t="shared" si="156"/>
        <v>[{cd,3000},{hp,6030000},{atk,2715},{spd,8500}]</v>
      </c>
    </row>
    <row r="963" spans="1:15">
      <c r="A963">
        <f>Sheet1!E965</f>
        <v>501</v>
      </c>
      <c r="B963">
        <f t="shared" si="162"/>
        <v>192</v>
      </c>
      <c r="C963">
        <v>3000</v>
      </c>
      <c r="D963">
        <f>VLOOKUP(B963,[2]怪物!$U$134:$W$233,3,0)</f>
        <v>8040000</v>
      </c>
      <c r="E963">
        <f>VLOOKUP(B963,[2]怪物!$U$134:$Y$233,5,0)</f>
        <v>5430</v>
      </c>
      <c r="F963" s="1">
        <f t="shared" si="155"/>
        <v>8500</v>
      </c>
      <c r="H963" t="str">
        <f t="shared" si="163"/>
        <v>{cd,3000}</v>
      </c>
      <c r="I963" t="str">
        <f t="shared" si="164"/>
        <v>{hp,8040000}</v>
      </c>
      <c r="J963" t="str">
        <f t="shared" si="165"/>
        <v>{atk,5430}</v>
      </c>
      <c r="K963" t="str">
        <f t="shared" si="166"/>
        <v>{spd,8500}</v>
      </c>
      <c r="L963" t="str">
        <f t="shared" si="167"/>
        <v/>
      </c>
      <c r="O963" t="str">
        <f t="shared" si="156"/>
        <v>[{cd,3000},{hp,8040000},{atk,5430},{spd,8500}]</v>
      </c>
    </row>
    <row r="964" spans="1:15">
      <c r="A964">
        <f>Sheet1!E966</f>
        <v>108</v>
      </c>
      <c r="B964">
        <f t="shared" si="162"/>
        <v>193</v>
      </c>
      <c r="C964">
        <v>3000</v>
      </c>
      <c r="D964">
        <f>VLOOKUP(B964,[2]怪物!$N$134:$Q$233,2,0)</f>
        <v>101900</v>
      </c>
      <c r="E964">
        <f>VLOOKUP(B964,[2]怪物!$N$134:$T$233,5,0)</f>
        <v>736</v>
      </c>
      <c r="F964" s="1">
        <f t="shared" si="155"/>
        <v>8500</v>
      </c>
      <c r="H964" t="str">
        <f t="shared" si="163"/>
        <v>{cd,3000}</v>
      </c>
      <c r="I964" t="str">
        <f t="shared" si="164"/>
        <v>{hp,101900}</v>
      </c>
      <c r="J964" t="str">
        <f t="shared" si="165"/>
        <v>{atk,736}</v>
      </c>
      <c r="K964" t="str">
        <f t="shared" si="166"/>
        <v>{spd,8500}</v>
      </c>
      <c r="L964" t="str">
        <f t="shared" si="167"/>
        <v/>
      </c>
      <c r="O964" t="str">
        <f t="shared" si="156"/>
        <v>[{cd,3000},{hp,101900},{atk,736},{spd,8500}]</v>
      </c>
    </row>
    <row r="965" spans="1:15">
      <c r="A965">
        <f>Sheet1!E967</f>
        <v>107</v>
      </c>
      <c r="B965">
        <f t="shared" si="162"/>
        <v>193</v>
      </c>
      <c r="C965">
        <v>3000</v>
      </c>
      <c r="D965">
        <f>VLOOKUP(B965,[2]怪物!$N$134:$Q$233,3,0)</f>
        <v>122280</v>
      </c>
      <c r="E965">
        <f>VLOOKUP(B965,[2]怪物!$N$134:$T$233,6,0)</f>
        <v>883</v>
      </c>
      <c r="F965" s="1">
        <f t="shared" ref="F965:F1028" si="168">VLOOKUP(A965,$W:$AB,6,0)</f>
        <v>8500</v>
      </c>
      <c r="H965" t="str">
        <f t="shared" si="163"/>
        <v>{cd,3000}</v>
      </c>
      <c r="I965" t="str">
        <f t="shared" si="164"/>
        <v>{hp,122280}</v>
      </c>
      <c r="J965" t="str">
        <f t="shared" si="165"/>
        <v>{atk,883}</v>
      </c>
      <c r="K965" t="str">
        <f t="shared" si="166"/>
        <v>{spd,8500}</v>
      </c>
      <c r="L965" t="str">
        <f t="shared" si="167"/>
        <v/>
      </c>
      <c r="O965" t="str">
        <f t="shared" ref="O965:O1028" si="169">"["&amp;_xlfn.TEXTJOIN(",",1,H965:M965)&amp;"]"</f>
        <v>[{cd,3000},{hp,122280},{atk,883},{spd,8500}]</v>
      </c>
    </row>
    <row r="966" spans="1:15">
      <c r="A966">
        <f>Sheet1!E968</f>
        <v>109</v>
      </c>
      <c r="B966">
        <f t="shared" si="162"/>
        <v>193</v>
      </c>
      <c r="C966">
        <v>3000</v>
      </c>
      <c r="D966">
        <f>VLOOKUP(B966,[2]怪物!$N$134:$Q$233,4,0)</f>
        <v>152850</v>
      </c>
      <c r="E966">
        <f>VLOOKUP(B966,[2]怪物!$N$134:$T$233,7,0)</f>
        <v>1104</v>
      </c>
      <c r="F966" s="1">
        <f t="shared" si="168"/>
        <v>8500</v>
      </c>
      <c r="H966" t="str">
        <f t="shared" si="163"/>
        <v>{cd,3000}</v>
      </c>
      <c r="I966" t="str">
        <f t="shared" si="164"/>
        <v>{hp,152850}</v>
      </c>
      <c r="J966" t="str">
        <f t="shared" si="165"/>
        <v>{atk,1104}</v>
      </c>
      <c r="K966" t="str">
        <f t="shared" si="166"/>
        <v>{spd,8500}</v>
      </c>
      <c r="L966" t="str">
        <f t="shared" si="167"/>
        <v/>
      </c>
      <c r="O966" t="str">
        <f t="shared" si="169"/>
        <v>[{cd,3000},{hp,152850},{atk,1104},{spd,8500}]</v>
      </c>
    </row>
    <row r="967" spans="1:15">
      <c r="A967">
        <f>Sheet1!E969</f>
        <v>508</v>
      </c>
      <c r="B967">
        <f t="shared" si="162"/>
        <v>193</v>
      </c>
      <c r="C967">
        <v>3000</v>
      </c>
      <c r="D967">
        <f>VLOOKUP(B967,[2]怪物!$U$134:$W$233,2,0)</f>
        <v>6114000</v>
      </c>
      <c r="E967">
        <f>VLOOKUP(B967,[2]怪物!$U$134:$Y$233,4,0)</f>
        <v>2760</v>
      </c>
      <c r="F967" s="1">
        <f t="shared" si="168"/>
        <v>8500</v>
      </c>
      <c r="H967" t="str">
        <f t="shared" si="163"/>
        <v>{cd,3000}</v>
      </c>
      <c r="I967" t="str">
        <f t="shared" si="164"/>
        <v>{hp,6114000}</v>
      </c>
      <c r="J967" t="str">
        <f t="shared" si="165"/>
        <v>{atk,2760}</v>
      </c>
      <c r="K967" t="str">
        <f t="shared" si="166"/>
        <v>{spd,8500}</v>
      </c>
      <c r="L967" t="str">
        <f t="shared" si="167"/>
        <v/>
      </c>
      <c r="O967" t="str">
        <f t="shared" si="169"/>
        <v>[{cd,3000},{hp,6114000},{atk,2760},{spd,8500}]</v>
      </c>
    </row>
    <row r="968" spans="1:15">
      <c r="A968">
        <f>Sheet1!E970</f>
        <v>508</v>
      </c>
      <c r="B968">
        <f t="shared" si="162"/>
        <v>193</v>
      </c>
      <c r="C968">
        <v>3000</v>
      </c>
      <c r="D968">
        <f>VLOOKUP(B968,[2]怪物!$U$134:$W$233,3,0)</f>
        <v>8152000</v>
      </c>
      <c r="E968">
        <f>VLOOKUP(B968,[2]怪物!$U$134:$Y$233,5,0)</f>
        <v>5520</v>
      </c>
      <c r="F968" s="1">
        <f t="shared" si="168"/>
        <v>8500</v>
      </c>
      <c r="H968" t="str">
        <f t="shared" si="163"/>
        <v>{cd,3000}</v>
      </c>
      <c r="I968" t="str">
        <f t="shared" si="164"/>
        <v>{hp,8152000}</v>
      </c>
      <c r="J968" t="str">
        <f t="shared" si="165"/>
        <v>{atk,5520}</v>
      </c>
      <c r="K968" t="str">
        <f t="shared" si="166"/>
        <v>{spd,8500}</v>
      </c>
      <c r="L968" t="str">
        <f t="shared" si="167"/>
        <v/>
      </c>
      <c r="O968" t="str">
        <f t="shared" si="169"/>
        <v>[{cd,3000},{hp,8152000},{atk,5520},{spd,8500}]</v>
      </c>
    </row>
    <row r="969" spans="1:15">
      <c r="A969">
        <f>Sheet1!E971</f>
        <v>100</v>
      </c>
      <c r="B969">
        <f t="shared" si="162"/>
        <v>194</v>
      </c>
      <c r="C969">
        <v>3000</v>
      </c>
      <c r="D969">
        <f>VLOOKUP(B969,[2]怪物!$N$134:$Q$233,2,0)</f>
        <v>104900</v>
      </c>
      <c r="E969">
        <f>VLOOKUP(B969,[2]怪物!$N$134:$T$233,5,0)</f>
        <v>860</v>
      </c>
      <c r="F969" s="1">
        <f t="shared" si="168"/>
        <v>8500</v>
      </c>
      <c r="H969" t="str">
        <f t="shared" si="163"/>
        <v>{cd,3000}</v>
      </c>
      <c r="I969" t="str">
        <f t="shared" si="164"/>
        <v>{hp,104900}</v>
      </c>
      <c r="J969" t="str">
        <f t="shared" si="165"/>
        <v>{atk,860}</v>
      </c>
      <c r="K969" t="str">
        <f t="shared" si="166"/>
        <v>{spd,8500}</v>
      </c>
      <c r="L969" t="str">
        <f t="shared" si="167"/>
        <v/>
      </c>
      <c r="O969" t="str">
        <f t="shared" si="169"/>
        <v>[{cd,3000},{hp,104900},{atk,860},{spd,8500}]</v>
      </c>
    </row>
    <row r="970" spans="1:15">
      <c r="A970">
        <f>Sheet1!E972</f>
        <v>102</v>
      </c>
      <c r="B970">
        <f t="shared" si="162"/>
        <v>194</v>
      </c>
      <c r="C970">
        <v>3000</v>
      </c>
      <c r="D970">
        <f>VLOOKUP(B970,[2]怪物!$N$134:$Q$233,3,0)</f>
        <v>125880</v>
      </c>
      <c r="E970">
        <f>VLOOKUP(B970,[2]怪物!$N$134:$T$233,6,0)</f>
        <v>1032</v>
      </c>
      <c r="F970" s="1">
        <f t="shared" si="168"/>
        <v>8500</v>
      </c>
      <c r="H970" t="str">
        <f t="shared" si="163"/>
        <v>{cd,3000}</v>
      </c>
      <c r="I970" t="str">
        <f t="shared" si="164"/>
        <v>{hp,125880}</v>
      </c>
      <c r="J970" t="str">
        <f t="shared" si="165"/>
        <v>{atk,1032}</v>
      </c>
      <c r="K970" t="str">
        <f t="shared" si="166"/>
        <v>{spd,8500}</v>
      </c>
      <c r="L970" t="str">
        <f t="shared" si="167"/>
        <v/>
      </c>
      <c r="O970" t="str">
        <f t="shared" si="169"/>
        <v>[{cd,3000},{hp,125880},{atk,1032},{spd,8500}]</v>
      </c>
    </row>
    <row r="971" spans="1:15">
      <c r="A971">
        <f>Sheet1!E973</f>
        <v>105</v>
      </c>
      <c r="B971">
        <f t="shared" si="162"/>
        <v>194</v>
      </c>
      <c r="C971">
        <v>3000</v>
      </c>
      <c r="D971">
        <f>VLOOKUP(B971,[2]怪物!$N$134:$Q$233,4,0)</f>
        <v>157350</v>
      </c>
      <c r="E971">
        <f>VLOOKUP(B971,[2]怪物!$N$134:$T$233,7,0)</f>
        <v>1290</v>
      </c>
      <c r="F971" s="1">
        <f t="shared" si="168"/>
        <v>8500</v>
      </c>
      <c r="H971" t="str">
        <f t="shared" si="163"/>
        <v>{cd,3000}</v>
      </c>
      <c r="I971" t="str">
        <f t="shared" si="164"/>
        <v>{hp,157350}</v>
      </c>
      <c r="J971" t="str">
        <f t="shared" si="165"/>
        <v>{atk,1290}</v>
      </c>
      <c r="K971" t="str">
        <f t="shared" si="166"/>
        <v>{spd,8500}</v>
      </c>
      <c r="L971" t="str">
        <f t="shared" si="167"/>
        <v/>
      </c>
      <c r="O971" t="str">
        <f t="shared" si="169"/>
        <v>[{cd,3000},{hp,157350},{atk,1290},{spd,8500}]</v>
      </c>
    </row>
    <row r="972" spans="1:15">
      <c r="A972">
        <f>Sheet1!E974</f>
        <v>502</v>
      </c>
      <c r="B972">
        <f t="shared" si="162"/>
        <v>194</v>
      </c>
      <c r="C972">
        <v>3000</v>
      </c>
      <c r="D972">
        <f>VLOOKUP(B972,[2]怪物!$U$134:$W$233,2,0)</f>
        <v>6294000</v>
      </c>
      <c r="E972">
        <f>VLOOKUP(B972,[2]怪物!$U$134:$Y$233,4,0)</f>
        <v>3225</v>
      </c>
      <c r="F972" s="1">
        <f t="shared" si="168"/>
        <v>8500</v>
      </c>
      <c r="H972" t="str">
        <f t="shared" si="163"/>
        <v>{cd,3000}</v>
      </c>
      <c r="I972" t="str">
        <f t="shared" si="164"/>
        <v>{hp,6294000}</v>
      </c>
      <c r="J972" t="str">
        <f t="shared" si="165"/>
        <v>{atk,3225}</v>
      </c>
      <c r="K972" t="str">
        <f t="shared" si="166"/>
        <v>{spd,8500}</v>
      </c>
      <c r="L972" t="str">
        <f t="shared" si="167"/>
        <v/>
      </c>
      <c r="O972" t="str">
        <f t="shared" si="169"/>
        <v>[{cd,3000},{hp,6294000},{atk,3225},{spd,8500}]</v>
      </c>
    </row>
    <row r="973" spans="1:15">
      <c r="A973">
        <f>Sheet1!E975</f>
        <v>500</v>
      </c>
      <c r="B973">
        <f t="shared" si="162"/>
        <v>194</v>
      </c>
      <c r="C973">
        <v>3000</v>
      </c>
      <c r="D973">
        <f>VLOOKUP(B973,[2]怪物!$U$134:$W$233,3,0)</f>
        <v>8392000</v>
      </c>
      <c r="E973">
        <f>VLOOKUP(B973,[2]怪物!$U$134:$Y$233,5,0)</f>
        <v>6450</v>
      </c>
      <c r="F973" s="1">
        <f t="shared" si="168"/>
        <v>8500</v>
      </c>
      <c r="H973" t="str">
        <f t="shared" si="163"/>
        <v>{cd,3000}</v>
      </c>
      <c r="I973" t="str">
        <f t="shared" si="164"/>
        <v>{hp,8392000}</v>
      </c>
      <c r="J973" t="str">
        <f t="shared" si="165"/>
        <v>{atk,6450}</v>
      </c>
      <c r="K973" t="str">
        <f t="shared" si="166"/>
        <v>{spd,8500}</v>
      </c>
      <c r="L973" t="str">
        <f t="shared" si="167"/>
        <v/>
      </c>
      <c r="O973" t="str">
        <f t="shared" si="169"/>
        <v>[{cd,3000},{hp,8392000},{atk,6450},{spd,8500}]</v>
      </c>
    </row>
    <row r="974" spans="1:15">
      <c r="A974">
        <f>Sheet1!E976</f>
        <v>115</v>
      </c>
      <c r="B974">
        <f t="shared" si="162"/>
        <v>195</v>
      </c>
      <c r="C974">
        <v>3000</v>
      </c>
      <c r="D974">
        <f>VLOOKUP(B974,[2]怪物!$N$134:$Q$233,2,0)</f>
        <v>102900</v>
      </c>
      <c r="E974">
        <f>VLOOKUP(B974,[2]怪物!$N$134:$T$233,5,0)</f>
        <v>748</v>
      </c>
      <c r="F974" s="1">
        <f t="shared" si="168"/>
        <v>8500</v>
      </c>
      <c r="H974" t="str">
        <f t="shared" si="163"/>
        <v>{cd,3000}</v>
      </c>
      <c r="I974" t="str">
        <f t="shared" si="164"/>
        <v>{hp,102900}</v>
      </c>
      <c r="J974" t="str">
        <f t="shared" si="165"/>
        <v>{atk,748}</v>
      </c>
      <c r="K974" t="str">
        <f t="shared" si="166"/>
        <v>{spd,8500}</v>
      </c>
      <c r="L974" t="str">
        <f t="shared" si="167"/>
        <v/>
      </c>
      <c r="O974" t="str">
        <f t="shared" si="169"/>
        <v>[{cd,3000},{hp,102900},{atk,748},{spd,8500}]</v>
      </c>
    </row>
    <row r="975" spans="1:15">
      <c r="A975">
        <f>Sheet1!E977</f>
        <v>112</v>
      </c>
      <c r="B975">
        <f t="shared" si="162"/>
        <v>195</v>
      </c>
      <c r="C975">
        <v>3000</v>
      </c>
      <c r="D975">
        <f>VLOOKUP(B975,[2]怪物!$N$134:$Q$233,3,0)</f>
        <v>123480</v>
      </c>
      <c r="E975">
        <f>VLOOKUP(B975,[2]怪物!$N$134:$T$233,6,0)</f>
        <v>898</v>
      </c>
      <c r="F975" s="1">
        <f t="shared" si="168"/>
        <v>8500</v>
      </c>
      <c r="H975" t="str">
        <f t="shared" si="163"/>
        <v>{cd,3000}</v>
      </c>
      <c r="I975" t="str">
        <f t="shared" si="164"/>
        <v>{hp,123480}</v>
      </c>
      <c r="J975" t="str">
        <f t="shared" si="165"/>
        <v>{atk,898}</v>
      </c>
      <c r="K975" t="str">
        <f t="shared" si="166"/>
        <v>{spd,8500}</v>
      </c>
      <c r="L975" t="str">
        <f t="shared" si="167"/>
        <v/>
      </c>
      <c r="O975" t="str">
        <f t="shared" si="169"/>
        <v>[{cd,3000},{hp,123480},{atk,898},{spd,8500}]</v>
      </c>
    </row>
    <row r="976" spans="1:15">
      <c r="A976">
        <f>Sheet1!E978</f>
        <v>113</v>
      </c>
      <c r="B976">
        <f t="shared" si="162"/>
        <v>195</v>
      </c>
      <c r="C976">
        <v>3000</v>
      </c>
      <c r="D976">
        <f>VLOOKUP(B976,[2]怪物!$N$134:$Q$233,4,0)</f>
        <v>154350</v>
      </c>
      <c r="E976">
        <f>VLOOKUP(B976,[2]怪物!$N$134:$T$233,7,0)</f>
        <v>1122</v>
      </c>
      <c r="F976" s="1">
        <f t="shared" si="168"/>
        <v>8500</v>
      </c>
      <c r="H976" t="str">
        <f t="shared" si="163"/>
        <v>{cd,3000}</v>
      </c>
      <c r="I976" t="str">
        <f t="shared" si="164"/>
        <v>{hp,154350}</v>
      </c>
      <c r="J976" t="str">
        <f t="shared" si="165"/>
        <v>{atk,1122}</v>
      </c>
      <c r="K976" t="str">
        <f t="shared" si="166"/>
        <v>{spd,8500}</v>
      </c>
      <c r="L976" t="str">
        <f t="shared" si="167"/>
        <v/>
      </c>
      <c r="O976" t="str">
        <f t="shared" si="169"/>
        <v>[{cd,3000},{hp,154350},{atk,1122},{spd,8500}]</v>
      </c>
    </row>
    <row r="977" spans="1:15">
      <c r="A977">
        <f>Sheet1!E979</f>
        <v>515</v>
      </c>
      <c r="B977">
        <f t="shared" si="162"/>
        <v>195</v>
      </c>
      <c r="C977">
        <v>3000</v>
      </c>
      <c r="D977">
        <f>VLOOKUP(B977,[2]怪物!$U$134:$W$233,2,0)</f>
        <v>6174000</v>
      </c>
      <c r="E977">
        <f>VLOOKUP(B977,[2]怪物!$U$134:$Y$233,4,0)</f>
        <v>2805</v>
      </c>
      <c r="F977" s="1">
        <f t="shared" si="168"/>
        <v>8500</v>
      </c>
      <c r="H977" t="str">
        <f t="shared" si="163"/>
        <v>{cd,3000}</v>
      </c>
      <c r="I977" t="str">
        <f t="shared" si="164"/>
        <v>{hp,6174000}</v>
      </c>
      <c r="J977" t="str">
        <f t="shared" si="165"/>
        <v>{atk,2805}</v>
      </c>
      <c r="K977" t="str">
        <f t="shared" si="166"/>
        <v>{spd,8500}</v>
      </c>
      <c r="L977" t="str">
        <f t="shared" si="167"/>
        <v/>
      </c>
      <c r="O977" t="str">
        <f t="shared" si="169"/>
        <v>[{cd,3000},{hp,6174000},{atk,2805},{spd,8500}]</v>
      </c>
    </row>
    <row r="978" spans="1:15">
      <c r="A978">
        <f>Sheet1!E980</f>
        <v>515</v>
      </c>
      <c r="B978">
        <f t="shared" si="162"/>
        <v>195</v>
      </c>
      <c r="C978">
        <v>3000</v>
      </c>
      <c r="D978">
        <f>VLOOKUP(B978,[2]怪物!$U$134:$W$233,3,0)</f>
        <v>8232000</v>
      </c>
      <c r="E978">
        <f>VLOOKUP(B978,[2]怪物!$U$134:$Y$233,5,0)</f>
        <v>5610</v>
      </c>
      <c r="F978" s="1">
        <f t="shared" si="168"/>
        <v>8500</v>
      </c>
      <c r="H978" t="str">
        <f t="shared" si="163"/>
        <v>{cd,3000}</v>
      </c>
      <c r="I978" t="str">
        <f t="shared" si="164"/>
        <v>{hp,8232000}</v>
      </c>
      <c r="J978" t="str">
        <f t="shared" si="165"/>
        <v>{atk,5610}</v>
      </c>
      <c r="K978" t="str">
        <f t="shared" si="166"/>
        <v>{spd,8500}</v>
      </c>
      <c r="L978" t="str">
        <f t="shared" si="167"/>
        <v/>
      </c>
      <c r="O978" t="str">
        <f t="shared" si="169"/>
        <v>[{cd,3000},{hp,8232000},{atk,5610},{spd,8500}]</v>
      </c>
    </row>
    <row r="979" spans="1:15">
      <c r="A979">
        <f>Sheet1!E981</f>
        <v>110</v>
      </c>
      <c r="B979">
        <f t="shared" si="162"/>
        <v>196</v>
      </c>
      <c r="C979">
        <v>3000</v>
      </c>
      <c r="D979">
        <f>VLOOKUP(B979,[2]怪物!$N$134:$Q$233,2,0)</f>
        <v>104100</v>
      </c>
      <c r="E979">
        <f>VLOOKUP(B979,[2]怪物!$N$134:$T$233,5,0)</f>
        <v>760</v>
      </c>
      <c r="F979" s="1">
        <f t="shared" si="168"/>
        <v>8500</v>
      </c>
      <c r="H979" t="str">
        <f t="shared" si="163"/>
        <v>{cd,3000}</v>
      </c>
      <c r="I979" t="str">
        <f t="shared" si="164"/>
        <v>{hp,104100}</v>
      </c>
      <c r="J979" t="str">
        <f t="shared" si="165"/>
        <v>{atk,760}</v>
      </c>
      <c r="K979" t="str">
        <f t="shared" si="166"/>
        <v>{spd,8500}</v>
      </c>
      <c r="L979" t="str">
        <f t="shared" si="167"/>
        <v/>
      </c>
      <c r="O979" t="str">
        <f t="shared" si="169"/>
        <v>[{cd,3000},{hp,104100},{atk,760},{spd,8500}]</v>
      </c>
    </row>
    <row r="980" spans="1:15">
      <c r="A980">
        <f>Sheet1!E982</f>
        <v>109</v>
      </c>
      <c r="B980">
        <f t="shared" si="162"/>
        <v>196</v>
      </c>
      <c r="C980">
        <v>3000</v>
      </c>
      <c r="D980">
        <f>VLOOKUP(B980,[2]怪物!$N$134:$Q$233,3,0)</f>
        <v>124920</v>
      </c>
      <c r="E980">
        <f>VLOOKUP(B980,[2]怪物!$N$134:$T$233,6,0)</f>
        <v>912</v>
      </c>
      <c r="F980" s="1">
        <f t="shared" si="168"/>
        <v>8500</v>
      </c>
      <c r="H980" t="str">
        <f t="shared" si="163"/>
        <v>{cd,3000}</v>
      </c>
      <c r="I980" t="str">
        <f t="shared" si="164"/>
        <v>{hp,124920}</v>
      </c>
      <c r="J980" t="str">
        <f t="shared" si="165"/>
        <v>{atk,912}</v>
      </c>
      <c r="K980" t="str">
        <f t="shared" si="166"/>
        <v>{spd,8500}</v>
      </c>
      <c r="L980" t="str">
        <f t="shared" si="167"/>
        <v/>
      </c>
      <c r="O980" t="str">
        <f t="shared" si="169"/>
        <v>[{cd,3000},{hp,124920},{atk,912},{spd,8500}]</v>
      </c>
    </row>
    <row r="981" spans="1:15">
      <c r="A981">
        <f>Sheet1!E983</f>
        <v>114</v>
      </c>
      <c r="B981">
        <f t="shared" si="162"/>
        <v>196</v>
      </c>
      <c r="C981">
        <v>3000</v>
      </c>
      <c r="D981">
        <f>VLOOKUP(B981,[2]怪物!$N$134:$Q$233,4,0)</f>
        <v>156150</v>
      </c>
      <c r="E981">
        <f>VLOOKUP(B981,[2]怪物!$N$134:$T$233,7,0)</f>
        <v>1140</v>
      </c>
      <c r="F981" s="1">
        <f t="shared" si="168"/>
        <v>8500</v>
      </c>
      <c r="H981" t="str">
        <f t="shared" si="163"/>
        <v>{cd,3000}</v>
      </c>
      <c r="I981" t="str">
        <f t="shared" si="164"/>
        <v>{hp,156150}</v>
      </c>
      <c r="J981" t="str">
        <f t="shared" si="165"/>
        <v>{atk,1140}</v>
      </c>
      <c r="K981" t="str">
        <f t="shared" si="166"/>
        <v>{spd,8500}</v>
      </c>
      <c r="L981" t="str">
        <f t="shared" si="167"/>
        <v/>
      </c>
      <c r="O981" t="str">
        <f t="shared" si="169"/>
        <v>[{cd,3000},{hp,156150},{atk,1140},{spd,8500}]</v>
      </c>
    </row>
    <row r="982" spans="1:15">
      <c r="A982">
        <f>Sheet1!E984</f>
        <v>514</v>
      </c>
      <c r="B982">
        <f t="shared" si="162"/>
        <v>196</v>
      </c>
      <c r="C982">
        <v>3000</v>
      </c>
      <c r="D982">
        <f>VLOOKUP(B982,[2]怪物!$U$134:$W$233,2,0)</f>
        <v>6246000</v>
      </c>
      <c r="E982">
        <f>VLOOKUP(B982,[2]怪物!$U$134:$Y$233,4,0)</f>
        <v>2850</v>
      </c>
      <c r="F982" s="1">
        <f t="shared" si="168"/>
        <v>8500</v>
      </c>
      <c r="H982" t="str">
        <f t="shared" si="163"/>
        <v>{cd,3000}</v>
      </c>
      <c r="I982" t="str">
        <f t="shared" si="164"/>
        <v>{hp,6246000}</v>
      </c>
      <c r="J982" t="str">
        <f t="shared" si="165"/>
        <v>{atk,2850}</v>
      </c>
      <c r="K982" t="str">
        <f t="shared" si="166"/>
        <v>{spd,8500}</v>
      </c>
      <c r="L982" t="str">
        <f t="shared" si="167"/>
        <v/>
      </c>
      <c r="O982" t="str">
        <f t="shared" si="169"/>
        <v>[{cd,3000},{hp,6246000},{atk,2850},{spd,8500}]</v>
      </c>
    </row>
    <row r="983" spans="1:15">
      <c r="A983">
        <f>Sheet1!E985</f>
        <v>514</v>
      </c>
      <c r="B983">
        <f t="shared" si="162"/>
        <v>196</v>
      </c>
      <c r="C983">
        <v>3000</v>
      </c>
      <c r="D983">
        <f>VLOOKUP(B983,[2]怪物!$U$134:$W$233,3,0)</f>
        <v>8328000</v>
      </c>
      <c r="E983">
        <f>VLOOKUP(B983,[2]怪物!$U$134:$Y$233,5,0)</f>
        <v>5700</v>
      </c>
      <c r="F983" s="1">
        <f t="shared" si="168"/>
        <v>8500</v>
      </c>
      <c r="H983" t="str">
        <f t="shared" si="163"/>
        <v>{cd,3000}</v>
      </c>
      <c r="I983" t="str">
        <f t="shared" si="164"/>
        <v>{hp,8328000}</v>
      </c>
      <c r="J983" t="str">
        <f t="shared" si="165"/>
        <v>{atk,5700}</v>
      </c>
      <c r="K983" t="str">
        <f t="shared" si="166"/>
        <v>{spd,8500}</v>
      </c>
      <c r="L983" t="str">
        <f t="shared" si="167"/>
        <v/>
      </c>
      <c r="O983" t="str">
        <f t="shared" si="169"/>
        <v>[{cd,3000},{hp,8328000},{atk,5700},{spd,8500}]</v>
      </c>
    </row>
    <row r="984" spans="1:15">
      <c r="A984">
        <f>Sheet1!E986</f>
        <v>125</v>
      </c>
      <c r="B984">
        <f t="shared" si="162"/>
        <v>197</v>
      </c>
      <c r="C984">
        <v>3000</v>
      </c>
      <c r="D984">
        <f>VLOOKUP(B984,[2]怪物!$N$134:$Q$233,2,0)</f>
        <v>105500</v>
      </c>
      <c r="E984">
        <f>VLOOKUP(B984,[2]怪物!$N$134:$T$233,5,0)</f>
        <v>772</v>
      </c>
      <c r="F984" s="1">
        <f t="shared" si="168"/>
        <v>8500</v>
      </c>
      <c r="H984" t="str">
        <f t="shared" si="163"/>
        <v>{cd,3000}</v>
      </c>
      <c r="I984" t="str">
        <f t="shared" si="164"/>
        <v>{hp,105500}</v>
      </c>
      <c r="J984" t="str">
        <f t="shared" si="165"/>
        <v>{atk,772}</v>
      </c>
      <c r="K984" t="str">
        <f t="shared" si="166"/>
        <v>{spd,8500}</v>
      </c>
      <c r="L984" t="str">
        <f t="shared" si="167"/>
        <v/>
      </c>
      <c r="O984" t="str">
        <f t="shared" si="169"/>
        <v>[{cd,3000},{hp,105500},{atk,772},{spd,8500}]</v>
      </c>
    </row>
    <row r="985" spans="1:15">
      <c r="A985">
        <f>Sheet1!E987</f>
        <v>127</v>
      </c>
      <c r="B985">
        <f t="shared" si="162"/>
        <v>197</v>
      </c>
      <c r="C985">
        <v>3000</v>
      </c>
      <c r="D985">
        <f>VLOOKUP(B985,[2]怪物!$N$134:$Q$233,3,0)</f>
        <v>126600</v>
      </c>
      <c r="E985">
        <f>VLOOKUP(B985,[2]怪物!$N$134:$T$233,6,0)</f>
        <v>926</v>
      </c>
      <c r="F985" s="1">
        <f t="shared" si="168"/>
        <v>8500</v>
      </c>
      <c r="H985" t="str">
        <f t="shared" si="163"/>
        <v>{cd,3000}</v>
      </c>
      <c r="I985" t="str">
        <f t="shared" si="164"/>
        <v>{hp,126600}</v>
      </c>
      <c r="J985" t="str">
        <f t="shared" si="165"/>
        <v>{atk,926}</v>
      </c>
      <c r="K985" t="str">
        <f t="shared" si="166"/>
        <v>{spd,8500}</v>
      </c>
      <c r="L985" t="str">
        <f t="shared" si="167"/>
        <v/>
      </c>
      <c r="O985" t="str">
        <f t="shared" si="169"/>
        <v>[{cd,3000},{hp,126600},{atk,926},{spd,8500}]</v>
      </c>
    </row>
    <row r="986" spans="1:15">
      <c r="A986">
        <f>Sheet1!E988</f>
        <v>126</v>
      </c>
      <c r="B986">
        <f t="shared" si="162"/>
        <v>197</v>
      </c>
      <c r="C986">
        <v>3000</v>
      </c>
      <c r="D986">
        <f>VLOOKUP(B986,[2]怪物!$N$134:$Q$233,4,0)</f>
        <v>158250</v>
      </c>
      <c r="E986">
        <f>VLOOKUP(B986,[2]怪物!$N$134:$T$233,7,0)</f>
        <v>1158</v>
      </c>
      <c r="F986" s="1">
        <f t="shared" si="168"/>
        <v>8500</v>
      </c>
      <c r="H986" t="str">
        <f t="shared" si="163"/>
        <v>{cd,3000}</v>
      </c>
      <c r="I986" t="str">
        <f t="shared" si="164"/>
        <v>{hp,158250}</v>
      </c>
      <c r="J986" t="str">
        <f t="shared" si="165"/>
        <v>{atk,1158}</v>
      </c>
      <c r="K986" t="str">
        <f t="shared" si="166"/>
        <v>{spd,8500}</v>
      </c>
      <c r="L986" t="str">
        <f t="shared" si="167"/>
        <v>{miss,1500}</v>
      </c>
      <c r="O986" t="str">
        <f t="shared" si="169"/>
        <v>[{cd,3000},{hp,158250},{atk,1158},{spd,8500},{miss,1500}]</v>
      </c>
    </row>
    <row r="987" spans="1:15">
      <c r="A987">
        <f>Sheet1!E989</f>
        <v>527</v>
      </c>
      <c r="B987">
        <f t="shared" si="162"/>
        <v>197</v>
      </c>
      <c r="C987">
        <v>3000</v>
      </c>
      <c r="D987">
        <f>VLOOKUP(B987,[2]怪物!$U$134:$W$233,2,0)</f>
        <v>6330000</v>
      </c>
      <c r="E987">
        <f>VLOOKUP(B987,[2]怪物!$U$134:$Y$233,4,0)</f>
        <v>2895</v>
      </c>
      <c r="F987" s="1">
        <f t="shared" si="168"/>
        <v>8500</v>
      </c>
      <c r="H987" t="str">
        <f t="shared" si="163"/>
        <v>{cd,3000}</v>
      </c>
      <c r="I987" t="str">
        <f t="shared" si="164"/>
        <v>{hp,6330000}</v>
      </c>
      <c r="J987" t="str">
        <f t="shared" si="165"/>
        <v>{atk,2895}</v>
      </c>
      <c r="K987" t="str">
        <f t="shared" si="166"/>
        <v>{spd,8500}</v>
      </c>
      <c r="L987" t="str">
        <f t="shared" si="167"/>
        <v/>
      </c>
      <c r="O987" t="str">
        <f t="shared" si="169"/>
        <v>[{cd,3000},{hp,6330000},{atk,2895},{spd,8500}]</v>
      </c>
    </row>
    <row r="988" spans="1:15">
      <c r="A988">
        <f>Sheet1!E990</f>
        <v>527</v>
      </c>
      <c r="B988">
        <f t="shared" si="162"/>
        <v>197</v>
      </c>
      <c r="C988">
        <v>3000</v>
      </c>
      <c r="D988">
        <f>VLOOKUP(B988,[2]怪物!$U$134:$W$233,3,0)</f>
        <v>8440000</v>
      </c>
      <c r="E988">
        <f>VLOOKUP(B988,[2]怪物!$U$134:$Y$233,5,0)</f>
        <v>5790</v>
      </c>
      <c r="F988" s="1">
        <f t="shared" si="168"/>
        <v>8500</v>
      </c>
      <c r="H988" t="str">
        <f t="shared" si="163"/>
        <v>{cd,3000}</v>
      </c>
      <c r="I988" t="str">
        <f t="shared" si="164"/>
        <v>{hp,8440000}</v>
      </c>
      <c r="J988" t="str">
        <f t="shared" si="165"/>
        <v>{atk,5790}</v>
      </c>
      <c r="K988" t="str">
        <f t="shared" si="166"/>
        <v>{spd,8500}</v>
      </c>
      <c r="L988" t="str">
        <f t="shared" si="167"/>
        <v/>
      </c>
      <c r="O988" t="str">
        <f t="shared" si="169"/>
        <v>[{cd,3000},{hp,8440000},{atk,5790},{spd,8500}]</v>
      </c>
    </row>
    <row r="989" spans="1:15">
      <c r="A989">
        <f>Sheet1!E991</f>
        <v>117</v>
      </c>
      <c r="B989">
        <f t="shared" si="162"/>
        <v>198</v>
      </c>
      <c r="C989">
        <v>3000</v>
      </c>
      <c r="D989">
        <f>VLOOKUP(B989,[2]怪物!$N$134:$Q$233,2,0)</f>
        <v>107100</v>
      </c>
      <c r="E989">
        <f>VLOOKUP(B989,[2]怪物!$N$134:$T$233,5,0)</f>
        <v>784</v>
      </c>
      <c r="F989" s="1">
        <f t="shared" si="168"/>
        <v>8500</v>
      </c>
      <c r="H989" t="str">
        <f t="shared" si="163"/>
        <v>{cd,3000}</v>
      </c>
      <c r="I989" t="str">
        <f t="shared" si="164"/>
        <v>{hp,107100}</v>
      </c>
      <c r="J989" t="str">
        <f t="shared" si="165"/>
        <v>{atk,784}</v>
      </c>
      <c r="K989" t="str">
        <f t="shared" si="166"/>
        <v>{spd,8500}</v>
      </c>
      <c r="L989" t="str">
        <f t="shared" si="167"/>
        <v>{downUnderPhAtk,5000}</v>
      </c>
      <c r="O989" t="str">
        <f t="shared" si="169"/>
        <v>[{cd,3000},{hp,107100},{atk,784},{spd,8500},{downUnderPhAtk,5000}]</v>
      </c>
    </row>
    <row r="990" spans="1:15">
      <c r="A990">
        <f>Sheet1!E992</f>
        <v>116</v>
      </c>
      <c r="B990">
        <f t="shared" si="162"/>
        <v>198</v>
      </c>
      <c r="C990">
        <v>3000</v>
      </c>
      <c r="D990">
        <f>VLOOKUP(B990,[2]怪物!$N$134:$Q$233,3,0)</f>
        <v>128520</v>
      </c>
      <c r="E990">
        <f>VLOOKUP(B990,[2]怪物!$N$134:$T$233,6,0)</f>
        <v>941</v>
      </c>
      <c r="F990" s="1">
        <f t="shared" si="168"/>
        <v>20000</v>
      </c>
      <c r="H990" t="str">
        <f t="shared" si="163"/>
        <v>{cd,3000}</v>
      </c>
      <c r="I990" t="str">
        <f t="shared" si="164"/>
        <v>{hp,128520}</v>
      </c>
      <c r="J990" t="str">
        <f t="shared" si="165"/>
        <v>{atk,941}</v>
      </c>
      <c r="K990" t="str">
        <f t="shared" si="166"/>
        <v>{spd,20000}</v>
      </c>
      <c r="L990" t="str">
        <f t="shared" si="167"/>
        <v/>
      </c>
      <c r="O990" t="str">
        <f t="shared" si="169"/>
        <v>[{cd,3000},{hp,128520},{atk,941},{spd,20000}]</v>
      </c>
    </row>
    <row r="991" spans="1:15">
      <c r="A991">
        <f>Sheet1!E993</f>
        <v>119</v>
      </c>
      <c r="B991">
        <f t="shared" si="162"/>
        <v>198</v>
      </c>
      <c r="C991">
        <v>3000</v>
      </c>
      <c r="D991">
        <f>VLOOKUP(B991,[2]怪物!$N$134:$Q$233,4,0)</f>
        <v>160650</v>
      </c>
      <c r="E991">
        <f>VLOOKUP(B991,[2]怪物!$N$134:$T$233,7,0)</f>
        <v>1176</v>
      </c>
      <c r="F991" s="1">
        <f t="shared" si="168"/>
        <v>8500</v>
      </c>
      <c r="H991" t="str">
        <f t="shared" si="163"/>
        <v>{cd,3000}</v>
      </c>
      <c r="I991" t="str">
        <f t="shared" si="164"/>
        <v>{hp,160650}</v>
      </c>
      <c r="J991" t="str">
        <f t="shared" si="165"/>
        <v>{atk,1176}</v>
      </c>
      <c r="K991" t="str">
        <f t="shared" si="166"/>
        <v>{spd,8500}</v>
      </c>
      <c r="L991" t="str">
        <f t="shared" si="167"/>
        <v>{downUnderMagicAtk,5000}</v>
      </c>
      <c r="O991" t="str">
        <f t="shared" si="169"/>
        <v>[{cd,3000},{hp,160650},{atk,1176},{spd,8500},{downUnderMagicAtk,5000}]</v>
      </c>
    </row>
    <row r="992" spans="1:15">
      <c r="A992">
        <f>Sheet1!E994</f>
        <v>517</v>
      </c>
      <c r="B992">
        <f t="shared" si="162"/>
        <v>198</v>
      </c>
      <c r="C992">
        <v>3000</v>
      </c>
      <c r="D992">
        <f>VLOOKUP(B992,[2]怪物!$U$134:$W$233,2,0)</f>
        <v>6426000</v>
      </c>
      <c r="E992">
        <f>VLOOKUP(B992,[2]怪物!$U$134:$Y$233,4,0)</f>
        <v>2940</v>
      </c>
      <c r="F992" s="1">
        <f t="shared" si="168"/>
        <v>8500</v>
      </c>
      <c r="H992" t="str">
        <f t="shared" si="163"/>
        <v>{cd,3000}</v>
      </c>
      <c r="I992" t="str">
        <f t="shared" si="164"/>
        <v>{hp,6426000}</v>
      </c>
      <c r="J992" t="str">
        <f t="shared" si="165"/>
        <v>{atk,2940}</v>
      </c>
      <c r="K992" t="str">
        <f t="shared" si="166"/>
        <v>{spd,8500}</v>
      </c>
      <c r="L992" t="str">
        <f t="shared" si="167"/>
        <v>{downUnderPhAtk,5000}</v>
      </c>
      <c r="O992" t="str">
        <f t="shared" si="169"/>
        <v>[{cd,3000},{hp,6426000},{atk,2940},{spd,8500},{downUnderPhAtk,5000}]</v>
      </c>
    </row>
    <row r="993" spans="1:15">
      <c r="A993">
        <f>Sheet1!E995</f>
        <v>517</v>
      </c>
      <c r="B993">
        <f t="shared" si="162"/>
        <v>198</v>
      </c>
      <c r="C993">
        <v>3000</v>
      </c>
      <c r="D993">
        <f>VLOOKUP(B993,[2]怪物!$U$134:$W$233,3,0)</f>
        <v>8568000</v>
      </c>
      <c r="E993">
        <f>VLOOKUP(B993,[2]怪物!$U$134:$Y$233,5,0)</f>
        <v>5880</v>
      </c>
      <c r="F993" s="1">
        <f t="shared" si="168"/>
        <v>8500</v>
      </c>
      <c r="H993" t="str">
        <f t="shared" si="163"/>
        <v>{cd,3000}</v>
      </c>
      <c r="I993" t="str">
        <f t="shared" si="164"/>
        <v>{hp,8568000}</v>
      </c>
      <c r="J993" t="str">
        <f t="shared" si="165"/>
        <v>{atk,5880}</v>
      </c>
      <c r="K993" t="str">
        <f t="shared" si="166"/>
        <v>{spd,8500}</v>
      </c>
      <c r="L993" t="str">
        <f t="shared" si="167"/>
        <v>{downUnderPhAtk,5000}</v>
      </c>
      <c r="O993" t="str">
        <f t="shared" si="169"/>
        <v>[{cd,3000},{hp,8568000},{atk,5880},{spd,8500},{downUnderPhAtk,5000}]</v>
      </c>
    </row>
    <row r="994" spans="1:15">
      <c r="A994">
        <f>Sheet1!E996</f>
        <v>125</v>
      </c>
      <c r="B994">
        <f t="shared" si="162"/>
        <v>199</v>
      </c>
      <c r="C994">
        <v>3000</v>
      </c>
      <c r="D994">
        <f>VLOOKUP(B994,[2]怪物!$N$134:$Q$233,2,0)</f>
        <v>108900</v>
      </c>
      <c r="E994">
        <f>VLOOKUP(B994,[2]怪物!$N$134:$T$233,5,0)</f>
        <v>796</v>
      </c>
      <c r="F994" s="1">
        <f t="shared" si="168"/>
        <v>8500</v>
      </c>
      <c r="H994" t="str">
        <f t="shared" si="163"/>
        <v>{cd,3000}</v>
      </c>
      <c r="I994" t="str">
        <f t="shared" si="164"/>
        <v>{hp,108900}</v>
      </c>
      <c r="J994" t="str">
        <f t="shared" si="165"/>
        <v>{atk,796}</v>
      </c>
      <c r="K994" t="str">
        <f t="shared" si="166"/>
        <v>{spd,8500}</v>
      </c>
      <c r="L994" t="str">
        <f t="shared" si="167"/>
        <v/>
      </c>
      <c r="O994" t="str">
        <f t="shared" si="169"/>
        <v>[{cd,3000},{hp,108900},{atk,796},{spd,8500}]</v>
      </c>
    </row>
    <row r="995" spans="1:15">
      <c r="A995">
        <f>Sheet1!E997</f>
        <v>124</v>
      </c>
      <c r="B995">
        <f t="shared" si="162"/>
        <v>199</v>
      </c>
      <c r="C995">
        <v>3000</v>
      </c>
      <c r="D995">
        <f>VLOOKUP(B995,[2]怪物!$N$134:$Q$233,3,0)</f>
        <v>130680</v>
      </c>
      <c r="E995">
        <f>VLOOKUP(B995,[2]怪物!$N$134:$T$233,6,0)</f>
        <v>955</v>
      </c>
      <c r="F995" s="1">
        <f t="shared" si="168"/>
        <v>8500</v>
      </c>
      <c r="H995" t="str">
        <f t="shared" si="163"/>
        <v>{cd,3000}</v>
      </c>
      <c r="I995" t="str">
        <f t="shared" si="164"/>
        <v>{hp,130680}</v>
      </c>
      <c r="J995" t="str">
        <f t="shared" si="165"/>
        <v>{atk,955}</v>
      </c>
      <c r="K995" t="str">
        <f t="shared" si="166"/>
        <v>{spd,8500}</v>
      </c>
      <c r="L995" t="str">
        <f t="shared" si="167"/>
        <v>{downCritDmg,5000},{resRate,2000}</v>
      </c>
      <c r="O995" t="str">
        <f t="shared" si="169"/>
        <v>[{cd,3000},{hp,130680},{atk,955},{spd,8500},{downCritDmg,5000},{resRate,2000}]</v>
      </c>
    </row>
    <row r="996" spans="1:15">
      <c r="A996">
        <f>Sheet1!E998</f>
        <v>128</v>
      </c>
      <c r="B996">
        <f t="shared" si="162"/>
        <v>199</v>
      </c>
      <c r="C996">
        <v>3000</v>
      </c>
      <c r="D996">
        <f>VLOOKUP(B996,[2]怪物!$N$134:$Q$233,4,0)</f>
        <v>163350</v>
      </c>
      <c r="E996">
        <f>VLOOKUP(B996,[2]怪物!$N$134:$T$233,7,0)</f>
        <v>1194</v>
      </c>
      <c r="F996" s="1">
        <f t="shared" si="168"/>
        <v>8500</v>
      </c>
      <c r="H996" t="str">
        <f t="shared" si="163"/>
        <v>{cd,3000}</v>
      </c>
      <c r="I996" t="str">
        <f t="shared" si="164"/>
        <v>{hp,163350}</v>
      </c>
      <c r="J996" t="str">
        <f t="shared" si="165"/>
        <v>{atk,1194}</v>
      </c>
      <c r="K996" t="str">
        <f t="shared" si="166"/>
        <v>{spd,8500}</v>
      </c>
      <c r="L996" t="str">
        <f t="shared" si="167"/>
        <v>{upUnderPhAtk,8000}</v>
      </c>
      <c r="O996" t="str">
        <f t="shared" si="169"/>
        <v>[{cd,3000},{hp,163350},{atk,1194},{spd,8500},{upUnderPhAtk,8000}]</v>
      </c>
    </row>
    <row r="997" spans="1:15">
      <c r="A997">
        <f>Sheet1!E999</f>
        <v>524</v>
      </c>
      <c r="B997">
        <f t="shared" si="162"/>
        <v>199</v>
      </c>
      <c r="C997">
        <v>3000</v>
      </c>
      <c r="D997">
        <f>VLOOKUP(B997,[2]怪物!$U$134:$W$233,2,0)</f>
        <v>6534000</v>
      </c>
      <c r="E997">
        <f>VLOOKUP(B997,[2]怪物!$U$134:$Y$233,4,0)</f>
        <v>2985</v>
      </c>
      <c r="F997" s="1">
        <f t="shared" si="168"/>
        <v>8500</v>
      </c>
      <c r="H997" t="str">
        <f t="shared" si="163"/>
        <v>{cd,3000}</v>
      </c>
      <c r="I997" t="str">
        <f t="shared" si="164"/>
        <v>{hp,6534000}</v>
      </c>
      <c r="J997" t="str">
        <f t="shared" si="165"/>
        <v>{atk,2985}</v>
      </c>
      <c r="K997" t="str">
        <f t="shared" si="166"/>
        <v>{spd,8500}</v>
      </c>
      <c r="L997" t="str">
        <f t="shared" si="167"/>
        <v>{downCritDmg,5000},{resRate,2000}</v>
      </c>
      <c r="O997" t="str">
        <f t="shared" si="169"/>
        <v>[{cd,3000},{hp,6534000},{atk,2985},{spd,8500},{downCritDmg,5000},{resRate,2000}]</v>
      </c>
    </row>
    <row r="998" spans="1:15">
      <c r="A998">
        <f>Sheet1!E1000</f>
        <v>524</v>
      </c>
      <c r="B998">
        <f t="shared" si="162"/>
        <v>199</v>
      </c>
      <c r="C998">
        <v>3000</v>
      </c>
      <c r="D998">
        <f>VLOOKUP(B998,[2]怪物!$U$134:$W$233,3,0)</f>
        <v>8712000</v>
      </c>
      <c r="E998">
        <f>VLOOKUP(B998,[2]怪物!$U$134:$Y$233,5,0)</f>
        <v>5970</v>
      </c>
      <c r="F998" s="1">
        <f t="shared" si="168"/>
        <v>8500</v>
      </c>
      <c r="H998" t="str">
        <f t="shared" si="163"/>
        <v>{cd,3000}</v>
      </c>
      <c r="I998" t="str">
        <f t="shared" si="164"/>
        <v>{hp,8712000}</v>
      </c>
      <c r="J998" t="str">
        <f t="shared" si="165"/>
        <v>{atk,5970}</v>
      </c>
      <c r="K998" t="str">
        <f t="shared" si="166"/>
        <v>{spd,8500}</v>
      </c>
      <c r="L998" t="str">
        <f t="shared" si="167"/>
        <v>{downCritDmg,5000},{resRate,2000}</v>
      </c>
      <c r="O998" t="str">
        <f t="shared" si="169"/>
        <v>[{cd,3000},{hp,8712000},{atk,5970},{spd,8500},{downCritDmg,5000},{resRate,2000}]</v>
      </c>
    </row>
    <row r="999" spans="1:15">
      <c r="A999">
        <f>Sheet1!E1001</f>
        <v>100</v>
      </c>
      <c r="B999">
        <f t="shared" si="162"/>
        <v>200</v>
      </c>
      <c r="C999">
        <v>3000</v>
      </c>
      <c r="D999">
        <f>VLOOKUP(B999,[2]怪物!$N$134:$Q$233,2,0)</f>
        <v>111900</v>
      </c>
      <c r="E999">
        <f>VLOOKUP(B999,[2]怪物!$N$134:$T$233,5,0)</f>
        <v>920</v>
      </c>
      <c r="F999" s="1">
        <f t="shared" si="168"/>
        <v>8500</v>
      </c>
      <c r="H999" t="str">
        <f t="shared" si="163"/>
        <v>{cd,3000}</v>
      </c>
      <c r="I999" t="str">
        <f t="shared" si="164"/>
        <v>{hp,111900}</v>
      </c>
      <c r="J999" t="str">
        <f t="shared" si="165"/>
        <v>{atk,920}</v>
      </c>
      <c r="K999" t="str">
        <f t="shared" si="166"/>
        <v>{spd,8500}</v>
      </c>
      <c r="L999" t="str">
        <f t="shared" si="167"/>
        <v/>
      </c>
      <c r="O999" t="str">
        <f t="shared" si="169"/>
        <v>[{cd,3000},{hp,111900},{atk,920},{spd,8500}]</v>
      </c>
    </row>
    <row r="1000" spans="1:15">
      <c r="A1000">
        <f>Sheet1!E1002</f>
        <v>102</v>
      </c>
      <c r="B1000">
        <f t="shared" si="162"/>
        <v>200</v>
      </c>
      <c r="C1000">
        <v>3000</v>
      </c>
      <c r="D1000">
        <f>VLOOKUP(B1000,[2]怪物!$N$134:$Q$233,3,0)</f>
        <v>134280</v>
      </c>
      <c r="E1000">
        <f>VLOOKUP(B1000,[2]怪物!$N$134:$T$233,6,0)</f>
        <v>1104</v>
      </c>
      <c r="F1000" s="1">
        <f t="shared" si="168"/>
        <v>8500</v>
      </c>
      <c r="H1000" t="str">
        <f t="shared" si="163"/>
        <v>{cd,3000}</v>
      </c>
      <c r="I1000" t="str">
        <f t="shared" si="164"/>
        <v>{hp,134280}</v>
      </c>
      <c r="J1000" t="str">
        <f t="shared" si="165"/>
        <v>{atk,1104}</v>
      </c>
      <c r="K1000" t="str">
        <f t="shared" si="166"/>
        <v>{spd,8500}</v>
      </c>
      <c r="L1000" t="str">
        <f t="shared" si="167"/>
        <v/>
      </c>
      <c r="O1000" t="str">
        <f t="shared" si="169"/>
        <v>[{cd,3000},{hp,134280},{atk,1104},{spd,8500}]</v>
      </c>
    </row>
    <row r="1001" spans="1:15">
      <c r="A1001">
        <f>Sheet1!E1003</f>
        <v>105</v>
      </c>
      <c r="B1001">
        <f t="shared" si="162"/>
        <v>200</v>
      </c>
      <c r="C1001">
        <v>3000</v>
      </c>
      <c r="D1001">
        <f>VLOOKUP(B1001,[2]怪物!$N$134:$Q$233,4,0)</f>
        <v>167850</v>
      </c>
      <c r="E1001">
        <f>VLOOKUP(B1001,[2]怪物!$N$134:$T$233,7,0)</f>
        <v>1380</v>
      </c>
      <c r="F1001" s="1">
        <f t="shared" si="168"/>
        <v>8500</v>
      </c>
      <c r="H1001" t="str">
        <f t="shared" si="163"/>
        <v>{cd,3000}</v>
      </c>
      <c r="I1001" t="str">
        <f t="shared" si="164"/>
        <v>{hp,167850}</v>
      </c>
      <c r="J1001" t="str">
        <f t="shared" si="165"/>
        <v>{atk,1380}</v>
      </c>
      <c r="K1001" t="str">
        <f t="shared" si="166"/>
        <v>{spd,8500}</v>
      </c>
      <c r="L1001" t="str">
        <f t="shared" si="167"/>
        <v/>
      </c>
      <c r="O1001" t="str">
        <f t="shared" si="169"/>
        <v>[{cd,3000},{hp,167850},{atk,1380},{spd,8500}]</v>
      </c>
    </row>
    <row r="1002" spans="1:15">
      <c r="A1002">
        <f>Sheet1!E1004</f>
        <v>502</v>
      </c>
      <c r="B1002">
        <f t="shared" si="162"/>
        <v>200</v>
      </c>
      <c r="C1002">
        <v>3000</v>
      </c>
      <c r="D1002">
        <f>VLOOKUP(B1002,[2]怪物!$U$134:$W$233,2,0)</f>
        <v>6714000</v>
      </c>
      <c r="E1002">
        <f>VLOOKUP(B1002,[2]怪物!$U$134:$Y$233,4,0)</f>
        <v>3450</v>
      </c>
      <c r="F1002" s="1">
        <f t="shared" si="168"/>
        <v>8500</v>
      </c>
      <c r="H1002" t="str">
        <f t="shared" si="163"/>
        <v>{cd,3000}</v>
      </c>
      <c r="I1002" t="str">
        <f t="shared" si="164"/>
        <v>{hp,6714000}</v>
      </c>
      <c r="J1002" t="str">
        <f t="shared" si="165"/>
        <v>{atk,3450}</v>
      </c>
      <c r="K1002" t="str">
        <f t="shared" si="166"/>
        <v>{spd,8500}</v>
      </c>
      <c r="L1002" t="str">
        <f t="shared" si="167"/>
        <v/>
      </c>
      <c r="O1002" t="str">
        <f t="shared" si="169"/>
        <v>[{cd,3000},{hp,6714000},{atk,3450},{spd,8500}]</v>
      </c>
    </row>
    <row r="1003" spans="1:15">
      <c r="A1003">
        <f>Sheet1!E1005</f>
        <v>500</v>
      </c>
      <c r="B1003">
        <f t="shared" si="162"/>
        <v>200</v>
      </c>
      <c r="C1003">
        <v>3000</v>
      </c>
      <c r="D1003">
        <f>VLOOKUP(B1003,[2]怪物!$U$134:$W$233,3,0)</f>
        <v>8952000</v>
      </c>
      <c r="E1003">
        <f>VLOOKUP(B1003,[2]怪物!$U$134:$Y$233,5,0)</f>
        <v>6900</v>
      </c>
      <c r="F1003" s="1">
        <f>VLOOKUP(A1003,$W:$AB,6,0)</f>
        <v>8500</v>
      </c>
      <c r="H1003" t="str">
        <f t="shared" si="163"/>
        <v>{cd,3000}</v>
      </c>
      <c r="I1003" t="str">
        <f t="shared" si="164"/>
        <v>{hp,8952000}</v>
      </c>
      <c r="J1003" t="str">
        <f t="shared" si="165"/>
        <v>{atk,6900}</v>
      </c>
      <c r="K1003" t="str">
        <f t="shared" si="166"/>
        <v>{spd,8500}</v>
      </c>
      <c r="L1003" t="str">
        <f t="shared" si="167"/>
        <v/>
      </c>
      <c r="O1003" t="str">
        <f t="shared" si="169"/>
        <v>[{cd,3000},{hp,8952000},{atk,6900},{spd,8500}]</v>
      </c>
    </row>
    <row r="1004" spans="1:15">
      <c r="A1004">
        <f>Sheet1!E1006</f>
        <v>125</v>
      </c>
      <c r="B1004">
        <f t="shared" ref="B1004:B1059" si="170">B999+1</f>
        <v>201</v>
      </c>
      <c r="C1004">
        <v>3000</v>
      </c>
      <c r="D1004">
        <f>VLOOKUP(B1004,[2]怪物!$N$134:$Q$243,2,0)</f>
        <v>110100</v>
      </c>
      <c r="E1004">
        <f>VLOOKUP(B1004,[2]怪物!$N$134:$T$243,5,0)</f>
        <v>808</v>
      </c>
      <c r="F1004" s="1">
        <f t="shared" si="168"/>
        <v>8500</v>
      </c>
      <c r="H1004" t="str">
        <f t="shared" ref="H1004:H1053" si="171">$C$2&amp;C$3&amp;$D$2&amp;C1004&amp;$E$2</f>
        <v>{cd,3000}</v>
      </c>
      <c r="I1004" t="str">
        <f t="shared" ref="I1004:I1053" si="172">$C$2&amp;D$3&amp;$D$2&amp;D1004&amp;$E$2</f>
        <v>{hp,110100}</v>
      </c>
      <c r="J1004" t="str">
        <f t="shared" ref="J1004:J1053" si="173">$C$2&amp;E$3&amp;$D$2&amp;E1004&amp;$E$2</f>
        <v>{atk,808}</v>
      </c>
      <c r="K1004" t="str">
        <f t="shared" ref="K1004:K1053" si="174">$C$2&amp;F$3&amp;$D$2&amp;F1004&amp;$E$2</f>
        <v>{spd,8500}</v>
      </c>
      <c r="L1004" t="str">
        <f t="shared" ref="L1004:L1053" si="175">IF(VLOOKUP(A1004,$W:$AC,7,0)=0,"",VLOOKUP(A1004,$W:$AC,7,0))</f>
        <v/>
      </c>
      <c r="O1004" t="str">
        <f t="shared" si="169"/>
        <v>[{cd,3000},{hp,110100},{atk,808},{spd,8500}]</v>
      </c>
    </row>
    <row r="1005" spans="1:15">
      <c r="A1005">
        <f>Sheet1!E1007</f>
        <v>127</v>
      </c>
      <c r="B1005">
        <f t="shared" si="170"/>
        <v>201</v>
      </c>
      <c r="C1005">
        <v>3000</v>
      </c>
      <c r="D1005">
        <f>VLOOKUP(B1005,[2]怪物!$N$134:$Q$243,3,0)</f>
        <v>132120</v>
      </c>
      <c r="E1005">
        <f>VLOOKUP(B1005,[2]怪物!$N$134:$T$243,6,0)</f>
        <v>970</v>
      </c>
      <c r="F1005" s="1">
        <f t="shared" si="168"/>
        <v>8500</v>
      </c>
      <c r="H1005" t="str">
        <f t="shared" si="171"/>
        <v>{cd,3000}</v>
      </c>
      <c r="I1005" t="str">
        <f t="shared" si="172"/>
        <v>{hp,132120}</v>
      </c>
      <c r="J1005" t="str">
        <f t="shared" si="173"/>
        <v>{atk,970}</v>
      </c>
      <c r="K1005" t="str">
        <f t="shared" si="174"/>
        <v>{spd,8500}</v>
      </c>
      <c r="L1005" t="str">
        <f t="shared" si="175"/>
        <v/>
      </c>
      <c r="O1005" t="str">
        <f t="shared" si="169"/>
        <v>[{cd,3000},{hp,132120},{atk,970},{spd,8500}]</v>
      </c>
    </row>
    <row r="1006" spans="1:15">
      <c r="A1006">
        <f>Sheet1!E1008</f>
        <v>126</v>
      </c>
      <c r="B1006">
        <f t="shared" si="170"/>
        <v>201</v>
      </c>
      <c r="C1006">
        <v>3000</v>
      </c>
      <c r="D1006">
        <f>VLOOKUP(B1006,[2]怪物!$N$134:$Q$243,4,0)</f>
        <v>165150</v>
      </c>
      <c r="E1006">
        <f>VLOOKUP(B1006,[2]怪物!$N$134:$T$243,7,0)</f>
        <v>1212</v>
      </c>
      <c r="F1006" s="1">
        <f t="shared" si="168"/>
        <v>8500</v>
      </c>
      <c r="H1006" t="str">
        <f t="shared" si="171"/>
        <v>{cd,3000}</v>
      </c>
      <c r="I1006" t="str">
        <f t="shared" si="172"/>
        <v>{hp,165150}</v>
      </c>
      <c r="J1006" t="str">
        <f t="shared" si="173"/>
        <v>{atk,1212}</v>
      </c>
      <c r="K1006" t="str">
        <f t="shared" si="174"/>
        <v>{spd,8500}</v>
      </c>
      <c r="L1006" t="str">
        <f t="shared" si="175"/>
        <v>{miss,1500}</v>
      </c>
      <c r="O1006" t="str">
        <f t="shared" si="169"/>
        <v>[{cd,3000},{hp,165150},{atk,1212},{spd,8500},{miss,1500}]</v>
      </c>
    </row>
    <row r="1007" spans="1:15">
      <c r="A1007">
        <f>Sheet1!E1009</f>
        <v>527</v>
      </c>
      <c r="B1007">
        <f t="shared" si="170"/>
        <v>201</v>
      </c>
      <c r="C1007">
        <v>3000</v>
      </c>
      <c r="D1007">
        <f>VLOOKUP(B1007,[2]怪物!$U$134:$W$243,2,0)</f>
        <v>6606000</v>
      </c>
      <c r="E1007">
        <f>VLOOKUP(B1007,[2]怪物!$U$134:$Y$243,4,0)</f>
        <v>3030</v>
      </c>
      <c r="F1007" s="1">
        <f t="shared" si="168"/>
        <v>8500</v>
      </c>
      <c r="H1007" t="str">
        <f t="shared" si="171"/>
        <v>{cd,3000}</v>
      </c>
      <c r="I1007" t="str">
        <f t="shared" si="172"/>
        <v>{hp,6606000}</v>
      </c>
      <c r="J1007" t="str">
        <f t="shared" si="173"/>
        <v>{atk,3030}</v>
      </c>
      <c r="K1007" t="str">
        <f t="shared" si="174"/>
        <v>{spd,8500}</v>
      </c>
      <c r="L1007" t="str">
        <f t="shared" si="175"/>
        <v/>
      </c>
      <c r="O1007" t="str">
        <f t="shared" si="169"/>
        <v>[{cd,3000},{hp,6606000},{atk,3030},{spd,8500}]</v>
      </c>
    </row>
    <row r="1008" spans="1:15">
      <c r="A1008">
        <f>Sheet1!E1010</f>
        <v>527</v>
      </c>
      <c r="B1008">
        <f t="shared" si="170"/>
        <v>201</v>
      </c>
      <c r="C1008">
        <v>3000</v>
      </c>
      <c r="D1008">
        <f>VLOOKUP(B1008,[2]怪物!$U$134:$W$243,3,0)</f>
        <v>8808000</v>
      </c>
      <c r="E1008">
        <f>VLOOKUP(B1008,[2]怪物!$U$134:$Y$243,5,0)</f>
        <v>6060</v>
      </c>
      <c r="F1008" s="1">
        <f t="shared" si="168"/>
        <v>8500</v>
      </c>
      <c r="H1008" t="str">
        <f t="shared" si="171"/>
        <v>{cd,3000}</v>
      </c>
      <c r="I1008" t="str">
        <f t="shared" si="172"/>
        <v>{hp,8808000}</v>
      </c>
      <c r="J1008" t="str">
        <f t="shared" si="173"/>
        <v>{atk,6060}</v>
      </c>
      <c r="K1008" t="str">
        <f t="shared" si="174"/>
        <v>{spd,8500}</v>
      </c>
      <c r="L1008" t="str">
        <f t="shared" si="175"/>
        <v/>
      </c>
      <c r="O1008" t="str">
        <f t="shared" si="169"/>
        <v>[{cd,3000},{hp,8808000},{atk,6060},{spd,8500}]</v>
      </c>
    </row>
    <row r="1009" spans="1:15">
      <c r="A1009">
        <f>Sheet1!E1011</f>
        <v>101</v>
      </c>
      <c r="B1009">
        <f t="shared" si="170"/>
        <v>202</v>
      </c>
      <c r="C1009">
        <v>3000</v>
      </c>
      <c r="D1009">
        <f>VLOOKUP(B1009,[2]怪物!$N$134:$Q$243,2,0)</f>
        <v>111500</v>
      </c>
      <c r="E1009">
        <f>VLOOKUP(B1009,[2]怪物!$N$134:$T$243,5,0)</f>
        <v>820</v>
      </c>
      <c r="F1009" s="1">
        <f t="shared" si="168"/>
        <v>8500</v>
      </c>
      <c r="H1009" t="str">
        <f t="shared" si="171"/>
        <v>{cd,3000}</v>
      </c>
      <c r="I1009" t="str">
        <f t="shared" si="172"/>
        <v>{hp,111500}</v>
      </c>
      <c r="J1009" t="str">
        <f t="shared" si="173"/>
        <v>{atk,820}</v>
      </c>
      <c r="K1009" t="str">
        <f t="shared" si="174"/>
        <v>{spd,8500}</v>
      </c>
      <c r="L1009" t="str">
        <f t="shared" si="175"/>
        <v/>
      </c>
      <c r="O1009" t="str">
        <f t="shared" si="169"/>
        <v>[{cd,3000},{hp,111500},{atk,820},{spd,8500}]</v>
      </c>
    </row>
    <row r="1010" spans="1:15">
      <c r="A1010">
        <f>Sheet1!E1012</f>
        <v>106</v>
      </c>
      <c r="B1010">
        <f t="shared" si="170"/>
        <v>202</v>
      </c>
      <c r="C1010">
        <v>3000</v>
      </c>
      <c r="D1010">
        <f>VLOOKUP(B1010,[2]怪物!$N$134:$Q$243,3,0)</f>
        <v>133800</v>
      </c>
      <c r="E1010">
        <f>VLOOKUP(B1010,[2]怪物!$N$134:$T$243,6,0)</f>
        <v>984</v>
      </c>
      <c r="F1010" s="1">
        <f t="shared" si="168"/>
        <v>8500</v>
      </c>
      <c r="H1010" t="str">
        <f t="shared" si="171"/>
        <v>{cd,3000}</v>
      </c>
      <c r="I1010" t="str">
        <f t="shared" si="172"/>
        <v>{hp,133800}</v>
      </c>
      <c r="J1010" t="str">
        <f t="shared" si="173"/>
        <v>{atk,984}</v>
      </c>
      <c r="K1010" t="str">
        <f t="shared" si="174"/>
        <v>{spd,8500}</v>
      </c>
      <c r="L1010" t="str">
        <f t="shared" si="175"/>
        <v/>
      </c>
      <c r="O1010" t="str">
        <f t="shared" si="169"/>
        <v>[{cd,3000},{hp,133800},{atk,984},{spd,8500}]</v>
      </c>
    </row>
    <row r="1011" spans="1:15">
      <c r="A1011">
        <f>Sheet1!E1013</f>
        <v>106</v>
      </c>
      <c r="B1011">
        <f t="shared" si="170"/>
        <v>202</v>
      </c>
      <c r="C1011">
        <v>3000</v>
      </c>
      <c r="D1011">
        <f>VLOOKUP(B1011,[2]怪物!$N$134:$Q$243,4,0)</f>
        <v>167250</v>
      </c>
      <c r="E1011">
        <f>VLOOKUP(B1011,[2]怪物!$N$134:$T$243,7,0)</f>
        <v>1230</v>
      </c>
      <c r="F1011" s="1">
        <f t="shared" si="168"/>
        <v>8500</v>
      </c>
      <c r="H1011" t="str">
        <f t="shared" si="171"/>
        <v>{cd,3000}</v>
      </c>
      <c r="I1011" t="str">
        <f t="shared" si="172"/>
        <v>{hp,167250}</v>
      </c>
      <c r="J1011" t="str">
        <f t="shared" si="173"/>
        <v>{atk,1230}</v>
      </c>
      <c r="K1011" t="str">
        <f t="shared" si="174"/>
        <v>{spd,8500}</v>
      </c>
      <c r="L1011" t="str">
        <f t="shared" si="175"/>
        <v/>
      </c>
      <c r="O1011" t="str">
        <f t="shared" si="169"/>
        <v>[{cd,3000},{hp,167250},{atk,1230},{spd,8500}]</v>
      </c>
    </row>
    <row r="1012" spans="1:15">
      <c r="A1012">
        <f>Sheet1!E1014</f>
        <v>501</v>
      </c>
      <c r="B1012">
        <f t="shared" si="170"/>
        <v>202</v>
      </c>
      <c r="C1012">
        <v>3000</v>
      </c>
      <c r="D1012">
        <f>VLOOKUP(B1012,[2]怪物!$U$134:$W$243,2,0)</f>
        <v>6690000</v>
      </c>
      <c r="E1012">
        <f>VLOOKUP(B1012,[2]怪物!$U$134:$Y$243,4,0)</f>
        <v>3075</v>
      </c>
      <c r="F1012" s="1">
        <f t="shared" si="168"/>
        <v>8500</v>
      </c>
      <c r="H1012" t="str">
        <f t="shared" si="171"/>
        <v>{cd,3000}</v>
      </c>
      <c r="I1012" t="str">
        <f t="shared" si="172"/>
        <v>{hp,6690000}</v>
      </c>
      <c r="J1012" t="str">
        <f t="shared" si="173"/>
        <v>{atk,3075}</v>
      </c>
      <c r="K1012" t="str">
        <f t="shared" si="174"/>
        <v>{spd,8500}</v>
      </c>
      <c r="L1012" t="str">
        <f t="shared" si="175"/>
        <v/>
      </c>
      <c r="O1012" t="str">
        <f t="shared" si="169"/>
        <v>[{cd,3000},{hp,6690000},{atk,3075},{spd,8500}]</v>
      </c>
    </row>
    <row r="1013" spans="1:15">
      <c r="A1013">
        <f>Sheet1!E1015</f>
        <v>501</v>
      </c>
      <c r="B1013">
        <f t="shared" si="170"/>
        <v>202</v>
      </c>
      <c r="C1013">
        <v>3000</v>
      </c>
      <c r="D1013">
        <f>VLOOKUP(B1013,[2]怪物!$U$134:$W$243,3,0)</f>
        <v>8920000</v>
      </c>
      <c r="E1013">
        <f>VLOOKUP(B1013,[2]怪物!$U$134:$Y$243,5,0)</f>
        <v>6150</v>
      </c>
      <c r="F1013" s="1">
        <f t="shared" si="168"/>
        <v>8500</v>
      </c>
      <c r="H1013" t="str">
        <f t="shared" si="171"/>
        <v>{cd,3000}</v>
      </c>
      <c r="I1013" t="str">
        <f t="shared" si="172"/>
        <v>{hp,8920000}</v>
      </c>
      <c r="J1013" t="str">
        <f t="shared" si="173"/>
        <v>{atk,6150}</v>
      </c>
      <c r="K1013" t="str">
        <f t="shared" si="174"/>
        <v>{spd,8500}</v>
      </c>
      <c r="L1013" t="str">
        <f t="shared" si="175"/>
        <v/>
      </c>
      <c r="O1013" t="str">
        <f t="shared" si="169"/>
        <v>[{cd,3000},{hp,8920000},{atk,6150},{spd,8500}]</v>
      </c>
    </row>
    <row r="1014" spans="1:15">
      <c r="A1014">
        <f>Sheet1!E1016</f>
        <v>108</v>
      </c>
      <c r="B1014">
        <f t="shared" si="170"/>
        <v>203</v>
      </c>
      <c r="C1014">
        <v>3000</v>
      </c>
      <c r="D1014">
        <f>VLOOKUP(B1014,[2]怪物!$N$134:$Q$243,2,0)</f>
        <v>113100</v>
      </c>
      <c r="E1014">
        <f>VLOOKUP(B1014,[2]怪物!$N$134:$T$243,5,0)</f>
        <v>832</v>
      </c>
      <c r="F1014" s="1">
        <f t="shared" si="168"/>
        <v>8500</v>
      </c>
      <c r="H1014" t="str">
        <f t="shared" si="171"/>
        <v>{cd,3000}</v>
      </c>
      <c r="I1014" t="str">
        <f t="shared" si="172"/>
        <v>{hp,113100}</v>
      </c>
      <c r="J1014" t="str">
        <f t="shared" si="173"/>
        <v>{atk,832}</v>
      </c>
      <c r="K1014" t="str">
        <f t="shared" si="174"/>
        <v>{spd,8500}</v>
      </c>
      <c r="L1014" t="str">
        <f t="shared" si="175"/>
        <v/>
      </c>
      <c r="O1014" t="str">
        <f t="shared" si="169"/>
        <v>[{cd,3000},{hp,113100},{atk,832},{spd,8500}]</v>
      </c>
    </row>
    <row r="1015" spans="1:15">
      <c r="A1015">
        <f>Sheet1!E1017</f>
        <v>107</v>
      </c>
      <c r="B1015">
        <f t="shared" si="170"/>
        <v>203</v>
      </c>
      <c r="C1015">
        <v>3000</v>
      </c>
      <c r="D1015">
        <f>VLOOKUP(B1015,[2]怪物!$N$134:$Q$243,3,0)</f>
        <v>135720</v>
      </c>
      <c r="E1015">
        <f>VLOOKUP(B1015,[2]怪物!$N$134:$T$243,6,0)</f>
        <v>998</v>
      </c>
      <c r="F1015" s="1">
        <f t="shared" si="168"/>
        <v>8500</v>
      </c>
      <c r="H1015" t="str">
        <f t="shared" si="171"/>
        <v>{cd,3000}</v>
      </c>
      <c r="I1015" t="str">
        <f t="shared" si="172"/>
        <v>{hp,135720}</v>
      </c>
      <c r="J1015" t="str">
        <f t="shared" si="173"/>
        <v>{atk,998}</v>
      </c>
      <c r="K1015" t="str">
        <f t="shared" si="174"/>
        <v>{spd,8500}</v>
      </c>
      <c r="L1015" t="str">
        <f t="shared" si="175"/>
        <v/>
      </c>
      <c r="O1015" t="str">
        <f t="shared" si="169"/>
        <v>[{cd,3000},{hp,135720},{atk,998},{spd,8500}]</v>
      </c>
    </row>
    <row r="1016" spans="1:15">
      <c r="A1016">
        <f>Sheet1!E1018</f>
        <v>109</v>
      </c>
      <c r="B1016">
        <f t="shared" si="170"/>
        <v>203</v>
      </c>
      <c r="C1016">
        <v>3000</v>
      </c>
      <c r="D1016">
        <f>VLOOKUP(B1016,[2]怪物!$N$134:$Q$243,4,0)</f>
        <v>169650</v>
      </c>
      <c r="E1016">
        <f>VLOOKUP(B1016,[2]怪物!$N$134:$T$243,7,0)</f>
        <v>1248</v>
      </c>
      <c r="F1016" s="1">
        <f t="shared" si="168"/>
        <v>8500</v>
      </c>
      <c r="H1016" t="str">
        <f t="shared" si="171"/>
        <v>{cd,3000}</v>
      </c>
      <c r="I1016" t="str">
        <f t="shared" si="172"/>
        <v>{hp,169650}</v>
      </c>
      <c r="J1016" t="str">
        <f t="shared" si="173"/>
        <v>{atk,1248}</v>
      </c>
      <c r="K1016" t="str">
        <f t="shared" si="174"/>
        <v>{spd,8500}</v>
      </c>
      <c r="L1016" t="str">
        <f t="shared" si="175"/>
        <v/>
      </c>
      <c r="O1016" t="str">
        <f t="shared" si="169"/>
        <v>[{cd,3000},{hp,169650},{atk,1248},{spd,8500}]</v>
      </c>
    </row>
    <row r="1017" spans="1:15">
      <c r="A1017">
        <f>Sheet1!E1019</f>
        <v>508</v>
      </c>
      <c r="B1017">
        <f t="shared" si="170"/>
        <v>203</v>
      </c>
      <c r="C1017">
        <v>3000</v>
      </c>
      <c r="D1017">
        <f>VLOOKUP(B1017,[2]怪物!$U$134:$W$243,2,0)</f>
        <v>6786000</v>
      </c>
      <c r="E1017">
        <f>VLOOKUP(B1017,[2]怪物!$U$134:$Y$243,4,0)</f>
        <v>3120</v>
      </c>
      <c r="F1017" s="1">
        <f t="shared" si="168"/>
        <v>8500</v>
      </c>
      <c r="H1017" t="str">
        <f t="shared" si="171"/>
        <v>{cd,3000}</v>
      </c>
      <c r="I1017" t="str">
        <f t="shared" si="172"/>
        <v>{hp,6786000}</v>
      </c>
      <c r="J1017" t="str">
        <f t="shared" si="173"/>
        <v>{atk,3120}</v>
      </c>
      <c r="K1017" t="str">
        <f t="shared" si="174"/>
        <v>{spd,8500}</v>
      </c>
      <c r="L1017" t="str">
        <f t="shared" si="175"/>
        <v/>
      </c>
      <c r="O1017" t="str">
        <f t="shared" si="169"/>
        <v>[{cd,3000},{hp,6786000},{atk,3120},{spd,8500}]</v>
      </c>
    </row>
    <row r="1018" spans="1:15">
      <c r="A1018">
        <f>Sheet1!E1020</f>
        <v>508</v>
      </c>
      <c r="B1018">
        <f t="shared" si="170"/>
        <v>203</v>
      </c>
      <c r="C1018">
        <v>3000</v>
      </c>
      <c r="D1018">
        <f>VLOOKUP(B1018,[2]怪物!$U$134:$W$243,3,0)</f>
        <v>9048000</v>
      </c>
      <c r="E1018">
        <f>VLOOKUP(B1018,[2]怪物!$U$134:$Y$243,5,0)</f>
        <v>6240</v>
      </c>
      <c r="F1018" s="1">
        <f t="shared" si="168"/>
        <v>8500</v>
      </c>
      <c r="H1018" t="str">
        <f t="shared" si="171"/>
        <v>{cd,3000}</v>
      </c>
      <c r="I1018" t="str">
        <f t="shared" si="172"/>
        <v>{hp,9048000}</v>
      </c>
      <c r="J1018" t="str">
        <f t="shared" si="173"/>
        <v>{atk,6240}</v>
      </c>
      <c r="K1018" t="str">
        <f t="shared" si="174"/>
        <v>{spd,8500}</v>
      </c>
      <c r="L1018" t="str">
        <f t="shared" si="175"/>
        <v/>
      </c>
      <c r="O1018" t="str">
        <f t="shared" si="169"/>
        <v>[{cd,3000},{hp,9048000},{atk,6240},{spd,8500}]</v>
      </c>
    </row>
    <row r="1019" spans="1:15">
      <c r="A1019">
        <f>Sheet1!E1021</f>
        <v>100</v>
      </c>
      <c r="B1019">
        <f t="shared" si="170"/>
        <v>204</v>
      </c>
      <c r="C1019">
        <v>3000</v>
      </c>
      <c r="D1019">
        <f>VLOOKUP(B1019,[2]怪物!$N$134:$Q$243,2,0)</f>
        <v>116100</v>
      </c>
      <c r="E1019">
        <f>VLOOKUP(B1019,[2]怪物!$N$134:$T$243,5,0)</f>
        <v>980</v>
      </c>
      <c r="F1019" s="1">
        <f t="shared" si="168"/>
        <v>8500</v>
      </c>
      <c r="H1019" t="str">
        <f t="shared" si="171"/>
        <v>{cd,3000}</v>
      </c>
      <c r="I1019" t="str">
        <f t="shared" si="172"/>
        <v>{hp,116100}</v>
      </c>
      <c r="J1019" t="str">
        <f t="shared" si="173"/>
        <v>{atk,980}</v>
      </c>
      <c r="K1019" t="str">
        <f t="shared" si="174"/>
        <v>{spd,8500}</v>
      </c>
      <c r="L1019" t="str">
        <f t="shared" si="175"/>
        <v/>
      </c>
      <c r="O1019" t="str">
        <f t="shared" si="169"/>
        <v>[{cd,3000},{hp,116100},{atk,980},{spd,8500}]</v>
      </c>
    </row>
    <row r="1020" spans="1:15">
      <c r="A1020">
        <f>Sheet1!E1022</f>
        <v>102</v>
      </c>
      <c r="B1020">
        <f t="shared" si="170"/>
        <v>204</v>
      </c>
      <c r="C1020">
        <v>3000</v>
      </c>
      <c r="D1020">
        <f>VLOOKUP(B1020,[2]怪物!$N$134:$Q$243,3,0)</f>
        <v>139320</v>
      </c>
      <c r="E1020">
        <f>VLOOKUP(B1020,[2]怪物!$N$134:$T$243,6,0)</f>
        <v>1176</v>
      </c>
      <c r="F1020" s="1">
        <f t="shared" si="168"/>
        <v>8500</v>
      </c>
      <c r="H1020" t="str">
        <f t="shared" si="171"/>
        <v>{cd,3000}</v>
      </c>
      <c r="I1020" t="str">
        <f t="shared" si="172"/>
        <v>{hp,139320}</v>
      </c>
      <c r="J1020" t="str">
        <f t="shared" si="173"/>
        <v>{atk,1176}</v>
      </c>
      <c r="K1020" t="str">
        <f t="shared" si="174"/>
        <v>{spd,8500}</v>
      </c>
      <c r="L1020" t="str">
        <f t="shared" si="175"/>
        <v/>
      </c>
      <c r="O1020" t="str">
        <f t="shared" si="169"/>
        <v>[{cd,3000},{hp,139320},{atk,1176},{spd,8500}]</v>
      </c>
    </row>
    <row r="1021" spans="1:15">
      <c r="A1021">
        <f>Sheet1!E1023</f>
        <v>105</v>
      </c>
      <c r="B1021">
        <f t="shared" si="170"/>
        <v>204</v>
      </c>
      <c r="C1021">
        <v>3000</v>
      </c>
      <c r="D1021">
        <f>VLOOKUP(B1021,[2]怪物!$N$134:$Q$243,4,0)</f>
        <v>174150</v>
      </c>
      <c r="E1021">
        <f>VLOOKUP(B1021,[2]怪物!$N$134:$T$243,7,0)</f>
        <v>1470</v>
      </c>
      <c r="F1021" s="1">
        <f t="shared" si="168"/>
        <v>8500</v>
      </c>
      <c r="H1021" t="str">
        <f t="shared" si="171"/>
        <v>{cd,3000}</v>
      </c>
      <c r="I1021" t="str">
        <f t="shared" si="172"/>
        <v>{hp,174150}</v>
      </c>
      <c r="J1021" t="str">
        <f t="shared" si="173"/>
        <v>{atk,1470}</v>
      </c>
      <c r="K1021" t="str">
        <f t="shared" si="174"/>
        <v>{spd,8500}</v>
      </c>
      <c r="L1021" t="str">
        <f t="shared" si="175"/>
        <v/>
      </c>
      <c r="O1021" t="str">
        <f t="shared" si="169"/>
        <v>[{cd,3000},{hp,174150},{atk,1470},{spd,8500}]</v>
      </c>
    </row>
    <row r="1022" spans="1:15">
      <c r="A1022">
        <f>Sheet1!E1024</f>
        <v>502</v>
      </c>
      <c r="B1022">
        <f t="shared" si="170"/>
        <v>204</v>
      </c>
      <c r="C1022">
        <v>3000</v>
      </c>
      <c r="D1022">
        <f>VLOOKUP(B1022,[2]怪物!$U$134:$W$243,2,0)</f>
        <v>6966000</v>
      </c>
      <c r="E1022">
        <f>VLOOKUP(B1022,[2]怪物!$U$134:$Y$243,4,0)</f>
        <v>3675</v>
      </c>
      <c r="F1022" s="1">
        <f t="shared" si="168"/>
        <v>8500</v>
      </c>
      <c r="H1022" t="str">
        <f t="shared" si="171"/>
        <v>{cd,3000}</v>
      </c>
      <c r="I1022" t="str">
        <f t="shared" si="172"/>
        <v>{hp,6966000}</v>
      </c>
      <c r="J1022" t="str">
        <f t="shared" si="173"/>
        <v>{atk,3675}</v>
      </c>
      <c r="K1022" t="str">
        <f t="shared" si="174"/>
        <v>{spd,8500}</v>
      </c>
      <c r="L1022" t="str">
        <f t="shared" si="175"/>
        <v/>
      </c>
      <c r="O1022" t="str">
        <f t="shared" si="169"/>
        <v>[{cd,3000},{hp,6966000},{atk,3675},{spd,8500}]</v>
      </c>
    </row>
    <row r="1023" spans="1:15">
      <c r="A1023">
        <f>Sheet1!E1025</f>
        <v>500</v>
      </c>
      <c r="B1023">
        <f t="shared" si="170"/>
        <v>204</v>
      </c>
      <c r="C1023">
        <v>3000</v>
      </c>
      <c r="D1023">
        <f>VLOOKUP(B1023,[2]怪物!$U$134:$W$243,3,0)</f>
        <v>9288000</v>
      </c>
      <c r="E1023">
        <f>VLOOKUP(B1023,[2]怪物!$U$134:$Y$243,5,0)</f>
        <v>7350</v>
      </c>
      <c r="F1023" s="1">
        <f t="shared" si="168"/>
        <v>8500</v>
      </c>
      <c r="H1023" t="str">
        <f t="shared" si="171"/>
        <v>{cd,3000}</v>
      </c>
      <c r="I1023" t="str">
        <f t="shared" si="172"/>
        <v>{hp,9288000}</v>
      </c>
      <c r="J1023" t="str">
        <f t="shared" si="173"/>
        <v>{atk,7350}</v>
      </c>
      <c r="K1023" t="str">
        <f t="shared" si="174"/>
        <v>{spd,8500}</v>
      </c>
      <c r="L1023" t="str">
        <f t="shared" si="175"/>
        <v/>
      </c>
      <c r="O1023" t="str">
        <f t="shared" si="169"/>
        <v>[{cd,3000},{hp,9288000},{atk,7350},{spd,8500}]</v>
      </c>
    </row>
    <row r="1024" spans="1:15">
      <c r="A1024">
        <f>Sheet1!E1026</f>
        <v>115</v>
      </c>
      <c r="B1024">
        <f t="shared" si="170"/>
        <v>205</v>
      </c>
      <c r="C1024">
        <v>3000</v>
      </c>
      <c r="D1024">
        <f>VLOOKUP(B1024,[2]怪物!$N$134:$Q$243,2,0)</f>
        <v>114300</v>
      </c>
      <c r="E1024">
        <f>VLOOKUP(B1024,[2]怪物!$N$134:$T$243,5,0)</f>
        <v>844</v>
      </c>
      <c r="F1024" s="1">
        <f t="shared" si="168"/>
        <v>8500</v>
      </c>
      <c r="H1024" t="str">
        <f t="shared" si="171"/>
        <v>{cd,3000}</v>
      </c>
      <c r="I1024" t="str">
        <f t="shared" si="172"/>
        <v>{hp,114300}</v>
      </c>
      <c r="J1024" t="str">
        <f t="shared" si="173"/>
        <v>{atk,844}</v>
      </c>
      <c r="K1024" t="str">
        <f t="shared" si="174"/>
        <v>{spd,8500}</v>
      </c>
      <c r="L1024" t="str">
        <f t="shared" si="175"/>
        <v/>
      </c>
      <c r="O1024" t="str">
        <f t="shared" si="169"/>
        <v>[{cd,3000},{hp,114300},{atk,844},{spd,8500}]</v>
      </c>
    </row>
    <row r="1025" spans="1:15">
      <c r="A1025">
        <f>Sheet1!E1027</f>
        <v>112</v>
      </c>
      <c r="B1025">
        <f t="shared" si="170"/>
        <v>205</v>
      </c>
      <c r="C1025">
        <v>3000</v>
      </c>
      <c r="D1025">
        <f>VLOOKUP(B1025,[2]怪物!$N$134:$Q$243,3,0)</f>
        <v>137160</v>
      </c>
      <c r="E1025">
        <f>VLOOKUP(B1025,[2]怪物!$N$134:$T$243,6,0)</f>
        <v>1013</v>
      </c>
      <c r="F1025" s="1">
        <f t="shared" si="168"/>
        <v>8500</v>
      </c>
      <c r="H1025" t="str">
        <f t="shared" si="171"/>
        <v>{cd,3000}</v>
      </c>
      <c r="I1025" t="str">
        <f t="shared" si="172"/>
        <v>{hp,137160}</v>
      </c>
      <c r="J1025" t="str">
        <f t="shared" si="173"/>
        <v>{atk,1013}</v>
      </c>
      <c r="K1025" t="str">
        <f t="shared" si="174"/>
        <v>{spd,8500}</v>
      </c>
      <c r="L1025" t="str">
        <f t="shared" si="175"/>
        <v/>
      </c>
      <c r="O1025" t="str">
        <f t="shared" si="169"/>
        <v>[{cd,3000},{hp,137160},{atk,1013},{spd,8500}]</v>
      </c>
    </row>
    <row r="1026" spans="1:15">
      <c r="A1026">
        <f>Sheet1!E1028</f>
        <v>113</v>
      </c>
      <c r="B1026">
        <f t="shared" si="170"/>
        <v>205</v>
      </c>
      <c r="C1026">
        <v>3000</v>
      </c>
      <c r="D1026">
        <f>VLOOKUP(B1026,[2]怪物!$N$134:$Q$243,4,0)</f>
        <v>171450</v>
      </c>
      <c r="E1026">
        <f>VLOOKUP(B1026,[2]怪物!$N$134:$T$243,7,0)</f>
        <v>1266</v>
      </c>
      <c r="F1026" s="1">
        <f t="shared" si="168"/>
        <v>8500</v>
      </c>
      <c r="H1026" t="str">
        <f t="shared" si="171"/>
        <v>{cd,3000}</v>
      </c>
      <c r="I1026" t="str">
        <f t="shared" si="172"/>
        <v>{hp,171450}</v>
      </c>
      <c r="J1026" t="str">
        <f t="shared" si="173"/>
        <v>{atk,1266}</v>
      </c>
      <c r="K1026" t="str">
        <f t="shared" si="174"/>
        <v>{spd,8500}</v>
      </c>
      <c r="L1026" t="str">
        <f t="shared" si="175"/>
        <v/>
      </c>
      <c r="O1026" t="str">
        <f t="shared" si="169"/>
        <v>[{cd,3000},{hp,171450},{atk,1266},{spd,8500}]</v>
      </c>
    </row>
    <row r="1027" spans="1:15">
      <c r="A1027">
        <f>Sheet1!E1029</f>
        <v>515</v>
      </c>
      <c r="B1027">
        <f t="shared" si="170"/>
        <v>205</v>
      </c>
      <c r="C1027">
        <v>3000</v>
      </c>
      <c r="D1027">
        <f>VLOOKUP(B1027,[2]怪物!$U$134:$W$243,2,0)</f>
        <v>6858000</v>
      </c>
      <c r="E1027">
        <f>VLOOKUP(B1027,[2]怪物!$U$134:$Y$243,4,0)</f>
        <v>3165</v>
      </c>
      <c r="F1027" s="1">
        <f t="shared" si="168"/>
        <v>8500</v>
      </c>
      <c r="H1027" t="str">
        <f t="shared" si="171"/>
        <v>{cd,3000}</v>
      </c>
      <c r="I1027" t="str">
        <f t="shared" si="172"/>
        <v>{hp,6858000}</v>
      </c>
      <c r="J1027" t="str">
        <f t="shared" si="173"/>
        <v>{atk,3165}</v>
      </c>
      <c r="K1027" t="str">
        <f t="shared" si="174"/>
        <v>{spd,8500}</v>
      </c>
      <c r="L1027" t="str">
        <f t="shared" si="175"/>
        <v/>
      </c>
      <c r="O1027" t="str">
        <f t="shared" si="169"/>
        <v>[{cd,3000},{hp,6858000},{atk,3165},{spd,8500}]</v>
      </c>
    </row>
    <row r="1028" spans="1:15">
      <c r="A1028">
        <f>Sheet1!E1030</f>
        <v>515</v>
      </c>
      <c r="B1028">
        <f t="shared" si="170"/>
        <v>205</v>
      </c>
      <c r="C1028">
        <v>3000</v>
      </c>
      <c r="D1028">
        <f>VLOOKUP(B1028,[2]怪物!$U$134:$W$243,3,0)</f>
        <v>9144000</v>
      </c>
      <c r="E1028">
        <f>VLOOKUP(B1028,[2]怪物!$U$134:$Y$243,5,0)</f>
        <v>6330</v>
      </c>
      <c r="F1028" s="1">
        <f t="shared" si="168"/>
        <v>8500</v>
      </c>
      <c r="H1028" t="str">
        <f t="shared" si="171"/>
        <v>{cd,3000}</v>
      </c>
      <c r="I1028" t="str">
        <f t="shared" si="172"/>
        <v>{hp,9144000}</v>
      </c>
      <c r="J1028" t="str">
        <f t="shared" si="173"/>
        <v>{atk,6330}</v>
      </c>
      <c r="K1028" t="str">
        <f t="shared" si="174"/>
        <v>{spd,8500}</v>
      </c>
      <c r="L1028" t="str">
        <f t="shared" si="175"/>
        <v/>
      </c>
      <c r="O1028" t="str">
        <f t="shared" si="169"/>
        <v>[{cd,3000},{hp,9144000},{atk,6330},{spd,8500}]</v>
      </c>
    </row>
    <row r="1029" spans="1:15">
      <c r="A1029">
        <f>Sheet1!E1031</f>
        <v>110</v>
      </c>
      <c r="B1029">
        <f t="shared" si="170"/>
        <v>206</v>
      </c>
      <c r="C1029">
        <v>3000</v>
      </c>
      <c r="D1029">
        <f>VLOOKUP(B1029,[2]怪物!$N$134:$Q$243,2,0)</f>
        <v>115700</v>
      </c>
      <c r="E1029">
        <f>VLOOKUP(B1029,[2]怪物!$N$134:$T$243,5,0)</f>
        <v>856</v>
      </c>
      <c r="F1029" s="1">
        <f t="shared" ref="F1029:F1053" si="176">VLOOKUP(A1029,$W:$AB,6,0)</f>
        <v>8500</v>
      </c>
      <c r="H1029" t="str">
        <f t="shared" si="171"/>
        <v>{cd,3000}</v>
      </c>
      <c r="I1029" t="str">
        <f t="shared" si="172"/>
        <v>{hp,115700}</v>
      </c>
      <c r="J1029" t="str">
        <f t="shared" si="173"/>
        <v>{atk,856}</v>
      </c>
      <c r="K1029" t="str">
        <f t="shared" si="174"/>
        <v>{spd,8500}</v>
      </c>
      <c r="L1029" t="str">
        <f t="shared" si="175"/>
        <v/>
      </c>
      <c r="O1029" t="str">
        <f t="shared" ref="O1029:O1053" si="177">"["&amp;_xlfn.TEXTJOIN(",",1,H1029:M1029)&amp;"]"</f>
        <v>[{cd,3000},{hp,115700},{atk,856},{spd,8500}]</v>
      </c>
    </row>
    <row r="1030" spans="1:15">
      <c r="A1030">
        <f>Sheet1!E1032</f>
        <v>109</v>
      </c>
      <c r="B1030">
        <f t="shared" si="170"/>
        <v>206</v>
      </c>
      <c r="C1030">
        <v>3000</v>
      </c>
      <c r="D1030">
        <f>VLOOKUP(B1030,[2]怪物!$N$134:$Q$243,3,0)</f>
        <v>138840</v>
      </c>
      <c r="E1030">
        <f>VLOOKUP(B1030,[2]怪物!$N$134:$T$243,6,0)</f>
        <v>1027</v>
      </c>
      <c r="F1030" s="1">
        <f t="shared" si="176"/>
        <v>8500</v>
      </c>
      <c r="H1030" t="str">
        <f t="shared" si="171"/>
        <v>{cd,3000}</v>
      </c>
      <c r="I1030" t="str">
        <f t="shared" si="172"/>
        <v>{hp,138840}</v>
      </c>
      <c r="J1030" t="str">
        <f t="shared" si="173"/>
        <v>{atk,1027}</v>
      </c>
      <c r="K1030" t="str">
        <f t="shared" si="174"/>
        <v>{spd,8500}</v>
      </c>
      <c r="L1030" t="str">
        <f t="shared" si="175"/>
        <v/>
      </c>
      <c r="O1030" t="str">
        <f t="shared" si="177"/>
        <v>[{cd,3000},{hp,138840},{atk,1027},{spd,8500}]</v>
      </c>
    </row>
    <row r="1031" spans="1:15">
      <c r="A1031">
        <f>Sheet1!E1033</f>
        <v>114</v>
      </c>
      <c r="B1031">
        <f t="shared" si="170"/>
        <v>206</v>
      </c>
      <c r="C1031">
        <v>3000</v>
      </c>
      <c r="D1031">
        <f>VLOOKUP(B1031,[2]怪物!$N$134:$Q$243,4,0)</f>
        <v>173550</v>
      </c>
      <c r="E1031">
        <f>VLOOKUP(B1031,[2]怪物!$N$134:$T$243,7,0)</f>
        <v>1284</v>
      </c>
      <c r="F1031" s="1">
        <f t="shared" si="176"/>
        <v>8500</v>
      </c>
      <c r="H1031" t="str">
        <f t="shared" si="171"/>
        <v>{cd,3000}</v>
      </c>
      <c r="I1031" t="str">
        <f t="shared" si="172"/>
        <v>{hp,173550}</v>
      </c>
      <c r="J1031" t="str">
        <f t="shared" si="173"/>
        <v>{atk,1284}</v>
      </c>
      <c r="K1031" t="str">
        <f t="shared" si="174"/>
        <v>{spd,8500}</v>
      </c>
      <c r="L1031" t="str">
        <f t="shared" si="175"/>
        <v/>
      </c>
      <c r="O1031" t="str">
        <f t="shared" si="177"/>
        <v>[{cd,3000},{hp,173550},{atk,1284},{spd,8500}]</v>
      </c>
    </row>
    <row r="1032" spans="1:15">
      <c r="A1032">
        <f>Sheet1!E1034</f>
        <v>514</v>
      </c>
      <c r="B1032">
        <f t="shared" si="170"/>
        <v>206</v>
      </c>
      <c r="C1032">
        <v>3000</v>
      </c>
      <c r="D1032">
        <f>VLOOKUP(B1032,[2]怪物!$U$134:$W$243,2,0)</f>
        <v>6942000</v>
      </c>
      <c r="E1032">
        <f>VLOOKUP(B1032,[2]怪物!$U$134:$Y$243,4,0)</f>
        <v>3210</v>
      </c>
      <c r="F1032" s="1">
        <f t="shared" si="176"/>
        <v>8500</v>
      </c>
      <c r="H1032" t="str">
        <f t="shared" si="171"/>
        <v>{cd,3000}</v>
      </c>
      <c r="I1032" t="str">
        <f t="shared" si="172"/>
        <v>{hp,6942000}</v>
      </c>
      <c r="J1032" t="str">
        <f t="shared" si="173"/>
        <v>{atk,3210}</v>
      </c>
      <c r="K1032" t="str">
        <f t="shared" si="174"/>
        <v>{spd,8500}</v>
      </c>
      <c r="L1032" t="str">
        <f t="shared" si="175"/>
        <v/>
      </c>
      <c r="O1032" t="str">
        <f t="shared" si="177"/>
        <v>[{cd,3000},{hp,6942000},{atk,3210},{spd,8500}]</v>
      </c>
    </row>
    <row r="1033" spans="1:15">
      <c r="A1033">
        <f>Sheet1!E1035</f>
        <v>514</v>
      </c>
      <c r="B1033">
        <f t="shared" si="170"/>
        <v>206</v>
      </c>
      <c r="C1033">
        <v>3000</v>
      </c>
      <c r="D1033">
        <f>VLOOKUP(B1033,[2]怪物!$U$134:$W$243,3,0)</f>
        <v>9256000</v>
      </c>
      <c r="E1033">
        <f>VLOOKUP(B1033,[2]怪物!$U$134:$Y$243,5,0)</f>
        <v>6420</v>
      </c>
      <c r="F1033" s="1">
        <f t="shared" si="176"/>
        <v>8500</v>
      </c>
      <c r="H1033" t="str">
        <f t="shared" si="171"/>
        <v>{cd,3000}</v>
      </c>
      <c r="I1033" t="str">
        <f t="shared" si="172"/>
        <v>{hp,9256000}</v>
      </c>
      <c r="J1033" t="str">
        <f t="shared" si="173"/>
        <v>{atk,6420}</v>
      </c>
      <c r="K1033" t="str">
        <f t="shared" si="174"/>
        <v>{spd,8500}</v>
      </c>
      <c r="L1033" t="str">
        <f t="shared" si="175"/>
        <v/>
      </c>
      <c r="O1033" t="str">
        <f t="shared" si="177"/>
        <v>[{cd,3000},{hp,9256000},{atk,6420},{spd,8500}]</v>
      </c>
    </row>
    <row r="1034" spans="1:15">
      <c r="A1034">
        <f>Sheet1!E1036</f>
        <v>125</v>
      </c>
      <c r="B1034">
        <f t="shared" si="170"/>
        <v>207</v>
      </c>
      <c r="C1034">
        <v>3000</v>
      </c>
      <c r="D1034">
        <f>VLOOKUP(B1034,[2]怪物!$N$134:$Q$243,2,0)</f>
        <v>117300</v>
      </c>
      <c r="E1034">
        <f>VLOOKUP(B1034,[2]怪物!$N$134:$T$243,5,0)</f>
        <v>868</v>
      </c>
      <c r="F1034" s="1">
        <f t="shared" si="176"/>
        <v>8500</v>
      </c>
      <c r="H1034" t="str">
        <f t="shared" si="171"/>
        <v>{cd,3000}</v>
      </c>
      <c r="I1034" t="str">
        <f t="shared" si="172"/>
        <v>{hp,117300}</v>
      </c>
      <c r="J1034" t="str">
        <f t="shared" si="173"/>
        <v>{atk,868}</v>
      </c>
      <c r="K1034" t="str">
        <f t="shared" si="174"/>
        <v>{spd,8500}</v>
      </c>
      <c r="L1034" t="str">
        <f t="shared" si="175"/>
        <v/>
      </c>
      <c r="O1034" t="str">
        <f t="shared" si="177"/>
        <v>[{cd,3000},{hp,117300},{atk,868},{spd,8500}]</v>
      </c>
    </row>
    <row r="1035" spans="1:15">
      <c r="A1035">
        <f>Sheet1!E1037</f>
        <v>127</v>
      </c>
      <c r="B1035">
        <f t="shared" si="170"/>
        <v>207</v>
      </c>
      <c r="C1035">
        <v>3000</v>
      </c>
      <c r="D1035">
        <f>VLOOKUP(B1035,[2]怪物!$N$134:$Q$243,3,0)</f>
        <v>140760</v>
      </c>
      <c r="E1035">
        <f>VLOOKUP(B1035,[2]怪物!$N$134:$T$243,6,0)</f>
        <v>1042</v>
      </c>
      <c r="F1035" s="1">
        <f t="shared" si="176"/>
        <v>8500</v>
      </c>
      <c r="H1035" t="str">
        <f t="shared" si="171"/>
        <v>{cd,3000}</v>
      </c>
      <c r="I1035" t="str">
        <f t="shared" si="172"/>
        <v>{hp,140760}</v>
      </c>
      <c r="J1035" t="str">
        <f t="shared" si="173"/>
        <v>{atk,1042}</v>
      </c>
      <c r="K1035" t="str">
        <f t="shared" si="174"/>
        <v>{spd,8500}</v>
      </c>
      <c r="L1035" t="str">
        <f t="shared" si="175"/>
        <v/>
      </c>
      <c r="O1035" t="str">
        <f t="shared" si="177"/>
        <v>[{cd,3000},{hp,140760},{atk,1042},{spd,8500}]</v>
      </c>
    </row>
    <row r="1036" spans="1:15">
      <c r="A1036">
        <f>Sheet1!E1038</f>
        <v>126</v>
      </c>
      <c r="B1036">
        <f t="shared" si="170"/>
        <v>207</v>
      </c>
      <c r="C1036">
        <v>3000</v>
      </c>
      <c r="D1036">
        <f>VLOOKUP(B1036,[2]怪物!$N$134:$Q$243,4,0)</f>
        <v>175950</v>
      </c>
      <c r="E1036">
        <f>VLOOKUP(B1036,[2]怪物!$N$134:$T$243,7,0)</f>
        <v>1302</v>
      </c>
      <c r="F1036" s="1">
        <f t="shared" si="176"/>
        <v>8500</v>
      </c>
      <c r="H1036" t="str">
        <f t="shared" si="171"/>
        <v>{cd,3000}</v>
      </c>
      <c r="I1036" t="str">
        <f t="shared" si="172"/>
        <v>{hp,175950}</v>
      </c>
      <c r="J1036" t="str">
        <f t="shared" si="173"/>
        <v>{atk,1302}</v>
      </c>
      <c r="K1036" t="str">
        <f t="shared" si="174"/>
        <v>{spd,8500}</v>
      </c>
      <c r="L1036" t="str">
        <f t="shared" si="175"/>
        <v>{miss,1500}</v>
      </c>
      <c r="O1036" t="str">
        <f t="shared" si="177"/>
        <v>[{cd,3000},{hp,175950},{atk,1302},{spd,8500},{miss,1500}]</v>
      </c>
    </row>
    <row r="1037" spans="1:15">
      <c r="A1037">
        <f>Sheet1!E1039</f>
        <v>527</v>
      </c>
      <c r="B1037">
        <f t="shared" si="170"/>
        <v>207</v>
      </c>
      <c r="C1037">
        <v>3000</v>
      </c>
      <c r="D1037">
        <f>VLOOKUP(B1037,[2]怪物!$U$134:$W$243,2,0)</f>
        <v>7038000</v>
      </c>
      <c r="E1037">
        <f>VLOOKUP(B1037,[2]怪物!$U$134:$Y$243,4,0)</f>
        <v>3255</v>
      </c>
      <c r="F1037" s="1">
        <f t="shared" si="176"/>
        <v>8500</v>
      </c>
      <c r="H1037" t="str">
        <f t="shared" si="171"/>
        <v>{cd,3000}</v>
      </c>
      <c r="I1037" t="str">
        <f t="shared" si="172"/>
        <v>{hp,7038000}</v>
      </c>
      <c r="J1037" t="str">
        <f t="shared" si="173"/>
        <v>{atk,3255}</v>
      </c>
      <c r="K1037" t="str">
        <f t="shared" si="174"/>
        <v>{spd,8500}</v>
      </c>
      <c r="L1037" t="str">
        <f t="shared" si="175"/>
        <v/>
      </c>
      <c r="O1037" t="str">
        <f t="shared" si="177"/>
        <v>[{cd,3000},{hp,7038000},{atk,3255},{spd,8500}]</v>
      </c>
    </row>
    <row r="1038" spans="1:15">
      <c r="A1038">
        <f>Sheet1!E1040</f>
        <v>527</v>
      </c>
      <c r="B1038">
        <f t="shared" si="170"/>
        <v>207</v>
      </c>
      <c r="C1038">
        <v>3000</v>
      </c>
      <c r="D1038">
        <f>VLOOKUP(B1038,[2]怪物!$U$134:$W$243,3,0)</f>
        <v>9384000</v>
      </c>
      <c r="E1038">
        <f>VLOOKUP(B1038,[2]怪物!$U$134:$Y$243,5,0)</f>
        <v>6510</v>
      </c>
      <c r="F1038" s="1">
        <f t="shared" si="176"/>
        <v>8500</v>
      </c>
      <c r="H1038" t="str">
        <f t="shared" si="171"/>
        <v>{cd,3000}</v>
      </c>
      <c r="I1038" t="str">
        <f t="shared" si="172"/>
        <v>{hp,9384000}</v>
      </c>
      <c r="J1038" t="str">
        <f t="shared" si="173"/>
        <v>{atk,6510}</v>
      </c>
      <c r="K1038" t="str">
        <f t="shared" si="174"/>
        <v>{spd,8500}</v>
      </c>
      <c r="L1038" t="str">
        <f t="shared" si="175"/>
        <v/>
      </c>
      <c r="O1038" t="str">
        <f t="shared" si="177"/>
        <v>[{cd,3000},{hp,9384000},{atk,6510},{spd,8500}]</v>
      </c>
    </row>
    <row r="1039" spans="1:15">
      <c r="A1039">
        <f>Sheet1!E1041</f>
        <v>117</v>
      </c>
      <c r="B1039">
        <f t="shared" si="170"/>
        <v>208</v>
      </c>
      <c r="C1039">
        <v>3000</v>
      </c>
      <c r="D1039">
        <f>VLOOKUP(B1039,[2]怪物!$N$134:$Q$243,2,0)</f>
        <v>119100</v>
      </c>
      <c r="E1039">
        <f>VLOOKUP(B1039,[2]怪物!$N$134:$T$243,5,0)</f>
        <v>880</v>
      </c>
      <c r="F1039" s="1">
        <f t="shared" si="176"/>
        <v>8500</v>
      </c>
      <c r="H1039" t="str">
        <f t="shared" si="171"/>
        <v>{cd,3000}</v>
      </c>
      <c r="I1039" t="str">
        <f t="shared" si="172"/>
        <v>{hp,119100}</v>
      </c>
      <c r="J1039" t="str">
        <f t="shared" si="173"/>
        <v>{atk,880}</v>
      </c>
      <c r="K1039" t="str">
        <f t="shared" si="174"/>
        <v>{spd,8500}</v>
      </c>
      <c r="L1039" t="str">
        <f t="shared" si="175"/>
        <v>{downUnderPhAtk,5000}</v>
      </c>
      <c r="O1039" t="str">
        <f t="shared" si="177"/>
        <v>[{cd,3000},{hp,119100},{atk,880},{spd,8500},{downUnderPhAtk,5000}]</v>
      </c>
    </row>
    <row r="1040" spans="1:15">
      <c r="A1040">
        <f>Sheet1!E1042</f>
        <v>116</v>
      </c>
      <c r="B1040">
        <f t="shared" si="170"/>
        <v>208</v>
      </c>
      <c r="C1040">
        <v>3000</v>
      </c>
      <c r="D1040">
        <f>VLOOKUP(B1040,[2]怪物!$N$134:$Q$243,3,0)</f>
        <v>142920</v>
      </c>
      <c r="E1040">
        <f>VLOOKUP(B1040,[2]怪物!$N$134:$T$243,6,0)</f>
        <v>1056</v>
      </c>
      <c r="F1040" s="1">
        <f t="shared" si="176"/>
        <v>20000</v>
      </c>
      <c r="H1040" t="str">
        <f t="shared" si="171"/>
        <v>{cd,3000}</v>
      </c>
      <c r="I1040" t="str">
        <f t="shared" si="172"/>
        <v>{hp,142920}</v>
      </c>
      <c r="J1040" t="str">
        <f t="shared" si="173"/>
        <v>{atk,1056}</v>
      </c>
      <c r="K1040" t="str">
        <f t="shared" si="174"/>
        <v>{spd,20000}</v>
      </c>
      <c r="L1040" t="str">
        <f t="shared" si="175"/>
        <v/>
      </c>
      <c r="O1040" t="str">
        <f t="shared" si="177"/>
        <v>[{cd,3000},{hp,142920},{atk,1056},{spd,20000}]</v>
      </c>
    </row>
    <row r="1041" spans="1:15">
      <c r="A1041">
        <f>Sheet1!E1043</f>
        <v>119</v>
      </c>
      <c r="B1041">
        <f t="shared" si="170"/>
        <v>208</v>
      </c>
      <c r="C1041">
        <v>3000</v>
      </c>
      <c r="D1041">
        <f>VLOOKUP(B1041,[2]怪物!$N$134:$Q$243,4,0)</f>
        <v>178650</v>
      </c>
      <c r="E1041">
        <f>VLOOKUP(B1041,[2]怪物!$N$134:$T$243,7,0)</f>
        <v>1320</v>
      </c>
      <c r="F1041" s="1">
        <f t="shared" si="176"/>
        <v>8500</v>
      </c>
      <c r="H1041" t="str">
        <f t="shared" si="171"/>
        <v>{cd,3000}</v>
      </c>
      <c r="I1041" t="str">
        <f t="shared" si="172"/>
        <v>{hp,178650}</v>
      </c>
      <c r="J1041" t="str">
        <f t="shared" si="173"/>
        <v>{atk,1320}</v>
      </c>
      <c r="K1041" t="str">
        <f t="shared" si="174"/>
        <v>{spd,8500}</v>
      </c>
      <c r="L1041" t="str">
        <f t="shared" si="175"/>
        <v>{downUnderMagicAtk,5000}</v>
      </c>
      <c r="O1041" t="str">
        <f t="shared" si="177"/>
        <v>[{cd,3000},{hp,178650},{atk,1320},{spd,8500},{downUnderMagicAtk,5000}]</v>
      </c>
    </row>
    <row r="1042" spans="1:15">
      <c r="A1042">
        <f>Sheet1!E1044</f>
        <v>517</v>
      </c>
      <c r="B1042">
        <f t="shared" si="170"/>
        <v>208</v>
      </c>
      <c r="C1042">
        <v>3000</v>
      </c>
      <c r="D1042">
        <f>VLOOKUP(B1042,[2]怪物!$U$134:$W$243,2,0)</f>
        <v>7146000</v>
      </c>
      <c r="E1042">
        <f>VLOOKUP(B1042,[2]怪物!$U$134:$Y$243,4,0)</f>
        <v>3300</v>
      </c>
      <c r="F1042" s="1">
        <f t="shared" si="176"/>
        <v>8500</v>
      </c>
      <c r="H1042" t="str">
        <f t="shared" si="171"/>
        <v>{cd,3000}</v>
      </c>
      <c r="I1042" t="str">
        <f t="shared" si="172"/>
        <v>{hp,7146000}</v>
      </c>
      <c r="J1042" t="str">
        <f t="shared" si="173"/>
        <v>{atk,3300}</v>
      </c>
      <c r="K1042" t="str">
        <f t="shared" si="174"/>
        <v>{spd,8500}</v>
      </c>
      <c r="L1042" t="str">
        <f t="shared" si="175"/>
        <v>{downUnderPhAtk,5000}</v>
      </c>
      <c r="O1042" t="str">
        <f t="shared" si="177"/>
        <v>[{cd,3000},{hp,7146000},{atk,3300},{spd,8500},{downUnderPhAtk,5000}]</v>
      </c>
    </row>
    <row r="1043" spans="1:15">
      <c r="A1043">
        <f>Sheet1!E1045</f>
        <v>517</v>
      </c>
      <c r="B1043">
        <f t="shared" si="170"/>
        <v>208</v>
      </c>
      <c r="C1043">
        <v>3000</v>
      </c>
      <c r="D1043">
        <f>VLOOKUP(B1043,[2]怪物!$U$134:$W$243,3,0)</f>
        <v>9528000</v>
      </c>
      <c r="E1043">
        <f>VLOOKUP(B1043,[2]怪物!$U$134:$Y$243,5,0)</f>
        <v>6600</v>
      </c>
      <c r="F1043" s="1">
        <f t="shared" si="176"/>
        <v>8500</v>
      </c>
      <c r="H1043" t="str">
        <f t="shared" si="171"/>
        <v>{cd,3000}</v>
      </c>
      <c r="I1043" t="str">
        <f t="shared" si="172"/>
        <v>{hp,9528000}</v>
      </c>
      <c r="J1043" t="str">
        <f t="shared" si="173"/>
        <v>{atk,6600}</v>
      </c>
      <c r="K1043" t="str">
        <f t="shared" si="174"/>
        <v>{spd,8500}</v>
      </c>
      <c r="L1043" t="str">
        <f t="shared" si="175"/>
        <v>{downUnderPhAtk,5000}</v>
      </c>
      <c r="O1043" t="str">
        <f t="shared" si="177"/>
        <v>[{cd,3000},{hp,9528000},{atk,6600},{spd,8500},{downUnderPhAtk,5000}]</v>
      </c>
    </row>
    <row r="1044" spans="1:15">
      <c r="A1044">
        <f>Sheet1!E1046</f>
        <v>125</v>
      </c>
      <c r="B1044">
        <f t="shared" si="170"/>
        <v>209</v>
      </c>
      <c r="C1044">
        <v>3000</v>
      </c>
      <c r="D1044">
        <f>VLOOKUP(B1044,[2]怪物!$N$134:$Q$243,2,0)</f>
        <v>121100</v>
      </c>
      <c r="E1044">
        <f>VLOOKUP(B1044,[2]怪物!$N$134:$T$243,5,0)</f>
        <v>892</v>
      </c>
      <c r="F1044" s="1">
        <f t="shared" si="176"/>
        <v>8500</v>
      </c>
      <c r="H1044" t="str">
        <f t="shared" si="171"/>
        <v>{cd,3000}</v>
      </c>
      <c r="I1044" t="str">
        <f t="shared" si="172"/>
        <v>{hp,121100}</v>
      </c>
      <c r="J1044" t="str">
        <f t="shared" si="173"/>
        <v>{atk,892}</v>
      </c>
      <c r="K1044" t="str">
        <f t="shared" si="174"/>
        <v>{spd,8500}</v>
      </c>
      <c r="L1044" t="str">
        <f t="shared" si="175"/>
        <v/>
      </c>
      <c r="O1044" t="str">
        <f t="shared" si="177"/>
        <v>[{cd,3000},{hp,121100},{atk,892},{spd,8500}]</v>
      </c>
    </row>
    <row r="1045" spans="1:15">
      <c r="A1045">
        <f>Sheet1!E1047</f>
        <v>124</v>
      </c>
      <c r="B1045">
        <f t="shared" si="170"/>
        <v>209</v>
      </c>
      <c r="C1045">
        <v>3000</v>
      </c>
      <c r="D1045">
        <f>VLOOKUP(B1045,[2]怪物!$N$134:$Q$243,3,0)</f>
        <v>145320</v>
      </c>
      <c r="E1045">
        <f>VLOOKUP(B1045,[2]怪物!$N$134:$T$243,6,0)</f>
        <v>1070</v>
      </c>
      <c r="F1045" s="1">
        <f t="shared" si="176"/>
        <v>8500</v>
      </c>
      <c r="H1045" t="str">
        <f t="shared" si="171"/>
        <v>{cd,3000}</v>
      </c>
      <c r="I1045" t="str">
        <f t="shared" si="172"/>
        <v>{hp,145320}</v>
      </c>
      <c r="J1045" t="str">
        <f t="shared" si="173"/>
        <v>{atk,1070}</v>
      </c>
      <c r="K1045" t="str">
        <f t="shared" si="174"/>
        <v>{spd,8500}</v>
      </c>
      <c r="L1045" t="str">
        <f t="shared" si="175"/>
        <v>{downCritDmg,5000},{resRate,2000}</v>
      </c>
      <c r="O1045" t="str">
        <f t="shared" si="177"/>
        <v>[{cd,3000},{hp,145320},{atk,1070},{spd,8500},{downCritDmg,5000},{resRate,2000}]</v>
      </c>
    </row>
    <row r="1046" spans="1:15">
      <c r="A1046">
        <f>Sheet1!E1048</f>
        <v>128</v>
      </c>
      <c r="B1046">
        <f t="shared" si="170"/>
        <v>209</v>
      </c>
      <c r="C1046">
        <v>3000</v>
      </c>
      <c r="D1046">
        <f>VLOOKUP(B1046,[2]怪物!$N$134:$Q$243,4,0)</f>
        <v>181650</v>
      </c>
      <c r="E1046">
        <f>VLOOKUP(B1046,[2]怪物!$N$134:$T$243,7,0)</f>
        <v>1338</v>
      </c>
      <c r="F1046" s="1">
        <f t="shared" si="176"/>
        <v>8500</v>
      </c>
      <c r="H1046" t="str">
        <f t="shared" si="171"/>
        <v>{cd,3000}</v>
      </c>
      <c r="I1046" t="str">
        <f t="shared" si="172"/>
        <v>{hp,181650}</v>
      </c>
      <c r="J1046" t="str">
        <f t="shared" si="173"/>
        <v>{atk,1338}</v>
      </c>
      <c r="K1046" t="str">
        <f t="shared" si="174"/>
        <v>{spd,8500}</v>
      </c>
      <c r="L1046" t="str">
        <f t="shared" si="175"/>
        <v>{upUnderPhAtk,8000}</v>
      </c>
      <c r="O1046" t="str">
        <f t="shared" si="177"/>
        <v>[{cd,3000},{hp,181650},{atk,1338},{spd,8500},{upUnderPhAtk,8000}]</v>
      </c>
    </row>
    <row r="1047" spans="1:15">
      <c r="A1047">
        <f>Sheet1!E1049</f>
        <v>524</v>
      </c>
      <c r="B1047">
        <f t="shared" si="170"/>
        <v>209</v>
      </c>
      <c r="C1047">
        <v>3000</v>
      </c>
      <c r="D1047">
        <f>VLOOKUP(B1047,[2]怪物!$U$134:$W$243,2,0)</f>
        <v>7266000</v>
      </c>
      <c r="E1047">
        <f>VLOOKUP(B1047,[2]怪物!$U$134:$Y$243,4,0)</f>
        <v>3345</v>
      </c>
      <c r="F1047" s="1">
        <f t="shared" si="176"/>
        <v>8500</v>
      </c>
      <c r="H1047" t="str">
        <f t="shared" si="171"/>
        <v>{cd,3000}</v>
      </c>
      <c r="I1047" t="str">
        <f t="shared" si="172"/>
        <v>{hp,7266000}</v>
      </c>
      <c r="J1047" t="str">
        <f t="shared" si="173"/>
        <v>{atk,3345}</v>
      </c>
      <c r="K1047" t="str">
        <f t="shared" si="174"/>
        <v>{spd,8500}</v>
      </c>
      <c r="L1047" t="str">
        <f t="shared" si="175"/>
        <v>{downCritDmg,5000},{resRate,2000}</v>
      </c>
      <c r="O1047" t="str">
        <f t="shared" si="177"/>
        <v>[{cd,3000},{hp,7266000},{atk,3345},{spd,8500},{downCritDmg,5000},{resRate,2000}]</v>
      </c>
    </row>
    <row r="1048" spans="1:15">
      <c r="A1048">
        <f>Sheet1!E1050</f>
        <v>524</v>
      </c>
      <c r="B1048">
        <f t="shared" si="170"/>
        <v>209</v>
      </c>
      <c r="C1048">
        <v>3000</v>
      </c>
      <c r="D1048">
        <f>VLOOKUP(B1048,[2]怪物!$U$134:$W$243,3,0)</f>
        <v>9688000</v>
      </c>
      <c r="E1048">
        <f>VLOOKUP(B1048,[2]怪物!$U$134:$Y$243,5,0)</f>
        <v>6690</v>
      </c>
      <c r="F1048" s="1">
        <f t="shared" si="176"/>
        <v>8500</v>
      </c>
      <c r="H1048" t="str">
        <f t="shared" si="171"/>
        <v>{cd,3000}</v>
      </c>
      <c r="I1048" t="str">
        <f t="shared" si="172"/>
        <v>{hp,9688000}</v>
      </c>
      <c r="J1048" t="str">
        <f t="shared" si="173"/>
        <v>{atk,6690}</v>
      </c>
      <c r="K1048" t="str">
        <f t="shared" si="174"/>
        <v>{spd,8500}</v>
      </c>
      <c r="L1048" t="str">
        <f t="shared" si="175"/>
        <v>{downCritDmg,5000},{resRate,2000}</v>
      </c>
      <c r="O1048" t="str">
        <f t="shared" si="177"/>
        <v>[{cd,3000},{hp,9688000},{atk,6690},{spd,8500},{downCritDmg,5000},{resRate,2000}]</v>
      </c>
    </row>
    <row r="1049" spans="1:15">
      <c r="A1049">
        <f>Sheet1!E1051</f>
        <v>100</v>
      </c>
      <c r="B1049">
        <f t="shared" si="170"/>
        <v>210</v>
      </c>
      <c r="C1049">
        <v>3000</v>
      </c>
      <c r="D1049">
        <f>VLOOKUP(B1049,[2]怪物!$N$134:$Q$243,2,0)</f>
        <v>124100</v>
      </c>
      <c r="E1049">
        <f>VLOOKUP(B1049,[2]怪物!$N$134:$T$243,5,0)</f>
        <v>1040</v>
      </c>
      <c r="F1049" s="1">
        <f t="shared" si="176"/>
        <v>8500</v>
      </c>
      <c r="H1049" t="str">
        <f t="shared" si="171"/>
        <v>{cd,3000}</v>
      </c>
      <c r="I1049" t="str">
        <f t="shared" si="172"/>
        <v>{hp,124100}</v>
      </c>
      <c r="J1049" t="str">
        <f t="shared" si="173"/>
        <v>{atk,1040}</v>
      </c>
      <c r="K1049" t="str">
        <f t="shared" si="174"/>
        <v>{spd,8500}</v>
      </c>
      <c r="L1049" t="str">
        <f t="shared" si="175"/>
        <v/>
      </c>
      <c r="O1049" t="str">
        <f t="shared" si="177"/>
        <v>[{cd,3000},{hp,124100},{atk,1040},{spd,8500}]</v>
      </c>
    </row>
    <row r="1050" spans="1:15">
      <c r="A1050">
        <f>Sheet1!E1052</f>
        <v>102</v>
      </c>
      <c r="B1050">
        <f t="shared" si="170"/>
        <v>210</v>
      </c>
      <c r="C1050">
        <v>3000</v>
      </c>
      <c r="D1050">
        <f>VLOOKUP(B1050,[2]怪物!$N$134:$Q$243,3,0)</f>
        <v>148920</v>
      </c>
      <c r="E1050">
        <f>VLOOKUP(B1050,[2]怪物!$N$134:$T$243,6,0)</f>
        <v>1248</v>
      </c>
      <c r="F1050" s="1">
        <f t="shared" si="176"/>
        <v>8500</v>
      </c>
      <c r="H1050" t="str">
        <f t="shared" si="171"/>
        <v>{cd,3000}</v>
      </c>
      <c r="I1050" t="str">
        <f t="shared" si="172"/>
        <v>{hp,148920}</v>
      </c>
      <c r="J1050" t="str">
        <f t="shared" si="173"/>
        <v>{atk,1248}</v>
      </c>
      <c r="K1050" t="str">
        <f t="shared" si="174"/>
        <v>{spd,8500}</v>
      </c>
      <c r="L1050" t="str">
        <f t="shared" si="175"/>
        <v/>
      </c>
      <c r="O1050" t="str">
        <f t="shared" si="177"/>
        <v>[{cd,3000},{hp,148920},{atk,1248},{spd,8500}]</v>
      </c>
    </row>
    <row r="1051" spans="1:15">
      <c r="A1051">
        <f>Sheet1!E1053</f>
        <v>105</v>
      </c>
      <c r="B1051">
        <f t="shared" si="170"/>
        <v>210</v>
      </c>
      <c r="C1051">
        <v>3000</v>
      </c>
      <c r="D1051">
        <f>VLOOKUP(B1051,[2]怪物!$N$134:$Q$243,4,0)</f>
        <v>186150</v>
      </c>
      <c r="E1051">
        <f>VLOOKUP(B1051,[2]怪物!$N$134:$T$243,7,0)</f>
        <v>1560</v>
      </c>
      <c r="F1051" s="1">
        <f t="shared" si="176"/>
        <v>8500</v>
      </c>
      <c r="H1051" t="str">
        <f t="shared" si="171"/>
        <v>{cd,3000}</v>
      </c>
      <c r="I1051" t="str">
        <f t="shared" si="172"/>
        <v>{hp,186150}</v>
      </c>
      <c r="J1051" t="str">
        <f t="shared" si="173"/>
        <v>{atk,1560}</v>
      </c>
      <c r="K1051" t="str">
        <f t="shared" si="174"/>
        <v>{spd,8500}</v>
      </c>
      <c r="L1051" t="str">
        <f t="shared" si="175"/>
        <v/>
      </c>
      <c r="O1051" t="str">
        <f t="shared" si="177"/>
        <v>[{cd,3000},{hp,186150},{atk,1560},{spd,8500}]</v>
      </c>
    </row>
    <row r="1052" spans="1:15">
      <c r="A1052">
        <f>Sheet1!E1054</f>
        <v>502</v>
      </c>
      <c r="B1052">
        <f t="shared" si="170"/>
        <v>210</v>
      </c>
      <c r="C1052">
        <v>3000</v>
      </c>
      <c r="D1052">
        <f>VLOOKUP(B1052,[2]怪物!$U$134:$W$243,2,0)</f>
        <v>7446000</v>
      </c>
      <c r="E1052">
        <f>VLOOKUP(B1052,[2]怪物!$U$134:$Y$243,4,0)</f>
        <v>3900</v>
      </c>
      <c r="F1052" s="1">
        <f t="shared" si="176"/>
        <v>8500</v>
      </c>
      <c r="H1052" t="str">
        <f t="shared" si="171"/>
        <v>{cd,3000}</v>
      </c>
      <c r="I1052" t="str">
        <f t="shared" si="172"/>
        <v>{hp,7446000}</v>
      </c>
      <c r="J1052" t="str">
        <f t="shared" si="173"/>
        <v>{atk,3900}</v>
      </c>
      <c r="K1052" t="str">
        <f t="shared" si="174"/>
        <v>{spd,8500}</v>
      </c>
      <c r="L1052" t="str">
        <f t="shared" si="175"/>
        <v/>
      </c>
      <c r="O1052" t="str">
        <f t="shared" si="177"/>
        <v>[{cd,3000},{hp,7446000},{atk,3900},{spd,8500}]</v>
      </c>
    </row>
    <row r="1053" spans="1:15">
      <c r="A1053">
        <f>Sheet1!E1055</f>
        <v>500</v>
      </c>
      <c r="B1053">
        <f t="shared" si="170"/>
        <v>210</v>
      </c>
      <c r="C1053">
        <v>3000</v>
      </c>
      <c r="D1053">
        <f>VLOOKUP(B1053,[2]怪物!$U$134:$W$243,3,0)</f>
        <v>9928000</v>
      </c>
      <c r="E1053">
        <f>VLOOKUP(B1053,[2]怪物!$U$134:$Y$243,5,0)</f>
        <v>7800</v>
      </c>
      <c r="F1053" s="1">
        <f t="shared" si="176"/>
        <v>8500</v>
      </c>
      <c r="H1053" t="str">
        <f t="shared" si="171"/>
        <v>{cd,3000}</v>
      </c>
      <c r="I1053" t="str">
        <f t="shared" si="172"/>
        <v>{hp,9928000}</v>
      </c>
      <c r="J1053" t="str">
        <f t="shared" si="173"/>
        <v>{atk,7800}</v>
      </c>
      <c r="K1053" t="str">
        <f t="shared" si="174"/>
        <v>{spd,8500}</v>
      </c>
      <c r="L1053" t="str">
        <f t="shared" si="175"/>
        <v/>
      </c>
      <c r="O1053" t="str">
        <f t="shared" si="177"/>
        <v>[{cd,3000},{hp,9928000},{atk,7800},{spd,8500}]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droidhang</dc:creator>
  <cp:lastModifiedBy>，？！。</cp:lastModifiedBy>
  <dcterms:created xsi:type="dcterms:W3CDTF">2023-02-15T09:33:00Z</dcterms:created>
  <dcterms:modified xsi:type="dcterms:W3CDTF">2024-10-16T06:24:43Z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8E681237B87547D29189FA8178E52905</vt:lpwstr>
  </property>
  <property fmtid="{D5CDD505-2E9C-101B-9397-08002B2CF9AE}" pid="3" name="KSOProductBuildVer">
    <vt:lpwstr>2052-12.1.0.18276</vt:lpwstr>
  </property>
</Properties>
</file>