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  <author>yangronggang</author>
  </authors>
  <commentList>
    <comment ref="A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1-200表示等级基金
1001-9999表示水晶基金</t>
        </r>
      </text>
    </comment>
    <comment ref="B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达成条件等级
1.特惠和钻石通行证表示等级
2.关卡基金表示通关关卡</t>
        </r>
      </text>
    </comment>
    <comment ref="C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表示奖励轮次，通行证使用奖励轮次仅在刷新重置时使用。</t>
        </r>
      </text>
    </comment>
    <comment ref="D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升级所需消耗体力</t>
        </r>
      </text>
    </comment>
    <comment ref="G1" authorId="1">
      <text>
        <r>
          <rPr>
            <b/>
            <sz val="9"/>
            <rFont val="宋体"/>
            <charset val="134"/>
          </rPr>
          <t>yangronggang:</t>
        </r>
        <r>
          <rPr>
            <sz val="9"/>
            <rFont val="宋体"/>
            <charset val="134"/>
          </rPr>
          <t xml:space="preserve">
基金奖励类型
1.特惠通行证
2.钻石通行证
3.关卡基金</t>
        </r>
      </text>
    </comment>
  </commentList>
</comments>
</file>

<file path=xl/sharedStrings.xml><?xml version="1.0" encoding="utf-8"?>
<sst xmlns="http://schemas.openxmlformats.org/spreadsheetml/2006/main" count="244" uniqueCount="58">
  <si>
    <t>id</t>
  </si>
  <si>
    <t>达成条件</t>
  </si>
  <si>
    <t>奖励轮次</t>
  </si>
  <si>
    <t>升级所需消耗</t>
  </si>
  <si>
    <t>免费线奖励内容</t>
  </si>
  <si>
    <t>付费线奖励</t>
  </si>
  <si>
    <t>基金奖励类型</t>
  </si>
  <si>
    <t>both</t>
  </si>
  <si>
    <t>factor</t>
  </si>
  <si>
    <t>Rounds</t>
  </si>
  <si>
    <t>exp</t>
  </si>
  <si>
    <t>freeReward</t>
  </si>
  <si>
    <t>passReward2</t>
  </si>
  <si>
    <t>type</t>
  </si>
  <si>
    <t>int</t>
  </si>
  <si>
    <t>[Reward]</t>
  </si>
  <si>
    <t>index</t>
  </si>
  <si>
    <t>[{Item,1,200}]</t>
  </si>
  <si>
    <t>[{Item,303,1}]</t>
  </si>
  <si>
    <t>[{Item,201,5}]</t>
  </si>
  <si>
    <t>[{Item,202,20}]</t>
  </si>
  <si>
    <t>[{Item,301,1}]</t>
  </si>
  <si>
    <t>[{Item,302,3}]</t>
  </si>
  <si>
    <t>[{Item,1,500}]</t>
  </si>
  <si>
    <t>[{Item,311,2}]</t>
  </si>
  <si>
    <t>[{Item,2,30}]</t>
  </si>
  <si>
    <t>[{Item,2,300}]</t>
  </si>
  <si>
    <t>[{Item,6,1500}]</t>
  </si>
  <si>
    <t>[{Item,201,10}]</t>
  </si>
  <si>
    <t>[{Item,203,1}]</t>
  </si>
  <si>
    <t>[{Item,203,5}]</t>
  </si>
  <si>
    <t>[{Item,201,15}]</t>
  </si>
  <si>
    <t>[{Item,201,20}]</t>
  </si>
  <si>
    <t>[{Item,2,10}]</t>
  </si>
  <si>
    <t>[{Item,2,90}]</t>
  </si>
  <si>
    <t>[{Item,2,130}]</t>
  </si>
  <si>
    <t>[{Item,205,1}]</t>
  </si>
  <si>
    <t>[{Item,215,2}]</t>
  </si>
  <si>
    <t>[{Item,305,1}]</t>
  </si>
  <si>
    <t>[{Item,305,5}]</t>
  </si>
  <si>
    <t>[{Item,6,200}]</t>
  </si>
  <si>
    <t>[{Item,6,300}]</t>
  </si>
  <si>
    <t>[{Item,2,400}]</t>
  </si>
  <si>
    <t>[{Item,215,4}]</t>
  </si>
  <si>
    <t>[{Item,215,8}]</t>
  </si>
  <si>
    <t>[{Item,2,500}]</t>
  </si>
  <si>
    <t>[{Item,6,500}]</t>
  </si>
  <si>
    <t>最终攻击=基础攻击*（1+等级成长系数）</t>
  </si>
  <si>
    <t>等级</t>
  </si>
  <si>
    <t>星级</t>
  </si>
  <si>
    <t>基础攻击*(1+0.1(a-3)</t>
  </si>
  <si>
    <t>基础系数</t>
  </si>
  <si>
    <t>区间系数</t>
  </si>
  <si>
    <t>总系数</t>
  </si>
  <si>
    <t>平均每个珠子伤害系数</t>
  </si>
  <si>
    <t>BOSS血量</t>
  </si>
  <si>
    <t>次数</t>
  </si>
  <si>
    <t>珠子数量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</si>
</sst>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20277777777778"/>
          <c:y val="0.00694444444444444"/>
          <c:w val="0.901027777777778"/>
          <c:h val="0.71166666666666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[1]基础配置!$J$31:$J$46</c:f>
              <c:numCache>
                <c:formatCode>General</c:formatCode>
                <c:ptCount val="16"/>
                <c:pt idx="0">
                  <c:v>0.333333333333333</c:v>
                </c:pt>
                <c:pt idx="1">
                  <c:v>0.375</c:v>
                </c:pt>
                <c:pt idx="2">
                  <c:v>0.4</c:v>
                </c:pt>
                <c:pt idx="3">
                  <c:v>0.416666666666667</c:v>
                </c:pt>
                <c:pt idx="4">
                  <c:v>0.428571428571429</c:v>
                </c:pt>
                <c:pt idx="5">
                  <c:v>0.4375</c:v>
                </c:pt>
                <c:pt idx="6">
                  <c:v>0.444444444444444</c:v>
                </c:pt>
                <c:pt idx="7">
                  <c:v>0.45</c:v>
                </c:pt>
                <c:pt idx="8">
                  <c:v>0.466666666666667</c:v>
                </c:pt>
                <c:pt idx="9">
                  <c:v>0.475</c:v>
                </c:pt>
                <c:pt idx="10">
                  <c:v>0.48</c:v>
                </c:pt>
                <c:pt idx="11">
                  <c:v>0.483333333333333</c:v>
                </c:pt>
                <c:pt idx="12">
                  <c:v>0.485714285714286</c:v>
                </c:pt>
                <c:pt idx="13">
                  <c:v>0.4875</c:v>
                </c:pt>
                <c:pt idx="14">
                  <c:v>0.488888888888889</c:v>
                </c:pt>
                <c:pt idx="15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66504"/>
        <c:axId val="341471208"/>
      </c:scatterChart>
      <c:valAx>
        <c:axId val="34146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1208"/>
        <c:crosses val="autoZero"/>
        <c:crossBetween val="midCat"/>
      </c:valAx>
      <c:valAx>
        <c:axId val="34147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89420384951881"/>
          <c:y val="0.134027777777778"/>
          <c:w val="0.890196850393701"/>
          <c:h val="0.715748760571595"/>
        </c:manualLayout>
      </c:layout>
      <c:scatterChart>
        <c:scatterStyle val="line"/>
        <c:varyColors val="0"/>
        <c:ser>
          <c:idx val="0"/>
          <c:order val="0"/>
          <c:tx>
            <c:strRef>
              <c:f>[1]基础配置!$I$30</c:f>
              <c:strCache>
                <c:ptCount val="1"/>
                <c:pt idx="0">
                  <c:v>总系数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[1]基础配置!$I$31:$I$46</c:f>
              <c:numCache>
                <c:formatCode>General</c:formatCode>
                <c:ptCount val="1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5</c:v>
                </c:pt>
                <c:pt idx="8">
                  <c:v>7.5</c:v>
                </c:pt>
                <c:pt idx="9">
                  <c:v>10</c:v>
                </c:pt>
                <c:pt idx="10">
                  <c:v>13</c:v>
                </c:pt>
                <c:pt idx="11">
                  <c:v>15.5</c:v>
                </c:pt>
                <c:pt idx="12">
                  <c:v>18.5</c:v>
                </c:pt>
                <c:pt idx="13">
                  <c:v>21</c:v>
                </c:pt>
                <c:pt idx="14">
                  <c:v>24</c:v>
                </c:pt>
                <c:pt idx="15">
                  <c:v>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76696"/>
        <c:axId val="341468072"/>
      </c:scatterChart>
      <c:valAx>
        <c:axId val="34147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8072"/>
        <c:crosses val="autoZero"/>
        <c:crossBetween val="midCat"/>
      </c:valAx>
      <c:valAx>
        <c:axId val="34146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419100</xdr:colOff>
      <xdr:row>10</xdr:row>
      <xdr:rowOff>61595</xdr:rowOff>
    </xdr:from>
    <xdr:to>
      <xdr:col>14</xdr:col>
      <xdr:colOff>190500</xdr:colOff>
      <xdr:row>26</xdr:row>
      <xdr:rowOff>61595</xdr:rowOff>
    </xdr:to>
    <xdr:graphicFrame>
      <xdr:nvGraphicFramePr>
        <xdr:cNvPr id="2" name="图表 1"/>
        <xdr:cNvGraphicFramePr/>
      </xdr:nvGraphicFramePr>
      <xdr:xfrm>
        <a:off x="5219700" y="17760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9</xdr:row>
      <xdr:rowOff>137795</xdr:rowOff>
    </xdr:from>
    <xdr:to>
      <xdr:col>21</xdr:col>
      <xdr:colOff>19050</xdr:colOff>
      <xdr:row>25</xdr:row>
      <xdr:rowOff>137795</xdr:rowOff>
    </xdr:to>
    <xdr:graphicFrame>
      <xdr:nvGraphicFramePr>
        <xdr:cNvPr id="3" name="图表 2"/>
        <xdr:cNvGraphicFramePr/>
      </xdr:nvGraphicFramePr>
      <xdr:xfrm>
        <a:off x="9848850" y="16808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419100</xdr:colOff>
      <xdr:row>55</xdr:row>
      <xdr:rowOff>118745</xdr:rowOff>
    </xdr:from>
    <xdr:to>
      <xdr:col>22</xdr:col>
      <xdr:colOff>9525</xdr:colOff>
      <xdr:row>64</xdr:row>
      <xdr:rowOff>162560</xdr:rowOff>
    </xdr:to>
    <xdr:pic>
      <xdr:nvPicPr>
        <xdr:cNvPr id="4" name="图片 3" descr="http://mmbiz.qpic.cn/mmbiz_png/cvmYJvj3A8ubcGADdefQalYlpeibzkuL9QvibCS4ZDqgoNqX7fdPkhGvBOrIs7Sx1JiccXnChSEbRvOPZHKISchwg/0?wx_fmt=png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48700" y="9548495"/>
          <a:ext cx="6448425" cy="158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yangronggang\tf\tf_config\config\\\Users\chockly\Documents\work\TMTStudio\BF\docs\config\Users\chockly\Documents\work\TMTStudio\BF\docs\config\E:\&#19977;&#28040;\Hero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配置"/>
      <sheetName val="Sheet1"/>
      <sheetName val="Sheet2"/>
      <sheetName val="Sheet3"/>
    </sheetNames>
    <sheetDataSet>
      <sheetData sheetId="0">
        <row r="30">
          <cell r="I30" t="str">
            <v>总系数</v>
          </cell>
        </row>
        <row r="31">
          <cell r="I31">
            <v>1</v>
          </cell>
          <cell r="J31">
            <v>0.333333333333333</v>
          </cell>
        </row>
        <row r="32">
          <cell r="I32">
            <v>1.5</v>
          </cell>
          <cell r="J32">
            <v>0.375</v>
          </cell>
        </row>
        <row r="33">
          <cell r="I33">
            <v>2</v>
          </cell>
          <cell r="J33">
            <v>0.4</v>
          </cell>
        </row>
        <row r="34">
          <cell r="I34">
            <v>2.5</v>
          </cell>
          <cell r="J34">
            <v>0.416666666666667</v>
          </cell>
        </row>
        <row r="35">
          <cell r="I35">
            <v>3</v>
          </cell>
          <cell r="J35">
            <v>0.428571428571429</v>
          </cell>
        </row>
        <row r="36">
          <cell r="I36">
            <v>3.5</v>
          </cell>
          <cell r="J36">
            <v>0.4375</v>
          </cell>
        </row>
        <row r="37">
          <cell r="I37">
            <v>4</v>
          </cell>
          <cell r="J37">
            <v>0.444444444444444</v>
          </cell>
        </row>
        <row r="38">
          <cell r="I38">
            <v>5</v>
          </cell>
          <cell r="J38">
            <v>0.45</v>
          </cell>
        </row>
        <row r="39">
          <cell r="I39">
            <v>7.5</v>
          </cell>
          <cell r="J39">
            <v>0.466666666666667</v>
          </cell>
        </row>
        <row r="40">
          <cell r="I40">
            <v>10</v>
          </cell>
          <cell r="J40">
            <v>0.475</v>
          </cell>
        </row>
        <row r="41">
          <cell r="I41">
            <v>13</v>
          </cell>
          <cell r="J41">
            <v>0.48</v>
          </cell>
        </row>
        <row r="42">
          <cell r="I42">
            <v>15.5</v>
          </cell>
          <cell r="J42">
            <v>0.483333333333333</v>
          </cell>
        </row>
        <row r="43">
          <cell r="I43">
            <v>18.5</v>
          </cell>
          <cell r="J43">
            <v>0.485714285714286</v>
          </cell>
        </row>
        <row r="44">
          <cell r="I44">
            <v>21</v>
          </cell>
          <cell r="J44">
            <v>0.4875</v>
          </cell>
        </row>
        <row r="45">
          <cell r="I45">
            <v>24</v>
          </cell>
          <cell r="J45">
            <v>0.488888888888889</v>
          </cell>
        </row>
        <row r="46">
          <cell r="I46">
            <v>27</v>
          </cell>
          <cell r="J46">
            <v>0.5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7"/>
  <sheetViews>
    <sheetView tabSelected="1" workbookViewId="0">
      <pane ySplit="5" topLeftCell="A84" activePane="bottomLeft" state="frozen"/>
      <selection/>
      <selection pane="bottomLeft" activeCell="I105" sqref="I105"/>
    </sheetView>
  </sheetViews>
  <sheetFormatPr defaultColWidth="9" defaultRowHeight="17.25"/>
  <cols>
    <col min="1" max="1" width="9" style="4"/>
    <col min="2" max="2" width="20.125" style="4" customWidth="1"/>
    <col min="3" max="3" width="16.5" style="4" customWidth="1"/>
    <col min="4" max="4" width="20.125" style="4" customWidth="1"/>
    <col min="5" max="5" width="26.875" style="5" customWidth="1"/>
    <col min="6" max="7" width="19.125" style="4" customWidth="1"/>
    <col min="8" max="8" width="10.75" style="4" customWidth="1"/>
    <col min="9" max="9" width="13.25" style="4" customWidth="1"/>
    <col min="10" max="10" width="15.375" style="4" customWidth="1"/>
    <col min="11" max="11" width="12.375" style="4" customWidth="1"/>
    <col min="12" max="12" width="10.25" style="4" customWidth="1"/>
    <col min="13" max="13" width="13.5" style="6" customWidth="1"/>
    <col min="14" max="15" width="18.125" style="4" customWidth="1"/>
    <col min="16" max="16" width="10.75" style="4" customWidth="1"/>
    <col min="17" max="17" width="11.375" style="4" customWidth="1"/>
    <col min="18" max="18" width="15.375" style="4" customWidth="1"/>
    <col min="19" max="19" width="17.875" style="4" customWidth="1"/>
    <col min="20" max="20" width="12.875" style="4" customWidth="1"/>
    <col min="21" max="21" width="17.875" style="4" customWidth="1"/>
    <col min="22" max="22" width="14.125" style="4" customWidth="1"/>
    <col min="23" max="23" width="11.625" style="4" customWidth="1"/>
    <col min="24" max="24" width="14.125" style="4" customWidth="1"/>
    <col min="25" max="25" width="12.875" style="4" customWidth="1"/>
    <col min="26" max="26" width="12" style="4" customWidth="1"/>
    <col min="27" max="16384" width="9" style="4"/>
  </cols>
  <sheetData>
    <row r="1" s="2" customFormat="1" ht="18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M1" s="17"/>
    </row>
    <row r="2" spans="1:7">
      <c r="A2" s="10" t="s">
        <v>7</v>
      </c>
      <c r="B2" s="10" t="s">
        <v>7</v>
      </c>
      <c r="C2" s="10" t="s">
        <v>7</v>
      </c>
      <c r="D2" s="11" t="s">
        <v>7</v>
      </c>
      <c r="E2" s="10" t="s">
        <v>7</v>
      </c>
      <c r="F2" s="12" t="s">
        <v>7</v>
      </c>
      <c r="G2" s="13" t="s">
        <v>7</v>
      </c>
    </row>
    <row r="3" spans="1:7">
      <c r="A3" s="10" t="s">
        <v>0</v>
      </c>
      <c r="B3" s="10" t="s">
        <v>8</v>
      </c>
      <c r="C3" s="10" t="s">
        <v>9</v>
      </c>
      <c r="D3" s="11" t="s">
        <v>10</v>
      </c>
      <c r="E3" s="10" t="s">
        <v>11</v>
      </c>
      <c r="F3" s="12" t="s">
        <v>12</v>
      </c>
      <c r="G3" s="13" t="s">
        <v>13</v>
      </c>
    </row>
    <row r="4" spans="1:7">
      <c r="A4" s="10" t="s">
        <v>14</v>
      </c>
      <c r="B4" s="10" t="s">
        <v>14</v>
      </c>
      <c r="C4" s="10" t="s">
        <v>14</v>
      </c>
      <c r="D4" s="11" t="s">
        <v>14</v>
      </c>
      <c r="E4" s="10" t="s">
        <v>15</v>
      </c>
      <c r="F4" s="12" t="s">
        <v>15</v>
      </c>
      <c r="G4" s="13" t="s">
        <v>14</v>
      </c>
    </row>
    <row r="5" spans="1:7">
      <c r="A5" s="10"/>
      <c r="B5" s="10"/>
      <c r="C5" s="10"/>
      <c r="D5" s="10"/>
      <c r="E5" s="14"/>
      <c r="F5" s="15"/>
      <c r="G5" s="13" t="s">
        <v>16</v>
      </c>
    </row>
    <row r="6" s="3" customFormat="1" spans="1:13">
      <c r="A6" s="16">
        <v>1001</v>
      </c>
      <c r="B6" s="16">
        <v>1</v>
      </c>
      <c r="C6" s="16">
        <v>1</v>
      </c>
      <c r="D6" s="16">
        <v>30</v>
      </c>
      <c r="E6" s="16" t="s">
        <v>17</v>
      </c>
      <c r="F6" s="16" t="s">
        <v>18</v>
      </c>
      <c r="G6" s="16">
        <v>1</v>
      </c>
      <c r="M6" s="18"/>
    </row>
    <row r="7" s="3" customFormat="1" spans="1:13">
      <c r="A7" s="16">
        <v>1002</v>
      </c>
      <c r="B7" s="16">
        <v>2</v>
      </c>
      <c r="C7" s="16">
        <v>1</v>
      </c>
      <c r="D7" s="16">
        <v>35</v>
      </c>
      <c r="E7" s="16" t="s">
        <v>19</v>
      </c>
      <c r="F7" s="16" t="s">
        <v>20</v>
      </c>
      <c r="G7" s="16">
        <v>1</v>
      </c>
      <c r="M7" s="18"/>
    </row>
    <row r="8" s="3" customFormat="1" spans="1:13">
      <c r="A8" s="16">
        <v>1003</v>
      </c>
      <c r="B8" s="16">
        <v>3</v>
      </c>
      <c r="C8" s="16">
        <v>1</v>
      </c>
      <c r="D8" s="16">
        <v>35</v>
      </c>
      <c r="E8" s="16" t="s">
        <v>21</v>
      </c>
      <c r="F8" s="16" t="s">
        <v>22</v>
      </c>
      <c r="G8" s="16">
        <v>1</v>
      </c>
      <c r="M8" s="18"/>
    </row>
    <row r="9" s="3" customFormat="1" spans="1:13">
      <c r="A9" s="16">
        <v>1004</v>
      </c>
      <c r="B9" s="16">
        <v>4</v>
      </c>
      <c r="C9" s="16">
        <v>1</v>
      </c>
      <c r="D9" s="16">
        <v>35</v>
      </c>
      <c r="E9" s="16" t="s">
        <v>23</v>
      </c>
      <c r="F9" s="16" t="s">
        <v>24</v>
      </c>
      <c r="G9" s="16">
        <v>1</v>
      </c>
      <c r="M9" s="18"/>
    </row>
    <row r="10" s="3" customFormat="1" spans="1:13">
      <c r="A10" s="16">
        <v>1005</v>
      </c>
      <c r="B10" s="16">
        <v>5</v>
      </c>
      <c r="C10" s="16">
        <v>1</v>
      </c>
      <c r="D10" s="16">
        <v>35</v>
      </c>
      <c r="E10" s="16" t="s">
        <v>19</v>
      </c>
      <c r="F10" s="16" t="s">
        <v>20</v>
      </c>
      <c r="G10" s="16">
        <v>1</v>
      </c>
      <c r="M10" s="18"/>
    </row>
    <row r="11" s="3" customFormat="1" spans="1:13">
      <c r="A11" s="16">
        <v>1006</v>
      </c>
      <c r="B11" s="16">
        <v>6</v>
      </c>
      <c r="C11" s="16">
        <v>1</v>
      </c>
      <c r="D11" s="16">
        <v>35</v>
      </c>
      <c r="E11" s="16" t="s">
        <v>25</v>
      </c>
      <c r="F11" s="16" t="s">
        <v>26</v>
      </c>
      <c r="G11" s="16">
        <v>1</v>
      </c>
      <c r="M11" s="18"/>
    </row>
    <row r="12" s="3" customFormat="1" spans="1:13">
      <c r="A12" s="16">
        <v>1007</v>
      </c>
      <c r="B12" s="16">
        <v>7</v>
      </c>
      <c r="C12" s="16">
        <v>1</v>
      </c>
      <c r="D12" s="16">
        <v>35</v>
      </c>
      <c r="E12" s="16" t="s">
        <v>21</v>
      </c>
      <c r="F12" s="16" t="s">
        <v>22</v>
      </c>
      <c r="G12" s="16">
        <v>1</v>
      </c>
      <c r="M12" s="18"/>
    </row>
    <row r="13" s="3" customFormat="1" spans="1:13">
      <c r="A13" s="16">
        <v>1008</v>
      </c>
      <c r="B13" s="16">
        <v>8</v>
      </c>
      <c r="C13" s="16">
        <v>1</v>
      </c>
      <c r="D13" s="16">
        <v>35</v>
      </c>
      <c r="E13" s="16" t="s">
        <v>23</v>
      </c>
      <c r="F13" s="16" t="s">
        <v>27</v>
      </c>
      <c r="G13" s="16">
        <v>1</v>
      </c>
      <c r="M13" s="18"/>
    </row>
    <row r="14" s="3" customFormat="1" spans="1:13">
      <c r="A14" s="16">
        <v>1009</v>
      </c>
      <c r="B14" s="16">
        <v>9</v>
      </c>
      <c r="C14" s="16">
        <v>1</v>
      </c>
      <c r="D14" s="16">
        <v>35</v>
      </c>
      <c r="E14" s="16" t="s">
        <v>28</v>
      </c>
      <c r="F14" s="16" t="s">
        <v>20</v>
      </c>
      <c r="G14" s="16">
        <v>1</v>
      </c>
      <c r="M14" s="18"/>
    </row>
    <row r="15" s="3" customFormat="1" spans="1:13">
      <c r="A15" s="16">
        <v>1010</v>
      </c>
      <c r="B15" s="16">
        <v>10</v>
      </c>
      <c r="C15" s="16">
        <v>1</v>
      </c>
      <c r="D15" s="16">
        <v>35</v>
      </c>
      <c r="E15" s="16" t="s">
        <v>21</v>
      </c>
      <c r="F15" s="16" t="s">
        <v>22</v>
      </c>
      <c r="G15" s="16">
        <v>1</v>
      </c>
      <c r="M15" s="18"/>
    </row>
    <row r="16" s="3" customFormat="1" spans="1:13">
      <c r="A16" s="16">
        <v>1011</v>
      </c>
      <c r="B16" s="16">
        <v>11</v>
      </c>
      <c r="C16" s="16">
        <v>1</v>
      </c>
      <c r="D16" s="16">
        <v>35</v>
      </c>
      <c r="E16" s="16" t="s">
        <v>23</v>
      </c>
      <c r="F16" s="16" t="s">
        <v>27</v>
      </c>
      <c r="G16" s="16">
        <v>1</v>
      </c>
      <c r="M16" s="18"/>
    </row>
    <row r="17" s="3" customFormat="1" spans="1:13">
      <c r="A17" s="16">
        <v>1012</v>
      </c>
      <c r="B17" s="16">
        <v>12</v>
      </c>
      <c r="C17" s="16">
        <v>1</v>
      </c>
      <c r="D17" s="16">
        <v>35</v>
      </c>
      <c r="E17" s="16" t="s">
        <v>28</v>
      </c>
      <c r="F17" s="16" t="s">
        <v>20</v>
      </c>
      <c r="G17" s="16">
        <v>1</v>
      </c>
      <c r="M17" s="18"/>
    </row>
    <row r="18" s="3" customFormat="1" spans="1:13">
      <c r="A18" s="16">
        <v>1013</v>
      </c>
      <c r="B18" s="16">
        <v>13</v>
      </c>
      <c r="C18" s="16">
        <v>1</v>
      </c>
      <c r="D18" s="16">
        <v>35</v>
      </c>
      <c r="E18" s="16" t="s">
        <v>21</v>
      </c>
      <c r="F18" s="16" t="s">
        <v>22</v>
      </c>
      <c r="G18" s="16">
        <v>1</v>
      </c>
      <c r="M18" s="18"/>
    </row>
    <row r="19" s="3" customFormat="1" spans="1:13">
      <c r="A19" s="16">
        <v>1014</v>
      </c>
      <c r="B19" s="16">
        <v>14</v>
      </c>
      <c r="C19" s="16">
        <v>1</v>
      </c>
      <c r="D19" s="16">
        <v>35</v>
      </c>
      <c r="E19" s="16" t="s">
        <v>25</v>
      </c>
      <c r="F19" s="16" t="s">
        <v>26</v>
      </c>
      <c r="G19" s="16">
        <v>1</v>
      </c>
      <c r="M19" s="18"/>
    </row>
    <row r="20" s="3" customFormat="1" spans="1:13">
      <c r="A20" s="16">
        <v>1015</v>
      </c>
      <c r="B20" s="16">
        <v>15</v>
      </c>
      <c r="C20" s="16">
        <v>1</v>
      </c>
      <c r="D20" s="16">
        <v>35</v>
      </c>
      <c r="E20" s="16" t="s">
        <v>29</v>
      </c>
      <c r="F20" s="16" t="s">
        <v>30</v>
      </c>
      <c r="G20" s="16">
        <v>1</v>
      </c>
      <c r="M20" s="18"/>
    </row>
    <row r="21" s="3" customFormat="1" spans="1:13">
      <c r="A21" s="16">
        <v>1016</v>
      </c>
      <c r="B21" s="16">
        <v>16</v>
      </c>
      <c r="C21" s="16">
        <v>1</v>
      </c>
      <c r="D21" s="16">
        <v>35</v>
      </c>
      <c r="E21" s="16" t="s">
        <v>23</v>
      </c>
      <c r="F21" s="16" t="s">
        <v>24</v>
      </c>
      <c r="G21" s="16">
        <v>1</v>
      </c>
      <c r="M21" s="18"/>
    </row>
    <row r="22" s="3" customFormat="1" spans="1:13">
      <c r="A22" s="16">
        <v>1017</v>
      </c>
      <c r="B22" s="16">
        <v>17</v>
      </c>
      <c r="C22" s="16">
        <v>1</v>
      </c>
      <c r="D22" s="16">
        <v>35</v>
      </c>
      <c r="E22" s="16" t="s">
        <v>31</v>
      </c>
      <c r="F22" s="16" t="s">
        <v>30</v>
      </c>
      <c r="G22" s="16">
        <v>1</v>
      </c>
      <c r="M22" s="18"/>
    </row>
    <row r="23" s="3" customFormat="1" spans="1:13">
      <c r="A23" s="16">
        <v>1018</v>
      </c>
      <c r="B23" s="16">
        <v>18</v>
      </c>
      <c r="C23" s="16">
        <v>1</v>
      </c>
      <c r="D23" s="16">
        <v>35</v>
      </c>
      <c r="E23" s="16" t="s">
        <v>21</v>
      </c>
      <c r="F23" s="16" t="s">
        <v>22</v>
      </c>
      <c r="G23" s="16">
        <v>1</v>
      </c>
      <c r="M23" s="18"/>
    </row>
    <row r="24" s="3" customFormat="1" spans="1:13">
      <c r="A24" s="16">
        <v>1019</v>
      </c>
      <c r="B24" s="16">
        <v>19</v>
      </c>
      <c r="C24" s="16">
        <v>1</v>
      </c>
      <c r="D24" s="16">
        <v>35</v>
      </c>
      <c r="E24" s="16" t="s">
        <v>23</v>
      </c>
      <c r="F24" s="16" t="s">
        <v>27</v>
      </c>
      <c r="G24" s="16">
        <v>1</v>
      </c>
      <c r="M24" s="18"/>
    </row>
    <row r="25" s="3" customFormat="1" spans="1:13">
      <c r="A25" s="16">
        <v>1020</v>
      </c>
      <c r="B25" s="16">
        <v>20</v>
      </c>
      <c r="C25" s="16">
        <v>1</v>
      </c>
      <c r="D25" s="16">
        <v>35</v>
      </c>
      <c r="E25" s="16" t="s">
        <v>31</v>
      </c>
      <c r="F25" s="16" t="s">
        <v>30</v>
      </c>
      <c r="G25" s="16">
        <v>1</v>
      </c>
      <c r="M25" s="18"/>
    </row>
    <row r="26" s="3" customFormat="1" spans="1:13">
      <c r="A26" s="16">
        <v>1021</v>
      </c>
      <c r="B26" s="16">
        <v>21</v>
      </c>
      <c r="C26" s="16">
        <v>1</v>
      </c>
      <c r="D26" s="16">
        <v>35</v>
      </c>
      <c r="E26" s="16" t="s">
        <v>25</v>
      </c>
      <c r="F26" s="16" t="s">
        <v>26</v>
      </c>
      <c r="G26" s="16">
        <v>1</v>
      </c>
      <c r="M26" s="18"/>
    </row>
    <row r="27" s="3" customFormat="1" spans="1:13">
      <c r="A27" s="16">
        <v>1022</v>
      </c>
      <c r="B27" s="16">
        <v>22</v>
      </c>
      <c r="C27" s="16">
        <v>1</v>
      </c>
      <c r="D27" s="16">
        <v>35</v>
      </c>
      <c r="E27" s="16" t="s">
        <v>23</v>
      </c>
      <c r="F27" s="16" t="s">
        <v>27</v>
      </c>
      <c r="G27" s="16">
        <v>1</v>
      </c>
      <c r="M27" s="18"/>
    </row>
    <row r="28" s="3" customFormat="1" spans="1:13">
      <c r="A28" s="16">
        <v>1023</v>
      </c>
      <c r="B28" s="16">
        <v>23</v>
      </c>
      <c r="C28" s="16">
        <v>1</v>
      </c>
      <c r="D28" s="16">
        <v>35</v>
      </c>
      <c r="E28" s="16" t="s">
        <v>32</v>
      </c>
      <c r="F28" s="16" t="s">
        <v>30</v>
      </c>
      <c r="G28" s="16">
        <v>1</v>
      </c>
      <c r="M28" s="18"/>
    </row>
    <row r="29" s="3" customFormat="1" spans="1:13">
      <c r="A29" s="16">
        <v>1024</v>
      </c>
      <c r="B29" s="16">
        <v>24</v>
      </c>
      <c r="C29" s="16">
        <v>1</v>
      </c>
      <c r="D29" s="16">
        <v>35</v>
      </c>
      <c r="E29" s="16" t="s">
        <v>21</v>
      </c>
      <c r="F29" s="16" t="s">
        <v>22</v>
      </c>
      <c r="G29" s="16">
        <v>1</v>
      </c>
      <c r="M29" s="18"/>
    </row>
    <row r="30" s="3" customFormat="1" spans="1:13">
      <c r="A30" s="16">
        <v>1025</v>
      </c>
      <c r="B30" s="16">
        <v>25</v>
      </c>
      <c r="C30" s="16">
        <v>1</v>
      </c>
      <c r="D30" s="16">
        <v>35</v>
      </c>
      <c r="E30" s="16" t="s">
        <v>23</v>
      </c>
      <c r="F30" s="16" t="s">
        <v>24</v>
      </c>
      <c r="G30" s="16">
        <v>1</v>
      </c>
      <c r="M30" s="18"/>
    </row>
    <row r="31" s="3" customFormat="1" spans="1:13">
      <c r="A31" s="16">
        <v>1026</v>
      </c>
      <c r="B31" s="16">
        <v>26</v>
      </c>
      <c r="C31" s="16">
        <v>1</v>
      </c>
      <c r="D31" s="16">
        <v>35</v>
      </c>
      <c r="E31" s="16" t="s">
        <v>32</v>
      </c>
      <c r="F31" s="16" t="s">
        <v>30</v>
      </c>
      <c r="G31" s="16">
        <v>1</v>
      </c>
      <c r="M31" s="18"/>
    </row>
    <row r="32" s="3" customFormat="1" spans="1:13">
      <c r="A32" s="16">
        <v>1027</v>
      </c>
      <c r="B32" s="16">
        <v>27</v>
      </c>
      <c r="C32" s="16">
        <v>1</v>
      </c>
      <c r="D32" s="16">
        <v>35</v>
      </c>
      <c r="E32" s="16" t="s">
        <v>21</v>
      </c>
      <c r="F32" s="16" t="s">
        <v>22</v>
      </c>
      <c r="G32" s="16">
        <v>1</v>
      </c>
      <c r="M32" s="18"/>
    </row>
    <row r="33" s="3" customFormat="1" spans="1:13">
      <c r="A33" s="16">
        <v>1028</v>
      </c>
      <c r="B33" s="16">
        <v>28</v>
      </c>
      <c r="C33" s="16">
        <v>1</v>
      </c>
      <c r="D33" s="16">
        <v>35</v>
      </c>
      <c r="E33" s="16" t="s">
        <v>25</v>
      </c>
      <c r="F33" s="16" t="s">
        <v>26</v>
      </c>
      <c r="G33" s="16">
        <v>1</v>
      </c>
      <c r="M33" s="18"/>
    </row>
    <row r="34" s="3" customFormat="1" spans="1:13">
      <c r="A34" s="16">
        <v>1029</v>
      </c>
      <c r="B34" s="16">
        <v>29</v>
      </c>
      <c r="C34" s="16">
        <v>1</v>
      </c>
      <c r="D34" s="16">
        <v>35</v>
      </c>
      <c r="E34" s="16" t="s">
        <v>23</v>
      </c>
      <c r="F34" s="16" t="s">
        <v>27</v>
      </c>
      <c r="G34" s="16">
        <v>1</v>
      </c>
      <c r="M34" s="18"/>
    </row>
    <row r="35" s="3" customFormat="1" spans="1:13">
      <c r="A35" s="16">
        <v>1030</v>
      </c>
      <c r="B35" s="16">
        <v>30</v>
      </c>
      <c r="C35" s="16">
        <v>1</v>
      </c>
      <c r="D35" s="16"/>
      <c r="E35" s="16" t="s">
        <v>29</v>
      </c>
      <c r="F35" s="16" t="s">
        <v>30</v>
      </c>
      <c r="G35" s="16">
        <v>1</v>
      </c>
      <c r="M35" s="18"/>
    </row>
    <row r="36" s="3" customFormat="1" spans="1:13">
      <c r="A36" s="16">
        <v>2001</v>
      </c>
      <c r="B36" s="16">
        <v>1</v>
      </c>
      <c r="C36" s="16">
        <v>1</v>
      </c>
      <c r="D36" s="16">
        <v>30</v>
      </c>
      <c r="E36" s="16" t="s">
        <v>33</v>
      </c>
      <c r="F36" s="16" t="s">
        <v>34</v>
      </c>
      <c r="G36" s="16">
        <v>2</v>
      </c>
      <c r="M36" s="18"/>
    </row>
    <row r="37" s="3" customFormat="1" spans="1:13">
      <c r="A37" s="16">
        <v>2002</v>
      </c>
      <c r="B37" s="16">
        <v>2</v>
      </c>
      <c r="C37" s="16">
        <v>1</v>
      </c>
      <c r="D37" s="16">
        <v>35</v>
      </c>
      <c r="E37" s="16" t="s">
        <v>33</v>
      </c>
      <c r="F37" s="16" t="s">
        <v>34</v>
      </c>
      <c r="G37" s="16">
        <v>2</v>
      </c>
      <c r="M37" s="18"/>
    </row>
    <row r="38" s="3" customFormat="1" spans="1:13">
      <c r="A38" s="16">
        <v>2003</v>
      </c>
      <c r="B38" s="16">
        <v>3</v>
      </c>
      <c r="C38" s="16">
        <v>1</v>
      </c>
      <c r="D38" s="16">
        <v>35</v>
      </c>
      <c r="E38" s="16" t="s">
        <v>33</v>
      </c>
      <c r="F38" s="16" t="s">
        <v>34</v>
      </c>
      <c r="G38" s="16">
        <v>2</v>
      </c>
      <c r="M38" s="18"/>
    </row>
    <row r="39" s="3" customFormat="1" spans="1:13">
      <c r="A39" s="16">
        <v>2004</v>
      </c>
      <c r="B39" s="16">
        <v>4</v>
      </c>
      <c r="C39" s="16">
        <v>1</v>
      </c>
      <c r="D39" s="16">
        <v>35</v>
      </c>
      <c r="E39" s="16" t="s">
        <v>33</v>
      </c>
      <c r="F39" s="16" t="s">
        <v>34</v>
      </c>
      <c r="G39" s="16">
        <v>2</v>
      </c>
      <c r="M39" s="18"/>
    </row>
    <row r="40" s="3" customFormat="1" spans="1:13">
      <c r="A40" s="16">
        <v>2005</v>
      </c>
      <c r="B40" s="16">
        <v>5</v>
      </c>
      <c r="C40" s="16">
        <v>1</v>
      </c>
      <c r="D40" s="16">
        <v>35</v>
      </c>
      <c r="E40" s="16" t="s">
        <v>33</v>
      </c>
      <c r="F40" s="16" t="s">
        <v>34</v>
      </c>
      <c r="G40" s="16">
        <v>2</v>
      </c>
      <c r="M40" s="18"/>
    </row>
    <row r="41" s="3" customFormat="1" spans="1:13">
      <c r="A41" s="16">
        <v>2006</v>
      </c>
      <c r="B41" s="16">
        <v>6</v>
      </c>
      <c r="C41" s="16">
        <v>1</v>
      </c>
      <c r="D41" s="16">
        <v>35</v>
      </c>
      <c r="E41" s="16" t="s">
        <v>33</v>
      </c>
      <c r="F41" s="16" t="s">
        <v>34</v>
      </c>
      <c r="G41" s="16">
        <v>2</v>
      </c>
      <c r="M41" s="18"/>
    </row>
    <row r="42" s="3" customFormat="1" spans="1:13">
      <c r="A42" s="16">
        <v>2007</v>
      </c>
      <c r="B42" s="16">
        <v>7</v>
      </c>
      <c r="C42" s="16">
        <v>1</v>
      </c>
      <c r="D42" s="16">
        <v>35</v>
      </c>
      <c r="E42" s="16" t="s">
        <v>33</v>
      </c>
      <c r="F42" s="16" t="s">
        <v>34</v>
      </c>
      <c r="G42" s="16">
        <v>2</v>
      </c>
      <c r="M42" s="18"/>
    </row>
    <row r="43" s="3" customFormat="1" spans="1:13">
      <c r="A43" s="16">
        <v>2008</v>
      </c>
      <c r="B43" s="16">
        <v>8</v>
      </c>
      <c r="C43" s="16">
        <v>1</v>
      </c>
      <c r="D43" s="16">
        <v>35</v>
      </c>
      <c r="E43" s="16" t="s">
        <v>33</v>
      </c>
      <c r="F43" s="16" t="s">
        <v>34</v>
      </c>
      <c r="G43" s="16">
        <v>2</v>
      </c>
      <c r="M43" s="18"/>
    </row>
    <row r="44" s="3" customFormat="1" spans="1:13">
      <c r="A44" s="16">
        <v>2009</v>
      </c>
      <c r="B44" s="16">
        <v>9</v>
      </c>
      <c r="C44" s="16">
        <v>1</v>
      </c>
      <c r="D44" s="16">
        <v>35</v>
      </c>
      <c r="E44" s="16" t="s">
        <v>33</v>
      </c>
      <c r="F44" s="16" t="s">
        <v>34</v>
      </c>
      <c r="G44" s="16">
        <v>2</v>
      </c>
      <c r="M44" s="18"/>
    </row>
    <row r="45" s="3" customFormat="1" spans="1:13">
      <c r="A45" s="16">
        <v>2010</v>
      </c>
      <c r="B45" s="16">
        <v>10</v>
      </c>
      <c r="C45" s="16">
        <v>1</v>
      </c>
      <c r="D45" s="16">
        <v>35</v>
      </c>
      <c r="E45" s="16" t="s">
        <v>33</v>
      </c>
      <c r="F45" s="16" t="s">
        <v>34</v>
      </c>
      <c r="G45" s="16">
        <v>2</v>
      </c>
      <c r="M45" s="18"/>
    </row>
    <row r="46" s="3" customFormat="1" spans="1:13">
      <c r="A46" s="16">
        <v>2011</v>
      </c>
      <c r="B46" s="16">
        <v>11</v>
      </c>
      <c r="C46" s="16">
        <v>1</v>
      </c>
      <c r="D46" s="16">
        <v>35</v>
      </c>
      <c r="E46" s="16" t="s">
        <v>33</v>
      </c>
      <c r="F46" s="16" t="s">
        <v>34</v>
      </c>
      <c r="G46" s="16">
        <v>2</v>
      </c>
      <c r="M46" s="18"/>
    </row>
    <row r="47" s="3" customFormat="1" spans="1:13">
      <c r="A47" s="16">
        <v>2012</v>
      </c>
      <c r="B47" s="16">
        <v>12</v>
      </c>
      <c r="C47" s="16">
        <v>1</v>
      </c>
      <c r="D47" s="16">
        <v>35</v>
      </c>
      <c r="E47" s="16" t="s">
        <v>33</v>
      </c>
      <c r="F47" s="16" t="s">
        <v>34</v>
      </c>
      <c r="G47" s="16">
        <v>2</v>
      </c>
      <c r="M47" s="18"/>
    </row>
    <row r="48" s="3" customFormat="1" spans="1:13">
      <c r="A48" s="16">
        <v>2013</v>
      </c>
      <c r="B48" s="16">
        <v>13</v>
      </c>
      <c r="C48" s="16">
        <v>1</v>
      </c>
      <c r="D48" s="16">
        <v>35</v>
      </c>
      <c r="E48" s="16" t="s">
        <v>33</v>
      </c>
      <c r="F48" s="16" t="s">
        <v>34</v>
      </c>
      <c r="G48" s="16">
        <v>2</v>
      </c>
      <c r="M48" s="18"/>
    </row>
    <row r="49" s="3" customFormat="1" spans="1:13">
      <c r="A49" s="16">
        <v>2014</v>
      </c>
      <c r="B49" s="16">
        <v>14</v>
      </c>
      <c r="C49" s="16">
        <v>1</v>
      </c>
      <c r="D49" s="16">
        <v>35</v>
      </c>
      <c r="E49" s="16" t="s">
        <v>33</v>
      </c>
      <c r="F49" s="16" t="s">
        <v>34</v>
      </c>
      <c r="G49" s="16">
        <v>2</v>
      </c>
      <c r="M49" s="18"/>
    </row>
    <row r="50" s="3" customFormat="1" spans="1:13">
      <c r="A50" s="16">
        <v>2015</v>
      </c>
      <c r="B50" s="16">
        <v>15</v>
      </c>
      <c r="C50" s="16">
        <v>1</v>
      </c>
      <c r="D50" s="16">
        <v>35</v>
      </c>
      <c r="E50" s="16" t="s">
        <v>33</v>
      </c>
      <c r="F50" s="16" t="s">
        <v>34</v>
      </c>
      <c r="G50" s="16">
        <v>2</v>
      </c>
      <c r="M50" s="18"/>
    </row>
    <row r="51" s="3" customFormat="1" spans="1:13">
      <c r="A51" s="16">
        <v>2016</v>
      </c>
      <c r="B51" s="16">
        <v>16</v>
      </c>
      <c r="C51" s="16">
        <v>1</v>
      </c>
      <c r="D51" s="16">
        <v>35</v>
      </c>
      <c r="E51" s="16" t="s">
        <v>33</v>
      </c>
      <c r="F51" s="16" t="s">
        <v>34</v>
      </c>
      <c r="G51" s="16">
        <v>2</v>
      </c>
      <c r="M51" s="18"/>
    </row>
    <row r="52" s="3" customFormat="1" spans="1:13">
      <c r="A52" s="16">
        <v>2017</v>
      </c>
      <c r="B52" s="16">
        <v>17</v>
      </c>
      <c r="C52" s="16">
        <v>1</v>
      </c>
      <c r="D52" s="16">
        <v>35</v>
      </c>
      <c r="E52" s="16" t="s">
        <v>33</v>
      </c>
      <c r="F52" s="16" t="s">
        <v>34</v>
      </c>
      <c r="G52" s="16">
        <v>2</v>
      </c>
      <c r="M52" s="18"/>
    </row>
    <row r="53" s="3" customFormat="1" spans="1:13">
      <c r="A53" s="16">
        <v>2018</v>
      </c>
      <c r="B53" s="16">
        <v>18</v>
      </c>
      <c r="C53" s="16">
        <v>1</v>
      </c>
      <c r="D53" s="16">
        <v>35</v>
      </c>
      <c r="E53" s="16" t="s">
        <v>33</v>
      </c>
      <c r="F53" s="16" t="s">
        <v>34</v>
      </c>
      <c r="G53" s="16">
        <v>2</v>
      </c>
      <c r="M53" s="18"/>
    </row>
    <row r="54" s="3" customFormat="1" spans="1:13">
      <c r="A54" s="16">
        <v>2019</v>
      </c>
      <c r="B54" s="16">
        <v>19</v>
      </c>
      <c r="C54" s="16">
        <v>1</v>
      </c>
      <c r="D54" s="16">
        <v>35</v>
      </c>
      <c r="E54" s="16" t="s">
        <v>33</v>
      </c>
      <c r="F54" s="16" t="s">
        <v>34</v>
      </c>
      <c r="G54" s="16">
        <v>2</v>
      </c>
      <c r="M54" s="18"/>
    </row>
    <row r="55" s="3" customFormat="1" spans="1:13">
      <c r="A55" s="16">
        <v>2020</v>
      </c>
      <c r="B55" s="16">
        <v>20</v>
      </c>
      <c r="C55" s="16">
        <v>1</v>
      </c>
      <c r="D55" s="16">
        <v>35</v>
      </c>
      <c r="E55" s="16" t="s">
        <v>33</v>
      </c>
      <c r="F55" s="16" t="s">
        <v>34</v>
      </c>
      <c r="G55" s="16">
        <v>2</v>
      </c>
      <c r="M55" s="18"/>
    </row>
    <row r="56" s="3" customFormat="1" spans="1:13">
      <c r="A56" s="16">
        <v>2021</v>
      </c>
      <c r="B56" s="16">
        <v>21</v>
      </c>
      <c r="C56" s="16">
        <v>1</v>
      </c>
      <c r="D56" s="16">
        <v>35</v>
      </c>
      <c r="E56" s="16" t="s">
        <v>33</v>
      </c>
      <c r="F56" s="16" t="s">
        <v>34</v>
      </c>
      <c r="G56" s="16">
        <v>2</v>
      </c>
      <c r="M56" s="18"/>
    </row>
    <row r="57" s="3" customFormat="1" spans="1:13">
      <c r="A57" s="16">
        <v>2022</v>
      </c>
      <c r="B57" s="16">
        <v>22</v>
      </c>
      <c r="C57" s="16">
        <v>1</v>
      </c>
      <c r="D57" s="16">
        <v>35</v>
      </c>
      <c r="E57" s="16" t="s">
        <v>33</v>
      </c>
      <c r="F57" s="16" t="s">
        <v>34</v>
      </c>
      <c r="G57" s="16">
        <v>2</v>
      </c>
      <c r="M57" s="18"/>
    </row>
    <row r="58" s="3" customFormat="1" spans="1:13">
      <c r="A58" s="16">
        <v>2023</v>
      </c>
      <c r="B58" s="16">
        <v>23</v>
      </c>
      <c r="C58" s="16">
        <v>1</v>
      </c>
      <c r="D58" s="16">
        <v>35</v>
      </c>
      <c r="E58" s="16" t="s">
        <v>33</v>
      </c>
      <c r="F58" s="16" t="s">
        <v>34</v>
      </c>
      <c r="G58" s="16">
        <v>2</v>
      </c>
      <c r="M58" s="18"/>
    </row>
    <row r="59" s="3" customFormat="1" spans="1:13">
      <c r="A59" s="16">
        <v>2024</v>
      </c>
      <c r="B59" s="16">
        <v>24</v>
      </c>
      <c r="C59" s="16">
        <v>1</v>
      </c>
      <c r="D59" s="16">
        <v>35</v>
      </c>
      <c r="E59" s="16" t="s">
        <v>33</v>
      </c>
      <c r="F59" s="16" t="s">
        <v>34</v>
      </c>
      <c r="G59" s="16">
        <v>2</v>
      </c>
      <c r="M59" s="18"/>
    </row>
    <row r="60" s="3" customFormat="1" spans="1:13">
      <c r="A60" s="16">
        <v>2025</v>
      </c>
      <c r="B60" s="16">
        <v>25</v>
      </c>
      <c r="C60" s="16">
        <v>1</v>
      </c>
      <c r="D60" s="16">
        <v>35</v>
      </c>
      <c r="E60" s="16" t="s">
        <v>33</v>
      </c>
      <c r="F60" s="16" t="s">
        <v>34</v>
      </c>
      <c r="G60" s="16">
        <v>2</v>
      </c>
      <c r="M60" s="18"/>
    </row>
    <row r="61" s="3" customFormat="1" spans="1:13">
      <c r="A61" s="16">
        <v>2026</v>
      </c>
      <c r="B61" s="16">
        <v>26</v>
      </c>
      <c r="C61" s="16">
        <v>1</v>
      </c>
      <c r="D61" s="16">
        <v>35</v>
      </c>
      <c r="E61" s="16" t="s">
        <v>33</v>
      </c>
      <c r="F61" s="16" t="s">
        <v>34</v>
      </c>
      <c r="G61" s="16">
        <v>2</v>
      </c>
      <c r="M61" s="18"/>
    </row>
    <row r="62" s="3" customFormat="1" spans="1:13">
      <c r="A62" s="16">
        <v>2027</v>
      </c>
      <c r="B62" s="16">
        <v>27</v>
      </c>
      <c r="C62" s="16">
        <v>1</v>
      </c>
      <c r="D62" s="16">
        <v>35</v>
      </c>
      <c r="E62" s="16" t="s">
        <v>33</v>
      </c>
      <c r="F62" s="16" t="s">
        <v>34</v>
      </c>
      <c r="G62" s="16">
        <v>2</v>
      </c>
      <c r="M62" s="18"/>
    </row>
    <row r="63" s="3" customFormat="1" spans="1:13">
      <c r="A63" s="16">
        <v>2028</v>
      </c>
      <c r="B63" s="16">
        <v>28</v>
      </c>
      <c r="C63" s="16">
        <v>1</v>
      </c>
      <c r="D63" s="16">
        <v>35</v>
      </c>
      <c r="E63" s="16" t="s">
        <v>33</v>
      </c>
      <c r="F63" s="16" t="s">
        <v>34</v>
      </c>
      <c r="G63" s="16">
        <v>2</v>
      </c>
      <c r="M63" s="18"/>
    </row>
    <row r="64" s="3" customFormat="1" spans="1:13">
      <c r="A64" s="16">
        <v>2029</v>
      </c>
      <c r="B64" s="16">
        <v>29</v>
      </c>
      <c r="C64" s="16">
        <v>1</v>
      </c>
      <c r="D64" s="16">
        <v>35</v>
      </c>
      <c r="E64" s="16" t="s">
        <v>33</v>
      </c>
      <c r="F64" s="16" t="s">
        <v>34</v>
      </c>
      <c r="G64" s="16">
        <v>2</v>
      </c>
      <c r="M64" s="18"/>
    </row>
    <row r="65" s="3" customFormat="1" spans="1:13">
      <c r="A65" s="16">
        <v>2030</v>
      </c>
      <c r="B65" s="16">
        <v>30</v>
      </c>
      <c r="C65" s="16">
        <v>1</v>
      </c>
      <c r="D65" s="16"/>
      <c r="E65" s="16" t="s">
        <v>33</v>
      </c>
      <c r="F65" s="16" t="s">
        <v>34</v>
      </c>
      <c r="G65" s="16">
        <v>2</v>
      </c>
      <c r="M65" s="18"/>
    </row>
    <row r="66" s="3" customFormat="1" spans="1:13">
      <c r="A66" s="16">
        <v>3001</v>
      </c>
      <c r="B66" s="16">
        <v>1</v>
      </c>
      <c r="C66" s="16">
        <v>2</v>
      </c>
      <c r="D66" s="16">
        <v>30</v>
      </c>
      <c r="E66" s="16" t="s">
        <v>33</v>
      </c>
      <c r="F66" s="16" t="s">
        <v>35</v>
      </c>
      <c r="G66" s="16">
        <v>2</v>
      </c>
      <c r="M66" s="18"/>
    </row>
    <row r="67" s="3" customFormat="1" spans="1:13">
      <c r="A67" s="16">
        <v>3002</v>
      </c>
      <c r="B67" s="16">
        <v>2</v>
      </c>
      <c r="C67" s="16">
        <v>2</v>
      </c>
      <c r="D67" s="16">
        <v>35</v>
      </c>
      <c r="E67" s="16" t="s">
        <v>33</v>
      </c>
      <c r="F67" s="16" t="s">
        <v>35</v>
      </c>
      <c r="G67" s="16">
        <v>2</v>
      </c>
      <c r="M67" s="18"/>
    </row>
    <row r="68" s="3" customFormat="1" spans="1:13">
      <c r="A68" s="16">
        <v>3003</v>
      </c>
      <c r="B68" s="16">
        <v>3</v>
      </c>
      <c r="C68" s="16">
        <v>2</v>
      </c>
      <c r="D68" s="16">
        <v>35</v>
      </c>
      <c r="E68" s="16" t="s">
        <v>33</v>
      </c>
      <c r="F68" s="16" t="s">
        <v>35</v>
      </c>
      <c r="G68" s="16">
        <v>2</v>
      </c>
      <c r="M68" s="18"/>
    </row>
    <row r="69" s="3" customFormat="1" spans="1:13">
      <c r="A69" s="16">
        <v>3004</v>
      </c>
      <c r="B69" s="16">
        <v>4</v>
      </c>
      <c r="C69" s="16">
        <v>2</v>
      </c>
      <c r="D69" s="16">
        <v>35</v>
      </c>
      <c r="E69" s="16" t="s">
        <v>33</v>
      </c>
      <c r="F69" s="16" t="s">
        <v>35</v>
      </c>
      <c r="G69" s="16">
        <v>2</v>
      </c>
      <c r="M69" s="18"/>
    </row>
    <row r="70" s="3" customFormat="1" spans="1:13">
      <c r="A70" s="16">
        <v>3005</v>
      </c>
      <c r="B70" s="16">
        <v>5</v>
      </c>
      <c r="C70" s="16">
        <v>2</v>
      </c>
      <c r="D70" s="16">
        <v>35</v>
      </c>
      <c r="E70" s="16" t="s">
        <v>33</v>
      </c>
      <c r="F70" s="16" t="s">
        <v>35</v>
      </c>
      <c r="G70" s="16">
        <v>2</v>
      </c>
      <c r="M70" s="18"/>
    </row>
    <row r="71" s="3" customFormat="1" spans="1:13">
      <c r="A71" s="16">
        <v>3006</v>
      </c>
      <c r="B71" s="16">
        <v>6</v>
      </c>
      <c r="C71" s="16">
        <v>2</v>
      </c>
      <c r="D71" s="16">
        <v>35</v>
      </c>
      <c r="E71" s="16" t="s">
        <v>33</v>
      </c>
      <c r="F71" s="16" t="s">
        <v>35</v>
      </c>
      <c r="G71" s="16">
        <v>2</v>
      </c>
      <c r="M71" s="18"/>
    </row>
    <row r="72" s="3" customFormat="1" spans="1:13">
      <c r="A72" s="16">
        <v>3007</v>
      </c>
      <c r="B72" s="16">
        <v>7</v>
      </c>
      <c r="C72" s="16">
        <v>2</v>
      </c>
      <c r="D72" s="16">
        <v>35</v>
      </c>
      <c r="E72" s="16" t="s">
        <v>33</v>
      </c>
      <c r="F72" s="16" t="s">
        <v>35</v>
      </c>
      <c r="G72" s="16">
        <v>2</v>
      </c>
      <c r="M72" s="18"/>
    </row>
    <row r="73" s="3" customFormat="1" spans="1:13">
      <c r="A73" s="16">
        <v>3008</v>
      </c>
      <c r="B73" s="16">
        <v>8</v>
      </c>
      <c r="C73" s="16">
        <v>2</v>
      </c>
      <c r="D73" s="16">
        <v>35</v>
      </c>
      <c r="E73" s="16" t="s">
        <v>33</v>
      </c>
      <c r="F73" s="16" t="s">
        <v>35</v>
      </c>
      <c r="G73" s="16">
        <v>2</v>
      </c>
      <c r="M73" s="18"/>
    </row>
    <row r="74" s="3" customFormat="1" spans="1:13">
      <c r="A74" s="16">
        <v>3009</v>
      </c>
      <c r="B74" s="16">
        <v>9</v>
      </c>
      <c r="C74" s="16">
        <v>2</v>
      </c>
      <c r="D74" s="16">
        <v>35</v>
      </c>
      <c r="E74" s="16" t="s">
        <v>33</v>
      </c>
      <c r="F74" s="16" t="s">
        <v>35</v>
      </c>
      <c r="G74" s="16">
        <v>2</v>
      </c>
      <c r="M74" s="18"/>
    </row>
    <row r="75" s="3" customFormat="1" spans="1:13">
      <c r="A75" s="16">
        <v>3010</v>
      </c>
      <c r="B75" s="16">
        <v>10</v>
      </c>
      <c r="C75" s="16">
        <v>2</v>
      </c>
      <c r="D75" s="16">
        <v>35</v>
      </c>
      <c r="E75" s="16" t="s">
        <v>33</v>
      </c>
      <c r="F75" s="16" t="s">
        <v>35</v>
      </c>
      <c r="G75" s="16">
        <v>2</v>
      </c>
      <c r="M75" s="18"/>
    </row>
    <row r="76" s="3" customFormat="1" spans="1:13">
      <c r="A76" s="16">
        <v>3011</v>
      </c>
      <c r="B76" s="16">
        <v>11</v>
      </c>
      <c r="C76" s="16">
        <v>2</v>
      </c>
      <c r="D76" s="16">
        <v>35</v>
      </c>
      <c r="E76" s="16" t="s">
        <v>33</v>
      </c>
      <c r="F76" s="16" t="s">
        <v>35</v>
      </c>
      <c r="G76" s="16">
        <v>2</v>
      </c>
      <c r="M76" s="18"/>
    </row>
    <row r="77" s="3" customFormat="1" spans="1:13">
      <c r="A77" s="16">
        <v>3012</v>
      </c>
      <c r="B77" s="16">
        <v>12</v>
      </c>
      <c r="C77" s="16">
        <v>2</v>
      </c>
      <c r="D77" s="16">
        <v>35</v>
      </c>
      <c r="E77" s="16" t="s">
        <v>33</v>
      </c>
      <c r="F77" s="16" t="s">
        <v>35</v>
      </c>
      <c r="G77" s="16">
        <v>2</v>
      </c>
      <c r="M77" s="18"/>
    </row>
    <row r="78" s="3" customFormat="1" spans="1:13">
      <c r="A78" s="16">
        <v>3013</v>
      </c>
      <c r="B78" s="16">
        <v>13</v>
      </c>
      <c r="C78" s="16">
        <v>2</v>
      </c>
      <c r="D78" s="16">
        <v>35</v>
      </c>
      <c r="E78" s="16" t="s">
        <v>33</v>
      </c>
      <c r="F78" s="16" t="s">
        <v>35</v>
      </c>
      <c r="G78" s="16">
        <v>2</v>
      </c>
      <c r="M78" s="18"/>
    </row>
    <row r="79" s="3" customFormat="1" spans="1:13">
      <c r="A79" s="16">
        <v>3014</v>
      </c>
      <c r="B79" s="16">
        <v>14</v>
      </c>
      <c r="C79" s="16">
        <v>2</v>
      </c>
      <c r="D79" s="16">
        <v>35</v>
      </c>
      <c r="E79" s="16" t="s">
        <v>33</v>
      </c>
      <c r="F79" s="16" t="s">
        <v>35</v>
      </c>
      <c r="G79" s="16">
        <v>2</v>
      </c>
      <c r="M79" s="18"/>
    </row>
    <row r="80" s="3" customFormat="1" spans="1:13">
      <c r="A80" s="16">
        <v>3015</v>
      </c>
      <c r="B80" s="16">
        <v>15</v>
      </c>
      <c r="C80" s="16">
        <v>2</v>
      </c>
      <c r="D80" s="16">
        <v>35</v>
      </c>
      <c r="E80" s="16" t="s">
        <v>33</v>
      </c>
      <c r="F80" s="16" t="s">
        <v>35</v>
      </c>
      <c r="G80" s="16">
        <v>2</v>
      </c>
      <c r="M80" s="18"/>
    </row>
    <row r="81" s="3" customFormat="1" spans="1:13">
      <c r="A81" s="16">
        <v>3016</v>
      </c>
      <c r="B81" s="16">
        <v>16</v>
      </c>
      <c r="C81" s="16">
        <v>2</v>
      </c>
      <c r="D81" s="16">
        <v>35</v>
      </c>
      <c r="E81" s="16" t="s">
        <v>33</v>
      </c>
      <c r="F81" s="16" t="s">
        <v>35</v>
      </c>
      <c r="G81" s="16">
        <v>2</v>
      </c>
      <c r="M81" s="18"/>
    </row>
    <row r="82" s="3" customFormat="1" spans="1:13">
      <c r="A82" s="16">
        <v>3017</v>
      </c>
      <c r="B82" s="16">
        <v>17</v>
      </c>
      <c r="C82" s="16">
        <v>2</v>
      </c>
      <c r="D82" s="16">
        <v>35</v>
      </c>
      <c r="E82" s="16" t="s">
        <v>33</v>
      </c>
      <c r="F82" s="16" t="s">
        <v>35</v>
      </c>
      <c r="G82" s="16">
        <v>2</v>
      </c>
      <c r="M82" s="18"/>
    </row>
    <row r="83" s="3" customFormat="1" spans="1:13">
      <c r="A83" s="16">
        <v>3018</v>
      </c>
      <c r="B83" s="16">
        <v>18</v>
      </c>
      <c r="C83" s="16">
        <v>2</v>
      </c>
      <c r="D83" s="16">
        <v>35</v>
      </c>
      <c r="E83" s="16" t="s">
        <v>33</v>
      </c>
      <c r="F83" s="16" t="s">
        <v>35</v>
      </c>
      <c r="G83" s="16">
        <v>2</v>
      </c>
      <c r="M83" s="18"/>
    </row>
    <row r="84" s="3" customFormat="1" spans="1:13">
      <c r="A84" s="16">
        <v>3019</v>
      </c>
      <c r="B84" s="16">
        <v>19</v>
      </c>
      <c r="C84" s="16">
        <v>2</v>
      </c>
      <c r="D84" s="16">
        <v>35</v>
      </c>
      <c r="E84" s="16" t="s">
        <v>33</v>
      </c>
      <c r="F84" s="16" t="s">
        <v>35</v>
      </c>
      <c r="G84" s="16">
        <v>2</v>
      </c>
      <c r="M84" s="18"/>
    </row>
    <row r="85" s="3" customFormat="1" spans="1:13">
      <c r="A85" s="16">
        <v>3020</v>
      </c>
      <c r="B85" s="16">
        <v>20</v>
      </c>
      <c r="C85" s="16">
        <v>2</v>
      </c>
      <c r="D85" s="16">
        <v>35</v>
      </c>
      <c r="E85" s="16" t="s">
        <v>33</v>
      </c>
      <c r="F85" s="16" t="s">
        <v>35</v>
      </c>
      <c r="G85" s="16">
        <v>2</v>
      </c>
      <c r="M85" s="18"/>
    </row>
    <row r="86" s="3" customFormat="1" spans="1:13">
      <c r="A86" s="16">
        <v>3021</v>
      </c>
      <c r="B86" s="16">
        <v>21</v>
      </c>
      <c r="C86" s="16">
        <v>2</v>
      </c>
      <c r="D86" s="16">
        <v>35</v>
      </c>
      <c r="E86" s="16" t="s">
        <v>33</v>
      </c>
      <c r="F86" s="16" t="s">
        <v>35</v>
      </c>
      <c r="G86" s="16">
        <v>2</v>
      </c>
      <c r="M86" s="18"/>
    </row>
    <row r="87" s="3" customFormat="1" spans="1:13">
      <c r="A87" s="16">
        <v>3022</v>
      </c>
      <c r="B87" s="16">
        <v>22</v>
      </c>
      <c r="C87" s="16">
        <v>2</v>
      </c>
      <c r="D87" s="16">
        <v>35</v>
      </c>
      <c r="E87" s="16" t="s">
        <v>33</v>
      </c>
      <c r="F87" s="16" t="s">
        <v>35</v>
      </c>
      <c r="G87" s="16">
        <v>2</v>
      </c>
      <c r="M87" s="18"/>
    </row>
    <row r="88" s="3" customFormat="1" spans="1:13">
      <c r="A88" s="16">
        <v>3023</v>
      </c>
      <c r="B88" s="16">
        <v>23</v>
      </c>
      <c r="C88" s="16">
        <v>2</v>
      </c>
      <c r="D88" s="16">
        <v>35</v>
      </c>
      <c r="E88" s="16" t="s">
        <v>33</v>
      </c>
      <c r="F88" s="16" t="s">
        <v>35</v>
      </c>
      <c r="G88" s="16">
        <v>2</v>
      </c>
      <c r="M88" s="18"/>
    </row>
    <row r="89" s="3" customFormat="1" spans="1:13">
      <c r="A89" s="16">
        <v>3024</v>
      </c>
      <c r="B89" s="16">
        <v>24</v>
      </c>
      <c r="C89" s="16">
        <v>2</v>
      </c>
      <c r="D89" s="16">
        <v>35</v>
      </c>
      <c r="E89" s="16" t="s">
        <v>33</v>
      </c>
      <c r="F89" s="16" t="s">
        <v>35</v>
      </c>
      <c r="G89" s="16">
        <v>2</v>
      </c>
      <c r="M89" s="18"/>
    </row>
    <row r="90" s="3" customFormat="1" spans="1:13">
      <c r="A90" s="16">
        <v>3025</v>
      </c>
      <c r="B90" s="16">
        <v>25</v>
      </c>
      <c r="C90" s="16">
        <v>2</v>
      </c>
      <c r="D90" s="16">
        <v>35</v>
      </c>
      <c r="E90" s="16" t="s">
        <v>33</v>
      </c>
      <c r="F90" s="16" t="s">
        <v>35</v>
      </c>
      <c r="G90" s="16">
        <v>2</v>
      </c>
      <c r="M90" s="18"/>
    </row>
    <row r="91" s="3" customFormat="1" spans="1:13">
      <c r="A91" s="16">
        <v>3026</v>
      </c>
      <c r="B91" s="16">
        <v>26</v>
      </c>
      <c r="C91" s="16">
        <v>2</v>
      </c>
      <c r="D91" s="16">
        <v>35</v>
      </c>
      <c r="E91" s="16" t="s">
        <v>33</v>
      </c>
      <c r="F91" s="16" t="s">
        <v>35</v>
      </c>
      <c r="G91" s="16">
        <v>2</v>
      </c>
      <c r="M91" s="18"/>
    </row>
    <row r="92" s="3" customFormat="1" spans="1:13">
      <c r="A92" s="16">
        <v>3027</v>
      </c>
      <c r="B92" s="16">
        <v>27</v>
      </c>
      <c r="C92" s="16">
        <v>2</v>
      </c>
      <c r="D92" s="16">
        <v>35</v>
      </c>
      <c r="E92" s="16" t="s">
        <v>33</v>
      </c>
      <c r="F92" s="16" t="s">
        <v>35</v>
      </c>
      <c r="G92" s="16">
        <v>2</v>
      </c>
      <c r="M92" s="18"/>
    </row>
    <row r="93" s="3" customFormat="1" spans="1:13">
      <c r="A93" s="16">
        <v>3028</v>
      </c>
      <c r="B93" s="16">
        <v>28</v>
      </c>
      <c r="C93" s="16">
        <v>2</v>
      </c>
      <c r="D93" s="16">
        <v>35</v>
      </c>
      <c r="E93" s="16" t="s">
        <v>33</v>
      </c>
      <c r="F93" s="16" t="s">
        <v>35</v>
      </c>
      <c r="G93" s="16">
        <v>2</v>
      </c>
      <c r="M93" s="18"/>
    </row>
    <row r="94" s="3" customFormat="1" spans="1:13">
      <c r="A94" s="16">
        <v>3029</v>
      </c>
      <c r="B94" s="16">
        <v>29</v>
      </c>
      <c r="C94" s="16">
        <v>2</v>
      </c>
      <c r="D94" s="16">
        <v>35</v>
      </c>
      <c r="E94" s="16" t="s">
        <v>33</v>
      </c>
      <c r="F94" s="16" t="s">
        <v>35</v>
      </c>
      <c r="G94" s="16">
        <v>2</v>
      </c>
      <c r="M94" s="18"/>
    </row>
    <row r="95" s="3" customFormat="1" spans="1:13">
      <c r="A95" s="16">
        <v>3030</v>
      </c>
      <c r="B95" s="16">
        <v>30</v>
      </c>
      <c r="C95" s="16">
        <v>2</v>
      </c>
      <c r="D95" s="16"/>
      <c r="E95" s="16" t="s">
        <v>33</v>
      </c>
      <c r="F95" s="16" t="s">
        <v>35</v>
      </c>
      <c r="G95" s="16">
        <v>2</v>
      </c>
      <c r="M95" s="18"/>
    </row>
    <row r="96" s="3" customFormat="1" spans="1:13">
      <c r="A96" s="16">
        <v>4001</v>
      </c>
      <c r="B96" s="16">
        <v>5</v>
      </c>
      <c r="C96" s="16">
        <v>1</v>
      </c>
      <c r="D96" s="16"/>
      <c r="E96" s="16" t="s">
        <v>36</v>
      </c>
      <c r="F96" s="16" t="s">
        <v>26</v>
      </c>
      <c r="G96" s="16">
        <v>3</v>
      </c>
      <c r="M96" s="18"/>
    </row>
    <row r="97" s="3" customFormat="1" spans="1:13">
      <c r="A97" s="16">
        <v>4002</v>
      </c>
      <c r="B97" s="16">
        <v>7</v>
      </c>
      <c r="C97" s="16">
        <v>1</v>
      </c>
      <c r="D97" s="16"/>
      <c r="E97" s="16" t="s">
        <v>37</v>
      </c>
      <c r="F97" s="16" t="s">
        <v>26</v>
      </c>
      <c r="G97" s="16">
        <v>3</v>
      </c>
      <c r="M97" s="18"/>
    </row>
    <row r="98" s="3" customFormat="1" spans="1:13">
      <c r="A98" s="16">
        <v>4003</v>
      </c>
      <c r="B98" s="16">
        <v>10</v>
      </c>
      <c r="C98" s="16">
        <v>1</v>
      </c>
      <c r="D98" s="16"/>
      <c r="E98" s="16" t="s">
        <v>38</v>
      </c>
      <c r="F98" s="16" t="s">
        <v>39</v>
      </c>
      <c r="G98" s="16">
        <v>3</v>
      </c>
      <c r="M98" s="18"/>
    </row>
    <row r="99" s="3" customFormat="1" spans="1:13">
      <c r="A99" s="16">
        <v>4004</v>
      </c>
      <c r="B99" s="16">
        <v>13</v>
      </c>
      <c r="C99" s="16">
        <v>1</v>
      </c>
      <c r="D99" s="16"/>
      <c r="E99" s="16" t="s">
        <v>37</v>
      </c>
      <c r="F99" s="16" t="s">
        <v>26</v>
      </c>
      <c r="G99" s="16">
        <v>3</v>
      </c>
      <c r="M99" s="18"/>
    </row>
    <row r="100" s="3" customFormat="1" spans="1:13">
      <c r="A100" s="16">
        <v>4005</v>
      </c>
      <c r="B100" s="16">
        <v>15</v>
      </c>
      <c r="C100" s="16">
        <v>1</v>
      </c>
      <c r="D100" s="16"/>
      <c r="E100" s="16" t="s">
        <v>40</v>
      </c>
      <c r="F100" s="16" t="s">
        <v>26</v>
      </c>
      <c r="G100" s="16">
        <v>3</v>
      </c>
      <c r="M100" s="18"/>
    </row>
    <row r="101" s="3" customFormat="1" spans="1:13">
      <c r="A101" s="16">
        <v>4006</v>
      </c>
      <c r="B101" s="16">
        <v>20</v>
      </c>
      <c r="C101" s="16">
        <v>1</v>
      </c>
      <c r="D101" s="16"/>
      <c r="E101" s="16" t="s">
        <v>38</v>
      </c>
      <c r="F101" s="16" t="s">
        <v>39</v>
      </c>
      <c r="G101" s="16">
        <v>3</v>
      </c>
      <c r="M101" s="18"/>
    </row>
    <row r="102" s="3" customFormat="1" spans="1:13">
      <c r="A102" s="16">
        <v>4007</v>
      </c>
      <c r="B102" s="16">
        <v>25</v>
      </c>
      <c r="C102" s="16">
        <v>1</v>
      </c>
      <c r="D102" s="16"/>
      <c r="E102" s="16" t="s">
        <v>41</v>
      </c>
      <c r="F102" s="16" t="s">
        <v>42</v>
      </c>
      <c r="G102" s="16">
        <v>3</v>
      </c>
      <c r="M102" s="18"/>
    </row>
    <row r="103" s="3" customFormat="1" spans="1:13">
      <c r="A103" s="16">
        <v>4008</v>
      </c>
      <c r="B103" s="16">
        <v>30</v>
      </c>
      <c r="C103" s="16">
        <v>1</v>
      </c>
      <c r="D103" s="16"/>
      <c r="E103" s="16" t="s">
        <v>43</v>
      </c>
      <c r="F103" s="16" t="s">
        <v>42</v>
      </c>
      <c r="G103" s="16">
        <v>3</v>
      </c>
      <c r="M103" s="18"/>
    </row>
    <row r="104" s="3" customFormat="1" spans="1:13">
      <c r="A104" s="16">
        <v>4009</v>
      </c>
      <c r="B104" s="16">
        <v>35</v>
      </c>
      <c r="C104" s="16">
        <v>1</v>
      </c>
      <c r="D104" s="16"/>
      <c r="E104" s="16" t="s">
        <v>38</v>
      </c>
      <c r="F104" s="16" t="s">
        <v>39</v>
      </c>
      <c r="G104" s="16">
        <v>3</v>
      </c>
      <c r="M104" s="18"/>
    </row>
    <row r="105" s="3" customFormat="1" spans="1:13">
      <c r="A105" s="16">
        <v>4010</v>
      </c>
      <c r="B105" s="16">
        <v>40</v>
      </c>
      <c r="C105" s="16">
        <v>1</v>
      </c>
      <c r="D105" s="16"/>
      <c r="E105" s="16" t="s">
        <v>44</v>
      </c>
      <c r="F105" s="16" t="s">
        <v>45</v>
      </c>
      <c r="G105" s="16">
        <v>3</v>
      </c>
      <c r="M105" s="18"/>
    </row>
    <row r="106" s="3" customFormat="1" spans="1:13">
      <c r="A106" s="16">
        <v>4011</v>
      </c>
      <c r="B106" s="16">
        <v>45</v>
      </c>
      <c r="C106" s="16">
        <v>1</v>
      </c>
      <c r="D106" s="16"/>
      <c r="E106" s="16" t="s">
        <v>46</v>
      </c>
      <c r="F106" s="16" t="s">
        <v>45</v>
      </c>
      <c r="G106" s="16">
        <v>3</v>
      </c>
      <c r="M106" s="18"/>
    </row>
    <row r="107" s="3" customFormat="1" spans="1:13">
      <c r="A107" s="16">
        <v>4012</v>
      </c>
      <c r="B107" s="16">
        <v>50</v>
      </c>
      <c r="C107" s="16">
        <v>1</v>
      </c>
      <c r="D107" s="16"/>
      <c r="E107" s="16" t="s">
        <v>38</v>
      </c>
      <c r="F107" s="16" t="s">
        <v>39</v>
      </c>
      <c r="G107" s="16">
        <v>3</v>
      </c>
      <c r="M107" s="18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T55"/>
  <sheetViews>
    <sheetView workbookViewId="0">
      <selection activeCell="H65" sqref="H65"/>
    </sheetView>
  </sheetViews>
  <sheetFormatPr defaultColWidth="9" defaultRowHeight="13.5"/>
  <sheetData>
    <row r="7" spans="4:4">
      <c r="D7" t="s">
        <v>47</v>
      </c>
    </row>
    <row r="9" spans="3:4">
      <c r="C9" t="s">
        <v>48</v>
      </c>
      <c r="D9">
        <v>10</v>
      </c>
    </row>
    <row r="10" spans="3:4">
      <c r="C10" t="s">
        <v>49</v>
      </c>
      <c r="D10">
        <v>5</v>
      </c>
    </row>
    <row r="12" spans="4:4">
      <c r="D12">
        <f>100*(1+1+1.8)</f>
        <v>380</v>
      </c>
    </row>
    <row r="26" spans="4:4">
      <c r="D26" t="s">
        <v>50</v>
      </c>
    </row>
    <row r="30" spans="7:20">
      <c r="G30" s="1" t="s">
        <v>51</v>
      </c>
      <c r="H30" t="s">
        <v>52</v>
      </c>
      <c r="I30" t="s">
        <v>53</v>
      </c>
      <c r="J30" t="s">
        <v>54</v>
      </c>
      <c r="P30" t="s">
        <v>55</v>
      </c>
      <c r="S30" t="s">
        <v>56</v>
      </c>
      <c r="T30" t="s">
        <v>57</v>
      </c>
    </row>
    <row r="31" spans="4:20">
      <c r="D31">
        <v>3</v>
      </c>
      <c r="E31">
        <v>10</v>
      </c>
      <c r="F31">
        <f t="shared" ref="F31:F38" si="0">E31/D31</f>
        <v>3.33333333333333</v>
      </c>
      <c r="G31" s="1">
        <v>1</v>
      </c>
      <c r="H31">
        <v>0</v>
      </c>
      <c r="I31">
        <f t="shared" ref="I31:I46" si="1">H31+G31</f>
        <v>1</v>
      </c>
      <c r="J31">
        <f t="shared" ref="J31:J46" si="2">G31/D31</f>
        <v>0.333333333333333</v>
      </c>
      <c r="P31">
        <v>5000</v>
      </c>
      <c r="R31">
        <f>I31*100</f>
        <v>100</v>
      </c>
      <c r="S31">
        <f t="shared" ref="S31:S46" si="3">ROUNDUP($P$31/R31,0)</f>
        <v>50</v>
      </c>
      <c r="T31">
        <f t="shared" ref="T31:T46" si="4">S31*D31</f>
        <v>150</v>
      </c>
    </row>
    <row r="32" spans="4:20">
      <c r="D32">
        <v>4</v>
      </c>
      <c r="E32">
        <v>15</v>
      </c>
      <c r="F32">
        <f t="shared" si="0"/>
        <v>3.75</v>
      </c>
      <c r="G32" s="1">
        <v>1.5</v>
      </c>
      <c r="H32">
        <v>0</v>
      </c>
      <c r="I32">
        <f t="shared" si="1"/>
        <v>1.5</v>
      </c>
      <c r="J32">
        <f t="shared" si="2"/>
        <v>0.375</v>
      </c>
      <c r="R32">
        <f t="shared" ref="R32:R46" si="5">I32*100</f>
        <v>150</v>
      </c>
      <c r="S32">
        <f t="shared" si="3"/>
        <v>34</v>
      </c>
      <c r="T32">
        <f t="shared" si="4"/>
        <v>136</v>
      </c>
    </row>
    <row r="33" spans="4:20">
      <c r="D33">
        <v>5</v>
      </c>
      <c r="E33">
        <v>20</v>
      </c>
      <c r="F33">
        <f t="shared" si="0"/>
        <v>4</v>
      </c>
      <c r="G33" s="1">
        <v>2</v>
      </c>
      <c r="H33">
        <v>0</v>
      </c>
      <c r="I33">
        <f t="shared" si="1"/>
        <v>2</v>
      </c>
      <c r="J33">
        <f t="shared" si="2"/>
        <v>0.4</v>
      </c>
      <c r="R33">
        <f t="shared" si="5"/>
        <v>200</v>
      </c>
      <c r="S33">
        <f t="shared" si="3"/>
        <v>25</v>
      </c>
      <c r="T33">
        <f t="shared" si="4"/>
        <v>125</v>
      </c>
    </row>
    <row r="34" spans="4:20">
      <c r="D34">
        <v>6</v>
      </c>
      <c r="E34">
        <v>25</v>
      </c>
      <c r="F34">
        <f t="shared" si="0"/>
        <v>4.16666666666667</v>
      </c>
      <c r="G34" s="1">
        <v>2.5</v>
      </c>
      <c r="H34">
        <v>0</v>
      </c>
      <c r="I34">
        <f t="shared" si="1"/>
        <v>2.5</v>
      </c>
      <c r="J34">
        <f t="shared" si="2"/>
        <v>0.416666666666667</v>
      </c>
      <c r="R34">
        <f t="shared" si="5"/>
        <v>250</v>
      </c>
      <c r="S34">
        <f t="shared" si="3"/>
        <v>20</v>
      </c>
      <c r="T34">
        <f t="shared" si="4"/>
        <v>120</v>
      </c>
    </row>
    <row r="35" spans="4:20">
      <c r="D35">
        <v>7</v>
      </c>
      <c r="E35">
        <v>30</v>
      </c>
      <c r="F35">
        <f t="shared" si="0"/>
        <v>4.28571428571429</v>
      </c>
      <c r="G35" s="1">
        <v>3</v>
      </c>
      <c r="H35">
        <v>0</v>
      </c>
      <c r="I35">
        <f t="shared" si="1"/>
        <v>3</v>
      </c>
      <c r="J35">
        <f t="shared" si="2"/>
        <v>0.428571428571429</v>
      </c>
      <c r="R35">
        <f t="shared" si="5"/>
        <v>300</v>
      </c>
      <c r="S35">
        <f t="shared" si="3"/>
        <v>17</v>
      </c>
      <c r="T35">
        <f t="shared" si="4"/>
        <v>119</v>
      </c>
    </row>
    <row r="36" spans="4:20">
      <c r="D36">
        <v>8</v>
      </c>
      <c r="E36">
        <v>35</v>
      </c>
      <c r="F36">
        <f t="shared" si="0"/>
        <v>4.375</v>
      </c>
      <c r="G36" s="1">
        <v>3.5</v>
      </c>
      <c r="H36">
        <v>0</v>
      </c>
      <c r="I36">
        <f t="shared" si="1"/>
        <v>3.5</v>
      </c>
      <c r="J36">
        <f t="shared" si="2"/>
        <v>0.4375</v>
      </c>
      <c r="R36">
        <f t="shared" si="5"/>
        <v>350</v>
      </c>
      <c r="S36">
        <f t="shared" si="3"/>
        <v>15</v>
      </c>
      <c r="T36">
        <f t="shared" si="4"/>
        <v>120</v>
      </c>
    </row>
    <row r="37" spans="4:20">
      <c r="D37">
        <v>9</v>
      </c>
      <c r="E37">
        <v>40</v>
      </c>
      <c r="F37">
        <f t="shared" si="0"/>
        <v>4.44444444444444</v>
      </c>
      <c r="G37" s="1">
        <v>4</v>
      </c>
      <c r="H37">
        <v>0</v>
      </c>
      <c r="I37">
        <f t="shared" si="1"/>
        <v>4</v>
      </c>
      <c r="J37">
        <f t="shared" si="2"/>
        <v>0.444444444444444</v>
      </c>
      <c r="R37">
        <f t="shared" si="5"/>
        <v>400</v>
      </c>
      <c r="S37">
        <f t="shared" si="3"/>
        <v>13</v>
      </c>
      <c r="T37">
        <f t="shared" si="4"/>
        <v>117</v>
      </c>
    </row>
    <row r="38" spans="4:20">
      <c r="D38">
        <v>10</v>
      </c>
      <c r="E38">
        <v>45</v>
      </c>
      <c r="F38">
        <f t="shared" si="0"/>
        <v>4.5</v>
      </c>
      <c r="G38" s="1">
        <v>4.5</v>
      </c>
      <c r="H38">
        <v>0.5</v>
      </c>
      <c r="I38">
        <f t="shared" si="1"/>
        <v>5</v>
      </c>
      <c r="J38">
        <f t="shared" si="2"/>
        <v>0.45</v>
      </c>
      <c r="R38">
        <f t="shared" si="5"/>
        <v>500</v>
      </c>
      <c r="S38">
        <f t="shared" si="3"/>
        <v>10</v>
      </c>
      <c r="T38">
        <f t="shared" si="4"/>
        <v>100</v>
      </c>
    </row>
    <row r="39" spans="4:20">
      <c r="D39">
        <v>15</v>
      </c>
      <c r="G39" s="1">
        <v>7</v>
      </c>
      <c r="H39">
        <v>0.5</v>
      </c>
      <c r="I39">
        <f t="shared" si="1"/>
        <v>7.5</v>
      </c>
      <c r="J39">
        <f t="shared" si="2"/>
        <v>0.466666666666667</v>
      </c>
      <c r="R39">
        <f t="shared" si="5"/>
        <v>750</v>
      </c>
      <c r="S39">
        <f t="shared" si="3"/>
        <v>7</v>
      </c>
      <c r="T39">
        <f t="shared" si="4"/>
        <v>105</v>
      </c>
    </row>
    <row r="40" spans="4:20">
      <c r="D40">
        <v>20</v>
      </c>
      <c r="G40" s="1">
        <v>9.5</v>
      </c>
      <c r="H40">
        <v>0.5</v>
      </c>
      <c r="I40">
        <f t="shared" si="1"/>
        <v>10</v>
      </c>
      <c r="J40">
        <f t="shared" si="2"/>
        <v>0.475</v>
      </c>
      <c r="R40">
        <f t="shared" si="5"/>
        <v>1000</v>
      </c>
      <c r="S40">
        <f t="shared" si="3"/>
        <v>5</v>
      </c>
      <c r="T40">
        <f t="shared" si="4"/>
        <v>100</v>
      </c>
    </row>
    <row r="41" spans="4:20">
      <c r="D41">
        <v>25</v>
      </c>
      <c r="G41" s="1">
        <v>12</v>
      </c>
      <c r="H41">
        <v>1</v>
      </c>
      <c r="I41">
        <f t="shared" si="1"/>
        <v>13</v>
      </c>
      <c r="J41">
        <f t="shared" si="2"/>
        <v>0.48</v>
      </c>
      <c r="R41">
        <f t="shared" si="5"/>
        <v>1300</v>
      </c>
      <c r="S41">
        <f t="shared" si="3"/>
        <v>4</v>
      </c>
      <c r="T41">
        <f t="shared" si="4"/>
        <v>100</v>
      </c>
    </row>
    <row r="42" spans="4:20">
      <c r="D42">
        <v>30</v>
      </c>
      <c r="G42" s="1">
        <v>14.5</v>
      </c>
      <c r="H42">
        <v>1</v>
      </c>
      <c r="I42">
        <f t="shared" si="1"/>
        <v>15.5</v>
      </c>
      <c r="J42">
        <f t="shared" si="2"/>
        <v>0.483333333333333</v>
      </c>
      <c r="R42">
        <f t="shared" si="5"/>
        <v>1550</v>
      </c>
      <c r="S42">
        <f t="shared" si="3"/>
        <v>4</v>
      </c>
      <c r="T42">
        <f t="shared" si="4"/>
        <v>120</v>
      </c>
    </row>
    <row r="43" spans="4:20">
      <c r="D43">
        <v>35</v>
      </c>
      <c r="G43" s="1">
        <v>17</v>
      </c>
      <c r="H43">
        <v>1.5</v>
      </c>
      <c r="I43">
        <f t="shared" si="1"/>
        <v>18.5</v>
      </c>
      <c r="J43">
        <f t="shared" si="2"/>
        <v>0.485714285714286</v>
      </c>
      <c r="R43">
        <f t="shared" si="5"/>
        <v>1850</v>
      </c>
      <c r="S43">
        <f t="shared" si="3"/>
        <v>3</v>
      </c>
      <c r="T43">
        <f t="shared" si="4"/>
        <v>105</v>
      </c>
    </row>
    <row r="44" spans="4:20">
      <c r="D44">
        <v>40</v>
      </c>
      <c r="G44" s="1">
        <v>19.5</v>
      </c>
      <c r="H44">
        <v>1.5</v>
      </c>
      <c r="I44">
        <f t="shared" si="1"/>
        <v>21</v>
      </c>
      <c r="J44">
        <f t="shared" si="2"/>
        <v>0.4875</v>
      </c>
      <c r="R44">
        <f t="shared" si="5"/>
        <v>2100</v>
      </c>
      <c r="S44">
        <f t="shared" si="3"/>
        <v>3</v>
      </c>
      <c r="T44">
        <f t="shared" si="4"/>
        <v>120</v>
      </c>
    </row>
    <row r="45" spans="4:20">
      <c r="D45">
        <v>45</v>
      </c>
      <c r="G45" s="1">
        <v>22</v>
      </c>
      <c r="H45">
        <v>2</v>
      </c>
      <c r="I45">
        <f t="shared" si="1"/>
        <v>24</v>
      </c>
      <c r="J45">
        <f t="shared" si="2"/>
        <v>0.488888888888889</v>
      </c>
      <c r="R45">
        <f t="shared" si="5"/>
        <v>2400</v>
      </c>
      <c r="S45">
        <f t="shared" si="3"/>
        <v>3</v>
      </c>
      <c r="T45">
        <f t="shared" si="4"/>
        <v>135</v>
      </c>
    </row>
    <row r="46" spans="4:20">
      <c r="D46">
        <v>50</v>
      </c>
      <c r="G46" s="1">
        <v>25</v>
      </c>
      <c r="H46">
        <v>2</v>
      </c>
      <c r="I46">
        <f t="shared" si="1"/>
        <v>27</v>
      </c>
      <c r="J46">
        <f t="shared" si="2"/>
        <v>0.5</v>
      </c>
      <c r="R46">
        <f t="shared" si="5"/>
        <v>2700</v>
      </c>
      <c r="S46">
        <f t="shared" si="3"/>
        <v>2</v>
      </c>
      <c r="T46">
        <f t="shared" si="4"/>
        <v>100</v>
      </c>
    </row>
    <row r="52" spans="13:15">
      <c r="M52">
        <v>1</v>
      </c>
      <c r="N52">
        <v>100</v>
      </c>
      <c r="O52">
        <f t="shared" ref="O52:O55" si="6">N52/M52</f>
        <v>100</v>
      </c>
    </row>
    <row r="53" spans="13:15">
      <c r="M53">
        <v>2</v>
      </c>
      <c r="N53">
        <v>300</v>
      </c>
      <c r="O53">
        <f t="shared" si="6"/>
        <v>150</v>
      </c>
    </row>
    <row r="54" spans="13:15">
      <c r="M54">
        <v>3</v>
      </c>
      <c r="N54">
        <v>700</v>
      </c>
      <c r="O54">
        <f t="shared" si="6"/>
        <v>233.333333333333</v>
      </c>
    </row>
    <row r="55" spans="13:15">
      <c r="M55">
        <v>4</v>
      </c>
      <c r="N55">
        <v>1500</v>
      </c>
      <c r="O55">
        <f t="shared" si="6"/>
        <v>375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</cp:lastModifiedBy>
  <dcterms:created xsi:type="dcterms:W3CDTF">2023-02-12T01:33:00Z</dcterms:created>
  <dcterms:modified xsi:type="dcterms:W3CDTF">2024-09-12T05:37:26Z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2052-12.1.0.18240</vt:lpwstr>
  </property>
</Properties>
</file>