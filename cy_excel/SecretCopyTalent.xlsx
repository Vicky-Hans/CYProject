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droidhang</author>
    <author>ph_li</author>
  </authors>
  <commentList>
    <comment ref="A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关联天赋表TalentID</t>
        </r>
      </text>
    </comment>
    <comment ref="C1" authorId="1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1 战斗
2 其他
3 装备</t>
        </r>
      </text>
    </comment>
    <comment ref="D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主线关卡武器刷新权重</t>
        </r>
      </text>
    </comment>
    <comment ref="E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单个天赋单局对战中，最多可选择次数</t>
        </r>
      </text>
    </comment>
    <comment ref="F1" authorId="1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equipSkill配置表id</t>
        </r>
      </text>
    </comment>
    <comment ref="G1" authorId="2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不配表示常驻天赋
</t>
        </r>
      </text>
    </comment>
  </commentList>
</comments>
</file>

<file path=xl/sharedStrings.xml><?xml version="1.0" encoding="utf-8"?>
<sst xmlns="http://schemas.openxmlformats.org/spreadsheetml/2006/main" count="247" uniqueCount="159">
  <si>
    <t>天赋id【KEY】</t>
  </si>
  <si>
    <t>所属品质</t>
  </si>
  <si>
    <t>天赋类型</t>
  </si>
  <si>
    <t>天赋权重</t>
  </si>
  <si>
    <t>选取上限</t>
  </si>
  <si>
    <t>装备技能id</t>
  </si>
  <si>
    <t>所属赛季</t>
  </si>
  <si>
    <t>both</t>
  </si>
  <si>
    <t>id</t>
  </si>
  <si>
    <t>quality</t>
  </si>
  <si>
    <t>type</t>
  </si>
  <si>
    <t>weight</t>
  </si>
  <si>
    <t>pickQuantity</t>
  </si>
  <si>
    <t>equipSkillId</t>
  </si>
  <si>
    <t>season</t>
  </si>
  <si>
    <t>int</t>
  </si>
  <si>
    <t>[int]</t>
  </si>
  <si>
    <t>index</t>
  </si>
  <si>
    <t>对boss的伤害+50%</t>
  </si>
  <si>
    <t>对boss的伤害+100%</t>
  </si>
  <si>
    <t>背包里每有1件装备伤害+1%</t>
  </si>
  <si>
    <t>背包里每有1件装备伤害+2%</t>
  </si>
  <si>
    <t>经验获取+10%</t>
  </si>
  <si>
    <t>经验获取+50%</t>
  </si>
  <si>
    <t>经验获取+30%</t>
  </si>
  <si>
    <t>所有防具生命+5%</t>
  </si>
  <si>
    <t>所有防具生命+10%</t>
  </si>
  <si>
    <t>所有防具生命+15%</t>
  </si>
  <si>
    <t>所有武器伤害+5%</t>
  </si>
  <si>
    <t>所有武器伤害+10%</t>
  </si>
  <si>
    <t>所有武器伤害+15%</t>
  </si>
  <si>
    <t>所有装备速度+5%</t>
  </si>
  <si>
    <t>所有装备速度+10%</t>
  </si>
  <si>
    <t>所有装备速度+15%</t>
  </si>
  <si>
    <t>所有敌人移动速度-5%</t>
  </si>
  <si>
    <t>所有敌人移动速度-10%</t>
  </si>
  <si>
    <t>所有敌人移动速度-15%</t>
  </si>
  <si>
    <t>角色移动速度+10%</t>
  </si>
  <si>
    <t>[1]</t>
  </si>
  <si>
    <t>所有攻击类型装备穿透数量+5</t>
  </si>
  <si>
    <t>长剑每攻击2次后,下次攻击100%暴击</t>
  </si>
  <si>
    <t>长剑固定暴击所需攻击次数-1</t>
  </si>
  <si>
    <t>长剑的攻击+50%</t>
  </si>
  <si>
    <t>长剑的暴击伤害+150%</t>
  </si>
  <si>
    <t>水之剑对冰冻减速/冻结目标伤害+100%</t>
  </si>
  <si>
    <t>火之剑对灼烧目标伤害+50%</t>
  </si>
  <si>
    <t>火之剑附加灼烧目标数量+8</t>
  </si>
  <si>
    <t>匕首攻击同一目标每次伤害+20%,最多叠加5层</t>
  </si>
  <si>
    <t>匕首的速度+30%</t>
  </si>
  <si>
    <t>匕首的暴击率+50%</t>
  </si>
  <si>
    <t>匕首的暴击伤害+50%</t>
  </si>
  <si>
    <t>风之刃到达场地边缘后反弹,最多5次</t>
  </si>
  <si>
    <t>毒之刃对中毒目标伤害100%</t>
  </si>
  <si>
    <t>风之刃穿透数量+6</t>
  </si>
  <si>
    <t>毒之刃的毒爆会附加中毒:每0.5秒,造成攻击100%伤害,持续2秒</t>
  </si>
  <si>
    <t>弓箭攻击时,射出3颗箭矢</t>
  </si>
  <si>
    <t>弓箭攻击可穿透1个敌人</t>
  </si>
  <si>
    <t>弓箭散射的箭矢数量+2</t>
  </si>
  <si>
    <t>弓箭的速度+10%</t>
  </si>
  <si>
    <t>箭雨发动概率额外+20%</t>
  </si>
  <si>
    <t>暗之弓秒杀概率额外+2%</t>
  </si>
  <si>
    <t>箭雨有40%概率造成眩晕,持续3秒</t>
  </si>
  <si>
    <t>暗之弓命中后,使目标攻击-20%持续3秒,效果不叠加,时间覆盖</t>
  </si>
  <si>
    <t>忍者镖命中后,进行一次弹射,最多弹射1次</t>
  </si>
  <si>
    <t>忍者镖的攻击+25%</t>
  </si>
  <si>
    <t>忍者镖的暴击率+25%</t>
  </si>
  <si>
    <t>忍者镖攻击时,多发射1枚忍者镖</t>
  </si>
  <si>
    <t>暗之忍者镖附加重伤概率+50%</t>
  </si>
  <si>
    <t>风之忍者镖弹射不再降低伤害</t>
  </si>
  <si>
    <t>暗之忍者镖对重伤目标伤害+150%</t>
  </si>
  <si>
    <t>风之忍者镖弹射次数+1</t>
  </si>
  <si>
    <t>魔法帽的回血+20%</t>
  </si>
  <si>
    <t>魔法帽的速度+20%</t>
  </si>
  <si>
    <t>暗之魔法帽每次扣除的血量-1%</t>
  </si>
  <si>
    <t>手套的速度+20%</t>
  </si>
  <si>
    <t>手套的叠盾+20%</t>
  </si>
  <si>
    <t>火之手套附魔数量+2</t>
  </si>
  <si>
    <t>风之手套效果触发时,攻速额外+20%</t>
  </si>
  <si>
    <t>火之手套附魔加攻效果额外+20%</t>
  </si>
  <si>
    <t>风之手套攻速增持续时间+300%</t>
  </si>
  <si>
    <t>冰杖命中后,有25%概率使目标冻结,持续3秒</t>
  </si>
  <si>
    <t>冰杖冻结概率+25%</t>
  </si>
  <si>
    <t>冰杖命中后,分裂出5个碎片,碎片伤害为冰杖攻击的30%,有概率附加冰冻减速效果</t>
  </si>
  <si>
    <t>冰杖的攻击+30%</t>
  </si>
  <si>
    <t>冰霜新星有25%概率使目标冻结,持续3秒</t>
  </si>
  <si>
    <t>暴风雪范围+50%</t>
  </si>
  <si>
    <t>冰霜新星的范围+30%</t>
  </si>
  <si>
    <t>暴风雪释放时,每次伤害+10%</t>
  </si>
  <si>
    <t>毒药瓶中毒伤害+100%</t>
  </si>
  <si>
    <t>毒药瓶的速度+20%</t>
  </si>
  <si>
    <t>命中时,对目标周围造成范围伤害,并附加中毒效果</t>
  </si>
  <si>
    <t>中毒持续时间+50%</t>
  </si>
  <si>
    <t>麻痹毒药麻痹的减速效果额外-20%(最高100%)</t>
  </si>
  <si>
    <t>烈性毒药叠毒概率额外20%</t>
  </si>
  <si>
    <t>麻痹毒药麻痹触发概率额外+20%</t>
  </si>
  <si>
    <t>烈性毒药造成的中毒伤害间隔-40%</t>
  </si>
  <si>
    <t>每攻击2次后,进行蓄力,下次攻击时附带回旋效果</t>
  </si>
  <si>
    <t>每次攻击都发动蓄力回旋</t>
  </si>
  <si>
    <t>回旋镖最大飞行距离+25%</t>
  </si>
  <si>
    <t>回旋镖攻击时额外射出1枚回旋镖</t>
  </si>
  <si>
    <t>投掷斧大小+20%</t>
  </si>
  <si>
    <t>投掷斧命中后,50%概率使目标附加物理重伤:受到物理伤害时,伤害+20%,持续3秒</t>
  </si>
  <si>
    <t>投掷斧最大飞行距离+25%</t>
  </si>
  <si>
    <t>投掷斧对物理重伤的敌人,暴击率+60%</t>
  </si>
  <si>
    <t>火球的暴击+50%</t>
  </si>
  <si>
    <t>火球命中后,追加一次火焰爆炸,造成攻击50%的伤害</t>
  </si>
  <si>
    <t>火焰爆炸伤害+50%</t>
  </si>
  <si>
    <t>火焰爆炸半径+30%</t>
  </si>
  <si>
    <t>落雷杖攻击时额外释放1次落雷攻击,目标独立判定</t>
  </si>
  <si>
    <t>落雷杖多重落雷次数+1</t>
  </si>
  <si>
    <t>落雷杖命中后，追加一次半径1.2的磁暴，伤害为武器攻击的30%</t>
  </si>
  <si>
    <t>磁暴命中，有50%概率使目标感电:受到魔法伤害时，伤害+20%，持续3秒</t>
  </si>
  <si>
    <t>腰带的血量+20%</t>
  </si>
  <si>
    <t>腰带的回血效果+20%</t>
  </si>
  <si>
    <t>血量&lt;30%时，立即回复最大血量的20%，每波可触发1次，多个腰带不叠力</t>
  </si>
  <si>
    <t>急救回复的血量+100%</t>
  </si>
  <si>
    <t>黑暗之斧的暴伤+100%</t>
  </si>
  <si>
    <t>满血时，大地之斧攻速+35%</t>
  </si>
  <si>
    <t>血量&lt;50%时，黑暗之斧吸血概率+50%</t>
  </si>
  <si>
    <t>命中后，范围内的目标有30%概率附加迷晕状态:攻速移速-40%，且有40%概率攻击落空，持续4秒</t>
  </si>
  <si>
    <t>时间沙漏攻击时有30%概率回复时间沙漏自身攻击20%的血量</t>
  </si>
  <si>
    <t>时间沙漏附加迷晕概率+20%</t>
  </si>
  <si>
    <t>时间沙漏附加迷晕后，敌人攻击落空概率+30%</t>
  </si>
  <si>
    <t>背包内每有1件地元素装备，地之回响攻速+10%</t>
  </si>
  <si>
    <t>水之回响造附加减移速、减攻速额外-30%</t>
  </si>
  <si>
    <t>背包内每有1件地元素装备，地之回响暴击+10%</t>
  </si>
  <si>
    <t>水之回响对冰冻减速目标伤害+50%，对冻结目标伤害+100%</t>
  </si>
  <si>
    <t>同时扔出1-5个魔杖盒</t>
  </si>
  <si>
    <t>魔杖盒命中有50%概率造成击退，击退距离随机</t>
  </si>
  <si>
    <t>魔杖盒命中后有50%概率击晕目标0-4秒</t>
  </si>
  <si>
    <t>命中后对随机范围造成攻击力30%的伤害</t>
  </si>
  <si>
    <t>飞天扫帚命中后，追加一次半径1.5的地震，造成飞天扫帚攻击25%的伤害</t>
  </si>
  <si>
    <t>飞天扫帚的速度+15%</t>
  </si>
  <si>
    <t>飞天扫帚造成伤害时，有60%概率使敌人攻速和移速-25%，持续2秒，不叠加</t>
  </si>
  <si>
    <t>飞天扫帚地震范围+30%</t>
  </si>
  <si>
    <t>每波银币获取+10</t>
  </si>
  <si>
    <t>随机1件装备合成等级提升1级</t>
  </si>
  <si>
    <t>商店刷新价格-20%</t>
  </si>
  <si>
    <t>胜利后结算奖励+10%</t>
  </si>
  <si>
    <t>胜利后结算奖励+20%</t>
  </si>
  <si>
    <t>胜利后结算奖励+30%</t>
  </si>
  <si>
    <t>商店刷新时免费多刷1个装备</t>
  </si>
  <si>
    <t>每波战斗结束时获得5%利息，上限30金币</t>
  </si>
  <si>
    <t>每波战斗结束时获得10%利息，上限30金币</t>
  </si>
  <si>
    <t>每波战斗结束时获得20%利息，上限30金币</t>
  </si>
  <si>
    <t>立即获得30银币</t>
  </si>
  <si>
    <t>立即获得50银币</t>
  </si>
  <si>
    <t>立即获得100银币</t>
  </si>
  <si>
    <t>商店出现2级物品概率+5%</t>
  </si>
  <si>
    <t>商店出现2级物品概率+10%</t>
  </si>
  <si>
    <t>商店出现2级物品概率+15%</t>
  </si>
  <si>
    <t>在水之剑两侧的其他水属性武器击败敌人,回复武器自身攻击50%的血量,效果可叠加</t>
  </si>
  <si>
    <t>背包中与魔法帽相邻的所有魔法武器攻击+20%</t>
  </si>
  <si>
    <t>背包中与魔法帽相邻的所有魔法武器攻击+30%</t>
  </si>
  <si>
    <t>叠盾效果额外+10%</t>
  </si>
  <si>
    <t>所有暗属性的武器伤害增幅额外+30%</t>
  </si>
  <si>
    <t>与地之魔法帽在同一行的防具都可获得叠盾效果增幅</t>
  </si>
  <si>
    <t>背包中与手套相邻的所有物理武器速度+20%</t>
  </si>
  <si>
    <t>背包中与手套相邻的所有物理武器速度+30%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</si>
</sst>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9" fontId="1" fillId="0" borderId="0" xfId="3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9" fontId="0" fillId="0" borderId="0" xfId="3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3"/>
  <sheetViews>
    <sheetView tabSelected="1" workbookViewId="0">
      <pane ySplit="5" topLeftCell="A190" activePane="bottomLeft" state="frozen"/>
      <selection/>
      <selection pane="bottomLeft" activeCell="H211" sqref="H211"/>
    </sheetView>
  </sheetViews>
  <sheetFormatPr defaultColWidth="9" defaultRowHeight="17.25"/>
  <cols>
    <col min="1" max="2" width="15.625" style="7" customWidth="1"/>
    <col min="3" max="3" width="14" style="7" customWidth="1"/>
    <col min="4" max="4" width="15.625" style="7" customWidth="1"/>
    <col min="5" max="5" width="14" style="7" customWidth="1"/>
    <col min="6" max="7" width="14.875" style="7" customWidth="1"/>
    <col min="8" max="8" width="44.875" style="8" customWidth="1"/>
    <col min="9" max="9" width="9" style="7"/>
    <col min="10" max="10" width="14.125" style="7"/>
    <col min="11" max="16384" width="9" style="7"/>
  </cols>
  <sheetData>
    <row r="1" s="5" customFormat="1" ht="20.1" customHeight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5" t="s">
        <v>5</v>
      </c>
      <c r="G1" s="5" t="s">
        <v>6</v>
      </c>
      <c r="H1" s="10"/>
    </row>
    <row r="2" s="5" customFormat="1" ht="20.1" customHeight="1" spans="1:8">
      <c r="A2" s="11" t="s">
        <v>7</v>
      </c>
      <c r="B2" s="11" t="s">
        <v>7</v>
      </c>
      <c r="C2" s="11" t="s">
        <v>7</v>
      </c>
      <c r="D2" s="11" t="s">
        <v>7</v>
      </c>
      <c r="E2" s="11" t="s">
        <v>7</v>
      </c>
      <c r="F2" s="11" t="s">
        <v>7</v>
      </c>
      <c r="G2" s="12" t="s">
        <v>7</v>
      </c>
      <c r="H2" s="10"/>
    </row>
    <row r="3" ht="15.95" customHeight="1" spans="1:7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7" t="s">
        <v>13</v>
      </c>
      <c r="G3" s="7" t="s">
        <v>14</v>
      </c>
    </row>
    <row r="4" ht="15.95" customHeight="1" spans="1:7">
      <c r="A4" s="11" t="s">
        <v>15</v>
      </c>
      <c r="B4" s="11" t="s">
        <v>15</v>
      </c>
      <c r="C4" s="11" t="s">
        <v>15</v>
      </c>
      <c r="D4" s="11" t="s">
        <v>15</v>
      </c>
      <c r="E4" s="11" t="s">
        <v>15</v>
      </c>
      <c r="F4" s="11" t="s">
        <v>15</v>
      </c>
      <c r="G4" s="12" t="s">
        <v>16</v>
      </c>
    </row>
    <row r="5" ht="15.95" customHeight="1" spans="1:7">
      <c r="A5" s="13"/>
      <c r="B5" s="13" t="s">
        <v>17</v>
      </c>
      <c r="C5" s="13" t="s">
        <v>17</v>
      </c>
      <c r="D5" s="13"/>
      <c r="E5" s="13"/>
      <c r="F5" s="13" t="s">
        <v>17</v>
      </c>
      <c r="G5" s="12"/>
    </row>
    <row r="6" s="6" customFormat="1" spans="1:12">
      <c r="A6" s="14">
        <v>102</v>
      </c>
      <c r="B6" s="14">
        <v>3</v>
      </c>
      <c r="C6" s="14">
        <v>1</v>
      </c>
      <c r="D6" s="14">
        <v>0</v>
      </c>
      <c r="E6" s="14">
        <v>1</v>
      </c>
      <c r="F6" s="14">
        <v>0</v>
      </c>
      <c r="H6" s="3" t="s">
        <v>18</v>
      </c>
      <c r="I6" s="6">
        <v>3</v>
      </c>
      <c r="J6" s="6">
        <f t="shared" ref="J6:J7" si="0">1/I6</f>
        <v>0.333333333333333</v>
      </c>
      <c r="K6" s="6">
        <f>J6*1.5</f>
        <v>0.5</v>
      </c>
      <c r="L6" s="6">
        <v>5000</v>
      </c>
    </row>
    <row r="7" s="6" customFormat="1" spans="1:12">
      <c r="A7" s="14">
        <v>103</v>
      </c>
      <c r="B7" s="14">
        <v>4</v>
      </c>
      <c r="C7" s="14">
        <v>1</v>
      </c>
      <c r="D7" s="14">
        <v>0</v>
      </c>
      <c r="E7" s="14">
        <v>1</v>
      </c>
      <c r="F7" s="14">
        <v>0</v>
      </c>
      <c r="H7" s="3" t="s">
        <v>19</v>
      </c>
      <c r="I7" s="6">
        <v>4</v>
      </c>
      <c r="J7" s="6">
        <f t="shared" si="0"/>
        <v>0.25</v>
      </c>
      <c r="K7" s="6">
        <f>J7</f>
        <v>0.25</v>
      </c>
      <c r="L7" s="6">
        <v>1000</v>
      </c>
    </row>
    <row r="8" s="6" customFormat="1" spans="1:8">
      <c r="A8" s="14">
        <v>110</v>
      </c>
      <c r="B8" s="14">
        <v>3</v>
      </c>
      <c r="C8" s="14">
        <v>1</v>
      </c>
      <c r="D8" s="14">
        <v>0</v>
      </c>
      <c r="E8" s="14">
        <v>1</v>
      </c>
      <c r="F8" s="14">
        <v>0</v>
      </c>
      <c r="H8" s="3" t="s">
        <v>20</v>
      </c>
    </row>
    <row r="9" s="6" customFormat="1" spans="1:8">
      <c r="A9" s="14">
        <v>111</v>
      </c>
      <c r="B9" s="14">
        <v>4</v>
      </c>
      <c r="C9" s="14">
        <v>1</v>
      </c>
      <c r="D9" s="14">
        <v>1000</v>
      </c>
      <c r="E9" s="14">
        <v>2</v>
      </c>
      <c r="F9" s="14">
        <v>0</v>
      </c>
      <c r="H9" s="3" t="s">
        <v>21</v>
      </c>
    </row>
    <row r="10" s="6" customFormat="1" spans="1:8">
      <c r="A10" s="14">
        <v>115</v>
      </c>
      <c r="B10" s="14">
        <v>2</v>
      </c>
      <c r="C10" s="14">
        <v>1</v>
      </c>
      <c r="D10" s="14">
        <v>1000</v>
      </c>
      <c r="E10" s="14">
        <v>2</v>
      </c>
      <c r="F10" s="14">
        <v>0</v>
      </c>
      <c r="H10" s="3" t="s">
        <v>22</v>
      </c>
    </row>
    <row r="11" s="6" customFormat="1" spans="1:8">
      <c r="A11" s="14">
        <v>116</v>
      </c>
      <c r="B11" s="14">
        <v>4</v>
      </c>
      <c r="C11" s="14">
        <v>1</v>
      </c>
      <c r="D11" s="14">
        <v>0</v>
      </c>
      <c r="E11" s="14">
        <v>1</v>
      </c>
      <c r="F11" s="14">
        <v>0</v>
      </c>
      <c r="H11" s="3" t="s">
        <v>23</v>
      </c>
    </row>
    <row r="12" s="6" customFormat="1" spans="1:8">
      <c r="A12" s="14">
        <v>117</v>
      </c>
      <c r="B12" s="14">
        <v>3</v>
      </c>
      <c r="C12" s="14">
        <v>1</v>
      </c>
      <c r="D12" s="14">
        <v>0</v>
      </c>
      <c r="E12" s="14">
        <v>1</v>
      </c>
      <c r="F12" s="14">
        <v>0</v>
      </c>
      <c r="H12" s="3" t="s">
        <v>24</v>
      </c>
    </row>
    <row r="13" s="6" customFormat="1" spans="1:8">
      <c r="A13" s="14">
        <v>121</v>
      </c>
      <c r="B13" s="14">
        <v>2</v>
      </c>
      <c r="C13" s="14">
        <v>1</v>
      </c>
      <c r="D13" s="14">
        <v>0</v>
      </c>
      <c r="E13" s="14">
        <v>3</v>
      </c>
      <c r="F13" s="14">
        <v>0</v>
      </c>
      <c r="H13" s="3" t="s">
        <v>25</v>
      </c>
    </row>
    <row r="14" s="6" customFormat="1" spans="1:8">
      <c r="A14" s="14">
        <v>122</v>
      </c>
      <c r="B14" s="14">
        <v>3</v>
      </c>
      <c r="C14" s="14">
        <v>1</v>
      </c>
      <c r="D14" s="14">
        <v>1000</v>
      </c>
      <c r="E14" s="14">
        <v>2</v>
      </c>
      <c r="F14" s="14">
        <v>0</v>
      </c>
      <c r="H14" s="3" t="s">
        <v>26</v>
      </c>
    </row>
    <row r="15" s="6" customFormat="1" spans="1:8">
      <c r="A15" s="14">
        <v>123</v>
      </c>
      <c r="B15" s="14">
        <v>4</v>
      </c>
      <c r="C15" s="14">
        <v>1</v>
      </c>
      <c r="D15" s="14">
        <v>1000</v>
      </c>
      <c r="E15" s="14">
        <v>2</v>
      </c>
      <c r="F15" s="14">
        <v>0</v>
      </c>
      <c r="H15" s="3" t="s">
        <v>27</v>
      </c>
    </row>
    <row r="16" s="6" customFormat="1" spans="1:8">
      <c r="A16" s="14">
        <v>124</v>
      </c>
      <c r="B16" s="14">
        <v>2</v>
      </c>
      <c r="C16" s="14">
        <v>1</v>
      </c>
      <c r="D16" s="14">
        <v>0</v>
      </c>
      <c r="E16" s="14">
        <v>3</v>
      </c>
      <c r="F16" s="14">
        <v>0</v>
      </c>
      <c r="H16" s="3" t="s">
        <v>28</v>
      </c>
    </row>
    <row r="17" s="6" customFormat="1" spans="1:8">
      <c r="A17" s="14">
        <v>125</v>
      </c>
      <c r="B17" s="14">
        <v>3</v>
      </c>
      <c r="C17" s="14">
        <v>1</v>
      </c>
      <c r="D17" s="14">
        <v>1000</v>
      </c>
      <c r="E17" s="14">
        <v>2</v>
      </c>
      <c r="F17" s="14">
        <v>0</v>
      </c>
      <c r="H17" s="3" t="s">
        <v>29</v>
      </c>
    </row>
    <row r="18" s="6" customFormat="1" spans="1:8">
      <c r="A18" s="14">
        <v>126</v>
      </c>
      <c r="B18" s="14">
        <v>4</v>
      </c>
      <c r="C18" s="14">
        <v>1</v>
      </c>
      <c r="D18" s="14">
        <v>1000</v>
      </c>
      <c r="E18" s="14">
        <v>2</v>
      </c>
      <c r="F18" s="14">
        <v>0</v>
      </c>
      <c r="H18" s="3" t="s">
        <v>30</v>
      </c>
    </row>
    <row r="19" s="6" customFormat="1" spans="1:8">
      <c r="A19" s="14">
        <v>127</v>
      </c>
      <c r="B19" s="14">
        <v>2</v>
      </c>
      <c r="C19" s="14">
        <v>1</v>
      </c>
      <c r="D19" s="14">
        <v>1000</v>
      </c>
      <c r="E19" s="14">
        <v>1</v>
      </c>
      <c r="F19" s="14">
        <v>0</v>
      </c>
      <c r="H19" s="3" t="s">
        <v>31</v>
      </c>
    </row>
    <row r="20" s="6" customFormat="1" spans="1:8">
      <c r="A20" s="14">
        <v>128</v>
      </c>
      <c r="B20" s="14">
        <v>3</v>
      </c>
      <c r="C20" s="14">
        <v>1</v>
      </c>
      <c r="D20" s="14">
        <v>1000</v>
      </c>
      <c r="E20" s="14">
        <v>1</v>
      </c>
      <c r="F20" s="14">
        <v>0</v>
      </c>
      <c r="H20" s="3" t="s">
        <v>32</v>
      </c>
    </row>
    <row r="21" s="6" customFormat="1" spans="1:8">
      <c r="A21" s="14">
        <v>129</v>
      </c>
      <c r="B21" s="14">
        <v>4</v>
      </c>
      <c r="C21" s="14">
        <v>1</v>
      </c>
      <c r="D21" s="14">
        <v>1000</v>
      </c>
      <c r="E21" s="14">
        <v>1</v>
      </c>
      <c r="F21" s="14">
        <v>0</v>
      </c>
      <c r="H21" s="3" t="s">
        <v>33</v>
      </c>
    </row>
    <row r="22" s="6" customFormat="1" spans="1:8">
      <c r="A22" s="14">
        <v>133</v>
      </c>
      <c r="B22" s="14">
        <v>2</v>
      </c>
      <c r="C22" s="14">
        <v>1</v>
      </c>
      <c r="D22" s="14">
        <v>0</v>
      </c>
      <c r="E22" s="14">
        <v>1</v>
      </c>
      <c r="F22" s="14">
        <v>0</v>
      </c>
      <c r="H22" s="3" t="s">
        <v>34</v>
      </c>
    </row>
    <row r="23" s="6" customFormat="1" spans="1:8">
      <c r="A23" s="14">
        <v>134</v>
      </c>
      <c r="B23" s="14">
        <v>3</v>
      </c>
      <c r="C23" s="14">
        <v>1</v>
      </c>
      <c r="D23" s="14">
        <v>1000</v>
      </c>
      <c r="E23" s="14">
        <v>1</v>
      </c>
      <c r="F23" s="14">
        <v>0</v>
      </c>
      <c r="H23" s="3" t="s">
        <v>35</v>
      </c>
    </row>
    <row r="24" s="6" customFormat="1" spans="1:8">
      <c r="A24" s="14">
        <v>135</v>
      </c>
      <c r="B24" s="14">
        <v>4</v>
      </c>
      <c r="C24" s="14">
        <v>1</v>
      </c>
      <c r="D24" s="14">
        <v>1000</v>
      </c>
      <c r="E24" s="14">
        <v>1</v>
      </c>
      <c r="F24" s="14">
        <v>0</v>
      </c>
      <c r="H24" s="3" t="s">
        <v>36</v>
      </c>
    </row>
    <row r="25" s="6" customFormat="1" spans="1:8">
      <c r="A25" s="14">
        <v>136</v>
      </c>
      <c r="B25" s="14">
        <v>3</v>
      </c>
      <c r="C25" s="14">
        <v>1</v>
      </c>
      <c r="D25" s="14">
        <v>1000</v>
      </c>
      <c r="E25" s="14">
        <v>2</v>
      </c>
      <c r="F25" s="14">
        <v>0</v>
      </c>
      <c r="H25" s="3" t="s">
        <v>37</v>
      </c>
    </row>
    <row r="26" s="6" customFormat="1" spans="1:8">
      <c r="A26" s="14">
        <v>137</v>
      </c>
      <c r="B26" s="14">
        <v>5</v>
      </c>
      <c r="C26" s="14">
        <v>1</v>
      </c>
      <c r="D26" s="14">
        <v>2000</v>
      </c>
      <c r="E26" s="14">
        <v>2</v>
      </c>
      <c r="F26" s="14">
        <v>0</v>
      </c>
      <c r="G26" s="6" t="s">
        <v>38</v>
      </c>
      <c r="H26" s="3" t="s">
        <v>39</v>
      </c>
    </row>
    <row r="27" s="6" customFormat="1" spans="1:8">
      <c r="A27" s="14">
        <v>201</v>
      </c>
      <c r="B27" s="14">
        <v>3</v>
      </c>
      <c r="C27" s="14">
        <v>1</v>
      </c>
      <c r="D27" s="14">
        <v>1000</v>
      </c>
      <c r="E27" s="14">
        <v>1</v>
      </c>
      <c r="F27" s="14">
        <v>1201</v>
      </c>
      <c r="H27" s="3" t="s">
        <v>40</v>
      </c>
    </row>
    <row r="28" s="6" customFormat="1" spans="1:8">
      <c r="A28" s="14">
        <v>202</v>
      </c>
      <c r="B28" s="14">
        <v>2</v>
      </c>
      <c r="C28" s="14">
        <v>1</v>
      </c>
      <c r="D28" s="14">
        <v>1000</v>
      </c>
      <c r="E28" s="14">
        <v>1</v>
      </c>
      <c r="F28" s="14">
        <v>1202</v>
      </c>
      <c r="H28" s="3" t="s">
        <v>41</v>
      </c>
    </row>
    <row r="29" s="6" customFormat="1" spans="1:8">
      <c r="A29" s="14">
        <v>203</v>
      </c>
      <c r="B29" s="14">
        <v>3</v>
      </c>
      <c r="C29" s="14">
        <v>1</v>
      </c>
      <c r="D29" s="14">
        <v>1000</v>
      </c>
      <c r="E29" s="14">
        <v>1</v>
      </c>
      <c r="F29" s="14">
        <v>1203</v>
      </c>
      <c r="H29" s="3" t="s">
        <v>42</v>
      </c>
    </row>
    <row r="30" s="6" customFormat="1" spans="1:8">
      <c r="A30" s="14">
        <v>204</v>
      </c>
      <c r="B30" s="14">
        <v>4</v>
      </c>
      <c r="C30" s="14">
        <v>1</v>
      </c>
      <c r="D30" s="14">
        <v>1000</v>
      </c>
      <c r="E30" s="14">
        <v>1</v>
      </c>
      <c r="F30" s="14">
        <v>1204</v>
      </c>
      <c r="H30" s="3" t="s">
        <v>43</v>
      </c>
    </row>
    <row r="31" s="6" customFormat="1" spans="1:8">
      <c r="A31" s="14">
        <v>205</v>
      </c>
      <c r="B31" s="14">
        <v>3</v>
      </c>
      <c r="C31" s="14">
        <v>1</v>
      </c>
      <c r="D31" s="14">
        <v>1000</v>
      </c>
      <c r="E31" s="14">
        <v>1</v>
      </c>
      <c r="F31" s="14">
        <v>1205</v>
      </c>
      <c r="H31" s="3" t="s">
        <v>44</v>
      </c>
    </row>
    <row r="32" s="6" customFormat="1" spans="1:8">
      <c r="A32" s="14">
        <v>206</v>
      </c>
      <c r="B32" s="14">
        <v>3</v>
      </c>
      <c r="C32" s="14">
        <v>1</v>
      </c>
      <c r="D32" s="14">
        <v>1000</v>
      </c>
      <c r="E32" s="14">
        <v>1</v>
      </c>
      <c r="F32" s="14">
        <v>1206</v>
      </c>
      <c r="H32" s="3" t="s">
        <v>45</v>
      </c>
    </row>
    <row r="33" s="6" customFormat="1" spans="1:8">
      <c r="A33" s="14">
        <v>208</v>
      </c>
      <c r="B33" s="14">
        <v>4</v>
      </c>
      <c r="C33" s="14">
        <v>1</v>
      </c>
      <c r="D33" s="14">
        <v>1000</v>
      </c>
      <c r="E33" s="14">
        <v>1</v>
      </c>
      <c r="F33" s="14">
        <v>1208</v>
      </c>
      <c r="H33" s="3" t="s">
        <v>46</v>
      </c>
    </row>
    <row r="34" s="6" customFormat="1" spans="1:8">
      <c r="A34" s="14">
        <v>209</v>
      </c>
      <c r="B34" s="14">
        <v>3</v>
      </c>
      <c r="C34" s="14">
        <v>1</v>
      </c>
      <c r="D34" s="14">
        <v>1000</v>
      </c>
      <c r="E34" s="14">
        <v>1</v>
      </c>
      <c r="F34" s="14">
        <v>2201</v>
      </c>
      <c r="H34" s="3" t="s">
        <v>47</v>
      </c>
    </row>
    <row r="35" s="6" customFormat="1" spans="1:8">
      <c r="A35" s="14">
        <v>210</v>
      </c>
      <c r="B35" s="14">
        <v>4</v>
      </c>
      <c r="C35" s="14">
        <v>1</v>
      </c>
      <c r="D35" s="14">
        <v>1000</v>
      </c>
      <c r="E35" s="14">
        <v>1</v>
      </c>
      <c r="F35" s="14">
        <v>2202</v>
      </c>
      <c r="H35" s="3" t="s">
        <v>48</v>
      </c>
    </row>
    <row r="36" s="6" customFormat="1" spans="1:8">
      <c r="A36" s="14">
        <v>211</v>
      </c>
      <c r="B36" s="14">
        <v>3</v>
      </c>
      <c r="C36" s="14">
        <v>1</v>
      </c>
      <c r="D36" s="14">
        <v>1000</v>
      </c>
      <c r="E36" s="14">
        <v>1</v>
      </c>
      <c r="F36" s="14">
        <v>2203</v>
      </c>
      <c r="H36" s="3" t="s">
        <v>49</v>
      </c>
    </row>
    <row r="37" s="6" customFormat="1" spans="1:8">
      <c r="A37" s="14">
        <v>212</v>
      </c>
      <c r="B37" s="14">
        <v>2</v>
      </c>
      <c r="C37" s="14">
        <v>1</v>
      </c>
      <c r="D37" s="14">
        <v>1000</v>
      </c>
      <c r="E37" s="14">
        <v>1</v>
      </c>
      <c r="F37" s="14">
        <v>2204</v>
      </c>
      <c r="H37" s="3" t="s">
        <v>50</v>
      </c>
    </row>
    <row r="38" s="6" customFormat="1" spans="1:8">
      <c r="A38" s="14">
        <v>213</v>
      </c>
      <c r="B38" s="14">
        <v>3</v>
      </c>
      <c r="C38" s="14">
        <v>1</v>
      </c>
      <c r="D38" s="14">
        <v>1000</v>
      </c>
      <c r="E38" s="14">
        <v>1</v>
      </c>
      <c r="F38" s="14">
        <v>2205</v>
      </c>
      <c r="H38" s="3" t="s">
        <v>51</v>
      </c>
    </row>
    <row r="39" s="6" customFormat="1" spans="1:8">
      <c r="A39" s="14">
        <v>214</v>
      </c>
      <c r="B39" s="14">
        <v>3</v>
      </c>
      <c r="C39" s="14">
        <v>1</v>
      </c>
      <c r="D39" s="14">
        <v>1000</v>
      </c>
      <c r="E39" s="14">
        <v>1</v>
      </c>
      <c r="F39" s="14">
        <v>2206</v>
      </c>
      <c r="H39" s="3" t="s">
        <v>52</v>
      </c>
    </row>
    <row r="40" s="6" customFormat="1" spans="1:8">
      <c r="A40" s="14">
        <v>215</v>
      </c>
      <c r="B40" s="14">
        <v>4</v>
      </c>
      <c r="C40" s="14">
        <v>1</v>
      </c>
      <c r="D40" s="14">
        <v>1000</v>
      </c>
      <c r="E40" s="14">
        <v>1</v>
      </c>
      <c r="F40" s="14">
        <v>2207</v>
      </c>
      <c r="H40" s="3" t="s">
        <v>53</v>
      </c>
    </row>
    <row r="41" s="6" customFormat="1" spans="1:8">
      <c r="A41" s="14">
        <v>216</v>
      </c>
      <c r="B41" s="14">
        <v>4</v>
      </c>
      <c r="C41" s="14">
        <v>1</v>
      </c>
      <c r="D41" s="14">
        <v>1000</v>
      </c>
      <c r="E41" s="14">
        <v>1</v>
      </c>
      <c r="F41" s="14">
        <v>2208</v>
      </c>
      <c r="H41" s="3" t="s">
        <v>54</v>
      </c>
    </row>
    <row r="42" s="6" customFormat="1" spans="1:8">
      <c r="A42" s="14">
        <v>217</v>
      </c>
      <c r="B42" s="14">
        <v>3</v>
      </c>
      <c r="C42" s="14">
        <v>1</v>
      </c>
      <c r="D42" s="14">
        <v>1000</v>
      </c>
      <c r="E42" s="14">
        <v>1</v>
      </c>
      <c r="F42" s="14">
        <v>3201</v>
      </c>
      <c r="H42" s="3" t="s">
        <v>55</v>
      </c>
    </row>
    <row r="43" s="6" customFormat="1" spans="1:8">
      <c r="A43" s="14">
        <v>218</v>
      </c>
      <c r="B43" s="14">
        <v>4</v>
      </c>
      <c r="C43" s="14">
        <v>1</v>
      </c>
      <c r="D43" s="14">
        <v>1000</v>
      </c>
      <c r="E43" s="14">
        <v>1</v>
      </c>
      <c r="F43" s="14">
        <v>3202</v>
      </c>
      <c r="H43" s="3" t="s">
        <v>56</v>
      </c>
    </row>
    <row r="44" s="6" customFormat="1" spans="1:8">
      <c r="A44" s="14">
        <v>219</v>
      </c>
      <c r="B44" s="14">
        <v>3</v>
      </c>
      <c r="C44" s="14">
        <v>1</v>
      </c>
      <c r="D44" s="14">
        <v>1000</v>
      </c>
      <c r="E44" s="14">
        <v>1</v>
      </c>
      <c r="F44" s="14">
        <v>3203</v>
      </c>
      <c r="H44" s="3" t="s">
        <v>57</v>
      </c>
    </row>
    <row r="45" s="6" customFormat="1" spans="1:8">
      <c r="A45" s="14">
        <v>220</v>
      </c>
      <c r="B45" s="14">
        <v>2</v>
      </c>
      <c r="C45" s="14">
        <v>1</v>
      </c>
      <c r="D45" s="14">
        <v>1000</v>
      </c>
      <c r="E45" s="14">
        <v>1</v>
      </c>
      <c r="F45" s="14">
        <v>3204</v>
      </c>
      <c r="H45" s="3" t="s">
        <v>58</v>
      </c>
    </row>
    <row r="46" s="6" customFormat="1" spans="1:8">
      <c r="A46" s="14">
        <v>221</v>
      </c>
      <c r="B46" s="14">
        <v>3</v>
      </c>
      <c r="C46" s="14">
        <v>1</v>
      </c>
      <c r="D46" s="14">
        <v>1000</v>
      </c>
      <c r="E46" s="14">
        <v>1</v>
      </c>
      <c r="F46" s="14">
        <v>3205</v>
      </c>
      <c r="H46" s="3" t="s">
        <v>59</v>
      </c>
    </row>
    <row r="47" s="6" customFormat="1" spans="1:8">
      <c r="A47" s="14">
        <v>222</v>
      </c>
      <c r="B47" s="14">
        <v>3</v>
      </c>
      <c r="C47" s="14">
        <v>1</v>
      </c>
      <c r="D47" s="14">
        <v>1000</v>
      </c>
      <c r="E47" s="14">
        <v>1</v>
      </c>
      <c r="F47" s="14">
        <v>3206</v>
      </c>
      <c r="H47" s="3" t="s">
        <v>60</v>
      </c>
    </row>
    <row r="48" s="6" customFormat="1" spans="1:8">
      <c r="A48" s="14">
        <v>223</v>
      </c>
      <c r="B48" s="14">
        <v>4</v>
      </c>
      <c r="C48" s="14">
        <v>1</v>
      </c>
      <c r="D48" s="14">
        <v>1000</v>
      </c>
      <c r="E48" s="14">
        <v>1</v>
      </c>
      <c r="F48" s="14">
        <v>3207</v>
      </c>
      <c r="H48" s="3" t="s">
        <v>61</v>
      </c>
    </row>
    <row r="49" s="6" customFormat="1" spans="1:8">
      <c r="A49" s="14">
        <v>224</v>
      </c>
      <c r="B49" s="14">
        <v>4</v>
      </c>
      <c r="C49" s="14">
        <v>1</v>
      </c>
      <c r="D49" s="14">
        <v>1000</v>
      </c>
      <c r="E49" s="14">
        <v>1</v>
      </c>
      <c r="F49" s="14">
        <v>3208</v>
      </c>
      <c r="H49" s="3" t="s">
        <v>62</v>
      </c>
    </row>
    <row r="50" s="6" customFormat="1" spans="1:8">
      <c r="A50" s="14">
        <v>225</v>
      </c>
      <c r="B50" s="14">
        <v>3</v>
      </c>
      <c r="C50" s="14">
        <v>1</v>
      </c>
      <c r="D50" s="14">
        <v>1000</v>
      </c>
      <c r="E50" s="14">
        <v>1</v>
      </c>
      <c r="F50" s="14">
        <v>4201</v>
      </c>
      <c r="H50" s="3" t="s">
        <v>63</v>
      </c>
    </row>
    <row r="51" s="6" customFormat="1" spans="1:8">
      <c r="A51" s="14">
        <v>226</v>
      </c>
      <c r="B51" s="14">
        <v>3</v>
      </c>
      <c r="C51" s="14">
        <v>1</v>
      </c>
      <c r="D51" s="14">
        <v>1000</v>
      </c>
      <c r="E51" s="14">
        <v>1</v>
      </c>
      <c r="F51" s="14">
        <v>4202</v>
      </c>
      <c r="H51" s="3" t="s">
        <v>64</v>
      </c>
    </row>
    <row r="52" s="6" customFormat="1" spans="1:8">
      <c r="A52" s="14">
        <v>227</v>
      </c>
      <c r="B52" s="14">
        <v>2</v>
      </c>
      <c r="C52" s="14">
        <v>1</v>
      </c>
      <c r="D52" s="14">
        <v>1000</v>
      </c>
      <c r="E52" s="14">
        <v>1</v>
      </c>
      <c r="F52" s="14">
        <v>4203</v>
      </c>
      <c r="H52" s="3" t="s">
        <v>65</v>
      </c>
    </row>
    <row r="53" s="6" customFormat="1" spans="1:8">
      <c r="A53" s="14">
        <v>228</v>
      </c>
      <c r="B53" s="14">
        <v>4</v>
      </c>
      <c r="C53" s="14">
        <v>1</v>
      </c>
      <c r="D53" s="14">
        <v>1000</v>
      </c>
      <c r="E53" s="14">
        <v>1</v>
      </c>
      <c r="F53" s="14">
        <v>4204</v>
      </c>
      <c r="H53" s="3" t="s">
        <v>66</v>
      </c>
    </row>
    <row r="54" s="6" customFormat="1" spans="1:8">
      <c r="A54" s="14">
        <v>229</v>
      </c>
      <c r="B54" s="14">
        <v>3</v>
      </c>
      <c r="C54" s="14">
        <v>1</v>
      </c>
      <c r="D54" s="14">
        <v>1000</v>
      </c>
      <c r="E54" s="14">
        <v>1</v>
      </c>
      <c r="F54" s="14">
        <v>4205</v>
      </c>
      <c r="H54" s="3" t="s">
        <v>67</v>
      </c>
    </row>
    <row r="55" s="6" customFormat="1" spans="1:8">
      <c r="A55" s="14">
        <v>230</v>
      </c>
      <c r="B55" s="14">
        <v>3</v>
      </c>
      <c r="C55" s="14">
        <v>1</v>
      </c>
      <c r="D55" s="14">
        <v>1000</v>
      </c>
      <c r="E55" s="14">
        <v>1</v>
      </c>
      <c r="F55" s="14">
        <v>4206</v>
      </c>
      <c r="H55" s="3" t="s">
        <v>68</v>
      </c>
    </row>
    <row r="56" s="6" customFormat="1" spans="1:8">
      <c r="A56" s="14">
        <v>231</v>
      </c>
      <c r="B56" s="14">
        <v>4</v>
      </c>
      <c r="C56" s="14">
        <v>1</v>
      </c>
      <c r="D56" s="14">
        <v>1000</v>
      </c>
      <c r="E56" s="14">
        <v>1</v>
      </c>
      <c r="F56" s="14">
        <v>4207</v>
      </c>
      <c r="H56" s="3" t="s">
        <v>69</v>
      </c>
    </row>
    <row r="57" s="6" customFormat="1" spans="1:8">
      <c r="A57" s="14">
        <v>232</v>
      </c>
      <c r="B57" s="14">
        <v>4</v>
      </c>
      <c r="C57" s="14">
        <v>1</v>
      </c>
      <c r="D57" s="14">
        <v>1000</v>
      </c>
      <c r="E57" s="14">
        <v>1</v>
      </c>
      <c r="F57" s="14">
        <v>4208</v>
      </c>
      <c r="H57" s="3" t="s">
        <v>70</v>
      </c>
    </row>
    <row r="58" s="6" customFormat="1" spans="1:8">
      <c r="A58" s="14">
        <v>234</v>
      </c>
      <c r="B58" s="14">
        <v>2</v>
      </c>
      <c r="C58" s="14">
        <v>1</v>
      </c>
      <c r="D58" s="14">
        <v>1000</v>
      </c>
      <c r="E58" s="14">
        <v>1</v>
      </c>
      <c r="F58" s="14">
        <v>5202</v>
      </c>
      <c r="H58" s="3" t="s">
        <v>71</v>
      </c>
    </row>
    <row r="59" s="6" customFormat="1" spans="1:8">
      <c r="A59" s="14">
        <v>236</v>
      </c>
      <c r="B59" s="14">
        <v>3</v>
      </c>
      <c r="C59" s="14">
        <v>1</v>
      </c>
      <c r="D59" s="14">
        <v>1000</v>
      </c>
      <c r="E59" s="14">
        <v>1</v>
      </c>
      <c r="F59" s="14">
        <v>5204</v>
      </c>
      <c r="H59" s="3" t="s">
        <v>72</v>
      </c>
    </row>
    <row r="60" s="6" customFormat="1" spans="1:8">
      <c r="A60" s="14">
        <v>240</v>
      </c>
      <c r="B60" s="14">
        <v>4</v>
      </c>
      <c r="C60" s="14">
        <v>1</v>
      </c>
      <c r="D60" s="14">
        <v>1000</v>
      </c>
      <c r="E60" s="14">
        <v>1</v>
      </c>
      <c r="F60" s="14">
        <v>5208</v>
      </c>
      <c r="H60" s="3" t="s">
        <v>73</v>
      </c>
    </row>
    <row r="61" s="6" customFormat="1" spans="1:8">
      <c r="A61" s="14">
        <v>242</v>
      </c>
      <c r="B61" s="14">
        <v>3</v>
      </c>
      <c r="C61" s="14">
        <v>1</v>
      </c>
      <c r="D61" s="14">
        <v>1000</v>
      </c>
      <c r="E61" s="14">
        <v>1</v>
      </c>
      <c r="F61" s="14">
        <v>6202</v>
      </c>
      <c r="H61" s="3" t="s">
        <v>74</v>
      </c>
    </row>
    <row r="62" s="6" customFormat="1" spans="1:8">
      <c r="A62" s="14">
        <v>243</v>
      </c>
      <c r="B62" s="14">
        <v>2</v>
      </c>
      <c r="C62" s="14">
        <v>1</v>
      </c>
      <c r="D62" s="14">
        <v>1000</v>
      </c>
      <c r="E62" s="14">
        <v>1</v>
      </c>
      <c r="F62" s="14">
        <v>6203</v>
      </c>
      <c r="H62" s="3" t="s">
        <v>75</v>
      </c>
    </row>
    <row r="63" s="6" customFormat="1" spans="1:8">
      <c r="A63" s="14">
        <v>245</v>
      </c>
      <c r="B63" s="14">
        <v>3</v>
      </c>
      <c r="C63" s="14">
        <v>1</v>
      </c>
      <c r="D63" s="14">
        <v>1000</v>
      </c>
      <c r="E63" s="14">
        <v>1</v>
      </c>
      <c r="F63" s="14">
        <v>6205</v>
      </c>
      <c r="H63" s="3" t="s">
        <v>76</v>
      </c>
    </row>
    <row r="64" s="6" customFormat="1" spans="1:8">
      <c r="A64" s="14">
        <v>246</v>
      </c>
      <c r="B64" s="14">
        <v>3</v>
      </c>
      <c r="C64" s="14">
        <v>1</v>
      </c>
      <c r="D64" s="14">
        <v>1000</v>
      </c>
      <c r="E64" s="14">
        <v>1</v>
      </c>
      <c r="F64" s="14">
        <v>6206</v>
      </c>
      <c r="H64" s="3" t="s">
        <v>77</v>
      </c>
    </row>
    <row r="65" s="6" customFormat="1" spans="1:8">
      <c r="A65" s="14">
        <v>247</v>
      </c>
      <c r="B65" s="14">
        <v>4</v>
      </c>
      <c r="C65" s="14">
        <v>1</v>
      </c>
      <c r="D65" s="14">
        <v>1000</v>
      </c>
      <c r="E65" s="14">
        <v>1</v>
      </c>
      <c r="F65" s="14">
        <v>6207</v>
      </c>
      <c r="H65" s="3" t="s">
        <v>78</v>
      </c>
    </row>
    <row r="66" s="6" customFormat="1" spans="1:8">
      <c r="A66" s="14">
        <v>248</v>
      </c>
      <c r="B66" s="14">
        <v>4</v>
      </c>
      <c r="C66" s="14">
        <v>1</v>
      </c>
      <c r="D66" s="14">
        <v>1000</v>
      </c>
      <c r="E66" s="14">
        <v>1</v>
      </c>
      <c r="F66" s="14">
        <v>6208</v>
      </c>
      <c r="H66" s="3" t="s">
        <v>79</v>
      </c>
    </row>
    <row r="67" s="6" customFormat="1" spans="1:8">
      <c r="A67" s="14">
        <v>249</v>
      </c>
      <c r="B67" s="14">
        <v>3</v>
      </c>
      <c r="C67" s="14">
        <v>1</v>
      </c>
      <c r="D67" s="14">
        <v>1000</v>
      </c>
      <c r="E67" s="14">
        <v>1</v>
      </c>
      <c r="F67" s="14">
        <v>7201</v>
      </c>
      <c r="H67" s="3" t="s">
        <v>80</v>
      </c>
    </row>
    <row r="68" s="6" customFormat="1" spans="1:8">
      <c r="A68" s="14">
        <v>250</v>
      </c>
      <c r="B68" s="14">
        <v>2</v>
      </c>
      <c r="C68" s="14">
        <v>1</v>
      </c>
      <c r="D68" s="14">
        <v>1000</v>
      </c>
      <c r="E68" s="14">
        <v>1</v>
      </c>
      <c r="F68" s="14">
        <v>7202</v>
      </c>
      <c r="H68" s="3" t="s">
        <v>81</v>
      </c>
    </row>
    <row r="69" s="6" customFormat="1" spans="1:8">
      <c r="A69" s="14">
        <v>251</v>
      </c>
      <c r="B69" s="14">
        <v>4</v>
      </c>
      <c r="C69" s="14">
        <v>1</v>
      </c>
      <c r="D69" s="14">
        <v>1000</v>
      </c>
      <c r="E69" s="14">
        <v>1</v>
      </c>
      <c r="F69" s="14">
        <v>7203</v>
      </c>
      <c r="H69" s="3" t="s">
        <v>82</v>
      </c>
    </row>
    <row r="70" s="6" customFormat="1" spans="1:8">
      <c r="A70" s="14">
        <v>252</v>
      </c>
      <c r="B70" s="14">
        <v>3</v>
      </c>
      <c r="C70" s="14">
        <v>1</v>
      </c>
      <c r="D70" s="14">
        <v>1000</v>
      </c>
      <c r="E70" s="14">
        <v>1</v>
      </c>
      <c r="F70" s="14">
        <v>7204</v>
      </c>
      <c r="H70" s="3" t="s">
        <v>83</v>
      </c>
    </row>
    <row r="71" s="6" customFormat="1" spans="1:8">
      <c r="A71" s="14">
        <v>253</v>
      </c>
      <c r="B71" s="14">
        <v>3</v>
      </c>
      <c r="C71" s="14">
        <v>1</v>
      </c>
      <c r="D71" s="14">
        <v>1000</v>
      </c>
      <c r="E71" s="14">
        <v>1</v>
      </c>
      <c r="F71" s="14">
        <v>7205</v>
      </c>
      <c r="H71" s="3" t="s">
        <v>84</v>
      </c>
    </row>
    <row r="72" s="6" customFormat="1" spans="1:8">
      <c r="A72" s="14">
        <v>254</v>
      </c>
      <c r="B72" s="14">
        <v>3</v>
      </c>
      <c r="C72" s="14">
        <v>1</v>
      </c>
      <c r="D72" s="14">
        <v>1000</v>
      </c>
      <c r="E72" s="14">
        <v>1</v>
      </c>
      <c r="F72" s="14">
        <v>7206</v>
      </c>
      <c r="H72" s="3" t="s">
        <v>85</v>
      </c>
    </row>
    <row r="73" s="6" customFormat="1" spans="1:8">
      <c r="A73" s="14">
        <v>255</v>
      </c>
      <c r="B73" s="14">
        <v>4</v>
      </c>
      <c r="C73" s="14">
        <v>1</v>
      </c>
      <c r="D73" s="14">
        <v>1000</v>
      </c>
      <c r="E73" s="14">
        <v>1</v>
      </c>
      <c r="F73" s="14">
        <v>7207</v>
      </c>
      <c r="H73" s="3" t="s">
        <v>86</v>
      </c>
    </row>
    <row r="74" s="6" customFormat="1" spans="1:8">
      <c r="A74" s="14">
        <v>256</v>
      </c>
      <c r="B74" s="14">
        <v>4</v>
      </c>
      <c r="C74" s="14">
        <v>1</v>
      </c>
      <c r="D74" s="14">
        <v>1000</v>
      </c>
      <c r="E74" s="14">
        <v>1</v>
      </c>
      <c r="F74" s="14">
        <v>7208</v>
      </c>
      <c r="H74" s="3" t="s">
        <v>87</v>
      </c>
    </row>
    <row r="75" s="6" customFormat="1" spans="1:8">
      <c r="A75" s="14">
        <v>257</v>
      </c>
      <c r="B75" s="14">
        <v>3</v>
      </c>
      <c r="C75" s="14">
        <v>1</v>
      </c>
      <c r="D75" s="14">
        <v>1000</v>
      </c>
      <c r="E75" s="14">
        <v>1</v>
      </c>
      <c r="F75" s="14">
        <v>8201</v>
      </c>
      <c r="H75" s="3" t="s">
        <v>88</v>
      </c>
    </row>
    <row r="76" s="6" customFormat="1" spans="1:8">
      <c r="A76" s="14">
        <v>258</v>
      </c>
      <c r="B76" s="14">
        <v>2</v>
      </c>
      <c r="C76" s="14">
        <v>1</v>
      </c>
      <c r="D76" s="14">
        <v>1000</v>
      </c>
      <c r="E76" s="14">
        <v>1</v>
      </c>
      <c r="F76" s="14">
        <v>8202</v>
      </c>
      <c r="H76" s="3" t="s">
        <v>89</v>
      </c>
    </row>
    <row r="77" s="6" customFormat="1" spans="1:8">
      <c r="A77" s="14">
        <v>259</v>
      </c>
      <c r="B77" s="14">
        <v>4</v>
      </c>
      <c r="C77" s="14">
        <v>1</v>
      </c>
      <c r="D77" s="14">
        <v>1000</v>
      </c>
      <c r="E77" s="14">
        <v>1</v>
      </c>
      <c r="F77" s="14">
        <v>8203</v>
      </c>
      <c r="H77" s="3" t="s">
        <v>90</v>
      </c>
    </row>
    <row r="78" s="6" customFormat="1" spans="1:8">
      <c r="A78" s="14">
        <v>260</v>
      </c>
      <c r="B78" s="14">
        <v>3</v>
      </c>
      <c r="C78" s="14">
        <v>1</v>
      </c>
      <c r="D78" s="14">
        <v>1000</v>
      </c>
      <c r="E78" s="14">
        <v>1</v>
      </c>
      <c r="F78" s="14">
        <v>8204</v>
      </c>
      <c r="H78" s="3" t="s">
        <v>91</v>
      </c>
    </row>
    <row r="79" s="6" customFormat="1" spans="1:8">
      <c r="A79" s="14">
        <v>261</v>
      </c>
      <c r="B79" s="14">
        <v>3</v>
      </c>
      <c r="C79" s="14">
        <v>1</v>
      </c>
      <c r="D79" s="14">
        <v>1000</v>
      </c>
      <c r="E79" s="14">
        <v>1</v>
      </c>
      <c r="F79" s="14">
        <v>8205</v>
      </c>
      <c r="H79" s="3" t="s">
        <v>92</v>
      </c>
    </row>
    <row r="80" s="6" customFormat="1" spans="1:8">
      <c r="A80" s="14">
        <v>262</v>
      </c>
      <c r="B80" s="14">
        <v>3</v>
      </c>
      <c r="C80" s="14">
        <v>1</v>
      </c>
      <c r="D80" s="14">
        <v>1000</v>
      </c>
      <c r="E80" s="14">
        <v>1</v>
      </c>
      <c r="F80" s="14">
        <v>8206</v>
      </c>
      <c r="H80" s="3" t="s">
        <v>93</v>
      </c>
    </row>
    <row r="81" s="6" customFormat="1" spans="1:8">
      <c r="A81" s="14">
        <v>263</v>
      </c>
      <c r="B81" s="14">
        <v>4</v>
      </c>
      <c r="C81" s="14">
        <v>1</v>
      </c>
      <c r="D81" s="14">
        <v>1000</v>
      </c>
      <c r="E81" s="14">
        <v>1</v>
      </c>
      <c r="F81" s="14">
        <v>8207</v>
      </c>
      <c r="H81" s="3" t="s">
        <v>94</v>
      </c>
    </row>
    <row r="82" s="6" customFormat="1" spans="1:8">
      <c r="A82" s="14">
        <v>264</v>
      </c>
      <c r="B82" s="14">
        <v>4</v>
      </c>
      <c r="C82" s="14">
        <v>1</v>
      </c>
      <c r="D82" s="14">
        <v>1000</v>
      </c>
      <c r="E82" s="14">
        <v>1</v>
      </c>
      <c r="F82" s="14">
        <v>8208</v>
      </c>
      <c r="H82" s="3" t="s">
        <v>95</v>
      </c>
    </row>
    <row r="83" s="6" customFormat="1" spans="1:8">
      <c r="A83" s="14">
        <v>265</v>
      </c>
      <c r="B83" s="14">
        <v>3</v>
      </c>
      <c r="C83" s="14">
        <v>1</v>
      </c>
      <c r="D83" s="14">
        <v>1000</v>
      </c>
      <c r="E83" s="14">
        <v>1</v>
      </c>
      <c r="F83" s="14">
        <v>11201</v>
      </c>
      <c r="H83" s="3" t="s">
        <v>96</v>
      </c>
    </row>
    <row r="84" s="6" customFormat="1" spans="1:8">
      <c r="A84" s="14">
        <v>266</v>
      </c>
      <c r="B84" s="14">
        <v>3</v>
      </c>
      <c r="C84" s="14">
        <v>1</v>
      </c>
      <c r="D84" s="14">
        <v>1000</v>
      </c>
      <c r="E84" s="14">
        <v>1</v>
      </c>
      <c r="F84" s="14">
        <v>11202</v>
      </c>
      <c r="H84" s="3" t="s">
        <v>97</v>
      </c>
    </row>
    <row r="85" s="6" customFormat="1" spans="1:8">
      <c r="A85" s="14">
        <v>267</v>
      </c>
      <c r="B85" s="14">
        <v>2</v>
      </c>
      <c r="C85" s="14">
        <v>1</v>
      </c>
      <c r="D85" s="14">
        <v>1000</v>
      </c>
      <c r="E85" s="14">
        <v>1</v>
      </c>
      <c r="F85" s="14">
        <v>11203</v>
      </c>
      <c r="H85" s="3" t="s">
        <v>98</v>
      </c>
    </row>
    <row r="86" s="6" customFormat="1" spans="1:8">
      <c r="A86" s="14">
        <v>268</v>
      </c>
      <c r="B86" s="14">
        <v>4</v>
      </c>
      <c r="C86" s="14">
        <v>1</v>
      </c>
      <c r="D86" s="14">
        <v>1000</v>
      </c>
      <c r="E86" s="14">
        <v>1</v>
      </c>
      <c r="F86" s="14">
        <v>11204</v>
      </c>
      <c r="H86" s="3" t="s">
        <v>99</v>
      </c>
    </row>
    <row r="87" s="6" customFormat="1" spans="1:8">
      <c r="A87" s="14">
        <v>269</v>
      </c>
      <c r="B87" s="14">
        <v>3</v>
      </c>
      <c r="C87" s="14">
        <v>1</v>
      </c>
      <c r="D87" s="14">
        <v>1000</v>
      </c>
      <c r="E87" s="14">
        <v>1</v>
      </c>
      <c r="F87" s="14">
        <v>12201</v>
      </c>
      <c r="H87" s="3" t="s">
        <v>100</v>
      </c>
    </row>
    <row r="88" s="6" customFormat="1" spans="1:8">
      <c r="A88" s="14">
        <v>270</v>
      </c>
      <c r="B88" s="14">
        <v>4</v>
      </c>
      <c r="C88" s="14">
        <v>1</v>
      </c>
      <c r="D88" s="14">
        <v>1000</v>
      </c>
      <c r="E88" s="14">
        <v>1</v>
      </c>
      <c r="F88" s="14">
        <v>12202</v>
      </c>
      <c r="H88" s="3" t="s">
        <v>101</v>
      </c>
    </row>
    <row r="89" s="6" customFormat="1" spans="1:8">
      <c r="A89" s="14">
        <v>271</v>
      </c>
      <c r="B89" s="14">
        <v>2</v>
      </c>
      <c r="C89" s="14">
        <v>1</v>
      </c>
      <c r="D89" s="14">
        <v>1000</v>
      </c>
      <c r="E89" s="14">
        <v>1</v>
      </c>
      <c r="F89" s="14">
        <v>12203</v>
      </c>
      <c r="H89" s="3" t="s">
        <v>102</v>
      </c>
    </row>
    <row r="90" s="6" customFormat="1" spans="1:8">
      <c r="A90" s="14">
        <v>272</v>
      </c>
      <c r="B90" s="14">
        <v>3</v>
      </c>
      <c r="C90" s="14">
        <v>1</v>
      </c>
      <c r="D90" s="14">
        <v>1000</v>
      </c>
      <c r="E90" s="14">
        <v>1</v>
      </c>
      <c r="F90" s="14">
        <v>12204</v>
      </c>
      <c r="H90" s="3" t="s">
        <v>103</v>
      </c>
    </row>
    <row r="91" s="6" customFormat="1" spans="1:8">
      <c r="A91" s="14">
        <v>273</v>
      </c>
      <c r="B91" s="14">
        <v>3</v>
      </c>
      <c r="C91" s="14">
        <v>1</v>
      </c>
      <c r="D91" s="14">
        <v>1000</v>
      </c>
      <c r="E91" s="14">
        <v>1</v>
      </c>
      <c r="F91" s="14">
        <v>13201</v>
      </c>
      <c r="H91" s="3" t="s">
        <v>104</v>
      </c>
    </row>
    <row r="92" s="6" customFormat="1" spans="1:8">
      <c r="A92" s="14">
        <v>274</v>
      </c>
      <c r="B92" s="14">
        <v>4</v>
      </c>
      <c r="C92" s="14">
        <v>1</v>
      </c>
      <c r="D92" s="14">
        <v>1000</v>
      </c>
      <c r="E92" s="14">
        <v>1</v>
      </c>
      <c r="F92" s="14">
        <v>13202</v>
      </c>
      <c r="H92" s="3" t="s">
        <v>105</v>
      </c>
    </row>
    <row r="93" s="6" customFormat="1" spans="1:8">
      <c r="A93" s="14">
        <v>275</v>
      </c>
      <c r="B93" s="14">
        <v>3</v>
      </c>
      <c r="C93" s="14">
        <v>1</v>
      </c>
      <c r="D93" s="14">
        <v>1000</v>
      </c>
      <c r="E93" s="14">
        <v>1</v>
      </c>
      <c r="F93" s="14">
        <v>13203</v>
      </c>
      <c r="H93" s="3" t="s">
        <v>106</v>
      </c>
    </row>
    <row r="94" s="6" customFormat="1" spans="1:8">
      <c r="A94" s="14">
        <v>276</v>
      </c>
      <c r="B94" s="14">
        <v>2</v>
      </c>
      <c r="C94" s="14">
        <v>1</v>
      </c>
      <c r="D94" s="14">
        <v>1000</v>
      </c>
      <c r="E94" s="14">
        <v>1</v>
      </c>
      <c r="F94" s="14">
        <v>13204</v>
      </c>
      <c r="H94" s="3" t="s">
        <v>107</v>
      </c>
    </row>
    <row r="95" s="6" customFormat="1" spans="1:8">
      <c r="A95" s="14">
        <v>277</v>
      </c>
      <c r="B95" s="14">
        <v>3</v>
      </c>
      <c r="C95" s="14">
        <v>1</v>
      </c>
      <c r="D95" s="14">
        <v>1000</v>
      </c>
      <c r="E95" s="14">
        <v>1</v>
      </c>
      <c r="F95" s="14">
        <v>14201</v>
      </c>
      <c r="H95" s="3" t="s">
        <v>108</v>
      </c>
    </row>
    <row r="96" s="6" customFormat="1" spans="1:8">
      <c r="A96" s="14">
        <v>278</v>
      </c>
      <c r="B96" s="14">
        <v>2</v>
      </c>
      <c r="C96" s="14">
        <v>1</v>
      </c>
      <c r="D96" s="14">
        <v>1000</v>
      </c>
      <c r="E96" s="14">
        <v>1</v>
      </c>
      <c r="F96" s="14">
        <v>14202</v>
      </c>
      <c r="H96" s="3" t="s">
        <v>109</v>
      </c>
    </row>
    <row r="97" s="6" customFormat="1" spans="1:8">
      <c r="A97" s="14">
        <v>279</v>
      </c>
      <c r="B97" s="14">
        <v>4</v>
      </c>
      <c r="C97" s="14">
        <v>1</v>
      </c>
      <c r="D97" s="14">
        <v>1000</v>
      </c>
      <c r="E97" s="14">
        <v>1</v>
      </c>
      <c r="F97" s="14">
        <v>14203</v>
      </c>
      <c r="H97" s="3" t="s">
        <v>110</v>
      </c>
    </row>
    <row r="98" s="6" customFormat="1" spans="1:8">
      <c r="A98" s="14">
        <v>280</v>
      </c>
      <c r="B98" s="14">
        <v>3</v>
      </c>
      <c r="C98" s="14">
        <v>1</v>
      </c>
      <c r="D98" s="14">
        <v>1000</v>
      </c>
      <c r="E98" s="14">
        <v>1</v>
      </c>
      <c r="F98" s="14">
        <v>14204</v>
      </c>
      <c r="H98" s="3" t="s">
        <v>111</v>
      </c>
    </row>
    <row r="99" s="6" customFormat="1" spans="1:8">
      <c r="A99" s="14">
        <v>281</v>
      </c>
      <c r="B99" s="14">
        <v>3</v>
      </c>
      <c r="C99" s="14">
        <v>1</v>
      </c>
      <c r="D99" s="14">
        <v>1000</v>
      </c>
      <c r="E99" s="14">
        <v>1</v>
      </c>
      <c r="F99" s="14">
        <v>15201</v>
      </c>
      <c r="H99" s="3" t="s">
        <v>112</v>
      </c>
    </row>
    <row r="100" s="6" customFormat="1" spans="1:8">
      <c r="A100" s="14">
        <v>282</v>
      </c>
      <c r="B100" s="14">
        <v>2</v>
      </c>
      <c r="C100" s="14">
        <v>1</v>
      </c>
      <c r="D100" s="14">
        <v>1000</v>
      </c>
      <c r="E100" s="14">
        <v>1</v>
      </c>
      <c r="F100" s="14">
        <v>15202</v>
      </c>
      <c r="H100" s="3" t="s">
        <v>113</v>
      </c>
    </row>
    <row r="101" s="6" customFormat="1" spans="1:8">
      <c r="A101" s="14">
        <v>283</v>
      </c>
      <c r="B101" s="14">
        <v>4</v>
      </c>
      <c r="C101" s="14">
        <v>1</v>
      </c>
      <c r="D101" s="14">
        <v>1000</v>
      </c>
      <c r="E101" s="14">
        <v>1</v>
      </c>
      <c r="F101" s="14">
        <v>15203</v>
      </c>
      <c r="H101" s="3" t="s">
        <v>114</v>
      </c>
    </row>
    <row r="102" s="6" customFormat="1" spans="1:8">
      <c r="A102" s="14">
        <v>284</v>
      </c>
      <c r="B102" s="14">
        <v>3</v>
      </c>
      <c r="C102" s="14">
        <v>1</v>
      </c>
      <c r="D102" s="14">
        <v>1000</v>
      </c>
      <c r="E102" s="14">
        <v>1</v>
      </c>
      <c r="F102" s="14">
        <v>15204</v>
      </c>
      <c r="H102" s="3" t="s">
        <v>115</v>
      </c>
    </row>
    <row r="103" s="6" customFormat="1" spans="1:8">
      <c r="A103" s="14">
        <v>286</v>
      </c>
      <c r="B103" s="14">
        <v>3</v>
      </c>
      <c r="C103" s="14">
        <v>1</v>
      </c>
      <c r="D103" s="14">
        <v>1000</v>
      </c>
      <c r="E103" s="14">
        <v>1</v>
      </c>
      <c r="F103" s="14">
        <v>12206</v>
      </c>
      <c r="H103" s="3" t="s">
        <v>116</v>
      </c>
    </row>
    <row r="104" s="6" customFormat="1" spans="1:8">
      <c r="A104" s="14">
        <v>287</v>
      </c>
      <c r="B104" s="14">
        <v>4</v>
      </c>
      <c r="C104" s="14">
        <v>1</v>
      </c>
      <c r="D104" s="14">
        <v>1000</v>
      </c>
      <c r="E104" s="14">
        <v>1</v>
      </c>
      <c r="F104" s="14">
        <v>12207</v>
      </c>
      <c r="H104" s="3" t="s">
        <v>117</v>
      </c>
    </row>
    <row r="105" s="6" customFormat="1" spans="1:8">
      <c r="A105" s="14">
        <v>288</v>
      </c>
      <c r="B105" s="14">
        <v>4</v>
      </c>
      <c r="C105" s="14">
        <v>1</v>
      </c>
      <c r="D105" s="14">
        <v>1000</v>
      </c>
      <c r="E105" s="14">
        <v>1</v>
      </c>
      <c r="F105" s="14">
        <v>12208</v>
      </c>
      <c r="H105" s="3" t="s">
        <v>118</v>
      </c>
    </row>
    <row r="106" s="6" customFormat="1" spans="1:8">
      <c r="A106" s="14">
        <v>289</v>
      </c>
      <c r="B106" s="14">
        <v>3</v>
      </c>
      <c r="C106" s="14">
        <v>1</v>
      </c>
      <c r="D106" s="14">
        <v>1000</v>
      </c>
      <c r="E106" s="14">
        <v>1</v>
      </c>
      <c r="F106" s="14">
        <v>16201</v>
      </c>
      <c r="H106" s="3" t="s">
        <v>119</v>
      </c>
    </row>
    <row r="107" s="6" customFormat="1" spans="1:8">
      <c r="A107" s="14">
        <v>290</v>
      </c>
      <c r="B107" s="14">
        <v>2</v>
      </c>
      <c r="C107" s="14">
        <v>1</v>
      </c>
      <c r="D107" s="14">
        <v>1000</v>
      </c>
      <c r="E107" s="14">
        <v>1</v>
      </c>
      <c r="F107" s="14">
        <v>16202</v>
      </c>
      <c r="H107" s="3" t="s">
        <v>120</v>
      </c>
    </row>
    <row r="108" s="6" customFormat="1" spans="1:8">
      <c r="A108" s="14">
        <v>291</v>
      </c>
      <c r="B108" s="14">
        <v>3</v>
      </c>
      <c r="C108" s="14">
        <v>1</v>
      </c>
      <c r="D108" s="14">
        <v>1000</v>
      </c>
      <c r="E108" s="14">
        <v>1</v>
      </c>
      <c r="F108" s="14">
        <v>16203</v>
      </c>
      <c r="H108" s="3" t="s">
        <v>121</v>
      </c>
    </row>
    <row r="109" s="6" customFormat="1" spans="1:8">
      <c r="A109" s="14">
        <v>292</v>
      </c>
      <c r="B109" s="14">
        <v>4</v>
      </c>
      <c r="C109" s="14">
        <v>1</v>
      </c>
      <c r="D109" s="14">
        <v>1000</v>
      </c>
      <c r="E109" s="14">
        <v>1</v>
      </c>
      <c r="F109" s="14">
        <v>16204</v>
      </c>
      <c r="H109" s="3" t="s">
        <v>122</v>
      </c>
    </row>
    <row r="110" s="6" customFormat="1" spans="1:8">
      <c r="A110" s="14">
        <v>293</v>
      </c>
      <c r="B110" s="14">
        <v>3</v>
      </c>
      <c r="C110" s="14">
        <v>1</v>
      </c>
      <c r="D110" s="14">
        <v>1000</v>
      </c>
      <c r="E110" s="14">
        <v>1</v>
      </c>
      <c r="F110" s="14">
        <v>11205</v>
      </c>
      <c r="H110" s="3" t="s">
        <v>123</v>
      </c>
    </row>
    <row r="111" s="6" customFormat="1" spans="1:8">
      <c r="A111" s="14">
        <v>294</v>
      </c>
      <c r="B111" s="14">
        <v>3</v>
      </c>
      <c r="C111" s="14">
        <v>1</v>
      </c>
      <c r="D111" s="14">
        <v>1000</v>
      </c>
      <c r="E111" s="14">
        <v>1</v>
      </c>
      <c r="F111" s="14">
        <v>11206</v>
      </c>
      <c r="H111" s="3" t="s">
        <v>124</v>
      </c>
    </row>
    <row r="112" s="6" customFormat="1" spans="1:8">
      <c r="A112" s="14">
        <v>295</v>
      </c>
      <c r="B112" s="14">
        <v>4</v>
      </c>
      <c r="C112" s="14">
        <v>1</v>
      </c>
      <c r="D112" s="14">
        <v>1000</v>
      </c>
      <c r="E112" s="14">
        <v>1</v>
      </c>
      <c r="F112" s="14">
        <v>11207</v>
      </c>
      <c r="H112" s="3" t="s">
        <v>125</v>
      </c>
    </row>
    <row r="113" s="6" customFormat="1" spans="1:8">
      <c r="A113" s="14">
        <v>296</v>
      </c>
      <c r="B113" s="14">
        <v>4</v>
      </c>
      <c r="C113" s="14">
        <v>1</v>
      </c>
      <c r="D113" s="14">
        <v>1000</v>
      </c>
      <c r="E113" s="14">
        <v>1</v>
      </c>
      <c r="F113" s="14">
        <v>11208</v>
      </c>
      <c r="H113" s="3" t="s">
        <v>126</v>
      </c>
    </row>
    <row r="114" s="6" customFormat="1" spans="1:8">
      <c r="A114" s="14">
        <v>297</v>
      </c>
      <c r="B114" s="14">
        <v>3</v>
      </c>
      <c r="C114" s="14">
        <v>1</v>
      </c>
      <c r="D114" s="14">
        <v>1000</v>
      </c>
      <c r="E114" s="14">
        <v>1</v>
      </c>
      <c r="F114" s="14">
        <v>17201</v>
      </c>
      <c r="H114" s="3" t="s">
        <v>127</v>
      </c>
    </row>
    <row r="115" s="6" customFormat="1" spans="1:8">
      <c r="A115" s="14">
        <v>298</v>
      </c>
      <c r="B115" s="14">
        <v>2</v>
      </c>
      <c r="C115" s="14">
        <v>1</v>
      </c>
      <c r="D115" s="14">
        <v>1000</v>
      </c>
      <c r="E115" s="14">
        <v>1</v>
      </c>
      <c r="F115" s="14">
        <v>17202</v>
      </c>
      <c r="H115" s="3" t="s">
        <v>128</v>
      </c>
    </row>
    <row r="116" s="6" customFormat="1" spans="1:8">
      <c r="A116" s="14">
        <v>299</v>
      </c>
      <c r="B116" s="14">
        <v>3</v>
      </c>
      <c r="C116" s="14">
        <v>1</v>
      </c>
      <c r="D116" s="14">
        <v>1000</v>
      </c>
      <c r="E116" s="14">
        <v>1</v>
      </c>
      <c r="F116" s="14">
        <v>17203</v>
      </c>
      <c r="H116" s="3" t="s">
        <v>129</v>
      </c>
    </row>
    <row r="117" s="6" customFormat="1" spans="1:8">
      <c r="A117" s="14">
        <v>300</v>
      </c>
      <c r="B117" s="14">
        <v>4</v>
      </c>
      <c r="C117" s="14">
        <v>1</v>
      </c>
      <c r="D117" s="14">
        <v>1000</v>
      </c>
      <c r="E117" s="14">
        <v>1</v>
      </c>
      <c r="F117" s="14">
        <v>17204</v>
      </c>
      <c r="H117" s="3" t="s">
        <v>130</v>
      </c>
    </row>
    <row r="118" s="6" customFormat="1" spans="1:8">
      <c r="A118" s="14">
        <v>301</v>
      </c>
      <c r="B118" s="14">
        <v>3</v>
      </c>
      <c r="C118" s="14">
        <v>1</v>
      </c>
      <c r="D118" s="14">
        <v>1000</v>
      </c>
      <c r="E118" s="14">
        <v>1</v>
      </c>
      <c r="F118" s="14">
        <v>18201</v>
      </c>
      <c r="H118" s="3" t="s">
        <v>131</v>
      </c>
    </row>
    <row r="119" s="6" customFormat="1" spans="1:8">
      <c r="A119" s="14">
        <v>302</v>
      </c>
      <c r="B119" s="14">
        <v>2</v>
      </c>
      <c r="C119" s="14">
        <v>1</v>
      </c>
      <c r="D119" s="14">
        <v>1000</v>
      </c>
      <c r="E119" s="14">
        <v>1</v>
      </c>
      <c r="F119" s="14">
        <v>18202</v>
      </c>
      <c r="H119" s="3" t="s">
        <v>132</v>
      </c>
    </row>
    <row r="120" s="6" customFormat="1" spans="1:8">
      <c r="A120" s="14">
        <v>303</v>
      </c>
      <c r="B120" s="14">
        <v>4</v>
      </c>
      <c r="C120" s="14">
        <v>1</v>
      </c>
      <c r="D120" s="14">
        <v>1000</v>
      </c>
      <c r="E120" s="14">
        <v>1</v>
      </c>
      <c r="F120" s="14">
        <v>18203</v>
      </c>
      <c r="H120" s="3" t="s">
        <v>133</v>
      </c>
    </row>
    <row r="121" s="6" customFormat="1" spans="1:8">
      <c r="A121" s="14">
        <v>304</v>
      </c>
      <c r="B121" s="14">
        <v>3</v>
      </c>
      <c r="C121" s="14">
        <v>1</v>
      </c>
      <c r="D121" s="14">
        <v>1000</v>
      </c>
      <c r="E121" s="14">
        <v>1</v>
      </c>
      <c r="F121" s="14">
        <v>18204</v>
      </c>
      <c r="H121" s="3" t="s">
        <v>134</v>
      </c>
    </row>
    <row r="122" s="6" customFormat="1" spans="1:8">
      <c r="A122" s="14">
        <v>305</v>
      </c>
      <c r="B122" s="14">
        <v>3</v>
      </c>
      <c r="C122" s="14">
        <v>1</v>
      </c>
      <c r="D122" s="14">
        <v>1000</v>
      </c>
      <c r="E122" s="14">
        <v>1</v>
      </c>
      <c r="F122" s="14">
        <v>19201</v>
      </c>
      <c r="H122" s="3"/>
    </row>
    <row r="123" s="6" customFormat="1" spans="1:8">
      <c r="A123" s="14">
        <v>306</v>
      </c>
      <c r="B123" s="14">
        <v>2</v>
      </c>
      <c r="C123" s="14">
        <v>1</v>
      </c>
      <c r="D123" s="14">
        <v>1000</v>
      </c>
      <c r="E123" s="14">
        <v>1</v>
      </c>
      <c r="F123" s="14">
        <v>19202</v>
      </c>
      <c r="H123" s="3"/>
    </row>
    <row r="124" s="6" customFormat="1" spans="1:8">
      <c r="A124" s="14">
        <v>307</v>
      </c>
      <c r="B124" s="14">
        <v>4</v>
      </c>
      <c r="C124" s="14">
        <v>1</v>
      </c>
      <c r="D124" s="14">
        <v>1000</v>
      </c>
      <c r="E124" s="14">
        <v>1</v>
      </c>
      <c r="F124" s="14">
        <v>19203</v>
      </c>
      <c r="H124" s="3"/>
    </row>
    <row r="125" s="6" customFormat="1" spans="1:8">
      <c r="A125" s="14">
        <v>308</v>
      </c>
      <c r="B125" s="14">
        <v>3</v>
      </c>
      <c r="C125" s="14">
        <v>1</v>
      </c>
      <c r="D125" s="14">
        <v>1000</v>
      </c>
      <c r="E125" s="14">
        <v>1</v>
      </c>
      <c r="F125" s="14">
        <v>19204</v>
      </c>
      <c r="H125" s="3"/>
    </row>
    <row r="126" s="6" customFormat="1" spans="1:8">
      <c r="A126" s="14">
        <v>313</v>
      </c>
      <c r="B126" s="14">
        <v>3</v>
      </c>
      <c r="C126" s="14">
        <v>1</v>
      </c>
      <c r="D126" s="14">
        <v>1000</v>
      </c>
      <c r="E126" s="14">
        <v>1</v>
      </c>
      <c r="F126" s="14">
        <v>22201</v>
      </c>
      <c r="H126" s="3"/>
    </row>
    <row r="127" s="6" customFormat="1" spans="1:8">
      <c r="A127" s="14">
        <v>314</v>
      </c>
      <c r="B127" s="14">
        <v>2</v>
      </c>
      <c r="C127" s="14">
        <v>1</v>
      </c>
      <c r="D127" s="14">
        <v>1000</v>
      </c>
      <c r="E127" s="14">
        <v>1</v>
      </c>
      <c r="F127" s="14">
        <v>22202</v>
      </c>
      <c r="H127" s="3"/>
    </row>
    <row r="128" s="6" customFormat="1" spans="1:8">
      <c r="A128" s="14">
        <v>315</v>
      </c>
      <c r="B128" s="14">
        <v>3</v>
      </c>
      <c r="C128" s="14">
        <v>1</v>
      </c>
      <c r="D128" s="14">
        <v>1000</v>
      </c>
      <c r="E128" s="14">
        <v>1</v>
      </c>
      <c r="F128" s="14">
        <v>22203</v>
      </c>
      <c r="H128" s="3"/>
    </row>
    <row r="129" s="6" customFormat="1" spans="1:8">
      <c r="A129" s="14">
        <v>316</v>
      </c>
      <c r="B129" s="14">
        <v>4</v>
      </c>
      <c r="C129" s="14">
        <v>1</v>
      </c>
      <c r="D129" s="14">
        <v>1000</v>
      </c>
      <c r="E129" s="14">
        <v>1</v>
      </c>
      <c r="F129" s="14">
        <v>22204</v>
      </c>
      <c r="H129" s="3"/>
    </row>
    <row r="130" s="6" customFormat="1" spans="1:8">
      <c r="A130" s="14">
        <v>317</v>
      </c>
      <c r="B130" s="6">
        <v>4</v>
      </c>
      <c r="C130" s="14">
        <v>1</v>
      </c>
      <c r="D130" s="14">
        <v>1000</v>
      </c>
      <c r="E130" s="14">
        <v>1</v>
      </c>
      <c r="F130" s="14">
        <v>24203</v>
      </c>
      <c r="H130" s="3"/>
    </row>
    <row r="131" s="6" customFormat="1" spans="1:8">
      <c r="A131" s="14">
        <v>318</v>
      </c>
      <c r="B131" s="6">
        <v>3</v>
      </c>
      <c r="C131" s="14">
        <v>1</v>
      </c>
      <c r="D131" s="14">
        <v>1000</v>
      </c>
      <c r="E131" s="14">
        <v>1</v>
      </c>
      <c r="F131" s="14">
        <v>24204</v>
      </c>
      <c r="H131" s="3"/>
    </row>
    <row r="132" s="6" customFormat="1" spans="1:8">
      <c r="A132" s="14">
        <v>319</v>
      </c>
      <c r="B132" s="6">
        <v>4</v>
      </c>
      <c r="C132" s="14">
        <v>1</v>
      </c>
      <c r="D132" s="14">
        <v>1000</v>
      </c>
      <c r="E132" s="14">
        <v>1</v>
      </c>
      <c r="F132" s="14">
        <v>24205</v>
      </c>
      <c r="H132" s="3"/>
    </row>
    <row r="133" s="6" customFormat="1" spans="1:8">
      <c r="A133" s="14">
        <v>320</v>
      </c>
      <c r="B133" s="6">
        <v>4</v>
      </c>
      <c r="C133" s="14">
        <v>1</v>
      </c>
      <c r="D133" s="14">
        <v>1000</v>
      </c>
      <c r="E133" s="14">
        <v>1</v>
      </c>
      <c r="F133" s="14">
        <v>24206</v>
      </c>
      <c r="H133" s="3"/>
    </row>
    <row r="134" s="6" customFormat="1" spans="1:8">
      <c r="A134" s="14">
        <v>321</v>
      </c>
      <c r="B134" s="6">
        <v>4</v>
      </c>
      <c r="C134" s="14">
        <v>1</v>
      </c>
      <c r="D134" s="14">
        <v>1000</v>
      </c>
      <c r="E134" s="14">
        <v>1</v>
      </c>
      <c r="F134" s="14">
        <v>24207</v>
      </c>
      <c r="H134" s="3"/>
    </row>
    <row r="135" s="6" customFormat="1" spans="1:8">
      <c r="A135" s="14">
        <v>322</v>
      </c>
      <c r="B135" s="6">
        <v>4</v>
      </c>
      <c r="C135" s="14">
        <v>1</v>
      </c>
      <c r="D135" s="14">
        <v>1000</v>
      </c>
      <c r="E135" s="14">
        <v>1</v>
      </c>
      <c r="F135" s="14">
        <v>24208</v>
      </c>
      <c r="H135" s="3"/>
    </row>
    <row r="136" s="6" customFormat="1" spans="1:8">
      <c r="A136" s="14">
        <v>323</v>
      </c>
      <c r="B136" s="6">
        <v>4</v>
      </c>
      <c r="C136" s="14">
        <v>1</v>
      </c>
      <c r="D136" s="14">
        <v>1000</v>
      </c>
      <c r="E136" s="14">
        <v>1</v>
      </c>
      <c r="F136" s="14">
        <v>24209</v>
      </c>
      <c r="H136" s="3"/>
    </row>
    <row r="137" s="6" customFormat="1" spans="1:8">
      <c r="A137" s="14">
        <v>324</v>
      </c>
      <c r="B137" s="15">
        <v>3</v>
      </c>
      <c r="C137" s="14">
        <v>1</v>
      </c>
      <c r="D137" s="14">
        <v>1000</v>
      </c>
      <c r="E137" s="14">
        <v>1</v>
      </c>
      <c r="F137" s="14">
        <v>14205</v>
      </c>
      <c r="H137" s="3"/>
    </row>
    <row r="138" s="6" customFormat="1" spans="1:8">
      <c r="A138" s="14">
        <v>325</v>
      </c>
      <c r="B138" s="15">
        <v>3</v>
      </c>
      <c r="C138" s="14">
        <v>1</v>
      </c>
      <c r="D138" s="14">
        <v>1000</v>
      </c>
      <c r="E138" s="14">
        <v>1</v>
      </c>
      <c r="F138" s="14">
        <v>14206</v>
      </c>
      <c r="H138" s="3"/>
    </row>
    <row r="139" s="6" customFormat="1" spans="1:8">
      <c r="A139" s="14">
        <v>326</v>
      </c>
      <c r="B139" s="15">
        <v>4</v>
      </c>
      <c r="C139" s="14">
        <v>1</v>
      </c>
      <c r="D139" s="14">
        <v>1000</v>
      </c>
      <c r="E139" s="14">
        <v>1</v>
      </c>
      <c r="F139" s="14">
        <v>14207</v>
      </c>
      <c r="H139" s="3"/>
    </row>
    <row r="140" s="6" customFormat="1" spans="1:8">
      <c r="A140" s="14">
        <v>327</v>
      </c>
      <c r="B140" s="15">
        <v>4</v>
      </c>
      <c r="C140" s="14">
        <v>1</v>
      </c>
      <c r="D140" s="14">
        <v>1000</v>
      </c>
      <c r="E140" s="14">
        <v>1</v>
      </c>
      <c r="F140" s="14">
        <v>14208</v>
      </c>
      <c r="H140" s="3"/>
    </row>
    <row r="141" s="6" customFormat="1" spans="1:8">
      <c r="A141" s="14">
        <v>328</v>
      </c>
      <c r="B141" s="15">
        <v>4</v>
      </c>
      <c r="C141" s="14">
        <v>1</v>
      </c>
      <c r="D141" s="14">
        <v>1000</v>
      </c>
      <c r="E141" s="14">
        <v>1</v>
      </c>
      <c r="F141" s="16">
        <v>25203</v>
      </c>
      <c r="H141" s="3"/>
    </row>
    <row r="142" s="6" customFormat="1" spans="1:8">
      <c r="A142" s="14">
        <v>329</v>
      </c>
      <c r="B142" s="15">
        <v>3</v>
      </c>
      <c r="C142" s="14">
        <v>1</v>
      </c>
      <c r="D142" s="14">
        <v>1000</v>
      </c>
      <c r="E142" s="14">
        <v>1</v>
      </c>
      <c r="F142" s="16">
        <v>25204</v>
      </c>
      <c r="H142" s="3"/>
    </row>
    <row r="143" s="6" customFormat="1" spans="1:8">
      <c r="A143" s="14">
        <v>330</v>
      </c>
      <c r="B143" s="15">
        <v>4</v>
      </c>
      <c r="C143" s="14">
        <v>1</v>
      </c>
      <c r="D143" s="14">
        <v>1000</v>
      </c>
      <c r="E143" s="14">
        <v>1</v>
      </c>
      <c r="F143" s="16">
        <v>25205</v>
      </c>
      <c r="H143" s="3"/>
    </row>
    <row r="144" s="6" customFormat="1" spans="1:8">
      <c r="A144" s="14">
        <v>331</v>
      </c>
      <c r="B144" s="15">
        <v>3</v>
      </c>
      <c r="C144" s="14">
        <v>1</v>
      </c>
      <c r="D144" s="14">
        <v>1000</v>
      </c>
      <c r="E144" s="14">
        <v>1</v>
      </c>
      <c r="F144" s="16">
        <v>25206</v>
      </c>
      <c r="H144" s="3"/>
    </row>
    <row r="145" s="6" customFormat="1" spans="1:8">
      <c r="A145" s="14">
        <v>332</v>
      </c>
      <c r="B145" s="15">
        <v>4</v>
      </c>
      <c r="C145" s="14">
        <v>1</v>
      </c>
      <c r="D145" s="14">
        <v>1000</v>
      </c>
      <c r="E145" s="14">
        <v>1</v>
      </c>
      <c r="F145" s="16">
        <v>25207</v>
      </c>
      <c r="H145" s="3"/>
    </row>
    <row r="146" s="6" customFormat="1" spans="1:8">
      <c r="A146" s="14">
        <v>333</v>
      </c>
      <c r="B146" s="15">
        <v>4</v>
      </c>
      <c r="C146" s="14">
        <v>1</v>
      </c>
      <c r="D146" s="14">
        <v>1000</v>
      </c>
      <c r="E146" s="14">
        <v>1</v>
      </c>
      <c r="F146" s="16">
        <v>25208</v>
      </c>
      <c r="H146" s="3"/>
    </row>
    <row r="147" s="6" customFormat="1" spans="1:8">
      <c r="A147" s="14">
        <v>334</v>
      </c>
      <c r="B147" s="15">
        <v>4</v>
      </c>
      <c r="C147" s="14">
        <v>1</v>
      </c>
      <c r="D147" s="14">
        <v>1000</v>
      </c>
      <c r="E147" s="14">
        <v>1</v>
      </c>
      <c r="F147" s="16">
        <v>25209</v>
      </c>
      <c r="H147" s="3"/>
    </row>
    <row r="148" s="6" customFormat="1" spans="1:8">
      <c r="A148" s="14">
        <v>1001</v>
      </c>
      <c r="B148" s="14">
        <v>2</v>
      </c>
      <c r="C148" s="14">
        <v>3</v>
      </c>
      <c r="D148" s="14">
        <v>0</v>
      </c>
      <c r="E148" s="14">
        <v>0</v>
      </c>
      <c r="F148" s="14">
        <v>0</v>
      </c>
      <c r="H148" s="3"/>
    </row>
    <row r="149" s="6" customFormat="1" spans="1:8">
      <c r="A149" s="14">
        <v>1002</v>
      </c>
      <c r="B149" s="14">
        <v>3</v>
      </c>
      <c r="C149" s="14">
        <v>3</v>
      </c>
      <c r="D149" s="14">
        <v>1500</v>
      </c>
      <c r="E149" s="14">
        <v>9</v>
      </c>
      <c r="F149" s="14">
        <v>0</v>
      </c>
      <c r="H149" s="3"/>
    </row>
    <row r="150" s="6" customFormat="1" spans="1:8">
      <c r="A150" s="14">
        <v>1003</v>
      </c>
      <c r="B150" s="14">
        <v>4</v>
      </c>
      <c r="C150" s="14">
        <v>3</v>
      </c>
      <c r="D150" s="14">
        <v>1000</v>
      </c>
      <c r="E150" s="14">
        <v>3</v>
      </c>
      <c r="F150" s="14">
        <v>0</v>
      </c>
      <c r="H150" s="3"/>
    </row>
    <row r="151" s="6" customFormat="1" spans="1:8">
      <c r="A151" s="14">
        <v>1004</v>
      </c>
      <c r="B151" s="14">
        <v>2</v>
      </c>
      <c r="C151" s="14">
        <v>3</v>
      </c>
      <c r="D151" s="14">
        <v>0</v>
      </c>
      <c r="E151" s="14">
        <v>0</v>
      </c>
      <c r="F151" s="14">
        <v>0</v>
      </c>
      <c r="H151" s="3"/>
    </row>
    <row r="152" s="6" customFormat="1" spans="1:8">
      <c r="A152" s="14">
        <v>1005</v>
      </c>
      <c r="B152" s="14">
        <v>3</v>
      </c>
      <c r="C152" s="14">
        <v>3</v>
      </c>
      <c r="D152" s="14">
        <v>1500</v>
      </c>
      <c r="E152" s="14">
        <v>9</v>
      </c>
      <c r="F152" s="14">
        <v>0</v>
      </c>
      <c r="H152" s="3"/>
    </row>
    <row r="153" s="6" customFormat="1" spans="1:8">
      <c r="A153" s="14">
        <v>1006</v>
      </c>
      <c r="B153" s="14">
        <v>4</v>
      </c>
      <c r="C153" s="14">
        <v>3</v>
      </c>
      <c r="D153" s="14">
        <v>1000</v>
      </c>
      <c r="E153" s="14">
        <v>3</v>
      </c>
      <c r="F153" s="14">
        <v>0</v>
      </c>
      <c r="H153" s="3"/>
    </row>
    <row r="154" s="6" customFormat="1" spans="1:8">
      <c r="A154" s="14">
        <v>1007</v>
      </c>
      <c r="B154" s="14">
        <v>2</v>
      </c>
      <c r="C154" s="14">
        <v>3</v>
      </c>
      <c r="D154" s="14">
        <v>0</v>
      </c>
      <c r="E154" s="14">
        <v>0</v>
      </c>
      <c r="F154" s="14">
        <v>0</v>
      </c>
      <c r="H154" s="3"/>
    </row>
    <row r="155" s="6" customFormat="1" spans="1:8">
      <c r="A155" s="14">
        <v>1008</v>
      </c>
      <c r="B155" s="14">
        <v>3</v>
      </c>
      <c r="C155" s="14">
        <v>3</v>
      </c>
      <c r="D155" s="14">
        <v>1500</v>
      </c>
      <c r="E155" s="14">
        <v>9</v>
      </c>
      <c r="F155" s="14">
        <v>0</v>
      </c>
      <c r="H155" s="3"/>
    </row>
    <row r="156" s="6" customFormat="1" spans="1:8">
      <c r="A156" s="14">
        <v>1009</v>
      </c>
      <c r="B156" s="14">
        <v>4</v>
      </c>
      <c r="C156" s="14">
        <v>3</v>
      </c>
      <c r="D156" s="14">
        <v>1000</v>
      </c>
      <c r="E156" s="14">
        <v>3</v>
      </c>
      <c r="F156" s="14">
        <v>0</v>
      </c>
      <c r="H156" s="3"/>
    </row>
    <row r="157" s="6" customFormat="1" spans="1:8">
      <c r="A157" s="14">
        <v>1010</v>
      </c>
      <c r="B157" s="14">
        <v>2</v>
      </c>
      <c r="C157" s="14">
        <v>3</v>
      </c>
      <c r="D157" s="14">
        <v>0</v>
      </c>
      <c r="E157" s="14">
        <v>0</v>
      </c>
      <c r="F157" s="14">
        <v>0</v>
      </c>
      <c r="H157" s="3"/>
    </row>
    <row r="158" s="6" customFormat="1" spans="1:8">
      <c r="A158" s="14">
        <v>1011</v>
      </c>
      <c r="B158" s="14">
        <v>3</v>
      </c>
      <c r="C158" s="14">
        <v>3</v>
      </c>
      <c r="D158" s="14">
        <v>1500</v>
      </c>
      <c r="E158" s="14">
        <v>9</v>
      </c>
      <c r="F158" s="14">
        <v>0</v>
      </c>
      <c r="H158" s="3"/>
    </row>
    <row r="159" s="6" customFormat="1" spans="1:8">
      <c r="A159" s="14">
        <v>1012</v>
      </c>
      <c r="B159" s="14">
        <v>4</v>
      </c>
      <c r="C159" s="14">
        <v>3</v>
      </c>
      <c r="D159" s="14">
        <v>1000</v>
      </c>
      <c r="E159" s="14">
        <v>3</v>
      </c>
      <c r="F159" s="14">
        <v>0</v>
      </c>
      <c r="H159" s="3"/>
    </row>
    <row r="160" s="6" customFormat="1" spans="1:8">
      <c r="A160" s="14">
        <v>1013</v>
      </c>
      <c r="B160" s="14">
        <v>2</v>
      </c>
      <c r="C160" s="14">
        <v>3</v>
      </c>
      <c r="D160" s="14">
        <v>0</v>
      </c>
      <c r="E160" s="14">
        <v>0</v>
      </c>
      <c r="F160" s="14">
        <v>0</v>
      </c>
      <c r="H160" s="3"/>
    </row>
    <row r="161" spans="1:7">
      <c r="A161" s="17">
        <v>1014</v>
      </c>
      <c r="B161" s="14">
        <v>3</v>
      </c>
      <c r="C161" s="14">
        <v>3</v>
      </c>
      <c r="D161" s="14">
        <v>1500</v>
      </c>
      <c r="E161" s="14">
        <v>9</v>
      </c>
      <c r="F161" s="14">
        <v>0</v>
      </c>
      <c r="G161" s="6"/>
    </row>
    <row r="162" spans="1:7">
      <c r="A162" s="17">
        <v>1015</v>
      </c>
      <c r="B162" s="14">
        <v>4</v>
      </c>
      <c r="C162" s="14">
        <v>3</v>
      </c>
      <c r="D162" s="14">
        <v>1000</v>
      </c>
      <c r="E162" s="14">
        <v>3</v>
      </c>
      <c r="F162" s="14">
        <v>0</v>
      </c>
      <c r="G162" s="6"/>
    </row>
    <row r="163" spans="1:7">
      <c r="A163" s="17">
        <v>1016</v>
      </c>
      <c r="B163" s="14">
        <v>2</v>
      </c>
      <c r="C163" s="14">
        <v>3</v>
      </c>
      <c r="D163" s="14">
        <v>0</v>
      </c>
      <c r="E163" s="14">
        <v>0</v>
      </c>
      <c r="F163" s="14">
        <v>0</v>
      </c>
      <c r="G163" s="6"/>
    </row>
    <row r="164" spans="1:7">
      <c r="A164" s="17">
        <v>1017</v>
      </c>
      <c r="B164" s="14">
        <v>3</v>
      </c>
      <c r="C164" s="14">
        <v>3</v>
      </c>
      <c r="D164" s="14">
        <v>1500</v>
      </c>
      <c r="E164" s="14">
        <v>9</v>
      </c>
      <c r="F164" s="14">
        <v>0</v>
      </c>
      <c r="G164" s="6"/>
    </row>
    <row r="165" spans="1:7">
      <c r="A165" s="17">
        <v>1018</v>
      </c>
      <c r="B165" s="14">
        <v>4</v>
      </c>
      <c r="C165" s="14">
        <v>3</v>
      </c>
      <c r="D165" s="14">
        <v>1000</v>
      </c>
      <c r="E165" s="14">
        <v>3</v>
      </c>
      <c r="F165" s="14">
        <v>0</v>
      </c>
      <c r="G165" s="6"/>
    </row>
    <row r="166" spans="1:7">
      <c r="A166" s="17">
        <v>1019</v>
      </c>
      <c r="B166" s="14">
        <v>2</v>
      </c>
      <c r="C166" s="14">
        <v>3</v>
      </c>
      <c r="D166" s="14">
        <v>0</v>
      </c>
      <c r="E166" s="14">
        <v>0</v>
      </c>
      <c r="F166" s="14">
        <v>0</v>
      </c>
      <c r="G166" s="6"/>
    </row>
    <row r="167" spans="1:7">
      <c r="A167" s="17">
        <v>1020</v>
      </c>
      <c r="B167" s="14">
        <v>3</v>
      </c>
      <c r="C167" s="14">
        <v>3</v>
      </c>
      <c r="D167" s="14">
        <v>1500</v>
      </c>
      <c r="E167" s="14">
        <v>9</v>
      </c>
      <c r="F167" s="14">
        <v>0</v>
      </c>
      <c r="G167" s="6"/>
    </row>
    <row r="168" spans="1:7">
      <c r="A168" s="17">
        <v>1021</v>
      </c>
      <c r="B168" s="14">
        <v>4</v>
      </c>
      <c r="C168" s="14">
        <v>3</v>
      </c>
      <c r="D168" s="14">
        <v>1000</v>
      </c>
      <c r="E168" s="14">
        <v>3</v>
      </c>
      <c r="F168" s="14">
        <v>0</v>
      </c>
      <c r="G168" s="6"/>
    </row>
    <row r="169" spans="1:7">
      <c r="A169" s="17">
        <v>1022</v>
      </c>
      <c r="B169" s="14">
        <v>2</v>
      </c>
      <c r="C169" s="14">
        <v>3</v>
      </c>
      <c r="D169" s="14">
        <v>0</v>
      </c>
      <c r="E169" s="14">
        <v>0</v>
      </c>
      <c r="F169" s="14">
        <v>0</v>
      </c>
      <c r="G169" s="6"/>
    </row>
    <row r="170" spans="1:7">
      <c r="A170" s="17">
        <v>1023</v>
      </c>
      <c r="B170" s="14">
        <v>3</v>
      </c>
      <c r="C170" s="14">
        <v>3</v>
      </c>
      <c r="D170" s="14">
        <v>1500</v>
      </c>
      <c r="E170" s="14">
        <v>9</v>
      </c>
      <c r="F170" s="14">
        <v>0</v>
      </c>
      <c r="G170" s="6"/>
    </row>
    <row r="171" spans="1:7">
      <c r="A171" s="17">
        <v>1024</v>
      </c>
      <c r="B171" s="14">
        <v>4</v>
      </c>
      <c r="C171" s="14">
        <v>3</v>
      </c>
      <c r="D171" s="14">
        <v>1000</v>
      </c>
      <c r="E171" s="14">
        <v>3</v>
      </c>
      <c r="F171" s="14">
        <v>0</v>
      </c>
      <c r="G171" s="6"/>
    </row>
    <row r="172" spans="1:7">
      <c r="A172" s="17">
        <v>1025</v>
      </c>
      <c r="B172" s="14">
        <v>2</v>
      </c>
      <c r="C172" s="14">
        <v>3</v>
      </c>
      <c r="D172" s="14">
        <v>0</v>
      </c>
      <c r="E172" s="14">
        <v>0</v>
      </c>
      <c r="F172" s="14">
        <v>0</v>
      </c>
      <c r="G172" s="6"/>
    </row>
    <row r="173" spans="1:7">
      <c r="A173" s="17">
        <v>1026</v>
      </c>
      <c r="B173" s="14">
        <v>3</v>
      </c>
      <c r="C173" s="14">
        <v>3</v>
      </c>
      <c r="D173" s="14">
        <v>1500</v>
      </c>
      <c r="E173" s="14">
        <v>9</v>
      </c>
      <c r="F173" s="14">
        <v>0</v>
      </c>
      <c r="G173" s="6"/>
    </row>
    <row r="174" spans="1:7">
      <c r="A174" s="17">
        <v>1027</v>
      </c>
      <c r="B174" s="14">
        <v>4</v>
      </c>
      <c r="C174" s="14">
        <v>3</v>
      </c>
      <c r="D174" s="14">
        <v>1000</v>
      </c>
      <c r="E174" s="14">
        <v>3</v>
      </c>
      <c r="F174" s="14">
        <v>0</v>
      </c>
      <c r="G174" s="6"/>
    </row>
    <row r="175" spans="1:7">
      <c r="A175" s="17">
        <v>1028</v>
      </c>
      <c r="B175" s="14">
        <v>2</v>
      </c>
      <c r="C175" s="14">
        <v>3</v>
      </c>
      <c r="D175" s="14">
        <v>0</v>
      </c>
      <c r="E175" s="14">
        <v>0</v>
      </c>
      <c r="F175" s="14">
        <v>0</v>
      </c>
      <c r="G175" s="6"/>
    </row>
    <row r="176" spans="1:7">
      <c r="A176" s="17">
        <v>1029</v>
      </c>
      <c r="B176" s="14">
        <v>3</v>
      </c>
      <c r="C176" s="14">
        <v>3</v>
      </c>
      <c r="D176" s="14">
        <v>1500</v>
      </c>
      <c r="E176" s="14">
        <v>9</v>
      </c>
      <c r="F176" s="14">
        <v>0</v>
      </c>
      <c r="G176" s="6"/>
    </row>
    <row r="177" spans="1:7">
      <c r="A177" s="17">
        <v>1030</v>
      </c>
      <c r="B177" s="14">
        <v>4</v>
      </c>
      <c r="C177" s="14">
        <v>3</v>
      </c>
      <c r="D177" s="14">
        <v>1000</v>
      </c>
      <c r="E177" s="14">
        <v>3</v>
      </c>
      <c r="F177" s="14">
        <v>0</v>
      </c>
      <c r="G177" s="6"/>
    </row>
    <row r="178" spans="1:7">
      <c r="A178" s="17">
        <v>1031</v>
      </c>
      <c r="B178" s="14">
        <v>2</v>
      </c>
      <c r="C178" s="14">
        <v>3</v>
      </c>
      <c r="D178" s="14">
        <v>0</v>
      </c>
      <c r="E178" s="14">
        <v>0</v>
      </c>
      <c r="F178" s="14">
        <v>0</v>
      </c>
      <c r="G178" s="6"/>
    </row>
    <row r="179" spans="1:7">
      <c r="A179" s="17">
        <v>1032</v>
      </c>
      <c r="B179" s="14">
        <v>3</v>
      </c>
      <c r="C179" s="14">
        <v>3</v>
      </c>
      <c r="D179" s="14">
        <v>1500</v>
      </c>
      <c r="E179" s="14">
        <v>9</v>
      </c>
      <c r="F179" s="14">
        <v>0</v>
      </c>
      <c r="G179" s="6"/>
    </row>
    <row r="180" spans="1:7">
      <c r="A180" s="17">
        <v>1033</v>
      </c>
      <c r="B180" s="14">
        <v>4</v>
      </c>
      <c r="C180" s="14">
        <v>3</v>
      </c>
      <c r="D180" s="14">
        <v>1000</v>
      </c>
      <c r="E180" s="14">
        <v>3</v>
      </c>
      <c r="F180" s="14">
        <v>0</v>
      </c>
      <c r="G180" s="6"/>
    </row>
    <row r="181" spans="1:7">
      <c r="A181" s="17">
        <v>1034</v>
      </c>
      <c r="B181" s="14">
        <v>2</v>
      </c>
      <c r="C181" s="14">
        <v>3</v>
      </c>
      <c r="D181" s="14">
        <v>0</v>
      </c>
      <c r="E181" s="14">
        <v>0</v>
      </c>
      <c r="F181" s="14">
        <v>0</v>
      </c>
      <c r="G181" s="6"/>
    </row>
    <row r="182" spans="1:7">
      <c r="A182" s="17">
        <v>1035</v>
      </c>
      <c r="B182" s="14">
        <v>3</v>
      </c>
      <c r="C182" s="14">
        <v>3</v>
      </c>
      <c r="D182" s="14">
        <v>1500</v>
      </c>
      <c r="E182" s="14">
        <v>9</v>
      </c>
      <c r="F182" s="14">
        <v>0</v>
      </c>
      <c r="G182" s="6"/>
    </row>
    <row r="183" spans="1:7">
      <c r="A183" s="17">
        <v>1036</v>
      </c>
      <c r="B183" s="14">
        <v>4</v>
      </c>
      <c r="C183" s="14">
        <v>3</v>
      </c>
      <c r="D183" s="14">
        <v>1000</v>
      </c>
      <c r="E183" s="14">
        <v>3</v>
      </c>
      <c r="F183" s="14">
        <v>0</v>
      </c>
      <c r="G183" s="6"/>
    </row>
    <row r="184" spans="1:7">
      <c r="A184" s="17">
        <v>1037</v>
      </c>
      <c r="B184" s="14">
        <v>2</v>
      </c>
      <c r="C184" s="14">
        <v>3</v>
      </c>
      <c r="D184" s="14">
        <v>0</v>
      </c>
      <c r="E184" s="14">
        <v>0</v>
      </c>
      <c r="F184" s="14">
        <v>0</v>
      </c>
      <c r="G184" s="6"/>
    </row>
    <row r="185" spans="1:7">
      <c r="A185" s="17">
        <v>1038</v>
      </c>
      <c r="B185" s="14">
        <v>3</v>
      </c>
      <c r="C185" s="14">
        <v>3</v>
      </c>
      <c r="D185" s="14">
        <v>1500</v>
      </c>
      <c r="E185" s="14">
        <v>9</v>
      </c>
      <c r="F185" s="14">
        <v>0</v>
      </c>
      <c r="G185" s="6"/>
    </row>
    <row r="186" spans="1:7">
      <c r="A186" s="17">
        <v>1039</v>
      </c>
      <c r="B186" s="14">
        <v>4</v>
      </c>
      <c r="C186" s="14">
        <v>3</v>
      </c>
      <c r="D186" s="14">
        <v>1000</v>
      </c>
      <c r="E186" s="14">
        <v>3</v>
      </c>
      <c r="F186" s="14">
        <v>0</v>
      </c>
      <c r="G186" s="6"/>
    </row>
    <row r="187" spans="1:7">
      <c r="A187" s="17">
        <v>1040</v>
      </c>
      <c r="B187" s="14">
        <v>2</v>
      </c>
      <c r="C187" s="14">
        <v>3</v>
      </c>
      <c r="D187" s="14">
        <v>0</v>
      </c>
      <c r="E187" s="14">
        <v>0</v>
      </c>
      <c r="F187" s="14">
        <v>0</v>
      </c>
      <c r="G187" s="6"/>
    </row>
    <row r="188" spans="1:7">
      <c r="A188" s="17">
        <v>1041</v>
      </c>
      <c r="B188" s="14">
        <v>3</v>
      </c>
      <c r="C188" s="14">
        <v>3</v>
      </c>
      <c r="D188" s="14">
        <v>1500</v>
      </c>
      <c r="E188" s="14">
        <v>9</v>
      </c>
      <c r="F188" s="14">
        <v>0</v>
      </c>
      <c r="G188" s="6"/>
    </row>
    <row r="189" spans="1:7">
      <c r="A189" s="17">
        <v>1042</v>
      </c>
      <c r="B189" s="14">
        <v>4</v>
      </c>
      <c r="C189" s="14">
        <v>3</v>
      </c>
      <c r="D189" s="14">
        <v>1000</v>
      </c>
      <c r="E189" s="14">
        <v>3</v>
      </c>
      <c r="F189" s="14">
        <v>0</v>
      </c>
      <c r="G189" s="6"/>
    </row>
    <row r="190" spans="1:7">
      <c r="A190" s="17">
        <v>1043</v>
      </c>
      <c r="B190" s="14">
        <v>2</v>
      </c>
      <c r="C190" s="14">
        <v>3</v>
      </c>
      <c r="D190" s="14">
        <v>0</v>
      </c>
      <c r="E190" s="14">
        <v>0</v>
      </c>
      <c r="F190" s="14">
        <v>0</v>
      </c>
      <c r="G190" s="6"/>
    </row>
    <row r="191" spans="1:7">
      <c r="A191" s="17">
        <v>1044</v>
      </c>
      <c r="B191" s="14">
        <v>3</v>
      </c>
      <c r="C191" s="14">
        <v>3</v>
      </c>
      <c r="D191" s="14">
        <v>1500</v>
      </c>
      <c r="E191" s="14">
        <v>9</v>
      </c>
      <c r="F191" s="14">
        <v>0</v>
      </c>
      <c r="G191" s="6"/>
    </row>
    <row r="192" spans="1:7">
      <c r="A192" s="17">
        <v>1045</v>
      </c>
      <c r="B192" s="14">
        <v>4</v>
      </c>
      <c r="C192" s="14">
        <v>3</v>
      </c>
      <c r="D192" s="14">
        <v>1000</v>
      </c>
      <c r="E192" s="14">
        <v>3</v>
      </c>
      <c r="F192" s="14">
        <v>0</v>
      </c>
      <c r="G192" s="6"/>
    </row>
    <row r="193" spans="1:7">
      <c r="A193" s="17">
        <v>1046</v>
      </c>
      <c r="B193" s="14">
        <v>2</v>
      </c>
      <c r="C193" s="14">
        <v>3</v>
      </c>
      <c r="D193" s="14">
        <v>0</v>
      </c>
      <c r="E193" s="14">
        <v>0</v>
      </c>
      <c r="F193" s="14">
        <v>0</v>
      </c>
      <c r="G193" s="6"/>
    </row>
    <row r="194" spans="1:7">
      <c r="A194" s="17">
        <v>1047</v>
      </c>
      <c r="B194" s="14">
        <v>3</v>
      </c>
      <c r="C194" s="14">
        <v>3</v>
      </c>
      <c r="D194" s="14">
        <v>1500</v>
      </c>
      <c r="E194" s="14">
        <v>9</v>
      </c>
      <c r="F194" s="14">
        <v>0</v>
      </c>
      <c r="G194" s="6"/>
    </row>
    <row r="195" spans="1:7">
      <c r="A195" s="17">
        <v>1048</v>
      </c>
      <c r="B195" s="14">
        <v>4</v>
      </c>
      <c r="C195" s="14">
        <v>3</v>
      </c>
      <c r="D195" s="14">
        <v>1000</v>
      </c>
      <c r="E195" s="14">
        <v>3</v>
      </c>
      <c r="F195" s="14">
        <v>0</v>
      </c>
      <c r="G195" s="6"/>
    </row>
    <row r="196" spans="1:7">
      <c r="A196" s="17">
        <v>1049</v>
      </c>
      <c r="B196" s="14">
        <v>2</v>
      </c>
      <c r="C196" s="14">
        <v>3</v>
      </c>
      <c r="D196" s="14">
        <v>0</v>
      </c>
      <c r="E196" s="14">
        <v>0</v>
      </c>
      <c r="F196" s="14">
        <v>0</v>
      </c>
      <c r="G196" s="6"/>
    </row>
    <row r="197" spans="1:7">
      <c r="A197" s="17">
        <v>1050</v>
      </c>
      <c r="B197" s="14">
        <v>3</v>
      </c>
      <c r="C197" s="14">
        <v>3</v>
      </c>
      <c r="D197" s="14">
        <v>1500</v>
      </c>
      <c r="E197" s="14">
        <v>9</v>
      </c>
      <c r="F197" s="14">
        <v>0</v>
      </c>
      <c r="G197" s="6"/>
    </row>
    <row r="198" spans="1:7">
      <c r="A198" s="17">
        <v>1051</v>
      </c>
      <c r="B198" s="14">
        <v>4</v>
      </c>
      <c r="C198" s="14">
        <v>3</v>
      </c>
      <c r="D198" s="14">
        <v>1000</v>
      </c>
      <c r="E198" s="14">
        <v>3</v>
      </c>
      <c r="F198" s="14">
        <v>0</v>
      </c>
      <c r="G198" s="6"/>
    </row>
    <row r="199" s="7" customFormat="1" spans="1:12">
      <c r="A199" s="14">
        <v>1052</v>
      </c>
      <c r="B199" s="14">
        <v>2</v>
      </c>
      <c r="C199" s="14">
        <v>3</v>
      </c>
      <c r="D199" s="14">
        <v>0</v>
      </c>
      <c r="E199" s="14">
        <v>0</v>
      </c>
      <c r="F199" s="14">
        <v>0</v>
      </c>
      <c r="G199" s="6"/>
      <c r="H199" s="8"/>
      <c r="L199" s="18"/>
    </row>
    <row r="200" s="7" customFormat="1" spans="1:12">
      <c r="A200" s="14">
        <v>1053</v>
      </c>
      <c r="B200" s="14">
        <v>3</v>
      </c>
      <c r="C200" s="14">
        <v>3</v>
      </c>
      <c r="D200" s="14">
        <v>1500</v>
      </c>
      <c r="E200" s="14">
        <v>9</v>
      </c>
      <c r="F200" s="14">
        <v>0</v>
      </c>
      <c r="G200" s="6"/>
      <c r="H200" s="8"/>
      <c r="L200" s="18"/>
    </row>
    <row r="201" s="7" customFormat="1" spans="1:12">
      <c r="A201" s="14">
        <v>1054</v>
      </c>
      <c r="B201" s="14">
        <v>4</v>
      </c>
      <c r="C201" s="14">
        <v>3</v>
      </c>
      <c r="D201" s="14">
        <v>1000</v>
      </c>
      <c r="E201" s="14">
        <v>3</v>
      </c>
      <c r="F201" s="14">
        <v>0</v>
      </c>
      <c r="G201" s="6"/>
      <c r="H201" s="8"/>
      <c r="L201" s="18"/>
    </row>
    <row r="202" s="7" customFormat="1" spans="1:12">
      <c r="A202" s="14">
        <v>1055</v>
      </c>
      <c r="B202" s="14">
        <v>2</v>
      </c>
      <c r="C202" s="14">
        <v>3</v>
      </c>
      <c r="D202" s="14">
        <v>0</v>
      </c>
      <c r="E202" s="14">
        <v>0</v>
      </c>
      <c r="F202" s="14">
        <v>0</v>
      </c>
      <c r="G202" s="6"/>
      <c r="H202" s="8"/>
      <c r="L202" s="18"/>
    </row>
    <row r="203" s="7" customFormat="1" spans="1:12">
      <c r="A203" s="14">
        <v>1056</v>
      </c>
      <c r="B203" s="14">
        <v>3</v>
      </c>
      <c r="C203" s="14">
        <v>3</v>
      </c>
      <c r="D203" s="14">
        <v>1500</v>
      </c>
      <c r="E203" s="14">
        <v>9</v>
      </c>
      <c r="F203" s="14">
        <v>0</v>
      </c>
      <c r="G203" s="6"/>
      <c r="H203" s="8"/>
      <c r="L203" s="18"/>
    </row>
    <row r="204" s="7" customFormat="1" spans="1:12">
      <c r="A204" s="14">
        <v>1057</v>
      </c>
      <c r="B204" s="14">
        <v>4</v>
      </c>
      <c r="C204" s="14">
        <v>3</v>
      </c>
      <c r="D204" s="14">
        <v>1000</v>
      </c>
      <c r="E204" s="14">
        <v>3</v>
      </c>
      <c r="F204" s="14">
        <v>0</v>
      </c>
      <c r="G204" s="6"/>
      <c r="H204" s="8"/>
      <c r="L204" s="18"/>
    </row>
    <row r="205" spans="1:7">
      <c r="A205" s="14">
        <v>1058</v>
      </c>
      <c r="B205" s="14">
        <v>2</v>
      </c>
      <c r="C205" s="14">
        <v>3</v>
      </c>
      <c r="D205" s="14">
        <v>0</v>
      </c>
      <c r="E205" s="14">
        <v>0</v>
      </c>
      <c r="F205" s="14">
        <v>0</v>
      </c>
      <c r="G205" s="6"/>
    </row>
    <row r="206" spans="1:7">
      <c r="A206" s="14">
        <v>1059</v>
      </c>
      <c r="B206" s="14">
        <v>3</v>
      </c>
      <c r="C206" s="14">
        <v>3</v>
      </c>
      <c r="D206" s="14">
        <v>1500</v>
      </c>
      <c r="E206" s="14">
        <v>9</v>
      </c>
      <c r="F206" s="14">
        <v>0</v>
      </c>
      <c r="G206" s="6"/>
    </row>
    <row r="207" spans="1:7">
      <c r="A207" s="14">
        <v>1060</v>
      </c>
      <c r="B207" s="14">
        <v>4</v>
      </c>
      <c r="C207" s="14">
        <v>3</v>
      </c>
      <c r="D207" s="14">
        <v>1000</v>
      </c>
      <c r="E207" s="14">
        <v>3</v>
      </c>
      <c r="F207" s="14">
        <v>0</v>
      </c>
      <c r="G207" s="6"/>
    </row>
    <row r="208" spans="1:6">
      <c r="A208" s="14">
        <v>1061</v>
      </c>
      <c r="B208" s="14">
        <v>2</v>
      </c>
      <c r="C208" s="14">
        <v>3</v>
      </c>
      <c r="D208" s="14">
        <v>0</v>
      </c>
      <c r="E208" s="14">
        <v>0</v>
      </c>
      <c r="F208" s="14">
        <v>0</v>
      </c>
    </row>
    <row r="209" spans="1:6">
      <c r="A209" s="14">
        <v>1062</v>
      </c>
      <c r="B209" s="14">
        <v>3</v>
      </c>
      <c r="C209" s="14">
        <v>3</v>
      </c>
      <c r="D209" s="14">
        <v>1500</v>
      </c>
      <c r="E209" s="14">
        <v>9</v>
      </c>
      <c r="F209" s="14">
        <v>0</v>
      </c>
    </row>
    <row r="210" spans="1:6">
      <c r="A210" s="14">
        <v>1063</v>
      </c>
      <c r="B210" s="14">
        <v>4</v>
      </c>
      <c r="C210" s="14">
        <v>3</v>
      </c>
      <c r="D210" s="14">
        <v>1000</v>
      </c>
      <c r="E210" s="14">
        <v>3</v>
      </c>
      <c r="F210" s="14">
        <v>0</v>
      </c>
    </row>
    <row r="211" spans="1:6">
      <c r="A211" s="15">
        <v>1064</v>
      </c>
      <c r="B211" s="14">
        <v>2</v>
      </c>
      <c r="C211" s="14">
        <v>3</v>
      </c>
      <c r="D211" s="14">
        <v>0</v>
      </c>
      <c r="E211" s="14">
        <v>0</v>
      </c>
      <c r="F211" s="14">
        <v>0</v>
      </c>
    </row>
    <row r="212" spans="1:6">
      <c r="A212" s="15">
        <v>1065</v>
      </c>
      <c r="B212" s="14">
        <v>3</v>
      </c>
      <c r="C212" s="14">
        <v>3</v>
      </c>
      <c r="D212" s="14">
        <v>1500</v>
      </c>
      <c r="E212" s="14">
        <v>9</v>
      </c>
      <c r="F212" s="14">
        <v>0</v>
      </c>
    </row>
    <row r="213" spans="1:6">
      <c r="A213" s="15">
        <v>1066</v>
      </c>
      <c r="B213" s="14">
        <v>4</v>
      </c>
      <c r="C213" s="14">
        <v>3</v>
      </c>
      <c r="D213" s="14">
        <v>1000</v>
      </c>
      <c r="E213" s="14">
        <v>3</v>
      </c>
      <c r="F213" s="14">
        <v>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M100"/>
  <sheetViews>
    <sheetView workbookViewId="0">
      <selection activeCell="M19" sqref="M19"/>
    </sheetView>
  </sheetViews>
  <sheetFormatPr defaultColWidth="9" defaultRowHeight="13.5"/>
  <cols>
    <col min="7" max="7" width="15.375" customWidth="1"/>
    <col min="13" max="13" width="12.625"/>
  </cols>
  <sheetData>
    <row r="2" ht="17.25" spans="6:8">
      <c r="F2" s="1">
        <v>1000</v>
      </c>
      <c r="G2" s="2">
        <f>F2/SUM($F$2:$F$100)</f>
        <v>0.0102406554019457</v>
      </c>
      <c r="H2" s="3" t="s">
        <v>135</v>
      </c>
    </row>
    <row r="3" ht="17.25" spans="6:8">
      <c r="F3" s="1">
        <v>1000</v>
      </c>
      <c r="G3" s="2">
        <f t="shared" ref="G3:G34" si="0">F3/SUM($F$2:$F$100)</f>
        <v>0.0102406554019457</v>
      </c>
      <c r="H3" s="3" t="s">
        <v>18</v>
      </c>
    </row>
    <row r="4" ht="17.25" spans="6:8">
      <c r="F4" s="1">
        <v>1000</v>
      </c>
      <c r="G4" s="2">
        <f t="shared" si="0"/>
        <v>0.0102406554019457</v>
      </c>
      <c r="H4" s="3" t="s">
        <v>19</v>
      </c>
    </row>
    <row r="5" ht="17.25" spans="6:8">
      <c r="F5" s="1">
        <v>1000</v>
      </c>
      <c r="G5" s="2">
        <f t="shared" si="0"/>
        <v>0.0102406554019457</v>
      </c>
      <c r="H5" s="3" t="s">
        <v>136</v>
      </c>
    </row>
    <row r="6" ht="17.25" spans="6:8">
      <c r="F6" s="1">
        <v>1000</v>
      </c>
      <c r="G6" s="2">
        <f t="shared" si="0"/>
        <v>0.0102406554019457</v>
      </c>
      <c r="H6" s="3" t="s">
        <v>137</v>
      </c>
    </row>
    <row r="7" ht="17.25" spans="6:8">
      <c r="F7" s="1">
        <v>1000</v>
      </c>
      <c r="G7" s="2">
        <f t="shared" si="0"/>
        <v>0.0102406554019457</v>
      </c>
      <c r="H7" s="3" t="s">
        <v>138</v>
      </c>
    </row>
    <row r="8" ht="17.25" spans="6:8">
      <c r="F8" s="1">
        <v>1000</v>
      </c>
      <c r="G8" s="2">
        <f t="shared" si="0"/>
        <v>0.0102406554019457</v>
      </c>
      <c r="H8" s="3" t="s">
        <v>139</v>
      </c>
    </row>
    <row r="9" ht="17.25" spans="6:8">
      <c r="F9" s="1">
        <v>1000</v>
      </c>
      <c r="G9" s="2">
        <f t="shared" si="0"/>
        <v>0.0102406554019457</v>
      </c>
      <c r="H9" s="3" t="s">
        <v>140</v>
      </c>
    </row>
    <row r="10" ht="17.25" spans="6:8">
      <c r="F10" s="1">
        <v>1000</v>
      </c>
      <c r="G10" s="2">
        <f t="shared" si="0"/>
        <v>0.0102406554019457</v>
      </c>
      <c r="H10" s="3" t="s">
        <v>141</v>
      </c>
    </row>
    <row r="11" ht="17.25" spans="6:8">
      <c r="F11" s="1">
        <v>1000</v>
      </c>
      <c r="G11" s="2">
        <f t="shared" si="0"/>
        <v>0.0102406554019457</v>
      </c>
      <c r="H11" s="3" t="s">
        <v>20</v>
      </c>
    </row>
    <row r="12" ht="17.25" spans="6:8">
      <c r="F12" s="1">
        <v>1000</v>
      </c>
      <c r="G12" s="2">
        <f t="shared" si="0"/>
        <v>0.0102406554019457</v>
      </c>
      <c r="H12" s="3" t="s">
        <v>21</v>
      </c>
    </row>
    <row r="13" ht="17.25" spans="6:8">
      <c r="F13" s="1">
        <v>1000</v>
      </c>
      <c r="G13" s="2">
        <f t="shared" si="0"/>
        <v>0.0102406554019457</v>
      </c>
      <c r="H13" s="3" t="s">
        <v>142</v>
      </c>
    </row>
    <row r="14" ht="17.25" spans="6:8">
      <c r="F14" s="1">
        <v>1000</v>
      </c>
      <c r="G14" s="2">
        <f t="shared" si="0"/>
        <v>0.0102406554019457</v>
      </c>
      <c r="H14" s="3" t="s">
        <v>143</v>
      </c>
    </row>
    <row r="15" ht="17.25" spans="6:8">
      <c r="F15" s="1">
        <v>1000</v>
      </c>
      <c r="G15" s="2">
        <f t="shared" si="0"/>
        <v>0.0102406554019457</v>
      </c>
      <c r="H15" s="3" t="s">
        <v>144</v>
      </c>
    </row>
    <row r="16" ht="17.25" spans="6:8">
      <c r="F16" s="1">
        <v>1000</v>
      </c>
      <c r="G16" s="2">
        <f t="shared" si="0"/>
        <v>0.0102406554019457</v>
      </c>
      <c r="H16" s="3" t="s">
        <v>22</v>
      </c>
    </row>
    <row r="17" ht="17.25" spans="6:8">
      <c r="F17" s="1">
        <v>1000</v>
      </c>
      <c r="G17" s="2">
        <f t="shared" si="0"/>
        <v>0.0102406554019457</v>
      </c>
      <c r="H17" s="3" t="s">
        <v>23</v>
      </c>
    </row>
    <row r="18" ht="17.25" spans="6:8">
      <c r="F18" s="1">
        <v>1000</v>
      </c>
      <c r="G18" s="2">
        <f t="shared" si="0"/>
        <v>0.0102406554019457</v>
      </c>
      <c r="H18" s="3" t="s">
        <v>24</v>
      </c>
    </row>
    <row r="19" ht="17.25" spans="6:13">
      <c r="F19" s="1">
        <v>700</v>
      </c>
      <c r="G19" s="2">
        <f t="shared" si="0"/>
        <v>0.00716845878136201</v>
      </c>
      <c r="H19" s="3" t="s">
        <v>145</v>
      </c>
      <c r="M19" s="4">
        <f>1-(1-SUM(G19:G21))^3</f>
        <v>0.0498395344674765</v>
      </c>
    </row>
    <row r="20" ht="17.25" spans="6:8">
      <c r="F20" s="1">
        <v>550</v>
      </c>
      <c r="G20" s="2">
        <f t="shared" si="0"/>
        <v>0.00563236047107015</v>
      </c>
      <c r="H20" s="3" t="s">
        <v>146</v>
      </c>
    </row>
    <row r="21" ht="17.25" spans="6:8">
      <c r="F21" s="1">
        <v>400</v>
      </c>
      <c r="G21" s="2">
        <f t="shared" si="0"/>
        <v>0.00409626216077829</v>
      </c>
      <c r="H21" s="3" t="s">
        <v>147</v>
      </c>
    </row>
    <row r="22" ht="17.25" spans="6:8">
      <c r="F22" s="1">
        <v>1000</v>
      </c>
      <c r="G22" s="2">
        <f t="shared" si="0"/>
        <v>0.0102406554019457</v>
      </c>
      <c r="H22" s="3" t="s">
        <v>25</v>
      </c>
    </row>
    <row r="23" ht="17.25" spans="6:8">
      <c r="F23" s="1">
        <v>1000</v>
      </c>
      <c r="G23" s="2">
        <f t="shared" si="0"/>
        <v>0.0102406554019457</v>
      </c>
      <c r="H23" s="3" t="s">
        <v>26</v>
      </c>
    </row>
    <row r="24" ht="17.25" spans="6:8">
      <c r="F24" s="1">
        <v>1000</v>
      </c>
      <c r="G24" s="2">
        <f t="shared" si="0"/>
        <v>0.0102406554019457</v>
      </c>
      <c r="H24" s="3" t="s">
        <v>27</v>
      </c>
    </row>
    <row r="25" ht="17.25" spans="6:8">
      <c r="F25" s="1">
        <v>1000</v>
      </c>
      <c r="G25" s="2">
        <f t="shared" si="0"/>
        <v>0.0102406554019457</v>
      </c>
      <c r="H25" s="3" t="s">
        <v>28</v>
      </c>
    </row>
    <row r="26" ht="17.25" spans="6:8">
      <c r="F26" s="1">
        <v>1000</v>
      </c>
      <c r="G26" s="2">
        <f t="shared" si="0"/>
        <v>0.0102406554019457</v>
      </c>
      <c r="H26" s="3" t="s">
        <v>29</v>
      </c>
    </row>
    <row r="27" ht="17.25" spans="6:8">
      <c r="F27" s="1">
        <v>1000</v>
      </c>
      <c r="G27" s="2">
        <f t="shared" si="0"/>
        <v>0.0102406554019457</v>
      </c>
      <c r="H27" s="3" t="s">
        <v>30</v>
      </c>
    </row>
    <row r="28" ht="17.25" spans="6:8">
      <c r="F28" s="1">
        <v>1000</v>
      </c>
      <c r="G28" s="2">
        <f t="shared" si="0"/>
        <v>0.0102406554019457</v>
      </c>
      <c r="H28" s="3" t="s">
        <v>31</v>
      </c>
    </row>
    <row r="29" ht="17.25" spans="6:8">
      <c r="F29" s="1">
        <v>1000</v>
      </c>
      <c r="G29" s="2">
        <f t="shared" si="0"/>
        <v>0.0102406554019457</v>
      </c>
      <c r="H29" s="3" t="s">
        <v>32</v>
      </c>
    </row>
    <row r="30" ht="17.25" spans="6:8">
      <c r="F30" s="1">
        <v>1000</v>
      </c>
      <c r="G30" s="2">
        <f t="shared" si="0"/>
        <v>0.0102406554019457</v>
      </c>
      <c r="H30" s="3" t="s">
        <v>33</v>
      </c>
    </row>
    <row r="31" ht="17.25" spans="6:8">
      <c r="F31" s="1">
        <v>1000</v>
      </c>
      <c r="G31" s="2">
        <f t="shared" si="0"/>
        <v>0.0102406554019457</v>
      </c>
      <c r="H31" s="3" t="s">
        <v>148</v>
      </c>
    </row>
    <row r="32" ht="17.25" spans="6:8">
      <c r="F32" s="1">
        <v>1000</v>
      </c>
      <c r="G32" s="2">
        <f t="shared" si="0"/>
        <v>0.0102406554019457</v>
      </c>
      <c r="H32" s="3" t="s">
        <v>149</v>
      </c>
    </row>
    <row r="33" ht="17.25" spans="6:8">
      <c r="F33" s="1">
        <v>1000</v>
      </c>
      <c r="G33" s="2">
        <f t="shared" si="0"/>
        <v>0.0102406554019457</v>
      </c>
      <c r="H33" s="3" t="s">
        <v>150</v>
      </c>
    </row>
    <row r="34" ht="17.25" spans="6:8">
      <c r="F34" s="1">
        <v>1000</v>
      </c>
      <c r="G34" s="2">
        <f t="shared" si="0"/>
        <v>0.0102406554019457</v>
      </c>
      <c r="H34" s="3" t="s">
        <v>34</v>
      </c>
    </row>
    <row r="35" ht="17.25" spans="6:8">
      <c r="F35" s="1">
        <v>1000</v>
      </c>
      <c r="G35" s="2">
        <f t="shared" ref="G35:G66" si="1">F35/SUM($F$2:$F$100)</f>
        <v>0.0102406554019457</v>
      </c>
      <c r="H35" s="3" t="s">
        <v>35</v>
      </c>
    </row>
    <row r="36" ht="17.25" spans="6:8">
      <c r="F36" s="1">
        <v>1000</v>
      </c>
      <c r="G36" s="2">
        <f t="shared" si="1"/>
        <v>0.0102406554019457</v>
      </c>
      <c r="H36" s="3" t="s">
        <v>36</v>
      </c>
    </row>
    <row r="37" ht="17.25" spans="6:8">
      <c r="F37" s="1">
        <v>1000</v>
      </c>
      <c r="G37" s="2">
        <f t="shared" si="1"/>
        <v>0.0102406554019457</v>
      </c>
      <c r="H37" s="3" t="s">
        <v>40</v>
      </c>
    </row>
    <row r="38" ht="17.25" spans="6:8">
      <c r="F38" s="1">
        <v>1000</v>
      </c>
      <c r="G38" s="2">
        <f t="shared" si="1"/>
        <v>0.0102406554019457</v>
      </c>
      <c r="H38" s="3" t="s">
        <v>41</v>
      </c>
    </row>
    <row r="39" ht="17.25" spans="6:8">
      <c r="F39" s="1">
        <v>1000</v>
      </c>
      <c r="G39" s="2">
        <f t="shared" si="1"/>
        <v>0.0102406554019457</v>
      </c>
      <c r="H39" s="3" t="s">
        <v>42</v>
      </c>
    </row>
    <row r="40" ht="17.25" spans="6:8">
      <c r="F40" s="1">
        <v>1000</v>
      </c>
      <c r="G40" s="2">
        <f t="shared" si="1"/>
        <v>0.0102406554019457</v>
      </c>
      <c r="H40" s="3" t="s">
        <v>43</v>
      </c>
    </row>
    <row r="41" ht="17.25" spans="6:8">
      <c r="F41" s="1">
        <v>1000</v>
      </c>
      <c r="G41" s="2">
        <f t="shared" si="1"/>
        <v>0.0102406554019457</v>
      </c>
      <c r="H41" s="3" t="s">
        <v>44</v>
      </c>
    </row>
    <row r="42" ht="17.25" spans="6:8">
      <c r="F42" s="1">
        <v>1000</v>
      </c>
      <c r="G42" s="2">
        <f t="shared" si="1"/>
        <v>0.0102406554019457</v>
      </c>
      <c r="H42" s="3" t="s">
        <v>45</v>
      </c>
    </row>
    <row r="43" ht="17.25" spans="6:8">
      <c r="F43" s="1">
        <v>1000</v>
      </c>
      <c r="G43" s="2">
        <f t="shared" si="1"/>
        <v>0.0102406554019457</v>
      </c>
      <c r="H43" s="3" t="s">
        <v>151</v>
      </c>
    </row>
    <row r="44" ht="17.25" spans="6:8">
      <c r="F44" s="1">
        <v>1000</v>
      </c>
      <c r="G44" s="2">
        <f t="shared" si="1"/>
        <v>0.0102406554019457</v>
      </c>
      <c r="H44" s="3" t="s">
        <v>46</v>
      </c>
    </row>
    <row r="45" ht="17.25" spans="6:8">
      <c r="F45" s="1">
        <v>1000</v>
      </c>
      <c r="G45" s="2">
        <f t="shared" si="1"/>
        <v>0.0102406554019457</v>
      </c>
      <c r="H45" s="3" t="s">
        <v>47</v>
      </c>
    </row>
    <row r="46" ht="17.25" spans="6:8">
      <c r="F46" s="1">
        <v>1000</v>
      </c>
      <c r="G46" s="2">
        <f t="shared" si="1"/>
        <v>0.0102406554019457</v>
      </c>
      <c r="H46" s="3" t="s">
        <v>48</v>
      </c>
    </row>
    <row r="47" ht="17.25" spans="6:8">
      <c r="F47" s="1">
        <v>1000</v>
      </c>
      <c r="G47" s="2">
        <f t="shared" si="1"/>
        <v>0.0102406554019457</v>
      </c>
      <c r="H47" s="3" t="s">
        <v>49</v>
      </c>
    </row>
    <row r="48" ht="17.25" spans="6:8">
      <c r="F48" s="1">
        <v>1000</v>
      </c>
      <c r="G48" s="2">
        <f t="shared" si="1"/>
        <v>0.0102406554019457</v>
      </c>
      <c r="H48" s="3" t="s">
        <v>50</v>
      </c>
    </row>
    <row r="49" ht="17.25" spans="6:8">
      <c r="F49" s="1">
        <v>1000</v>
      </c>
      <c r="G49" s="2">
        <f t="shared" si="1"/>
        <v>0.0102406554019457</v>
      </c>
      <c r="H49" s="3" t="s">
        <v>51</v>
      </c>
    </row>
    <row r="50" ht="17.25" spans="6:8">
      <c r="F50" s="1">
        <v>1000</v>
      </c>
      <c r="G50" s="2">
        <f t="shared" si="1"/>
        <v>0.0102406554019457</v>
      </c>
      <c r="H50" s="3" t="s">
        <v>52</v>
      </c>
    </row>
    <row r="51" ht="17.25" spans="6:8">
      <c r="F51" s="1">
        <v>1000</v>
      </c>
      <c r="G51" s="2">
        <f t="shared" si="1"/>
        <v>0.0102406554019457</v>
      </c>
      <c r="H51" s="3" t="s">
        <v>53</v>
      </c>
    </row>
    <row r="52" ht="17.25" spans="6:8">
      <c r="F52" s="1">
        <v>1000</v>
      </c>
      <c r="G52" s="2">
        <f t="shared" si="1"/>
        <v>0.0102406554019457</v>
      </c>
      <c r="H52" s="3" t="s">
        <v>54</v>
      </c>
    </row>
    <row r="53" ht="17.25" spans="6:8">
      <c r="F53" s="1">
        <v>1000</v>
      </c>
      <c r="G53" s="2">
        <f t="shared" si="1"/>
        <v>0.0102406554019457</v>
      </c>
      <c r="H53" s="3" t="s">
        <v>55</v>
      </c>
    </row>
    <row r="54" ht="17.25" spans="6:8">
      <c r="F54" s="1">
        <v>1000</v>
      </c>
      <c r="G54" s="2">
        <f t="shared" si="1"/>
        <v>0.0102406554019457</v>
      </c>
      <c r="H54" s="3" t="s">
        <v>56</v>
      </c>
    </row>
    <row r="55" ht="17.25" spans="6:8">
      <c r="F55" s="1">
        <v>1000</v>
      </c>
      <c r="G55" s="2">
        <f t="shared" si="1"/>
        <v>0.0102406554019457</v>
      </c>
      <c r="H55" s="3" t="s">
        <v>57</v>
      </c>
    </row>
    <row r="56" ht="17.25" spans="6:8">
      <c r="F56" s="1">
        <v>1000</v>
      </c>
      <c r="G56" s="2">
        <f t="shared" si="1"/>
        <v>0.0102406554019457</v>
      </c>
      <c r="H56" s="3" t="s">
        <v>58</v>
      </c>
    </row>
    <row r="57" ht="17.25" spans="6:8">
      <c r="F57" s="1">
        <v>1000</v>
      </c>
      <c r="G57" s="2">
        <f t="shared" si="1"/>
        <v>0.0102406554019457</v>
      </c>
      <c r="H57" s="3" t="s">
        <v>59</v>
      </c>
    </row>
    <row r="58" ht="17.25" spans="6:8">
      <c r="F58" s="1">
        <v>1000</v>
      </c>
      <c r="G58" s="2">
        <f t="shared" si="1"/>
        <v>0.0102406554019457</v>
      </c>
      <c r="H58" s="3" t="s">
        <v>60</v>
      </c>
    </row>
    <row r="59" ht="17.25" spans="6:8">
      <c r="F59" s="1">
        <v>1000</v>
      </c>
      <c r="G59" s="2">
        <f t="shared" si="1"/>
        <v>0.0102406554019457</v>
      </c>
      <c r="H59" s="3" t="s">
        <v>61</v>
      </c>
    </row>
    <row r="60" ht="17.25" spans="6:8">
      <c r="F60" s="1">
        <v>1000</v>
      </c>
      <c r="G60" s="2">
        <f t="shared" si="1"/>
        <v>0.0102406554019457</v>
      </c>
      <c r="H60" s="3" t="s">
        <v>62</v>
      </c>
    </row>
    <row r="61" ht="17.25" spans="6:8">
      <c r="F61" s="1">
        <v>1000</v>
      </c>
      <c r="G61" s="2">
        <f t="shared" si="1"/>
        <v>0.0102406554019457</v>
      </c>
      <c r="H61" s="3" t="s">
        <v>63</v>
      </c>
    </row>
    <row r="62" ht="17.25" spans="6:8">
      <c r="F62" s="1">
        <v>1000</v>
      </c>
      <c r="G62" s="2">
        <f t="shared" si="1"/>
        <v>0.0102406554019457</v>
      </c>
      <c r="H62" s="3" t="s">
        <v>64</v>
      </c>
    </row>
    <row r="63" ht="17.25" spans="6:8">
      <c r="F63" s="1">
        <v>1000</v>
      </c>
      <c r="G63" s="2">
        <f t="shared" si="1"/>
        <v>0.0102406554019457</v>
      </c>
      <c r="H63" s="3" t="s">
        <v>65</v>
      </c>
    </row>
    <row r="64" ht="17.25" spans="6:8">
      <c r="F64" s="1">
        <v>1000</v>
      </c>
      <c r="G64" s="2">
        <f t="shared" si="1"/>
        <v>0.0102406554019457</v>
      </c>
      <c r="H64" s="3" t="s">
        <v>66</v>
      </c>
    </row>
    <row r="65" ht="17.25" spans="6:8">
      <c r="F65" s="1">
        <v>1000</v>
      </c>
      <c r="G65" s="2">
        <f t="shared" si="1"/>
        <v>0.0102406554019457</v>
      </c>
      <c r="H65" s="3" t="s">
        <v>67</v>
      </c>
    </row>
    <row r="66" ht="17.25" spans="6:8">
      <c r="F66" s="1">
        <v>1000</v>
      </c>
      <c r="G66" s="2">
        <f t="shared" si="1"/>
        <v>0.0102406554019457</v>
      </c>
      <c r="H66" s="3" t="s">
        <v>68</v>
      </c>
    </row>
    <row r="67" ht="17.25" spans="6:8">
      <c r="F67" s="1">
        <v>1000</v>
      </c>
      <c r="G67" s="2">
        <f t="shared" ref="G67:G100" si="2">F67/SUM($F$2:$F$100)</f>
        <v>0.0102406554019457</v>
      </c>
      <c r="H67" s="3" t="s">
        <v>69</v>
      </c>
    </row>
    <row r="68" ht="17.25" spans="6:8">
      <c r="F68" s="1">
        <v>1000</v>
      </c>
      <c r="G68" s="2">
        <f t="shared" si="2"/>
        <v>0.0102406554019457</v>
      </c>
      <c r="H68" s="3" t="s">
        <v>70</v>
      </c>
    </row>
    <row r="69" ht="17.25" spans="6:8">
      <c r="F69" s="1">
        <v>1000</v>
      </c>
      <c r="G69" s="2">
        <f t="shared" si="2"/>
        <v>0.0102406554019457</v>
      </c>
      <c r="H69" s="3" t="s">
        <v>152</v>
      </c>
    </row>
    <row r="70" ht="17.25" spans="6:8">
      <c r="F70" s="1">
        <v>1000</v>
      </c>
      <c r="G70" s="2">
        <f t="shared" si="2"/>
        <v>0.0102406554019457</v>
      </c>
      <c r="H70" s="3" t="s">
        <v>71</v>
      </c>
    </row>
    <row r="71" ht="17.25" spans="6:8">
      <c r="F71" s="1">
        <v>1000</v>
      </c>
      <c r="G71" s="2">
        <f t="shared" si="2"/>
        <v>0.0102406554019457</v>
      </c>
      <c r="H71" s="3" t="s">
        <v>153</v>
      </c>
    </row>
    <row r="72" ht="17.25" spans="6:8">
      <c r="F72" s="1">
        <v>1000</v>
      </c>
      <c r="G72" s="2">
        <f t="shared" si="2"/>
        <v>0.0102406554019457</v>
      </c>
      <c r="H72" s="3" t="s">
        <v>72</v>
      </c>
    </row>
    <row r="73" ht="17.25" spans="6:8">
      <c r="F73" s="1">
        <v>1000</v>
      </c>
      <c r="G73" s="2">
        <f t="shared" si="2"/>
        <v>0.0102406554019457</v>
      </c>
      <c r="H73" s="3" t="s">
        <v>154</v>
      </c>
    </row>
    <row r="74" ht="17.25" spans="6:8">
      <c r="F74" s="1">
        <v>1000</v>
      </c>
      <c r="G74" s="2">
        <f t="shared" si="2"/>
        <v>0.0102406554019457</v>
      </c>
      <c r="H74" s="3" t="s">
        <v>155</v>
      </c>
    </row>
    <row r="75" ht="17.25" spans="6:8">
      <c r="F75" s="1">
        <v>1000</v>
      </c>
      <c r="G75" s="2">
        <f t="shared" si="2"/>
        <v>0.0102406554019457</v>
      </c>
      <c r="H75" s="3" t="s">
        <v>156</v>
      </c>
    </row>
    <row r="76" ht="17.25" spans="6:8">
      <c r="F76" s="1">
        <v>1000</v>
      </c>
      <c r="G76" s="2">
        <f t="shared" si="2"/>
        <v>0.0102406554019457</v>
      </c>
      <c r="H76" s="3" t="s">
        <v>73</v>
      </c>
    </row>
    <row r="77" ht="17.25" spans="6:8">
      <c r="F77" s="1">
        <v>1000</v>
      </c>
      <c r="G77" s="2">
        <f t="shared" si="2"/>
        <v>0.0102406554019457</v>
      </c>
      <c r="H77" s="3" t="s">
        <v>157</v>
      </c>
    </row>
    <row r="78" ht="17.25" spans="6:8">
      <c r="F78" s="1">
        <v>1000</v>
      </c>
      <c r="G78" s="2">
        <f t="shared" si="2"/>
        <v>0.0102406554019457</v>
      </c>
      <c r="H78" s="3" t="s">
        <v>74</v>
      </c>
    </row>
    <row r="79" ht="17.25" spans="6:8">
      <c r="F79" s="1">
        <v>1000</v>
      </c>
      <c r="G79" s="2">
        <f t="shared" si="2"/>
        <v>0.0102406554019457</v>
      </c>
      <c r="H79" s="3" t="s">
        <v>75</v>
      </c>
    </row>
    <row r="80" ht="17.25" spans="6:8">
      <c r="F80" s="1">
        <v>1000</v>
      </c>
      <c r="G80" s="2">
        <f t="shared" si="2"/>
        <v>0.0102406554019457</v>
      </c>
      <c r="H80" s="3" t="s">
        <v>158</v>
      </c>
    </row>
    <row r="81" ht="17.25" spans="6:8">
      <c r="F81" s="1">
        <v>1000</v>
      </c>
      <c r="G81" s="2">
        <f t="shared" si="2"/>
        <v>0.0102406554019457</v>
      </c>
      <c r="H81" s="3" t="s">
        <v>76</v>
      </c>
    </row>
    <row r="82" ht="17.25" spans="6:8">
      <c r="F82" s="1">
        <v>1000</v>
      </c>
      <c r="G82" s="2">
        <f t="shared" si="2"/>
        <v>0.0102406554019457</v>
      </c>
      <c r="H82" s="3" t="s">
        <v>77</v>
      </c>
    </row>
    <row r="83" ht="17.25" spans="6:8">
      <c r="F83" s="1">
        <v>1000</v>
      </c>
      <c r="G83" s="2">
        <f t="shared" si="2"/>
        <v>0.0102406554019457</v>
      </c>
      <c r="H83" s="3" t="s">
        <v>78</v>
      </c>
    </row>
    <row r="84" ht="17.25" spans="6:8">
      <c r="F84" s="1">
        <v>1000</v>
      </c>
      <c r="G84" s="2">
        <f t="shared" si="2"/>
        <v>0.0102406554019457</v>
      </c>
      <c r="H84" s="3" t="s">
        <v>79</v>
      </c>
    </row>
    <row r="85" ht="17.25" spans="6:8">
      <c r="F85" s="1">
        <v>1000</v>
      </c>
      <c r="G85" s="2">
        <f t="shared" si="2"/>
        <v>0.0102406554019457</v>
      </c>
      <c r="H85" s="3" t="s">
        <v>80</v>
      </c>
    </row>
    <row r="86" ht="17.25" spans="6:8">
      <c r="F86" s="1">
        <v>1000</v>
      </c>
      <c r="G86" s="2">
        <f t="shared" si="2"/>
        <v>0.0102406554019457</v>
      </c>
      <c r="H86" s="3" t="s">
        <v>81</v>
      </c>
    </row>
    <row r="87" ht="17.25" spans="6:8">
      <c r="F87" s="1">
        <v>1000</v>
      </c>
      <c r="G87" s="2">
        <f t="shared" si="2"/>
        <v>0.0102406554019457</v>
      </c>
      <c r="H87" s="3" t="s">
        <v>82</v>
      </c>
    </row>
    <row r="88" ht="17.25" spans="6:8">
      <c r="F88" s="1">
        <v>1000</v>
      </c>
      <c r="G88" s="2">
        <f t="shared" si="2"/>
        <v>0.0102406554019457</v>
      </c>
      <c r="H88" s="3" t="s">
        <v>83</v>
      </c>
    </row>
    <row r="89" ht="17.25" spans="6:8">
      <c r="F89" s="1">
        <v>1000</v>
      </c>
      <c r="G89" s="2">
        <f t="shared" si="2"/>
        <v>0.0102406554019457</v>
      </c>
      <c r="H89" s="3" t="s">
        <v>84</v>
      </c>
    </row>
    <row r="90" ht="17.25" spans="6:8">
      <c r="F90" s="1">
        <v>1000</v>
      </c>
      <c r="G90" s="2">
        <f t="shared" si="2"/>
        <v>0.0102406554019457</v>
      </c>
      <c r="H90" s="3" t="s">
        <v>85</v>
      </c>
    </row>
    <row r="91" ht="17.25" spans="6:8">
      <c r="F91" s="1">
        <v>1000</v>
      </c>
      <c r="G91" s="2">
        <f t="shared" si="2"/>
        <v>0.0102406554019457</v>
      </c>
      <c r="H91" s="3" t="s">
        <v>86</v>
      </c>
    </row>
    <row r="92" ht="17.25" spans="6:8">
      <c r="F92" s="1">
        <v>1000</v>
      </c>
      <c r="G92" s="2">
        <f t="shared" si="2"/>
        <v>0.0102406554019457</v>
      </c>
      <c r="H92" s="3" t="s">
        <v>87</v>
      </c>
    </row>
    <row r="93" ht="17.25" spans="6:8">
      <c r="F93" s="1">
        <v>1000</v>
      </c>
      <c r="G93" s="2">
        <f t="shared" si="2"/>
        <v>0.0102406554019457</v>
      </c>
      <c r="H93" s="3" t="s">
        <v>88</v>
      </c>
    </row>
    <row r="94" ht="17.25" spans="6:8">
      <c r="F94" s="1">
        <v>1000</v>
      </c>
      <c r="G94" s="2">
        <f t="shared" si="2"/>
        <v>0.0102406554019457</v>
      </c>
      <c r="H94" s="3" t="s">
        <v>89</v>
      </c>
    </row>
    <row r="95" ht="17.25" spans="6:8">
      <c r="F95" s="1">
        <v>1000</v>
      </c>
      <c r="G95" s="2">
        <f t="shared" si="2"/>
        <v>0.0102406554019457</v>
      </c>
      <c r="H95" s="3" t="s">
        <v>90</v>
      </c>
    </row>
    <row r="96" ht="17.25" spans="6:8">
      <c r="F96" s="1">
        <v>1000</v>
      </c>
      <c r="G96" s="2">
        <f t="shared" si="2"/>
        <v>0.0102406554019457</v>
      </c>
      <c r="H96" s="3" t="s">
        <v>91</v>
      </c>
    </row>
    <row r="97" ht="17.25" spans="6:8">
      <c r="F97" s="1">
        <v>1000</v>
      </c>
      <c r="G97" s="2">
        <f t="shared" si="2"/>
        <v>0.0102406554019457</v>
      </c>
      <c r="H97" s="3" t="s">
        <v>92</v>
      </c>
    </row>
    <row r="98" ht="17.25" spans="6:8">
      <c r="F98" s="1">
        <v>1000</v>
      </c>
      <c r="G98" s="2">
        <f t="shared" si="2"/>
        <v>0.0102406554019457</v>
      </c>
      <c r="H98" s="3" t="s">
        <v>93</v>
      </c>
    </row>
    <row r="99" ht="17.25" spans="6:8">
      <c r="F99" s="1">
        <v>1000</v>
      </c>
      <c r="G99" s="2">
        <f t="shared" si="2"/>
        <v>0.0102406554019457</v>
      </c>
      <c r="H99" s="3" t="s">
        <v>94</v>
      </c>
    </row>
    <row r="100" ht="17.25" spans="6:8">
      <c r="F100" s="1">
        <v>1000</v>
      </c>
      <c r="G100" s="2">
        <f t="shared" si="2"/>
        <v>0.0102406554019457</v>
      </c>
      <c r="H100" s="3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2023-02-09T02:02:00Z</dcterms:created>
  <dcterms:modified xsi:type="dcterms:W3CDTF">2024-10-12T06:02:38Z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2052-12.1.0.18276</vt:lpwstr>
  </property>
</Properties>
</file>