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xz_chen</author>
    <author>yangronggang</author>
  </authors>
  <commentList>
    <comment ref="A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1-200表示等级基金
1001-9999表示水晶基金</t>
        </r>
      </text>
    </comment>
    <comment ref="B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1.魔法祈愿天数</t>
        </r>
      </text>
    </comment>
    <comment ref="E1" authorId="1">
      <text>
        <r>
          <rPr>
            <b/>
            <sz val="9"/>
            <rFont val="宋体"/>
            <charset val="134"/>
          </rPr>
          <t>yangronggang:</t>
        </r>
        <r>
          <rPr>
            <sz val="9"/>
            <rFont val="宋体"/>
            <charset val="134"/>
          </rPr>
          <t xml:space="preserve">
基金类型：
1.魔法祈愿基金
2.魔法学院基金
3.幸运扭蛋基金</t>
        </r>
      </text>
    </comment>
  </commentList>
</comments>
</file>

<file path=xl/sharedStrings.xml><?xml version="1.0" encoding="utf-8"?>
<sst xmlns="http://schemas.openxmlformats.org/spreadsheetml/2006/main" count="68" uniqueCount="32">
  <si>
    <t>id</t>
  </si>
  <si>
    <t>达成条件</t>
  </si>
  <si>
    <t>免费线奖励内容</t>
  </si>
  <si>
    <t>付费线奖励</t>
  </si>
  <si>
    <t>基金奖励类型</t>
  </si>
  <si>
    <t>both</t>
  </si>
  <si>
    <t>factor</t>
  </si>
  <si>
    <t>freeReward</t>
  </si>
  <si>
    <t>passReward2</t>
  </si>
  <si>
    <t>type</t>
  </si>
  <si>
    <t>int</t>
  </si>
  <si>
    <t>[Reward]</t>
  </si>
  <si>
    <t>index</t>
  </si>
  <si>
    <t>[{Item,310,2}]</t>
  </si>
  <si>
    <t>[{Item,2,630}]</t>
  </si>
  <si>
    <t>[{Item,214,2}]</t>
  </si>
  <si>
    <t>[{Item,2,300}]</t>
  </si>
  <si>
    <t>[{Item,305,1}]</t>
  </si>
  <si>
    <t>[{Item,305,5}]</t>
  </si>
  <si>
    <t>[{Item,17,1}]</t>
  </si>
  <si>
    <t>[{Item,17,6},{Item,2,200}]</t>
  </si>
  <si>
    <t>最终攻击=基础攻击*（1+等级成长系数）</t>
  </si>
  <si>
    <t>等级</t>
  </si>
  <si>
    <t>星级</t>
  </si>
  <si>
    <t>基础攻击*(1+0.1(a-3)</t>
  </si>
  <si>
    <t>基础系数</t>
  </si>
  <si>
    <t>区间系数</t>
  </si>
  <si>
    <t>总系数</t>
  </si>
  <si>
    <t>平均每个珠子伤害系数</t>
  </si>
  <si>
    <t>BOSS血量</t>
  </si>
  <si>
    <t>次数</t>
  </si>
  <si>
    <t>珠子数量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</si>
</sst>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420277777777778"/>
          <c:y val="0.00694444444444444"/>
          <c:w val="0.901027777777778"/>
          <c:h val="0.71166666666666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[1]基础配置!$J$31:$J$46</c:f>
              <c:numCache>
                <c:formatCode>General</c:formatCode>
                <c:ptCount val="16"/>
                <c:pt idx="0">
                  <c:v>0.333333333333333</c:v>
                </c:pt>
                <c:pt idx="1">
                  <c:v>0.375</c:v>
                </c:pt>
                <c:pt idx="2">
                  <c:v>0.4</c:v>
                </c:pt>
                <c:pt idx="3">
                  <c:v>0.416666666666667</c:v>
                </c:pt>
                <c:pt idx="4">
                  <c:v>0.428571428571429</c:v>
                </c:pt>
                <c:pt idx="5">
                  <c:v>0.4375</c:v>
                </c:pt>
                <c:pt idx="6">
                  <c:v>0.444444444444444</c:v>
                </c:pt>
                <c:pt idx="7">
                  <c:v>0.45</c:v>
                </c:pt>
                <c:pt idx="8">
                  <c:v>0.466666666666667</c:v>
                </c:pt>
                <c:pt idx="9">
                  <c:v>0.475</c:v>
                </c:pt>
                <c:pt idx="10">
                  <c:v>0.48</c:v>
                </c:pt>
                <c:pt idx="11">
                  <c:v>0.483333333333333</c:v>
                </c:pt>
                <c:pt idx="12">
                  <c:v>0.485714285714286</c:v>
                </c:pt>
                <c:pt idx="13">
                  <c:v>0.4875</c:v>
                </c:pt>
                <c:pt idx="14">
                  <c:v>0.488888888888889</c:v>
                </c:pt>
                <c:pt idx="15">
                  <c:v>0.5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66504"/>
        <c:axId val="341471208"/>
      </c:scatterChart>
      <c:valAx>
        <c:axId val="34146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71208"/>
        <c:crosses val="autoZero"/>
        <c:crossBetween val="midCat"/>
      </c:valAx>
      <c:valAx>
        <c:axId val="34147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66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589420384951881"/>
          <c:y val="0.134027777777778"/>
          <c:w val="0.890196850393701"/>
          <c:h val="0.715748760571595"/>
        </c:manualLayout>
      </c:layout>
      <c:scatterChart>
        <c:scatterStyle val="line"/>
        <c:varyColors val="0"/>
        <c:ser>
          <c:idx val="0"/>
          <c:order val="0"/>
          <c:tx>
            <c:strRef>
              <c:f>[1]基础配置!$I$30</c:f>
              <c:strCache>
                <c:ptCount val="1"/>
                <c:pt idx="0">
                  <c:v>总系数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[1]基础配置!$I$31:$I$46</c:f>
              <c:numCache>
                <c:formatCode>General</c:formatCode>
                <c:ptCount val="1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5</c:v>
                </c:pt>
                <c:pt idx="8">
                  <c:v>7.5</c:v>
                </c:pt>
                <c:pt idx="9">
                  <c:v>10</c:v>
                </c:pt>
                <c:pt idx="10">
                  <c:v>13</c:v>
                </c:pt>
                <c:pt idx="11">
                  <c:v>15.5</c:v>
                </c:pt>
                <c:pt idx="12">
                  <c:v>18.5</c:v>
                </c:pt>
                <c:pt idx="13">
                  <c:v>21</c:v>
                </c:pt>
                <c:pt idx="14">
                  <c:v>24</c:v>
                </c:pt>
                <c:pt idx="15">
                  <c:v>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76696"/>
        <c:axId val="341468072"/>
      </c:scatterChart>
      <c:valAx>
        <c:axId val="341476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68072"/>
        <c:crosses val="autoZero"/>
        <c:crossBetween val="midCat"/>
      </c:valAx>
      <c:valAx>
        <c:axId val="34146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7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419100</xdr:colOff>
      <xdr:row>10</xdr:row>
      <xdr:rowOff>61595</xdr:rowOff>
    </xdr:from>
    <xdr:to>
      <xdr:col>14</xdr:col>
      <xdr:colOff>190500</xdr:colOff>
      <xdr:row>26</xdr:row>
      <xdr:rowOff>61595</xdr:rowOff>
    </xdr:to>
    <xdr:graphicFrame>
      <xdr:nvGraphicFramePr>
        <xdr:cNvPr id="2" name="图表 1"/>
        <xdr:cNvGraphicFramePr/>
      </xdr:nvGraphicFramePr>
      <xdr:xfrm>
        <a:off x="5219700" y="177609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247650</xdr:colOff>
      <xdr:row>9</xdr:row>
      <xdr:rowOff>137795</xdr:rowOff>
    </xdr:from>
    <xdr:to>
      <xdr:col>21</xdr:col>
      <xdr:colOff>19050</xdr:colOff>
      <xdr:row>25</xdr:row>
      <xdr:rowOff>137795</xdr:rowOff>
    </xdr:to>
    <xdr:graphicFrame>
      <xdr:nvGraphicFramePr>
        <xdr:cNvPr id="3" name="图表 2"/>
        <xdr:cNvGraphicFramePr/>
      </xdr:nvGraphicFramePr>
      <xdr:xfrm>
        <a:off x="9848850" y="168084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419100</xdr:colOff>
      <xdr:row>55</xdr:row>
      <xdr:rowOff>118745</xdr:rowOff>
    </xdr:from>
    <xdr:to>
      <xdr:col>22</xdr:col>
      <xdr:colOff>9525</xdr:colOff>
      <xdr:row>64</xdr:row>
      <xdr:rowOff>162560</xdr:rowOff>
    </xdr:to>
    <xdr:pic>
      <xdr:nvPicPr>
        <xdr:cNvPr id="4" name="图片 3" descr="http://mmbiz.qpic.cn/mmbiz_png/cvmYJvj3A8ubcGADdefQalYlpeibzkuL9QvibCS4ZDqgoNqX7fdPkhGvBOrIs7Sx1JiccXnChSEbRvOPZHKISchwg/0?wx_fmt=png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48700" y="9548495"/>
          <a:ext cx="6448425" cy="1586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yangronggang\tf\tf_config\config\\\Users\chockly\Documents\work\TMTStudio\BF\docs\config\Users\chockly\Documents\work\TMTStudio\BF\docs\config\E:\&#19977;&#28040;\Hero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基础配置"/>
      <sheetName val="Sheet1"/>
      <sheetName val="Sheet2"/>
      <sheetName val="Sheet3"/>
    </sheetNames>
    <sheetDataSet>
      <sheetData sheetId="0">
        <row r="30">
          <cell r="I30" t="str">
            <v>总系数</v>
          </cell>
        </row>
        <row r="31">
          <cell r="I31">
            <v>1</v>
          </cell>
          <cell r="J31">
            <v>0.333333333333333</v>
          </cell>
        </row>
        <row r="32">
          <cell r="I32">
            <v>1.5</v>
          </cell>
          <cell r="J32">
            <v>0.375</v>
          </cell>
        </row>
        <row r="33">
          <cell r="I33">
            <v>2</v>
          </cell>
          <cell r="J33">
            <v>0.4</v>
          </cell>
        </row>
        <row r="34">
          <cell r="I34">
            <v>2.5</v>
          </cell>
          <cell r="J34">
            <v>0.416666666666667</v>
          </cell>
        </row>
        <row r="35">
          <cell r="I35">
            <v>3</v>
          </cell>
          <cell r="J35">
            <v>0.428571428571429</v>
          </cell>
        </row>
        <row r="36">
          <cell r="I36">
            <v>3.5</v>
          </cell>
          <cell r="J36">
            <v>0.4375</v>
          </cell>
        </row>
        <row r="37">
          <cell r="I37">
            <v>4</v>
          </cell>
          <cell r="J37">
            <v>0.444444444444444</v>
          </cell>
        </row>
        <row r="38">
          <cell r="I38">
            <v>5</v>
          </cell>
          <cell r="J38">
            <v>0.45</v>
          </cell>
        </row>
        <row r="39">
          <cell r="I39">
            <v>7.5</v>
          </cell>
          <cell r="J39">
            <v>0.466666666666667</v>
          </cell>
        </row>
        <row r="40">
          <cell r="I40">
            <v>10</v>
          </cell>
          <cell r="J40">
            <v>0.475</v>
          </cell>
        </row>
        <row r="41">
          <cell r="I41">
            <v>13</v>
          </cell>
          <cell r="J41">
            <v>0.48</v>
          </cell>
        </row>
        <row r="42">
          <cell r="I42">
            <v>15.5</v>
          </cell>
          <cell r="J42">
            <v>0.483333333333333</v>
          </cell>
        </row>
        <row r="43">
          <cell r="I43">
            <v>18.5</v>
          </cell>
          <cell r="J43">
            <v>0.485714285714286</v>
          </cell>
        </row>
        <row r="44">
          <cell r="I44">
            <v>21</v>
          </cell>
          <cell r="J44">
            <v>0.4875</v>
          </cell>
        </row>
        <row r="45">
          <cell r="I45">
            <v>24</v>
          </cell>
          <cell r="J45">
            <v>0.488888888888889</v>
          </cell>
        </row>
        <row r="46">
          <cell r="I46">
            <v>27</v>
          </cell>
          <cell r="J46">
            <v>0.5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workbookViewId="0">
      <pane ySplit="5" topLeftCell="A6" activePane="bottomLeft" state="frozen"/>
      <selection/>
      <selection pane="bottomLeft" activeCell="G11" sqref="G11"/>
    </sheetView>
  </sheetViews>
  <sheetFormatPr defaultColWidth="9" defaultRowHeight="17.25"/>
  <cols>
    <col min="1" max="1" width="9" style="3"/>
    <col min="2" max="2" width="20.125" style="3" customWidth="1"/>
    <col min="3" max="3" width="26.875" style="4" customWidth="1"/>
    <col min="4" max="4" width="26.75" style="3" customWidth="1"/>
    <col min="5" max="5" width="19.125" style="3" customWidth="1"/>
    <col min="6" max="6" width="10.75" style="3" customWidth="1"/>
    <col min="7" max="7" width="13.25" style="3" customWidth="1"/>
    <col min="8" max="8" width="15.375" style="3" customWidth="1"/>
    <col min="9" max="9" width="12.375" style="3" customWidth="1"/>
    <col min="10" max="10" width="10.25" style="3" customWidth="1"/>
    <col min="11" max="11" width="13.5" style="5" customWidth="1"/>
    <col min="12" max="13" width="18.125" style="3" customWidth="1"/>
    <col min="14" max="14" width="10.75" style="3" customWidth="1"/>
    <col min="15" max="15" width="11.375" style="3" customWidth="1"/>
    <col min="16" max="16" width="15.375" style="3" customWidth="1"/>
    <col min="17" max="17" width="17.875" style="3" customWidth="1"/>
    <col min="18" max="18" width="12.875" style="3" customWidth="1"/>
    <col min="19" max="19" width="17.875" style="3" customWidth="1"/>
    <col min="20" max="20" width="14.125" style="3" customWidth="1"/>
    <col min="21" max="21" width="11.625" style="3" customWidth="1"/>
    <col min="22" max="22" width="14.125" style="3" customWidth="1"/>
    <col min="23" max="23" width="12.875" style="3" customWidth="1"/>
    <col min="24" max="24" width="12" style="3" customWidth="1"/>
    <col min="25" max="16384" width="9" style="3"/>
  </cols>
  <sheetData>
    <row r="1" s="2" customFormat="1" ht="18" spans="1:1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K1" s="14"/>
    </row>
    <row r="2" spans="1:5">
      <c r="A2" s="9" t="s">
        <v>5</v>
      </c>
      <c r="B2" s="9" t="s">
        <v>5</v>
      </c>
      <c r="C2" s="9" t="s">
        <v>5</v>
      </c>
      <c r="D2" s="10" t="s">
        <v>5</v>
      </c>
      <c r="E2" s="11" t="s">
        <v>5</v>
      </c>
    </row>
    <row r="3" spans="1:5">
      <c r="A3" s="9" t="s">
        <v>0</v>
      </c>
      <c r="B3" s="9" t="s">
        <v>6</v>
      </c>
      <c r="C3" s="9" t="s">
        <v>7</v>
      </c>
      <c r="D3" s="10" t="s">
        <v>8</v>
      </c>
      <c r="E3" s="11" t="s">
        <v>9</v>
      </c>
    </row>
    <row r="4" spans="1:5">
      <c r="A4" s="9" t="s">
        <v>10</v>
      </c>
      <c r="B4" s="9" t="s">
        <v>10</v>
      </c>
      <c r="C4" s="9" t="s">
        <v>11</v>
      </c>
      <c r="D4" s="10" t="s">
        <v>11</v>
      </c>
      <c r="E4" s="11" t="s">
        <v>10</v>
      </c>
    </row>
    <row r="5" spans="1:5">
      <c r="A5" s="9"/>
      <c r="B5" s="9"/>
      <c r="C5" s="12"/>
      <c r="D5" s="13"/>
      <c r="E5" s="11" t="s">
        <v>12</v>
      </c>
    </row>
    <row r="6" spans="1:5">
      <c r="A6" s="11">
        <v>1001</v>
      </c>
      <c r="B6" s="11">
        <v>1</v>
      </c>
      <c r="C6" s="11" t="s">
        <v>13</v>
      </c>
      <c r="D6" s="11" t="s">
        <v>14</v>
      </c>
      <c r="E6" s="11">
        <v>1</v>
      </c>
    </row>
    <row r="7" spans="1:5">
      <c r="A7" s="11">
        <v>1002</v>
      </c>
      <c r="B7" s="11">
        <v>2</v>
      </c>
      <c r="C7" s="11" t="s">
        <v>13</v>
      </c>
      <c r="D7" s="11" t="s">
        <v>14</v>
      </c>
      <c r="E7" s="11">
        <v>1</v>
      </c>
    </row>
    <row r="8" spans="1:5">
      <c r="A8" s="11">
        <v>1003</v>
      </c>
      <c r="B8" s="11">
        <v>3</v>
      </c>
      <c r="C8" s="11" t="s">
        <v>13</v>
      </c>
      <c r="D8" s="11" t="s">
        <v>14</v>
      </c>
      <c r="E8" s="11">
        <v>1</v>
      </c>
    </row>
    <row r="9" spans="1:5">
      <c r="A9" s="11">
        <v>1004</v>
      </c>
      <c r="B9" s="11">
        <v>4</v>
      </c>
      <c r="C9" s="11" t="s">
        <v>13</v>
      </c>
      <c r="D9" s="11" t="s">
        <v>14</v>
      </c>
      <c r="E9" s="11">
        <v>1</v>
      </c>
    </row>
    <row r="10" spans="1:5">
      <c r="A10" s="11">
        <v>2001</v>
      </c>
      <c r="B10" s="11">
        <v>1</v>
      </c>
      <c r="C10" s="11" t="s">
        <v>15</v>
      </c>
      <c r="D10" s="11" t="s">
        <v>16</v>
      </c>
      <c r="E10" s="11">
        <v>2</v>
      </c>
    </row>
    <row r="11" spans="1:5">
      <c r="A11" s="11">
        <v>2002</v>
      </c>
      <c r="B11" s="11">
        <v>2</v>
      </c>
      <c r="C11" s="11" t="s">
        <v>15</v>
      </c>
      <c r="D11" s="11" t="s">
        <v>16</v>
      </c>
      <c r="E11" s="11">
        <v>2</v>
      </c>
    </row>
    <row r="12" spans="1:5">
      <c r="A12" s="11">
        <v>2003</v>
      </c>
      <c r="B12" s="11">
        <v>3</v>
      </c>
      <c r="C12" s="11" t="s">
        <v>15</v>
      </c>
      <c r="D12" s="11" t="s">
        <v>16</v>
      </c>
      <c r="E12" s="11">
        <v>2</v>
      </c>
    </row>
    <row r="13" spans="1:5">
      <c r="A13" s="11">
        <v>2004</v>
      </c>
      <c r="B13" s="11">
        <v>4</v>
      </c>
      <c r="C13" s="11" t="s">
        <v>17</v>
      </c>
      <c r="D13" s="11" t="s">
        <v>18</v>
      </c>
      <c r="E13" s="11">
        <v>2</v>
      </c>
    </row>
    <row r="14" spans="1:5">
      <c r="A14" s="11">
        <v>2005</v>
      </c>
      <c r="B14" s="11">
        <v>5</v>
      </c>
      <c r="C14" s="11" t="s">
        <v>15</v>
      </c>
      <c r="D14" s="11" t="s">
        <v>16</v>
      </c>
      <c r="E14" s="11">
        <v>2</v>
      </c>
    </row>
    <row r="15" spans="1:5">
      <c r="A15" s="11">
        <v>2006</v>
      </c>
      <c r="B15" s="11">
        <v>6</v>
      </c>
      <c r="C15" s="11" t="s">
        <v>15</v>
      </c>
      <c r="D15" s="11" t="s">
        <v>16</v>
      </c>
      <c r="E15" s="11">
        <v>2</v>
      </c>
    </row>
    <row r="16" spans="1:5">
      <c r="A16" s="11">
        <v>2007</v>
      </c>
      <c r="B16" s="11">
        <v>7</v>
      </c>
      <c r="C16" s="11" t="s">
        <v>17</v>
      </c>
      <c r="D16" s="11" t="s">
        <v>18</v>
      </c>
      <c r="E16" s="11">
        <v>2</v>
      </c>
    </row>
    <row r="17" spans="1:5">
      <c r="A17" s="11">
        <v>3001</v>
      </c>
      <c r="B17" s="11">
        <v>1</v>
      </c>
      <c r="C17" s="11" t="s">
        <v>19</v>
      </c>
      <c r="D17" s="11" t="s">
        <v>20</v>
      </c>
      <c r="E17" s="11">
        <v>3</v>
      </c>
    </row>
    <row r="18" spans="1:5">
      <c r="A18" s="11">
        <v>3002</v>
      </c>
      <c r="B18" s="11">
        <v>2</v>
      </c>
      <c r="C18" s="11" t="s">
        <v>19</v>
      </c>
      <c r="D18" s="11" t="s">
        <v>20</v>
      </c>
      <c r="E18" s="11">
        <v>3</v>
      </c>
    </row>
    <row r="19" spans="1:5">
      <c r="A19" s="11">
        <v>3003</v>
      </c>
      <c r="B19" s="11">
        <v>3</v>
      </c>
      <c r="C19" s="11" t="s">
        <v>19</v>
      </c>
      <c r="D19" s="11" t="s">
        <v>20</v>
      </c>
      <c r="E19" s="11">
        <v>3</v>
      </c>
    </row>
    <row r="20" spans="1:5">
      <c r="A20" s="11">
        <v>3004</v>
      </c>
      <c r="B20" s="11">
        <v>4</v>
      </c>
      <c r="C20" s="11" t="s">
        <v>19</v>
      </c>
      <c r="D20" s="11" t="s">
        <v>20</v>
      </c>
      <c r="E20" s="11">
        <v>3</v>
      </c>
    </row>
    <row r="21" spans="1:5">
      <c r="A21" s="11">
        <v>3005</v>
      </c>
      <c r="B21" s="11">
        <v>5</v>
      </c>
      <c r="C21" s="11" t="s">
        <v>19</v>
      </c>
      <c r="D21" s="11" t="s">
        <v>20</v>
      </c>
      <c r="E21" s="11">
        <v>3</v>
      </c>
    </row>
    <row r="22" spans="1:5">
      <c r="A22" s="11">
        <v>3006</v>
      </c>
      <c r="B22" s="11">
        <v>6</v>
      </c>
      <c r="C22" s="11" t="s">
        <v>19</v>
      </c>
      <c r="D22" s="11" t="s">
        <v>20</v>
      </c>
      <c r="E22" s="11">
        <v>3</v>
      </c>
    </row>
    <row r="23" spans="1:5">
      <c r="A23" s="11">
        <v>3007</v>
      </c>
      <c r="B23" s="11">
        <v>7</v>
      </c>
      <c r="C23" s="11" t="s">
        <v>19</v>
      </c>
      <c r="D23" s="11" t="s">
        <v>20</v>
      </c>
      <c r="E23" s="11">
        <v>3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T55"/>
  <sheetViews>
    <sheetView workbookViewId="0">
      <selection activeCell="H65" sqref="H65"/>
    </sheetView>
  </sheetViews>
  <sheetFormatPr defaultColWidth="9" defaultRowHeight="13.5"/>
  <sheetData>
    <row r="7" spans="4:4">
      <c r="D7" t="s">
        <v>21</v>
      </c>
    </row>
    <row r="9" spans="3:4">
      <c r="C9" t="s">
        <v>22</v>
      </c>
      <c r="D9">
        <v>10</v>
      </c>
    </row>
    <row r="10" spans="3:4">
      <c r="C10" t="s">
        <v>23</v>
      </c>
      <c r="D10">
        <v>5</v>
      </c>
    </row>
    <row r="12" spans="4:4">
      <c r="D12">
        <f>100*(1+1+1.8)</f>
        <v>380</v>
      </c>
    </row>
    <row r="26" spans="4:4">
      <c r="D26" t="s">
        <v>24</v>
      </c>
    </row>
    <row r="30" spans="7:20">
      <c r="G30" s="1" t="s">
        <v>25</v>
      </c>
      <c r="H30" t="s">
        <v>26</v>
      </c>
      <c r="I30" t="s">
        <v>27</v>
      </c>
      <c r="J30" t="s">
        <v>28</v>
      </c>
      <c r="P30" t="s">
        <v>29</v>
      </c>
      <c r="S30" t="s">
        <v>30</v>
      </c>
      <c r="T30" t="s">
        <v>31</v>
      </c>
    </row>
    <row r="31" spans="4:20">
      <c r="D31">
        <v>3</v>
      </c>
      <c r="E31">
        <v>10</v>
      </c>
      <c r="F31">
        <f t="shared" ref="F31:F38" si="0">E31/D31</f>
        <v>3.33333333333333</v>
      </c>
      <c r="G31" s="1">
        <v>1</v>
      </c>
      <c r="H31">
        <v>0</v>
      </c>
      <c r="I31">
        <f t="shared" ref="I31:I46" si="1">H31+G31</f>
        <v>1</v>
      </c>
      <c r="J31">
        <f t="shared" ref="J31:J46" si="2">G31/D31</f>
        <v>0.333333333333333</v>
      </c>
      <c r="P31">
        <v>5000</v>
      </c>
      <c r="R31">
        <f>I31*100</f>
        <v>100</v>
      </c>
      <c r="S31">
        <f t="shared" ref="S31:S46" si="3">ROUNDUP($P$31/R31,0)</f>
        <v>50</v>
      </c>
      <c r="T31">
        <f t="shared" ref="T31:T46" si="4">S31*D31</f>
        <v>150</v>
      </c>
    </row>
    <row r="32" spans="4:20">
      <c r="D32">
        <v>4</v>
      </c>
      <c r="E32">
        <v>15</v>
      </c>
      <c r="F32">
        <f t="shared" si="0"/>
        <v>3.75</v>
      </c>
      <c r="G32" s="1">
        <v>1.5</v>
      </c>
      <c r="H32">
        <v>0</v>
      </c>
      <c r="I32">
        <f t="shared" si="1"/>
        <v>1.5</v>
      </c>
      <c r="J32">
        <f t="shared" si="2"/>
        <v>0.375</v>
      </c>
      <c r="R32">
        <f t="shared" ref="R32:R46" si="5">I32*100</f>
        <v>150</v>
      </c>
      <c r="S32">
        <f t="shared" si="3"/>
        <v>34</v>
      </c>
      <c r="T32">
        <f t="shared" si="4"/>
        <v>136</v>
      </c>
    </row>
    <row r="33" spans="4:20">
      <c r="D33">
        <v>5</v>
      </c>
      <c r="E33">
        <v>20</v>
      </c>
      <c r="F33">
        <f t="shared" si="0"/>
        <v>4</v>
      </c>
      <c r="G33" s="1">
        <v>2</v>
      </c>
      <c r="H33">
        <v>0</v>
      </c>
      <c r="I33">
        <f t="shared" si="1"/>
        <v>2</v>
      </c>
      <c r="J33">
        <f t="shared" si="2"/>
        <v>0.4</v>
      </c>
      <c r="R33">
        <f t="shared" si="5"/>
        <v>200</v>
      </c>
      <c r="S33">
        <f t="shared" si="3"/>
        <v>25</v>
      </c>
      <c r="T33">
        <f t="shared" si="4"/>
        <v>125</v>
      </c>
    </row>
    <row r="34" spans="4:20">
      <c r="D34">
        <v>6</v>
      </c>
      <c r="E34">
        <v>25</v>
      </c>
      <c r="F34">
        <f t="shared" si="0"/>
        <v>4.16666666666667</v>
      </c>
      <c r="G34" s="1">
        <v>2.5</v>
      </c>
      <c r="H34">
        <v>0</v>
      </c>
      <c r="I34">
        <f t="shared" si="1"/>
        <v>2.5</v>
      </c>
      <c r="J34">
        <f t="shared" si="2"/>
        <v>0.416666666666667</v>
      </c>
      <c r="R34">
        <f t="shared" si="5"/>
        <v>250</v>
      </c>
      <c r="S34">
        <f t="shared" si="3"/>
        <v>20</v>
      </c>
      <c r="T34">
        <f t="shared" si="4"/>
        <v>120</v>
      </c>
    </row>
    <row r="35" spans="4:20">
      <c r="D35">
        <v>7</v>
      </c>
      <c r="E35">
        <v>30</v>
      </c>
      <c r="F35">
        <f t="shared" si="0"/>
        <v>4.28571428571429</v>
      </c>
      <c r="G35" s="1">
        <v>3</v>
      </c>
      <c r="H35">
        <v>0</v>
      </c>
      <c r="I35">
        <f t="shared" si="1"/>
        <v>3</v>
      </c>
      <c r="J35">
        <f t="shared" si="2"/>
        <v>0.428571428571429</v>
      </c>
      <c r="R35">
        <f t="shared" si="5"/>
        <v>300</v>
      </c>
      <c r="S35">
        <f t="shared" si="3"/>
        <v>17</v>
      </c>
      <c r="T35">
        <f t="shared" si="4"/>
        <v>119</v>
      </c>
    </row>
    <row r="36" spans="4:20">
      <c r="D36">
        <v>8</v>
      </c>
      <c r="E36">
        <v>35</v>
      </c>
      <c r="F36">
        <f t="shared" si="0"/>
        <v>4.375</v>
      </c>
      <c r="G36" s="1">
        <v>3.5</v>
      </c>
      <c r="H36">
        <v>0</v>
      </c>
      <c r="I36">
        <f t="shared" si="1"/>
        <v>3.5</v>
      </c>
      <c r="J36">
        <f t="shared" si="2"/>
        <v>0.4375</v>
      </c>
      <c r="R36">
        <f t="shared" si="5"/>
        <v>350</v>
      </c>
      <c r="S36">
        <f t="shared" si="3"/>
        <v>15</v>
      </c>
      <c r="T36">
        <f t="shared" si="4"/>
        <v>120</v>
      </c>
    </row>
    <row r="37" spans="4:20">
      <c r="D37">
        <v>9</v>
      </c>
      <c r="E37">
        <v>40</v>
      </c>
      <c r="F37">
        <f t="shared" si="0"/>
        <v>4.44444444444444</v>
      </c>
      <c r="G37" s="1">
        <v>4</v>
      </c>
      <c r="H37">
        <v>0</v>
      </c>
      <c r="I37">
        <f t="shared" si="1"/>
        <v>4</v>
      </c>
      <c r="J37">
        <f t="shared" si="2"/>
        <v>0.444444444444444</v>
      </c>
      <c r="R37">
        <f t="shared" si="5"/>
        <v>400</v>
      </c>
      <c r="S37">
        <f t="shared" si="3"/>
        <v>13</v>
      </c>
      <c r="T37">
        <f t="shared" si="4"/>
        <v>117</v>
      </c>
    </row>
    <row r="38" spans="4:20">
      <c r="D38">
        <v>10</v>
      </c>
      <c r="E38">
        <v>45</v>
      </c>
      <c r="F38">
        <f t="shared" si="0"/>
        <v>4.5</v>
      </c>
      <c r="G38" s="1">
        <v>4.5</v>
      </c>
      <c r="H38">
        <v>0.5</v>
      </c>
      <c r="I38">
        <f t="shared" si="1"/>
        <v>5</v>
      </c>
      <c r="J38">
        <f t="shared" si="2"/>
        <v>0.45</v>
      </c>
      <c r="R38">
        <f t="shared" si="5"/>
        <v>500</v>
      </c>
      <c r="S38">
        <f t="shared" si="3"/>
        <v>10</v>
      </c>
      <c r="T38">
        <f t="shared" si="4"/>
        <v>100</v>
      </c>
    </row>
    <row r="39" spans="4:20">
      <c r="D39">
        <v>15</v>
      </c>
      <c r="G39" s="1">
        <v>7</v>
      </c>
      <c r="H39">
        <v>0.5</v>
      </c>
      <c r="I39">
        <f t="shared" si="1"/>
        <v>7.5</v>
      </c>
      <c r="J39">
        <f t="shared" si="2"/>
        <v>0.466666666666667</v>
      </c>
      <c r="R39">
        <f t="shared" si="5"/>
        <v>750</v>
      </c>
      <c r="S39">
        <f t="shared" si="3"/>
        <v>7</v>
      </c>
      <c r="T39">
        <f t="shared" si="4"/>
        <v>105</v>
      </c>
    </row>
    <row r="40" spans="4:20">
      <c r="D40">
        <v>20</v>
      </c>
      <c r="G40" s="1">
        <v>9.5</v>
      </c>
      <c r="H40">
        <v>0.5</v>
      </c>
      <c r="I40">
        <f t="shared" si="1"/>
        <v>10</v>
      </c>
      <c r="J40">
        <f t="shared" si="2"/>
        <v>0.475</v>
      </c>
      <c r="R40">
        <f t="shared" si="5"/>
        <v>1000</v>
      </c>
      <c r="S40">
        <f t="shared" si="3"/>
        <v>5</v>
      </c>
      <c r="T40">
        <f t="shared" si="4"/>
        <v>100</v>
      </c>
    </row>
    <row r="41" spans="4:20">
      <c r="D41">
        <v>25</v>
      </c>
      <c r="G41" s="1">
        <v>12</v>
      </c>
      <c r="H41">
        <v>1</v>
      </c>
      <c r="I41">
        <f t="shared" si="1"/>
        <v>13</v>
      </c>
      <c r="J41">
        <f t="shared" si="2"/>
        <v>0.48</v>
      </c>
      <c r="R41">
        <f t="shared" si="5"/>
        <v>1300</v>
      </c>
      <c r="S41">
        <f t="shared" si="3"/>
        <v>4</v>
      </c>
      <c r="T41">
        <f t="shared" si="4"/>
        <v>100</v>
      </c>
    </row>
    <row r="42" spans="4:20">
      <c r="D42">
        <v>30</v>
      </c>
      <c r="G42" s="1">
        <v>14.5</v>
      </c>
      <c r="H42">
        <v>1</v>
      </c>
      <c r="I42">
        <f t="shared" si="1"/>
        <v>15.5</v>
      </c>
      <c r="J42">
        <f t="shared" si="2"/>
        <v>0.483333333333333</v>
      </c>
      <c r="R42">
        <f t="shared" si="5"/>
        <v>1550</v>
      </c>
      <c r="S42">
        <f t="shared" si="3"/>
        <v>4</v>
      </c>
      <c r="T42">
        <f t="shared" si="4"/>
        <v>120</v>
      </c>
    </row>
    <row r="43" spans="4:20">
      <c r="D43">
        <v>35</v>
      </c>
      <c r="G43" s="1">
        <v>17</v>
      </c>
      <c r="H43">
        <v>1.5</v>
      </c>
      <c r="I43">
        <f t="shared" si="1"/>
        <v>18.5</v>
      </c>
      <c r="J43">
        <f t="shared" si="2"/>
        <v>0.485714285714286</v>
      </c>
      <c r="R43">
        <f t="shared" si="5"/>
        <v>1850</v>
      </c>
      <c r="S43">
        <f t="shared" si="3"/>
        <v>3</v>
      </c>
      <c r="T43">
        <f t="shared" si="4"/>
        <v>105</v>
      </c>
    </row>
    <row r="44" spans="4:20">
      <c r="D44">
        <v>40</v>
      </c>
      <c r="G44" s="1">
        <v>19.5</v>
      </c>
      <c r="H44">
        <v>1.5</v>
      </c>
      <c r="I44">
        <f t="shared" si="1"/>
        <v>21</v>
      </c>
      <c r="J44">
        <f t="shared" si="2"/>
        <v>0.4875</v>
      </c>
      <c r="R44">
        <f t="shared" si="5"/>
        <v>2100</v>
      </c>
      <c r="S44">
        <f t="shared" si="3"/>
        <v>3</v>
      </c>
      <c r="T44">
        <f t="shared" si="4"/>
        <v>120</v>
      </c>
    </row>
    <row r="45" spans="4:20">
      <c r="D45">
        <v>45</v>
      </c>
      <c r="G45" s="1">
        <v>22</v>
      </c>
      <c r="H45">
        <v>2</v>
      </c>
      <c r="I45">
        <f t="shared" si="1"/>
        <v>24</v>
      </c>
      <c r="J45">
        <f t="shared" si="2"/>
        <v>0.488888888888889</v>
      </c>
      <c r="R45">
        <f t="shared" si="5"/>
        <v>2400</v>
      </c>
      <c r="S45">
        <f t="shared" si="3"/>
        <v>3</v>
      </c>
      <c r="T45">
        <f t="shared" si="4"/>
        <v>135</v>
      </c>
    </row>
    <row r="46" spans="4:20">
      <c r="D46">
        <v>50</v>
      </c>
      <c r="G46" s="1">
        <v>25</v>
      </c>
      <c r="H46">
        <v>2</v>
      </c>
      <c r="I46">
        <f t="shared" si="1"/>
        <v>27</v>
      </c>
      <c r="J46">
        <f t="shared" si="2"/>
        <v>0.5</v>
      </c>
      <c r="R46">
        <f t="shared" si="5"/>
        <v>2700</v>
      </c>
      <c r="S46">
        <f t="shared" si="3"/>
        <v>2</v>
      </c>
      <c r="T46">
        <f t="shared" si="4"/>
        <v>100</v>
      </c>
    </row>
    <row r="52" spans="13:15">
      <c r="M52">
        <v>1</v>
      </c>
      <c r="N52">
        <v>100</v>
      </c>
      <c r="O52">
        <f t="shared" ref="O52:O55" si="6">N52/M52</f>
        <v>100</v>
      </c>
    </row>
    <row r="53" spans="13:15">
      <c r="M53">
        <v>2</v>
      </c>
      <c r="N53">
        <v>300</v>
      </c>
      <c r="O53">
        <f t="shared" si="6"/>
        <v>150</v>
      </c>
    </row>
    <row r="54" spans="13:15">
      <c r="M54">
        <v>3</v>
      </c>
      <c r="N54">
        <v>700</v>
      </c>
      <c r="O54">
        <f t="shared" si="6"/>
        <v>233.333333333333</v>
      </c>
    </row>
    <row r="55" spans="13:15">
      <c r="M55">
        <v>4</v>
      </c>
      <c r="N55">
        <v>1500</v>
      </c>
      <c r="O55">
        <f t="shared" si="6"/>
        <v>375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mok</cp:lastModifiedBy>
  <dcterms:created xsi:type="dcterms:W3CDTF">2023-02-12T01:33:00Z</dcterms:created>
  <dcterms:modified xsi:type="dcterms:W3CDTF">2024-10-09T02:15:41Z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8E681237B87547D29189FA8178E52905</vt:lpwstr>
  </property>
  <property fmtid="{D5CDD505-2E9C-101B-9397-08002B2CF9AE}" pid="3" name="KSOProductBuildVer">
    <vt:lpwstr>2052-12.1.0.15990</vt:lpwstr>
  </property>
</Properties>
</file>