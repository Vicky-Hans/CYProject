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Sheet1" sheetId="1" r:id="rId1"/>
    <sheet name="Sheet2" sheetId="2" r:id="rId2"/>
  </sheets>
  <definedNames>
    <definedName name="_xlnm._FilterDatabase" localSheetId="0" hidden="1">Sheet1!$A$5:$N$128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zx_yang</author>
  </authors>
  <commentList>
    <comment ref="A1" authorId="0">
      <text>
        <r>
          <rPr>
            <sz val="9"/>
            <rFont val="宋体"/>
            <charset val="134"/>
          </rPr>
          <t>chenjiahui：
唯一不可重复</t>
        </r>
      </text>
    </comment>
    <comment ref="D1" authorId="0">
      <text>
        <r>
          <rPr>
            <sz val="9"/>
            <rFont val="宋体"/>
            <charset val="134"/>
          </rPr>
          <t>chenjiahui：
-1：审核临时使用（可替换）
1：章节礼包
2：金币礼包
3：钻石礼包
4：月卡
7.每日特惠礼包
8.钻石通行证
9.触发礼包
10.魔法祈愿基金
11.关卡基金
12.魔法学院礼包
13.魔法学院基金
14.魔法时代礼包
15.0元购
16.扭蛋基金
17.金秋特惠
18.</t>
        </r>
      </text>
    </comment>
    <comment ref="E1" authorId="0">
      <text>
        <r>
          <rPr>
            <sz val="9"/>
            <rFont val="宋体"/>
            <charset val="134"/>
          </rPr>
          <t>通过X关开启该礼包
关卡读取
不填就是没条件，默认显示</t>
        </r>
      </text>
    </comment>
    <comment ref="H1" authorId="0">
      <text>
        <r>
          <rPr>
            <sz val="9"/>
            <rFont val="宋体"/>
            <charset val="134"/>
          </rPr>
          <t>chenjiahui：对应recharge表ID
，ios已经审核过的内容，不要修改！！！如有新增请同步负责人！
0为免费商品
-1为广告商品
-2为首次免费，后2次看广告；
-3为钻石商品</t>
        </r>
      </text>
    </comment>
    <comment ref="I1" authorId="0">
      <text>
        <r>
          <rPr>
            <sz val="9"/>
            <rFont val="宋体"/>
            <charset val="134"/>
          </rPr>
          <t>chenjiahui：
根据充值类型，充值消耗道具数量填写
代金券购买，金币购买类型除开</t>
        </r>
      </text>
    </comment>
    <comment ref="M1" authorId="0">
      <text>
        <r>
          <rPr>
            <sz val="9"/>
            <rFont val="宋体"/>
            <charset val="134"/>
          </rPr>
          <t xml:space="preserve">礼包内各条目的顺序
</t>
        </r>
      </text>
    </comment>
  </commentList>
</comments>
</file>

<file path=xl/sharedStrings.xml><?xml version="1.0" encoding="utf-8"?>
<sst xmlns="http://schemas.openxmlformats.org/spreadsheetml/2006/main" count="408" uniqueCount="245">
  <si>
    <t>id</t>
  </si>
  <si>
    <t>礼包名称</t>
  </si>
  <si>
    <t>礼包图标</t>
  </si>
  <si>
    <t>类型</t>
  </si>
  <si>
    <t>显示条件</t>
  </si>
  <si>
    <t>礼包内容</t>
  </si>
  <si>
    <t>自选内容</t>
  </si>
  <si>
    <r>
      <rPr>
        <sz val="12"/>
        <color theme="0"/>
        <rFont val="微软雅黑"/>
        <charset val="134"/>
      </rPr>
      <t>充值ID</t>
    </r>
    <r>
      <rPr>
        <b/>
        <sz val="14"/>
        <color rgb="FFFF0000"/>
        <rFont val="微软雅黑"/>
        <charset val="134"/>
      </rPr>
      <t xml:space="preserve"> 勿自行添加修改！！</t>
    </r>
  </si>
  <si>
    <t>货币价格</t>
  </si>
  <si>
    <t>价值（$）</t>
  </si>
  <si>
    <t>价值（￥）</t>
  </si>
  <si>
    <t>折扣显示</t>
  </si>
  <si>
    <t>显示排序</t>
  </si>
  <si>
    <t>限购次数</t>
  </si>
  <si>
    <t>both</t>
  </si>
  <si>
    <t>server</t>
  </si>
  <si>
    <t>client</t>
  </si>
  <si>
    <t>payName</t>
  </si>
  <si>
    <t>icon</t>
  </si>
  <si>
    <t>rule</t>
  </si>
  <si>
    <t>condition</t>
  </si>
  <si>
    <t>reward</t>
  </si>
  <si>
    <t>optionalReward</t>
  </si>
  <si>
    <t>rechargeId</t>
  </si>
  <si>
    <t>cost</t>
  </si>
  <si>
    <t>value</t>
  </si>
  <si>
    <t>num</t>
  </si>
  <si>
    <t>buyLimit</t>
  </si>
  <si>
    <t>int</t>
  </si>
  <si>
    <t>string</t>
  </si>
  <si>
    <t>[Reward]</t>
  </si>
  <si>
    <t>index</t>
  </si>
  <si>
    <t>策划看</t>
  </si>
  <si>
    <t>新手特惠</t>
  </si>
  <si>
    <t>[{Item,2,30},{Item,201,60}]</t>
  </si>
  <si>
    <t>[{Item,8,60}]</t>
  </si>
  <si>
    <t>500% 返利</t>
  </si>
  <si>
    <t>第3章礼包</t>
  </si>
  <si>
    <t>[{Item,2,150},{Item,202,15}]</t>
  </si>
  <si>
    <t>[{Item,311,5},{Item,312,5}]</t>
  </si>
  <si>
    <t>[{Item,8,300}]</t>
  </si>
  <si>
    <t>第5章礼包</t>
  </si>
  <si>
    <t>[{Item,2,500},{Item,202,50},{Item,302,10},{Item,303,2}]</t>
  </si>
  <si>
    <t>[{Item,8,680}]</t>
  </si>
  <si>
    <t>第10章礼包</t>
  </si>
  <si>
    <t>[{Item,2,500},{Item,214,65},{Item,305,10}]</t>
  </si>
  <si>
    <t>第15章礼包</t>
  </si>
  <si>
    <t>[{Item,2,750},{Item,203,15}]</t>
  </si>
  <si>
    <t>[{Item,305,20},{Item,303,6}]</t>
  </si>
  <si>
    <t>[{Item,8,980}]</t>
  </si>
  <si>
    <t>第20章礼包</t>
  </si>
  <si>
    <t>[{Item,2,750},{Item,203,25}]</t>
  </si>
  <si>
    <t>[{Item,311,20},{Item,312,20}]</t>
  </si>
  <si>
    <t>第25章礼包</t>
  </si>
  <si>
    <t>[{Item,2,1000},{Item,203,40}]</t>
  </si>
  <si>
    <t>[{Item,8,1280}]</t>
  </si>
  <si>
    <t>第30章礼包</t>
  </si>
  <si>
    <t>[{Item,311,30},{Item,312,30}]</t>
  </si>
  <si>
    <t>水晶币*250</t>
  </si>
  <si>
    <t>shop[shop_gold_1]</t>
  </si>
  <si>
    <t>[{Item,1,200}]</t>
  </si>
  <si>
    <t>[{Item,2,10}]</t>
  </si>
  <si>
    <t>水晶币*10000</t>
  </si>
  <si>
    <t>shop[shop_gold_2]</t>
  </si>
  <si>
    <t>[{Item,1,2500}]</t>
  </si>
  <si>
    <t>[{Item,2,99}]</t>
  </si>
  <si>
    <t>水晶币*80000</t>
  </si>
  <si>
    <t>shop[shop_gold_3]</t>
  </si>
  <si>
    <t>[{Item,1,25000}]</t>
  </si>
  <si>
    <t>[{Item,2,500}]</t>
  </si>
  <si>
    <t>一些宝石</t>
  </si>
  <si>
    <t>shop[shop_diamond_1]</t>
  </si>
  <si>
    <t>[{Item,2,30}]</t>
  </si>
  <si>
    <t>一小堆宝石</t>
  </si>
  <si>
    <t>shop[shop_diamond_2]</t>
  </si>
  <si>
    <t>[{Item,2,150}]</t>
  </si>
  <si>
    <t>一大堆宝石</t>
  </si>
  <si>
    <t>shop[shop_diamond_3]</t>
  </si>
  <si>
    <t>一袋宝石</t>
  </si>
  <si>
    <t>shop[shop_diamond_4]</t>
  </si>
  <si>
    <t>[{Item,2,1000}]</t>
  </si>
  <si>
    <t>一桶宝石</t>
  </si>
  <si>
    <t>shop[shop_diamond_5]</t>
  </si>
  <si>
    <t>[{Item,2,2500}]</t>
  </si>
  <si>
    <t>[{Item,8,3280}]</t>
  </si>
  <si>
    <t>一大箱宝石</t>
  </si>
  <si>
    <t>shop[shop_diamond_6]</t>
  </si>
  <si>
    <t>[{Item,2,5500}]</t>
  </si>
  <si>
    <t>[{Item,8,6480}]</t>
  </si>
  <si>
    <t>超值月卡</t>
  </si>
  <si>
    <t>特权月卡</t>
  </si>
  <si>
    <t>新手礼包</t>
  </si>
  <si>
    <t>特惠通行证</t>
  </si>
  <si>
    <t>每日特惠礼包</t>
  </si>
  <si>
    <t>[{Item,8,120}]</t>
  </si>
  <si>
    <t>钻石通行证</t>
  </si>
  <si>
    <t>地精头斧养成包</t>
  </si>
  <si>
    <t>围巾养成包</t>
  </si>
  <si>
    <t>雷电法杖养成包</t>
  </si>
  <si>
    <t>莉莉丝养成包</t>
  </si>
  <si>
    <t>时间沙漏养成包</t>
  </si>
  <si>
    <t>英雄养成礼包（周）</t>
  </si>
  <si>
    <t>武器养成礼包（周）</t>
  </si>
  <si>
    <t>武器招募礼包（周）</t>
  </si>
  <si>
    <t>助力养成礼包（月）</t>
  </si>
  <si>
    <t>武器养成礼包（月）</t>
  </si>
  <si>
    <t>祈愿基金（限时）</t>
  </si>
  <si>
    <t>[{Item,8,500}]</t>
  </si>
  <si>
    <t>免广告卷礼包</t>
  </si>
  <si>
    <t>魔杖盒礼包</t>
  </si>
  <si>
    <t>飞天扫把礼包</t>
  </si>
  <si>
    <t>皮皮鬼养成礼包</t>
  </si>
  <si>
    <t>终身卡</t>
  </si>
  <si>
    <t>钻石通行证2</t>
  </si>
  <si>
    <t>关卡基金</t>
  </si>
  <si>
    <t>[{Item,8,1080}]</t>
  </si>
  <si>
    <t>魔法基金</t>
  </si>
  <si>
    <t>[{Item,8,600}]</t>
  </si>
  <si>
    <t>魔法学院礼包</t>
  </si>
  <si>
    <t>[{Item,2,30},{Item,305,2}]</t>
  </si>
  <si>
    <t>[{Item,2,150},{Item,305,4},{Item,215,10}]</t>
  </si>
  <si>
    <t>[{Item,2,600},{Item,124,5},{Item,1,60000}]</t>
  </si>
  <si>
    <t>[{Item,305,10},{Item,303,3}]</t>
  </si>
  <si>
    <t>[{Item,2,1500},{Item,124,15},{Item,1,100000}]</t>
  </si>
  <si>
    <t>[{Item,305,30},{Item,303,9}]</t>
  </si>
  <si>
    <t>[{Item,2,2500},{Item,211,1},{Item,124,55},{Item,1,300000}]</t>
  </si>
  <si>
    <t>水晶球礼包</t>
  </si>
  <si>
    <t>钥匙礼包1（周）</t>
  </si>
  <si>
    <t>钥匙礼包2（周）</t>
  </si>
  <si>
    <t>钥匙礼包（月）</t>
  </si>
  <si>
    <t>服饰礼包（月）</t>
  </si>
  <si>
    <t>钥匙礼包1（日）</t>
  </si>
  <si>
    <t>钥匙礼包2（日）</t>
  </si>
  <si>
    <t>钥匙礼包3（日）</t>
  </si>
  <si>
    <t>魔法时代1</t>
  </si>
  <si>
    <t>魔法时代2</t>
  </si>
  <si>
    <t>魔法时代3</t>
  </si>
  <si>
    <t>魔法时代4</t>
  </si>
  <si>
    <t>魔法时代5</t>
  </si>
  <si>
    <t>魔法时代6</t>
  </si>
  <si>
    <t>0元购</t>
  </si>
  <si>
    <t>[{Item,310,5},{Item,302,3},{Item,1,1000}]</t>
  </si>
  <si>
    <t>金沙养成礼包</t>
  </si>
  <si>
    <t>扭蛋基金</t>
  </si>
  <si>
    <t>金秋特惠6</t>
  </si>
  <si>
    <t>[{Item,2,30},{Item,17,3},{Item,1,15000}]</t>
  </si>
  <si>
    <t>1000%返利</t>
  </si>
  <si>
    <t>金秋特惠30</t>
  </si>
  <si>
    <t>[{Item,2,150},{Item,17,6},{Lives,3,180}]</t>
  </si>
  <si>
    <t>500%返利</t>
  </si>
  <si>
    <t>金秋特惠60</t>
  </si>
  <si>
    <t>[{Item,2,300},{Item,17,15},{Item,203,10}]</t>
  </si>
  <si>
    <t>金秋特惠1080</t>
  </si>
  <si>
    <t>[{Item,2,500},{Item,17,20}]</t>
  </si>
  <si>
    <t>[{Item,305,9},{Item,303,3}]</t>
  </si>
  <si>
    <t>金秋特惠1280</t>
  </si>
  <si>
    <t>[{Item,2,600},{Item,124,10},{Item,17,20}]</t>
  </si>
  <si>
    <t>金秋特惠3280</t>
  </si>
  <si>
    <t>[{Item,2,1600},{Item,17,25},{Item,313,20},{Item,1,100000}]</t>
  </si>
  <si>
    <t>金秋特惠6480</t>
  </si>
  <si>
    <t>[{Item,2,8000},{Item,17,80},{Item,211,1},{Item,1,300000}]</t>
  </si>
  <si>
    <t>[{Item,305,40},{Item,303,12}]</t>
  </si>
  <si>
    <t>450%返利</t>
  </si>
  <si>
    <t>通关助力10_30</t>
  </si>
  <si>
    <t>通关助力10_68</t>
  </si>
  <si>
    <t>通关助力20_30</t>
  </si>
  <si>
    <t>通关助力20_88</t>
  </si>
  <si>
    <t>[{Item,8,880}]</t>
  </si>
  <si>
    <t>通关助力20_128</t>
  </si>
  <si>
    <t>通关助力30_68</t>
  </si>
  <si>
    <t>通关助力30_128</t>
  </si>
  <si>
    <t>通关助力30_328</t>
  </si>
  <si>
    <t>通关助力40_68</t>
  </si>
  <si>
    <t>通关助力40_128</t>
  </si>
  <si>
    <t>通关助力40_648</t>
  </si>
  <si>
    <t>[{Item,2,300},{Item,124,1}]</t>
  </si>
  <si>
    <t>[{Item,311,12},{Item,312,12},{Item,203,24}]</t>
  </si>
  <si>
    <t>魔法宾果礼包_6</t>
  </si>
  <si>
    <t>[{Item,2,30},{Item,19,3},{Item,1,15000}]</t>
  </si>
  <si>
    <t>魔法宾果礼包_45</t>
  </si>
  <si>
    <t>[{Item,2,250},{Item,19,6}]</t>
  </si>
  <si>
    <t>[{Item,305,7},{Item,303,2}]</t>
  </si>
  <si>
    <t>魔法宾果礼包_60</t>
  </si>
  <si>
    <t>[{Item,2,300},{Item,19,15}]</t>
  </si>
  <si>
    <t>[{Item,203,12},{Item,311,6},{Item,312,6}]</t>
  </si>
  <si>
    <t>魔法宾果礼包_108</t>
  </si>
  <si>
    <t>[{Item,2,500},{Item,313,6},{Item,19,20}]</t>
  </si>
  <si>
    <t>魔法宾果礼包_128</t>
  </si>
  <si>
    <t>[{Item,2,600},{Item,19,20}]</t>
  </si>
  <si>
    <t>[{Item,125,10},{Item,124,10}]</t>
  </si>
  <si>
    <t>魔法宾果礼包_328</t>
  </si>
  <si>
    <t>[{Item,2,1600},{Item,19,70}]</t>
  </si>
  <si>
    <t>[{Item,125,15},{Item,124,15}]</t>
  </si>
  <si>
    <r>
      <rPr>
        <b/>
        <sz val="16"/>
        <color rgb="FFFF0000"/>
        <rFont val="微软雅黑"/>
        <charset val="134"/>
      </rPr>
      <t>需要新增付费项目请直接copy下方内容（修改id、名称、类型后使用）</t>
    </r>
    <r>
      <rPr>
        <b/>
        <i/>
        <sz val="12"/>
        <color theme="9"/>
        <rFont val="微软雅黑"/>
        <charset val="134"/>
      </rPr>
      <t>//使用后需要删除已使用的行数据</t>
    </r>
  </si>
  <si>
    <t>Package61</t>
  </si>
  <si>
    <t>临时，（ios审核通过）可以修改礼包id使用</t>
  </si>
  <si>
    <t>Package62</t>
  </si>
  <si>
    <t>Package63</t>
  </si>
  <si>
    <t>Package64</t>
  </si>
  <si>
    <t>Package34</t>
  </si>
  <si>
    <t>Package41</t>
  </si>
  <si>
    <t>Package48</t>
  </si>
  <si>
    <t>Package55</t>
  </si>
  <si>
    <t>Package77</t>
  </si>
  <si>
    <t>Package78</t>
  </si>
  <si>
    <t>Package79</t>
  </si>
  <si>
    <t>Package82</t>
  </si>
  <si>
    <t>Package83</t>
  </si>
  <si>
    <t>Package87</t>
  </si>
  <si>
    <t>Package95</t>
  </si>
  <si>
    <t>Package96</t>
  </si>
  <si>
    <t>Package97</t>
  </si>
  <si>
    <t>Package99</t>
  </si>
  <si>
    <t>Package100</t>
  </si>
  <si>
    <t>Package101</t>
  </si>
  <si>
    <t>Package106</t>
  </si>
  <si>
    <t>Package112</t>
  </si>
  <si>
    <t>Package113</t>
  </si>
  <si>
    <t>Package114</t>
  </si>
  <si>
    <t>Package115</t>
  </si>
  <si>
    <t>Package117</t>
  </si>
  <si>
    <t>Package118</t>
  </si>
  <si>
    <t>Package119</t>
  </si>
  <si>
    <t>Package120</t>
  </si>
  <si>
    <t>章节礼包</t>
  </si>
  <si>
    <t>金币-100</t>
  </si>
  <si>
    <t>钻石-10</t>
  </si>
  <si>
    <t>装备材料-1</t>
  </si>
  <si>
    <t>高抽-25</t>
  </si>
  <si>
    <t>技能材料-0.1</t>
  </si>
  <si>
    <t>[{Item,1,</t>
  </si>
  <si>
    <t>},{Item,2,</t>
  </si>
  <si>
    <t>},{Item,207,</t>
  </si>
  <si>
    <t>}]</t>
  </si>
  <si>
    <t>},{Item,302,</t>
  </si>
  <si>
    <t>},{Item,210,</t>
  </si>
  <si>
    <t>挡位</t>
  </si>
  <si>
    <t>折扣</t>
  </si>
  <si>
    <t>实际价值</t>
  </si>
  <si>
    <t>2~5</t>
  </si>
  <si>
    <t>6~10</t>
  </si>
  <si>
    <t>11~15</t>
  </si>
  <si>
    <t>16~20</t>
  </si>
  <si>
    <t>21~25</t>
  </si>
  <si>
    <t>25~35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</si>
</sst>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0"/>
      <name val="微软雅黑"/>
      <charset val="134"/>
    </font>
    <font>
      <sz val="12"/>
      <color theme="0"/>
      <name val="微软雅黑"/>
      <charset val="134"/>
    </font>
    <font>
      <sz val="12"/>
      <color theme="1"/>
      <name val="微软雅黑"/>
      <charset val="134"/>
    </font>
    <font>
      <sz val="12"/>
      <name val="微软雅黑"/>
      <charset val="134"/>
    </font>
    <font>
      <i/>
      <sz val="12"/>
      <color theme="1"/>
      <name val="微软雅黑"/>
      <charset val="134"/>
    </font>
    <font>
      <sz val="10"/>
      <color theme="1"/>
      <name val="微软雅黑"/>
      <charset val="134"/>
    </font>
    <font>
      <b/>
      <sz val="16"/>
      <color rgb="FFFF0000"/>
      <name val="微软雅黑"/>
      <charset val="134"/>
    </font>
    <font>
      <i/>
      <sz val="12"/>
      <color theme="1" tint="0.5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4"/>
      <color rgb="FFFF0000"/>
      <name val="微软雅黑"/>
      <charset val="134"/>
    </font>
    <font>
      <b/>
      <i/>
      <sz val="12"/>
      <color theme="9"/>
      <name val="微软雅黑"/>
      <charset val="134"/>
    </font>
    <font>
      <sz val="9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4" tint="-0.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-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9" fillId="0" borderId="0">
      <alignment vertical="center"/>
    </xf>
  </cellStyleXfs>
  <cellXfs count="7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1" fillId="3" borderId="0" xfId="0" applyFont="1" applyFill="1" applyBorder="1">
      <alignment vertical="center"/>
    </xf>
    <xf numFmtId="0" fontId="1" fillId="3" borderId="0" xfId="0" applyFont="1" applyFill="1">
      <alignment vertical="center"/>
    </xf>
    <xf numFmtId="0" fontId="1" fillId="3" borderId="0" xfId="0" applyFont="1" applyFill="1" applyAlignment="1">
      <alignment horizontal="center" vertical="center"/>
    </xf>
    <xf numFmtId="0" fontId="2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left" vertical="center"/>
    </xf>
    <xf numFmtId="5" fontId="4" fillId="3" borderId="1" xfId="0" applyNumberFormat="1" applyFont="1" applyFill="1" applyBorder="1" applyAlignment="1">
      <alignment horizontal="left" vertical="center"/>
    </xf>
    <xf numFmtId="176" fontId="4" fillId="9" borderId="1" xfId="0" applyNumberFormat="1" applyFont="1" applyFill="1" applyBorder="1" applyAlignment="1">
      <alignment horizontal="left" vertical="center"/>
    </xf>
    <xf numFmtId="5" fontId="4" fillId="9" borderId="1" xfId="0" applyNumberFormat="1" applyFont="1" applyFill="1" applyBorder="1" applyAlignment="1">
      <alignment horizontal="left" vertical="center"/>
    </xf>
    <xf numFmtId="176" fontId="4" fillId="0" borderId="1" xfId="0" applyNumberFormat="1" applyFont="1" applyFill="1" applyBorder="1" applyAlignment="1">
      <alignment horizontal="left" vertical="center"/>
    </xf>
    <xf numFmtId="5" fontId="4" fillId="0" borderId="1" xfId="0" applyNumberFormat="1" applyFont="1" applyFill="1" applyBorder="1" applyAlignment="1">
      <alignment horizontal="left" vertical="center"/>
    </xf>
    <xf numFmtId="176" fontId="5" fillId="5" borderId="1" xfId="0" applyNumberFormat="1" applyFont="1" applyFill="1" applyBorder="1" applyAlignment="1">
      <alignment horizontal="left" vertical="center"/>
    </xf>
    <xf numFmtId="5" fontId="5" fillId="5" borderId="1" xfId="0" applyNumberFormat="1" applyFont="1" applyFill="1" applyBorder="1" applyAlignment="1">
      <alignment horizontal="left" vertical="center"/>
    </xf>
    <xf numFmtId="176" fontId="4" fillId="5" borderId="1" xfId="0" applyNumberFormat="1" applyFont="1" applyFill="1" applyBorder="1" applyAlignment="1">
      <alignment horizontal="left" vertical="center"/>
    </xf>
    <xf numFmtId="5" fontId="4" fillId="5" borderId="1" xfId="0" applyNumberFormat="1" applyFont="1" applyFill="1" applyBorder="1" applyAlignment="1">
      <alignment horizontal="left" vertical="center"/>
    </xf>
    <xf numFmtId="176" fontId="4" fillId="6" borderId="1" xfId="0" applyNumberFormat="1" applyFont="1" applyFill="1" applyBorder="1" applyAlignment="1">
      <alignment horizontal="left" vertical="center"/>
    </xf>
    <xf numFmtId="5" fontId="4" fillId="6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9" fontId="4" fillId="0" borderId="1" xfId="0" applyNumberFormat="1" applyFont="1" applyBorder="1" applyAlignment="1">
      <alignment horizontal="left" vertical="center"/>
    </xf>
    <xf numFmtId="176" fontId="4" fillId="0" borderId="0" xfId="0" applyNumberFormat="1" applyFont="1" applyFill="1" applyBorder="1" applyAlignment="1">
      <alignment horizontal="left" vertical="center"/>
    </xf>
    <xf numFmtId="5" fontId="4" fillId="0" borderId="0" xfId="0" applyNumberFormat="1" applyFont="1" applyFill="1" applyBorder="1" applyAlignment="1">
      <alignment horizontal="left" vertical="center"/>
    </xf>
    <xf numFmtId="176" fontId="9" fillId="5" borderId="1" xfId="0" applyNumberFormat="1" applyFont="1" applyFill="1" applyBorder="1" applyAlignment="1">
      <alignment horizontal="left" vertical="center"/>
    </xf>
    <xf numFmtId="5" fontId="9" fillId="5" borderId="1" xfId="0" applyNumberFormat="1" applyFont="1" applyFill="1" applyBorder="1" applyAlignment="1">
      <alignment horizontal="left" vertical="center"/>
    </xf>
    <xf numFmtId="176" fontId="9" fillId="6" borderId="1" xfId="0" applyNumberFormat="1" applyFont="1" applyFill="1" applyBorder="1" applyAlignment="1">
      <alignment horizontal="left" vertical="center"/>
    </xf>
    <xf numFmtId="5" fontId="9" fillId="6" borderId="1" xfId="0" applyNumberFormat="1" applyFont="1" applyFill="1" applyBorder="1" applyAlignment="1">
      <alignment horizontal="left" vertical="center"/>
    </xf>
    <xf numFmtId="176" fontId="9" fillId="7" borderId="1" xfId="0" applyNumberFormat="1" applyFont="1" applyFill="1" applyBorder="1" applyAlignment="1">
      <alignment horizontal="left" vertical="center"/>
    </xf>
    <xf numFmtId="5" fontId="9" fillId="7" borderId="1" xfId="0" applyNumberFormat="1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8"/>
  <sheetViews>
    <sheetView tabSelected="1" workbookViewId="0">
      <pane xSplit="2" ySplit="5" topLeftCell="E84" activePane="bottomRight" state="frozen"/>
      <selection/>
      <selection pane="topRight"/>
      <selection pane="bottomLeft"/>
      <selection pane="bottomRight" activeCell="F97" sqref="F97"/>
    </sheetView>
  </sheetViews>
  <sheetFormatPr defaultColWidth="24.25" defaultRowHeight="17.25"/>
  <cols>
    <col min="1" max="1" width="10.2916666666667" style="23" customWidth="1"/>
    <col min="2" max="2" width="18.9666666666667" style="24" customWidth="1"/>
    <col min="3" max="3" width="44.85" style="24" customWidth="1"/>
    <col min="4" max="4" width="14.5" style="23" customWidth="1"/>
    <col min="5" max="5" width="10.375" style="23" customWidth="1"/>
    <col min="6" max="6" width="43.375" style="24" customWidth="1"/>
    <col min="7" max="7" width="35.375" style="24" customWidth="1"/>
    <col min="8" max="8" width="31.175" style="23" customWidth="1"/>
    <col min="9" max="9" width="23.125" style="24" customWidth="1"/>
    <col min="10" max="11" width="10.4333333333333" style="24" customWidth="1"/>
    <col min="12" max="12" width="11.25" style="24" customWidth="1"/>
    <col min="13" max="13" width="9.375" style="23" customWidth="1"/>
    <col min="14" max="14" width="9.5" style="23" customWidth="1"/>
    <col min="15" max="16374" width="24.25" style="17" customWidth="1"/>
    <col min="16375" max="16384" width="24.25" style="17"/>
  </cols>
  <sheetData>
    <row r="1" s="15" customFormat="1" ht="21" spans="1:14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6" t="s">
        <v>9</v>
      </c>
      <c r="K1" s="26" t="s">
        <v>10</v>
      </c>
      <c r="L1" s="25" t="s">
        <v>11</v>
      </c>
      <c r="M1" s="25" t="s">
        <v>12</v>
      </c>
      <c r="N1" s="25" t="s">
        <v>13</v>
      </c>
    </row>
    <row r="2" s="15" customFormat="1" spans="1:14">
      <c r="A2" s="25" t="s">
        <v>14</v>
      </c>
      <c r="B2" s="25" t="s">
        <v>15</v>
      </c>
      <c r="C2" s="25" t="s">
        <v>14</v>
      </c>
      <c r="D2" s="25" t="s">
        <v>14</v>
      </c>
      <c r="E2" s="25" t="s">
        <v>14</v>
      </c>
      <c r="F2" s="25" t="s">
        <v>14</v>
      </c>
      <c r="G2" s="25" t="s">
        <v>14</v>
      </c>
      <c r="H2" s="25" t="s">
        <v>14</v>
      </c>
      <c r="I2" s="25" t="s">
        <v>14</v>
      </c>
      <c r="J2" s="26"/>
      <c r="K2" s="26"/>
      <c r="L2" s="25" t="s">
        <v>16</v>
      </c>
      <c r="M2" s="25" t="s">
        <v>16</v>
      </c>
      <c r="N2" s="25" t="s">
        <v>14</v>
      </c>
    </row>
    <row r="3" s="15" customFormat="1" spans="1:14">
      <c r="A3" s="25" t="s">
        <v>0</v>
      </c>
      <c r="B3" s="25" t="s">
        <v>17</v>
      </c>
      <c r="C3" s="25" t="s">
        <v>18</v>
      </c>
      <c r="D3" s="25" t="s">
        <v>19</v>
      </c>
      <c r="E3" s="25" t="s">
        <v>20</v>
      </c>
      <c r="F3" s="25" t="s">
        <v>21</v>
      </c>
      <c r="G3" s="25" t="s">
        <v>22</v>
      </c>
      <c r="H3" s="25" t="s">
        <v>23</v>
      </c>
      <c r="I3" s="25" t="s">
        <v>24</v>
      </c>
      <c r="J3" s="26"/>
      <c r="K3" s="26"/>
      <c r="L3" s="25" t="s">
        <v>25</v>
      </c>
      <c r="M3" s="25" t="s">
        <v>26</v>
      </c>
      <c r="N3" s="25" t="s">
        <v>27</v>
      </c>
    </row>
    <row r="4" s="15" customFormat="1" spans="1:14">
      <c r="A4" s="25" t="s">
        <v>28</v>
      </c>
      <c r="B4" s="25" t="s">
        <v>29</v>
      </c>
      <c r="C4" s="25" t="s">
        <v>29</v>
      </c>
      <c r="D4" s="25" t="s">
        <v>28</v>
      </c>
      <c r="E4" s="25" t="s">
        <v>28</v>
      </c>
      <c r="F4" s="25" t="s">
        <v>30</v>
      </c>
      <c r="G4" s="25" t="s">
        <v>30</v>
      </c>
      <c r="H4" s="25" t="s">
        <v>28</v>
      </c>
      <c r="I4" s="25" t="s">
        <v>30</v>
      </c>
      <c r="J4" s="26"/>
      <c r="K4" s="26"/>
      <c r="L4" s="25" t="s">
        <v>29</v>
      </c>
      <c r="M4" s="25" t="s">
        <v>28</v>
      </c>
      <c r="N4" s="25" t="s">
        <v>28</v>
      </c>
    </row>
    <row r="5" s="16" customFormat="1" spans="1:14">
      <c r="A5" s="25"/>
      <c r="B5" s="26"/>
      <c r="C5" s="26"/>
      <c r="D5" s="25" t="s">
        <v>31</v>
      </c>
      <c r="E5" s="25"/>
      <c r="F5" s="26"/>
      <c r="G5" s="26"/>
      <c r="H5" s="25" t="s">
        <v>31</v>
      </c>
      <c r="I5" s="26"/>
      <c r="J5" s="26" t="s">
        <v>32</v>
      </c>
      <c r="K5" s="26" t="s">
        <v>32</v>
      </c>
      <c r="L5" s="26"/>
      <c r="M5" s="25"/>
      <c r="N5" s="25"/>
    </row>
    <row r="6" s="17" customFormat="1" ht="16" customHeight="1" spans="1:14">
      <c r="A6" s="27">
        <v>1</v>
      </c>
      <c r="B6" s="28" t="s">
        <v>33</v>
      </c>
      <c r="C6" s="28"/>
      <c r="D6" s="29">
        <v>1</v>
      </c>
      <c r="E6" s="29">
        <v>0</v>
      </c>
      <c r="F6" s="28" t="s">
        <v>34</v>
      </c>
      <c r="G6" s="28"/>
      <c r="H6" s="29">
        <v>11</v>
      </c>
      <c r="I6" s="28" t="s">
        <v>35</v>
      </c>
      <c r="J6" s="44">
        <v>0.99</v>
      </c>
      <c r="K6" s="45">
        <v>6</v>
      </c>
      <c r="L6" s="28" t="s">
        <v>36</v>
      </c>
      <c r="M6" s="29">
        <v>1</v>
      </c>
      <c r="N6" s="29">
        <v>1</v>
      </c>
    </row>
    <row r="7" s="17" customFormat="1" ht="16" customHeight="1" spans="1:14">
      <c r="A7" s="27">
        <v>2</v>
      </c>
      <c r="B7" s="28" t="s">
        <v>37</v>
      </c>
      <c r="C7" s="28"/>
      <c r="D7" s="29">
        <v>1</v>
      </c>
      <c r="E7" s="29">
        <v>3</v>
      </c>
      <c r="F7" s="28" t="s">
        <v>38</v>
      </c>
      <c r="G7" s="28" t="s">
        <v>39</v>
      </c>
      <c r="H7" s="29">
        <v>12</v>
      </c>
      <c r="I7" s="28" t="s">
        <v>40</v>
      </c>
      <c r="J7" s="44">
        <v>4.99</v>
      </c>
      <c r="K7" s="45">
        <v>30</v>
      </c>
      <c r="L7" s="28" t="s">
        <v>36</v>
      </c>
      <c r="M7" s="29">
        <v>2</v>
      </c>
      <c r="N7" s="29">
        <v>1</v>
      </c>
    </row>
    <row r="8" s="17" customFormat="1" ht="16" customHeight="1" spans="1:14">
      <c r="A8" s="27">
        <v>3</v>
      </c>
      <c r="B8" s="28" t="s">
        <v>41</v>
      </c>
      <c r="C8" s="28"/>
      <c r="D8" s="29">
        <v>1</v>
      </c>
      <c r="E8" s="29">
        <v>5</v>
      </c>
      <c r="F8" s="28" t="s">
        <v>42</v>
      </c>
      <c r="G8" s="28"/>
      <c r="H8" s="29">
        <v>13</v>
      </c>
      <c r="I8" s="28" t="s">
        <v>43</v>
      </c>
      <c r="J8" s="44">
        <v>9.99</v>
      </c>
      <c r="K8" s="45">
        <v>68</v>
      </c>
      <c r="L8" s="28" t="s">
        <v>36</v>
      </c>
      <c r="M8" s="29">
        <v>3</v>
      </c>
      <c r="N8" s="29">
        <v>1</v>
      </c>
    </row>
    <row r="9" s="17" customFormat="1" ht="16" customHeight="1" spans="1:14">
      <c r="A9" s="27">
        <v>4</v>
      </c>
      <c r="B9" s="28" t="s">
        <v>44</v>
      </c>
      <c r="C9" s="28"/>
      <c r="D9" s="29">
        <v>1</v>
      </c>
      <c r="E9" s="29">
        <v>10</v>
      </c>
      <c r="F9" s="28" t="s">
        <v>45</v>
      </c>
      <c r="G9" s="28"/>
      <c r="H9" s="29">
        <v>14</v>
      </c>
      <c r="I9" s="28" t="s">
        <v>43</v>
      </c>
      <c r="J9" s="44">
        <v>9.99</v>
      </c>
      <c r="K9" s="45">
        <v>68</v>
      </c>
      <c r="L9" s="28" t="s">
        <v>36</v>
      </c>
      <c r="M9" s="29">
        <v>4</v>
      </c>
      <c r="N9" s="29">
        <v>1</v>
      </c>
    </row>
    <row r="10" s="17" customFormat="1" ht="16" customHeight="1" spans="1:14">
      <c r="A10" s="27">
        <v>5</v>
      </c>
      <c r="B10" s="28" t="s">
        <v>46</v>
      </c>
      <c r="C10" s="28"/>
      <c r="D10" s="29">
        <v>1</v>
      </c>
      <c r="E10" s="29">
        <v>15</v>
      </c>
      <c r="F10" s="28" t="s">
        <v>47</v>
      </c>
      <c r="G10" s="28" t="s">
        <v>48</v>
      </c>
      <c r="H10" s="29">
        <v>15</v>
      </c>
      <c r="I10" s="28" t="s">
        <v>49</v>
      </c>
      <c r="J10" s="44">
        <v>14.99</v>
      </c>
      <c r="K10" s="45">
        <v>98</v>
      </c>
      <c r="L10" s="28" t="s">
        <v>36</v>
      </c>
      <c r="M10" s="29">
        <v>5</v>
      </c>
      <c r="N10" s="29">
        <v>1</v>
      </c>
    </row>
    <row r="11" s="17" customFormat="1" ht="16" customHeight="1" spans="1:14">
      <c r="A11" s="27">
        <v>6</v>
      </c>
      <c r="B11" s="28" t="s">
        <v>50</v>
      </c>
      <c r="C11" s="28"/>
      <c r="D11" s="29">
        <v>1</v>
      </c>
      <c r="E11" s="29">
        <v>20</v>
      </c>
      <c r="F11" s="28" t="s">
        <v>51</v>
      </c>
      <c r="G11" s="28" t="s">
        <v>52</v>
      </c>
      <c r="H11" s="29">
        <v>16</v>
      </c>
      <c r="I11" s="28" t="s">
        <v>49</v>
      </c>
      <c r="J11" s="44">
        <v>14.99</v>
      </c>
      <c r="K11" s="45">
        <v>98</v>
      </c>
      <c r="L11" s="28" t="s">
        <v>36</v>
      </c>
      <c r="M11" s="29">
        <v>6</v>
      </c>
      <c r="N11" s="29">
        <v>1</v>
      </c>
    </row>
    <row r="12" s="17" customFormat="1" ht="16" customHeight="1" spans="1:14">
      <c r="A12" s="27">
        <v>7</v>
      </c>
      <c r="B12" s="28" t="s">
        <v>53</v>
      </c>
      <c r="C12" s="28"/>
      <c r="D12" s="29">
        <v>1</v>
      </c>
      <c r="E12" s="29">
        <v>25</v>
      </c>
      <c r="F12" s="28" t="s">
        <v>54</v>
      </c>
      <c r="G12" s="28" t="s">
        <v>48</v>
      </c>
      <c r="H12" s="29">
        <v>17</v>
      </c>
      <c r="I12" s="28" t="s">
        <v>55</v>
      </c>
      <c r="J12" s="44">
        <v>19.99</v>
      </c>
      <c r="K12" s="45">
        <v>128</v>
      </c>
      <c r="L12" s="28" t="s">
        <v>36</v>
      </c>
      <c r="M12" s="29">
        <v>7</v>
      </c>
      <c r="N12" s="29">
        <v>1</v>
      </c>
    </row>
    <row r="13" s="17" customFormat="1" ht="16" customHeight="1" spans="1:14">
      <c r="A13" s="27">
        <v>8</v>
      </c>
      <c r="B13" s="28" t="s">
        <v>56</v>
      </c>
      <c r="C13" s="28"/>
      <c r="D13" s="29">
        <v>1</v>
      </c>
      <c r="E13" s="29">
        <v>30</v>
      </c>
      <c r="F13" s="28" t="s">
        <v>54</v>
      </c>
      <c r="G13" s="28" t="s">
        <v>57</v>
      </c>
      <c r="H13" s="29">
        <v>18</v>
      </c>
      <c r="I13" s="28" t="s">
        <v>55</v>
      </c>
      <c r="J13" s="44">
        <v>19.99</v>
      </c>
      <c r="K13" s="45">
        <v>128</v>
      </c>
      <c r="L13" s="28" t="s">
        <v>36</v>
      </c>
      <c r="M13" s="29">
        <v>8</v>
      </c>
      <c r="N13" s="29">
        <v>1</v>
      </c>
    </row>
    <row r="14" s="17" customFormat="1" spans="1:14">
      <c r="A14" s="30">
        <v>10</v>
      </c>
      <c r="B14" s="31" t="s">
        <v>58</v>
      </c>
      <c r="C14" s="31" t="s">
        <v>59</v>
      </c>
      <c r="D14" s="32">
        <v>2</v>
      </c>
      <c r="E14" s="32"/>
      <c r="F14" s="31" t="s">
        <v>60</v>
      </c>
      <c r="G14" s="31"/>
      <c r="H14" s="32">
        <v>-2</v>
      </c>
      <c r="I14" s="31" t="s">
        <v>61</v>
      </c>
      <c r="J14" s="46"/>
      <c r="K14" s="47"/>
      <c r="L14" s="31"/>
      <c r="M14" s="32">
        <v>1</v>
      </c>
      <c r="N14" s="32"/>
    </row>
    <row r="15" s="17" customFormat="1" spans="1:14">
      <c r="A15" s="30">
        <v>11</v>
      </c>
      <c r="B15" s="31" t="s">
        <v>62</v>
      </c>
      <c r="C15" s="31" t="s">
        <v>63</v>
      </c>
      <c r="D15" s="32">
        <v>2</v>
      </c>
      <c r="E15" s="32"/>
      <c r="F15" s="31" t="s">
        <v>64</v>
      </c>
      <c r="G15" s="31"/>
      <c r="H15" s="32">
        <v>-3</v>
      </c>
      <c r="I15" s="31" t="s">
        <v>65</v>
      </c>
      <c r="J15" s="46"/>
      <c r="K15" s="47"/>
      <c r="L15" s="31"/>
      <c r="M15" s="32">
        <v>2</v>
      </c>
      <c r="N15" s="32"/>
    </row>
    <row r="16" s="18" customFormat="1" spans="1:14">
      <c r="A16" s="30">
        <v>12</v>
      </c>
      <c r="B16" s="31" t="s">
        <v>66</v>
      </c>
      <c r="C16" s="31" t="s">
        <v>67</v>
      </c>
      <c r="D16" s="30">
        <v>2</v>
      </c>
      <c r="E16" s="30"/>
      <c r="F16" s="31" t="s">
        <v>68</v>
      </c>
      <c r="G16" s="31"/>
      <c r="H16" s="32">
        <v>-3</v>
      </c>
      <c r="I16" s="33" t="s">
        <v>69</v>
      </c>
      <c r="J16" s="46"/>
      <c r="K16" s="47"/>
      <c r="L16" s="33"/>
      <c r="M16" s="30">
        <v>3</v>
      </c>
      <c r="N16" s="30"/>
    </row>
    <row r="17" s="17" customFormat="1" ht="16" customHeight="1" spans="1:14">
      <c r="A17" s="27">
        <v>13</v>
      </c>
      <c r="B17" s="28" t="s">
        <v>70</v>
      </c>
      <c r="C17" s="28" t="s">
        <v>71</v>
      </c>
      <c r="D17" s="29">
        <v>3</v>
      </c>
      <c r="E17" s="29"/>
      <c r="F17" s="28" t="s">
        <v>72</v>
      </c>
      <c r="G17" s="28"/>
      <c r="H17" s="27">
        <v>1</v>
      </c>
      <c r="I17" s="28" t="s">
        <v>35</v>
      </c>
      <c r="J17" s="44">
        <v>0.99</v>
      </c>
      <c r="K17" s="45">
        <v>6</v>
      </c>
      <c r="L17" s="28"/>
      <c r="M17" s="29">
        <v>1</v>
      </c>
      <c r="N17" s="29"/>
    </row>
    <row r="18" s="17" customFormat="1" ht="16" customHeight="1" spans="1:14">
      <c r="A18" s="27">
        <v>14</v>
      </c>
      <c r="B18" s="28" t="s">
        <v>73</v>
      </c>
      <c r="C18" s="28" t="s">
        <v>74</v>
      </c>
      <c r="D18" s="29">
        <v>3</v>
      </c>
      <c r="E18" s="29"/>
      <c r="F18" s="28" t="s">
        <v>75</v>
      </c>
      <c r="G18" s="28"/>
      <c r="H18" s="27">
        <v>2</v>
      </c>
      <c r="I18" s="28" t="s">
        <v>40</v>
      </c>
      <c r="J18" s="44">
        <v>4.99</v>
      </c>
      <c r="K18" s="45">
        <v>30</v>
      </c>
      <c r="L18" s="28"/>
      <c r="M18" s="29">
        <v>2</v>
      </c>
      <c r="N18" s="29"/>
    </row>
    <row r="19" s="17" customFormat="1" ht="16" customHeight="1" spans="1:14">
      <c r="A19" s="27">
        <v>15</v>
      </c>
      <c r="B19" s="28" t="s">
        <v>76</v>
      </c>
      <c r="C19" s="28" t="s">
        <v>77</v>
      </c>
      <c r="D19" s="29">
        <v>3</v>
      </c>
      <c r="E19" s="29"/>
      <c r="F19" s="28" t="s">
        <v>69</v>
      </c>
      <c r="G19" s="28"/>
      <c r="H19" s="27">
        <v>3</v>
      </c>
      <c r="I19" s="28" t="s">
        <v>43</v>
      </c>
      <c r="J19" s="44">
        <v>9.99</v>
      </c>
      <c r="K19" s="45">
        <v>68</v>
      </c>
      <c r="L19" s="28"/>
      <c r="M19" s="29">
        <v>3</v>
      </c>
      <c r="N19" s="27"/>
    </row>
    <row r="20" s="17" customFormat="1" ht="16" customHeight="1" spans="1:14">
      <c r="A20" s="27">
        <v>16</v>
      </c>
      <c r="B20" s="28" t="s">
        <v>78</v>
      </c>
      <c r="C20" s="28" t="s">
        <v>79</v>
      </c>
      <c r="D20" s="29">
        <v>3</v>
      </c>
      <c r="E20" s="29"/>
      <c r="F20" s="28" t="s">
        <v>80</v>
      </c>
      <c r="G20" s="28"/>
      <c r="H20" s="27">
        <v>4</v>
      </c>
      <c r="I20" s="28" t="s">
        <v>55</v>
      </c>
      <c r="J20" s="44">
        <v>19.99</v>
      </c>
      <c r="K20" s="45">
        <v>128</v>
      </c>
      <c r="L20" s="28"/>
      <c r="M20" s="29">
        <v>4</v>
      </c>
      <c r="N20" s="29"/>
    </row>
    <row r="21" s="17" customFormat="1" ht="16" customHeight="1" spans="1:14">
      <c r="A21" s="27">
        <v>17</v>
      </c>
      <c r="B21" s="28" t="s">
        <v>81</v>
      </c>
      <c r="C21" s="28" t="s">
        <v>82</v>
      </c>
      <c r="D21" s="29">
        <v>3</v>
      </c>
      <c r="E21" s="29"/>
      <c r="F21" s="28" t="s">
        <v>83</v>
      </c>
      <c r="G21" s="28"/>
      <c r="H21" s="27">
        <v>5</v>
      </c>
      <c r="I21" s="28" t="s">
        <v>84</v>
      </c>
      <c r="J21" s="44">
        <v>49.99</v>
      </c>
      <c r="K21" s="45">
        <v>328</v>
      </c>
      <c r="L21" s="28"/>
      <c r="M21" s="29">
        <v>5</v>
      </c>
      <c r="N21" s="29"/>
    </row>
    <row r="22" s="17" customFormat="1" ht="16" customHeight="1" spans="1:14">
      <c r="A22" s="27">
        <v>18</v>
      </c>
      <c r="B22" s="28" t="s">
        <v>85</v>
      </c>
      <c r="C22" s="28" t="s">
        <v>86</v>
      </c>
      <c r="D22" s="29">
        <v>3</v>
      </c>
      <c r="E22" s="29"/>
      <c r="F22" s="28" t="s">
        <v>87</v>
      </c>
      <c r="G22" s="28"/>
      <c r="H22" s="27">
        <v>6</v>
      </c>
      <c r="I22" s="28" t="s">
        <v>88</v>
      </c>
      <c r="J22" s="44">
        <v>99.99</v>
      </c>
      <c r="K22" s="45">
        <v>648</v>
      </c>
      <c r="L22" s="28"/>
      <c r="M22" s="29">
        <v>6</v>
      </c>
      <c r="N22" s="29"/>
    </row>
    <row r="23" s="17" customFormat="1" spans="1:14">
      <c r="A23" s="30">
        <v>19</v>
      </c>
      <c r="B23" s="33" t="s">
        <v>89</v>
      </c>
      <c r="C23" s="31"/>
      <c r="D23" s="32">
        <v>4</v>
      </c>
      <c r="E23" s="32"/>
      <c r="F23" s="31"/>
      <c r="G23" s="31"/>
      <c r="H23" s="32">
        <v>7</v>
      </c>
      <c r="I23" s="31" t="s">
        <v>40</v>
      </c>
      <c r="J23" s="46">
        <v>4.99</v>
      </c>
      <c r="K23" s="47">
        <v>30</v>
      </c>
      <c r="L23" s="31"/>
      <c r="M23" s="32">
        <v>1</v>
      </c>
      <c r="N23" s="32"/>
    </row>
    <row r="24" s="17" customFormat="1" spans="1:14">
      <c r="A24" s="30">
        <v>20</v>
      </c>
      <c r="B24" s="33" t="s">
        <v>90</v>
      </c>
      <c r="C24" s="31"/>
      <c r="D24" s="32">
        <v>4</v>
      </c>
      <c r="E24" s="32"/>
      <c r="F24" s="31"/>
      <c r="G24" s="31"/>
      <c r="H24" s="32">
        <v>8</v>
      </c>
      <c r="I24" s="31" t="s">
        <v>43</v>
      </c>
      <c r="J24" s="46">
        <v>9.99</v>
      </c>
      <c r="K24" s="47">
        <v>68</v>
      </c>
      <c r="L24" s="31"/>
      <c r="M24" s="32">
        <v>2</v>
      </c>
      <c r="N24" s="32"/>
    </row>
    <row r="25" s="17" customFormat="1" ht="16" customHeight="1" spans="1:14">
      <c r="A25" s="27">
        <v>21</v>
      </c>
      <c r="B25" s="28" t="s">
        <v>91</v>
      </c>
      <c r="C25" s="28"/>
      <c r="D25" s="29">
        <v>5</v>
      </c>
      <c r="E25" s="29"/>
      <c r="F25" s="28"/>
      <c r="G25" s="28"/>
      <c r="H25" s="27">
        <v>9</v>
      </c>
      <c r="I25" s="28" t="s">
        <v>35</v>
      </c>
      <c r="J25" s="44">
        <v>0.99</v>
      </c>
      <c r="K25" s="45">
        <v>6</v>
      </c>
      <c r="L25" s="28"/>
      <c r="M25" s="29">
        <v>1</v>
      </c>
      <c r="N25" s="29">
        <v>1</v>
      </c>
    </row>
    <row r="26" s="17" customFormat="1" ht="16" customHeight="1" spans="1:14">
      <c r="A26" s="27">
        <v>22</v>
      </c>
      <c r="B26" s="28" t="s">
        <v>92</v>
      </c>
      <c r="C26" s="28"/>
      <c r="D26" s="29">
        <v>6</v>
      </c>
      <c r="E26" s="29"/>
      <c r="F26" s="28"/>
      <c r="G26" s="28"/>
      <c r="H26" s="27">
        <v>10</v>
      </c>
      <c r="I26" s="28" t="s">
        <v>43</v>
      </c>
      <c r="J26" s="44">
        <v>9.99</v>
      </c>
      <c r="K26" s="45">
        <v>68</v>
      </c>
      <c r="L26" s="28"/>
      <c r="M26" s="29">
        <v>1</v>
      </c>
      <c r="N26" s="27"/>
    </row>
    <row r="27" s="17" customFormat="1" spans="1:14">
      <c r="A27" s="30">
        <v>23</v>
      </c>
      <c r="B27" s="33" t="s">
        <v>93</v>
      </c>
      <c r="C27" s="34"/>
      <c r="D27" s="32">
        <v>7</v>
      </c>
      <c r="E27" s="32"/>
      <c r="F27" s="31"/>
      <c r="G27" s="31"/>
      <c r="H27" s="32">
        <v>19</v>
      </c>
      <c r="I27" s="31" t="s">
        <v>35</v>
      </c>
      <c r="J27" s="46">
        <v>0.99</v>
      </c>
      <c r="K27" s="47">
        <v>6</v>
      </c>
      <c r="L27" s="31"/>
      <c r="M27" s="32"/>
      <c r="N27" s="32"/>
    </row>
    <row r="28" s="17" customFormat="1" spans="1:14">
      <c r="A28" s="30">
        <v>24</v>
      </c>
      <c r="B28" s="33" t="s">
        <v>93</v>
      </c>
      <c r="C28" s="34"/>
      <c r="D28" s="32">
        <v>7</v>
      </c>
      <c r="E28" s="32"/>
      <c r="F28" s="31"/>
      <c r="G28" s="31"/>
      <c r="H28" s="32">
        <v>20</v>
      </c>
      <c r="I28" s="31" t="s">
        <v>94</v>
      </c>
      <c r="J28" s="46">
        <v>1.99</v>
      </c>
      <c r="K28" s="47">
        <v>12</v>
      </c>
      <c r="L28" s="31"/>
      <c r="M28" s="32"/>
      <c r="N28" s="32"/>
    </row>
    <row r="29" s="17" customFormat="1" spans="1:14">
      <c r="A29" s="30">
        <v>25</v>
      </c>
      <c r="B29" s="33" t="s">
        <v>93</v>
      </c>
      <c r="C29" s="34"/>
      <c r="D29" s="32">
        <v>7</v>
      </c>
      <c r="E29" s="32"/>
      <c r="F29" s="31"/>
      <c r="G29" s="31"/>
      <c r="H29" s="32">
        <v>21</v>
      </c>
      <c r="I29" s="31" t="s">
        <v>40</v>
      </c>
      <c r="J29" s="46">
        <v>4.99</v>
      </c>
      <c r="K29" s="47">
        <v>30</v>
      </c>
      <c r="L29" s="31"/>
      <c r="M29" s="32"/>
      <c r="N29" s="32"/>
    </row>
    <row r="30" s="17" customFormat="1" spans="1:14">
      <c r="A30" s="30">
        <v>26</v>
      </c>
      <c r="B30" s="33" t="s">
        <v>93</v>
      </c>
      <c r="C30" s="34"/>
      <c r="D30" s="32">
        <v>7</v>
      </c>
      <c r="E30" s="32"/>
      <c r="F30" s="31"/>
      <c r="G30" s="31"/>
      <c r="H30" s="32">
        <v>28</v>
      </c>
      <c r="I30" s="31" t="s">
        <v>40</v>
      </c>
      <c r="J30" s="46">
        <v>4.99</v>
      </c>
      <c r="K30" s="47">
        <v>30</v>
      </c>
      <c r="L30" s="31"/>
      <c r="M30" s="32"/>
      <c r="N30" s="32"/>
    </row>
    <row r="31" s="17" customFormat="1" ht="16" customHeight="1" spans="1:14">
      <c r="A31" s="35">
        <v>27</v>
      </c>
      <c r="B31" s="36" t="s">
        <v>95</v>
      </c>
      <c r="C31" s="36"/>
      <c r="D31" s="37">
        <v>8</v>
      </c>
      <c r="E31" s="37"/>
      <c r="F31" s="36"/>
      <c r="G31" s="36"/>
      <c r="H31" s="35">
        <v>35</v>
      </c>
      <c r="I31" s="36" t="s">
        <v>40</v>
      </c>
      <c r="J31" s="48">
        <v>4.99</v>
      </c>
      <c r="K31" s="49">
        <v>30</v>
      </c>
      <c r="L31" s="36"/>
      <c r="M31" s="37">
        <v>1</v>
      </c>
      <c r="N31" s="35"/>
    </row>
    <row r="32" s="17" customFormat="1" ht="16" customHeight="1" spans="1:14">
      <c r="A32" s="35">
        <v>28</v>
      </c>
      <c r="B32" s="36" t="s">
        <v>96</v>
      </c>
      <c r="C32" s="36"/>
      <c r="D32" s="37">
        <v>9</v>
      </c>
      <c r="E32" s="37"/>
      <c r="F32" s="36"/>
      <c r="G32" s="36"/>
      <c r="H32" s="35">
        <v>42</v>
      </c>
      <c r="I32" s="36" t="s">
        <v>40</v>
      </c>
      <c r="J32" s="48">
        <v>4.99</v>
      </c>
      <c r="K32" s="49">
        <v>30</v>
      </c>
      <c r="L32" s="36"/>
      <c r="M32" s="37">
        <v>1</v>
      </c>
      <c r="N32" s="35"/>
    </row>
    <row r="33" s="17" customFormat="1" ht="16" customHeight="1" spans="1:14">
      <c r="A33" s="35">
        <v>29</v>
      </c>
      <c r="B33" s="36" t="s">
        <v>97</v>
      </c>
      <c r="C33" s="36"/>
      <c r="D33" s="37">
        <v>9</v>
      </c>
      <c r="E33" s="37"/>
      <c r="F33" s="36"/>
      <c r="G33" s="36"/>
      <c r="H33" s="35">
        <v>49</v>
      </c>
      <c r="I33" s="36" t="s">
        <v>40</v>
      </c>
      <c r="J33" s="48">
        <v>4.99</v>
      </c>
      <c r="K33" s="49">
        <v>30</v>
      </c>
      <c r="L33" s="36"/>
      <c r="M33" s="37">
        <v>1</v>
      </c>
      <c r="N33" s="35"/>
    </row>
    <row r="34" s="17" customFormat="1" ht="16" customHeight="1" spans="1:14">
      <c r="A34" s="35">
        <v>30</v>
      </c>
      <c r="B34" s="36" t="s">
        <v>98</v>
      </c>
      <c r="C34" s="36"/>
      <c r="D34" s="37">
        <v>9</v>
      </c>
      <c r="E34" s="37"/>
      <c r="F34" s="36"/>
      <c r="G34" s="36"/>
      <c r="H34" s="35">
        <v>56</v>
      </c>
      <c r="I34" s="36" t="s">
        <v>40</v>
      </c>
      <c r="J34" s="48">
        <v>4.99</v>
      </c>
      <c r="K34" s="49">
        <v>30</v>
      </c>
      <c r="L34" s="36"/>
      <c r="M34" s="37">
        <v>1</v>
      </c>
      <c r="N34" s="35"/>
    </row>
    <row r="35" s="17" customFormat="1" ht="16" customHeight="1" spans="1:14">
      <c r="A35" s="35">
        <v>31</v>
      </c>
      <c r="B35" s="36" t="s">
        <v>99</v>
      </c>
      <c r="C35" s="36"/>
      <c r="D35" s="37">
        <v>9</v>
      </c>
      <c r="E35" s="37"/>
      <c r="F35" s="36"/>
      <c r="G35" s="36"/>
      <c r="H35" s="35">
        <v>22</v>
      </c>
      <c r="I35" s="36" t="s">
        <v>43</v>
      </c>
      <c r="J35" s="48">
        <v>9.99</v>
      </c>
      <c r="K35" s="49">
        <v>68</v>
      </c>
      <c r="L35" s="36"/>
      <c r="M35" s="37">
        <v>1</v>
      </c>
      <c r="N35" s="35"/>
    </row>
    <row r="36" s="17" customFormat="1" ht="16" customHeight="1" spans="1:14">
      <c r="A36" s="35">
        <v>32</v>
      </c>
      <c r="B36" s="36" t="s">
        <v>100</v>
      </c>
      <c r="C36" s="36"/>
      <c r="D36" s="37">
        <v>9</v>
      </c>
      <c r="E36" s="37"/>
      <c r="F36" s="36"/>
      <c r="G36" s="36"/>
      <c r="H36" s="35">
        <v>68</v>
      </c>
      <c r="I36" s="36" t="s">
        <v>43</v>
      </c>
      <c r="J36" s="48">
        <v>9.99</v>
      </c>
      <c r="K36" s="49">
        <v>68</v>
      </c>
      <c r="L36" s="36"/>
      <c r="M36" s="37">
        <v>1</v>
      </c>
      <c r="N36" s="35"/>
    </row>
    <row r="37" s="17" customFormat="1" spans="1:14">
      <c r="A37" s="30">
        <v>33</v>
      </c>
      <c r="B37" s="33" t="s">
        <v>101</v>
      </c>
      <c r="C37" s="31"/>
      <c r="D37" s="32">
        <v>9</v>
      </c>
      <c r="E37" s="32"/>
      <c r="F37" s="31"/>
      <c r="G37" s="31"/>
      <c r="H37" s="32">
        <v>36</v>
      </c>
      <c r="I37" s="31" t="s">
        <v>43</v>
      </c>
      <c r="J37" s="46">
        <v>9.99</v>
      </c>
      <c r="K37" s="47">
        <v>68</v>
      </c>
      <c r="L37" s="31"/>
      <c r="M37" s="32"/>
      <c r="N37" s="32"/>
    </row>
    <row r="38" s="17" customFormat="1" spans="1:14">
      <c r="A38" s="30">
        <v>34</v>
      </c>
      <c r="B38" s="33" t="s">
        <v>102</v>
      </c>
      <c r="C38" s="31"/>
      <c r="D38" s="32">
        <v>9</v>
      </c>
      <c r="E38" s="32"/>
      <c r="F38" s="31"/>
      <c r="G38" s="31"/>
      <c r="H38" s="32">
        <v>43</v>
      </c>
      <c r="I38" s="31" t="s">
        <v>43</v>
      </c>
      <c r="J38" s="46">
        <v>9.99</v>
      </c>
      <c r="K38" s="47">
        <v>68</v>
      </c>
      <c r="L38" s="31"/>
      <c r="M38" s="32"/>
      <c r="N38" s="32"/>
    </row>
    <row r="39" s="17" customFormat="1" spans="1:14">
      <c r="A39" s="30">
        <v>35</v>
      </c>
      <c r="B39" s="33" t="s">
        <v>103</v>
      </c>
      <c r="C39" s="31"/>
      <c r="D39" s="32">
        <v>9</v>
      </c>
      <c r="E39" s="32"/>
      <c r="F39" s="31"/>
      <c r="G39" s="31"/>
      <c r="H39" s="32">
        <v>23</v>
      </c>
      <c r="I39" s="31" t="s">
        <v>55</v>
      </c>
      <c r="J39" s="46">
        <v>19.99</v>
      </c>
      <c r="K39" s="47">
        <v>128</v>
      </c>
      <c r="L39" s="31"/>
      <c r="M39" s="32"/>
      <c r="N39" s="32"/>
    </row>
    <row r="40" s="17" customFormat="1" spans="1:14">
      <c r="A40" s="30">
        <v>36</v>
      </c>
      <c r="B40" s="33" t="s">
        <v>104</v>
      </c>
      <c r="C40" s="31"/>
      <c r="D40" s="32">
        <v>9</v>
      </c>
      <c r="E40" s="32"/>
      <c r="F40" s="31"/>
      <c r="G40" s="31"/>
      <c r="H40" s="32">
        <v>24</v>
      </c>
      <c r="I40" s="31" t="s">
        <v>84</v>
      </c>
      <c r="J40" s="46">
        <v>49.99</v>
      </c>
      <c r="K40" s="47">
        <v>328</v>
      </c>
      <c r="L40" s="31"/>
      <c r="M40" s="32"/>
      <c r="N40" s="32"/>
    </row>
    <row r="41" s="17" customFormat="1" spans="1:14">
      <c r="A41" s="30">
        <v>37</v>
      </c>
      <c r="B41" s="33" t="s">
        <v>105</v>
      </c>
      <c r="C41" s="31"/>
      <c r="D41" s="32">
        <v>9</v>
      </c>
      <c r="E41" s="32"/>
      <c r="F41" s="31"/>
      <c r="G41" s="31"/>
      <c r="H41" s="32">
        <v>37</v>
      </c>
      <c r="I41" s="31" t="s">
        <v>55</v>
      </c>
      <c r="J41" s="46">
        <v>19.99</v>
      </c>
      <c r="K41" s="47">
        <v>128</v>
      </c>
      <c r="L41" s="31"/>
      <c r="M41" s="32"/>
      <c r="N41" s="32"/>
    </row>
    <row r="42" s="17" customFormat="1" spans="1:14">
      <c r="A42" s="30">
        <v>39</v>
      </c>
      <c r="B42" s="33" t="s">
        <v>106</v>
      </c>
      <c r="C42" s="31"/>
      <c r="D42" s="32">
        <v>10</v>
      </c>
      <c r="E42" s="32"/>
      <c r="F42" s="31"/>
      <c r="G42" s="31"/>
      <c r="H42" s="32">
        <v>80</v>
      </c>
      <c r="I42" s="31" t="s">
        <v>107</v>
      </c>
      <c r="J42" s="46">
        <v>7.99</v>
      </c>
      <c r="K42" s="47">
        <v>50</v>
      </c>
      <c r="L42" s="31"/>
      <c r="M42" s="32"/>
      <c r="N42" s="32"/>
    </row>
    <row r="43" s="17" customFormat="1" ht="16" customHeight="1" spans="1:14">
      <c r="A43" s="35">
        <v>40</v>
      </c>
      <c r="B43" s="36" t="s">
        <v>108</v>
      </c>
      <c r="C43" s="36"/>
      <c r="D43" s="37">
        <v>9</v>
      </c>
      <c r="E43" s="37"/>
      <c r="F43" s="36"/>
      <c r="G43" s="36"/>
      <c r="H43" s="35">
        <v>26</v>
      </c>
      <c r="I43" s="36" t="s">
        <v>35</v>
      </c>
      <c r="J43" s="48">
        <v>0.99</v>
      </c>
      <c r="K43" s="49">
        <v>6</v>
      </c>
      <c r="L43" s="36"/>
      <c r="M43" s="37"/>
      <c r="N43" s="35"/>
    </row>
    <row r="44" s="17" customFormat="1" ht="16" customHeight="1" spans="1:14">
      <c r="A44" s="35">
        <v>41</v>
      </c>
      <c r="B44" s="36" t="s">
        <v>109</v>
      </c>
      <c r="C44" s="36"/>
      <c r="D44" s="37">
        <v>9</v>
      </c>
      <c r="E44" s="37"/>
      <c r="F44" s="36"/>
      <c r="G44" s="36"/>
      <c r="H44" s="35">
        <v>66</v>
      </c>
      <c r="I44" s="36" t="s">
        <v>40</v>
      </c>
      <c r="J44" s="48">
        <v>4.99</v>
      </c>
      <c r="K44" s="49">
        <v>30</v>
      </c>
      <c r="L44" s="36"/>
      <c r="M44" s="37"/>
      <c r="N44" s="35"/>
    </row>
    <row r="45" s="17" customFormat="1" ht="16" customHeight="1" spans="1:14">
      <c r="A45" s="35">
        <v>42</v>
      </c>
      <c r="B45" s="36" t="s">
        <v>110</v>
      </c>
      <c r="C45" s="36"/>
      <c r="D45" s="37">
        <v>9</v>
      </c>
      <c r="E45" s="37"/>
      <c r="F45" s="36"/>
      <c r="G45" s="36"/>
      <c r="H45" s="35">
        <v>67</v>
      </c>
      <c r="I45" s="36" t="s">
        <v>40</v>
      </c>
      <c r="J45" s="48">
        <v>4.99</v>
      </c>
      <c r="K45" s="49">
        <v>30</v>
      </c>
      <c r="L45" s="36"/>
      <c r="M45" s="37"/>
      <c r="N45" s="35"/>
    </row>
    <row r="46" s="17" customFormat="1" ht="16" customHeight="1" spans="1:14">
      <c r="A46" s="35">
        <v>43</v>
      </c>
      <c r="B46" s="36" t="s">
        <v>111</v>
      </c>
      <c r="C46" s="36"/>
      <c r="D46" s="37">
        <v>9</v>
      </c>
      <c r="E46" s="37"/>
      <c r="F46" s="36"/>
      <c r="G46" s="36"/>
      <c r="H46" s="35">
        <v>50</v>
      </c>
      <c r="I46" s="36" t="s">
        <v>43</v>
      </c>
      <c r="J46" s="48">
        <v>9.99</v>
      </c>
      <c r="K46" s="49">
        <v>68</v>
      </c>
      <c r="L46" s="36"/>
      <c r="M46" s="37"/>
      <c r="N46" s="35"/>
    </row>
    <row r="47" s="17" customFormat="1" spans="1:14">
      <c r="A47" s="30">
        <v>44</v>
      </c>
      <c r="B47" s="33" t="s">
        <v>112</v>
      </c>
      <c r="C47" s="31"/>
      <c r="D47" s="32">
        <v>4</v>
      </c>
      <c r="E47" s="32"/>
      <c r="F47" s="31"/>
      <c r="G47" s="31"/>
      <c r="H47" s="32">
        <v>44</v>
      </c>
      <c r="I47" s="31" t="str">
        <f t="shared" ref="I47:I56" si="0">"[{Item,8,"&amp;K47*10&amp;"}]"</f>
        <v>[{Item,8,1280}]</v>
      </c>
      <c r="J47" s="46">
        <v>19.99</v>
      </c>
      <c r="K47" s="47">
        <v>128</v>
      </c>
      <c r="L47" s="35"/>
      <c r="M47" s="32"/>
      <c r="N47" s="32">
        <v>1</v>
      </c>
    </row>
    <row r="48" s="19" customFormat="1" spans="1:14">
      <c r="A48" s="30">
        <v>45</v>
      </c>
      <c r="B48" s="38" t="s">
        <v>113</v>
      </c>
      <c r="C48" s="38"/>
      <c r="D48" s="39">
        <v>8</v>
      </c>
      <c r="E48" s="39"/>
      <c r="F48" s="38"/>
      <c r="G48" s="38"/>
      <c r="H48" s="39">
        <v>81</v>
      </c>
      <c r="I48" s="38" t="str">
        <f t="shared" si="0"/>
        <v>[{Item,8,500}]</v>
      </c>
      <c r="J48" s="50">
        <v>7.99</v>
      </c>
      <c r="K48" s="51">
        <v>50</v>
      </c>
      <c r="L48" s="38"/>
      <c r="M48" s="39"/>
      <c r="N48" s="39"/>
    </row>
    <row r="49" s="17" customFormat="1" spans="1:14">
      <c r="A49" s="30">
        <v>46</v>
      </c>
      <c r="B49" s="33" t="s">
        <v>114</v>
      </c>
      <c r="C49" s="31"/>
      <c r="D49" s="32">
        <v>11</v>
      </c>
      <c r="E49" s="32"/>
      <c r="F49" s="31"/>
      <c r="G49" s="31"/>
      <c r="H49" s="32">
        <v>103</v>
      </c>
      <c r="I49" s="31" t="s">
        <v>115</v>
      </c>
      <c r="J49" s="46">
        <v>15.99</v>
      </c>
      <c r="K49" s="47">
        <v>108</v>
      </c>
      <c r="L49" s="35"/>
      <c r="M49" s="32"/>
      <c r="N49" s="32">
        <v>1</v>
      </c>
    </row>
    <row r="50" s="17" customFormat="1" spans="1:14">
      <c r="A50" s="32">
        <v>47</v>
      </c>
      <c r="B50" s="40" t="s">
        <v>116</v>
      </c>
      <c r="C50" s="40"/>
      <c r="D50" s="41">
        <v>13</v>
      </c>
      <c r="E50" s="41"/>
      <c r="F50" s="40"/>
      <c r="G50" s="40"/>
      <c r="H50" s="41">
        <v>84</v>
      </c>
      <c r="I50" s="40" t="s">
        <v>117</v>
      </c>
      <c r="J50" s="52">
        <v>8.99</v>
      </c>
      <c r="K50" s="53">
        <v>60</v>
      </c>
      <c r="L50" s="40"/>
      <c r="M50" s="41"/>
      <c r="N50" s="41"/>
    </row>
    <row r="51" s="20" customFormat="1" spans="1:14">
      <c r="A51" s="32">
        <v>48</v>
      </c>
      <c r="B51" s="40" t="s">
        <v>118</v>
      </c>
      <c r="C51" s="40"/>
      <c r="D51" s="41">
        <v>12</v>
      </c>
      <c r="E51" s="41"/>
      <c r="F51" s="28" t="s">
        <v>119</v>
      </c>
      <c r="G51" s="40"/>
      <c r="H51" s="41">
        <v>65</v>
      </c>
      <c r="I51" s="40" t="str">
        <f t="shared" si="0"/>
        <v>[{Item,8,60}]</v>
      </c>
      <c r="J51" s="52">
        <v>0.99</v>
      </c>
      <c r="K51" s="53">
        <v>6</v>
      </c>
      <c r="L51" s="40"/>
      <c r="M51" s="41">
        <v>1</v>
      </c>
      <c r="N51" s="41">
        <v>1</v>
      </c>
    </row>
    <row r="52" s="20" customFormat="1" spans="1:14">
      <c r="A52" s="32">
        <v>49</v>
      </c>
      <c r="B52" s="40" t="s">
        <v>118</v>
      </c>
      <c r="C52" s="40"/>
      <c r="D52" s="41">
        <v>12</v>
      </c>
      <c r="E52" s="41"/>
      <c r="F52" s="28" t="s">
        <v>120</v>
      </c>
      <c r="G52" s="40"/>
      <c r="H52" s="41">
        <v>69</v>
      </c>
      <c r="I52" s="40" t="str">
        <f t="shared" si="0"/>
        <v>[{Item,8,300}]</v>
      </c>
      <c r="J52" s="52">
        <v>4.99</v>
      </c>
      <c r="K52" s="53">
        <v>30</v>
      </c>
      <c r="L52" s="40"/>
      <c r="M52" s="41">
        <v>2</v>
      </c>
      <c r="N52" s="41">
        <v>2</v>
      </c>
    </row>
    <row r="53" s="20" customFormat="1" spans="1:14">
      <c r="A53" s="32">
        <v>50</v>
      </c>
      <c r="B53" s="40" t="s">
        <v>118</v>
      </c>
      <c r="C53" s="40"/>
      <c r="D53" s="41">
        <v>12</v>
      </c>
      <c r="E53" s="41"/>
      <c r="F53" s="28" t="s">
        <v>121</v>
      </c>
      <c r="G53" s="40" t="s">
        <v>122</v>
      </c>
      <c r="H53" s="41">
        <v>51</v>
      </c>
      <c r="I53" s="40" t="str">
        <f t="shared" si="0"/>
        <v>[{Item,8,1280}]</v>
      </c>
      <c r="J53" s="52">
        <v>19.99</v>
      </c>
      <c r="K53" s="53">
        <v>128</v>
      </c>
      <c r="L53" s="40"/>
      <c r="M53" s="41">
        <v>4</v>
      </c>
      <c r="N53" s="41">
        <v>2</v>
      </c>
    </row>
    <row r="54" s="21" customFormat="1" spans="1:14">
      <c r="A54" s="32">
        <v>51</v>
      </c>
      <c r="B54" s="40" t="s">
        <v>118</v>
      </c>
      <c r="C54" s="42"/>
      <c r="D54" s="41">
        <v>12</v>
      </c>
      <c r="E54" s="43"/>
      <c r="F54" s="28" t="s">
        <v>123</v>
      </c>
      <c r="G54" s="28" t="s">
        <v>124</v>
      </c>
      <c r="H54" s="43">
        <v>31</v>
      </c>
      <c r="I54" s="42" t="str">
        <f t="shared" si="0"/>
        <v>[{Item,8,3280}]</v>
      </c>
      <c r="J54" s="54">
        <v>49.99</v>
      </c>
      <c r="K54" s="55">
        <v>328</v>
      </c>
      <c r="L54" s="42"/>
      <c r="M54" s="41">
        <v>5</v>
      </c>
      <c r="N54" s="43">
        <v>2</v>
      </c>
    </row>
    <row r="55" s="20" customFormat="1" spans="1:14">
      <c r="A55" s="32">
        <v>52</v>
      </c>
      <c r="B55" s="40" t="s">
        <v>118</v>
      </c>
      <c r="C55" s="40"/>
      <c r="D55" s="41">
        <v>12</v>
      </c>
      <c r="E55" s="41"/>
      <c r="F55" s="28" t="s">
        <v>125</v>
      </c>
      <c r="G55" s="28"/>
      <c r="H55" s="41">
        <v>25</v>
      </c>
      <c r="I55" s="40" t="str">
        <f t="shared" si="0"/>
        <v>[{Item,8,6480}]</v>
      </c>
      <c r="J55" s="52">
        <v>99.99</v>
      </c>
      <c r="K55" s="53">
        <v>648</v>
      </c>
      <c r="L55" s="40"/>
      <c r="M55" s="41">
        <v>6</v>
      </c>
      <c r="N55" s="41">
        <v>2</v>
      </c>
    </row>
    <row r="56" s="19" customFormat="1" spans="1:14">
      <c r="A56" s="32">
        <v>53</v>
      </c>
      <c r="B56" s="38" t="s">
        <v>126</v>
      </c>
      <c r="C56" s="38"/>
      <c r="D56" s="39">
        <v>9</v>
      </c>
      <c r="E56" s="39"/>
      <c r="F56" s="38"/>
      <c r="G56" s="38"/>
      <c r="H56" s="39">
        <v>70</v>
      </c>
      <c r="I56" s="38" t="str">
        <f t="shared" si="0"/>
        <v>[{Item,8,300}]</v>
      </c>
      <c r="J56" s="50">
        <v>4.99</v>
      </c>
      <c r="K56" s="51">
        <v>30</v>
      </c>
      <c r="L56" s="38"/>
      <c r="M56" s="39"/>
      <c r="N56" s="39"/>
    </row>
    <row r="57" s="20" customFormat="1" spans="1:14">
      <c r="A57" s="32">
        <v>54</v>
      </c>
      <c r="B57" s="40" t="s">
        <v>127</v>
      </c>
      <c r="C57" s="40"/>
      <c r="D57" s="41">
        <v>9</v>
      </c>
      <c r="E57" s="41"/>
      <c r="F57" s="28"/>
      <c r="G57" s="28"/>
      <c r="H57" s="41">
        <v>38</v>
      </c>
      <c r="I57" s="40" t="s">
        <v>84</v>
      </c>
      <c r="J57" s="52">
        <v>49.99</v>
      </c>
      <c r="K57" s="53">
        <v>328</v>
      </c>
      <c r="L57" s="40"/>
      <c r="M57" s="41"/>
      <c r="N57" s="41">
        <v>2</v>
      </c>
    </row>
    <row r="58" s="20" customFormat="1" spans="1:14">
      <c r="A58" s="32">
        <v>55</v>
      </c>
      <c r="B58" s="40" t="s">
        <v>128</v>
      </c>
      <c r="C58" s="40"/>
      <c r="D58" s="41">
        <v>9</v>
      </c>
      <c r="E58" s="41"/>
      <c r="F58" s="28"/>
      <c r="G58" s="28"/>
      <c r="H58" s="41">
        <v>32</v>
      </c>
      <c r="I58" s="40" t="s">
        <v>88</v>
      </c>
      <c r="J58" s="52">
        <v>99.99</v>
      </c>
      <c r="K58" s="53">
        <v>648</v>
      </c>
      <c r="L58" s="40"/>
      <c r="M58" s="41"/>
      <c r="N58" s="41">
        <v>2</v>
      </c>
    </row>
    <row r="59" s="20" customFormat="1" spans="1:14">
      <c r="A59" s="32">
        <v>56</v>
      </c>
      <c r="B59" s="40" t="s">
        <v>129</v>
      </c>
      <c r="C59" s="40"/>
      <c r="D59" s="41">
        <v>9</v>
      </c>
      <c r="E59" s="41"/>
      <c r="F59" s="28"/>
      <c r="G59" s="28"/>
      <c r="H59" s="41">
        <v>88</v>
      </c>
      <c r="I59" s="40" t="s">
        <v>43</v>
      </c>
      <c r="J59" s="52">
        <v>9.99</v>
      </c>
      <c r="K59" s="53">
        <v>68</v>
      </c>
      <c r="L59" s="40"/>
      <c r="M59" s="41"/>
      <c r="N59" s="41">
        <v>3</v>
      </c>
    </row>
    <row r="60" s="20" customFormat="1" spans="1:14">
      <c r="A60" s="32">
        <v>57</v>
      </c>
      <c r="B60" s="40" t="s">
        <v>130</v>
      </c>
      <c r="C60" s="40"/>
      <c r="D60" s="41">
        <v>9</v>
      </c>
      <c r="E60" s="41"/>
      <c r="F60" s="28"/>
      <c r="G60" s="28"/>
      <c r="H60" s="41">
        <v>39</v>
      </c>
      <c r="I60" s="40" t="s">
        <v>88</v>
      </c>
      <c r="J60" s="52">
        <v>99.99</v>
      </c>
      <c r="K60" s="53">
        <v>648</v>
      </c>
      <c r="L60" s="40"/>
      <c r="M60" s="41"/>
      <c r="N60" s="41">
        <v>3</v>
      </c>
    </row>
    <row r="61" s="17" customFormat="1" spans="1:14">
      <c r="A61" s="32">
        <v>58</v>
      </c>
      <c r="B61" s="36" t="s">
        <v>131</v>
      </c>
      <c r="C61" s="36"/>
      <c r="D61" s="37">
        <v>9</v>
      </c>
      <c r="E61" s="37"/>
      <c r="F61" s="36"/>
      <c r="G61" s="36"/>
      <c r="H61" s="37">
        <v>33</v>
      </c>
      <c r="I61" s="36" t="str">
        <f t="shared" ref="I61:I63" si="1">"[{Item,8,"&amp;K61*10&amp;"}]"</f>
        <v>[{Item,8,60}]</v>
      </c>
      <c r="J61" s="48">
        <v>0.99</v>
      </c>
      <c r="K61" s="49">
        <v>6</v>
      </c>
      <c r="L61" s="36"/>
      <c r="M61" s="37"/>
      <c r="N61" s="37"/>
    </row>
    <row r="62" s="17" customFormat="1" spans="1:14">
      <c r="A62" s="32">
        <v>59</v>
      </c>
      <c r="B62" s="36" t="s">
        <v>132</v>
      </c>
      <c r="C62" s="36"/>
      <c r="D62" s="37">
        <v>9</v>
      </c>
      <c r="E62" s="37"/>
      <c r="F62" s="36"/>
      <c r="G62" s="36"/>
      <c r="H62" s="37">
        <v>27</v>
      </c>
      <c r="I62" s="36" t="s">
        <v>94</v>
      </c>
      <c r="J62" s="48">
        <v>1.99</v>
      </c>
      <c r="K62" s="49">
        <v>12</v>
      </c>
      <c r="L62" s="36"/>
      <c r="M62" s="37"/>
      <c r="N62" s="37"/>
    </row>
    <row r="63" s="17" customFormat="1" spans="1:14">
      <c r="A63" s="32">
        <v>60</v>
      </c>
      <c r="B63" s="36" t="s">
        <v>133</v>
      </c>
      <c r="C63" s="36"/>
      <c r="D63" s="37">
        <v>9</v>
      </c>
      <c r="E63" s="37"/>
      <c r="F63" s="36"/>
      <c r="G63" s="36"/>
      <c r="H63" s="37">
        <v>71</v>
      </c>
      <c r="I63" s="36" t="s">
        <v>40</v>
      </c>
      <c r="J63" s="48">
        <v>4.99</v>
      </c>
      <c r="K63" s="49">
        <v>30</v>
      </c>
      <c r="L63" s="36"/>
      <c r="M63" s="37"/>
      <c r="N63" s="37"/>
    </row>
    <row r="64" s="17" customFormat="1" spans="1:14">
      <c r="A64" s="32">
        <v>61</v>
      </c>
      <c r="B64" s="36" t="s">
        <v>134</v>
      </c>
      <c r="C64" s="36"/>
      <c r="D64" s="37">
        <v>14</v>
      </c>
      <c r="E64" s="37"/>
      <c r="F64" s="36"/>
      <c r="G64" s="36"/>
      <c r="H64" s="37">
        <v>47</v>
      </c>
      <c r="I64" s="36" t="s">
        <v>35</v>
      </c>
      <c r="J64" s="48">
        <v>0.99</v>
      </c>
      <c r="K64" s="49">
        <v>6</v>
      </c>
      <c r="L64" s="36"/>
      <c r="M64" s="37"/>
      <c r="N64" s="37"/>
    </row>
    <row r="65" s="17" customFormat="1" spans="1:14">
      <c r="A65" s="32">
        <v>62</v>
      </c>
      <c r="B65" s="36" t="s">
        <v>135</v>
      </c>
      <c r="C65" s="36"/>
      <c r="D65" s="37">
        <v>14</v>
      </c>
      <c r="E65" s="37"/>
      <c r="F65" s="36"/>
      <c r="G65" s="36"/>
      <c r="H65" s="37">
        <v>72</v>
      </c>
      <c r="I65" s="36" t="s">
        <v>40</v>
      </c>
      <c r="J65" s="48">
        <v>4.99</v>
      </c>
      <c r="K65" s="49">
        <v>30</v>
      </c>
      <c r="L65" s="36"/>
      <c r="M65" s="37"/>
      <c r="N65" s="37"/>
    </row>
    <row r="66" s="17" customFormat="1" spans="1:14">
      <c r="A66" s="32">
        <v>63</v>
      </c>
      <c r="B66" s="36" t="s">
        <v>136</v>
      </c>
      <c r="C66" s="36"/>
      <c r="D66" s="37">
        <v>14</v>
      </c>
      <c r="E66" s="37"/>
      <c r="F66" s="36"/>
      <c r="G66" s="36"/>
      <c r="H66" s="37">
        <v>89</v>
      </c>
      <c r="I66" s="36" t="s">
        <v>43</v>
      </c>
      <c r="J66" s="48">
        <v>9.99</v>
      </c>
      <c r="K66" s="49">
        <v>68</v>
      </c>
      <c r="L66" s="36"/>
      <c r="M66" s="37"/>
      <c r="N66" s="37"/>
    </row>
    <row r="67" s="17" customFormat="1" spans="1:14">
      <c r="A67" s="32">
        <v>64</v>
      </c>
      <c r="B67" s="36" t="s">
        <v>137</v>
      </c>
      <c r="C67" s="36"/>
      <c r="D67" s="37">
        <v>14</v>
      </c>
      <c r="E67" s="37"/>
      <c r="F67" s="36"/>
      <c r="G67" s="36"/>
      <c r="H67" s="37">
        <v>58</v>
      </c>
      <c r="I67" s="36" t="s">
        <v>55</v>
      </c>
      <c r="J67" s="48">
        <v>19.99</v>
      </c>
      <c r="K67" s="49">
        <v>128</v>
      </c>
      <c r="L67" s="36"/>
      <c r="M67" s="37"/>
      <c r="N67" s="37"/>
    </row>
    <row r="68" s="17" customFormat="1" spans="1:14">
      <c r="A68" s="32">
        <v>65</v>
      </c>
      <c r="B68" s="36" t="s">
        <v>138</v>
      </c>
      <c r="C68" s="36"/>
      <c r="D68" s="37">
        <v>14</v>
      </c>
      <c r="E68" s="37"/>
      <c r="F68" s="36"/>
      <c r="G68" s="36"/>
      <c r="H68" s="37">
        <v>59</v>
      </c>
      <c r="I68" s="36" t="s">
        <v>84</v>
      </c>
      <c r="J68" s="48">
        <v>49.99</v>
      </c>
      <c r="K68" s="49">
        <v>328</v>
      </c>
      <c r="L68" s="36"/>
      <c r="M68" s="37"/>
      <c r="N68" s="37"/>
    </row>
    <row r="69" s="17" customFormat="1" spans="1:14">
      <c r="A69" s="32">
        <v>66</v>
      </c>
      <c r="B69" s="36" t="s">
        <v>139</v>
      </c>
      <c r="C69" s="36"/>
      <c r="D69" s="37">
        <v>14</v>
      </c>
      <c r="E69" s="37"/>
      <c r="F69" s="36"/>
      <c r="G69" s="36"/>
      <c r="H69" s="37">
        <v>60</v>
      </c>
      <c r="I69" s="36" t="s">
        <v>88</v>
      </c>
      <c r="J69" s="48">
        <v>99.99</v>
      </c>
      <c r="K69" s="49">
        <v>648</v>
      </c>
      <c r="L69" s="36"/>
      <c r="M69" s="37"/>
      <c r="N69" s="37"/>
    </row>
    <row r="70" s="17" customFormat="1" spans="1:14">
      <c r="A70" s="32">
        <v>67</v>
      </c>
      <c r="B70" s="36" t="s">
        <v>140</v>
      </c>
      <c r="C70" s="36"/>
      <c r="D70" s="37">
        <v>15</v>
      </c>
      <c r="E70" s="37"/>
      <c r="F70" s="36" t="s">
        <v>141</v>
      </c>
      <c r="G70" s="36"/>
      <c r="H70" s="37">
        <v>-3</v>
      </c>
      <c r="I70" s="36" t="s">
        <v>69</v>
      </c>
      <c r="J70" s="48"/>
      <c r="K70" s="49"/>
      <c r="L70" s="36"/>
      <c r="M70" s="37"/>
      <c r="N70" s="37"/>
    </row>
    <row r="71" s="17" customFormat="1" ht="16" customHeight="1" spans="1:14">
      <c r="A71" s="32">
        <v>68</v>
      </c>
      <c r="B71" s="36" t="s">
        <v>142</v>
      </c>
      <c r="C71" s="36"/>
      <c r="D71" s="37">
        <v>9</v>
      </c>
      <c r="E71" s="37"/>
      <c r="F71" s="36"/>
      <c r="G71" s="36"/>
      <c r="H71" s="35">
        <v>106</v>
      </c>
      <c r="I71" s="36" t="s">
        <v>55</v>
      </c>
      <c r="J71" s="48">
        <v>19.99</v>
      </c>
      <c r="K71" s="49">
        <v>128</v>
      </c>
      <c r="L71" s="36"/>
      <c r="M71" s="37"/>
      <c r="N71" s="35"/>
    </row>
    <row r="72" s="17" customFormat="1" spans="1:14">
      <c r="A72" s="32">
        <v>69</v>
      </c>
      <c r="B72" s="40" t="s">
        <v>143</v>
      </c>
      <c r="C72" s="40"/>
      <c r="D72" s="41">
        <v>16</v>
      </c>
      <c r="E72" s="41"/>
      <c r="F72" s="40"/>
      <c r="G72" s="40"/>
      <c r="H72" s="41">
        <v>90</v>
      </c>
      <c r="I72" s="40" t="s">
        <v>43</v>
      </c>
      <c r="J72" s="52">
        <v>9.99</v>
      </c>
      <c r="K72" s="53">
        <v>68</v>
      </c>
      <c r="L72" s="40"/>
      <c r="M72" s="41"/>
      <c r="N72" s="41"/>
    </row>
    <row r="73" s="17" customFormat="1" spans="1:14">
      <c r="A73" s="32">
        <v>70</v>
      </c>
      <c r="B73" s="40" t="s">
        <v>144</v>
      </c>
      <c r="C73" s="40"/>
      <c r="D73" s="41">
        <v>17</v>
      </c>
      <c r="E73" s="41"/>
      <c r="F73" s="36" t="s">
        <v>145</v>
      </c>
      <c r="G73" s="40"/>
      <c r="H73" s="41">
        <v>40</v>
      </c>
      <c r="I73" s="40" t="s">
        <v>35</v>
      </c>
      <c r="J73" s="52">
        <v>0.99</v>
      </c>
      <c r="K73" s="53">
        <v>6</v>
      </c>
      <c r="L73" s="67" t="s">
        <v>146</v>
      </c>
      <c r="M73" s="41">
        <v>1</v>
      </c>
      <c r="N73" s="41">
        <v>1</v>
      </c>
    </row>
    <row r="74" s="17" customFormat="1" spans="1:14">
      <c r="A74" s="32">
        <v>71</v>
      </c>
      <c r="B74" s="40" t="s">
        <v>147</v>
      </c>
      <c r="C74" s="40"/>
      <c r="D74" s="41">
        <v>17</v>
      </c>
      <c r="E74" s="41"/>
      <c r="F74" s="36" t="s">
        <v>148</v>
      </c>
      <c r="G74" s="40"/>
      <c r="H74" s="41">
        <v>73</v>
      </c>
      <c r="I74" s="40" t="s">
        <v>40</v>
      </c>
      <c r="J74" s="52">
        <v>4.99</v>
      </c>
      <c r="K74" s="53">
        <v>30</v>
      </c>
      <c r="L74" s="67" t="s">
        <v>149</v>
      </c>
      <c r="M74" s="41">
        <v>2</v>
      </c>
      <c r="N74" s="41">
        <v>3</v>
      </c>
    </row>
    <row r="75" s="17" customFormat="1" spans="1:14">
      <c r="A75" s="32">
        <v>72</v>
      </c>
      <c r="B75" s="40" t="s">
        <v>150</v>
      </c>
      <c r="C75" s="40"/>
      <c r="D75" s="41">
        <v>17</v>
      </c>
      <c r="E75" s="41"/>
      <c r="F75" s="36" t="s">
        <v>151</v>
      </c>
      <c r="G75" s="40"/>
      <c r="H75" s="41">
        <v>85</v>
      </c>
      <c r="I75" s="40" t="s">
        <v>117</v>
      </c>
      <c r="J75" s="52">
        <v>8.99</v>
      </c>
      <c r="K75" s="53">
        <v>60</v>
      </c>
      <c r="L75" s="67" t="s">
        <v>149</v>
      </c>
      <c r="M75" s="41">
        <v>3</v>
      </c>
      <c r="N75" s="41">
        <v>3</v>
      </c>
    </row>
    <row r="76" s="17" customFormat="1" spans="1:14">
      <c r="A76" s="32">
        <v>73</v>
      </c>
      <c r="B76" s="40" t="s">
        <v>152</v>
      </c>
      <c r="C76" s="40"/>
      <c r="D76" s="41">
        <v>17</v>
      </c>
      <c r="E76" s="41"/>
      <c r="F76" s="36" t="s">
        <v>153</v>
      </c>
      <c r="G76" s="40" t="s">
        <v>154</v>
      </c>
      <c r="H76" s="41">
        <v>104</v>
      </c>
      <c r="I76" s="40" t="s">
        <v>115</v>
      </c>
      <c r="J76" s="52">
        <v>15.99</v>
      </c>
      <c r="K76" s="53">
        <v>108</v>
      </c>
      <c r="L76" s="67" t="s">
        <v>149</v>
      </c>
      <c r="M76" s="41">
        <v>4</v>
      </c>
      <c r="N76" s="41">
        <v>3</v>
      </c>
    </row>
    <row r="77" s="17" customFormat="1" spans="1:14">
      <c r="A77" s="32">
        <v>74</v>
      </c>
      <c r="B77" s="40" t="s">
        <v>155</v>
      </c>
      <c r="C77" s="40"/>
      <c r="D77" s="41">
        <v>17</v>
      </c>
      <c r="E77" s="41"/>
      <c r="F77" s="36" t="s">
        <v>156</v>
      </c>
      <c r="G77" s="40"/>
      <c r="H77" s="41">
        <v>107</v>
      </c>
      <c r="I77" s="40" t="s">
        <v>55</v>
      </c>
      <c r="J77" s="52">
        <v>19.99</v>
      </c>
      <c r="K77" s="53">
        <v>128</v>
      </c>
      <c r="L77" s="67" t="s">
        <v>149</v>
      </c>
      <c r="M77" s="41">
        <v>5</v>
      </c>
      <c r="N77" s="41">
        <v>3</v>
      </c>
    </row>
    <row r="78" s="17" customFormat="1" spans="1:14">
      <c r="A78" s="32">
        <v>75</v>
      </c>
      <c r="B78" s="40" t="s">
        <v>157</v>
      </c>
      <c r="C78" s="40"/>
      <c r="D78" s="41">
        <v>17</v>
      </c>
      <c r="E78" s="41"/>
      <c r="F78" s="36" t="s">
        <v>158</v>
      </c>
      <c r="G78" s="28"/>
      <c r="H78" s="41">
        <v>45</v>
      </c>
      <c r="I78" s="40" t="s">
        <v>84</v>
      </c>
      <c r="J78" s="52">
        <v>49.99</v>
      </c>
      <c r="K78" s="53">
        <v>328</v>
      </c>
      <c r="L78" s="67" t="s">
        <v>149</v>
      </c>
      <c r="M78" s="41">
        <v>6</v>
      </c>
      <c r="N78" s="41">
        <v>2</v>
      </c>
    </row>
    <row r="79" s="17" customFormat="1" spans="1:14">
      <c r="A79" s="32">
        <v>76</v>
      </c>
      <c r="B79" s="40" t="s">
        <v>159</v>
      </c>
      <c r="C79" s="40"/>
      <c r="D79" s="41">
        <v>17</v>
      </c>
      <c r="E79" s="41"/>
      <c r="F79" s="36" t="s">
        <v>160</v>
      </c>
      <c r="G79" s="28" t="s">
        <v>161</v>
      </c>
      <c r="H79" s="41">
        <v>46</v>
      </c>
      <c r="I79" s="40" t="s">
        <v>88</v>
      </c>
      <c r="J79" s="52">
        <v>99.99</v>
      </c>
      <c r="K79" s="53">
        <v>648</v>
      </c>
      <c r="L79" s="67" t="s">
        <v>162</v>
      </c>
      <c r="M79" s="41">
        <v>7</v>
      </c>
      <c r="N79" s="41">
        <v>2</v>
      </c>
    </row>
    <row r="80" s="17" customFormat="1" spans="1:14">
      <c r="A80" s="32">
        <v>77</v>
      </c>
      <c r="B80" s="40" t="s">
        <v>163</v>
      </c>
      <c r="C80" s="40"/>
      <c r="D80" s="41">
        <v>9</v>
      </c>
      <c r="E80" s="41"/>
      <c r="F80" s="36"/>
      <c r="G80" s="28"/>
      <c r="H80" s="41">
        <v>74</v>
      </c>
      <c r="I80" s="40" t="s">
        <v>40</v>
      </c>
      <c r="J80" s="52">
        <v>4.99</v>
      </c>
      <c r="K80" s="53">
        <v>30</v>
      </c>
      <c r="L80" s="40"/>
      <c r="M80" s="41">
        <v>1</v>
      </c>
      <c r="N80" s="41">
        <v>1</v>
      </c>
    </row>
    <row r="81" s="17" customFormat="1" spans="1:14">
      <c r="A81" s="32">
        <v>78</v>
      </c>
      <c r="B81" s="40" t="s">
        <v>164</v>
      </c>
      <c r="C81" s="40"/>
      <c r="D81" s="41">
        <v>9</v>
      </c>
      <c r="E81" s="41"/>
      <c r="F81" s="36"/>
      <c r="G81" s="28"/>
      <c r="H81" s="41">
        <v>91</v>
      </c>
      <c r="I81" s="40" t="s">
        <v>43</v>
      </c>
      <c r="J81" s="52">
        <v>9.99</v>
      </c>
      <c r="K81" s="53">
        <v>68</v>
      </c>
      <c r="L81" s="40"/>
      <c r="M81" s="41">
        <v>2</v>
      </c>
      <c r="N81" s="41">
        <v>1</v>
      </c>
    </row>
    <row r="82" s="17" customFormat="1" spans="1:14">
      <c r="A82" s="32">
        <v>79</v>
      </c>
      <c r="B82" s="40" t="s">
        <v>165</v>
      </c>
      <c r="C82" s="40"/>
      <c r="D82" s="41">
        <v>9</v>
      </c>
      <c r="E82" s="41"/>
      <c r="F82" s="36"/>
      <c r="G82" s="28"/>
      <c r="H82" s="41">
        <v>75</v>
      </c>
      <c r="I82" s="40" t="s">
        <v>40</v>
      </c>
      <c r="J82" s="52">
        <v>4.99</v>
      </c>
      <c r="K82" s="53">
        <v>30</v>
      </c>
      <c r="L82" s="40"/>
      <c r="M82" s="41">
        <v>1</v>
      </c>
      <c r="N82" s="41">
        <v>1</v>
      </c>
    </row>
    <row r="83" s="17" customFormat="1" spans="1:14">
      <c r="A83" s="32">
        <v>80</v>
      </c>
      <c r="B83" s="40" t="s">
        <v>166</v>
      </c>
      <c r="C83" s="40"/>
      <c r="D83" s="41">
        <v>9</v>
      </c>
      <c r="E83" s="41"/>
      <c r="F83" s="36"/>
      <c r="G83" s="28"/>
      <c r="H83" s="41">
        <v>98</v>
      </c>
      <c r="I83" s="40" t="s">
        <v>167</v>
      </c>
      <c r="J83" s="52">
        <v>12.99</v>
      </c>
      <c r="K83" s="53">
        <v>88</v>
      </c>
      <c r="L83" s="40"/>
      <c r="M83" s="41">
        <v>2</v>
      </c>
      <c r="N83" s="41">
        <v>1</v>
      </c>
    </row>
    <row r="84" s="17" customFormat="1" spans="1:14">
      <c r="A84" s="32">
        <v>81</v>
      </c>
      <c r="B84" s="40" t="s">
        <v>168</v>
      </c>
      <c r="C84" s="40"/>
      <c r="D84" s="41">
        <v>9</v>
      </c>
      <c r="E84" s="41"/>
      <c r="F84" s="36"/>
      <c r="G84" s="28"/>
      <c r="H84" s="41">
        <v>108</v>
      </c>
      <c r="I84" s="40" t="s">
        <v>55</v>
      </c>
      <c r="J84" s="52">
        <v>19.99</v>
      </c>
      <c r="K84" s="53">
        <v>128</v>
      </c>
      <c r="L84" s="40"/>
      <c r="M84" s="41">
        <v>3</v>
      </c>
      <c r="N84" s="41">
        <v>1</v>
      </c>
    </row>
    <row r="85" s="17" customFormat="1" spans="1:14">
      <c r="A85" s="32">
        <v>82</v>
      </c>
      <c r="B85" s="40" t="s">
        <v>169</v>
      </c>
      <c r="C85" s="40"/>
      <c r="D85" s="41">
        <v>9</v>
      </c>
      <c r="E85" s="41"/>
      <c r="F85" s="36"/>
      <c r="G85" s="28"/>
      <c r="H85" s="41">
        <v>92</v>
      </c>
      <c r="I85" s="40" t="s">
        <v>43</v>
      </c>
      <c r="J85" s="52">
        <v>9.99</v>
      </c>
      <c r="K85" s="53">
        <v>68</v>
      </c>
      <c r="L85" s="40"/>
      <c r="M85" s="41">
        <v>1</v>
      </c>
      <c r="N85" s="41">
        <v>1</v>
      </c>
    </row>
    <row r="86" s="17" customFormat="1" spans="1:14">
      <c r="A86" s="32">
        <v>83</v>
      </c>
      <c r="B86" s="40" t="s">
        <v>170</v>
      </c>
      <c r="C86" s="40"/>
      <c r="D86" s="41">
        <v>9</v>
      </c>
      <c r="E86" s="41"/>
      <c r="F86" s="36"/>
      <c r="G86" s="28"/>
      <c r="H86" s="41">
        <v>109</v>
      </c>
      <c r="I86" s="40" t="s">
        <v>55</v>
      </c>
      <c r="J86" s="52">
        <v>19.99</v>
      </c>
      <c r="K86" s="53">
        <v>128</v>
      </c>
      <c r="L86" s="40"/>
      <c r="M86" s="41">
        <v>2</v>
      </c>
      <c r="N86" s="41">
        <v>1</v>
      </c>
    </row>
    <row r="87" s="17" customFormat="1" spans="1:14">
      <c r="A87" s="32">
        <v>84</v>
      </c>
      <c r="B87" s="40" t="s">
        <v>171</v>
      </c>
      <c r="C87" s="40"/>
      <c r="D87" s="41">
        <v>9</v>
      </c>
      <c r="E87" s="41"/>
      <c r="F87" s="36"/>
      <c r="G87" s="28"/>
      <c r="H87" s="41">
        <v>52</v>
      </c>
      <c r="I87" s="40" t="s">
        <v>84</v>
      </c>
      <c r="J87" s="52">
        <v>49.99</v>
      </c>
      <c r="K87" s="53">
        <v>328</v>
      </c>
      <c r="L87" s="40"/>
      <c r="M87" s="41">
        <v>3</v>
      </c>
      <c r="N87" s="41">
        <v>1</v>
      </c>
    </row>
    <row r="88" s="17" customFormat="1" spans="1:14">
      <c r="A88" s="32">
        <v>85</v>
      </c>
      <c r="B88" s="40" t="s">
        <v>172</v>
      </c>
      <c r="C88" s="40"/>
      <c r="D88" s="41">
        <v>9</v>
      </c>
      <c r="E88" s="41"/>
      <c r="F88" s="36"/>
      <c r="G88" s="28"/>
      <c r="H88" s="41">
        <v>93</v>
      </c>
      <c r="I88" s="40" t="s">
        <v>43</v>
      </c>
      <c r="J88" s="52">
        <v>9.99</v>
      </c>
      <c r="K88" s="53">
        <v>68</v>
      </c>
      <c r="L88" s="40"/>
      <c r="M88" s="41">
        <v>1</v>
      </c>
      <c r="N88" s="41">
        <v>1</v>
      </c>
    </row>
    <row r="89" s="17" customFormat="1" spans="1:14">
      <c r="A89" s="32">
        <v>86</v>
      </c>
      <c r="B89" s="40" t="s">
        <v>173</v>
      </c>
      <c r="C89" s="40"/>
      <c r="D89" s="41">
        <v>9</v>
      </c>
      <c r="E89" s="41"/>
      <c r="F89" s="36"/>
      <c r="G89" s="28"/>
      <c r="H89" s="41">
        <v>110</v>
      </c>
      <c r="I89" s="40" t="s">
        <v>55</v>
      </c>
      <c r="J89" s="52">
        <v>19.99</v>
      </c>
      <c r="K89" s="53">
        <v>128</v>
      </c>
      <c r="L89" s="40"/>
      <c r="M89" s="41">
        <v>2</v>
      </c>
      <c r="N89" s="41">
        <v>1</v>
      </c>
    </row>
    <row r="90" s="17" customFormat="1" spans="1:14">
      <c r="A90" s="32">
        <v>87</v>
      </c>
      <c r="B90" s="40" t="s">
        <v>174</v>
      </c>
      <c r="C90" s="40"/>
      <c r="D90" s="41">
        <v>9</v>
      </c>
      <c r="E90" s="41"/>
      <c r="F90" s="36"/>
      <c r="G90" s="28"/>
      <c r="H90" s="41">
        <v>53</v>
      </c>
      <c r="I90" s="40" t="s">
        <v>88</v>
      </c>
      <c r="J90" s="52">
        <v>99.99</v>
      </c>
      <c r="K90" s="53">
        <v>648</v>
      </c>
      <c r="L90" s="40"/>
      <c r="M90" s="41">
        <v>3</v>
      </c>
      <c r="N90" s="41">
        <v>1</v>
      </c>
    </row>
    <row r="91" s="20" customFormat="1" spans="1:14">
      <c r="A91" s="32">
        <v>88</v>
      </c>
      <c r="B91" s="40" t="s">
        <v>118</v>
      </c>
      <c r="C91" s="40"/>
      <c r="D91" s="41">
        <v>12</v>
      </c>
      <c r="E91" s="41"/>
      <c r="F91" s="28" t="s">
        <v>175</v>
      </c>
      <c r="G91" s="56" t="s">
        <v>176</v>
      </c>
      <c r="H91" s="41">
        <v>94</v>
      </c>
      <c r="I91" s="40" t="s">
        <v>43</v>
      </c>
      <c r="J91" s="52">
        <v>9.99</v>
      </c>
      <c r="K91" s="53">
        <v>68</v>
      </c>
      <c r="L91" s="40"/>
      <c r="M91" s="41">
        <v>3</v>
      </c>
      <c r="N91" s="41">
        <v>2</v>
      </c>
    </row>
    <row r="92" s="20" customFormat="1" spans="1:14">
      <c r="A92" s="32">
        <v>89</v>
      </c>
      <c r="B92" s="40" t="s">
        <v>177</v>
      </c>
      <c r="C92" s="40"/>
      <c r="D92" s="41">
        <v>18</v>
      </c>
      <c r="E92" s="41"/>
      <c r="F92" s="28" t="s">
        <v>178</v>
      </c>
      <c r="G92" s="56"/>
      <c r="H92" s="41">
        <v>54</v>
      </c>
      <c r="I92" s="40" t="str">
        <f t="shared" ref="I92:I97" si="2">"[{Item,8,"&amp;K92*10&amp;"}]"</f>
        <v>[{Item,8,60}]</v>
      </c>
      <c r="J92" s="52">
        <v>0.99</v>
      </c>
      <c r="K92" s="53">
        <v>6</v>
      </c>
      <c r="L92" s="40"/>
      <c r="M92" s="41">
        <v>1</v>
      </c>
      <c r="N92" s="41">
        <v>1</v>
      </c>
    </row>
    <row r="93" s="20" customFormat="1" spans="1:14">
      <c r="A93" s="32">
        <v>90</v>
      </c>
      <c r="B93" s="40" t="s">
        <v>179</v>
      </c>
      <c r="C93" s="40"/>
      <c r="D93" s="41">
        <v>18</v>
      </c>
      <c r="E93" s="41"/>
      <c r="F93" s="28" t="s">
        <v>180</v>
      </c>
      <c r="G93" s="56" t="s">
        <v>181</v>
      </c>
      <c r="H93" s="41">
        <v>76</v>
      </c>
      <c r="I93" s="40" t="str">
        <f t="shared" si="2"/>
        <v>[{Item,8,450}]</v>
      </c>
      <c r="J93" s="52">
        <v>6.99</v>
      </c>
      <c r="K93" s="53">
        <v>45</v>
      </c>
      <c r="L93" s="40"/>
      <c r="M93" s="41">
        <v>2</v>
      </c>
      <c r="N93" s="41">
        <v>3</v>
      </c>
    </row>
    <row r="94" s="20" customFormat="1" spans="1:14">
      <c r="A94" s="32">
        <v>91</v>
      </c>
      <c r="B94" s="40" t="s">
        <v>182</v>
      </c>
      <c r="C94" s="40"/>
      <c r="D94" s="41">
        <v>18</v>
      </c>
      <c r="E94" s="41"/>
      <c r="F94" s="28" t="s">
        <v>183</v>
      </c>
      <c r="G94" s="56" t="s">
        <v>184</v>
      </c>
      <c r="H94" s="41">
        <v>86</v>
      </c>
      <c r="I94" s="40" t="str">
        <f t="shared" si="2"/>
        <v>[{Item,8,600}]</v>
      </c>
      <c r="J94" s="52">
        <v>8.99</v>
      </c>
      <c r="K94" s="53">
        <v>60</v>
      </c>
      <c r="L94" s="40"/>
      <c r="M94" s="41">
        <v>3</v>
      </c>
      <c r="N94" s="41">
        <v>3</v>
      </c>
    </row>
    <row r="95" s="20" customFormat="1" spans="1:14">
      <c r="A95" s="32">
        <v>92</v>
      </c>
      <c r="B95" s="40" t="s">
        <v>185</v>
      </c>
      <c r="C95" s="40"/>
      <c r="D95" s="41">
        <v>18</v>
      </c>
      <c r="E95" s="41"/>
      <c r="F95" s="28" t="s">
        <v>186</v>
      </c>
      <c r="G95" s="56"/>
      <c r="H95" s="41">
        <v>105</v>
      </c>
      <c r="I95" s="40" t="str">
        <f t="shared" si="2"/>
        <v>[{Item,8,1080}]</v>
      </c>
      <c r="J95" s="52">
        <v>15.99</v>
      </c>
      <c r="K95" s="53">
        <v>108</v>
      </c>
      <c r="L95" s="40"/>
      <c r="M95" s="41">
        <v>4</v>
      </c>
      <c r="N95" s="41">
        <v>3</v>
      </c>
    </row>
    <row r="96" s="20" customFormat="1" spans="1:14">
      <c r="A96" s="32">
        <v>93</v>
      </c>
      <c r="B96" s="40" t="s">
        <v>187</v>
      </c>
      <c r="C96" s="40"/>
      <c r="D96" s="41">
        <v>18</v>
      </c>
      <c r="E96" s="41"/>
      <c r="F96" s="28" t="s">
        <v>188</v>
      </c>
      <c r="G96" s="56" t="s">
        <v>189</v>
      </c>
      <c r="H96" s="41">
        <v>111</v>
      </c>
      <c r="I96" s="40" t="str">
        <f t="shared" si="2"/>
        <v>[{Item,8,1280}]</v>
      </c>
      <c r="J96" s="52">
        <v>19.99</v>
      </c>
      <c r="K96" s="53">
        <v>128</v>
      </c>
      <c r="L96" s="40"/>
      <c r="M96" s="41">
        <v>5</v>
      </c>
      <c r="N96" s="41">
        <v>3</v>
      </c>
    </row>
    <row r="97" s="20" customFormat="1" spans="1:14">
      <c r="A97" s="32">
        <v>94</v>
      </c>
      <c r="B97" s="40" t="s">
        <v>190</v>
      </c>
      <c r="C97" s="40"/>
      <c r="D97" s="41">
        <v>18</v>
      </c>
      <c r="E97" s="41"/>
      <c r="F97" s="28" t="s">
        <v>191</v>
      </c>
      <c r="G97" s="56" t="s">
        <v>192</v>
      </c>
      <c r="H97" s="41">
        <v>116</v>
      </c>
      <c r="I97" s="40" t="str">
        <f t="shared" si="2"/>
        <v>[{Item,8,3280}]</v>
      </c>
      <c r="J97" s="52">
        <v>49.99</v>
      </c>
      <c r="K97" s="53">
        <v>328</v>
      </c>
      <c r="L97" s="40"/>
      <c r="M97" s="41">
        <v>6</v>
      </c>
      <c r="N97" s="41">
        <v>5</v>
      </c>
    </row>
    <row r="98" s="17" customFormat="1" ht="16" customHeight="1" spans="1:14">
      <c r="A98" s="57"/>
      <c r="B98" s="58"/>
      <c r="C98" s="58"/>
      <c r="D98" s="59"/>
      <c r="E98" s="59"/>
      <c r="F98" s="58"/>
      <c r="G98" s="58"/>
      <c r="H98" s="57"/>
      <c r="I98" s="58"/>
      <c r="J98" s="68"/>
      <c r="K98" s="69"/>
      <c r="L98" s="58"/>
      <c r="M98" s="59"/>
      <c r="N98" s="57"/>
    </row>
    <row r="99" s="17" customFormat="1" ht="22.5" spans="1:14">
      <c r="A99" s="57"/>
      <c r="B99" s="60" t="s">
        <v>193</v>
      </c>
      <c r="C99" s="58"/>
      <c r="D99" s="59"/>
      <c r="E99" s="59"/>
      <c r="F99" s="58"/>
      <c r="G99" s="58"/>
      <c r="H99" s="59"/>
      <c r="I99" s="58"/>
      <c r="J99" s="68"/>
      <c r="K99" s="69"/>
      <c r="L99" s="58"/>
      <c r="M99" s="59"/>
      <c r="N99" s="59"/>
    </row>
    <row r="100" s="20" customFormat="1" spans="1:14">
      <c r="A100" s="61"/>
      <c r="B100" s="62" t="s">
        <v>194</v>
      </c>
      <c r="C100" s="62" t="s">
        <v>195</v>
      </c>
      <c r="D100" s="61">
        <v>-1</v>
      </c>
      <c r="E100" s="61"/>
      <c r="F100" s="62"/>
      <c r="G100" s="62"/>
      <c r="H100" s="61">
        <v>61</v>
      </c>
      <c r="I100" s="62" t="str">
        <f t="shared" ref="I99:I112" si="3">"[{Item,8,"&amp;K100*10&amp;"}]"</f>
        <v>[{Item,8,60}]</v>
      </c>
      <c r="J100" s="70">
        <v>0.99</v>
      </c>
      <c r="K100" s="71">
        <v>6</v>
      </c>
      <c r="L100" s="62"/>
      <c r="M100" s="61"/>
      <c r="N100" s="61"/>
    </row>
    <row r="101" s="20" customFormat="1" spans="1:14">
      <c r="A101" s="61"/>
      <c r="B101" s="62" t="s">
        <v>196</v>
      </c>
      <c r="C101" s="62" t="s">
        <v>195</v>
      </c>
      <c r="D101" s="61">
        <v>-1</v>
      </c>
      <c r="E101" s="61"/>
      <c r="F101" s="62"/>
      <c r="G101" s="62"/>
      <c r="H101" s="61">
        <v>62</v>
      </c>
      <c r="I101" s="62" t="str">
        <f t="shared" si="3"/>
        <v>[{Item,8,60}]</v>
      </c>
      <c r="J101" s="70">
        <v>0.99</v>
      </c>
      <c r="K101" s="71">
        <v>6</v>
      </c>
      <c r="L101" s="62"/>
      <c r="M101" s="61"/>
      <c r="N101" s="61"/>
    </row>
    <row r="102" s="20" customFormat="1" spans="1:14">
      <c r="A102" s="61"/>
      <c r="B102" s="62" t="s">
        <v>197</v>
      </c>
      <c r="C102" s="62" t="s">
        <v>195</v>
      </c>
      <c r="D102" s="61">
        <v>-1</v>
      </c>
      <c r="E102" s="61"/>
      <c r="F102" s="62"/>
      <c r="G102" s="62"/>
      <c r="H102" s="61">
        <v>63</v>
      </c>
      <c r="I102" s="62" t="str">
        <f t="shared" si="3"/>
        <v>[{Item,8,60}]</v>
      </c>
      <c r="J102" s="70">
        <v>0.99</v>
      </c>
      <c r="K102" s="71">
        <v>6</v>
      </c>
      <c r="L102" s="62"/>
      <c r="M102" s="61"/>
      <c r="N102" s="61"/>
    </row>
    <row r="103" s="20" customFormat="1" spans="1:14">
      <c r="A103" s="61"/>
      <c r="B103" s="62" t="s">
        <v>198</v>
      </c>
      <c r="C103" s="62" t="s">
        <v>195</v>
      </c>
      <c r="D103" s="61">
        <v>-1</v>
      </c>
      <c r="E103" s="61"/>
      <c r="F103" s="62"/>
      <c r="G103" s="62"/>
      <c r="H103" s="61">
        <v>64</v>
      </c>
      <c r="I103" s="62" t="str">
        <f t="shared" si="3"/>
        <v>[{Item,8,60}]</v>
      </c>
      <c r="J103" s="70">
        <v>0.99</v>
      </c>
      <c r="K103" s="71">
        <v>6</v>
      </c>
      <c r="L103" s="62"/>
      <c r="M103" s="61"/>
      <c r="N103" s="61"/>
    </row>
    <row r="104" s="21" customFormat="1" spans="1:14">
      <c r="A104" s="63"/>
      <c r="B104" s="64" t="s">
        <v>199</v>
      </c>
      <c r="C104" s="64" t="s">
        <v>195</v>
      </c>
      <c r="D104" s="63">
        <v>-1</v>
      </c>
      <c r="E104" s="63"/>
      <c r="F104" s="64"/>
      <c r="G104" s="64"/>
      <c r="H104" s="63">
        <v>34</v>
      </c>
      <c r="I104" s="64" t="str">
        <f t="shared" si="3"/>
        <v>[{Item,8,120}]</v>
      </c>
      <c r="J104" s="72">
        <v>1.99</v>
      </c>
      <c r="K104" s="73">
        <v>12</v>
      </c>
      <c r="L104" s="64"/>
      <c r="M104" s="63"/>
      <c r="N104" s="63"/>
    </row>
    <row r="105" s="21" customFormat="1" spans="1:14">
      <c r="A105" s="63"/>
      <c r="B105" s="64" t="s">
        <v>200</v>
      </c>
      <c r="C105" s="64" t="s">
        <v>195</v>
      </c>
      <c r="D105" s="63">
        <v>-1</v>
      </c>
      <c r="E105" s="63"/>
      <c r="F105" s="64"/>
      <c r="G105" s="64"/>
      <c r="H105" s="63">
        <v>41</v>
      </c>
      <c r="I105" s="64" t="str">
        <f t="shared" si="3"/>
        <v>[{Item,8,120}]</v>
      </c>
      <c r="J105" s="72">
        <v>1.99</v>
      </c>
      <c r="K105" s="73">
        <v>12</v>
      </c>
      <c r="L105" s="64"/>
      <c r="M105" s="63"/>
      <c r="N105" s="63"/>
    </row>
    <row r="106" s="21" customFormat="1" spans="1:14">
      <c r="A106" s="63"/>
      <c r="B106" s="64" t="s">
        <v>201</v>
      </c>
      <c r="C106" s="64" t="s">
        <v>195</v>
      </c>
      <c r="D106" s="63">
        <v>-1</v>
      </c>
      <c r="E106" s="63"/>
      <c r="F106" s="64"/>
      <c r="G106" s="64"/>
      <c r="H106" s="63">
        <v>48</v>
      </c>
      <c r="I106" s="64" t="str">
        <f t="shared" si="3"/>
        <v>[{Item,8,120}]</v>
      </c>
      <c r="J106" s="72">
        <v>1.99</v>
      </c>
      <c r="K106" s="73">
        <v>12</v>
      </c>
      <c r="L106" s="64"/>
      <c r="M106" s="63"/>
      <c r="N106" s="63"/>
    </row>
    <row r="107" s="21" customFormat="1" spans="1:14">
      <c r="A107" s="63"/>
      <c r="B107" s="64" t="s">
        <v>202</v>
      </c>
      <c r="C107" s="64" t="s">
        <v>195</v>
      </c>
      <c r="D107" s="63">
        <v>-1</v>
      </c>
      <c r="E107" s="63"/>
      <c r="F107" s="64"/>
      <c r="G107" s="64"/>
      <c r="H107" s="63">
        <v>55</v>
      </c>
      <c r="I107" s="64" t="str">
        <f t="shared" si="3"/>
        <v>[{Item,8,120}]</v>
      </c>
      <c r="J107" s="72">
        <v>1.99</v>
      </c>
      <c r="K107" s="73">
        <v>12</v>
      </c>
      <c r="L107" s="64"/>
      <c r="M107" s="63"/>
      <c r="N107" s="63"/>
    </row>
    <row r="108" s="21" customFormat="1" spans="1:14">
      <c r="A108" s="63"/>
      <c r="B108" s="64" t="s">
        <v>203</v>
      </c>
      <c r="C108" s="64" t="s">
        <v>195</v>
      </c>
      <c r="D108" s="63">
        <v>-1</v>
      </c>
      <c r="E108" s="63"/>
      <c r="F108" s="64"/>
      <c r="G108" s="64"/>
      <c r="H108" s="63">
        <v>77</v>
      </c>
      <c r="I108" s="64" t="str">
        <f t="shared" si="3"/>
        <v>[{Item,8,450}]</v>
      </c>
      <c r="J108" s="72">
        <v>6.99</v>
      </c>
      <c r="K108" s="73">
        <v>45</v>
      </c>
      <c r="L108" s="64"/>
      <c r="M108" s="63"/>
      <c r="N108" s="63"/>
    </row>
    <row r="109" s="21" customFormat="1" spans="1:14">
      <c r="A109" s="63"/>
      <c r="B109" s="64" t="s">
        <v>204</v>
      </c>
      <c r="C109" s="64" t="s">
        <v>195</v>
      </c>
      <c r="D109" s="63">
        <v>-1</v>
      </c>
      <c r="E109" s="63"/>
      <c r="F109" s="64"/>
      <c r="G109" s="64"/>
      <c r="H109" s="63">
        <v>78</v>
      </c>
      <c r="I109" s="64" t="str">
        <f t="shared" si="3"/>
        <v>[{Item,8,450}]</v>
      </c>
      <c r="J109" s="72">
        <v>6.99</v>
      </c>
      <c r="K109" s="73">
        <v>45</v>
      </c>
      <c r="L109" s="64"/>
      <c r="M109" s="63"/>
      <c r="N109" s="63"/>
    </row>
    <row r="110" s="21" customFormat="1" spans="1:14">
      <c r="A110" s="63"/>
      <c r="B110" s="64" t="s">
        <v>205</v>
      </c>
      <c r="C110" s="64" t="s">
        <v>195</v>
      </c>
      <c r="D110" s="63">
        <v>-1</v>
      </c>
      <c r="E110" s="63"/>
      <c r="F110" s="64"/>
      <c r="G110" s="64"/>
      <c r="H110" s="63">
        <v>79</v>
      </c>
      <c r="I110" s="64" t="str">
        <f t="shared" si="3"/>
        <v>[{Item,8,450}]</v>
      </c>
      <c r="J110" s="72">
        <v>6.99</v>
      </c>
      <c r="K110" s="73">
        <v>45</v>
      </c>
      <c r="L110" s="64"/>
      <c r="M110" s="63"/>
      <c r="N110" s="63"/>
    </row>
    <row r="111" s="20" customFormat="1" spans="1:14">
      <c r="A111" s="61"/>
      <c r="B111" s="62" t="s">
        <v>206</v>
      </c>
      <c r="C111" s="62" t="s">
        <v>195</v>
      </c>
      <c r="D111" s="61">
        <v>-1</v>
      </c>
      <c r="E111" s="61"/>
      <c r="F111" s="62"/>
      <c r="G111" s="62"/>
      <c r="H111" s="61">
        <v>82</v>
      </c>
      <c r="I111" s="62" t="str">
        <f t="shared" si="3"/>
        <v>[{Item,8,500}]</v>
      </c>
      <c r="J111" s="70">
        <v>7.99</v>
      </c>
      <c r="K111" s="71">
        <v>50</v>
      </c>
      <c r="L111" s="62"/>
      <c r="M111" s="61"/>
      <c r="N111" s="61"/>
    </row>
    <row r="112" s="20" customFormat="1" spans="1:14">
      <c r="A112" s="61"/>
      <c r="B112" s="62" t="s">
        <v>207</v>
      </c>
      <c r="C112" s="62" t="s">
        <v>195</v>
      </c>
      <c r="D112" s="61">
        <v>-1</v>
      </c>
      <c r="E112" s="61"/>
      <c r="F112" s="62"/>
      <c r="G112" s="62"/>
      <c r="H112" s="61">
        <v>83</v>
      </c>
      <c r="I112" s="62" t="str">
        <f t="shared" si="3"/>
        <v>[{Item,8,500}]</v>
      </c>
      <c r="J112" s="70">
        <v>7.99</v>
      </c>
      <c r="K112" s="71">
        <v>50</v>
      </c>
      <c r="L112" s="62"/>
      <c r="M112" s="61"/>
      <c r="N112" s="61"/>
    </row>
    <row r="113" s="21" customFormat="1" spans="1:14">
      <c r="A113" s="63"/>
      <c r="B113" s="64" t="s">
        <v>208</v>
      </c>
      <c r="C113" s="64" t="s">
        <v>195</v>
      </c>
      <c r="D113" s="63">
        <v>-1</v>
      </c>
      <c r="E113" s="63"/>
      <c r="F113" s="64"/>
      <c r="G113" s="64"/>
      <c r="H113" s="63">
        <v>87</v>
      </c>
      <c r="I113" s="64" t="str">
        <f t="shared" ref="I106:I119" si="4">"[{Item,8,"&amp;K113*10&amp;"}]"</f>
        <v>[{Item,8,600}]</v>
      </c>
      <c r="J113" s="72">
        <v>8.99</v>
      </c>
      <c r="K113" s="73">
        <v>60</v>
      </c>
      <c r="L113" s="64"/>
      <c r="M113" s="63"/>
      <c r="N113" s="63"/>
    </row>
    <row r="114" s="20" customFormat="1" spans="1:14">
      <c r="A114" s="61"/>
      <c r="B114" s="62" t="s">
        <v>209</v>
      </c>
      <c r="C114" s="62" t="s">
        <v>195</v>
      </c>
      <c r="D114" s="61">
        <v>-1</v>
      </c>
      <c r="E114" s="61"/>
      <c r="F114" s="62"/>
      <c r="G114" s="62"/>
      <c r="H114" s="61">
        <v>95</v>
      </c>
      <c r="I114" s="62" t="str">
        <f t="shared" si="4"/>
        <v>[{Item,8,680}]</v>
      </c>
      <c r="J114" s="70">
        <v>9.99</v>
      </c>
      <c r="K114" s="71">
        <v>68</v>
      </c>
      <c r="L114" s="62"/>
      <c r="M114" s="61"/>
      <c r="N114" s="61"/>
    </row>
    <row r="115" s="20" customFormat="1" spans="1:14">
      <c r="A115" s="61"/>
      <c r="B115" s="62" t="s">
        <v>210</v>
      </c>
      <c r="C115" s="62" t="s">
        <v>195</v>
      </c>
      <c r="D115" s="61">
        <v>-1</v>
      </c>
      <c r="E115" s="61"/>
      <c r="F115" s="62"/>
      <c r="G115" s="62"/>
      <c r="H115" s="61">
        <v>96</v>
      </c>
      <c r="I115" s="62" t="str">
        <f t="shared" si="4"/>
        <v>[{Item,8,680}]</v>
      </c>
      <c r="J115" s="70">
        <v>9.99</v>
      </c>
      <c r="K115" s="71">
        <v>68</v>
      </c>
      <c r="L115" s="62"/>
      <c r="M115" s="61"/>
      <c r="N115" s="61"/>
    </row>
    <row r="116" s="20" customFormat="1" spans="1:14">
      <c r="A116" s="61"/>
      <c r="B116" s="62" t="s">
        <v>211</v>
      </c>
      <c r="C116" s="62" t="s">
        <v>195</v>
      </c>
      <c r="D116" s="61">
        <v>-1</v>
      </c>
      <c r="E116" s="61"/>
      <c r="F116" s="62"/>
      <c r="G116" s="62"/>
      <c r="H116" s="61">
        <v>97</v>
      </c>
      <c r="I116" s="62" t="str">
        <f t="shared" si="4"/>
        <v>[{Item,8,680}]</v>
      </c>
      <c r="J116" s="70">
        <v>9.99</v>
      </c>
      <c r="K116" s="71">
        <v>68</v>
      </c>
      <c r="L116" s="62"/>
      <c r="M116" s="61"/>
      <c r="N116" s="61"/>
    </row>
    <row r="117" s="21" customFormat="1" spans="1:14">
      <c r="A117" s="63"/>
      <c r="B117" s="64" t="s">
        <v>212</v>
      </c>
      <c r="C117" s="64" t="s">
        <v>195</v>
      </c>
      <c r="D117" s="63">
        <v>-1</v>
      </c>
      <c r="E117" s="63"/>
      <c r="F117" s="64"/>
      <c r="G117" s="64"/>
      <c r="H117" s="63">
        <v>99</v>
      </c>
      <c r="I117" s="64" t="str">
        <f t="shared" si="4"/>
        <v>[{Item,8,880}]</v>
      </c>
      <c r="J117" s="72">
        <v>12.99</v>
      </c>
      <c r="K117" s="73">
        <v>88</v>
      </c>
      <c r="L117" s="64"/>
      <c r="M117" s="63"/>
      <c r="N117" s="63"/>
    </row>
    <row r="118" s="21" customFormat="1" spans="1:14">
      <c r="A118" s="63"/>
      <c r="B118" s="64" t="s">
        <v>213</v>
      </c>
      <c r="C118" s="64" t="s">
        <v>195</v>
      </c>
      <c r="D118" s="63">
        <v>-1</v>
      </c>
      <c r="E118" s="63"/>
      <c r="F118" s="64"/>
      <c r="G118" s="64"/>
      <c r="H118" s="63">
        <v>100</v>
      </c>
      <c r="I118" s="64" t="str">
        <f t="shared" si="4"/>
        <v>[{Item,8,880}]</v>
      </c>
      <c r="J118" s="72">
        <v>12.99</v>
      </c>
      <c r="K118" s="73">
        <v>88</v>
      </c>
      <c r="L118" s="64"/>
      <c r="M118" s="63"/>
      <c r="N118" s="63"/>
    </row>
    <row r="119" s="21" customFormat="1" spans="1:14">
      <c r="A119" s="63"/>
      <c r="B119" s="64" t="s">
        <v>214</v>
      </c>
      <c r="C119" s="64" t="s">
        <v>195</v>
      </c>
      <c r="D119" s="63">
        <v>-1</v>
      </c>
      <c r="E119" s="63"/>
      <c r="F119" s="64"/>
      <c r="G119" s="64"/>
      <c r="H119" s="63">
        <v>101</v>
      </c>
      <c r="I119" s="64" t="str">
        <f t="shared" si="4"/>
        <v>[{Item,8,880}]</v>
      </c>
      <c r="J119" s="72">
        <v>12.99</v>
      </c>
      <c r="K119" s="73">
        <v>88</v>
      </c>
      <c r="L119" s="64"/>
      <c r="M119" s="63"/>
      <c r="N119" s="63"/>
    </row>
    <row r="120" s="22" customFormat="1" spans="1:14">
      <c r="A120" s="65"/>
      <c r="B120" s="66" t="s">
        <v>215</v>
      </c>
      <c r="C120" s="66" t="s">
        <v>195</v>
      </c>
      <c r="D120" s="65">
        <v>-1</v>
      </c>
      <c r="E120" s="65"/>
      <c r="F120" s="66"/>
      <c r="G120" s="66"/>
      <c r="H120" s="65">
        <v>102</v>
      </c>
      <c r="I120" s="66" t="s">
        <v>115</v>
      </c>
      <c r="J120" s="74">
        <v>15.99</v>
      </c>
      <c r="K120" s="75">
        <v>108</v>
      </c>
      <c r="L120" s="66"/>
      <c r="M120" s="65"/>
      <c r="N120" s="65">
        <v>1</v>
      </c>
    </row>
    <row r="121" s="20" customFormat="1" spans="1:14">
      <c r="A121" s="61"/>
      <c r="B121" s="62" t="s">
        <v>216</v>
      </c>
      <c r="C121" s="62" t="s">
        <v>195</v>
      </c>
      <c r="D121" s="61">
        <v>-1</v>
      </c>
      <c r="E121" s="61"/>
      <c r="F121" s="62"/>
      <c r="G121" s="62"/>
      <c r="H121" s="61">
        <v>112</v>
      </c>
      <c r="I121" s="62" t="str">
        <f t="shared" ref="I121:I128" si="5">"[{Item,8,"&amp;K121*10&amp;"}]"</f>
        <v>[{Item,8,1280}]</v>
      </c>
      <c r="J121" s="70">
        <v>19.99</v>
      </c>
      <c r="K121" s="71">
        <v>128</v>
      </c>
      <c r="L121" s="62"/>
      <c r="M121" s="61"/>
      <c r="N121" s="61"/>
    </row>
    <row r="122" s="20" customFormat="1" spans="1:14">
      <c r="A122" s="61"/>
      <c r="B122" s="62" t="s">
        <v>217</v>
      </c>
      <c r="C122" s="62" t="s">
        <v>195</v>
      </c>
      <c r="D122" s="61">
        <v>-1</v>
      </c>
      <c r="E122" s="61"/>
      <c r="F122" s="62"/>
      <c r="G122" s="62"/>
      <c r="H122" s="61">
        <v>113</v>
      </c>
      <c r="I122" s="62" t="str">
        <f t="shared" si="5"/>
        <v>[{Item,8,1280}]</v>
      </c>
      <c r="J122" s="70">
        <v>19.99</v>
      </c>
      <c r="K122" s="71">
        <v>128</v>
      </c>
      <c r="L122" s="62"/>
      <c r="M122" s="61"/>
      <c r="N122" s="61"/>
    </row>
    <row r="123" s="20" customFormat="1" spans="1:14">
      <c r="A123" s="61"/>
      <c r="B123" s="62" t="s">
        <v>218</v>
      </c>
      <c r="C123" s="62" t="s">
        <v>195</v>
      </c>
      <c r="D123" s="61">
        <v>-1</v>
      </c>
      <c r="E123" s="61"/>
      <c r="F123" s="62"/>
      <c r="G123" s="62"/>
      <c r="H123" s="61">
        <v>114</v>
      </c>
      <c r="I123" s="62" t="str">
        <f t="shared" si="5"/>
        <v>[{Item,8,1280}]</v>
      </c>
      <c r="J123" s="70">
        <v>19.99</v>
      </c>
      <c r="K123" s="71">
        <v>128</v>
      </c>
      <c r="L123" s="62"/>
      <c r="M123" s="61"/>
      <c r="N123" s="61"/>
    </row>
    <row r="124" s="20" customFormat="1" spans="1:14">
      <c r="A124" s="61"/>
      <c r="B124" s="62" t="s">
        <v>219</v>
      </c>
      <c r="C124" s="62" t="s">
        <v>195</v>
      </c>
      <c r="D124" s="61">
        <v>-1</v>
      </c>
      <c r="E124" s="61"/>
      <c r="F124" s="62"/>
      <c r="G124" s="62"/>
      <c r="H124" s="61">
        <v>115</v>
      </c>
      <c r="I124" s="62" t="str">
        <f t="shared" si="5"/>
        <v>[{Item,8,1280}]</v>
      </c>
      <c r="J124" s="70">
        <v>19.99</v>
      </c>
      <c r="K124" s="71">
        <v>128</v>
      </c>
      <c r="L124" s="62"/>
      <c r="M124" s="61"/>
      <c r="N124" s="61"/>
    </row>
    <row r="125" s="21" customFormat="1" spans="1:14">
      <c r="A125" s="63"/>
      <c r="B125" s="64" t="s">
        <v>220</v>
      </c>
      <c r="C125" s="64" t="s">
        <v>195</v>
      </c>
      <c r="D125" s="63">
        <v>-1</v>
      </c>
      <c r="E125" s="63"/>
      <c r="F125" s="64"/>
      <c r="G125" s="64"/>
      <c r="H125" s="63">
        <v>117</v>
      </c>
      <c r="I125" s="64" t="str">
        <f t="shared" si="5"/>
        <v>[{Item,8,3280}]</v>
      </c>
      <c r="J125" s="72">
        <v>49.99</v>
      </c>
      <c r="K125" s="73">
        <v>328</v>
      </c>
      <c r="L125" s="64"/>
      <c r="M125" s="63"/>
      <c r="N125" s="63"/>
    </row>
    <row r="126" s="21" customFormat="1" spans="1:14">
      <c r="A126" s="63"/>
      <c r="B126" s="64" t="s">
        <v>221</v>
      </c>
      <c r="C126" s="64" t="s">
        <v>195</v>
      </c>
      <c r="D126" s="63">
        <v>-1</v>
      </c>
      <c r="E126" s="63"/>
      <c r="F126" s="64"/>
      <c r="G126" s="64"/>
      <c r="H126" s="63">
        <v>118</v>
      </c>
      <c r="I126" s="64" t="str">
        <f t="shared" si="5"/>
        <v>[{Item,8,3280}]</v>
      </c>
      <c r="J126" s="72">
        <v>49.99</v>
      </c>
      <c r="K126" s="73">
        <v>328</v>
      </c>
      <c r="L126" s="64"/>
      <c r="M126" s="63"/>
      <c r="N126" s="63"/>
    </row>
    <row r="127" s="21" customFormat="1" spans="1:14">
      <c r="A127" s="63"/>
      <c r="B127" s="64" t="s">
        <v>222</v>
      </c>
      <c r="C127" s="64" t="s">
        <v>195</v>
      </c>
      <c r="D127" s="63">
        <v>-1</v>
      </c>
      <c r="E127" s="63"/>
      <c r="F127" s="64"/>
      <c r="G127" s="64"/>
      <c r="H127" s="63">
        <v>119</v>
      </c>
      <c r="I127" s="64" t="str">
        <f t="shared" si="5"/>
        <v>[{Item,8,3280}]</v>
      </c>
      <c r="J127" s="72">
        <v>49.99</v>
      </c>
      <c r="K127" s="73">
        <v>328</v>
      </c>
      <c r="L127" s="64"/>
      <c r="M127" s="63"/>
      <c r="N127" s="63"/>
    </row>
    <row r="128" s="21" customFormat="1" spans="1:14">
      <c r="A128" s="63"/>
      <c r="B128" s="64" t="s">
        <v>223</v>
      </c>
      <c r="C128" s="64" t="s">
        <v>195</v>
      </c>
      <c r="D128" s="63">
        <v>-1</v>
      </c>
      <c r="E128" s="63"/>
      <c r="F128" s="64"/>
      <c r="G128" s="64"/>
      <c r="H128" s="63">
        <v>120</v>
      </c>
      <c r="I128" s="64" t="str">
        <f t="shared" si="5"/>
        <v>[{Item,8,3280}]</v>
      </c>
      <c r="J128" s="72">
        <v>49.99</v>
      </c>
      <c r="K128" s="73">
        <v>328</v>
      </c>
      <c r="L128" s="64"/>
      <c r="M128" s="63"/>
      <c r="N128" s="63"/>
    </row>
  </sheetData>
  <autoFilter ref="A5:N128">
    <extLst/>
  </autoFilter>
  <conditionalFormatting sqref="I47">
    <cfRule type="duplicateValues" dxfId="0" priority="59"/>
  </conditionalFormatting>
  <conditionalFormatting sqref="L47">
    <cfRule type="duplicateValues" dxfId="0" priority="60"/>
  </conditionalFormatting>
  <conditionalFormatting sqref="B48">
    <cfRule type="duplicateValues" dxfId="0" priority="55"/>
  </conditionalFormatting>
  <conditionalFormatting sqref="I49">
    <cfRule type="duplicateValues" dxfId="0" priority="57"/>
  </conditionalFormatting>
  <conditionalFormatting sqref="L49">
    <cfRule type="duplicateValues" dxfId="0" priority="58"/>
  </conditionalFormatting>
  <conditionalFormatting sqref="B50">
    <cfRule type="duplicateValues" dxfId="0" priority="49"/>
  </conditionalFormatting>
  <conditionalFormatting sqref="B53">
    <cfRule type="duplicateValues" dxfId="0" priority="43"/>
  </conditionalFormatting>
  <conditionalFormatting sqref="B54">
    <cfRule type="duplicateValues" dxfId="0" priority="41"/>
  </conditionalFormatting>
  <conditionalFormatting sqref="B56">
    <cfRule type="duplicateValues" dxfId="0" priority="37"/>
  </conditionalFormatting>
  <conditionalFormatting sqref="B69">
    <cfRule type="duplicateValues" dxfId="0" priority="20"/>
  </conditionalFormatting>
  <conditionalFormatting sqref="B70">
    <cfRule type="duplicateValues" dxfId="0" priority="18"/>
  </conditionalFormatting>
  <conditionalFormatting sqref="H91">
    <cfRule type="duplicateValues" dxfId="0" priority="11"/>
  </conditionalFormatting>
  <conditionalFormatting sqref="H92">
    <cfRule type="duplicateValues" dxfId="0" priority="10"/>
  </conditionalFormatting>
  <conditionalFormatting sqref="H93">
    <cfRule type="duplicateValues" dxfId="0" priority="5"/>
  </conditionalFormatting>
  <conditionalFormatting sqref="H94">
    <cfRule type="duplicateValues" dxfId="0" priority="4"/>
  </conditionalFormatting>
  <conditionalFormatting sqref="H95">
    <cfRule type="duplicateValues" dxfId="0" priority="3"/>
  </conditionalFormatting>
  <conditionalFormatting sqref="H96">
    <cfRule type="duplicateValues" dxfId="0" priority="2"/>
  </conditionalFormatting>
  <conditionalFormatting sqref="H97">
    <cfRule type="duplicateValues" dxfId="0" priority="1"/>
  </conditionalFormatting>
  <conditionalFormatting sqref="B100">
    <cfRule type="duplicateValues" dxfId="0" priority="370"/>
  </conditionalFormatting>
  <conditionalFormatting sqref="B101">
    <cfRule type="duplicateValues" dxfId="0" priority="369"/>
  </conditionalFormatting>
  <conditionalFormatting sqref="B102">
    <cfRule type="duplicateValues" dxfId="0" priority="368"/>
  </conditionalFormatting>
  <conditionalFormatting sqref="B103">
    <cfRule type="duplicateValues" dxfId="0" priority="367"/>
  </conditionalFormatting>
  <conditionalFormatting sqref="B104">
    <cfRule type="duplicateValues" dxfId="0" priority="359"/>
  </conditionalFormatting>
  <conditionalFormatting sqref="B105">
    <cfRule type="duplicateValues" dxfId="0" priority="358"/>
  </conditionalFormatting>
  <conditionalFormatting sqref="B106">
    <cfRule type="duplicateValues" dxfId="0" priority="356"/>
  </conditionalFormatting>
  <conditionalFormatting sqref="B107">
    <cfRule type="duplicateValues" dxfId="0" priority="355"/>
  </conditionalFormatting>
  <conditionalFormatting sqref="B108">
    <cfRule type="duplicateValues" dxfId="0" priority="188"/>
  </conditionalFormatting>
  <conditionalFormatting sqref="B109">
    <cfRule type="duplicateValues" dxfId="0" priority="187"/>
  </conditionalFormatting>
  <conditionalFormatting sqref="B110">
    <cfRule type="duplicateValues" dxfId="0" priority="186"/>
  </conditionalFormatting>
  <conditionalFormatting sqref="B111">
    <cfRule type="duplicateValues" dxfId="0" priority="45"/>
  </conditionalFormatting>
  <conditionalFormatting sqref="B112">
    <cfRule type="duplicateValues" dxfId="0" priority="178"/>
  </conditionalFormatting>
  <conditionalFormatting sqref="B113">
    <cfRule type="duplicateValues" dxfId="0" priority="76"/>
  </conditionalFormatting>
  <conditionalFormatting sqref="B114">
    <cfRule type="duplicateValues" dxfId="0" priority="158"/>
  </conditionalFormatting>
  <conditionalFormatting sqref="B115">
    <cfRule type="duplicateValues" dxfId="0" priority="165"/>
  </conditionalFormatting>
  <conditionalFormatting sqref="B116">
    <cfRule type="duplicateValues" dxfId="0" priority="162"/>
  </conditionalFormatting>
  <conditionalFormatting sqref="B117">
    <cfRule type="duplicateValues" dxfId="0" priority="90"/>
  </conditionalFormatting>
  <conditionalFormatting sqref="B118">
    <cfRule type="duplicateValues" dxfId="0" priority="89"/>
  </conditionalFormatting>
  <conditionalFormatting sqref="B119">
    <cfRule type="duplicateValues" dxfId="0" priority="88"/>
  </conditionalFormatting>
  <conditionalFormatting sqref="B120">
    <cfRule type="duplicateValues" dxfId="0" priority="86"/>
    <cfRule type="duplicateValues" dxfId="0" priority="84"/>
  </conditionalFormatting>
  <conditionalFormatting sqref="B121">
    <cfRule type="duplicateValues" dxfId="0" priority="135"/>
  </conditionalFormatting>
  <conditionalFormatting sqref="B122">
    <cfRule type="duplicateValues" dxfId="0" priority="134"/>
  </conditionalFormatting>
  <conditionalFormatting sqref="B123">
    <cfRule type="duplicateValues" dxfId="0" priority="133"/>
  </conditionalFormatting>
  <conditionalFormatting sqref="B124">
    <cfRule type="duplicateValues" dxfId="0" priority="132"/>
  </conditionalFormatting>
  <conditionalFormatting sqref="B125">
    <cfRule type="duplicateValues" dxfId="0" priority="103"/>
  </conditionalFormatting>
  <conditionalFormatting sqref="B126">
    <cfRule type="duplicateValues" dxfId="0" priority="102"/>
  </conditionalFormatting>
  <conditionalFormatting sqref="B127">
    <cfRule type="duplicateValues" dxfId="0" priority="101"/>
  </conditionalFormatting>
  <conditionalFormatting sqref="B128">
    <cfRule type="duplicateValues" dxfId="0" priority="100"/>
  </conditionalFormatting>
  <conditionalFormatting sqref="B61:B63">
    <cfRule type="duplicateValues" dxfId="0" priority="35"/>
  </conditionalFormatting>
  <conditionalFormatting sqref="B64:B68">
    <cfRule type="duplicateValues" dxfId="0" priority="29"/>
  </conditionalFormatting>
  <conditionalFormatting sqref="B72:B79">
    <cfRule type="duplicateValues" dxfId="0" priority="14"/>
  </conditionalFormatting>
  <conditionalFormatting sqref="B80:B90">
    <cfRule type="duplicateValues" dxfId="0" priority="12"/>
  </conditionalFormatting>
  <conditionalFormatting sqref="H1:H90 H98:H1048576">
    <cfRule type="duplicateValues" dxfId="0" priority="496"/>
  </conditionalFormatting>
  <conditionalFormatting sqref="B55 B57:B60">
    <cfRule type="duplicateValues" dxfId="0" priority="39"/>
  </conditionalFormatting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workbookViewId="0">
      <selection activeCell="B19" sqref="B19"/>
    </sheetView>
  </sheetViews>
  <sheetFormatPr defaultColWidth="9" defaultRowHeight="16.5"/>
  <cols>
    <col min="1" max="1" width="9" style="4"/>
    <col min="2" max="2" width="10.375" style="4" customWidth="1"/>
    <col min="3" max="3" width="9.125" style="5" customWidth="1"/>
    <col min="4" max="4" width="11.5" style="4" customWidth="1"/>
    <col min="5" max="5" width="8.125" style="5" customWidth="1"/>
    <col min="6" max="6" width="13.75" style="4" customWidth="1"/>
    <col min="7" max="7" width="11" style="5" customWidth="1"/>
    <col min="8" max="8" width="13.75" style="4" customWidth="1"/>
    <col min="9" max="9" width="8.125" style="5" customWidth="1"/>
    <col min="10" max="10" width="13.75" style="4" customWidth="1"/>
    <col min="11" max="11" width="13.25" style="5" customWidth="1"/>
    <col min="12" max="12" width="3.375" style="4" customWidth="1"/>
    <col min="13" max="16384" width="9" style="4"/>
  </cols>
  <sheetData>
    <row r="1" s="1" customFormat="1" ht="21" spans="1:11">
      <c r="A1" s="6" t="s">
        <v>224</v>
      </c>
      <c r="C1" s="7"/>
      <c r="E1" s="7"/>
      <c r="G1" s="7"/>
      <c r="I1" s="7"/>
      <c r="K1" s="7"/>
    </row>
    <row r="2" s="2" customFormat="1" spans="3:11">
      <c r="C2" s="8">
        <v>1</v>
      </c>
      <c r="E2" s="8">
        <v>2</v>
      </c>
      <c r="G2" s="8">
        <v>207</v>
      </c>
      <c r="I2" s="8">
        <v>302</v>
      </c>
      <c r="K2" s="8">
        <v>210</v>
      </c>
    </row>
    <row r="3" s="2" customFormat="1" spans="3:11">
      <c r="C3" s="8" t="s">
        <v>225</v>
      </c>
      <c r="E3" s="8" t="s">
        <v>226</v>
      </c>
      <c r="G3" s="8" t="s">
        <v>227</v>
      </c>
      <c r="I3" s="8" t="s">
        <v>228</v>
      </c>
      <c r="K3" s="8" t="s">
        <v>229</v>
      </c>
    </row>
    <row r="4" s="2" customFormat="1" spans="2:12">
      <c r="B4" s="2" t="s">
        <v>230</v>
      </c>
      <c r="C4" s="8">
        <v>2000</v>
      </c>
      <c r="D4" s="2" t="s">
        <v>231</v>
      </c>
      <c r="E4" s="8">
        <v>200</v>
      </c>
      <c r="F4" s="2" t="s">
        <v>232</v>
      </c>
      <c r="G4" s="8">
        <v>30</v>
      </c>
      <c r="I4" s="8"/>
      <c r="K4" s="8"/>
      <c r="L4" s="2" t="s">
        <v>233</v>
      </c>
    </row>
    <row r="5" s="2" customFormat="1" spans="2:12">
      <c r="B5" s="2" t="s">
        <v>230</v>
      </c>
      <c r="C5" s="8">
        <v>3000</v>
      </c>
      <c r="D5" s="2" t="s">
        <v>231</v>
      </c>
      <c r="E5" s="8">
        <v>400</v>
      </c>
      <c r="F5" s="2" t="s">
        <v>232</v>
      </c>
      <c r="G5" s="8">
        <v>60</v>
      </c>
      <c r="H5" s="2" t="s">
        <v>234</v>
      </c>
      <c r="I5" s="8">
        <v>2</v>
      </c>
      <c r="K5" s="8"/>
      <c r="L5" s="2" t="s">
        <v>233</v>
      </c>
    </row>
    <row r="6" s="2" customFormat="1" spans="2:12">
      <c r="B6" s="2" t="s">
        <v>230</v>
      </c>
      <c r="C6" s="8">
        <v>5000</v>
      </c>
      <c r="D6" s="2" t="s">
        <v>231</v>
      </c>
      <c r="E6" s="8">
        <v>600</v>
      </c>
      <c r="F6" s="2" t="s">
        <v>232</v>
      </c>
      <c r="G6" s="8">
        <v>80</v>
      </c>
      <c r="H6" s="2" t="s">
        <v>234</v>
      </c>
      <c r="I6" s="8">
        <v>4</v>
      </c>
      <c r="K6" s="8"/>
      <c r="L6" s="2" t="s">
        <v>233</v>
      </c>
    </row>
    <row r="7" s="2" customFormat="1" spans="2:12">
      <c r="B7" s="2" t="s">
        <v>230</v>
      </c>
      <c r="C7" s="8">
        <v>7000</v>
      </c>
      <c r="D7" s="2" t="s">
        <v>231</v>
      </c>
      <c r="E7" s="8">
        <v>800</v>
      </c>
      <c r="G7" s="8"/>
      <c r="H7" s="2" t="s">
        <v>234</v>
      </c>
      <c r="I7" s="8">
        <v>6</v>
      </c>
      <c r="J7" s="2" t="s">
        <v>235</v>
      </c>
      <c r="K7" s="8">
        <v>1000</v>
      </c>
      <c r="L7" s="2" t="s">
        <v>233</v>
      </c>
    </row>
    <row r="8" s="2" customFormat="1" spans="2:12">
      <c r="B8" s="2" t="s">
        <v>230</v>
      </c>
      <c r="C8" s="8">
        <v>10000</v>
      </c>
      <c r="D8" s="2" t="s">
        <v>231</v>
      </c>
      <c r="E8" s="8">
        <v>1000</v>
      </c>
      <c r="G8" s="8"/>
      <c r="H8" s="2" t="s">
        <v>234</v>
      </c>
      <c r="I8" s="8">
        <v>8</v>
      </c>
      <c r="J8" s="2" t="s">
        <v>235</v>
      </c>
      <c r="K8" s="8">
        <v>1300</v>
      </c>
      <c r="L8" s="2" t="s">
        <v>233</v>
      </c>
    </row>
    <row r="9" s="2" customFormat="1" spans="2:12">
      <c r="B9" s="2" t="s">
        <v>230</v>
      </c>
      <c r="C9" s="8">
        <v>10000</v>
      </c>
      <c r="D9" s="2" t="s">
        <v>231</v>
      </c>
      <c r="E9" s="8">
        <v>1200</v>
      </c>
      <c r="G9" s="8"/>
      <c r="H9" s="2" t="s">
        <v>234</v>
      </c>
      <c r="I9" s="8">
        <v>10</v>
      </c>
      <c r="J9" s="2" t="s">
        <v>235</v>
      </c>
      <c r="K9" s="8">
        <v>1500</v>
      </c>
      <c r="L9" s="2" t="s">
        <v>233</v>
      </c>
    </row>
    <row r="10" s="2" customFormat="1" spans="2:12">
      <c r="B10" s="2" t="s">
        <v>230</v>
      </c>
      <c r="C10" s="8">
        <v>10000</v>
      </c>
      <c r="D10" s="2" t="s">
        <v>231</v>
      </c>
      <c r="E10" s="8">
        <v>1500</v>
      </c>
      <c r="G10" s="8"/>
      <c r="H10" s="2" t="s">
        <v>234</v>
      </c>
      <c r="I10" s="8">
        <v>15</v>
      </c>
      <c r="J10" s="2" t="s">
        <v>235</v>
      </c>
      <c r="K10" s="8">
        <v>1500</v>
      </c>
      <c r="L10" s="2" t="s">
        <v>233</v>
      </c>
    </row>
    <row r="12" s="3" customFormat="1" spans="1:11">
      <c r="A12" s="9" t="s">
        <v>224</v>
      </c>
      <c r="B12" s="3" t="s">
        <v>236</v>
      </c>
      <c r="C12" s="10"/>
      <c r="E12" s="10"/>
      <c r="G12" s="10"/>
      <c r="I12" s="13" t="s">
        <v>237</v>
      </c>
      <c r="J12" s="13"/>
      <c r="K12" s="13" t="s">
        <v>238</v>
      </c>
    </row>
    <row r="13" s="3" customFormat="1" spans="1:11">
      <c r="A13" s="11">
        <v>1</v>
      </c>
      <c r="B13" s="11">
        <v>1</v>
      </c>
      <c r="C13" s="12" t="str">
        <f t="shared" ref="C13:C19" si="0">_xlfn.TEXTJOIN(,,B4:L4)</f>
        <v>[{Item,1,2000},{Item,2,200},{Item,207,30}]</v>
      </c>
      <c r="E13" s="10"/>
      <c r="G13" s="10"/>
      <c r="I13" s="14">
        <v>6</v>
      </c>
      <c r="J13" s="14"/>
      <c r="K13" s="13">
        <v>12</v>
      </c>
    </row>
    <row r="14" s="3" customFormat="1" spans="1:11">
      <c r="A14" s="11" t="s">
        <v>239</v>
      </c>
      <c r="B14" s="11">
        <v>2</v>
      </c>
      <c r="C14" s="12" t="str">
        <f t="shared" si="0"/>
        <v>[{Item,1,3000},{Item,2,400},{Item,207,60},{Item,302,2}]</v>
      </c>
      <c r="E14" s="10"/>
      <c r="G14" s="10"/>
      <c r="I14" s="14">
        <v>6</v>
      </c>
      <c r="J14" s="14"/>
      <c r="K14" s="13">
        <v>30</v>
      </c>
    </row>
    <row r="15" s="3" customFormat="1" spans="1:11">
      <c r="A15" s="11" t="s">
        <v>240</v>
      </c>
      <c r="B15" s="11">
        <v>3</v>
      </c>
      <c r="C15" s="12" t="str">
        <f t="shared" si="0"/>
        <v>[{Item,1,5000},{Item,2,600},{Item,207,80},{Item,302,4}]</v>
      </c>
      <c r="E15" s="10"/>
      <c r="G15" s="10"/>
      <c r="I15" s="14">
        <v>6</v>
      </c>
      <c r="J15" s="14"/>
      <c r="K15" s="13">
        <v>48</v>
      </c>
    </row>
    <row r="16" s="3" customFormat="1" spans="1:11">
      <c r="A16" s="11" t="s">
        <v>241</v>
      </c>
      <c r="B16" s="11">
        <v>4</v>
      </c>
      <c r="C16" s="12" t="str">
        <f t="shared" si="0"/>
        <v>[{Item,1,7000},{Item,2,800},{Item,302,6},{Item,210,1000}]</v>
      </c>
      <c r="E16" s="10"/>
      <c r="G16" s="10"/>
      <c r="I16" s="14">
        <v>6</v>
      </c>
      <c r="J16" s="14"/>
      <c r="K16" s="13">
        <v>68</v>
      </c>
    </row>
    <row r="17" s="3" customFormat="1" spans="1:11">
      <c r="A17" s="11" t="s">
        <v>242</v>
      </c>
      <c r="B17" s="11">
        <v>5</v>
      </c>
      <c r="C17" s="12" t="str">
        <f t="shared" si="0"/>
        <v>[{Item,1,10000},{Item,2,1000},{Item,302,8},{Item,210,1300}]</v>
      </c>
      <c r="E17" s="10"/>
      <c r="G17" s="10"/>
      <c r="I17" s="14">
        <v>6</v>
      </c>
      <c r="J17" s="14"/>
      <c r="K17" s="13">
        <v>88</v>
      </c>
    </row>
    <row r="18" s="3" customFormat="1" spans="1:11">
      <c r="A18" s="11" t="s">
        <v>243</v>
      </c>
      <c r="B18" s="11">
        <v>6</v>
      </c>
      <c r="C18" s="12" t="str">
        <f t="shared" si="0"/>
        <v>[{Item,1,10000},{Item,2,1200},{Item,302,10},{Item,210,1500}]</v>
      </c>
      <c r="E18" s="10"/>
      <c r="G18" s="10"/>
      <c r="I18" s="14">
        <v>6</v>
      </c>
      <c r="J18" s="14"/>
      <c r="K18" s="13">
        <v>108</v>
      </c>
    </row>
    <row r="19" s="3" customFormat="1" spans="1:11">
      <c r="A19" s="11" t="s">
        <v>244</v>
      </c>
      <c r="B19" s="11">
        <v>7</v>
      </c>
      <c r="C19" s="12" t="str">
        <f t="shared" si="0"/>
        <v>[{Item,1,10000},{Item,2,1500},{Item,302,15},{Item,210,1500}]</v>
      </c>
      <c r="E19" s="10"/>
      <c r="G19" s="10"/>
      <c r="I19" s="14">
        <v>6</v>
      </c>
      <c r="J19" s="14"/>
      <c r="K19" s="13">
        <v>128</v>
      </c>
    </row>
    <row r="20" s="3" customFormat="1" spans="2:11">
      <c r="B20" s="11"/>
      <c r="C20" s="10"/>
      <c r="E20" s="10"/>
      <c r="G20" s="10"/>
      <c r="I20" s="10"/>
      <c r="K20" s="10"/>
    </row>
    <row r="21" s="3" customFormat="1" spans="3:11">
      <c r="C21" s="10"/>
      <c r="E21" s="10"/>
      <c r="G21" s="10"/>
      <c r="I21" s="10"/>
      <c r="K21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mok</cp:lastModifiedBy>
  <dcterms:created xsi:type="dcterms:W3CDTF">2019-05-31T02:57:00Z</dcterms:created>
  <dcterms:modified xsi:type="dcterms:W3CDTF">2024-10-16T02:18:24Z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2D44307DC4B24D52B59DD2F5B1A42912</vt:lpwstr>
  </property>
  <property fmtid="{D5CDD505-2E9C-101B-9397-08002B2CF9AE}" pid="4" name="KSOReadingLayout">
    <vt:bool>true</vt:bool>
  </property>
</Properties>
</file>