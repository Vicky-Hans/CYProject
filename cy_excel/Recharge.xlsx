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Sheet1" sheetId="4" r:id="rId1"/>
    <sheet name="Sheet2" sheetId="5" r:id="rId2"/>
  </sheets>
  <definedNames>
    <definedName name="_xlnm._FilterDatabase" localSheetId="0" hidden="1">Sheet1!$A$65:$O$65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  <author>向王鹏</author>
    <author>作者</author>
    <author>My_j</author>
  </authors>
  <commentList>
    <comment ref="C1" authorId="0">
      <text>
        <r>
          <rPr>
            <sz val="9"/>
            <rFont val="宋体"/>
            <charset val="134"/>
          </rPr>
          <t xml:space="preserve">此列名称为谷歌/iOS后台的商品含义（玩家拉取支付时，会显示礼包名称），请勿修改本列名称。
</t>
        </r>
      </text>
    </comment>
    <comment ref="D1" authorId="0">
      <text>
        <r>
          <rPr>
            <sz val="9"/>
            <rFont val="宋体"/>
            <charset val="134"/>
          </rPr>
          <t xml:space="preserve">chenjiahui：
ios审核时，列表传给服务器用
</t>
        </r>
      </text>
    </comment>
    <comment ref="E1" authorId="1">
      <text>
        <r>
          <rPr>
            <sz val="9"/>
            <rFont val="宋体"/>
            <charset val="134"/>
          </rPr>
          <t>BI上报用</t>
        </r>
      </text>
    </comment>
    <comment ref="F1" authorId="1">
      <text>
        <r>
          <rPr>
            <sz val="9"/>
            <rFont val="宋体"/>
            <charset val="134"/>
          </rPr>
          <t>BI上报用，国内版本实际价格读取（国内货币单位后端写死￥）</t>
        </r>
      </text>
    </comment>
    <comment ref="I1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1代金券=1美金，四舍五入
*特权卡可以用代金券购买，订阅无法使用代金券购买</t>
        </r>
      </text>
    </comment>
    <comment ref="L1" authorId="0">
      <text>
        <r>
          <rPr>
            <sz val="9"/>
            <rFont val="宋体"/>
            <charset val="134"/>
          </rPr>
          <t>谷歌商店审核用</t>
        </r>
      </text>
    </comment>
    <comment ref="M1" authorId="1">
      <text>
        <r>
          <rPr>
            <b/>
            <sz val="9"/>
            <rFont val="宋体"/>
            <charset val="134"/>
          </rPr>
          <t>向王鹏:</t>
        </r>
        <r>
          <rPr>
            <sz val="9"/>
            <rFont val="宋体"/>
            <charset val="134"/>
          </rPr>
          <t xml:space="preserve">
FB上报使用</t>
        </r>
      </text>
    </comment>
    <comment ref="N1" authorId="3">
      <text>
        <r>
          <rPr>
            <b/>
            <sz val="9"/>
            <rFont val="宋体"/>
            <charset val="134"/>
          </rPr>
          <t>My_j:</t>
        </r>
        <r>
          <rPr>
            <sz val="9"/>
            <rFont val="宋体"/>
            <charset val="134"/>
          </rPr>
          <t xml:space="preserve">
*此列必填
填写appsflyer对应价格的ID</t>
        </r>
      </text>
    </comment>
  </commentList>
</comments>
</file>

<file path=xl/sharedStrings.xml><?xml version="1.0" encoding="utf-8"?>
<sst xmlns="http://schemas.openxmlformats.org/spreadsheetml/2006/main" count="301" uniqueCount="278">
  <si>
    <t>//常数id</t>
  </si>
  <si>
    <r>
      <rPr>
        <sz val="12"/>
        <color theme="0"/>
        <rFont val="微软雅黑"/>
        <charset val="134"/>
      </rPr>
      <t>商品ID（新增修改</t>
    </r>
    <r>
      <rPr>
        <b/>
        <sz val="14"/>
        <color rgb="FFFF0000"/>
        <rFont val="微软雅黑"/>
        <charset val="134"/>
      </rPr>
      <t>需要后台配置！</t>
    </r>
    <r>
      <rPr>
        <sz val="12"/>
        <color theme="0"/>
        <rFont val="微软雅黑"/>
        <charset val="134"/>
      </rPr>
      <t>）</t>
    </r>
  </si>
  <si>
    <r>
      <rPr>
        <sz val="12"/>
        <color theme="0"/>
        <rFont val="微软雅黑"/>
        <charset val="134"/>
      </rPr>
      <t>商品名（iOS后台配置，</t>
    </r>
    <r>
      <rPr>
        <b/>
        <sz val="14"/>
        <color rgb="FFFF0000"/>
        <rFont val="微软雅黑"/>
        <charset val="134"/>
      </rPr>
      <t>勿改！</t>
    </r>
    <r>
      <rPr>
        <sz val="12"/>
        <color theme="0"/>
        <rFont val="微软雅黑"/>
        <charset val="134"/>
      </rPr>
      <t>）</t>
    </r>
  </si>
  <si>
    <t>礼包id</t>
  </si>
  <si>
    <t>价格（$）</t>
  </si>
  <si>
    <t>价格（￥）</t>
  </si>
  <si>
    <t>价格（$显示）</t>
  </si>
  <si>
    <t>价格（￥显示）</t>
  </si>
  <si>
    <t>美金代金券</t>
  </si>
  <si>
    <t>钻石数量</t>
  </si>
  <si>
    <t>积分数量</t>
  </si>
  <si>
    <t>内容（审核用）</t>
  </si>
  <si>
    <t>Event name</t>
  </si>
  <si>
    <t>appsFlyer ID</t>
  </si>
  <si>
    <t>both</t>
  </si>
  <si>
    <t>client</t>
  </si>
  <si>
    <t>id</t>
  </si>
  <si>
    <t>payId</t>
  </si>
  <si>
    <t>name</t>
  </si>
  <si>
    <t>packageId</t>
  </si>
  <si>
    <t>price</t>
  </si>
  <si>
    <t>priceCn</t>
  </si>
  <si>
    <t>priceStr</t>
  </si>
  <si>
    <t>priceCnStr</t>
  </si>
  <si>
    <t>vouchersDollar</t>
  </si>
  <si>
    <t>diamonds</t>
  </si>
  <si>
    <t>points</t>
  </si>
  <si>
    <t>items</t>
  </si>
  <si>
    <t>eventName</t>
  </si>
  <si>
    <t>appsFlyerId</t>
  </si>
  <si>
    <t>int</t>
  </si>
  <si>
    <t>string</t>
  </si>
  <si>
    <t>float</t>
  </si>
  <si>
    <t>[Reward]</t>
  </si>
  <si>
    <t>index</t>
  </si>
  <si>
    <t/>
  </si>
  <si>
    <t>com.droidhang.cy.diamond1</t>
  </si>
  <si>
    <t>Some Gems</t>
  </si>
  <si>
    <t>[{Item,1,</t>
  </si>
  <si>
    <t>com.droidhang.cy.diamond2</t>
  </si>
  <si>
    <t>A small pile of gems</t>
  </si>
  <si>
    <t>}]</t>
  </si>
  <si>
    <t>com.droidhang.cy.diamond3</t>
  </si>
  <si>
    <t>A large pile of gems</t>
  </si>
  <si>
    <t>com.droidhang.cy.diamond4</t>
  </si>
  <si>
    <t>A bag of gems</t>
  </si>
  <si>
    <t>com.droidhang.cy.diamond5</t>
  </si>
  <si>
    <t>A bucket of gems</t>
  </si>
  <si>
    <t>com.droidhang.cy.diamond6</t>
  </si>
  <si>
    <t>A chest of Gems</t>
  </si>
  <si>
    <t>com.droidhang.cy.diamond7</t>
  </si>
  <si>
    <t>Package7</t>
  </si>
  <si>
    <t>com.droidhang.cy.diamond8</t>
  </si>
  <si>
    <t>Package8</t>
  </si>
  <si>
    <t>com.droidhang.cy.diamond9</t>
  </si>
  <si>
    <t>Package9</t>
  </si>
  <si>
    <t>com.droidhang.cy.diamond10</t>
  </si>
  <si>
    <t>Package10</t>
  </si>
  <si>
    <t>com.droidhang.cy.diamond11</t>
  </si>
  <si>
    <t>Package11</t>
  </si>
  <si>
    <t>com.droidhang.cy.diamond12</t>
  </si>
  <si>
    <t>Package12</t>
  </si>
  <si>
    <t>com.droidhang.cy.diamond13</t>
  </si>
  <si>
    <t>Package13</t>
  </si>
  <si>
    <t>com.droidhang.cy.diamond14</t>
  </si>
  <si>
    <t>Package14</t>
  </si>
  <si>
    <t>com.droidhang.cy.diamond15</t>
  </si>
  <si>
    <t>Package15</t>
  </si>
  <si>
    <t>com.droidhang.cy.diamond16</t>
  </si>
  <si>
    <t>Package16</t>
  </si>
  <si>
    <t>com.droidhang.cy.diamond17</t>
  </si>
  <si>
    <t>Package17</t>
  </si>
  <si>
    <t>com.droidhang.cy.diamond18</t>
  </si>
  <si>
    <t>Package18</t>
  </si>
  <si>
    <t>com.droidhang.cy.diamond19</t>
  </si>
  <si>
    <t>Package19</t>
  </si>
  <si>
    <t>com.droidhang.cy.diamond20</t>
  </si>
  <si>
    <t>Package20</t>
  </si>
  <si>
    <t>com.droidhang.cy.diamond21b</t>
  </si>
  <si>
    <t>Package21</t>
  </si>
  <si>
    <t>com.droidhang.cy.diamond22</t>
  </si>
  <si>
    <t>Package22</t>
  </si>
  <si>
    <t>com.droidhang.cy.diamond23</t>
  </si>
  <si>
    <t>Package23</t>
  </si>
  <si>
    <t>com.droidhang.cy.diamond24</t>
  </si>
  <si>
    <t>Package24</t>
  </si>
  <si>
    <t>com.droidhang.cy.diamond25</t>
  </si>
  <si>
    <t>Package25</t>
  </si>
  <si>
    <t>com.droidhang.cy.diamond26</t>
  </si>
  <si>
    <t>Package26</t>
  </si>
  <si>
    <t>com.droidhang.cy.diamond27</t>
  </si>
  <si>
    <t>Package27</t>
  </si>
  <si>
    <t>com.droidhang.cy.diamond28</t>
  </si>
  <si>
    <t>Package28</t>
  </si>
  <si>
    <t>com.droidhang.cy.diamond29</t>
  </si>
  <si>
    <t>Package29</t>
  </si>
  <si>
    <t>com.droidhang.cy.diamond30</t>
  </si>
  <si>
    <t>Package30</t>
  </si>
  <si>
    <t>com.droidhang.cy.diamond31</t>
  </si>
  <si>
    <t>Package31</t>
  </si>
  <si>
    <t>com.droidhang.cy.diamond32</t>
  </si>
  <si>
    <t>Package32</t>
  </si>
  <si>
    <t>com.droidhang.cy.diamond33</t>
  </si>
  <si>
    <t>Package33</t>
  </si>
  <si>
    <t>com.droidhang.cy.diamond34</t>
  </si>
  <si>
    <t>Package34</t>
  </si>
  <si>
    <t>com.droidhang.cy.diamond35</t>
  </si>
  <si>
    <t>Package35</t>
  </si>
  <si>
    <t>com.droidhang.cy.diamond36</t>
  </si>
  <si>
    <t>Package36</t>
  </si>
  <si>
    <t>com.droidhang.cy.diamond37</t>
  </si>
  <si>
    <t>Package37</t>
  </si>
  <si>
    <t>com.droidhang.cy.diamond38</t>
  </si>
  <si>
    <t>Package38</t>
  </si>
  <si>
    <t>com.droidhang.cy.diamond39</t>
  </si>
  <si>
    <t>Package39</t>
  </si>
  <si>
    <t>com.droidhang.cy.diamond40</t>
  </si>
  <si>
    <t>Package40</t>
  </si>
  <si>
    <t>com.droidhang.cy.diamond41</t>
  </si>
  <si>
    <t>Package41</t>
  </si>
  <si>
    <t>com.droidhang.cy.diamond42</t>
  </si>
  <si>
    <t>Package42</t>
  </si>
  <si>
    <t>com.droidhang.cy.diamond43</t>
  </si>
  <si>
    <t>Package43</t>
  </si>
  <si>
    <t>com.droidhang.cy.diamond44</t>
  </si>
  <si>
    <t>Package44</t>
  </si>
  <si>
    <t>com.droidhang.cy.diamond45</t>
  </si>
  <si>
    <t>Package45</t>
  </si>
  <si>
    <t>com.droidhang.cy.diamond46b</t>
  </si>
  <si>
    <t>Package46</t>
  </si>
  <si>
    <t>com.droidhang.cy.diamond47</t>
  </si>
  <si>
    <t>Package47</t>
  </si>
  <si>
    <t>com.droidhang.cy.diamond48</t>
  </si>
  <si>
    <t>Package48</t>
  </si>
  <si>
    <t>com.droidhang.cy.diamond49</t>
  </si>
  <si>
    <t>Package49</t>
  </si>
  <si>
    <t>com.droidhang.cy.diamond50</t>
  </si>
  <si>
    <t>Package50</t>
  </si>
  <si>
    <t>com.droidhang.cy.diamond51</t>
  </si>
  <si>
    <t>Package51</t>
  </si>
  <si>
    <t>com.droidhang.cy.diamond52</t>
  </si>
  <si>
    <t>Package52</t>
  </si>
  <si>
    <t>com.droidhang.cy.diamond53</t>
  </si>
  <si>
    <t>Package53</t>
  </si>
  <si>
    <t>com.droidhang.cy.diamond54</t>
  </si>
  <si>
    <t>Package54</t>
  </si>
  <si>
    <t>com.droidhang.cy.diamond55</t>
  </si>
  <si>
    <t>Package55</t>
  </si>
  <si>
    <t>com.droidhang.cy.diamond56</t>
  </si>
  <si>
    <t>Package56</t>
  </si>
  <si>
    <t>com.droidhang.cy.diamond57</t>
  </si>
  <si>
    <t>Package57</t>
  </si>
  <si>
    <t>com.droidhang.cy.diamond58</t>
  </si>
  <si>
    <t>Package58</t>
  </si>
  <si>
    <t>com.droidhang.cy.diamond59</t>
  </si>
  <si>
    <t>Package59</t>
  </si>
  <si>
    <t>com.droidhang.cy.diamond60</t>
  </si>
  <si>
    <t>Package60</t>
  </si>
  <si>
    <t>com.droidhang.cy.diamond61b</t>
  </si>
  <si>
    <t>Package61</t>
  </si>
  <si>
    <t>com.droidhang.cy.diamond62</t>
  </si>
  <si>
    <t>Package62</t>
  </si>
  <si>
    <t>com.droidhang.cy.diamond63</t>
  </si>
  <si>
    <t>Package63</t>
  </si>
  <si>
    <t>com.droidhang.cy.diamond64</t>
  </si>
  <si>
    <t>Package64</t>
  </si>
  <si>
    <t>com.droidhang.cy.diamond65</t>
  </si>
  <si>
    <t>Package65</t>
  </si>
  <si>
    <t>com.droidhang.cy.diamond66</t>
  </si>
  <si>
    <t>Package66</t>
  </si>
  <si>
    <t>com.droidhang.cy.diamond67</t>
  </si>
  <si>
    <t>Package67</t>
  </si>
  <si>
    <t>com.droidhang.cy.diamond68</t>
  </si>
  <si>
    <t>Package68</t>
  </si>
  <si>
    <t>com.droidhang.cy.diamond69</t>
  </si>
  <si>
    <t>Package69</t>
  </si>
  <si>
    <t>com.droidhang.cy.diamond70</t>
  </si>
  <si>
    <t>Package70</t>
  </si>
  <si>
    <t>com.droidhang.cy.diamond71</t>
  </si>
  <si>
    <t>Package71</t>
  </si>
  <si>
    <t>com.droidhang.cy.diamond72</t>
  </si>
  <si>
    <t>Package72</t>
  </si>
  <si>
    <t>com.droidhang.cy.diamond73</t>
  </si>
  <si>
    <t>Package73</t>
  </si>
  <si>
    <t>com.droidhang.cy.diamond74</t>
  </si>
  <si>
    <t>Package74</t>
  </si>
  <si>
    <t>com.droidhang.cy.diamond75</t>
  </si>
  <si>
    <t>Package75</t>
  </si>
  <si>
    <t>com.droidhang.cy.diamond76</t>
  </si>
  <si>
    <t>Package76</t>
  </si>
  <si>
    <t>com.droidhang.cy.diamond77</t>
  </si>
  <si>
    <t>Package77</t>
  </si>
  <si>
    <t>com.droidhang.cy.diamond78</t>
  </si>
  <si>
    <t>Package78</t>
  </si>
  <si>
    <t>com.droidhang.cy.diamond79</t>
  </si>
  <si>
    <t>Package79</t>
  </si>
  <si>
    <t>com.droidhang.cy.diamond80</t>
  </si>
  <si>
    <t>Package80</t>
  </si>
  <si>
    <t>com.droidhang.cy.diamond81</t>
  </si>
  <si>
    <t>Package81</t>
  </si>
  <si>
    <t>com.droidhang.cy.diamond82</t>
  </si>
  <si>
    <t>Package82</t>
  </si>
  <si>
    <t>com.droidhang.cy.diamond83</t>
  </si>
  <si>
    <t>Package83</t>
  </si>
  <si>
    <t>com.droidhang.cy.diamond84</t>
  </si>
  <si>
    <t>Package84</t>
  </si>
  <si>
    <t>com.droidhang.cy.diamond85</t>
  </si>
  <si>
    <t>Package85</t>
  </si>
  <si>
    <t>com.droidhang.cy.diamond86</t>
  </si>
  <si>
    <t>Package86</t>
  </si>
  <si>
    <t>com.droidhang.cy.diamond87</t>
  </si>
  <si>
    <t>Package87</t>
  </si>
  <si>
    <t>com.droidhang.cy.diamond88</t>
  </si>
  <si>
    <t>Package88</t>
  </si>
  <si>
    <t>com.droidhang.cy.diamond89</t>
  </si>
  <si>
    <t>Package89</t>
  </si>
  <si>
    <t>com.droidhang.cy.diamond90</t>
  </si>
  <si>
    <t>Package90</t>
  </si>
  <si>
    <t>com.droidhang.cy.diamond91</t>
  </si>
  <si>
    <t>Package91</t>
  </si>
  <si>
    <t>com.droidhang.cy.diamond92</t>
  </si>
  <si>
    <t>Package92</t>
  </si>
  <si>
    <t>com.droidhang.cy.diamond93</t>
  </si>
  <si>
    <t>Package93</t>
  </si>
  <si>
    <t>com.droidhang.cy.diamond94</t>
  </si>
  <si>
    <t>Package94</t>
  </si>
  <si>
    <t>com.droidhang.cy.diamond95</t>
  </si>
  <si>
    <t>Package95</t>
  </si>
  <si>
    <t>com.droidhang.cy.diamond96</t>
  </si>
  <si>
    <t>Package96</t>
  </si>
  <si>
    <t>com.droidhang.cy.diamond97</t>
  </si>
  <si>
    <t>Package97</t>
  </si>
  <si>
    <t>com.droidhang.cy.diamond98</t>
  </si>
  <si>
    <t>Package98</t>
  </si>
  <si>
    <t>com.droidhang.cy.diamond99</t>
  </si>
  <si>
    <t>Package99</t>
  </si>
  <si>
    <t>com.droidhang.cy.diamond100</t>
  </si>
  <si>
    <t>Package100</t>
  </si>
  <si>
    <t>com.droidhang.cy.diamond101</t>
  </si>
  <si>
    <t>Package101</t>
  </si>
  <si>
    <t>com.droidhang.cy.diamond102</t>
  </si>
  <si>
    <t>Package102</t>
  </si>
  <si>
    <t>com.droidhang.cy.diamond103</t>
  </si>
  <si>
    <t>Package103</t>
  </si>
  <si>
    <t>com.droidhang.cy.diamond104</t>
  </si>
  <si>
    <t>Package104</t>
  </si>
  <si>
    <t>com.droidhang.cy.diamond105</t>
  </si>
  <si>
    <t>Package105</t>
  </si>
  <si>
    <t>com.droidhang.cy.diamond106</t>
  </si>
  <si>
    <t>Package106</t>
  </si>
  <si>
    <t>com.droidhang.cy.diamond107</t>
  </si>
  <si>
    <t>Package107</t>
  </si>
  <si>
    <t>com.droidhang.cy.diamond108</t>
  </si>
  <si>
    <t>Package108</t>
  </si>
  <si>
    <t>com.droidhang.cy.diamond109</t>
  </si>
  <si>
    <t>Package109</t>
  </si>
  <si>
    <t>com.droidhang.cy.diamond110</t>
  </si>
  <si>
    <t>Package110</t>
  </si>
  <si>
    <t>com.droidhang.cy.diamond111</t>
  </si>
  <si>
    <t>Package111</t>
  </si>
  <si>
    <t>com.droidhang.cy.diamond112</t>
  </si>
  <si>
    <t>Package112</t>
  </si>
  <si>
    <t>com.droidhang.cy.diamond113</t>
  </si>
  <si>
    <t>Package113</t>
  </si>
  <si>
    <t>com.droidhang.cy.diamond114</t>
  </si>
  <si>
    <t>Package114</t>
  </si>
  <si>
    <t>com.droidhang.cy.diamond115</t>
  </si>
  <si>
    <t>Package115</t>
  </si>
  <si>
    <t>com.droidhang.cy.diamond116</t>
  </si>
  <si>
    <t>Package116</t>
  </si>
  <si>
    <t>com.droidhang.cy.diamond117</t>
  </si>
  <si>
    <t>Package117</t>
  </si>
  <si>
    <t>com.droidhang.cy.diamond118</t>
  </si>
  <si>
    <t>Package118</t>
  </si>
  <si>
    <t>com.droidhang.cy.diamond119</t>
  </si>
  <si>
    <t>Package119</t>
  </si>
  <si>
    <t>com.droidhang.cy.diamond120</t>
  </si>
  <si>
    <t>Package120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</si>
</sst>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30">
    <font>
      <sz val="12"/>
      <color rgb="FF000000"/>
      <name val="Arial Unicode MS"/>
      <charset val="134"/>
    </font>
    <font>
      <sz val="10.5"/>
      <color rgb="FF333333"/>
      <name val="Arial"/>
      <charset val="134"/>
    </font>
    <font>
      <sz val="12"/>
      <color theme="0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b/>
      <sz val="14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333399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E1E6F0"/>
      </left>
      <right style="medium">
        <color rgb="FFE1E6F0"/>
      </right>
      <top style="medium">
        <color rgb="FFE1E6F0"/>
      </top>
      <bottom style="medium">
        <color rgb="FFE1E6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top" wrapText="1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</cellStyleXfs>
  <cellXfs count="11">
    <xf numFmtId="0" fontId="0" fillId="0" borderId="0" xfId="0">
      <alignment vertical="top" wrapText="1"/>
    </xf>
    <xf numFmtId="0" fontId="1" fillId="2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176" fontId="4" fillId="6" borderId="2" xfId="0" applyNumberFormat="1" applyFont="1" applyFill="1" applyBorder="1" applyAlignment="1">
      <alignment horizontal="left" vertical="center"/>
    </xf>
    <xf numFmtId="5" fontId="4" fillId="6" borderId="2" xfId="0" applyNumberFormat="1" applyFont="1" applyFill="1" applyBorder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6" xfId="50"/>
    <cellStyle name="常规 3" xfId="51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5"/>
  <sheetViews>
    <sheetView tabSelected="1" zoomScale="115" zoomScaleNormal="115" workbookViewId="0">
      <pane ySplit="5" topLeftCell="A64" activePane="bottomLeft" state="frozen"/>
      <selection/>
      <selection pane="bottomLeft" activeCell="I65" sqref="I65"/>
    </sheetView>
  </sheetViews>
  <sheetFormatPr defaultColWidth="9" defaultRowHeight="17.25"/>
  <cols>
    <col min="1" max="1" width="9.25" style="4" customWidth="1"/>
    <col min="2" max="2" width="36.125" style="4" customWidth="1"/>
    <col min="3" max="3" width="23.375" style="4" customWidth="1"/>
    <col min="4" max="4" width="11.375" style="4" hidden="1" customWidth="1"/>
    <col min="5" max="11" width="14.25" style="4" customWidth="1"/>
    <col min="12" max="12" width="24.5" style="4" customWidth="1"/>
    <col min="13" max="13" width="23" style="4" customWidth="1"/>
    <col min="14" max="14" width="24.5" style="4" customWidth="1"/>
    <col min="15" max="15" width="9" style="3" hidden="1" customWidth="1"/>
    <col min="16" max="16384" width="9" style="3"/>
  </cols>
  <sheetData>
    <row r="1" s="2" customFormat="1" ht="2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="2" customFormat="1" spans="1:14">
      <c r="A2" s="5" t="s">
        <v>14</v>
      </c>
      <c r="B2" s="5" t="s">
        <v>14</v>
      </c>
      <c r="C2" s="5" t="s">
        <v>15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  <c r="N2" s="5" t="s">
        <v>14</v>
      </c>
    </row>
    <row r="3" s="2" customFormat="1" spans="1:14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</row>
    <row r="4" s="2" customFormat="1" spans="1:14">
      <c r="A4" s="6" t="s">
        <v>30</v>
      </c>
      <c r="B4" s="6" t="s">
        <v>31</v>
      </c>
      <c r="C4" s="6" t="s">
        <v>31</v>
      </c>
      <c r="D4" s="6" t="s">
        <v>30</v>
      </c>
      <c r="E4" s="6" t="s">
        <v>32</v>
      </c>
      <c r="F4" s="6" t="s">
        <v>31</v>
      </c>
      <c r="G4" s="6" t="s">
        <v>31</v>
      </c>
      <c r="H4" s="6" t="s">
        <v>31</v>
      </c>
      <c r="I4" s="6" t="s">
        <v>30</v>
      </c>
      <c r="J4" s="6" t="s">
        <v>30</v>
      </c>
      <c r="K4" s="6" t="s">
        <v>30</v>
      </c>
      <c r="L4" s="6" t="s">
        <v>33</v>
      </c>
      <c r="M4" s="6" t="s">
        <v>31</v>
      </c>
      <c r="N4" s="6" t="s">
        <v>30</v>
      </c>
    </row>
    <row r="5" s="2" customFormat="1" spans="1:14">
      <c r="A5" s="6"/>
      <c r="B5" s="6" t="s">
        <v>34</v>
      </c>
      <c r="C5" s="6"/>
      <c r="D5" s="6"/>
      <c r="E5" s="6"/>
      <c r="F5" s="6"/>
      <c r="G5" s="6" t="s">
        <v>35</v>
      </c>
      <c r="H5" s="6" t="s">
        <v>35</v>
      </c>
      <c r="I5" s="6"/>
      <c r="J5" s="6"/>
      <c r="K5" s="6"/>
      <c r="L5" s="6"/>
      <c r="M5" s="6"/>
      <c r="N5" s="6"/>
    </row>
    <row r="6" s="3" customFormat="1" spans="1:15">
      <c r="A6" s="7">
        <v>1</v>
      </c>
      <c r="B6" s="8" t="s">
        <v>36</v>
      </c>
      <c r="C6" s="8" t="s">
        <v>37</v>
      </c>
      <c r="D6" s="7">
        <v>13</v>
      </c>
      <c r="E6" s="9">
        <v>0.99</v>
      </c>
      <c r="F6" s="10">
        <v>6</v>
      </c>
      <c r="G6" s="7" t="str">
        <f>"$"&amp;E6</f>
        <v>$0.99</v>
      </c>
      <c r="H6" s="7" t="str">
        <f>"¥"&amp;F6</f>
        <v>¥6</v>
      </c>
      <c r="I6" s="7">
        <f>ROUNDUP(E6,0)</f>
        <v>1</v>
      </c>
      <c r="J6" s="7">
        <f>F6*10</f>
        <v>60</v>
      </c>
      <c r="K6" s="7">
        <f>F6*10</f>
        <v>60</v>
      </c>
      <c r="L6" s="8" t="str">
        <f t="shared" ref="L6:L23" si="0">$O$6&amp;J6&amp;$O$7</f>
        <v>[{Item,1,60}]</v>
      </c>
      <c r="M6" s="8"/>
      <c r="N6" s="8"/>
      <c r="O6" s="3" t="s">
        <v>38</v>
      </c>
    </row>
    <row r="7" s="3" customFormat="1" spans="1:15">
      <c r="A7" s="7">
        <v>2</v>
      </c>
      <c r="B7" s="8" t="s">
        <v>39</v>
      </c>
      <c r="C7" s="8" t="s">
        <v>40</v>
      </c>
      <c r="D7" s="7">
        <v>14</v>
      </c>
      <c r="E7" s="9">
        <v>4.99</v>
      </c>
      <c r="F7" s="10">
        <v>30</v>
      </c>
      <c r="G7" s="7" t="str">
        <f t="shared" ref="G7:G29" si="1">"$"&amp;E7</f>
        <v>$4.99</v>
      </c>
      <c r="H7" s="7" t="str">
        <f t="shared" ref="H7:H29" si="2">"¥"&amp;F7</f>
        <v>¥30</v>
      </c>
      <c r="I7" s="7">
        <f>ROUNDUP(E7,0)</f>
        <v>5</v>
      </c>
      <c r="J7" s="7">
        <f t="shared" ref="J7:J29" si="3">F7*10</f>
        <v>300</v>
      </c>
      <c r="K7" s="7">
        <f t="shared" ref="K7:K29" si="4">F7*10</f>
        <v>300</v>
      </c>
      <c r="L7" s="8" t="str">
        <f t="shared" si="0"/>
        <v>[{Item,1,300}]</v>
      </c>
      <c r="M7" s="8"/>
      <c r="N7" s="8"/>
      <c r="O7" s="3" t="s">
        <v>41</v>
      </c>
    </row>
    <row r="8" s="3" customFormat="1" spans="1:14">
      <c r="A8" s="7">
        <v>3</v>
      </c>
      <c r="B8" s="8" t="s">
        <v>42</v>
      </c>
      <c r="C8" s="8" t="s">
        <v>43</v>
      </c>
      <c r="D8" s="7">
        <v>15</v>
      </c>
      <c r="E8" s="9">
        <v>9.99</v>
      </c>
      <c r="F8" s="10">
        <v>68</v>
      </c>
      <c r="G8" s="7" t="str">
        <f t="shared" si="1"/>
        <v>$9.99</v>
      </c>
      <c r="H8" s="7" t="str">
        <f t="shared" si="2"/>
        <v>¥68</v>
      </c>
      <c r="I8" s="7">
        <f t="shared" ref="I8:I29" si="5">ROUNDUP(E8,0)</f>
        <v>10</v>
      </c>
      <c r="J8" s="7">
        <f t="shared" si="3"/>
        <v>680</v>
      </c>
      <c r="K8" s="7">
        <f t="shared" si="4"/>
        <v>680</v>
      </c>
      <c r="L8" s="8" t="str">
        <f t="shared" si="0"/>
        <v>[{Item,1,680}]</v>
      </c>
      <c r="M8" s="8"/>
      <c r="N8" s="8"/>
    </row>
    <row r="9" s="3" customFormat="1" spans="1:14">
      <c r="A9" s="7">
        <v>4</v>
      </c>
      <c r="B9" s="8" t="s">
        <v>44</v>
      </c>
      <c r="C9" s="8" t="s">
        <v>45</v>
      </c>
      <c r="D9" s="7">
        <v>16</v>
      </c>
      <c r="E9" s="9">
        <v>19.99</v>
      </c>
      <c r="F9" s="10">
        <v>128</v>
      </c>
      <c r="G9" s="7" t="str">
        <f t="shared" si="1"/>
        <v>$19.99</v>
      </c>
      <c r="H9" s="7" t="str">
        <f t="shared" si="2"/>
        <v>¥128</v>
      </c>
      <c r="I9" s="7">
        <f t="shared" si="5"/>
        <v>20</v>
      </c>
      <c r="J9" s="7">
        <f t="shared" si="3"/>
        <v>1280</v>
      </c>
      <c r="K9" s="7">
        <f t="shared" si="4"/>
        <v>1280</v>
      </c>
      <c r="L9" s="8" t="str">
        <f t="shared" si="0"/>
        <v>[{Item,1,1280}]</v>
      </c>
      <c r="M9" s="8"/>
      <c r="N9" s="8"/>
    </row>
    <row r="10" s="3" customFormat="1" spans="1:14">
      <c r="A10" s="7">
        <v>5</v>
      </c>
      <c r="B10" s="8" t="s">
        <v>46</v>
      </c>
      <c r="C10" s="8" t="s">
        <v>47</v>
      </c>
      <c r="D10" s="7">
        <v>17</v>
      </c>
      <c r="E10" s="9">
        <v>49.99</v>
      </c>
      <c r="F10" s="10">
        <v>328</v>
      </c>
      <c r="G10" s="7" t="str">
        <f t="shared" si="1"/>
        <v>$49.99</v>
      </c>
      <c r="H10" s="7" t="str">
        <f t="shared" si="2"/>
        <v>¥328</v>
      </c>
      <c r="I10" s="7">
        <f t="shared" si="5"/>
        <v>50</v>
      </c>
      <c r="J10" s="7">
        <f t="shared" si="3"/>
        <v>3280</v>
      </c>
      <c r="K10" s="7">
        <f t="shared" si="4"/>
        <v>3280</v>
      </c>
      <c r="L10" s="8" t="str">
        <f t="shared" si="0"/>
        <v>[{Item,1,3280}]</v>
      </c>
      <c r="M10" s="8"/>
      <c r="N10" s="8"/>
    </row>
    <row r="11" s="3" customFormat="1" spans="1:14">
      <c r="A11" s="7">
        <v>6</v>
      </c>
      <c r="B11" s="8" t="s">
        <v>48</v>
      </c>
      <c r="C11" s="8" t="s">
        <v>49</v>
      </c>
      <c r="D11" s="7">
        <v>18</v>
      </c>
      <c r="E11" s="9">
        <v>99.99</v>
      </c>
      <c r="F11" s="10">
        <v>648</v>
      </c>
      <c r="G11" s="7" t="str">
        <f t="shared" si="1"/>
        <v>$99.99</v>
      </c>
      <c r="H11" s="7" t="str">
        <f t="shared" si="2"/>
        <v>¥648</v>
      </c>
      <c r="I11" s="7">
        <f t="shared" si="5"/>
        <v>100</v>
      </c>
      <c r="J11" s="7">
        <f t="shared" si="3"/>
        <v>6480</v>
      </c>
      <c r="K11" s="7">
        <f t="shared" si="4"/>
        <v>6480</v>
      </c>
      <c r="L11" s="8" t="str">
        <f t="shared" si="0"/>
        <v>[{Item,1,6480}]</v>
      </c>
      <c r="M11" s="8"/>
      <c r="N11" s="8"/>
    </row>
    <row r="12" s="3" customFormat="1" spans="1:14">
      <c r="A12" s="7">
        <v>7</v>
      </c>
      <c r="B12" s="8" t="s">
        <v>50</v>
      </c>
      <c r="C12" s="8" t="s">
        <v>51</v>
      </c>
      <c r="D12" s="7">
        <v>19</v>
      </c>
      <c r="E12" s="9">
        <v>4.99</v>
      </c>
      <c r="F12" s="10">
        <v>30</v>
      </c>
      <c r="G12" s="7" t="str">
        <f t="shared" si="1"/>
        <v>$4.99</v>
      </c>
      <c r="H12" s="7" t="str">
        <f t="shared" si="2"/>
        <v>¥30</v>
      </c>
      <c r="I12" s="7">
        <f t="shared" si="5"/>
        <v>5</v>
      </c>
      <c r="J12" s="7">
        <f t="shared" si="3"/>
        <v>300</v>
      </c>
      <c r="K12" s="7">
        <f t="shared" si="4"/>
        <v>300</v>
      </c>
      <c r="L12" s="8" t="str">
        <f t="shared" si="0"/>
        <v>[{Item,1,300}]</v>
      </c>
      <c r="M12" s="8"/>
      <c r="N12" s="8"/>
    </row>
    <row r="13" s="3" customFormat="1" spans="1:14">
      <c r="A13" s="7">
        <v>8</v>
      </c>
      <c r="B13" s="8" t="s">
        <v>52</v>
      </c>
      <c r="C13" s="8" t="s">
        <v>53</v>
      </c>
      <c r="D13" s="7">
        <v>20</v>
      </c>
      <c r="E13" s="9">
        <v>9.99</v>
      </c>
      <c r="F13" s="10">
        <v>68</v>
      </c>
      <c r="G13" s="7" t="str">
        <f t="shared" si="1"/>
        <v>$9.99</v>
      </c>
      <c r="H13" s="7" t="str">
        <f t="shared" si="2"/>
        <v>¥68</v>
      </c>
      <c r="I13" s="7">
        <f t="shared" si="5"/>
        <v>10</v>
      </c>
      <c r="J13" s="7">
        <f t="shared" si="3"/>
        <v>680</v>
      </c>
      <c r="K13" s="7">
        <f t="shared" si="4"/>
        <v>680</v>
      </c>
      <c r="L13" s="8" t="str">
        <f t="shared" si="0"/>
        <v>[{Item,1,680}]</v>
      </c>
      <c r="M13" s="8"/>
      <c r="N13" s="8"/>
    </row>
    <row r="14" s="3" customFormat="1" spans="1:14">
      <c r="A14" s="7">
        <v>9</v>
      </c>
      <c r="B14" s="8" t="s">
        <v>54</v>
      </c>
      <c r="C14" s="8" t="s">
        <v>55</v>
      </c>
      <c r="D14" s="7">
        <v>21</v>
      </c>
      <c r="E14" s="9">
        <v>0.99</v>
      </c>
      <c r="F14" s="10">
        <v>6</v>
      </c>
      <c r="G14" s="7" t="str">
        <f t="shared" si="1"/>
        <v>$0.99</v>
      </c>
      <c r="H14" s="7" t="str">
        <f t="shared" si="2"/>
        <v>¥6</v>
      </c>
      <c r="I14" s="7">
        <f t="shared" si="5"/>
        <v>1</v>
      </c>
      <c r="J14" s="7">
        <f t="shared" si="3"/>
        <v>60</v>
      </c>
      <c r="K14" s="7">
        <f t="shared" si="4"/>
        <v>60</v>
      </c>
      <c r="L14" s="8" t="str">
        <f t="shared" si="0"/>
        <v>[{Item,1,60}]</v>
      </c>
      <c r="M14" s="8"/>
      <c r="N14" s="8"/>
    </row>
    <row r="15" s="3" customFormat="1" spans="1:14">
      <c r="A15" s="7">
        <v>10</v>
      </c>
      <c r="B15" s="8" t="s">
        <v>56</v>
      </c>
      <c r="C15" s="8" t="s">
        <v>57</v>
      </c>
      <c r="D15" s="7">
        <v>22</v>
      </c>
      <c r="E15" s="9">
        <v>9.99</v>
      </c>
      <c r="F15" s="10">
        <v>68</v>
      </c>
      <c r="G15" s="7" t="str">
        <f t="shared" si="1"/>
        <v>$9.99</v>
      </c>
      <c r="H15" s="7" t="str">
        <f t="shared" si="2"/>
        <v>¥68</v>
      </c>
      <c r="I15" s="7">
        <f t="shared" si="5"/>
        <v>10</v>
      </c>
      <c r="J15" s="7">
        <f t="shared" si="3"/>
        <v>680</v>
      </c>
      <c r="K15" s="7">
        <f t="shared" si="4"/>
        <v>680</v>
      </c>
      <c r="L15" s="8" t="str">
        <f t="shared" si="0"/>
        <v>[{Item,1,680}]</v>
      </c>
      <c r="M15" s="8"/>
      <c r="N15" s="8"/>
    </row>
    <row r="16" s="3" customFormat="1" spans="1:14">
      <c r="A16" s="7">
        <v>11</v>
      </c>
      <c r="B16" s="8" t="s">
        <v>58</v>
      </c>
      <c r="C16" s="8" t="s">
        <v>59</v>
      </c>
      <c r="D16" s="7">
        <v>1</v>
      </c>
      <c r="E16" s="9">
        <v>0.99</v>
      </c>
      <c r="F16" s="10">
        <v>6</v>
      </c>
      <c r="G16" s="7" t="str">
        <f t="shared" si="1"/>
        <v>$0.99</v>
      </c>
      <c r="H16" s="7" t="str">
        <f t="shared" si="2"/>
        <v>¥6</v>
      </c>
      <c r="I16" s="7">
        <f t="shared" si="5"/>
        <v>1</v>
      </c>
      <c r="J16" s="7">
        <f t="shared" si="3"/>
        <v>60</v>
      </c>
      <c r="K16" s="7">
        <f t="shared" si="4"/>
        <v>60</v>
      </c>
      <c r="L16" s="8" t="str">
        <f t="shared" si="0"/>
        <v>[{Item,1,60}]</v>
      </c>
      <c r="M16" s="8"/>
      <c r="N16" s="8"/>
    </row>
    <row r="17" s="3" customFormat="1" spans="1:14">
      <c r="A17" s="7">
        <v>12</v>
      </c>
      <c r="B17" s="8" t="s">
        <v>60</v>
      </c>
      <c r="C17" s="8" t="s">
        <v>61</v>
      </c>
      <c r="D17" s="7">
        <v>2</v>
      </c>
      <c r="E17" s="9">
        <v>4.99</v>
      </c>
      <c r="F17" s="10">
        <v>30</v>
      </c>
      <c r="G17" s="7" t="str">
        <f t="shared" si="1"/>
        <v>$4.99</v>
      </c>
      <c r="H17" s="7" t="str">
        <f t="shared" si="2"/>
        <v>¥30</v>
      </c>
      <c r="I17" s="7">
        <f t="shared" si="5"/>
        <v>5</v>
      </c>
      <c r="J17" s="7">
        <f t="shared" si="3"/>
        <v>300</v>
      </c>
      <c r="K17" s="7">
        <f t="shared" si="4"/>
        <v>300</v>
      </c>
      <c r="L17" s="8" t="str">
        <f t="shared" si="0"/>
        <v>[{Item,1,300}]</v>
      </c>
      <c r="M17" s="8"/>
      <c r="N17" s="8"/>
    </row>
    <row r="18" s="3" customFormat="1" spans="1:14">
      <c r="A18" s="7">
        <v>13</v>
      </c>
      <c r="B18" s="8" t="s">
        <v>62</v>
      </c>
      <c r="C18" s="8" t="s">
        <v>63</v>
      </c>
      <c r="D18" s="7">
        <v>3</v>
      </c>
      <c r="E18" s="9">
        <v>9.99</v>
      </c>
      <c r="F18" s="10">
        <v>68</v>
      </c>
      <c r="G18" s="7" t="str">
        <f t="shared" si="1"/>
        <v>$9.99</v>
      </c>
      <c r="H18" s="7" t="str">
        <f t="shared" si="2"/>
        <v>¥68</v>
      </c>
      <c r="I18" s="7">
        <f t="shared" si="5"/>
        <v>10</v>
      </c>
      <c r="J18" s="7">
        <f t="shared" si="3"/>
        <v>680</v>
      </c>
      <c r="K18" s="7">
        <f t="shared" si="4"/>
        <v>680</v>
      </c>
      <c r="L18" s="8" t="str">
        <f t="shared" si="0"/>
        <v>[{Item,1,680}]</v>
      </c>
      <c r="M18" s="8"/>
      <c r="N18" s="8"/>
    </row>
    <row r="19" s="3" customFormat="1" spans="1:14">
      <c r="A19" s="7">
        <v>14</v>
      </c>
      <c r="B19" s="8" t="s">
        <v>64</v>
      </c>
      <c r="C19" s="8" t="s">
        <v>65</v>
      </c>
      <c r="D19" s="7">
        <v>4</v>
      </c>
      <c r="E19" s="9">
        <v>9.99</v>
      </c>
      <c r="F19" s="10">
        <v>68</v>
      </c>
      <c r="G19" s="7" t="str">
        <f t="shared" si="1"/>
        <v>$9.99</v>
      </c>
      <c r="H19" s="7" t="str">
        <f t="shared" si="2"/>
        <v>¥68</v>
      </c>
      <c r="I19" s="7">
        <f t="shared" si="5"/>
        <v>10</v>
      </c>
      <c r="J19" s="7">
        <f t="shared" si="3"/>
        <v>680</v>
      </c>
      <c r="K19" s="7">
        <f t="shared" si="4"/>
        <v>680</v>
      </c>
      <c r="L19" s="8" t="str">
        <f t="shared" si="0"/>
        <v>[{Item,1,680}]</v>
      </c>
      <c r="M19" s="8"/>
      <c r="N19" s="8"/>
    </row>
    <row r="20" s="3" customFormat="1" spans="1:14">
      <c r="A20" s="7">
        <v>15</v>
      </c>
      <c r="B20" s="8" t="s">
        <v>66</v>
      </c>
      <c r="C20" s="8" t="s">
        <v>67</v>
      </c>
      <c r="D20" s="7">
        <v>5</v>
      </c>
      <c r="E20" s="9">
        <v>14.99</v>
      </c>
      <c r="F20" s="10">
        <v>98</v>
      </c>
      <c r="G20" s="7" t="str">
        <f t="shared" si="1"/>
        <v>$14.99</v>
      </c>
      <c r="H20" s="7" t="str">
        <f t="shared" si="2"/>
        <v>¥98</v>
      </c>
      <c r="I20" s="7">
        <f t="shared" si="5"/>
        <v>15</v>
      </c>
      <c r="J20" s="7">
        <f t="shared" si="3"/>
        <v>980</v>
      </c>
      <c r="K20" s="7">
        <f t="shared" si="4"/>
        <v>980</v>
      </c>
      <c r="L20" s="8" t="str">
        <f t="shared" si="0"/>
        <v>[{Item,1,980}]</v>
      </c>
      <c r="M20" s="8"/>
      <c r="N20" s="8"/>
    </row>
    <row r="21" s="3" customFormat="1" spans="1:14">
      <c r="A21" s="7">
        <v>16</v>
      </c>
      <c r="B21" s="8" t="s">
        <v>68</v>
      </c>
      <c r="C21" s="8" t="s">
        <v>69</v>
      </c>
      <c r="D21" s="7">
        <v>6</v>
      </c>
      <c r="E21" s="9">
        <v>14.99</v>
      </c>
      <c r="F21" s="10">
        <v>98</v>
      </c>
      <c r="G21" s="7" t="str">
        <f t="shared" si="1"/>
        <v>$14.99</v>
      </c>
      <c r="H21" s="7" t="str">
        <f t="shared" si="2"/>
        <v>¥98</v>
      </c>
      <c r="I21" s="7">
        <f t="shared" si="5"/>
        <v>15</v>
      </c>
      <c r="J21" s="7">
        <f t="shared" si="3"/>
        <v>980</v>
      </c>
      <c r="K21" s="7">
        <f t="shared" si="4"/>
        <v>980</v>
      </c>
      <c r="L21" s="8" t="str">
        <f t="shared" si="0"/>
        <v>[{Item,1,980}]</v>
      </c>
      <c r="M21" s="8"/>
      <c r="N21" s="8"/>
    </row>
    <row r="22" s="3" customFormat="1" spans="1:14">
      <c r="A22" s="7">
        <v>17</v>
      </c>
      <c r="B22" s="8" t="s">
        <v>70</v>
      </c>
      <c r="C22" s="8" t="s">
        <v>71</v>
      </c>
      <c r="D22" s="7">
        <v>7</v>
      </c>
      <c r="E22" s="9">
        <v>19.99</v>
      </c>
      <c r="F22" s="10">
        <v>128</v>
      </c>
      <c r="G22" s="7" t="str">
        <f t="shared" si="1"/>
        <v>$19.99</v>
      </c>
      <c r="H22" s="7" t="str">
        <f t="shared" si="2"/>
        <v>¥128</v>
      </c>
      <c r="I22" s="7">
        <f t="shared" si="5"/>
        <v>20</v>
      </c>
      <c r="J22" s="7">
        <f t="shared" si="3"/>
        <v>1280</v>
      </c>
      <c r="K22" s="7">
        <f t="shared" si="4"/>
        <v>1280</v>
      </c>
      <c r="L22" s="8" t="str">
        <f t="shared" si="0"/>
        <v>[{Item,1,1280}]</v>
      </c>
      <c r="M22" s="8"/>
      <c r="N22" s="8"/>
    </row>
    <row r="23" s="3" customFormat="1" spans="1:14">
      <c r="A23" s="7">
        <v>18</v>
      </c>
      <c r="B23" s="8" t="s">
        <v>72</v>
      </c>
      <c r="C23" s="8" t="s">
        <v>73</v>
      </c>
      <c r="D23" s="7">
        <v>8</v>
      </c>
      <c r="E23" s="9">
        <v>19.99</v>
      </c>
      <c r="F23" s="10">
        <v>128</v>
      </c>
      <c r="G23" s="7" t="str">
        <f t="shared" si="1"/>
        <v>$19.99</v>
      </c>
      <c r="H23" s="7" t="str">
        <f t="shared" si="2"/>
        <v>¥128</v>
      </c>
      <c r="I23" s="7">
        <f t="shared" si="5"/>
        <v>20</v>
      </c>
      <c r="J23" s="7">
        <f t="shared" si="3"/>
        <v>1280</v>
      </c>
      <c r="K23" s="7">
        <f t="shared" si="4"/>
        <v>1280</v>
      </c>
      <c r="L23" s="8" t="str">
        <f t="shared" si="0"/>
        <v>[{Item,1,1280}]</v>
      </c>
      <c r="M23" s="8"/>
      <c r="N23" s="8"/>
    </row>
    <row r="24" s="3" customFormat="1" spans="1:14">
      <c r="A24" s="7">
        <v>19</v>
      </c>
      <c r="B24" s="8" t="s">
        <v>74</v>
      </c>
      <c r="C24" s="8" t="s">
        <v>75</v>
      </c>
      <c r="D24" s="7">
        <v>101</v>
      </c>
      <c r="E24" s="9">
        <v>0.99</v>
      </c>
      <c r="F24" s="10">
        <v>6</v>
      </c>
      <c r="G24" s="7" t="str">
        <f t="shared" si="1"/>
        <v>$0.99</v>
      </c>
      <c r="H24" s="7" t="str">
        <f t="shared" si="2"/>
        <v>¥6</v>
      </c>
      <c r="I24" s="7">
        <f t="shared" si="5"/>
        <v>1</v>
      </c>
      <c r="J24" s="7">
        <f t="shared" si="3"/>
        <v>60</v>
      </c>
      <c r="K24" s="7">
        <f t="shared" si="4"/>
        <v>60</v>
      </c>
      <c r="L24" s="8" t="str">
        <f t="shared" ref="L24:L37" si="6">$O$6&amp;J24&amp;$O$7</f>
        <v>[{Item,1,60}]</v>
      </c>
      <c r="M24" s="8"/>
      <c r="N24" s="8"/>
    </row>
    <row r="25" s="3" customFormat="1" spans="1:14">
      <c r="A25" s="7">
        <v>20</v>
      </c>
      <c r="B25" s="8" t="s">
        <v>76</v>
      </c>
      <c r="C25" s="8" t="s">
        <v>77</v>
      </c>
      <c r="D25" s="7">
        <v>102</v>
      </c>
      <c r="E25" s="9">
        <v>1.99</v>
      </c>
      <c r="F25" s="10">
        <v>12</v>
      </c>
      <c r="G25" s="7" t="str">
        <f t="shared" si="1"/>
        <v>$1.99</v>
      </c>
      <c r="H25" s="7" t="str">
        <f t="shared" si="2"/>
        <v>¥12</v>
      </c>
      <c r="I25" s="7">
        <f t="shared" si="5"/>
        <v>2</v>
      </c>
      <c r="J25" s="7">
        <f t="shared" si="3"/>
        <v>120</v>
      </c>
      <c r="K25" s="7">
        <f t="shared" si="4"/>
        <v>120</v>
      </c>
      <c r="L25" s="8" t="str">
        <f t="shared" si="6"/>
        <v>[{Item,1,120}]</v>
      </c>
      <c r="M25" s="8"/>
      <c r="N25" s="8"/>
    </row>
    <row r="26" s="3" customFormat="1" spans="1:14">
      <c r="A26" s="7">
        <v>21</v>
      </c>
      <c r="B26" s="8" t="s">
        <v>78</v>
      </c>
      <c r="C26" s="8" t="s">
        <v>79</v>
      </c>
      <c r="D26" s="7">
        <v>103</v>
      </c>
      <c r="E26" s="9">
        <v>4.99</v>
      </c>
      <c r="F26" s="10">
        <v>30</v>
      </c>
      <c r="G26" s="7" t="str">
        <f t="shared" si="1"/>
        <v>$4.99</v>
      </c>
      <c r="H26" s="7" t="str">
        <f t="shared" si="2"/>
        <v>¥30</v>
      </c>
      <c r="I26" s="7">
        <f t="shared" si="5"/>
        <v>5</v>
      </c>
      <c r="J26" s="7">
        <f t="shared" si="3"/>
        <v>300</v>
      </c>
      <c r="K26" s="7">
        <f t="shared" si="4"/>
        <v>300</v>
      </c>
      <c r="L26" s="8" t="str">
        <f t="shared" si="6"/>
        <v>[{Item,1,300}]</v>
      </c>
      <c r="M26" s="8"/>
      <c r="N26" s="8"/>
    </row>
    <row r="27" s="3" customFormat="1" spans="1:14">
      <c r="A27" s="7">
        <v>22</v>
      </c>
      <c r="B27" s="8" t="s">
        <v>80</v>
      </c>
      <c r="C27" s="8" t="s">
        <v>81</v>
      </c>
      <c r="D27" s="7">
        <v>104</v>
      </c>
      <c r="E27" s="9">
        <v>9.99</v>
      </c>
      <c r="F27" s="10">
        <v>68</v>
      </c>
      <c r="G27" s="7" t="str">
        <f t="shared" si="1"/>
        <v>$9.99</v>
      </c>
      <c r="H27" s="7" t="str">
        <f t="shared" si="2"/>
        <v>¥68</v>
      </c>
      <c r="I27" s="7">
        <f t="shared" si="5"/>
        <v>10</v>
      </c>
      <c r="J27" s="7">
        <f t="shared" si="3"/>
        <v>680</v>
      </c>
      <c r="K27" s="7">
        <f t="shared" si="4"/>
        <v>680</v>
      </c>
      <c r="L27" s="8" t="str">
        <f t="shared" si="6"/>
        <v>[{Item,1,680}]</v>
      </c>
      <c r="M27" s="8"/>
      <c r="N27" s="8"/>
    </row>
    <row r="28" s="3" customFormat="1" spans="1:14">
      <c r="A28" s="7">
        <v>23</v>
      </c>
      <c r="B28" s="8" t="s">
        <v>82</v>
      </c>
      <c r="C28" s="8" t="s">
        <v>83</v>
      </c>
      <c r="D28" s="7">
        <v>105</v>
      </c>
      <c r="E28" s="9">
        <v>19.99</v>
      </c>
      <c r="F28" s="10">
        <v>128</v>
      </c>
      <c r="G28" s="7" t="str">
        <f t="shared" si="1"/>
        <v>$19.99</v>
      </c>
      <c r="H28" s="7" t="str">
        <f t="shared" si="2"/>
        <v>¥128</v>
      </c>
      <c r="I28" s="7">
        <f t="shared" si="5"/>
        <v>20</v>
      </c>
      <c r="J28" s="7">
        <f t="shared" si="3"/>
        <v>1280</v>
      </c>
      <c r="K28" s="7">
        <f t="shared" si="4"/>
        <v>1280</v>
      </c>
      <c r="L28" s="8" t="str">
        <f t="shared" si="6"/>
        <v>[{Item,1,1280}]</v>
      </c>
      <c r="M28" s="8"/>
      <c r="N28" s="8"/>
    </row>
    <row r="29" s="3" customFormat="1" spans="1:14">
      <c r="A29" s="7">
        <v>24</v>
      </c>
      <c r="B29" s="8" t="s">
        <v>84</v>
      </c>
      <c r="C29" s="8" t="s">
        <v>85</v>
      </c>
      <c r="D29" s="7">
        <v>106</v>
      </c>
      <c r="E29" s="9">
        <v>49.99</v>
      </c>
      <c r="F29" s="10">
        <v>328</v>
      </c>
      <c r="G29" s="7" t="str">
        <f t="shared" ref="G29:G92" si="7">"$"&amp;E29</f>
        <v>$49.99</v>
      </c>
      <c r="H29" s="7" t="str">
        <f t="shared" ref="H29:H92" si="8">"¥"&amp;F29</f>
        <v>¥328</v>
      </c>
      <c r="I29" s="7">
        <f t="shared" ref="I29:I92" si="9">ROUNDUP(E29,0)</f>
        <v>50</v>
      </c>
      <c r="J29" s="7">
        <f t="shared" ref="J29:J92" si="10">F29*10</f>
        <v>3280</v>
      </c>
      <c r="K29" s="7">
        <f t="shared" ref="K29:K92" si="11">F29*10</f>
        <v>3280</v>
      </c>
      <c r="L29" s="8" t="str">
        <f t="shared" si="6"/>
        <v>[{Item,1,3280}]</v>
      </c>
      <c r="M29" s="8"/>
      <c r="N29" s="8"/>
    </row>
    <row r="30" s="3" customFormat="1" spans="1:14">
      <c r="A30" s="7">
        <v>25</v>
      </c>
      <c r="B30" s="8" t="s">
        <v>86</v>
      </c>
      <c r="C30" s="8" t="s">
        <v>87</v>
      </c>
      <c r="D30" s="7">
        <v>107</v>
      </c>
      <c r="E30" s="9">
        <v>99.99</v>
      </c>
      <c r="F30" s="10">
        <v>648</v>
      </c>
      <c r="G30" s="7" t="str">
        <f t="shared" si="7"/>
        <v>$99.99</v>
      </c>
      <c r="H30" s="7" t="str">
        <f t="shared" si="8"/>
        <v>¥648</v>
      </c>
      <c r="I30" s="7">
        <f t="shared" si="9"/>
        <v>100</v>
      </c>
      <c r="J30" s="7">
        <f t="shared" si="10"/>
        <v>6480</v>
      </c>
      <c r="K30" s="7">
        <f t="shared" si="11"/>
        <v>6480</v>
      </c>
      <c r="L30" s="8" t="str">
        <f t="shared" si="6"/>
        <v>[{Item,1,6480}]</v>
      </c>
      <c r="M30" s="8"/>
      <c r="N30" s="8"/>
    </row>
    <row r="31" s="3" customFormat="1" spans="1:14">
      <c r="A31" s="7">
        <v>26</v>
      </c>
      <c r="B31" s="8" t="s">
        <v>88</v>
      </c>
      <c r="C31" s="8" t="s">
        <v>89</v>
      </c>
      <c r="D31" s="7">
        <v>108</v>
      </c>
      <c r="E31" s="9">
        <v>0.99</v>
      </c>
      <c r="F31" s="10">
        <v>6</v>
      </c>
      <c r="G31" s="7" t="str">
        <f t="shared" si="7"/>
        <v>$0.99</v>
      </c>
      <c r="H31" s="7" t="str">
        <f t="shared" si="8"/>
        <v>¥6</v>
      </c>
      <c r="I31" s="7">
        <f t="shared" si="9"/>
        <v>1</v>
      </c>
      <c r="J31" s="7">
        <f t="shared" si="10"/>
        <v>60</v>
      </c>
      <c r="K31" s="7">
        <f t="shared" si="11"/>
        <v>60</v>
      </c>
      <c r="L31" s="8" t="str">
        <f t="shared" si="6"/>
        <v>[{Item,1,60}]</v>
      </c>
      <c r="M31" s="8"/>
      <c r="N31" s="8"/>
    </row>
    <row r="32" s="3" customFormat="1" spans="1:14">
      <c r="A32" s="7">
        <v>27</v>
      </c>
      <c r="B32" s="8" t="s">
        <v>90</v>
      </c>
      <c r="C32" s="8" t="s">
        <v>91</v>
      </c>
      <c r="D32" s="7">
        <v>109</v>
      </c>
      <c r="E32" s="9">
        <v>1.99</v>
      </c>
      <c r="F32" s="10">
        <v>12</v>
      </c>
      <c r="G32" s="7" t="str">
        <f t="shared" si="7"/>
        <v>$1.99</v>
      </c>
      <c r="H32" s="7" t="str">
        <f t="shared" si="8"/>
        <v>¥12</v>
      </c>
      <c r="I32" s="7">
        <f t="shared" si="9"/>
        <v>2</v>
      </c>
      <c r="J32" s="7">
        <f t="shared" si="10"/>
        <v>120</v>
      </c>
      <c r="K32" s="7">
        <f t="shared" si="11"/>
        <v>120</v>
      </c>
      <c r="L32" s="8" t="str">
        <f t="shared" si="6"/>
        <v>[{Item,1,120}]</v>
      </c>
      <c r="M32" s="8"/>
      <c r="N32" s="8"/>
    </row>
    <row r="33" s="3" customFormat="1" spans="1:14">
      <c r="A33" s="7">
        <v>28</v>
      </c>
      <c r="B33" s="8" t="s">
        <v>92</v>
      </c>
      <c r="C33" s="8" t="s">
        <v>93</v>
      </c>
      <c r="D33" s="7">
        <v>110</v>
      </c>
      <c r="E33" s="9">
        <v>4.99</v>
      </c>
      <c r="F33" s="10">
        <v>30</v>
      </c>
      <c r="G33" s="7" t="str">
        <f t="shared" si="7"/>
        <v>$4.99</v>
      </c>
      <c r="H33" s="7" t="str">
        <f t="shared" si="8"/>
        <v>¥30</v>
      </c>
      <c r="I33" s="7">
        <f t="shared" si="9"/>
        <v>5</v>
      </c>
      <c r="J33" s="7">
        <f t="shared" si="10"/>
        <v>300</v>
      </c>
      <c r="K33" s="7">
        <f t="shared" si="11"/>
        <v>300</v>
      </c>
      <c r="L33" s="8" t="str">
        <f t="shared" si="6"/>
        <v>[{Item,1,300}]</v>
      </c>
      <c r="M33" s="8"/>
      <c r="N33" s="8"/>
    </row>
    <row r="34" s="3" customFormat="1" spans="1:14">
      <c r="A34" s="7">
        <v>29</v>
      </c>
      <c r="B34" s="8" t="s">
        <v>94</v>
      </c>
      <c r="C34" s="8" t="s">
        <v>95</v>
      </c>
      <c r="D34" s="7">
        <v>111</v>
      </c>
      <c r="E34" s="9">
        <v>9.99</v>
      </c>
      <c r="F34" s="10">
        <v>68</v>
      </c>
      <c r="G34" s="7" t="str">
        <f t="shared" si="7"/>
        <v>$9.99</v>
      </c>
      <c r="H34" s="7" t="str">
        <f t="shared" si="8"/>
        <v>¥68</v>
      </c>
      <c r="I34" s="7">
        <f t="shared" si="9"/>
        <v>10</v>
      </c>
      <c r="J34" s="7">
        <f t="shared" si="10"/>
        <v>680</v>
      </c>
      <c r="K34" s="7">
        <f t="shared" si="11"/>
        <v>680</v>
      </c>
      <c r="L34" s="8" t="str">
        <f t="shared" si="6"/>
        <v>[{Item,1,680}]</v>
      </c>
      <c r="M34" s="8"/>
      <c r="N34" s="8"/>
    </row>
    <row r="35" s="3" customFormat="1" spans="1:14">
      <c r="A35" s="7">
        <v>30</v>
      </c>
      <c r="B35" s="8" t="s">
        <v>96</v>
      </c>
      <c r="C35" s="8" t="s">
        <v>97</v>
      </c>
      <c r="D35" s="7">
        <v>112</v>
      </c>
      <c r="E35" s="9">
        <v>19.99</v>
      </c>
      <c r="F35" s="10">
        <v>128</v>
      </c>
      <c r="G35" s="7" t="str">
        <f t="shared" si="7"/>
        <v>$19.99</v>
      </c>
      <c r="H35" s="7" t="str">
        <f t="shared" si="8"/>
        <v>¥128</v>
      </c>
      <c r="I35" s="7">
        <f t="shared" si="9"/>
        <v>20</v>
      </c>
      <c r="J35" s="7">
        <f t="shared" si="10"/>
        <v>1280</v>
      </c>
      <c r="K35" s="7">
        <f t="shared" si="11"/>
        <v>1280</v>
      </c>
      <c r="L35" s="8" t="str">
        <f t="shared" si="6"/>
        <v>[{Item,1,1280}]</v>
      </c>
      <c r="M35" s="8"/>
      <c r="N35" s="8"/>
    </row>
    <row r="36" s="3" customFormat="1" spans="1:14">
      <c r="A36" s="7">
        <v>31</v>
      </c>
      <c r="B36" s="8" t="s">
        <v>98</v>
      </c>
      <c r="C36" s="8" t="s">
        <v>99</v>
      </c>
      <c r="D36" s="7">
        <v>113</v>
      </c>
      <c r="E36" s="9">
        <v>49.99</v>
      </c>
      <c r="F36" s="10">
        <v>328</v>
      </c>
      <c r="G36" s="7" t="str">
        <f t="shared" si="7"/>
        <v>$49.99</v>
      </c>
      <c r="H36" s="7" t="str">
        <f t="shared" si="8"/>
        <v>¥328</v>
      </c>
      <c r="I36" s="7">
        <f t="shared" si="9"/>
        <v>50</v>
      </c>
      <c r="J36" s="7">
        <f t="shared" si="10"/>
        <v>3280</v>
      </c>
      <c r="K36" s="7">
        <f t="shared" si="11"/>
        <v>3280</v>
      </c>
      <c r="L36" s="8" t="str">
        <f t="shared" si="6"/>
        <v>[{Item,1,3280}]</v>
      </c>
      <c r="M36" s="8"/>
      <c r="N36" s="8"/>
    </row>
    <row r="37" s="3" customFormat="1" spans="1:14">
      <c r="A37" s="7">
        <v>32</v>
      </c>
      <c r="B37" s="8" t="s">
        <v>100</v>
      </c>
      <c r="C37" s="8" t="s">
        <v>101</v>
      </c>
      <c r="D37" s="7">
        <v>114</v>
      </c>
      <c r="E37" s="9">
        <v>99.99</v>
      </c>
      <c r="F37" s="10">
        <v>648</v>
      </c>
      <c r="G37" s="7" t="str">
        <f t="shared" si="7"/>
        <v>$99.99</v>
      </c>
      <c r="H37" s="7" t="str">
        <f t="shared" si="8"/>
        <v>¥648</v>
      </c>
      <c r="I37" s="7">
        <f t="shared" si="9"/>
        <v>100</v>
      </c>
      <c r="J37" s="7">
        <f t="shared" si="10"/>
        <v>6480</v>
      </c>
      <c r="K37" s="7">
        <f t="shared" si="11"/>
        <v>6480</v>
      </c>
      <c r="L37" s="8" t="str">
        <f t="shared" si="6"/>
        <v>[{Item,1,6480}]</v>
      </c>
      <c r="M37" s="8"/>
      <c r="N37" s="8"/>
    </row>
    <row r="38" s="3" customFormat="1" spans="1:14">
      <c r="A38" s="7">
        <v>33</v>
      </c>
      <c r="B38" s="8" t="s">
        <v>102</v>
      </c>
      <c r="C38" s="8" t="s">
        <v>103</v>
      </c>
      <c r="D38" s="7">
        <v>115</v>
      </c>
      <c r="E38" s="9">
        <v>0.99</v>
      </c>
      <c r="F38" s="10">
        <v>6</v>
      </c>
      <c r="G38" s="7" t="str">
        <f t="shared" si="7"/>
        <v>$0.99</v>
      </c>
      <c r="H38" s="7" t="str">
        <f t="shared" si="8"/>
        <v>¥6</v>
      </c>
      <c r="I38" s="7">
        <f t="shared" si="9"/>
        <v>1</v>
      </c>
      <c r="J38" s="7">
        <f t="shared" si="10"/>
        <v>60</v>
      </c>
      <c r="K38" s="7">
        <f t="shared" si="11"/>
        <v>60</v>
      </c>
      <c r="L38" s="8" t="str">
        <f t="shared" ref="L38:L101" si="12">$O$6&amp;J38&amp;$O$7</f>
        <v>[{Item,1,60}]</v>
      </c>
      <c r="M38" s="8"/>
      <c r="N38" s="8"/>
    </row>
    <row r="39" s="3" customFormat="1" spans="1:14">
      <c r="A39" s="7">
        <v>34</v>
      </c>
      <c r="B39" s="8" t="s">
        <v>104</v>
      </c>
      <c r="C39" s="8" t="s">
        <v>105</v>
      </c>
      <c r="D39" s="7">
        <v>116</v>
      </c>
      <c r="E39" s="9">
        <v>1.99</v>
      </c>
      <c r="F39" s="10">
        <v>12</v>
      </c>
      <c r="G39" s="7" t="str">
        <f t="shared" si="7"/>
        <v>$1.99</v>
      </c>
      <c r="H39" s="7" t="str">
        <f t="shared" si="8"/>
        <v>¥12</v>
      </c>
      <c r="I39" s="7">
        <f t="shared" si="9"/>
        <v>2</v>
      </c>
      <c r="J39" s="7">
        <f t="shared" si="10"/>
        <v>120</v>
      </c>
      <c r="K39" s="7">
        <f t="shared" si="11"/>
        <v>120</v>
      </c>
      <c r="L39" s="8" t="str">
        <f t="shared" si="12"/>
        <v>[{Item,1,120}]</v>
      </c>
      <c r="M39" s="8"/>
      <c r="N39" s="8"/>
    </row>
    <row r="40" s="3" customFormat="1" spans="1:14">
      <c r="A40" s="7">
        <v>35</v>
      </c>
      <c r="B40" s="8" t="s">
        <v>106</v>
      </c>
      <c r="C40" s="8" t="s">
        <v>107</v>
      </c>
      <c r="D40" s="7">
        <v>117</v>
      </c>
      <c r="E40" s="9">
        <v>4.99</v>
      </c>
      <c r="F40" s="10">
        <v>30</v>
      </c>
      <c r="G40" s="7" t="str">
        <f t="shared" si="7"/>
        <v>$4.99</v>
      </c>
      <c r="H40" s="7" t="str">
        <f t="shared" si="8"/>
        <v>¥30</v>
      </c>
      <c r="I40" s="7">
        <f t="shared" si="9"/>
        <v>5</v>
      </c>
      <c r="J40" s="7">
        <f t="shared" si="10"/>
        <v>300</v>
      </c>
      <c r="K40" s="7">
        <f t="shared" si="11"/>
        <v>300</v>
      </c>
      <c r="L40" s="8" t="str">
        <f t="shared" si="12"/>
        <v>[{Item,1,300}]</v>
      </c>
      <c r="M40" s="8"/>
      <c r="N40" s="8"/>
    </row>
    <row r="41" s="3" customFormat="1" spans="1:14">
      <c r="A41" s="7">
        <v>36</v>
      </c>
      <c r="B41" s="8" t="s">
        <v>108</v>
      </c>
      <c r="C41" s="8" t="s">
        <v>109</v>
      </c>
      <c r="D41" s="7">
        <v>118</v>
      </c>
      <c r="E41" s="9">
        <v>9.99</v>
      </c>
      <c r="F41" s="10">
        <v>68</v>
      </c>
      <c r="G41" s="7" t="str">
        <f t="shared" si="7"/>
        <v>$9.99</v>
      </c>
      <c r="H41" s="7" t="str">
        <f t="shared" si="8"/>
        <v>¥68</v>
      </c>
      <c r="I41" s="7">
        <f t="shared" si="9"/>
        <v>10</v>
      </c>
      <c r="J41" s="7">
        <f t="shared" si="10"/>
        <v>680</v>
      </c>
      <c r="K41" s="7">
        <f t="shared" si="11"/>
        <v>680</v>
      </c>
      <c r="L41" s="8" t="str">
        <f t="shared" si="12"/>
        <v>[{Item,1,680}]</v>
      </c>
      <c r="M41" s="8"/>
      <c r="N41" s="8"/>
    </row>
    <row r="42" s="3" customFormat="1" spans="1:14">
      <c r="A42" s="7">
        <v>37</v>
      </c>
      <c r="B42" s="8" t="s">
        <v>110</v>
      </c>
      <c r="C42" s="8" t="s">
        <v>111</v>
      </c>
      <c r="D42" s="7">
        <v>119</v>
      </c>
      <c r="E42" s="9">
        <v>19.99</v>
      </c>
      <c r="F42" s="10">
        <v>128</v>
      </c>
      <c r="G42" s="7" t="str">
        <f t="shared" si="7"/>
        <v>$19.99</v>
      </c>
      <c r="H42" s="7" t="str">
        <f t="shared" si="8"/>
        <v>¥128</v>
      </c>
      <c r="I42" s="7">
        <f t="shared" si="9"/>
        <v>20</v>
      </c>
      <c r="J42" s="7">
        <f t="shared" si="10"/>
        <v>1280</v>
      </c>
      <c r="K42" s="7">
        <f t="shared" si="11"/>
        <v>1280</v>
      </c>
      <c r="L42" s="8" t="str">
        <f t="shared" si="12"/>
        <v>[{Item,1,1280}]</v>
      </c>
      <c r="M42" s="8"/>
      <c r="N42" s="8"/>
    </row>
    <row r="43" s="3" customFormat="1" spans="1:14">
      <c r="A43" s="7">
        <v>38</v>
      </c>
      <c r="B43" s="8" t="s">
        <v>112</v>
      </c>
      <c r="C43" s="8" t="s">
        <v>113</v>
      </c>
      <c r="D43" s="7">
        <v>120</v>
      </c>
      <c r="E43" s="9">
        <v>49.99</v>
      </c>
      <c r="F43" s="10">
        <v>328</v>
      </c>
      <c r="G43" s="7" t="str">
        <f t="shared" si="7"/>
        <v>$49.99</v>
      </c>
      <c r="H43" s="7" t="str">
        <f t="shared" si="8"/>
        <v>¥328</v>
      </c>
      <c r="I43" s="7">
        <f t="shared" si="9"/>
        <v>50</v>
      </c>
      <c r="J43" s="7">
        <f t="shared" si="10"/>
        <v>3280</v>
      </c>
      <c r="K43" s="7">
        <f t="shared" si="11"/>
        <v>3280</v>
      </c>
      <c r="L43" s="8" t="str">
        <f t="shared" si="12"/>
        <v>[{Item,1,3280}]</v>
      </c>
      <c r="M43" s="8"/>
      <c r="N43" s="8"/>
    </row>
    <row r="44" s="3" customFormat="1" spans="1:14">
      <c r="A44" s="7">
        <v>39</v>
      </c>
      <c r="B44" s="8" t="s">
        <v>114</v>
      </c>
      <c r="C44" s="8" t="s">
        <v>115</v>
      </c>
      <c r="D44" s="7">
        <v>121</v>
      </c>
      <c r="E44" s="9">
        <v>99.99</v>
      </c>
      <c r="F44" s="10">
        <v>648</v>
      </c>
      <c r="G44" s="7" t="str">
        <f t="shared" si="7"/>
        <v>$99.99</v>
      </c>
      <c r="H44" s="7" t="str">
        <f t="shared" si="8"/>
        <v>¥648</v>
      </c>
      <c r="I44" s="7">
        <f t="shared" si="9"/>
        <v>100</v>
      </c>
      <c r="J44" s="7">
        <f t="shared" si="10"/>
        <v>6480</v>
      </c>
      <c r="K44" s="7">
        <f t="shared" si="11"/>
        <v>6480</v>
      </c>
      <c r="L44" s="8" t="str">
        <f t="shared" si="12"/>
        <v>[{Item,1,6480}]</v>
      </c>
      <c r="M44" s="8"/>
      <c r="N44" s="8"/>
    </row>
    <row r="45" s="3" customFormat="1" spans="1:14">
      <c r="A45" s="7">
        <v>40</v>
      </c>
      <c r="B45" s="8" t="s">
        <v>116</v>
      </c>
      <c r="C45" s="8" t="s">
        <v>117</v>
      </c>
      <c r="D45" s="7">
        <v>122</v>
      </c>
      <c r="E45" s="9">
        <v>0.99</v>
      </c>
      <c r="F45" s="10">
        <v>6</v>
      </c>
      <c r="G45" s="7" t="str">
        <f t="shared" si="7"/>
        <v>$0.99</v>
      </c>
      <c r="H45" s="7" t="str">
        <f t="shared" si="8"/>
        <v>¥6</v>
      </c>
      <c r="I45" s="7">
        <f t="shared" si="9"/>
        <v>1</v>
      </c>
      <c r="J45" s="7">
        <f t="shared" si="10"/>
        <v>60</v>
      </c>
      <c r="K45" s="7">
        <f t="shared" si="11"/>
        <v>60</v>
      </c>
      <c r="L45" s="8" t="str">
        <f t="shared" si="12"/>
        <v>[{Item,1,60}]</v>
      </c>
      <c r="M45" s="8"/>
      <c r="N45" s="8"/>
    </row>
    <row r="46" s="3" customFormat="1" spans="1:14">
      <c r="A46" s="7">
        <v>41</v>
      </c>
      <c r="B46" s="8" t="s">
        <v>118</v>
      </c>
      <c r="C46" s="8" t="s">
        <v>119</v>
      </c>
      <c r="D46" s="7">
        <v>123</v>
      </c>
      <c r="E46" s="9">
        <v>1.99</v>
      </c>
      <c r="F46" s="10">
        <v>12</v>
      </c>
      <c r="G46" s="7" t="str">
        <f t="shared" si="7"/>
        <v>$1.99</v>
      </c>
      <c r="H46" s="7" t="str">
        <f t="shared" si="8"/>
        <v>¥12</v>
      </c>
      <c r="I46" s="7">
        <f t="shared" si="9"/>
        <v>2</v>
      </c>
      <c r="J46" s="7">
        <f t="shared" si="10"/>
        <v>120</v>
      </c>
      <c r="K46" s="7">
        <f t="shared" si="11"/>
        <v>120</v>
      </c>
      <c r="L46" s="8" t="str">
        <f t="shared" si="12"/>
        <v>[{Item,1,120}]</v>
      </c>
      <c r="M46" s="8"/>
      <c r="N46" s="8"/>
    </row>
    <row r="47" s="3" customFormat="1" spans="1:14">
      <c r="A47" s="7">
        <v>42</v>
      </c>
      <c r="B47" s="8" t="s">
        <v>120</v>
      </c>
      <c r="C47" s="8" t="s">
        <v>121</v>
      </c>
      <c r="D47" s="7">
        <v>124</v>
      </c>
      <c r="E47" s="9">
        <v>4.99</v>
      </c>
      <c r="F47" s="10">
        <v>30</v>
      </c>
      <c r="G47" s="7" t="str">
        <f t="shared" si="7"/>
        <v>$4.99</v>
      </c>
      <c r="H47" s="7" t="str">
        <f t="shared" si="8"/>
        <v>¥30</v>
      </c>
      <c r="I47" s="7">
        <f t="shared" si="9"/>
        <v>5</v>
      </c>
      <c r="J47" s="7">
        <f t="shared" si="10"/>
        <v>300</v>
      </c>
      <c r="K47" s="7">
        <f t="shared" si="11"/>
        <v>300</v>
      </c>
      <c r="L47" s="8" t="str">
        <f t="shared" si="12"/>
        <v>[{Item,1,300}]</v>
      </c>
      <c r="M47" s="8"/>
      <c r="N47" s="8"/>
    </row>
    <row r="48" s="3" customFormat="1" spans="1:14">
      <c r="A48" s="7">
        <v>43</v>
      </c>
      <c r="B48" s="8" t="s">
        <v>122</v>
      </c>
      <c r="C48" s="8" t="s">
        <v>123</v>
      </c>
      <c r="D48" s="7">
        <v>125</v>
      </c>
      <c r="E48" s="9">
        <v>9.99</v>
      </c>
      <c r="F48" s="10">
        <v>68</v>
      </c>
      <c r="G48" s="7" t="str">
        <f t="shared" si="7"/>
        <v>$9.99</v>
      </c>
      <c r="H48" s="7" t="str">
        <f t="shared" si="8"/>
        <v>¥68</v>
      </c>
      <c r="I48" s="7">
        <f t="shared" si="9"/>
        <v>10</v>
      </c>
      <c r="J48" s="7">
        <f t="shared" si="10"/>
        <v>680</v>
      </c>
      <c r="K48" s="7">
        <f t="shared" si="11"/>
        <v>680</v>
      </c>
      <c r="L48" s="8" t="str">
        <f t="shared" si="12"/>
        <v>[{Item,1,680}]</v>
      </c>
      <c r="M48" s="8"/>
      <c r="N48" s="8"/>
    </row>
    <row r="49" s="3" customFormat="1" spans="1:14">
      <c r="A49" s="7">
        <v>44</v>
      </c>
      <c r="B49" s="8" t="s">
        <v>124</v>
      </c>
      <c r="C49" s="8" t="s">
        <v>125</v>
      </c>
      <c r="D49" s="7">
        <v>126</v>
      </c>
      <c r="E49" s="9">
        <v>19.99</v>
      </c>
      <c r="F49" s="10">
        <v>128</v>
      </c>
      <c r="G49" s="7" t="str">
        <f t="shared" si="7"/>
        <v>$19.99</v>
      </c>
      <c r="H49" s="7" t="str">
        <f t="shared" si="8"/>
        <v>¥128</v>
      </c>
      <c r="I49" s="7">
        <f t="shared" si="9"/>
        <v>20</v>
      </c>
      <c r="J49" s="7">
        <f t="shared" si="10"/>
        <v>1280</v>
      </c>
      <c r="K49" s="7">
        <f t="shared" si="11"/>
        <v>1280</v>
      </c>
      <c r="L49" s="8" t="str">
        <f t="shared" si="12"/>
        <v>[{Item,1,1280}]</v>
      </c>
      <c r="M49" s="8"/>
      <c r="N49" s="8"/>
    </row>
    <row r="50" s="3" customFormat="1" spans="1:14">
      <c r="A50" s="7">
        <v>45</v>
      </c>
      <c r="B50" s="8" t="s">
        <v>126</v>
      </c>
      <c r="C50" s="8" t="s">
        <v>127</v>
      </c>
      <c r="D50" s="7">
        <v>127</v>
      </c>
      <c r="E50" s="9">
        <v>49.99</v>
      </c>
      <c r="F50" s="10">
        <v>328</v>
      </c>
      <c r="G50" s="7" t="str">
        <f t="shared" si="7"/>
        <v>$49.99</v>
      </c>
      <c r="H50" s="7" t="str">
        <f t="shared" si="8"/>
        <v>¥328</v>
      </c>
      <c r="I50" s="7">
        <f t="shared" si="9"/>
        <v>50</v>
      </c>
      <c r="J50" s="7">
        <f t="shared" si="10"/>
        <v>3280</v>
      </c>
      <c r="K50" s="7">
        <f t="shared" si="11"/>
        <v>3280</v>
      </c>
      <c r="L50" s="8" t="str">
        <f t="shared" si="12"/>
        <v>[{Item,1,3280}]</v>
      </c>
      <c r="M50" s="8"/>
      <c r="N50" s="8"/>
    </row>
    <row r="51" s="3" customFormat="1" spans="1:14">
      <c r="A51" s="7">
        <v>46</v>
      </c>
      <c r="B51" s="8" t="s">
        <v>128</v>
      </c>
      <c r="C51" s="8" t="s">
        <v>129</v>
      </c>
      <c r="D51" s="7">
        <v>128</v>
      </c>
      <c r="E51" s="9">
        <v>99.99</v>
      </c>
      <c r="F51" s="10">
        <v>648</v>
      </c>
      <c r="G51" s="7" t="str">
        <f t="shared" si="7"/>
        <v>$99.99</v>
      </c>
      <c r="H51" s="7" t="str">
        <f t="shared" si="8"/>
        <v>¥648</v>
      </c>
      <c r="I51" s="7">
        <f t="shared" si="9"/>
        <v>100</v>
      </c>
      <c r="J51" s="7">
        <f t="shared" si="10"/>
        <v>6480</v>
      </c>
      <c r="K51" s="7">
        <f t="shared" si="11"/>
        <v>6480</v>
      </c>
      <c r="L51" s="8" t="str">
        <f t="shared" si="12"/>
        <v>[{Item,1,6480}]</v>
      </c>
      <c r="M51" s="8"/>
      <c r="N51" s="8"/>
    </row>
    <row r="52" s="3" customFormat="1" spans="1:14">
      <c r="A52" s="7">
        <v>47</v>
      </c>
      <c r="B52" s="8" t="s">
        <v>130</v>
      </c>
      <c r="C52" s="8" t="s">
        <v>131</v>
      </c>
      <c r="D52" s="7">
        <v>129</v>
      </c>
      <c r="E52" s="9">
        <v>0.99</v>
      </c>
      <c r="F52" s="10">
        <v>6</v>
      </c>
      <c r="G52" s="7" t="str">
        <f t="shared" si="7"/>
        <v>$0.99</v>
      </c>
      <c r="H52" s="7" t="str">
        <f t="shared" si="8"/>
        <v>¥6</v>
      </c>
      <c r="I52" s="7">
        <f t="shared" si="9"/>
        <v>1</v>
      </c>
      <c r="J52" s="7">
        <f t="shared" si="10"/>
        <v>60</v>
      </c>
      <c r="K52" s="7">
        <f t="shared" si="11"/>
        <v>60</v>
      </c>
      <c r="L52" s="8" t="str">
        <f t="shared" si="12"/>
        <v>[{Item,1,60}]</v>
      </c>
      <c r="M52" s="8"/>
      <c r="N52" s="8"/>
    </row>
    <row r="53" s="3" customFormat="1" spans="1:14">
      <c r="A53" s="7">
        <v>48</v>
      </c>
      <c r="B53" s="8" t="s">
        <v>132</v>
      </c>
      <c r="C53" s="8" t="s">
        <v>133</v>
      </c>
      <c r="D53" s="7">
        <v>130</v>
      </c>
      <c r="E53" s="9">
        <v>1.99</v>
      </c>
      <c r="F53" s="10">
        <v>12</v>
      </c>
      <c r="G53" s="7" t="str">
        <f t="shared" si="7"/>
        <v>$1.99</v>
      </c>
      <c r="H53" s="7" t="str">
        <f t="shared" si="8"/>
        <v>¥12</v>
      </c>
      <c r="I53" s="7">
        <f t="shared" si="9"/>
        <v>2</v>
      </c>
      <c r="J53" s="7">
        <f t="shared" si="10"/>
        <v>120</v>
      </c>
      <c r="K53" s="7">
        <f t="shared" si="11"/>
        <v>120</v>
      </c>
      <c r="L53" s="8" t="str">
        <f t="shared" si="12"/>
        <v>[{Item,1,120}]</v>
      </c>
      <c r="M53" s="8"/>
      <c r="N53" s="8"/>
    </row>
    <row r="54" s="3" customFormat="1" spans="1:14">
      <c r="A54" s="7">
        <v>49</v>
      </c>
      <c r="B54" s="8" t="s">
        <v>134</v>
      </c>
      <c r="C54" s="8" t="s">
        <v>135</v>
      </c>
      <c r="D54" s="7">
        <v>131</v>
      </c>
      <c r="E54" s="9">
        <v>4.99</v>
      </c>
      <c r="F54" s="10">
        <v>30</v>
      </c>
      <c r="G54" s="7" t="str">
        <f t="shared" si="7"/>
        <v>$4.99</v>
      </c>
      <c r="H54" s="7" t="str">
        <f t="shared" si="8"/>
        <v>¥30</v>
      </c>
      <c r="I54" s="7">
        <f t="shared" si="9"/>
        <v>5</v>
      </c>
      <c r="J54" s="7">
        <f t="shared" si="10"/>
        <v>300</v>
      </c>
      <c r="K54" s="7">
        <f t="shared" si="11"/>
        <v>300</v>
      </c>
      <c r="L54" s="8" t="str">
        <f t="shared" si="12"/>
        <v>[{Item,1,300}]</v>
      </c>
      <c r="M54" s="8"/>
      <c r="N54" s="8"/>
    </row>
    <row r="55" s="3" customFormat="1" spans="1:14">
      <c r="A55" s="7">
        <v>50</v>
      </c>
      <c r="B55" s="8" t="s">
        <v>136</v>
      </c>
      <c r="C55" s="8" t="s">
        <v>137</v>
      </c>
      <c r="D55" s="7">
        <v>132</v>
      </c>
      <c r="E55" s="9">
        <v>9.99</v>
      </c>
      <c r="F55" s="10">
        <v>68</v>
      </c>
      <c r="G55" s="7" t="str">
        <f t="shared" si="7"/>
        <v>$9.99</v>
      </c>
      <c r="H55" s="7" t="str">
        <f t="shared" si="8"/>
        <v>¥68</v>
      </c>
      <c r="I55" s="7">
        <f t="shared" si="9"/>
        <v>10</v>
      </c>
      <c r="J55" s="7">
        <f t="shared" si="10"/>
        <v>680</v>
      </c>
      <c r="K55" s="7">
        <f t="shared" si="11"/>
        <v>680</v>
      </c>
      <c r="L55" s="8" t="str">
        <f t="shared" si="12"/>
        <v>[{Item,1,680}]</v>
      </c>
      <c r="M55" s="8"/>
      <c r="N55" s="8"/>
    </row>
    <row r="56" s="3" customFormat="1" spans="1:14">
      <c r="A56" s="7">
        <v>51</v>
      </c>
      <c r="B56" s="8" t="s">
        <v>138</v>
      </c>
      <c r="C56" s="8" t="s">
        <v>139</v>
      </c>
      <c r="D56" s="7">
        <v>133</v>
      </c>
      <c r="E56" s="9">
        <v>19.99</v>
      </c>
      <c r="F56" s="10">
        <v>128</v>
      </c>
      <c r="G56" s="7" t="str">
        <f t="shared" si="7"/>
        <v>$19.99</v>
      </c>
      <c r="H56" s="7" t="str">
        <f t="shared" si="8"/>
        <v>¥128</v>
      </c>
      <c r="I56" s="7">
        <f t="shared" si="9"/>
        <v>20</v>
      </c>
      <c r="J56" s="7">
        <f t="shared" si="10"/>
        <v>1280</v>
      </c>
      <c r="K56" s="7">
        <f t="shared" si="11"/>
        <v>1280</v>
      </c>
      <c r="L56" s="8" t="str">
        <f t="shared" si="12"/>
        <v>[{Item,1,1280}]</v>
      </c>
      <c r="M56" s="8"/>
      <c r="N56" s="8"/>
    </row>
    <row r="57" s="3" customFormat="1" spans="1:14">
      <c r="A57" s="7">
        <v>52</v>
      </c>
      <c r="B57" s="8" t="s">
        <v>140</v>
      </c>
      <c r="C57" s="8" t="s">
        <v>141</v>
      </c>
      <c r="D57" s="7">
        <v>134</v>
      </c>
      <c r="E57" s="9">
        <v>49.99</v>
      </c>
      <c r="F57" s="10">
        <v>328</v>
      </c>
      <c r="G57" s="7" t="str">
        <f t="shared" si="7"/>
        <v>$49.99</v>
      </c>
      <c r="H57" s="7" t="str">
        <f t="shared" si="8"/>
        <v>¥328</v>
      </c>
      <c r="I57" s="7">
        <f t="shared" si="9"/>
        <v>50</v>
      </c>
      <c r="J57" s="7">
        <f t="shared" si="10"/>
        <v>3280</v>
      </c>
      <c r="K57" s="7">
        <f t="shared" si="11"/>
        <v>3280</v>
      </c>
      <c r="L57" s="8" t="str">
        <f t="shared" si="12"/>
        <v>[{Item,1,3280}]</v>
      </c>
      <c r="M57" s="8"/>
      <c r="N57" s="8"/>
    </row>
    <row r="58" s="3" customFormat="1" spans="1:14">
      <c r="A58" s="7">
        <v>53</v>
      </c>
      <c r="B58" s="8" t="s">
        <v>142</v>
      </c>
      <c r="C58" s="8" t="s">
        <v>143</v>
      </c>
      <c r="D58" s="7">
        <v>135</v>
      </c>
      <c r="E58" s="9">
        <v>99.99</v>
      </c>
      <c r="F58" s="10">
        <v>648</v>
      </c>
      <c r="G58" s="7" t="str">
        <f t="shared" si="7"/>
        <v>$99.99</v>
      </c>
      <c r="H58" s="7" t="str">
        <f t="shared" si="8"/>
        <v>¥648</v>
      </c>
      <c r="I58" s="7">
        <f t="shared" si="9"/>
        <v>100</v>
      </c>
      <c r="J58" s="7">
        <f t="shared" si="10"/>
        <v>6480</v>
      </c>
      <c r="K58" s="7">
        <f t="shared" si="11"/>
        <v>6480</v>
      </c>
      <c r="L58" s="8" t="str">
        <f t="shared" si="12"/>
        <v>[{Item,1,6480}]</v>
      </c>
      <c r="M58" s="8"/>
      <c r="N58" s="8"/>
    </row>
    <row r="59" s="3" customFormat="1" spans="1:14">
      <c r="A59" s="7">
        <v>54</v>
      </c>
      <c r="B59" s="8" t="s">
        <v>144</v>
      </c>
      <c r="C59" s="8" t="s">
        <v>145</v>
      </c>
      <c r="D59" s="7">
        <v>136</v>
      </c>
      <c r="E59" s="9">
        <v>0.99</v>
      </c>
      <c r="F59" s="10">
        <v>6</v>
      </c>
      <c r="G59" s="7" t="str">
        <f t="shared" si="7"/>
        <v>$0.99</v>
      </c>
      <c r="H59" s="7" t="str">
        <f t="shared" si="8"/>
        <v>¥6</v>
      </c>
      <c r="I59" s="7">
        <f t="shared" si="9"/>
        <v>1</v>
      </c>
      <c r="J59" s="7">
        <f t="shared" si="10"/>
        <v>60</v>
      </c>
      <c r="K59" s="7">
        <f t="shared" si="11"/>
        <v>60</v>
      </c>
      <c r="L59" s="8" t="str">
        <f t="shared" si="12"/>
        <v>[{Item,1,60}]</v>
      </c>
      <c r="M59" s="8"/>
      <c r="N59" s="8"/>
    </row>
    <row r="60" s="3" customFormat="1" spans="1:14">
      <c r="A60" s="7">
        <v>55</v>
      </c>
      <c r="B60" s="8" t="s">
        <v>146</v>
      </c>
      <c r="C60" s="8" t="s">
        <v>147</v>
      </c>
      <c r="D60" s="7">
        <v>137</v>
      </c>
      <c r="E60" s="9">
        <v>1.99</v>
      </c>
      <c r="F60" s="10">
        <v>12</v>
      </c>
      <c r="G60" s="7" t="str">
        <f t="shared" si="7"/>
        <v>$1.99</v>
      </c>
      <c r="H60" s="7" t="str">
        <f t="shared" si="8"/>
        <v>¥12</v>
      </c>
      <c r="I60" s="7">
        <f t="shared" si="9"/>
        <v>2</v>
      </c>
      <c r="J60" s="7">
        <f t="shared" si="10"/>
        <v>120</v>
      </c>
      <c r="K60" s="7">
        <f t="shared" si="11"/>
        <v>120</v>
      </c>
      <c r="L60" s="8" t="str">
        <f t="shared" si="12"/>
        <v>[{Item,1,120}]</v>
      </c>
      <c r="M60" s="8"/>
      <c r="N60" s="8"/>
    </row>
    <row r="61" s="3" customFormat="1" spans="1:14">
      <c r="A61" s="7">
        <v>56</v>
      </c>
      <c r="B61" s="8" t="s">
        <v>148</v>
      </c>
      <c r="C61" s="8" t="s">
        <v>149</v>
      </c>
      <c r="D61" s="7">
        <v>138</v>
      </c>
      <c r="E61" s="9">
        <v>4.99</v>
      </c>
      <c r="F61" s="10">
        <v>30</v>
      </c>
      <c r="G61" s="7" t="str">
        <f t="shared" si="7"/>
        <v>$4.99</v>
      </c>
      <c r="H61" s="7" t="str">
        <f t="shared" si="8"/>
        <v>¥30</v>
      </c>
      <c r="I61" s="7">
        <f t="shared" si="9"/>
        <v>5</v>
      </c>
      <c r="J61" s="7">
        <f t="shared" si="10"/>
        <v>300</v>
      </c>
      <c r="K61" s="7">
        <f t="shared" si="11"/>
        <v>300</v>
      </c>
      <c r="L61" s="8" t="str">
        <f t="shared" si="12"/>
        <v>[{Item,1,300}]</v>
      </c>
      <c r="M61" s="8"/>
      <c r="N61" s="8"/>
    </row>
    <row r="62" s="3" customFormat="1" spans="1:14">
      <c r="A62" s="7">
        <v>57</v>
      </c>
      <c r="B62" s="8" t="s">
        <v>150</v>
      </c>
      <c r="C62" s="8" t="s">
        <v>151</v>
      </c>
      <c r="D62" s="7">
        <v>139</v>
      </c>
      <c r="E62" s="9">
        <v>9.99</v>
      </c>
      <c r="F62" s="10">
        <v>68</v>
      </c>
      <c r="G62" s="7" t="str">
        <f t="shared" si="7"/>
        <v>$9.99</v>
      </c>
      <c r="H62" s="7" t="str">
        <f t="shared" si="8"/>
        <v>¥68</v>
      </c>
      <c r="I62" s="7">
        <f t="shared" si="9"/>
        <v>10</v>
      </c>
      <c r="J62" s="7">
        <f t="shared" si="10"/>
        <v>680</v>
      </c>
      <c r="K62" s="7">
        <f t="shared" si="11"/>
        <v>680</v>
      </c>
      <c r="L62" s="8" t="str">
        <f t="shared" si="12"/>
        <v>[{Item,1,680}]</v>
      </c>
      <c r="M62" s="8"/>
      <c r="N62" s="8"/>
    </row>
    <row r="63" s="3" customFormat="1" spans="1:14">
      <c r="A63" s="7">
        <v>58</v>
      </c>
      <c r="B63" s="8" t="s">
        <v>152</v>
      </c>
      <c r="C63" s="8" t="s">
        <v>153</v>
      </c>
      <c r="D63" s="7">
        <v>140</v>
      </c>
      <c r="E63" s="9">
        <v>19.99</v>
      </c>
      <c r="F63" s="10">
        <v>128</v>
      </c>
      <c r="G63" s="7" t="str">
        <f t="shared" si="7"/>
        <v>$19.99</v>
      </c>
      <c r="H63" s="7" t="str">
        <f t="shared" si="8"/>
        <v>¥128</v>
      </c>
      <c r="I63" s="7">
        <f t="shared" si="9"/>
        <v>20</v>
      </c>
      <c r="J63" s="7">
        <f t="shared" si="10"/>
        <v>1280</v>
      </c>
      <c r="K63" s="7">
        <f t="shared" si="11"/>
        <v>1280</v>
      </c>
      <c r="L63" s="8" t="str">
        <f t="shared" si="12"/>
        <v>[{Item,1,1280}]</v>
      </c>
      <c r="M63" s="8"/>
      <c r="N63" s="8"/>
    </row>
    <row r="64" s="3" customFormat="1" spans="1:14">
      <c r="A64" s="7">
        <v>59</v>
      </c>
      <c r="B64" s="8" t="s">
        <v>154</v>
      </c>
      <c r="C64" s="8" t="s">
        <v>155</v>
      </c>
      <c r="D64" s="7">
        <v>141</v>
      </c>
      <c r="E64" s="9">
        <v>49.99</v>
      </c>
      <c r="F64" s="10">
        <v>328</v>
      </c>
      <c r="G64" s="7" t="str">
        <f t="shared" si="7"/>
        <v>$49.99</v>
      </c>
      <c r="H64" s="7" t="str">
        <f t="shared" si="8"/>
        <v>¥328</v>
      </c>
      <c r="I64" s="7">
        <f t="shared" si="9"/>
        <v>50</v>
      </c>
      <c r="J64" s="7">
        <f t="shared" si="10"/>
        <v>3280</v>
      </c>
      <c r="K64" s="7">
        <f t="shared" si="11"/>
        <v>3280</v>
      </c>
      <c r="L64" s="8" t="str">
        <f t="shared" si="12"/>
        <v>[{Item,1,3280}]</v>
      </c>
      <c r="M64" s="8"/>
      <c r="N64" s="8"/>
    </row>
    <row r="65" s="3" customFormat="1" spans="1:14">
      <c r="A65" s="7">
        <v>60</v>
      </c>
      <c r="B65" s="8" t="s">
        <v>156</v>
      </c>
      <c r="C65" s="8" t="s">
        <v>157</v>
      </c>
      <c r="D65" s="7">
        <v>142</v>
      </c>
      <c r="E65" s="9">
        <v>99.99</v>
      </c>
      <c r="F65" s="10">
        <v>648</v>
      </c>
      <c r="G65" s="7" t="str">
        <f t="shared" si="7"/>
        <v>$99.99</v>
      </c>
      <c r="H65" s="7" t="str">
        <f t="shared" si="8"/>
        <v>¥648</v>
      </c>
      <c r="I65" s="7">
        <f t="shared" si="9"/>
        <v>100</v>
      </c>
      <c r="J65" s="7">
        <f t="shared" si="10"/>
        <v>6480</v>
      </c>
      <c r="K65" s="7">
        <f t="shared" si="11"/>
        <v>6480</v>
      </c>
      <c r="L65" s="8" t="str">
        <f t="shared" si="12"/>
        <v>[{Item,1,6480}]</v>
      </c>
      <c r="M65" s="8"/>
      <c r="N65" s="4"/>
    </row>
    <row r="66" s="3" customFormat="1" spans="1:14">
      <c r="A66" s="7">
        <v>61</v>
      </c>
      <c r="B66" s="8" t="s">
        <v>158</v>
      </c>
      <c r="C66" s="8" t="s">
        <v>159</v>
      </c>
      <c r="D66" s="7">
        <v>143</v>
      </c>
      <c r="E66" s="9">
        <v>0.99</v>
      </c>
      <c r="F66" s="10">
        <v>6</v>
      </c>
      <c r="G66" s="7" t="str">
        <f t="shared" si="7"/>
        <v>$0.99</v>
      </c>
      <c r="H66" s="7" t="str">
        <f t="shared" si="8"/>
        <v>¥6</v>
      </c>
      <c r="I66" s="7">
        <f t="shared" si="9"/>
        <v>1</v>
      </c>
      <c r="J66" s="7">
        <f t="shared" si="10"/>
        <v>60</v>
      </c>
      <c r="K66" s="7">
        <f t="shared" si="11"/>
        <v>60</v>
      </c>
      <c r="L66" s="8" t="str">
        <f t="shared" si="12"/>
        <v>[{Item,1,60}]</v>
      </c>
      <c r="M66" s="8"/>
      <c r="N66" s="4"/>
    </row>
    <row r="67" s="3" customFormat="1" spans="1:14">
      <c r="A67" s="7">
        <v>62</v>
      </c>
      <c r="B67" s="8" t="s">
        <v>160</v>
      </c>
      <c r="C67" s="8" t="s">
        <v>161</v>
      </c>
      <c r="D67" s="7">
        <v>144</v>
      </c>
      <c r="E67" s="9">
        <v>0.99</v>
      </c>
      <c r="F67" s="10">
        <v>6</v>
      </c>
      <c r="G67" s="7" t="str">
        <f t="shared" si="7"/>
        <v>$0.99</v>
      </c>
      <c r="H67" s="7" t="str">
        <f t="shared" si="8"/>
        <v>¥6</v>
      </c>
      <c r="I67" s="7">
        <f t="shared" si="9"/>
        <v>1</v>
      </c>
      <c r="J67" s="7">
        <f t="shared" si="10"/>
        <v>60</v>
      </c>
      <c r="K67" s="7">
        <f t="shared" si="11"/>
        <v>60</v>
      </c>
      <c r="L67" s="8" t="str">
        <f t="shared" si="12"/>
        <v>[{Item,1,60}]</v>
      </c>
      <c r="M67" s="8"/>
      <c r="N67" s="4"/>
    </row>
    <row r="68" s="3" customFormat="1" spans="1:14">
      <c r="A68" s="7">
        <v>63</v>
      </c>
      <c r="B68" s="8" t="s">
        <v>162</v>
      </c>
      <c r="C68" s="8" t="s">
        <v>163</v>
      </c>
      <c r="D68" s="7">
        <v>145</v>
      </c>
      <c r="E68" s="9">
        <v>0.99</v>
      </c>
      <c r="F68" s="10">
        <v>6</v>
      </c>
      <c r="G68" s="7" t="str">
        <f t="shared" si="7"/>
        <v>$0.99</v>
      </c>
      <c r="H68" s="7" t="str">
        <f t="shared" si="8"/>
        <v>¥6</v>
      </c>
      <c r="I68" s="7">
        <f t="shared" si="9"/>
        <v>1</v>
      </c>
      <c r="J68" s="7">
        <f t="shared" si="10"/>
        <v>60</v>
      </c>
      <c r="K68" s="7">
        <f t="shared" si="11"/>
        <v>60</v>
      </c>
      <c r="L68" s="8" t="str">
        <f t="shared" si="12"/>
        <v>[{Item,1,60}]</v>
      </c>
      <c r="M68" s="8"/>
      <c r="N68" s="4"/>
    </row>
    <row r="69" s="3" customFormat="1" spans="1:14">
      <c r="A69" s="7">
        <v>64</v>
      </c>
      <c r="B69" s="8" t="s">
        <v>164</v>
      </c>
      <c r="C69" s="8" t="s">
        <v>165</v>
      </c>
      <c r="D69" s="7">
        <v>146</v>
      </c>
      <c r="E69" s="9">
        <v>0.99</v>
      </c>
      <c r="F69" s="10">
        <v>6</v>
      </c>
      <c r="G69" s="7" t="str">
        <f t="shared" si="7"/>
        <v>$0.99</v>
      </c>
      <c r="H69" s="7" t="str">
        <f t="shared" si="8"/>
        <v>¥6</v>
      </c>
      <c r="I69" s="7">
        <f t="shared" si="9"/>
        <v>1</v>
      </c>
      <c r="J69" s="7">
        <f t="shared" si="10"/>
        <v>60</v>
      </c>
      <c r="K69" s="7">
        <f t="shared" si="11"/>
        <v>60</v>
      </c>
      <c r="L69" s="8" t="str">
        <f t="shared" si="12"/>
        <v>[{Item,1,60}]</v>
      </c>
      <c r="M69" s="8"/>
      <c r="N69" s="4"/>
    </row>
    <row r="70" s="3" customFormat="1" spans="1:14">
      <c r="A70" s="7">
        <v>65</v>
      </c>
      <c r="B70" s="8" t="s">
        <v>166</v>
      </c>
      <c r="C70" s="8" t="s">
        <v>167</v>
      </c>
      <c r="D70" s="7">
        <v>147</v>
      </c>
      <c r="E70" s="9">
        <v>0.99</v>
      </c>
      <c r="F70" s="10">
        <v>6</v>
      </c>
      <c r="G70" s="7" t="str">
        <f t="shared" si="7"/>
        <v>$0.99</v>
      </c>
      <c r="H70" s="7" t="str">
        <f t="shared" si="8"/>
        <v>¥6</v>
      </c>
      <c r="I70" s="7">
        <f t="shared" si="9"/>
        <v>1</v>
      </c>
      <c r="J70" s="7">
        <f t="shared" si="10"/>
        <v>60</v>
      </c>
      <c r="K70" s="7">
        <f t="shared" si="11"/>
        <v>60</v>
      </c>
      <c r="L70" s="8" t="str">
        <f t="shared" si="12"/>
        <v>[{Item,1,60}]</v>
      </c>
      <c r="M70" s="8"/>
      <c r="N70" s="4"/>
    </row>
    <row r="71" s="3" customFormat="1" spans="1:14">
      <c r="A71" s="7">
        <v>66</v>
      </c>
      <c r="B71" s="8" t="s">
        <v>168</v>
      </c>
      <c r="C71" s="8" t="s">
        <v>169</v>
      </c>
      <c r="D71" s="7">
        <v>148</v>
      </c>
      <c r="E71" s="9">
        <v>4.99</v>
      </c>
      <c r="F71" s="10">
        <v>30</v>
      </c>
      <c r="G71" s="7" t="str">
        <f t="shared" si="7"/>
        <v>$4.99</v>
      </c>
      <c r="H71" s="7" t="str">
        <f t="shared" si="8"/>
        <v>¥30</v>
      </c>
      <c r="I71" s="7">
        <f t="shared" si="9"/>
        <v>5</v>
      </c>
      <c r="J71" s="7">
        <f t="shared" si="10"/>
        <v>300</v>
      </c>
      <c r="K71" s="7">
        <f t="shared" si="11"/>
        <v>300</v>
      </c>
      <c r="L71" s="8" t="str">
        <f t="shared" si="12"/>
        <v>[{Item,1,300}]</v>
      </c>
      <c r="M71" s="8"/>
      <c r="N71" s="4"/>
    </row>
    <row r="72" s="3" customFormat="1" spans="1:14">
      <c r="A72" s="7">
        <v>67</v>
      </c>
      <c r="B72" s="8" t="s">
        <v>170</v>
      </c>
      <c r="C72" s="8" t="s">
        <v>171</v>
      </c>
      <c r="D72" s="7">
        <v>149</v>
      </c>
      <c r="E72" s="9">
        <v>4.99</v>
      </c>
      <c r="F72" s="10">
        <v>30</v>
      </c>
      <c r="G72" s="7" t="str">
        <f t="shared" si="7"/>
        <v>$4.99</v>
      </c>
      <c r="H72" s="7" t="str">
        <f t="shared" si="8"/>
        <v>¥30</v>
      </c>
      <c r="I72" s="7">
        <f t="shared" si="9"/>
        <v>5</v>
      </c>
      <c r="J72" s="7">
        <f t="shared" si="10"/>
        <v>300</v>
      </c>
      <c r="K72" s="7">
        <f t="shared" si="11"/>
        <v>300</v>
      </c>
      <c r="L72" s="8" t="str">
        <f t="shared" si="12"/>
        <v>[{Item,1,300}]</v>
      </c>
      <c r="M72" s="8"/>
      <c r="N72" s="4"/>
    </row>
    <row r="73" s="3" customFormat="1" spans="1:14">
      <c r="A73" s="7">
        <v>68</v>
      </c>
      <c r="B73" s="8" t="s">
        <v>172</v>
      </c>
      <c r="C73" s="8" t="s">
        <v>173</v>
      </c>
      <c r="D73" s="7">
        <v>150</v>
      </c>
      <c r="E73" s="9">
        <v>4.99</v>
      </c>
      <c r="F73" s="10">
        <v>30</v>
      </c>
      <c r="G73" s="7" t="str">
        <f t="shared" si="7"/>
        <v>$4.99</v>
      </c>
      <c r="H73" s="7" t="str">
        <f t="shared" si="8"/>
        <v>¥30</v>
      </c>
      <c r="I73" s="7">
        <f t="shared" si="9"/>
        <v>5</v>
      </c>
      <c r="J73" s="7">
        <f t="shared" si="10"/>
        <v>300</v>
      </c>
      <c r="K73" s="7">
        <f t="shared" si="11"/>
        <v>300</v>
      </c>
      <c r="L73" s="8" t="str">
        <f t="shared" si="12"/>
        <v>[{Item,1,300}]</v>
      </c>
      <c r="M73" s="8"/>
      <c r="N73" s="4"/>
    </row>
    <row r="74" s="3" customFormat="1" spans="1:14">
      <c r="A74" s="7">
        <v>69</v>
      </c>
      <c r="B74" s="8" t="s">
        <v>174</v>
      </c>
      <c r="C74" s="8" t="s">
        <v>175</v>
      </c>
      <c r="D74" s="7">
        <v>151</v>
      </c>
      <c r="E74" s="9">
        <v>4.99</v>
      </c>
      <c r="F74" s="10">
        <v>30</v>
      </c>
      <c r="G74" s="7" t="str">
        <f t="shared" si="7"/>
        <v>$4.99</v>
      </c>
      <c r="H74" s="7" t="str">
        <f t="shared" si="8"/>
        <v>¥30</v>
      </c>
      <c r="I74" s="7">
        <f t="shared" si="9"/>
        <v>5</v>
      </c>
      <c r="J74" s="7">
        <f t="shared" si="10"/>
        <v>300</v>
      </c>
      <c r="K74" s="7">
        <f t="shared" si="11"/>
        <v>300</v>
      </c>
      <c r="L74" s="8" t="str">
        <f t="shared" si="12"/>
        <v>[{Item,1,300}]</v>
      </c>
      <c r="M74" s="8"/>
      <c r="N74" s="4"/>
    </row>
    <row r="75" s="3" customFormat="1" spans="1:14">
      <c r="A75" s="7">
        <v>70</v>
      </c>
      <c r="B75" s="8" t="s">
        <v>176</v>
      </c>
      <c r="C75" s="8" t="s">
        <v>177</v>
      </c>
      <c r="D75" s="7">
        <v>152</v>
      </c>
      <c r="E75" s="9">
        <v>4.99</v>
      </c>
      <c r="F75" s="10">
        <v>30</v>
      </c>
      <c r="G75" s="7" t="str">
        <f t="shared" si="7"/>
        <v>$4.99</v>
      </c>
      <c r="H75" s="7" t="str">
        <f t="shared" si="8"/>
        <v>¥30</v>
      </c>
      <c r="I75" s="7">
        <f t="shared" si="9"/>
        <v>5</v>
      </c>
      <c r="J75" s="7">
        <f t="shared" si="10"/>
        <v>300</v>
      </c>
      <c r="K75" s="7">
        <f t="shared" si="11"/>
        <v>300</v>
      </c>
      <c r="L75" s="8" t="str">
        <f t="shared" si="12"/>
        <v>[{Item,1,300}]</v>
      </c>
      <c r="M75" s="8"/>
      <c r="N75" s="4"/>
    </row>
    <row r="76" s="3" customFormat="1" spans="1:14">
      <c r="A76" s="7">
        <v>71</v>
      </c>
      <c r="B76" s="8" t="s">
        <v>178</v>
      </c>
      <c r="C76" s="8" t="s">
        <v>179</v>
      </c>
      <c r="D76" s="7">
        <v>153</v>
      </c>
      <c r="E76" s="9">
        <v>4.99</v>
      </c>
      <c r="F76" s="10">
        <v>30</v>
      </c>
      <c r="G76" s="7" t="str">
        <f t="shared" si="7"/>
        <v>$4.99</v>
      </c>
      <c r="H76" s="7" t="str">
        <f t="shared" si="8"/>
        <v>¥30</v>
      </c>
      <c r="I76" s="7">
        <f t="shared" si="9"/>
        <v>5</v>
      </c>
      <c r="J76" s="7">
        <f t="shared" si="10"/>
        <v>300</v>
      </c>
      <c r="K76" s="7">
        <f t="shared" si="11"/>
        <v>300</v>
      </c>
      <c r="L76" s="8" t="str">
        <f t="shared" si="12"/>
        <v>[{Item,1,300}]</v>
      </c>
      <c r="M76" s="8"/>
      <c r="N76" s="4"/>
    </row>
    <row r="77" s="3" customFormat="1" spans="1:14">
      <c r="A77" s="7">
        <v>72</v>
      </c>
      <c r="B77" s="8" t="s">
        <v>180</v>
      </c>
      <c r="C77" s="8" t="s">
        <v>181</v>
      </c>
      <c r="D77" s="7">
        <v>154</v>
      </c>
      <c r="E77" s="9">
        <v>4.99</v>
      </c>
      <c r="F77" s="10">
        <v>30</v>
      </c>
      <c r="G77" s="7" t="str">
        <f t="shared" si="7"/>
        <v>$4.99</v>
      </c>
      <c r="H77" s="7" t="str">
        <f t="shared" si="8"/>
        <v>¥30</v>
      </c>
      <c r="I77" s="7">
        <f t="shared" si="9"/>
        <v>5</v>
      </c>
      <c r="J77" s="7">
        <f t="shared" si="10"/>
        <v>300</v>
      </c>
      <c r="K77" s="7">
        <f t="shared" si="11"/>
        <v>300</v>
      </c>
      <c r="L77" s="8" t="str">
        <f t="shared" si="12"/>
        <v>[{Item,1,300}]</v>
      </c>
      <c r="M77" s="8"/>
      <c r="N77" s="4"/>
    </row>
    <row r="78" s="3" customFormat="1" spans="1:14">
      <c r="A78" s="7">
        <v>73</v>
      </c>
      <c r="B78" s="8" t="s">
        <v>182</v>
      </c>
      <c r="C78" s="8" t="s">
        <v>183</v>
      </c>
      <c r="D78" s="7">
        <v>155</v>
      </c>
      <c r="E78" s="9">
        <v>4.99</v>
      </c>
      <c r="F78" s="10">
        <v>30</v>
      </c>
      <c r="G78" s="7" t="str">
        <f t="shared" si="7"/>
        <v>$4.99</v>
      </c>
      <c r="H78" s="7" t="str">
        <f t="shared" si="8"/>
        <v>¥30</v>
      </c>
      <c r="I78" s="7">
        <f t="shared" si="9"/>
        <v>5</v>
      </c>
      <c r="J78" s="7">
        <f t="shared" si="10"/>
        <v>300</v>
      </c>
      <c r="K78" s="7">
        <f t="shared" si="11"/>
        <v>300</v>
      </c>
      <c r="L78" s="8" t="str">
        <f t="shared" si="12"/>
        <v>[{Item,1,300}]</v>
      </c>
      <c r="M78" s="8"/>
      <c r="N78" s="4"/>
    </row>
    <row r="79" s="3" customFormat="1" spans="1:14">
      <c r="A79" s="7">
        <v>74</v>
      </c>
      <c r="B79" s="8" t="s">
        <v>184</v>
      </c>
      <c r="C79" s="8" t="s">
        <v>185</v>
      </c>
      <c r="D79" s="7">
        <v>156</v>
      </c>
      <c r="E79" s="9">
        <v>4.99</v>
      </c>
      <c r="F79" s="10">
        <v>30</v>
      </c>
      <c r="G79" s="7" t="str">
        <f t="shared" si="7"/>
        <v>$4.99</v>
      </c>
      <c r="H79" s="7" t="str">
        <f t="shared" si="8"/>
        <v>¥30</v>
      </c>
      <c r="I79" s="7">
        <f t="shared" si="9"/>
        <v>5</v>
      </c>
      <c r="J79" s="7">
        <f t="shared" si="10"/>
        <v>300</v>
      </c>
      <c r="K79" s="7">
        <f t="shared" si="11"/>
        <v>300</v>
      </c>
      <c r="L79" s="8" t="str">
        <f t="shared" si="12"/>
        <v>[{Item,1,300}]</v>
      </c>
      <c r="M79" s="8"/>
      <c r="N79" s="4"/>
    </row>
    <row r="80" s="3" customFormat="1" spans="1:14">
      <c r="A80" s="7">
        <v>75</v>
      </c>
      <c r="B80" s="8" t="s">
        <v>186</v>
      </c>
      <c r="C80" s="8" t="s">
        <v>187</v>
      </c>
      <c r="D80" s="7">
        <v>157</v>
      </c>
      <c r="E80" s="9">
        <v>4.99</v>
      </c>
      <c r="F80" s="10">
        <v>30</v>
      </c>
      <c r="G80" s="7" t="str">
        <f t="shared" si="7"/>
        <v>$4.99</v>
      </c>
      <c r="H80" s="7" t="str">
        <f t="shared" si="8"/>
        <v>¥30</v>
      </c>
      <c r="I80" s="7">
        <f t="shared" si="9"/>
        <v>5</v>
      </c>
      <c r="J80" s="7">
        <f t="shared" si="10"/>
        <v>300</v>
      </c>
      <c r="K80" s="7">
        <f t="shared" si="11"/>
        <v>300</v>
      </c>
      <c r="L80" s="8" t="str">
        <f t="shared" si="12"/>
        <v>[{Item,1,300}]</v>
      </c>
      <c r="M80" s="8"/>
      <c r="N80" s="4"/>
    </row>
    <row r="81" s="3" customFormat="1" spans="1:14">
      <c r="A81" s="7">
        <v>76</v>
      </c>
      <c r="B81" s="8" t="s">
        <v>188</v>
      </c>
      <c r="C81" s="8" t="s">
        <v>189</v>
      </c>
      <c r="D81" s="7">
        <v>158</v>
      </c>
      <c r="E81" s="9">
        <v>6.99</v>
      </c>
      <c r="F81" s="10">
        <v>45</v>
      </c>
      <c r="G81" s="7" t="str">
        <f t="shared" si="7"/>
        <v>$6.99</v>
      </c>
      <c r="H81" s="7" t="str">
        <f t="shared" si="8"/>
        <v>¥45</v>
      </c>
      <c r="I81" s="7">
        <f t="shared" si="9"/>
        <v>7</v>
      </c>
      <c r="J81" s="7">
        <f t="shared" si="10"/>
        <v>450</v>
      </c>
      <c r="K81" s="7">
        <f t="shared" si="11"/>
        <v>450</v>
      </c>
      <c r="L81" s="8" t="str">
        <f t="shared" si="12"/>
        <v>[{Item,1,450}]</v>
      </c>
      <c r="M81" s="8"/>
      <c r="N81" s="4"/>
    </row>
    <row r="82" s="3" customFormat="1" spans="1:14">
      <c r="A82" s="7">
        <v>77</v>
      </c>
      <c r="B82" s="8" t="s">
        <v>190</v>
      </c>
      <c r="C82" s="8" t="s">
        <v>191</v>
      </c>
      <c r="D82" s="7">
        <v>159</v>
      </c>
      <c r="E82" s="9">
        <v>6.99</v>
      </c>
      <c r="F82" s="10">
        <v>45</v>
      </c>
      <c r="G82" s="7" t="str">
        <f t="shared" si="7"/>
        <v>$6.99</v>
      </c>
      <c r="H82" s="7" t="str">
        <f t="shared" si="8"/>
        <v>¥45</v>
      </c>
      <c r="I82" s="7">
        <f t="shared" si="9"/>
        <v>7</v>
      </c>
      <c r="J82" s="7">
        <f t="shared" si="10"/>
        <v>450</v>
      </c>
      <c r="K82" s="7">
        <f t="shared" si="11"/>
        <v>450</v>
      </c>
      <c r="L82" s="8" t="str">
        <f t="shared" si="12"/>
        <v>[{Item,1,450}]</v>
      </c>
      <c r="M82" s="8"/>
      <c r="N82" s="4"/>
    </row>
    <row r="83" s="3" customFormat="1" spans="1:14">
      <c r="A83" s="7">
        <v>78</v>
      </c>
      <c r="B83" s="8" t="s">
        <v>192</v>
      </c>
      <c r="C83" s="8" t="s">
        <v>193</v>
      </c>
      <c r="D83" s="7">
        <v>160</v>
      </c>
      <c r="E83" s="9">
        <v>6.99</v>
      </c>
      <c r="F83" s="10">
        <v>45</v>
      </c>
      <c r="G83" s="7" t="str">
        <f t="shared" si="7"/>
        <v>$6.99</v>
      </c>
      <c r="H83" s="7" t="str">
        <f t="shared" si="8"/>
        <v>¥45</v>
      </c>
      <c r="I83" s="7">
        <f t="shared" si="9"/>
        <v>7</v>
      </c>
      <c r="J83" s="7">
        <f t="shared" si="10"/>
        <v>450</v>
      </c>
      <c r="K83" s="7">
        <f t="shared" si="11"/>
        <v>450</v>
      </c>
      <c r="L83" s="8" t="str">
        <f t="shared" si="12"/>
        <v>[{Item,1,450}]</v>
      </c>
      <c r="M83" s="8"/>
      <c r="N83" s="4"/>
    </row>
    <row r="84" s="3" customFormat="1" spans="1:14">
      <c r="A84" s="7">
        <v>79</v>
      </c>
      <c r="B84" s="8" t="s">
        <v>194</v>
      </c>
      <c r="C84" s="8" t="s">
        <v>195</v>
      </c>
      <c r="D84" s="7">
        <v>161</v>
      </c>
      <c r="E84" s="9">
        <v>6.99</v>
      </c>
      <c r="F84" s="10">
        <v>45</v>
      </c>
      <c r="G84" s="7" t="str">
        <f t="shared" si="7"/>
        <v>$6.99</v>
      </c>
      <c r="H84" s="7" t="str">
        <f t="shared" si="8"/>
        <v>¥45</v>
      </c>
      <c r="I84" s="7">
        <f t="shared" si="9"/>
        <v>7</v>
      </c>
      <c r="J84" s="7">
        <f t="shared" si="10"/>
        <v>450</v>
      </c>
      <c r="K84" s="7">
        <f t="shared" si="11"/>
        <v>450</v>
      </c>
      <c r="L84" s="8" t="str">
        <f t="shared" si="12"/>
        <v>[{Item,1,450}]</v>
      </c>
      <c r="M84" s="8"/>
      <c r="N84" s="4"/>
    </row>
    <row r="85" s="3" customFormat="1" spans="1:14">
      <c r="A85" s="7">
        <v>80</v>
      </c>
      <c r="B85" s="8" t="s">
        <v>196</v>
      </c>
      <c r="C85" s="8" t="s">
        <v>197</v>
      </c>
      <c r="D85" s="7">
        <v>162</v>
      </c>
      <c r="E85" s="9">
        <v>7.99</v>
      </c>
      <c r="F85" s="10">
        <v>50</v>
      </c>
      <c r="G85" s="7" t="str">
        <f t="shared" si="7"/>
        <v>$7.99</v>
      </c>
      <c r="H85" s="7" t="str">
        <f t="shared" si="8"/>
        <v>¥50</v>
      </c>
      <c r="I85" s="7">
        <f t="shared" si="9"/>
        <v>8</v>
      </c>
      <c r="J85" s="7">
        <f t="shared" si="10"/>
        <v>500</v>
      </c>
      <c r="K85" s="7">
        <f t="shared" si="11"/>
        <v>500</v>
      </c>
      <c r="L85" s="8" t="str">
        <f t="shared" si="12"/>
        <v>[{Item,1,500}]</v>
      </c>
      <c r="M85" s="8"/>
      <c r="N85" s="4"/>
    </row>
    <row r="86" s="3" customFormat="1" spans="1:14">
      <c r="A86" s="7">
        <v>81</v>
      </c>
      <c r="B86" s="8" t="s">
        <v>198</v>
      </c>
      <c r="C86" s="8" t="s">
        <v>199</v>
      </c>
      <c r="D86" s="7">
        <v>163</v>
      </c>
      <c r="E86" s="9">
        <v>7.99</v>
      </c>
      <c r="F86" s="10">
        <v>50</v>
      </c>
      <c r="G86" s="7" t="str">
        <f t="shared" si="7"/>
        <v>$7.99</v>
      </c>
      <c r="H86" s="7" t="str">
        <f t="shared" si="8"/>
        <v>¥50</v>
      </c>
      <c r="I86" s="7">
        <f t="shared" si="9"/>
        <v>8</v>
      </c>
      <c r="J86" s="7">
        <f t="shared" si="10"/>
        <v>500</v>
      </c>
      <c r="K86" s="7">
        <f t="shared" si="11"/>
        <v>500</v>
      </c>
      <c r="L86" s="8" t="str">
        <f t="shared" si="12"/>
        <v>[{Item,1,500}]</v>
      </c>
      <c r="M86" s="8"/>
      <c r="N86" s="4"/>
    </row>
    <row r="87" s="3" customFormat="1" spans="1:14">
      <c r="A87" s="7">
        <v>82</v>
      </c>
      <c r="B87" s="8" t="s">
        <v>200</v>
      </c>
      <c r="C87" s="8" t="s">
        <v>201</v>
      </c>
      <c r="D87" s="7">
        <v>164</v>
      </c>
      <c r="E87" s="9">
        <v>7.99</v>
      </c>
      <c r="F87" s="10">
        <v>50</v>
      </c>
      <c r="G87" s="7" t="str">
        <f t="shared" si="7"/>
        <v>$7.99</v>
      </c>
      <c r="H87" s="7" t="str">
        <f t="shared" si="8"/>
        <v>¥50</v>
      </c>
      <c r="I87" s="7">
        <f t="shared" si="9"/>
        <v>8</v>
      </c>
      <c r="J87" s="7">
        <f t="shared" si="10"/>
        <v>500</v>
      </c>
      <c r="K87" s="7">
        <f t="shared" si="11"/>
        <v>500</v>
      </c>
      <c r="L87" s="8" t="str">
        <f t="shared" si="12"/>
        <v>[{Item,1,500}]</v>
      </c>
      <c r="M87" s="8"/>
      <c r="N87" s="4"/>
    </row>
    <row r="88" s="3" customFormat="1" spans="1:14">
      <c r="A88" s="7">
        <v>83</v>
      </c>
      <c r="B88" s="8" t="s">
        <v>202</v>
      </c>
      <c r="C88" s="8" t="s">
        <v>203</v>
      </c>
      <c r="D88" s="7">
        <v>165</v>
      </c>
      <c r="E88" s="9">
        <v>7.99</v>
      </c>
      <c r="F88" s="10">
        <v>50</v>
      </c>
      <c r="G88" s="7" t="str">
        <f t="shared" si="7"/>
        <v>$7.99</v>
      </c>
      <c r="H88" s="7" t="str">
        <f t="shared" si="8"/>
        <v>¥50</v>
      </c>
      <c r="I88" s="7">
        <f t="shared" si="9"/>
        <v>8</v>
      </c>
      <c r="J88" s="7">
        <f t="shared" si="10"/>
        <v>500</v>
      </c>
      <c r="K88" s="7">
        <f t="shared" si="11"/>
        <v>500</v>
      </c>
      <c r="L88" s="8" t="str">
        <f t="shared" si="12"/>
        <v>[{Item,1,500}]</v>
      </c>
      <c r="M88" s="8"/>
      <c r="N88" s="4"/>
    </row>
    <row r="89" s="3" customFormat="1" spans="1:14">
      <c r="A89" s="7">
        <v>84</v>
      </c>
      <c r="B89" s="8" t="s">
        <v>204</v>
      </c>
      <c r="C89" s="8" t="s">
        <v>205</v>
      </c>
      <c r="D89" s="7">
        <v>166</v>
      </c>
      <c r="E89" s="9">
        <v>8.99</v>
      </c>
      <c r="F89" s="10">
        <v>60</v>
      </c>
      <c r="G89" s="7" t="str">
        <f t="shared" si="7"/>
        <v>$8.99</v>
      </c>
      <c r="H89" s="7" t="str">
        <f t="shared" si="8"/>
        <v>¥60</v>
      </c>
      <c r="I89" s="7">
        <f t="shared" si="9"/>
        <v>9</v>
      </c>
      <c r="J89" s="7">
        <f t="shared" si="10"/>
        <v>600</v>
      </c>
      <c r="K89" s="7">
        <f t="shared" si="11"/>
        <v>600</v>
      </c>
      <c r="L89" s="8" t="str">
        <f t="shared" si="12"/>
        <v>[{Item,1,600}]</v>
      </c>
      <c r="M89" s="8"/>
      <c r="N89" s="4"/>
    </row>
    <row r="90" s="3" customFormat="1" spans="1:14">
      <c r="A90" s="7">
        <v>85</v>
      </c>
      <c r="B90" s="8" t="s">
        <v>206</v>
      </c>
      <c r="C90" s="8" t="s">
        <v>207</v>
      </c>
      <c r="D90" s="7">
        <v>167</v>
      </c>
      <c r="E90" s="9">
        <v>8.99</v>
      </c>
      <c r="F90" s="10">
        <v>60</v>
      </c>
      <c r="G90" s="7" t="str">
        <f t="shared" si="7"/>
        <v>$8.99</v>
      </c>
      <c r="H90" s="7" t="str">
        <f t="shared" si="8"/>
        <v>¥60</v>
      </c>
      <c r="I90" s="7">
        <f t="shared" si="9"/>
        <v>9</v>
      </c>
      <c r="J90" s="7">
        <f t="shared" si="10"/>
        <v>600</v>
      </c>
      <c r="K90" s="7">
        <f t="shared" si="11"/>
        <v>600</v>
      </c>
      <c r="L90" s="8" t="str">
        <f t="shared" si="12"/>
        <v>[{Item,1,600}]</v>
      </c>
      <c r="M90" s="8"/>
      <c r="N90" s="4"/>
    </row>
    <row r="91" s="3" customFormat="1" spans="1:14">
      <c r="A91" s="7">
        <v>86</v>
      </c>
      <c r="B91" s="8" t="s">
        <v>208</v>
      </c>
      <c r="C91" s="8" t="s">
        <v>209</v>
      </c>
      <c r="D91" s="7">
        <v>168</v>
      </c>
      <c r="E91" s="9">
        <v>8.99</v>
      </c>
      <c r="F91" s="10">
        <v>60</v>
      </c>
      <c r="G91" s="7" t="str">
        <f t="shared" si="7"/>
        <v>$8.99</v>
      </c>
      <c r="H91" s="7" t="str">
        <f t="shared" si="8"/>
        <v>¥60</v>
      </c>
      <c r="I91" s="7">
        <f t="shared" si="9"/>
        <v>9</v>
      </c>
      <c r="J91" s="7">
        <f t="shared" si="10"/>
        <v>600</v>
      </c>
      <c r="K91" s="7">
        <f t="shared" si="11"/>
        <v>600</v>
      </c>
      <c r="L91" s="8" t="str">
        <f t="shared" si="12"/>
        <v>[{Item,1,600}]</v>
      </c>
      <c r="M91" s="8"/>
      <c r="N91" s="4"/>
    </row>
    <row r="92" s="3" customFormat="1" spans="1:14">
      <c r="A92" s="7">
        <v>87</v>
      </c>
      <c r="B92" s="8" t="s">
        <v>210</v>
      </c>
      <c r="C92" s="8" t="s">
        <v>211</v>
      </c>
      <c r="D92" s="7">
        <v>169</v>
      </c>
      <c r="E92" s="9">
        <v>8.99</v>
      </c>
      <c r="F92" s="10">
        <v>60</v>
      </c>
      <c r="G92" s="7" t="str">
        <f t="shared" si="7"/>
        <v>$8.99</v>
      </c>
      <c r="H92" s="7" t="str">
        <f t="shared" si="8"/>
        <v>¥60</v>
      </c>
      <c r="I92" s="7">
        <f t="shared" si="9"/>
        <v>9</v>
      </c>
      <c r="J92" s="7">
        <f t="shared" si="10"/>
        <v>600</v>
      </c>
      <c r="K92" s="7">
        <f t="shared" si="11"/>
        <v>600</v>
      </c>
      <c r="L92" s="8" t="str">
        <f t="shared" si="12"/>
        <v>[{Item,1,600}]</v>
      </c>
      <c r="M92" s="8"/>
      <c r="N92" s="4"/>
    </row>
    <row r="93" s="3" customFormat="1" spans="1:14">
      <c r="A93" s="7">
        <v>88</v>
      </c>
      <c r="B93" s="8" t="s">
        <v>212</v>
      </c>
      <c r="C93" s="8" t="s">
        <v>213</v>
      </c>
      <c r="D93" s="7">
        <v>170</v>
      </c>
      <c r="E93" s="9">
        <v>9.99</v>
      </c>
      <c r="F93" s="10">
        <v>68</v>
      </c>
      <c r="G93" s="7" t="str">
        <f t="shared" ref="G93:G110" si="13">"$"&amp;E93</f>
        <v>$9.99</v>
      </c>
      <c r="H93" s="7" t="str">
        <f t="shared" ref="H93:H110" si="14">"¥"&amp;F93</f>
        <v>¥68</v>
      </c>
      <c r="I93" s="7">
        <f t="shared" ref="I93:I110" si="15">ROUNDUP(E93,0)</f>
        <v>10</v>
      </c>
      <c r="J93" s="7">
        <f t="shared" ref="J93:J110" si="16">F93*10</f>
        <v>680</v>
      </c>
      <c r="K93" s="7">
        <f t="shared" ref="K93:K110" si="17">F93*10</f>
        <v>680</v>
      </c>
      <c r="L93" s="8" t="str">
        <f t="shared" si="12"/>
        <v>[{Item,1,680}]</v>
      </c>
      <c r="M93" s="8"/>
      <c r="N93" s="4"/>
    </row>
    <row r="94" s="3" customFormat="1" spans="1:14">
      <c r="A94" s="7">
        <v>89</v>
      </c>
      <c r="B94" s="8" t="s">
        <v>214</v>
      </c>
      <c r="C94" s="8" t="s">
        <v>215</v>
      </c>
      <c r="D94" s="7">
        <v>171</v>
      </c>
      <c r="E94" s="9">
        <v>9.99</v>
      </c>
      <c r="F94" s="10">
        <v>68</v>
      </c>
      <c r="G94" s="7" t="str">
        <f t="shared" si="13"/>
        <v>$9.99</v>
      </c>
      <c r="H94" s="7" t="str">
        <f t="shared" si="14"/>
        <v>¥68</v>
      </c>
      <c r="I94" s="7">
        <f t="shared" si="15"/>
        <v>10</v>
      </c>
      <c r="J94" s="7">
        <f t="shared" si="16"/>
        <v>680</v>
      </c>
      <c r="K94" s="7">
        <f t="shared" si="17"/>
        <v>680</v>
      </c>
      <c r="L94" s="8" t="str">
        <f t="shared" si="12"/>
        <v>[{Item,1,680}]</v>
      </c>
      <c r="M94" s="8"/>
      <c r="N94" s="4"/>
    </row>
    <row r="95" s="3" customFormat="1" spans="1:14">
      <c r="A95" s="7">
        <v>90</v>
      </c>
      <c r="B95" s="8" t="s">
        <v>216</v>
      </c>
      <c r="C95" s="8" t="s">
        <v>217</v>
      </c>
      <c r="D95" s="7">
        <v>172</v>
      </c>
      <c r="E95" s="9">
        <v>9.99</v>
      </c>
      <c r="F95" s="10">
        <v>68</v>
      </c>
      <c r="G95" s="7" t="str">
        <f t="shared" si="13"/>
        <v>$9.99</v>
      </c>
      <c r="H95" s="7" t="str">
        <f t="shared" si="14"/>
        <v>¥68</v>
      </c>
      <c r="I95" s="7">
        <f t="shared" si="15"/>
        <v>10</v>
      </c>
      <c r="J95" s="7">
        <f t="shared" si="16"/>
        <v>680</v>
      </c>
      <c r="K95" s="7">
        <f t="shared" si="17"/>
        <v>680</v>
      </c>
      <c r="L95" s="8" t="str">
        <f t="shared" si="12"/>
        <v>[{Item,1,680}]</v>
      </c>
      <c r="M95" s="8"/>
      <c r="N95" s="4"/>
    </row>
    <row r="96" s="3" customFormat="1" spans="1:14">
      <c r="A96" s="7">
        <v>91</v>
      </c>
      <c r="B96" s="8" t="s">
        <v>218</v>
      </c>
      <c r="C96" s="8" t="s">
        <v>219</v>
      </c>
      <c r="D96" s="7">
        <v>173</v>
      </c>
      <c r="E96" s="9">
        <v>9.99</v>
      </c>
      <c r="F96" s="10">
        <v>68</v>
      </c>
      <c r="G96" s="7" t="str">
        <f t="shared" si="13"/>
        <v>$9.99</v>
      </c>
      <c r="H96" s="7" t="str">
        <f t="shared" si="14"/>
        <v>¥68</v>
      </c>
      <c r="I96" s="7">
        <f t="shared" si="15"/>
        <v>10</v>
      </c>
      <c r="J96" s="7">
        <f t="shared" si="16"/>
        <v>680</v>
      </c>
      <c r="K96" s="7">
        <f t="shared" si="17"/>
        <v>680</v>
      </c>
      <c r="L96" s="8" t="str">
        <f t="shared" si="12"/>
        <v>[{Item,1,680}]</v>
      </c>
      <c r="M96" s="8"/>
      <c r="N96" s="4"/>
    </row>
    <row r="97" s="3" customFormat="1" spans="1:14">
      <c r="A97" s="7">
        <v>92</v>
      </c>
      <c r="B97" s="8" t="s">
        <v>220</v>
      </c>
      <c r="C97" s="8" t="s">
        <v>221</v>
      </c>
      <c r="D97" s="7">
        <v>174</v>
      </c>
      <c r="E97" s="9">
        <v>9.99</v>
      </c>
      <c r="F97" s="10">
        <v>68</v>
      </c>
      <c r="G97" s="7" t="str">
        <f t="shared" si="13"/>
        <v>$9.99</v>
      </c>
      <c r="H97" s="7" t="str">
        <f t="shared" si="14"/>
        <v>¥68</v>
      </c>
      <c r="I97" s="7">
        <f t="shared" si="15"/>
        <v>10</v>
      </c>
      <c r="J97" s="7">
        <f t="shared" si="16"/>
        <v>680</v>
      </c>
      <c r="K97" s="7">
        <f t="shared" si="17"/>
        <v>680</v>
      </c>
      <c r="L97" s="8" t="str">
        <f t="shared" si="12"/>
        <v>[{Item,1,680}]</v>
      </c>
      <c r="M97" s="8"/>
      <c r="N97" s="4"/>
    </row>
    <row r="98" s="3" customFormat="1" spans="1:14">
      <c r="A98" s="7">
        <v>93</v>
      </c>
      <c r="B98" s="8" t="s">
        <v>222</v>
      </c>
      <c r="C98" s="8" t="s">
        <v>223</v>
      </c>
      <c r="D98" s="7">
        <v>175</v>
      </c>
      <c r="E98" s="9">
        <v>9.99</v>
      </c>
      <c r="F98" s="10">
        <v>68</v>
      </c>
      <c r="G98" s="7" t="str">
        <f t="shared" si="13"/>
        <v>$9.99</v>
      </c>
      <c r="H98" s="7" t="str">
        <f t="shared" si="14"/>
        <v>¥68</v>
      </c>
      <c r="I98" s="7">
        <f t="shared" si="15"/>
        <v>10</v>
      </c>
      <c r="J98" s="7">
        <f t="shared" si="16"/>
        <v>680</v>
      </c>
      <c r="K98" s="7">
        <f t="shared" si="17"/>
        <v>680</v>
      </c>
      <c r="L98" s="8" t="str">
        <f t="shared" si="12"/>
        <v>[{Item,1,680}]</v>
      </c>
      <c r="M98" s="8"/>
      <c r="N98" s="4"/>
    </row>
    <row r="99" s="3" customFormat="1" spans="1:14">
      <c r="A99" s="7">
        <v>94</v>
      </c>
      <c r="B99" s="8" t="s">
        <v>224</v>
      </c>
      <c r="C99" s="8" t="s">
        <v>225</v>
      </c>
      <c r="D99" s="7">
        <v>176</v>
      </c>
      <c r="E99" s="9">
        <v>9.99</v>
      </c>
      <c r="F99" s="10">
        <v>68</v>
      </c>
      <c r="G99" s="7" t="str">
        <f t="shared" si="13"/>
        <v>$9.99</v>
      </c>
      <c r="H99" s="7" t="str">
        <f t="shared" si="14"/>
        <v>¥68</v>
      </c>
      <c r="I99" s="7">
        <f t="shared" si="15"/>
        <v>10</v>
      </c>
      <c r="J99" s="7">
        <f t="shared" si="16"/>
        <v>680</v>
      </c>
      <c r="K99" s="7">
        <f t="shared" si="17"/>
        <v>680</v>
      </c>
      <c r="L99" s="8" t="str">
        <f t="shared" si="12"/>
        <v>[{Item,1,680}]</v>
      </c>
      <c r="M99" s="8"/>
      <c r="N99" s="4"/>
    </row>
    <row r="100" s="3" customFormat="1" spans="1:14">
      <c r="A100" s="7">
        <v>95</v>
      </c>
      <c r="B100" s="8" t="s">
        <v>226</v>
      </c>
      <c r="C100" s="8" t="s">
        <v>227</v>
      </c>
      <c r="D100" s="7">
        <v>177</v>
      </c>
      <c r="E100" s="9">
        <v>9.99</v>
      </c>
      <c r="F100" s="10">
        <v>68</v>
      </c>
      <c r="G100" s="7" t="str">
        <f t="shared" si="13"/>
        <v>$9.99</v>
      </c>
      <c r="H100" s="7" t="str">
        <f t="shared" si="14"/>
        <v>¥68</v>
      </c>
      <c r="I100" s="7">
        <f t="shared" si="15"/>
        <v>10</v>
      </c>
      <c r="J100" s="7">
        <f t="shared" si="16"/>
        <v>680</v>
      </c>
      <c r="K100" s="7">
        <f t="shared" si="17"/>
        <v>680</v>
      </c>
      <c r="L100" s="8" t="str">
        <f t="shared" si="12"/>
        <v>[{Item,1,680}]</v>
      </c>
      <c r="M100" s="8"/>
      <c r="N100" s="4"/>
    </row>
    <row r="101" s="3" customFormat="1" spans="1:14">
      <c r="A101" s="7">
        <v>96</v>
      </c>
      <c r="B101" s="8" t="s">
        <v>228</v>
      </c>
      <c r="C101" s="8" t="s">
        <v>229</v>
      </c>
      <c r="D101" s="7">
        <v>178</v>
      </c>
      <c r="E101" s="9">
        <v>9.99</v>
      </c>
      <c r="F101" s="10">
        <v>68</v>
      </c>
      <c r="G101" s="7" t="str">
        <f t="shared" si="13"/>
        <v>$9.99</v>
      </c>
      <c r="H101" s="7" t="str">
        <f t="shared" si="14"/>
        <v>¥68</v>
      </c>
      <c r="I101" s="7">
        <f t="shared" si="15"/>
        <v>10</v>
      </c>
      <c r="J101" s="7">
        <f t="shared" si="16"/>
        <v>680</v>
      </c>
      <c r="K101" s="7">
        <f t="shared" si="17"/>
        <v>680</v>
      </c>
      <c r="L101" s="8" t="str">
        <f t="shared" si="12"/>
        <v>[{Item,1,680}]</v>
      </c>
      <c r="M101" s="8"/>
      <c r="N101" s="4"/>
    </row>
    <row r="102" s="3" customFormat="1" spans="1:14">
      <c r="A102" s="7">
        <v>97</v>
      </c>
      <c r="B102" s="8" t="s">
        <v>230</v>
      </c>
      <c r="C102" s="8" t="s">
        <v>231</v>
      </c>
      <c r="D102" s="7">
        <v>179</v>
      </c>
      <c r="E102" s="9">
        <v>9.99</v>
      </c>
      <c r="F102" s="10">
        <v>68</v>
      </c>
      <c r="G102" s="7" t="str">
        <f t="shared" si="13"/>
        <v>$9.99</v>
      </c>
      <c r="H102" s="7" t="str">
        <f t="shared" si="14"/>
        <v>¥68</v>
      </c>
      <c r="I102" s="7">
        <f t="shared" si="15"/>
        <v>10</v>
      </c>
      <c r="J102" s="7">
        <f t="shared" si="16"/>
        <v>680</v>
      </c>
      <c r="K102" s="7">
        <f t="shared" si="17"/>
        <v>680</v>
      </c>
      <c r="L102" s="8" t="str">
        <f t="shared" ref="L102:L110" si="18">$O$6&amp;J102&amp;$O$7</f>
        <v>[{Item,1,680}]</v>
      </c>
      <c r="M102" s="8"/>
      <c r="N102" s="4"/>
    </row>
    <row r="103" s="3" customFormat="1" spans="1:14">
      <c r="A103" s="7">
        <v>98</v>
      </c>
      <c r="B103" s="8" t="s">
        <v>232</v>
      </c>
      <c r="C103" s="8" t="s">
        <v>233</v>
      </c>
      <c r="D103" s="7">
        <v>180</v>
      </c>
      <c r="E103" s="9">
        <v>12.99</v>
      </c>
      <c r="F103" s="10">
        <v>88</v>
      </c>
      <c r="G103" s="7" t="str">
        <f t="shared" si="13"/>
        <v>$12.99</v>
      </c>
      <c r="H103" s="7" t="str">
        <f t="shared" si="14"/>
        <v>¥88</v>
      </c>
      <c r="I103" s="7">
        <f t="shared" si="15"/>
        <v>13</v>
      </c>
      <c r="J103" s="7">
        <f t="shared" si="16"/>
        <v>880</v>
      </c>
      <c r="K103" s="7">
        <f t="shared" si="17"/>
        <v>880</v>
      </c>
      <c r="L103" s="8" t="str">
        <f t="shared" si="18"/>
        <v>[{Item,1,880}]</v>
      </c>
      <c r="M103" s="8"/>
      <c r="N103" s="4"/>
    </row>
    <row r="104" s="3" customFormat="1" spans="1:14">
      <c r="A104" s="7">
        <v>99</v>
      </c>
      <c r="B104" s="8" t="s">
        <v>234</v>
      </c>
      <c r="C104" s="8" t="s">
        <v>235</v>
      </c>
      <c r="D104" s="7">
        <v>181</v>
      </c>
      <c r="E104" s="9">
        <v>12.99</v>
      </c>
      <c r="F104" s="10">
        <v>88</v>
      </c>
      <c r="G104" s="7" t="str">
        <f t="shared" si="13"/>
        <v>$12.99</v>
      </c>
      <c r="H104" s="7" t="str">
        <f t="shared" si="14"/>
        <v>¥88</v>
      </c>
      <c r="I104" s="7">
        <f t="shared" si="15"/>
        <v>13</v>
      </c>
      <c r="J104" s="7">
        <f t="shared" si="16"/>
        <v>880</v>
      </c>
      <c r="K104" s="7">
        <f t="shared" si="17"/>
        <v>880</v>
      </c>
      <c r="L104" s="8" t="str">
        <f t="shared" si="18"/>
        <v>[{Item,1,880}]</v>
      </c>
      <c r="M104" s="8"/>
      <c r="N104" s="4"/>
    </row>
    <row r="105" s="3" customFormat="1" spans="1:14">
      <c r="A105" s="7">
        <v>100</v>
      </c>
      <c r="B105" s="8" t="s">
        <v>236</v>
      </c>
      <c r="C105" s="8" t="s">
        <v>237</v>
      </c>
      <c r="D105" s="7">
        <v>182</v>
      </c>
      <c r="E105" s="9">
        <v>12.99</v>
      </c>
      <c r="F105" s="10">
        <v>88</v>
      </c>
      <c r="G105" s="7" t="str">
        <f t="shared" si="13"/>
        <v>$12.99</v>
      </c>
      <c r="H105" s="7" t="str">
        <f t="shared" si="14"/>
        <v>¥88</v>
      </c>
      <c r="I105" s="7">
        <f t="shared" si="15"/>
        <v>13</v>
      </c>
      <c r="J105" s="7">
        <f t="shared" si="16"/>
        <v>880</v>
      </c>
      <c r="K105" s="7">
        <f t="shared" si="17"/>
        <v>880</v>
      </c>
      <c r="L105" s="8" t="str">
        <f t="shared" si="18"/>
        <v>[{Item,1,880}]</v>
      </c>
      <c r="M105" s="8"/>
      <c r="N105" s="4"/>
    </row>
    <row r="106" s="3" customFormat="1" spans="1:14">
      <c r="A106" s="7">
        <v>101</v>
      </c>
      <c r="B106" s="8" t="s">
        <v>238</v>
      </c>
      <c r="C106" s="8" t="s">
        <v>239</v>
      </c>
      <c r="D106" s="7">
        <v>183</v>
      </c>
      <c r="E106" s="9">
        <v>12.99</v>
      </c>
      <c r="F106" s="10">
        <v>88</v>
      </c>
      <c r="G106" s="7" t="str">
        <f t="shared" si="13"/>
        <v>$12.99</v>
      </c>
      <c r="H106" s="7" t="str">
        <f t="shared" si="14"/>
        <v>¥88</v>
      </c>
      <c r="I106" s="7">
        <f t="shared" si="15"/>
        <v>13</v>
      </c>
      <c r="J106" s="7">
        <f t="shared" si="16"/>
        <v>880</v>
      </c>
      <c r="K106" s="7">
        <f t="shared" si="17"/>
        <v>880</v>
      </c>
      <c r="L106" s="8" t="str">
        <f t="shared" si="18"/>
        <v>[{Item,1,880}]</v>
      </c>
      <c r="M106" s="8"/>
      <c r="N106" s="4"/>
    </row>
    <row r="107" s="3" customFormat="1" spans="1:14">
      <c r="A107" s="7">
        <v>102</v>
      </c>
      <c r="B107" s="8" t="s">
        <v>240</v>
      </c>
      <c r="C107" s="8" t="s">
        <v>241</v>
      </c>
      <c r="D107" s="7">
        <v>184</v>
      </c>
      <c r="E107" s="9">
        <v>15.99</v>
      </c>
      <c r="F107" s="10">
        <v>108</v>
      </c>
      <c r="G107" s="7" t="str">
        <f t="shared" si="13"/>
        <v>$15.99</v>
      </c>
      <c r="H107" s="7" t="str">
        <f t="shared" si="14"/>
        <v>¥108</v>
      </c>
      <c r="I107" s="7">
        <f t="shared" si="15"/>
        <v>16</v>
      </c>
      <c r="J107" s="7">
        <f t="shared" si="16"/>
        <v>1080</v>
      </c>
      <c r="K107" s="7">
        <f t="shared" si="17"/>
        <v>1080</v>
      </c>
      <c r="L107" s="8" t="str">
        <f t="shared" si="18"/>
        <v>[{Item,1,1080}]</v>
      </c>
      <c r="M107" s="8"/>
      <c r="N107" s="4"/>
    </row>
    <row r="108" s="3" customFormat="1" spans="1:14">
      <c r="A108" s="7">
        <v>103</v>
      </c>
      <c r="B108" s="8" t="s">
        <v>242</v>
      </c>
      <c r="C108" s="8" t="s">
        <v>243</v>
      </c>
      <c r="D108" s="7">
        <v>185</v>
      </c>
      <c r="E108" s="9">
        <v>15.99</v>
      </c>
      <c r="F108" s="10">
        <v>108</v>
      </c>
      <c r="G108" s="7" t="str">
        <f t="shared" si="13"/>
        <v>$15.99</v>
      </c>
      <c r="H108" s="7" t="str">
        <f t="shared" si="14"/>
        <v>¥108</v>
      </c>
      <c r="I108" s="7">
        <f t="shared" si="15"/>
        <v>16</v>
      </c>
      <c r="J108" s="7">
        <f t="shared" si="16"/>
        <v>1080</v>
      </c>
      <c r="K108" s="7">
        <f t="shared" si="17"/>
        <v>1080</v>
      </c>
      <c r="L108" s="8" t="str">
        <f t="shared" si="18"/>
        <v>[{Item,1,1080}]</v>
      </c>
      <c r="M108" s="8"/>
      <c r="N108" s="4"/>
    </row>
    <row r="109" s="3" customFormat="1" spans="1:14">
      <c r="A109" s="7">
        <v>104</v>
      </c>
      <c r="B109" s="8" t="s">
        <v>244</v>
      </c>
      <c r="C109" s="8" t="s">
        <v>245</v>
      </c>
      <c r="D109" s="7">
        <v>186</v>
      </c>
      <c r="E109" s="9">
        <v>15.99</v>
      </c>
      <c r="F109" s="10">
        <v>108</v>
      </c>
      <c r="G109" s="7" t="str">
        <f t="shared" si="13"/>
        <v>$15.99</v>
      </c>
      <c r="H109" s="7" t="str">
        <f t="shared" si="14"/>
        <v>¥108</v>
      </c>
      <c r="I109" s="7">
        <f t="shared" si="15"/>
        <v>16</v>
      </c>
      <c r="J109" s="7">
        <f t="shared" si="16"/>
        <v>1080</v>
      </c>
      <c r="K109" s="7">
        <f t="shared" si="17"/>
        <v>1080</v>
      </c>
      <c r="L109" s="8" t="str">
        <f t="shared" si="18"/>
        <v>[{Item,1,1080}]</v>
      </c>
      <c r="M109" s="8"/>
      <c r="N109" s="4"/>
    </row>
    <row r="110" s="3" customFormat="1" spans="1:14">
      <c r="A110" s="7">
        <v>105</v>
      </c>
      <c r="B110" s="8" t="s">
        <v>246</v>
      </c>
      <c r="C110" s="8" t="s">
        <v>247</v>
      </c>
      <c r="D110" s="7">
        <v>187</v>
      </c>
      <c r="E110" s="9">
        <v>15.99</v>
      </c>
      <c r="F110" s="10">
        <v>108</v>
      </c>
      <c r="G110" s="7" t="str">
        <f t="shared" si="13"/>
        <v>$15.99</v>
      </c>
      <c r="H110" s="7" t="str">
        <f t="shared" si="14"/>
        <v>¥108</v>
      </c>
      <c r="I110" s="7">
        <f t="shared" si="15"/>
        <v>16</v>
      </c>
      <c r="J110" s="7">
        <f t="shared" si="16"/>
        <v>1080</v>
      </c>
      <c r="K110" s="7">
        <f t="shared" si="17"/>
        <v>1080</v>
      </c>
      <c r="L110" s="8" t="str">
        <f t="shared" si="18"/>
        <v>[{Item,1,1080}]</v>
      </c>
      <c r="M110" s="8"/>
      <c r="N110" s="4"/>
    </row>
    <row r="111" s="3" customFormat="1" spans="1:14">
      <c r="A111" s="7">
        <v>106</v>
      </c>
      <c r="B111" s="8" t="s">
        <v>248</v>
      </c>
      <c r="C111" s="8" t="s">
        <v>249</v>
      </c>
      <c r="D111" s="7">
        <v>188</v>
      </c>
      <c r="E111" s="9">
        <v>19.99</v>
      </c>
      <c r="F111" s="10">
        <v>128</v>
      </c>
      <c r="G111" s="7" t="str">
        <f t="shared" ref="G111:G125" si="19">"$"&amp;E111</f>
        <v>$19.99</v>
      </c>
      <c r="H111" s="7" t="str">
        <f t="shared" ref="H111:H125" si="20">"¥"&amp;F111</f>
        <v>¥128</v>
      </c>
      <c r="I111" s="7">
        <f t="shared" ref="I111:I125" si="21">ROUNDUP(E111,0)</f>
        <v>20</v>
      </c>
      <c r="J111" s="7">
        <f t="shared" ref="J111:J125" si="22">F111*10</f>
        <v>1280</v>
      </c>
      <c r="K111" s="7">
        <f t="shared" ref="K111:K125" si="23">F111*10</f>
        <v>1280</v>
      </c>
      <c r="L111" s="8" t="str">
        <f t="shared" ref="L111:L125" si="24">$O$6&amp;J111&amp;$O$7</f>
        <v>[{Item,1,1280}]</v>
      </c>
      <c r="M111" s="8"/>
      <c r="N111" s="4"/>
    </row>
    <row r="112" s="3" customFormat="1" spans="1:14">
      <c r="A112" s="7">
        <v>107</v>
      </c>
      <c r="B112" s="8" t="s">
        <v>250</v>
      </c>
      <c r="C112" s="8" t="s">
        <v>251</v>
      </c>
      <c r="D112" s="7">
        <v>189</v>
      </c>
      <c r="E112" s="9">
        <v>19.99</v>
      </c>
      <c r="F112" s="10">
        <v>128</v>
      </c>
      <c r="G112" s="7" t="str">
        <f t="shared" si="19"/>
        <v>$19.99</v>
      </c>
      <c r="H112" s="7" t="str">
        <f t="shared" si="20"/>
        <v>¥128</v>
      </c>
      <c r="I112" s="7">
        <f t="shared" si="21"/>
        <v>20</v>
      </c>
      <c r="J112" s="7">
        <f t="shared" si="22"/>
        <v>1280</v>
      </c>
      <c r="K112" s="7">
        <f t="shared" si="23"/>
        <v>1280</v>
      </c>
      <c r="L112" s="8" t="str">
        <f t="shared" si="24"/>
        <v>[{Item,1,1280}]</v>
      </c>
      <c r="M112" s="8"/>
      <c r="N112" s="4"/>
    </row>
    <row r="113" s="3" customFormat="1" spans="1:14">
      <c r="A113" s="7">
        <v>108</v>
      </c>
      <c r="B113" s="8" t="s">
        <v>252</v>
      </c>
      <c r="C113" s="8" t="s">
        <v>253</v>
      </c>
      <c r="D113" s="7">
        <v>190</v>
      </c>
      <c r="E113" s="9">
        <v>19.99</v>
      </c>
      <c r="F113" s="10">
        <v>128</v>
      </c>
      <c r="G113" s="7" t="str">
        <f t="shared" si="19"/>
        <v>$19.99</v>
      </c>
      <c r="H113" s="7" t="str">
        <f t="shared" si="20"/>
        <v>¥128</v>
      </c>
      <c r="I113" s="7">
        <f t="shared" si="21"/>
        <v>20</v>
      </c>
      <c r="J113" s="7">
        <f t="shared" si="22"/>
        <v>1280</v>
      </c>
      <c r="K113" s="7">
        <f t="shared" si="23"/>
        <v>1280</v>
      </c>
      <c r="L113" s="8" t="str">
        <f t="shared" si="24"/>
        <v>[{Item,1,1280}]</v>
      </c>
      <c r="M113" s="8"/>
      <c r="N113" s="4"/>
    </row>
    <row r="114" s="3" customFormat="1" spans="1:14">
      <c r="A114" s="7">
        <v>109</v>
      </c>
      <c r="B114" s="8" t="s">
        <v>254</v>
      </c>
      <c r="C114" s="8" t="s">
        <v>255</v>
      </c>
      <c r="D114" s="7">
        <v>191</v>
      </c>
      <c r="E114" s="9">
        <v>19.99</v>
      </c>
      <c r="F114" s="10">
        <v>128</v>
      </c>
      <c r="G114" s="7" t="str">
        <f t="shared" si="19"/>
        <v>$19.99</v>
      </c>
      <c r="H114" s="7" t="str">
        <f t="shared" si="20"/>
        <v>¥128</v>
      </c>
      <c r="I114" s="7">
        <f t="shared" si="21"/>
        <v>20</v>
      </c>
      <c r="J114" s="7">
        <f t="shared" si="22"/>
        <v>1280</v>
      </c>
      <c r="K114" s="7">
        <f t="shared" si="23"/>
        <v>1280</v>
      </c>
      <c r="L114" s="8" t="str">
        <f t="shared" si="24"/>
        <v>[{Item,1,1280}]</v>
      </c>
      <c r="M114" s="8"/>
      <c r="N114" s="4"/>
    </row>
    <row r="115" s="3" customFormat="1" spans="1:14">
      <c r="A115" s="7">
        <v>110</v>
      </c>
      <c r="B115" s="8" t="s">
        <v>256</v>
      </c>
      <c r="C115" s="8" t="s">
        <v>257</v>
      </c>
      <c r="D115" s="7">
        <v>192</v>
      </c>
      <c r="E115" s="9">
        <v>19.99</v>
      </c>
      <c r="F115" s="10">
        <v>128</v>
      </c>
      <c r="G115" s="7" t="str">
        <f t="shared" si="19"/>
        <v>$19.99</v>
      </c>
      <c r="H115" s="7" t="str">
        <f t="shared" si="20"/>
        <v>¥128</v>
      </c>
      <c r="I115" s="7">
        <f t="shared" si="21"/>
        <v>20</v>
      </c>
      <c r="J115" s="7">
        <f t="shared" si="22"/>
        <v>1280</v>
      </c>
      <c r="K115" s="7">
        <f t="shared" si="23"/>
        <v>1280</v>
      </c>
      <c r="L115" s="8" t="str">
        <f t="shared" si="24"/>
        <v>[{Item,1,1280}]</v>
      </c>
      <c r="M115" s="8"/>
      <c r="N115" s="4"/>
    </row>
    <row r="116" s="3" customFormat="1" spans="1:14">
      <c r="A116" s="7">
        <v>111</v>
      </c>
      <c r="B116" s="8" t="s">
        <v>258</v>
      </c>
      <c r="C116" s="8" t="s">
        <v>259</v>
      </c>
      <c r="D116" s="7">
        <v>193</v>
      </c>
      <c r="E116" s="9">
        <v>19.99</v>
      </c>
      <c r="F116" s="10">
        <v>128</v>
      </c>
      <c r="G116" s="7" t="str">
        <f t="shared" si="19"/>
        <v>$19.99</v>
      </c>
      <c r="H116" s="7" t="str">
        <f t="shared" si="20"/>
        <v>¥128</v>
      </c>
      <c r="I116" s="7">
        <f t="shared" si="21"/>
        <v>20</v>
      </c>
      <c r="J116" s="7">
        <f t="shared" si="22"/>
        <v>1280</v>
      </c>
      <c r="K116" s="7">
        <f t="shared" si="23"/>
        <v>1280</v>
      </c>
      <c r="L116" s="8" t="str">
        <f t="shared" si="24"/>
        <v>[{Item,1,1280}]</v>
      </c>
      <c r="M116" s="8"/>
      <c r="N116" s="4"/>
    </row>
    <row r="117" s="3" customFormat="1" spans="1:14">
      <c r="A117" s="7">
        <v>112</v>
      </c>
      <c r="B117" s="8" t="s">
        <v>260</v>
      </c>
      <c r="C117" s="8" t="s">
        <v>261</v>
      </c>
      <c r="D117" s="7">
        <v>194</v>
      </c>
      <c r="E117" s="9">
        <v>19.99</v>
      </c>
      <c r="F117" s="10">
        <v>128</v>
      </c>
      <c r="G117" s="7" t="str">
        <f t="shared" si="19"/>
        <v>$19.99</v>
      </c>
      <c r="H117" s="7" t="str">
        <f t="shared" si="20"/>
        <v>¥128</v>
      </c>
      <c r="I117" s="7">
        <f t="shared" si="21"/>
        <v>20</v>
      </c>
      <c r="J117" s="7">
        <f t="shared" si="22"/>
        <v>1280</v>
      </c>
      <c r="K117" s="7">
        <f t="shared" si="23"/>
        <v>1280</v>
      </c>
      <c r="L117" s="8" t="str">
        <f t="shared" si="24"/>
        <v>[{Item,1,1280}]</v>
      </c>
      <c r="M117" s="8"/>
      <c r="N117" s="4"/>
    </row>
    <row r="118" s="3" customFormat="1" spans="1:14">
      <c r="A118" s="7">
        <v>113</v>
      </c>
      <c r="B118" s="8" t="s">
        <v>262</v>
      </c>
      <c r="C118" s="8" t="s">
        <v>263</v>
      </c>
      <c r="D118" s="7">
        <v>195</v>
      </c>
      <c r="E118" s="9">
        <v>19.99</v>
      </c>
      <c r="F118" s="10">
        <v>128</v>
      </c>
      <c r="G118" s="7" t="str">
        <f t="shared" si="19"/>
        <v>$19.99</v>
      </c>
      <c r="H118" s="7" t="str">
        <f t="shared" si="20"/>
        <v>¥128</v>
      </c>
      <c r="I118" s="7">
        <f t="shared" si="21"/>
        <v>20</v>
      </c>
      <c r="J118" s="7">
        <f t="shared" si="22"/>
        <v>1280</v>
      </c>
      <c r="K118" s="7">
        <f t="shared" si="23"/>
        <v>1280</v>
      </c>
      <c r="L118" s="8" t="str">
        <f t="shared" si="24"/>
        <v>[{Item,1,1280}]</v>
      </c>
      <c r="M118" s="8"/>
      <c r="N118" s="4"/>
    </row>
    <row r="119" s="3" customFormat="1" spans="1:14">
      <c r="A119" s="7">
        <v>114</v>
      </c>
      <c r="B119" s="8" t="s">
        <v>264</v>
      </c>
      <c r="C119" s="8" t="s">
        <v>265</v>
      </c>
      <c r="D119" s="7">
        <v>196</v>
      </c>
      <c r="E119" s="9">
        <v>19.99</v>
      </c>
      <c r="F119" s="10">
        <v>128</v>
      </c>
      <c r="G119" s="7" t="str">
        <f t="shared" si="19"/>
        <v>$19.99</v>
      </c>
      <c r="H119" s="7" t="str">
        <f t="shared" si="20"/>
        <v>¥128</v>
      </c>
      <c r="I119" s="7">
        <f t="shared" si="21"/>
        <v>20</v>
      </c>
      <c r="J119" s="7">
        <f t="shared" si="22"/>
        <v>1280</v>
      </c>
      <c r="K119" s="7">
        <f t="shared" si="23"/>
        <v>1280</v>
      </c>
      <c r="L119" s="8" t="str">
        <f t="shared" si="24"/>
        <v>[{Item,1,1280}]</v>
      </c>
      <c r="M119" s="8"/>
      <c r="N119" s="4"/>
    </row>
    <row r="120" s="3" customFormat="1" spans="1:14">
      <c r="A120" s="7">
        <v>115</v>
      </c>
      <c r="B120" s="8" t="s">
        <v>266</v>
      </c>
      <c r="C120" s="8" t="s">
        <v>267</v>
      </c>
      <c r="D120" s="7">
        <v>197</v>
      </c>
      <c r="E120" s="9">
        <v>19.99</v>
      </c>
      <c r="F120" s="10">
        <v>128</v>
      </c>
      <c r="G120" s="7" t="str">
        <f t="shared" si="19"/>
        <v>$19.99</v>
      </c>
      <c r="H120" s="7" t="str">
        <f t="shared" si="20"/>
        <v>¥128</v>
      </c>
      <c r="I120" s="7">
        <f t="shared" si="21"/>
        <v>20</v>
      </c>
      <c r="J120" s="7">
        <f t="shared" si="22"/>
        <v>1280</v>
      </c>
      <c r="K120" s="7">
        <f t="shared" si="23"/>
        <v>1280</v>
      </c>
      <c r="L120" s="8" t="str">
        <f t="shared" si="24"/>
        <v>[{Item,1,1280}]</v>
      </c>
      <c r="M120" s="8"/>
      <c r="N120" s="4"/>
    </row>
    <row r="121" s="3" customFormat="1" spans="1:14">
      <c r="A121" s="7">
        <v>116</v>
      </c>
      <c r="B121" s="8" t="s">
        <v>268</v>
      </c>
      <c r="C121" s="8" t="s">
        <v>269</v>
      </c>
      <c r="D121" s="7">
        <v>198</v>
      </c>
      <c r="E121" s="9">
        <v>49.99</v>
      </c>
      <c r="F121" s="10">
        <v>328</v>
      </c>
      <c r="G121" s="7" t="str">
        <f t="shared" si="19"/>
        <v>$49.99</v>
      </c>
      <c r="H121" s="7" t="str">
        <f t="shared" si="20"/>
        <v>¥328</v>
      </c>
      <c r="I121" s="7">
        <f t="shared" si="21"/>
        <v>50</v>
      </c>
      <c r="J121" s="7">
        <f t="shared" si="22"/>
        <v>3280</v>
      </c>
      <c r="K121" s="7">
        <f t="shared" si="23"/>
        <v>3280</v>
      </c>
      <c r="L121" s="8" t="str">
        <f t="shared" si="24"/>
        <v>[{Item,1,3280}]</v>
      </c>
      <c r="M121" s="8"/>
      <c r="N121" s="4"/>
    </row>
    <row r="122" s="3" customFormat="1" spans="1:14">
      <c r="A122" s="7">
        <v>117</v>
      </c>
      <c r="B122" s="8" t="s">
        <v>270</v>
      </c>
      <c r="C122" s="8" t="s">
        <v>271</v>
      </c>
      <c r="D122" s="7">
        <v>199</v>
      </c>
      <c r="E122" s="9">
        <v>49.99</v>
      </c>
      <c r="F122" s="10">
        <v>328</v>
      </c>
      <c r="G122" s="7" t="str">
        <f t="shared" si="19"/>
        <v>$49.99</v>
      </c>
      <c r="H122" s="7" t="str">
        <f t="shared" si="20"/>
        <v>¥328</v>
      </c>
      <c r="I122" s="7">
        <f t="shared" si="21"/>
        <v>50</v>
      </c>
      <c r="J122" s="7">
        <f t="shared" si="22"/>
        <v>3280</v>
      </c>
      <c r="K122" s="7">
        <f t="shared" si="23"/>
        <v>3280</v>
      </c>
      <c r="L122" s="8" t="str">
        <f t="shared" si="24"/>
        <v>[{Item,1,3280}]</v>
      </c>
      <c r="M122" s="8"/>
      <c r="N122" s="4"/>
    </row>
    <row r="123" s="3" customFormat="1" spans="1:14">
      <c r="A123" s="7">
        <v>118</v>
      </c>
      <c r="B123" s="8" t="s">
        <v>272</v>
      </c>
      <c r="C123" s="8" t="s">
        <v>273</v>
      </c>
      <c r="D123" s="7">
        <v>200</v>
      </c>
      <c r="E123" s="9">
        <v>49.99</v>
      </c>
      <c r="F123" s="10">
        <v>328</v>
      </c>
      <c r="G123" s="7" t="str">
        <f t="shared" si="19"/>
        <v>$49.99</v>
      </c>
      <c r="H123" s="7" t="str">
        <f t="shared" si="20"/>
        <v>¥328</v>
      </c>
      <c r="I123" s="7">
        <f t="shared" si="21"/>
        <v>50</v>
      </c>
      <c r="J123" s="7">
        <f t="shared" si="22"/>
        <v>3280</v>
      </c>
      <c r="K123" s="7">
        <f t="shared" si="23"/>
        <v>3280</v>
      </c>
      <c r="L123" s="8" t="str">
        <f t="shared" si="24"/>
        <v>[{Item,1,3280}]</v>
      </c>
      <c r="M123" s="8"/>
      <c r="N123" s="4"/>
    </row>
    <row r="124" s="3" customFormat="1" spans="1:14">
      <c r="A124" s="7">
        <v>119</v>
      </c>
      <c r="B124" s="8" t="s">
        <v>274</v>
      </c>
      <c r="C124" s="8" t="s">
        <v>275</v>
      </c>
      <c r="D124" s="7">
        <v>201</v>
      </c>
      <c r="E124" s="9">
        <v>49.99</v>
      </c>
      <c r="F124" s="10">
        <v>328</v>
      </c>
      <c r="G124" s="7" t="str">
        <f t="shared" si="19"/>
        <v>$49.99</v>
      </c>
      <c r="H124" s="7" t="str">
        <f t="shared" si="20"/>
        <v>¥328</v>
      </c>
      <c r="I124" s="7">
        <f t="shared" si="21"/>
        <v>50</v>
      </c>
      <c r="J124" s="7">
        <f t="shared" si="22"/>
        <v>3280</v>
      </c>
      <c r="K124" s="7">
        <f t="shared" si="23"/>
        <v>3280</v>
      </c>
      <c r="L124" s="8" t="str">
        <f t="shared" si="24"/>
        <v>[{Item,1,3280}]</v>
      </c>
      <c r="M124" s="8"/>
      <c r="N124" s="4"/>
    </row>
    <row r="125" s="3" customFormat="1" spans="1:14">
      <c r="A125" s="7">
        <v>120</v>
      </c>
      <c r="B125" s="8" t="s">
        <v>276</v>
      </c>
      <c r="C125" s="8" t="s">
        <v>277</v>
      </c>
      <c r="D125" s="7">
        <v>202</v>
      </c>
      <c r="E125" s="9">
        <v>49.99</v>
      </c>
      <c r="F125" s="10">
        <v>328</v>
      </c>
      <c r="G125" s="7" t="str">
        <f t="shared" si="19"/>
        <v>$49.99</v>
      </c>
      <c r="H125" s="7" t="str">
        <f t="shared" si="20"/>
        <v>¥328</v>
      </c>
      <c r="I125" s="7">
        <f t="shared" si="21"/>
        <v>50</v>
      </c>
      <c r="J125" s="7">
        <f t="shared" si="22"/>
        <v>3280</v>
      </c>
      <c r="K125" s="7">
        <f t="shared" si="23"/>
        <v>3280</v>
      </c>
      <c r="L125" s="8" t="str">
        <f t="shared" si="24"/>
        <v>[{Item,1,3280}]</v>
      </c>
      <c r="M125" s="8"/>
      <c r="N125" s="4"/>
    </row>
  </sheetData>
  <conditionalFormatting sqref="C24">
    <cfRule type="duplicateValues" dxfId="0" priority="114"/>
  </conditionalFormatting>
  <conditionalFormatting sqref="C25">
    <cfRule type="duplicateValues" dxfId="0" priority="113"/>
  </conditionalFormatting>
  <conditionalFormatting sqref="C26">
    <cfRule type="duplicateValues" dxfId="0" priority="112"/>
  </conditionalFormatting>
  <conditionalFormatting sqref="C27">
    <cfRule type="duplicateValues" dxfId="0" priority="110"/>
  </conditionalFormatting>
  <conditionalFormatting sqref="C28">
    <cfRule type="duplicateValues" dxfId="0" priority="109"/>
  </conditionalFormatting>
  <conditionalFormatting sqref="C29">
    <cfRule type="duplicateValues" dxfId="0" priority="108"/>
  </conditionalFormatting>
  <conditionalFormatting sqref="C30">
    <cfRule type="duplicateValues" dxfId="0" priority="107"/>
  </conditionalFormatting>
  <conditionalFormatting sqref="C31">
    <cfRule type="duplicateValues" dxfId="0" priority="106"/>
  </conditionalFormatting>
  <conditionalFormatting sqref="C32">
    <cfRule type="duplicateValues" dxfId="0" priority="105"/>
  </conditionalFormatting>
  <conditionalFormatting sqref="C33">
    <cfRule type="duplicateValues" dxfId="0" priority="104"/>
  </conditionalFormatting>
  <conditionalFormatting sqref="C34">
    <cfRule type="duplicateValues" dxfId="0" priority="103"/>
  </conditionalFormatting>
  <conditionalFormatting sqref="C35">
    <cfRule type="duplicateValues" dxfId="0" priority="102"/>
  </conditionalFormatting>
  <conditionalFormatting sqref="C36">
    <cfRule type="duplicateValues" dxfId="0" priority="101"/>
  </conditionalFormatting>
  <conditionalFormatting sqref="C37">
    <cfRule type="duplicateValues" dxfId="0" priority="100"/>
  </conditionalFormatting>
  <conditionalFormatting sqref="C38">
    <cfRule type="duplicateValues" dxfId="0" priority="99"/>
  </conditionalFormatting>
  <conditionalFormatting sqref="C39">
    <cfRule type="duplicateValues" dxfId="0" priority="98"/>
  </conditionalFormatting>
  <conditionalFormatting sqref="C40">
    <cfRule type="duplicateValues" dxfId="0" priority="97"/>
  </conditionalFormatting>
  <conditionalFormatting sqref="C41">
    <cfRule type="duplicateValues" dxfId="0" priority="96"/>
  </conditionalFormatting>
  <conditionalFormatting sqref="C42">
    <cfRule type="duplicateValues" dxfId="0" priority="95"/>
  </conditionalFormatting>
  <conditionalFormatting sqref="C43">
    <cfRule type="duplicateValues" dxfId="0" priority="94"/>
  </conditionalFormatting>
  <conditionalFormatting sqref="C44">
    <cfRule type="duplicateValues" dxfId="0" priority="93"/>
  </conditionalFormatting>
  <conditionalFormatting sqref="C45">
    <cfRule type="duplicateValues" dxfId="0" priority="92"/>
  </conditionalFormatting>
  <conditionalFormatting sqref="C46">
    <cfRule type="duplicateValues" dxfId="0" priority="91"/>
  </conditionalFormatting>
  <conditionalFormatting sqref="C47">
    <cfRule type="duplicateValues" dxfId="0" priority="90"/>
  </conditionalFormatting>
  <conditionalFormatting sqref="C48">
    <cfRule type="duplicateValues" dxfId="0" priority="89"/>
  </conditionalFormatting>
  <conditionalFormatting sqref="C49">
    <cfRule type="duplicateValues" dxfId="0" priority="88"/>
  </conditionalFormatting>
  <conditionalFormatting sqref="C50">
    <cfRule type="duplicateValues" dxfId="0" priority="87"/>
  </conditionalFormatting>
  <conditionalFormatting sqref="C51">
    <cfRule type="duplicateValues" dxfId="0" priority="86"/>
  </conditionalFormatting>
  <conditionalFormatting sqref="C52">
    <cfRule type="duplicateValues" dxfId="0" priority="85"/>
  </conditionalFormatting>
  <conditionalFormatting sqref="C53">
    <cfRule type="duplicateValues" dxfId="0" priority="84"/>
  </conditionalFormatting>
  <conditionalFormatting sqref="C54">
    <cfRule type="duplicateValues" dxfId="0" priority="83"/>
  </conditionalFormatting>
  <conditionalFormatting sqref="C55">
    <cfRule type="duplicateValues" dxfId="0" priority="82"/>
  </conditionalFormatting>
  <conditionalFormatting sqref="C56">
    <cfRule type="duplicateValues" dxfId="0" priority="81"/>
  </conditionalFormatting>
  <conditionalFormatting sqref="C57">
    <cfRule type="duplicateValues" dxfId="0" priority="80"/>
  </conditionalFormatting>
  <conditionalFormatting sqref="C58">
    <cfRule type="duplicateValues" dxfId="0" priority="79"/>
  </conditionalFormatting>
  <conditionalFormatting sqref="C59">
    <cfRule type="duplicateValues" dxfId="0" priority="78"/>
  </conditionalFormatting>
  <conditionalFormatting sqref="C60">
    <cfRule type="duplicateValues" dxfId="0" priority="77"/>
  </conditionalFormatting>
  <conditionalFormatting sqref="C61">
    <cfRule type="duplicateValues" dxfId="0" priority="76"/>
  </conditionalFormatting>
  <conditionalFormatting sqref="C62">
    <cfRule type="duplicateValues" dxfId="0" priority="75"/>
  </conditionalFormatting>
  <conditionalFormatting sqref="C63">
    <cfRule type="duplicateValues" dxfId="0" priority="74"/>
  </conditionalFormatting>
  <conditionalFormatting sqref="C64">
    <cfRule type="duplicateValues" dxfId="0" priority="73"/>
  </conditionalFormatting>
  <conditionalFormatting sqref="C65">
    <cfRule type="duplicateValues" dxfId="0" priority="72"/>
  </conditionalFormatting>
  <conditionalFormatting sqref="C66">
    <cfRule type="duplicateValues" dxfId="0" priority="60"/>
  </conditionalFormatting>
  <conditionalFormatting sqref="C67">
    <cfRule type="duplicateValues" dxfId="0" priority="59"/>
  </conditionalFormatting>
  <conditionalFormatting sqref="C68">
    <cfRule type="duplicateValues" dxfId="0" priority="58"/>
  </conditionalFormatting>
  <conditionalFormatting sqref="C69">
    <cfRule type="duplicateValues" dxfId="0" priority="57"/>
  </conditionalFormatting>
  <conditionalFormatting sqref="C70">
    <cfRule type="duplicateValues" dxfId="0" priority="56"/>
  </conditionalFormatting>
  <conditionalFormatting sqref="C71">
    <cfRule type="duplicateValues" dxfId="0" priority="55"/>
  </conditionalFormatting>
  <conditionalFormatting sqref="C72">
    <cfRule type="duplicateValues" dxfId="0" priority="54"/>
  </conditionalFormatting>
  <conditionalFormatting sqref="C73">
    <cfRule type="duplicateValues" dxfId="0" priority="53"/>
  </conditionalFormatting>
  <conditionalFormatting sqref="C74">
    <cfRule type="duplicateValues" dxfId="0" priority="52"/>
  </conditionalFormatting>
  <conditionalFormatting sqref="C75">
    <cfRule type="duplicateValues" dxfId="0" priority="51"/>
  </conditionalFormatting>
  <conditionalFormatting sqref="C76">
    <cfRule type="duplicateValues" dxfId="0" priority="50"/>
  </conditionalFormatting>
  <conditionalFormatting sqref="C77">
    <cfRule type="duplicateValues" dxfId="0" priority="49"/>
  </conditionalFormatting>
  <conditionalFormatting sqref="C78">
    <cfRule type="duplicateValues" dxfId="0" priority="48"/>
  </conditionalFormatting>
  <conditionalFormatting sqref="C79">
    <cfRule type="duplicateValues" dxfId="0" priority="47"/>
  </conditionalFormatting>
  <conditionalFormatting sqref="C80">
    <cfRule type="duplicateValues" dxfId="0" priority="46"/>
  </conditionalFormatting>
  <conditionalFormatting sqref="C81">
    <cfRule type="duplicateValues" dxfId="0" priority="45"/>
  </conditionalFormatting>
  <conditionalFormatting sqref="C82">
    <cfRule type="duplicateValues" dxfId="0" priority="44"/>
  </conditionalFormatting>
  <conditionalFormatting sqref="C83">
    <cfRule type="duplicateValues" dxfId="0" priority="43"/>
  </conditionalFormatting>
  <conditionalFormatting sqref="C84">
    <cfRule type="duplicateValues" dxfId="0" priority="42"/>
  </conditionalFormatting>
  <conditionalFormatting sqref="C85">
    <cfRule type="duplicateValues" dxfId="0" priority="41"/>
  </conditionalFormatting>
  <conditionalFormatting sqref="C86">
    <cfRule type="duplicateValues" dxfId="0" priority="40"/>
  </conditionalFormatting>
  <conditionalFormatting sqref="C87">
    <cfRule type="duplicateValues" dxfId="0" priority="39"/>
  </conditionalFormatting>
  <conditionalFormatting sqref="C88">
    <cfRule type="duplicateValues" dxfId="0" priority="38"/>
  </conditionalFormatting>
  <conditionalFormatting sqref="C89">
    <cfRule type="duplicateValues" dxfId="0" priority="37"/>
  </conditionalFormatting>
  <conditionalFormatting sqref="C90">
    <cfRule type="duplicateValues" dxfId="0" priority="36"/>
  </conditionalFormatting>
  <conditionalFormatting sqref="C91">
    <cfRule type="duplicateValues" dxfId="0" priority="35"/>
  </conditionalFormatting>
  <conditionalFormatting sqref="C92">
    <cfRule type="duplicateValues" dxfId="0" priority="34"/>
  </conditionalFormatting>
  <conditionalFormatting sqref="C93">
    <cfRule type="duplicateValues" dxfId="0" priority="33"/>
  </conditionalFormatting>
  <conditionalFormatting sqref="C94">
    <cfRule type="duplicateValues" dxfId="0" priority="32"/>
  </conditionalFormatting>
  <conditionalFormatting sqref="C95">
    <cfRule type="duplicateValues" dxfId="0" priority="31"/>
  </conditionalFormatting>
  <conditionalFormatting sqref="C96">
    <cfRule type="duplicateValues" dxfId="0" priority="30"/>
  </conditionalFormatting>
  <conditionalFormatting sqref="C97">
    <cfRule type="duplicateValues" dxfId="0" priority="29"/>
  </conditionalFormatting>
  <conditionalFormatting sqref="C98">
    <cfRule type="duplicateValues" dxfId="0" priority="28"/>
  </conditionalFormatting>
  <conditionalFormatting sqref="C99">
    <cfRule type="duplicateValues" dxfId="0" priority="27"/>
  </conditionalFormatting>
  <conditionalFormatting sqref="C100">
    <cfRule type="duplicateValues" dxfId="0" priority="26"/>
  </conditionalFormatting>
  <conditionalFormatting sqref="C101">
    <cfRule type="duplicateValues" dxfId="0" priority="25"/>
  </conditionalFormatting>
  <conditionalFormatting sqref="C102">
    <cfRule type="duplicateValues" dxfId="0" priority="24"/>
  </conditionalFormatting>
  <conditionalFormatting sqref="C103">
    <cfRule type="duplicateValues" dxfId="0" priority="23"/>
  </conditionalFormatting>
  <conditionalFormatting sqref="C104">
    <cfRule type="duplicateValues" dxfId="0" priority="22"/>
  </conditionalFormatting>
  <conditionalFormatting sqref="C105">
    <cfRule type="duplicateValues" dxfId="0" priority="21"/>
  </conditionalFormatting>
  <conditionalFormatting sqref="C106">
    <cfRule type="duplicateValues" dxfId="0" priority="20"/>
  </conditionalFormatting>
  <conditionalFormatting sqref="C107">
    <cfRule type="duplicateValues" dxfId="0" priority="19"/>
  </conditionalFormatting>
  <conditionalFormatting sqref="C108">
    <cfRule type="duplicateValues" dxfId="0" priority="18"/>
  </conditionalFormatting>
  <conditionalFormatting sqref="C109">
    <cfRule type="duplicateValues" dxfId="0" priority="17"/>
  </conditionalFormatting>
  <conditionalFormatting sqref="C110">
    <cfRule type="duplicateValues" dxfId="0" priority="16"/>
  </conditionalFormatting>
  <conditionalFormatting sqref="C111">
    <cfRule type="duplicateValues" dxfId="0" priority="15"/>
  </conditionalFormatting>
  <conditionalFormatting sqref="C112">
    <cfRule type="duplicateValues" dxfId="0" priority="14"/>
  </conditionalFormatting>
  <conditionalFormatting sqref="C113">
    <cfRule type="duplicateValues" dxfId="0" priority="13"/>
  </conditionalFormatting>
  <conditionalFormatting sqref="C114">
    <cfRule type="duplicateValues" dxfId="0" priority="12"/>
  </conditionalFormatting>
  <conditionalFormatting sqref="C115">
    <cfRule type="duplicateValues" dxfId="0" priority="11"/>
  </conditionalFormatting>
  <conditionalFormatting sqref="C116">
    <cfRule type="duplicateValues" dxfId="0" priority="10"/>
  </conditionalFormatting>
  <conditionalFormatting sqref="C117">
    <cfRule type="duplicateValues" dxfId="0" priority="9"/>
  </conditionalFormatting>
  <conditionalFormatting sqref="C118">
    <cfRule type="duplicateValues" dxfId="0" priority="8"/>
  </conditionalFormatting>
  <conditionalFormatting sqref="C119">
    <cfRule type="duplicateValues" dxfId="0" priority="7"/>
  </conditionalFormatting>
  <conditionalFormatting sqref="C120">
    <cfRule type="duplicateValues" dxfId="0" priority="6"/>
  </conditionalFormatting>
  <conditionalFormatting sqref="C121">
    <cfRule type="duplicateValues" dxfId="0" priority="5"/>
  </conditionalFormatting>
  <conditionalFormatting sqref="C122">
    <cfRule type="duplicateValues" dxfId="0" priority="4"/>
  </conditionalFormatting>
  <conditionalFormatting sqref="C123">
    <cfRule type="duplicateValues" dxfId="0" priority="3"/>
  </conditionalFormatting>
  <conditionalFormatting sqref="C124">
    <cfRule type="duplicateValues" dxfId="0" priority="2"/>
  </conditionalFormatting>
  <conditionalFormatting sqref="C125">
    <cfRule type="duplicateValues" dxfId="0" priority="1"/>
  </conditionalFormatting>
  <conditionalFormatting sqref="C1 C126:C1048576 C3:C23">
    <cfRule type="duplicateValues" dxfId="0" priority="149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4"/>
  <sheetViews>
    <sheetView workbookViewId="0">
      <selection activeCell="A1" sqref="A$1:A$1048576"/>
    </sheetView>
  </sheetViews>
  <sheetFormatPr defaultColWidth="9" defaultRowHeight="14.25" outlineLevelCol="1"/>
  <sheetData>
    <row r="1" ht="15" spans="1:2">
      <c r="A1" s="1">
        <v>0.99</v>
      </c>
      <c r="B1" s="1">
        <v>6</v>
      </c>
    </row>
    <row r="2" ht="15" spans="1:2">
      <c r="A2" s="1">
        <v>1.99</v>
      </c>
      <c r="B2" s="1">
        <v>12</v>
      </c>
    </row>
    <row r="3" ht="15" spans="1:2">
      <c r="A3" s="1">
        <v>2.99</v>
      </c>
      <c r="B3" s="1">
        <v>18</v>
      </c>
    </row>
    <row r="4" ht="15" spans="1:2">
      <c r="A4" s="1">
        <v>3.99</v>
      </c>
      <c r="B4" s="1">
        <v>25</v>
      </c>
    </row>
    <row r="5" ht="15" spans="1:2">
      <c r="A5" s="1">
        <v>4.99</v>
      </c>
      <c r="B5" s="1">
        <v>30</v>
      </c>
    </row>
    <row r="6" ht="15" spans="1:2">
      <c r="A6" s="1">
        <v>5.99</v>
      </c>
      <c r="B6" s="1">
        <v>40</v>
      </c>
    </row>
    <row r="7" ht="15" spans="1:2">
      <c r="A7" s="1">
        <v>6.99</v>
      </c>
      <c r="B7" s="1">
        <v>45</v>
      </c>
    </row>
    <row r="8" ht="15" spans="1:2">
      <c r="A8" s="1">
        <v>7.99</v>
      </c>
      <c r="B8" s="1">
        <v>50</v>
      </c>
    </row>
    <row r="9" ht="15" spans="1:2">
      <c r="A9" s="1">
        <v>8.99</v>
      </c>
      <c r="B9" s="1">
        <v>60</v>
      </c>
    </row>
    <row r="10" ht="15" spans="1:2">
      <c r="A10" s="1">
        <v>9.99</v>
      </c>
      <c r="B10" s="1">
        <v>68</v>
      </c>
    </row>
    <row r="11" ht="15" spans="1:2">
      <c r="A11" s="1">
        <v>10.99</v>
      </c>
      <c r="B11" s="1">
        <v>73</v>
      </c>
    </row>
    <row r="12" ht="15" spans="1:2">
      <c r="A12" s="1">
        <v>11.99</v>
      </c>
      <c r="B12" s="1">
        <v>78</v>
      </c>
    </row>
    <row r="13" ht="15" spans="1:2">
      <c r="A13" s="1">
        <v>12.99</v>
      </c>
      <c r="B13" s="1">
        <v>88</v>
      </c>
    </row>
    <row r="14" ht="15" spans="1:2">
      <c r="A14" s="1">
        <v>13.99</v>
      </c>
      <c r="B14" s="1">
        <v>93</v>
      </c>
    </row>
    <row r="15" ht="15" spans="1:2">
      <c r="A15" s="1">
        <v>14.99</v>
      </c>
      <c r="B15" s="1">
        <v>98</v>
      </c>
    </row>
    <row r="16" ht="15" spans="1:2">
      <c r="A16" s="1">
        <v>15.99</v>
      </c>
      <c r="B16" s="1">
        <v>108</v>
      </c>
    </row>
    <row r="17" ht="15" spans="1:2">
      <c r="A17" s="1">
        <v>16.99</v>
      </c>
      <c r="B17" s="1">
        <v>113</v>
      </c>
    </row>
    <row r="18" ht="15" spans="1:2">
      <c r="A18" s="1">
        <v>17.99</v>
      </c>
      <c r="B18" s="1">
        <v>118</v>
      </c>
    </row>
    <row r="19" ht="15" spans="1:2">
      <c r="A19" s="1">
        <v>18.99</v>
      </c>
      <c r="B19" s="1">
        <v>123</v>
      </c>
    </row>
    <row r="20" ht="15" spans="1:2">
      <c r="A20" s="1">
        <v>19.99</v>
      </c>
      <c r="B20" s="1">
        <v>128</v>
      </c>
    </row>
    <row r="21" ht="15" spans="1:2">
      <c r="A21" s="1">
        <v>20.99</v>
      </c>
      <c r="B21" s="1">
        <v>138</v>
      </c>
    </row>
    <row r="22" ht="15" spans="1:2">
      <c r="A22" s="1">
        <v>21.99</v>
      </c>
      <c r="B22" s="1">
        <v>148</v>
      </c>
    </row>
    <row r="23" ht="15" spans="1:2">
      <c r="A23" s="1">
        <v>22.99</v>
      </c>
      <c r="B23" s="1">
        <v>153</v>
      </c>
    </row>
    <row r="24" ht="15" spans="1:2">
      <c r="A24" s="1">
        <v>23.99</v>
      </c>
      <c r="B24" s="1">
        <v>158</v>
      </c>
    </row>
    <row r="25" ht="15" spans="1:2">
      <c r="A25" s="1">
        <v>24.99</v>
      </c>
      <c r="B25" s="1">
        <v>163</v>
      </c>
    </row>
    <row r="26" ht="15" spans="1:2">
      <c r="A26" s="1">
        <v>25.99</v>
      </c>
      <c r="B26" s="1">
        <v>168</v>
      </c>
    </row>
    <row r="27" ht="15" spans="1:2">
      <c r="A27" s="1">
        <v>26.99</v>
      </c>
      <c r="B27" s="1">
        <v>178</v>
      </c>
    </row>
    <row r="28" ht="15" spans="1:2">
      <c r="A28" s="1">
        <v>27.99</v>
      </c>
      <c r="B28" s="1">
        <v>188</v>
      </c>
    </row>
    <row r="29" ht="15" spans="1:2">
      <c r="A29" s="1">
        <v>28.99</v>
      </c>
      <c r="B29" s="1">
        <v>193</v>
      </c>
    </row>
    <row r="30" ht="15" spans="1:2">
      <c r="A30" s="1">
        <v>29.99</v>
      </c>
      <c r="B30" s="1">
        <v>198</v>
      </c>
    </row>
    <row r="31" ht="15" spans="1:2">
      <c r="A31" s="1">
        <v>30.99</v>
      </c>
      <c r="B31" s="1">
        <v>208</v>
      </c>
    </row>
    <row r="32" ht="15" spans="1:2">
      <c r="A32" s="1">
        <v>31.99</v>
      </c>
      <c r="B32" s="1">
        <v>218</v>
      </c>
    </row>
    <row r="33" ht="15" spans="1:2">
      <c r="A33" s="1">
        <v>32.99</v>
      </c>
      <c r="B33" s="1">
        <v>223</v>
      </c>
    </row>
    <row r="34" ht="15" spans="1:2">
      <c r="A34" s="1">
        <v>33.99</v>
      </c>
      <c r="B34" s="1">
        <v>228</v>
      </c>
    </row>
    <row r="35" ht="15" spans="1:2">
      <c r="A35" s="1">
        <v>34.99</v>
      </c>
      <c r="B35" s="1">
        <v>233</v>
      </c>
    </row>
    <row r="36" ht="15" spans="1:2">
      <c r="A36" s="1">
        <v>35.99</v>
      </c>
      <c r="B36" s="1">
        <v>238</v>
      </c>
    </row>
    <row r="37" ht="15" spans="1:2">
      <c r="A37" s="1">
        <v>36.99</v>
      </c>
      <c r="B37" s="1">
        <v>243</v>
      </c>
    </row>
    <row r="38" ht="15" spans="1:2">
      <c r="A38" s="1">
        <v>37.99</v>
      </c>
      <c r="B38" s="1">
        <v>248</v>
      </c>
    </row>
    <row r="39" ht="15" spans="1:2">
      <c r="A39" s="1">
        <v>38.99</v>
      </c>
      <c r="B39" s="1">
        <v>253</v>
      </c>
    </row>
    <row r="40" ht="15" spans="1:2">
      <c r="A40" s="1">
        <v>39.99</v>
      </c>
      <c r="B40" s="1">
        <v>258</v>
      </c>
    </row>
    <row r="41" ht="15" spans="1:2">
      <c r="A41" s="1">
        <v>40.99</v>
      </c>
      <c r="B41" s="1">
        <v>263</v>
      </c>
    </row>
    <row r="42" ht="15" spans="1:2">
      <c r="A42" s="1">
        <v>41.99</v>
      </c>
      <c r="B42" s="1">
        <v>268</v>
      </c>
    </row>
    <row r="43" ht="15" spans="1:2">
      <c r="A43" s="1">
        <v>42.99</v>
      </c>
      <c r="B43" s="1">
        <v>273</v>
      </c>
    </row>
    <row r="44" ht="15" spans="1:2">
      <c r="A44" s="1">
        <v>43.99</v>
      </c>
      <c r="B44" s="1">
        <v>278</v>
      </c>
    </row>
    <row r="45" ht="15" spans="1:2">
      <c r="A45" s="1">
        <v>44.99</v>
      </c>
      <c r="B45" s="1">
        <v>283</v>
      </c>
    </row>
    <row r="46" ht="15" spans="1:2">
      <c r="A46" s="1">
        <v>45.99</v>
      </c>
      <c r="B46" s="1">
        <v>288</v>
      </c>
    </row>
    <row r="47" ht="15" spans="1:2">
      <c r="A47" s="1">
        <v>46.99</v>
      </c>
      <c r="B47" s="1">
        <v>298</v>
      </c>
    </row>
    <row r="48" ht="15" spans="1:2">
      <c r="A48" s="1">
        <v>47.99</v>
      </c>
      <c r="B48" s="1">
        <v>308</v>
      </c>
    </row>
    <row r="49" ht="15" spans="1:2">
      <c r="A49" s="1">
        <v>48.99</v>
      </c>
      <c r="B49" s="1">
        <v>318</v>
      </c>
    </row>
    <row r="50" ht="15" spans="1:2">
      <c r="A50" s="1">
        <v>49.99</v>
      </c>
      <c r="B50" s="1">
        <v>328</v>
      </c>
    </row>
    <row r="51" ht="15" spans="1:2">
      <c r="A51" s="1">
        <v>54.99</v>
      </c>
      <c r="B51" s="1">
        <v>348</v>
      </c>
    </row>
    <row r="52" ht="15" spans="1:2">
      <c r="A52" s="1">
        <v>59.99</v>
      </c>
      <c r="B52" s="1">
        <v>388</v>
      </c>
    </row>
    <row r="53" ht="15" spans="1:2">
      <c r="A53" s="1">
        <v>64.99</v>
      </c>
      <c r="B53" s="1">
        <v>418</v>
      </c>
    </row>
    <row r="54" ht="15" spans="1:2">
      <c r="A54" s="1">
        <v>69.99</v>
      </c>
      <c r="B54" s="1">
        <v>448</v>
      </c>
    </row>
    <row r="55" ht="15" spans="1:2">
      <c r="A55" s="1">
        <v>74.99</v>
      </c>
      <c r="B55" s="1">
        <v>488</v>
      </c>
    </row>
    <row r="56" ht="15" spans="1:2">
      <c r="A56" s="1">
        <v>79.99</v>
      </c>
      <c r="B56" s="1">
        <v>518</v>
      </c>
    </row>
    <row r="57" ht="15" spans="1:2">
      <c r="A57" s="1">
        <v>84.99</v>
      </c>
      <c r="B57" s="1">
        <v>548</v>
      </c>
    </row>
    <row r="58" ht="15" spans="1:2">
      <c r="A58" s="1">
        <v>89.99</v>
      </c>
      <c r="B58" s="1">
        <v>588</v>
      </c>
    </row>
    <row r="59" ht="15" spans="1:2">
      <c r="A59" s="1">
        <v>94.99</v>
      </c>
      <c r="B59" s="1">
        <v>618</v>
      </c>
    </row>
    <row r="60" ht="15" spans="1:2">
      <c r="A60" s="1">
        <v>99.99</v>
      </c>
      <c r="B60" s="1">
        <v>648</v>
      </c>
    </row>
    <row r="61" ht="15" spans="1:2">
      <c r="A61" s="1">
        <v>109.99</v>
      </c>
      <c r="B61" s="1">
        <v>698</v>
      </c>
    </row>
    <row r="62" ht="15" spans="1:2">
      <c r="A62" s="1">
        <v>119.99</v>
      </c>
      <c r="B62" s="1">
        <v>798</v>
      </c>
    </row>
    <row r="63" ht="15" spans="1:2">
      <c r="A63" s="1">
        <v>124.99</v>
      </c>
      <c r="B63" s="1">
        <v>818</v>
      </c>
    </row>
    <row r="64" ht="15" spans="1:2">
      <c r="A64" s="1">
        <v>129.99</v>
      </c>
      <c r="B64" s="1">
        <v>848</v>
      </c>
    </row>
    <row r="65" ht="15" spans="1:2">
      <c r="A65" s="1">
        <v>139.99</v>
      </c>
      <c r="B65" s="1">
        <v>898</v>
      </c>
    </row>
    <row r="66" ht="15" spans="1:2">
      <c r="A66" s="1">
        <v>149.99</v>
      </c>
      <c r="B66" s="1">
        <v>998</v>
      </c>
    </row>
    <row r="67" ht="15" spans="1:2">
      <c r="A67" s="1">
        <v>159.99</v>
      </c>
      <c r="B67" s="1">
        <v>1048</v>
      </c>
    </row>
    <row r="68" ht="15" spans="1:2">
      <c r="A68" s="1">
        <v>169.99</v>
      </c>
      <c r="B68" s="1">
        <v>1098</v>
      </c>
    </row>
    <row r="69" ht="15" spans="1:2">
      <c r="A69" s="1">
        <v>174.99</v>
      </c>
      <c r="B69" s="1">
        <v>1148</v>
      </c>
    </row>
    <row r="70" ht="15" spans="1:2">
      <c r="A70" s="1">
        <v>179.99</v>
      </c>
      <c r="B70" s="1">
        <v>1198</v>
      </c>
    </row>
    <row r="71" ht="15" spans="1:2">
      <c r="A71" s="1">
        <v>189.99</v>
      </c>
      <c r="B71" s="1">
        <v>1248</v>
      </c>
    </row>
    <row r="72" ht="15" spans="1:2">
      <c r="A72" s="1">
        <v>199.99</v>
      </c>
      <c r="B72" s="1">
        <v>1298</v>
      </c>
    </row>
    <row r="73" ht="15" spans="1:2">
      <c r="A73" s="1">
        <v>209.99</v>
      </c>
      <c r="B73" s="1">
        <v>1398</v>
      </c>
    </row>
    <row r="74" ht="15" spans="1:2">
      <c r="A74" s="1">
        <v>219.99</v>
      </c>
      <c r="B74" s="1">
        <v>1448</v>
      </c>
    </row>
    <row r="75" ht="15" spans="1:2">
      <c r="A75" s="1">
        <v>229.99</v>
      </c>
      <c r="B75" s="1">
        <v>1498</v>
      </c>
    </row>
    <row r="76" ht="15" spans="1:2">
      <c r="A76" s="1">
        <v>239.99</v>
      </c>
      <c r="B76" s="1">
        <v>1598</v>
      </c>
    </row>
    <row r="77" ht="15" spans="1:2">
      <c r="A77" s="1">
        <v>249.99</v>
      </c>
      <c r="B77" s="1">
        <v>1648</v>
      </c>
    </row>
    <row r="78" ht="15" spans="1:2">
      <c r="A78" s="1">
        <v>299.99</v>
      </c>
      <c r="B78" s="1">
        <v>1998</v>
      </c>
    </row>
    <row r="79" ht="15" spans="1:2">
      <c r="A79" s="1">
        <v>349.99</v>
      </c>
      <c r="B79" s="1">
        <v>2298</v>
      </c>
    </row>
    <row r="80" ht="15" spans="1:2">
      <c r="A80" s="1">
        <v>399.99</v>
      </c>
      <c r="B80" s="1">
        <v>2598</v>
      </c>
    </row>
    <row r="81" ht="15" spans="1:2">
      <c r="A81" s="1">
        <v>449.99</v>
      </c>
      <c r="B81" s="1">
        <v>2998</v>
      </c>
    </row>
    <row r="82" ht="15" spans="1:2">
      <c r="A82" s="1">
        <v>499.99</v>
      </c>
      <c r="B82" s="1">
        <v>3298</v>
      </c>
    </row>
    <row r="83" ht="15" spans="1:2">
      <c r="A83" s="1">
        <v>599.99</v>
      </c>
      <c r="B83" s="1">
        <v>3998</v>
      </c>
    </row>
    <row r="84" ht="15" spans="1:2">
      <c r="A84" s="1">
        <v>699.99</v>
      </c>
      <c r="B84" s="1">
        <v>4498</v>
      </c>
    </row>
    <row r="85" ht="15" spans="1:2">
      <c r="A85" s="1">
        <v>799.99</v>
      </c>
      <c r="B85" s="1">
        <v>4998</v>
      </c>
    </row>
    <row r="86" ht="15" spans="1:2">
      <c r="A86" s="1">
        <v>899.99</v>
      </c>
      <c r="B86" s="1">
        <v>5898</v>
      </c>
    </row>
    <row r="87" ht="15" spans="1:2">
      <c r="A87" s="1">
        <v>999.99</v>
      </c>
      <c r="B87" s="1">
        <v>6498</v>
      </c>
    </row>
    <row r="88" ht="15" spans="1:2">
      <c r="A88" s="1">
        <v>0.99</v>
      </c>
      <c r="B88" s="1">
        <v>1</v>
      </c>
    </row>
    <row r="89" ht="15" spans="1:2">
      <c r="A89" s="1">
        <v>0.99</v>
      </c>
      <c r="B89" s="1">
        <v>3</v>
      </c>
    </row>
    <row r="90" ht="15" spans="1:2">
      <c r="A90" s="1">
        <v>0.99</v>
      </c>
      <c r="B90" s="1">
        <v>8</v>
      </c>
    </row>
    <row r="91" ht="15" spans="1:2">
      <c r="A91" s="1">
        <v>1.99</v>
      </c>
      <c r="B91" s="1">
        <v>12</v>
      </c>
    </row>
    <row r="92" ht="15" spans="1:2">
      <c r="A92" s="1">
        <v>2.99</v>
      </c>
      <c r="B92" s="1">
        <v>18</v>
      </c>
    </row>
    <row r="93" ht="15" spans="1:2">
      <c r="A93" s="1">
        <v>3.99</v>
      </c>
      <c r="B93" s="1">
        <v>28</v>
      </c>
    </row>
    <row r="94" ht="15" spans="1:2">
      <c r="A94" s="1">
        <v>4.99</v>
      </c>
      <c r="B94" s="1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cp:revision>1</cp:revision>
  <dcterms:created xsi:type="dcterms:W3CDTF">2016-08-27T17:45:00Z</dcterms:created>
  <dcterms:modified xsi:type="dcterms:W3CDTF">2024-08-20T07:06:12Z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6EF40EB6E85E4DEA9B839F9406B770AA</vt:lpwstr>
  </property>
  <property fmtid="{D5CDD505-2E9C-101B-9397-08002B2CF9AE}" pid="4" name="KSOReadingLayout">
    <vt:bool>true</vt:bool>
  </property>
</Properties>
</file>