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68943F2B-0EAF-443C-83BF-AAA0980BB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Sheet1!$A$5:$Q$187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1" i="2" l="1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zx_yang</author>
    <author>droidhang</author>
    <author>ph_li</author>
  </authors>
  <commentList>
    <comment ref="F1" authorId="0" shapeId="0" xr:uid="{00000000-0006-0000-0000-000001000000}">
      <text>
        <r>
          <rPr>
            <sz val="9"/>
            <rFont val="宋体"/>
            <family val="3"/>
            <charset val="134"/>
          </rPr>
          <t>chenjiahui：对应skiil表id，用于实现技能的具体效果</t>
        </r>
      </text>
    </comment>
    <comment ref="H1" authorId="0" shapeId="0" xr:uid="{00000000-0006-0000-0000-000002000000}">
      <text>
        <r>
          <rPr>
            <sz val="9"/>
            <rFont val="宋体"/>
            <family val="3"/>
            <charset val="134"/>
          </rPr>
          <t>chenjiahui：用于点击技能语言，对应equipModel表id</t>
        </r>
      </text>
    </comment>
    <comment ref="I1" authorId="0" shapeId="0" xr:uid="{00000000-0006-0000-0000-000003000000}">
      <text>
        <r>
          <rPr>
            <sz val="9"/>
            <rFont val="宋体"/>
            <family val="3"/>
            <charset val="134"/>
          </rPr>
          <t>chenjiahui：
0：保底技能
1：装备默认技能
2：装备战斗中随机技能，并且会显示在详情列表
3.装备初始双形态被动，不会在战斗中随机
4.解锁双形态天赋，不会在战斗中随机</t>
        </r>
      </text>
    </comment>
    <comment ref="K1" authorId="0" shapeId="0" xr:uid="{00000000-0006-0000-0000-000004000000}">
      <text>
        <r>
          <rPr>
            <sz val="9"/>
            <rFont val="宋体"/>
            <family val="3"/>
            <charset val="134"/>
          </rPr>
          <t>chenjiahui：
解锁后需要在战斗中的卡池哭去除掉
只能配解锁后的技能与某某技能互斥，需要删除的技能id</t>
        </r>
      </text>
    </comment>
    <comment ref="L1" authorId="0" shapeId="0" xr:uid="{00000000-0006-0000-0000-000005000000}">
      <text>
        <r>
          <rPr>
            <sz val="9"/>
            <rFont val="宋体"/>
            <family val="3"/>
            <charset val="134"/>
          </rPr>
          <t>chenjiahui：
局外武器等级id</t>
        </r>
      </text>
    </comment>
    <comment ref="M1" authorId="0" shapeId="0" xr:uid="{00000000-0006-0000-0000-000006000000}">
      <text>
        <r>
          <rPr>
            <sz val="9"/>
            <rFont val="宋体"/>
            <family val="3"/>
            <charset val="134"/>
          </rPr>
          <t>chenjiahui:
由玩家在战斗内，先抽到了前置技能id(weaponskill的typeId)后才能被抽取</t>
        </r>
      </text>
    </comment>
    <comment ref="N1" authorId="0" shapeId="0" xr:uid="{00000000-0006-0000-0000-000007000000}">
      <text>
        <r>
          <rPr>
            <sz val="9"/>
            <rFont val="宋体"/>
            <family val="3"/>
            <charset val="134"/>
          </rPr>
          <t>A和B互斥，玩家在战斗中抽取了A卡后，则本局战斗内无法抽到B卡了；
注意，填的是TypeId</t>
        </r>
      </text>
    </comment>
    <comment ref="O1" authorId="0" shapeId="0" xr:uid="{00000000-0006-0000-0000-000008000000}">
      <text>
        <r>
          <rPr>
            <sz val="9"/>
            <rFont val="宋体"/>
            <family val="3"/>
            <charset val="134"/>
          </rPr>
          <t>chenjiahui：
战斗内该技能的最大可以重复选中次数</t>
        </r>
      </text>
    </comment>
    <comment ref="P1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配置互斥技能的父武器的等级
互斥技能武器等级&gt;=配置等级限制--互斥效果无效
互斥技能武器等级&lt;配置等级--互斥生效</t>
        </r>
      </text>
    </comment>
    <comment ref="Q1" authorId="0" shapeId="0" xr:uid="{00000000-0006-0000-0000-00000A000000}">
      <text>
        <r>
          <rPr>
            <sz val="9"/>
            <rFont val="宋体"/>
            <family val="3"/>
            <charset val="134"/>
          </rPr>
          <t>chenjiahui:
由玩家在战斗内，抽到任意一个前置都可抽到该技能id(weaponskill的typeId)后才能被抽取</t>
        </r>
      </text>
    </comment>
    <comment ref="R1" authorId="2" shapeId="0" xr:uid="{00000000-0006-0000-0000-00000B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不填默认都显示
填1表示不在秘林中显示
</t>
        </r>
      </text>
    </comment>
  </commentList>
</comments>
</file>

<file path=xl/sharedStrings.xml><?xml version="1.0" encoding="utf-8"?>
<sst xmlns="http://schemas.openxmlformats.org/spreadsheetml/2006/main" count="950" uniqueCount="406">
  <si>
    <t>装备唯一id</t>
  </si>
  <si>
    <t>技能icon</t>
  </si>
  <si>
    <t>技能名称</t>
  </si>
  <si>
    <t>技能描述</t>
  </si>
  <si>
    <t>技能数值</t>
  </si>
  <si>
    <t>效果索引</t>
  </si>
  <si>
    <t>品质</t>
  </si>
  <si>
    <t>超链接技能</t>
  </si>
  <si>
    <t>技能类型</t>
  </si>
  <si>
    <t>装备id</t>
  </si>
  <si>
    <t>奖池删除技能</t>
  </si>
  <si>
    <t>局外解锁-等级id</t>
  </si>
  <si>
    <t>局内记录-前后置技能id</t>
  </si>
  <si>
    <t>局内互斥技能id</t>
  </si>
  <si>
    <t>战斗内选中次数</t>
  </si>
  <si>
    <t>局内互斥技能等级限制</t>
  </si>
  <si>
    <t>局内记录-前置技能id</t>
  </si>
  <si>
    <t>是否在秘林显示</t>
  </si>
  <si>
    <t>是否默认生效</t>
  </si>
  <si>
    <t>both</t>
  </si>
  <si>
    <t>client</t>
  </si>
  <si>
    <t>id</t>
  </si>
  <si>
    <t>icon</t>
  </si>
  <si>
    <t>value</t>
  </si>
  <si>
    <t>skillId</t>
  </si>
  <si>
    <t>quality</t>
  </si>
  <si>
    <t>previewSkill</t>
  </si>
  <si>
    <t>skillType</t>
  </si>
  <si>
    <t>equipId</t>
  </si>
  <si>
    <t>DelSkill</t>
  </si>
  <si>
    <t>lvUnlockId</t>
  </si>
  <si>
    <t>skill2UnlockId</t>
  </si>
  <si>
    <t>rejectSkill</t>
  </si>
  <si>
    <t>cardTimes</t>
  </si>
  <si>
    <t>lvAstrict</t>
  </si>
  <si>
    <t>frontSkill</t>
  </si>
  <si>
    <t>ifShow</t>
  </si>
  <si>
    <t>default</t>
  </si>
  <si>
    <t>int</t>
  </si>
  <si>
    <t>string</t>
  </si>
  <si>
    <t>[string]</t>
  </si>
  <si>
    <t>[int]</t>
  </si>
  <si>
    <t>长剑</t>
  </si>
  <si>
    <t>开放合成5级,解锁水之剑和火之剑</t>
  </si>
  <si>
    <t>[5]</t>
  </si>
  <si>
    <t>[105,106]</t>
  </si>
  <si>
    <t>长剑每攻击2次后,下次攻击100%暴击</t>
  </si>
  <si>
    <t>[2,100]</t>
  </si>
  <si>
    <t>长剑固定暴击所需攻击次数-1</t>
  </si>
  <si>
    <t>[1]</t>
  </si>
  <si>
    <t>[1201]</t>
  </si>
  <si>
    <t>长剑的攻击+50%</t>
  </si>
  <si>
    <t>[52]</t>
  </si>
  <si>
    <t>长剑的暴击伤害+150%</t>
  </si>
  <si>
    <t>[155]</t>
  </si>
  <si>
    <t>水之剑对冰冻减速/冻结目标伤害+100%</t>
  </si>
  <si>
    <t>[102]</t>
  </si>
  <si>
    <t>[1209]</t>
  </si>
  <si>
    <t>火之剑对灼烧目标伤害+50%</t>
  </si>
  <si>
    <t>[55]</t>
  </si>
  <si>
    <t>[1210]</t>
  </si>
  <si>
    <t>在水之剑两侧的其他水属性武器击败敌人,回复武器自身攻击50%的血量,效果可叠加</t>
  </si>
  <si>
    <t>[45]</t>
  </si>
  <si>
    <t>火之剑附加灼烧目标数量+8</t>
  </si>
  <si>
    <t>[8]</t>
  </si>
  <si>
    <t>水之剑击败目标，回复水之剑攻击力50%的血量</t>
  </si>
  <si>
    <t>[1205,1207]</t>
  </si>
  <si>
    <t>火之剑暴击时，随机使最多4个敌人附加5秒灼烧，每1秒扣除本次伤害10%的血量</t>
  </si>
  <si>
    <t>[4,5,1,12]</t>
  </si>
  <si>
    <t>[1206,1208]</t>
  </si>
  <si>
    <t>匕首</t>
  </si>
  <si>
    <t>开放合成5级,解锁风之刃和毒之刃</t>
  </si>
  <si>
    <t>[205,206]</t>
  </si>
  <si>
    <t>匕首攻击同一目标每次伤害+20%,最多叠加5层</t>
  </si>
  <si>
    <t>[21,5]</t>
  </si>
  <si>
    <t>匕首的速度+30%</t>
  </si>
  <si>
    <t>[32]</t>
  </si>
  <si>
    <t>匕首的暴击率+50%</t>
  </si>
  <si>
    <t>[51]</t>
  </si>
  <si>
    <t>匕首的暴击伤害+50%</t>
  </si>
  <si>
    <t>风之刃到达场地边缘后反弹,最多5次</t>
  </si>
  <si>
    <t>[2209]</t>
  </si>
  <si>
    <t>毒之刃对中毒目标伤害100%</t>
  </si>
  <si>
    <t>[2210]</t>
  </si>
  <si>
    <t>风之刃穿透数量+6</t>
  </si>
  <si>
    <t>[6]</t>
  </si>
  <si>
    <t>毒之刃的毒爆会附加中毒:每0.5秒,造成攻击100%伤害,持续2秒</t>
  </si>
  <si>
    <t>[0.5,102,2]</t>
  </si>
  <si>
    <t>风之刃攻击可穿透3个敌人</t>
  </si>
  <si>
    <t>[3]</t>
  </si>
  <si>
    <t>[2205,2207]</t>
  </si>
  <si>
    <t>毒之刃攻击附带中毒,每0.5秒,造成攻击30%伤害,持续3秒。击败中毒目标时,追加1次攻击80%的范围伤害</t>
  </si>
  <si>
    <t>[0.5,32,3,1,85]</t>
  </si>
  <si>
    <t>[2206,2208]</t>
  </si>
  <si>
    <t>弓箭</t>
  </si>
  <si>
    <t>开放合成5级,解锁光之弓和暗之弓</t>
  </si>
  <si>
    <t>[305,306]</t>
  </si>
  <si>
    <t>弓箭攻击时,射出3颗箭矢</t>
  </si>
  <si>
    <t>弓箭攻击可穿透1个敌人</t>
  </si>
  <si>
    <t>弓箭散射的箭矢数量+2</t>
  </si>
  <si>
    <t>[2]</t>
  </si>
  <si>
    <t>[3201]</t>
  </si>
  <si>
    <t>弓箭的速度+10%</t>
  </si>
  <si>
    <t>[11]</t>
  </si>
  <si>
    <t>箭雨发动概率额外+20%</t>
  </si>
  <si>
    <t>[22]</t>
  </si>
  <si>
    <t>[3209]</t>
  </si>
  <si>
    <t>暗之弓秒杀概率额外+2%</t>
  </si>
  <si>
    <t>[2.1]</t>
  </si>
  <si>
    <t>[3210]</t>
  </si>
  <si>
    <t>箭雨有40%概率造成眩晕,持续3秒</t>
  </si>
  <si>
    <t>[42,3]</t>
  </si>
  <si>
    <t>暗之弓命中后,使目标攻击-20%持续3秒,效果不叠加,时间覆盖</t>
  </si>
  <si>
    <t>[21,3]</t>
  </si>
  <si>
    <t>光之弓攻击时,30%概率对随机目标位置释放一次箭雨,造成攻击150%的范围伤害</t>
  </si>
  <si>
    <t>[31,155]</t>
  </si>
  <si>
    <t>[3205,3207]</t>
  </si>
  <si>
    <t>暗之弓每次造成伤害时有3%的概率秒杀小怪,对精英/Boss怪无效</t>
  </si>
  <si>
    <t>[3.1]</t>
  </si>
  <si>
    <t>[3206,3208]</t>
  </si>
  <si>
    <t>飞镖</t>
  </si>
  <si>
    <t>开放合成5级,解锁暗之飞镖和风之飞镖</t>
  </si>
  <si>
    <t>[405,406]</t>
  </si>
  <si>
    <t>忍者镖命中后,进行一次弹射,最多弹射1次</t>
  </si>
  <si>
    <t>忍者镖的攻击+25%</t>
  </si>
  <si>
    <t>[26]</t>
  </si>
  <si>
    <t>忍者镖的暴击率+25%</t>
  </si>
  <si>
    <t>忍者镖攻击时,多发射1枚忍者镖</t>
  </si>
  <si>
    <t>暗之忍者镖附加重伤概率+50%</t>
  </si>
  <si>
    <t>[50]</t>
  </si>
  <si>
    <t>[4209]</t>
  </si>
  <si>
    <t>风之忍者镖弹射不再降低伤害</t>
  </si>
  <si>
    <t>[4210]</t>
  </si>
  <si>
    <t>暗之忍者镖对重伤目标伤害+150%</t>
  </si>
  <si>
    <t>风之忍者镖弹射次数+1</t>
  </si>
  <si>
    <t>暗之忍者镖命中时有50%概率使目标附加物理重伤:受到物理伤害时,伤害+30%,持续3秒(与投掷斧的重伤不叠加)</t>
  </si>
  <si>
    <t>[50,32,3]</t>
  </si>
  <si>
    <t>[4205,4207]</t>
  </si>
  <si>
    <t>暗之忍者镖每次弹射时,额外分裂1枚忍者镖,但每次弹射伤害-20%</t>
  </si>
  <si>
    <t>[1,19]</t>
  </si>
  <si>
    <t>[4206,4208]</t>
  </si>
  <si>
    <t>魔法帽</t>
  </si>
  <si>
    <t>开放合成5级,解锁土之魔法帽和暗之魔法帽</t>
  </si>
  <si>
    <t>[505,506]</t>
  </si>
  <si>
    <t>背包中与魔法帽相邻的所有魔法武器攻击+20%</t>
  </si>
  <si>
    <t>魔法帽的回血+20%</t>
  </si>
  <si>
    <t>[18]</t>
  </si>
  <si>
    <t>背包中与魔法帽相邻的所有魔法武器攻击+30%</t>
  </si>
  <si>
    <t>魔法帽的速度+20%</t>
  </si>
  <si>
    <t>[21]</t>
  </si>
  <si>
    <t>叠盾效果额外+10%</t>
  </si>
  <si>
    <t>[12]</t>
  </si>
  <si>
    <t>[5209]</t>
  </si>
  <si>
    <t>所有暗属性的武器伤害增幅额外+30%</t>
  </si>
  <si>
    <t>[5210]</t>
  </si>
  <si>
    <t>与地之魔法帽在同一行的防具都可获得叠盾效果增幅</t>
  </si>
  <si>
    <t>暗之魔法帽每次扣除的血量-1%</t>
  </si>
  <si>
    <t>在地之魔法帽左右位置的防具叠盾效果+20%</t>
  </si>
  <si>
    <t>[5205,5207]</t>
  </si>
  <si>
    <t>暗之魔法帽不再回血,并每次扣除当前血量2.5%,在暗之魔法帽周围的所有武器伤害+50%</t>
  </si>
  <si>
    <t>[2.5,52]</t>
  </si>
  <si>
    <t>[5206,5208]</t>
  </si>
  <si>
    <t>手套</t>
  </si>
  <si>
    <t>开放合成5级,解锁火之手套和风之手套</t>
  </si>
  <si>
    <t>[605,606]</t>
  </si>
  <si>
    <t>背包中与手套相邻的所有物理武器速度+15%</t>
  </si>
  <si>
    <t>[15]</t>
  </si>
  <si>
    <t>手套的速度+20%</t>
  </si>
  <si>
    <t>手套的叠盾+20%</t>
  </si>
  <si>
    <t>背包中与手套相邻的所有物理武器速度+25%</t>
  </si>
  <si>
    <t>[25]</t>
  </si>
  <si>
    <t>[6201]</t>
  </si>
  <si>
    <t>火之手套附魔数量+2</t>
  </si>
  <si>
    <t>[6209]</t>
  </si>
  <si>
    <t>风之手套效果触发时,攻速额外+20%</t>
  </si>
  <si>
    <t>[6210]</t>
  </si>
  <si>
    <t>火之手套附魔加攻效果额外+20%</t>
  </si>
  <si>
    <t>风之手套攻速增持续时间+310%</t>
  </si>
  <si>
    <t>[310]</t>
  </si>
  <si>
    <t>战斗开始时,火之手套随机给至多2件火属性武器附魔,攻击+30%</t>
  </si>
  <si>
    <t>[2,35]</t>
  </si>
  <si>
    <t>[6205,6207]</t>
  </si>
  <si>
    <t>血量&lt;35%时,所有装备获得攻速增幅,攻速+40%,持续5秒,每波最多发动一次,不叠加</t>
  </si>
  <si>
    <t>[35,45,5]</t>
  </si>
  <si>
    <t>[6206,6208]</t>
  </si>
  <si>
    <t>冰杖</t>
  </si>
  <si>
    <t>开放合成5级,解锁冰霜法杖和暴风雪法杖</t>
  </si>
  <si>
    <t>[705,706]</t>
  </si>
  <si>
    <t>冰杖命中后,有25%概率使目标冻结,持续3秒</t>
  </si>
  <si>
    <t>[26,3]</t>
  </si>
  <si>
    <t>冰杖冻结概率+25%</t>
  </si>
  <si>
    <t>[24]</t>
  </si>
  <si>
    <t>[7201]</t>
  </si>
  <si>
    <t>冰杖命中后,分裂出5个碎片,碎片伤害为冰杖攻击的30%,有概率附加冰冻减速效果</t>
  </si>
  <si>
    <t>[5,32]</t>
  </si>
  <si>
    <t>冰杖的攻击+30%</t>
  </si>
  <si>
    <t>冰霜新星有25%概率使目标冻结,持续3秒</t>
  </si>
  <si>
    <t>[7209]</t>
  </si>
  <si>
    <t>暴风雪范围+50%</t>
  </si>
  <si>
    <t>[7210]</t>
  </si>
  <si>
    <t>冰霜新星的范围+30%</t>
  </si>
  <si>
    <t>[30]</t>
  </si>
  <si>
    <t>暴风雪释放时,每次伤害+10%</t>
  </si>
  <si>
    <t>冰霜法杖命中后,释放冰霜新星,造成攻击30%的范围伤害,附加减速效果</t>
  </si>
  <si>
    <t>[7205,7207]</t>
  </si>
  <si>
    <t>暴风雪法杖攻击时,有20%概率释放暴风雪,每0.5秒造成攻击20%的伤害,持续5秒,附加冰冻减速效果</t>
  </si>
  <si>
    <t>[20,0.5,22,5]</t>
  </si>
  <si>
    <t>[7206,7208]</t>
  </si>
  <si>
    <t>毒药瓶</t>
  </si>
  <si>
    <t>开放合成5级,解锁麻痹毒药和烈性毒药</t>
  </si>
  <si>
    <t>[805,806]</t>
  </si>
  <si>
    <t>毒药瓶中毒伤害+100%</t>
  </si>
  <si>
    <t>[100]</t>
  </si>
  <si>
    <t>毒药瓶的速度+20%</t>
  </si>
  <si>
    <t>命中时,对目标周围造成范围伤害,并附加中毒效果</t>
  </si>
  <si>
    <t>中毒持续时间+50%</t>
  </si>
  <si>
    <t>麻痹毒药麻痹的减速效果额外-20%(最高100%)</t>
  </si>
  <si>
    <t>[21,100]</t>
  </si>
  <si>
    <t>[8209]</t>
  </si>
  <si>
    <t>烈性毒药叠毒概率额外20%</t>
  </si>
  <si>
    <t>[8210]</t>
  </si>
  <si>
    <t>麻痹毒药麻痹触发概率额外+20%</t>
  </si>
  <si>
    <t>烈性毒药造成的中毒伤害间隔-40%</t>
  </si>
  <si>
    <t>[41]</t>
  </si>
  <si>
    <t>麻痹毒药命中后,有40%概率使目标麻痹,移速、攻速-60%,4秒内麻痹效果逐渐恢复正常</t>
  </si>
  <si>
    <t>[42,60,4]</t>
  </si>
  <si>
    <t>[8205,8207]</t>
  </si>
  <si>
    <t>烈性毒药造成中毒效果时,有30%概率可以额外叠加3层中毒</t>
  </si>
  <si>
    <t>[32,3]</t>
  </si>
  <si>
    <t>[8206,8208]</t>
  </si>
  <si>
    <t>回旋镖</t>
  </si>
  <si>
    <t>开放合成5级,解锁地之回旋镖和水之回旋镖</t>
  </si>
  <si>
    <t>[1105,1106]</t>
  </si>
  <si>
    <t>每攻击2次后,进行蓄力,下次攻击时附带回旋效果</t>
  </si>
  <si>
    <t>每次攻击都发动蓄力回旋</t>
  </si>
  <si>
    <t>[11201]</t>
  </si>
  <si>
    <t>回旋镖最大飞行距离+25%</t>
  </si>
  <si>
    <t>回旋镖攻击时额外射出1枚回旋镖</t>
  </si>
  <si>
    <t>背包内每有1件地元素装备，地之回响攻速+10%</t>
  </si>
  <si>
    <t>[11209]</t>
  </si>
  <si>
    <t>水之回响造附加减移速、减攻速额外-30%</t>
  </si>
  <si>
    <t>[31]</t>
  </si>
  <si>
    <t>[11210]</t>
  </si>
  <si>
    <t>背包内每有1件地元素装备，地之回响暴击+10%</t>
  </si>
  <si>
    <t>水之回响对冰冻减速目标伤害+50%，对冻结目标伤害+100%</t>
  </si>
  <si>
    <t>[55,105]</t>
  </si>
  <si>
    <t>背包内每有1件其他回旋镖，地之回响自身大小+10%</t>
  </si>
  <si>
    <t>[10]</t>
  </si>
  <si>
    <t>[11205,11207]</t>
  </si>
  <si>
    <t>水之回响造成伤害时，有30%概率使目标附加冰冻减速，移速攻速-20%，持续3秒</t>
  </si>
  <si>
    <t>[32,20,3]</t>
  </si>
  <si>
    <t>[11206,11208]</t>
  </si>
  <si>
    <t>地精头斧</t>
  </si>
  <si>
    <t>[1205,1206]</t>
  </si>
  <si>
    <t>投掷斧大小+20%</t>
  </si>
  <si>
    <t>投掷斧命中后,50%概率使目标附加物理重伤:受到物理伤害时,伤害+20%,持续3秒</t>
  </si>
  <si>
    <t>[51,21,3]</t>
  </si>
  <si>
    <t>投掷斧最大飞行距离+25%</t>
  </si>
  <si>
    <t>投掷斧对物理重伤的敌人,暴击率+60%</t>
  </si>
  <si>
    <t>[61]</t>
  </si>
  <si>
    <t>[12202]</t>
  </si>
  <si>
    <t>四周每有1件防具时，大地之斧叠盾值+10%</t>
  </si>
  <si>
    <t>[12209]</t>
  </si>
  <si>
    <t>黑暗之斧的暴伤+100%</t>
  </si>
  <si>
    <t>[105]</t>
  </si>
  <si>
    <t>[12210]</t>
  </si>
  <si>
    <t>满血时，大地之斧攻速+35%</t>
  </si>
  <si>
    <t>[36]</t>
  </si>
  <si>
    <t>血量&lt;50%时，黑暗之斧吸血概率+50%</t>
  </si>
  <si>
    <t>[50,50]</t>
  </si>
  <si>
    <t>大地之斧</t>
  </si>
  <si>
    <t>大地之斧命中时，有30%概率叠盾，增加大地之斧造成伤害的15%的护盾值</t>
  </si>
  <si>
    <t>[32,10]</t>
  </si>
  <si>
    <t>[12205,12207]</t>
  </si>
  <si>
    <t>黑暗之斧</t>
  </si>
  <si>
    <t>黑暗之斧命中时，有30%概率吸血，回复黑暗之斧造成伤害的20%的血量</t>
  </si>
  <si>
    <t>[32,15]</t>
  </si>
  <si>
    <t>[12206,12208]</t>
  </si>
  <si>
    <t>火球术</t>
  </si>
  <si>
    <t>火球的暴击+50%</t>
  </si>
  <si>
    <t>火球命中后,追加一次火焰爆炸,造成攻击50%的伤害</t>
  </si>
  <si>
    <t>火焰爆炸伤害+50%</t>
  </si>
  <si>
    <t>[13202]</t>
  </si>
  <si>
    <t>火焰爆炸半径+30%</t>
  </si>
  <si>
    <t>雷电法杖</t>
  </si>
  <si>
    <t>开放合成5级,解锁凤凰魔杖和雷神权杖</t>
  </si>
  <si>
    <t>[1405,1406]</t>
  </si>
  <si>
    <t>落雷杖攻击时额外释放1次落雷攻击,目标独立判定</t>
  </si>
  <si>
    <t>落雷杖多重落雷次数+1</t>
  </si>
  <si>
    <t>落雷杖命中后，追加一次半径1.2的磁暴，伤害为武器攻击的30%</t>
  </si>
  <si>
    <t>[1.2,32]</t>
  </si>
  <si>
    <t>磁暴命中，有50%概率使目标感电:受到魔法伤害时，伤害+20%，持续3秒</t>
  </si>
  <si>
    <t>[50,22,3]</t>
  </si>
  <si>
    <t>[14203]</t>
  </si>
  <si>
    <t>凤凰魔杖定身触发概率+10%</t>
  </si>
  <si>
    <t>[14209]</t>
  </si>
  <si>
    <t>雷神权杖暴击率+30%</t>
  </si>
  <si>
    <t>[14210]</t>
  </si>
  <si>
    <t>凤凰魔杖定身结束后，攻速、移速-80%，3秒内减速逐渐恢复</t>
  </si>
  <si>
    <t>[80,3]</t>
  </si>
  <si>
    <t>雷神权杖发动全体雷击的概率+7%</t>
  </si>
  <si>
    <t>[7]</t>
  </si>
  <si>
    <t>凤凰魔杖</t>
  </si>
  <si>
    <t>凤凰魔杖造成伤害时有10%概率麻痹定身1.5秒</t>
  </si>
  <si>
    <t>[10,1.5]</t>
  </si>
  <si>
    <t>[14205,14207]</t>
  </si>
  <si>
    <t>雷神权杖</t>
  </si>
  <si>
    <t>雷神权杖每次攻击时，有3%概率额外对全体目标释放一次单体雷击，造成攻击300%的伤害</t>
  </si>
  <si>
    <t>[3,300]</t>
  </si>
  <si>
    <t>[14206,14208]</t>
  </si>
  <si>
    <t>腰带</t>
  </si>
  <si>
    <t>腰带的血量+20%</t>
  </si>
  <si>
    <t>腰带的回血效果+20%</t>
  </si>
  <si>
    <t>血量&lt;30%时，立即回复最大血量的20%，每波可触发1次，多个腰带不叠力</t>
  </si>
  <si>
    <t>[30,21,1]</t>
  </si>
  <si>
    <t>急救回复的血量+100%</t>
  </si>
  <si>
    <t>[15203]</t>
  </si>
  <si>
    <t>时间沙漏</t>
  </si>
  <si>
    <t>命中后，范围内的目标有30%概率附加迷晕状态:攻速移速-40%，且有40%概率攻击落空，持续4秒</t>
  </si>
  <si>
    <t>[32,40,40,4]</t>
  </si>
  <si>
    <t>时间沙漏攻击时有30%概率回复时间沙漏自身攻击20%的血量</t>
  </si>
  <si>
    <t>[32,22]</t>
  </si>
  <si>
    <t>时间沙漏附加迷晕概率+20%</t>
  </si>
  <si>
    <t>[16201]</t>
  </si>
  <si>
    <t>时间沙漏附加迷晕后，敌人攻击落空概率+30%</t>
  </si>
  <si>
    <t>[28]</t>
  </si>
  <si>
    <t>魔杖盒</t>
  </si>
  <si>
    <t>同时扔出1-5个魔杖盒</t>
  </si>
  <si>
    <t>[1,5]</t>
  </si>
  <si>
    <t>魔杖盒命中有50%概率造成击退，击退距离随机</t>
  </si>
  <si>
    <t>魔杖盒命中后有50%概率击晕目标0-4秒</t>
  </si>
  <si>
    <t>[55,0,4]</t>
  </si>
  <si>
    <t>命中后对随机范围造成攻击力30%的伤害</t>
  </si>
  <si>
    <t>飞天扫帚</t>
  </si>
  <si>
    <t>飞天扫帚命中后，追加一次半径1.5的地震，造成飞天扫帚攻击25%的伤害</t>
  </si>
  <si>
    <t>[1.8,50]</t>
  </si>
  <si>
    <t>飞天扫帚的速度+15%</t>
  </si>
  <si>
    <t>[16]</t>
  </si>
  <si>
    <t>飞天扫帚造成伤害时，有60%概率使敌人攻速和移速-25%，持续2秒，不叠加</t>
  </si>
  <si>
    <t>[55,26,2]</t>
  </si>
  <si>
    <t>飞天扫帚地震范围+30%</t>
  </si>
  <si>
    <t>[18201]</t>
  </si>
  <si>
    <t>魔法斗篷</t>
  </si>
  <si>
    <t>魔法斗篷的叠盾+20%</t>
  </si>
  <si>
    <t>魔法斗篷的血量+20%</t>
  </si>
  <si>
    <t>被近战攻击时，有20%概率受到伤害50%</t>
  </si>
  <si>
    <t>[20,50]</t>
  </si>
  <si>
    <t>被远程攻击时，有20%概率受到伤害-50%</t>
  </si>
  <si>
    <t>魔戒</t>
  </si>
  <si>
    <t>魔戒周围的武器提升暴击率(合成1级为2%、2级为4%、3级为6%、4级为8%)</t>
  </si>
  <si>
    <t>[1,3,5,7]</t>
  </si>
  <si>
    <t>多个魔戒提升的暴击率可叠加</t>
  </si>
  <si>
    <t>[20201]</t>
  </si>
  <si>
    <t>魔戒对同行同列的武器均提升暴击率</t>
  </si>
  <si>
    <t>魔戒对背包内所有武器均提升暴击率</t>
  </si>
  <si>
    <t>[20203]</t>
  </si>
  <si>
    <t>水晶球</t>
  </si>
  <si>
    <t>命中目标或达到边缘时进行反弹，足球射出3秒后消失</t>
  </si>
  <si>
    <t>足球攻击+30%</t>
  </si>
  <si>
    <t>[40]</t>
  </si>
  <si>
    <t>足球飞行速度+30%</t>
  </si>
  <si>
    <t>足球飞行时间+100%</t>
  </si>
  <si>
    <t>[120]</t>
  </si>
  <si>
    <t>[22201]</t>
  </si>
  <si>
    <t>三叉戟</t>
  </si>
  <si>
    <t>三叉戟攻击力+30%(被动技能，进入战斗自动携带)</t>
  </si>
  <si>
    <t>三叉戟暴击+30%(被动技能，进入战斗自动携带)</t>
  </si>
  <si>
    <t>三叉戟会停留在首个攻击的单位处2秒，对范围内敌人每0.5秒造成80%攻击力伤害</t>
  </si>
  <si>
    <t>[2,0.5,80]</t>
  </si>
  <si>
    <t>三叉戟停留时间+1秒</t>
  </si>
  <si>
    <t>[24203]</t>
  </si>
  <si>
    <t>三叉戟击杀单位时，所有三叉戟体型+0.1%，最大额外增加120%，持续至整场战斗结束</t>
  </si>
  <si>
    <t>[0.1,100]</t>
  </si>
  <si>
    <t>三叉戟击杀单位时，所有三叉戟体型额外+0.3%</t>
  </si>
  <si>
    <t>[0.3]</t>
  </si>
  <si>
    <t>[24205]</t>
  </si>
  <si>
    <t>三叉戟攻击距离+2</t>
  </si>
  <si>
    <t>三叉戟攻击时，10%概率发动万钧一击，对命中的敌人造成600%攻击力伤害</t>
  </si>
  <si>
    <t>[10,600]</t>
  </si>
  <si>
    <t>三叉戟万钧一击发动概率+15%</t>
  </si>
  <si>
    <t>[24208]</t>
  </si>
  <si>
    <t>老魔杖</t>
  </si>
  <si>
    <t>老魔杖攻击时可额外攻击1次(被动技能进入战斗自动携带)</t>
  </si>
  <si>
    <t>老魔杖法可额外穿透1个目标(被动技能进入战斗自动携带)</t>
  </si>
  <si>
    <t>老魔杖攻击时,有25%的概率使目标被藤曼缠绕无法移动，每秒受到50%攻击的伤害，持续3秒</t>
  </si>
  <si>
    <t>[25,50,3]</t>
  </si>
  <si>
    <t>藤曼缠绕的概率+25%</t>
  </si>
  <si>
    <t>老魔杖攻击时，对目标周围造成范围伤害，伤害为老杖攻击的100%，并附加曼束缚效果</t>
  </si>
  <si>
    <t>藤曼缠绕时间+2s</t>
  </si>
  <si>
    <t>老魔杖攻击速度+50%</t>
  </si>
  <si>
    <t>老魔杖攻击时，10%的概率发动死亡藤曼，对命中的目标造成400%的攻击伤害并施加藤曼束效果</t>
  </si>
  <si>
    <t>老魔杖死亡藤曼的发动概率+15%</t>
  </si>
  <si>
    <t>背包中与手套相邻的所有物理武器速度+20%</t>
  </si>
  <si>
    <t>背包中与手套相邻的所有物理武器速度+30%</t>
  </si>
  <si>
    <t>风之手套攻速增持续时间+300%</t>
  </si>
  <si>
    <t>[305]</t>
  </si>
  <si>
    <t>[32,16]</t>
  </si>
  <si>
    <t>[32,21]</t>
  </si>
  <si>
    <t>ISTEXT(IFERROR(1*MID(A1,ROW(INDIRECT("1:"&amp;LEN(A1))),1),""))*</t>
  </si>
  <si>
    <t>ISNUMBER(IFERROR(1*MID(A1,ROW(INDIRECT("1:"&amp;LEN(A1)))-1,1),""))</t>
  </si>
  <si>
    <t>IFERROR(1*MID(A1,ROW(INDIRECT("1:"&amp;LEN(A1))),1),"")</t>
  </si>
  <si>
    <t>concat(if(ISTEXT(IFERROR(1*MID(A1,ROW(INDIRECT("1:"&amp;LEN(A1))),1),""))*ISNUMBER(IFERROR(1*MID(A1,ROW(INDIRECT("1:"&amp;LEN(A1)))-1,1),"")),",",IFERROR(1*MID(A1,ROW(INDIRECT("1:"&amp;LEN(A1))),1),"")))</t>
  </si>
  <si>
    <t>[25203]</t>
    <phoneticPr fontId="11" type="noConversion"/>
  </si>
  <si>
    <t>[25208]</t>
    <phoneticPr fontId="11" type="noConversion"/>
  </si>
  <si>
    <t>[5,400]</t>
    <phoneticPr fontId="11" type="noConversion"/>
  </si>
  <si>
    <t>[10]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</si>
</sst>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E40D08"/>
      <color rgb="FF8C67AF"/>
      <color rgb="FFAD7469"/>
      <color rgb="FFBF5757"/>
      <color rgb="FFC4C3D5"/>
      <color rgb="FFAAAAC6"/>
      <color rgb="FFFF0000"/>
      <color rgb="FFD8E3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10</xdr:row>
      <xdr:rowOff>133350</xdr:rowOff>
    </xdr:from>
    <xdr:to>
      <xdr:col>12</xdr:col>
      <xdr:colOff>494551</xdr:colOff>
      <xdr:row>15</xdr:row>
      <xdr:rowOff>104671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1847850"/>
          <a:ext cx="5989955" cy="8280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ki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</sheetNames>
    <sheetDataSet>
      <sheetData sheetId="0">
        <row r="1">
          <cell r="A1" t="str">
            <v>随机id【KEY】</v>
          </cell>
          <cell r="B1" t="str">
            <v>技能名称备注</v>
          </cell>
          <cell r="C1" t="str">
            <v>技能描述备注</v>
          </cell>
        </row>
        <row r="2">
          <cell r="A2" t="str">
            <v>both</v>
          </cell>
        </row>
        <row r="3">
          <cell r="A3" t="str">
            <v>id</v>
          </cell>
          <cell r="B3" t="str">
            <v>name</v>
          </cell>
          <cell r="C3" t="str">
            <v>desc</v>
          </cell>
        </row>
        <row r="4">
          <cell r="A4" t="str">
            <v>int</v>
          </cell>
          <cell r="B4" t="str">
            <v>string</v>
          </cell>
          <cell r="C4" t="str">
            <v>string</v>
          </cell>
        </row>
        <row r="6">
          <cell r="A6">
            <v>100</v>
          </cell>
          <cell r="C6" t="str">
            <v>长剑</v>
          </cell>
        </row>
        <row r="7">
          <cell r="A7">
            <v>101</v>
          </cell>
          <cell r="C7" t="str">
            <v>长剑每攻击2次后，下次攻击100%暴击</v>
          </cell>
        </row>
        <row r="8">
          <cell r="A8">
            <v>102</v>
          </cell>
          <cell r="C8" t="str">
            <v>长剑固定暴击所需次数-1</v>
          </cell>
        </row>
        <row r="9">
          <cell r="A9">
            <v>103</v>
          </cell>
          <cell r="C9" t="str">
            <v>长剑攻击+52%</v>
          </cell>
        </row>
        <row r="10">
          <cell r="A10">
            <v>104</v>
          </cell>
          <cell r="C10" t="str">
            <v>长剑的暴击伤害+155%</v>
          </cell>
        </row>
        <row r="11">
          <cell r="A11">
            <v>105</v>
          </cell>
          <cell r="C11" t="str">
            <v>水之剑对冰冻减速/冻结目标的伤害+102%</v>
          </cell>
        </row>
        <row r="12">
          <cell r="A12">
            <v>106</v>
          </cell>
          <cell r="C12" t="str">
            <v>火之剑对灼烧目标伤害+55%</v>
          </cell>
        </row>
        <row r="13">
          <cell r="A13">
            <v>107</v>
          </cell>
          <cell r="C13" t="str">
            <v>在水之剑两侧的其他水属性武器击败目标，回复武器自身攻击45%的血量，效果可叠加</v>
          </cell>
        </row>
        <row r="14">
          <cell r="A14">
            <v>108</v>
          </cell>
          <cell r="C14" t="str">
            <v>火之剑附加的灼烧目标数量+8</v>
          </cell>
        </row>
        <row r="15">
          <cell r="A15">
            <v>109</v>
          </cell>
          <cell r="B15" t="str">
            <v>水之剑</v>
          </cell>
          <cell r="C15" t="str">
            <v>水之剑击败目标回复水之剑攻击力45%的血量</v>
          </cell>
        </row>
        <row r="16">
          <cell r="A16">
            <v>110</v>
          </cell>
          <cell r="B16" t="str">
            <v>火之剑</v>
          </cell>
          <cell r="C16" t="str">
            <v>火之剑暴击时,随机使最多4个敌人附加5秒灼烧,每1秒扣除本次伤害12%的血量</v>
          </cell>
        </row>
        <row r="17">
          <cell r="A17">
            <v>200</v>
          </cell>
          <cell r="C17" t="str">
            <v>匕首</v>
          </cell>
        </row>
        <row r="18">
          <cell r="A18">
            <v>201</v>
          </cell>
          <cell r="C18" t="str">
            <v>匕首攻击同一目标每次伤害+21%,最多叠加5层</v>
          </cell>
        </row>
        <row r="19">
          <cell r="A19">
            <v>202</v>
          </cell>
          <cell r="C19" t="str">
            <v>匕首的速度+32%</v>
          </cell>
        </row>
        <row r="20">
          <cell r="A20">
            <v>203</v>
          </cell>
          <cell r="C20" t="str">
            <v>匕首的暴击率+51%</v>
          </cell>
        </row>
        <row r="21">
          <cell r="A21">
            <v>204</v>
          </cell>
          <cell r="C21" t="str">
            <v>匕首的暴击伤害+55%</v>
          </cell>
        </row>
        <row r="22">
          <cell r="A22">
            <v>205</v>
          </cell>
          <cell r="C22" t="str">
            <v>风之刃到达场地边缘后反弹,最多5次</v>
          </cell>
        </row>
        <row r="23">
          <cell r="A23">
            <v>206</v>
          </cell>
          <cell r="C23" t="str">
            <v>毒之刃对中毒目标伤害102%</v>
          </cell>
        </row>
        <row r="24">
          <cell r="A24">
            <v>207</v>
          </cell>
          <cell r="C24" t="str">
            <v>风之刃穿透数量+6</v>
          </cell>
        </row>
        <row r="25">
          <cell r="A25">
            <v>208</v>
          </cell>
          <cell r="C25" t="str">
            <v>毒之刃的毒爆会附加中毒:每0.5秒,造成攻击102%伤害,持续2秒</v>
          </cell>
        </row>
        <row r="26">
          <cell r="A26">
            <v>209</v>
          </cell>
          <cell r="B26" t="str">
            <v>风之刃</v>
          </cell>
          <cell r="C26" t="str">
            <v>风之刃攻击可穿透3个敌人</v>
          </cell>
        </row>
        <row r="27">
          <cell r="A27">
            <v>210</v>
          </cell>
          <cell r="B27" t="str">
            <v>毒之刃</v>
          </cell>
          <cell r="C27" t="str">
            <v>毒之刃攻击附带中毒,每0.5秒,造成攻击32%伤害,持续3秒。击败中毒目标时,追加1次攻击85%的范围伤害</v>
          </cell>
        </row>
        <row r="28">
          <cell r="A28">
            <v>300</v>
          </cell>
          <cell r="C28" t="str">
            <v>弓箭</v>
          </cell>
        </row>
        <row r="29">
          <cell r="A29">
            <v>301</v>
          </cell>
          <cell r="C29" t="str">
            <v>弓箭攻击时,射出3颗箭矢</v>
          </cell>
        </row>
        <row r="30">
          <cell r="A30">
            <v>302</v>
          </cell>
          <cell r="C30" t="str">
            <v>弓箭攻击可穿透1个敌人</v>
          </cell>
        </row>
        <row r="31">
          <cell r="A31">
            <v>303</v>
          </cell>
          <cell r="C31" t="str">
            <v>弓箭散射的箭矢数量+2</v>
          </cell>
        </row>
        <row r="32">
          <cell r="A32">
            <v>304</v>
          </cell>
          <cell r="C32" t="str">
            <v>弓箭的速度+11%</v>
          </cell>
        </row>
        <row r="33">
          <cell r="A33">
            <v>305</v>
          </cell>
          <cell r="C33" t="str">
            <v>箭雨发动概率额外+22%</v>
          </cell>
        </row>
        <row r="34">
          <cell r="A34">
            <v>306</v>
          </cell>
          <cell r="C34" t="str">
            <v>暗之弓秒杀概率额外+2.1%</v>
          </cell>
        </row>
        <row r="35">
          <cell r="A35">
            <v>307</v>
          </cell>
          <cell r="C35" t="str">
            <v>箭雨有42%概率造成眩晕,持续3秒</v>
          </cell>
        </row>
        <row r="36">
          <cell r="A36">
            <v>308</v>
          </cell>
          <cell r="C36" t="str">
            <v>暗之弓命中后,使目标攻击-21%持续3秒,效果不叠加,时间覆盖</v>
          </cell>
        </row>
        <row r="37">
          <cell r="A37">
            <v>309</v>
          </cell>
          <cell r="B37" t="str">
            <v>光之弓</v>
          </cell>
          <cell r="C37" t="str">
            <v>光之弓攻击时,31%概率对随机目标位置释放一次箭雨,造成攻击155%的范围伤害</v>
          </cell>
        </row>
        <row r="38">
          <cell r="A38">
            <v>310</v>
          </cell>
          <cell r="B38" t="str">
            <v>暗之弓</v>
          </cell>
          <cell r="C38" t="str">
            <v>暗之弓每次造成伤害时有3.1%的概率秒杀小怪,对精英/Boss怪无效</v>
          </cell>
        </row>
        <row r="39">
          <cell r="A39">
            <v>400</v>
          </cell>
          <cell r="C39" t="str">
            <v>忍者镖</v>
          </cell>
        </row>
        <row r="40">
          <cell r="A40">
            <v>401</v>
          </cell>
          <cell r="C40" t="str">
            <v>忍者镖命中后,进行一次弹射,最多弹射1次</v>
          </cell>
        </row>
        <row r="41">
          <cell r="A41">
            <v>402</v>
          </cell>
          <cell r="C41" t="str">
            <v>忍者镖的攻击+26%</v>
          </cell>
        </row>
        <row r="42">
          <cell r="A42">
            <v>403</v>
          </cell>
          <cell r="C42" t="str">
            <v>忍者镖的暴击率+26%</v>
          </cell>
        </row>
        <row r="43">
          <cell r="A43">
            <v>404</v>
          </cell>
          <cell r="C43" t="str">
            <v>忍者镖攻击时,多发射1枚忍者镖</v>
          </cell>
        </row>
        <row r="44">
          <cell r="A44">
            <v>405</v>
          </cell>
          <cell r="C44" t="str">
            <v>暗之忍者镖附加重伤概率+50%</v>
          </cell>
        </row>
        <row r="45">
          <cell r="A45">
            <v>406</v>
          </cell>
          <cell r="C45" t="str">
            <v>风之忍者镖弹射不再降低伤害</v>
          </cell>
        </row>
        <row r="46">
          <cell r="A46">
            <v>407</v>
          </cell>
          <cell r="C46" t="str">
            <v>暗之忍者镖对重伤目标伤害+155%</v>
          </cell>
        </row>
        <row r="47">
          <cell r="A47">
            <v>408</v>
          </cell>
          <cell r="C47" t="str">
            <v>风之忍者镖弹射次数+1</v>
          </cell>
        </row>
        <row r="48">
          <cell r="A48">
            <v>409</v>
          </cell>
          <cell r="B48" t="str">
            <v>暗之忍者镖</v>
          </cell>
          <cell r="C48" t="str">
            <v>暗之忍者镖命中时有50%概率使目标附加物理重伤:受到物理伤害时,伤害+32%,持续3秒(与投掷斧的重伤不叠加)</v>
          </cell>
        </row>
        <row r="49">
          <cell r="A49">
            <v>410</v>
          </cell>
          <cell r="B49" t="str">
            <v>风之忍者镖</v>
          </cell>
          <cell r="C49" t="str">
            <v>暗之忍者镖每次弹射时,额外分裂1枚忍者镖,但每次弹射伤害-19%</v>
          </cell>
        </row>
        <row r="50">
          <cell r="A50">
            <v>500</v>
          </cell>
          <cell r="C50" t="str">
            <v>魔法帽</v>
          </cell>
        </row>
        <row r="51">
          <cell r="A51">
            <v>501</v>
          </cell>
          <cell r="C51" t="str">
            <v>背包中与魔法帽相邻的所有魔法武器攻击+22%</v>
          </cell>
        </row>
        <row r="52">
          <cell r="A52">
            <v>502</v>
          </cell>
          <cell r="C52" t="str">
            <v>魔法帽的回血+18%</v>
          </cell>
        </row>
        <row r="53">
          <cell r="A53">
            <v>503</v>
          </cell>
          <cell r="C53" t="str">
            <v>背包中与魔法帽相邻的所有魔法武器攻击+32%</v>
          </cell>
        </row>
        <row r="54">
          <cell r="A54">
            <v>504</v>
          </cell>
          <cell r="C54" t="str">
            <v>魔法帽的速度+21%</v>
          </cell>
        </row>
        <row r="55">
          <cell r="A55">
            <v>505</v>
          </cell>
          <cell r="C55" t="str">
            <v>叠盾效果额外+12%</v>
          </cell>
        </row>
        <row r="56">
          <cell r="A56">
            <v>506</v>
          </cell>
          <cell r="C56" t="str">
            <v>所有暗属性的武器伤害增幅额外+32%</v>
          </cell>
        </row>
        <row r="57">
          <cell r="A57">
            <v>507</v>
          </cell>
          <cell r="C57" t="str">
            <v>与地之魔法帽在同一行的防具都可获得叠盾效果增幅</v>
          </cell>
        </row>
        <row r="58">
          <cell r="A58">
            <v>508</v>
          </cell>
          <cell r="C58" t="str">
            <v>暗之魔法帽每次扣除的血量-1%</v>
          </cell>
        </row>
        <row r="59">
          <cell r="A59">
            <v>509</v>
          </cell>
          <cell r="B59" t="str">
            <v>地之魔法帽</v>
          </cell>
          <cell r="C59" t="str">
            <v>在地之魔法帽左右位置的防具叠盾效果+22%</v>
          </cell>
        </row>
        <row r="60">
          <cell r="A60">
            <v>510</v>
          </cell>
          <cell r="B60" t="str">
            <v>暗之魔法帽</v>
          </cell>
          <cell r="C60" t="str">
            <v>暗之魔法帽不再回血,并每次扣除当前血量2.5%,在暗之魔法帽周围的所有武器伤害+52%</v>
          </cell>
        </row>
        <row r="61">
          <cell r="A61">
            <v>600</v>
          </cell>
          <cell r="C61" t="str">
            <v>手套</v>
          </cell>
        </row>
        <row r="62">
          <cell r="A62">
            <v>601</v>
          </cell>
          <cell r="C62" t="str">
            <v>背包中与手套相邻的所有物理武器速度+15%</v>
          </cell>
        </row>
        <row r="63">
          <cell r="A63">
            <v>602</v>
          </cell>
          <cell r="C63" t="str">
            <v>手套的速度+21%</v>
          </cell>
        </row>
        <row r="64">
          <cell r="A64">
            <v>603</v>
          </cell>
          <cell r="C64" t="str">
            <v>手套的叠盾+22%</v>
          </cell>
        </row>
        <row r="65">
          <cell r="A65">
            <v>604</v>
          </cell>
          <cell r="C65" t="str">
            <v>背包中与手套相邻的所有物理武器速度+25%</v>
          </cell>
        </row>
        <row r="66">
          <cell r="A66">
            <v>605</v>
          </cell>
          <cell r="C66" t="str">
            <v>火之手套附魔数量+2</v>
          </cell>
        </row>
        <row r="67">
          <cell r="A67">
            <v>606</v>
          </cell>
          <cell r="C67" t="str">
            <v>风之手套效果触发时,攻速额外+25%</v>
          </cell>
        </row>
        <row r="68">
          <cell r="A68">
            <v>607</v>
          </cell>
          <cell r="C68" t="str">
            <v>火之手套附魔加攻效果额外+25%</v>
          </cell>
        </row>
        <row r="69">
          <cell r="A69">
            <v>608</v>
          </cell>
          <cell r="C69" t="str">
            <v>风之手套攻速增持续时间+305%</v>
          </cell>
        </row>
        <row r="70">
          <cell r="A70">
            <v>609</v>
          </cell>
          <cell r="B70" t="str">
            <v>火之手套</v>
          </cell>
          <cell r="C70" t="str">
            <v>战斗开始时,火之手套随机给至多2件火属性武器附魔,攻击+35%</v>
          </cell>
        </row>
        <row r="71">
          <cell r="A71">
            <v>610</v>
          </cell>
          <cell r="B71" t="str">
            <v>风之手套</v>
          </cell>
          <cell r="C71" t="str">
            <v>血量&lt;35%时,所有装备获得攻速增幅,攻速+45%,持续5秒,每波最多发动一次,不叠加</v>
          </cell>
        </row>
        <row r="72">
          <cell r="A72">
            <v>700</v>
          </cell>
          <cell r="C72" t="str">
            <v>冰杖</v>
          </cell>
        </row>
        <row r="73">
          <cell r="A73">
            <v>701</v>
          </cell>
          <cell r="C73" t="str">
            <v>冰杖命中后,有26%概率使目标冻结,持续3秒</v>
          </cell>
        </row>
        <row r="74">
          <cell r="A74">
            <v>702</v>
          </cell>
          <cell r="C74" t="str">
            <v>冰杖冻结概率+24%</v>
          </cell>
        </row>
        <row r="75">
          <cell r="A75">
            <v>703</v>
          </cell>
          <cell r="C75" t="str">
            <v>冰杖命中后,分裂出5个碎片,碎片伤害为冰杖攻击的32%,有概率附加冰冻减速效果</v>
          </cell>
        </row>
        <row r="76">
          <cell r="A76">
            <v>704</v>
          </cell>
          <cell r="C76" t="str">
            <v>冰杖的攻击+32%</v>
          </cell>
        </row>
        <row r="77">
          <cell r="A77">
            <v>705</v>
          </cell>
          <cell r="C77" t="str">
            <v>冰霜新星有26%概率使目标冻结,持续3秒</v>
          </cell>
        </row>
        <row r="78">
          <cell r="A78">
            <v>706</v>
          </cell>
          <cell r="C78" t="str">
            <v>暴风雪范围+50%</v>
          </cell>
        </row>
        <row r="79">
          <cell r="A79">
            <v>707</v>
          </cell>
          <cell r="C79" t="str">
            <v>冰霜新星的范围+30%</v>
          </cell>
        </row>
        <row r="80">
          <cell r="A80">
            <v>708</v>
          </cell>
          <cell r="C80" t="str">
            <v>暴风雪释放时,每次伤害+12%</v>
          </cell>
        </row>
        <row r="81">
          <cell r="A81">
            <v>709</v>
          </cell>
          <cell r="B81" t="str">
            <v>冰霜法杖</v>
          </cell>
          <cell r="C81" t="str">
            <v>冰霜法杖命中后,释放冰霜新星,造成攻击32%的范围伤害,附加减速效果</v>
          </cell>
        </row>
        <row r="82">
          <cell r="A82">
            <v>710</v>
          </cell>
          <cell r="B82" t="str">
            <v>暴风雪法杖</v>
          </cell>
          <cell r="C82" t="str">
            <v>暴风雪法杖攻击时,有20%概率释放暴风雪,每0.5秒造成攻击22%的伤害,持续5秒,附加冰冻减速效果</v>
          </cell>
        </row>
        <row r="83">
          <cell r="A83">
            <v>800</v>
          </cell>
        </row>
        <row r="84">
          <cell r="A84">
            <v>801</v>
          </cell>
          <cell r="C84" t="str">
            <v>毒药瓶中毒伤害+100</v>
          </cell>
        </row>
        <row r="85">
          <cell r="A85">
            <v>802</v>
          </cell>
          <cell r="C85" t="str">
            <v>毒药瓶的速度+21%</v>
          </cell>
        </row>
        <row r="86">
          <cell r="A86">
            <v>803</v>
          </cell>
          <cell r="C86" t="str">
            <v>命中时,对目标周围造成范围伤害,并附加中毒效果</v>
          </cell>
        </row>
        <row r="87">
          <cell r="A87">
            <v>804</v>
          </cell>
          <cell r="C87" t="str">
            <v>中毒持续时间+50%</v>
          </cell>
        </row>
        <row r="88">
          <cell r="A88">
            <v>805</v>
          </cell>
          <cell r="C88" t="str">
            <v>麻痹毒药麻痹的减速效果额外-21%(最100%)</v>
          </cell>
        </row>
        <row r="89">
          <cell r="A89">
            <v>806</v>
          </cell>
          <cell r="C89" t="str">
            <v>烈性毒药叠毒概率额外22%</v>
          </cell>
        </row>
        <row r="90">
          <cell r="A90">
            <v>807</v>
          </cell>
          <cell r="C90" t="str">
            <v>麻痹毒药麻痹触发概率额外+22%</v>
          </cell>
        </row>
        <row r="91">
          <cell r="A91">
            <v>808</v>
          </cell>
          <cell r="C91" t="str">
            <v>烈性毒药造成的中毒伤害间隔-41%</v>
          </cell>
        </row>
        <row r="92">
          <cell r="A92">
            <v>809</v>
          </cell>
          <cell r="B92" t="str">
            <v>麻痹毒药</v>
          </cell>
          <cell r="C92" t="str">
            <v>麻痹毒药命中后,有42%概率使目标麻痹,移速、攻速-60%,4秒内麻痹效果逐渐恢复正常</v>
          </cell>
        </row>
        <row r="93">
          <cell r="A93">
            <v>810</v>
          </cell>
          <cell r="B93" t="str">
            <v>烈性毒药</v>
          </cell>
          <cell r="C93" t="str">
            <v>烈性毒药造成中毒效果时,有32%概率可以额外叠加3层中毒</v>
          </cell>
        </row>
        <row r="94">
          <cell r="A94">
            <v>1100</v>
          </cell>
          <cell r="B94" t="str">
            <v>回旋镖</v>
          </cell>
        </row>
        <row r="95">
          <cell r="A95">
            <v>1101</v>
          </cell>
          <cell r="C95" t="str">
            <v>每攻击2次后,进行蓄力,下次攻击时附带回旋效果</v>
          </cell>
        </row>
        <row r="96">
          <cell r="A96">
            <v>1102</v>
          </cell>
          <cell r="C96" t="str">
            <v>每次攻击都发动蓄力回旋</v>
          </cell>
        </row>
        <row r="97">
          <cell r="A97">
            <v>1103</v>
          </cell>
          <cell r="C97" t="str">
            <v>回旋镖最大飞行距离+25%</v>
          </cell>
        </row>
        <row r="98">
          <cell r="A98">
            <v>1104</v>
          </cell>
          <cell r="C98" t="str">
            <v>回旋镖攻击时额外射出1枚回旋镖</v>
          </cell>
        </row>
        <row r="99">
          <cell r="A99">
            <v>1105</v>
          </cell>
          <cell r="C99" t="str">
            <v>背包内每有1件地元素装备,地之回旋镖攻速+11%</v>
          </cell>
        </row>
        <row r="100">
          <cell r="A100">
            <v>1106</v>
          </cell>
          <cell r="C100" t="str">
            <v>水之回旋镖造附加减移速、减攻速额外-31%</v>
          </cell>
        </row>
        <row r="101">
          <cell r="A101">
            <v>1107</v>
          </cell>
          <cell r="C101" t="str">
            <v>背包内每有1件地元素装备,地之回旋镖暴击+12%</v>
          </cell>
        </row>
        <row r="102">
          <cell r="A102">
            <v>1108</v>
          </cell>
          <cell r="C102" t="str">
            <v>水之回旋镖对冰冻减速目标伤害+55%,对冻结目标伤害+105%</v>
          </cell>
        </row>
        <row r="103">
          <cell r="A103">
            <v>1109</v>
          </cell>
          <cell r="B103" t="str">
            <v>地之回旋镖</v>
          </cell>
          <cell r="C103" t="str">
            <v>背包内每有1件其他回旋镖,地之回旋镖自身大小+10%</v>
          </cell>
        </row>
        <row r="104">
          <cell r="A104">
            <v>1110</v>
          </cell>
          <cell r="B104" t="str">
            <v>水之回旋镖</v>
          </cell>
          <cell r="C104" t="str">
            <v>水之回旋镖造成伤害时,有32%概率使目标附加冰冻减速,移速攻速-20%,持续3秒</v>
          </cell>
        </row>
        <row r="105">
          <cell r="A105">
            <v>1200</v>
          </cell>
          <cell r="B105" t="str">
            <v>投掷斧</v>
          </cell>
        </row>
        <row r="106">
          <cell r="A106">
            <v>1201</v>
          </cell>
          <cell r="C106" t="str">
            <v>投掷斧大小+21%</v>
          </cell>
        </row>
        <row r="107">
          <cell r="A107">
            <v>1202</v>
          </cell>
          <cell r="C107" t="str">
            <v>投掷斧命中后,51%概率使目标附加物理重伤:受到物理伤害时,伤害+21%,持续3秒</v>
          </cell>
        </row>
        <row r="108">
          <cell r="A108">
            <v>1203</v>
          </cell>
          <cell r="C108" t="str">
            <v>投掷斧最大飞行距离+25%</v>
          </cell>
        </row>
        <row r="109">
          <cell r="A109">
            <v>1204</v>
          </cell>
          <cell r="C109" t="str">
            <v>投掷斧对物理重伤的敌人,暴击率+61%</v>
          </cell>
        </row>
        <row r="110">
          <cell r="A110">
            <v>1205</v>
          </cell>
          <cell r="C110" t="str">
            <v>四周每有1件防具时,地之斧叠盾值+12%</v>
          </cell>
        </row>
        <row r="111">
          <cell r="A111">
            <v>1206</v>
          </cell>
          <cell r="C111" t="str">
            <v>暗之斧的暴伤+105%</v>
          </cell>
        </row>
        <row r="112">
          <cell r="A112">
            <v>1207</v>
          </cell>
          <cell r="C112" t="str">
            <v>满血时,地之斧攻速+36%</v>
          </cell>
        </row>
        <row r="113">
          <cell r="A113">
            <v>1208</v>
          </cell>
          <cell r="C113" t="str">
            <v>血量&lt;50%时,暗之斧吸血概率+50%</v>
          </cell>
        </row>
        <row r="114">
          <cell r="A114">
            <v>1209</v>
          </cell>
          <cell r="C114" t="str">
            <v>地之斧命中时,有32%概率叠盾,增加地之斧造成伤害的10%的护盾值</v>
          </cell>
        </row>
        <row r="115">
          <cell r="A115">
            <v>1210</v>
          </cell>
          <cell r="C115" t="str">
            <v>暗之斧命中时,有32%概率吸血,回复暗之斧造成伤害的15%的血量</v>
          </cell>
        </row>
        <row r="116">
          <cell r="A116">
            <v>1300</v>
          </cell>
          <cell r="B116" t="str">
            <v>火球术</v>
          </cell>
        </row>
        <row r="117">
          <cell r="A117">
            <v>1301</v>
          </cell>
          <cell r="C117" t="str">
            <v>火球的暴击+51%</v>
          </cell>
        </row>
        <row r="118">
          <cell r="A118">
            <v>1302</v>
          </cell>
          <cell r="C118" t="str">
            <v>火球命中后,追加一次火焰爆炸,造成攻击55%的伤害</v>
          </cell>
        </row>
        <row r="119">
          <cell r="A119">
            <v>1303</v>
          </cell>
          <cell r="C119" t="str">
            <v>火焰爆炸伤害+52%</v>
          </cell>
        </row>
        <row r="120">
          <cell r="A120">
            <v>1304</v>
          </cell>
          <cell r="C120" t="str">
            <v>火焰爆炸半径+31%</v>
          </cell>
        </row>
        <row r="121">
          <cell r="A121">
            <v>1400</v>
          </cell>
          <cell r="B121" t="str">
            <v>落雷杖</v>
          </cell>
        </row>
        <row r="122">
          <cell r="A122">
            <v>1401</v>
          </cell>
          <cell r="C122" t="str">
            <v>落雷杖攻击时额外释放1次落雷攻击,目标独立判定</v>
          </cell>
        </row>
        <row r="123">
          <cell r="A123">
            <v>1402</v>
          </cell>
          <cell r="C123" t="str">
            <v>落雷杖多重落雷次数+1</v>
          </cell>
        </row>
        <row r="124">
          <cell r="A124">
            <v>1403</v>
          </cell>
          <cell r="C124" t="str">
            <v>落雷杖命中后,追加一次半径1.2的磁暴,伤害为武器攻击的32%</v>
          </cell>
        </row>
        <row r="125">
          <cell r="A125">
            <v>1404</v>
          </cell>
          <cell r="C125" t="str">
            <v>磁暴命中,有50.5%概率使目标感电:受到魔法伤害时,伤害+22%,持续3秒</v>
          </cell>
        </row>
        <row r="126">
          <cell r="A126">
            <v>1500</v>
          </cell>
          <cell r="C126" t="str">
            <v>腰带</v>
          </cell>
        </row>
        <row r="127">
          <cell r="A127">
            <v>1501</v>
          </cell>
          <cell r="B127" t="str">
            <v>腰带</v>
          </cell>
          <cell r="C127" t="str">
            <v>腰带的血量+21%</v>
          </cell>
        </row>
        <row r="128">
          <cell r="A128">
            <v>1502</v>
          </cell>
          <cell r="C128" t="str">
            <v>腰带的回血效果+21%</v>
          </cell>
        </row>
        <row r="129">
          <cell r="A129">
            <v>1503</v>
          </cell>
          <cell r="C129" t="str">
            <v>血量&lt;30%时,立即回复最大血量的21%,每波可触发1次,多个腰带不叠加</v>
          </cell>
        </row>
        <row r="130">
          <cell r="A130">
            <v>1504</v>
          </cell>
          <cell r="C130" t="str">
            <v>急救回复的血量+100%</v>
          </cell>
        </row>
        <row r="131">
          <cell r="A131">
            <v>1600</v>
          </cell>
          <cell r="B131" t="str">
            <v>沙漏</v>
          </cell>
        </row>
        <row r="132">
          <cell r="A132">
            <v>1601</v>
          </cell>
          <cell r="C132" t="str">
            <v>命中后,范围内的目标有32%概率附加醉酒状态:攻速移速-40%,且有40%概率攻击落空,持续4秒</v>
          </cell>
        </row>
        <row r="133">
          <cell r="A133">
            <v>1602</v>
          </cell>
          <cell r="C133" t="str">
            <v>葫芦攻击时有32%概率回复葫芦自身攻击22%的血量</v>
          </cell>
        </row>
        <row r="134">
          <cell r="A134">
            <v>1603</v>
          </cell>
          <cell r="C134" t="str">
            <v>葫芦附加醉酒概率+18%</v>
          </cell>
        </row>
        <row r="135">
          <cell r="A135">
            <v>1604</v>
          </cell>
          <cell r="C135" t="str">
            <v>葫芦附加醉酒后,敌人攻击落空概率+28%</v>
          </cell>
        </row>
        <row r="136">
          <cell r="A136">
            <v>1700</v>
          </cell>
          <cell r="B136" t="str">
            <v>魔杖盒</v>
          </cell>
        </row>
        <row r="137">
          <cell r="A137">
            <v>1701</v>
          </cell>
          <cell r="C137" t="str">
            <v>同时扔出1-5个魔杖盒</v>
          </cell>
        </row>
        <row r="138">
          <cell r="A138">
            <v>1702</v>
          </cell>
          <cell r="C138" t="str">
            <v>魔杖盒命中有55%的概率造成击退，击退距离随机</v>
          </cell>
        </row>
        <row r="139">
          <cell r="A139">
            <v>1703</v>
          </cell>
          <cell r="C139" t="str">
            <v>魔杖盒命中有55%的概率眩晕目标0-4秒</v>
          </cell>
        </row>
        <row r="140">
          <cell r="A140">
            <v>1704</v>
          </cell>
          <cell r="C140" t="str">
            <v>命中后对随机范围造成攻击力32%的伤害</v>
          </cell>
        </row>
        <row r="141">
          <cell r="A141">
            <v>1800</v>
          </cell>
          <cell r="B141" t="str">
            <v>飞天扫把</v>
          </cell>
        </row>
        <row r="142">
          <cell r="A142">
            <v>1801</v>
          </cell>
          <cell r="C142" t="str">
            <v>飞天扫把命中后，追加1次半径1.8的范围伤害，造成飞天扫把攻击50%的伤害</v>
          </cell>
        </row>
        <row r="143">
          <cell r="A143">
            <v>1802</v>
          </cell>
          <cell r="C143" t="str">
            <v>飞天扫把速度+16%</v>
          </cell>
        </row>
        <row r="144">
          <cell r="A144">
            <v>1803</v>
          </cell>
          <cell r="C144" t="str">
            <v>飞天扫把造成伤害时，有55%的概率使目标移速和攻速-26%，持续2s，不叠加</v>
          </cell>
        </row>
        <row r="145">
          <cell r="A145">
            <v>1804</v>
          </cell>
          <cell r="C145" t="str">
            <v>飞天扫把伤害范围+25%</v>
          </cell>
        </row>
        <row r="146">
          <cell r="A146">
            <v>1900</v>
          </cell>
          <cell r="B146" t="str">
            <v>魔法斗篷</v>
          </cell>
        </row>
        <row r="147">
          <cell r="A147">
            <v>1901</v>
          </cell>
          <cell r="C147" t="str">
            <v>魔法斗篷的叠甲+30%</v>
          </cell>
        </row>
        <row r="148">
          <cell r="A148">
            <v>1902</v>
          </cell>
          <cell r="C148" t="str">
            <v>魔法斗篷的血量+30%</v>
          </cell>
        </row>
        <row r="149">
          <cell r="A149">
            <v>1903</v>
          </cell>
          <cell r="C149" t="str">
            <v>被近战攻击时，有20%的概率受到的伤害-50%</v>
          </cell>
        </row>
        <row r="150">
          <cell r="A150">
            <v>1904</v>
          </cell>
          <cell r="C150" t="str">
            <v>被远程攻击时，有20%的概率受到的伤害-50%</v>
          </cell>
        </row>
        <row r="151">
          <cell r="A151">
            <v>2000</v>
          </cell>
          <cell r="B151" t="str">
            <v>魔戒</v>
          </cell>
        </row>
        <row r="152">
          <cell r="A152">
            <v>2001</v>
          </cell>
          <cell r="C152" t="str">
            <v>魔法戒指周围的武器暴击率提升（合成1级:1%,合成2级:3%,合成3级:5%,合成4级:7%）</v>
          </cell>
        </row>
        <row r="153">
          <cell r="A153">
            <v>2002</v>
          </cell>
          <cell r="C153" t="str">
            <v>多个魔法戒指提升的暴击率可叠加</v>
          </cell>
        </row>
        <row r="154">
          <cell r="A154">
            <v>2003</v>
          </cell>
          <cell r="C154" t="str">
            <v>魔法戒指对同行同列的武器均提升暴击率</v>
          </cell>
        </row>
        <row r="155">
          <cell r="A155">
            <v>2004</v>
          </cell>
          <cell r="C155" t="str">
            <v>魔法戒指对背包内所有武器均提升暴击率</v>
          </cell>
        </row>
        <row r="156">
          <cell r="A156">
            <v>10001</v>
          </cell>
          <cell r="C156" t="str">
            <v>所有防具生命+6%</v>
          </cell>
        </row>
        <row r="157">
          <cell r="A157">
            <v>10002</v>
          </cell>
          <cell r="C157" t="str">
            <v>所有防具生命+12%</v>
          </cell>
        </row>
        <row r="158">
          <cell r="A158">
            <v>10003</v>
          </cell>
          <cell r="C158" t="str">
            <v>所有防具生命+16%</v>
          </cell>
        </row>
        <row r="159">
          <cell r="A159">
            <v>10011</v>
          </cell>
          <cell r="C159" t="str">
            <v>所有武器伤害+6%</v>
          </cell>
        </row>
        <row r="160">
          <cell r="A160">
            <v>10012</v>
          </cell>
          <cell r="C160" t="str">
            <v>所有武器伤害+9%</v>
          </cell>
        </row>
        <row r="161">
          <cell r="A161">
            <v>10013</v>
          </cell>
          <cell r="C161" t="str">
            <v>所有武器伤害+14%</v>
          </cell>
        </row>
        <row r="162">
          <cell r="A162">
            <v>10021</v>
          </cell>
          <cell r="C162" t="str">
            <v>所有装备速度+6%</v>
          </cell>
        </row>
        <row r="163">
          <cell r="A163">
            <v>10022</v>
          </cell>
          <cell r="C163" t="str">
            <v>所有装备速度+9%</v>
          </cell>
        </row>
        <row r="164">
          <cell r="A164">
            <v>10023</v>
          </cell>
          <cell r="C164" t="str">
            <v>所有装备速度+14%</v>
          </cell>
        </row>
        <row r="165">
          <cell r="A165">
            <v>10031</v>
          </cell>
          <cell r="C165" t="str">
            <v>所有敌人移动速度-6%</v>
          </cell>
        </row>
        <row r="166">
          <cell r="A166">
            <v>10032</v>
          </cell>
          <cell r="C166" t="str">
            <v>所有敌人移动速度-12%</v>
          </cell>
        </row>
        <row r="167">
          <cell r="A167">
            <v>10033</v>
          </cell>
          <cell r="C167" t="str">
            <v>所有敌人移动速度-16%</v>
          </cell>
        </row>
        <row r="168">
          <cell r="A168">
            <v>10041</v>
          </cell>
          <cell r="C168" t="str">
            <v>经验获取+10%</v>
          </cell>
        </row>
        <row r="169">
          <cell r="A169">
            <v>10042</v>
          </cell>
          <cell r="C169" t="str">
            <v>经验获取+30%</v>
          </cell>
        </row>
        <row r="170">
          <cell r="A170">
            <v>10043</v>
          </cell>
          <cell r="C170" t="str">
            <v>经验获取+50%</v>
          </cell>
        </row>
        <row r="171">
          <cell r="A171">
            <v>10051</v>
          </cell>
          <cell r="C171" t="str">
            <v>对boss伤害+55%</v>
          </cell>
        </row>
        <row r="172">
          <cell r="A172">
            <v>10052</v>
          </cell>
          <cell r="C172" t="str">
            <v>对boss伤害+105%</v>
          </cell>
        </row>
        <row r="173">
          <cell r="A173">
            <v>10061</v>
          </cell>
          <cell r="C173" t="str">
            <v>背包里每有一件装备伤害+1.5%</v>
          </cell>
        </row>
        <row r="174">
          <cell r="A174">
            <v>10062</v>
          </cell>
          <cell r="C174" t="str">
            <v>背包里每有一件装备伤害+2.5%</v>
          </cell>
        </row>
        <row r="175">
          <cell r="A175">
            <v>50000</v>
          </cell>
          <cell r="B175" t="str">
            <v>小怪通用技能-近战</v>
          </cell>
        </row>
        <row r="176">
          <cell r="A176">
            <v>50001</v>
          </cell>
          <cell r="B176" t="str">
            <v>BOSS通用技能-近战</v>
          </cell>
        </row>
        <row r="177">
          <cell r="A177">
            <v>50011</v>
          </cell>
          <cell r="B177" t="str">
            <v>远程102技能</v>
          </cell>
        </row>
        <row r="178">
          <cell r="A178">
            <v>50012</v>
          </cell>
          <cell r="B178" t="str">
            <v>远程106技能</v>
          </cell>
        </row>
        <row r="179">
          <cell r="A179">
            <v>50013</v>
          </cell>
          <cell r="B179" t="str">
            <v>远程107技能</v>
          </cell>
        </row>
        <row r="180">
          <cell r="A180">
            <v>50014</v>
          </cell>
          <cell r="B180" t="str">
            <v>远程109技能</v>
          </cell>
        </row>
        <row r="181">
          <cell r="A181">
            <v>50015</v>
          </cell>
          <cell r="B181" t="str">
            <v>远程112技能</v>
          </cell>
        </row>
        <row r="182">
          <cell r="A182">
            <v>50016</v>
          </cell>
          <cell r="B182" t="str">
            <v>远程113技能</v>
          </cell>
        </row>
        <row r="183">
          <cell r="A183">
            <v>50017</v>
          </cell>
          <cell r="B183" t="str">
            <v>远程118技能</v>
          </cell>
        </row>
        <row r="184">
          <cell r="A184">
            <v>50018</v>
          </cell>
          <cell r="B184" t="str">
            <v>远程119技能</v>
          </cell>
        </row>
        <row r="185">
          <cell r="A185">
            <v>50021</v>
          </cell>
          <cell r="B185" t="str">
            <v>远程502技能</v>
          </cell>
        </row>
        <row r="186">
          <cell r="A186">
            <v>50022</v>
          </cell>
          <cell r="B186" t="str">
            <v>远程506技能</v>
          </cell>
        </row>
        <row r="187">
          <cell r="A187">
            <v>50023</v>
          </cell>
          <cell r="B187" t="str">
            <v>远程507技能</v>
          </cell>
        </row>
        <row r="188">
          <cell r="A188">
            <v>50024</v>
          </cell>
          <cell r="B188" t="str">
            <v>远程509技能</v>
          </cell>
        </row>
        <row r="189">
          <cell r="A189">
            <v>50025</v>
          </cell>
          <cell r="B189" t="str">
            <v>远程512技能</v>
          </cell>
        </row>
        <row r="190">
          <cell r="A190">
            <v>50026</v>
          </cell>
          <cell r="B190" t="str">
            <v>远程513技能</v>
          </cell>
        </row>
        <row r="191">
          <cell r="A191">
            <v>50027</v>
          </cell>
          <cell r="B191" t="str">
            <v>远程518技能</v>
          </cell>
        </row>
        <row r="192">
          <cell r="A192">
            <v>50028</v>
          </cell>
          <cell r="B192" t="str">
            <v>远程519技能</v>
          </cell>
        </row>
        <row r="193">
          <cell r="A193">
            <v>60001</v>
          </cell>
          <cell r="B193" t="str">
            <v>怪物特性</v>
          </cell>
          <cell r="C193" t="str">
            <v>获得最大生命百分比护盾</v>
          </cell>
        </row>
        <row r="194">
          <cell r="A194">
            <v>60002</v>
          </cell>
          <cell r="B194" t="str">
            <v>怪物特性</v>
          </cell>
          <cell r="C194" t="str">
            <v>本体分裂2</v>
          </cell>
        </row>
        <row r="195">
          <cell r="A195">
            <v>60003</v>
          </cell>
          <cell r="B195" t="str">
            <v>怪物特性</v>
          </cell>
          <cell r="C195" t="str">
            <v>怪物生成时提高100%移动速度，持续{6}秒</v>
          </cell>
        </row>
        <row r="196">
          <cell r="A196">
            <v>60004</v>
          </cell>
          <cell r="B196" t="str">
            <v>怪物特性</v>
          </cell>
          <cell r="C196" t="str">
            <v>区域攻击提升</v>
          </cell>
        </row>
        <row r="197">
          <cell r="A197">
            <v>60005</v>
          </cell>
          <cell r="B197" t="str">
            <v>怪物特性</v>
          </cell>
          <cell r="C197" t="str">
            <v>区域攻击频率提升</v>
          </cell>
        </row>
        <row r="198">
          <cell r="A198">
            <v>60006</v>
          </cell>
          <cell r="B198" t="str">
            <v>怪物特性</v>
          </cell>
          <cell r="C198" t="str">
            <v>受到毒伤降低</v>
          </cell>
        </row>
        <row r="199">
          <cell r="A199">
            <v>60007</v>
          </cell>
          <cell r="B199" t="str">
            <v>怪物特性</v>
          </cell>
          <cell r="C199" t="str">
            <v>碰到角色自爆</v>
          </cell>
        </row>
        <row r="200">
          <cell r="A200">
            <v>60008</v>
          </cell>
          <cell r="B200" t="str">
            <v>怪物特性</v>
          </cell>
          <cell r="C200" t="str">
            <v>命中角色流血</v>
          </cell>
        </row>
        <row r="201">
          <cell r="A201">
            <v>60009</v>
          </cell>
          <cell r="B201" t="str">
            <v>怪物特性</v>
          </cell>
          <cell r="C201" t="str">
            <v>区域破甲</v>
          </cell>
        </row>
        <row r="202">
          <cell r="A202">
            <v>70003</v>
          </cell>
          <cell r="B202" t="str">
            <v>英雄1000技能</v>
          </cell>
          <cell r="C202" t="str">
            <v>生命+50</v>
          </cell>
        </row>
        <row r="203">
          <cell r="A203">
            <v>70005</v>
          </cell>
          <cell r="B203" t="str">
            <v>英雄1000技能</v>
          </cell>
          <cell r="C203" t="str">
            <v>所有装备叠甲效果+2%</v>
          </cell>
        </row>
        <row r="204">
          <cell r="A204">
            <v>70007</v>
          </cell>
          <cell r="B204" t="str">
            <v>英雄1000技能</v>
          </cell>
          <cell r="C204" t="str">
            <v>攻击+20</v>
          </cell>
        </row>
        <row r="205">
          <cell r="A205">
            <v>70009</v>
          </cell>
          <cell r="B205" t="str">
            <v>英雄1000技能</v>
          </cell>
          <cell r="C205" t="str">
            <v>所有装备回血效果+2%</v>
          </cell>
        </row>
        <row r="206">
          <cell r="A206">
            <v>70010</v>
          </cell>
          <cell r="B206" t="str">
            <v>英雄1000技能</v>
          </cell>
          <cell r="C206" t="str">
            <v>生命+100</v>
          </cell>
        </row>
        <row r="207">
          <cell r="A207">
            <v>70011</v>
          </cell>
          <cell r="B207" t="str">
            <v>英雄1000技能</v>
          </cell>
          <cell r="C207" t="str">
            <v>所有装备叠甲效果+3%</v>
          </cell>
        </row>
        <row r="208">
          <cell r="A208">
            <v>70012</v>
          </cell>
          <cell r="B208" t="str">
            <v>英雄1000技能</v>
          </cell>
          <cell r="C208" t="str">
            <v>攻击+40</v>
          </cell>
        </row>
        <row r="209">
          <cell r="A209">
            <v>70013</v>
          </cell>
          <cell r="B209" t="str">
            <v>英雄1000技能</v>
          </cell>
          <cell r="C209" t="str">
            <v>所有装备回血效果+3%</v>
          </cell>
        </row>
        <row r="210">
          <cell r="A210">
            <v>70014</v>
          </cell>
          <cell r="B210" t="str">
            <v>英雄1000技能</v>
          </cell>
          <cell r="C210" t="str">
            <v>生命+200</v>
          </cell>
        </row>
        <row r="211">
          <cell r="A211">
            <v>70015</v>
          </cell>
          <cell r="B211" t="str">
            <v>英雄1000技能</v>
          </cell>
          <cell r="C211" t="str">
            <v>所有装备叠甲效果+5%</v>
          </cell>
        </row>
        <row r="212">
          <cell r="A212">
            <v>70016</v>
          </cell>
          <cell r="B212" t="str">
            <v>英雄1000技能</v>
          </cell>
          <cell r="C212" t="str">
            <v>攻击+60</v>
          </cell>
        </row>
        <row r="213">
          <cell r="A213">
            <v>70017</v>
          </cell>
          <cell r="B213" t="str">
            <v>英雄1000技能</v>
          </cell>
          <cell r="C213" t="str">
            <v>所有装备回血效果+5%</v>
          </cell>
        </row>
        <row r="214">
          <cell r="A214">
            <v>70018</v>
          </cell>
          <cell r="B214" t="str">
            <v>英雄1000技能</v>
          </cell>
          <cell r="C214" t="str">
            <v>生命+300</v>
          </cell>
        </row>
        <row r="215">
          <cell r="A215">
            <v>70019</v>
          </cell>
          <cell r="B215" t="str">
            <v>英雄1000技能</v>
          </cell>
          <cell r="C215" t="str">
            <v>所有装备叠甲效果+10%</v>
          </cell>
        </row>
        <row r="216">
          <cell r="A216">
            <v>70020</v>
          </cell>
          <cell r="B216" t="str">
            <v>英雄1000技能</v>
          </cell>
          <cell r="C216" t="str">
            <v>攻击+100</v>
          </cell>
        </row>
        <row r="217">
          <cell r="A217">
            <v>70021</v>
          </cell>
          <cell r="B217" t="str">
            <v>英雄1000技能</v>
          </cell>
          <cell r="C217" t="str">
            <v>所有装备回血效果+10%</v>
          </cell>
        </row>
        <row r="218">
          <cell r="A218">
            <v>70022</v>
          </cell>
          <cell r="B218" t="str">
            <v>英雄1000技能</v>
          </cell>
          <cell r="C218" t="str">
            <v>生命+500</v>
          </cell>
        </row>
        <row r="219">
          <cell r="A219">
            <v>70023</v>
          </cell>
          <cell r="B219" t="str">
            <v>英雄1000技能</v>
          </cell>
          <cell r="C219" t="str">
            <v>生命加成+10%</v>
          </cell>
        </row>
        <row r="220">
          <cell r="A220">
            <v>70024</v>
          </cell>
          <cell r="B220" t="str">
            <v>英雄1000技能</v>
          </cell>
          <cell r="C220" t="str">
            <v>英雄攻击+100</v>
          </cell>
        </row>
        <row r="221">
          <cell r="A221">
            <v>70025</v>
          </cell>
          <cell r="B221" t="str">
            <v>英雄1000技能</v>
          </cell>
          <cell r="C221" t="str">
            <v>英雄血量+300</v>
          </cell>
        </row>
        <row r="222">
          <cell r="A222">
            <v>70026</v>
          </cell>
          <cell r="B222" t="str">
            <v>英雄1000技能</v>
          </cell>
          <cell r="C222" t="str">
            <v>所有英雄血量加成+5%</v>
          </cell>
        </row>
        <row r="223">
          <cell r="A223">
            <v>70027</v>
          </cell>
          <cell r="B223" t="str">
            <v>英雄1000技能</v>
          </cell>
          <cell r="C223" t="str">
            <v>所有英雄攻击加成+10%</v>
          </cell>
        </row>
        <row r="224">
          <cell r="A224">
            <v>70028</v>
          </cell>
          <cell r="B224" t="str">
            <v>英雄2000技能</v>
          </cell>
          <cell r="C224" t="str">
            <v>立即召唤落星，随机消灭5名敌人，对boss无效</v>
          </cell>
        </row>
        <row r="225">
          <cell r="A225">
            <v>70029</v>
          </cell>
          <cell r="B225" t="str">
            <v>英雄2000技能</v>
          </cell>
          <cell r="C225" t="str">
            <v>战斗初始携带件合成2级魔法匕首,魔法匕首攻击+15%</v>
          </cell>
        </row>
        <row r="226">
          <cell r="A226">
            <v>70030</v>
          </cell>
          <cell r="B226" t="str">
            <v>英雄2000技能</v>
          </cell>
          <cell r="C226" t="str">
            <v>英雄攻击+200</v>
          </cell>
        </row>
        <row r="227">
          <cell r="A227">
            <v>70031</v>
          </cell>
          <cell r="B227" t="str">
            <v>英雄2000技能</v>
          </cell>
          <cell r="C227" t="str">
            <v>受到任意攻击时,有20%概率闪避,若携带魔法匕首,则使用合成等级最高的魔法匕首进行一次反击,造成攻击80%的伤害</v>
          </cell>
        </row>
        <row r="228">
          <cell r="A228">
            <v>70032</v>
          </cell>
          <cell r="B228" t="str">
            <v>英雄2000技能</v>
          </cell>
          <cell r="C228" t="str">
            <v>英雄血量+500</v>
          </cell>
        </row>
        <row r="229">
          <cell r="A229">
            <v>70033</v>
          </cell>
          <cell r="B229" t="str">
            <v>英雄2000技能</v>
          </cell>
          <cell r="C229" t="str">
            <v>所有风元素武器的暴击率+15%</v>
          </cell>
        </row>
        <row r="230">
          <cell r="A230">
            <v>70034</v>
          </cell>
          <cell r="B230" t="str">
            <v>英雄2000技能</v>
          </cell>
          <cell r="C230" t="str">
            <v>所有英雄血量加成+10%</v>
          </cell>
        </row>
        <row r="231">
          <cell r="A231">
            <v>70035</v>
          </cell>
          <cell r="B231" t="str">
            <v>英雄2000技能</v>
          </cell>
          <cell r="C231" t="str">
            <v>刺杀目标数量+3</v>
          </cell>
        </row>
        <row r="232">
          <cell r="A232">
            <v>70036</v>
          </cell>
          <cell r="B232" t="str">
            <v>英雄2000技能</v>
          </cell>
          <cell r="C232" t="str">
            <v>所有英雄攻击加成+20%</v>
          </cell>
        </row>
        <row r="233">
          <cell r="A233">
            <v>70037</v>
          </cell>
          <cell r="B233" t="str">
            <v>英雄2000技能</v>
          </cell>
          <cell r="C233" t="str">
            <v>攻击+50</v>
          </cell>
        </row>
        <row r="234">
          <cell r="A234">
            <v>70038</v>
          </cell>
          <cell r="B234" t="str">
            <v>英雄2000技能</v>
          </cell>
          <cell r="C234" t="str">
            <v>所有角色暴击伤害+5%</v>
          </cell>
        </row>
        <row r="235">
          <cell r="A235">
            <v>70039</v>
          </cell>
          <cell r="B235" t="str">
            <v>英雄2000技能</v>
          </cell>
          <cell r="C235" t="str">
            <v>生命+100</v>
          </cell>
        </row>
        <row r="236">
          <cell r="A236">
            <v>70040</v>
          </cell>
          <cell r="B236" t="str">
            <v>英雄2000技能</v>
          </cell>
          <cell r="C236" t="str">
            <v>所有角色暴击率+2%</v>
          </cell>
        </row>
        <row r="237">
          <cell r="A237">
            <v>70041</v>
          </cell>
          <cell r="B237" t="str">
            <v>英雄2000技能</v>
          </cell>
          <cell r="C237" t="str">
            <v>攻击+100</v>
          </cell>
        </row>
        <row r="238">
          <cell r="A238">
            <v>70042</v>
          </cell>
          <cell r="B238" t="str">
            <v>英雄2000技能</v>
          </cell>
          <cell r="C238" t="str">
            <v>所有角色暴击伤害+5%</v>
          </cell>
        </row>
        <row r="239">
          <cell r="A239">
            <v>70043</v>
          </cell>
          <cell r="B239" t="str">
            <v>英雄2000技能</v>
          </cell>
          <cell r="C239" t="str">
            <v>生命+200</v>
          </cell>
        </row>
        <row r="240">
          <cell r="A240">
            <v>70044</v>
          </cell>
          <cell r="B240" t="str">
            <v>英雄2000技能</v>
          </cell>
          <cell r="C240" t="str">
            <v>所有角色暴击率+3%</v>
          </cell>
        </row>
        <row r="241">
          <cell r="A241">
            <v>70045</v>
          </cell>
          <cell r="B241" t="str">
            <v>英雄2000技能</v>
          </cell>
          <cell r="C241" t="str">
            <v>攻击+150</v>
          </cell>
        </row>
        <row r="242">
          <cell r="A242">
            <v>70046</v>
          </cell>
          <cell r="B242" t="str">
            <v>英雄2000技能</v>
          </cell>
          <cell r="C242" t="str">
            <v>所有角色暴击伤害+10%</v>
          </cell>
        </row>
        <row r="243">
          <cell r="A243">
            <v>70047</v>
          </cell>
          <cell r="B243" t="str">
            <v>英雄2000技能</v>
          </cell>
          <cell r="C243" t="str">
            <v>生命+300</v>
          </cell>
        </row>
        <row r="244">
          <cell r="A244">
            <v>70048</v>
          </cell>
          <cell r="B244" t="str">
            <v>英雄2000技能</v>
          </cell>
          <cell r="C244" t="str">
            <v>所有角色暴击率+5%</v>
          </cell>
        </row>
        <row r="245">
          <cell r="A245">
            <v>70049</v>
          </cell>
          <cell r="B245" t="str">
            <v>英雄2000技能</v>
          </cell>
          <cell r="C245" t="str">
            <v>攻击+200</v>
          </cell>
        </row>
        <row r="246">
          <cell r="A246">
            <v>70050</v>
          </cell>
          <cell r="B246" t="str">
            <v>英雄2000技能</v>
          </cell>
          <cell r="C246" t="str">
            <v>所有角色暴击伤害+15%</v>
          </cell>
        </row>
        <row r="247">
          <cell r="A247">
            <v>70051</v>
          </cell>
          <cell r="B247" t="str">
            <v>英雄2000技能</v>
          </cell>
          <cell r="C247" t="str">
            <v>生命+500</v>
          </cell>
        </row>
        <row r="248">
          <cell r="A248">
            <v>70052</v>
          </cell>
          <cell r="B248" t="str">
            <v>英雄2000技能</v>
          </cell>
          <cell r="C248" t="str">
            <v>所有角色暴击率+10%</v>
          </cell>
        </row>
        <row r="249">
          <cell r="A249">
            <v>70053</v>
          </cell>
          <cell r="B249" t="str">
            <v>英雄2000技能</v>
          </cell>
          <cell r="C249" t="str">
            <v>攻击+400</v>
          </cell>
        </row>
        <row r="250">
          <cell r="A250">
            <v>70054</v>
          </cell>
          <cell r="B250" t="str">
            <v>英雄2000技能</v>
          </cell>
          <cell r="C250" t="str">
            <v>攻击加成+10%</v>
          </cell>
        </row>
        <row r="251">
          <cell r="A251">
            <v>70055</v>
          </cell>
          <cell r="B251" t="str">
            <v>英雄3000技能</v>
          </cell>
          <cell r="C251" t="str">
            <v>释放静止时间魔法，所有敌人静止4秒</v>
          </cell>
        </row>
        <row r="252">
          <cell r="A252">
            <v>70056</v>
          </cell>
          <cell r="B252" t="str">
            <v>英雄3000技能</v>
          </cell>
          <cell r="C252" t="str">
            <v>战斗初始携带1件合成2级雷电法杖,所有雷电法杖攻速+15%</v>
          </cell>
        </row>
        <row r="253">
          <cell r="A253">
            <v>70057</v>
          </cell>
          <cell r="B253" t="str">
            <v>英雄3000技能</v>
          </cell>
          <cell r="C253" t="str">
            <v>英雄攻击+200</v>
          </cell>
        </row>
        <row r="254">
          <cell r="A254">
            <v>70058</v>
          </cell>
          <cell r="B254" t="str">
            <v>英雄3000技能</v>
          </cell>
          <cell r="C254" t="str">
            <v>自己2.5米内的所有敌人攻速-15%，且每秒受到当前血量1%的伤害</v>
          </cell>
        </row>
        <row r="255">
          <cell r="A255">
            <v>70059</v>
          </cell>
          <cell r="B255" t="str">
            <v>英雄3000技能</v>
          </cell>
          <cell r="C255" t="str">
            <v>英雄血量+500</v>
          </cell>
        </row>
        <row r="256">
          <cell r="A256">
            <v>70060</v>
          </cell>
          <cell r="B256" t="str">
            <v>英雄3000技能</v>
          </cell>
          <cell r="C256" t="str">
            <v>所有光系武器的攻击+15%</v>
          </cell>
        </row>
        <row r="257">
          <cell r="A257">
            <v>70061</v>
          </cell>
          <cell r="B257" t="str">
            <v>英雄3000技能</v>
          </cell>
          <cell r="C257" t="str">
            <v>所有英雄血量加成+10%</v>
          </cell>
        </row>
        <row r="258">
          <cell r="A258">
            <v>70062</v>
          </cell>
          <cell r="B258" t="str">
            <v>英雄3000技能</v>
          </cell>
          <cell r="C258" t="str">
            <v>静止时间魔法时长+3秒，且被静止的敌人每秒受到敌人自身最大血量2%的伤害</v>
          </cell>
        </row>
        <row r="259">
          <cell r="A259">
            <v>70063</v>
          </cell>
          <cell r="B259" t="str">
            <v>英雄3000技能</v>
          </cell>
          <cell r="C259" t="str">
            <v>所有英雄攻击加成+20%</v>
          </cell>
        </row>
        <row r="260">
          <cell r="A260">
            <v>70064</v>
          </cell>
          <cell r="B260" t="str">
            <v>英雄3000技能</v>
          </cell>
          <cell r="C260" t="str">
            <v>攻击+50</v>
          </cell>
        </row>
        <row r="261">
          <cell r="A261">
            <v>70065</v>
          </cell>
          <cell r="B261" t="str">
            <v>英雄3000技能</v>
          </cell>
          <cell r="C261" t="str">
            <v>所有角色攻击加成+2%</v>
          </cell>
        </row>
        <row r="262">
          <cell r="A262">
            <v>70066</v>
          </cell>
          <cell r="B262" t="str">
            <v>英雄3000技能</v>
          </cell>
          <cell r="C262" t="str">
            <v>生命+100</v>
          </cell>
        </row>
        <row r="263">
          <cell r="A263">
            <v>70067</v>
          </cell>
          <cell r="B263" t="str">
            <v>英雄3000技能</v>
          </cell>
          <cell r="C263" t="str">
            <v>所有角色生命加成+5%</v>
          </cell>
        </row>
        <row r="264">
          <cell r="A264">
            <v>70068</v>
          </cell>
          <cell r="B264" t="str">
            <v>英雄3000技能</v>
          </cell>
          <cell r="C264" t="str">
            <v>生命+100</v>
          </cell>
        </row>
        <row r="265">
          <cell r="A265">
            <v>70069</v>
          </cell>
          <cell r="B265" t="str">
            <v>英雄3000技能</v>
          </cell>
          <cell r="C265" t="str">
            <v>所有角色攻击加成+3%</v>
          </cell>
        </row>
        <row r="266">
          <cell r="A266">
            <v>70070</v>
          </cell>
          <cell r="B266" t="str">
            <v>英雄3000技能</v>
          </cell>
          <cell r="C266" t="str">
            <v>生命+200</v>
          </cell>
        </row>
        <row r="267">
          <cell r="A267">
            <v>70071</v>
          </cell>
          <cell r="B267" t="str">
            <v>英雄3000技能</v>
          </cell>
          <cell r="C267" t="str">
            <v>所有角色生命加成+5%</v>
          </cell>
        </row>
        <row r="268">
          <cell r="A268">
            <v>70072</v>
          </cell>
          <cell r="B268" t="str">
            <v>英雄3000技能</v>
          </cell>
          <cell r="C268" t="str">
            <v>攻击+150</v>
          </cell>
        </row>
        <row r="269">
          <cell r="A269">
            <v>70073</v>
          </cell>
          <cell r="B269" t="str">
            <v>英雄3000技能</v>
          </cell>
          <cell r="C269" t="str">
            <v>所有角色攻击加成+5%</v>
          </cell>
        </row>
        <row r="270">
          <cell r="A270">
            <v>70074</v>
          </cell>
          <cell r="B270" t="str">
            <v>英雄3000技能</v>
          </cell>
          <cell r="C270" t="str">
            <v>生命+300</v>
          </cell>
        </row>
        <row r="271">
          <cell r="A271">
            <v>70075</v>
          </cell>
          <cell r="B271" t="str">
            <v>英雄3000技能</v>
          </cell>
          <cell r="C271" t="str">
            <v>所有角色生命加成+10%</v>
          </cell>
        </row>
        <row r="272">
          <cell r="A272">
            <v>70076</v>
          </cell>
          <cell r="B272" t="str">
            <v>英雄3000技能</v>
          </cell>
          <cell r="C272" t="str">
            <v>攻击+200</v>
          </cell>
        </row>
        <row r="273">
          <cell r="A273">
            <v>70077</v>
          </cell>
          <cell r="B273" t="str">
            <v>英雄3000技能</v>
          </cell>
          <cell r="C273" t="str">
            <v>所有角色攻击加成+10%</v>
          </cell>
        </row>
        <row r="274">
          <cell r="A274">
            <v>70078</v>
          </cell>
          <cell r="B274" t="str">
            <v>英雄3000技能</v>
          </cell>
          <cell r="C274" t="str">
            <v>生命+500</v>
          </cell>
        </row>
        <row r="275">
          <cell r="A275">
            <v>70079</v>
          </cell>
          <cell r="B275" t="str">
            <v>英雄3000技能</v>
          </cell>
          <cell r="C275" t="str">
            <v>所有角色生命加成+15%</v>
          </cell>
        </row>
        <row r="276">
          <cell r="A276">
            <v>70080</v>
          </cell>
          <cell r="B276" t="str">
            <v>英雄3000技能</v>
          </cell>
          <cell r="C276" t="str">
            <v>攻击+400</v>
          </cell>
        </row>
        <row r="277">
          <cell r="A277">
            <v>70081</v>
          </cell>
          <cell r="B277" t="str">
            <v>英雄3000技能</v>
          </cell>
          <cell r="C277" t="str">
            <v>攻击加成+10%</v>
          </cell>
        </row>
        <row r="278">
          <cell r="A278">
            <v>801101</v>
          </cell>
          <cell r="B278" t="str">
            <v>火之剑强化1</v>
          </cell>
          <cell r="C278" t="str">
            <v>烈焰格里芬剑灼烧伤害+5%</v>
          </cell>
        </row>
        <row r="279">
          <cell r="A279">
            <v>801102</v>
          </cell>
          <cell r="B279" t="str">
            <v>火之剑强化2</v>
          </cell>
          <cell r="C279" t="str">
            <v>烈焰格里芬剑灼烧伤害+8%</v>
          </cell>
        </row>
        <row r="280">
          <cell r="A280">
            <v>801103</v>
          </cell>
          <cell r="B280" t="str">
            <v>火之剑强化3</v>
          </cell>
          <cell r="C280" t="str">
            <v>烈焰格里芬剑灼烧伤害+11%</v>
          </cell>
        </row>
        <row r="281">
          <cell r="A281">
            <v>801104</v>
          </cell>
          <cell r="B281" t="str">
            <v>火之剑强化4</v>
          </cell>
          <cell r="C281" t="str">
            <v>烈焰格里芬剑灼烧伤害+15%</v>
          </cell>
        </row>
        <row r="282">
          <cell r="A282">
            <v>801105</v>
          </cell>
          <cell r="B282" t="str">
            <v>火之剑强化5</v>
          </cell>
          <cell r="C282" t="str">
            <v>烈焰格里芬剑灼烧伤害+20%</v>
          </cell>
        </row>
        <row r="283">
          <cell r="A283">
            <v>802101</v>
          </cell>
          <cell r="B283" t="str">
            <v>黑暗之斧强化1</v>
          </cell>
          <cell r="C283" t="str">
            <v>黑暗之斧暴击率+3%</v>
          </cell>
        </row>
        <row r="284">
          <cell r="A284">
            <v>802102</v>
          </cell>
          <cell r="B284" t="str">
            <v>黑暗之斧强化2</v>
          </cell>
          <cell r="C284" t="str">
            <v>黑暗之斧暴击率+4%</v>
          </cell>
        </row>
        <row r="285">
          <cell r="A285">
            <v>802103</v>
          </cell>
          <cell r="B285" t="str">
            <v>黑暗之斧强化3</v>
          </cell>
          <cell r="C285" t="str">
            <v>黑暗之斧暴击率+5%</v>
          </cell>
        </row>
        <row r="286">
          <cell r="A286">
            <v>802104</v>
          </cell>
          <cell r="B286" t="str">
            <v>黑暗之斧强化4</v>
          </cell>
          <cell r="C286" t="str">
            <v>黑暗之斧暴击率+7%</v>
          </cell>
        </row>
        <row r="287">
          <cell r="A287">
            <v>802105</v>
          </cell>
          <cell r="B287" t="str">
            <v>黑暗之斧强化5</v>
          </cell>
          <cell r="C287" t="str">
            <v>黑暗之斧暴击率+10%</v>
          </cell>
        </row>
        <row r="288">
          <cell r="A288">
            <v>803101</v>
          </cell>
          <cell r="B288" t="str">
            <v>暴风魔杖强化1</v>
          </cell>
          <cell r="C288" t="str">
            <v>暴风雪释放概率+3%</v>
          </cell>
        </row>
        <row r="289">
          <cell r="A289">
            <v>803102</v>
          </cell>
          <cell r="B289" t="str">
            <v>暴风魔杖强化2</v>
          </cell>
          <cell r="C289" t="str">
            <v>暴风雪释放概率+4%</v>
          </cell>
        </row>
        <row r="290">
          <cell r="A290">
            <v>803103</v>
          </cell>
          <cell r="B290" t="str">
            <v>暴风魔杖强化3</v>
          </cell>
          <cell r="C290" t="str">
            <v>暴风雪释放概率+5%</v>
          </cell>
        </row>
        <row r="291">
          <cell r="A291">
            <v>803104</v>
          </cell>
          <cell r="B291" t="str">
            <v>暴风魔杖强化4</v>
          </cell>
          <cell r="C291" t="str">
            <v>暴风雪释放概率+7%</v>
          </cell>
        </row>
        <row r="292">
          <cell r="A292">
            <v>803105</v>
          </cell>
          <cell r="B292" t="str">
            <v>暴风魔杖强化5</v>
          </cell>
          <cell r="C292" t="str">
            <v>暴风雪释放概率+10%</v>
          </cell>
        </row>
        <row r="293">
          <cell r="A293">
            <v>900002</v>
          </cell>
          <cell r="B293" t="str">
            <v>每日挑战buff</v>
          </cell>
          <cell r="C293" t="str">
            <v>击杀敌人获得经验+50%</v>
          </cell>
        </row>
        <row r="294">
          <cell r="A294">
            <v>900004</v>
          </cell>
          <cell r="B294" t="str">
            <v>每日挑战buff</v>
          </cell>
          <cell r="C294" t="str">
            <v>物理武器攻击+100%</v>
          </cell>
        </row>
        <row r="295">
          <cell r="A295">
            <v>900005</v>
          </cell>
          <cell r="B295" t="str">
            <v>每日挑战buff</v>
          </cell>
          <cell r="C295" t="str">
            <v>魔法武器攻击+100%</v>
          </cell>
        </row>
        <row r="296">
          <cell r="A296">
            <v>900006</v>
          </cell>
          <cell r="B296" t="str">
            <v>每日挑战buff</v>
          </cell>
          <cell r="C296" t="str">
            <v>所有武器速度+20%</v>
          </cell>
        </row>
        <row r="297">
          <cell r="A297">
            <v>900007</v>
          </cell>
          <cell r="B297" t="str">
            <v>每日挑战buff</v>
          </cell>
          <cell r="C297" t="str">
            <v>所有敌人的移动速度-30%</v>
          </cell>
        </row>
        <row r="298">
          <cell r="A298">
            <v>900102</v>
          </cell>
          <cell r="B298" t="str">
            <v>每日挑战debuff</v>
          </cell>
          <cell r="C298" t="str">
            <v>所有敌人攻击+100%</v>
          </cell>
        </row>
        <row r="299">
          <cell r="A299">
            <v>900103</v>
          </cell>
          <cell r="B299" t="str">
            <v>每日挑战debuff</v>
          </cell>
          <cell r="C299" t="str">
            <v>所有敌人的移速+30%</v>
          </cell>
        </row>
        <row r="300">
          <cell r="A300">
            <v>900104</v>
          </cell>
          <cell r="B300" t="str">
            <v>每日挑战debuff</v>
          </cell>
          <cell r="C300" t="str">
            <v>所有敌人生命+100%</v>
          </cell>
        </row>
        <row r="301">
          <cell r="A301">
            <v>900105</v>
          </cell>
          <cell r="B301" t="str">
            <v>每日挑战debuff</v>
          </cell>
          <cell r="C301" t="str">
            <v>所有敌人攻速+50%</v>
          </cell>
        </row>
        <row r="302">
          <cell r="A302">
            <v>900106</v>
          </cell>
          <cell r="B302" t="str">
            <v>每日挑战debuff</v>
          </cell>
          <cell r="C302" t="str">
            <v>所有敌人获得20%的闪避率</v>
          </cell>
        </row>
        <row r="303">
          <cell r="A303">
            <v>900107</v>
          </cell>
          <cell r="B303" t="str">
            <v>每日挑战debuff</v>
          </cell>
          <cell r="C303" t="str">
            <v>所有敌人受到物理武器的伤害降低50%</v>
          </cell>
        </row>
        <row r="304">
          <cell r="A304">
            <v>900108</v>
          </cell>
          <cell r="B304" t="str">
            <v>每日挑战debuff</v>
          </cell>
          <cell r="C304" t="str">
            <v>所有敌人受到魔法武器的伤害降低50%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7"/>
  <sheetViews>
    <sheetView tabSelected="1" zoomScale="110" zoomScaleNormal="110" workbookViewId="0">
      <pane xSplit="4" ySplit="5" topLeftCell="E178" activePane="bottomRight" state="frozen"/>
      <selection pane="topRight"/>
      <selection pane="bottomLeft"/>
      <selection pane="bottomRight" activeCell="D192" sqref="D192"/>
    </sheetView>
  </sheetViews>
  <sheetFormatPr defaultColWidth="24.25" defaultRowHeight="18" x14ac:dyDescent="0.15"/>
  <cols>
    <col min="1" max="1" width="15.25" style="13" customWidth="1"/>
    <col min="2" max="2" width="34.5" style="13" customWidth="1"/>
    <col min="3" max="3" width="11.875" style="14" customWidth="1"/>
    <col min="4" max="4" width="102.375" style="14" customWidth="1"/>
    <col min="5" max="5" width="12.625" style="9" customWidth="1"/>
    <col min="6" max="12" width="13.875" style="13" customWidth="1"/>
    <col min="13" max="13" width="27.125" style="13" customWidth="1"/>
    <col min="14" max="18" width="13.875" style="13" customWidth="1"/>
    <col min="19" max="19" width="17.875" style="13" customWidth="1"/>
    <col min="20" max="16384" width="24.25" style="15"/>
  </cols>
  <sheetData>
    <row r="1" spans="1:19" s="8" customFormat="1" x14ac:dyDescent="0.15">
      <c r="A1" s="16" t="s">
        <v>0</v>
      </c>
      <c r="B1" s="16" t="s">
        <v>1</v>
      </c>
      <c r="C1" s="17" t="s">
        <v>2</v>
      </c>
      <c r="D1" s="18" t="s">
        <v>3</v>
      </c>
      <c r="E1" s="19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</row>
    <row r="2" spans="1:19" s="8" customFormat="1" x14ac:dyDescent="0.15">
      <c r="A2" s="16" t="s">
        <v>19</v>
      </c>
      <c r="B2" s="16" t="s">
        <v>20</v>
      </c>
      <c r="C2" s="17"/>
      <c r="D2" s="20"/>
      <c r="E2" s="21" t="s">
        <v>20</v>
      </c>
      <c r="F2" s="16" t="s">
        <v>19</v>
      </c>
      <c r="G2" s="16" t="s">
        <v>19</v>
      </c>
      <c r="H2" s="16" t="s">
        <v>20</v>
      </c>
      <c r="I2" s="16" t="s">
        <v>19</v>
      </c>
      <c r="J2" s="16" t="s">
        <v>19</v>
      </c>
      <c r="K2" s="16" t="s">
        <v>20</v>
      </c>
      <c r="L2" s="16" t="s">
        <v>19</v>
      </c>
      <c r="M2" s="16" t="s">
        <v>19</v>
      </c>
      <c r="N2" s="16" t="s">
        <v>19</v>
      </c>
      <c r="O2" s="16" t="s">
        <v>19</v>
      </c>
      <c r="P2" s="16" t="s">
        <v>19</v>
      </c>
      <c r="Q2" s="16" t="s">
        <v>19</v>
      </c>
      <c r="R2" s="16" t="s">
        <v>20</v>
      </c>
      <c r="S2" s="16" t="s">
        <v>19</v>
      </c>
    </row>
    <row r="3" spans="1:19" s="8" customFormat="1" x14ac:dyDescent="0.15">
      <c r="A3" s="16" t="s">
        <v>21</v>
      </c>
      <c r="B3" s="16" t="s">
        <v>22</v>
      </c>
      <c r="C3" s="17"/>
      <c r="D3" s="18"/>
      <c r="E3" s="19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16" t="s">
        <v>28</v>
      </c>
      <c r="K3" s="16" t="s">
        <v>29</v>
      </c>
      <c r="L3" s="16" t="s">
        <v>30</v>
      </c>
      <c r="M3" s="16" t="s">
        <v>31</v>
      </c>
      <c r="N3" s="16" t="s">
        <v>32</v>
      </c>
      <c r="O3" s="16" t="s">
        <v>33</v>
      </c>
      <c r="P3" s="16" t="s">
        <v>34</v>
      </c>
      <c r="Q3" s="16" t="s">
        <v>35</v>
      </c>
      <c r="R3" s="16" t="s">
        <v>36</v>
      </c>
      <c r="S3" s="16" t="s">
        <v>37</v>
      </c>
    </row>
    <row r="4" spans="1:19" s="8" customFormat="1" x14ac:dyDescent="0.15">
      <c r="A4" s="16" t="s">
        <v>38</v>
      </c>
      <c r="B4" s="16" t="s">
        <v>39</v>
      </c>
      <c r="C4" s="17"/>
      <c r="D4" s="18" t="s">
        <v>39</v>
      </c>
      <c r="E4" s="19" t="s">
        <v>40</v>
      </c>
      <c r="F4" s="16" t="s">
        <v>38</v>
      </c>
      <c r="G4" s="16" t="s">
        <v>38</v>
      </c>
      <c r="H4" s="16" t="s">
        <v>41</v>
      </c>
      <c r="I4" s="16" t="s">
        <v>38</v>
      </c>
      <c r="J4" s="16" t="s">
        <v>38</v>
      </c>
      <c r="K4" s="16" t="s">
        <v>38</v>
      </c>
      <c r="L4" s="16" t="s">
        <v>38</v>
      </c>
      <c r="M4" s="16" t="s">
        <v>41</v>
      </c>
      <c r="N4" s="16" t="s">
        <v>41</v>
      </c>
      <c r="O4" s="16" t="s">
        <v>38</v>
      </c>
      <c r="P4" s="16" t="s">
        <v>38</v>
      </c>
      <c r="Q4" s="16" t="s">
        <v>41</v>
      </c>
      <c r="R4" s="16" t="s">
        <v>38</v>
      </c>
      <c r="S4" s="16" t="s">
        <v>38</v>
      </c>
    </row>
    <row r="5" spans="1:19" s="8" customFormat="1" x14ac:dyDescent="0.15">
      <c r="A5" s="22"/>
      <c r="B5" s="22"/>
      <c r="C5" s="23"/>
      <c r="D5" s="24"/>
      <c r="E5" s="2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19" s="9" customFormat="1" x14ac:dyDescent="0.15">
      <c r="A6" s="2">
        <v>1100</v>
      </c>
      <c r="B6" s="7" t="str">
        <f>"equip_skill["&amp;"icon_equipSkill_"&amp;A6&amp;"]"</f>
        <v>equip_skill[icon_equipSkill_1100]</v>
      </c>
      <c r="C6" s="2" t="s">
        <v>42</v>
      </c>
      <c r="D6" s="2"/>
      <c r="E6" s="2"/>
      <c r="F6" s="2">
        <v>100</v>
      </c>
      <c r="G6" s="2"/>
      <c r="H6" s="2"/>
      <c r="I6" s="2">
        <v>1</v>
      </c>
      <c r="J6" s="2">
        <v>1</v>
      </c>
      <c r="K6" s="2"/>
      <c r="L6" s="2">
        <v>0</v>
      </c>
      <c r="M6" s="2"/>
      <c r="N6" s="2"/>
      <c r="O6" s="2">
        <v>1</v>
      </c>
      <c r="P6" s="2">
        <v>99</v>
      </c>
      <c r="Q6" s="2"/>
      <c r="R6" s="2"/>
      <c r="S6" s="2"/>
    </row>
    <row r="7" spans="1:19" s="10" customFormat="1" x14ac:dyDescent="0.15">
      <c r="A7" s="5">
        <v>1101</v>
      </c>
      <c r="B7" s="7" t="str">
        <f t="shared" ref="B7:B38" si="0">"equip_skill["&amp;"icon_equipSkill_"&amp;A7&amp;"]"</f>
        <v>equip_skill[icon_equipSkill_1101]</v>
      </c>
      <c r="C7" s="5" t="s">
        <v>42</v>
      </c>
      <c r="D7" s="4" t="s">
        <v>43</v>
      </c>
      <c r="E7" s="5" t="s">
        <v>44</v>
      </c>
      <c r="F7" s="5"/>
      <c r="G7" s="5">
        <v>5</v>
      </c>
      <c r="H7" s="5" t="s">
        <v>45</v>
      </c>
      <c r="I7" s="5">
        <v>4</v>
      </c>
      <c r="J7" s="5">
        <v>1</v>
      </c>
      <c r="K7" s="5"/>
      <c r="L7" s="5">
        <v>9</v>
      </c>
      <c r="M7" s="5"/>
      <c r="N7" s="5"/>
      <c r="O7" s="5">
        <v>-1</v>
      </c>
      <c r="P7" s="5">
        <v>99</v>
      </c>
      <c r="Q7" s="5"/>
      <c r="R7" s="5"/>
      <c r="S7" s="5"/>
    </row>
    <row r="8" spans="1:19" ht="17.25" x14ac:dyDescent="0.15">
      <c r="A8" s="7">
        <v>1201</v>
      </c>
      <c r="B8" s="7" t="str">
        <f t="shared" si="0"/>
        <v>equip_skill[icon_equipSkill_1201]</v>
      </c>
      <c r="C8" s="7" t="s">
        <v>42</v>
      </c>
      <c r="D8" s="6" t="s">
        <v>46</v>
      </c>
      <c r="E8" s="7" t="s">
        <v>47</v>
      </c>
      <c r="F8" s="7">
        <v>101</v>
      </c>
      <c r="G8" s="7">
        <v>3</v>
      </c>
      <c r="H8" s="7"/>
      <c r="I8" s="7">
        <v>2</v>
      </c>
      <c r="J8" s="7">
        <v>1</v>
      </c>
      <c r="K8" s="7"/>
      <c r="L8" s="7">
        <v>1</v>
      </c>
      <c r="M8" s="7"/>
      <c r="N8" s="7"/>
      <c r="O8" s="7">
        <v>1</v>
      </c>
      <c r="P8" s="7">
        <v>99</v>
      </c>
      <c r="Q8" s="7"/>
      <c r="R8" s="7"/>
      <c r="S8" s="7"/>
    </row>
    <row r="9" spans="1:19" ht="17.25" x14ac:dyDescent="0.15">
      <c r="A9" s="7">
        <v>1202</v>
      </c>
      <c r="B9" s="7" t="str">
        <f t="shared" si="0"/>
        <v>equip_skill[icon_equipSkill_1202]</v>
      </c>
      <c r="C9" s="7" t="s">
        <v>42</v>
      </c>
      <c r="D9" s="6" t="s">
        <v>48</v>
      </c>
      <c r="E9" s="7" t="s">
        <v>49</v>
      </c>
      <c r="F9" s="7">
        <v>102</v>
      </c>
      <c r="G9" s="7">
        <v>2</v>
      </c>
      <c r="H9" s="7"/>
      <c r="I9" s="7">
        <v>2</v>
      </c>
      <c r="J9" s="7">
        <v>1</v>
      </c>
      <c r="K9" s="7"/>
      <c r="L9" s="7">
        <v>3</v>
      </c>
      <c r="M9" s="7" t="s">
        <v>50</v>
      </c>
      <c r="N9" s="7"/>
      <c r="O9" s="7">
        <v>1</v>
      </c>
      <c r="P9" s="7">
        <v>99</v>
      </c>
      <c r="Q9" s="7"/>
      <c r="R9" s="7"/>
      <c r="S9" s="7"/>
    </row>
    <row r="10" spans="1:19" ht="17.25" x14ac:dyDescent="0.15">
      <c r="A10" s="7">
        <v>1203</v>
      </c>
      <c r="B10" s="7" t="str">
        <f t="shared" si="0"/>
        <v>equip_skill[icon_equipSkill_1203]</v>
      </c>
      <c r="C10" s="7" t="s">
        <v>42</v>
      </c>
      <c r="D10" s="6" t="s">
        <v>51</v>
      </c>
      <c r="E10" s="7" t="s">
        <v>52</v>
      </c>
      <c r="F10" s="7">
        <v>103</v>
      </c>
      <c r="G10" s="7">
        <v>3</v>
      </c>
      <c r="H10" s="7"/>
      <c r="I10" s="7">
        <v>2</v>
      </c>
      <c r="J10" s="7">
        <v>1</v>
      </c>
      <c r="K10" s="7"/>
      <c r="L10" s="7">
        <v>5</v>
      </c>
      <c r="M10" s="7"/>
      <c r="N10" s="7"/>
      <c r="O10" s="7">
        <v>1</v>
      </c>
      <c r="P10" s="7">
        <v>99</v>
      </c>
      <c r="Q10" s="7"/>
      <c r="R10" s="7"/>
      <c r="S10" s="7"/>
    </row>
    <row r="11" spans="1:19" ht="17.25" x14ac:dyDescent="0.15">
      <c r="A11" s="7">
        <v>1204</v>
      </c>
      <c r="B11" s="7" t="str">
        <f t="shared" si="0"/>
        <v>equip_skill[icon_equipSkill_1204]</v>
      </c>
      <c r="C11" s="7" t="s">
        <v>42</v>
      </c>
      <c r="D11" s="6" t="s">
        <v>53</v>
      </c>
      <c r="E11" s="7" t="s">
        <v>54</v>
      </c>
      <c r="F11" s="7">
        <v>104</v>
      </c>
      <c r="G11" s="7">
        <v>4</v>
      </c>
      <c r="H11" s="7"/>
      <c r="I11" s="7">
        <v>2</v>
      </c>
      <c r="J11" s="7">
        <v>1</v>
      </c>
      <c r="K11" s="7"/>
      <c r="L11" s="7">
        <v>7</v>
      </c>
      <c r="M11" s="7"/>
      <c r="N11" s="7"/>
      <c r="O11" s="7">
        <v>1</v>
      </c>
      <c r="P11" s="7">
        <v>99</v>
      </c>
      <c r="Q11" s="7"/>
      <c r="R11" s="7"/>
      <c r="S11" s="7"/>
    </row>
    <row r="12" spans="1:19" s="11" customFormat="1" ht="17.25" x14ac:dyDescent="0.15">
      <c r="A12" s="7">
        <v>1205</v>
      </c>
      <c r="B12" s="7" t="str">
        <f t="shared" si="0"/>
        <v>equip_skill[icon_equipSkill_1205]</v>
      </c>
      <c r="C12" s="7" t="s">
        <v>42</v>
      </c>
      <c r="D12" s="6" t="s">
        <v>55</v>
      </c>
      <c r="E12" s="7" t="s">
        <v>56</v>
      </c>
      <c r="F12" s="7">
        <v>105</v>
      </c>
      <c r="G12" s="7">
        <v>3</v>
      </c>
      <c r="H12" s="7"/>
      <c r="I12" s="7">
        <v>2</v>
      </c>
      <c r="J12" s="7">
        <v>1</v>
      </c>
      <c r="K12" s="7"/>
      <c r="L12" s="7">
        <v>11</v>
      </c>
      <c r="M12" s="7" t="s">
        <v>57</v>
      </c>
      <c r="N12" s="7"/>
      <c r="O12" s="7">
        <v>1</v>
      </c>
      <c r="P12" s="7">
        <v>99</v>
      </c>
      <c r="Q12" s="7"/>
      <c r="R12" s="7"/>
      <c r="S12" s="7"/>
    </row>
    <row r="13" spans="1:19" s="11" customFormat="1" ht="17.25" x14ac:dyDescent="0.15">
      <c r="A13" s="7">
        <v>1206</v>
      </c>
      <c r="B13" s="7" t="str">
        <f t="shared" si="0"/>
        <v>equip_skill[icon_equipSkill_1206]</v>
      </c>
      <c r="C13" s="7" t="s">
        <v>42</v>
      </c>
      <c r="D13" s="6" t="s">
        <v>58</v>
      </c>
      <c r="E13" s="7" t="s">
        <v>59</v>
      </c>
      <c r="F13" s="7">
        <v>106</v>
      </c>
      <c r="G13" s="7">
        <v>3</v>
      </c>
      <c r="H13" s="7"/>
      <c r="I13" s="7">
        <v>2</v>
      </c>
      <c r="J13" s="7">
        <v>1</v>
      </c>
      <c r="K13" s="7"/>
      <c r="L13" s="7">
        <v>13</v>
      </c>
      <c r="M13" s="7" t="s">
        <v>60</v>
      </c>
      <c r="N13" s="7"/>
      <c r="O13" s="7">
        <v>1</v>
      </c>
      <c r="P13" s="7">
        <v>99</v>
      </c>
      <c r="Q13" s="7"/>
      <c r="R13" s="7"/>
      <c r="S13" s="7"/>
    </row>
    <row r="14" spans="1:19" ht="17.25" x14ac:dyDescent="0.15">
      <c r="A14" s="7">
        <v>1207</v>
      </c>
      <c r="B14" s="7" t="str">
        <f t="shared" si="0"/>
        <v>equip_skill[icon_equipSkill_1207]</v>
      </c>
      <c r="C14" s="7" t="s">
        <v>42</v>
      </c>
      <c r="D14" s="6" t="s">
        <v>61</v>
      </c>
      <c r="E14" s="7" t="s">
        <v>62</v>
      </c>
      <c r="F14" s="7">
        <v>107</v>
      </c>
      <c r="G14" s="7">
        <v>4</v>
      </c>
      <c r="H14" s="7"/>
      <c r="I14" s="7">
        <v>2</v>
      </c>
      <c r="J14" s="7">
        <v>1</v>
      </c>
      <c r="K14" s="7"/>
      <c r="L14" s="7">
        <v>15</v>
      </c>
      <c r="M14" s="7" t="s">
        <v>57</v>
      </c>
      <c r="N14" s="7"/>
      <c r="O14" s="7">
        <v>1</v>
      </c>
      <c r="P14" s="7">
        <v>99</v>
      </c>
      <c r="Q14" s="7"/>
      <c r="R14" s="7"/>
      <c r="S14" s="7"/>
    </row>
    <row r="15" spans="1:19" ht="17.25" x14ac:dyDescent="0.15">
      <c r="A15" s="7">
        <v>1208</v>
      </c>
      <c r="B15" s="7" t="str">
        <f t="shared" si="0"/>
        <v>equip_skill[icon_equipSkill_1208]</v>
      </c>
      <c r="C15" s="7" t="s">
        <v>42</v>
      </c>
      <c r="D15" s="6" t="s">
        <v>63</v>
      </c>
      <c r="E15" s="7" t="s">
        <v>64</v>
      </c>
      <c r="F15" s="7">
        <v>108</v>
      </c>
      <c r="G15" s="7">
        <v>4</v>
      </c>
      <c r="H15" s="7"/>
      <c r="I15" s="7">
        <v>2</v>
      </c>
      <c r="J15" s="7">
        <v>1</v>
      </c>
      <c r="K15" s="7"/>
      <c r="L15" s="7">
        <v>17</v>
      </c>
      <c r="M15" s="7" t="s">
        <v>60</v>
      </c>
      <c r="N15" s="7"/>
      <c r="O15" s="7">
        <v>1</v>
      </c>
      <c r="P15" s="7">
        <v>99</v>
      </c>
      <c r="Q15" s="7"/>
      <c r="R15" s="7"/>
      <c r="S15" s="7"/>
    </row>
    <row r="16" spans="1:19" s="11" customFormat="1" ht="17.25" x14ac:dyDescent="0.15">
      <c r="A16" s="5">
        <v>1209</v>
      </c>
      <c r="B16" s="7" t="str">
        <f t="shared" si="0"/>
        <v>equip_skill[icon_equipSkill_1209]</v>
      </c>
      <c r="C16" s="5" t="s">
        <v>42</v>
      </c>
      <c r="D16" s="4" t="s">
        <v>65</v>
      </c>
      <c r="E16" s="5" t="s">
        <v>62</v>
      </c>
      <c r="F16" s="5">
        <v>109</v>
      </c>
      <c r="G16" s="5">
        <v>5</v>
      </c>
      <c r="H16" s="5" t="s">
        <v>66</v>
      </c>
      <c r="I16" s="5">
        <v>3</v>
      </c>
      <c r="J16" s="5">
        <v>1</v>
      </c>
      <c r="K16" s="5"/>
      <c r="L16" s="5">
        <v>9</v>
      </c>
      <c r="M16" s="5"/>
      <c r="N16" s="5"/>
      <c r="O16" s="5">
        <v>1</v>
      </c>
      <c r="P16" s="5">
        <v>99</v>
      </c>
      <c r="Q16" s="5"/>
      <c r="R16" s="5"/>
      <c r="S16" s="5"/>
    </row>
    <row r="17" spans="1:19" s="11" customFormat="1" ht="17.25" x14ac:dyDescent="0.15">
      <c r="A17" s="5">
        <v>1210</v>
      </c>
      <c r="B17" s="7" t="str">
        <f t="shared" si="0"/>
        <v>equip_skill[icon_equipSkill_1210]</v>
      </c>
      <c r="C17" s="5" t="s">
        <v>42</v>
      </c>
      <c r="D17" s="4" t="s">
        <v>67</v>
      </c>
      <c r="E17" s="5" t="s">
        <v>68</v>
      </c>
      <c r="F17" s="5">
        <v>110</v>
      </c>
      <c r="G17" s="5">
        <v>5</v>
      </c>
      <c r="H17" s="5" t="s">
        <v>69</v>
      </c>
      <c r="I17" s="5">
        <v>3</v>
      </c>
      <c r="J17" s="5">
        <v>1</v>
      </c>
      <c r="K17" s="5"/>
      <c r="L17" s="5">
        <v>9</v>
      </c>
      <c r="M17" s="5"/>
      <c r="N17" s="5"/>
      <c r="O17" s="5">
        <v>1</v>
      </c>
      <c r="P17" s="5">
        <v>99</v>
      </c>
      <c r="Q17" s="5"/>
      <c r="R17" s="5"/>
      <c r="S17" s="5"/>
    </row>
    <row r="18" spans="1:19" s="9" customFormat="1" x14ac:dyDescent="0.15">
      <c r="A18" s="2">
        <v>2100</v>
      </c>
      <c r="B18" s="7" t="str">
        <f t="shared" si="0"/>
        <v>equip_skill[icon_equipSkill_2100]</v>
      </c>
      <c r="C18" s="2" t="s">
        <v>70</v>
      </c>
      <c r="D18" s="2"/>
      <c r="E18" s="2"/>
      <c r="F18" s="2">
        <v>200</v>
      </c>
      <c r="G18" s="2"/>
      <c r="H18" s="2"/>
      <c r="I18" s="2">
        <v>1</v>
      </c>
      <c r="J18" s="2">
        <v>2</v>
      </c>
      <c r="K18" s="2"/>
      <c r="L18" s="2">
        <v>0</v>
      </c>
      <c r="M18" s="2"/>
      <c r="N18" s="2"/>
      <c r="O18" s="2">
        <v>1</v>
      </c>
      <c r="P18" s="2">
        <v>99</v>
      </c>
      <c r="Q18" s="2"/>
      <c r="R18" s="2"/>
      <c r="S18" s="2"/>
    </row>
    <row r="19" spans="1:19" s="10" customFormat="1" x14ac:dyDescent="0.15">
      <c r="A19" s="5">
        <v>2101</v>
      </c>
      <c r="B19" s="7" t="str">
        <f t="shared" si="0"/>
        <v>equip_skill[icon_equipSkill_2101]</v>
      </c>
      <c r="C19" s="5" t="s">
        <v>70</v>
      </c>
      <c r="D19" s="4" t="s">
        <v>71</v>
      </c>
      <c r="E19" s="5" t="s">
        <v>44</v>
      </c>
      <c r="F19" s="5"/>
      <c r="G19" s="5">
        <v>5</v>
      </c>
      <c r="H19" s="5" t="s">
        <v>72</v>
      </c>
      <c r="I19" s="5">
        <v>4</v>
      </c>
      <c r="J19" s="5">
        <v>2</v>
      </c>
      <c r="K19" s="5"/>
      <c r="L19" s="5">
        <v>9</v>
      </c>
      <c r="M19" s="5"/>
      <c r="N19" s="5"/>
      <c r="O19" s="5">
        <v>-1</v>
      </c>
      <c r="P19" s="5">
        <v>99</v>
      </c>
      <c r="Q19" s="5"/>
      <c r="R19" s="5"/>
      <c r="S19" s="5"/>
    </row>
    <row r="20" spans="1:19" ht="17.25" x14ac:dyDescent="0.15">
      <c r="A20" s="7">
        <v>2201</v>
      </c>
      <c r="B20" s="7" t="str">
        <f t="shared" si="0"/>
        <v>equip_skill[icon_equipSkill_2201]</v>
      </c>
      <c r="C20" s="7" t="s">
        <v>70</v>
      </c>
      <c r="D20" s="6" t="s">
        <v>73</v>
      </c>
      <c r="E20" s="7" t="s">
        <v>74</v>
      </c>
      <c r="F20" s="7">
        <v>201</v>
      </c>
      <c r="G20" s="7">
        <v>3</v>
      </c>
      <c r="H20" s="7"/>
      <c r="I20" s="7">
        <v>2</v>
      </c>
      <c r="J20" s="7">
        <v>2</v>
      </c>
      <c r="K20" s="7"/>
      <c r="L20" s="7">
        <v>1</v>
      </c>
      <c r="M20" s="7"/>
      <c r="N20" s="7"/>
      <c r="O20" s="7">
        <v>1</v>
      </c>
      <c r="P20" s="7">
        <v>99</v>
      </c>
      <c r="Q20" s="7"/>
      <c r="R20" s="7"/>
      <c r="S20" s="7"/>
    </row>
    <row r="21" spans="1:19" ht="17.25" x14ac:dyDescent="0.15">
      <c r="A21" s="7">
        <v>2202</v>
      </c>
      <c r="B21" s="7" t="str">
        <f t="shared" si="0"/>
        <v>equip_skill[icon_equipSkill_2202]</v>
      </c>
      <c r="C21" s="7" t="s">
        <v>70</v>
      </c>
      <c r="D21" s="6" t="s">
        <v>75</v>
      </c>
      <c r="E21" s="7" t="s">
        <v>76</v>
      </c>
      <c r="F21" s="7">
        <v>202</v>
      </c>
      <c r="G21" s="7">
        <v>4</v>
      </c>
      <c r="H21" s="7"/>
      <c r="I21" s="7">
        <v>2</v>
      </c>
      <c r="J21" s="7">
        <v>2</v>
      </c>
      <c r="K21" s="7"/>
      <c r="L21" s="7">
        <v>3</v>
      </c>
      <c r="M21" s="7"/>
      <c r="N21" s="7"/>
      <c r="O21" s="7">
        <v>1</v>
      </c>
      <c r="P21" s="7">
        <v>99</v>
      </c>
      <c r="Q21" s="7"/>
      <c r="R21" s="7"/>
      <c r="S21" s="7"/>
    </row>
    <row r="22" spans="1:19" ht="17.25" x14ac:dyDescent="0.15">
      <c r="A22" s="7">
        <v>2203</v>
      </c>
      <c r="B22" s="7" t="str">
        <f t="shared" si="0"/>
        <v>equip_skill[icon_equipSkill_2203]</v>
      </c>
      <c r="C22" s="7" t="s">
        <v>70</v>
      </c>
      <c r="D22" s="6" t="s">
        <v>77</v>
      </c>
      <c r="E22" s="7" t="s">
        <v>78</v>
      </c>
      <c r="F22" s="7">
        <v>203</v>
      </c>
      <c r="G22" s="7">
        <v>3</v>
      </c>
      <c r="H22" s="7"/>
      <c r="I22" s="7">
        <v>2</v>
      </c>
      <c r="J22" s="7">
        <v>2</v>
      </c>
      <c r="K22" s="7"/>
      <c r="L22" s="7">
        <v>5</v>
      </c>
      <c r="M22" s="7"/>
      <c r="N22" s="7"/>
      <c r="O22" s="7">
        <v>1</v>
      </c>
      <c r="P22" s="7">
        <v>99</v>
      </c>
      <c r="Q22" s="7"/>
      <c r="R22" s="7"/>
      <c r="S22" s="7"/>
    </row>
    <row r="23" spans="1:19" ht="17.25" x14ac:dyDescent="0.15">
      <c r="A23" s="7">
        <v>2204</v>
      </c>
      <c r="B23" s="7" t="str">
        <f t="shared" si="0"/>
        <v>equip_skill[icon_equipSkill_2204]</v>
      </c>
      <c r="C23" s="7" t="s">
        <v>70</v>
      </c>
      <c r="D23" s="6" t="s">
        <v>79</v>
      </c>
      <c r="E23" s="7" t="s">
        <v>59</v>
      </c>
      <c r="F23" s="7">
        <v>204</v>
      </c>
      <c r="G23" s="7">
        <v>2</v>
      </c>
      <c r="H23" s="7"/>
      <c r="I23" s="7">
        <v>2</v>
      </c>
      <c r="J23" s="7">
        <v>2</v>
      </c>
      <c r="K23" s="7"/>
      <c r="L23" s="7">
        <v>7</v>
      </c>
      <c r="M23" s="7"/>
      <c r="N23" s="7"/>
      <c r="O23" s="7">
        <v>1</v>
      </c>
      <c r="P23" s="7">
        <v>99</v>
      </c>
      <c r="Q23" s="7"/>
      <c r="R23" s="7"/>
      <c r="S23" s="7"/>
    </row>
    <row r="24" spans="1:19" s="11" customFormat="1" ht="17.25" x14ac:dyDescent="0.15">
      <c r="A24" s="7">
        <v>2205</v>
      </c>
      <c r="B24" s="7" t="str">
        <f t="shared" si="0"/>
        <v>equip_skill[icon_equipSkill_2205]</v>
      </c>
      <c r="C24" s="7" t="s">
        <v>70</v>
      </c>
      <c r="D24" s="6" t="s">
        <v>80</v>
      </c>
      <c r="E24" s="7" t="s">
        <v>44</v>
      </c>
      <c r="F24" s="7">
        <v>205</v>
      </c>
      <c r="G24" s="7">
        <v>3</v>
      </c>
      <c r="H24" s="7"/>
      <c r="I24" s="7">
        <v>2</v>
      </c>
      <c r="J24" s="7">
        <v>2</v>
      </c>
      <c r="K24" s="7"/>
      <c r="L24" s="7">
        <v>11</v>
      </c>
      <c r="M24" s="7" t="s">
        <v>81</v>
      </c>
      <c r="N24" s="7"/>
      <c r="O24" s="7">
        <v>1</v>
      </c>
      <c r="P24" s="7">
        <v>99</v>
      </c>
      <c r="Q24" s="7"/>
      <c r="R24" s="7"/>
      <c r="S24" s="7"/>
    </row>
    <row r="25" spans="1:19" s="11" customFormat="1" ht="17.25" x14ac:dyDescent="0.15">
      <c r="A25" s="7">
        <v>2206</v>
      </c>
      <c r="B25" s="7" t="str">
        <f t="shared" si="0"/>
        <v>equip_skill[icon_equipSkill_2206]</v>
      </c>
      <c r="C25" s="7" t="s">
        <v>70</v>
      </c>
      <c r="D25" s="6" t="s">
        <v>82</v>
      </c>
      <c r="E25" s="7" t="s">
        <v>56</v>
      </c>
      <c r="F25" s="7">
        <v>206</v>
      </c>
      <c r="G25" s="7">
        <v>3</v>
      </c>
      <c r="H25" s="7"/>
      <c r="I25" s="7">
        <v>2</v>
      </c>
      <c r="J25" s="7">
        <v>2</v>
      </c>
      <c r="K25" s="7"/>
      <c r="L25" s="7">
        <v>13</v>
      </c>
      <c r="M25" s="7" t="s">
        <v>83</v>
      </c>
      <c r="N25" s="7"/>
      <c r="O25" s="7">
        <v>1</v>
      </c>
      <c r="P25" s="7">
        <v>99</v>
      </c>
      <c r="Q25" s="7"/>
      <c r="R25" s="7"/>
      <c r="S25" s="7"/>
    </row>
    <row r="26" spans="1:19" ht="17.25" x14ac:dyDescent="0.15">
      <c r="A26" s="7">
        <v>2207</v>
      </c>
      <c r="B26" s="7" t="str">
        <f t="shared" si="0"/>
        <v>equip_skill[icon_equipSkill_2207]</v>
      </c>
      <c r="C26" s="7" t="s">
        <v>70</v>
      </c>
      <c r="D26" s="6" t="s">
        <v>84</v>
      </c>
      <c r="E26" s="7" t="s">
        <v>85</v>
      </c>
      <c r="F26" s="7">
        <v>207</v>
      </c>
      <c r="G26" s="7">
        <v>4</v>
      </c>
      <c r="H26" s="7"/>
      <c r="I26" s="7">
        <v>2</v>
      </c>
      <c r="J26" s="7">
        <v>2</v>
      </c>
      <c r="K26" s="7"/>
      <c r="L26" s="7">
        <v>15</v>
      </c>
      <c r="M26" s="7" t="s">
        <v>81</v>
      </c>
      <c r="N26" s="7"/>
      <c r="O26" s="7">
        <v>1</v>
      </c>
      <c r="P26" s="7">
        <v>99</v>
      </c>
      <c r="Q26" s="7"/>
      <c r="R26" s="7"/>
      <c r="S26" s="7"/>
    </row>
    <row r="27" spans="1:19" ht="17.25" x14ac:dyDescent="0.15">
      <c r="A27" s="7">
        <v>2208</v>
      </c>
      <c r="B27" s="7" t="str">
        <f t="shared" si="0"/>
        <v>equip_skill[icon_equipSkill_2208]</v>
      </c>
      <c r="C27" s="7" t="s">
        <v>70</v>
      </c>
      <c r="D27" s="6" t="s">
        <v>86</v>
      </c>
      <c r="E27" s="7" t="s">
        <v>87</v>
      </c>
      <c r="F27" s="7">
        <v>208</v>
      </c>
      <c r="G27" s="7">
        <v>4</v>
      </c>
      <c r="H27" s="7"/>
      <c r="I27" s="7">
        <v>2</v>
      </c>
      <c r="J27" s="7">
        <v>2</v>
      </c>
      <c r="K27" s="7"/>
      <c r="L27" s="7">
        <v>17</v>
      </c>
      <c r="M27" s="7" t="s">
        <v>83</v>
      </c>
      <c r="N27" s="7"/>
      <c r="O27" s="7">
        <v>1</v>
      </c>
      <c r="P27" s="7">
        <v>99</v>
      </c>
      <c r="Q27" s="7"/>
      <c r="R27" s="7"/>
      <c r="S27" s="7"/>
    </row>
    <row r="28" spans="1:19" s="11" customFormat="1" ht="17.25" x14ac:dyDescent="0.15">
      <c r="A28" s="5">
        <v>2209</v>
      </c>
      <c r="B28" s="7" t="str">
        <f t="shared" si="0"/>
        <v>equip_skill[icon_equipSkill_2209]</v>
      </c>
      <c r="C28" s="5" t="s">
        <v>70</v>
      </c>
      <c r="D28" s="4" t="s">
        <v>88</v>
      </c>
      <c r="E28" s="5" t="s">
        <v>89</v>
      </c>
      <c r="F28" s="5">
        <v>209</v>
      </c>
      <c r="G28" s="5">
        <v>5</v>
      </c>
      <c r="H28" s="5" t="s">
        <v>90</v>
      </c>
      <c r="I28" s="5">
        <v>3</v>
      </c>
      <c r="J28" s="5">
        <v>2</v>
      </c>
      <c r="K28" s="5"/>
      <c r="L28" s="5">
        <v>9</v>
      </c>
      <c r="M28" s="5"/>
      <c r="N28" s="5"/>
      <c r="O28" s="5">
        <v>1</v>
      </c>
      <c r="P28" s="5">
        <v>99</v>
      </c>
      <c r="Q28" s="5"/>
      <c r="R28" s="5"/>
      <c r="S28" s="5"/>
    </row>
    <row r="29" spans="1:19" s="11" customFormat="1" ht="17.25" x14ac:dyDescent="0.15">
      <c r="A29" s="5">
        <v>2210</v>
      </c>
      <c r="B29" s="7" t="str">
        <f t="shared" si="0"/>
        <v>equip_skill[icon_equipSkill_2210]</v>
      </c>
      <c r="C29" s="5" t="s">
        <v>70</v>
      </c>
      <c r="D29" s="4" t="s">
        <v>91</v>
      </c>
      <c r="E29" s="5" t="s">
        <v>92</v>
      </c>
      <c r="F29" s="5">
        <v>210</v>
      </c>
      <c r="G29" s="5">
        <v>5</v>
      </c>
      <c r="H29" s="5" t="s">
        <v>93</v>
      </c>
      <c r="I29" s="5">
        <v>3</v>
      </c>
      <c r="J29" s="5">
        <v>2</v>
      </c>
      <c r="K29" s="5"/>
      <c r="L29" s="5">
        <v>9</v>
      </c>
      <c r="M29" s="5"/>
      <c r="N29" s="5"/>
      <c r="O29" s="5">
        <v>1</v>
      </c>
      <c r="P29" s="5">
        <v>99</v>
      </c>
      <c r="Q29" s="5"/>
      <c r="R29" s="5"/>
      <c r="S29" s="5"/>
    </row>
    <row r="30" spans="1:19" s="9" customFormat="1" x14ac:dyDescent="0.15">
      <c r="A30" s="2">
        <v>3100</v>
      </c>
      <c r="B30" s="7" t="str">
        <f t="shared" si="0"/>
        <v>equip_skill[icon_equipSkill_3100]</v>
      </c>
      <c r="C30" s="2" t="s">
        <v>94</v>
      </c>
      <c r="D30" s="2"/>
      <c r="E30" s="2"/>
      <c r="F30" s="2">
        <v>300</v>
      </c>
      <c r="G30" s="2"/>
      <c r="H30" s="2"/>
      <c r="I30" s="2">
        <v>1</v>
      </c>
      <c r="J30" s="2">
        <v>3</v>
      </c>
      <c r="K30" s="2"/>
      <c r="L30" s="2">
        <v>0</v>
      </c>
      <c r="M30" s="2"/>
      <c r="N30" s="2"/>
      <c r="O30" s="2">
        <v>1</v>
      </c>
      <c r="P30" s="2">
        <v>99</v>
      </c>
      <c r="Q30" s="2"/>
      <c r="R30" s="2"/>
      <c r="S30" s="2"/>
    </row>
    <row r="31" spans="1:19" s="10" customFormat="1" x14ac:dyDescent="0.15">
      <c r="A31" s="5">
        <v>3101</v>
      </c>
      <c r="B31" s="7" t="str">
        <f t="shared" si="0"/>
        <v>equip_skill[icon_equipSkill_3101]</v>
      </c>
      <c r="C31" s="5" t="s">
        <v>94</v>
      </c>
      <c r="D31" s="4" t="s">
        <v>95</v>
      </c>
      <c r="E31" s="5" t="s">
        <v>44</v>
      </c>
      <c r="F31" s="5"/>
      <c r="G31" s="5">
        <v>5</v>
      </c>
      <c r="H31" s="5" t="s">
        <v>96</v>
      </c>
      <c r="I31" s="5">
        <v>4</v>
      </c>
      <c r="J31" s="5">
        <v>3</v>
      </c>
      <c r="K31" s="5"/>
      <c r="L31" s="5">
        <v>9</v>
      </c>
      <c r="M31" s="5"/>
      <c r="N31" s="5"/>
      <c r="O31" s="5">
        <v>-1</v>
      </c>
      <c r="P31" s="5">
        <v>99</v>
      </c>
      <c r="Q31" s="5"/>
      <c r="R31" s="5"/>
      <c r="S31" s="5"/>
    </row>
    <row r="32" spans="1:19" ht="17.25" x14ac:dyDescent="0.15">
      <c r="A32" s="7">
        <v>3201</v>
      </c>
      <c r="B32" s="7" t="str">
        <f t="shared" si="0"/>
        <v>equip_skill[icon_equipSkill_3201]</v>
      </c>
      <c r="C32" s="7" t="s">
        <v>94</v>
      </c>
      <c r="D32" s="6" t="s">
        <v>97</v>
      </c>
      <c r="E32" s="7" t="s">
        <v>89</v>
      </c>
      <c r="F32" s="7">
        <v>301</v>
      </c>
      <c r="G32" s="7">
        <v>3</v>
      </c>
      <c r="H32" s="7"/>
      <c r="I32" s="7">
        <v>2</v>
      </c>
      <c r="J32" s="7">
        <v>3</v>
      </c>
      <c r="K32" s="7"/>
      <c r="L32" s="7">
        <v>1</v>
      </c>
      <c r="M32" s="7"/>
      <c r="N32" s="7"/>
      <c r="O32" s="7">
        <v>1</v>
      </c>
      <c r="P32" s="7">
        <v>99</v>
      </c>
      <c r="Q32" s="7"/>
      <c r="R32" s="7"/>
      <c r="S32" s="7"/>
    </row>
    <row r="33" spans="1:19" ht="17.25" x14ac:dyDescent="0.15">
      <c r="A33" s="7">
        <v>3202</v>
      </c>
      <c r="B33" s="7" t="str">
        <f t="shared" si="0"/>
        <v>equip_skill[icon_equipSkill_3202]</v>
      </c>
      <c r="C33" s="7" t="s">
        <v>94</v>
      </c>
      <c r="D33" s="6" t="s">
        <v>98</v>
      </c>
      <c r="E33" s="7" t="s">
        <v>49</v>
      </c>
      <c r="F33" s="7">
        <v>302</v>
      </c>
      <c r="G33" s="7">
        <v>4</v>
      </c>
      <c r="H33" s="7"/>
      <c r="I33" s="7">
        <v>2</v>
      </c>
      <c r="J33" s="7">
        <v>3</v>
      </c>
      <c r="K33" s="7"/>
      <c r="L33" s="7">
        <v>3</v>
      </c>
      <c r="M33" s="7"/>
      <c r="N33" s="7"/>
      <c r="O33" s="7">
        <v>1</v>
      </c>
      <c r="P33" s="7">
        <v>99</v>
      </c>
      <c r="Q33" s="7"/>
      <c r="R33" s="7"/>
      <c r="S33" s="7"/>
    </row>
    <row r="34" spans="1:19" ht="17.25" x14ac:dyDescent="0.15">
      <c r="A34" s="7">
        <v>3203</v>
      </c>
      <c r="B34" s="7" t="str">
        <f t="shared" si="0"/>
        <v>equip_skill[icon_equipSkill_3203]</v>
      </c>
      <c r="C34" s="7" t="s">
        <v>94</v>
      </c>
      <c r="D34" s="6" t="s">
        <v>99</v>
      </c>
      <c r="E34" s="7" t="s">
        <v>100</v>
      </c>
      <c r="F34" s="7">
        <v>303</v>
      </c>
      <c r="G34" s="7">
        <v>3</v>
      </c>
      <c r="H34" s="7"/>
      <c r="I34" s="7">
        <v>2</v>
      </c>
      <c r="J34" s="7">
        <v>3</v>
      </c>
      <c r="K34" s="7"/>
      <c r="L34" s="7">
        <v>5</v>
      </c>
      <c r="M34" s="7" t="s">
        <v>101</v>
      </c>
      <c r="N34" s="7"/>
      <c r="O34" s="7">
        <v>1</v>
      </c>
      <c r="P34" s="7">
        <v>99</v>
      </c>
      <c r="Q34" s="7"/>
      <c r="R34" s="7"/>
      <c r="S34" s="7"/>
    </row>
    <row r="35" spans="1:19" ht="17.25" x14ac:dyDescent="0.15">
      <c r="A35" s="7">
        <v>3204</v>
      </c>
      <c r="B35" s="7" t="str">
        <f t="shared" si="0"/>
        <v>equip_skill[icon_equipSkill_3204]</v>
      </c>
      <c r="C35" s="7" t="s">
        <v>94</v>
      </c>
      <c r="D35" s="6" t="s">
        <v>102</v>
      </c>
      <c r="E35" s="7" t="s">
        <v>103</v>
      </c>
      <c r="F35" s="7">
        <v>304</v>
      </c>
      <c r="G35" s="7">
        <v>2</v>
      </c>
      <c r="H35" s="7"/>
      <c r="I35" s="7">
        <v>2</v>
      </c>
      <c r="J35" s="7">
        <v>3</v>
      </c>
      <c r="K35" s="7"/>
      <c r="L35" s="7">
        <v>7</v>
      </c>
      <c r="M35" s="7"/>
      <c r="N35" s="7"/>
      <c r="O35" s="7">
        <v>1</v>
      </c>
      <c r="P35" s="7">
        <v>99</v>
      </c>
      <c r="Q35" s="7"/>
      <c r="R35" s="7"/>
      <c r="S35" s="7"/>
    </row>
    <row r="36" spans="1:19" s="11" customFormat="1" ht="17.25" x14ac:dyDescent="0.15">
      <c r="A36" s="7">
        <v>3205</v>
      </c>
      <c r="B36" s="7" t="str">
        <f t="shared" si="0"/>
        <v>equip_skill[icon_equipSkill_3205]</v>
      </c>
      <c r="C36" s="7" t="s">
        <v>94</v>
      </c>
      <c r="D36" s="6" t="s">
        <v>104</v>
      </c>
      <c r="E36" s="7" t="s">
        <v>105</v>
      </c>
      <c r="F36" s="7">
        <v>305</v>
      </c>
      <c r="G36" s="7">
        <v>3</v>
      </c>
      <c r="H36" s="7"/>
      <c r="I36" s="7">
        <v>2</v>
      </c>
      <c r="J36" s="7">
        <v>3</v>
      </c>
      <c r="K36" s="7"/>
      <c r="L36" s="7">
        <v>11</v>
      </c>
      <c r="M36" s="7" t="s">
        <v>106</v>
      </c>
      <c r="N36" s="7"/>
      <c r="O36" s="7">
        <v>1</v>
      </c>
      <c r="P36" s="7">
        <v>99</v>
      </c>
      <c r="Q36" s="7"/>
      <c r="R36" s="7"/>
      <c r="S36" s="7"/>
    </row>
    <row r="37" spans="1:19" s="11" customFormat="1" ht="17.25" x14ac:dyDescent="0.15">
      <c r="A37" s="7">
        <v>3206</v>
      </c>
      <c r="B37" s="7" t="str">
        <f t="shared" si="0"/>
        <v>equip_skill[icon_equipSkill_3206]</v>
      </c>
      <c r="C37" s="7" t="s">
        <v>94</v>
      </c>
      <c r="D37" s="6" t="s">
        <v>107</v>
      </c>
      <c r="E37" s="7" t="s">
        <v>108</v>
      </c>
      <c r="F37" s="7">
        <v>306</v>
      </c>
      <c r="G37" s="7">
        <v>3</v>
      </c>
      <c r="H37" s="7"/>
      <c r="I37" s="7">
        <v>2</v>
      </c>
      <c r="J37" s="7">
        <v>3</v>
      </c>
      <c r="K37" s="7"/>
      <c r="L37" s="7">
        <v>13</v>
      </c>
      <c r="M37" s="7" t="s">
        <v>109</v>
      </c>
      <c r="N37" s="7"/>
      <c r="O37" s="7">
        <v>1</v>
      </c>
      <c r="P37" s="7">
        <v>99</v>
      </c>
      <c r="Q37" s="7"/>
      <c r="R37" s="7"/>
      <c r="S37" s="7"/>
    </row>
    <row r="38" spans="1:19" ht="17.25" x14ac:dyDescent="0.15">
      <c r="A38" s="7">
        <v>3207</v>
      </c>
      <c r="B38" s="7" t="str">
        <f t="shared" si="0"/>
        <v>equip_skill[icon_equipSkill_3207]</v>
      </c>
      <c r="C38" s="7" t="s">
        <v>94</v>
      </c>
      <c r="D38" s="6" t="s">
        <v>110</v>
      </c>
      <c r="E38" s="7" t="s">
        <v>111</v>
      </c>
      <c r="F38" s="7">
        <v>307</v>
      </c>
      <c r="G38" s="7">
        <v>4</v>
      </c>
      <c r="H38" s="7"/>
      <c r="I38" s="7">
        <v>2</v>
      </c>
      <c r="J38" s="7">
        <v>3</v>
      </c>
      <c r="K38" s="7"/>
      <c r="L38" s="7">
        <v>15</v>
      </c>
      <c r="M38" s="7" t="s">
        <v>106</v>
      </c>
      <c r="N38" s="7"/>
      <c r="O38" s="7">
        <v>1</v>
      </c>
      <c r="P38" s="7">
        <v>99</v>
      </c>
      <c r="Q38" s="7"/>
      <c r="R38" s="7"/>
      <c r="S38" s="7"/>
    </row>
    <row r="39" spans="1:19" ht="17.25" x14ac:dyDescent="0.15">
      <c r="A39" s="7">
        <v>3208</v>
      </c>
      <c r="B39" s="7" t="str">
        <f t="shared" ref="B39:B70" si="1">"equip_skill["&amp;"icon_equipSkill_"&amp;A39&amp;"]"</f>
        <v>equip_skill[icon_equipSkill_3208]</v>
      </c>
      <c r="C39" s="7" t="s">
        <v>94</v>
      </c>
      <c r="D39" s="6" t="s">
        <v>112</v>
      </c>
      <c r="E39" s="7" t="s">
        <v>113</v>
      </c>
      <c r="F39" s="7">
        <v>308</v>
      </c>
      <c r="G39" s="7">
        <v>4</v>
      </c>
      <c r="H39" s="7"/>
      <c r="I39" s="7">
        <v>2</v>
      </c>
      <c r="J39" s="7">
        <v>3</v>
      </c>
      <c r="K39" s="7"/>
      <c r="L39" s="7">
        <v>17</v>
      </c>
      <c r="M39" s="7" t="s">
        <v>109</v>
      </c>
      <c r="N39" s="7"/>
      <c r="O39" s="7">
        <v>1</v>
      </c>
      <c r="P39" s="7">
        <v>99</v>
      </c>
      <c r="Q39" s="7"/>
      <c r="R39" s="7"/>
      <c r="S39" s="7"/>
    </row>
    <row r="40" spans="1:19" s="11" customFormat="1" ht="17.25" x14ac:dyDescent="0.15">
      <c r="A40" s="5">
        <v>3209</v>
      </c>
      <c r="B40" s="7" t="str">
        <f t="shared" si="1"/>
        <v>equip_skill[icon_equipSkill_3209]</v>
      </c>
      <c r="C40" s="5" t="s">
        <v>94</v>
      </c>
      <c r="D40" s="4" t="s">
        <v>114</v>
      </c>
      <c r="E40" s="5" t="s">
        <v>115</v>
      </c>
      <c r="F40" s="7">
        <v>309</v>
      </c>
      <c r="G40" s="5">
        <v>5</v>
      </c>
      <c r="H40" s="5" t="s">
        <v>116</v>
      </c>
      <c r="I40" s="5">
        <v>3</v>
      </c>
      <c r="J40" s="5">
        <v>3</v>
      </c>
      <c r="K40" s="5"/>
      <c r="L40" s="5">
        <v>9</v>
      </c>
      <c r="M40" s="5"/>
      <c r="N40" s="5"/>
      <c r="O40" s="5">
        <v>1</v>
      </c>
      <c r="P40" s="5">
        <v>99</v>
      </c>
      <c r="Q40" s="5"/>
      <c r="R40" s="5"/>
      <c r="S40" s="5"/>
    </row>
    <row r="41" spans="1:19" s="11" customFormat="1" ht="17.25" x14ac:dyDescent="0.15">
      <c r="A41" s="5">
        <v>3210</v>
      </c>
      <c r="B41" s="7" t="str">
        <f t="shared" si="1"/>
        <v>equip_skill[icon_equipSkill_3210]</v>
      </c>
      <c r="C41" s="5" t="s">
        <v>94</v>
      </c>
      <c r="D41" s="4" t="s">
        <v>117</v>
      </c>
      <c r="E41" s="5" t="s">
        <v>118</v>
      </c>
      <c r="F41" s="7">
        <v>310</v>
      </c>
      <c r="G41" s="5">
        <v>5</v>
      </c>
      <c r="H41" s="5" t="s">
        <v>119</v>
      </c>
      <c r="I41" s="5">
        <v>3</v>
      </c>
      <c r="J41" s="5">
        <v>3</v>
      </c>
      <c r="K41" s="5"/>
      <c r="L41" s="5">
        <v>9</v>
      </c>
      <c r="M41" s="5"/>
      <c r="N41" s="5"/>
      <c r="O41" s="5">
        <v>1</v>
      </c>
      <c r="P41" s="5">
        <v>99</v>
      </c>
      <c r="Q41" s="5"/>
      <c r="R41" s="5"/>
      <c r="S41" s="5"/>
    </row>
    <row r="42" spans="1:19" s="9" customFormat="1" x14ac:dyDescent="0.15">
      <c r="A42" s="2">
        <v>4100</v>
      </c>
      <c r="B42" s="7" t="str">
        <f t="shared" si="1"/>
        <v>equip_skill[icon_equipSkill_4100]</v>
      </c>
      <c r="C42" s="2" t="s">
        <v>120</v>
      </c>
      <c r="D42" s="2"/>
      <c r="E42" s="2"/>
      <c r="F42" s="2">
        <v>400</v>
      </c>
      <c r="G42" s="2"/>
      <c r="H42" s="2"/>
      <c r="I42" s="2">
        <v>1</v>
      </c>
      <c r="J42" s="2">
        <v>4</v>
      </c>
      <c r="K42" s="2"/>
      <c r="L42" s="2">
        <v>0</v>
      </c>
      <c r="M42" s="2"/>
      <c r="N42" s="2"/>
      <c r="O42" s="2">
        <v>1</v>
      </c>
      <c r="P42" s="2">
        <v>99</v>
      </c>
      <c r="Q42" s="2"/>
      <c r="R42" s="2"/>
      <c r="S42" s="2"/>
    </row>
    <row r="43" spans="1:19" s="10" customFormat="1" x14ac:dyDescent="0.15">
      <c r="A43" s="5">
        <v>4101</v>
      </c>
      <c r="B43" s="7" t="str">
        <f t="shared" si="1"/>
        <v>equip_skill[icon_equipSkill_4101]</v>
      </c>
      <c r="C43" s="5" t="s">
        <v>120</v>
      </c>
      <c r="D43" s="4" t="s">
        <v>121</v>
      </c>
      <c r="E43" s="5" t="s">
        <v>44</v>
      </c>
      <c r="F43" s="5"/>
      <c r="G43" s="5">
        <v>5</v>
      </c>
      <c r="H43" s="5" t="s">
        <v>122</v>
      </c>
      <c r="I43" s="5">
        <v>4</v>
      </c>
      <c r="J43" s="5">
        <v>4</v>
      </c>
      <c r="K43" s="5"/>
      <c r="L43" s="5">
        <v>9</v>
      </c>
      <c r="M43" s="5"/>
      <c r="N43" s="5"/>
      <c r="O43" s="5">
        <v>-1</v>
      </c>
      <c r="P43" s="5">
        <v>99</v>
      </c>
      <c r="Q43" s="5"/>
      <c r="R43" s="5"/>
      <c r="S43" s="5"/>
    </row>
    <row r="44" spans="1:19" ht="17.25" x14ac:dyDescent="0.15">
      <c r="A44" s="7">
        <v>4201</v>
      </c>
      <c r="B44" s="7" t="str">
        <f t="shared" si="1"/>
        <v>equip_skill[icon_equipSkill_4201]</v>
      </c>
      <c r="C44" s="7" t="s">
        <v>120</v>
      </c>
      <c r="D44" s="6" t="s">
        <v>123</v>
      </c>
      <c r="E44" s="7" t="s">
        <v>49</v>
      </c>
      <c r="F44" s="7">
        <v>401</v>
      </c>
      <c r="G44" s="7">
        <v>3</v>
      </c>
      <c r="H44" s="7"/>
      <c r="I44" s="7">
        <v>2</v>
      </c>
      <c r="J44" s="7">
        <v>4</v>
      </c>
      <c r="K44" s="7"/>
      <c r="L44" s="7">
        <v>1</v>
      </c>
      <c r="M44" s="7"/>
      <c r="N44" s="7"/>
      <c r="O44" s="7">
        <v>1</v>
      </c>
      <c r="P44" s="7">
        <v>99</v>
      </c>
      <c r="Q44" s="7"/>
      <c r="R44" s="7"/>
      <c r="S44" s="7"/>
    </row>
    <row r="45" spans="1:19" ht="17.25" x14ac:dyDescent="0.15">
      <c r="A45" s="7">
        <v>4202</v>
      </c>
      <c r="B45" s="7" t="str">
        <f t="shared" si="1"/>
        <v>equip_skill[icon_equipSkill_4202]</v>
      </c>
      <c r="C45" s="7" t="s">
        <v>120</v>
      </c>
      <c r="D45" s="6" t="s">
        <v>124</v>
      </c>
      <c r="E45" s="7" t="s">
        <v>125</v>
      </c>
      <c r="F45" s="7">
        <v>402</v>
      </c>
      <c r="G45" s="7">
        <v>3</v>
      </c>
      <c r="H45" s="7"/>
      <c r="I45" s="7">
        <v>2</v>
      </c>
      <c r="J45" s="7">
        <v>4</v>
      </c>
      <c r="K45" s="7"/>
      <c r="L45" s="7">
        <v>3</v>
      </c>
      <c r="M45" s="7"/>
      <c r="N45" s="7"/>
      <c r="O45" s="7">
        <v>1</v>
      </c>
      <c r="P45" s="7">
        <v>99</v>
      </c>
      <c r="Q45" s="7"/>
      <c r="R45" s="7"/>
      <c r="S45" s="7"/>
    </row>
    <row r="46" spans="1:19" ht="17.25" x14ac:dyDescent="0.15">
      <c r="A46" s="7">
        <v>4203</v>
      </c>
      <c r="B46" s="7" t="str">
        <f t="shared" si="1"/>
        <v>equip_skill[icon_equipSkill_4203]</v>
      </c>
      <c r="C46" s="7" t="s">
        <v>120</v>
      </c>
      <c r="D46" s="6" t="s">
        <v>126</v>
      </c>
      <c r="E46" s="7" t="s">
        <v>125</v>
      </c>
      <c r="F46" s="7">
        <v>403</v>
      </c>
      <c r="G46" s="7">
        <v>2</v>
      </c>
      <c r="H46" s="7"/>
      <c r="I46" s="7">
        <v>2</v>
      </c>
      <c r="J46" s="7">
        <v>4</v>
      </c>
      <c r="K46" s="7"/>
      <c r="L46" s="7">
        <v>5</v>
      </c>
      <c r="M46" s="7"/>
      <c r="N46" s="7"/>
      <c r="O46" s="7">
        <v>1</v>
      </c>
      <c r="P46" s="7">
        <v>99</v>
      </c>
      <c r="Q46" s="7"/>
      <c r="R46" s="7"/>
      <c r="S46" s="7"/>
    </row>
    <row r="47" spans="1:19" ht="17.25" x14ac:dyDescent="0.15">
      <c r="A47" s="7">
        <v>4204</v>
      </c>
      <c r="B47" s="7" t="str">
        <f t="shared" si="1"/>
        <v>equip_skill[icon_equipSkill_4204]</v>
      </c>
      <c r="C47" s="7" t="s">
        <v>120</v>
      </c>
      <c r="D47" s="6" t="s">
        <v>127</v>
      </c>
      <c r="E47" s="7" t="s">
        <v>49</v>
      </c>
      <c r="F47" s="7">
        <v>404</v>
      </c>
      <c r="G47" s="7">
        <v>4</v>
      </c>
      <c r="H47" s="7"/>
      <c r="I47" s="7">
        <v>2</v>
      </c>
      <c r="J47" s="7">
        <v>4</v>
      </c>
      <c r="K47" s="7"/>
      <c r="L47" s="7">
        <v>7</v>
      </c>
      <c r="M47" s="7"/>
      <c r="N47" s="7"/>
      <c r="O47" s="7">
        <v>1</v>
      </c>
      <c r="P47" s="7">
        <v>99</v>
      </c>
      <c r="Q47" s="7"/>
      <c r="R47" s="7"/>
      <c r="S47" s="7"/>
    </row>
    <row r="48" spans="1:19" s="11" customFormat="1" ht="17.25" x14ac:dyDescent="0.15">
      <c r="A48" s="7">
        <v>4205</v>
      </c>
      <c r="B48" s="7" t="str">
        <f t="shared" si="1"/>
        <v>equip_skill[icon_equipSkill_4205]</v>
      </c>
      <c r="C48" s="7" t="s">
        <v>120</v>
      </c>
      <c r="D48" s="6" t="s">
        <v>128</v>
      </c>
      <c r="E48" s="7" t="s">
        <v>129</v>
      </c>
      <c r="F48" s="7">
        <v>405</v>
      </c>
      <c r="G48" s="7">
        <v>3</v>
      </c>
      <c r="H48" s="7"/>
      <c r="I48" s="7">
        <v>2</v>
      </c>
      <c r="J48" s="7">
        <v>4</v>
      </c>
      <c r="K48" s="7"/>
      <c r="L48" s="7">
        <v>11</v>
      </c>
      <c r="M48" s="7" t="s">
        <v>130</v>
      </c>
      <c r="N48" s="7"/>
      <c r="O48" s="7">
        <v>1</v>
      </c>
      <c r="P48" s="7">
        <v>99</v>
      </c>
      <c r="Q48" s="7"/>
      <c r="R48" s="7"/>
      <c r="S48" s="7"/>
    </row>
    <row r="49" spans="1:19" s="11" customFormat="1" ht="17.25" x14ac:dyDescent="0.15">
      <c r="A49" s="7">
        <v>4206</v>
      </c>
      <c r="B49" s="7" t="str">
        <f t="shared" si="1"/>
        <v>equip_skill[icon_equipSkill_4206]</v>
      </c>
      <c r="C49" s="7" t="s">
        <v>120</v>
      </c>
      <c r="D49" s="6" t="s">
        <v>131</v>
      </c>
      <c r="E49" s="7"/>
      <c r="F49" s="7">
        <v>406</v>
      </c>
      <c r="G49" s="7">
        <v>3</v>
      </c>
      <c r="H49" s="7"/>
      <c r="I49" s="7">
        <v>2</v>
      </c>
      <c r="J49" s="7">
        <v>4</v>
      </c>
      <c r="K49" s="7"/>
      <c r="L49" s="7">
        <v>13</v>
      </c>
      <c r="M49" s="7" t="s">
        <v>132</v>
      </c>
      <c r="N49" s="7"/>
      <c r="O49" s="7">
        <v>1</v>
      </c>
      <c r="P49" s="7">
        <v>99</v>
      </c>
      <c r="Q49" s="7"/>
      <c r="R49" s="7"/>
      <c r="S49" s="7"/>
    </row>
    <row r="50" spans="1:19" ht="17.25" x14ac:dyDescent="0.15">
      <c r="A50" s="7">
        <v>4207</v>
      </c>
      <c r="B50" s="7" t="str">
        <f t="shared" si="1"/>
        <v>equip_skill[icon_equipSkill_4207]</v>
      </c>
      <c r="C50" s="7" t="s">
        <v>120</v>
      </c>
      <c r="D50" s="6" t="s">
        <v>133</v>
      </c>
      <c r="E50" s="7" t="s">
        <v>54</v>
      </c>
      <c r="F50" s="7">
        <v>407</v>
      </c>
      <c r="G50" s="7">
        <v>4</v>
      </c>
      <c r="H50" s="7"/>
      <c r="I50" s="7">
        <v>2</v>
      </c>
      <c r="J50" s="7">
        <v>4</v>
      </c>
      <c r="K50" s="7"/>
      <c r="L50" s="7">
        <v>15</v>
      </c>
      <c r="M50" s="7" t="s">
        <v>130</v>
      </c>
      <c r="N50" s="7"/>
      <c r="O50" s="7">
        <v>1</v>
      </c>
      <c r="P50" s="7">
        <v>99</v>
      </c>
      <c r="Q50" s="7"/>
      <c r="R50" s="7"/>
      <c r="S50" s="7"/>
    </row>
    <row r="51" spans="1:19" ht="17.25" x14ac:dyDescent="0.15">
      <c r="A51" s="7">
        <v>4208</v>
      </c>
      <c r="B51" s="7" t="str">
        <f t="shared" si="1"/>
        <v>equip_skill[icon_equipSkill_4208]</v>
      </c>
      <c r="C51" s="7" t="s">
        <v>120</v>
      </c>
      <c r="D51" s="6" t="s">
        <v>134</v>
      </c>
      <c r="E51" s="7" t="s">
        <v>49</v>
      </c>
      <c r="F51" s="7">
        <v>408</v>
      </c>
      <c r="G51" s="7">
        <v>4</v>
      </c>
      <c r="H51" s="7"/>
      <c r="I51" s="7">
        <v>2</v>
      </c>
      <c r="J51" s="7">
        <v>4</v>
      </c>
      <c r="K51" s="7"/>
      <c r="L51" s="7">
        <v>17</v>
      </c>
      <c r="M51" s="7" t="s">
        <v>132</v>
      </c>
      <c r="N51" s="7"/>
      <c r="O51" s="7">
        <v>1</v>
      </c>
      <c r="P51" s="7">
        <v>99</v>
      </c>
      <c r="Q51" s="7"/>
      <c r="R51" s="7"/>
      <c r="S51" s="7"/>
    </row>
    <row r="52" spans="1:19" s="11" customFormat="1" ht="17.25" x14ac:dyDescent="0.15">
      <c r="A52" s="5">
        <v>4209</v>
      </c>
      <c r="B52" s="7" t="str">
        <f t="shared" si="1"/>
        <v>equip_skill[icon_equipSkill_4209]</v>
      </c>
      <c r="C52" s="5" t="s">
        <v>120</v>
      </c>
      <c r="D52" s="4" t="s">
        <v>135</v>
      </c>
      <c r="E52" s="5" t="s">
        <v>136</v>
      </c>
      <c r="F52" s="7">
        <v>409</v>
      </c>
      <c r="G52" s="5">
        <v>5</v>
      </c>
      <c r="H52" s="5" t="s">
        <v>137</v>
      </c>
      <c r="I52" s="5">
        <v>3</v>
      </c>
      <c r="J52" s="5">
        <v>4</v>
      </c>
      <c r="K52" s="5"/>
      <c r="L52" s="5">
        <v>9</v>
      </c>
      <c r="M52" s="5"/>
      <c r="N52" s="5"/>
      <c r="O52" s="5">
        <v>1</v>
      </c>
      <c r="P52" s="5">
        <v>99</v>
      </c>
      <c r="Q52" s="5"/>
      <c r="R52" s="5"/>
      <c r="S52" s="5"/>
    </row>
    <row r="53" spans="1:19" s="11" customFormat="1" ht="17.25" x14ac:dyDescent="0.15">
      <c r="A53" s="5">
        <v>4210</v>
      </c>
      <c r="B53" s="7" t="str">
        <f t="shared" si="1"/>
        <v>equip_skill[icon_equipSkill_4210]</v>
      </c>
      <c r="C53" s="5" t="s">
        <v>120</v>
      </c>
      <c r="D53" s="4" t="s">
        <v>138</v>
      </c>
      <c r="E53" s="5" t="s">
        <v>139</v>
      </c>
      <c r="F53" s="7">
        <v>410</v>
      </c>
      <c r="G53" s="5">
        <v>5</v>
      </c>
      <c r="H53" s="5" t="s">
        <v>140</v>
      </c>
      <c r="I53" s="5">
        <v>3</v>
      </c>
      <c r="J53" s="5">
        <v>4</v>
      </c>
      <c r="K53" s="5"/>
      <c r="L53" s="5">
        <v>9</v>
      </c>
      <c r="M53" s="5"/>
      <c r="N53" s="5"/>
      <c r="O53" s="5">
        <v>1</v>
      </c>
      <c r="P53" s="5">
        <v>99</v>
      </c>
      <c r="Q53" s="5"/>
      <c r="R53" s="5"/>
      <c r="S53" s="5"/>
    </row>
    <row r="54" spans="1:19" s="9" customFormat="1" x14ac:dyDescent="0.15">
      <c r="A54" s="2">
        <v>5100</v>
      </c>
      <c r="B54" s="7" t="str">
        <f t="shared" si="1"/>
        <v>equip_skill[icon_equipSkill_5100]</v>
      </c>
      <c r="C54" s="2" t="s">
        <v>141</v>
      </c>
      <c r="D54" s="2"/>
      <c r="E54" s="2"/>
      <c r="F54" s="2">
        <v>500</v>
      </c>
      <c r="G54" s="2"/>
      <c r="H54" s="2"/>
      <c r="I54" s="2">
        <v>1</v>
      </c>
      <c r="J54" s="2">
        <v>5</v>
      </c>
      <c r="K54" s="2"/>
      <c r="L54" s="2">
        <v>0</v>
      </c>
      <c r="M54" s="2"/>
      <c r="N54" s="2"/>
      <c r="O54" s="2">
        <v>1</v>
      </c>
      <c r="P54" s="2">
        <v>99</v>
      </c>
      <c r="Q54" s="2"/>
      <c r="R54" s="2"/>
      <c r="S54" s="2"/>
    </row>
    <row r="55" spans="1:19" s="10" customFormat="1" x14ac:dyDescent="0.15">
      <c r="A55" s="5">
        <v>5101</v>
      </c>
      <c r="B55" s="7" t="str">
        <f t="shared" si="1"/>
        <v>equip_skill[icon_equipSkill_5101]</v>
      </c>
      <c r="C55" s="5" t="s">
        <v>141</v>
      </c>
      <c r="D55" s="4" t="s">
        <v>142</v>
      </c>
      <c r="E55" s="5" t="s">
        <v>44</v>
      </c>
      <c r="F55" s="5"/>
      <c r="G55" s="5">
        <v>5</v>
      </c>
      <c r="H55" s="5" t="s">
        <v>143</v>
      </c>
      <c r="I55" s="5">
        <v>4</v>
      </c>
      <c r="J55" s="5">
        <v>5</v>
      </c>
      <c r="K55" s="5"/>
      <c r="L55" s="5">
        <v>9</v>
      </c>
      <c r="M55" s="5"/>
      <c r="N55" s="5"/>
      <c r="O55" s="5">
        <v>-1</v>
      </c>
      <c r="P55" s="5">
        <v>99</v>
      </c>
      <c r="Q55" s="5"/>
      <c r="R55" s="5"/>
      <c r="S55" s="5"/>
    </row>
    <row r="56" spans="1:19" ht="17.25" x14ac:dyDescent="0.15">
      <c r="A56" s="7">
        <v>5201</v>
      </c>
      <c r="B56" s="7" t="str">
        <f t="shared" si="1"/>
        <v>equip_skill[icon_equipSkill_5201]</v>
      </c>
      <c r="C56" s="7" t="s">
        <v>141</v>
      </c>
      <c r="D56" s="6" t="s">
        <v>144</v>
      </c>
      <c r="E56" s="7" t="s">
        <v>105</v>
      </c>
      <c r="F56" s="7">
        <v>501</v>
      </c>
      <c r="G56" s="7">
        <v>3</v>
      </c>
      <c r="H56" s="7"/>
      <c r="I56" s="7">
        <v>2</v>
      </c>
      <c r="J56" s="7">
        <v>5</v>
      </c>
      <c r="K56" s="7"/>
      <c r="L56" s="7">
        <v>1</v>
      </c>
      <c r="M56" s="7"/>
      <c r="N56" s="7"/>
      <c r="O56" s="7">
        <v>1</v>
      </c>
      <c r="P56" s="7">
        <v>99</v>
      </c>
      <c r="Q56" s="7"/>
      <c r="R56" s="7"/>
      <c r="S56" s="7"/>
    </row>
    <row r="57" spans="1:19" ht="17.25" x14ac:dyDescent="0.15">
      <c r="A57" s="7">
        <v>5202</v>
      </c>
      <c r="B57" s="7" t="str">
        <f t="shared" si="1"/>
        <v>equip_skill[icon_equipSkill_5202]</v>
      </c>
      <c r="C57" s="7" t="s">
        <v>141</v>
      </c>
      <c r="D57" s="6" t="s">
        <v>145</v>
      </c>
      <c r="E57" s="7" t="s">
        <v>146</v>
      </c>
      <c r="F57" s="7">
        <v>502</v>
      </c>
      <c r="G57" s="7">
        <v>2</v>
      </c>
      <c r="H57" s="7"/>
      <c r="I57" s="7">
        <v>2</v>
      </c>
      <c r="J57" s="7">
        <v>5</v>
      </c>
      <c r="K57" s="7"/>
      <c r="L57" s="7">
        <v>3</v>
      </c>
      <c r="M57" s="7"/>
      <c r="N57" s="7"/>
      <c r="O57" s="7">
        <v>1</v>
      </c>
      <c r="P57" s="7">
        <v>99</v>
      </c>
      <c r="Q57" s="7"/>
      <c r="R57" s="7"/>
      <c r="S57" s="7"/>
    </row>
    <row r="58" spans="1:19" ht="17.25" x14ac:dyDescent="0.15">
      <c r="A58" s="7">
        <v>5203</v>
      </c>
      <c r="B58" s="7" t="str">
        <f t="shared" si="1"/>
        <v>equip_skill[icon_equipSkill_5203]</v>
      </c>
      <c r="C58" s="7" t="s">
        <v>141</v>
      </c>
      <c r="D58" s="6" t="s">
        <v>147</v>
      </c>
      <c r="E58" s="7" t="s">
        <v>76</v>
      </c>
      <c r="F58" s="7">
        <v>503</v>
      </c>
      <c r="G58" s="7">
        <v>4</v>
      </c>
      <c r="H58" s="7"/>
      <c r="I58" s="7">
        <v>2</v>
      </c>
      <c r="J58" s="7">
        <v>5</v>
      </c>
      <c r="K58" s="7"/>
      <c r="L58" s="7">
        <v>5</v>
      </c>
      <c r="M58" s="7"/>
      <c r="N58" s="7"/>
      <c r="O58" s="7">
        <v>1</v>
      </c>
      <c r="P58" s="7">
        <v>99</v>
      </c>
      <c r="Q58" s="7"/>
      <c r="R58" s="7">
        <v>1</v>
      </c>
      <c r="S58" s="7"/>
    </row>
    <row r="59" spans="1:19" ht="17.25" x14ac:dyDescent="0.15">
      <c r="A59" s="7">
        <v>5204</v>
      </c>
      <c r="B59" s="7" t="str">
        <f t="shared" si="1"/>
        <v>equip_skill[icon_equipSkill_5204]</v>
      </c>
      <c r="C59" s="7" t="s">
        <v>141</v>
      </c>
      <c r="D59" s="6" t="s">
        <v>148</v>
      </c>
      <c r="E59" s="7" t="s">
        <v>149</v>
      </c>
      <c r="F59" s="7">
        <v>504</v>
      </c>
      <c r="G59" s="7">
        <v>3</v>
      </c>
      <c r="H59" s="7"/>
      <c r="I59" s="7">
        <v>2</v>
      </c>
      <c r="J59" s="7">
        <v>5</v>
      </c>
      <c r="K59" s="7"/>
      <c r="L59" s="7">
        <v>7</v>
      </c>
      <c r="M59" s="7"/>
      <c r="N59" s="7"/>
      <c r="O59" s="7">
        <v>1</v>
      </c>
      <c r="P59" s="7">
        <v>99</v>
      </c>
      <c r="Q59" s="7"/>
      <c r="R59" s="7"/>
      <c r="S59" s="7"/>
    </row>
    <row r="60" spans="1:19" s="11" customFormat="1" ht="17.25" x14ac:dyDescent="0.15">
      <c r="A60" s="7">
        <v>5205</v>
      </c>
      <c r="B60" s="7" t="str">
        <f t="shared" si="1"/>
        <v>equip_skill[icon_equipSkill_5205]</v>
      </c>
      <c r="C60" s="7" t="s">
        <v>141</v>
      </c>
      <c r="D60" s="6" t="s">
        <v>150</v>
      </c>
      <c r="E60" s="7" t="s">
        <v>151</v>
      </c>
      <c r="F60" s="7">
        <v>505</v>
      </c>
      <c r="G60" s="7">
        <v>3</v>
      </c>
      <c r="H60" s="7"/>
      <c r="I60" s="7">
        <v>2</v>
      </c>
      <c r="J60" s="7">
        <v>5</v>
      </c>
      <c r="K60" s="7"/>
      <c r="L60" s="7">
        <v>11</v>
      </c>
      <c r="M60" s="7" t="s">
        <v>152</v>
      </c>
      <c r="N60" s="7"/>
      <c r="O60" s="7">
        <v>1</v>
      </c>
      <c r="P60" s="7">
        <v>99</v>
      </c>
      <c r="Q60" s="7"/>
      <c r="R60" s="7"/>
      <c r="S60" s="7"/>
    </row>
    <row r="61" spans="1:19" s="11" customFormat="1" ht="17.25" x14ac:dyDescent="0.15">
      <c r="A61" s="7">
        <v>5206</v>
      </c>
      <c r="B61" s="7" t="str">
        <f t="shared" si="1"/>
        <v>equip_skill[icon_equipSkill_5206]</v>
      </c>
      <c r="C61" s="7" t="s">
        <v>141</v>
      </c>
      <c r="D61" s="6" t="s">
        <v>153</v>
      </c>
      <c r="E61" s="7" t="s">
        <v>76</v>
      </c>
      <c r="F61" s="7">
        <v>506</v>
      </c>
      <c r="G61" s="7">
        <v>3</v>
      </c>
      <c r="H61" s="7"/>
      <c r="I61" s="7">
        <v>2</v>
      </c>
      <c r="J61" s="7">
        <v>5</v>
      </c>
      <c r="K61" s="7"/>
      <c r="L61" s="7">
        <v>13</v>
      </c>
      <c r="M61" s="7" t="s">
        <v>154</v>
      </c>
      <c r="N61" s="7"/>
      <c r="O61" s="7">
        <v>1</v>
      </c>
      <c r="P61" s="7">
        <v>99</v>
      </c>
      <c r="Q61" s="7"/>
      <c r="R61" s="7"/>
      <c r="S61" s="7"/>
    </row>
    <row r="62" spans="1:19" ht="17.25" x14ac:dyDescent="0.15">
      <c r="A62" s="7">
        <v>5207</v>
      </c>
      <c r="B62" s="7" t="str">
        <f t="shared" si="1"/>
        <v>equip_skill[icon_equipSkill_5207]</v>
      </c>
      <c r="C62" s="7" t="s">
        <v>141</v>
      </c>
      <c r="D62" s="6" t="s">
        <v>155</v>
      </c>
      <c r="E62" s="7"/>
      <c r="F62" s="7">
        <v>507</v>
      </c>
      <c r="G62" s="7">
        <v>4</v>
      </c>
      <c r="H62" s="7"/>
      <c r="I62" s="7">
        <v>2</v>
      </c>
      <c r="J62" s="7">
        <v>5</v>
      </c>
      <c r="K62" s="7"/>
      <c r="L62" s="7">
        <v>15</v>
      </c>
      <c r="M62" s="7" t="s">
        <v>152</v>
      </c>
      <c r="N62" s="7"/>
      <c r="O62" s="7">
        <v>1</v>
      </c>
      <c r="P62" s="7">
        <v>99</v>
      </c>
      <c r="Q62" s="7"/>
      <c r="R62" s="7">
        <v>1</v>
      </c>
      <c r="S62" s="7"/>
    </row>
    <row r="63" spans="1:19" ht="17.25" x14ac:dyDescent="0.15">
      <c r="A63" s="7">
        <v>5208</v>
      </c>
      <c r="B63" s="7" t="str">
        <f t="shared" si="1"/>
        <v>equip_skill[icon_equipSkill_5208]</v>
      </c>
      <c r="C63" s="7" t="s">
        <v>141</v>
      </c>
      <c r="D63" s="6" t="s">
        <v>156</v>
      </c>
      <c r="E63" s="7" t="s">
        <v>49</v>
      </c>
      <c r="F63" s="7">
        <v>508</v>
      </c>
      <c r="G63" s="7">
        <v>4</v>
      </c>
      <c r="H63" s="7"/>
      <c r="I63" s="7">
        <v>2</v>
      </c>
      <c r="J63" s="7">
        <v>5</v>
      </c>
      <c r="K63" s="7"/>
      <c r="L63" s="7">
        <v>17</v>
      </c>
      <c r="M63" s="7" t="s">
        <v>154</v>
      </c>
      <c r="N63" s="7"/>
      <c r="O63" s="7">
        <v>1</v>
      </c>
      <c r="P63" s="7">
        <v>99</v>
      </c>
      <c r="Q63" s="7"/>
      <c r="R63" s="7"/>
      <c r="S63" s="7"/>
    </row>
    <row r="64" spans="1:19" s="11" customFormat="1" ht="17.25" x14ac:dyDescent="0.15">
      <c r="A64" s="5">
        <v>5209</v>
      </c>
      <c r="B64" s="7" t="str">
        <f t="shared" si="1"/>
        <v>equip_skill[icon_equipSkill_5209]</v>
      </c>
      <c r="C64" s="5" t="s">
        <v>141</v>
      </c>
      <c r="D64" s="4" t="s">
        <v>157</v>
      </c>
      <c r="E64" s="5" t="s">
        <v>105</v>
      </c>
      <c r="F64" s="7">
        <v>509</v>
      </c>
      <c r="G64" s="5">
        <v>5</v>
      </c>
      <c r="H64" s="5" t="s">
        <v>158</v>
      </c>
      <c r="I64" s="5">
        <v>3</v>
      </c>
      <c r="J64" s="5">
        <v>5</v>
      </c>
      <c r="K64" s="5"/>
      <c r="L64" s="5">
        <v>9</v>
      </c>
      <c r="M64" s="5"/>
      <c r="N64" s="5"/>
      <c r="O64" s="5">
        <v>1</v>
      </c>
      <c r="P64" s="5">
        <v>99</v>
      </c>
      <c r="Q64" s="5"/>
      <c r="R64" s="5"/>
      <c r="S64" s="5"/>
    </row>
    <row r="65" spans="1:19" s="11" customFormat="1" ht="17.25" x14ac:dyDescent="0.15">
      <c r="A65" s="5">
        <v>5210</v>
      </c>
      <c r="B65" s="7" t="str">
        <f t="shared" si="1"/>
        <v>equip_skill[icon_equipSkill_5210]</v>
      </c>
      <c r="C65" s="5" t="s">
        <v>141</v>
      </c>
      <c r="D65" s="4" t="s">
        <v>159</v>
      </c>
      <c r="E65" s="5" t="s">
        <v>160</v>
      </c>
      <c r="F65" s="7">
        <v>510</v>
      </c>
      <c r="G65" s="5">
        <v>5</v>
      </c>
      <c r="H65" s="5" t="s">
        <v>161</v>
      </c>
      <c r="I65" s="5">
        <v>3</v>
      </c>
      <c r="J65" s="5">
        <v>5</v>
      </c>
      <c r="K65" s="5"/>
      <c r="L65" s="5">
        <v>9</v>
      </c>
      <c r="M65" s="5"/>
      <c r="N65" s="5"/>
      <c r="O65" s="5">
        <v>1</v>
      </c>
      <c r="P65" s="5">
        <v>99</v>
      </c>
      <c r="Q65" s="5"/>
      <c r="R65" s="5"/>
      <c r="S65" s="5"/>
    </row>
    <row r="66" spans="1:19" s="9" customFormat="1" x14ac:dyDescent="0.15">
      <c r="A66" s="2">
        <v>6100</v>
      </c>
      <c r="B66" s="7" t="str">
        <f t="shared" si="1"/>
        <v>equip_skill[icon_equipSkill_6100]</v>
      </c>
      <c r="C66" s="2" t="s">
        <v>162</v>
      </c>
      <c r="D66" s="2"/>
      <c r="E66" s="2"/>
      <c r="F66" s="2">
        <v>600</v>
      </c>
      <c r="G66" s="2"/>
      <c r="H66" s="2"/>
      <c r="I66" s="2">
        <v>1</v>
      </c>
      <c r="J66" s="2">
        <v>6</v>
      </c>
      <c r="K66" s="2"/>
      <c r="L66" s="2">
        <v>0</v>
      </c>
      <c r="M66" s="2"/>
      <c r="N66" s="2"/>
      <c r="O66" s="2">
        <v>1</v>
      </c>
      <c r="P66" s="2">
        <v>99</v>
      </c>
      <c r="Q66" s="2"/>
      <c r="R66" s="2"/>
      <c r="S66" s="2"/>
    </row>
    <row r="67" spans="1:19" s="10" customFormat="1" x14ac:dyDescent="0.15">
      <c r="A67" s="5">
        <v>6101</v>
      </c>
      <c r="B67" s="7" t="str">
        <f t="shared" si="1"/>
        <v>equip_skill[icon_equipSkill_6101]</v>
      </c>
      <c r="C67" s="5" t="s">
        <v>162</v>
      </c>
      <c r="D67" s="4" t="s">
        <v>163</v>
      </c>
      <c r="E67" s="5" t="s">
        <v>44</v>
      </c>
      <c r="F67" s="5"/>
      <c r="G67" s="5">
        <v>5</v>
      </c>
      <c r="H67" s="5" t="s">
        <v>164</v>
      </c>
      <c r="I67" s="5">
        <v>4</v>
      </c>
      <c r="J67" s="5">
        <v>6</v>
      </c>
      <c r="K67" s="5"/>
      <c r="L67" s="5">
        <v>9</v>
      </c>
      <c r="M67" s="5"/>
      <c r="N67" s="5"/>
      <c r="O67" s="5">
        <v>-1</v>
      </c>
      <c r="P67" s="5">
        <v>99</v>
      </c>
      <c r="Q67" s="5"/>
      <c r="R67" s="5"/>
      <c r="S67" s="5"/>
    </row>
    <row r="68" spans="1:19" ht="17.25" x14ac:dyDescent="0.15">
      <c r="A68" s="7">
        <v>6201</v>
      </c>
      <c r="B68" s="7" t="str">
        <f t="shared" si="1"/>
        <v>equip_skill[icon_equipSkill_6201]</v>
      </c>
      <c r="C68" s="7" t="s">
        <v>162</v>
      </c>
      <c r="D68" s="6" t="s">
        <v>165</v>
      </c>
      <c r="E68" s="7" t="s">
        <v>166</v>
      </c>
      <c r="F68" s="7">
        <v>601</v>
      </c>
      <c r="G68" s="7">
        <v>3</v>
      </c>
      <c r="H68" s="7"/>
      <c r="I68" s="7">
        <v>2</v>
      </c>
      <c r="J68" s="7">
        <v>6</v>
      </c>
      <c r="K68" s="7"/>
      <c r="L68" s="7">
        <v>1</v>
      </c>
      <c r="M68" s="7"/>
      <c r="N68" s="7"/>
      <c r="O68" s="7">
        <v>1</v>
      </c>
      <c r="P68" s="7">
        <v>99</v>
      </c>
      <c r="Q68" s="7"/>
      <c r="R68" s="7">
        <v>1</v>
      </c>
      <c r="S68" s="7"/>
    </row>
    <row r="69" spans="1:19" ht="17.25" x14ac:dyDescent="0.15">
      <c r="A69" s="7">
        <v>6202</v>
      </c>
      <c r="B69" s="7" t="str">
        <f t="shared" si="1"/>
        <v>equip_skill[icon_equipSkill_6202]</v>
      </c>
      <c r="C69" s="7" t="s">
        <v>162</v>
      </c>
      <c r="D69" s="6" t="s">
        <v>167</v>
      </c>
      <c r="E69" s="7" t="s">
        <v>149</v>
      </c>
      <c r="F69" s="7">
        <v>602</v>
      </c>
      <c r="G69" s="7">
        <v>3</v>
      </c>
      <c r="H69" s="7"/>
      <c r="I69" s="7">
        <v>2</v>
      </c>
      <c r="J69" s="7">
        <v>6</v>
      </c>
      <c r="K69" s="7"/>
      <c r="L69" s="7">
        <v>3</v>
      </c>
      <c r="M69" s="7"/>
      <c r="N69" s="7"/>
      <c r="O69" s="7">
        <v>1</v>
      </c>
      <c r="P69" s="7">
        <v>99</v>
      </c>
      <c r="Q69" s="7"/>
      <c r="R69" s="7"/>
      <c r="S69" s="7"/>
    </row>
    <row r="70" spans="1:19" ht="17.25" x14ac:dyDescent="0.15">
      <c r="A70" s="7">
        <v>6203</v>
      </c>
      <c r="B70" s="7" t="str">
        <f t="shared" si="1"/>
        <v>equip_skill[icon_equipSkill_6203]</v>
      </c>
      <c r="C70" s="7" t="s">
        <v>162</v>
      </c>
      <c r="D70" s="6" t="s">
        <v>168</v>
      </c>
      <c r="E70" s="7" t="s">
        <v>105</v>
      </c>
      <c r="F70" s="7">
        <v>603</v>
      </c>
      <c r="G70" s="7">
        <v>2</v>
      </c>
      <c r="H70" s="7"/>
      <c r="I70" s="7">
        <v>2</v>
      </c>
      <c r="J70" s="7">
        <v>6</v>
      </c>
      <c r="K70" s="7"/>
      <c r="L70" s="7">
        <v>5</v>
      </c>
      <c r="M70" s="7"/>
      <c r="N70" s="7"/>
      <c r="O70" s="7">
        <v>1</v>
      </c>
      <c r="P70" s="7">
        <v>99</v>
      </c>
      <c r="Q70" s="7"/>
      <c r="R70" s="7"/>
      <c r="S70" s="7"/>
    </row>
    <row r="71" spans="1:19" ht="17.25" x14ac:dyDescent="0.15">
      <c r="A71" s="7">
        <v>6204</v>
      </c>
      <c r="B71" s="7" t="str">
        <f t="shared" ref="B71:B107" si="2">"equip_skill["&amp;"icon_equipSkill_"&amp;A71&amp;"]"</f>
        <v>equip_skill[icon_equipSkill_6204]</v>
      </c>
      <c r="C71" s="7" t="s">
        <v>162</v>
      </c>
      <c r="D71" s="6" t="s">
        <v>169</v>
      </c>
      <c r="E71" s="7" t="s">
        <v>170</v>
      </c>
      <c r="F71" s="7">
        <v>604</v>
      </c>
      <c r="G71" s="7">
        <v>4</v>
      </c>
      <c r="H71" s="7"/>
      <c r="I71" s="7">
        <v>2</v>
      </c>
      <c r="J71" s="7">
        <v>6</v>
      </c>
      <c r="K71" s="7"/>
      <c r="L71" s="7">
        <v>7</v>
      </c>
      <c r="M71" s="7" t="s">
        <v>171</v>
      </c>
      <c r="N71" s="7"/>
      <c r="O71" s="7">
        <v>1</v>
      </c>
      <c r="P71" s="7">
        <v>99</v>
      </c>
      <c r="Q71" s="7"/>
      <c r="R71" s="7">
        <v>1</v>
      </c>
      <c r="S71" s="7"/>
    </row>
    <row r="72" spans="1:19" s="11" customFormat="1" ht="17.25" x14ac:dyDescent="0.15">
      <c r="A72" s="7">
        <v>6205</v>
      </c>
      <c r="B72" s="7" t="str">
        <f t="shared" si="2"/>
        <v>equip_skill[icon_equipSkill_6205]</v>
      </c>
      <c r="C72" s="7" t="s">
        <v>162</v>
      </c>
      <c r="D72" s="6" t="s">
        <v>172</v>
      </c>
      <c r="E72" s="7" t="s">
        <v>100</v>
      </c>
      <c r="F72" s="7">
        <v>605</v>
      </c>
      <c r="G72" s="7">
        <v>3</v>
      </c>
      <c r="H72" s="7"/>
      <c r="I72" s="7">
        <v>2</v>
      </c>
      <c r="J72" s="7">
        <v>6</v>
      </c>
      <c r="K72" s="7"/>
      <c r="L72" s="7">
        <v>11</v>
      </c>
      <c r="M72" s="7" t="s">
        <v>173</v>
      </c>
      <c r="N72" s="7"/>
      <c r="O72" s="7">
        <v>1</v>
      </c>
      <c r="P72" s="7">
        <v>99</v>
      </c>
      <c r="Q72" s="7"/>
      <c r="R72" s="7"/>
      <c r="S72" s="7"/>
    </row>
    <row r="73" spans="1:19" s="11" customFormat="1" ht="17.25" x14ac:dyDescent="0.15">
      <c r="A73" s="7">
        <v>6206</v>
      </c>
      <c r="B73" s="7" t="str">
        <f t="shared" si="2"/>
        <v>equip_skill[icon_equipSkill_6206]</v>
      </c>
      <c r="C73" s="7" t="s">
        <v>162</v>
      </c>
      <c r="D73" s="6" t="s">
        <v>174</v>
      </c>
      <c r="E73" s="7" t="s">
        <v>170</v>
      </c>
      <c r="F73" s="7">
        <v>606</v>
      </c>
      <c r="G73" s="7">
        <v>3</v>
      </c>
      <c r="H73" s="7"/>
      <c r="I73" s="7">
        <v>2</v>
      </c>
      <c r="J73" s="7">
        <v>6</v>
      </c>
      <c r="K73" s="7"/>
      <c r="L73" s="7">
        <v>13</v>
      </c>
      <c r="M73" s="7" t="s">
        <v>175</v>
      </c>
      <c r="N73" s="7"/>
      <c r="O73" s="7">
        <v>1</v>
      </c>
      <c r="P73" s="7">
        <v>99</v>
      </c>
      <c r="Q73" s="7"/>
      <c r="R73" s="7"/>
      <c r="S73" s="7"/>
    </row>
    <row r="74" spans="1:19" ht="17.25" x14ac:dyDescent="0.15">
      <c r="A74" s="7">
        <v>6207</v>
      </c>
      <c r="B74" s="7" t="str">
        <f t="shared" si="2"/>
        <v>equip_skill[icon_equipSkill_6207]</v>
      </c>
      <c r="C74" s="7" t="s">
        <v>162</v>
      </c>
      <c r="D74" s="6" t="s">
        <v>176</v>
      </c>
      <c r="E74" s="7" t="s">
        <v>170</v>
      </c>
      <c r="F74" s="7">
        <v>607</v>
      </c>
      <c r="G74" s="7">
        <v>4</v>
      </c>
      <c r="H74" s="7"/>
      <c r="I74" s="7">
        <v>2</v>
      </c>
      <c r="J74" s="7">
        <v>6</v>
      </c>
      <c r="K74" s="7"/>
      <c r="L74" s="7">
        <v>15</v>
      </c>
      <c r="M74" s="7" t="s">
        <v>173</v>
      </c>
      <c r="N74" s="7"/>
      <c r="O74" s="7">
        <v>1</v>
      </c>
      <c r="P74" s="7">
        <v>99</v>
      </c>
      <c r="Q74" s="7"/>
      <c r="R74" s="7"/>
      <c r="S74" s="7"/>
    </row>
    <row r="75" spans="1:19" ht="17.25" x14ac:dyDescent="0.15">
      <c r="A75" s="7">
        <v>6208</v>
      </c>
      <c r="B75" s="7" t="str">
        <f t="shared" si="2"/>
        <v>equip_skill[icon_equipSkill_6208]</v>
      </c>
      <c r="C75" s="7" t="s">
        <v>162</v>
      </c>
      <c r="D75" s="6" t="s">
        <v>177</v>
      </c>
      <c r="E75" s="7" t="s">
        <v>178</v>
      </c>
      <c r="F75" s="7">
        <v>608</v>
      </c>
      <c r="G75" s="7">
        <v>4</v>
      </c>
      <c r="H75" s="7"/>
      <c r="I75" s="7">
        <v>2</v>
      </c>
      <c r="J75" s="7">
        <v>6</v>
      </c>
      <c r="K75" s="7"/>
      <c r="L75" s="7">
        <v>17</v>
      </c>
      <c r="M75" s="7" t="s">
        <v>175</v>
      </c>
      <c r="N75" s="7"/>
      <c r="O75" s="7">
        <v>1</v>
      </c>
      <c r="P75" s="7">
        <v>99</v>
      </c>
      <c r="Q75" s="7"/>
      <c r="R75" s="7"/>
      <c r="S75" s="7"/>
    </row>
    <row r="76" spans="1:19" s="11" customFormat="1" ht="17.25" x14ac:dyDescent="0.15">
      <c r="A76" s="5">
        <v>6209</v>
      </c>
      <c r="B76" s="7" t="str">
        <f t="shared" si="2"/>
        <v>equip_skill[icon_equipSkill_6209]</v>
      </c>
      <c r="C76" s="5" t="s">
        <v>162</v>
      </c>
      <c r="D76" s="4" t="s">
        <v>179</v>
      </c>
      <c r="E76" s="5" t="s">
        <v>180</v>
      </c>
      <c r="F76" s="7">
        <v>609</v>
      </c>
      <c r="G76" s="5">
        <v>5</v>
      </c>
      <c r="H76" s="5" t="s">
        <v>181</v>
      </c>
      <c r="I76" s="5">
        <v>3</v>
      </c>
      <c r="J76" s="5">
        <v>6</v>
      </c>
      <c r="K76" s="5"/>
      <c r="L76" s="5">
        <v>9</v>
      </c>
      <c r="M76" s="5"/>
      <c r="N76" s="5"/>
      <c r="O76" s="5">
        <v>1</v>
      </c>
      <c r="P76" s="5">
        <v>99</v>
      </c>
      <c r="Q76" s="5"/>
      <c r="R76" s="5"/>
      <c r="S76" s="5"/>
    </row>
    <row r="77" spans="1:19" s="11" customFormat="1" ht="17.25" x14ac:dyDescent="0.15">
      <c r="A77" s="5">
        <v>6210</v>
      </c>
      <c r="B77" s="7" t="str">
        <f t="shared" si="2"/>
        <v>equip_skill[icon_equipSkill_6210]</v>
      </c>
      <c r="C77" s="5" t="s">
        <v>162</v>
      </c>
      <c r="D77" s="4" t="s">
        <v>182</v>
      </c>
      <c r="E77" s="5" t="s">
        <v>183</v>
      </c>
      <c r="F77" s="7">
        <v>610</v>
      </c>
      <c r="G77" s="5">
        <v>5</v>
      </c>
      <c r="H77" s="5" t="s">
        <v>184</v>
      </c>
      <c r="I77" s="5">
        <v>3</v>
      </c>
      <c r="J77" s="5">
        <v>6</v>
      </c>
      <c r="K77" s="5"/>
      <c r="L77" s="5">
        <v>9</v>
      </c>
      <c r="M77" s="5"/>
      <c r="N77" s="5"/>
      <c r="O77" s="5">
        <v>1</v>
      </c>
      <c r="P77" s="5">
        <v>99</v>
      </c>
      <c r="Q77" s="5"/>
      <c r="R77" s="5"/>
      <c r="S77" s="5"/>
    </row>
    <row r="78" spans="1:19" s="9" customFormat="1" x14ac:dyDescent="0.15">
      <c r="A78" s="2">
        <v>7100</v>
      </c>
      <c r="B78" s="7" t="str">
        <f t="shared" si="2"/>
        <v>equip_skill[icon_equipSkill_7100]</v>
      </c>
      <c r="C78" s="2" t="s">
        <v>185</v>
      </c>
      <c r="D78" s="2"/>
      <c r="E78" s="2"/>
      <c r="F78" s="2">
        <v>700</v>
      </c>
      <c r="G78" s="2"/>
      <c r="H78" s="2"/>
      <c r="I78" s="2">
        <v>1</v>
      </c>
      <c r="J78" s="2">
        <v>7</v>
      </c>
      <c r="K78" s="2"/>
      <c r="L78" s="2">
        <v>0</v>
      </c>
      <c r="M78" s="2"/>
      <c r="N78" s="2"/>
      <c r="O78" s="2">
        <v>1</v>
      </c>
      <c r="P78" s="2">
        <v>99</v>
      </c>
      <c r="Q78" s="2"/>
      <c r="R78" s="2"/>
      <c r="S78" s="2"/>
    </row>
    <row r="79" spans="1:19" s="10" customFormat="1" x14ac:dyDescent="0.15">
      <c r="A79" s="5">
        <v>7101</v>
      </c>
      <c r="B79" s="7" t="str">
        <f t="shared" si="2"/>
        <v>equip_skill[icon_equipSkill_7101]</v>
      </c>
      <c r="C79" s="5" t="s">
        <v>185</v>
      </c>
      <c r="D79" s="4" t="s">
        <v>186</v>
      </c>
      <c r="E79" s="5" t="s">
        <v>44</v>
      </c>
      <c r="F79" s="5"/>
      <c r="G79" s="5">
        <v>5</v>
      </c>
      <c r="H79" s="5" t="s">
        <v>187</v>
      </c>
      <c r="I79" s="5">
        <v>4</v>
      </c>
      <c r="J79" s="5">
        <v>7</v>
      </c>
      <c r="K79" s="5"/>
      <c r="L79" s="5">
        <v>9</v>
      </c>
      <c r="M79" s="5"/>
      <c r="N79" s="5"/>
      <c r="O79" s="5">
        <v>-1</v>
      </c>
      <c r="P79" s="5">
        <v>99</v>
      </c>
      <c r="Q79" s="5"/>
      <c r="R79" s="5"/>
      <c r="S79" s="5"/>
    </row>
    <row r="80" spans="1:19" ht="17.25" x14ac:dyDescent="0.15">
      <c r="A80" s="7">
        <v>7201</v>
      </c>
      <c r="B80" s="7" t="str">
        <f t="shared" si="2"/>
        <v>equip_skill[icon_equipSkill_7201]</v>
      </c>
      <c r="C80" s="7" t="s">
        <v>185</v>
      </c>
      <c r="D80" s="6" t="s">
        <v>188</v>
      </c>
      <c r="E80" s="7" t="s">
        <v>189</v>
      </c>
      <c r="F80" s="7">
        <v>701</v>
      </c>
      <c r="G80" s="7">
        <v>3</v>
      </c>
      <c r="H80" s="7"/>
      <c r="I80" s="7">
        <v>2</v>
      </c>
      <c r="J80" s="7">
        <v>7</v>
      </c>
      <c r="K80" s="7"/>
      <c r="L80" s="7">
        <v>1</v>
      </c>
      <c r="M80" s="7"/>
      <c r="N80" s="7"/>
      <c r="O80" s="7">
        <v>1</v>
      </c>
      <c r="P80" s="7">
        <v>99</v>
      </c>
      <c r="Q80" s="7"/>
      <c r="R80" s="7"/>
      <c r="S80" s="7"/>
    </row>
    <row r="81" spans="1:19" ht="17.25" x14ac:dyDescent="0.15">
      <c r="A81" s="7">
        <v>7202</v>
      </c>
      <c r="B81" s="7" t="str">
        <f t="shared" si="2"/>
        <v>equip_skill[icon_equipSkill_7202]</v>
      </c>
      <c r="C81" s="7" t="s">
        <v>185</v>
      </c>
      <c r="D81" s="6" t="s">
        <v>190</v>
      </c>
      <c r="E81" s="7" t="s">
        <v>191</v>
      </c>
      <c r="F81" s="7">
        <v>702</v>
      </c>
      <c r="G81" s="7">
        <v>2</v>
      </c>
      <c r="H81" s="7"/>
      <c r="I81" s="7">
        <v>2</v>
      </c>
      <c r="J81" s="7">
        <v>7</v>
      </c>
      <c r="K81" s="7"/>
      <c r="L81" s="7">
        <v>3</v>
      </c>
      <c r="M81" s="7" t="s">
        <v>192</v>
      </c>
      <c r="N81" s="7"/>
      <c r="O81" s="7">
        <v>1</v>
      </c>
      <c r="P81" s="7">
        <v>99</v>
      </c>
      <c r="Q81" s="7"/>
      <c r="R81" s="7"/>
      <c r="S81" s="7"/>
    </row>
    <row r="82" spans="1:19" ht="17.25" x14ac:dyDescent="0.15">
      <c r="A82" s="7">
        <v>7203</v>
      </c>
      <c r="B82" s="7" t="str">
        <f t="shared" si="2"/>
        <v>equip_skill[icon_equipSkill_7203]</v>
      </c>
      <c r="C82" s="7" t="s">
        <v>185</v>
      </c>
      <c r="D82" s="6" t="s">
        <v>193</v>
      </c>
      <c r="E82" s="7" t="s">
        <v>194</v>
      </c>
      <c r="F82" s="7">
        <v>703</v>
      </c>
      <c r="G82" s="7">
        <v>4</v>
      </c>
      <c r="H82" s="7"/>
      <c r="I82" s="7">
        <v>2</v>
      </c>
      <c r="J82" s="7">
        <v>7</v>
      </c>
      <c r="K82" s="7"/>
      <c r="L82" s="7">
        <v>5</v>
      </c>
      <c r="M82" s="7"/>
      <c r="N82" s="7"/>
      <c r="O82" s="7">
        <v>1</v>
      </c>
      <c r="P82" s="7">
        <v>99</v>
      </c>
      <c r="Q82" s="7"/>
      <c r="R82" s="7"/>
      <c r="S82" s="7"/>
    </row>
    <row r="83" spans="1:19" ht="17.25" x14ac:dyDescent="0.15">
      <c r="A83" s="7">
        <v>7204</v>
      </c>
      <c r="B83" s="7" t="str">
        <f t="shared" si="2"/>
        <v>equip_skill[icon_equipSkill_7204]</v>
      </c>
      <c r="C83" s="7" t="s">
        <v>185</v>
      </c>
      <c r="D83" s="6" t="s">
        <v>195</v>
      </c>
      <c r="E83" s="7" t="s">
        <v>76</v>
      </c>
      <c r="F83" s="7">
        <v>704</v>
      </c>
      <c r="G83" s="7">
        <v>3</v>
      </c>
      <c r="H83" s="7"/>
      <c r="I83" s="7">
        <v>2</v>
      </c>
      <c r="J83" s="7">
        <v>7</v>
      </c>
      <c r="K83" s="7"/>
      <c r="L83" s="7">
        <v>7</v>
      </c>
      <c r="M83" s="7"/>
      <c r="N83" s="7"/>
      <c r="O83" s="7">
        <v>1</v>
      </c>
      <c r="P83" s="7">
        <v>99</v>
      </c>
      <c r="Q83" s="7"/>
      <c r="R83" s="7"/>
      <c r="S83" s="7"/>
    </row>
    <row r="84" spans="1:19" s="11" customFormat="1" ht="17.25" x14ac:dyDescent="0.15">
      <c r="A84" s="7">
        <v>7205</v>
      </c>
      <c r="B84" s="7" t="str">
        <f t="shared" si="2"/>
        <v>equip_skill[icon_equipSkill_7205]</v>
      </c>
      <c r="C84" s="7" t="s">
        <v>185</v>
      </c>
      <c r="D84" s="6" t="s">
        <v>196</v>
      </c>
      <c r="E84" s="7" t="s">
        <v>189</v>
      </c>
      <c r="F84" s="7">
        <v>705</v>
      </c>
      <c r="G84" s="7">
        <v>3</v>
      </c>
      <c r="H84" s="7"/>
      <c r="I84" s="7">
        <v>2</v>
      </c>
      <c r="J84" s="7">
        <v>7</v>
      </c>
      <c r="K84" s="7"/>
      <c r="L84" s="7">
        <v>11</v>
      </c>
      <c r="M84" s="7" t="s">
        <v>197</v>
      </c>
      <c r="N84" s="7"/>
      <c r="O84" s="7">
        <v>1</v>
      </c>
      <c r="P84" s="7">
        <v>99</v>
      </c>
      <c r="Q84" s="7"/>
      <c r="R84" s="7"/>
      <c r="S84" s="7"/>
    </row>
    <row r="85" spans="1:19" s="11" customFormat="1" ht="17.25" x14ac:dyDescent="0.15">
      <c r="A85" s="7">
        <v>7206</v>
      </c>
      <c r="B85" s="7" t="str">
        <f t="shared" si="2"/>
        <v>equip_skill[icon_equipSkill_7206]</v>
      </c>
      <c r="C85" s="7" t="s">
        <v>185</v>
      </c>
      <c r="D85" s="6" t="s">
        <v>198</v>
      </c>
      <c r="E85" s="7" t="s">
        <v>129</v>
      </c>
      <c r="F85" s="7">
        <v>706</v>
      </c>
      <c r="G85" s="7">
        <v>3</v>
      </c>
      <c r="H85" s="7"/>
      <c r="I85" s="7">
        <v>2</v>
      </c>
      <c r="J85" s="7">
        <v>7</v>
      </c>
      <c r="K85" s="7"/>
      <c r="L85" s="7">
        <v>13</v>
      </c>
      <c r="M85" s="7" t="s">
        <v>199</v>
      </c>
      <c r="N85" s="7"/>
      <c r="O85" s="7">
        <v>1</v>
      </c>
      <c r="P85" s="7">
        <v>99</v>
      </c>
      <c r="Q85" s="7"/>
      <c r="R85" s="7"/>
      <c r="S85" s="7"/>
    </row>
    <row r="86" spans="1:19" ht="17.25" x14ac:dyDescent="0.15">
      <c r="A86" s="7">
        <v>7207</v>
      </c>
      <c r="B86" s="7" t="str">
        <f t="shared" si="2"/>
        <v>equip_skill[icon_equipSkill_7207]</v>
      </c>
      <c r="C86" s="7" t="s">
        <v>185</v>
      </c>
      <c r="D86" s="6" t="s">
        <v>200</v>
      </c>
      <c r="E86" s="7" t="s">
        <v>201</v>
      </c>
      <c r="F86" s="7">
        <v>707</v>
      </c>
      <c r="G86" s="7">
        <v>4</v>
      </c>
      <c r="H86" s="7"/>
      <c r="I86" s="7">
        <v>2</v>
      </c>
      <c r="J86" s="7">
        <v>7</v>
      </c>
      <c r="K86" s="7"/>
      <c r="L86" s="7">
        <v>15</v>
      </c>
      <c r="M86" s="7" t="s">
        <v>197</v>
      </c>
      <c r="N86" s="7"/>
      <c r="O86" s="7">
        <v>1</v>
      </c>
      <c r="P86" s="7">
        <v>99</v>
      </c>
      <c r="Q86" s="7"/>
      <c r="R86" s="7"/>
      <c r="S86" s="7"/>
    </row>
    <row r="87" spans="1:19" ht="17.25" x14ac:dyDescent="0.15">
      <c r="A87" s="7">
        <v>7208</v>
      </c>
      <c r="B87" s="7" t="str">
        <f t="shared" si="2"/>
        <v>equip_skill[icon_equipSkill_7208]</v>
      </c>
      <c r="C87" s="7" t="s">
        <v>185</v>
      </c>
      <c r="D87" s="6" t="s">
        <v>202</v>
      </c>
      <c r="E87" s="7" t="s">
        <v>151</v>
      </c>
      <c r="F87" s="7">
        <v>708</v>
      </c>
      <c r="G87" s="7">
        <v>4</v>
      </c>
      <c r="H87" s="7"/>
      <c r="I87" s="7">
        <v>2</v>
      </c>
      <c r="J87" s="7">
        <v>7</v>
      </c>
      <c r="K87" s="7"/>
      <c r="L87" s="7">
        <v>17</v>
      </c>
      <c r="M87" s="7" t="s">
        <v>199</v>
      </c>
      <c r="N87" s="7"/>
      <c r="O87" s="7">
        <v>1</v>
      </c>
      <c r="P87" s="7">
        <v>99</v>
      </c>
      <c r="Q87" s="7"/>
      <c r="R87" s="7"/>
      <c r="S87" s="7"/>
    </row>
    <row r="88" spans="1:19" s="11" customFormat="1" ht="17.25" x14ac:dyDescent="0.15">
      <c r="A88" s="5">
        <v>7209</v>
      </c>
      <c r="B88" s="7" t="str">
        <f t="shared" si="2"/>
        <v>equip_skill[icon_equipSkill_7209]</v>
      </c>
      <c r="C88" s="5" t="s">
        <v>185</v>
      </c>
      <c r="D88" s="4" t="s">
        <v>203</v>
      </c>
      <c r="E88" s="5" t="s">
        <v>76</v>
      </c>
      <c r="F88" s="7">
        <v>709</v>
      </c>
      <c r="G88" s="5">
        <v>5</v>
      </c>
      <c r="H88" s="5" t="s">
        <v>204</v>
      </c>
      <c r="I88" s="5">
        <v>3</v>
      </c>
      <c r="J88" s="5">
        <v>7</v>
      </c>
      <c r="K88" s="5"/>
      <c r="L88" s="5">
        <v>9</v>
      </c>
      <c r="M88" s="5"/>
      <c r="N88" s="5"/>
      <c r="O88" s="5">
        <v>1</v>
      </c>
      <c r="P88" s="5">
        <v>99</v>
      </c>
      <c r="Q88" s="5"/>
      <c r="R88" s="5"/>
      <c r="S88" s="5"/>
    </row>
    <row r="89" spans="1:19" s="11" customFormat="1" ht="17.25" x14ac:dyDescent="0.15">
      <c r="A89" s="5">
        <v>7210</v>
      </c>
      <c r="B89" s="7" t="str">
        <f t="shared" si="2"/>
        <v>equip_skill[icon_equipSkill_7210]</v>
      </c>
      <c r="C89" s="5" t="s">
        <v>185</v>
      </c>
      <c r="D89" s="4" t="s">
        <v>205</v>
      </c>
      <c r="E89" s="5" t="s">
        <v>206</v>
      </c>
      <c r="F89" s="7">
        <v>710</v>
      </c>
      <c r="G89" s="5">
        <v>5</v>
      </c>
      <c r="H89" s="5" t="s">
        <v>207</v>
      </c>
      <c r="I89" s="5">
        <v>3</v>
      </c>
      <c r="J89" s="5">
        <v>7</v>
      </c>
      <c r="K89" s="5"/>
      <c r="L89" s="5">
        <v>9</v>
      </c>
      <c r="M89" s="5"/>
      <c r="N89" s="5"/>
      <c r="O89" s="5">
        <v>1</v>
      </c>
      <c r="P89" s="5">
        <v>99</v>
      </c>
      <c r="Q89" s="5"/>
      <c r="R89" s="5"/>
      <c r="S89" s="5"/>
    </row>
    <row r="90" spans="1:19" s="9" customFormat="1" x14ac:dyDescent="0.15">
      <c r="A90" s="2">
        <v>8100</v>
      </c>
      <c r="B90" s="7" t="str">
        <f t="shared" si="2"/>
        <v>equip_skill[icon_equipSkill_8100]</v>
      </c>
      <c r="C90" s="2" t="s">
        <v>208</v>
      </c>
      <c r="D90" s="2"/>
      <c r="E90" s="2"/>
      <c r="F90" s="2">
        <v>800</v>
      </c>
      <c r="G90" s="2"/>
      <c r="H90" s="2"/>
      <c r="I90" s="2">
        <v>1</v>
      </c>
      <c r="J90" s="2">
        <v>8</v>
      </c>
      <c r="K90" s="2"/>
      <c r="L90" s="2">
        <v>0</v>
      </c>
      <c r="M90" s="2"/>
      <c r="N90" s="2"/>
      <c r="O90" s="2">
        <v>1</v>
      </c>
      <c r="P90" s="2">
        <v>99</v>
      </c>
      <c r="Q90" s="2"/>
      <c r="R90" s="2"/>
      <c r="S90" s="2"/>
    </row>
    <row r="91" spans="1:19" s="10" customFormat="1" x14ac:dyDescent="0.15">
      <c r="A91" s="5">
        <v>8101</v>
      </c>
      <c r="B91" s="7" t="str">
        <f t="shared" si="2"/>
        <v>equip_skill[icon_equipSkill_8101]</v>
      </c>
      <c r="C91" s="5" t="s">
        <v>208</v>
      </c>
      <c r="D91" s="4" t="s">
        <v>209</v>
      </c>
      <c r="E91" s="5" t="s">
        <v>44</v>
      </c>
      <c r="F91" s="5"/>
      <c r="G91" s="5">
        <v>5</v>
      </c>
      <c r="H91" s="5" t="s">
        <v>210</v>
      </c>
      <c r="I91" s="5">
        <v>4</v>
      </c>
      <c r="J91" s="5">
        <v>8</v>
      </c>
      <c r="K91" s="5"/>
      <c r="L91" s="5">
        <v>9</v>
      </c>
      <c r="M91" s="5"/>
      <c r="N91" s="5"/>
      <c r="O91" s="5">
        <v>-1</v>
      </c>
      <c r="P91" s="5">
        <v>99</v>
      </c>
      <c r="Q91" s="5"/>
      <c r="R91" s="5"/>
      <c r="S91" s="5"/>
    </row>
    <row r="92" spans="1:19" ht="17.25" x14ac:dyDescent="0.15">
      <c r="A92" s="7">
        <v>8201</v>
      </c>
      <c r="B92" s="7" t="str">
        <f t="shared" si="2"/>
        <v>equip_skill[icon_equipSkill_8201]</v>
      </c>
      <c r="C92" s="7" t="s">
        <v>208</v>
      </c>
      <c r="D92" s="6" t="s">
        <v>211</v>
      </c>
      <c r="E92" s="7" t="s">
        <v>212</v>
      </c>
      <c r="F92" s="7">
        <v>801</v>
      </c>
      <c r="G92" s="7">
        <v>3</v>
      </c>
      <c r="H92" s="7"/>
      <c r="I92" s="7">
        <v>2</v>
      </c>
      <c r="J92" s="7">
        <v>8</v>
      </c>
      <c r="K92" s="7"/>
      <c r="L92" s="7">
        <v>1</v>
      </c>
      <c r="M92" s="7"/>
      <c r="N92" s="7"/>
      <c r="O92" s="7">
        <v>1</v>
      </c>
      <c r="P92" s="7">
        <v>99</v>
      </c>
      <c r="Q92" s="7"/>
      <c r="R92" s="7"/>
      <c r="S92" s="7"/>
    </row>
    <row r="93" spans="1:19" ht="17.25" x14ac:dyDescent="0.15">
      <c r="A93" s="7">
        <v>8202</v>
      </c>
      <c r="B93" s="7" t="str">
        <f t="shared" si="2"/>
        <v>equip_skill[icon_equipSkill_8202]</v>
      </c>
      <c r="C93" s="7" t="s">
        <v>208</v>
      </c>
      <c r="D93" s="6" t="s">
        <v>213</v>
      </c>
      <c r="E93" s="7" t="s">
        <v>149</v>
      </c>
      <c r="F93" s="7">
        <v>802</v>
      </c>
      <c r="G93" s="7">
        <v>2</v>
      </c>
      <c r="H93" s="7"/>
      <c r="I93" s="7">
        <v>2</v>
      </c>
      <c r="J93" s="7">
        <v>8</v>
      </c>
      <c r="K93" s="7"/>
      <c r="L93" s="7">
        <v>3</v>
      </c>
      <c r="M93" s="7"/>
      <c r="N93" s="7"/>
      <c r="O93" s="7">
        <v>1</v>
      </c>
      <c r="P93" s="7">
        <v>99</v>
      </c>
      <c r="Q93" s="7"/>
      <c r="R93" s="7"/>
      <c r="S93" s="7"/>
    </row>
    <row r="94" spans="1:19" ht="17.25" x14ac:dyDescent="0.15">
      <c r="A94" s="7">
        <v>8203</v>
      </c>
      <c r="B94" s="7" t="str">
        <f t="shared" si="2"/>
        <v>equip_skill[icon_equipSkill_8203]</v>
      </c>
      <c r="C94" s="7" t="s">
        <v>208</v>
      </c>
      <c r="D94" s="6" t="s">
        <v>214</v>
      </c>
      <c r="E94" s="7"/>
      <c r="F94" s="7">
        <v>803</v>
      </c>
      <c r="G94" s="7">
        <v>4</v>
      </c>
      <c r="H94" s="7"/>
      <c r="I94" s="7">
        <v>2</v>
      </c>
      <c r="J94" s="7">
        <v>8</v>
      </c>
      <c r="K94" s="7"/>
      <c r="L94" s="7">
        <v>5</v>
      </c>
      <c r="M94" s="7"/>
      <c r="N94" s="7"/>
      <c r="O94" s="7">
        <v>1</v>
      </c>
      <c r="P94" s="7">
        <v>99</v>
      </c>
      <c r="Q94" s="7"/>
      <c r="R94" s="7"/>
      <c r="S94" s="7"/>
    </row>
    <row r="95" spans="1:19" ht="17.25" x14ac:dyDescent="0.15">
      <c r="A95" s="7">
        <v>8204</v>
      </c>
      <c r="B95" s="7" t="str">
        <f t="shared" si="2"/>
        <v>equip_skill[icon_equipSkill_8204]</v>
      </c>
      <c r="C95" s="7" t="s">
        <v>208</v>
      </c>
      <c r="D95" s="6" t="s">
        <v>215</v>
      </c>
      <c r="E95" s="7" t="s">
        <v>129</v>
      </c>
      <c r="F95" s="7">
        <v>804</v>
      </c>
      <c r="G95" s="7">
        <v>3</v>
      </c>
      <c r="H95" s="7"/>
      <c r="I95" s="7">
        <v>2</v>
      </c>
      <c r="J95" s="7">
        <v>8</v>
      </c>
      <c r="K95" s="7"/>
      <c r="L95" s="7">
        <v>7</v>
      </c>
      <c r="M95" s="7"/>
      <c r="N95" s="7"/>
      <c r="O95" s="7">
        <v>1</v>
      </c>
      <c r="P95" s="7">
        <v>99</v>
      </c>
      <c r="Q95" s="7"/>
      <c r="R95" s="7"/>
      <c r="S95" s="7"/>
    </row>
    <row r="96" spans="1:19" s="11" customFormat="1" ht="17.25" x14ac:dyDescent="0.15">
      <c r="A96" s="7">
        <v>8205</v>
      </c>
      <c r="B96" s="7" t="str">
        <f t="shared" si="2"/>
        <v>equip_skill[icon_equipSkill_8205]</v>
      </c>
      <c r="C96" s="7" t="s">
        <v>208</v>
      </c>
      <c r="D96" s="6" t="s">
        <v>216</v>
      </c>
      <c r="E96" s="7" t="s">
        <v>217</v>
      </c>
      <c r="F96" s="7">
        <v>805</v>
      </c>
      <c r="G96" s="7">
        <v>3</v>
      </c>
      <c r="H96" s="7"/>
      <c r="I96" s="7">
        <v>2</v>
      </c>
      <c r="J96" s="7">
        <v>8</v>
      </c>
      <c r="K96" s="7"/>
      <c r="L96" s="7">
        <v>11</v>
      </c>
      <c r="M96" s="7" t="s">
        <v>218</v>
      </c>
      <c r="N96" s="7"/>
      <c r="O96" s="7">
        <v>1</v>
      </c>
      <c r="P96" s="7">
        <v>99</v>
      </c>
      <c r="Q96" s="7"/>
      <c r="R96" s="7"/>
      <c r="S96" s="7"/>
    </row>
    <row r="97" spans="1:19" s="11" customFormat="1" ht="17.25" x14ac:dyDescent="0.15">
      <c r="A97" s="7">
        <v>8206</v>
      </c>
      <c r="B97" s="7" t="str">
        <f t="shared" si="2"/>
        <v>equip_skill[icon_equipSkill_8206]</v>
      </c>
      <c r="C97" s="7" t="s">
        <v>208</v>
      </c>
      <c r="D97" s="6" t="s">
        <v>219</v>
      </c>
      <c r="E97" s="7" t="s">
        <v>105</v>
      </c>
      <c r="F97" s="7">
        <v>806</v>
      </c>
      <c r="G97" s="7">
        <v>3</v>
      </c>
      <c r="H97" s="7"/>
      <c r="I97" s="7">
        <v>2</v>
      </c>
      <c r="J97" s="7">
        <v>8</v>
      </c>
      <c r="K97" s="7"/>
      <c r="L97" s="7">
        <v>13</v>
      </c>
      <c r="M97" s="7" t="s">
        <v>220</v>
      </c>
      <c r="N97" s="7"/>
      <c r="O97" s="7">
        <v>1</v>
      </c>
      <c r="P97" s="7">
        <v>99</v>
      </c>
      <c r="Q97" s="7"/>
      <c r="R97" s="7"/>
      <c r="S97" s="7"/>
    </row>
    <row r="98" spans="1:19" ht="17.25" x14ac:dyDescent="0.15">
      <c r="A98" s="7">
        <v>8207</v>
      </c>
      <c r="B98" s="7" t="str">
        <f t="shared" si="2"/>
        <v>equip_skill[icon_equipSkill_8207]</v>
      </c>
      <c r="C98" s="7" t="s">
        <v>208</v>
      </c>
      <c r="D98" s="6" t="s">
        <v>221</v>
      </c>
      <c r="E98" s="7" t="s">
        <v>105</v>
      </c>
      <c r="F98" s="7">
        <v>807</v>
      </c>
      <c r="G98" s="7">
        <v>4</v>
      </c>
      <c r="H98" s="7"/>
      <c r="I98" s="7">
        <v>2</v>
      </c>
      <c r="J98" s="7">
        <v>8</v>
      </c>
      <c r="K98" s="7"/>
      <c r="L98" s="7">
        <v>15</v>
      </c>
      <c r="M98" s="7" t="s">
        <v>218</v>
      </c>
      <c r="N98" s="7"/>
      <c r="O98" s="7">
        <v>1</v>
      </c>
      <c r="P98" s="7">
        <v>99</v>
      </c>
      <c r="Q98" s="7"/>
      <c r="R98" s="7"/>
      <c r="S98" s="7"/>
    </row>
    <row r="99" spans="1:19" ht="17.25" x14ac:dyDescent="0.15">
      <c r="A99" s="7">
        <v>8208</v>
      </c>
      <c r="B99" s="7" t="str">
        <f t="shared" si="2"/>
        <v>equip_skill[icon_equipSkill_8208]</v>
      </c>
      <c r="C99" s="7" t="s">
        <v>208</v>
      </c>
      <c r="D99" s="6" t="s">
        <v>222</v>
      </c>
      <c r="E99" s="7" t="s">
        <v>223</v>
      </c>
      <c r="F99" s="7">
        <v>808</v>
      </c>
      <c r="G99" s="7">
        <v>4</v>
      </c>
      <c r="H99" s="7"/>
      <c r="I99" s="7">
        <v>2</v>
      </c>
      <c r="J99" s="7">
        <v>8</v>
      </c>
      <c r="K99" s="7"/>
      <c r="L99" s="7">
        <v>17</v>
      </c>
      <c r="M99" s="7" t="s">
        <v>220</v>
      </c>
      <c r="N99" s="7"/>
      <c r="O99" s="7">
        <v>1</v>
      </c>
      <c r="P99" s="7">
        <v>99</v>
      </c>
      <c r="Q99" s="7"/>
      <c r="R99" s="7"/>
      <c r="S99" s="7"/>
    </row>
    <row r="100" spans="1:19" s="11" customFormat="1" ht="17.25" x14ac:dyDescent="0.15">
      <c r="A100" s="5">
        <v>8209</v>
      </c>
      <c r="B100" s="7" t="str">
        <f t="shared" si="2"/>
        <v>equip_skill[icon_equipSkill_8209]</v>
      </c>
      <c r="C100" s="5" t="s">
        <v>208</v>
      </c>
      <c r="D100" s="4" t="s">
        <v>224</v>
      </c>
      <c r="E100" s="5" t="s">
        <v>225</v>
      </c>
      <c r="F100" s="7">
        <v>809</v>
      </c>
      <c r="G100" s="5">
        <v>5</v>
      </c>
      <c r="H100" s="5" t="s">
        <v>226</v>
      </c>
      <c r="I100" s="5">
        <v>3</v>
      </c>
      <c r="J100" s="5">
        <v>8</v>
      </c>
      <c r="K100" s="5"/>
      <c r="L100" s="5">
        <v>9</v>
      </c>
      <c r="M100" s="5"/>
      <c r="N100" s="5"/>
      <c r="O100" s="5">
        <v>1</v>
      </c>
      <c r="P100" s="5">
        <v>99</v>
      </c>
      <c r="Q100" s="5"/>
      <c r="R100" s="5"/>
      <c r="S100" s="5"/>
    </row>
    <row r="101" spans="1:19" s="10" customFormat="1" x14ac:dyDescent="0.15">
      <c r="A101" s="5">
        <v>8210</v>
      </c>
      <c r="B101" s="7" t="str">
        <f t="shared" si="2"/>
        <v>equip_skill[icon_equipSkill_8210]</v>
      </c>
      <c r="C101" s="5" t="s">
        <v>208</v>
      </c>
      <c r="D101" s="4" t="s">
        <v>227</v>
      </c>
      <c r="E101" s="5" t="s">
        <v>228</v>
      </c>
      <c r="F101" s="5">
        <v>810</v>
      </c>
      <c r="G101" s="5">
        <v>5</v>
      </c>
      <c r="H101" s="5" t="s">
        <v>229</v>
      </c>
      <c r="I101" s="5">
        <v>3</v>
      </c>
      <c r="J101" s="5">
        <v>8</v>
      </c>
      <c r="K101" s="5"/>
      <c r="L101" s="5">
        <v>9</v>
      </c>
      <c r="M101" s="5"/>
      <c r="N101" s="5"/>
      <c r="O101" s="5">
        <v>1</v>
      </c>
      <c r="P101" s="5">
        <v>99</v>
      </c>
      <c r="Q101" s="5"/>
      <c r="R101" s="5"/>
      <c r="S101" s="5"/>
    </row>
    <row r="102" spans="1:19" s="9" customFormat="1" x14ac:dyDescent="0.15">
      <c r="A102" s="2">
        <v>11100</v>
      </c>
      <c r="B102" s="7" t="str">
        <f t="shared" si="2"/>
        <v>equip_skill[icon_equipSkill_11100]</v>
      </c>
      <c r="C102" s="2" t="s">
        <v>230</v>
      </c>
      <c r="D102" s="2"/>
      <c r="E102" s="2"/>
      <c r="F102" s="2">
        <v>1100</v>
      </c>
      <c r="G102" s="2"/>
      <c r="H102" s="2"/>
      <c r="I102" s="2">
        <v>1</v>
      </c>
      <c r="J102" s="2">
        <v>11</v>
      </c>
      <c r="K102" s="2"/>
      <c r="L102" s="2">
        <v>0</v>
      </c>
      <c r="M102" s="2"/>
      <c r="N102" s="2"/>
      <c r="O102" s="2">
        <v>1</v>
      </c>
      <c r="P102" s="2">
        <v>99</v>
      </c>
      <c r="Q102" s="2"/>
      <c r="R102" s="2"/>
      <c r="S102" s="2"/>
    </row>
    <row r="103" spans="1:19" s="10" customFormat="1" x14ac:dyDescent="0.15">
      <c r="A103" s="5">
        <v>11101</v>
      </c>
      <c r="B103" s="7" t="str">
        <f t="shared" si="2"/>
        <v>equip_skill[icon_equipSkill_11101]</v>
      </c>
      <c r="C103" s="5" t="s">
        <v>230</v>
      </c>
      <c r="D103" s="4" t="s">
        <v>231</v>
      </c>
      <c r="E103" s="5" t="s">
        <v>44</v>
      </c>
      <c r="F103" s="5"/>
      <c r="G103" s="5">
        <v>5</v>
      </c>
      <c r="H103" s="5" t="s">
        <v>232</v>
      </c>
      <c r="I103" s="5">
        <v>4</v>
      </c>
      <c r="J103" s="5">
        <v>11</v>
      </c>
      <c r="K103" s="5"/>
      <c r="L103" s="5">
        <v>9</v>
      </c>
      <c r="M103" s="5"/>
      <c r="N103" s="5"/>
      <c r="O103" s="5">
        <v>-1</v>
      </c>
      <c r="P103" s="5">
        <v>99</v>
      </c>
      <c r="Q103" s="5"/>
      <c r="R103" s="5"/>
      <c r="S103" s="5"/>
    </row>
    <row r="104" spans="1:19" ht="17.25" x14ac:dyDescent="0.15">
      <c r="A104" s="7">
        <v>11201</v>
      </c>
      <c r="B104" s="7" t="str">
        <f t="shared" si="2"/>
        <v>equip_skill[icon_equipSkill_11201]</v>
      </c>
      <c r="C104" s="7" t="s">
        <v>230</v>
      </c>
      <c r="D104" s="6" t="s">
        <v>233</v>
      </c>
      <c r="E104" s="7" t="s">
        <v>100</v>
      </c>
      <c r="F104" s="7">
        <v>1101</v>
      </c>
      <c r="G104" s="7">
        <v>3</v>
      </c>
      <c r="H104" s="7"/>
      <c r="I104" s="7">
        <v>2</v>
      </c>
      <c r="J104" s="7">
        <v>11</v>
      </c>
      <c r="K104" s="7"/>
      <c r="L104" s="7">
        <v>1</v>
      </c>
      <c r="M104" s="7"/>
      <c r="N104" s="7"/>
      <c r="O104" s="7">
        <v>1</v>
      </c>
      <c r="P104" s="7">
        <v>99</v>
      </c>
      <c r="Q104" s="7"/>
      <c r="R104" s="7"/>
      <c r="S104" s="7"/>
    </row>
    <row r="105" spans="1:19" ht="17.25" x14ac:dyDescent="0.15">
      <c r="A105" s="7">
        <v>11202</v>
      </c>
      <c r="B105" s="7" t="str">
        <f t="shared" si="2"/>
        <v>equip_skill[icon_equipSkill_11202]</v>
      </c>
      <c r="C105" s="7" t="s">
        <v>230</v>
      </c>
      <c r="D105" s="6" t="s">
        <v>234</v>
      </c>
      <c r="E105" s="7"/>
      <c r="F105" s="7">
        <v>1102</v>
      </c>
      <c r="G105" s="7">
        <v>3</v>
      </c>
      <c r="H105" s="7"/>
      <c r="I105" s="7">
        <v>2</v>
      </c>
      <c r="J105" s="7">
        <v>11</v>
      </c>
      <c r="K105" s="7"/>
      <c r="L105" s="7">
        <v>3</v>
      </c>
      <c r="M105" s="7" t="s">
        <v>235</v>
      </c>
      <c r="N105" s="7"/>
      <c r="O105" s="7">
        <v>1</v>
      </c>
      <c r="P105" s="7">
        <v>99</v>
      </c>
      <c r="Q105" s="7"/>
      <c r="R105" s="7"/>
      <c r="S105" s="7"/>
    </row>
    <row r="106" spans="1:19" ht="17.25" x14ac:dyDescent="0.15">
      <c r="A106" s="7">
        <v>11203</v>
      </c>
      <c r="B106" s="7" t="str">
        <f t="shared" si="2"/>
        <v>equip_skill[icon_equipSkill_11203]</v>
      </c>
      <c r="C106" s="7" t="s">
        <v>230</v>
      </c>
      <c r="D106" s="6" t="s">
        <v>236</v>
      </c>
      <c r="E106" s="7" t="s">
        <v>170</v>
      </c>
      <c r="F106" s="7">
        <v>1103</v>
      </c>
      <c r="G106" s="7">
        <v>2</v>
      </c>
      <c r="H106" s="7"/>
      <c r="I106" s="7">
        <v>2</v>
      </c>
      <c r="J106" s="7">
        <v>11</v>
      </c>
      <c r="K106" s="7"/>
      <c r="L106" s="7">
        <v>5</v>
      </c>
      <c r="M106" s="7"/>
      <c r="N106" s="7"/>
      <c r="O106" s="7">
        <v>1</v>
      </c>
      <c r="P106" s="7">
        <v>99</v>
      </c>
      <c r="Q106" s="7"/>
      <c r="R106" s="7"/>
      <c r="S106" s="7"/>
    </row>
    <row r="107" spans="1:19" ht="17.25" x14ac:dyDescent="0.15">
      <c r="A107" s="7">
        <v>11204</v>
      </c>
      <c r="B107" s="7" t="str">
        <f t="shared" si="2"/>
        <v>equip_skill[icon_equipSkill_11204]</v>
      </c>
      <c r="C107" s="7" t="s">
        <v>230</v>
      </c>
      <c r="D107" s="6" t="s">
        <v>237</v>
      </c>
      <c r="E107" s="7" t="s">
        <v>49</v>
      </c>
      <c r="F107" s="7">
        <v>1104</v>
      </c>
      <c r="G107" s="7">
        <v>4</v>
      </c>
      <c r="H107" s="7"/>
      <c r="I107" s="7">
        <v>2</v>
      </c>
      <c r="J107" s="7">
        <v>11</v>
      </c>
      <c r="K107" s="7"/>
      <c r="L107" s="7">
        <v>7</v>
      </c>
      <c r="M107" s="7"/>
      <c r="N107" s="7"/>
      <c r="O107" s="7">
        <v>1</v>
      </c>
      <c r="P107" s="7">
        <v>99</v>
      </c>
      <c r="Q107" s="7"/>
      <c r="R107" s="7"/>
      <c r="S107" s="7"/>
    </row>
    <row r="108" spans="1:19" s="9" customFormat="1" x14ac:dyDescent="0.15">
      <c r="A108" s="7">
        <v>11205</v>
      </c>
      <c r="B108" s="7" t="str">
        <f t="shared" ref="B108:B113" si="3">"equip_skill["&amp;"icon_equipSkill_"&amp;A108&amp;"]"</f>
        <v>equip_skill[icon_equipSkill_11205]</v>
      </c>
      <c r="C108" s="7" t="s">
        <v>230</v>
      </c>
      <c r="D108" s="6" t="s">
        <v>238</v>
      </c>
      <c r="E108" s="7" t="s">
        <v>103</v>
      </c>
      <c r="F108" s="7">
        <v>1105</v>
      </c>
      <c r="G108" s="7">
        <v>3</v>
      </c>
      <c r="H108" s="7"/>
      <c r="I108" s="7">
        <v>2</v>
      </c>
      <c r="J108" s="7">
        <v>11</v>
      </c>
      <c r="K108" s="7"/>
      <c r="L108" s="7">
        <v>11</v>
      </c>
      <c r="M108" s="7" t="s">
        <v>239</v>
      </c>
      <c r="N108" s="7"/>
      <c r="O108" s="7">
        <v>1</v>
      </c>
      <c r="P108" s="7">
        <v>99</v>
      </c>
      <c r="Q108" s="7"/>
      <c r="R108" s="7"/>
      <c r="S108" s="7"/>
    </row>
    <row r="109" spans="1:19" s="9" customFormat="1" x14ac:dyDescent="0.15">
      <c r="A109" s="7">
        <v>11206</v>
      </c>
      <c r="B109" s="7" t="str">
        <f t="shared" si="3"/>
        <v>equip_skill[icon_equipSkill_11206]</v>
      </c>
      <c r="C109" s="7" t="s">
        <v>230</v>
      </c>
      <c r="D109" s="6" t="s">
        <v>240</v>
      </c>
      <c r="E109" s="7" t="s">
        <v>241</v>
      </c>
      <c r="F109" s="7">
        <v>1106</v>
      </c>
      <c r="G109" s="7">
        <v>3</v>
      </c>
      <c r="H109" s="7"/>
      <c r="I109" s="7">
        <v>2</v>
      </c>
      <c r="J109" s="7">
        <v>11</v>
      </c>
      <c r="K109" s="7"/>
      <c r="L109" s="7">
        <v>13</v>
      </c>
      <c r="M109" s="7" t="s">
        <v>242</v>
      </c>
      <c r="N109" s="7"/>
      <c r="O109" s="7">
        <v>1</v>
      </c>
      <c r="P109" s="7">
        <v>99</v>
      </c>
      <c r="Q109" s="7"/>
      <c r="R109" s="7"/>
      <c r="S109" s="7"/>
    </row>
    <row r="110" spans="1:19" s="9" customFormat="1" x14ac:dyDescent="0.15">
      <c r="A110" s="7">
        <v>11207</v>
      </c>
      <c r="B110" s="7" t="str">
        <f t="shared" si="3"/>
        <v>equip_skill[icon_equipSkill_11207]</v>
      </c>
      <c r="C110" s="7" t="s">
        <v>230</v>
      </c>
      <c r="D110" s="6" t="s">
        <v>243</v>
      </c>
      <c r="E110" s="7" t="s">
        <v>151</v>
      </c>
      <c r="F110" s="7">
        <v>1107</v>
      </c>
      <c r="G110" s="7">
        <v>4</v>
      </c>
      <c r="H110" s="7"/>
      <c r="I110" s="7">
        <v>2</v>
      </c>
      <c r="J110" s="7">
        <v>11</v>
      </c>
      <c r="K110" s="7"/>
      <c r="L110" s="7">
        <v>15</v>
      </c>
      <c r="M110" s="7" t="s">
        <v>239</v>
      </c>
      <c r="N110" s="7"/>
      <c r="O110" s="7">
        <v>1</v>
      </c>
      <c r="P110" s="7">
        <v>99</v>
      </c>
      <c r="Q110" s="7"/>
      <c r="R110" s="7"/>
      <c r="S110" s="7"/>
    </row>
    <row r="111" spans="1:19" s="9" customFormat="1" x14ac:dyDescent="0.15">
      <c r="A111" s="7">
        <v>11208</v>
      </c>
      <c r="B111" s="7" t="str">
        <f t="shared" si="3"/>
        <v>equip_skill[icon_equipSkill_11208]</v>
      </c>
      <c r="C111" s="7" t="s">
        <v>230</v>
      </c>
      <c r="D111" s="6" t="s">
        <v>244</v>
      </c>
      <c r="E111" s="7" t="s">
        <v>245</v>
      </c>
      <c r="F111" s="7">
        <v>1108</v>
      </c>
      <c r="G111" s="7">
        <v>4</v>
      </c>
      <c r="H111" s="7"/>
      <c r="I111" s="7">
        <v>2</v>
      </c>
      <c r="J111" s="7">
        <v>11</v>
      </c>
      <c r="K111" s="7"/>
      <c r="L111" s="7">
        <v>17</v>
      </c>
      <c r="M111" s="7" t="s">
        <v>242</v>
      </c>
      <c r="N111" s="7"/>
      <c r="O111" s="7">
        <v>1</v>
      </c>
      <c r="P111" s="7">
        <v>99</v>
      </c>
      <c r="Q111" s="7"/>
      <c r="R111" s="7"/>
      <c r="S111" s="7"/>
    </row>
    <row r="112" spans="1:19" s="10" customFormat="1" x14ac:dyDescent="0.15">
      <c r="A112" s="5">
        <v>11209</v>
      </c>
      <c r="B112" s="7" t="str">
        <f t="shared" si="3"/>
        <v>equip_skill[icon_equipSkill_11209]</v>
      </c>
      <c r="C112" s="5" t="s">
        <v>230</v>
      </c>
      <c r="D112" s="4" t="s">
        <v>246</v>
      </c>
      <c r="E112" s="5" t="s">
        <v>247</v>
      </c>
      <c r="F112" s="5">
        <v>1109</v>
      </c>
      <c r="G112" s="5">
        <v>5</v>
      </c>
      <c r="H112" s="5" t="s">
        <v>248</v>
      </c>
      <c r="I112" s="5">
        <v>3</v>
      </c>
      <c r="J112" s="5">
        <v>11</v>
      </c>
      <c r="K112" s="5"/>
      <c r="L112" s="5">
        <v>9</v>
      </c>
      <c r="M112" s="5"/>
      <c r="N112" s="5"/>
      <c r="O112" s="5">
        <v>1</v>
      </c>
      <c r="P112" s="5">
        <v>99</v>
      </c>
      <c r="Q112" s="5"/>
      <c r="R112" s="5"/>
      <c r="S112" s="5"/>
    </row>
    <row r="113" spans="1:19" s="10" customFormat="1" x14ac:dyDescent="0.15">
      <c r="A113" s="5">
        <v>11210</v>
      </c>
      <c r="B113" s="7" t="str">
        <f t="shared" si="3"/>
        <v>equip_skill[icon_equipSkill_11210]</v>
      </c>
      <c r="C113" s="5" t="s">
        <v>230</v>
      </c>
      <c r="D113" s="4" t="s">
        <v>249</v>
      </c>
      <c r="E113" s="5" t="s">
        <v>250</v>
      </c>
      <c r="F113" s="5">
        <v>1110</v>
      </c>
      <c r="G113" s="5">
        <v>5</v>
      </c>
      <c r="H113" s="5" t="s">
        <v>251</v>
      </c>
      <c r="I113" s="5">
        <v>3</v>
      </c>
      <c r="J113" s="5">
        <v>11</v>
      </c>
      <c r="K113" s="5"/>
      <c r="L113" s="5">
        <v>9</v>
      </c>
      <c r="M113" s="5"/>
      <c r="N113" s="5"/>
      <c r="O113" s="5">
        <v>1</v>
      </c>
      <c r="P113" s="5">
        <v>99</v>
      </c>
      <c r="Q113" s="5"/>
      <c r="R113" s="5"/>
      <c r="S113" s="5"/>
    </row>
    <row r="114" spans="1:19" s="9" customFormat="1" x14ac:dyDescent="0.15">
      <c r="A114" s="2">
        <v>12100</v>
      </c>
      <c r="B114" s="7" t="str">
        <f t="shared" ref="B114:B119" si="4">"equip_skill["&amp;"icon_equipSkill_"&amp;A114&amp;"]"</f>
        <v>equip_skill[icon_equipSkill_12100]</v>
      </c>
      <c r="C114" s="2" t="s">
        <v>252</v>
      </c>
      <c r="D114" s="2"/>
      <c r="E114" s="2"/>
      <c r="F114" s="2">
        <v>1200</v>
      </c>
      <c r="G114" s="2"/>
      <c r="H114" s="2"/>
      <c r="I114" s="2">
        <v>1</v>
      </c>
      <c r="J114" s="2">
        <v>12</v>
      </c>
      <c r="K114" s="2"/>
      <c r="L114" s="2">
        <v>0</v>
      </c>
      <c r="M114" s="2"/>
      <c r="N114" s="2"/>
      <c r="O114" s="2">
        <v>1</v>
      </c>
      <c r="P114" s="2">
        <v>99</v>
      </c>
      <c r="Q114" s="2"/>
      <c r="R114" s="2"/>
      <c r="S114" s="2"/>
    </row>
    <row r="115" spans="1:19" s="10" customFormat="1" x14ac:dyDescent="0.15">
      <c r="A115" s="5">
        <v>12101</v>
      </c>
      <c r="B115" s="7" t="str">
        <f t="shared" si="4"/>
        <v>equip_skill[icon_equipSkill_12101]</v>
      </c>
      <c r="C115" s="5" t="s">
        <v>252</v>
      </c>
      <c r="D115" s="4" t="s">
        <v>209</v>
      </c>
      <c r="E115" s="5" t="s">
        <v>44</v>
      </c>
      <c r="F115" s="5"/>
      <c r="G115" s="5">
        <v>5</v>
      </c>
      <c r="H115" s="5" t="s">
        <v>253</v>
      </c>
      <c r="I115" s="5">
        <v>4</v>
      </c>
      <c r="J115" s="5">
        <v>12</v>
      </c>
      <c r="K115" s="5"/>
      <c r="L115" s="5">
        <v>9</v>
      </c>
      <c r="M115" s="5"/>
      <c r="N115" s="5"/>
      <c r="O115" s="5">
        <v>-1</v>
      </c>
      <c r="P115" s="5">
        <v>99</v>
      </c>
      <c r="Q115" s="5"/>
      <c r="R115" s="5"/>
      <c r="S115" s="5"/>
    </row>
    <row r="116" spans="1:19" ht="17.25" x14ac:dyDescent="0.15">
      <c r="A116" s="7">
        <v>12201</v>
      </c>
      <c r="B116" s="7" t="str">
        <f t="shared" si="4"/>
        <v>equip_skill[icon_equipSkill_12201]</v>
      </c>
      <c r="C116" s="7" t="s">
        <v>252</v>
      </c>
      <c r="D116" s="6" t="s">
        <v>254</v>
      </c>
      <c r="E116" s="7" t="s">
        <v>149</v>
      </c>
      <c r="F116" s="7">
        <v>1201</v>
      </c>
      <c r="G116" s="7">
        <v>3</v>
      </c>
      <c r="H116" s="7"/>
      <c r="I116" s="7">
        <v>2</v>
      </c>
      <c r="J116" s="7">
        <v>12</v>
      </c>
      <c r="K116" s="7"/>
      <c r="L116" s="7">
        <v>1</v>
      </c>
      <c r="M116" s="7"/>
      <c r="N116" s="7"/>
      <c r="O116" s="7">
        <v>1</v>
      </c>
      <c r="P116" s="7">
        <v>99</v>
      </c>
      <c r="Q116" s="7"/>
      <c r="R116" s="7"/>
      <c r="S116" s="7"/>
    </row>
    <row r="117" spans="1:19" ht="17.25" x14ac:dyDescent="0.15">
      <c r="A117" s="7">
        <v>12202</v>
      </c>
      <c r="B117" s="7" t="str">
        <f t="shared" si="4"/>
        <v>equip_skill[icon_equipSkill_12202]</v>
      </c>
      <c r="C117" s="7" t="s">
        <v>252</v>
      </c>
      <c r="D117" s="6" t="s">
        <v>255</v>
      </c>
      <c r="E117" s="7" t="s">
        <v>256</v>
      </c>
      <c r="F117" s="7">
        <v>1202</v>
      </c>
      <c r="G117" s="7">
        <v>4</v>
      </c>
      <c r="H117" s="7"/>
      <c r="I117" s="7">
        <v>2</v>
      </c>
      <c r="J117" s="7">
        <v>12</v>
      </c>
      <c r="K117" s="7"/>
      <c r="L117" s="7">
        <v>3</v>
      </c>
      <c r="M117" s="7"/>
      <c r="N117" s="7"/>
      <c r="O117" s="7">
        <v>1</v>
      </c>
      <c r="P117" s="7">
        <v>99</v>
      </c>
      <c r="Q117" s="7"/>
      <c r="R117" s="7"/>
      <c r="S117" s="7"/>
    </row>
    <row r="118" spans="1:19" ht="17.25" x14ac:dyDescent="0.15">
      <c r="A118" s="7">
        <v>12203</v>
      </c>
      <c r="B118" s="7" t="str">
        <f t="shared" si="4"/>
        <v>equip_skill[icon_equipSkill_12203]</v>
      </c>
      <c r="C118" s="7" t="s">
        <v>252</v>
      </c>
      <c r="D118" s="6" t="s">
        <v>257</v>
      </c>
      <c r="E118" s="7" t="s">
        <v>170</v>
      </c>
      <c r="F118" s="7">
        <v>1203</v>
      </c>
      <c r="G118" s="7">
        <v>2</v>
      </c>
      <c r="H118" s="7"/>
      <c r="I118" s="7">
        <v>2</v>
      </c>
      <c r="J118" s="7">
        <v>12</v>
      </c>
      <c r="K118" s="7"/>
      <c r="L118" s="7">
        <v>5</v>
      </c>
      <c r="M118" s="7"/>
      <c r="N118" s="7"/>
      <c r="O118" s="7">
        <v>1</v>
      </c>
      <c r="P118" s="7">
        <v>99</v>
      </c>
      <c r="Q118" s="7"/>
      <c r="R118" s="7"/>
      <c r="S118" s="7"/>
    </row>
    <row r="119" spans="1:19" ht="17.25" x14ac:dyDescent="0.15">
      <c r="A119" s="7">
        <v>12204</v>
      </c>
      <c r="B119" s="7" t="str">
        <f t="shared" si="4"/>
        <v>equip_skill[icon_equipSkill_12204]</v>
      </c>
      <c r="C119" s="7" t="s">
        <v>252</v>
      </c>
      <c r="D119" s="6" t="s">
        <v>258</v>
      </c>
      <c r="E119" s="7" t="s">
        <v>259</v>
      </c>
      <c r="F119" s="7">
        <v>1204</v>
      </c>
      <c r="G119" s="7">
        <v>3</v>
      </c>
      <c r="H119" s="7"/>
      <c r="I119" s="7">
        <v>2</v>
      </c>
      <c r="J119" s="7">
        <v>12</v>
      </c>
      <c r="K119" s="7"/>
      <c r="L119" s="7">
        <v>7</v>
      </c>
      <c r="M119" s="7" t="s">
        <v>260</v>
      </c>
      <c r="N119" s="7"/>
      <c r="O119" s="7">
        <v>1</v>
      </c>
      <c r="P119" s="7">
        <v>99</v>
      </c>
      <c r="Q119" s="7"/>
      <c r="R119" s="7"/>
      <c r="S119" s="7"/>
    </row>
    <row r="120" spans="1:19" s="9" customFormat="1" x14ac:dyDescent="0.15">
      <c r="A120" s="7">
        <v>12205</v>
      </c>
      <c r="B120" s="7" t="str">
        <f t="shared" ref="B120:B125" si="5">"equip_skill["&amp;"icon_equipSkill_"&amp;A120&amp;"]"</f>
        <v>equip_skill[icon_equipSkill_12205]</v>
      </c>
      <c r="C120" s="7" t="s">
        <v>252</v>
      </c>
      <c r="D120" s="6" t="s">
        <v>261</v>
      </c>
      <c r="E120" s="7" t="s">
        <v>151</v>
      </c>
      <c r="F120" s="7">
        <v>1205</v>
      </c>
      <c r="G120" s="7">
        <v>3</v>
      </c>
      <c r="H120" s="7"/>
      <c r="I120" s="7">
        <v>2</v>
      </c>
      <c r="J120" s="7">
        <v>12</v>
      </c>
      <c r="K120" s="7"/>
      <c r="L120" s="7">
        <v>11</v>
      </c>
      <c r="M120" s="7" t="s">
        <v>262</v>
      </c>
      <c r="N120" s="7"/>
      <c r="O120" s="7">
        <v>1</v>
      </c>
      <c r="P120" s="7">
        <v>99</v>
      </c>
      <c r="Q120" s="7"/>
      <c r="R120" s="7">
        <v>1</v>
      </c>
      <c r="S120" s="7"/>
    </row>
    <row r="121" spans="1:19" s="9" customFormat="1" x14ac:dyDescent="0.15">
      <c r="A121" s="7">
        <v>12206</v>
      </c>
      <c r="B121" s="7" t="str">
        <f t="shared" si="5"/>
        <v>equip_skill[icon_equipSkill_12206]</v>
      </c>
      <c r="C121" s="7" t="s">
        <v>252</v>
      </c>
      <c r="D121" s="6" t="s">
        <v>263</v>
      </c>
      <c r="E121" s="7" t="s">
        <v>264</v>
      </c>
      <c r="F121" s="7">
        <v>1206</v>
      </c>
      <c r="G121" s="7">
        <v>3</v>
      </c>
      <c r="H121" s="7"/>
      <c r="I121" s="7">
        <v>2</v>
      </c>
      <c r="J121" s="7">
        <v>12</v>
      </c>
      <c r="K121" s="7"/>
      <c r="L121" s="7">
        <v>13</v>
      </c>
      <c r="M121" s="7" t="s">
        <v>265</v>
      </c>
      <c r="N121" s="7"/>
      <c r="O121" s="7">
        <v>1</v>
      </c>
      <c r="P121" s="7">
        <v>99</v>
      </c>
      <c r="Q121" s="7"/>
      <c r="R121" s="7"/>
      <c r="S121" s="7"/>
    </row>
    <row r="122" spans="1:19" s="9" customFormat="1" x14ac:dyDescent="0.15">
      <c r="A122" s="7">
        <v>12207</v>
      </c>
      <c r="B122" s="7" t="str">
        <f t="shared" si="5"/>
        <v>equip_skill[icon_equipSkill_12207]</v>
      </c>
      <c r="C122" s="7" t="s">
        <v>252</v>
      </c>
      <c r="D122" s="6" t="s">
        <v>266</v>
      </c>
      <c r="E122" s="7" t="s">
        <v>267</v>
      </c>
      <c r="F122" s="7">
        <v>1207</v>
      </c>
      <c r="G122" s="7">
        <v>4</v>
      </c>
      <c r="H122" s="7"/>
      <c r="I122" s="7">
        <v>2</v>
      </c>
      <c r="J122" s="7">
        <v>12</v>
      </c>
      <c r="K122" s="7"/>
      <c r="L122" s="7">
        <v>15</v>
      </c>
      <c r="M122" s="7" t="s">
        <v>262</v>
      </c>
      <c r="N122" s="7"/>
      <c r="O122" s="7">
        <v>1</v>
      </c>
      <c r="P122" s="7">
        <v>99</v>
      </c>
      <c r="Q122" s="7"/>
      <c r="R122" s="7"/>
      <c r="S122" s="7"/>
    </row>
    <row r="123" spans="1:19" s="9" customFormat="1" x14ac:dyDescent="0.15">
      <c r="A123" s="7">
        <v>12208</v>
      </c>
      <c r="B123" s="7" t="str">
        <f t="shared" si="5"/>
        <v>equip_skill[icon_equipSkill_12208]</v>
      </c>
      <c r="C123" s="7" t="s">
        <v>252</v>
      </c>
      <c r="D123" s="6" t="s">
        <v>268</v>
      </c>
      <c r="E123" s="7" t="s">
        <v>269</v>
      </c>
      <c r="F123" s="7">
        <v>1208</v>
      </c>
      <c r="G123" s="7">
        <v>4</v>
      </c>
      <c r="H123" s="7"/>
      <c r="I123" s="7">
        <v>2</v>
      </c>
      <c r="J123" s="7">
        <v>12</v>
      </c>
      <c r="K123" s="7"/>
      <c r="L123" s="7">
        <v>17</v>
      </c>
      <c r="M123" s="7" t="s">
        <v>265</v>
      </c>
      <c r="N123" s="7"/>
      <c r="O123" s="7">
        <v>1</v>
      </c>
      <c r="P123" s="7">
        <v>99</v>
      </c>
      <c r="Q123" s="7"/>
      <c r="R123" s="7"/>
      <c r="S123" s="7"/>
    </row>
    <row r="124" spans="1:19" s="11" customFormat="1" ht="17.25" x14ac:dyDescent="0.15">
      <c r="A124" s="5">
        <v>12209</v>
      </c>
      <c r="B124" s="7" t="str">
        <f t="shared" si="5"/>
        <v>equip_skill[icon_equipSkill_12209]</v>
      </c>
      <c r="C124" s="5" t="s">
        <v>270</v>
      </c>
      <c r="D124" s="4" t="s">
        <v>271</v>
      </c>
      <c r="E124" s="5" t="s">
        <v>272</v>
      </c>
      <c r="F124" s="7">
        <v>1209</v>
      </c>
      <c r="G124" s="5">
        <v>5</v>
      </c>
      <c r="H124" s="5" t="s">
        <v>273</v>
      </c>
      <c r="I124" s="5">
        <v>3</v>
      </c>
      <c r="J124" s="5">
        <v>12</v>
      </c>
      <c r="K124" s="5"/>
      <c r="L124" s="5">
        <v>9</v>
      </c>
      <c r="M124" s="5"/>
      <c r="N124" s="5"/>
      <c r="O124" s="7">
        <v>1</v>
      </c>
      <c r="P124" s="7">
        <v>99</v>
      </c>
      <c r="Q124" s="5"/>
      <c r="R124" s="5"/>
      <c r="S124" s="5"/>
    </row>
    <row r="125" spans="1:19" s="11" customFormat="1" ht="17.25" x14ac:dyDescent="0.15">
      <c r="A125" s="5">
        <v>12210</v>
      </c>
      <c r="B125" s="7" t="str">
        <f t="shared" si="5"/>
        <v>equip_skill[icon_equipSkill_12210]</v>
      </c>
      <c r="C125" s="5" t="s">
        <v>274</v>
      </c>
      <c r="D125" s="4" t="s">
        <v>275</v>
      </c>
      <c r="E125" s="5" t="s">
        <v>276</v>
      </c>
      <c r="F125" s="7">
        <v>1210</v>
      </c>
      <c r="G125" s="5">
        <v>5</v>
      </c>
      <c r="H125" s="5" t="s">
        <v>277</v>
      </c>
      <c r="I125" s="5">
        <v>3</v>
      </c>
      <c r="J125" s="5">
        <v>12</v>
      </c>
      <c r="K125" s="5"/>
      <c r="L125" s="5">
        <v>9</v>
      </c>
      <c r="M125" s="5"/>
      <c r="N125" s="5"/>
      <c r="O125" s="7">
        <v>1</v>
      </c>
      <c r="P125" s="7">
        <v>99</v>
      </c>
      <c r="Q125" s="5"/>
      <c r="R125" s="5"/>
      <c r="S125" s="5"/>
    </row>
    <row r="126" spans="1:19" s="9" customFormat="1" x14ac:dyDescent="0.15">
      <c r="A126" s="2">
        <v>13100</v>
      </c>
      <c r="B126" s="7" t="str">
        <f t="shared" ref="B126:B142" si="6">"equip_skill["&amp;"icon_equipSkill_"&amp;A126&amp;"]"</f>
        <v>equip_skill[icon_equipSkill_13100]</v>
      </c>
      <c r="C126" s="2" t="s">
        <v>278</v>
      </c>
      <c r="D126" s="2"/>
      <c r="E126" s="2"/>
      <c r="F126" s="2">
        <v>1300</v>
      </c>
      <c r="G126" s="2"/>
      <c r="H126" s="2"/>
      <c r="I126" s="2">
        <v>1</v>
      </c>
      <c r="J126" s="2">
        <v>13</v>
      </c>
      <c r="K126" s="2"/>
      <c r="L126" s="2">
        <v>0</v>
      </c>
      <c r="M126" s="2"/>
      <c r="N126" s="2"/>
      <c r="O126" s="2">
        <v>1</v>
      </c>
      <c r="P126" s="2">
        <v>99</v>
      </c>
      <c r="Q126" s="2"/>
      <c r="R126" s="2"/>
      <c r="S126" s="2"/>
    </row>
    <row r="127" spans="1:19" ht="17.25" x14ac:dyDescent="0.15">
      <c r="A127" s="7">
        <v>13201</v>
      </c>
      <c r="B127" s="7" t="str">
        <f t="shared" si="6"/>
        <v>equip_skill[icon_equipSkill_13201]</v>
      </c>
      <c r="C127" s="7" t="s">
        <v>278</v>
      </c>
      <c r="D127" s="6" t="s">
        <v>279</v>
      </c>
      <c r="E127" s="7" t="s">
        <v>78</v>
      </c>
      <c r="F127" s="7">
        <v>1301</v>
      </c>
      <c r="G127" s="7">
        <v>3</v>
      </c>
      <c r="H127" s="7"/>
      <c r="I127" s="7">
        <v>2</v>
      </c>
      <c r="J127" s="7">
        <v>13</v>
      </c>
      <c r="K127" s="7"/>
      <c r="L127" s="7">
        <v>1</v>
      </c>
      <c r="M127" s="7"/>
      <c r="N127" s="7"/>
      <c r="O127" s="7">
        <v>1</v>
      </c>
      <c r="P127" s="7">
        <v>99</v>
      </c>
      <c r="Q127" s="7"/>
      <c r="R127" s="7"/>
      <c r="S127" s="7"/>
    </row>
    <row r="128" spans="1:19" ht="17.25" x14ac:dyDescent="0.15">
      <c r="A128" s="7">
        <v>13202</v>
      </c>
      <c r="B128" s="7" t="str">
        <f t="shared" si="6"/>
        <v>equip_skill[icon_equipSkill_13202]</v>
      </c>
      <c r="C128" s="7" t="s">
        <v>278</v>
      </c>
      <c r="D128" s="6" t="s">
        <v>280</v>
      </c>
      <c r="E128" s="7" t="s">
        <v>59</v>
      </c>
      <c r="F128" s="7">
        <v>1302</v>
      </c>
      <c r="G128" s="7">
        <v>4</v>
      </c>
      <c r="H128" s="7"/>
      <c r="I128" s="7">
        <v>2</v>
      </c>
      <c r="J128" s="7">
        <v>13</v>
      </c>
      <c r="K128" s="7"/>
      <c r="L128" s="7">
        <v>3</v>
      </c>
      <c r="M128" s="7"/>
      <c r="N128" s="7"/>
      <c r="O128" s="7">
        <v>1</v>
      </c>
      <c r="P128" s="7">
        <v>99</v>
      </c>
      <c r="Q128" s="7"/>
      <c r="R128" s="7"/>
      <c r="S128" s="7"/>
    </row>
    <row r="129" spans="1:19" ht="17.25" x14ac:dyDescent="0.15">
      <c r="A129" s="7">
        <v>13203</v>
      </c>
      <c r="B129" s="7" t="str">
        <f t="shared" si="6"/>
        <v>equip_skill[icon_equipSkill_13203]</v>
      </c>
      <c r="C129" s="7" t="s">
        <v>278</v>
      </c>
      <c r="D129" s="6" t="s">
        <v>281</v>
      </c>
      <c r="E129" s="7" t="s">
        <v>52</v>
      </c>
      <c r="F129" s="7">
        <v>1303</v>
      </c>
      <c r="G129" s="7">
        <v>3</v>
      </c>
      <c r="H129" s="7"/>
      <c r="I129" s="7">
        <v>2</v>
      </c>
      <c r="J129" s="7">
        <v>13</v>
      </c>
      <c r="K129" s="7"/>
      <c r="L129" s="7">
        <v>5</v>
      </c>
      <c r="M129" s="7" t="s">
        <v>282</v>
      </c>
      <c r="N129" s="7"/>
      <c r="O129" s="7">
        <v>1</v>
      </c>
      <c r="P129" s="7">
        <v>99</v>
      </c>
      <c r="Q129" s="7"/>
      <c r="R129" s="7"/>
      <c r="S129" s="7"/>
    </row>
    <row r="130" spans="1:19" ht="17.25" x14ac:dyDescent="0.15">
      <c r="A130" s="7">
        <v>13204</v>
      </c>
      <c r="B130" s="7" t="str">
        <f t="shared" si="6"/>
        <v>equip_skill[icon_equipSkill_13204]</v>
      </c>
      <c r="C130" s="7" t="s">
        <v>278</v>
      </c>
      <c r="D130" s="6" t="s">
        <v>283</v>
      </c>
      <c r="E130" s="7" t="s">
        <v>241</v>
      </c>
      <c r="F130" s="7">
        <v>1304</v>
      </c>
      <c r="G130" s="7">
        <v>2</v>
      </c>
      <c r="H130" s="7"/>
      <c r="I130" s="7">
        <v>2</v>
      </c>
      <c r="J130" s="7">
        <v>13</v>
      </c>
      <c r="K130" s="7"/>
      <c r="L130" s="7">
        <v>7</v>
      </c>
      <c r="M130" s="7" t="s">
        <v>282</v>
      </c>
      <c r="N130" s="7"/>
      <c r="O130" s="7">
        <v>1</v>
      </c>
      <c r="P130" s="7">
        <v>99</v>
      </c>
      <c r="Q130" s="7"/>
      <c r="R130" s="7"/>
      <c r="S130" s="7"/>
    </row>
    <row r="131" spans="1:19" s="9" customFormat="1" x14ac:dyDescent="0.15">
      <c r="A131" s="2">
        <v>14100</v>
      </c>
      <c r="B131" s="7" t="str">
        <f t="shared" si="6"/>
        <v>equip_skill[icon_equipSkill_14100]</v>
      </c>
      <c r="C131" s="2" t="s">
        <v>284</v>
      </c>
      <c r="D131" s="2"/>
      <c r="E131" s="2"/>
      <c r="F131" s="2">
        <v>1400</v>
      </c>
      <c r="G131" s="2"/>
      <c r="H131" s="2"/>
      <c r="I131" s="2">
        <v>1</v>
      </c>
      <c r="J131" s="2">
        <v>14</v>
      </c>
      <c r="K131" s="2"/>
      <c r="L131" s="2">
        <v>0</v>
      </c>
      <c r="M131" s="2"/>
      <c r="N131" s="2"/>
      <c r="O131" s="2">
        <v>1</v>
      </c>
      <c r="P131" s="2">
        <v>99</v>
      </c>
      <c r="Q131" s="2"/>
      <c r="R131" s="2"/>
      <c r="S131" s="2"/>
    </row>
    <row r="132" spans="1:19" s="12" customFormat="1" ht="16.5" x14ac:dyDescent="0.15">
      <c r="A132" s="5">
        <v>14101</v>
      </c>
      <c r="B132" s="5" t="str">
        <f t="shared" si="6"/>
        <v>equip_skill[icon_equipSkill_14101]</v>
      </c>
      <c r="C132" s="5" t="s">
        <v>284</v>
      </c>
      <c r="D132" s="4" t="s">
        <v>285</v>
      </c>
      <c r="E132" s="5" t="s">
        <v>44</v>
      </c>
      <c r="F132" s="5"/>
      <c r="G132" s="5"/>
      <c r="H132" s="5" t="s">
        <v>286</v>
      </c>
      <c r="I132" s="5">
        <v>4</v>
      </c>
      <c r="J132" s="5">
        <v>14</v>
      </c>
      <c r="K132" s="5"/>
      <c r="L132" s="5">
        <v>9</v>
      </c>
      <c r="M132" s="5"/>
      <c r="N132" s="5"/>
      <c r="O132" s="5">
        <v>-1</v>
      </c>
      <c r="P132" s="5">
        <v>99</v>
      </c>
      <c r="Q132" s="5"/>
      <c r="R132" s="5"/>
      <c r="S132" s="5"/>
    </row>
    <row r="133" spans="1:19" ht="17.25" x14ac:dyDescent="0.15">
      <c r="A133" s="7">
        <v>14201</v>
      </c>
      <c r="B133" s="7" t="str">
        <f t="shared" si="6"/>
        <v>equip_skill[icon_equipSkill_14201]</v>
      </c>
      <c r="C133" s="7" t="s">
        <v>284</v>
      </c>
      <c r="D133" s="6" t="s">
        <v>287</v>
      </c>
      <c r="E133" s="7" t="s">
        <v>49</v>
      </c>
      <c r="F133" s="7">
        <v>1401</v>
      </c>
      <c r="G133" s="7">
        <v>3</v>
      </c>
      <c r="H133" s="7"/>
      <c r="I133" s="7">
        <v>2</v>
      </c>
      <c r="J133" s="7">
        <v>14</v>
      </c>
      <c r="K133" s="7"/>
      <c r="L133" s="7">
        <v>1</v>
      </c>
      <c r="M133" s="7"/>
      <c r="N133" s="7"/>
      <c r="O133" s="7">
        <v>1</v>
      </c>
      <c r="P133" s="7">
        <v>99</v>
      </c>
      <c r="Q133" s="7"/>
      <c r="R133" s="7"/>
      <c r="S133" s="7"/>
    </row>
    <row r="134" spans="1:19" ht="17.25" x14ac:dyDescent="0.15">
      <c r="A134" s="7">
        <v>14202</v>
      </c>
      <c r="B134" s="7" t="str">
        <f t="shared" si="6"/>
        <v>equip_skill[icon_equipSkill_14202]</v>
      </c>
      <c r="C134" s="7" t="s">
        <v>284</v>
      </c>
      <c r="D134" s="6" t="s">
        <v>288</v>
      </c>
      <c r="E134" s="7" t="s">
        <v>49</v>
      </c>
      <c r="F134" s="7">
        <v>1402</v>
      </c>
      <c r="G134" s="7">
        <v>2</v>
      </c>
      <c r="H134" s="7"/>
      <c r="I134" s="7">
        <v>2</v>
      </c>
      <c r="J134" s="7">
        <v>14</v>
      </c>
      <c r="K134" s="7"/>
      <c r="L134" s="7">
        <v>3</v>
      </c>
      <c r="M134" s="7"/>
      <c r="N134" s="7"/>
      <c r="O134" s="7">
        <v>1</v>
      </c>
      <c r="P134" s="7">
        <v>99</v>
      </c>
      <c r="Q134" s="7"/>
      <c r="R134" s="7"/>
      <c r="S134" s="7"/>
    </row>
    <row r="135" spans="1:19" ht="17.25" x14ac:dyDescent="0.15">
      <c r="A135" s="7">
        <v>14203</v>
      </c>
      <c r="B135" s="7" t="str">
        <f t="shared" si="6"/>
        <v>equip_skill[icon_equipSkill_14203]</v>
      </c>
      <c r="C135" s="7" t="s">
        <v>284</v>
      </c>
      <c r="D135" s="6" t="s">
        <v>289</v>
      </c>
      <c r="E135" s="7" t="s">
        <v>290</v>
      </c>
      <c r="F135" s="7">
        <v>1403</v>
      </c>
      <c r="G135" s="7">
        <v>4</v>
      </c>
      <c r="H135" s="7"/>
      <c r="I135" s="7">
        <v>2</v>
      </c>
      <c r="J135" s="7">
        <v>14</v>
      </c>
      <c r="K135" s="7"/>
      <c r="L135" s="7">
        <v>5</v>
      </c>
      <c r="M135" s="7"/>
      <c r="N135" s="7"/>
      <c r="O135" s="7">
        <v>1</v>
      </c>
      <c r="P135" s="7">
        <v>99</v>
      </c>
      <c r="Q135" s="7"/>
      <c r="R135" s="7"/>
      <c r="S135" s="7"/>
    </row>
    <row r="136" spans="1:19" ht="17.25" x14ac:dyDescent="0.15">
      <c r="A136" s="7">
        <v>14204</v>
      </c>
      <c r="B136" s="7" t="str">
        <f t="shared" si="6"/>
        <v>equip_skill[icon_equipSkill_14204]</v>
      </c>
      <c r="C136" s="7" t="s">
        <v>284</v>
      </c>
      <c r="D136" s="6" t="s">
        <v>291</v>
      </c>
      <c r="E136" s="7" t="s">
        <v>292</v>
      </c>
      <c r="F136" s="7">
        <v>1404</v>
      </c>
      <c r="G136" s="7">
        <v>3</v>
      </c>
      <c r="H136" s="7"/>
      <c r="I136" s="7">
        <v>2</v>
      </c>
      <c r="J136" s="7">
        <v>14</v>
      </c>
      <c r="K136" s="7"/>
      <c r="L136" s="7">
        <v>7</v>
      </c>
      <c r="M136" s="7" t="s">
        <v>293</v>
      </c>
      <c r="N136" s="7"/>
      <c r="O136" s="7">
        <v>1</v>
      </c>
      <c r="P136" s="7">
        <v>99</v>
      </c>
      <c r="Q136" s="7"/>
      <c r="R136" s="7"/>
      <c r="S136" s="7"/>
    </row>
    <row r="137" spans="1:19" customFormat="1" ht="16.5" x14ac:dyDescent="0.15">
      <c r="A137" s="7">
        <v>14205</v>
      </c>
      <c r="B137" s="7" t="str">
        <f t="shared" si="6"/>
        <v>equip_skill[icon_equipSkill_14205]</v>
      </c>
      <c r="C137" s="7" t="s">
        <v>284</v>
      </c>
      <c r="D137" s="6" t="s">
        <v>294</v>
      </c>
      <c r="E137" s="7" t="s">
        <v>247</v>
      </c>
      <c r="F137" s="7">
        <v>1405</v>
      </c>
      <c r="G137" s="7">
        <v>3</v>
      </c>
      <c r="H137" s="7"/>
      <c r="I137" s="7">
        <v>2</v>
      </c>
      <c r="J137" s="7">
        <v>14</v>
      </c>
      <c r="K137" s="7"/>
      <c r="L137" s="7">
        <v>11</v>
      </c>
      <c r="M137" s="7" t="s">
        <v>295</v>
      </c>
      <c r="N137" s="7"/>
      <c r="O137" s="7">
        <v>1</v>
      </c>
      <c r="P137" s="7">
        <v>99</v>
      </c>
      <c r="Q137" s="7"/>
      <c r="R137" s="7"/>
      <c r="S137" s="7"/>
    </row>
    <row r="138" spans="1:19" customFormat="1" ht="16.5" x14ac:dyDescent="0.15">
      <c r="A138" s="7">
        <v>14206</v>
      </c>
      <c r="B138" s="7" t="str">
        <f t="shared" si="6"/>
        <v>equip_skill[icon_equipSkill_14206]</v>
      </c>
      <c r="C138" s="7" t="s">
        <v>284</v>
      </c>
      <c r="D138" s="6" t="s">
        <v>296</v>
      </c>
      <c r="E138" s="7" t="s">
        <v>201</v>
      </c>
      <c r="F138" s="7">
        <v>1406</v>
      </c>
      <c r="G138" s="7">
        <v>3</v>
      </c>
      <c r="H138" s="7"/>
      <c r="I138" s="7">
        <v>2</v>
      </c>
      <c r="J138" s="7">
        <v>14</v>
      </c>
      <c r="K138" s="7"/>
      <c r="L138" s="7">
        <v>13</v>
      </c>
      <c r="M138" s="7" t="s">
        <v>297</v>
      </c>
      <c r="N138" s="7"/>
      <c r="O138" s="7">
        <v>1</v>
      </c>
      <c r="P138" s="7">
        <v>99</v>
      </c>
      <c r="Q138" s="7"/>
      <c r="R138" s="7"/>
      <c r="S138" s="7"/>
    </row>
    <row r="139" spans="1:19" customFormat="1" ht="16.5" x14ac:dyDescent="0.15">
      <c r="A139" s="7">
        <v>14207</v>
      </c>
      <c r="B139" s="7" t="str">
        <f t="shared" si="6"/>
        <v>equip_skill[icon_equipSkill_14207]</v>
      </c>
      <c r="C139" s="7" t="s">
        <v>284</v>
      </c>
      <c r="D139" s="6" t="s">
        <v>298</v>
      </c>
      <c r="E139" s="7" t="s">
        <v>299</v>
      </c>
      <c r="F139" s="7">
        <v>1407</v>
      </c>
      <c r="G139" s="7">
        <v>4</v>
      </c>
      <c r="H139" s="7"/>
      <c r="I139" s="7">
        <v>2</v>
      </c>
      <c r="J139" s="7">
        <v>14</v>
      </c>
      <c r="K139" s="7"/>
      <c r="L139" s="7">
        <v>15</v>
      </c>
      <c r="M139" s="7" t="s">
        <v>295</v>
      </c>
      <c r="N139" s="7"/>
      <c r="O139" s="7">
        <v>1</v>
      </c>
      <c r="P139" s="7">
        <v>99</v>
      </c>
      <c r="Q139" s="7"/>
      <c r="R139" s="7"/>
      <c r="S139" s="7"/>
    </row>
    <row r="140" spans="1:19" customFormat="1" ht="16.5" x14ac:dyDescent="0.15">
      <c r="A140" s="7">
        <v>14208</v>
      </c>
      <c r="B140" s="7" t="str">
        <f t="shared" si="6"/>
        <v>equip_skill[icon_equipSkill_14208]</v>
      </c>
      <c r="C140" s="7" t="s">
        <v>284</v>
      </c>
      <c r="D140" s="6" t="s">
        <v>300</v>
      </c>
      <c r="E140" s="7" t="s">
        <v>301</v>
      </c>
      <c r="F140" s="7">
        <v>1408</v>
      </c>
      <c r="G140" s="7">
        <v>4</v>
      </c>
      <c r="H140" s="7"/>
      <c r="I140" s="7">
        <v>2</v>
      </c>
      <c r="J140" s="7">
        <v>14</v>
      </c>
      <c r="K140" s="7"/>
      <c r="L140" s="7">
        <v>17</v>
      </c>
      <c r="M140" s="7" t="s">
        <v>297</v>
      </c>
      <c r="N140" s="7"/>
      <c r="O140" s="7">
        <v>1</v>
      </c>
      <c r="P140" s="7">
        <v>99</v>
      </c>
      <c r="Q140" s="7"/>
      <c r="R140" s="7"/>
      <c r="S140" s="7"/>
    </row>
    <row r="141" spans="1:19" s="10" customFormat="1" x14ac:dyDescent="0.15">
      <c r="A141" s="5">
        <v>14209</v>
      </c>
      <c r="B141" s="5" t="str">
        <f t="shared" si="6"/>
        <v>equip_skill[icon_equipSkill_14209]</v>
      </c>
      <c r="C141" s="7" t="s">
        <v>302</v>
      </c>
      <c r="D141" s="4" t="s">
        <v>303</v>
      </c>
      <c r="E141" s="26" t="s">
        <v>304</v>
      </c>
      <c r="F141" s="7">
        <v>1409</v>
      </c>
      <c r="G141" s="26">
        <v>5</v>
      </c>
      <c r="H141" s="26" t="s">
        <v>305</v>
      </c>
      <c r="I141" s="26">
        <v>3</v>
      </c>
      <c r="J141" s="7">
        <v>14</v>
      </c>
      <c r="K141" s="26"/>
      <c r="L141" s="26">
        <v>9</v>
      </c>
      <c r="M141" s="26"/>
      <c r="N141" s="26"/>
      <c r="O141" s="7">
        <v>1</v>
      </c>
      <c r="P141" s="7">
        <v>99</v>
      </c>
      <c r="Q141" s="26"/>
      <c r="R141" s="26"/>
      <c r="S141" s="26"/>
    </row>
    <row r="142" spans="1:19" s="10" customFormat="1" x14ac:dyDescent="0.15">
      <c r="A142" s="5">
        <v>14210</v>
      </c>
      <c r="B142" s="5" t="str">
        <f t="shared" si="6"/>
        <v>equip_skill[icon_equipSkill_14210]</v>
      </c>
      <c r="C142" s="7" t="s">
        <v>306</v>
      </c>
      <c r="D142" s="4" t="s">
        <v>307</v>
      </c>
      <c r="E142" s="26" t="s">
        <v>308</v>
      </c>
      <c r="F142" s="7">
        <v>1410</v>
      </c>
      <c r="G142" s="26">
        <v>5</v>
      </c>
      <c r="H142" s="26" t="s">
        <v>309</v>
      </c>
      <c r="I142" s="26">
        <v>3</v>
      </c>
      <c r="J142" s="7">
        <v>14</v>
      </c>
      <c r="K142" s="26"/>
      <c r="L142" s="26">
        <v>9</v>
      </c>
      <c r="M142" s="26"/>
      <c r="N142" s="26"/>
      <c r="O142" s="7">
        <v>1</v>
      </c>
      <c r="P142" s="7">
        <v>99</v>
      </c>
      <c r="Q142" s="26"/>
      <c r="R142" s="26"/>
      <c r="S142" s="26"/>
    </row>
    <row r="143" spans="1:19" s="9" customFormat="1" x14ac:dyDescent="0.15">
      <c r="A143" s="2">
        <v>15100</v>
      </c>
      <c r="B143" s="7" t="str">
        <f t="shared" ref="B143:B152" si="7">"equip_skill["&amp;"icon_equipSkill_"&amp;A143&amp;"]"</f>
        <v>equip_skill[icon_equipSkill_15100]</v>
      </c>
      <c r="C143" s="2" t="s">
        <v>310</v>
      </c>
      <c r="D143" s="2"/>
      <c r="E143" s="2"/>
      <c r="F143" s="2">
        <v>1500</v>
      </c>
      <c r="G143" s="2"/>
      <c r="H143" s="2"/>
      <c r="I143" s="2">
        <v>1</v>
      </c>
      <c r="J143" s="2">
        <v>15</v>
      </c>
      <c r="K143" s="2"/>
      <c r="L143" s="2">
        <v>0</v>
      </c>
      <c r="M143" s="2"/>
      <c r="N143" s="2"/>
      <c r="O143" s="2">
        <v>1</v>
      </c>
      <c r="P143" s="2">
        <v>99</v>
      </c>
      <c r="Q143" s="2"/>
      <c r="R143" s="2"/>
      <c r="S143" s="2"/>
    </row>
    <row r="144" spans="1:19" ht="17.25" x14ac:dyDescent="0.15">
      <c r="A144" s="7">
        <v>15201</v>
      </c>
      <c r="B144" s="7" t="str">
        <f t="shared" si="7"/>
        <v>equip_skill[icon_equipSkill_15201]</v>
      </c>
      <c r="C144" s="7" t="s">
        <v>310</v>
      </c>
      <c r="D144" s="6" t="s">
        <v>311</v>
      </c>
      <c r="E144" s="7" t="s">
        <v>149</v>
      </c>
      <c r="F144" s="7">
        <v>1501</v>
      </c>
      <c r="G144" s="7">
        <v>3</v>
      </c>
      <c r="H144" s="7"/>
      <c r="I144" s="7">
        <v>2</v>
      </c>
      <c r="J144" s="7">
        <v>15</v>
      </c>
      <c r="K144" s="7"/>
      <c r="L144" s="7">
        <v>1</v>
      </c>
      <c r="M144" s="7"/>
      <c r="N144" s="7"/>
      <c r="O144" s="7">
        <v>1</v>
      </c>
      <c r="P144" s="7">
        <v>99</v>
      </c>
      <c r="Q144" s="7"/>
      <c r="R144" s="7"/>
      <c r="S144" s="7"/>
    </row>
    <row r="145" spans="1:19" ht="17.25" x14ac:dyDescent="0.15">
      <c r="A145" s="7">
        <v>15202</v>
      </c>
      <c r="B145" s="7" t="str">
        <f t="shared" si="7"/>
        <v>equip_skill[icon_equipSkill_15202]</v>
      </c>
      <c r="C145" s="7" t="s">
        <v>310</v>
      </c>
      <c r="D145" s="6" t="s">
        <v>312</v>
      </c>
      <c r="E145" s="7" t="s">
        <v>149</v>
      </c>
      <c r="F145" s="7">
        <v>1502</v>
      </c>
      <c r="G145" s="7">
        <v>2</v>
      </c>
      <c r="H145" s="7"/>
      <c r="I145" s="7">
        <v>2</v>
      </c>
      <c r="J145" s="7">
        <v>15</v>
      </c>
      <c r="K145" s="7"/>
      <c r="L145" s="7">
        <v>3</v>
      </c>
      <c r="M145" s="7"/>
      <c r="N145" s="7"/>
      <c r="O145" s="7">
        <v>1</v>
      </c>
      <c r="P145" s="7">
        <v>99</v>
      </c>
      <c r="Q145" s="7"/>
      <c r="R145" s="7"/>
      <c r="S145" s="7"/>
    </row>
    <row r="146" spans="1:19" ht="17.25" x14ac:dyDescent="0.15">
      <c r="A146" s="7">
        <v>15203</v>
      </c>
      <c r="B146" s="7" t="str">
        <f t="shared" si="7"/>
        <v>equip_skill[icon_equipSkill_15203]</v>
      </c>
      <c r="C146" s="7" t="s">
        <v>310</v>
      </c>
      <c r="D146" s="6" t="s">
        <v>313</v>
      </c>
      <c r="E146" s="7" t="s">
        <v>314</v>
      </c>
      <c r="F146" s="7">
        <v>1503</v>
      </c>
      <c r="G146" s="7">
        <v>4</v>
      </c>
      <c r="H146" s="7"/>
      <c r="I146" s="7">
        <v>2</v>
      </c>
      <c r="J146" s="7">
        <v>15</v>
      </c>
      <c r="K146" s="7"/>
      <c r="L146" s="7">
        <v>5</v>
      </c>
      <c r="M146" s="7"/>
      <c r="N146" s="7"/>
      <c r="O146" s="7">
        <v>1</v>
      </c>
      <c r="P146" s="7">
        <v>99</v>
      </c>
      <c r="Q146" s="7"/>
      <c r="R146" s="7"/>
      <c r="S146" s="7"/>
    </row>
    <row r="147" spans="1:19" ht="17.25" x14ac:dyDescent="0.15">
      <c r="A147" s="7">
        <v>15204</v>
      </c>
      <c r="B147" s="7" t="str">
        <f t="shared" si="7"/>
        <v>equip_skill[icon_equipSkill_15204]</v>
      </c>
      <c r="C147" s="7" t="s">
        <v>310</v>
      </c>
      <c r="D147" s="6" t="s">
        <v>315</v>
      </c>
      <c r="E147" s="7" t="s">
        <v>212</v>
      </c>
      <c r="F147" s="7">
        <v>1504</v>
      </c>
      <c r="G147" s="7">
        <v>3</v>
      </c>
      <c r="H147" s="7"/>
      <c r="I147" s="7">
        <v>2</v>
      </c>
      <c r="J147" s="7">
        <v>15</v>
      </c>
      <c r="K147" s="7"/>
      <c r="L147" s="7">
        <v>7</v>
      </c>
      <c r="M147" s="7" t="s">
        <v>316</v>
      </c>
      <c r="N147" s="7"/>
      <c r="O147" s="7">
        <v>1</v>
      </c>
      <c r="P147" s="7">
        <v>99</v>
      </c>
      <c r="Q147" s="7"/>
      <c r="R147" s="7"/>
      <c r="S147" s="7"/>
    </row>
    <row r="148" spans="1:19" s="9" customFormat="1" x14ac:dyDescent="0.15">
      <c r="A148" s="2">
        <v>16100</v>
      </c>
      <c r="B148" s="7" t="str">
        <f t="shared" si="7"/>
        <v>equip_skill[icon_equipSkill_16100]</v>
      </c>
      <c r="C148" s="2" t="s">
        <v>317</v>
      </c>
      <c r="D148" s="2"/>
      <c r="E148" s="2"/>
      <c r="F148" s="2">
        <v>1600</v>
      </c>
      <c r="G148" s="2"/>
      <c r="H148" s="2"/>
      <c r="I148" s="2">
        <v>1</v>
      </c>
      <c r="J148" s="2">
        <v>16</v>
      </c>
      <c r="K148" s="2"/>
      <c r="L148" s="2">
        <v>0</v>
      </c>
      <c r="M148" s="2"/>
      <c r="N148" s="2"/>
      <c r="O148" s="2">
        <v>1</v>
      </c>
      <c r="P148" s="2">
        <v>99</v>
      </c>
      <c r="Q148" s="2"/>
      <c r="R148" s="2"/>
      <c r="S148" s="2"/>
    </row>
    <row r="149" spans="1:19" ht="17.25" x14ac:dyDescent="0.15">
      <c r="A149" s="7">
        <v>16201</v>
      </c>
      <c r="B149" s="7" t="str">
        <f t="shared" si="7"/>
        <v>equip_skill[icon_equipSkill_16201]</v>
      </c>
      <c r="C149" s="7" t="s">
        <v>317</v>
      </c>
      <c r="D149" s="6" t="s">
        <v>318</v>
      </c>
      <c r="E149" s="7" t="s">
        <v>319</v>
      </c>
      <c r="F149" s="7">
        <v>1601</v>
      </c>
      <c r="G149" s="7">
        <v>3</v>
      </c>
      <c r="H149" s="7"/>
      <c r="I149" s="7">
        <v>2</v>
      </c>
      <c r="J149" s="7">
        <v>16</v>
      </c>
      <c r="K149" s="7"/>
      <c r="L149" s="7">
        <v>1</v>
      </c>
      <c r="M149" s="7"/>
      <c r="N149" s="7"/>
      <c r="O149" s="7">
        <v>1</v>
      </c>
      <c r="P149" s="7">
        <v>99</v>
      </c>
      <c r="Q149" s="7"/>
      <c r="R149" s="7"/>
      <c r="S149" s="7"/>
    </row>
    <row r="150" spans="1:19" ht="17.25" x14ac:dyDescent="0.15">
      <c r="A150" s="7">
        <v>16202</v>
      </c>
      <c r="B150" s="7" t="str">
        <f t="shared" si="7"/>
        <v>equip_skill[icon_equipSkill_16202]</v>
      </c>
      <c r="C150" s="7" t="s">
        <v>317</v>
      </c>
      <c r="D150" s="6" t="s">
        <v>320</v>
      </c>
      <c r="E150" s="7" t="s">
        <v>321</v>
      </c>
      <c r="F150" s="7">
        <v>1602</v>
      </c>
      <c r="G150" s="7">
        <v>2</v>
      </c>
      <c r="H150" s="7"/>
      <c r="I150" s="7">
        <v>2</v>
      </c>
      <c r="J150" s="7">
        <v>16</v>
      </c>
      <c r="K150" s="7"/>
      <c r="L150" s="7">
        <v>3</v>
      </c>
      <c r="M150" s="7"/>
      <c r="N150" s="7"/>
      <c r="O150" s="7">
        <v>1</v>
      </c>
      <c r="P150" s="7">
        <v>99</v>
      </c>
      <c r="Q150" s="7"/>
      <c r="R150" s="7"/>
      <c r="S150" s="7"/>
    </row>
    <row r="151" spans="1:19" ht="17.25" x14ac:dyDescent="0.15">
      <c r="A151" s="7">
        <v>16203</v>
      </c>
      <c r="B151" s="7" t="str">
        <f t="shared" si="7"/>
        <v>equip_skill[icon_equipSkill_16203]</v>
      </c>
      <c r="C151" s="7" t="s">
        <v>317</v>
      </c>
      <c r="D151" s="6" t="s">
        <v>322</v>
      </c>
      <c r="E151" s="7" t="s">
        <v>146</v>
      </c>
      <c r="F151" s="7">
        <v>1603</v>
      </c>
      <c r="G151" s="7">
        <v>3</v>
      </c>
      <c r="H151" s="7"/>
      <c r="I151" s="7">
        <v>2</v>
      </c>
      <c r="J151" s="7">
        <v>16</v>
      </c>
      <c r="K151" s="7"/>
      <c r="L151" s="7">
        <v>5</v>
      </c>
      <c r="M151" s="7" t="s">
        <v>323</v>
      </c>
      <c r="N151" s="7"/>
      <c r="O151" s="7">
        <v>1</v>
      </c>
      <c r="P151" s="7">
        <v>99</v>
      </c>
      <c r="Q151" s="7"/>
      <c r="R151" s="7"/>
      <c r="S151" s="7"/>
    </row>
    <row r="152" spans="1:19" ht="17.25" x14ac:dyDescent="0.15">
      <c r="A152" s="7">
        <v>16204</v>
      </c>
      <c r="B152" s="7" t="str">
        <f t="shared" si="7"/>
        <v>equip_skill[icon_equipSkill_16204]</v>
      </c>
      <c r="C152" s="7" t="s">
        <v>317</v>
      </c>
      <c r="D152" s="6" t="s">
        <v>324</v>
      </c>
      <c r="E152" s="7" t="s">
        <v>325</v>
      </c>
      <c r="F152" s="7">
        <v>1604</v>
      </c>
      <c r="G152" s="7">
        <v>4</v>
      </c>
      <c r="H152" s="7"/>
      <c r="I152" s="7">
        <v>2</v>
      </c>
      <c r="J152" s="7">
        <v>16</v>
      </c>
      <c r="K152" s="7"/>
      <c r="L152" s="7">
        <v>7</v>
      </c>
      <c r="M152" s="7" t="s">
        <v>323</v>
      </c>
      <c r="N152" s="7"/>
      <c r="O152" s="7">
        <v>1</v>
      </c>
      <c r="P152" s="7">
        <v>99</v>
      </c>
      <c r="Q152" s="7"/>
      <c r="R152" s="7"/>
      <c r="S152" s="7"/>
    </row>
    <row r="153" spans="1:19" s="9" customFormat="1" x14ac:dyDescent="0.15">
      <c r="A153" s="2">
        <v>17100</v>
      </c>
      <c r="B153" s="7" t="str">
        <f t="shared" ref="B153:B162" si="8">"equip_skill["&amp;"icon_equipSkill_"&amp;A153&amp;"]"</f>
        <v>equip_skill[icon_equipSkill_17100]</v>
      </c>
      <c r="C153" s="2" t="s">
        <v>326</v>
      </c>
      <c r="D153" s="2"/>
      <c r="E153" s="2"/>
      <c r="F153" s="2">
        <v>1700</v>
      </c>
      <c r="G153" s="2"/>
      <c r="H153" s="2"/>
      <c r="I153" s="2">
        <v>1</v>
      </c>
      <c r="J153" s="2">
        <v>17</v>
      </c>
      <c r="K153" s="2"/>
      <c r="L153" s="2">
        <v>0</v>
      </c>
      <c r="M153" s="2"/>
      <c r="N153" s="2"/>
      <c r="O153" s="2">
        <v>1</v>
      </c>
      <c r="P153" s="2">
        <v>99</v>
      </c>
      <c r="Q153" s="2"/>
      <c r="R153" s="2"/>
      <c r="S153" s="2"/>
    </row>
    <row r="154" spans="1:19" ht="17.25" x14ac:dyDescent="0.15">
      <c r="A154" s="7">
        <v>17201</v>
      </c>
      <c r="B154" s="7" t="str">
        <f t="shared" si="8"/>
        <v>equip_skill[icon_equipSkill_17201]</v>
      </c>
      <c r="C154" s="7" t="s">
        <v>326</v>
      </c>
      <c r="D154" s="6" t="s">
        <v>327</v>
      </c>
      <c r="E154" s="7" t="s">
        <v>328</v>
      </c>
      <c r="F154" s="7">
        <v>1701</v>
      </c>
      <c r="G154" s="7">
        <v>3</v>
      </c>
      <c r="H154" s="7"/>
      <c r="I154" s="7">
        <v>2</v>
      </c>
      <c r="J154" s="7">
        <v>17</v>
      </c>
      <c r="K154" s="7"/>
      <c r="L154" s="7">
        <v>1</v>
      </c>
      <c r="M154" s="7"/>
      <c r="N154" s="7"/>
      <c r="O154" s="7">
        <v>1</v>
      </c>
      <c r="P154" s="7">
        <v>99</v>
      </c>
      <c r="Q154" s="7"/>
      <c r="R154" s="7"/>
      <c r="S154" s="7"/>
    </row>
    <row r="155" spans="1:19" ht="17.25" x14ac:dyDescent="0.15">
      <c r="A155" s="7">
        <v>17202</v>
      </c>
      <c r="B155" s="7" t="str">
        <f t="shared" si="8"/>
        <v>equip_skill[icon_equipSkill_17202]</v>
      </c>
      <c r="C155" s="7" t="s">
        <v>326</v>
      </c>
      <c r="D155" s="6" t="s">
        <v>329</v>
      </c>
      <c r="E155" s="7" t="s">
        <v>59</v>
      </c>
      <c r="F155" s="7">
        <v>1702</v>
      </c>
      <c r="G155" s="7">
        <v>2</v>
      </c>
      <c r="H155" s="7"/>
      <c r="I155" s="7">
        <v>2</v>
      </c>
      <c r="J155" s="7">
        <v>17</v>
      </c>
      <c r="K155" s="7"/>
      <c r="L155" s="7">
        <v>3</v>
      </c>
      <c r="M155" s="7"/>
      <c r="N155" s="7"/>
      <c r="O155" s="7">
        <v>1</v>
      </c>
      <c r="P155" s="7">
        <v>99</v>
      </c>
      <c r="Q155" s="7"/>
      <c r="R155" s="7"/>
      <c r="S155" s="7"/>
    </row>
    <row r="156" spans="1:19" ht="17.25" x14ac:dyDescent="0.15">
      <c r="A156" s="7">
        <v>17203</v>
      </c>
      <c r="B156" s="7" t="str">
        <f t="shared" si="8"/>
        <v>equip_skill[icon_equipSkill_17203]</v>
      </c>
      <c r="C156" s="7" t="s">
        <v>326</v>
      </c>
      <c r="D156" s="6" t="s">
        <v>330</v>
      </c>
      <c r="E156" s="7" t="s">
        <v>331</v>
      </c>
      <c r="F156" s="7">
        <v>1703</v>
      </c>
      <c r="G156" s="7">
        <v>3</v>
      </c>
      <c r="H156" s="7"/>
      <c r="I156" s="7">
        <v>2</v>
      </c>
      <c r="J156" s="7">
        <v>17</v>
      </c>
      <c r="K156" s="7"/>
      <c r="L156" s="7">
        <v>5</v>
      </c>
      <c r="M156" s="7"/>
      <c r="N156" s="7"/>
      <c r="O156" s="7">
        <v>1</v>
      </c>
      <c r="P156" s="7">
        <v>99</v>
      </c>
      <c r="Q156" s="7"/>
      <c r="R156" s="7"/>
      <c r="S156" s="7"/>
    </row>
    <row r="157" spans="1:19" ht="17.25" x14ac:dyDescent="0.15">
      <c r="A157" s="7">
        <v>17204</v>
      </c>
      <c r="B157" s="7" t="str">
        <f t="shared" si="8"/>
        <v>equip_skill[icon_equipSkill_17204]</v>
      </c>
      <c r="C157" s="7" t="s">
        <v>326</v>
      </c>
      <c r="D157" s="6" t="s">
        <v>332</v>
      </c>
      <c r="E157" s="7" t="s">
        <v>76</v>
      </c>
      <c r="F157" s="7">
        <v>1704</v>
      </c>
      <c r="G157" s="7">
        <v>4</v>
      </c>
      <c r="H157" s="7"/>
      <c r="I157" s="7">
        <v>2</v>
      </c>
      <c r="J157" s="7">
        <v>17</v>
      </c>
      <c r="K157" s="7"/>
      <c r="L157" s="7">
        <v>7</v>
      </c>
      <c r="M157" s="7"/>
      <c r="N157" s="7"/>
      <c r="O157" s="7">
        <v>1</v>
      </c>
      <c r="P157" s="7">
        <v>99</v>
      </c>
      <c r="Q157" s="7"/>
      <c r="R157" s="7"/>
      <c r="S157" s="7"/>
    </row>
    <row r="158" spans="1:19" s="9" customFormat="1" x14ac:dyDescent="0.15">
      <c r="A158" s="2">
        <v>18100</v>
      </c>
      <c r="B158" s="7" t="str">
        <f t="shared" si="8"/>
        <v>equip_skill[icon_equipSkill_18100]</v>
      </c>
      <c r="C158" s="2" t="s">
        <v>333</v>
      </c>
      <c r="D158" s="2"/>
      <c r="E158" s="2"/>
      <c r="F158" s="2">
        <v>1800</v>
      </c>
      <c r="G158" s="2"/>
      <c r="H158" s="2"/>
      <c r="I158" s="2">
        <v>1</v>
      </c>
      <c r="J158" s="2">
        <v>18</v>
      </c>
      <c r="K158" s="2"/>
      <c r="L158" s="2">
        <v>0</v>
      </c>
      <c r="M158" s="2"/>
      <c r="N158" s="2"/>
      <c r="O158" s="2">
        <v>1</v>
      </c>
      <c r="P158" s="2">
        <v>99</v>
      </c>
      <c r="Q158" s="2"/>
      <c r="R158" s="2"/>
      <c r="S158" s="2"/>
    </row>
    <row r="159" spans="1:19" ht="17.25" x14ac:dyDescent="0.15">
      <c r="A159" s="7">
        <v>18201</v>
      </c>
      <c r="B159" s="7" t="str">
        <f t="shared" si="8"/>
        <v>equip_skill[icon_equipSkill_18201]</v>
      </c>
      <c r="C159" s="7" t="s">
        <v>333</v>
      </c>
      <c r="D159" s="6" t="s">
        <v>334</v>
      </c>
      <c r="E159" s="7" t="s">
        <v>335</v>
      </c>
      <c r="F159" s="7">
        <v>1801</v>
      </c>
      <c r="G159" s="7">
        <v>3</v>
      </c>
      <c r="H159" s="7"/>
      <c r="I159" s="7">
        <v>2</v>
      </c>
      <c r="J159" s="7">
        <v>18</v>
      </c>
      <c r="K159" s="7"/>
      <c r="L159" s="7">
        <v>1</v>
      </c>
      <c r="M159" s="7"/>
      <c r="N159" s="7"/>
      <c r="O159" s="7">
        <v>1</v>
      </c>
      <c r="P159" s="7">
        <v>99</v>
      </c>
      <c r="Q159" s="7"/>
      <c r="R159" s="7"/>
      <c r="S159" s="7"/>
    </row>
    <row r="160" spans="1:19" ht="17.25" x14ac:dyDescent="0.15">
      <c r="A160" s="7">
        <v>18202</v>
      </c>
      <c r="B160" s="7" t="str">
        <f t="shared" si="8"/>
        <v>equip_skill[icon_equipSkill_18202]</v>
      </c>
      <c r="C160" s="7" t="s">
        <v>333</v>
      </c>
      <c r="D160" s="6" t="s">
        <v>336</v>
      </c>
      <c r="E160" s="7" t="s">
        <v>337</v>
      </c>
      <c r="F160" s="7">
        <v>1802</v>
      </c>
      <c r="G160" s="7">
        <v>2</v>
      </c>
      <c r="H160" s="7"/>
      <c r="I160" s="7">
        <v>2</v>
      </c>
      <c r="J160" s="7">
        <v>18</v>
      </c>
      <c r="K160" s="7"/>
      <c r="L160" s="7">
        <v>3</v>
      </c>
      <c r="M160" s="7"/>
      <c r="N160" s="7"/>
      <c r="O160" s="7">
        <v>1</v>
      </c>
      <c r="P160" s="7">
        <v>99</v>
      </c>
      <c r="Q160" s="7"/>
      <c r="R160" s="7"/>
      <c r="S160" s="7"/>
    </row>
    <row r="161" spans="1:19" ht="17.25" x14ac:dyDescent="0.15">
      <c r="A161" s="7">
        <v>18203</v>
      </c>
      <c r="B161" s="7" t="str">
        <f t="shared" si="8"/>
        <v>equip_skill[icon_equipSkill_18203]</v>
      </c>
      <c r="C161" s="7" t="s">
        <v>333</v>
      </c>
      <c r="D161" s="6" t="s">
        <v>338</v>
      </c>
      <c r="E161" s="7" t="s">
        <v>339</v>
      </c>
      <c r="F161" s="7">
        <v>1803</v>
      </c>
      <c r="G161" s="7">
        <v>4</v>
      </c>
      <c r="H161" s="7"/>
      <c r="I161" s="7">
        <v>2</v>
      </c>
      <c r="J161" s="7">
        <v>18</v>
      </c>
      <c r="K161" s="7"/>
      <c r="L161" s="7">
        <v>5</v>
      </c>
      <c r="M161" s="7"/>
      <c r="N161" s="7"/>
      <c r="O161" s="7">
        <v>1</v>
      </c>
      <c r="P161" s="7">
        <v>99</v>
      </c>
      <c r="Q161" s="7"/>
      <c r="R161" s="7"/>
      <c r="S161" s="7"/>
    </row>
    <row r="162" spans="1:19" ht="17.25" x14ac:dyDescent="0.15">
      <c r="A162" s="7">
        <v>18204</v>
      </c>
      <c r="B162" s="7" t="str">
        <f t="shared" si="8"/>
        <v>equip_skill[icon_equipSkill_18204]</v>
      </c>
      <c r="C162" s="7" t="s">
        <v>333</v>
      </c>
      <c r="D162" s="6" t="s">
        <v>340</v>
      </c>
      <c r="E162" s="7" t="s">
        <v>170</v>
      </c>
      <c r="F162" s="7">
        <v>1804</v>
      </c>
      <c r="G162" s="7">
        <v>3</v>
      </c>
      <c r="H162" s="7"/>
      <c r="I162" s="7">
        <v>2</v>
      </c>
      <c r="J162" s="7">
        <v>18</v>
      </c>
      <c r="K162" s="7"/>
      <c r="L162" s="7">
        <v>7</v>
      </c>
      <c r="M162" s="7" t="s">
        <v>341</v>
      </c>
      <c r="N162" s="7"/>
      <c r="O162" s="7">
        <v>1</v>
      </c>
      <c r="P162" s="7">
        <v>99</v>
      </c>
      <c r="Q162" s="7"/>
      <c r="R162" s="7"/>
      <c r="S162" s="7"/>
    </row>
    <row r="163" spans="1:19" x14ac:dyDescent="0.15">
      <c r="A163" s="13">
        <v>19100</v>
      </c>
      <c r="B163" s="7" t="str">
        <f t="shared" ref="B163:B177" si="9">"equip_skill["&amp;"icon_equipSkill_"&amp;A163&amp;"]"</f>
        <v>equip_skill[icon_equipSkill_19100]</v>
      </c>
      <c r="C163" s="14" t="s">
        <v>342</v>
      </c>
      <c r="F163" s="2">
        <v>1900</v>
      </c>
      <c r="I163" s="2">
        <v>1</v>
      </c>
      <c r="J163" s="13">
        <v>19</v>
      </c>
      <c r="L163" s="2">
        <v>0</v>
      </c>
      <c r="O163" s="7">
        <v>1</v>
      </c>
      <c r="P163" s="7">
        <v>99</v>
      </c>
    </row>
    <row r="164" spans="1:19" x14ac:dyDescent="0.15">
      <c r="A164" s="7">
        <v>19201</v>
      </c>
      <c r="B164" s="7" t="str">
        <f t="shared" si="9"/>
        <v>equip_skill[icon_equipSkill_19201]</v>
      </c>
      <c r="C164" s="14" t="s">
        <v>342</v>
      </c>
      <c r="D164" s="14" t="s">
        <v>343</v>
      </c>
      <c r="E164" s="9" t="s">
        <v>201</v>
      </c>
      <c r="F164" s="7">
        <v>1901</v>
      </c>
      <c r="G164" s="13">
        <v>3</v>
      </c>
      <c r="I164" s="7">
        <v>2</v>
      </c>
      <c r="J164" s="13">
        <v>19</v>
      </c>
      <c r="L164" s="7">
        <v>1</v>
      </c>
      <c r="O164" s="7">
        <v>1</v>
      </c>
      <c r="P164" s="7">
        <v>99</v>
      </c>
    </row>
    <row r="165" spans="1:19" x14ac:dyDescent="0.15">
      <c r="A165" s="7">
        <v>19202</v>
      </c>
      <c r="B165" s="7" t="str">
        <f t="shared" si="9"/>
        <v>equip_skill[icon_equipSkill_19202]</v>
      </c>
      <c r="C165" s="14" t="s">
        <v>342</v>
      </c>
      <c r="D165" s="14" t="s">
        <v>344</v>
      </c>
      <c r="E165" s="9" t="s">
        <v>201</v>
      </c>
      <c r="F165" s="7">
        <v>1902</v>
      </c>
      <c r="G165" s="13">
        <v>2</v>
      </c>
      <c r="I165" s="7">
        <v>2</v>
      </c>
      <c r="J165" s="13">
        <v>19</v>
      </c>
      <c r="L165" s="7">
        <v>3</v>
      </c>
      <c r="O165" s="7">
        <v>1</v>
      </c>
      <c r="P165" s="7">
        <v>99</v>
      </c>
    </row>
    <row r="166" spans="1:19" x14ac:dyDescent="0.15">
      <c r="A166" s="7">
        <v>19203</v>
      </c>
      <c r="B166" s="7" t="str">
        <f t="shared" si="9"/>
        <v>equip_skill[icon_equipSkill_19203]</v>
      </c>
      <c r="C166" s="14" t="s">
        <v>342</v>
      </c>
      <c r="D166" s="14" t="s">
        <v>345</v>
      </c>
      <c r="E166" s="9" t="s">
        <v>346</v>
      </c>
      <c r="F166" s="7">
        <v>1903</v>
      </c>
      <c r="G166" s="13">
        <v>4</v>
      </c>
      <c r="I166" s="7">
        <v>2</v>
      </c>
      <c r="J166" s="13">
        <v>19</v>
      </c>
      <c r="L166" s="7">
        <v>5</v>
      </c>
      <c r="O166" s="7">
        <v>1</v>
      </c>
      <c r="P166" s="7">
        <v>99</v>
      </c>
    </row>
    <row r="167" spans="1:19" x14ac:dyDescent="0.15">
      <c r="A167" s="7">
        <v>19204</v>
      </c>
      <c r="B167" s="7" t="str">
        <f t="shared" si="9"/>
        <v>equip_skill[icon_equipSkill_19204]</v>
      </c>
      <c r="C167" s="14" t="s">
        <v>342</v>
      </c>
      <c r="D167" s="14" t="s">
        <v>347</v>
      </c>
      <c r="E167" s="9" t="s">
        <v>346</v>
      </c>
      <c r="F167" s="7">
        <v>1904</v>
      </c>
      <c r="G167" s="13">
        <v>3</v>
      </c>
      <c r="I167" s="7">
        <v>2</v>
      </c>
      <c r="J167" s="13">
        <v>19</v>
      </c>
      <c r="L167" s="7">
        <v>7</v>
      </c>
      <c r="O167" s="7">
        <v>1</v>
      </c>
      <c r="P167" s="7">
        <v>99</v>
      </c>
    </row>
    <row r="168" spans="1:19" x14ac:dyDescent="0.15">
      <c r="A168" s="2">
        <v>20100</v>
      </c>
      <c r="B168" s="7" t="str">
        <f t="shared" si="9"/>
        <v>equip_skill[icon_equipSkill_20100]</v>
      </c>
      <c r="C168" s="14" t="s">
        <v>348</v>
      </c>
      <c r="F168" s="2">
        <v>2000</v>
      </c>
      <c r="I168" s="2">
        <v>1</v>
      </c>
      <c r="J168" s="13">
        <v>20</v>
      </c>
      <c r="L168" s="2">
        <v>0</v>
      </c>
      <c r="O168" s="7">
        <v>1</v>
      </c>
      <c r="P168" s="7">
        <v>99</v>
      </c>
    </row>
    <row r="169" spans="1:19" x14ac:dyDescent="0.15">
      <c r="A169" s="7">
        <v>20201</v>
      </c>
      <c r="B169" s="7" t="str">
        <f t="shared" si="9"/>
        <v>equip_skill[icon_equipSkill_20201]</v>
      </c>
      <c r="C169" s="14" t="s">
        <v>348</v>
      </c>
      <c r="D169" s="14" t="s">
        <v>349</v>
      </c>
      <c r="E169" s="9" t="s">
        <v>350</v>
      </c>
      <c r="F169" s="7">
        <v>2001</v>
      </c>
      <c r="G169" s="13">
        <v>3</v>
      </c>
      <c r="I169" s="7">
        <v>2</v>
      </c>
      <c r="J169" s="13">
        <v>20</v>
      </c>
      <c r="L169" s="7">
        <v>1</v>
      </c>
      <c r="O169" s="7">
        <v>1</v>
      </c>
      <c r="P169" s="7">
        <v>99</v>
      </c>
      <c r="R169" s="13">
        <v>1</v>
      </c>
    </row>
    <row r="170" spans="1:19" x14ac:dyDescent="0.15">
      <c r="A170" s="7">
        <v>20202</v>
      </c>
      <c r="B170" s="7" t="str">
        <f t="shared" si="9"/>
        <v>equip_skill[icon_equipSkill_20202]</v>
      </c>
      <c r="C170" s="14" t="s">
        <v>348</v>
      </c>
      <c r="D170" s="14" t="s">
        <v>351</v>
      </c>
      <c r="F170" s="7">
        <v>2002</v>
      </c>
      <c r="G170" s="13">
        <v>2</v>
      </c>
      <c r="I170" s="7">
        <v>2</v>
      </c>
      <c r="J170" s="13">
        <v>20</v>
      </c>
      <c r="L170" s="7">
        <v>3</v>
      </c>
      <c r="M170" s="13" t="s">
        <v>352</v>
      </c>
      <c r="O170" s="7">
        <v>1</v>
      </c>
      <c r="P170" s="7">
        <v>99</v>
      </c>
      <c r="R170" s="13">
        <v>1</v>
      </c>
    </row>
    <row r="171" spans="1:19" x14ac:dyDescent="0.15">
      <c r="A171" s="7">
        <v>20203</v>
      </c>
      <c r="B171" s="7" t="str">
        <f t="shared" si="9"/>
        <v>equip_skill[icon_equipSkill_20203]</v>
      </c>
      <c r="C171" s="14" t="s">
        <v>348</v>
      </c>
      <c r="D171" s="14" t="s">
        <v>353</v>
      </c>
      <c r="F171" s="7">
        <v>2003</v>
      </c>
      <c r="G171" s="13">
        <v>3</v>
      </c>
      <c r="I171" s="7">
        <v>2</v>
      </c>
      <c r="J171" s="13">
        <v>20</v>
      </c>
      <c r="L171" s="7">
        <v>5</v>
      </c>
      <c r="M171" s="13" t="s">
        <v>352</v>
      </c>
      <c r="O171" s="7">
        <v>1</v>
      </c>
      <c r="P171" s="7">
        <v>99</v>
      </c>
      <c r="R171" s="13">
        <v>1</v>
      </c>
    </row>
    <row r="172" spans="1:19" x14ac:dyDescent="0.15">
      <c r="A172" s="7">
        <v>20204</v>
      </c>
      <c r="B172" s="7" t="str">
        <f t="shared" si="9"/>
        <v>equip_skill[icon_equipSkill_20204]</v>
      </c>
      <c r="C172" s="14" t="s">
        <v>348</v>
      </c>
      <c r="D172" s="14" t="s">
        <v>354</v>
      </c>
      <c r="F172" s="7">
        <v>2004</v>
      </c>
      <c r="G172" s="13">
        <v>4</v>
      </c>
      <c r="I172" s="7">
        <v>2</v>
      </c>
      <c r="J172" s="13">
        <v>20</v>
      </c>
      <c r="L172" s="7">
        <v>7</v>
      </c>
      <c r="M172" s="13" t="s">
        <v>355</v>
      </c>
      <c r="O172" s="7">
        <v>1</v>
      </c>
      <c r="P172" s="7">
        <v>99</v>
      </c>
      <c r="R172" s="13">
        <v>1</v>
      </c>
    </row>
    <row r="173" spans="1:19" x14ac:dyDescent="0.15">
      <c r="A173" s="13">
        <v>22100</v>
      </c>
      <c r="B173" s="7" t="str">
        <f t="shared" si="9"/>
        <v>equip_skill[icon_equipSkill_22100]</v>
      </c>
      <c r="C173" s="14" t="s">
        <v>356</v>
      </c>
      <c r="F173" s="13">
        <v>2200</v>
      </c>
      <c r="I173" s="2">
        <v>1</v>
      </c>
      <c r="J173" s="13">
        <v>22</v>
      </c>
      <c r="L173" s="2">
        <v>0</v>
      </c>
      <c r="O173" s="7">
        <v>1</v>
      </c>
      <c r="P173" s="7">
        <v>99</v>
      </c>
    </row>
    <row r="174" spans="1:19" x14ac:dyDescent="0.15">
      <c r="A174" s="13">
        <v>22201</v>
      </c>
      <c r="B174" s="7" t="str">
        <f t="shared" si="9"/>
        <v>equip_skill[icon_equipSkill_22201]</v>
      </c>
      <c r="C174" s="14" t="s">
        <v>356</v>
      </c>
      <c r="D174" s="14" t="s">
        <v>357</v>
      </c>
      <c r="E174" s="9" t="s">
        <v>89</v>
      </c>
      <c r="F174" s="13">
        <v>2201</v>
      </c>
      <c r="G174" s="13">
        <v>3</v>
      </c>
      <c r="I174" s="7">
        <v>2</v>
      </c>
      <c r="J174" s="13">
        <v>22</v>
      </c>
      <c r="L174" s="7">
        <v>1</v>
      </c>
      <c r="O174" s="7">
        <v>1</v>
      </c>
      <c r="P174" s="7">
        <v>99</v>
      </c>
    </row>
    <row r="175" spans="1:19" x14ac:dyDescent="0.15">
      <c r="A175" s="13">
        <v>22202</v>
      </c>
      <c r="B175" s="7" t="str">
        <f t="shared" si="9"/>
        <v>equip_skill[icon_equipSkill_22202]</v>
      </c>
      <c r="C175" s="14" t="s">
        <v>356</v>
      </c>
      <c r="D175" s="14" t="s">
        <v>358</v>
      </c>
      <c r="E175" s="9" t="s">
        <v>359</v>
      </c>
      <c r="F175" s="13">
        <v>2202</v>
      </c>
      <c r="G175" s="13">
        <v>2</v>
      </c>
      <c r="I175" s="7">
        <v>2</v>
      </c>
      <c r="J175" s="13">
        <v>22</v>
      </c>
      <c r="L175" s="7">
        <v>3</v>
      </c>
      <c r="O175" s="7">
        <v>1</v>
      </c>
      <c r="P175" s="7">
        <v>99</v>
      </c>
    </row>
    <row r="176" spans="1:19" x14ac:dyDescent="0.15">
      <c r="A176" s="13">
        <v>22203</v>
      </c>
      <c r="B176" s="7" t="str">
        <f t="shared" si="9"/>
        <v>equip_skill[icon_equipSkill_22203]</v>
      </c>
      <c r="C176" s="14" t="s">
        <v>356</v>
      </c>
      <c r="D176" s="14" t="s">
        <v>360</v>
      </c>
      <c r="E176" s="9" t="s">
        <v>201</v>
      </c>
      <c r="F176" s="13">
        <v>2203</v>
      </c>
      <c r="G176" s="13">
        <v>3</v>
      </c>
      <c r="I176" s="7">
        <v>2</v>
      </c>
      <c r="J176" s="13">
        <v>22</v>
      </c>
      <c r="L176" s="7">
        <v>5</v>
      </c>
      <c r="O176" s="7">
        <v>1</v>
      </c>
      <c r="P176" s="7">
        <v>99</v>
      </c>
    </row>
    <row r="177" spans="1:19" x14ac:dyDescent="0.15">
      <c r="A177" s="13">
        <v>22204</v>
      </c>
      <c r="B177" s="7" t="str">
        <f t="shared" si="9"/>
        <v>equip_skill[icon_equipSkill_22204]</v>
      </c>
      <c r="C177" s="14" t="s">
        <v>356</v>
      </c>
      <c r="D177" s="14" t="s">
        <v>361</v>
      </c>
      <c r="E177" s="9" t="s">
        <v>362</v>
      </c>
      <c r="F177" s="13">
        <v>2204</v>
      </c>
      <c r="G177" s="13">
        <v>4</v>
      </c>
      <c r="I177" s="7">
        <v>2</v>
      </c>
      <c r="J177" s="13">
        <v>22</v>
      </c>
      <c r="L177" s="7">
        <v>7</v>
      </c>
      <c r="M177" s="13" t="s">
        <v>363</v>
      </c>
      <c r="O177" s="7">
        <v>1</v>
      </c>
      <c r="P177" s="7">
        <v>99</v>
      </c>
    </row>
    <row r="178" spans="1:19" x14ac:dyDescent="0.15">
      <c r="A178" s="13">
        <v>24100</v>
      </c>
      <c r="B178" s="7" t="str">
        <f t="shared" ref="B178:B187" si="10">"equip_skill["&amp;"icon_equipSkill_"&amp;A178&amp;"]"</f>
        <v>equip_skill[icon_equipSkill_24100]</v>
      </c>
      <c r="C178" s="14" t="s">
        <v>364</v>
      </c>
      <c r="F178" s="13">
        <v>2400</v>
      </c>
      <c r="I178" s="2">
        <v>1</v>
      </c>
      <c r="J178" s="13">
        <v>24</v>
      </c>
      <c r="L178" s="2">
        <v>0</v>
      </c>
      <c r="O178" s="7">
        <v>1</v>
      </c>
      <c r="P178" s="7">
        <v>99</v>
      </c>
    </row>
    <row r="179" spans="1:19" x14ac:dyDescent="0.15">
      <c r="A179" s="13">
        <v>24201</v>
      </c>
      <c r="B179" s="7" t="str">
        <f t="shared" si="10"/>
        <v>equip_skill[icon_equipSkill_24201]</v>
      </c>
      <c r="C179" s="14" t="s">
        <v>364</v>
      </c>
      <c r="D179" s="14" t="s">
        <v>365</v>
      </c>
      <c r="E179" s="9" t="s">
        <v>201</v>
      </c>
      <c r="F179" s="13">
        <v>2401</v>
      </c>
      <c r="G179" s="13">
        <v>3</v>
      </c>
      <c r="I179" s="7">
        <v>4</v>
      </c>
      <c r="J179" s="13">
        <v>24</v>
      </c>
      <c r="L179" s="7">
        <v>1</v>
      </c>
      <c r="O179" s="7">
        <v>1</v>
      </c>
      <c r="P179" s="7">
        <v>99</v>
      </c>
      <c r="S179" s="13">
        <v>1</v>
      </c>
    </row>
    <row r="180" spans="1:19" x14ac:dyDescent="0.15">
      <c r="A180" s="13">
        <v>24202</v>
      </c>
      <c r="B180" s="7" t="str">
        <f t="shared" si="10"/>
        <v>equip_skill[icon_equipSkill_24202]</v>
      </c>
      <c r="C180" s="14" t="s">
        <v>364</v>
      </c>
      <c r="D180" s="14" t="s">
        <v>366</v>
      </c>
      <c r="E180" s="9" t="s">
        <v>201</v>
      </c>
      <c r="F180" s="13">
        <v>2402</v>
      </c>
      <c r="G180" s="13">
        <v>4</v>
      </c>
      <c r="I180" s="7">
        <v>4</v>
      </c>
      <c r="J180" s="13">
        <v>24</v>
      </c>
      <c r="L180" s="7">
        <v>3</v>
      </c>
      <c r="O180" s="7">
        <v>1</v>
      </c>
      <c r="P180" s="7">
        <v>99</v>
      </c>
      <c r="S180" s="13">
        <v>1</v>
      </c>
    </row>
    <row r="181" spans="1:19" x14ac:dyDescent="0.15">
      <c r="A181" s="13">
        <v>24203</v>
      </c>
      <c r="B181" s="7" t="str">
        <f t="shared" si="10"/>
        <v>equip_skill[icon_equipSkill_24203]</v>
      </c>
      <c r="C181" s="14" t="s">
        <v>364</v>
      </c>
      <c r="D181" s="14" t="s">
        <v>367</v>
      </c>
      <c r="E181" s="9" t="s">
        <v>368</v>
      </c>
      <c r="F181" s="13">
        <v>2403</v>
      </c>
      <c r="G181" s="13">
        <v>4</v>
      </c>
      <c r="I181" s="7">
        <v>2</v>
      </c>
      <c r="J181" s="13">
        <v>24</v>
      </c>
      <c r="L181" s="7">
        <v>5</v>
      </c>
      <c r="O181" s="7">
        <v>1</v>
      </c>
      <c r="P181" s="7">
        <v>99</v>
      </c>
    </row>
    <row r="182" spans="1:19" x14ac:dyDescent="0.15">
      <c r="A182" s="13">
        <v>24204</v>
      </c>
      <c r="B182" s="7" t="str">
        <f t="shared" si="10"/>
        <v>equip_skill[icon_equipSkill_24204]</v>
      </c>
      <c r="C182" s="14" t="s">
        <v>364</v>
      </c>
      <c r="D182" s="14" t="s">
        <v>369</v>
      </c>
      <c r="E182" s="9" t="s">
        <v>49</v>
      </c>
      <c r="F182" s="13">
        <v>2404</v>
      </c>
      <c r="G182" s="13">
        <v>3</v>
      </c>
      <c r="I182" s="7">
        <v>2</v>
      </c>
      <c r="J182" s="13">
        <v>24</v>
      </c>
      <c r="L182" s="7">
        <v>7</v>
      </c>
      <c r="M182" s="13" t="s">
        <v>370</v>
      </c>
      <c r="O182" s="7">
        <v>1</v>
      </c>
      <c r="P182" s="7">
        <v>99</v>
      </c>
    </row>
    <row r="183" spans="1:19" x14ac:dyDescent="0.15">
      <c r="A183" s="13">
        <v>24205</v>
      </c>
      <c r="B183" s="7" t="str">
        <f t="shared" si="10"/>
        <v>equip_skill[icon_equipSkill_24205]</v>
      </c>
      <c r="C183" s="14" t="s">
        <v>364</v>
      </c>
      <c r="D183" s="14" t="s">
        <v>371</v>
      </c>
      <c r="E183" s="9" t="s">
        <v>372</v>
      </c>
      <c r="F183" s="13">
        <v>2405</v>
      </c>
      <c r="G183" s="13">
        <v>4</v>
      </c>
      <c r="I183" s="7">
        <v>2</v>
      </c>
      <c r="J183" s="13">
        <v>24</v>
      </c>
      <c r="L183" s="7">
        <v>9</v>
      </c>
      <c r="O183" s="7">
        <v>1</v>
      </c>
      <c r="P183" s="7">
        <v>99</v>
      </c>
    </row>
    <row r="184" spans="1:19" x14ac:dyDescent="0.15">
      <c r="A184" s="13">
        <v>24206</v>
      </c>
      <c r="B184" s="7" t="str">
        <f t="shared" si="10"/>
        <v>equip_skill[icon_equipSkill_24206]</v>
      </c>
      <c r="C184" s="14" t="s">
        <v>364</v>
      </c>
      <c r="D184" s="14" t="s">
        <v>373</v>
      </c>
      <c r="E184" s="9" t="s">
        <v>374</v>
      </c>
      <c r="F184" s="13">
        <v>2406</v>
      </c>
      <c r="G184" s="13">
        <v>4</v>
      </c>
      <c r="I184" s="7">
        <v>2</v>
      </c>
      <c r="J184" s="13">
        <v>24</v>
      </c>
      <c r="L184" s="7">
        <v>11</v>
      </c>
      <c r="M184" s="13" t="s">
        <v>375</v>
      </c>
      <c r="O184" s="7">
        <v>1</v>
      </c>
      <c r="P184" s="7">
        <v>99</v>
      </c>
    </row>
    <row r="185" spans="1:19" x14ac:dyDescent="0.15">
      <c r="A185" s="13">
        <v>24207</v>
      </c>
      <c r="B185" s="7" t="str">
        <f t="shared" si="10"/>
        <v>equip_skill[icon_equipSkill_24207]</v>
      </c>
      <c r="C185" s="14" t="s">
        <v>364</v>
      </c>
      <c r="D185" s="14" t="s">
        <v>376</v>
      </c>
      <c r="E185" s="9" t="s">
        <v>100</v>
      </c>
      <c r="F185" s="13">
        <v>2407</v>
      </c>
      <c r="G185" s="13">
        <v>4</v>
      </c>
      <c r="I185" s="7">
        <v>2</v>
      </c>
      <c r="J185" s="13">
        <v>24</v>
      </c>
      <c r="L185" s="7">
        <v>13</v>
      </c>
      <c r="O185" s="7">
        <v>1</v>
      </c>
      <c r="P185" s="7">
        <v>99</v>
      </c>
    </row>
    <row r="186" spans="1:19" x14ac:dyDescent="0.15">
      <c r="A186" s="13">
        <v>24208</v>
      </c>
      <c r="B186" s="7" t="str">
        <f t="shared" si="10"/>
        <v>equip_skill[icon_equipSkill_24208]</v>
      </c>
      <c r="C186" s="14" t="s">
        <v>364</v>
      </c>
      <c r="D186" s="14" t="s">
        <v>377</v>
      </c>
      <c r="E186" s="9" t="s">
        <v>378</v>
      </c>
      <c r="F186" s="13">
        <v>2408</v>
      </c>
      <c r="G186" s="13">
        <v>4</v>
      </c>
      <c r="I186" s="7">
        <v>2</v>
      </c>
      <c r="J186" s="13">
        <v>24</v>
      </c>
      <c r="L186" s="7">
        <v>15</v>
      </c>
      <c r="O186" s="7">
        <v>1</v>
      </c>
      <c r="P186" s="7">
        <v>99</v>
      </c>
    </row>
    <row r="187" spans="1:19" ht="18.75" customHeight="1" x14ac:dyDescent="0.15">
      <c r="A187" s="13">
        <v>24209</v>
      </c>
      <c r="B187" s="7" t="str">
        <f t="shared" si="10"/>
        <v>equip_skill[icon_equipSkill_24209]</v>
      </c>
      <c r="C187" s="14" t="s">
        <v>364</v>
      </c>
      <c r="D187" s="14" t="s">
        <v>379</v>
      </c>
      <c r="E187" s="9" t="s">
        <v>166</v>
      </c>
      <c r="F187" s="13">
        <v>2409</v>
      </c>
      <c r="G187" s="13">
        <v>4</v>
      </c>
      <c r="I187" s="7">
        <v>2</v>
      </c>
      <c r="J187" s="13">
        <v>24</v>
      </c>
      <c r="L187" s="7">
        <v>17</v>
      </c>
      <c r="M187" s="13" t="s">
        <v>380</v>
      </c>
      <c r="O187" s="7">
        <v>1</v>
      </c>
      <c r="P187" s="7">
        <v>99</v>
      </c>
    </row>
    <row r="188" spans="1:19" x14ac:dyDescent="0.15">
      <c r="A188" s="13">
        <v>25100</v>
      </c>
      <c r="B188" s="7" t="str">
        <f t="shared" ref="B188:B197" si="11">"equip_skill["&amp;"icon_equipSkill_"&amp;A188&amp;"]"</f>
        <v>equip_skill[icon_equipSkill_25100]</v>
      </c>
      <c r="C188" s="14" t="s">
        <v>381</v>
      </c>
      <c r="F188" s="13">
        <v>2500</v>
      </c>
      <c r="I188" s="2">
        <v>1</v>
      </c>
      <c r="J188" s="13">
        <v>25</v>
      </c>
      <c r="L188" s="13">
        <v>0</v>
      </c>
      <c r="O188" s="7">
        <v>1</v>
      </c>
      <c r="P188" s="7">
        <v>99</v>
      </c>
    </row>
    <row r="189" spans="1:19" x14ac:dyDescent="0.15">
      <c r="A189" s="13">
        <v>25201</v>
      </c>
      <c r="B189" s="7" t="str">
        <f t="shared" si="11"/>
        <v>equip_skill[icon_equipSkill_25201]</v>
      </c>
      <c r="C189" s="14" t="s">
        <v>381</v>
      </c>
      <c r="D189" s="14" t="s">
        <v>382</v>
      </c>
      <c r="E189" s="9" t="s">
        <v>49</v>
      </c>
      <c r="F189" s="13">
        <v>2501</v>
      </c>
      <c r="G189" s="13">
        <v>3</v>
      </c>
      <c r="I189" s="7">
        <v>4</v>
      </c>
      <c r="J189" s="13">
        <v>25</v>
      </c>
      <c r="L189" s="7">
        <v>1</v>
      </c>
      <c r="O189" s="7">
        <v>1</v>
      </c>
      <c r="P189" s="7">
        <v>99</v>
      </c>
      <c r="S189" s="13">
        <v>1</v>
      </c>
    </row>
    <row r="190" spans="1:19" x14ac:dyDescent="0.15">
      <c r="A190" s="13">
        <v>25202</v>
      </c>
      <c r="B190" s="7" t="str">
        <f t="shared" si="11"/>
        <v>equip_skill[icon_equipSkill_25202]</v>
      </c>
      <c r="C190" s="14" t="s">
        <v>381</v>
      </c>
      <c r="D190" s="14" t="s">
        <v>383</v>
      </c>
      <c r="E190" s="9" t="s">
        <v>49</v>
      </c>
      <c r="F190" s="13">
        <v>2502</v>
      </c>
      <c r="G190" s="13">
        <v>4</v>
      </c>
      <c r="I190" s="7">
        <v>4</v>
      </c>
      <c r="J190" s="13">
        <v>25</v>
      </c>
      <c r="L190" s="7">
        <v>3</v>
      </c>
      <c r="O190" s="7">
        <v>1</v>
      </c>
      <c r="P190" s="7">
        <v>99</v>
      </c>
      <c r="S190" s="13">
        <v>1</v>
      </c>
    </row>
    <row r="191" spans="1:19" x14ac:dyDescent="0.15">
      <c r="A191" s="13">
        <v>25203</v>
      </c>
      <c r="B191" s="7" t="str">
        <f t="shared" si="11"/>
        <v>equip_skill[icon_equipSkill_25203]</v>
      </c>
      <c r="C191" s="14" t="s">
        <v>381</v>
      </c>
      <c r="D191" s="14" t="s">
        <v>384</v>
      </c>
      <c r="E191" s="9" t="s">
        <v>385</v>
      </c>
      <c r="F191" s="13">
        <v>2503</v>
      </c>
      <c r="G191" s="13">
        <v>4</v>
      </c>
      <c r="I191" s="7">
        <v>2</v>
      </c>
      <c r="J191" s="13">
        <v>25</v>
      </c>
      <c r="L191" s="7">
        <v>5</v>
      </c>
      <c r="O191" s="7">
        <v>1</v>
      </c>
      <c r="P191" s="7">
        <v>99</v>
      </c>
    </row>
    <row r="192" spans="1:19" x14ac:dyDescent="0.15">
      <c r="A192" s="13">
        <v>25204</v>
      </c>
      <c r="B192" s="7" t="str">
        <f t="shared" si="11"/>
        <v>equip_skill[icon_equipSkill_25204]</v>
      </c>
      <c r="C192" s="14" t="s">
        <v>381</v>
      </c>
      <c r="D192" s="14" t="s">
        <v>386</v>
      </c>
      <c r="E192" s="9" t="s">
        <v>170</v>
      </c>
      <c r="F192" s="13">
        <v>2504</v>
      </c>
      <c r="G192" s="13">
        <v>3</v>
      </c>
      <c r="I192" s="7">
        <v>2</v>
      </c>
      <c r="J192" s="13">
        <v>25</v>
      </c>
      <c r="L192" s="7">
        <v>7</v>
      </c>
      <c r="M192" s="13" t="s">
        <v>402</v>
      </c>
      <c r="O192" s="7">
        <v>1</v>
      </c>
      <c r="P192" s="7">
        <v>99</v>
      </c>
    </row>
    <row r="193" spans="1:16" x14ac:dyDescent="0.15">
      <c r="A193" s="13">
        <v>25205</v>
      </c>
      <c r="B193" s="7" t="str">
        <f t="shared" si="11"/>
        <v>equip_skill[icon_equipSkill_25205]</v>
      </c>
      <c r="C193" s="14" t="s">
        <v>381</v>
      </c>
      <c r="D193" s="14" t="s">
        <v>387</v>
      </c>
      <c r="E193" s="9" t="s">
        <v>212</v>
      </c>
      <c r="F193" s="13">
        <v>2505</v>
      </c>
      <c r="G193" s="13">
        <v>4</v>
      </c>
      <c r="I193" s="7">
        <v>2</v>
      </c>
      <c r="J193" s="13">
        <v>25</v>
      </c>
      <c r="L193" s="7">
        <v>9</v>
      </c>
      <c r="O193" s="7">
        <v>1</v>
      </c>
      <c r="P193" s="7">
        <v>99</v>
      </c>
    </row>
    <row r="194" spans="1:16" x14ac:dyDescent="0.15">
      <c r="A194" s="13">
        <v>25206</v>
      </c>
      <c r="B194" s="7" t="str">
        <f t="shared" si="11"/>
        <v>equip_skill[icon_equipSkill_25206]</v>
      </c>
      <c r="C194" s="14" t="s">
        <v>381</v>
      </c>
      <c r="D194" s="14" t="s">
        <v>388</v>
      </c>
      <c r="E194" s="9" t="s">
        <v>100</v>
      </c>
      <c r="F194" s="13">
        <v>2506</v>
      </c>
      <c r="G194" s="13">
        <v>3</v>
      </c>
      <c r="I194" s="7">
        <v>2</v>
      </c>
      <c r="J194" s="13">
        <v>25</v>
      </c>
      <c r="L194" s="7">
        <v>11</v>
      </c>
      <c r="M194" s="13" t="s">
        <v>402</v>
      </c>
      <c r="O194" s="7">
        <v>1</v>
      </c>
      <c r="P194" s="7">
        <v>99</v>
      </c>
    </row>
    <row r="195" spans="1:16" x14ac:dyDescent="0.15">
      <c r="A195" s="13">
        <v>25207</v>
      </c>
      <c r="B195" s="7" t="str">
        <f t="shared" si="11"/>
        <v>equip_skill[icon_equipSkill_25207]</v>
      </c>
      <c r="C195" s="14" t="s">
        <v>381</v>
      </c>
      <c r="D195" s="14" t="s">
        <v>389</v>
      </c>
      <c r="E195" s="9" t="s">
        <v>129</v>
      </c>
      <c r="F195" s="13">
        <v>2507</v>
      </c>
      <c r="G195" s="13">
        <v>4</v>
      </c>
      <c r="I195" s="7">
        <v>2</v>
      </c>
      <c r="J195" s="13">
        <v>25</v>
      </c>
      <c r="L195" s="7">
        <v>13</v>
      </c>
      <c r="O195" s="7">
        <v>1</v>
      </c>
      <c r="P195" s="7">
        <v>99</v>
      </c>
    </row>
    <row r="196" spans="1:16" x14ac:dyDescent="0.15">
      <c r="A196" s="13">
        <v>25208</v>
      </c>
      <c r="B196" s="7" t="str">
        <f t="shared" si="11"/>
        <v>equip_skill[icon_equipSkill_25208]</v>
      </c>
      <c r="C196" s="14" t="s">
        <v>381</v>
      </c>
      <c r="D196" s="14" t="s">
        <v>390</v>
      </c>
      <c r="E196" s="9" t="s">
        <v>404</v>
      </c>
      <c r="F196" s="13">
        <v>2508</v>
      </c>
      <c r="G196" s="13">
        <v>4</v>
      </c>
      <c r="I196" s="7">
        <v>2</v>
      </c>
      <c r="J196" s="13">
        <v>25</v>
      </c>
      <c r="L196" s="7">
        <v>15</v>
      </c>
      <c r="O196" s="7">
        <v>1</v>
      </c>
      <c r="P196" s="7">
        <v>99</v>
      </c>
    </row>
    <row r="197" spans="1:16" x14ac:dyDescent="0.15">
      <c r="A197" s="13">
        <v>25209</v>
      </c>
      <c r="B197" s="7" t="str">
        <f t="shared" si="11"/>
        <v>equip_skill[icon_equipSkill_25209]</v>
      </c>
      <c r="C197" s="14" t="s">
        <v>381</v>
      </c>
      <c r="D197" s="14" t="s">
        <v>391</v>
      </c>
      <c r="E197" s="9" t="s">
        <v>405</v>
      </c>
      <c r="F197" s="13">
        <v>2509</v>
      </c>
      <c r="G197" s="13">
        <v>4</v>
      </c>
      <c r="I197" s="7">
        <v>2</v>
      </c>
      <c r="J197" s="13">
        <v>25</v>
      </c>
      <c r="L197" s="7">
        <v>17</v>
      </c>
      <c r="M197" s="13" t="s">
        <v>403</v>
      </c>
      <c r="O197" s="7">
        <v>1</v>
      </c>
      <c r="P197" s="7">
        <v>99</v>
      </c>
    </row>
  </sheetData>
  <autoFilter ref="A5:Q187" xr:uid="{00000000-0009-0000-0000-000000000000}"/>
  <phoneticPr fontId="11" type="noConversion"/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41"/>
  <sheetViews>
    <sheetView workbookViewId="0">
      <selection activeCell="E25" sqref="E25"/>
    </sheetView>
  </sheetViews>
  <sheetFormatPr defaultColWidth="9" defaultRowHeight="13.5" x14ac:dyDescent="0.15"/>
  <cols>
    <col min="2" max="2" width="88.25" customWidth="1"/>
    <col min="3" max="3" width="14.125" style="1" customWidth="1"/>
    <col min="4" max="4" width="9" hidden="1" customWidth="1"/>
    <col min="5" max="5" width="65.25" customWidth="1"/>
    <col min="6" max="6" width="11.75" customWidth="1"/>
  </cols>
  <sheetData>
    <row r="2" spans="1:5" ht="15" x14ac:dyDescent="0.15">
      <c r="A2">
        <v>1100</v>
      </c>
      <c r="B2" s="2"/>
      <c r="C2" s="3"/>
      <c r="D2" s="2">
        <v>100</v>
      </c>
      <c r="E2" t="str">
        <f>IF(D2="","",VLOOKUP(D2,[1]Sheet1!$A:$C,3,0))</f>
        <v>长剑</v>
      </c>
    </row>
    <row r="3" spans="1:5" ht="16.5" x14ac:dyDescent="0.15">
      <c r="A3">
        <v>1101</v>
      </c>
      <c r="B3" s="4" t="s">
        <v>43</v>
      </c>
      <c r="C3" s="4" t="s">
        <v>44</v>
      </c>
      <c r="D3" s="5"/>
      <c r="E3" t="str">
        <f>IF(D3="","",VLOOKUP(D3,[1]Sheet1!$A:$C,3,0))</f>
        <v/>
      </c>
    </row>
    <row r="4" spans="1:5" ht="16.5" x14ac:dyDescent="0.15">
      <c r="A4">
        <v>1201</v>
      </c>
      <c r="B4" s="6" t="s">
        <v>46</v>
      </c>
      <c r="C4" s="6" t="s">
        <v>47</v>
      </c>
      <c r="D4" s="7">
        <v>101</v>
      </c>
      <c r="E4" t="str">
        <f>IF(D4="","",VLOOKUP(D4,[1]Sheet1!$A:$C,3,0))</f>
        <v>长剑每攻击2次后，下次攻击100%暴击</v>
      </c>
    </row>
    <row r="5" spans="1:5" ht="16.5" x14ac:dyDescent="0.15">
      <c r="A5">
        <v>1202</v>
      </c>
      <c r="B5" s="6" t="s">
        <v>48</v>
      </c>
      <c r="C5" s="6" t="s">
        <v>49</v>
      </c>
      <c r="D5" s="7">
        <v>102</v>
      </c>
      <c r="E5" t="str">
        <f>IF(D5="","",VLOOKUP(D5,[1]Sheet1!$A:$C,3,0))</f>
        <v>长剑固定暴击所需次数-1</v>
      </c>
    </row>
    <row r="6" spans="1:5" ht="16.5" x14ac:dyDescent="0.15">
      <c r="A6">
        <v>1203</v>
      </c>
      <c r="B6" s="6" t="s">
        <v>51</v>
      </c>
      <c r="C6" s="6" t="s">
        <v>52</v>
      </c>
      <c r="D6" s="7">
        <v>103</v>
      </c>
      <c r="E6" t="str">
        <f>IF(D6="","",VLOOKUP(D6,[1]Sheet1!$A:$C,3,0))</f>
        <v>长剑攻击+52%</v>
      </c>
    </row>
    <row r="7" spans="1:5" ht="16.5" x14ac:dyDescent="0.15">
      <c r="A7">
        <v>1204</v>
      </c>
      <c r="B7" s="6" t="s">
        <v>53</v>
      </c>
      <c r="C7" s="6" t="s">
        <v>54</v>
      </c>
      <c r="D7" s="7">
        <v>104</v>
      </c>
      <c r="E7" t="str">
        <f>IF(D7="","",VLOOKUP(D7,[1]Sheet1!$A:$C,3,0))</f>
        <v>长剑的暴击伤害+155%</v>
      </c>
    </row>
    <row r="8" spans="1:5" ht="16.5" x14ac:dyDescent="0.15">
      <c r="A8">
        <v>1205</v>
      </c>
      <c r="B8" s="6" t="s">
        <v>55</v>
      </c>
      <c r="C8" s="6" t="s">
        <v>56</v>
      </c>
      <c r="D8" s="7">
        <v>105</v>
      </c>
      <c r="E8" t="str">
        <f>IF(D8="","",VLOOKUP(D8,[1]Sheet1!$A:$C,3,0))</f>
        <v>水之剑对冰冻减速/冻结目标的伤害+102%</v>
      </c>
    </row>
    <row r="9" spans="1:5" ht="16.5" x14ac:dyDescent="0.15">
      <c r="A9">
        <v>1206</v>
      </c>
      <c r="B9" s="6" t="s">
        <v>58</v>
      </c>
      <c r="C9" s="6" t="s">
        <v>59</v>
      </c>
      <c r="D9" s="7">
        <v>106</v>
      </c>
      <c r="E9" t="str">
        <f>IF(D9="","",VLOOKUP(D9,[1]Sheet1!$A:$C,3,0))</f>
        <v>火之剑对灼烧目标伤害+55%</v>
      </c>
    </row>
    <row r="10" spans="1:5" ht="16.5" x14ac:dyDescent="0.15">
      <c r="A10">
        <v>1207</v>
      </c>
      <c r="B10" s="6" t="s">
        <v>61</v>
      </c>
      <c r="C10" s="6" t="s">
        <v>62</v>
      </c>
      <c r="D10" s="7">
        <v>107</v>
      </c>
      <c r="E10" t="str">
        <f>IF(D10="","",VLOOKUP(D10,[1]Sheet1!$A:$C,3,0))</f>
        <v>在水之剑两侧的其他水属性武器击败目标，回复武器自身攻击45%的血量，效果可叠加</v>
      </c>
    </row>
    <row r="11" spans="1:5" ht="16.5" x14ac:dyDescent="0.15">
      <c r="A11">
        <v>1208</v>
      </c>
      <c r="B11" s="6" t="s">
        <v>63</v>
      </c>
      <c r="C11" s="6" t="s">
        <v>64</v>
      </c>
      <c r="D11" s="7">
        <v>108</v>
      </c>
      <c r="E11" t="str">
        <f>IF(D11="","",VLOOKUP(D11,[1]Sheet1!$A:$C,3,0))</f>
        <v>火之剑附加的灼烧目标数量+8</v>
      </c>
    </row>
    <row r="12" spans="1:5" ht="16.5" x14ac:dyDescent="0.15">
      <c r="A12">
        <v>1209</v>
      </c>
      <c r="B12" s="4" t="s">
        <v>65</v>
      </c>
      <c r="C12" s="4" t="s">
        <v>62</v>
      </c>
      <c r="D12" s="5">
        <v>109</v>
      </c>
      <c r="E12" t="str">
        <f>IF(D12="","",VLOOKUP(D12,[1]Sheet1!$A:$C,3,0))</f>
        <v>水之剑击败目标回复水之剑攻击力45%的血量</v>
      </c>
    </row>
    <row r="13" spans="1:5" ht="16.5" x14ac:dyDescent="0.15">
      <c r="A13">
        <v>1210</v>
      </c>
      <c r="B13" s="4" t="s">
        <v>67</v>
      </c>
      <c r="C13" s="4" t="s">
        <v>68</v>
      </c>
      <c r="D13" s="5">
        <v>110</v>
      </c>
      <c r="E13" t="str">
        <f>IF(D13="","",VLOOKUP(D13,[1]Sheet1!$A:$C,3,0))</f>
        <v>火之剑暴击时,随机使最多4个敌人附加5秒灼烧,每1秒扣除本次伤害12%的血量</v>
      </c>
    </row>
    <row r="14" spans="1:5" ht="15" x14ac:dyDescent="0.15">
      <c r="A14">
        <v>2100</v>
      </c>
      <c r="B14" s="2"/>
      <c r="C14" s="3"/>
      <c r="D14" s="2">
        <v>200</v>
      </c>
      <c r="E14" t="str">
        <f>IF(D14="","",VLOOKUP(D14,[1]Sheet1!$A:$C,3,0))</f>
        <v>匕首</v>
      </c>
    </row>
    <row r="15" spans="1:5" ht="16.5" x14ac:dyDescent="0.15">
      <c r="A15">
        <v>2101</v>
      </c>
      <c r="B15" s="4" t="s">
        <v>71</v>
      </c>
      <c r="C15" s="4" t="s">
        <v>44</v>
      </c>
      <c r="D15" s="5"/>
      <c r="E15" t="str">
        <f>IF(D15="","",VLOOKUP(D15,[1]Sheet1!$A:$C,3,0))</f>
        <v/>
      </c>
    </row>
    <row r="16" spans="1:5" ht="16.5" x14ac:dyDescent="0.15">
      <c r="A16">
        <v>2201</v>
      </c>
      <c r="B16" s="6" t="s">
        <v>73</v>
      </c>
      <c r="C16" s="6" t="s">
        <v>74</v>
      </c>
      <c r="D16" s="7">
        <v>201</v>
      </c>
      <c r="E16" t="str">
        <f>IF(D16="","",VLOOKUP(D16,[1]Sheet1!$A:$C,3,0))</f>
        <v>匕首攻击同一目标每次伤害+21%,最多叠加5层</v>
      </c>
    </row>
    <row r="17" spans="1:5" ht="16.5" x14ac:dyDescent="0.15">
      <c r="A17">
        <v>2202</v>
      </c>
      <c r="B17" s="6" t="s">
        <v>75</v>
      </c>
      <c r="C17" s="6" t="s">
        <v>76</v>
      </c>
      <c r="D17" s="7">
        <v>202</v>
      </c>
      <c r="E17" t="str">
        <f>IF(D17="","",VLOOKUP(D17,[1]Sheet1!$A:$C,3,0))</f>
        <v>匕首的速度+32%</v>
      </c>
    </row>
    <row r="18" spans="1:5" ht="16.5" x14ac:dyDescent="0.15">
      <c r="A18">
        <v>2203</v>
      </c>
      <c r="B18" s="6" t="s">
        <v>77</v>
      </c>
      <c r="C18" s="6" t="s">
        <v>78</v>
      </c>
      <c r="D18" s="7">
        <v>203</v>
      </c>
      <c r="E18" t="str">
        <f>IF(D18="","",VLOOKUP(D18,[1]Sheet1!$A:$C,3,0))</f>
        <v>匕首的暴击率+51%</v>
      </c>
    </row>
    <row r="19" spans="1:5" ht="16.5" x14ac:dyDescent="0.15">
      <c r="A19">
        <v>2204</v>
      </c>
      <c r="B19" s="6" t="s">
        <v>79</v>
      </c>
      <c r="C19" s="6" t="s">
        <v>59</v>
      </c>
      <c r="D19" s="7">
        <v>204</v>
      </c>
      <c r="E19" t="str">
        <f>IF(D19="","",VLOOKUP(D19,[1]Sheet1!$A:$C,3,0))</f>
        <v>匕首的暴击伤害+55%</v>
      </c>
    </row>
    <row r="20" spans="1:5" ht="16.5" x14ac:dyDescent="0.15">
      <c r="A20">
        <v>2205</v>
      </c>
      <c r="B20" s="6" t="s">
        <v>80</v>
      </c>
      <c r="C20" s="6" t="s">
        <v>44</v>
      </c>
      <c r="D20" s="7">
        <v>205</v>
      </c>
      <c r="E20" t="str">
        <f>IF(D20="","",VLOOKUP(D20,[1]Sheet1!$A:$C,3,0))</f>
        <v>风之刃到达场地边缘后反弹,最多5次</v>
      </c>
    </row>
    <row r="21" spans="1:5" ht="16.5" x14ac:dyDescent="0.15">
      <c r="A21">
        <v>2206</v>
      </c>
      <c r="B21" s="6" t="s">
        <v>82</v>
      </c>
      <c r="C21" s="6" t="s">
        <v>56</v>
      </c>
      <c r="D21" s="7">
        <v>206</v>
      </c>
      <c r="E21" t="str">
        <f>IF(D21="","",VLOOKUP(D21,[1]Sheet1!$A:$C,3,0))</f>
        <v>毒之刃对中毒目标伤害102%</v>
      </c>
    </row>
    <row r="22" spans="1:5" ht="16.5" x14ac:dyDescent="0.15">
      <c r="A22">
        <v>2207</v>
      </c>
      <c r="B22" s="6" t="s">
        <v>84</v>
      </c>
      <c r="C22" s="6" t="s">
        <v>85</v>
      </c>
      <c r="D22" s="7">
        <v>207</v>
      </c>
      <c r="E22" t="str">
        <f>IF(D22="","",VLOOKUP(D22,[1]Sheet1!$A:$C,3,0))</f>
        <v>风之刃穿透数量+6</v>
      </c>
    </row>
    <row r="23" spans="1:5" ht="16.5" x14ac:dyDescent="0.15">
      <c r="A23">
        <v>2208</v>
      </c>
      <c r="B23" s="6" t="s">
        <v>86</v>
      </c>
      <c r="C23" s="6" t="s">
        <v>87</v>
      </c>
      <c r="D23" s="7">
        <v>208</v>
      </c>
      <c r="E23" t="str">
        <f>IF(D23="","",VLOOKUP(D23,[1]Sheet1!$A:$C,3,0))</f>
        <v>毒之刃的毒爆会附加中毒:每0.5秒,造成攻击102%伤害,持续2秒</v>
      </c>
    </row>
    <row r="24" spans="1:5" ht="16.5" x14ac:dyDescent="0.15">
      <c r="A24">
        <v>2209</v>
      </c>
      <c r="B24" s="4" t="s">
        <v>88</v>
      </c>
      <c r="C24" s="4" t="s">
        <v>89</v>
      </c>
      <c r="D24" s="5">
        <v>209</v>
      </c>
      <c r="E24" t="str">
        <f>IF(D24="","",VLOOKUP(D24,[1]Sheet1!$A:$C,3,0))</f>
        <v>风之刃攻击可穿透3个敌人</v>
      </c>
    </row>
    <row r="25" spans="1:5" ht="16.5" x14ac:dyDescent="0.15">
      <c r="A25">
        <v>2210</v>
      </c>
      <c r="B25" s="4" t="s">
        <v>91</v>
      </c>
      <c r="C25" s="4" t="s">
        <v>92</v>
      </c>
      <c r="D25" s="5">
        <v>210</v>
      </c>
      <c r="E25" t="str">
        <f>IF(D25="","",VLOOKUP(D25,[1]Sheet1!$A:$C,3,0))</f>
        <v>毒之刃攻击附带中毒,每0.5秒,造成攻击32%伤害,持续3秒。击败中毒目标时,追加1次攻击85%的范围伤害</v>
      </c>
    </row>
    <row r="26" spans="1:5" ht="15" x14ac:dyDescent="0.15">
      <c r="A26">
        <v>3100</v>
      </c>
      <c r="B26" s="2"/>
      <c r="C26" s="3"/>
      <c r="D26" s="2">
        <v>300</v>
      </c>
      <c r="E26" t="str">
        <f>IF(D26="","",VLOOKUP(D26,[1]Sheet1!$A:$C,3,0))</f>
        <v>弓箭</v>
      </c>
    </row>
    <row r="27" spans="1:5" ht="16.5" x14ac:dyDescent="0.15">
      <c r="A27">
        <v>3101</v>
      </c>
      <c r="B27" s="4" t="s">
        <v>95</v>
      </c>
      <c r="C27" s="4" t="s">
        <v>44</v>
      </c>
      <c r="D27" s="5"/>
      <c r="E27" t="str">
        <f>IF(D27="","",VLOOKUP(D27,[1]Sheet1!$A:$C,3,0))</f>
        <v/>
      </c>
    </row>
    <row r="28" spans="1:5" ht="16.5" x14ac:dyDescent="0.15">
      <c r="A28">
        <v>3201</v>
      </c>
      <c r="B28" s="6" t="s">
        <v>97</v>
      </c>
      <c r="C28" s="6" t="s">
        <v>89</v>
      </c>
      <c r="D28" s="7">
        <v>301</v>
      </c>
      <c r="E28" t="str">
        <f>IF(D28="","",VLOOKUP(D28,[1]Sheet1!$A:$C,3,0))</f>
        <v>弓箭攻击时,射出3颗箭矢</v>
      </c>
    </row>
    <row r="29" spans="1:5" ht="16.5" x14ac:dyDescent="0.15">
      <c r="A29">
        <v>3202</v>
      </c>
      <c r="B29" s="6" t="s">
        <v>98</v>
      </c>
      <c r="C29" s="6" t="s">
        <v>49</v>
      </c>
      <c r="D29" s="7">
        <v>302</v>
      </c>
      <c r="E29" t="str">
        <f>IF(D29="","",VLOOKUP(D29,[1]Sheet1!$A:$C,3,0))</f>
        <v>弓箭攻击可穿透1个敌人</v>
      </c>
    </row>
    <row r="30" spans="1:5" ht="16.5" x14ac:dyDescent="0.15">
      <c r="A30">
        <v>3203</v>
      </c>
      <c r="B30" s="6" t="s">
        <v>99</v>
      </c>
      <c r="C30" s="6" t="s">
        <v>100</v>
      </c>
      <c r="D30" s="7">
        <v>303</v>
      </c>
      <c r="E30" t="str">
        <f>IF(D30="","",VLOOKUP(D30,[1]Sheet1!$A:$C,3,0))</f>
        <v>弓箭散射的箭矢数量+2</v>
      </c>
    </row>
    <row r="31" spans="1:5" ht="16.5" x14ac:dyDescent="0.15">
      <c r="A31">
        <v>3204</v>
      </c>
      <c r="B31" s="6" t="s">
        <v>102</v>
      </c>
      <c r="C31" s="6" t="s">
        <v>103</v>
      </c>
      <c r="D31" s="7">
        <v>304</v>
      </c>
      <c r="E31" t="str">
        <f>IF(D31="","",VLOOKUP(D31,[1]Sheet1!$A:$C,3,0))</f>
        <v>弓箭的速度+11%</v>
      </c>
    </row>
    <row r="32" spans="1:5" ht="16.5" x14ac:dyDescent="0.15">
      <c r="A32">
        <v>3205</v>
      </c>
      <c r="B32" s="6" t="s">
        <v>104</v>
      </c>
      <c r="C32" s="6" t="s">
        <v>105</v>
      </c>
      <c r="D32" s="7">
        <v>305</v>
      </c>
      <c r="E32" t="str">
        <f>IF(D32="","",VLOOKUP(D32,[1]Sheet1!$A:$C,3,0))</f>
        <v>箭雨发动概率额外+22%</v>
      </c>
    </row>
    <row r="33" spans="1:5" ht="16.5" x14ac:dyDescent="0.15">
      <c r="A33">
        <v>3206</v>
      </c>
      <c r="B33" s="6" t="s">
        <v>107</v>
      </c>
      <c r="C33" s="6" t="s">
        <v>108</v>
      </c>
      <c r="D33" s="7">
        <v>306</v>
      </c>
      <c r="E33" t="str">
        <f>IF(D33="","",VLOOKUP(D33,[1]Sheet1!$A:$C,3,0))</f>
        <v>暗之弓秒杀概率额外+2.1%</v>
      </c>
    </row>
    <row r="34" spans="1:5" ht="16.5" x14ac:dyDescent="0.15">
      <c r="A34">
        <v>3207</v>
      </c>
      <c r="B34" s="6" t="s">
        <v>110</v>
      </c>
      <c r="C34" s="6" t="s">
        <v>111</v>
      </c>
      <c r="D34" s="7">
        <v>307</v>
      </c>
      <c r="E34" t="str">
        <f>IF(D34="","",VLOOKUP(D34,[1]Sheet1!$A:$C,3,0))</f>
        <v>箭雨有42%概率造成眩晕,持续3秒</v>
      </c>
    </row>
    <row r="35" spans="1:5" ht="16.5" x14ac:dyDescent="0.15">
      <c r="A35">
        <v>3208</v>
      </c>
      <c r="B35" s="6" t="s">
        <v>112</v>
      </c>
      <c r="C35" s="6" t="s">
        <v>113</v>
      </c>
      <c r="D35" s="7">
        <v>308</v>
      </c>
      <c r="E35" t="str">
        <f>IF(D35="","",VLOOKUP(D35,[1]Sheet1!$A:$C,3,0))</f>
        <v>暗之弓命中后,使目标攻击-21%持续3秒,效果不叠加,时间覆盖</v>
      </c>
    </row>
    <row r="36" spans="1:5" ht="16.5" x14ac:dyDescent="0.15">
      <c r="A36">
        <v>3209</v>
      </c>
      <c r="B36" s="4" t="s">
        <v>114</v>
      </c>
      <c r="C36" s="4" t="s">
        <v>115</v>
      </c>
      <c r="D36" s="7">
        <v>309</v>
      </c>
      <c r="E36" t="str">
        <f>IF(D36="","",VLOOKUP(D36,[1]Sheet1!$A:$C,3,0))</f>
        <v>光之弓攻击时,31%概率对随机目标位置释放一次箭雨,造成攻击155%的范围伤害</v>
      </c>
    </row>
    <row r="37" spans="1:5" ht="16.5" x14ac:dyDescent="0.15">
      <c r="A37">
        <v>3210</v>
      </c>
      <c r="B37" s="4" t="s">
        <v>117</v>
      </c>
      <c r="C37" s="4" t="s">
        <v>118</v>
      </c>
      <c r="D37" s="7">
        <v>310</v>
      </c>
      <c r="E37" t="str">
        <f>IF(D37="","",VLOOKUP(D37,[1]Sheet1!$A:$C,3,0))</f>
        <v>暗之弓每次造成伤害时有3.1%的概率秒杀小怪,对精英/Boss怪无效</v>
      </c>
    </row>
    <row r="38" spans="1:5" ht="15" x14ac:dyDescent="0.15">
      <c r="A38">
        <v>4100</v>
      </c>
      <c r="B38" s="2"/>
      <c r="C38" s="3"/>
      <c r="D38" s="2">
        <v>400</v>
      </c>
      <c r="E38" t="str">
        <f>IF(D38="","",VLOOKUP(D38,[1]Sheet1!$A:$C,3,0))</f>
        <v>忍者镖</v>
      </c>
    </row>
    <row r="39" spans="1:5" ht="16.5" x14ac:dyDescent="0.15">
      <c r="A39">
        <v>4101</v>
      </c>
      <c r="B39" s="4" t="s">
        <v>121</v>
      </c>
      <c r="C39" s="4" t="s">
        <v>44</v>
      </c>
      <c r="D39" s="5"/>
      <c r="E39" t="str">
        <f>IF(D39="","",VLOOKUP(D39,[1]Sheet1!$A:$C,3,0))</f>
        <v/>
      </c>
    </row>
    <row r="40" spans="1:5" ht="16.5" x14ac:dyDescent="0.15">
      <c r="A40">
        <v>4201</v>
      </c>
      <c r="B40" s="6" t="s">
        <v>123</v>
      </c>
      <c r="C40" s="6" t="s">
        <v>49</v>
      </c>
      <c r="D40" s="7">
        <v>401</v>
      </c>
      <c r="E40" t="str">
        <f>IF(D40="","",VLOOKUP(D40,[1]Sheet1!$A:$C,3,0))</f>
        <v>忍者镖命中后,进行一次弹射,最多弹射1次</v>
      </c>
    </row>
    <row r="41" spans="1:5" ht="16.5" x14ac:dyDescent="0.15">
      <c r="A41">
        <v>4202</v>
      </c>
      <c r="B41" s="6" t="s">
        <v>124</v>
      </c>
      <c r="C41" s="6" t="s">
        <v>125</v>
      </c>
      <c r="D41" s="7">
        <v>402</v>
      </c>
      <c r="E41" t="str">
        <f>IF(D41="","",VLOOKUP(D41,[1]Sheet1!$A:$C,3,0))</f>
        <v>忍者镖的攻击+26%</v>
      </c>
    </row>
    <row r="42" spans="1:5" ht="16.5" x14ac:dyDescent="0.15">
      <c r="A42">
        <v>4203</v>
      </c>
      <c r="B42" s="6" t="s">
        <v>126</v>
      </c>
      <c r="C42" s="6" t="s">
        <v>125</v>
      </c>
      <c r="D42" s="7">
        <v>403</v>
      </c>
      <c r="E42" t="str">
        <f>IF(D42="","",VLOOKUP(D42,[1]Sheet1!$A:$C,3,0))</f>
        <v>忍者镖的暴击率+26%</v>
      </c>
    </row>
    <row r="43" spans="1:5" ht="16.5" x14ac:dyDescent="0.15">
      <c r="A43">
        <v>4204</v>
      </c>
      <c r="B43" s="6" t="s">
        <v>127</v>
      </c>
      <c r="C43" s="6" t="s">
        <v>49</v>
      </c>
      <c r="D43" s="7">
        <v>404</v>
      </c>
      <c r="E43" t="str">
        <f>IF(D43="","",VLOOKUP(D43,[1]Sheet1!$A:$C,3,0))</f>
        <v>忍者镖攻击时,多发射1枚忍者镖</v>
      </c>
    </row>
    <row r="44" spans="1:5" ht="16.5" x14ac:dyDescent="0.15">
      <c r="A44">
        <v>4205</v>
      </c>
      <c r="B44" s="6" t="s">
        <v>128</v>
      </c>
      <c r="C44" s="6" t="s">
        <v>129</v>
      </c>
      <c r="D44" s="7">
        <v>405</v>
      </c>
      <c r="E44" t="str">
        <f>IF(D44="","",VLOOKUP(D44,[1]Sheet1!$A:$C,3,0))</f>
        <v>暗之忍者镖附加重伤概率+50%</v>
      </c>
    </row>
    <row r="45" spans="1:5" ht="16.5" x14ac:dyDescent="0.15">
      <c r="A45">
        <v>4206</v>
      </c>
      <c r="B45" s="6" t="s">
        <v>131</v>
      </c>
      <c r="C45" s="6"/>
      <c r="D45" s="7">
        <v>406</v>
      </c>
      <c r="E45" t="str">
        <f>IF(D45="","",VLOOKUP(D45,[1]Sheet1!$A:$C,3,0))</f>
        <v>风之忍者镖弹射不再降低伤害</v>
      </c>
    </row>
    <row r="46" spans="1:5" ht="16.5" x14ac:dyDescent="0.15">
      <c r="A46">
        <v>4207</v>
      </c>
      <c r="B46" s="6" t="s">
        <v>133</v>
      </c>
      <c r="C46" s="6" t="s">
        <v>54</v>
      </c>
      <c r="D46" s="7">
        <v>407</v>
      </c>
      <c r="E46" t="str">
        <f>IF(D46="","",VLOOKUP(D46,[1]Sheet1!$A:$C,3,0))</f>
        <v>暗之忍者镖对重伤目标伤害+155%</v>
      </c>
    </row>
    <row r="47" spans="1:5" ht="16.5" x14ac:dyDescent="0.15">
      <c r="A47">
        <v>4208</v>
      </c>
      <c r="B47" s="6" t="s">
        <v>134</v>
      </c>
      <c r="C47" s="6" t="s">
        <v>49</v>
      </c>
      <c r="D47" s="7">
        <v>408</v>
      </c>
      <c r="E47" t="str">
        <f>IF(D47="","",VLOOKUP(D47,[1]Sheet1!$A:$C,3,0))</f>
        <v>风之忍者镖弹射次数+1</v>
      </c>
    </row>
    <row r="48" spans="1:5" ht="16.5" x14ac:dyDescent="0.15">
      <c r="A48">
        <v>4209</v>
      </c>
      <c r="B48" s="4" t="s">
        <v>135</v>
      </c>
      <c r="C48" s="4" t="s">
        <v>136</v>
      </c>
      <c r="D48" s="7">
        <v>409</v>
      </c>
      <c r="E48" t="str">
        <f>IF(D48="","",VLOOKUP(D48,[1]Sheet1!$A:$C,3,0))</f>
        <v>暗之忍者镖命中时有50%概率使目标附加物理重伤:受到物理伤害时,伤害+32%,持续3秒(与投掷斧的重伤不叠加)</v>
      </c>
    </row>
    <row r="49" spans="1:5" ht="16.5" x14ac:dyDescent="0.15">
      <c r="A49">
        <v>4210</v>
      </c>
      <c r="B49" s="4" t="s">
        <v>138</v>
      </c>
      <c r="C49" s="4" t="s">
        <v>139</v>
      </c>
      <c r="D49" s="7">
        <v>410</v>
      </c>
      <c r="E49" t="str">
        <f>IF(D49="","",VLOOKUP(D49,[1]Sheet1!$A:$C,3,0))</f>
        <v>暗之忍者镖每次弹射时,额外分裂1枚忍者镖,但每次弹射伤害-19%</v>
      </c>
    </row>
    <row r="50" spans="1:5" ht="15" x14ac:dyDescent="0.15">
      <c r="A50">
        <v>5100</v>
      </c>
      <c r="B50" s="2"/>
      <c r="C50" s="3"/>
      <c r="D50" s="2">
        <v>500</v>
      </c>
      <c r="E50" t="str">
        <f>IF(D50="","",VLOOKUP(D50,[1]Sheet1!$A:$C,3,0))</f>
        <v>魔法帽</v>
      </c>
    </row>
    <row r="51" spans="1:5" ht="16.5" x14ac:dyDescent="0.15">
      <c r="A51">
        <v>5101</v>
      </c>
      <c r="B51" s="4" t="s">
        <v>142</v>
      </c>
      <c r="C51" s="4" t="s">
        <v>44</v>
      </c>
      <c r="D51" s="5"/>
      <c r="E51" t="str">
        <f>IF(D51="","",VLOOKUP(D51,[1]Sheet1!$A:$C,3,0))</f>
        <v/>
      </c>
    </row>
    <row r="52" spans="1:5" ht="16.5" x14ac:dyDescent="0.15">
      <c r="A52">
        <v>5201</v>
      </c>
      <c r="B52" s="6" t="s">
        <v>144</v>
      </c>
      <c r="C52" s="6" t="s">
        <v>105</v>
      </c>
      <c r="D52" s="7">
        <v>501</v>
      </c>
      <c r="E52" t="str">
        <f>IF(D52="","",VLOOKUP(D52,[1]Sheet1!$A:$C,3,0))</f>
        <v>背包中与魔法帽相邻的所有魔法武器攻击+22%</v>
      </c>
    </row>
    <row r="53" spans="1:5" ht="16.5" x14ac:dyDescent="0.15">
      <c r="A53">
        <v>5202</v>
      </c>
      <c r="B53" s="6" t="s">
        <v>145</v>
      </c>
      <c r="C53" s="6" t="s">
        <v>146</v>
      </c>
      <c r="D53" s="7">
        <v>502</v>
      </c>
      <c r="E53" t="str">
        <f>IF(D53="","",VLOOKUP(D53,[1]Sheet1!$A:$C,3,0))</f>
        <v>魔法帽的回血+18%</v>
      </c>
    </row>
    <row r="54" spans="1:5" ht="16.5" x14ac:dyDescent="0.15">
      <c r="A54">
        <v>5203</v>
      </c>
      <c r="B54" s="6" t="s">
        <v>147</v>
      </c>
      <c r="C54" s="6" t="s">
        <v>76</v>
      </c>
      <c r="D54" s="7">
        <v>503</v>
      </c>
      <c r="E54" t="str">
        <f>IF(D54="","",VLOOKUP(D54,[1]Sheet1!$A:$C,3,0))</f>
        <v>背包中与魔法帽相邻的所有魔法武器攻击+32%</v>
      </c>
    </row>
    <row r="55" spans="1:5" ht="16.5" x14ac:dyDescent="0.15">
      <c r="A55">
        <v>5204</v>
      </c>
      <c r="B55" s="6" t="s">
        <v>148</v>
      </c>
      <c r="C55" s="6" t="s">
        <v>149</v>
      </c>
      <c r="D55" s="7">
        <v>504</v>
      </c>
      <c r="E55" t="str">
        <f>IF(D55="","",VLOOKUP(D55,[1]Sheet1!$A:$C,3,0))</f>
        <v>魔法帽的速度+21%</v>
      </c>
    </row>
    <row r="56" spans="1:5" ht="16.5" x14ac:dyDescent="0.15">
      <c r="A56">
        <v>5205</v>
      </c>
      <c r="B56" s="6" t="s">
        <v>150</v>
      </c>
      <c r="C56" s="6" t="s">
        <v>151</v>
      </c>
      <c r="D56" s="7">
        <v>505</v>
      </c>
      <c r="E56" t="str">
        <f>IF(D56="","",VLOOKUP(D56,[1]Sheet1!$A:$C,3,0))</f>
        <v>叠盾效果额外+12%</v>
      </c>
    </row>
    <row r="57" spans="1:5" ht="16.5" x14ac:dyDescent="0.15">
      <c r="A57">
        <v>5206</v>
      </c>
      <c r="B57" s="6" t="s">
        <v>153</v>
      </c>
      <c r="C57" s="6" t="s">
        <v>76</v>
      </c>
      <c r="D57" s="7">
        <v>506</v>
      </c>
      <c r="E57" t="str">
        <f>IF(D57="","",VLOOKUP(D57,[1]Sheet1!$A:$C,3,0))</f>
        <v>所有暗属性的武器伤害增幅额外+32%</v>
      </c>
    </row>
    <row r="58" spans="1:5" ht="16.5" x14ac:dyDescent="0.15">
      <c r="A58">
        <v>5207</v>
      </c>
      <c r="B58" s="6" t="s">
        <v>155</v>
      </c>
      <c r="C58" s="6"/>
      <c r="D58" s="7">
        <v>507</v>
      </c>
      <c r="E58" t="str">
        <f>IF(D58="","",VLOOKUP(D58,[1]Sheet1!$A:$C,3,0))</f>
        <v>与地之魔法帽在同一行的防具都可获得叠盾效果增幅</v>
      </c>
    </row>
    <row r="59" spans="1:5" ht="16.5" x14ac:dyDescent="0.15">
      <c r="A59">
        <v>5208</v>
      </c>
      <c r="B59" s="6" t="s">
        <v>156</v>
      </c>
      <c r="C59" s="6" t="s">
        <v>49</v>
      </c>
      <c r="D59" s="7">
        <v>508</v>
      </c>
      <c r="E59" t="str">
        <f>IF(D59="","",VLOOKUP(D59,[1]Sheet1!$A:$C,3,0))</f>
        <v>暗之魔法帽每次扣除的血量-1%</v>
      </c>
    </row>
    <row r="60" spans="1:5" ht="16.5" x14ac:dyDescent="0.15">
      <c r="A60">
        <v>5209</v>
      </c>
      <c r="B60" s="4" t="s">
        <v>157</v>
      </c>
      <c r="C60" s="4" t="s">
        <v>105</v>
      </c>
      <c r="D60" s="7">
        <v>509</v>
      </c>
      <c r="E60" t="str">
        <f>IF(D60="","",VLOOKUP(D60,[1]Sheet1!$A:$C,3,0))</f>
        <v>在地之魔法帽左右位置的防具叠盾效果+22%</v>
      </c>
    </row>
    <row r="61" spans="1:5" ht="16.5" x14ac:dyDescent="0.15">
      <c r="A61">
        <v>5210</v>
      </c>
      <c r="B61" s="4" t="s">
        <v>159</v>
      </c>
      <c r="C61" s="4" t="s">
        <v>160</v>
      </c>
      <c r="D61" s="7">
        <v>510</v>
      </c>
      <c r="E61" t="str">
        <f>IF(D61="","",VLOOKUP(D61,[1]Sheet1!$A:$C,3,0))</f>
        <v>暗之魔法帽不再回血,并每次扣除当前血量2.5%,在暗之魔法帽周围的所有武器伤害+52%</v>
      </c>
    </row>
    <row r="62" spans="1:5" ht="15" x14ac:dyDescent="0.15">
      <c r="A62">
        <v>6100</v>
      </c>
      <c r="B62" s="2"/>
      <c r="C62" s="3"/>
      <c r="D62" s="2">
        <v>600</v>
      </c>
      <c r="E62" t="str">
        <f>IF(D62="","",VLOOKUP(D62,[1]Sheet1!$A:$C,3,0))</f>
        <v>手套</v>
      </c>
    </row>
    <row r="63" spans="1:5" ht="16.5" x14ac:dyDescent="0.15">
      <c r="A63">
        <v>6101</v>
      </c>
      <c r="B63" s="4" t="s">
        <v>163</v>
      </c>
      <c r="C63" s="4" t="s">
        <v>44</v>
      </c>
      <c r="D63" s="5"/>
      <c r="E63" t="str">
        <f>IF(D63="","",VLOOKUP(D63,[1]Sheet1!$A:$C,3,0))</f>
        <v/>
      </c>
    </row>
    <row r="64" spans="1:5" ht="16.5" x14ac:dyDescent="0.15">
      <c r="A64">
        <v>6201</v>
      </c>
      <c r="B64" s="6" t="s">
        <v>392</v>
      </c>
      <c r="C64" s="6" t="s">
        <v>149</v>
      </c>
      <c r="D64" s="7">
        <v>601</v>
      </c>
      <c r="E64" t="str">
        <f>IF(D64="","",VLOOKUP(D64,[1]Sheet1!$A:$C,3,0))</f>
        <v>背包中与手套相邻的所有物理武器速度+15%</v>
      </c>
    </row>
    <row r="65" spans="1:5" ht="16.5" x14ac:dyDescent="0.15">
      <c r="A65">
        <v>6202</v>
      </c>
      <c r="B65" s="6" t="s">
        <v>167</v>
      </c>
      <c r="C65" s="6" t="s">
        <v>149</v>
      </c>
      <c r="D65" s="7">
        <v>602</v>
      </c>
      <c r="E65" t="str">
        <f>IF(D65="","",VLOOKUP(D65,[1]Sheet1!$A:$C,3,0))</f>
        <v>手套的速度+21%</v>
      </c>
    </row>
    <row r="66" spans="1:5" ht="16.5" x14ac:dyDescent="0.15">
      <c r="A66">
        <v>6203</v>
      </c>
      <c r="B66" s="6" t="s">
        <v>168</v>
      </c>
      <c r="C66" s="6" t="s">
        <v>105</v>
      </c>
      <c r="D66" s="7">
        <v>603</v>
      </c>
      <c r="E66" t="str">
        <f>IF(D66="","",VLOOKUP(D66,[1]Sheet1!$A:$C,3,0))</f>
        <v>手套的叠盾+22%</v>
      </c>
    </row>
    <row r="67" spans="1:5" ht="16.5" x14ac:dyDescent="0.15">
      <c r="A67">
        <v>6204</v>
      </c>
      <c r="B67" s="6" t="s">
        <v>393</v>
      </c>
      <c r="C67" s="6" t="s">
        <v>241</v>
      </c>
      <c r="D67" s="7">
        <v>604</v>
      </c>
      <c r="E67" t="str">
        <f>IF(D67="","",VLOOKUP(D67,[1]Sheet1!$A:$C,3,0))</f>
        <v>背包中与手套相邻的所有物理武器速度+25%</v>
      </c>
    </row>
    <row r="68" spans="1:5" ht="16.5" x14ac:dyDescent="0.15">
      <c r="A68">
        <v>6205</v>
      </c>
      <c r="B68" s="6" t="s">
        <v>172</v>
      </c>
      <c r="C68" s="6" t="s">
        <v>100</v>
      </c>
      <c r="D68" s="7">
        <v>605</v>
      </c>
      <c r="E68" t="str">
        <f>IF(D68="","",VLOOKUP(D68,[1]Sheet1!$A:$C,3,0))</f>
        <v>火之手套附魔数量+2</v>
      </c>
    </row>
    <row r="69" spans="1:5" ht="16.5" x14ac:dyDescent="0.15">
      <c r="A69">
        <v>6206</v>
      </c>
      <c r="B69" s="6" t="s">
        <v>174</v>
      </c>
      <c r="C69" s="6" t="s">
        <v>170</v>
      </c>
      <c r="D69" s="7">
        <v>606</v>
      </c>
      <c r="E69" t="str">
        <f>IF(D69="","",VLOOKUP(D69,[1]Sheet1!$A:$C,3,0))</f>
        <v>风之手套效果触发时,攻速额外+25%</v>
      </c>
    </row>
    <row r="70" spans="1:5" ht="16.5" x14ac:dyDescent="0.15">
      <c r="A70">
        <v>6207</v>
      </c>
      <c r="B70" s="6" t="s">
        <v>176</v>
      </c>
      <c r="C70" s="6" t="s">
        <v>170</v>
      </c>
      <c r="D70" s="7">
        <v>607</v>
      </c>
      <c r="E70" t="str">
        <f>IF(D70="","",VLOOKUP(D70,[1]Sheet1!$A:$C,3,0))</f>
        <v>火之手套附魔加攻效果额外+25%</v>
      </c>
    </row>
    <row r="71" spans="1:5" ht="16.5" x14ac:dyDescent="0.15">
      <c r="A71">
        <v>6208</v>
      </c>
      <c r="B71" s="6" t="s">
        <v>394</v>
      </c>
      <c r="C71" s="6" t="s">
        <v>395</v>
      </c>
      <c r="D71" s="7">
        <v>608</v>
      </c>
      <c r="E71" t="str">
        <f>IF(D71="","",VLOOKUP(D71,[1]Sheet1!$A:$C,3,0))</f>
        <v>风之手套攻速增持续时间+305%</v>
      </c>
    </row>
    <row r="72" spans="1:5" ht="16.5" x14ac:dyDescent="0.15">
      <c r="A72">
        <v>6209</v>
      </c>
      <c r="B72" s="4" t="s">
        <v>179</v>
      </c>
      <c r="C72" s="4" t="s">
        <v>180</v>
      </c>
      <c r="D72" s="7">
        <v>609</v>
      </c>
      <c r="E72" t="str">
        <f>IF(D72="","",VLOOKUP(D72,[1]Sheet1!$A:$C,3,0))</f>
        <v>战斗开始时,火之手套随机给至多2件火属性武器附魔,攻击+35%</v>
      </c>
    </row>
    <row r="73" spans="1:5" ht="16.5" x14ac:dyDescent="0.15">
      <c r="A73">
        <v>6210</v>
      </c>
      <c r="B73" s="4" t="s">
        <v>182</v>
      </c>
      <c r="C73" s="4" t="s">
        <v>183</v>
      </c>
      <c r="D73" s="7">
        <v>610</v>
      </c>
      <c r="E73" t="str">
        <f>IF(D73="","",VLOOKUP(D73,[1]Sheet1!$A:$C,3,0))</f>
        <v>血量&lt;35%时,所有装备获得攻速增幅,攻速+45%,持续5秒,每波最多发动一次,不叠加</v>
      </c>
    </row>
    <row r="74" spans="1:5" ht="15" x14ac:dyDescent="0.15">
      <c r="A74">
        <v>7100</v>
      </c>
      <c r="B74" s="2"/>
      <c r="C74" s="3"/>
      <c r="D74" s="2">
        <v>700</v>
      </c>
      <c r="E74" t="str">
        <f>IF(D74="","",VLOOKUP(D74,[1]Sheet1!$A:$C,3,0))</f>
        <v>冰杖</v>
      </c>
    </row>
    <row r="75" spans="1:5" ht="16.5" x14ac:dyDescent="0.15">
      <c r="A75">
        <v>7101</v>
      </c>
      <c r="B75" s="4" t="s">
        <v>186</v>
      </c>
      <c r="C75" s="4" t="s">
        <v>44</v>
      </c>
      <c r="D75" s="5"/>
      <c r="E75" t="str">
        <f>IF(D75="","",VLOOKUP(D75,[1]Sheet1!$A:$C,3,0))</f>
        <v/>
      </c>
    </row>
    <row r="76" spans="1:5" ht="16.5" x14ac:dyDescent="0.15">
      <c r="A76">
        <v>7201</v>
      </c>
      <c r="B76" s="6" t="s">
        <v>188</v>
      </c>
      <c r="C76" s="6" t="s">
        <v>189</v>
      </c>
      <c r="D76" s="7">
        <v>701</v>
      </c>
      <c r="E76" t="str">
        <f>IF(D76="","",VLOOKUP(D76,[1]Sheet1!$A:$C,3,0))</f>
        <v>冰杖命中后,有26%概率使目标冻结,持续3秒</v>
      </c>
    </row>
    <row r="77" spans="1:5" ht="16.5" x14ac:dyDescent="0.15">
      <c r="A77">
        <v>7202</v>
      </c>
      <c r="B77" s="6" t="s">
        <v>190</v>
      </c>
      <c r="C77" s="6" t="s">
        <v>191</v>
      </c>
      <c r="D77" s="7">
        <v>702</v>
      </c>
      <c r="E77" t="str">
        <f>IF(D77="","",VLOOKUP(D77,[1]Sheet1!$A:$C,3,0))</f>
        <v>冰杖冻结概率+24%</v>
      </c>
    </row>
    <row r="78" spans="1:5" ht="16.5" x14ac:dyDescent="0.15">
      <c r="A78">
        <v>7203</v>
      </c>
      <c r="B78" s="6" t="s">
        <v>193</v>
      </c>
      <c r="C78" s="6" t="s">
        <v>194</v>
      </c>
      <c r="D78" s="7">
        <v>703</v>
      </c>
      <c r="E78" t="str">
        <f>IF(D78="","",VLOOKUP(D78,[1]Sheet1!$A:$C,3,0))</f>
        <v>冰杖命中后,分裂出5个碎片,碎片伤害为冰杖攻击的32%,有概率附加冰冻减速效果</v>
      </c>
    </row>
    <row r="79" spans="1:5" ht="16.5" x14ac:dyDescent="0.15">
      <c r="A79">
        <v>7204</v>
      </c>
      <c r="B79" s="6" t="s">
        <v>195</v>
      </c>
      <c r="C79" s="6" t="s">
        <v>76</v>
      </c>
      <c r="D79" s="7">
        <v>704</v>
      </c>
      <c r="E79" t="str">
        <f>IF(D79="","",VLOOKUP(D79,[1]Sheet1!$A:$C,3,0))</f>
        <v>冰杖的攻击+32%</v>
      </c>
    </row>
    <row r="80" spans="1:5" ht="16.5" x14ac:dyDescent="0.15">
      <c r="A80">
        <v>7205</v>
      </c>
      <c r="B80" s="6" t="s">
        <v>196</v>
      </c>
      <c r="C80" s="6" t="s">
        <v>189</v>
      </c>
      <c r="D80" s="7">
        <v>705</v>
      </c>
      <c r="E80" t="str">
        <f>IF(D80="","",VLOOKUP(D80,[1]Sheet1!$A:$C,3,0))</f>
        <v>冰霜新星有26%概率使目标冻结,持续3秒</v>
      </c>
    </row>
    <row r="81" spans="1:5" ht="16.5" x14ac:dyDescent="0.15">
      <c r="A81">
        <v>7206</v>
      </c>
      <c r="B81" s="6" t="s">
        <v>198</v>
      </c>
      <c r="C81" s="6" t="s">
        <v>129</v>
      </c>
      <c r="D81" s="7">
        <v>706</v>
      </c>
      <c r="E81" t="str">
        <f>IF(D81="","",VLOOKUP(D81,[1]Sheet1!$A:$C,3,0))</f>
        <v>暴风雪范围+50%</v>
      </c>
    </row>
    <row r="82" spans="1:5" ht="16.5" x14ac:dyDescent="0.15">
      <c r="A82">
        <v>7207</v>
      </c>
      <c r="B82" s="6" t="s">
        <v>200</v>
      </c>
      <c r="C82" s="6" t="s">
        <v>201</v>
      </c>
      <c r="D82" s="7">
        <v>707</v>
      </c>
      <c r="E82" t="str">
        <f>IF(D82="","",VLOOKUP(D82,[1]Sheet1!$A:$C,3,0))</f>
        <v>冰霜新星的范围+30%</v>
      </c>
    </row>
    <row r="83" spans="1:5" ht="16.5" x14ac:dyDescent="0.15">
      <c r="A83">
        <v>7208</v>
      </c>
      <c r="B83" s="6" t="s">
        <v>202</v>
      </c>
      <c r="C83" s="6" t="s">
        <v>151</v>
      </c>
      <c r="D83" s="7">
        <v>708</v>
      </c>
      <c r="E83" t="str">
        <f>IF(D83="","",VLOOKUP(D83,[1]Sheet1!$A:$C,3,0))</f>
        <v>暴风雪释放时,每次伤害+12%</v>
      </c>
    </row>
    <row r="84" spans="1:5" ht="16.5" x14ac:dyDescent="0.15">
      <c r="A84">
        <v>7209</v>
      </c>
      <c r="B84" s="4" t="s">
        <v>203</v>
      </c>
      <c r="C84" s="4" t="s">
        <v>76</v>
      </c>
      <c r="D84" s="7">
        <v>709</v>
      </c>
      <c r="E84" t="str">
        <f>IF(D84="","",VLOOKUP(D84,[1]Sheet1!$A:$C,3,0))</f>
        <v>冰霜法杖命中后,释放冰霜新星,造成攻击32%的范围伤害,附加减速效果</v>
      </c>
    </row>
    <row r="85" spans="1:5" ht="16.5" x14ac:dyDescent="0.15">
      <c r="A85">
        <v>7210</v>
      </c>
      <c r="B85" s="4" t="s">
        <v>205</v>
      </c>
      <c r="C85" s="4" t="s">
        <v>206</v>
      </c>
      <c r="D85" s="7">
        <v>710</v>
      </c>
      <c r="E85" t="str">
        <f>IF(D85="","",VLOOKUP(D85,[1]Sheet1!$A:$C,3,0))</f>
        <v>暴风雪法杖攻击时,有20%概率释放暴风雪,每0.5秒造成攻击22%的伤害,持续5秒,附加冰冻减速效果</v>
      </c>
    </row>
    <row r="86" spans="1:5" ht="15" x14ac:dyDescent="0.15">
      <c r="A86">
        <v>8100</v>
      </c>
      <c r="B86" s="2"/>
      <c r="C86" s="3"/>
      <c r="D86" s="2">
        <v>800</v>
      </c>
      <c r="E86">
        <f>IF(D86="","",VLOOKUP(D86,[1]Sheet1!$A:$C,3,0))</f>
        <v>0</v>
      </c>
    </row>
    <row r="87" spans="1:5" ht="16.5" x14ac:dyDescent="0.15">
      <c r="A87">
        <v>8101</v>
      </c>
      <c r="B87" s="4" t="s">
        <v>209</v>
      </c>
      <c r="C87" s="4" t="s">
        <v>44</v>
      </c>
      <c r="D87" s="5"/>
      <c r="E87" t="str">
        <f>IF(D87="","",VLOOKUP(D87,[1]Sheet1!$A:$C,3,0))</f>
        <v/>
      </c>
    </row>
    <row r="88" spans="1:5" ht="16.5" x14ac:dyDescent="0.15">
      <c r="A88">
        <v>8201</v>
      </c>
      <c r="B88" s="6" t="s">
        <v>211</v>
      </c>
      <c r="C88" s="6" t="s">
        <v>212</v>
      </c>
      <c r="D88" s="7">
        <v>801</v>
      </c>
      <c r="E88" t="str">
        <f>IF(D88="","",VLOOKUP(D88,[1]Sheet1!$A:$C,3,0))</f>
        <v>毒药瓶中毒伤害+100</v>
      </c>
    </row>
    <row r="89" spans="1:5" ht="16.5" x14ac:dyDescent="0.15">
      <c r="A89">
        <v>8202</v>
      </c>
      <c r="B89" s="6" t="s">
        <v>213</v>
      </c>
      <c r="C89" s="6" t="s">
        <v>149</v>
      </c>
      <c r="D89" s="7">
        <v>802</v>
      </c>
      <c r="E89" t="str">
        <f>IF(D89="","",VLOOKUP(D89,[1]Sheet1!$A:$C,3,0))</f>
        <v>毒药瓶的速度+21%</v>
      </c>
    </row>
    <row r="90" spans="1:5" ht="16.5" x14ac:dyDescent="0.15">
      <c r="A90">
        <v>8203</v>
      </c>
      <c r="B90" s="6" t="s">
        <v>214</v>
      </c>
      <c r="C90" s="6"/>
      <c r="D90" s="7">
        <v>803</v>
      </c>
      <c r="E90" t="str">
        <f>IF(D90="","",VLOOKUP(D90,[1]Sheet1!$A:$C,3,0))</f>
        <v>命中时,对目标周围造成范围伤害,并附加中毒效果</v>
      </c>
    </row>
    <row r="91" spans="1:5" ht="16.5" x14ac:dyDescent="0.15">
      <c r="A91">
        <v>8204</v>
      </c>
      <c r="B91" s="6" t="s">
        <v>215</v>
      </c>
      <c r="C91" s="6" t="s">
        <v>129</v>
      </c>
      <c r="D91" s="7">
        <v>804</v>
      </c>
      <c r="E91" t="str">
        <f>IF(D91="","",VLOOKUP(D91,[1]Sheet1!$A:$C,3,0))</f>
        <v>中毒持续时间+50%</v>
      </c>
    </row>
    <row r="92" spans="1:5" ht="16.5" x14ac:dyDescent="0.15">
      <c r="A92">
        <v>8205</v>
      </c>
      <c r="B92" s="6" t="s">
        <v>216</v>
      </c>
      <c r="C92" s="6" t="s">
        <v>217</v>
      </c>
      <c r="D92" s="7">
        <v>805</v>
      </c>
      <c r="E92" t="str">
        <f>IF(D92="","",VLOOKUP(D92,[1]Sheet1!$A:$C,3,0))</f>
        <v>麻痹毒药麻痹的减速效果额外-21%(最100%)</v>
      </c>
    </row>
    <row r="93" spans="1:5" ht="16.5" x14ac:dyDescent="0.15">
      <c r="A93">
        <v>8206</v>
      </c>
      <c r="B93" s="6" t="s">
        <v>219</v>
      </c>
      <c r="C93" s="6" t="s">
        <v>105</v>
      </c>
      <c r="D93" s="7">
        <v>806</v>
      </c>
      <c r="E93" t="str">
        <f>IF(D93="","",VLOOKUP(D93,[1]Sheet1!$A:$C,3,0))</f>
        <v>烈性毒药叠毒概率额外22%</v>
      </c>
    </row>
    <row r="94" spans="1:5" ht="16.5" x14ac:dyDescent="0.15">
      <c r="A94">
        <v>8207</v>
      </c>
      <c r="B94" s="6" t="s">
        <v>221</v>
      </c>
      <c r="C94" s="6" t="s">
        <v>105</v>
      </c>
      <c r="D94" s="7">
        <v>807</v>
      </c>
      <c r="E94" t="str">
        <f>IF(D94="","",VLOOKUP(D94,[1]Sheet1!$A:$C,3,0))</f>
        <v>麻痹毒药麻痹触发概率额外+22%</v>
      </c>
    </row>
    <row r="95" spans="1:5" ht="16.5" x14ac:dyDescent="0.15">
      <c r="A95">
        <v>8208</v>
      </c>
      <c r="B95" s="6" t="s">
        <v>222</v>
      </c>
      <c r="C95" s="6" t="s">
        <v>223</v>
      </c>
      <c r="D95" s="7">
        <v>808</v>
      </c>
      <c r="E95" t="str">
        <f>IF(D95="","",VLOOKUP(D95,[1]Sheet1!$A:$C,3,0))</f>
        <v>烈性毒药造成的中毒伤害间隔-41%</v>
      </c>
    </row>
    <row r="96" spans="1:5" ht="16.5" x14ac:dyDescent="0.15">
      <c r="A96">
        <v>8209</v>
      </c>
      <c r="B96" s="4" t="s">
        <v>224</v>
      </c>
      <c r="C96" s="4" t="s">
        <v>225</v>
      </c>
      <c r="D96" s="7">
        <v>809</v>
      </c>
      <c r="E96" t="str">
        <f>IF(D96="","",VLOOKUP(D96,[1]Sheet1!$A:$C,3,0))</f>
        <v>麻痹毒药命中后,有42%概率使目标麻痹,移速、攻速-60%,4秒内麻痹效果逐渐恢复正常</v>
      </c>
    </row>
    <row r="97" spans="1:5" ht="16.5" x14ac:dyDescent="0.15">
      <c r="A97">
        <v>8210</v>
      </c>
      <c r="B97" s="4" t="s">
        <v>227</v>
      </c>
      <c r="C97" s="4" t="s">
        <v>228</v>
      </c>
      <c r="D97" s="7">
        <v>810</v>
      </c>
      <c r="E97" t="str">
        <f>IF(D97="","",VLOOKUP(D97,[1]Sheet1!$A:$C,3,0))</f>
        <v>烈性毒药造成中毒效果时,有32%概率可以额外叠加3层中毒</v>
      </c>
    </row>
    <row r="98" spans="1:5" ht="15" x14ac:dyDescent="0.15">
      <c r="A98">
        <v>11100</v>
      </c>
      <c r="B98" s="2"/>
      <c r="C98" s="3"/>
      <c r="D98" s="2">
        <v>1100</v>
      </c>
      <c r="E98">
        <f>IF(D98="","",VLOOKUP(D98,[1]Sheet1!$A:$C,3,0))</f>
        <v>0</v>
      </c>
    </row>
    <row r="99" spans="1:5" ht="16.5" x14ac:dyDescent="0.15">
      <c r="A99">
        <v>11101</v>
      </c>
      <c r="B99" s="6" t="s">
        <v>231</v>
      </c>
      <c r="C99" s="6" t="s">
        <v>44</v>
      </c>
      <c r="D99" s="7"/>
      <c r="E99" t="str">
        <f>IF(D99="","",VLOOKUP(D99,[1]Sheet1!$A:$C,3,0))</f>
        <v/>
      </c>
    </row>
    <row r="100" spans="1:5" ht="16.5" x14ac:dyDescent="0.15">
      <c r="A100">
        <v>11201</v>
      </c>
      <c r="B100" s="6" t="s">
        <v>233</v>
      </c>
      <c r="C100" s="6" t="s">
        <v>100</v>
      </c>
      <c r="D100" s="7">
        <v>1101</v>
      </c>
      <c r="E100" t="str">
        <f>IF(D100="","",VLOOKUP(D100,[1]Sheet1!$A:$C,3,0))</f>
        <v>每攻击2次后,进行蓄力,下次攻击时附带回旋效果</v>
      </c>
    </row>
    <row r="101" spans="1:5" ht="16.5" x14ac:dyDescent="0.15">
      <c r="A101">
        <v>11202</v>
      </c>
      <c r="B101" s="6" t="s">
        <v>234</v>
      </c>
      <c r="C101" s="6"/>
      <c r="D101" s="7">
        <v>1102</v>
      </c>
      <c r="E101" t="str">
        <f>IF(D101="","",VLOOKUP(D101,[1]Sheet1!$A:$C,3,0))</f>
        <v>每次攻击都发动蓄力回旋</v>
      </c>
    </row>
    <row r="102" spans="1:5" ht="16.5" x14ac:dyDescent="0.15">
      <c r="A102">
        <v>11203</v>
      </c>
      <c r="B102" s="6" t="s">
        <v>236</v>
      </c>
      <c r="C102" s="6" t="s">
        <v>170</v>
      </c>
      <c r="D102" s="7">
        <v>1103</v>
      </c>
      <c r="E102" t="str">
        <f>IF(D102="","",VLOOKUP(D102,[1]Sheet1!$A:$C,3,0))</f>
        <v>回旋镖最大飞行距离+25%</v>
      </c>
    </row>
    <row r="103" spans="1:5" ht="15" x14ac:dyDescent="0.15">
      <c r="A103">
        <v>11204</v>
      </c>
      <c r="B103" s="2" t="s">
        <v>237</v>
      </c>
      <c r="C103" s="3" t="s">
        <v>49</v>
      </c>
      <c r="D103" s="2">
        <v>1104</v>
      </c>
      <c r="E103" t="str">
        <f>IF(D103="","",VLOOKUP(D103,[1]Sheet1!$A:$C,3,0))</f>
        <v>回旋镖攻击时额外射出1枚回旋镖</v>
      </c>
    </row>
    <row r="104" spans="1:5" ht="16.5" x14ac:dyDescent="0.15">
      <c r="A104">
        <v>11205</v>
      </c>
      <c r="B104" s="6" t="s">
        <v>238</v>
      </c>
      <c r="C104" s="6" t="s">
        <v>103</v>
      </c>
      <c r="D104" s="7">
        <v>1105</v>
      </c>
      <c r="E104" t="str">
        <f>IF(D104="","",VLOOKUP(D104,[1]Sheet1!$A:$C,3,0))</f>
        <v>背包内每有1件地元素装备,地之回旋镖攻速+11%</v>
      </c>
    </row>
    <row r="105" spans="1:5" ht="16.5" x14ac:dyDescent="0.15">
      <c r="A105">
        <v>11206</v>
      </c>
      <c r="B105" s="6" t="s">
        <v>240</v>
      </c>
      <c r="C105" s="6" t="s">
        <v>241</v>
      </c>
      <c r="D105" s="7">
        <v>1106</v>
      </c>
      <c r="E105" t="str">
        <f>IF(D105="","",VLOOKUP(D105,[1]Sheet1!$A:$C,3,0))</f>
        <v>水之回旋镖造附加减移速、减攻速额外-31%</v>
      </c>
    </row>
    <row r="106" spans="1:5" ht="16.5" x14ac:dyDescent="0.15">
      <c r="A106">
        <v>11207</v>
      </c>
      <c r="B106" s="6" t="s">
        <v>243</v>
      </c>
      <c r="C106" s="6" t="s">
        <v>151</v>
      </c>
      <c r="D106" s="7">
        <v>1107</v>
      </c>
      <c r="E106" t="str">
        <f>IF(D106="","",VLOOKUP(D106,[1]Sheet1!$A:$C,3,0))</f>
        <v>背包内每有1件地元素装备,地之回旋镖暴击+12%</v>
      </c>
    </row>
    <row r="107" spans="1:5" ht="16.5" x14ac:dyDescent="0.15">
      <c r="A107">
        <v>11208</v>
      </c>
      <c r="B107" s="6" t="s">
        <v>244</v>
      </c>
      <c r="C107" s="6" t="s">
        <v>245</v>
      </c>
      <c r="D107" s="7">
        <v>1108</v>
      </c>
      <c r="E107" t="str">
        <f>IF(D107="","",VLOOKUP(D107,[1]Sheet1!$A:$C,3,0))</f>
        <v>水之回旋镖对冰冻减速目标伤害+55%,对冻结目标伤害+105%</v>
      </c>
    </row>
    <row r="108" spans="1:5" ht="15" x14ac:dyDescent="0.15">
      <c r="A108">
        <v>11209</v>
      </c>
      <c r="B108" s="2" t="s">
        <v>246</v>
      </c>
      <c r="C108" s="3" t="s">
        <v>247</v>
      </c>
      <c r="D108" s="2">
        <v>1109</v>
      </c>
      <c r="E108" t="str">
        <f>IF(D108="","",VLOOKUP(D108,[1]Sheet1!$A:$C,3,0))</f>
        <v>背包内每有1件其他回旋镖,地之回旋镖自身大小+10%</v>
      </c>
    </row>
    <row r="109" spans="1:5" ht="16.5" x14ac:dyDescent="0.15">
      <c r="A109">
        <v>11210</v>
      </c>
      <c r="B109" s="6" t="s">
        <v>249</v>
      </c>
      <c r="C109" s="6" t="s">
        <v>250</v>
      </c>
      <c r="D109" s="7">
        <v>1110</v>
      </c>
      <c r="E109" t="str">
        <f>IF(D109="","",VLOOKUP(D109,[1]Sheet1!$A:$C,3,0))</f>
        <v>水之回旋镖造成伤害时,有32%概率使目标附加冰冻减速,移速攻速-20%,持续3秒</v>
      </c>
    </row>
    <row r="110" spans="1:5" ht="16.5" x14ac:dyDescent="0.15">
      <c r="A110">
        <v>12100</v>
      </c>
      <c r="B110" s="6"/>
      <c r="C110" s="6"/>
      <c r="D110" s="7">
        <v>1200</v>
      </c>
      <c r="E110">
        <f>IF(D110="","",VLOOKUP(D110,[1]Sheet1!$A:$C,3,0))</f>
        <v>0</v>
      </c>
    </row>
    <row r="111" spans="1:5" ht="16.5" x14ac:dyDescent="0.15">
      <c r="A111">
        <v>12101</v>
      </c>
      <c r="B111" s="6" t="s">
        <v>209</v>
      </c>
      <c r="C111" s="6" t="s">
        <v>44</v>
      </c>
      <c r="D111" s="7"/>
      <c r="E111" t="str">
        <f>IF(D111="","",VLOOKUP(D111,[1]Sheet1!$A:$C,3,0))</f>
        <v/>
      </c>
    </row>
    <row r="112" spans="1:5" ht="16.5" x14ac:dyDescent="0.15">
      <c r="A112">
        <v>12201</v>
      </c>
      <c r="B112" s="6" t="s">
        <v>254</v>
      </c>
      <c r="C112" s="6" t="s">
        <v>149</v>
      </c>
      <c r="D112" s="7">
        <v>1201</v>
      </c>
      <c r="E112" t="str">
        <f>IF(D112="","",VLOOKUP(D112,[1]Sheet1!$A:$C,3,0))</f>
        <v>投掷斧大小+21%</v>
      </c>
    </row>
    <row r="113" spans="1:5" ht="15" x14ac:dyDescent="0.15">
      <c r="A113">
        <v>12202</v>
      </c>
      <c r="B113" s="2" t="s">
        <v>255</v>
      </c>
      <c r="C113" s="3" t="s">
        <v>256</v>
      </c>
      <c r="D113" s="2">
        <v>1202</v>
      </c>
      <c r="E113" t="str">
        <f>IF(D113="","",VLOOKUP(D113,[1]Sheet1!$A:$C,3,0))</f>
        <v>投掷斧命中后,51%概率使目标附加物理重伤:受到物理伤害时,伤害+21%,持续3秒</v>
      </c>
    </row>
    <row r="114" spans="1:5" ht="16.5" x14ac:dyDescent="0.15">
      <c r="A114">
        <v>12203</v>
      </c>
      <c r="B114" s="6" t="s">
        <v>257</v>
      </c>
      <c r="C114" s="6" t="s">
        <v>170</v>
      </c>
      <c r="D114" s="7">
        <v>1203</v>
      </c>
      <c r="E114" t="str">
        <f>IF(D114="","",VLOOKUP(D114,[1]Sheet1!$A:$C,3,0))</f>
        <v>投掷斧最大飞行距离+25%</v>
      </c>
    </row>
    <row r="115" spans="1:5" ht="16.5" x14ac:dyDescent="0.15">
      <c r="A115">
        <v>12204</v>
      </c>
      <c r="B115" s="6" t="s">
        <v>258</v>
      </c>
      <c r="C115" s="6" t="s">
        <v>259</v>
      </c>
      <c r="D115" s="7">
        <v>1204</v>
      </c>
      <c r="E115" t="str">
        <f>IF(D115="","",VLOOKUP(D115,[1]Sheet1!$A:$C,3,0))</f>
        <v>投掷斧对物理重伤的敌人,暴击率+61%</v>
      </c>
    </row>
    <row r="116" spans="1:5" ht="16.5" x14ac:dyDescent="0.15">
      <c r="A116">
        <v>12205</v>
      </c>
      <c r="B116" s="6" t="s">
        <v>261</v>
      </c>
      <c r="C116" s="6" t="s">
        <v>151</v>
      </c>
      <c r="D116" s="7">
        <v>1205</v>
      </c>
      <c r="E116" t="str">
        <f>IF(D116="","",VLOOKUP(D116,[1]Sheet1!$A:$C,3,0))</f>
        <v>四周每有1件防具时,地之斧叠盾值+12%</v>
      </c>
    </row>
    <row r="117" spans="1:5" ht="16.5" x14ac:dyDescent="0.15">
      <c r="A117">
        <v>12206</v>
      </c>
      <c r="B117" s="6" t="s">
        <v>263</v>
      </c>
      <c r="C117" s="6" t="s">
        <v>264</v>
      </c>
      <c r="D117" s="7">
        <v>1206</v>
      </c>
      <c r="E117" t="str">
        <f>IF(D117="","",VLOOKUP(D117,[1]Sheet1!$A:$C,3,0))</f>
        <v>暗之斧的暴伤+105%</v>
      </c>
    </row>
    <row r="118" spans="1:5" ht="15" x14ac:dyDescent="0.15">
      <c r="A118">
        <v>12207</v>
      </c>
      <c r="B118" s="2" t="s">
        <v>266</v>
      </c>
      <c r="C118" s="3" t="s">
        <v>267</v>
      </c>
      <c r="D118" s="2">
        <v>1207</v>
      </c>
      <c r="E118" t="str">
        <f>IF(D118="","",VLOOKUP(D118,[1]Sheet1!$A:$C,3,0))</f>
        <v>满血时,地之斧攻速+36%</v>
      </c>
    </row>
    <row r="119" spans="1:5" ht="16.5" x14ac:dyDescent="0.15">
      <c r="A119">
        <v>12208</v>
      </c>
      <c r="B119" s="6" t="s">
        <v>268</v>
      </c>
      <c r="C119" s="6" t="s">
        <v>269</v>
      </c>
      <c r="D119" s="7">
        <v>1208</v>
      </c>
      <c r="E119" t="str">
        <f>IF(D119="","",VLOOKUP(D119,[1]Sheet1!$A:$C,3,0))</f>
        <v>血量&lt;50%时,暗之斧吸血概率+50%</v>
      </c>
    </row>
    <row r="120" spans="1:5" ht="16.5" x14ac:dyDescent="0.15">
      <c r="A120">
        <v>12209</v>
      </c>
      <c r="B120" s="6" t="s">
        <v>271</v>
      </c>
      <c r="C120" s="6" t="s">
        <v>396</v>
      </c>
      <c r="D120" s="7">
        <v>1209</v>
      </c>
      <c r="E120" t="str">
        <f>IF(D120="","",VLOOKUP(D120,[1]Sheet1!$A:$C,3,0))</f>
        <v>地之斧命中时,有32%概率叠盾,增加地之斧造成伤害的10%的护盾值</v>
      </c>
    </row>
    <row r="121" spans="1:5" ht="16.5" x14ac:dyDescent="0.15">
      <c r="A121">
        <v>12210</v>
      </c>
      <c r="B121" s="6" t="s">
        <v>275</v>
      </c>
      <c r="C121" s="6" t="s">
        <v>397</v>
      </c>
      <c r="D121" s="7">
        <v>1210</v>
      </c>
      <c r="E121" t="str">
        <f>IF(D121="","",VLOOKUP(D121,[1]Sheet1!$A:$C,3,0))</f>
        <v>暗之斧命中时,有32%概率吸血,回复暗之斧造成伤害的15%的血量</v>
      </c>
    </row>
    <row r="122" spans="1:5" ht="16.5" x14ac:dyDescent="0.15">
      <c r="A122">
        <v>13100</v>
      </c>
      <c r="B122" s="6"/>
      <c r="C122" s="6"/>
      <c r="D122" s="7">
        <v>1300</v>
      </c>
      <c r="E122">
        <f>IF(D122="","",VLOOKUP(D122,[1]Sheet1!$A:$C,3,0))</f>
        <v>0</v>
      </c>
    </row>
    <row r="123" spans="1:5" x14ac:dyDescent="0.15">
      <c r="A123">
        <v>13201</v>
      </c>
      <c r="B123" t="s">
        <v>279</v>
      </c>
      <c r="C123" s="1" t="s">
        <v>78</v>
      </c>
      <c r="D123">
        <v>1301</v>
      </c>
      <c r="E123" t="str">
        <f>IF(D123="","",VLOOKUP(D123,[1]Sheet1!$A:$C,3,0))</f>
        <v>火球的暴击+51%</v>
      </c>
    </row>
    <row r="124" spans="1:5" x14ac:dyDescent="0.15">
      <c r="A124">
        <v>13202</v>
      </c>
      <c r="B124" t="s">
        <v>280</v>
      </c>
      <c r="C124" s="1" t="s">
        <v>59</v>
      </c>
      <c r="D124">
        <v>1302</v>
      </c>
      <c r="E124" t="str">
        <f>IF(D124="","",VLOOKUP(D124,[1]Sheet1!$A:$C,3,0))</f>
        <v>火球命中后,追加一次火焰爆炸,造成攻击55%的伤害</v>
      </c>
    </row>
    <row r="125" spans="1:5" x14ac:dyDescent="0.15">
      <c r="A125">
        <v>13203</v>
      </c>
      <c r="B125" t="s">
        <v>281</v>
      </c>
      <c r="C125" s="1" t="s">
        <v>52</v>
      </c>
      <c r="D125">
        <v>1303</v>
      </c>
      <c r="E125" t="str">
        <f>IF(D125="","",VLOOKUP(D125,[1]Sheet1!$A:$C,3,0))</f>
        <v>火焰爆炸伤害+52%</v>
      </c>
    </row>
    <row r="126" spans="1:5" x14ac:dyDescent="0.15">
      <c r="A126">
        <v>13204</v>
      </c>
      <c r="B126" t="s">
        <v>283</v>
      </c>
      <c r="C126" s="1" t="s">
        <v>241</v>
      </c>
      <c r="D126">
        <v>1304</v>
      </c>
      <c r="E126" t="str">
        <f>IF(D126="","",VLOOKUP(D126,[1]Sheet1!$A:$C,3,0))</f>
        <v>火焰爆炸半径+31%</v>
      </c>
    </row>
    <row r="127" spans="1:5" x14ac:dyDescent="0.15">
      <c r="A127">
        <v>14100</v>
      </c>
      <c r="D127">
        <v>1400</v>
      </c>
      <c r="E127">
        <f>IF(D127="","",VLOOKUP(D127,[1]Sheet1!$A:$C,3,0))</f>
        <v>0</v>
      </c>
    </row>
    <row r="128" spans="1:5" x14ac:dyDescent="0.15">
      <c r="A128">
        <v>14201</v>
      </c>
      <c r="B128" t="s">
        <v>287</v>
      </c>
      <c r="C128" s="1" t="s">
        <v>49</v>
      </c>
      <c r="D128">
        <v>1401</v>
      </c>
      <c r="E128" t="str">
        <f>IF(D128="","",VLOOKUP(D128,[1]Sheet1!$A:$C,3,0))</f>
        <v>落雷杖攻击时额外释放1次落雷攻击,目标独立判定</v>
      </c>
    </row>
    <row r="129" spans="1:5" x14ac:dyDescent="0.15">
      <c r="A129">
        <v>14202</v>
      </c>
      <c r="B129" t="s">
        <v>288</v>
      </c>
      <c r="C129" s="1" t="s">
        <v>49</v>
      </c>
      <c r="D129">
        <v>1402</v>
      </c>
      <c r="E129" t="str">
        <f>IF(D129="","",VLOOKUP(D129,[1]Sheet1!$A:$C,3,0))</f>
        <v>落雷杖多重落雷次数+1</v>
      </c>
    </row>
    <row r="130" spans="1:5" x14ac:dyDescent="0.15">
      <c r="A130">
        <v>14203</v>
      </c>
      <c r="B130" t="s">
        <v>289</v>
      </c>
      <c r="C130" s="1" t="s">
        <v>290</v>
      </c>
      <c r="D130">
        <v>1403</v>
      </c>
      <c r="E130" t="str">
        <f>IF(D130="","",VLOOKUP(D130,[1]Sheet1!$A:$C,3,0))</f>
        <v>落雷杖命中后,追加一次半径1.2的磁暴,伤害为武器攻击的32%</v>
      </c>
    </row>
    <row r="131" spans="1:5" x14ac:dyDescent="0.15">
      <c r="A131">
        <v>14204</v>
      </c>
      <c r="B131" t="s">
        <v>291</v>
      </c>
      <c r="C131" s="1" t="s">
        <v>292</v>
      </c>
      <c r="D131">
        <v>1404</v>
      </c>
      <c r="E131" t="str">
        <f>IF(D131="","",VLOOKUP(D131,[1]Sheet1!$A:$C,3,0))</f>
        <v>磁暴命中,有50.5%概率使目标感电:受到魔法伤害时,伤害+22%,持续3秒</v>
      </c>
    </row>
    <row r="132" spans="1:5" x14ac:dyDescent="0.15">
      <c r="A132">
        <v>15100</v>
      </c>
      <c r="D132">
        <v>1500</v>
      </c>
      <c r="E132" t="str">
        <f>IF(D132="","",VLOOKUP(D132,[1]Sheet1!$A:$C,3,0))</f>
        <v>腰带</v>
      </c>
    </row>
    <row r="133" spans="1:5" x14ac:dyDescent="0.15">
      <c r="A133">
        <v>15201</v>
      </c>
      <c r="B133" t="s">
        <v>311</v>
      </c>
      <c r="C133" s="1" t="s">
        <v>149</v>
      </c>
      <c r="D133">
        <v>1501</v>
      </c>
      <c r="E133" t="str">
        <f>IF(D133="","",VLOOKUP(D133,[1]Sheet1!$A:$C,3,0))</f>
        <v>腰带的血量+21%</v>
      </c>
    </row>
    <row r="134" spans="1:5" x14ac:dyDescent="0.15">
      <c r="A134">
        <v>15202</v>
      </c>
      <c r="B134" t="s">
        <v>312</v>
      </c>
      <c r="C134" s="1" t="s">
        <v>149</v>
      </c>
      <c r="D134">
        <v>1502</v>
      </c>
      <c r="E134" t="str">
        <f>IF(D134="","",VLOOKUP(D134,[1]Sheet1!$A:$C,3,0))</f>
        <v>腰带的回血效果+21%</v>
      </c>
    </row>
    <row r="135" spans="1:5" x14ac:dyDescent="0.15">
      <c r="A135">
        <v>15203</v>
      </c>
      <c r="B135" t="s">
        <v>313</v>
      </c>
      <c r="C135" s="1" t="s">
        <v>314</v>
      </c>
      <c r="D135">
        <v>1503</v>
      </c>
      <c r="E135" t="str">
        <f>IF(D135="","",VLOOKUP(D135,[1]Sheet1!$A:$C,3,0))</f>
        <v>血量&lt;30%时,立即回复最大血量的21%,每波可触发1次,多个腰带不叠加</v>
      </c>
    </row>
    <row r="136" spans="1:5" x14ac:dyDescent="0.15">
      <c r="A136">
        <v>15204</v>
      </c>
      <c r="B136" t="s">
        <v>315</v>
      </c>
      <c r="C136" s="1" t="s">
        <v>212</v>
      </c>
      <c r="D136">
        <v>1504</v>
      </c>
      <c r="E136" t="str">
        <f>IF(D136="","",VLOOKUP(D136,[1]Sheet1!$A:$C,3,0))</f>
        <v>急救回复的血量+100%</v>
      </c>
    </row>
    <row r="137" spans="1:5" x14ac:dyDescent="0.15">
      <c r="A137">
        <v>16100</v>
      </c>
      <c r="D137">
        <v>1600</v>
      </c>
      <c r="E137">
        <f>IF(D137="","",VLOOKUP(D137,[1]Sheet1!$A:$C,3,0))</f>
        <v>0</v>
      </c>
    </row>
    <row r="138" spans="1:5" x14ac:dyDescent="0.15">
      <c r="A138">
        <v>16201</v>
      </c>
      <c r="B138" t="s">
        <v>318</v>
      </c>
      <c r="C138" s="1" t="s">
        <v>319</v>
      </c>
      <c r="D138">
        <v>1601</v>
      </c>
      <c r="E138" t="str">
        <f>IF(D138="","",VLOOKUP(D138,[1]Sheet1!$A:$C,3,0))</f>
        <v>命中后,范围内的目标有32%概率附加醉酒状态:攻速移速-40%,且有40%概率攻击落空,持续4秒</v>
      </c>
    </row>
    <row r="139" spans="1:5" x14ac:dyDescent="0.15">
      <c r="A139">
        <v>16202</v>
      </c>
      <c r="B139" t="s">
        <v>320</v>
      </c>
      <c r="C139" s="1" t="s">
        <v>321</v>
      </c>
      <c r="D139">
        <v>1602</v>
      </c>
      <c r="E139" t="str">
        <f>IF(D139="","",VLOOKUP(D139,[1]Sheet1!$A:$C,3,0))</f>
        <v>葫芦攻击时有32%概率回复葫芦自身攻击22%的血量</v>
      </c>
    </row>
    <row r="140" spans="1:5" x14ac:dyDescent="0.15">
      <c r="A140">
        <v>16203</v>
      </c>
      <c r="B140" t="s">
        <v>322</v>
      </c>
      <c r="C140" s="1" t="s">
        <v>146</v>
      </c>
      <c r="D140">
        <v>1603</v>
      </c>
      <c r="E140" t="str">
        <f>IF(D140="","",VLOOKUP(D140,[1]Sheet1!$A:$C,3,0))</f>
        <v>葫芦附加醉酒概率+18%</v>
      </c>
    </row>
    <row r="141" spans="1:5" x14ac:dyDescent="0.15">
      <c r="A141">
        <v>16204</v>
      </c>
      <c r="B141" t="s">
        <v>324</v>
      </c>
      <c r="C141" s="1" t="s">
        <v>325</v>
      </c>
      <c r="D141">
        <v>1604</v>
      </c>
      <c r="E141" t="str">
        <f>IF(D141="","",VLOOKUP(D141,[1]Sheet1!$A:$C,3,0))</f>
        <v>葫芦附加醉酒后,敌人攻击落空概率+28%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8:E21"/>
  <sheetViews>
    <sheetView workbookViewId="0">
      <selection activeCell="I34" sqref="I34"/>
    </sheetView>
  </sheetViews>
  <sheetFormatPr defaultColWidth="9" defaultRowHeight="13.5" x14ac:dyDescent="0.15"/>
  <sheetData>
    <row r="18" spans="5:5" x14ac:dyDescent="0.15">
      <c r="E18" t="s">
        <v>398</v>
      </c>
    </row>
    <row r="19" spans="5:5" x14ac:dyDescent="0.15">
      <c r="E19" t="s">
        <v>399</v>
      </c>
    </row>
    <row r="20" spans="5:5" x14ac:dyDescent="0.15">
      <c r="E20" t="s">
        <v>400</v>
      </c>
    </row>
    <row r="21" spans="5:5" x14ac:dyDescent="0.15">
      <c r="E21" t="s">
        <v>401</v>
      </c>
    </row>
  </sheetData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晨迪 代</cp:lastModifiedBy>
  <dcterms:created xsi:type="dcterms:W3CDTF">2019-05-31T02:57:00Z</dcterms:created>
  <dcterms:modified xsi:type="dcterms:W3CDTF">2024-10-15T09:48:39Z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