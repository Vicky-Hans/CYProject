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225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droidhang</author>
  </authors>
  <commentList>
    <comment ref="B1" authorId="0">
      <text>
        <r>
          <rPr>
            <b/>
            <sz val="9"/>
            <rFont val="宋体"/>
            <charset val="134"/>
          </rPr>
          <t>droidhang:</t>
        </r>
        <r>
          <rPr>
            <sz val="9"/>
            <rFont val="宋体"/>
            <charset val="134"/>
          </rPr>
          <t xml:space="preserve">
1-向下
2-向上
3-向左
4-向右</t>
        </r>
      </text>
    </comment>
    <comment ref="C1" authorId="0">
      <text>
        <r>
          <rPr>
            <b/>
            <sz val="9"/>
            <rFont val="宋体"/>
            <charset val="134"/>
          </rPr>
          <t>droidhang:</t>
        </r>
        <r>
          <rPr>
            <sz val="9"/>
            <rFont val="宋体"/>
            <charset val="134"/>
          </rPr>
          <t xml:space="preserve">
1-环形-半径
2-四角-边长
3-boss-归档坐标
4-传送-固定坐标
5-固定坐标
6-boss点对点
7-矩形
8-三角形
9-线段随机
10-矩形内随机
11-矩形至矩形</t>
        </r>
      </text>
    </comment>
  </commentList>
</comments>
</file>

<file path=xl/sharedStrings.xml><?xml version="1.0" encoding="utf-8"?>
<sst xmlns="http://schemas.openxmlformats.org/spreadsheetml/2006/main" count="198" uniqueCount="56">
  <si>
    <t>随机id【KEY】</t>
  </si>
  <si>
    <t>进场大类型</t>
  </si>
  <si>
    <t>进场类型</t>
  </si>
  <si>
    <t>半径</t>
  </si>
  <si>
    <t>出生点坐标</t>
  </si>
  <si>
    <t>到达点坐标</t>
  </si>
  <si>
    <t>坐标偏移</t>
  </si>
  <si>
    <t>备注</t>
  </si>
  <si>
    <t>both</t>
  </si>
  <si>
    <t>client</t>
  </si>
  <si>
    <t>id</t>
  </si>
  <si>
    <t>moveType</t>
  </si>
  <si>
    <t>enterType</t>
  </si>
  <si>
    <t>distance</t>
  </si>
  <si>
    <t>coord</t>
  </si>
  <si>
    <t>endCoord</t>
  </si>
  <si>
    <t>coordOffset</t>
  </si>
  <si>
    <t>int</t>
  </si>
  <si>
    <t>[int]</t>
  </si>
  <si>
    <t>[750,0]</t>
  </si>
  <si>
    <t>[0,0]</t>
  </si>
  <si>
    <t>远程boss</t>
  </si>
  <si>
    <t>[750,-80]</t>
  </si>
  <si>
    <t>[-300,-80]</t>
  </si>
  <si>
    <t>近战boss/通用</t>
  </si>
  <si>
    <t>[-320,-60]</t>
  </si>
  <si>
    <t>近战boss/508</t>
  </si>
  <si>
    <t>[1,-80]</t>
  </si>
  <si>
    <t>远程boss通用</t>
  </si>
  <si>
    <t>[1,240]</t>
  </si>
  <si>
    <t>近战小怪</t>
  </si>
  <si>
    <t>小怪下</t>
  </si>
  <si>
    <t>[20,-100]</t>
  </si>
  <si>
    <t>远程小怪</t>
  </si>
  <si>
    <t>远程小怪下</t>
  </si>
  <si>
    <t>秘林探险通用</t>
  </si>
  <si>
    <t>最终攻击=基础攻击*（1+等级成长系数）</t>
  </si>
  <si>
    <t>等级</t>
  </si>
  <si>
    <t>星级</t>
  </si>
  <si>
    <t>基础攻击*(1+0.1(a-3)</t>
  </si>
  <si>
    <t>基础系数</t>
  </si>
  <si>
    <t>区间系数</t>
  </si>
  <si>
    <t>总系数</t>
  </si>
  <si>
    <t>平均每个珠子伤害系数</t>
  </si>
  <si>
    <t>BOSS血量</t>
  </si>
  <si>
    <t>次数</t>
  </si>
  <si>
    <t>珠子数量</t>
  </si>
  <si>
    <t>,</t>
  </si>
  <si>
    <t>{Item</t>
  </si>
  <si>
    <t>80}</t>
  </si>
  <si>
    <t>120}</t>
  </si>
  <si>
    <t>180}</t>
  </si>
  <si>
    <t>270}</t>
  </si>
  <si>
    <t>}</t>
  </si>
  <si>
    <t>[{Item</t>
  </si>
  <si>
    <t>400}]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</si>
</sst>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420277777777778"/>
          <c:y val="0.00694444444444444"/>
          <c:w val="0.901027777777778"/>
          <c:h val="0.71166666666666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[1]基础配置!$J$31:$J$46</c:f>
              <c:numCache>
                <c:formatCode>General</c:formatCode>
                <c:ptCount val="16"/>
                <c:pt idx="0">
                  <c:v>0.333333333333333</c:v>
                </c:pt>
                <c:pt idx="1">
                  <c:v>0.375</c:v>
                </c:pt>
                <c:pt idx="2">
                  <c:v>0.4</c:v>
                </c:pt>
                <c:pt idx="3">
                  <c:v>0.416666666666667</c:v>
                </c:pt>
                <c:pt idx="4">
                  <c:v>0.428571428571429</c:v>
                </c:pt>
                <c:pt idx="5">
                  <c:v>0.4375</c:v>
                </c:pt>
                <c:pt idx="6">
                  <c:v>0.444444444444444</c:v>
                </c:pt>
                <c:pt idx="7">
                  <c:v>0.45</c:v>
                </c:pt>
                <c:pt idx="8">
                  <c:v>0.466666666666667</c:v>
                </c:pt>
                <c:pt idx="9">
                  <c:v>0.475</c:v>
                </c:pt>
                <c:pt idx="10">
                  <c:v>0.48</c:v>
                </c:pt>
                <c:pt idx="11">
                  <c:v>0.483333333333333</c:v>
                </c:pt>
                <c:pt idx="12">
                  <c:v>0.485714285714286</c:v>
                </c:pt>
                <c:pt idx="13">
                  <c:v>0.4875</c:v>
                </c:pt>
                <c:pt idx="14">
                  <c:v>0.488888888888889</c:v>
                </c:pt>
                <c:pt idx="15">
                  <c:v>0.5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466504"/>
        <c:axId val="341471208"/>
      </c:scatterChart>
      <c:valAx>
        <c:axId val="341466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71208"/>
        <c:crosses val="autoZero"/>
        <c:crossBetween val="midCat"/>
      </c:valAx>
      <c:valAx>
        <c:axId val="34147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66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589420384951881"/>
          <c:y val="0.134027777777778"/>
          <c:w val="0.890196850393701"/>
          <c:h val="0.715748760571595"/>
        </c:manualLayout>
      </c:layout>
      <c:scatterChart>
        <c:scatterStyle val="line"/>
        <c:varyColors val="0"/>
        <c:ser>
          <c:idx val="0"/>
          <c:order val="0"/>
          <c:tx>
            <c:strRef>
              <c:f>[1]基础配置!$I$30</c:f>
              <c:strCache>
                <c:ptCount val="1"/>
                <c:pt idx="0">
                  <c:v>总系数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[1]基础配置!$I$31:$I$46</c:f>
              <c:numCache>
                <c:formatCode>General</c:formatCode>
                <c:ptCount val="1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5</c:v>
                </c:pt>
                <c:pt idx="8">
                  <c:v>7.5</c:v>
                </c:pt>
                <c:pt idx="9">
                  <c:v>10</c:v>
                </c:pt>
                <c:pt idx="10">
                  <c:v>13</c:v>
                </c:pt>
                <c:pt idx="11">
                  <c:v>15.5</c:v>
                </c:pt>
                <c:pt idx="12">
                  <c:v>18.5</c:v>
                </c:pt>
                <c:pt idx="13">
                  <c:v>21</c:v>
                </c:pt>
                <c:pt idx="14">
                  <c:v>24</c:v>
                </c:pt>
                <c:pt idx="15">
                  <c:v>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476696"/>
        <c:axId val="341468072"/>
      </c:scatterChart>
      <c:valAx>
        <c:axId val="341476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68072"/>
        <c:crosses val="autoZero"/>
        <c:crossBetween val="midCat"/>
      </c:valAx>
      <c:valAx>
        <c:axId val="341468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7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419100</xdr:colOff>
      <xdr:row>10</xdr:row>
      <xdr:rowOff>61595</xdr:rowOff>
    </xdr:from>
    <xdr:to>
      <xdr:col>14</xdr:col>
      <xdr:colOff>190500</xdr:colOff>
      <xdr:row>26</xdr:row>
      <xdr:rowOff>61595</xdr:rowOff>
    </xdr:to>
    <xdr:graphicFrame>
      <xdr:nvGraphicFramePr>
        <xdr:cNvPr id="2" name="图表 1"/>
        <xdr:cNvGraphicFramePr/>
      </xdr:nvGraphicFramePr>
      <xdr:xfrm>
        <a:off x="5219700" y="177609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247650</xdr:colOff>
      <xdr:row>9</xdr:row>
      <xdr:rowOff>137795</xdr:rowOff>
    </xdr:from>
    <xdr:to>
      <xdr:col>21</xdr:col>
      <xdr:colOff>19050</xdr:colOff>
      <xdr:row>25</xdr:row>
      <xdr:rowOff>137795</xdr:rowOff>
    </xdr:to>
    <xdr:graphicFrame>
      <xdr:nvGraphicFramePr>
        <xdr:cNvPr id="3" name="图表 2"/>
        <xdr:cNvGraphicFramePr/>
      </xdr:nvGraphicFramePr>
      <xdr:xfrm>
        <a:off x="9848850" y="168084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419100</xdr:colOff>
      <xdr:row>55</xdr:row>
      <xdr:rowOff>118745</xdr:rowOff>
    </xdr:from>
    <xdr:to>
      <xdr:col>22</xdr:col>
      <xdr:colOff>9525</xdr:colOff>
      <xdr:row>64</xdr:row>
      <xdr:rowOff>162560</xdr:rowOff>
    </xdr:to>
    <xdr:pic>
      <xdr:nvPicPr>
        <xdr:cNvPr id="4" name="图片 3" descr="http://mmbiz.qpic.cn/mmbiz_png/cvmYJvj3A8ubcGADdefQalYlpeibzkuL9QvibCS4ZDqgoNqX7fdPkhGvBOrIs7Sx1JiccXnChSEbRvOPZHKISchwg/0?wx_fmt=png"/>
        <xdr:cNvPicPr>
          <a:picLocks noChangeAspect="1" noChangeArrowheads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48700" y="9548495"/>
          <a:ext cx="6448425" cy="1586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angronggang\tf\tf_config\config\Users\yangronggang\tf\tf_config\config\Users\chockly\bf_config\config\Users\chockly\bf_config\config\866C6180\Hero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基础配置"/>
      <sheetName val="Sheet1"/>
      <sheetName val="Sheet2"/>
      <sheetName val="Sheet3"/>
    </sheetNames>
    <sheetDataSet>
      <sheetData sheetId="0">
        <row r="30">
          <cell r="I30" t="str">
            <v>总系数</v>
          </cell>
        </row>
        <row r="31">
          <cell r="I31">
            <v>1</v>
          </cell>
          <cell r="J31">
            <v>0.333333333333333</v>
          </cell>
        </row>
        <row r="32">
          <cell r="I32">
            <v>1.5</v>
          </cell>
          <cell r="J32">
            <v>0.375</v>
          </cell>
        </row>
        <row r="33">
          <cell r="I33">
            <v>2</v>
          </cell>
          <cell r="J33">
            <v>0.4</v>
          </cell>
        </row>
        <row r="34">
          <cell r="I34">
            <v>2.5</v>
          </cell>
          <cell r="J34">
            <v>0.416666666666667</v>
          </cell>
        </row>
        <row r="35">
          <cell r="I35">
            <v>3</v>
          </cell>
          <cell r="J35">
            <v>0.428571428571429</v>
          </cell>
        </row>
        <row r="36">
          <cell r="I36">
            <v>3.5</v>
          </cell>
          <cell r="J36">
            <v>0.4375</v>
          </cell>
        </row>
        <row r="37">
          <cell r="I37">
            <v>4</v>
          </cell>
          <cell r="J37">
            <v>0.444444444444444</v>
          </cell>
        </row>
        <row r="38">
          <cell r="I38">
            <v>5</v>
          </cell>
          <cell r="J38">
            <v>0.45</v>
          </cell>
        </row>
        <row r="39">
          <cell r="I39">
            <v>7.5</v>
          </cell>
          <cell r="J39">
            <v>0.466666666666667</v>
          </cell>
        </row>
        <row r="40">
          <cell r="I40">
            <v>10</v>
          </cell>
          <cell r="J40">
            <v>0.475</v>
          </cell>
        </row>
        <row r="41">
          <cell r="I41">
            <v>13</v>
          </cell>
          <cell r="J41">
            <v>0.48</v>
          </cell>
        </row>
        <row r="42">
          <cell r="I42">
            <v>15.5</v>
          </cell>
          <cell r="J42">
            <v>0.483333333333333</v>
          </cell>
        </row>
        <row r="43">
          <cell r="I43">
            <v>18.5</v>
          </cell>
          <cell r="J43">
            <v>0.485714285714286</v>
          </cell>
        </row>
        <row r="44">
          <cell r="I44">
            <v>21</v>
          </cell>
          <cell r="J44">
            <v>0.4875</v>
          </cell>
        </row>
        <row r="45">
          <cell r="I45">
            <v>24</v>
          </cell>
          <cell r="J45">
            <v>0.488888888888889</v>
          </cell>
        </row>
        <row r="46">
          <cell r="I46">
            <v>27</v>
          </cell>
          <cell r="J46">
            <v>0.5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pane xSplit="1" ySplit="5" topLeftCell="B6" activePane="bottomRight" state="frozen"/>
      <selection/>
      <selection pane="topRight"/>
      <selection pane="bottomLeft"/>
      <selection pane="bottomRight" activeCell="D15" sqref="D15"/>
    </sheetView>
  </sheetViews>
  <sheetFormatPr defaultColWidth="9" defaultRowHeight="16.5" outlineLevelCol="7"/>
  <cols>
    <col min="1" max="1" width="19" style="5" customWidth="1"/>
    <col min="2" max="2" width="13" style="5" customWidth="1"/>
    <col min="3" max="3" width="19" style="5" customWidth="1"/>
    <col min="4" max="4" width="17.75" style="5" customWidth="1"/>
    <col min="5" max="5" width="26.75" style="5" customWidth="1"/>
    <col min="6" max="7" width="22.75" style="5" customWidth="1"/>
    <col min="8" max="8" width="24.125" style="5" customWidth="1"/>
    <col min="9" max="16384" width="9" style="5"/>
  </cols>
  <sheetData>
    <row r="1" s="2" customFormat="1" ht="15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2" customFormat="1" ht="15" spans="1:7">
      <c r="A2" s="2" t="s">
        <v>8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</row>
    <row r="3" s="2" customFormat="1" ht="15" spans="1:7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</row>
    <row r="4" s="2" customFormat="1" ht="15" spans="1:7">
      <c r="A4" s="2" t="s">
        <v>17</v>
      </c>
      <c r="B4" s="2" t="s">
        <v>17</v>
      </c>
      <c r="C4" s="2" t="s">
        <v>17</v>
      </c>
      <c r="D4" s="2" t="s">
        <v>17</v>
      </c>
      <c r="E4" s="2" t="s">
        <v>18</v>
      </c>
      <c r="F4" s="2" t="s">
        <v>18</v>
      </c>
      <c r="G4" s="2" t="s">
        <v>18</v>
      </c>
    </row>
    <row r="5" s="2" customFormat="1" ht="15" spans="5:7">
      <c r="E5" s="6"/>
      <c r="F5" s="6"/>
      <c r="G5" s="6"/>
    </row>
    <row r="6" spans="1:8">
      <c r="A6" s="5">
        <v>31</v>
      </c>
      <c r="C6" s="5">
        <v>6</v>
      </c>
      <c r="E6" s="5" t="s">
        <v>19</v>
      </c>
      <c r="F6" s="5" t="s">
        <v>20</v>
      </c>
      <c r="H6" s="5" t="s">
        <v>21</v>
      </c>
    </row>
    <row r="7" spans="1:8">
      <c r="A7" s="5">
        <v>41</v>
      </c>
      <c r="C7" s="5">
        <v>6</v>
      </c>
      <c r="E7" s="5" t="s">
        <v>22</v>
      </c>
      <c r="F7" s="5" t="s">
        <v>23</v>
      </c>
      <c r="H7" s="5" t="s">
        <v>24</v>
      </c>
    </row>
    <row r="8" spans="1:8">
      <c r="A8" s="5">
        <v>42</v>
      </c>
      <c r="C8" s="5">
        <v>6</v>
      </c>
      <c r="E8" s="5" t="s">
        <v>22</v>
      </c>
      <c r="F8" s="5" t="s">
        <v>25</v>
      </c>
      <c r="H8" s="5" t="s">
        <v>26</v>
      </c>
    </row>
    <row r="9" spans="1:8">
      <c r="A9" s="5">
        <v>43</v>
      </c>
      <c r="C9" s="5">
        <v>6</v>
      </c>
      <c r="E9" s="5" t="s">
        <v>22</v>
      </c>
      <c r="F9" s="5" t="s">
        <v>27</v>
      </c>
      <c r="H9" s="5" t="s">
        <v>28</v>
      </c>
    </row>
    <row r="10" s="3" customFormat="1" spans="1:8">
      <c r="A10" s="3">
        <v>101</v>
      </c>
      <c r="B10" s="3">
        <v>3</v>
      </c>
      <c r="C10" s="3">
        <v>10</v>
      </c>
      <c r="E10" s="3" t="s">
        <v>19</v>
      </c>
      <c r="F10" s="3" t="s">
        <v>29</v>
      </c>
      <c r="H10" s="3" t="s">
        <v>30</v>
      </c>
    </row>
    <row r="11" s="4" customFormat="1" spans="1:8">
      <c r="A11" s="4">
        <v>112</v>
      </c>
      <c r="B11" s="4">
        <v>3</v>
      </c>
      <c r="C11" s="4">
        <v>10</v>
      </c>
      <c r="E11" s="4" t="s">
        <v>19</v>
      </c>
      <c r="F11" s="4" t="s">
        <v>29</v>
      </c>
      <c r="H11" s="4" t="s">
        <v>31</v>
      </c>
    </row>
    <row r="12" s="3" customFormat="1" spans="1:8">
      <c r="A12" s="3">
        <v>401</v>
      </c>
      <c r="B12" s="3">
        <v>3</v>
      </c>
      <c r="C12" s="3">
        <v>11</v>
      </c>
      <c r="E12" s="3" t="s">
        <v>19</v>
      </c>
      <c r="F12" s="3" t="s">
        <v>29</v>
      </c>
      <c r="G12" s="3" t="s">
        <v>32</v>
      </c>
      <c r="H12" s="3" t="s">
        <v>33</v>
      </c>
    </row>
    <row r="13" s="4" customFormat="1" spans="1:8">
      <c r="A13" s="4">
        <v>402</v>
      </c>
      <c r="B13" s="4">
        <v>3</v>
      </c>
      <c r="C13" s="4">
        <v>11</v>
      </c>
      <c r="E13" s="4" t="s">
        <v>19</v>
      </c>
      <c r="F13" s="4" t="s">
        <v>29</v>
      </c>
      <c r="G13" s="4" t="s">
        <v>32</v>
      </c>
      <c r="H13" s="4" t="s">
        <v>34</v>
      </c>
    </row>
    <row r="14" s="5" customFormat="1" spans="1:8">
      <c r="A14" s="5">
        <v>501</v>
      </c>
      <c r="C14" s="5">
        <v>1</v>
      </c>
      <c r="D14" s="5">
        <v>900</v>
      </c>
      <c r="H14" s="5" t="s">
        <v>35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7:T55"/>
  <sheetViews>
    <sheetView workbookViewId="0">
      <selection activeCell="N7" sqref="N7"/>
    </sheetView>
  </sheetViews>
  <sheetFormatPr defaultColWidth="9" defaultRowHeight="13.5"/>
  <sheetData>
    <row r="7" spans="4:4">
      <c r="D7" t="s">
        <v>36</v>
      </c>
    </row>
    <row r="9" spans="3:4">
      <c r="C9" t="s">
        <v>37</v>
      </c>
      <c r="D9">
        <v>10</v>
      </c>
    </row>
    <row r="10" spans="3:4">
      <c r="C10" t="s">
        <v>38</v>
      </c>
      <c r="D10">
        <v>5</v>
      </c>
    </row>
    <row r="12" spans="4:4">
      <c r="D12">
        <f>100*(1+1+1.8)</f>
        <v>380</v>
      </c>
    </row>
    <row r="26" spans="4:4">
      <c r="D26" t="s">
        <v>39</v>
      </c>
    </row>
    <row r="30" spans="7:20">
      <c r="G30" s="1" t="s">
        <v>40</v>
      </c>
      <c r="H30" t="s">
        <v>41</v>
      </c>
      <c r="I30" t="s">
        <v>42</v>
      </c>
      <c r="J30" t="s">
        <v>43</v>
      </c>
      <c r="P30" t="s">
        <v>44</v>
      </c>
      <c r="S30" t="s">
        <v>45</v>
      </c>
      <c r="T30" t="s">
        <v>46</v>
      </c>
    </row>
    <row r="31" spans="4:20">
      <c r="D31">
        <v>3</v>
      </c>
      <c r="E31">
        <v>10</v>
      </c>
      <c r="F31">
        <f t="shared" ref="F31:F38" si="0">E31/D31</f>
        <v>3.33333333333333</v>
      </c>
      <c r="G31" s="1">
        <v>1</v>
      </c>
      <c r="H31">
        <v>0</v>
      </c>
      <c r="I31">
        <f t="shared" ref="I31:I46" si="1">H31+G31</f>
        <v>1</v>
      </c>
      <c r="J31">
        <f t="shared" ref="J31:J46" si="2">G31/D31</f>
        <v>0.333333333333333</v>
      </c>
      <c r="P31">
        <v>5000</v>
      </c>
      <c r="R31">
        <f>I31*100</f>
        <v>100</v>
      </c>
      <c r="S31">
        <f t="shared" ref="S31:S46" si="3">ROUNDUP($P$31/R31,0)</f>
        <v>50</v>
      </c>
      <c r="T31">
        <f t="shared" ref="T31:T46" si="4">S31*D31</f>
        <v>150</v>
      </c>
    </row>
    <row r="32" spans="4:20">
      <c r="D32">
        <v>4</v>
      </c>
      <c r="E32">
        <v>15</v>
      </c>
      <c r="F32">
        <f t="shared" si="0"/>
        <v>3.75</v>
      </c>
      <c r="G32" s="1">
        <v>1.5</v>
      </c>
      <c r="H32">
        <v>0</v>
      </c>
      <c r="I32">
        <f t="shared" si="1"/>
        <v>1.5</v>
      </c>
      <c r="J32">
        <f t="shared" si="2"/>
        <v>0.375</v>
      </c>
      <c r="R32">
        <f t="shared" ref="R32:R46" si="5">I32*100</f>
        <v>150</v>
      </c>
      <c r="S32">
        <f t="shared" si="3"/>
        <v>34</v>
      </c>
      <c r="T32">
        <f t="shared" si="4"/>
        <v>136</v>
      </c>
    </row>
    <row r="33" spans="4:20">
      <c r="D33">
        <v>5</v>
      </c>
      <c r="E33">
        <v>20</v>
      </c>
      <c r="F33">
        <f t="shared" si="0"/>
        <v>4</v>
      </c>
      <c r="G33" s="1">
        <v>2</v>
      </c>
      <c r="H33">
        <v>0</v>
      </c>
      <c r="I33">
        <f t="shared" si="1"/>
        <v>2</v>
      </c>
      <c r="J33">
        <f t="shared" si="2"/>
        <v>0.4</v>
      </c>
      <c r="R33">
        <f t="shared" si="5"/>
        <v>200</v>
      </c>
      <c r="S33">
        <f t="shared" si="3"/>
        <v>25</v>
      </c>
      <c r="T33">
        <f t="shared" si="4"/>
        <v>125</v>
      </c>
    </row>
    <row r="34" spans="4:20">
      <c r="D34">
        <v>6</v>
      </c>
      <c r="E34">
        <v>25</v>
      </c>
      <c r="F34">
        <f t="shared" si="0"/>
        <v>4.16666666666667</v>
      </c>
      <c r="G34" s="1">
        <v>2.5</v>
      </c>
      <c r="H34">
        <v>0</v>
      </c>
      <c r="I34">
        <f t="shared" si="1"/>
        <v>2.5</v>
      </c>
      <c r="J34">
        <f t="shared" si="2"/>
        <v>0.416666666666667</v>
      </c>
      <c r="R34">
        <f t="shared" si="5"/>
        <v>250</v>
      </c>
      <c r="S34">
        <f t="shared" si="3"/>
        <v>20</v>
      </c>
      <c r="T34">
        <f t="shared" si="4"/>
        <v>120</v>
      </c>
    </row>
    <row r="35" spans="4:20">
      <c r="D35">
        <v>7</v>
      </c>
      <c r="E35">
        <v>30</v>
      </c>
      <c r="F35">
        <f t="shared" si="0"/>
        <v>4.28571428571429</v>
      </c>
      <c r="G35" s="1">
        <v>3</v>
      </c>
      <c r="H35">
        <v>0</v>
      </c>
      <c r="I35">
        <f t="shared" si="1"/>
        <v>3</v>
      </c>
      <c r="J35">
        <f t="shared" si="2"/>
        <v>0.428571428571429</v>
      </c>
      <c r="R35">
        <f t="shared" si="5"/>
        <v>300</v>
      </c>
      <c r="S35">
        <f t="shared" si="3"/>
        <v>17</v>
      </c>
      <c r="T35">
        <f t="shared" si="4"/>
        <v>119</v>
      </c>
    </row>
    <row r="36" spans="4:20">
      <c r="D36">
        <v>8</v>
      </c>
      <c r="E36">
        <v>35</v>
      </c>
      <c r="F36">
        <f t="shared" si="0"/>
        <v>4.375</v>
      </c>
      <c r="G36" s="1">
        <v>3.5</v>
      </c>
      <c r="H36">
        <v>0</v>
      </c>
      <c r="I36">
        <f t="shared" si="1"/>
        <v>3.5</v>
      </c>
      <c r="J36">
        <f t="shared" si="2"/>
        <v>0.4375</v>
      </c>
      <c r="R36">
        <f t="shared" si="5"/>
        <v>350</v>
      </c>
      <c r="S36">
        <f t="shared" si="3"/>
        <v>15</v>
      </c>
      <c r="T36">
        <f t="shared" si="4"/>
        <v>120</v>
      </c>
    </row>
    <row r="37" spans="4:20">
      <c r="D37">
        <v>9</v>
      </c>
      <c r="E37">
        <v>40</v>
      </c>
      <c r="F37">
        <f t="shared" si="0"/>
        <v>4.44444444444444</v>
      </c>
      <c r="G37" s="1">
        <v>4</v>
      </c>
      <c r="H37">
        <v>0</v>
      </c>
      <c r="I37">
        <f t="shared" si="1"/>
        <v>4</v>
      </c>
      <c r="J37">
        <f t="shared" si="2"/>
        <v>0.444444444444444</v>
      </c>
      <c r="R37">
        <f t="shared" si="5"/>
        <v>400</v>
      </c>
      <c r="S37">
        <f t="shared" si="3"/>
        <v>13</v>
      </c>
      <c r="T37">
        <f t="shared" si="4"/>
        <v>117</v>
      </c>
    </row>
    <row r="38" spans="4:20">
      <c r="D38">
        <v>10</v>
      </c>
      <c r="E38">
        <v>45</v>
      </c>
      <c r="F38">
        <f t="shared" si="0"/>
        <v>4.5</v>
      </c>
      <c r="G38" s="1">
        <v>4.5</v>
      </c>
      <c r="H38">
        <v>0.5</v>
      </c>
      <c r="I38">
        <f t="shared" si="1"/>
        <v>5</v>
      </c>
      <c r="J38">
        <f t="shared" si="2"/>
        <v>0.45</v>
      </c>
      <c r="R38">
        <f t="shared" si="5"/>
        <v>500</v>
      </c>
      <c r="S38">
        <f t="shared" si="3"/>
        <v>10</v>
      </c>
      <c r="T38">
        <f t="shared" si="4"/>
        <v>100</v>
      </c>
    </row>
    <row r="39" spans="4:20">
      <c r="D39">
        <v>15</v>
      </c>
      <c r="G39" s="1">
        <v>7</v>
      </c>
      <c r="H39">
        <v>0.5</v>
      </c>
      <c r="I39">
        <f t="shared" si="1"/>
        <v>7.5</v>
      </c>
      <c r="J39">
        <f t="shared" si="2"/>
        <v>0.466666666666667</v>
      </c>
      <c r="R39">
        <f t="shared" si="5"/>
        <v>750</v>
      </c>
      <c r="S39">
        <f t="shared" si="3"/>
        <v>7</v>
      </c>
      <c r="T39">
        <f t="shared" si="4"/>
        <v>105</v>
      </c>
    </row>
    <row r="40" spans="4:20">
      <c r="D40">
        <v>20</v>
      </c>
      <c r="G40" s="1">
        <v>9.5</v>
      </c>
      <c r="H40">
        <v>0.5</v>
      </c>
      <c r="I40">
        <f t="shared" si="1"/>
        <v>10</v>
      </c>
      <c r="J40">
        <f t="shared" si="2"/>
        <v>0.475</v>
      </c>
      <c r="R40">
        <f t="shared" si="5"/>
        <v>1000</v>
      </c>
      <c r="S40">
        <f t="shared" si="3"/>
        <v>5</v>
      </c>
      <c r="T40">
        <f t="shared" si="4"/>
        <v>100</v>
      </c>
    </row>
    <row r="41" spans="4:20">
      <c r="D41">
        <v>25</v>
      </c>
      <c r="G41" s="1">
        <v>12</v>
      </c>
      <c r="H41">
        <v>1</v>
      </c>
      <c r="I41">
        <f t="shared" si="1"/>
        <v>13</v>
      </c>
      <c r="J41">
        <f t="shared" si="2"/>
        <v>0.48</v>
      </c>
      <c r="R41">
        <f t="shared" si="5"/>
        <v>1300</v>
      </c>
      <c r="S41">
        <f t="shared" si="3"/>
        <v>4</v>
      </c>
      <c r="T41">
        <f t="shared" si="4"/>
        <v>100</v>
      </c>
    </row>
    <row r="42" spans="4:20">
      <c r="D42">
        <v>30</v>
      </c>
      <c r="G42" s="1">
        <v>14.5</v>
      </c>
      <c r="H42">
        <v>1</v>
      </c>
      <c r="I42">
        <f t="shared" si="1"/>
        <v>15.5</v>
      </c>
      <c r="J42">
        <f t="shared" si="2"/>
        <v>0.483333333333333</v>
      </c>
      <c r="R42">
        <f t="shared" si="5"/>
        <v>1550</v>
      </c>
      <c r="S42">
        <f t="shared" si="3"/>
        <v>4</v>
      </c>
      <c r="T42">
        <f t="shared" si="4"/>
        <v>120</v>
      </c>
    </row>
    <row r="43" spans="4:20">
      <c r="D43">
        <v>35</v>
      </c>
      <c r="G43" s="1">
        <v>17</v>
      </c>
      <c r="H43">
        <v>1.5</v>
      </c>
      <c r="I43">
        <f t="shared" si="1"/>
        <v>18.5</v>
      </c>
      <c r="J43">
        <f t="shared" si="2"/>
        <v>0.485714285714286</v>
      </c>
      <c r="R43">
        <f t="shared" si="5"/>
        <v>1850</v>
      </c>
      <c r="S43">
        <f t="shared" si="3"/>
        <v>3</v>
      </c>
      <c r="T43">
        <f t="shared" si="4"/>
        <v>105</v>
      </c>
    </row>
    <row r="44" spans="4:20">
      <c r="D44">
        <v>40</v>
      </c>
      <c r="G44" s="1">
        <v>19.5</v>
      </c>
      <c r="H44">
        <v>1.5</v>
      </c>
      <c r="I44">
        <f t="shared" si="1"/>
        <v>21</v>
      </c>
      <c r="J44">
        <f t="shared" si="2"/>
        <v>0.4875</v>
      </c>
      <c r="R44">
        <f t="shared" si="5"/>
        <v>2100</v>
      </c>
      <c r="S44">
        <f t="shared" si="3"/>
        <v>3</v>
      </c>
      <c r="T44">
        <f t="shared" si="4"/>
        <v>120</v>
      </c>
    </row>
    <row r="45" spans="4:20">
      <c r="D45">
        <v>45</v>
      </c>
      <c r="G45" s="1">
        <v>22</v>
      </c>
      <c r="H45">
        <v>2</v>
      </c>
      <c r="I45">
        <f t="shared" si="1"/>
        <v>24</v>
      </c>
      <c r="J45">
        <f t="shared" si="2"/>
        <v>0.488888888888889</v>
      </c>
      <c r="R45">
        <f t="shared" si="5"/>
        <v>2400</v>
      </c>
      <c r="S45">
        <f t="shared" si="3"/>
        <v>3</v>
      </c>
      <c r="T45">
        <f t="shared" si="4"/>
        <v>135</v>
      </c>
    </row>
    <row r="46" spans="4:20">
      <c r="D46">
        <v>50</v>
      </c>
      <c r="G46" s="1">
        <v>25</v>
      </c>
      <c r="H46">
        <v>2</v>
      </c>
      <c r="I46">
        <f t="shared" si="1"/>
        <v>27</v>
      </c>
      <c r="J46">
        <f t="shared" si="2"/>
        <v>0.5</v>
      </c>
      <c r="R46">
        <f t="shared" si="5"/>
        <v>2700</v>
      </c>
      <c r="S46">
        <f t="shared" si="3"/>
        <v>2</v>
      </c>
      <c r="T46">
        <f t="shared" si="4"/>
        <v>100</v>
      </c>
    </row>
    <row r="52" spans="13:15">
      <c r="M52">
        <v>1</v>
      </c>
      <c r="N52">
        <v>100</v>
      </c>
      <c r="O52">
        <f t="shared" ref="O52:O55" si="6">N52/M52</f>
        <v>100</v>
      </c>
    </row>
    <row r="53" spans="13:15">
      <c r="M53">
        <v>2</v>
      </c>
      <c r="N53">
        <v>300</v>
      </c>
      <c r="O53">
        <f t="shared" si="6"/>
        <v>150</v>
      </c>
    </row>
    <row r="54" spans="13:15">
      <c r="M54">
        <v>3</v>
      </c>
      <c r="N54">
        <v>700</v>
      </c>
      <c r="O54">
        <f t="shared" si="6"/>
        <v>233.333333333333</v>
      </c>
    </row>
    <row r="55" spans="13:15">
      <c r="M55">
        <v>4</v>
      </c>
      <c r="N55">
        <v>1500</v>
      </c>
      <c r="O55">
        <f t="shared" si="6"/>
        <v>375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S28"/>
  <sheetViews>
    <sheetView workbookViewId="0">
      <selection activeCell="Q16" sqref="Q16:Q28"/>
    </sheetView>
  </sheetViews>
  <sheetFormatPr defaultColWidth="9" defaultRowHeight="13.5"/>
  <sheetData>
    <row r="1" spans="5:5">
      <c r="E1" t="s">
        <v>47</v>
      </c>
    </row>
    <row r="2" spans="3:19">
      <c r="C2" t="s">
        <v>48</v>
      </c>
      <c r="D2">
        <v>5003</v>
      </c>
      <c r="E2" t="s">
        <v>49</v>
      </c>
      <c r="F2" t="s">
        <v>48</v>
      </c>
      <c r="G2">
        <v>5003</v>
      </c>
      <c r="H2" t="s">
        <v>50</v>
      </c>
      <c r="I2" t="s">
        <v>48</v>
      </c>
      <c r="J2">
        <v>5003</v>
      </c>
      <c r="K2" t="s">
        <v>51</v>
      </c>
      <c r="L2" t="s">
        <v>48</v>
      </c>
      <c r="M2">
        <v>5003</v>
      </c>
      <c r="N2" t="s">
        <v>52</v>
      </c>
      <c r="O2" t="s">
        <v>48</v>
      </c>
      <c r="P2">
        <v>5003</v>
      </c>
      <c r="Q2" t="s">
        <v>53</v>
      </c>
      <c r="S2">
        <v>30</v>
      </c>
    </row>
    <row r="3" spans="3:19">
      <c r="C3" t="s">
        <v>54</v>
      </c>
      <c r="D3">
        <v>5004</v>
      </c>
      <c r="E3" t="s">
        <v>49</v>
      </c>
      <c r="F3" t="s">
        <v>48</v>
      </c>
      <c r="G3">
        <v>5004</v>
      </c>
      <c r="H3" t="s">
        <v>50</v>
      </c>
      <c r="I3" t="s">
        <v>48</v>
      </c>
      <c r="J3">
        <v>5004</v>
      </c>
      <c r="K3" t="s">
        <v>51</v>
      </c>
      <c r="L3" t="s">
        <v>48</v>
      </c>
      <c r="M3">
        <v>5004</v>
      </c>
      <c r="N3" t="s">
        <v>52</v>
      </c>
      <c r="O3" t="s">
        <v>48</v>
      </c>
      <c r="P3">
        <v>5004</v>
      </c>
      <c r="Q3" t="s">
        <v>55</v>
      </c>
      <c r="S3">
        <v>40</v>
      </c>
    </row>
    <row r="4" spans="3:19">
      <c r="C4" t="s">
        <v>54</v>
      </c>
      <c r="D4">
        <v>5005</v>
      </c>
      <c r="E4" t="s">
        <v>49</v>
      </c>
      <c r="F4" t="s">
        <v>48</v>
      </c>
      <c r="G4">
        <v>5005</v>
      </c>
      <c r="H4" t="s">
        <v>50</v>
      </c>
      <c r="I4" t="s">
        <v>48</v>
      </c>
      <c r="J4">
        <v>5005</v>
      </c>
      <c r="K4" t="s">
        <v>51</v>
      </c>
      <c r="L4" t="s">
        <v>48</v>
      </c>
      <c r="M4">
        <v>5005</v>
      </c>
      <c r="N4" t="s">
        <v>52</v>
      </c>
      <c r="O4" t="s">
        <v>48</v>
      </c>
      <c r="P4">
        <v>5005</v>
      </c>
      <c r="Q4" t="s">
        <v>55</v>
      </c>
      <c r="S4">
        <v>50</v>
      </c>
    </row>
    <row r="5" spans="3:19">
      <c r="C5" t="s">
        <v>54</v>
      </c>
      <c r="D5">
        <v>5006</v>
      </c>
      <c r="E5" t="s">
        <v>49</v>
      </c>
      <c r="F5" t="s">
        <v>48</v>
      </c>
      <c r="G5">
        <v>5006</v>
      </c>
      <c r="H5" t="s">
        <v>50</v>
      </c>
      <c r="I5" t="s">
        <v>48</v>
      </c>
      <c r="J5">
        <v>5006</v>
      </c>
      <c r="K5" t="s">
        <v>51</v>
      </c>
      <c r="L5" t="s">
        <v>48</v>
      </c>
      <c r="M5">
        <v>5006</v>
      </c>
      <c r="N5" t="s">
        <v>52</v>
      </c>
      <c r="O5" t="s">
        <v>48</v>
      </c>
      <c r="P5">
        <v>5006</v>
      </c>
      <c r="Q5" t="s">
        <v>55</v>
      </c>
      <c r="S5">
        <v>60</v>
      </c>
    </row>
    <row r="6" spans="3:19">
      <c r="C6" t="s">
        <v>54</v>
      </c>
      <c r="D6">
        <v>5009</v>
      </c>
      <c r="E6" t="s">
        <v>49</v>
      </c>
      <c r="F6" t="s">
        <v>48</v>
      </c>
      <c r="G6">
        <v>5009</v>
      </c>
      <c r="H6" t="s">
        <v>50</v>
      </c>
      <c r="I6" t="s">
        <v>48</v>
      </c>
      <c r="J6">
        <v>5009</v>
      </c>
      <c r="K6" t="s">
        <v>51</v>
      </c>
      <c r="L6" t="s">
        <v>48</v>
      </c>
      <c r="M6">
        <v>5009</v>
      </c>
      <c r="N6" t="s">
        <v>52</v>
      </c>
      <c r="O6" t="s">
        <v>48</v>
      </c>
      <c r="P6">
        <v>5009</v>
      </c>
      <c r="Q6" t="s">
        <v>55</v>
      </c>
      <c r="S6">
        <v>70</v>
      </c>
    </row>
    <row r="7" spans="3:19">
      <c r="C7" t="s">
        <v>54</v>
      </c>
      <c r="D7">
        <v>5010</v>
      </c>
      <c r="E7" t="s">
        <v>49</v>
      </c>
      <c r="F7" t="s">
        <v>48</v>
      </c>
      <c r="G7">
        <v>5010</v>
      </c>
      <c r="H7" t="s">
        <v>50</v>
      </c>
      <c r="I7" t="s">
        <v>48</v>
      </c>
      <c r="J7">
        <v>5010</v>
      </c>
      <c r="K7" t="s">
        <v>51</v>
      </c>
      <c r="L7" t="s">
        <v>48</v>
      </c>
      <c r="M7">
        <v>5010</v>
      </c>
      <c r="N7" t="s">
        <v>52</v>
      </c>
      <c r="O7" t="s">
        <v>48</v>
      </c>
      <c r="P7">
        <v>5010</v>
      </c>
      <c r="Q7" t="s">
        <v>55</v>
      </c>
      <c r="S7">
        <v>90</v>
      </c>
    </row>
    <row r="8" spans="3:19">
      <c r="C8" t="s">
        <v>54</v>
      </c>
      <c r="D8">
        <v>5011</v>
      </c>
      <c r="E8" t="s">
        <v>49</v>
      </c>
      <c r="F8" t="s">
        <v>48</v>
      </c>
      <c r="G8">
        <v>5011</v>
      </c>
      <c r="H8" t="s">
        <v>50</v>
      </c>
      <c r="I8" t="s">
        <v>48</v>
      </c>
      <c r="J8">
        <v>5011</v>
      </c>
      <c r="K8" t="s">
        <v>51</v>
      </c>
      <c r="L8" t="s">
        <v>48</v>
      </c>
      <c r="M8">
        <v>5011</v>
      </c>
      <c r="N8" t="s">
        <v>52</v>
      </c>
      <c r="O8" t="s">
        <v>48</v>
      </c>
      <c r="P8">
        <v>5011</v>
      </c>
      <c r="Q8" t="s">
        <v>55</v>
      </c>
      <c r="S8">
        <v>120</v>
      </c>
    </row>
    <row r="9" spans="3:19">
      <c r="C9" t="s">
        <v>54</v>
      </c>
      <c r="D9">
        <v>5012</v>
      </c>
      <c r="E9" t="s">
        <v>49</v>
      </c>
      <c r="F9" t="s">
        <v>48</v>
      </c>
      <c r="G9">
        <v>5012</v>
      </c>
      <c r="H9" t="s">
        <v>50</v>
      </c>
      <c r="I9" t="s">
        <v>48</v>
      </c>
      <c r="J9">
        <v>5012</v>
      </c>
      <c r="K9" t="s">
        <v>51</v>
      </c>
      <c r="L9" t="s">
        <v>48</v>
      </c>
      <c r="M9">
        <v>5012</v>
      </c>
      <c r="N9" t="s">
        <v>52</v>
      </c>
      <c r="O9" t="s">
        <v>48</v>
      </c>
      <c r="P9">
        <v>5012</v>
      </c>
      <c r="Q9" t="s">
        <v>55</v>
      </c>
      <c r="S9">
        <v>150</v>
      </c>
    </row>
    <row r="10" spans="3:19">
      <c r="C10" t="s">
        <v>54</v>
      </c>
      <c r="D10">
        <v>5014</v>
      </c>
      <c r="E10" t="s">
        <v>49</v>
      </c>
      <c r="F10" t="s">
        <v>48</v>
      </c>
      <c r="G10">
        <v>5014</v>
      </c>
      <c r="H10" t="s">
        <v>50</v>
      </c>
      <c r="I10" t="s">
        <v>48</v>
      </c>
      <c r="J10">
        <v>5014</v>
      </c>
      <c r="K10" t="s">
        <v>51</v>
      </c>
      <c r="L10" t="s">
        <v>48</v>
      </c>
      <c r="M10">
        <v>5014</v>
      </c>
      <c r="N10" t="s">
        <v>52</v>
      </c>
      <c r="O10" t="s">
        <v>48</v>
      </c>
      <c r="P10">
        <v>5014</v>
      </c>
      <c r="Q10" t="s">
        <v>55</v>
      </c>
      <c r="S10">
        <v>200</v>
      </c>
    </row>
    <row r="11" spans="3:19">
      <c r="C11" t="s">
        <v>54</v>
      </c>
      <c r="D11">
        <v>5016</v>
      </c>
      <c r="E11" t="s">
        <v>49</v>
      </c>
      <c r="F11" t="s">
        <v>48</v>
      </c>
      <c r="G11">
        <v>5016</v>
      </c>
      <c r="H11" t="s">
        <v>50</v>
      </c>
      <c r="I11" t="s">
        <v>48</v>
      </c>
      <c r="J11">
        <v>5016</v>
      </c>
      <c r="K11" t="s">
        <v>51</v>
      </c>
      <c r="L11" t="s">
        <v>48</v>
      </c>
      <c r="M11">
        <v>5016</v>
      </c>
      <c r="N11" t="s">
        <v>52</v>
      </c>
      <c r="O11" t="s">
        <v>48</v>
      </c>
      <c r="P11">
        <v>5016</v>
      </c>
      <c r="Q11" t="s">
        <v>55</v>
      </c>
      <c r="S11">
        <v>270</v>
      </c>
    </row>
    <row r="12" spans="3:19">
      <c r="C12" t="s">
        <v>54</v>
      </c>
      <c r="D12">
        <v>5017</v>
      </c>
      <c r="E12" t="s">
        <v>49</v>
      </c>
      <c r="F12" t="s">
        <v>48</v>
      </c>
      <c r="G12">
        <v>5017</v>
      </c>
      <c r="H12" t="s">
        <v>50</v>
      </c>
      <c r="I12" t="s">
        <v>48</v>
      </c>
      <c r="J12">
        <v>5017</v>
      </c>
      <c r="K12" t="s">
        <v>51</v>
      </c>
      <c r="L12" t="s">
        <v>48</v>
      </c>
      <c r="M12">
        <v>5017</v>
      </c>
      <c r="N12" t="s">
        <v>52</v>
      </c>
      <c r="O12" t="s">
        <v>48</v>
      </c>
      <c r="P12">
        <v>5017</v>
      </c>
      <c r="Q12" t="s">
        <v>55</v>
      </c>
      <c r="S12">
        <v>370</v>
      </c>
    </row>
    <row r="13" spans="3:17">
      <c r="C13" t="s">
        <v>54</v>
      </c>
      <c r="D13">
        <v>5018</v>
      </c>
      <c r="E13" t="s">
        <v>49</v>
      </c>
      <c r="F13" t="s">
        <v>48</v>
      </c>
      <c r="G13">
        <v>5018</v>
      </c>
      <c r="H13" t="s">
        <v>50</v>
      </c>
      <c r="I13" t="s">
        <v>48</v>
      </c>
      <c r="J13">
        <v>5018</v>
      </c>
      <c r="K13" t="s">
        <v>51</v>
      </c>
      <c r="L13" t="s">
        <v>48</v>
      </c>
      <c r="M13">
        <v>5018</v>
      </c>
      <c r="N13" t="s">
        <v>52</v>
      </c>
      <c r="O13" t="s">
        <v>48</v>
      </c>
      <c r="P13">
        <v>5018</v>
      </c>
      <c r="Q13" t="s">
        <v>55</v>
      </c>
    </row>
    <row r="14" spans="3:17">
      <c r="C14" t="s">
        <v>54</v>
      </c>
      <c r="D14">
        <v>5019</v>
      </c>
      <c r="E14" t="s">
        <v>49</v>
      </c>
      <c r="F14" t="s">
        <v>48</v>
      </c>
      <c r="G14">
        <v>5019</v>
      </c>
      <c r="H14" t="s">
        <v>50</v>
      </c>
      <c r="I14" t="s">
        <v>48</v>
      </c>
      <c r="J14">
        <v>5019</v>
      </c>
      <c r="K14" t="s">
        <v>51</v>
      </c>
      <c r="L14" t="s">
        <v>48</v>
      </c>
      <c r="M14">
        <v>5019</v>
      </c>
      <c r="N14" t="s">
        <v>52</v>
      </c>
      <c r="O14" t="s">
        <v>48</v>
      </c>
      <c r="P14">
        <v>5019</v>
      </c>
      <c r="Q14" t="s">
        <v>55</v>
      </c>
    </row>
    <row r="15" spans="5:15">
      <c r="E15">
        <v>30</v>
      </c>
      <c r="F15">
        <v>40</v>
      </c>
      <c r="G15">
        <v>50</v>
      </c>
      <c r="H15">
        <v>60</v>
      </c>
      <c r="I15">
        <v>70</v>
      </c>
      <c r="J15">
        <v>90</v>
      </c>
      <c r="K15">
        <v>120</v>
      </c>
      <c r="L15">
        <v>150</v>
      </c>
      <c r="M15">
        <v>200</v>
      </c>
      <c r="N15">
        <v>270</v>
      </c>
      <c r="O15">
        <v>370</v>
      </c>
    </row>
    <row r="16" spans="4:17">
      <c r="D16">
        <v>5003</v>
      </c>
      <c r="E16" t="str">
        <f>$C$2&amp;$E$1&amp;$D16&amp;$E$1&amp;E$15&amp;$Q$2</f>
        <v>{Item,5003,30}</v>
      </c>
      <c r="F16" t="str">
        <f t="shared" ref="F16:O16" si="0">$C$2&amp;$E$1&amp;$D16&amp;$E$1&amp;F$15&amp;$Q$2</f>
        <v>{Item,5003,40}</v>
      </c>
      <c r="G16" t="str">
        <f t="shared" si="0"/>
        <v>{Item,5003,50}</v>
      </c>
      <c r="H16" t="str">
        <f t="shared" si="0"/>
        <v>{Item,5003,60}</v>
      </c>
      <c r="I16" t="str">
        <f t="shared" si="0"/>
        <v>{Item,5003,70}</v>
      </c>
      <c r="J16" t="str">
        <f t="shared" si="0"/>
        <v>{Item,5003,90}</v>
      </c>
      <c r="K16" t="str">
        <f t="shared" si="0"/>
        <v>{Item,5003,120}</v>
      </c>
      <c r="L16" t="str">
        <f t="shared" si="0"/>
        <v>{Item,5003,150}</v>
      </c>
      <c r="M16" t="str">
        <f t="shared" si="0"/>
        <v>{Item,5003,200}</v>
      </c>
      <c r="N16" t="str">
        <f t="shared" si="0"/>
        <v>{Item,5003,270}</v>
      </c>
      <c r="O16" t="str">
        <f t="shared" si="0"/>
        <v>{Item,5003,370}</v>
      </c>
      <c r="Q16" t="str">
        <f>"["&amp;_xlfn.TEXTJOIN(",",0,E16:O16)&amp;"]"</f>
        <v>[{Item,5003,30},{Item,5003,40},{Item,5003,50},{Item,5003,60},{Item,5003,70},{Item,5003,90},{Item,5003,120},{Item,5003,150},{Item,5003,200},{Item,5003,270},{Item,5003,370}]</v>
      </c>
    </row>
    <row r="17" spans="4:17">
      <c r="D17">
        <v>5004</v>
      </c>
      <c r="E17" t="str">
        <f t="shared" ref="E17:O28" si="1">$C$2&amp;$E$1&amp;$D17&amp;$E$1&amp;E$15&amp;$Q$2</f>
        <v>{Item,5004,30}</v>
      </c>
      <c r="F17" t="str">
        <f t="shared" si="1"/>
        <v>{Item,5004,40}</v>
      </c>
      <c r="G17" t="str">
        <f t="shared" si="1"/>
        <v>{Item,5004,50}</v>
      </c>
      <c r="H17" t="str">
        <f t="shared" si="1"/>
        <v>{Item,5004,60}</v>
      </c>
      <c r="I17" t="str">
        <f t="shared" si="1"/>
        <v>{Item,5004,70}</v>
      </c>
      <c r="J17" t="str">
        <f t="shared" si="1"/>
        <v>{Item,5004,90}</v>
      </c>
      <c r="K17" t="str">
        <f t="shared" si="1"/>
        <v>{Item,5004,120}</v>
      </c>
      <c r="L17" t="str">
        <f t="shared" si="1"/>
        <v>{Item,5004,150}</v>
      </c>
      <c r="M17" t="str">
        <f t="shared" si="1"/>
        <v>{Item,5004,200}</v>
      </c>
      <c r="N17" t="str">
        <f t="shared" si="1"/>
        <v>{Item,5004,270}</v>
      </c>
      <c r="O17" t="str">
        <f t="shared" si="1"/>
        <v>{Item,5004,370}</v>
      </c>
      <c r="Q17" t="str">
        <f t="shared" ref="Q17:Q28" si="2">"["&amp;_xlfn.TEXTJOIN(",",0,E17:O17)&amp;"]"</f>
        <v>[{Item,5004,30},{Item,5004,40},{Item,5004,50},{Item,5004,60},{Item,5004,70},{Item,5004,90},{Item,5004,120},{Item,5004,150},{Item,5004,200},{Item,5004,270},{Item,5004,370}]</v>
      </c>
    </row>
    <row r="18" spans="4:17">
      <c r="D18">
        <v>5005</v>
      </c>
      <c r="E18" t="str">
        <f t="shared" si="1"/>
        <v>{Item,5005,30}</v>
      </c>
      <c r="F18" t="str">
        <f t="shared" si="1"/>
        <v>{Item,5005,40}</v>
      </c>
      <c r="G18" t="str">
        <f t="shared" si="1"/>
        <v>{Item,5005,50}</v>
      </c>
      <c r="H18" t="str">
        <f t="shared" si="1"/>
        <v>{Item,5005,60}</v>
      </c>
      <c r="I18" t="str">
        <f t="shared" si="1"/>
        <v>{Item,5005,70}</v>
      </c>
      <c r="J18" t="str">
        <f t="shared" si="1"/>
        <v>{Item,5005,90}</v>
      </c>
      <c r="K18" t="str">
        <f t="shared" si="1"/>
        <v>{Item,5005,120}</v>
      </c>
      <c r="L18" t="str">
        <f t="shared" si="1"/>
        <v>{Item,5005,150}</v>
      </c>
      <c r="M18" t="str">
        <f t="shared" si="1"/>
        <v>{Item,5005,200}</v>
      </c>
      <c r="N18" t="str">
        <f t="shared" si="1"/>
        <v>{Item,5005,270}</v>
      </c>
      <c r="O18" t="str">
        <f t="shared" si="1"/>
        <v>{Item,5005,370}</v>
      </c>
      <c r="Q18" t="str">
        <f t="shared" si="2"/>
        <v>[{Item,5005,30},{Item,5005,40},{Item,5005,50},{Item,5005,60},{Item,5005,70},{Item,5005,90},{Item,5005,120},{Item,5005,150},{Item,5005,200},{Item,5005,270},{Item,5005,370}]</v>
      </c>
    </row>
    <row r="19" spans="4:17">
      <c r="D19">
        <v>5006</v>
      </c>
      <c r="E19" t="str">
        <f t="shared" si="1"/>
        <v>{Item,5006,30}</v>
      </c>
      <c r="F19" t="str">
        <f t="shared" si="1"/>
        <v>{Item,5006,40}</v>
      </c>
      <c r="G19" t="str">
        <f t="shared" si="1"/>
        <v>{Item,5006,50}</v>
      </c>
      <c r="H19" t="str">
        <f t="shared" si="1"/>
        <v>{Item,5006,60}</v>
      </c>
      <c r="I19" t="str">
        <f t="shared" si="1"/>
        <v>{Item,5006,70}</v>
      </c>
      <c r="J19" t="str">
        <f t="shared" si="1"/>
        <v>{Item,5006,90}</v>
      </c>
      <c r="K19" t="str">
        <f t="shared" si="1"/>
        <v>{Item,5006,120}</v>
      </c>
      <c r="L19" t="str">
        <f t="shared" si="1"/>
        <v>{Item,5006,150}</v>
      </c>
      <c r="M19" t="str">
        <f t="shared" si="1"/>
        <v>{Item,5006,200}</v>
      </c>
      <c r="N19" t="str">
        <f t="shared" si="1"/>
        <v>{Item,5006,270}</v>
      </c>
      <c r="O19" t="str">
        <f t="shared" si="1"/>
        <v>{Item,5006,370}</v>
      </c>
      <c r="Q19" t="str">
        <f t="shared" si="2"/>
        <v>[{Item,5006,30},{Item,5006,40},{Item,5006,50},{Item,5006,60},{Item,5006,70},{Item,5006,90},{Item,5006,120},{Item,5006,150},{Item,5006,200},{Item,5006,270},{Item,5006,370}]</v>
      </c>
    </row>
    <row r="20" spans="4:17">
      <c r="D20">
        <v>5009</v>
      </c>
      <c r="E20" t="str">
        <f t="shared" si="1"/>
        <v>{Item,5009,30}</v>
      </c>
      <c r="F20" t="str">
        <f t="shared" si="1"/>
        <v>{Item,5009,40}</v>
      </c>
      <c r="G20" t="str">
        <f t="shared" si="1"/>
        <v>{Item,5009,50}</v>
      </c>
      <c r="H20" t="str">
        <f t="shared" si="1"/>
        <v>{Item,5009,60}</v>
      </c>
      <c r="I20" t="str">
        <f t="shared" si="1"/>
        <v>{Item,5009,70}</v>
      </c>
      <c r="J20" t="str">
        <f t="shared" si="1"/>
        <v>{Item,5009,90}</v>
      </c>
      <c r="K20" t="str">
        <f t="shared" si="1"/>
        <v>{Item,5009,120}</v>
      </c>
      <c r="L20" t="str">
        <f t="shared" si="1"/>
        <v>{Item,5009,150}</v>
      </c>
      <c r="M20" t="str">
        <f t="shared" si="1"/>
        <v>{Item,5009,200}</v>
      </c>
      <c r="N20" t="str">
        <f t="shared" si="1"/>
        <v>{Item,5009,270}</v>
      </c>
      <c r="O20" t="str">
        <f t="shared" si="1"/>
        <v>{Item,5009,370}</v>
      </c>
      <c r="Q20" t="str">
        <f t="shared" si="2"/>
        <v>[{Item,5009,30},{Item,5009,40},{Item,5009,50},{Item,5009,60},{Item,5009,70},{Item,5009,90},{Item,5009,120},{Item,5009,150},{Item,5009,200},{Item,5009,270},{Item,5009,370}]</v>
      </c>
    </row>
    <row r="21" spans="4:17">
      <c r="D21">
        <v>5010</v>
      </c>
      <c r="E21" t="str">
        <f t="shared" si="1"/>
        <v>{Item,5010,30}</v>
      </c>
      <c r="F21" t="str">
        <f t="shared" si="1"/>
        <v>{Item,5010,40}</v>
      </c>
      <c r="G21" t="str">
        <f t="shared" si="1"/>
        <v>{Item,5010,50}</v>
      </c>
      <c r="H21" t="str">
        <f t="shared" si="1"/>
        <v>{Item,5010,60}</v>
      </c>
      <c r="I21" t="str">
        <f t="shared" si="1"/>
        <v>{Item,5010,70}</v>
      </c>
      <c r="J21" t="str">
        <f t="shared" si="1"/>
        <v>{Item,5010,90}</v>
      </c>
      <c r="K21" t="str">
        <f t="shared" si="1"/>
        <v>{Item,5010,120}</v>
      </c>
      <c r="L21" t="str">
        <f t="shared" si="1"/>
        <v>{Item,5010,150}</v>
      </c>
      <c r="M21" t="str">
        <f t="shared" si="1"/>
        <v>{Item,5010,200}</v>
      </c>
      <c r="N21" t="str">
        <f t="shared" si="1"/>
        <v>{Item,5010,270}</v>
      </c>
      <c r="O21" t="str">
        <f t="shared" si="1"/>
        <v>{Item,5010,370}</v>
      </c>
      <c r="Q21" t="str">
        <f t="shared" si="2"/>
        <v>[{Item,5010,30},{Item,5010,40},{Item,5010,50},{Item,5010,60},{Item,5010,70},{Item,5010,90},{Item,5010,120},{Item,5010,150},{Item,5010,200},{Item,5010,270},{Item,5010,370}]</v>
      </c>
    </row>
    <row r="22" spans="4:17">
      <c r="D22">
        <v>5011</v>
      </c>
      <c r="E22" t="str">
        <f t="shared" si="1"/>
        <v>{Item,5011,30}</v>
      </c>
      <c r="F22" t="str">
        <f t="shared" si="1"/>
        <v>{Item,5011,40}</v>
      </c>
      <c r="G22" t="str">
        <f t="shared" si="1"/>
        <v>{Item,5011,50}</v>
      </c>
      <c r="H22" t="str">
        <f t="shared" si="1"/>
        <v>{Item,5011,60}</v>
      </c>
      <c r="I22" t="str">
        <f t="shared" si="1"/>
        <v>{Item,5011,70}</v>
      </c>
      <c r="J22" t="str">
        <f t="shared" si="1"/>
        <v>{Item,5011,90}</v>
      </c>
      <c r="K22" t="str">
        <f t="shared" si="1"/>
        <v>{Item,5011,120}</v>
      </c>
      <c r="L22" t="str">
        <f t="shared" si="1"/>
        <v>{Item,5011,150}</v>
      </c>
      <c r="M22" t="str">
        <f t="shared" si="1"/>
        <v>{Item,5011,200}</v>
      </c>
      <c r="N22" t="str">
        <f t="shared" si="1"/>
        <v>{Item,5011,270}</v>
      </c>
      <c r="O22" t="str">
        <f t="shared" si="1"/>
        <v>{Item,5011,370}</v>
      </c>
      <c r="Q22" t="str">
        <f t="shared" si="2"/>
        <v>[{Item,5011,30},{Item,5011,40},{Item,5011,50},{Item,5011,60},{Item,5011,70},{Item,5011,90},{Item,5011,120},{Item,5011,150},{Item,5011,200},{Item,5011,270},{Item,5011,370}]</v>
      </c>
    </row>
    <row r="23" spans="4:17">
      <c r="D23">
        <v>5012</v>
      </c>
      <c r="E23" t="str">
        <f t="shared" si="1"/>
        <v>{Item,5012,30}</v>
      </c>
      <c r="F23" t="str">
        <f t="shared" si="1"/>
        <v>{Item,5012,40}</v>
      </c>
      <c r="G23" t="str">
        <f t="shared" si="1"/>
        <v>{Item,5012,50}</v>
      </c>
      <c r="H23" t="str">
        <f t="shared" si="1"/>
        <v>{Item,5012,60}</v>
      </c>
      <c r="I23" t="str">
        <f t="shared" si="1"/>
        <v>{Item,5012,70}</v>
      </c>
      <c r="J23" t="str">
        <f t="shared" si="1"/>
        <v>{Item,5012,90}</v>
      </c>
      <c r="K23" t="str">
        <f t="shared" si="1"/>
        <v>{Item,5012,120}</v>
      </c>
      <c r="L23" t="str">
        <f t="shared" si="1"/>
        <v>{Item,5012,150}</v>
      </c>
      <c r="M23" t="str">
        <f t="shared" si="1"/>
        <v>{Item,5012,200}</v>
      </c>
      <c r="N23" t="str">
        <f t="shared" si="1"/>
        <v>{Item,5012,270}</v>
      </c>
      <c r="O23" t="str">
        <f t="shared" si="1"/>
        <v>{Item,5012,370}</v>
      </c>
      <c r="Q23" t="str">
        <f t="shared" si="2"/>
        <v>[{Item,5012,30},{Item,5012,40},{Item,5012,50},{Item,5012,60},{Item,5012,70},{Item,5012,90},{Item,5012,120},{Item,5012,150},{Item,5012,200},{Item,5012,270},{Item,5012,370}]</v>
      </c>
    </row>
    <row r="24" spans="4:17">
      <c r="D24">
        <v>5014</v>
      </c>
      <c r="E24" t="str">
        <f t="shared" si="1"/>
        <v>{Item,5014,30}</v>
      </c>
      <c r="F24" t="str">
        <f t="shared" si="1"/>
        <v>{Item,5014,40}</v>
      </c>
      <c r="G24" t="str">
        <f t="shared" si="1"/>
        <v>{Item,5014,50}</v>
      </c>
      <c r="H24" t="str">
        <f t="shared" si="1"/>
        <v>{Item,5014,60}</v>
      </c>
      <c r="I24" t="str">
        <f t="shared" si="1"/>
        <v>{Item,5014,70}</v>
      </c>
      <c r="J24" t="str">
        <f t="shared" si="1"/>
        <v>{Item,5014,90}</v>
      </c>
      <c r="K24" t="str">
        <f t="shared" si="1"/>
        <v>{Item,5014,120}</v>
      </c>
      <c r="L24" t="str">
        <f t="shared" si="1"/>
        <v>{Item,5014,150}</v>
      </c>
      <c r="M24" t="str">
        <f t="shared" si="1"/>
        <v>{Item,5014,200}</v>
      </c>
      <c r="N24" t="str">
        <f t="shared" si="1"/>
        <v>{Item,5014,270}</v>
      </c>
      <c r="O24" t="str">
        <f t="shared" si="1"/>
        <v>{Item,5014,370}</v>
      </c>
      <c r="Q24" t="str">
        <f t="shared" si="2"/>
        <v>[{Item,5014,30},{Item,5014,40},{Item,5014,50},{Item,5014,60},{Item,5014,70},{Item,5014,90},{Item,5014,120},{Item,5014,150},{Item,5014,200},{Item,5014,270},{Item,5014,370}]</v>
      </c>
    </row>
    <row r="25" spans="4:17">
      <c r="D25">
        <v>5016</v>
      </c>
      <c r="E25" t="str">
        <f t="shared" si="1"/>
        <v>{Item,5016,30}</v>
      </c>
      <c r="F25" t="str">
        <f t="shared" si="1"/>
        <v>{Item,5016,40}</v>
      </c>
      <c r="G25" t="str">
        <f t="shared" si="1"/>
        <v>{Item,5016,50}</v>
      </c>
      <c r="H25" t="str">
        <f t="shared" si="1"/>
        <v>{Item,5016,60}</v>
      </c>
      <c r="I25" t="str">
        <f t="shared" si="1"/>
        <v>{Item,5016,70}</v>
      </c>
      <c r="J25" t="str">
        <f t="shared" si="1"/>
        <v>{Item,5016,90}</v>
      </c>
      <c r="K25" t="str">
        <f t="shared" si="1"/>
        <v>{Item,5016,120}</v>
      </c>
      <c r="L25" t="str">
        <f t="shared" si="1"/>
        <v>{Item,5016,150}</v>
      </c>
      <c r="M25" t="str">
        <f t="shared" si="1"/>
        <v>{Item,5016,200}</v>
      </c>
      <c r="N25" t="str">
        <f t="shared" si="1"/>
        <v>{Item,5016,270}</v>
      </c>
      <c r="O25" t="str">
        <f t="shared" si="1"/>
        <v>{Item,5016,370}</v>
      </c>
      <c r="Q25" t="str">
        <f t="shared" si="2"/>
        <v>[{Item,5016,30},{Item,5016,40},{Item,5016,50},{Item,5016,60},{Item,5016,70},{Item,5016,90},{Item,5016,120},{Item,5016,150},{Item,5016,200},{Item,5016,270},{Item,5016,370}]</v>
      </c>
    </row>
    <row r="26" spans="4:17">
      <c r="D26">
        <v>5017</v>
      </c>
      <c r="E26" t="str">
        <f t="shared" si="1"/>
        <v>{Item,5017,30}</v>
      </c>
      <c r="F26" t="str">
        <f t="shared" si="1"/>
        <v>{Item,5017,40}</v>
      </c>
      <c r="G26" t="str">
        <f t="shared" si="1"/>
        <v>{Item,5017,50}</v>
      </c>
      <c r="H26" t="str">
        <f t="shared" si="1"/>
        <v>{Item,5017,60}</v>
      </c>
      <c r="I26" t="str">
        <f t="shared" si="1"/>
        <v>{Item,5017,70}</v>
      </c>
      <c r="J26" t="str">
        <f t="shared" si="1"/>
        <v>{Item,5017,90}</v>
      </c>
      <c r="K26" t="str">
        <f t="shared" si="1"/>
        <v>{Item,5017,120}</v>
      </c>
      <c r="L26" t="str">
        <f t="shared" si="1"/>
        <v>{Item,5017,150}</v>
      </c>
      <c r="M26" t="str">
        <f t="shared" si="1"/>
        <v>{Item,5017,200}</v>
      </c>
      <c r="N26" t="str">
        <f t="shared" si="1"/>
        <v>{Item,5017,270}</v>
      </c>
      <c r="O26" t="str">
        <f t="shared" si="1"/>
        <v>{Item,5017,370}</v>
      </c>
      <c r="Q26" t="str">
        <f t="shared" si="2"/>
        <v>[{Item,5017,30},{Item,5017,40},{Item,5017,50},{Item,5017,60},{Item,5017,70},{Item,5017,90},{Item,5017,120},{Item,5017,150},{Item,5017,200},{Item,5017,270},{Item,5017,370}]</v>
      </c>
    </row>
    <row r="27" spans="4:17">
      <c r="D27">
        <v>5018</v>
      </c>
      <c r="E27" t="str">
        <f t="shared" si="1"/>
        <v>{Item,5018,30}</v>
      </c>
      <c r="F27" t="str">
        <f t="shared" si="1"/>
        <v>{Item,5018,40}</v>
      </c>
      <c r="G27" t="str">
        <f t="shared" si="1"/>
        <v>{Item,5018,50}</v>
      </c>
      <c r="H27" t="str">
        <f t="shared" si="1"/>
        <v>{Item,5018,60}</v>
      </c>
      <c r="I27" t="str">
        <f t="shared" si="1"/>
        <v>{Item,5018,70}</v>
      </c>
      <c r="J27" t="str">
        <f t="shared" si="1"/>
        <v>{Item,5018,90}</v>
      </c>
      <c r="K27" t="str">
        <f t="shared" si="1"/>
        <v>{Item,5018,120}</v>
      </c>
      <c r="L27" t="str">
        <f t="shared" si="1"/>
        <v>{Item,5018,150}</v>
      </c>
      <c r="M27" t="str">
        <f t="shared" si="1"/>
        <v>{Item,5018,200}</v>
      </c>
      <c r="N27" t="str">
        <f t="shared" si="1"/>
        <v>{Item,5018,270}</v>
      </c>
      <c r="O27" t="str">
        <f t="shared" si="1"/>
        <v>{Item,5018,370}</v>
      </c>
      <c r="Q27" t="str">
        <f t="shared" si="2"/>
        <v>[{Item,5018,30},{Item,5018,40},{Item,5018,50},{Item,5018,60},{Item,5018,70},{Item,5018,90},{Item,5018,120},{Item,5018,150},{Item,5018,200},{Item,5018,270},{Item,5018,370}]</v>
      </c>
    </row>
    <row r="28" spans="4:17">
      <c r="D28">
        <v>5019</v>
      </c>
      <c r="E28" t="str">
        <f t="shared" si="1"/>
        <v>{Item,5019,30}</v>
      </c>
      <c r="F28" t="str">
        <f t="shared" si="1"/>
        <v>{Item,5019,40}</v>
      </c>
      <c r="G28" t="str">
        <f t="shared" si="1"/>
        <v>{Item,5019,50}</v>
      </c>
      <c r="H28" t="str">
        <f t="shared" si="1"/>
        <v>{Item,5019,60}</v>
      </c>
      <c r="I28" t="str">
        <f t="shared" si="1"/>
        <v>{Item,5019,70}</v>
      </c>
      <c r="J28" t="str">
        <f t="shared" si="1"/>
        <v>{Item,5019,90}</v>
      </c>
      <c r="K28" t="str">
        <f t="shared" si="1"/>
        <v>{Item,5019,120}</v>
      </c>
      <c r="L28" t="str">
        <f t="shared" si="1"/>
        <v>{Item,5019,150}</v>
      </c>
      <c r="M28" t="str">
        <f t="shared" si="1"/>
        <v>{Item,5019,200}</v>
      </c>
      <c r="N28" t="str">
        <f t="shared" si="1"/>
        <v>{Item,5019,270}</v>
      </c>
      <c r="O28" t="str">
        <f t="shared" si="1"/>
        <v>{Item,5019,370}</v>
      </c>
      <c r="Q28" t="str">
        <f t="shared" si="2"/>
        <v>[{Item,5019,30},{Item,5019,40},{Item,5019,50},{Item,5019,60},{Item,5019,70},{Item,5019,90},{Item,5019,120},{Item,5019,150},{Item,5019,200},{Item,5019,270},{Item,5019,370}]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鸡排饭加个蛋</cp:lastModifiedBy>
  <dcterms:created xsi:type="dcterms:W3CDTF">2023-02-15T09:33:00Z</dcterms:created>
  <dcterms:modified xsi:type="dcterms:W3CDTF">2024-09-13T02:40:06Z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8E681237B87547D29189FA8178E52905</vt:lpwstr>
  </property>
  <property fmtid="{D5CDD505-2E9C-101B-9397-08002B2CF9AE}" pid="3" name="KSOProductBuildVer">
    <vt:lpwstr>2052-12.1.0.17827</vt:lpwstr>
  </property>
</Properties>
</file>