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Sheet1" sheetId="1" r:id="rId1"/>
    <sheet name="Sheet2" sheetId="2" r:id="rId2"/>
  </sheets>
  <definedNames>
    <definedName name="_xlnm._FilterDatabase" localSheetId="0" hidden="1">Sheet1!$A$5:$H$14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</authors>
  <commentList>
    <comment ref="B1" authorId="0">
      <text>
        <r>
          <rPr>
            <sz val="9"/>
            <rFont val="宋体"/>
            <charset val="134"/>
          </rPr>
          <t xml:space="preserve">没有可以不填
</t>
        </r>
      </text>
    </comment>
  </commentList>
</comments>
</file>

<file path=xl/sharedStrings.xml><?xml version="1.0" encoding="utf-8"?>
<sst xmlns="http://schemas.openxmlformats.org/spreadsheetml/2006/main" count="124" uniqueCount="91">
  <si>
    <t>序列id</t>
  </si>
  <si>
    <t>奖池名称</t>
  </si>
  <si>
    <t>both</t>
  </si>
  <si>
    <t>client</t>
  </si>
  <si>
    <t>id</t>
  </si>
  <si>
    <t>itemTypeName_cn</t>
  </si>
  <si>
    <t>itemTypeName_zh</t>
  </si>
  <si>
    <t>itemTypeName_en</t>
  </si>
  <si>
    <t>itemTypeName_ja</t>
  </si>
  <si>
    <t>itemTypeName_ko</t>
  </si>
  <si>
    <t>itemTypeName_de</t>
  </si>
  <si>
    <t>itemTypeName_fr</t>
  </si>
  <si>
    <t>itemTypeName_pt</t>
  </si>
  <si>
    <t>itemTypeName_es</t>
  </si>
  <si>
    <t>int</t>
  </si>
  <si>
    <t>string</t>
  </si>
  <si>
    <t>普通品质服饰</t>
  </si>
  <si>
    <t>Common Clothing</t>
  </si>
  <si>
    <t>コモン品質衣装</t>
  </si>
  <si>
    <t>일반 등급 의상</t>
  </si>
  <si>
    <t>Gewöhnliche Kleidung</t>
  </si>
  <si>
    <t>Tenue Ordinaire</t>
  </si>
  <si>
    <t>Traje Comum</t>
  </si>
  <si>
    <t>Ropa normal</t>
  </si>
  <si>
    <t>精良品质服饰</t>
  </si>
  <si>
    <t>Excellent Clothing</t>
  </si>
  <si>
    <t>アンコモン品質衣装</t>
  </si>
  <si>
    <t>양질 등급 의상</t>
  </si>
  <si>
    <t>Ausgezeichnete Kleidung</t>
  </si>
  <si>
    <t>Tenue Excellente</t>
  </si>
  <si>
    <t>Traje Excelente</t>
  </si>
  <si>
    <t>Ropa excelente</t>
  </si>
  <si>
    <t>稀有品质服饰</t>
  </si>
  <si>
    <t>Rare Clothing</t>
  </si>
  <si>
    <t>レア品質衣装</t>
  </si>
  <si>
    <t>희귀 등급 의상</t>
  </si>
  <si>
    <t>Seltene Kleidung</t>
  </si>
  <si>
    <t>Tenue Rare</t>
  </si>
  <si>
    <t>Traje Raro</t>
  </si>
  <si>
    <t>Ropa rara</t>
  </si>
  <si>
    <t>史诗品质服饰</t>
  </si>
  <si>
    <t>Epic Clothing</t>
  </si>
  <si>
    <t>エピック品質衣装</t>
  </si>
  <si>
    <t>에픽 등급 의상</t>
  </si>
  <si>
    <t>Epische Kleidung</t>
  </si>
  <si>
    <t>Tenue Épique</t>
  </si>
  <si>
    <t>Traje Épico</t>
  </si>
  <si>
    <t>Ropa épica</t>
  </si>
  <si>
    <t>卓越品质服饰</t>
  </si>
  <si>
    <t>Supreme Clothing</t>
  </si>
  <si>
    <t>エクセレント品質衣装</t>
  </si>
  <si>
    <t>슈퍼 등급 의상</t>
  </si>
  <si>
    <t>Erhabene Kleidung</t>
  </si>
  <si>
    <t>Tenue Suprême</t>
  </si>
  <si>
    <t>Traje Supremo</t>
  </si>
  <si>
    <t>Ropa suprema</t>
  </si>
  <si>
    <t>传说品质服饰</t>
  </si>
  <si>
    <t>Legendary Clothing</t>
  </si>
  <si>
    <t>レジェンド品質衣装</t>
  </si>
  <si>
    <t>전설 등급 의상</t>
  </si>
  <si>
    <t>Legendäre Kleidung</t>
  </si>
  <si>
    <t>Tenue Légendaire</t>
  </si>
  <si>
    <t>Traje Lendário</t>
  </si>
  <si>
    <t>Ropa legendaria</t>
  </si>
  <si>
    <t>S级史诗品质服饰</t>
  </si>
  <si>
    <t>S Epic Clothing</t>
  </si>
  <si>
    <t>S級エピック品質衣装</t>
  </si>
  <si>
    <t>S급 에픽 등급 의상</t>
  </si>
  <si>
    <t>Epische Kleidung S</t>
  </si>
  <si>
    <t>Tenue Épique S</t>
  </si>
  <si>
    <t>Traje Épico S</t>
  </si>
  <si>
    <t>Ropa épica S</t>
  </si>
  <si>
    <t>S级卓越品质服饰</t>
  </si>
  <si>
    <t>S Supreme Clothing</t>
  </si>
  <si>
    <t>S級エクセレント品質衣装</t>
  </si>
  <si>
    <t>S급 슈퍼 등급 의상</t>
  </si>
  <si>
    <t>Erhabene Kleidung S</t>
  </si>
  <si>
    <t>Tenue Suprême S</t>
  </si>
  <si>
    <t>Traje Supremo S</t>
  </si>
  <si>
    <t>Ropa suprema S</t>
  </si>
  <si>
    <t>S级传说品质服饰</t>
  </si>
  <si>
    <t>S Legendary Clothing</t>
  </si>
  <si>
    <t>S級レジェンド品質衣装</t>
  </si>
  <si>
    <t>S급 전설 등급 의상</t>
  </si>
  <si>
    <t>Legendäre Kleidung S</t>
  </si>
  <si>
    <t>Tenue Légendaire S</t>
  </si>
  <si>
    <t>Traje Lendário S</t>
  </si>
  <si>
    <t>Ropa legendaria S</t>
  </si>
  <si>
    <t>[{heroEquip,</t>
  </si>
  <si>
    <t>终值：</t>
  </si>
  <si>
    <t>求平均：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</si>
</sst>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sz val="11"/>
      <color rgb="FFFF0000"/>
      <name val="黑体"/>
      <charset val="134"/>
    </font>
    <font>
      <sz val="12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2"/>
      <color theme="0"/>
      <name val="微软雅黑"/>
      <charset val="134"/>
    </font>
    <font>
      <sz val="12"/>
      <color rgb="FFFF000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99978637043366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AA84F"/>
        <bgColor rgb="FF6AA84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3" fillId="9" borderId="7" applyNumberFormat="0" applyAlignment="0" applyProtection="0">
      <alignment vertical="center"/>
    </xf>
    <xf numFmtId="0" fontId="24" fillId="9" borderId="6" applyNumberFormat="0" applyAlignment="0" applyProtection="0">
      <alignment vertical="center"/>
    </xf>
    <xf numFmtId="0" fontId="25" fillId="10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3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" fillId="2" borderId="0" xfId="0" applyFont="1" applyFill="1">
      <alignment vertical="center"/>
    </xf>
    <xf numFmtId="0" fontId="7" fillId="0" borderId="0" xfId="0" applyFont="1" applyFill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  <color rgb="00F58484"/>
      <color rgb="00454545"/>
      <color rgb="00CEA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pane ySplit="5" topLeftCell="A6" activePane="bottomLeft" state="frozen"/>
      <selection/>
      <selection pane="bottomLeft" activeCell="E27" sqref="E27:E28"/>
    </sheetView>
  </sheetViews>
  <sheetFormatPr defaultColWidth="24.25" defaultRowHeight="17.25"/>
  <cols>
    <col min="1" max="1" width="8.625" style="11" customWidth="1"/>
    <col min="2" max="2" width="34.5" style="11" customWidth="1"/>
    <col min="3" max="10" width="19.25" style="12" customWidth="1"/>
    <col min="11" max="16384" width="24.25" style="13"/>
  </cols>
  <sheetData>
    <row r="1" s="9" customFormat="1" spans="1:10">
      <c r="A1" s="14" t="s">
        <v>0</v>
      </c>
      <c r="B1" s="14" t="s">
        <v>1</v>
      </c>
      <c r="C1" s="14" t="s">
        <v>1</v>
      </c>
      <c r="D1" s="14" t="s">
        <v>1</v>
      </c>
      <c r="E1" s="14" t="s">
        <v>1</v>
      </c>
      <c r="F1" s="14" t="s">
        <v>1</v>
      </c>
      <c r="G1" s="14" t="s">
        <v>1</v>
      </c>
      <c r="H1" s="14" t="s">
        <v>1</v>
      </c>
      <c r="I1" s="14" t="s">
        <v>1</v>
      </c>
      <c r="J1" s="14" t="s">
        <v>1</v>
      </c>
    </row>
    <row r="2" s="9" customFormat="1" spans="1:10">
      <c r="A2" s="14" t="s">
        <v>2</v>
      </c>
      <c r="B2" s="14" t="s">
        <v>3</v>
      </c>
      <c r="C2" s="15" t="s">
        <v>3</v>
      </c>
      <c r="D2" s="15" t="s">
        <v>3</v>
      </c>
      <c r="E2" s="15" t="s">
        <v>3</v>
      </c>
      <c r="F2" s="15" t="s">
        <v>3</v>
      </c>
      <c r="G2" s="15" t="s">
        <v>3</v>
      </c>
      <c r="H2" s="15" t="s">
        <v>3</v>
      </c>
      <c r="I2" s="15" t="s">
        <v>3</v>
      </c>
      <c r="J2" s="15" t="s">
        <v>3</v>
      </c>
    </row>
    <row r="3" s="9" customFormat="1" spans="1:10">
      <c r="A3" s="14" t="s">
        <v>4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</row>
    <row r="4" s="9" customFormat="1" spans="1:10">
      <c r="A4" s="14" t="s">
        <v>14</v>
      </c>
      <c r="B4" s="14" t="s">
        <v>15</v>
      </c>
      <c r="C4" s="15" t="s">
        <v>15</v>
      </c>
      <c r="D4" s="15" t="s">
        <v>15</v>
      </c>
      <c r="E4" s="15" t="s">
        <v>15</v>
      </c>
      <c r="F4" s="15" t="s">
        <v>15</v>
      </c>
      <c r="G4" s="15" t="s">
        <v>15</v>
      </c>
      <c r="H4" s="15" t="s">
        <v>15</v>
      </c>
      <c r="I4" s="15" t="s">
        <v>15</v>
      </c>
      <c r="J4" s="15" t="s">
        <v>15</v>
      </c>
    </row>
    <row r="5" s="9" customFormat="1" spans="1:10">
      <c r="A5" s="14"/>
      <c r="B5" s="14"/>
      <c r="C5" s="15"/>
      <c r="D5" s="15"/>
      <c r="E5" s="15"/>
      <c r="F5" s="15"/>
      <c r="G5" s="15"/>
      <c r="H5" s="15"/>
      <c r="I5" s="15"/>
      <c r="J5" s="15"/>
    </row>
    <row r="6" s="10" customFormat="1" spans="1:10">
      <c r="A6" s="16">
        <v>201</v>
      </c>
      <c r="B6" s="17" t="s">
        <v>16</v>
      </c>
      <c r="C6" s="18" t="s">
        <v>16</v>
      </c>
      <c r="D6" s="18" t="s">
        <v>17</v>
      </c>
      <c r="E6" s="18" t="s">
        <v>18</v>
      </c>
      <c r="F6" s="18" t="s">
        <v>19</v>
      </c>
      <c r="G6" s="18" t="s">
        <v>20</v>
      </c>
      <c r="H6" s="18" t="s">
        <v>21</v>
      </c>
      <c r="I6" s="18" t="s">
        <v>22</v>
      </c>
      <c r="J6" s="18" t="s">
        <v>23</v>
      </c>
    </row>
    <row r="7" s="10" customFormat="1" ht="28.5" spans="1:10">
      <c r="A7" s="16">
        <v>202</v>
      </c>
      <c r="B7" s="17" t="s">
        <v>24</v>
      </c>
      <c r="C7" s="18" t="s">
        <v>24</v>
      </c>
      <c r="D7" s="18" t="s">
        <v>25</v>
      </c>
      <c r="E7" s="18" t="s">
        <v>26</v>
      </c>
      <c r="F7" s="18" t="s">
        <v>27</v>
      </c>
      <c r="G7" s="18" t="s">
        <v>28</v>
      </c>
      <c r="H7" s="18" t="s">
        <v>29</v>
      </c>
      <c r="I7" s="18" t="s">
        <v>30</v>
      </c>
      <c r="J7" s="18" t="s">
        <v>31</v>
      </c>
    </row>
    <row r="8" s="10" customFormat="1" spans="1:10">
      <c r="A8" s="16">
        <v>203</v>
      </c>
      <c r="B8" s="17" t="s">
        <v>32</v>
      </c>
      <c r="C8" s="18" t="s">
        <v>32</v>
      </c>
      <c r="D8" s="18" t="s">
        <v>33</v>
      </c>
      <c r="E8" s="18" t="s">
        <v>34</v>
      </c>
      <c r="F8" s="18" t="s">
        <v>35</v>
      </c>
      <c r="G8" s="18" t="s">
        <v>36</v>
      </c>
      <c r="H8" s="18" t="s">
        <v>37</v>
      </c>
      <c r="I8" s="18" t="s">
        <v>38</v>
      </c>
      <c r="J8" s="18" t="s">
        <v>39</v>
      </c>
    </row>
    <row r="9" s="10" customFormat="1" spans="1:10">
      <c r="A9" s="16">
        <v>204</v>
      </c>
      <c r="B9" s="17" t="s">
        <v>40</v>
      </c>
      <c r="C9" s="18" t="s">
        <v>40</v>
      </c>
      <c r="D9" s="18" t="s">
        <v>41</v>
      </c>
      <c r="E9" s="18" t="s">
        <v>42</v>
      </c>
      <c r="F9" s="18" t="s">
        <v>43</v>
      </c>
      <c r="G9" s="18" t="s">
        <v>44</v>
      </c>
      <c r="H9" s="18" t="s">
        <v>45</v>
      </c>
      <c r="I9" s="18" t="s">
        <v>46</v>
      </c>
      <c r="J9" s="18" t="s">
        <v>47</v>
      </c>
    </row>
    <row r="10" s="10" customFormat="1" ht="27" spans="1:10">
      <c r="A10" s="16">
        <v>205</v>
      </c>
      <c r="B10" s="17" t="s">
        <v>48</v>
      </c>
      <c r="C10" s="18" t="s">
        <v>48</v>
      </c>
      <c r="D10" s="18" t="s">
        <v>49</v>
      </c>
      <c r="E10" s="18" t="s">
        <v>50</v>
      </c>
      <c r="F10" s="18" t="s">
        <v>51</v>
      </c>
      <c r="G10" s="18" t="s">
        <v>52</v>
      </c>
      <c r="H10" s="18" t="s">
        <v>53</v>
      </c>
      <c r="I10" s="18" t="s">
        <v>54</v>
      </c>
      <c r="J10" s="18" t="s">
        <v>55</v>
      </c>
    </row>
    <row r="11" s="10" customFormat="1" spans="1:10">
      <c r="A11" s="16">
        <v>206</v>
      </c>
      <c r="B11" s="17" t="s">
        <v>56</v>
      </c>
      <c r="C11" s="18" t="s">
        <v>56</v>
      </c>
      <c r="D11" s="18" t="s">
        <v>57</v>
      </c>
      <c r="E11" s="18" t="s">
        <v>58</v>
      </c>
      <c r="F11" s="18" t="s">
        <v>59</v>
      </c>
      <c r="G11" s="18" t="s">
        <v>60</v>
      </c>
      <c r="H11" s="18" t="s">
        <v>61</v>
      </c>
      <c r="I11" s="18" t="s">
        <v>62</v>
      </c>
      <c r="J11" s="18" t="s">
        <v>63</v>
      </c>
    </row>
    <row r="12" s="10" customFormat="1" spans="1:10">
      <c r="A12" s="16">
        <v>207</v>
      </c>
      <c r="B12" s="17" t="s">
        <v>64</v>
      </c>
      <c r="C12" s="18" t="s">
        <v>64</v>
      </c>
      <c r="D12" s="18" t="s">
        <v>65</v>
      </c>
      <c r="E12" s="18" t="s">
        <v>66</v>
      </c>
      <c r="F12" s="18" t="s">
        <v>67</v>
      </c>
      <c r="G12" s="18" t="s">
        <v>68</v>
      </c>
      <c r="H12" s="18" t="s">
        <v>69</v>
      </c>
      <c r="I12" s="18" t="s">
        <v>70</v>
      </c>
      <c r="J12" s="18" t="s">
        <v>71</v>
      </c>
    </row>
    <row r="13" ht="27.75" spans="1:10">
      <c r="A13" s="16">
        <v>208</v>
      </c>
      <c r="B13" s="17" t="s">
        <v>72</v>
      </c>
      <c r="C13" s="18" t="s">
        <v>72</v>
      </c>
      <c r="D13" s="18" t="s">
        <v>73</v>
      </c>
      <c r="E13" s="18" t="s">
        <v>74</v>
      </c>
      <c r="F13" s="18" t="s">
        <v>75</v>
      </c>
      <c r="G13" s="18" t="s">
        <v>76</v>
      </c>
      <c r="H13" s="18" t="s">
        <v>77</v>
      </c>
      <c r="I13" s="18" t="s">
        <v>78</v>
      </c>
      <c r="J13" s="18" t="s">
        <v>79</v>
      </c>
    </row>
    <row r="14" ht="27.75" spans="1:10">
      <c r="A14" s="16">
        <v>209</v>
      </c>
      <c r="B14" s="17" t="s">
        <v>80</v>
      </c>
      <c r="C14" s="18" t="s">
        <v>80</v>
      </c>
      <c r="D14" s="18" t="s">
        <v>81</v>
      </c>
      <c r="E14" s="18" t="s">
        <v>82</v>
      </c>
      <c r="F14" s="18" t="s">
        <v>83</v>
      </c>
      <c r="G14" s="18" t="s">
        <v>84</v>
      </c>
      <c r="H14" s="18" t="s">
        <v>85</v>
      </c>
      <c r="I14" s="18" t="s">
        <v>86</v>
      </c>
      <c r="J14" s="18" t="s">
        <v>87</v>
      </c>
    </row>
  </sheetData>
  <autoFilter xmlns:etc="http://www.wps.cn/officeDocument/2017/etCustomData" ref="A5:H14" etc:filterBottomFollowUsedRange="0">
    <sortState ref="A5:H14">
      <sortCondition ref="A5"/>
    </sortState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7"/>
  <sheetViews>
    <sheetView workbookViewId="0">
      <selection activeCell="L1" sqref="L1"/>
    </sheetView>
  </sheetViews>
  <sheetFormatPr defaultColWidth="9" defaultRowHeight="13.5"/>
  <cols>
    <col min="1" max="1" width="3" style="1" customWidth="1"/>
    <col min="2" max="2" width="20.125" style="1" customWidth="1"/>
    <col min="3" max="3" width="12.625" style="2" customWidth="1"/>
    <col min="4" max="4" width="3.875" style="3" customWidth="1"/>
    <col min="5" max="5" width="5.875" style="4" customWidth="1"/>
    <col min="6" max="6" width="3.125" style="1" customWidth="1"/>
    <col min="7" max="7" width="9" style="1"/>
    <col min="8" max="8" width="12.625" style="1"/>
    <col min="9" max="9" width="9" style="1"/>
    <col min="10" max="10" width="12.625" style="1"/>
    <col min="11" max="14" width="9" style="1"/>
    <col min="15" max="15" width="12.625" style="1"/>
    <col min="16" max="16384" width="9" style="1"/>
  </cols>
  <sheetData>
    <row r="1" ht="17.25" spans="1:12">
      <c r="A1" s="1">
        <v>1</v>
      </c>
      <c r="B1" s="1" t="s">
        <v>88</v>
      </c>
      <c r="C1" s="5">
        <v>13</v>
      </c>
      <c r="D1" s="1" t="str">
        <f>IF(C1="","",",1,")</f>
        <v>,1,</v>
      </c>
      <c r="E1" s="1">
        <f t="shared" ref="E1:E7" si="0">IF(D1="","",ROUND($J$23,0))</f>
        <v>1667</v>
      </c>
      <c r="F1" s="1" t="str">
        <f t="shared" ref="F1:F8" si="1">IF(C2="","}]","},")</f>
        <v>},</v>
      </c>
      <c r="H1" s="1" t="str">
        <f>_xlfn.TEXTJOIN(,,B1:F1)</f>
        <v>[{heroEquip,13,1,1667},</v>
      </c>
      <c r="K1" s="8" t="s">
        <v>89</v>
      </c>
      <c r="L1" s="1" t="str">
        <f>_xlfn.TEXTJOIN(,,H:H)</f>
        <v>[{heroEquip,13,1,1667},{heroEquip,14,1,1667},{heroEquip,15,1,1667},{heroEquip,16,1,1667},{heroEquip,17,1,1667},{heroEquip,18,1,1667}]</v>
      </c>
    </row>
    <row r="2" ht="17.25" spans="1:8">
      <c r="A2" s="1">
        <f t="shared" ref="A2:A11" si="2">IF(C2="","",A1+1)</f>
        <v>2</v>
      </c>
      <c r="B2" s="1" t="str">
        <f>IF(C2="","","{heroEquip,")</f>
        <v>{heroEquip,</v>
      </c>
      <c r="C2" s="5">
        <v>14</v>
      </c>
      <c r="D2" s="1" t="str">
        <f>IF(C2="","",",1,")</f>
        <v>,1,</v>
      </c>
      <c r="E2" s="1">
        <f t="shared" si="0"/>
        <v>1667</v>
      </c>
      <c r="F2" s="1" t="str">
        <f t="shared" si="1"/>
        <v>},</v>
      </c>
      <c r="H2" s="1" t="str">
        <f t="shared" ref="H2:H11" si="3">_xlfn.TEXTJOIN(,,B2:F2)</f>
        <v>{heroEquip,14,1,1667},</v>
      </c>
    </row>
    <row r="3" ht="17.25" spans="1:8">
      <c r="A3" s="1">
        <f t="shared" si="2"/>
        <v>3</v>
      </c>
      <c r="B3" s="1" t="str">
        <f t="shared" ref="B3:B34" si="4">IF(C3="","","{heroEquip,")</f>
        <v>{heroEquip,</v>
      </c>
      <c r="C3" s="5">
        <v>15</v>
      </c>
      <c r="D3" s="1" t="str">
        <f>IF(C3="","",",1,")</f>
        <v>,1,</v>
      </c>
      <c r="E3" s="1">
        <f t="shared" si="0"/>
        <v>1667</v>
      </c>
      <c r="F3" s="1" t="str">
        <f t="shared" si="1"/>
        <v>},</v>
      </c>
      <c r="H3" s="1" t="str">
        <f t="shared" si="3"/>
        <v>{heroEquip,15,1,1667},</v>
      </c>
    </row>
    <row r="4" ht="17.25" spans="1:8">
      <c r="A4" s="1">
        <f t="shared" si="2"/>
        <v>4</v>
      </c>
      <c r="B4" s="1" t="str">
        <f t="shared" si="4"/>
        <v>{heroEquip,</v>
      </c>
      <c r="C4" s="5">
        <v>16</v>
      </c>
      <c r="D4" s="1" t="str">
        <f t="shared" ref="D4:D11" si="5">IF(C4="","",",1,")</f>
        <v>,1,</v>
      </c>
      <c r="E4" s="1">
        <f t="shared" si="0"/>
        <v>1667</v>
      </c>
      <c r="F4" s="1" t="str">
        <f t="shared" si="1"/>
        <v>},</v>
      </c>
      <c r="H4" s="1" t="str">
        <f t="shared" si="3"/>
        <v>{heroEquip,16,1,1667},</v>
      </c>
    </row>
    <row r="5" ht="17.25" spans="1:8">
      <c r="A5" s="1">
        <f t="shared" si="2"/>
        <v>5</v>
      </c>
      <c r="B5" s="1" t="str">
        <f t="shared" si="4"/>
        <v>{heroEquip,</v>
      </c>
      <c r="C5" s="5">
        <v>17</v>
      </c>
      <c r="D5" s="1" t="str">
        <f t="shared" si="5"/>
        <v>,1,</v>
      </c>
      <c r="E5" s="1">
        <f t="shared" si="0"/>
        <v>1667</v>
      </c>
      <c r="F5" s="1" t="str">
        <f t="shared" si="1"/>
        <v>},</v>
      </c>
      <c r="H5" s="1" t="str">
        <f t="shared" si="3"/>
        <v>{heroEquip,17,1,1667},</v>
      </c>
    </row>
    <row r="6" ht="17.25" spans="1:8">
      <c r="A6" s="1">
        <f t="shared" si="2"/>
        <v>6</v>
      </c>
      <c r="B6" s="1" t="str">
        <f t="shared" si="4"/>
        <v>{heroEquip,</v>
      </c>
      <c r="C6" s="5">
        <v>18</v>
      </c>
      <c r="D6" s="1" t="str">
        <f t="shared" si="5"/>
        <v>,1,</v>
      </c>
      <c r="E6" s="1">
        <f t="shared" si="0"/>
        <v>1667</v>
      </c>
      <c r="F6" s="1" t="str">
        <f t="shared" si="1"/>
        <v>}]</v>
      </c>
      <c r="H6" s="1" t="str">
        <f t="shared" si="3"/>
        <v>{heroEquip,18,1,1667}]</v>
      </c>
    </row>
    <row r="7" ht="17.25" spans="1:8">
      <c r="A7" s="1" t="str">
        <f t="shared" si="2"/>
        <v/>
      </c>
      <c r="B7" s="1" t="str">
        <f t="shared" si="4"/>
        <v/>
      </c>
      <c r="C7" s="5"/>
      <c r="D7" s="1" t="str">
        <f t="shared" si="5"/>
        <v/>
      </c>
      <c r="E7" s="1" t="str">
        <f t="shared" si="0"/>
        <v/>
      </c>
      <c r="H7" s="1" t="str">
        <f t="shared" si="3"/>
        <v/>
      </c>
    </row>
    <row r="8" ht="17.25" spans="1:8">
      <c r="A8" s="1" t="str">
        <f t="shared" si="2"/>
        <v/>
      </c>
      <c r="B8" s="1" t="str">
        <f t="shared" si="4"/>
        <v/>
      </c>
      <c r="C8" s="5"/>
      <c r="D8" s="1" t="str">
        <f t="shared" ref="D8:D15" si="6">IF(C8="","",",1,")</f>
        <v/>
      </c>
      <c r="E8" s="1" t="str">
        <f t="shared" ref="E8:E15" si="7">IF(D8="","",ROUND($J$23,0))</f>
        <v/>
      </c>
      <c r="H8" s="1" t="str">
        <f t="shared" si="3"/>
        <v/>
      </c>
    </row>
    <row r="9" ht="17.25" spans="1:8">
      <c r="A9" s="1" t="str">
        <f t="shared" si="2"/>
        <v/>
      </c>
      <c r="B9" s="1" t="str">
        <f t="shared" si="4"/>
        <v/>
      </c>
      <c r="C9" s="5"/>
      <c r="D9" s="1" t="str">
        <f t="shared" si="6"/>
        <v/>
      </c>
      <c r="E9" s="1" t="str">
        <f t="shared" si="7"/>
        <v/>
      </c>
      <c r="H9" s="1" t="str">
        <f t="shared" si="3"/>
        <v/>
      </c>
    </row>
    <row r="10" ht="17.25" spans="1:8">
      <c r="A10" s="1" t="str">
        <f t="shared" si="2"/>
        <v/>
      </c>
      <c r="B10" s="1" t="str">
        <f t="shared" si="4"/>
        <v/>
      </c>
      <c r="C10" s="5"/>
      <c r="D10" s="1" t="str">
        <f t="shared" si="6"/>
        <v/>
      </c>
      <c r="E10" s="1" t="str">
        <f t="shared" si="7"/>
        <v/>
      </c>
      <c r="H10" s="1" t="str">
        <f t="shared" si="3"/>
        <v/>
      </c>
    </row>
    <row r="11" ht="17.25" spans="1:8">
      <c r="A11" s="1" t="str">
        <f t="shared" si="2"/>
        <v/>
      </c>
      <c r="B11" s="1" t="str">
        <f t="shared" si="4"/>
        <v/>
      </c>
      <c r="C11" s="5"/>
      <c r="D11" s="1" t="str">
        <f t="shared" si="6"/>
        <v/>
      </c>
      <c r="E11" s="1" t="str">
        <f t="shared" si="7"/>
        <v/>
      </c>
      <c r="H11" s="1" t="str">
        <f t="shared" si="3"/>
        <v/>
      </c>
    </row>
    <row r="12" ht="17.25" spans="1:8">
      <c r="A12" s="1" t="str">
        <f t="shared" ref="A12:A19" si="8">IF(C12="","",A11+1)</f>
        <v/>
      </c>
      <c r="B12" s="1" t="str">
        <f t="shared" si="4"/>
        <v/>
      </c>
      <c r="C12" s="5"/>
      <c r="D12" s="1" t="str">
        <f t="shared" si="6"/>
        <v/>
      </c>
      <c r="E12" s="1" t="str">
        <f t="shared" si="7"/>
        <v/>
      </c>
      <c r="H12" s="1" t="str">
        <f t="shared" ref="H12:H17" si="9">_xlfn.TEXTJOIN(,,B12:F12)</f>
        <v/>
      </c>
    </row>
    <row r="13" ht="17.25" spans="1:8">
      <c r="A13" s="1" t="str">
        <f t="shared" si="8"/>
        <v/>
      </c>
      <c r="B13" s="1" t="str">
        <f t="shared" si="4"/>
        <v/>
      </c>
      <c r="C13" s="5"/>
      <c r="D13" s="1" t="str">
        <f t="shared" si="6"/>
        <v/>
      </c>
      <c r="E13" s="1"/>
      <c r="F13" s="1"/>
      <c r="H13" s="1" t="str">
        <f t="shared" si="9"/>
        <v/>
      </c>
    </row>
    <row r="14" ht="17.25" spans="1:8">
      <c r="A14" s="1" t="str">
        <f t="shared" si="8"/>
        <v/>
      </c>
      <c r="B14" s="1" t="str">
        <f t="shared" si="4"/>
        <v/>
      </c>
      <c r="C14" s="5"/>
      <c r="D14" s="1" t="str">
        <f t="shared" si="6"/>
        <v/>
      </c>
      <c r="E14" s="1"/>
      <c r="F14" s="1"/>
      <c r="H14" s="1" t="str">
        <f t="shared" si="9"/>
        <v/>
      </c>
    </row>
    <row r="15" ht="17.25" spans="1:8">
      <c r="A15" s="1" t="str">
        <f t="shared" si="8"/>
        <v/>
      </c>
      <c r="B15" s="1" t="str">
        <f t="shared" si="4"/>
        <v/>
      </c>
      <c r="C15" s="5"/>
      <c r="D15" s="1" t="str">
        <f t="shared" si="6"/>
        <v/>
      </c>
      <c r="E15" s="1"/>
      <c r="F15" s="1"/>
      <c r="H15" s="1" t="str">
        <f t="shared" si="9"/>
        <v/>
      </c>
    </row>
    <row r="16" ht="16.5" spans="1:8">
      <c r="A16" s="1" t="str">
        <f t="shared" si="8"/>
        <v/>
      </c>
      <c r="B16" s="1" t="str">
        <f t="shared" si="4"/>
        <v/>
      </c>
      <c r="C16" s="6"/>
      <c r="D16" s="1" t="str">
        <f t="shared" ref="D15:D56" si="10">IF(C16="","",",1,")</f>
        <v/>
      </c>
      <c r="E16" s="1"/>
      <c r="H16" s="1" t="str">
        <f t="shared" si="9"/>
        <v/>
      </c>
    </row>
    <row r="17" ht="16.5" spans="1:8">
      <c r="A17" s="1" t="str">
        <f t="shared" si="8"/>
        <v/>
      </c>
      <c r="B17" s="1" t="str">
        <f t="shared" si="4"/>
        <v/>
      </c>
      <c r="C17" s="6"/>
      <c r="D17" s="1" t="str">
        <f t="shared" si="10"/>
        <v/>
      </c>
      <c r="E17" s="1" t="str">
        <f t="shared" ref="E15:E39" si="11">IF(D17="","",ROUND($J$23,0))</f>
        <v/>
      </c>
      <c r="H17" s="1" t="str">
        <f t="shared" si="9"/>
        <v/>
      </c>
    </row>
    <row r="18" ht="16.5" spans="1:5">
      <c r="A18" s="1" t="str">
        <f t="shared" si="8"/>
        <v/>
      </c>
      <c r="B18" s="1" t="str">
        <f t="shared" si="4"/>
        <v/>
      </c>
      <c r="C18" s="6"/>
      <c r="D18" s="1" t="str">
        <f t="shared" si="10"/>
        <v/>
      </c>
      <c r="E18" s="1" t="str">
        <f t="shared" si="11"/>
        <v/>
      </c>
    </row>
    <row r="19" ht="16.5" spans="1:5">
      <c r="A19" s="1" t="str">
        <f t="shared" si="8"/>
        <v/>
      </c>
      <c r="B19" s="1" t="str">
        <f t="shared" si="4"/>
        <v/>
      </c>
      <c r="C19" s="6"/>
      <c r="D19" s="1" t="str">
        <f t="shared" si="10"/>
        <v/>
      </c>
      <c r="E19" s="1" t="str">
        <f t="shared" si="11"/>
        <v/>
      </c>
    </row>
    <row r="20" ht="16.5" spans="1:5">
      <c r="A20" s="1" t="str">
        <f t="shared" ref="A15:A77" si="12">IF(C20="","",A19+1)</f>
        <v/>
      </c>
      <c r="B20" s="1" t="str">
        <f t="shared" si="4"/>
        <v/>
      </c>
      <c r="C20" s="6"/>
      <c r="D20" s="1" t="str">
        <f t="shared" si="10"/>
        <v/>
      </c>
      <c r="E20" s="1" t="str">
        <f t="shared" si="11"/>
        <v/>
      </c>
    </row>
    <row r="21" ht="16.5" spans="1:5">
      <c r="A21" s="1" t="str">
        <f t="shared" si="12"/>
        <v/>
      </c>
      <c r="B21" s="1" t="str">
        <f t="shared" si="4"/>
        <v/>
      </c>
      <c r="C21" s="6"/>
      <c r="D21" s="1" t="str">
        <f t="shared" si="10"/>
        <v/>
      </c>
      <c r="E21" s="1" t="str">
        <f t="shared" si="11"/>
        <v/>
      </c>
    </row>
    <row r="22" ht="16.5" spans="1:10">
      <c r="A22" s="1" t="str">
        <f t="shared" si="12"/>
        <v/>
      </c>
      <c r="B22" s="1" t="str">
        <f t="shared" si="4"/>
        <v/>
      </c>
      <c r="C22" s="6"/>
      <c r="D22" s="1" t="str">
        <f t="shared" si="10"/>
        <v/>
      </c>
      <c r="E22" s="1" t="str">
        <f t="shared" si="11"/>
        <v/>
      </c>
      <c r="J22" s="8" t="s">
        <v>90</v>
      </c>
    </row>
    <row r="23" ht="16.5" spans="1:10">
      <c r="A23" s="1" t="str">
        <f t="shared" si="12"/>
        <v/>
      </c>
      <c r="B23" s="1" t="str">
        <f t="shared" si="4"/>
        <v/>
      </c>
      <c r="C23" s="6"/>
      <c r="D23" s="1" t="str">
        <f t="shared" si="10"/>
        <v/>
      </c>
      <c r="E23" s="1" t="str">
        <f t="shared" si="11"/>
        <v/>
      </c>
      <c r="J23" s="1">
        <f>10000/COUNTA(C:C)</f>
        <v>1666.66666666667</v>
      </c>
    </row>
    <row r="24" ht="16.5" spans="1:5">
      <c r="A24" s="1" t="str">
        <f t="shared" si="12"/>
        <v/>
      </c>
      <c r="B24" s="1" t="str">
        <f t="shared" si="4"/>
        <v/>
      </c>
      <c r="C24" s="6"/>
      <c r="D24" s="1" t="str">
        <f t="shared" si="10"/>
        <v/>
      </c>
      <c r="E24" s="1" t="str">
        <f t="shared" si="11"/>
        <v/>
      </c>
    </row>
    <row r="25" spans="1:5">
      <c r="A25" s="1" t="str">
        <f t="shared" si="12"/>
        <v/>
      </c>
      <c r="B25" s="1" t="str">
        <f t="shared" si="4"/>
        <v/>
      </c>
      <c r="D25" s="1" t="str">
        <f t="shared" si="10"/>
        <v/>
      </c>
      <c r="E25" s="1" t="str">
        <f t="shared" si="11"/>
        <v/>
      </c>
    </row>
    <row r="26" spans="1:5">
      <c r="A26" s="1" t="str">
        <f t="shared" si="12"/>
        <v/>
      </c>
      <c r="B26" s="1" t="str">
        <f t="shared" si="4"/>
        <v/>
      </c>
      <c r="D26" s="1" t="str">
        <f t="shared" si="10"/>
        <v/>
      </c>
      <c r="E26" s="1" t="str">
        <f t="shared" si="11"/>
        <v/>
      </c>
    </row>
    <row r="27" spans="1:5">
      <c r="A27" s="1" t="str">
        <f t="shared" si="12"/>
        <v/>
      </c>
      <c r="B27" s="1" t="str">
        <f t="shared" si="4"/>
        <v/>
      </c>
      <c r="D27" s="1" t="str">
        <f t="shared" si="10"/>
        <v/>
      </c>
      <c r="E27" s="1" t="str">
        <f t="shared" si="11"/>
        <v/>
      </c>
    </row>
    <row r="28" spans="1:5">
      <c r="A28" s="1" t="str">
        <f t="shared" si="12"/>
        <v/>
      </c>
      <c r="B28" s="1" t="str">
        <f t="shared" si="4"/>
        <v/>
      </c>
      <c r="D28" s="1" t="str">
        <f t="shared" si="10"/>
        <v/>
      </c>
      <c r="E28" s="1" t="str">
        <f t="shared" si="11"/>
        <v/>
      </c>
    </row>
    <row r="29" spans="1:5">
      <c r="A29" s="1" t="str">
        <f t="shared" si="12"/>
        <v/>
      </c>
      <c r="B29" s="1" t="str">
        <f t="shared" si="4"/>
        <v/>
      </c>
      <c r="D29" s="1" t="str">
        <f t="shared" si="10"/>
        <v/>
      </c>
      <c r="E29" s="1" t="str">
        <f t="shared" si="11"/>
        <v/>
      </c>
    </row>
    <row r="30" spans="1:5">
      <c r="A30" s="1" t="str">
        <f t="shared" si="12"/>
        <v/>
      </c>
      <c r="B30" s="1" t="str">
        <f t="shared" si="4"/>
        <v/>
      </c>
      <c r="D30" s="1" t="str">
        <f t="shared" si="10"/>
        <v/>
      </c>
      <c r="E30" s="1" t="str">
        <f t="shared" si="11"/>
        <v/>
      </c>
    </row>
    <row r="31" spans="1:5">
      <c r="A31" s="1" t="str">
        <f t="shared" si="12"/>
        <v/>
      </c>
      <c r="B31" s="1" t="str">
        <f t="shared" si="4"/>
        <v/>
      </c>
      <c r="D31" s="1" t="str">
        <f t="shared" si="10"/>
        <v/>
      </c>
      <c r="E31" s="1" t="str">
        <f t="shared" si="11"/>
        <v/>
      </c>
    </row>
    <row r="32" spans="1:5">
      <c r="A32" s="1" t="str">
        <f t="shared" si="12"/>
        <v/>
      </c>
      <c r="B32" s="1" t="str">
        <f t="shared" si="4"/>
        <v/>
      </c>
      <c r="D32" s="1" t="str">
        <f t="shared" si="10"/>
        <v/>
      </c>
      <c r="E32" s="1" t="str">
        <f t="shared" si="11"/>
        <v/>
      </c>
    </row>
    <row r="33" spans="1:5">
      <c r="A33" s="1" t="str">
        <f t="shared" si="12"/>
        <v/>
      </c>
      <c r="B33" s="1" t="str">
        <f t="shared" si="4"/>
        <v/>
      </c>
      <c r="D33" s="1" t="str">
        <f t="shared" si="10"/>
        <v/>
      </c>
      <c r="E33" s="1" t="str">
        <f t="shared" si="11"/>
        <v/>
      </c>
    </row>
    <row r="34" spans="1:5">
      <c r="A34" s="1" t="str">
        <f t="shared" si="12"/>
        <v/>
      </c>
      <c r="B34" s="1" t="str">
        <f t="shared" si="4"/>
        <v/>
      </c>
      <c r="D34" s="1" t="str">
        <f t="shared" si="10"/>
        <v/>
      </c>
      <c r="E34" s="1" t="str">
        <f t="shared" si="11"/>
        <v/>
      </c>
    </row>
    <row r="35" spans="1:5">
      <c r="A35" s="1" t="str">
        <f t="shared" si="12"/>
        <v/>
      </c>
      <c r="B35" s="1" t="str">
        <f t="shared" ref="B35:B66" si="13">IF(C35="","","{heroEquip,")</f>
        <v/>
      </c>
      <c r="D35" s="1" t="str">
        <f t="shared" si="10"/>
        <v/>
      </c>
      <c r="E35" s="1" t="str">
        <f t="shared" si="11"/>
        <v/>
      </c>
    </row>
    <row r="36" spans="1:5">
      <c r="A36" s="1" t="str">
        <f t="shared" si="12"/>
        <v/>
      </c>
      <c r="B36" s="1" t="str">
        <f t="shared" si="13"/>
        <v/>
      </c>
      <c r="D36" s="1" t="str">
        <f t="shared" si="10"/>
        <v/>
      </c>
      <c r="E36" s="1" t="str">
        <f t="shared" si="11"/>
        <v/>
      </c>
    </row>
    <row r="37" spans="1:5">
      <c r="A37" s="1" t="str">
        <f t="shared" si="12"/>
        <v/>
      </c>
      <c r="B37" s="1" t="str">
        <f t="shared" si="13"/>
        <v/>
      </c>
      <c r="D37" s="1" t="str">
        <f t="shared" si="10"/>
        <v/>
      </c>
      <c r="E37" s="1" t="str">
        <f t="shared" si="11"/>
        <v/>
      </c>
    </row>
    <row r="38" spans="1:5">
      <c r="A38" s="1" t="str">
        <f t="shared" si="12"/>
        <v/>
      </c>
      <c r="B38" s="1" t="str">
        <f t="shared" si="13"/>
        <v/>
      </c>
      <c r="D38" s="1" t="str">
        <f t="shared" si="10"/>
        <v/>
      </c>
      <c r="E38" s="1" t="str">
        <f t="shared" si="11"/>
        <v/>
      </c>
    </row>
    <row r="39" spans="1:5">
      <c r="A39" s="1" t="str">
        <f t="shared" si="12"/>
        <v/>
      </c>
      <c r="B39" s="1" t="str">
        <f t="shared" si="13"/>
        <v/>
      </c>
      <c r="D39" s="1" t="str">
        <f t="shared" si="10"/>
        <v/>
      </c>
      <c r="E39" s="1" t="str">
        <f t="shared" si="11"/>
        <v/>
      </c>
    </row>
    <row r="40" spans="1:5">
      <c r="A40" s="1" t="str">
        <f t="shared" si="12"/>
        <v/>
      </c>
      <c r="B40" s="1" t="str">
        <f t="shared" si="13"/>
        <v/>
      </c>
      <c r="D40" s="1" t="str">
        <f t="shared" si="10"/>
        <v/>
      </c>
      <c r="E40" s="1" t="str">
        <f t="shared" ref="E40:E45" si="14">IF(D40="","",ROUND($J$23,0))</f>
        <v/>
      </c>
    </row>
    <row r="41" spans="1:5">
      <c r="A41" s="1" t="str">
        <f t="shared" si="12"/>
        <v/>
      </c>
      <c r="B41" s="1" t="str">
        <f t="shared" si="13"/>
        <v/>
      </c>
      <c r="D41" s="1" t="str">
        <f t="shared" si="10"/>
        <v/>
      </c>
      <c r="E41" s="1" t="str">
        <f t="shared" si="14"/>
        <v/>
      </c>
    </row>
    <row r="42" spans="1:5">
      <c r="A42" s="1" t="str">
        <f t="shared" si="12"/>
        <v/>
      </c>
      <c r="B42" s="1" t="str">
        <f t="shared" si="13"/>
        <v/>
      </c>
      <c r="D42" s="1" t="str">
        <f t="shared" si="10"/>
        <v/>
      </c>
      <c r="E42" s="1" t="str">
        <f t="shared" si="14"/>
        <v/>
      </c>
    </row>
    <row r="43" spans="1:5">
      <c r="A43" s="1" t="str">
        <f t="shared" si="12"/>
        <v/>
      </c>
      <c r="B43" s="1" t="str">
        <f t="shared" si="13"/>
        <v/>
      </c>
      <c r="D43" s="1" t="str">
        <f t="shared" si="10"/>
        <v/>
      </c>
      <c r="E43" s="1" t="str">
        <f t="shared" si="14"/>
        <v/>
      </c>
    </row>
    <row r="44" spans="1:5">
      <c r="A44" s="1" t="str">
        <f t="shared" si="12"/>
        <v/>
      </c>
      <c r="B44" s="1" t="str">
        <f t="shared" si="13"/>
        <v/>
      </c>
      <c r="D44" s="1" t="str">
        <f t="shared" si="10"/>
        <v/>
      </c>
      <c r="E44" s="1" t="str">
        <f t="shared" si="14"/>
        <v/>
      </c>
    </row>
    <row r="45" spans="1:5">
      <c r="A45" s="1" t="str">
        <f t="shared" si="12"/>
        <v/>
      </c>
      <c r="B45" s="1" t="str">
        <f t="shared" si="13"/>
        <v/>
      </c>
      <c r="D45" s="1" t="str">
        <f t="shared" si="10"/>
        <v/>
      </c>
      <c r="E45" s="1" t="str">
        <f t="shared" si="14"/>
        <v/>
      </c>
    </row>
    <row r="46" spans="1:5">
      <c r="A46" s="1" t="str">
        <f t="shared" si="12"/>
        <v/>
      </c>
      <c r="B46" s="1" t="str">
        <f t="shared" si="13"/>
        <v/>
      </c>
      <c r="D46" s="1" t="str">
        <f t="shared" si="10"/>
        <v/>
      </c>
      <c r="E46" s="1" t="str">
        <f t="shared" ref="E46:E77" si="15">IF(D46="","",ROUND($J$23,0))</f>
        <v/>
      </c>
    </row>
    <row r="47" spans="1:5">
      <c r="A47" s="1" t="str">
        <f t="shared" si="12"/>
        <v/>
      </c>
      <c r="B47" s="1" t="str">
        <f t="shared" si="13"/>
        <v/>
      </c>
      <c r="D47" s="1" t="str">
        <f t="shared" si="10"/>
        <v/>
      </c>
      <c r="E47" s="1" t="str">
        <f t="shared" si="15"/>
        <v/>
      </c>
    </row>
    <row r="48" spans="1:5">
      <c r="A48" s="1" t="str">
        <f t="shared" si="12"/>
        <v/>
      </c>
      <c r="B48" s="1" t="str">
        <f t="shared" si="13"/>
        <v/>
      </c>
      <c r="D48" s="1" t="str">
        <f t="shared" si="10"/>
        <v/>
      </c>
      <c r="E48" s="1" t="str">
        <f t="shared" si="15"/>
        <v/>
      </c>
    </row>
    <row r="49" spans="1:5">
      <c r="A49" s="1" t="str">
        <f t="shared" si="12"/>
        <v/>
      </c>
      <c r="B49" s="1" t="str">
        <f t="shared" si="13"/>
        <v/>
      </c>
      <c r="D49" s="1" t="str">
        <f t="shared" si="10"/>
        <v/>
      </c>
      <c r="E49" s="1" t="str">
        <f t="shared" si="15"/>
        <v/>
      </c>
    </row>
    <row r="50" spans="1:5">
      <c r="A50" s="1" t="str">
        <f t="shared" si="12"/>
        <v/>
      </c>
      <c r="B50" s="1" t="str">
        <f t="shared" si="13"/>
        <v/>
      </c>
      <c r="D50" s="1" t="str">
        <f t="shared" si="10"/>
        <v/>
      </c>
      <c r="E50" s="1" t="str">
        <f t="shared" si="15"/>
        <v/>
      </c>
    </row>
    <row r="51" spans="1:5">
      <c r="A51" s="1" t="str">
        <f t="shared" si="12"/>
        <v/>
      </c>
      <c r="B51" s="1" t="str">
        <f t="shared" si="13"/>
        <v/>
      </c>
      <c r="D51" s="1" t="str">
        <f t="shared" si="10"/>
        <v/>
      </c>
      <c r="E51" s="1" t="str">
        <f t="shared" si="15"/>
        <v/>
      </c>
    </row>
    <row r="52" spans="1:5">
      <c r="A52" s="1" t="str">
        <f t="shared" si="12"/>
        <v/>
      </c>
      <c r="B52" s="1" t="str">
        <f t="shared" si="13"/>
        <v/>
      </c>
      <c r="D52" s="1" t="str">
        <f t="shared" si="10"/>
        <v/>
      </c>
      <c r="E52" s="1" t="str">
        <f t="shared" si="15"/>
        <v/>
      </c>
    </row>
    <row r="53" spans="1:5">
      <c r="A53" s="1" t="str">
        <f t="shared" si="12"/>
        <v/>
      </c>
      <c r="B53" s="1" t="str">
        <f t="shared" si="13"/>
        <v/>
      </c>
      <c r="D53" s="1" t="str">
        <f t="shared" si="10"/>
        <v/>
      </c>
      <c r="E53" s="1" t="str">
        <f t="shared" si="15"/>
        <v/>
      </c>
    </row>
    <row r="54" spans="1:5">
      <c r="A54" s="1" t="str">
        <f t="shared" si="12"/>
        <v/>
      </c>
      <c r="B54" s="1" t="str">
        <f t="shared" si="13"/>
        <v/>
      </c>
      <c r="D54" s="1" t="str">
        <f t="shared" si="10"/>
        <v/>
      </c>
      <c r="E54" s="1" t="str">
        <f t="shared" si="15"/>
        <v/>
      </c>
    </row>
    <row r="55" spans="1:5">
      <c r="A55" s="1" t="str">
        <f t="shared" si="12"/>
        <v/>
      </c>
      <c r="B55" s="1" t="str">
        <f t="shared" si="13"/>
        <v/>
      </c>
      <c r="D55" s="1" t="str">
        <f t="shared" si="10"/>
        <v/>
      </c>
      <c r="E55" s="1" t="str">
        <f t="shared" si="15"/>
        <v/>
      </c>
    </row>
    <row r="56" spans="1:5">
      <c r="A56" s="1" t="str">
        <f t="shared" si="12"/>
        <v/>
      </c>
      <c r="B56" s="1" t="str">
        <f t="shared" si="13"/>
        <v/>
      </c>
      <c r="D56" s="1" t="str">
        <f t="shared" si="10"/>
        <v/>
      </c>
      <c r="E56" s="1" t="str">
        <f t="shared" si="15"/>
        <v/>
      </c>
    </row>
    <row r="57" ht="16.5" spans="1:5">
      <c r="A57" s="1" t="str">
        <f t="shared" si="12"/>
        <v/>
      </c>
      <c r="B57" s="1" t="str">
        <f t="shared" si="13"/>
        <v/>
      </c>
      <c r="D57" s="7"/>
      <c r="E57" s="1" t="str">
        <f t="shared" si="15"/>
        <v/>
      </c>
    </row>
    <row r="58" ht="16.5" spans="1:5">
      <c r="A58" s="1" t="str">
        <f t="shared" si="12"/>
        <v/>
      </c>
      <c r="B58" s="1" t="str">
        <f t="shared" si="13"/>
        <v/>
      </c>
      <c r="D58" s="7"/>
      <c r="E58" s="1" t="str">
        <f t="shared" si="15"/>
        <v/>
      </c>
    </row>
    <row r="59" ht="16.5" spans="1:5">
      <c r="A59" s="1" t="str">
        <f t="shared" si="12"/>
        <v/>
      </c>
      <c r="B59" s="1" t="str">
        <f t="shared" si="13"/>
        <v/>
      </c>
      <c r="D59" s="7"/>
      <c r="E59" s="1" t="str">
        <f t="shared" si="15"/>
        <v/>
      </c>
    </row>
    <row r="60" ht="16.5" spans="1:5">
      <c r="A60" s="1" t="str">
        <f t="shared" si="12"/>
        <v/>
      </c>
      <c r="B60" s="1" t="str">
        <f t="shared" si="13"/>
        <v/>
      </c>
      <c r="D60" s="7"/>
      <c r="E60" s="1" t="str">
        <f t="shared" si="15"/>
        <v/>
      </c>
    </row>
    <row r="61" ht="16.5" spans="1:5">
      <c r="A61" s="1" t="str">
        <f t="shared" si="12"/>
        <v/>
      </c>
      <c r="B61" s="1" t="str">
        <f t="shared" si="13"/>
        <v/>
      </c>
      <c r="D61" s="7"/>
      <c r="E61" s="1" t="str">
        <f t="shared" si="15"/>
        <v/>
      </c>
    </row>
    <row r="62" ht="16.5" spans="1:5">
      <c r="A62" s="1" t="str">
        <f t="shared" si="12"/>
        <v/>
      </c>
      <c r="B62" s="1" t="str">
        <f t="shared" si="13"/>
        <v/>
      </c>
      <c r="D62" s="7"/>
      <c r="E62" s="1" t="str">
        <f t="shared" si="15"/>
        <v/>
      </c>
    </row>
    <row r="63" ht="16.5" spans="1:5">
      <c r="A63" s="1" t="str">
        <f t="shared" si="12"/>
        <v/>
      </c>
      <c r="B63" s="1" t="str">
        <f t="shared" si="13"/>
        <v/>
      </c>
      <c r="D63" s="7"/>
      <c r="E63" s="1" t="str">
        <f t="shared" si="15"/>
        <v/>
      </c>
    </row>
    <row r="64" ht="16.5" spans="1:5">
      <c r="A64" s="1" t="str">
        <f t="shared" si="12"/>
        <v/>
      </c>
      <c r="B64" s="1" t="str">
        <f t="shared" si="13"/>
        <v/>
      </c>
      <c r="D64" s="7"/>
      <c r="E64" s="1" t="str">
        <f t="shared" si="15"/>
        <v/>
      </c>
    </row>
    <row r="65" ht="16.5" spans="1:5">
      <c r="A65" s="1" t="str">
        <f t="shared" si="12"/>
        <v/>
      </c>
      <c r="B65" s="1" t="str">
        <f t="shared" si="13"/>
        <v/>
      </c>
      <c r="D65" s="7"/>
      <c r="E65" s="1" t="str">
        <f t="shared" si="15"/>
        <v/>
      </c>
    </row>
    <row r="66" ht="16.5" spans="1:5">
      <c r="A66" s="1" t="str">
        <f t="shared" si="12"/>
        <v/>
      </c>
      <c r="B66" s="1" t="str">
        <f t="shared" si="13"/>
        <v/>
      </c>
      <c r="D66" s="7"/>
      <c r="E66" s="1" t="str">
        <f t="shared" si="15"/>
        <v/>
      </c>
    </row>
    <row r="67" ht="16.5" spans="1:5">
      <c r="A67" s="1" t="str">
        <f t="shared" si="12"/>
        <v/>
      </c>
      <c r="B67" s="1" t="str">
        <f t="shared" ref="B67:B98" si="16">IF(C67="","","{heroEquip,")</f>
        <v/>
      </c>
      <c r="D67" s="7"/>
      <c r="E67" s="1" t="str">
        <f t="shared" si="15"/>
        <v/>
      </c>
    </row>
    <row r="68" ht="16.5" spans="1:5">
      <c r="A68" s="1" t="str">
        <f t="shared" si="12"/>
        <v/>
      </c>
      <c r="B68" s="1" t="str">
        <f t="shared" si="16"/>
        <v/>
      </c>
      <c r="D68" s="7"/>
      <c r="E68" s="1" t="str">
        <f t="shared" si="15"/>
        <v/>
      </c>
    </row>
    <row r="69" ht="16.5" spans="1:5">
      <c r="A69" s="1" t="str">
        <f t="shared" si="12"/>
        <v/>
      </c>
      <c r="B69" s="1" t="str">
        <f t="shared" si="16"/>
        <v/>
      </c>
      <c r="D69" s="7"/>
      <c r="E69" s="1" t="str">
        <f t="shared" si="15"/>
        <v/>
      </c>
    </row>
    <row r="70" ht="16.5" spans="1:5">
      <c r="A70" s="1" t="str">
        <f t="shared" si="12"/>
        <v/>
      </c>
      <c r="B70" s="1" t="str">
        <f t="shared" si="16"/>
        <v/>
      </c>
      <c r="D70" s="7"/>
      <c r="E70" s="1" t="str">
        <f t="shared" si="15"/>
        <v/>
      </c>
    </row>
    <row r="71" ht="16.5" spans="1:5">
      <c r="A71" s="1" t="str">
        <f t="shared" si="12"/>
        <v/>
      </c>
      <c r="B71" s="1" t="str">
        <f t="shared" si="16"/>
        <v/>
      </c>
      <c r="D71" s="7"/>
      <c r="E71" s="1" t="str">
        <f t="shared" si="15"/>
        <v/>
      </c>
    </row>
    <row r="72" ht="16.5" spans="1:5">
      <c r="A72" s="1" t="str">
        <f t="shared" si="12"/>
        <v/>
      </c>
      <c r="B72" s="1" t="str">
        <f t="shared" si="16"/>
        <v/>
      </c>
      <c r="D72" s="7"/>
      <c r="E72" s="1" t="str">
        <f t="shared" si="15"/>
        <v/>
      </c>
    </row>
    <row r="73" ht="16.5" spans="1:5">
      <c r="A73" s="1" t="str">
        <f t="shared" si="12"/>
        <v/>
      </c>
      <c r="B73" s="1" t="str">
        <f t="shared" si="16"/>
        <v/>
      </c>
      <c r="D73" s="7"/>
      <c r="E73" s="1" t="str">
        <f t="shared" si="15"/>
        <v/>
      </c>
    </row>
    <row r="74" ht="16.5" spans="1:5">
      <c r="A74" s="1" t="str">
        <f t="shared" si="12"/>
        <v/>
      </c>
      <c r="B74" s="1" t="str">
        <f t="shared" si="16"/>
        <v/>
      </c>
      <c r="D74" s="7"/>
      <c r="E74" s="1" t="str">
        <f t="shared" si="15"/>
        <v/>
      </c>
    </row>
    <row r="75" ht="16.5" spans="1:5">
      <c r="A75" s="1" t="str">
        <f t="shared" si="12"/>
        <v/>
      </c>
      <c r="B75" s="1" t="str">
        <f t="shared" si="16"/>
        <v/>
      </c>
      <c r="D75" s="7"/>
      <c r="E75" s="1" t="str">
        <f t="shared" si="15"/>
        <v/>
      </c>
    </row>
    <row r="76" ht="16.5" spans="1:5">
      <c r="A76" s="1" t="str">
        <f t="shared" si="12"/>
        <v/>
      </c>
      <c r="B76" s="1" t="str">
        <f t="shared" si="16"/>
        <v/>
      </c>
      <c r="D76" s="7"/>
      <c r="E76" s="1" t="str">
        <f t="shared" si="15"/>
        <v/>
      </c>
    </row>
    <row r="77" ht="16.5" spans="1:5">
      <c r="A77" s="1" t="str">
        <f t="shared" si="12"/>
        <v/>
      </c>
      <c r="B77" s="1" t="str">
        <f t="shared" si="16"/>
        <v/>
      </c>
      <c r="D77" s="7"/>
      <c r="E77" s="1" t="str">
        <f t="shared" si="15"/>
        <v/>
      </c>
    </row>
    <row r="78" ht="16.5" spans="1:5">
      <c r="A78" s="1" t="str">
        <f t="shared" ref="A78:A141" si="17">IF(C78="","",A77+1)</f>
        <v/>
      </c>
      <c r="B78" s="1" t="str">
        <f t="shared" si="16"/>
        <v/>
      </c>
      <c r="D78" s="7"/>
      <c r="E78" s="1" t="str">
        <f t="shared" ref="E78:E109" si="18">IF(D78="","",ROUND($J$23,0))</f>
        <v/>
      </c>
    </row>
    <row r="79" ht="16.5" spans="1:5">
      <c r="A79" s="1" t="str">
        <f t="shared" si="17"/>
        <v/>
      </c>
      <c r="B79" s="1" t="str">
        <f t="shared" si="16"/>
        <v/>
      </c>
      <c r="D79" s="7"/>
      <c r="E79" s="1" t="str">
        <f t="shared" si="18"/>
        <v/>
      </c>
    </row>
    <row r="80" ht="16.5" spans="1:5">
      <c r="A80" s="1" t="str">
        <f t="shared" si="17"/>
        <v/>
      </c>
      <c r="B80" s="1" t="str">
        <f t="shared" si="16"/>
        <v/>
      </c>
      <c r="D80" s="7"/>
      <c r="E80" s="1" t="str">
        <f t="shared" si="18"/>
        <v/>
      </c>
    </row>
    <row r="81" ht="16.5" spans="1:5">
      <c r="A81" s="1" t="str">
        <f t="shared" si="17"/>
        <v/>
      </c>
      <c r="B81" s="1" t="str">
        <f t="shared" si="16"/>
        <v/>
      </c>
      <c r="D81" s="7"/>
      <c r="E81" s="1" t="str">
        <f t="shared" si="18"/>
        <v/>
      </c>
    </row>
    <row r="82" ht="16.5" spans="1:5">
      <c r="A82" s="1" t="str">
        <f t="shared" si="17"/>
        <v/>
      </c>
      <c r="B82" s="1" t="str">
        <f t="shared" si="16"/>
        <v/>
      </c>
      <c r="D82" s="7"/>
      <c r="E82" s="1" t="str">
        <f t="shared" si="18"/>
        <v/>
      </c>
    </row>
    <row r="83" ht="16.5" spans="1:5">
      <c r="A83" s="1" t="str">
        <f t="shared" si="17"/>
        <v/>
      </c>
      <c r="B83" s="1" t="str">
        <f t="shared" si="16"/>
        <v/>
      </c>
      <c r="D83" s="7"/>
      <c r="E83" s="1" t="str">
        <f t="shared" si="18"/>
        <v/>
      </c>
    </row>
    <row r="84" ht="16.5" spans="1:5">
      <c r="A84" s="1" t="str">
        <f t="shared" si="17"/>
        <v/>
      </c>
      <c r="B84" s="1" t="str">
        <f t="shared" si="16"/>
        <v/>
      </c>
      <c r="D84" s="7"/>
      <c r="E84" s="1" t="str">
        <f t="shared" si="18"/>
        <v/>
      </c>
    </row>
    <row r="85" ht="16.5" spans="1:5">
      <c r="A85" s="1" t="str">
        <f t="shared" si="17"/>
        <v/>
      </c>
      <c r="B85" s="1" t="str">
        <f t="shared" si="16"/>
        <v/>
      </c>
      <c r="D85" s="7"/>
      <c r="E85" s="1" t="str">
        <f t="shared" si="18"/>
        <v/>
      </c>
    </row>
    <row r="86" ht="16.5" spans="1:5">
      <c r="A86" s="1" t="str">
        <f t="shared" si="17"/>
        <v/>
      </c>
      <c r="B86" s="1" t="str">
        <f t="shared" si="16"/>
        <v/>
      </c>
      <c r="D86" s="7"/>
      <c r="E86" s="1" t="str">
        <f t="shared" si="18"/>
        <v/>
      </c>
    </row>
    <row r="87" ht="16.5" spans="1:5">
      <c r="A87" s="1" t="str">
        <f t="shared" si="17"/>
        <v/>
      </c>
      <c r="B87" s="1" t="str">
        <f t="shared" si="16"/>
        <v/>
      </c>
      <c r="D87" s="7"/>
      <c r="E87" s="1" t="str">
        <f t="shared" si="18"/>
        <v/>
      </c>
    </row>
    <row r="88" ht="16.5" spans="1:5">
      <c r="A88" s="1" t="str">
        <f t="shared" si="17"/>
        <v/>
      </c>
      <c r="B88" s="1" t="str">
        <f t="shared" si="16"/>
        <v/>
      </c>
      <c r="D88" s="7"/>
      <c r="E88" s="1" t="str">
        <f t="shared" si="18"/>
        <v/>
      </c>
    </row>
    <row r="89" ht="16.5" spans="1:5">
      <c r="A89" s="1" t="str">
        <f t="shared" si="17"/>
        <v/>
      </c>
      <c r="B89" s="1" t="str">
        <f t="shared" si="16"/>
        <v/>
      </c>
      <c r="D89" s="7"/>
      <c r="E89" s="1" t="str">
        <f t="shared" si="18"/>
        <v/>
      </c>
    </row>
    <row r="90" ht="16.5" spans="1:5">
      <c r="A90" s="1" t="str">
        <f t="shared" si="17"/>
        <v/>
      </c>
      <c r="B90" s="1" t="str">
        <f t="shared" si="16"/>
        <v/>
      </c>
      <c r="D90" s="7"/>
      <c r="E90" s="1" t="str">
        <f t="shared" si="18"/>
        <v/>
      </c>
    </row>
    <row r="91" ht="16.5" spans="1:5">
      <c r="A91" s="1" t="str">
        <f t="shared" si="17"/>
        <v/>
      </c>
      <c r="B91" s="1" t="str">
        <f t="shared" si="16"/>
        <v/>
      </c>
      <c r="D91" s="7"/>
      <c r="E91" s="1" t="str">
        <f t="shared" si="18"/>
        <v/>
      </c>
    </row>
    <row r="92" ht="16.5" spans="1:5">
      <c r="A92" s="1" t="str">
        <f t="shared" si="17"/>
        <v/>
      </c>
      <c r="B92" s="1" t="str">
        <f t="shared" si="16"/>
        <v/>
      </c>
      <c r="D92" s="7"/>
      <c r="E92" s="1" t="str">
        <f t="shared" si="18"/>
        <v/>
      </c>
    </row>
    <row r="93" ht="16.5" spans="1:5">
      <c r="A93" s="1" t="str">
        <f t="shared" si="17"/>
        <v/>
      </c>
      <c r="B93" s="1" t="str">
        <f t="shared" si="16"/>
        <v/>
      </c>
      <c r="D93" s="7"/>
      <c r="E93" s="1" t="str">
        <f t="shared" si="18"/>
        <v/>
      </c>
    </row>
    <row r="94" ht="16.5" spans="1:5">
      <c r="A94" s="1" t="str">
        <f t="shared" si="17"/>
        <v/>
      </c>
      <c r="B94" s="1" t="str">
        <f t="shared" si="16"/>
        <v/>
      </c>
      <c r="D94" s="7"/>
      <c r="E94" s="1" t="str">
        <f t="shared" si="18"/>
        <v/>
      </c>
    </row>
    <row r="95" ht="16.5" spans="1:5">
      <c r="A95" s="1" t="str">
        <f t="shared" si="17"/>
        <v/>
      </c>
      <c r="B95" s="1" t="str">
        <f t="shared" si="16"/>
        <v/>
      </c>
      <c r="D95" s="7"/>
      <c r="E95" s="1" t="str">
        <f t="shared" si="18"/>
        <v/>
      </c>
    </row>
    <row r="96" ht="16.5" spans="1:5">
      <c r="A96" s="1" t="str">
        <f t="shared" si="17"/>
        <v/>
      </c>
      <c r="B96" s="1" t="str">
        <f t="shared" si="16"/>
        <v/>
      </c>
      <c r="D96" s="7"/>
      <c r="E96" s="1" t="str">
        <f t="shared" si="18"/>
        <v/>
      </c>
    </row>
    <row r="97" ht="16.5" spans="1:5">
      <c r="A97" s="1" t="str">
        <f t="shared" si="17"/>
        <v/>
      </c>
      <c r="B97" s="1" t="str">
        <f t="shared" si="16"/>
        <v/>
      </c>
      <c r="D97" s="7"/>
      <c r="E97" s="1" t="str">
        <f t="shared" si="18"/>
        <v/>
      </c>
    </row>
    <row r="98" ht="16.5" spans="1:5">
      <c r="A98" s="1" t="str">
        <f t="shared" si="17"/>
        <v/>
      </c>
      <c r="B98" s="1" t="str">
        <f t="shared" si="16"/>
        <v/>
      </c>
      <c r="D98" s="7"/>
      <c r="E98" s="1" t="str">
        <f t="shared" si="18"/>
        <v/>
      </c>
    </row>
    <row r="99" ht="16.5" spans="1:5">
      <c r="A99" s="1" t="str">
        <f t="shared" si="17"/>
        <v/>
      </c>
      <c r="B99" s="1" t="str">
        <f t="shared" ref="B99:B130" si="19">IF(C99="","","{heroEquip,")</f>
        <v/>
      </c>
      <c r="D99" s="7"/>
      <c r="E99" s="1" t="str">
        <f t="shared" si="18"/>
        <v/>
      </c>
    </row>
    <row r="100" ht="16.5" spans="1:5">
      <c r="A100" s="1" t="str">
        <f t="shared" si="17"/>
        <v/>
      </c>
      <c r="B100" s="1" t="str">
        <f t="shared" si="19"/>
        <v/>
      </c>
      <c r="D100" s="7"/>
      <c r="E100" s="1" t="str">
        <f t="shared" si="18"/>
        <v/>
      </c>
    </row>
    <row r="101" ht="16.5" spans="1:5">
      <c r="A101" s="1" t="str">
        <f t="shared" si="17"/>
        <v/>
      </c>
      <c r="B101" s="1" t="str">
        <f t="shared" si="19"/>
        <v/>
      </c>
      <c r="D101" s="7"/>
      <c r="E101" s="1" t="str">
        <f t="shared" si="18"/>
        <v/>
      </c>
    </row>
    <row r="102" ht="16.5" spans="1:5">
      <c r="A102" s="1" t="str">
        <f t="shared" si="17"/>
        <v/>
      </c>
      <c r="B102" s="1" t="str">
        <f t="shared" si="19"/>
        <v/>
      </c>
      <c r="D102" s="7"/>
      <c r="E102" s="1" t="str">
        <f t="shared" si="18"/>
        <v/>
      </c>
    </row>
    <row r="103" ht="16.5" spans="1:5">
      <c r="A103" s="1" t="str">
        <f t="shared" si="17"/>
        <v/>
      </c>
      <c r="B103" s="1" t="str">
        <f t="shared" si="19"/>
        <v/>
      </c>
      <c r="D103" s="7"/>
      <c r="E103" s="1" t="str">
        <f t="shared" si="18"/>
        <v/>
      </c>
    </row>
    <row r="104" ht="16.5" spans="1:5">
      <c r="A104" s="1" t="str">
        <f t="shared" si="17"/>
        <v/>
      </c>
      <c r="B104" s="1" t="str">
        <f t="shared" si="19"/>
        <v/>
      </c>
      <c r="D104" s="7"/>
      <c r="E104" s="1" t="str">
        <f t="shared" si="18"/>
        <v/>
      </c>
    </row>
    <row r="105" ht="16.5" spans="1:5">
      <c r="A105" s="1" t="str">
        <f t="shared" si="17"/>
        <v/>
      </c>
      <c r="B105" s="1" t="str">
        <f t="shared" si="19"/>
        <v/>
      </c>
      <c r="D105" s="7"/>
      <c r="E105" s="1" t="str">
        <f t="shared" si="18"/>
        <v/>
      </c>
    </row>
    <row r="106" ht="16.5" spans="1:5">
      <c r="A106" s="1" t="str">
        <f t="shared" si="17"/>
        <v/>
      </c>
      <c r="B106" s="1" t="str">
        <f t="shared" si="19"/>
        <v/>
      </c>
      <c r="D106" s="7"/>
      <c r="E106" s="1" t="str">
        <f t="shared" si="18"/>
        <v/>
      </c>
    </row>
    <row r="107" ht="16.5" spans="1:5">
      <c r="A107" s="1" t="str">
        <f t="shared" si="17"/>
        <v/>
      </c>
      <c r="B107" s="1" t="str">
        <f t="shared" si="19"/>
        <v/>
      </c>
      <c r="D107" s="7"/>
      <c r="E107" s="1" t="str">
        <f t="shared" si="18"/>
        <v/>
      </c>
    </row>
    <row r="108" ht="16.5" spans="1:5">
      <c r="A108" s="1" t="str">
        <f t="shared" si="17"/>
        <v/>
      </c>
      <c r="B108" s="1" t="str">
        <f t="shared" si="19"/>
        <v/>
      </c>
      <c r="D108" s="7"/>
      <c r="E108" s="1" t="str">
        <f t="shared" si="18"/>
        <v/>
      </c>
    </row>
    <row r="109" ht="16.5" spans="1:5">
      <c r="A109" s="1" t="str">
        <f t="shared" si="17"/>
        <v/>
      </c>
      <c r="B109" s="1" t="str">
        <f t="shared" si="19"/>
        <v/>
      </c>
      <c r="D109" s="7"/>
      <c r="E109" s="1" t="str">
        <f t="shared" si="18"/>
        <v/>
      </c>
    </row>
    <row r="110" ht="16.5" spans="1:5">
      <c r="A110" s="1" t="str">
        <f t="shared" si="17"/>
        <v/>
      </c>
      <c r="B110" s="1" t="str">
        <f t="shared" si="19"/>
        <v/>
      </c>
      <c r="D110" s="7"/>
      <c r="E110" s="1" t="str">
        <f t="shared" ref="E110:E132" si="20">IF(D110="","",ROUND($J$23,0))</f>
        <v/>
      </c>
    </row>
    <row r="111" ht="16.5" spans="1:5">
      <c r="A111" s="1" t="str">
        <f t="shared" si="17"/>
        <v/>
      </c>
      <c r="B111" s="1" t="str">
        <f t="shared" si="19"/>
        <v/>
      </c>
      <c r="D111" s="7"/>
      <c r="E111" s="1" t="str">
        <f t="shared" si="20"/>
        <v/>
      </c>
    </row>
    <row r="112" ht="16.5" spans="1:5">
      <c r="A112" s="1" t="str">
        <f t="shared" si="17"/>
        <v/>
      </c>
      <c r="B112" s="1" t="str">
        <f t="shared" si="19"/>
        <v/>
      </c>
      <c r="D112" s="7"/>
      <c r="E112" s="1" t="str">
        <f t="shared" si="20"/>
        <v/>
      </c>
    </row>
    <row r="113" ht="16.5" spans="1:5">
      <c r="A113" s="1" t="str">
        <f t="shared" si="17"/>
        <v/>
      </c>
      <c r="B113" s="1" t="str">
        <f t="shared" si="19"/>
        <v/>
      </c>
      <c r="D113" s="7"/>
      <c r="E113" s="1" t="str">
        <f t="shared" si="20"/>
        <v/>
      </c>
    </row>
    <row r="114" ht="16.5" spans="1:5">
      <c r="A114" s="1" t="str">
        <f t="shared" si="17"/>
        <v/>
      </c>
      <c r="B114" s="1" t="str">
        <f t="shared" si="19"/>
        <v/>
      </c>
      <c r="D114" s="7"/>
      <c r="E114" s="1" t="str">
        <f t="shared" si="20"/>
        <v/>
      </c>
    </row>
    <row r="115" ht="16.5" spans="1:5">
      <c r="A115" s="1" t="str">
        <f t="shared" si="17"/>
        <v/>
      </c>
      <c r="B115" s="1" t="str">
        <f t="shared" si="19"/>
        <v/>
      </c>
      <c r="D115" s="7"/>
      <c r="E115" s="1" t="str">
        <f t="shared" si="20"/>
        <v/>
      </c>
    </row>
    <row r="116" ht="16.5" spans="1:5">
      <c r="A116" s="1" t="str">
        <f t="shared" si="17"/>
        <v/>
      </c>
      <c r="B116" s="1" t="str">
        <f t="shared" si="19"/>
        <v/>
      </c>
      <c r="D116" s="7"/>
      <c r="E116" s="1" t="str">
        <f t="shared" si="20"/>
        <v/>
      </c>
    </row>
    <row r="117" ht="16.5" spans="1:5">
      <c r="A117" s="1" t="str">
        <f t="shared" si="17"/>
        <v/>
      </c>
      <c r="B117" s="1" t="str">
        <f t="shared" si="19"/>
        <v/>
      </c>
      <c r="D117" s="7"/>
      <c r="E117" s="1" t="str">
        <f t="shared" si="20"/>
        <v/>
      </c>
    </row>
    <row r="118" ht="16.5" spans="1:5">
      <c r="A118" s="1" t="str">
        <f t="shared" si="17"/>
        <v/>
      </c>
      <c r="B118" s="1" t="str">
        <f t="shared" si="19"/>
        <v/>
      </c>
      <c r="D118" s="7"/>
      <c r="E118" s="1" t="str">
        <f t="shared" si="20"/>
        <v/>
      </c>
    </row>
    <row r="119" ht="16.5" spans="1:5">
      <c r="A119" s="1" t="str">
        <f t="shared" si="17"/>
        <v/>
      </c>
      <c r="B119" s="1" t="str">
        <f t="shared" si="19"/>
        <v/>
      </c>
      <c r="D119" s="7"/>
      <c r="E119" s="1" t="str">
        <f t="shared" si="20"/>
        <v/>
      </c>
    </row>
    <row r="120" ht="16.5" spans="1:5">
      <c r="A120" s="1" t="str">
        <f t="shared" si="17"/>
        <v/>
      </c>
      <c r="B120" s="1" t="str">
        <f t="shared" si="19"/>
        <v/>
      </c>
      <c r="D120" s="7"/>
      <c r="E120" s="1" t="str">
        <f t="shared" si="20"/>
        <v/>
      </c>
    </row>
    <row r="121" ht="16.5" spans="1:5">
      <c r="A121" s="1" t="str">
        <f t="shared" si="17"/>
        <v/>
      </c>
      <c r="B121" s="1" t="str">
        <f t="shared" si="19"/>
        <v/>
      </c>
      <c r="D121" s="7"/>
      <c r="E121" s="1" t="str">
        <f t="shared" si="20"/>
        <v/>
      </c>
    </row>
    <row r="122" ht="16.5" spans="1:5">
      <c r="A122" s="1" t="str">
        <f t="shared" si="17"/>
        <v/>
      </c>
      <c r="B122" s="1" t="str">
        <f t="shared" si="19"/>
        <v/>
      </c>
      <c r="D122" s="7"/>
      <c r="E122" s="1" t="str">
        <f t="shared" si="20"/>
        <v/>
      </c>
    </row>
    <row r="123" ht="16.5" spans="1:5">
      <c r="A123" s="1" t="str">
        <f t="shared" si="17"/>
        <v/>
      </c>
      <c r="B123" s="1" t="str">
        <f t="shared" si="19"/>
        <v/>
      </c>
      <c r="D123" s="7"/>
      <c r="E123" s="1" t="str">
        <f t="shared" si="20"/>
        <v/>
      </c>
    </row>
    <row r="124" ht="16.5" spans="1:5">
      <c r="A124" s="1" t="str">
        <f t="shared" si="17"/>
        <v/>
      </c>
      <c r="B124" s="1" t="str">
        <f t="shared" si="19"/>
        <v/>
      </c>
      <c r="D124" s="7"/>
      <c r="E124" s="1" t="str">
        <f t="shared" si="20"/>
        <v/>
      </c>
    </row>
    <row r="125" ht="16.5" spans="1:5">
      <c r="A125" s="1" t="str">
        <f t="shared" si="17"/>
        <v/>
      </c>
      <c r="B125" s="1" t="str">
        <f t="shared" si="19"/>
        <v/>
      </c>
      <c r="D125" s="7"/>
      <c r="E125" s="1" t="str">
        <f t="shared" si="20"/>
        <v/>
      </c>
    </row>
    <row r="126" ht="16.5" spans="1:5">
      <c r="A126" s="1" t="str">
        <f t="shared" si="17"/>
        <v/>
      </c>
      <c r="B126" s="1" t="str">
        <f t="shared" si="19"/>
        <v/>
      </c>
      <c r="D126" s="7"/>
      <c r="E126" s="1" t="str">
        <f t="shared" si="20"/>
        <v/>
      </c>
    </row>
    <row r="127" ht="16.5" spans="1:5">
      <c r="A127" s="1" t="str">
        <f t="shared" si="17"/>
        <v/>
      </c>
      <c r="B127" s="1" t="str">
        <f t="shared" si="19"/>
        <v/>
      </c>
      <c r="D127" s="7"/>
      <c r="E127" s="1" t="str">
        <f t="shared" si="20"/>
        <v/>
      </c>
    </row>
    <row r="128" ht="16.5" spans="1:5">
      <c r="A128" s="1" t="str">
        <f t="shared" si="17"/>
        <v/>
      </c>
      <c r="B128" s="1" t="str">
        <f t="shared" si="19"/>
        <v/>
      </c>
      <c r="D128" s="7"/>
      <c r="E128" s="1" t="str">
        <f t="shared" si="20"/>
        <v/>
      </c>
    </row>
    <row r="129" ht="16.5" spans="1:5">
      <c r="A129" s="1" t="str">
        <f t="shared" si="17"/>
        <v/>
      </c>
      <c r="B129" s="1" t="str">
        <f t="shared" si="19"/>
        <v/>
      </c>
      <c r="D129" s="7"/>
      <c r="E129" s="1" t="str">
        <f t="shared" si="20"/>
        <v/>
      </c>
    </row>
    <row r="130" ht="16.5" spans="1:5">
      <c r="A130" s="1" t="str">
        <f t="shared" si="17"/>
        <v/>
      </c>
      <c r="B130" s="1" t="str">
        <f t="shared" si="19"/>
        <v/>
      </c>
      <c r="D130" s="7"/>
      <c r="E130" s="1" t="str">
        <f t="shared" si="20"/>
        <v/>
      </c>
    </row>
    <row r="131" ht="16.5" spans="1:5">
      <c r="A131" s="1" t="str">
        <f t="shared" si="17"/>
        <v/>
      </c>
      <c r="B131" s="1" t="str">
        <f t="shared" ref="B131:B148" si="21">IF(C131="","","{heroEquip,")</f>
        <v/>
      </c>
      <c r="D131" s="7"/>
      <c r="E131" s="1" t="str">
        <f t="shared" si="20"/>
        <v/>
      </c>
    </row>
    <row r="132" ht="16.5" spans="1:5">
      <c r="A132" s="1" t="str">
        <f t="shared" si="17"/>
        <v/>
      </c>
      <c r="B132" s="1" t="str">
        <f t="shared" si="21"/>
        <v/>
      </c>
      <c r="D132" s="7"/>
      <c r="E132" s="1" t="str">
        <f t="shared" si="20"/>
        <v/>
      </c>
    </row>
    <row r="133" ht="16.5" spans="1:4">
      <c r="A133" s="1" t="str">
        <f t="shared" si="17"/>
        <v/>
      </c>
      <c r="B133" s="1" t="str">
        <f t="shared" si="21"/>
        <v/>
      </c>
      <c r="D133" s="7"/>
    </row>
    <row r="134" ht="16.5" spans="1:4">
      <c r="A134" s="1" t="str">
        <f t="shared" si="17"/>
        <v/>
      </c>
      <c r="B134" s="1" t="str">
        <f t="shared" si="21"/>
        <v/>
      </c>
      <c r="D134" s="7"/>
    </row>
    <row r="135" ht="16.5" spans="1:4">
      <c r="A135" s="1" t="str">
        <f t="shared" si="17"/>
        <v/>
      </c>
      <c r="B135" s="1" t="str">
        <f t="shared" si="21"/>
        <v/>
      </c>
      <c r="D135" s="7"/>
    </row>
    <row r="136" ht="16.5" spans="1:4">
      <c r="A136" s="1" t="str">
        <f t="shared" si="17"/>
        <v/>
      </c>
      <c r="B136" s="1" t="str">
        <f t="shared" si="21"/>
        <v/>
      </c>
      <c r="D136" s="7"/>
    </row>
    <row r="137" ht="16.5" spans="1:4">
      <c r="A137" s="1" t="str">
        <f t="shared" si="17"/>
        <v/>
      </c>
      <c r="B137" s="1" t="str">
        <f t="shared" si="21"/>
        <v/>
      </c>
      <c r="D137" s="7"/>
    </row>
    <row r="138" ht="16.5" spans="1:4">
      <c r="A138" s="1" t="str">
        <f t="shared" si="17"/>
        <v/>
      </c>
      <c r="B138" s="1" t="str">
        <f t="shared" si="21"/>
        <v/>
      </c>
      <c r="D138" s="7"/>
    </row>
    <row r="139" ht="16.5" spans="1:4">
      <c r="A139" s="1" t="str">
        <f t="shared" si="17"/>
        <v/>
      </c>
      <c r="B139" s="1" t="str">
        <f t="shared" si="21"/>
        <v/>
      </c>
      <c r="D139" s="7"/>
    </row>
    <row r="140" ht="16.5" spans="1:4">
      <c r="A140" s="1" t="str">
        <f t="shared" si="17"/>
        <v/>
      </c>
      <c r="B140" s="1" t="str">
        <f t="shared" si="21"/>
        <v/>
      </c>
      <c r="D140" s="7"/>
    </row>
    <row r="141" ht="16.5" spans="1:4">
      <c r="A141" s="1" t="str">
        <f t="shared" si="17"/>
        <v/>
      </c>
      <c r="B141" s="1" t="str">
        <f t="shared" si="21"/>
        <v/>
      </c>
      <c r="D141" s="7"/>
    </row>
    <row r="142" ht="16.5" spans="1:4">
      <c r="A142" s="1" t="str">
        <f t="shared" ref="A142:A205" si="22">IF(C142="","",A141+1)</f>
        <v/>
      </c>
      <c r="B142" s="1" t="str">
        <f t="shared" si="21"/>
        <v/>
      </c>
      <c r="D142" s="7"/>
    </row>
    <row r="143" ht="16.5" spans="1:4">
      <c r="A143" s="1" t="str">
        <f t="shared" si="22"/>
        <v/>
      </c>
      <c r="B143" s="1" t="str">
        <f t="shared" si="21"/>
        <v/>
      </c>
      <c r="D143" s="7"/>
    </row>
    <row r="144" ht="16.5" spans="1:4">
      <c r="A144" s="1" t="str">
        <f t="shared" si="22"/>
        <v/>
      </c>
      <c r="B144" s="1" t="str">
        <f t="shared" si="21"/>
        <v/>
      </c>
      <c r="D144" s="7"/>
    </row>
    <row r="145" ht="16.5" spans="1:4">
      <c r="A145" s="1" t="str">
        <f t="shared" si="22"/>
        <v/>
      </c>
      <c r="B145" s="1" t="str">
        <f t="shared" si="21"/>
        <v/>
      </c>
      <c r="D145" s="7"/>
    </row>
    <row r="146" ht="16.5" spans="1:4">
      <c r="A146" s="1" t="str">
        <f t="shared" si="22"/>
        <v/>
      </c>
      <c r="B146" s="1" t="str">
        <f t="shared" si="21"/>
        <v/>
      </c>
      <c r="D146" s="7"/>
    </row>
    <row r="147" ht="16.5" spans="1:4">
      <c r="A147" s="1" t="str">
        <f t="shared" si="22"/>
        <v/>
      </c>
      <c r="B147" s="1" t="str">
        <f t="shared" si="21"/>
        <v/>
      </c>
      <c r="D147" s="7"/>
    </row>
    <row r="148" ht="16.5" spans="1:4">
      <c r="A148" s="1" t="str">
        <f t="shared" si="22"/>
        <v/>
      </c>
      <c r="B148" s="1" t="str">
        <f t="shared" si="21"/>
        <v/>
      </c>
      <c r="D148" s="7"/>
    </row>
    <row r="149" ht="16.5" spans="1:4">
      <c r="A149" s="1" t="str">
        <f t="shared" si="22"/>
        <v/>
      </c>
      <c r="D149" s="7"/>
    </row>
    <row r="150" ht="16.5" spans="1:4">
      <c r="A150" s="1" t="str">
        <f t="shared" si="22"/>
        <v/>
      </c>
      <c r="D150" s="7"/>
    </row>
    <row r="151" ht="16.5" spans="1:4">
      <c r="A151" s="1" t="str">
        <f t="shared" si="22"/>
        <v/>
      </c>
      <c r="D151" s="7"/>
    </row>
    <row r="152" ht="16.5" spans="1:4">
      <c r="A152" s="1" t="str">
        <f t="shared" si="22"/>
        <v/>
      </c>
      <c r="D152" s="7"/>
    </row>
    <row r="153" ht="16.5" spans="1:4">
      <c r="A153" s="1" t="str">
        <f t="shared" si="22"/>
        <v/>
      </c>
      <c r="D153" s="7"/>
    </row>
    <row r="154" ht="16.5" spans="1:4">
      <c r="A154" s="1" t="str">
        <f t="shared" si="22"/>
        <v/>
      </c>
      <c r="D154" s="7"/>
    </row>
    <row r="155" ht="16.5" spans="1:4">
      <c r="A155" s="1" t="str">
        <f t="shared" si="22"/>
        <v/>
      </c>
      <c r="D155" s="7"/>
    </row>
    <row r="156" ht="16.5" spans="1:4">
      <c r="A156" s="1" t="str">
        <f t="shared" si="22"/>
        <v/>
      </c>
      <c r="D156" s="7"/>
    </row>
    <row r="157" ht="16.5" spans="1:4">
      <c r="A157" s="1" t="str">
        <f t="shared" si="22"/>
        <v/>
      </c>
      <c r="D157" s="7"/>
    </row>
    <row r="158" ht="16.5" spans="1:4">
      <c r="A158" s="1" t="str">
        <f t="shared" si="22"/>
        <v/>
      </c>
      <c r="D158" s="7"/>
    </row>
    <row r="159" ht="16.5" spans="1:4">
      <c r="A159" s="1" t="str">
        <f t="shared" si="22"/>
        <v/>
      </c>
      <c r="D159" s="7"/>
    </row>
    <row r="160" ht="16.5" spans="1:4">
      <c r="A160" s="1" t="str">
        <f t="shared" si="22"/>
        <v/>
      </c>
      <c r="D160" s="7"/>
    </row>
    <row r="161" ht="16.5" spans="1:4">
      <c r="A161" s="1" t="str">
        <f t="shared" si="22"/>
        <v/>
      </c>
      <c r="D161" s="7"/>
    </row>
    <row r="162" ht="16.5" spans="1:4">
      <c r="A162" s="1" t="str">
        <f t="shared" si="22"/>
        <v/>
      </c>
      <c r="D162" s="7"/>
    </row>
    <row r="163" ht="16.5" spans="1:4">
      <c r="A163" s="1" t="str">
        <f t="shared" si="22"/>
        <v/>
      </c>
      <c r="D163" s="7"/>
    </row>
    <row r="164" ht="16.5" spans="1:4">
      <c r="A164" s="1" t="str">
        <f t="shared" si="22"/>
        <v/>
      </c>
      <c r="D164" s="7"/>
    </row>
    <row r="165" ht="16.5" spans="1:4">
      <c r="A165" s="1" t="str">
        <f t="shared" si="22"/>
        <v/>
      </c>
      <c r="D165" s="7"/>
    </row>
    <row r="166" ht="16.5" spans="1:4">
      <c r="A166" s="1" t="str">
        <f t="shared" si="22"/>
        <v/>
      </c>
      <c r="D166" s="7"/>
    </row>
    <row r="167" ht="16.5" spans="1:4">
      <c r="A167" s="1" t="str">
        <f t="shared" si="22"/>
        <v/>
      </c>
      <c r="D167" s="7"/>
    </row>
    <row r="168" ht="16.5" spans="1:4">
      <c r="A168" s="1" t="str">
        <f t="shared" si="22"/>
        <v/>
      </c>
      <c r="D168" s="7"/>
    </row>
    <row r="169" ht="16.5" spans="1:4">
      <c r="A169" s="1" t="str">
        <f t="shared" si="22"/>
        <v/>
      </c>
      <c r="D169" s="7"/>
    </row>
    <row r="170" ht="16.5" spans="1:4">
      <c r="A170" s="1" t="str">
        <f t="shared" si="22"/>
        <v/>
      </c>
      <c r="D170" s="7"/>
    </row>
    <row r="171" ht="16.5" spans="1:4">
      <c r="A171" s="1" t="str">
        <f t="shared" si="22"/>
        <v/>
      </c>
      <c r="D171" s="7"/>
    </row>
    <row r="172" ht="16.5" spans="1:4">
      <c r="A172" s="1" t="str">
        <f t="shared" si="22"/>
        <v/>
      </c>
      <c r="D172" s="7"/>
    </row>
    <row r="173" ht="16.5" spans="1:4">
      <c r="A173" s="1" t="str">
        <f t="shared" si="22"/>
        <v/>
      </c>
      <c r="D173" s="7"/>
    </row>
    <row r="174" ht="16.5" spans="1:4">
      <c r="A174" s="1" t="str">
        <f t="shared" si="22"/>
        <v/>
      </c>
      <c r="D174" s="7"/>
    </row>
    <row r="175" ht="16.5" spans="1:4">
      <c r="A175" s="1" t="str">
        <f t="shared" si="22"/>
        <v/>
      </c>
      <c r="D175" s="7"/>
    </row>
    <row r="176" ht="16.5" spans="1:4">
      <c r="A176" s="1" t="str">
        <f t="shared" si="22"/>
        <v/>
      </c>
      <c r="D176" s="7"/>
    </row>
    <row r="177" ht="16.5" spans="1:4">
      <c r="A177" s="1" t="str">
        <f t="shared" si="22"/>
        <v/>
      </c>
      <c r="D177" s="7"/>
    </row>
    <row r="178" ht="16.5" spans="1:4">
      <c r="A178" s="1" t="str">
        <f t="shared" si="22"/>
        <v/>
      </c>
      <c r="D178" s="7"/>
    </row>
    <row r="179" ht="16.5" spans="1:4">
      <c r="A179" s="1" t="str">
        <f t="shared" si="22"/>
        <v/>
      </c>
      <c r="D179" s="7"/>
    </row>
    <row r="180" ht="16.5" spans="1:4">
      <c r="A180" s="1" t="str">
        <f t="shared" si="22"/>
        <v/>
      </c>
      <c r="D180" s="7"/>
    </row>
    <row r="181" ht="16.5" spans="1:4">
      <c r="A181" s="1" t="str">
        <f t="shared" si="22"/>
        <v/>
      </c>
      <c r="D181" s="7"/>
    </row>
    <row r="182" ht="16.5" spans="1:4">
      <c r="A182" s="1" t="str">
        <f t="shared" si="22"/>
        <v/>
      </c>
      <c r="D182" s="7"/>
    </row>
    <row r="183" ht="16.5" spans="1:4">
      <c r="A183" s="1" t="str">
        <f t="shared" si="22"/>
        <v/>
      </c>
      <c r="D183" s="7"/>
    </row>
    <row r="184" ht="16.5" spans="1:4">
      <c r="A184" s="1" t="str">
        <f t="shared" si="22"/>
        <v/>
      </c>
      <c r="D184" s="7"/>
    </row>
    <row r="185" ht="16.5" spans="1:4">
      <c r="A185" s="1" t="str">
        <f t="shared" si="22"/>
        <v/>
      </c>
      <c r="D185" s="7"/>
    </row>
    <row r="186" ht="16.5" spans="1:4">
      <c r="A186" s="1" t="str">
        <f t="shared" si="22"/>
        <v/>
      </c>
      <c r="D186" s="7"/>
    </row>
    <row r="187" ht="16.5" spans="1:4">
      <c r="A187" s="1" t="str">
        <f t="shared" si="22"/>
        <v/>
      </c>
      <c r="D187" s="7"/>
    </row>
    <row r="188" ht="16.5" spans="1:4">
      <c r="A188" s="1" t="str">
        <f t="shared" si="22"/>
        <v/>
      </c>
      <c r="D188" s="7"/>
    </row>
    <row r="189" ht="16.5" spans="1:4">
      <c r="A189" s="1" t="str">
        <f t="shared" si="22"/>
        <v/>
      </c>
      <c r="D189" s="7"/>
    </row>
    <row r="190" ht="16.5" spans="1:4">
      <c r="A190" s="1" t="str">
        <f t="shared" si="22"/>
        <v/>
      </c>
      <c r="D190" s="7"/>
    </row>
    <row r="191" ht="16.5" spans="1:4">
      <c r="A191" s="1" t="str">
        <f t="shared" si="22"/>
        <v/>
      </c>
      <c r="D191" s="7"/>
    </row>
    <row r="192" ht="16.5" spans="1:4">
      <c r="A192" s="1" t="str">
        <f t="shared" si="22"/>
        <v/>
      </c>
      <c r="D192" s="7"/>
    </row>
    <row r="193" ht="16.5" spans="1:4">
      <c r="A193" s="1" t="str">
        <f t="shared" si="22"/>
        <v/>
      </c>
      <c r="D193" s="7"/>
    </row>
    <row r="194" ht="16.5" spans="1:4">
      <c r="A194" s="1" t="str">
        <f t="shared" si="22"/>
        <v/>
      </c>
      <c r="D194" s="7"/>
    </row>
    <row r="195" ht="16.5" spans="1:4">
      <c r="A195" s="1" t="str">
        <f t="shared" si="22"/>
        <v/>
      </c>
      <c r="D195" s="7"/>
    </row>
    <row r="196" ht="16.5" spans="1:4">
      <c r="A196" s="1" t="str">
        <f t="shared" si="22"/>
        <v/>
      </c>
      <c r="D196" s="7"/>
    </row>
    <row r="197" ht="16.5" spans="1:4">
      <c r="A197" s="1" t="str">
        <f t="shared" si="22"/>
        <v/>
      </c>
      <c r="D197" s="7"/>
    </row>
    <row r="198" ht="16.5" spans="1:4">
      <c r="A198" s="1" t="str">
        <f t="shared" si="22"/>
        <v/>
      </c>
      <c r="D198" s="7"/>
    </row>
    <row r="199" ht="16.5" spans="1:4">
      <c r="A199" s="1" t="str">
        <f t="shared" si="22"/>
        <v/>
      </c>
      <c r="D199" s="7"/>
    </row>
    <row r="200" ht="16.5" spans="1:4">
      <c r="A200" s="1" t="str">
        <f t="shared" si="22"/>
        <v/>
      </c>
      <c r="D200" s="7"/>
    </row>
    <row r="201" ht="16.5" spans="1:4">
      <c r="A201" s="1" t="str">
        <f t="shared" si="22"/>
        <v/>
      </c>
      <c r="D201" s="7"/>
    </row>
    <row r="202" ht="16.5" spans="1:4">
      <c r="A202" s="1" t="str">
        <f t="shared" si="22"/>
        <v/>
      </c>
      <c r="D202" s="7"/>
    </row>
    <row r="203" ht="16.5" spans="1:4">
      <c r="A203" s="1" t="str">
        <f t="shared" si="22"/>
        <v/>
      </c>
      <c r="D203" s="7"/>
    </row>
    <row r="204" ht="16.5" spans="1:4">
      <c r="A204" s="1" t="str">
        <f t="shared" si="22"/>
        <v/>
      </c>
      <c r="D204" s="7"/>
    </row>
    <row r="205" ht="16.5" spans="1:4">
      <c r="A205" s="1" t="str">
        <f t="shared" si="22"/>
        <v/>
      </c>
      <c r="D205" s="7"/>
    </row>
    <row r="206" ht="16.5" spans="1:4">
      <c r="A206" s="1" t="str">
        <f t="shared" ref="A206:A217" si="23">IF(C206="","",A205+1)</f>
        <v/>
      </c>
      <c r="D206" s="7"/>
    </row>
    <row r="207" ht="16.5" spans="1:4">
      <c r="A207" s="1" t="str">
        <f t="shared" si="23"/>
        <v/>
      </c>
      <c r="D207" s="7"/>
    </row>
    <row r="208" ht="16.5" spans="1:4">
      <c r="A208" s="1" t="str">
        <f t="shared" si="23"/>
        <v/>
      </c>
      <c r="D208" s="7"/>
    </row>
    <row r="209" ht="16.5" spans="1:4">
      <c r="A209" s="1" t="str">
        <f t="shared" si="23"/>
        <v/>
      </c>
      <c r="D209" s="7"/>
    </row>
    <row r="210" ht="16.5" spans="1:4">
      <c r="A210" s="1" t="str">
        <f t="shared" si="23"/>
        <v/>
      </c>
      <c r="D210" s="7"/>
    </row>
    <row r="211" ht="16.5" spans="1:4">
      <c r="A211" s="1" t="str">
        <f t="shared" si="23"/>
        <v/>
      </c>
      <c r="D211" s="7"/>
    </row>
    <row r="212" ht="16.5" spans="1:4">
      <c r="A212" s="1" t="str">
        <f t="shared" si="23"/>
        <v/>
      </c>
      <c r="D212" s="7"/>
    </row>
    <row r="213" ht="16.5" spans="1:4">
      <c r="A213" s="1" t="str">
        <f t="shared" si="23"/>
        <v/>
      </c>
      <c r="D213" s="7"/>
    </row>
    <row r="214" ht="16.5" spans="1:4">
      <c r="A214" s="1" t="str">
        <f t="shared" si="23"/>
        <v/>
      </c>
      <c r="D214" s="7"/>
    </row>
    <row r="215" ht="16.5" spans="1:4">
      <c r="A215" s="1" t="str">
        <f t="shared" si="23"/>
        <v/>
      </c>
      <c r="D215" s="7"/>
    </row>
    <row r="216" ht="16.5" spans="1:4">
      <c r="A216" s="1" t="str">
        <f t="shared" si="23"/>
        <v/>
      </c>
      <c r="D216" s="7"/>
    </row>
    <row r="217" ht="16.5" spans="1:4">
      <c r="A217" s="1" t="str">
        <f t="shared" si="23"/>
        <v/>
      </c>
      <c r="D217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Chen</cp:lastModifiedBy>
  <dcterms:created xsi:type="dcterms:W3CDTF">2019-05-31T10:57:00Z</dcterms:created>
  <dcterms:modified xsi:type="dcterms:W3CDTF">2024-09-10T06:16:29Z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2052-12.1.0.18240</vt:lpwstr>
  </property>
  <property fmtid="{D5CDD505-2E9C-101B-9397-08002B2CF9AE}" pid="3" name="ICV">
    <vt:lpwstr>2D44307DC4B24D52B59DD2F5B1A42912</vt:lpwstr>
  </property>
  <property fmtid="{D5CDD505-2E9C-101B-9397-08002B2CF9AE}" pid="4" name="KSOReadingLayout">
    <vt:bool>true</vt:bool>
  </property>
</Properties>
</file>