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D:\cy_excel\strings\"/>
    </mc:Choice>
  </mc:AlternateContent>
  <xr:revisionPtr revIDLastSave="0" documentId="13_ncr:1_{BD02AE29-3124-4908-82EB-EEAB496156E6}" xr6:coauthVersionLast="47" xr6:coauthVersionMax="47" xr10:uidLastSave="{00000000-0000-0000-0000-000000000000}"/>
  <bookViews>
    <workbookView xWindow="-120" yWindow="-120" windowWidth="29040" windowHeight="15720" xr2:uid="{00000000-000D-0000-FFFF-FFFF00000000}"/>
  </bookViews>
  <sheets>
    <sheet name="Sheet1" sheetId="2" r:id="rId1"/>
    <sheet name="Sheet2" sheetId="3" r:id="rId2"/>
    <sheet name="Sheet3" sheetId="4" r:id="rId3"/>
    <sheet name="Sheet4" sheetId="5"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8" i="3" l="1"/>
  <c r="C129" i="3"/>
  <c r="C130" i="3"/>
  <c r="C131" i="3"/>
  <c r="C132" i="3"/>
  <c r="C133" i="3"/>
  <c r="C134" i="3"/>
  <c r="E117" i="3"/>
  <c r="F117" i="3"/>
  <c r="G117" i="3"/>
  <c r="H117" i="3"/>
  <c r="I117" i="3"/>
  <c r="J117" i="3"/>
  <c r="E118" i="3"/>
  <c r="F118" i="3"/>
  <c r="G118" i="3"/>
  <c r="H118" i="3"/>
  <c r="I118" i="3"/>
  <c r="J118" i="3"/>
  <c r="E119" i="3"/>
  <c r="F119" i="3"/>
  <c r="G119" i="3"/>
  <c r="H119" i="3"/>
  <c r="I119" i="3"/>
  <c r="J119" i="3"/>
  <c r="E120" i="3"/>
  <c r="F120" i="3"/>
  <c r="G120" i="3"/>
  <c r="H120" i="3"/>
  <c r="I120" i="3"/>
  <c r="J120" i="3"/>
  <c r="E121" i="3"/>
  <c r="F121" i="3"/>
  <c r="G121" i="3"/>
  <c r="H121" i="3"/>
  <c r="I121" i="3"/>
  <c r="J121" i="3"/>
  <c r="E122" i="3"/>
  <c r="F122" i="3"/>
  <c r="G122" i="3"/>
  <c r="H122" i="3"/>
  <c r="I122" i="3"/>
  <c r="J122" i="3"/>
  <c r="E123" i="3"/>
  <c r="F123" i="3"/>
  <c r="G123" i="3"/>
  <c r="H123" i="3"/>
  <c r="I123" i="3"/>
  <c r="J123" i="3"/>
  <c r="E124" i="3"/>
  <c r="F124" i="3"/>
  <c r="G124" i="3"/>
  <c r="H124" i="3"/>
  <c r="I124" i="3"/>
  <c r="J124" i="3"/>
  <c r="E125" i="3"/>
  <c r="F125" i="3"/>
  <c r="G125" i="3"/>
  <c r="H125" i="3"/>
  <c r="I125" i="3"/>
  <c r="J125" i="3"/>
  <c r="E126" i="3"/>
  <c r="F126" i="3"/>
  <c r="G126" i="3"/>
  <c r="H126" i="3"/>
  <c r="I126" i="3"/>
  <c r="J126" i="3"/>
  <c r="E127" i="3"/>
  <c r="F127" i="3"/>
  <c r="G127" i="3"/>
  <c r="H127" i="3"/>
  <c r="I127" i="3"/>
  <c r="J127" i="3"/>
  <c r="E116" i="3"/>
  <c r="D124" i="3"/>
  <c r="D125" i="3"/>
  <c r="D126" i="3"/>
  <c r="D127" i="3"/>
  <c r="C125" i="3"/>
  <c r="C126" i="3"/>
  <c r="C127" i="3"/>
  <c r="C123" i="3"/>
  <c r="C124" i="3"/>
  <c r="D123" i="3"/>
  <c r="D122" i="3"/>
  <c r="C122" i="3"/>
  <c r="D121" i="3"/>
  <c r="C121" i="3"/>
  <c r="D120" i="3"/>
  <c r="C120" i="3"/>
  <c r="D119" i="3"/>
  <c r="C119" i="3"/>
  <c r="D118" i="3"/>
  <c r="C118" i="3"/>
  <c r="D117" i="3"/>
  <c r="C117" i="3"/>
  <c r="J116" i="3"/>
  <c r="I116" i="3"/>
  <c r="H116" i="3"/>
  <c r="G116" i="3"/>
  <c r="F116" i="3"/>
  <c r="D116" i="3"/>
  <c r="C116" i="3"/>
  <c r="J115" i="3"/>
  <c r="I115" i="3"/>
  <c r="H115" i="3"/>
  <c r="G115" i="3"/>
  <c r="F115" i="3"/>
  <c r="E115" i="3"/>
  <c r="D115" i="3"/>
  <c r="C115" i="3"/>
  <c r="J114" i="3"/>
  <c r="I114" i="3"/>
  <c r="H114" i="3"/>
  <c r="G114" i="3"/>
  <c r="F114" i="3"/>
  <c r="E114" i="3"/>
  <c r="D114" i="3"/>
  <c r="C114" i="3"/>
  <c r="J113" i="3"/>
  <c r="I113" i="3"/>
  <c r="H113" i="3"/>
  <c r="G113" i="3"/>
  <c r="F113" i="3"/>
  <c r="E113" i="3"/>
  <c r="D113" i="3"/>
  <c r="C113" i="3"/>
  <c r="J112" i="3"/>
  <c r="I112" i="3"/>
  <c r="H112" i="3"/>
  <c r="G112" i="3"/>
  <c r="F112" i="3"/>
  <c r="E112" i="3"/>
  <c r="D112" i="3"/>
  <c r="C112" i="3"/>
  <c r="J111" i="3"/>
  <c r="I111" i="3"/>
  <c r="H111" i="3"/>
  <c r="G111" i="3"/>
  <c r="F111" i="3"/>
  <c r="E111" i="3"/>
  <c r="D111" i="3"/>
  <c r="C111" i="3"/>
  <c r="J110" i="3"/>
  <c r="I110" i="3"/>
  <c r="H110" i="3"/>
  <c r="G110" i="3"/>
  <c r="F110" i="3"/>
  <c r="E110" i="3"/>
  <c r="D110" i="3"/>
  <c r="C110" i="3"/>
  <c r="J109" i="3"/>
  <c r="I109" i="3"/>
  <c r="H109" i="3"/>
  <c r="G109" i="3"/>
  <c r="F109" i="3"/>
  <c r="E109" i="3"/>
  <c r="D109" i="3"/>
  <c r="C109" i="3"/>
  <c r="J108" i="3"/>
  <c r="I108" i="3"/>
  <c r="H108" i="3"/>
  <c r="G108" i="3"/>
  <c r="F108" i="3"/>
  <c r="E108" i="3"/>
  <c r="D108" i="3"/>
  <c r="C108" i="3"/>
  <c r="J107" i="3"/>
  <c r="I107" i="3"/>
  <c r="H107" i="3"/>
  <c r="G107" i="3"/>
  <c r="F107" i="3"/>
  <c r="E107" i="3"/>
  <c r="D107" i="3"/>
  <c r="C107" i="3"/>
  <c r="J106" i="3"/>
  <c r="I106" i="3"/>
  <c r="H106" i="3"/>
  <c r="G106" i="3"/>
  <c r="F106" i="3"/>
  <c r="E106" i="3"/>
  <c r="D106" i="3"/>
  <c r="C106" i="3"/>
  <c r="J105" i="3"/>
  <c r="I105" i="3"/>
  <c r="H105" i="3"/>
  <c r="G105" i="3"/>
  <c r="F105" i="3"/>
  <c r="E105" i="3"/>
  <c r="D105" i="3"/>
  <c r="C105" i="3"/>
  <c r="J104" i="3"/>
  <c r="I104" i="3"/>
  <c r="H104" i="3"/>
  <c r="G104" i="3"/>
  <c r="F104" i="3"/>
  <c r="E104" i="3"/>
  <c r="D104" i="3"/>
  <c r="C104" i="3"/>
  <c r="J103" i="3"/>
  <c r="I103" i="3"/>
  <c r="H103" i="3"/>
  <c r="G103" i="3"/>
  <c r="F103" i="3"/>
  <c r="E103" i="3"/>
  <c r="D103" i="3"/>
  <c r="C103" i="3"/>
  <c r="J102" i="3"/>
  <c r="I102" i="3"/>
  <c r="H102" i="3"/>
  <c r="G102" i="3"/>
  <c r="F102" i="3"/>
  <c r="E102" i="3"/>
  <c r="D102" i="3"/>
  <c r="C102" i="3"/>
  <c r="J101" i="3"/>
  <c r="I101" i="3"/>
  <c r="H101" i="3"/>
  <c r="G101" i="3"/>
  <c r="F101" i="3"/>
  <c r="E101" i="3"/>
  <c r="D101" i="3"/>
  <c r="C101" i="3"/>
  <c r="J100" i="3"/>
  <c r="I100" i="3"/>
  <c r="H100" i="3"/>
  <c r="G100" i="3"/>
  <c r="F100" i="3"/>
  <c r="E100" i="3"/>
  <c r="D100" i="3"/>
  <c r="C100" i="3"/>
  <c r="J99" i="3"/>
  <c r="I99" i="3"/>
  <c r="H99" i="3"/>
  <c r="G99" i="3"/>
  <c r="F99" i="3"/>
  <c r="E99" i="3"/>
  <c r="D99" i="3"/>
  <c r="C99" i="3"/>
  <c r="J98" i="3"/>
  <c r="I98" i="3"/>
  <c r="H98" i="3"/>
  <c r="G98" i="3"/>
  <c r="F98" i="3"/>
  <c r="E98" i="3"/>
  <c r="D98" i="3"/>
  <c r="C98" i="3"/>
  <c r="J97" i="3"/>
  <c r="I97" i="3"/>
  <c r="H97" i="3"/>
  <c r="G97" i="3"/>
  <c r="F97" i="3"/>
  <c r="E97" i="3"/>
  <c r="D97" i="3"/>
  <c r="C97" i="3"/>
  <c r="J96" i="3"/>
  <c r="I96" i="3"/>
  <c r="H96" i="3"/>
  <c r="G96" i="3"/>
  <c r="F96" i="3"/>
  <c r="E96" i="3"/>
  <c r="D96" i="3"/>
  <c r="J95" i="3"/>
  <c r="I95" i="3"/>
  <c r="H95" i="3"/>
  <c r="G95" i="3"/>
  <c r="F95" i="3"/>
  <c r="E95" i="3"/>
  <c r="D95" i="3"/>
  <c r="J94" i="3"/>
  <c r="I94" i="3"/>
  <c r="H94" i="3"/>
  <c r="G94" i="3"/>
  <c r="F94" i="3"/>
  <c r="E94" i="3"/>
  <c r="D94" i="3"/>
  <c r="J93" i="3"/>
  <c r="I93" i="3"/>
  <c r="H93" i="3"/>
  <c r="G93" i="3"/>
  <c r="F93" i="3"/>
  <c r="E93" i="3"/>
  <c r="D93" i="3"/>
  <c r="J92" i="3"/>
  <c r="I92" i="3"/>
  <c r="H92" i="3"/>
  <c r="G92" i="3"/>
  <c r="F92" i="3"/>
  <c r="E92" i="3"/>
  <c r="D92" i="3"/>
  <c r="J91" i="3"/>
  <c r="I91" i="3"/>
  <c r="H91" i="3"/>
  <c r="G91" i="3"/>
  <c r="F91" i="3"/>
  <c r="E91" i="3"/>
  <c r="D91" i="3"/>
  <c r="J90" i="3"/>
  <c r="I90" i="3"/>
  <c r="H90" i="3"/>
  <c r="G90" i="3"/>
  <c r="F90" i="3"/>
  <c r="E90" i="3"/>
  <c r="D90" i="3"/>
  <c r="J89" i="3"/>
  <c r="I89" i="3"/>
  <c r="H89" i="3"/>
  <c r="G89" i="3"/>
  <c r="F89" i="3"/>
  <c r="E89" i="3"/>
  <c r="D89" i="3"/>
  <c r="J88" i="3"/>
  <c r="I88" i="3"/>
  <c r="H88" i="3"/>
  <c r="G88" i="3"/>
  <c r="F88" i="3"/>
  <c r="E88" i="3"/>
  <c r="D88" i="3"/>
  <c r="C88" i="3"/>
  <c r="J87" i="3"/>
  <c r="I87" i="3"/>
  <c r="H87" i="3"/>
  <c r="G87" i="3"/>
  <c r="F87" i="3"/>
  <c r="E87" i="3"/>
  <c r="D87" i="3"/>
  <c r="C87" i="3"/>
  <c r="J86" i="3"/>
  <c r="I86" i="3"/>
  <c r="H86" i="3"/>
  <c r="G86" i="3"/>
  <c r="F86" i="3"/>
  <c r="E86" i="3"/>
  <c r="D86" i="3"/>
  <c r="C86" i="3"/>
  <c r="J85" i="3"/>
  <c r="I85" i="3"/>
  <c r="H85" i="3"/>
  <c r="G85" i="3"/>
  <c r="F85" i="3"/>
  <c r="E85" i="3"/>
  <c r="D85" i="3"/>
  <c r="C85" i="3"/>
  <c r="J84" i="3"/>
  <c r="I84" i="3"/>
  <c r="H84" i="3"/>
  <c r="G84" i="3"/>
  <c r="F84" i="3"/>
  <c r="E84" i="3"/>
  <c r="D84" i="3"/>
  <c r="C84" i="3"/>
  <c r="J83" i="3"/>
  <c r="I83" i="3"/>
  <c r="H83" i="3"/>
  <c r="G83" i="3"/>
  <c r="F83" i="3"/>
  <c r="E83" i="3"/>
  <c r="D83" i="3"/>
  <c r="C83" i="3"/>
  <c r="J82" i="3"/>
  <c r="I82" i="3"/>
  <c r="H82" i="3"/>
  <c r="G82" i="3"/>
  <c r="F82" i="3"/>
  <c r="E82" i="3"/>
  <c r="D82" i="3"/>
  <c r="C82" i="3"/>
  <c r="J81" i="3"/>
  <c r="I81" i="3"/>
  <c r="H81" i="3"/>
  <c r="G81" i="3"/>
  <c r="F81" i="3"/>
  <c r="E81" i="3"/>
  <c r="D81" i="3"/>
  <c r="C81" i="3"/>
  <c r="J80" i="3"/>
  <c r="I80" i="3"/>
  <c r="H80" i="3"/>
  <c r="G80" i="3"/>
  <c r="F80" i="3"/>
  <c r="E80" i="3"/>
  <c r="D80" i="3"/>
  <c r="C80" i="3"/>
  <c r="J79" i="3"/>
  <c r="I79" i="3"/>
  <c r="H79" i="3"/>
  <c r="G79" i="3"/>
  <c r="F79" i="3"/>
  <c r="E79" i="3"/>
  <c r="D79" i="3"/>
  <c r="C79" i="3"/>
  <c r="J78" i="3"/>
  <c r="I78" i="3"/>
  <c r="H78" i="3"/>
  <c r="G78" i="3"/>
  <c r="F78" i="3"/>
  <c r="E78" i="3"/>
  <c r="D78" i="3"/>
  <c r="C78" i="3"/>
  <c r="J77" i="3"/>
  <c r="I77" i="3"/>
  <c r="H77" i="3"/>
  <c r="G77" i="3"/>
  <c r="F77" i="3"/>
  <c r="E77" i="3"/>
  <c r="D77" i="3"/>
  <c r="C77" i="3"/>
  <c r="J76" i="3"/>
  <c r="I76" i="3"/>
  <c r="H76" i="3"/>
  <c r="G76" i="3"/>
  <c r="F76" i="3"/>
  <c r="E76" i="3"/>
  <c r="D76" i="3"/>
  <c r="C76" i="3"/>
  <c r="J75" i="3"/>
  <c r="I75" i="3"/>
  <c r="H75" i="3"/>
  <c r="G75" i="3"/>
  <c r="F75" i="3"/>
  <c r="E75" i="3"/>
  <c r="D75" i="3"/>
  <c r="C75" i="3"/>
  <c r="J74" i="3"/>
  <c r="I74" i="3"/>
  <c r="H74" i="3"/>
  <c r="G74" i="3"/>
  <c r="F74" i="3"/>
  <c r="E74" i="3"/>
  <c r="D74" i="3"/>
  <c r="C74" i="3"/>
  <c r="J73" i="3"/>
  <c r="I73" i="3"/>
  <c r="H73" i="3"/>
  <c r="G73" i="3"/>
  <c r="F73" i="3"/>
  <c r="E73" i="3"/>
  <c r="D73" i="3"/>
  <c r="C73" i="3"/>
  <c r="J72" i="3"/>
  <c r="I72" i="3"/>
  <c r="H72" i="3"/>
  <c r="G72" i="3"/>
  <c r="F72" i="3"/>
  <c r="E72" i="3"/>
  <c r="D72" i="3"/>
  <c r="C72" i="3"/>
  <c r="J71" i="3"/>
  <c r="I71" i="3"/>
  <c r="H71" i="3"/>
  <c r="G71" i="3"/>
  <c r="F71" i="3"/>
  <c r="E71" i="3"/>
  <c r="D71" i="3"/>
  <c r="C71" i="3"/>
  <c r="J70" i="3"/>
  <c r="I70" i="3"/>
  <c r="H70" i="3"/>
  <c r="G70" i="3"/>
  <c r="F70" i="3"/>
  <c r="E70" i="3"/>
  <c r="D70" i="3"/>
  <c r="C70" i="3"/>
  <c r="J69" i="3"/>
  <c r="I69" i="3"/>
  <c r="H69" i="3"/>
  <c r="G69" i="3"/>
  <c r="F69" i="3"/>
  <c r="E69" i="3"/>
  <c r="D69" i="3"/>
  <c r="C69" i="3"/>
  <c r="J68" i="3"/>
  <c r="I68" i="3"/>
  <c r="H68" i="3"/>
  <c r="G68" i="3"/>
  <c r="F68" i="3"/>
  <c r="E68" i="3"/>
  <c r="D68" i="3"/>
  <c r="C68" i="3"/>
  <c r="J67" i="3"/>
  <c r="I67" i="3"/>
  <c r="H67" i="3"/>
  <c r="G67" i="3"/>
  <c r="F67" i="3"/>
  <c r="E67" i="3"/>
  <c r="D67" i="3"/>
  <c r="C67" i="3"/>
  <c r="J66" i="3"/>
  <c r="I66" i="3"/>
  <c r="H66" i="3"/>
  <c r="G66" i="3"/>
  <c r="F66" i="3"/>
  <c r="E66" i="3"/>
  <c r="D66" i="3"/>
  <c r="C66" i="3"/>
  <c r="J65" i="3"/>
  <c r="I65" i="3"/>
  <c r="H65" i="3"/>
  <c r="G65" i="3"/>
  <c r="F65" i="3"/>
  <c r="E65" i="3"/>
  <c r="D65" i="3"/>
  <c r="C65" i="3"/>
  <c r="J64" i="3"/>
  <c r="I64" i="3"/>
  <c r="H64" i="3"/>
  <c r="G64" i="3"/>
  <c r="F64" i="3"/>
  <c r="E64" i="3"/>
  <c r="D64" i="3"/>
  <c r="C64" i="3"/>
  <c r="J63" i="3"/>
  <c r="I63" i="3"/>
  <c r="H63" i="3"/>
  <c r="G63" i="3"/>
  <c r="F63" i="3"/>
  <c r="E63" i="3"/>
  <c r="D63" i="3"/>
  <c r="C63" i="3"/>
  <c r="J62" i="3"/>
  <c r="I62" i="3"/>
  <c r="H62" i="3"/>
  <c r="G62" i="3"/>
  <c r="F62" i="3"/>
  <c r="E62" i="3"/>
  <c r="D62" i="3"/>
  <c r="C62" i="3"/>
  <c r="J61" i="3"/>
  <c r="I61" i="3"/>
  <c r="H61" i="3"/>
  <c r="G61" i="3"/>
  <c r="F61" i="3"/>
  <c r="E61" i="3"/>
  <c r="D61" i="3"/>
  <c r="C61" i="3"/>
  <c r="J60" i="3"/>
  <c r="I60" i="3"/>
  <c r="H60" i="3"/>
  <c r="G60" i="3"/>
  <c r="F60" i="3"/>
  <c r="E60" i="3"/>
  <c r="D60" i="3"/>
  <c r="C60" i="3"/>
  <c r="J59" i="3"/>
  <c r="I59" i="3"/>
  <c r="H59" i="3"/>
  <c r="G59" i="3"/>
  <c r="F59" i="3"/>
  <c r="E59" i="3"/>
  <c r="D59" i="3"/>
  <c r="C59" i="3"/>
  <c r="J58" i="3"/>
  <c r="I58" i="3"/>
  <c r="H58" i="3"/>
  <c r="G58" i="3"/>
  <c r="F58" i="3"/>
  <c r="E58" i="3"/>
  <c r="D58" i="3"/>
  <c r="C58" i="3"/>
  <c r="J57" i="3"/>
  <c r="I57" i="3"/>
  <c r="H57" i="3"/>
  <c r="G57" i="3"/>
  <c r="F57" i="3"/>
  <c r="E57" i="3"/>
  <c r="D57" i="3"/>
  <c r="C57" i="3"/>
  <c r="J56" i="3"/>
  <c r="I56" i="3"/>
  <c r="H56" i="3"/>
  <c r="G56" i="3"/>
  <c r="F56" i="3"/>
  <c r="E56" i="3"/>
  <c r="D56" i="3"/>
  <c r="C56" i="3"/>
  <c r="J55" i="3"/>
  <c r="I55" i="3"/>
  <c r="H55" i="3"/>
  <c r="G55" i="3"/>
  <c r="F55" i="3"/>
  <c r="E55" i="3"/>
  <c r="D55" i="3"/>
  <c r="C55" i="3"/>
  <c r="J54" i="3"/>
  <c r="I54" i="3"/>
  <c r="H54" i="3"/>
  <c r="G54" i="3"/>
  <c r="F54" i="3"/>
  <c r="E54" i="3"/>
  <c r="D54" i="3"/>
  <c r="C54" i="3"/>
  <c r="J53" i="3"/>
  <c r="I53" i="3"/>
  <c r="H53" i="3"/>
  <c r="G53" i="3"/>
  <c r="F53" i="3"/>
  <c r="E53" i="3"/>
  <c r="D53" i="3"/>
  <c r="C53" i="3"/>
  <c r="J52" i="3"/>
  <c r="I52" i="3"/>
  <c r="H52" i="3"/>
  <c r="G52" i="3"/>
  <c r="F52" i="3"/>
  <c r="E52" i="3"/>
  <c r="D52" i="3"/>
  <c r="C52" i="3"/>
  <c r="J51" i="3"/>
  <c r="I51" i="3"/>
  <c r="H51" i="3"/>
  <c r="G51" i="3"/>
  <c r="F51" i="3"/>
  <c r="E51" i="3"/>
  <c r="D51" i="3"/>
  <c r="C51" i="3"/>
  <c r="J50" i="3"/>
  <c r="I50" i="3"/>
  <c r="H50" i="3"/>
  <c r="G50" i="3"/>
  <c r="F50" i="3"/>
  <c r="E50" i="3"/>
  <c r="D50" i="3"/>
  <c r="C50" i="3"/>
  <c r="J49" i="3"/>
  <c r="I49" i="3"/>
  <c r="H49" i="3"/>
  <c r="G49" i="3"/>
  <c r="F49" i="3"/>
  <c r="E49" i="3"/>
  <c r="D49" i="3"/>
  <c r="C49" i="3"/>
  <c r="J48" i="3"/>
  <c r="I48" i="3"/>
  <c r="H48" i="3"/>
  <c r="G48" i="3"/>
  <c r="F48" i="3"/>
  <c r="E48" i="3"/>
  <c r="D48" i="3"/>
  <c r="C48" i="3"/>
  <c r="J47" i="3"/>
  <c r="I47" i="3"/>
  <c r="H47" i="3"/>
  <c r="G47" i="3"/>
  <c r="F47" i="3"/>
  <c r="E47" i="3"/>
  <c r="D47" i="3"/>
  <c r="C47" i="3"/>
  <c r="J46" i="3"/>
  <c r="I46" i="3"/>
  <c r="H46" i="3"/>
  <c r="G46" i="3"/>
  <c r="F46" i="3"/>
  <c r="E46" i="3"/>
  <c r="D46" i="3"/>
  <c r="C46" i="3"/>
  <c r="J45" i="3"/>
  <c r="I45" i="3"/>
  <c r="H45" i="3"/>
  <c r="G45" i="3"/>
  <c r="F45" i="3"/>
  <c r="E45" i="3"/>
  <c r="D45" i="3"/>
  <c r="C45" i="3"/>
  <c r="J44" i="3"/>
  <c r="I44" i="3"/>
  <c r="H44" i="3"/>
  <c r="G44" i="3"/>
  <c r="F44" i="3"/>
  <c r="E44" i="3"/>
  <c r="D44" i="3"/>
  <c r="C44" i="3"/>
  <c r="J43" i="3"/>
  <c r="I43" i="3"/>
  <c r="H43" i="3"/>
  <c r="G43" i="3"/>
  <c r="F43" i="3"/>
  <c r="E43" i="3"/>
  <c r="D43" i="3"/>
  <c r="C43" i="3"/>
  <c r="J42" i="3"/>
  <c r="I42" i="3"/>
  <c r="H42" i="3"/>
  <c r="G42" i="3"/>
  <c r="F42" i="3"/>
  <c r="E42" i="3"/>
  <c r="D42" i="3"/>
  <c r="C42" i="3"/>
  <c r="J41" i="3"/>
  <c r="I41" i="3"/>
  <c r="H41" i="3"/>
  <c r="G41" i="3"/>
  <c r="F41" i="3"/>
  <c r="E41" i="3"/>
  <c r="D41" i="3"/>
  <c r="C41" i="3"/>
  <c r="J40" i="3"/>
  <c r="I40" i="3"/>
  <c r="H40" i="3"/>
  <c r="G40" i="3"/>
  <c r="F40" i="3"/>
  <c r="E40" i="3"/>
  <c r="D40" i="3"/>
  <c r="C40" i="3"/>
  <c r="J39" i="3"/>
  <c r="I39" i="3"/>
  <c r="H39" i="3"/>
  <c r="G39" i="3"/>
  <c r="F39" i="3"/>
  <c r="E39" i="3"/>
  <c r="D39" i="3"/>
  <c r="C39" i="3"/>
  <c r="J38" i="3"/>
  <c r="I38" i="3"/>
  <c r="H38" i="3"/>
  <c r="G38" i="3"/>
  <c r="F38" i="3"/>
  <c r="E38" i="3"/>
  <c r="D38" i="3"/>
  <c r="C38" i="3"/>
  <c r="J37" i="3"/>
  <c r="I37" i="3"/>
  <c r="H37" i="3"/>
  <c r="G37" i="3"/>
  <c r="F37" i="3"/>
  <c r="E37" i="3"/>
  <c r="D37" i="3"/>
  <c r="C37" i="3"/>
  <c r="J36" i="3"/>
  <c r="I36" i="3"/>
  <c r="H36" i="3"/>
  <c r="G36" i="3"/>
  <c r="F36" i="3"/>
  <c r="E36" i="3"/>
  <c r="D36" i="3"/>
  <c r="C36" i="3"/>
  <c r="J35" i="3"/>
  <c r="I35" i="3"/>
  <c r="H35" i="3"/>
  <c r="G35" i="3"/>
  <c r="F35" i="3"/>
  <c r="E35" i="3"/>
  <c r="D35" i="3"/>
  <c r="C35" i="3"/>
  <c r="J34" i="3"/>
  <c r="I34" i="3"/>
  <c r="H34" i="3"/>
  <c r="G34" i="3"/>
  <c r="F34" i="3"/>
  <c r="E34" i="3"/>
  <c r="D34" i="3"/>
  <c r="C34" i="3"/>
  <c r="J33" i="3"/>
  <c r="I33" i="3"/>
  <c r="H33" i="3"/>
  <c r="G33" i="3"/>
  <c r="F33" i="3"/>
  <c r="E33" i="3"/>
  <c r="D33" i="3"/>
  <c r="C33" i="3"/>
  <c r="J32" i="3"/>
  <c r="I32" i="3"/>
  <c r="H32" i="3"/>
  <c r="G32" i="3"/>
  <c r="F32" i="3"/>
  <c r="E32" i="3"/>
  <c r="D32" i="3"/>
  <c r="C32" i="3"/>
  <c r="J31" i="3"/>
  <c r="I31" i="3"/>
  <c r="H31" i="3"/>
  <c r="G31" i="3"/>
  <c r="F31" i="3"/>
  <c r="E31" i="3"/>
  <c r="D31" i="3"/>
  <c r="C31" i="3"/>
  <c r="J30" i="3"/>
  <c r="I30" i="3"/>
  <c r="H30" i="3"/>
  <c r="G30" i="3"/>
  <c r="F30" i="3"/>
  <c r="E30" i="3"/>
  <c r="D30" i="3"/>
  <c r="C30" i="3"/>
  <c r="J29" i="3"/>
  <c r="I29" i="3"/>
  <c r="H29" i="3"/>
  <c r="G29" i="3"/>
  <c r="F29" i="3"/>
  <c r="E29" i="3"/>
  <c r="D29" i="3"/>
  <c r="C29" i="3"/>
  <c r="J28" i="3"/>
  <c r="I28" i="3"/>
  <c r="H28" i="3"/>
  <c r="G28" i="3"/>
  <c r="F28" i="3"/>
  <c r="E28" i="3"/>
  <c r="D28" i="3"/>
  <c r="C28" i="3"/>
  <c r="J27" i="3"/>
  <c r="I27" i="3"/>
  <c r="H27" i="3"/>
  <c r="G27" i="3"/>
  <c r="F27" i="3"/>
  <c r="E27" i="3"/>
  <c r="D27" i="3"/>
  <c r="C27" i="3"/>
  <c r="J26" i="3"/>
  <c r="I26" i="3"/>
  <c r="H26" i="3"/>
  <c r="G26" i="3"/>
  <c r="F26" i="3"/>
  <c r="E26" i="3"/>
  <c r="D26" i="3"/>
  <c r="C26" i="3"/>
  <c r="J25" i="3"/>
  <c r="I25" i="3"/>
  <c r="H25" i="3"/>
  <c r="G25" i="3"/>
  <c r="F25" i="3"/>
  <c r="E25" i="3"/>
  <c r="D25" i="3"/>
  <c r="C25" i="3"/>
  <c r="J24" i="3"/>
  <c r="I24" i="3"/>
  <c r="H24" i="3"/>
  <c r="G24" i="3"/>
  <c r="F24" i="3"/>
  <c r="E24" i="3"/>
  <c r="D24" i="3"/>
  <c r="C24" i="3"/>
  <c r="J23" i="3"/>
  <c r="I23" i="3"/>
  <c r="H23" i="3"/>
  <c r="G23" i="3"/>
  <c r="F23" i="3"/>
  <c r="E23" i="3"/>
  <c r="D23" i="3"/>
  <c r="C23" i="3"/>
  <c r="J22" i="3"/>
  <c r="I22" i="3"/>
  <c r="H22" i="3"/>
  <c r="G22" i="3"/>
  <c r="F22" i="3"/>
  <c r="E22" i="3"/>
  <c r="D22" i="3"/>
  <c r="C22" i="3"/>
  <c r="J21" i="3"/>
  <c r="I21" i="3"/>
  <c r="H21" i="3"/>
  <c r="G21" i="3"/>
  <c r="F21" i="3"/>
  <c r="E21" i="3"/>
  <c r="D21" i="3"/>
  <c r="C21" i="3"/>
  <c r="J20" i="3"/>
  <c r="I20" i="3"/>
  <c r="H20" i="3"/>
  <c r="G20" i="3"/>
  <c r="F20" i="3"/>
  <c r="E20" i="3"/>
  <c r="D20" i="3"/>
  <c r="C20" i="3"/>
  <c r="J19" i="3"/>
  <c r="I19" i="3"/>
  <c r="H19" i="3"/>
  <c r="G19" i="3"/>
  <c r="F19" i="3"/>
  <c r="E19" i="3"/>
  <c r="D19" i="3"/>
  <c r="C19" i="3"/>
  <c r="J18" i="3"/>
  <c r="I18" i="3"/>
  <c r="H18" i="3"/>
  <c r="G18" i="3"/>
  <c r="F18" i="3"/>
  <c r="E18" i="3"/>
  <c r="D18" i="3"/>
  <c r="C18" i="3"/>
  <c r="J17" i="3"/>
  <c r="I17" i="3"/>
  <c r="H17" i="3"/>
  <c r="G17" i="3"/>
  <c r="F17" i="3"/>
  <c r="E17" i="3"/>
  <c r="D17" i="3"/>
  <c r="C17" i="3"/>
  <c r="J16" i="3"/>
  <c r="I16" i="3"/>
  <c r="H16" i="3"/>
  <c r="G16" i="3"/>
  <c r="F16" i="3"/>
  <c r="E16" i="3"/>
  <c r="D16" i="3"/>
  <c r="C16" i="3"/>
  <c r="J15" i="3"/>
  <c r="I15" i="3"/>
  <c r="H15" i="3"/>
  <c r="G15" i="3"/>
  <c r="F15" i="3"/>
  <c r="E15" i="3"/>
  <c r="D15" i="3"/>
  <c r="C15" i="3"/>
  <c r="J14" i="3"/>
  <c r="I14" i="3"/>
  <c r="H14" i="3"/>
  <c r="G14" i="3"/>
  <c r="F14" i="3"/>
  <c r="E14" i="3"/>
  <c r="D14" i="3"/>
  <c r="C14" i="3"/>
  <c r="J13" i="3"/>
  <c r="I13" i="3"/>
  <c r="H13" i="3"/>
  <c r="G13" i="3"/>
  <c r="F13" i="3"/>
  <c r="E13" i="3"/>
  <c r="D13" i="3"/>
  <c r="C13" i="3"/>
  <c r="J12" i="3"/>
  <c r="I12" i="3"/>
  <c r="H12" i="3"/>
  <c r="G12" i="3"/>
  <c r="F12" i="3"/>
  <c r="E12" i="3"/>
  <c r="D12" i="3"/>
  <c r="C12" i="3"/>
  <c r="J11" i="3"/>
  <c r="I11" i="3"/>
  <c r="H11" i="3"/>
  <c r="G11" i="3"/>
  <c r="F11" i="3"/>
  <c r="E11" i="3"/>
  <c r="D11" i="3"/>
  <c r="C11" i="3"/>
  <c r="J10" i="3"/>
  <c r="I10" i="3"/>
  <c r="H10" i="3"/>
  <c r="G10" i="3"/>
  <c r="F10" i="3"/>
  <c r="E10" i="3"/>
  <c r="D10" i="3"/>
  <c r="C10" i="3"/>
  <c r="J9" i="3"/>
  <c r="I9" i="3"/>
  <c r="H9" i="3"/>
  <c r="G9" i="3"/>
  <c r="F9" i="3"/>
  <c r="E9" i="3"/>
  <c r="D9" i="3"/>
  <c r="C9" i="3"/>
  <c r="J8" i="3"/>
  <c r="I8" i="3"/>
  <c r="H8" i="3"/>
  <c r="G8" i="3"/>
  <c r="F8" i="3"/>
  <c r="E8" i="3"/>
  <c r="D8" i="3"/>
  <c r="C8" i="3"/>
  <c r="J7" i="3"/>
  <c r="I7" i="3"/>
  <c r="H7" i="3"/>
  <c r="G7" i="3"/>
  <c r="F7" i="3"/>
  <c r="E7" i="3"/>
  <c r="D7" i="3"/>
  <c r="C7" i="3"/>
  <c r="J6" i="3"/>
  <c r="I6" i="3"/>
  <c r="H6" i="3"/>
  <c r="G6" i="3"/>
  <c r="F6" i="3"/>
  <c r="E6" i="3"/>
  <c r="D6" i="3"/>
  <c r="C6" i="3"/>
  <c r="J5" i="3"/>
  <c r="I5" i="3"/>
  <c r="H5" i="3"/>
  <c r="G5" i="3"/>
  <c r="F5" i="3"/>
  <c r="E5" i="3"/>
  <c r="D5" i="3"/>
  <c r="C5" i="3"/>
  <c r="J4" i="3"/>
  <c r="I4" i="3"/>
  <c r="H4" i="3"/>
  <c r="G4" i="3"/>
  <c r="F4" i="3"/>
  <c r="E4" i="3"/>
  <c r="D4" i="3"/>
  <c r="C4" i="3"/>
  <c r="J3" i="3"/>
  <c r="I3" i="3"/>
  <c r="H3" i="3"/>
  <c r="G3" i="3"/>
  <c r="F3" i="3"/>
  <c r="E3" i="3"/>
  <c r="D3" i="3"/>
  <c r="C3" i="3"/>
  <c r="J2" i="3"/>
  <c r="I2" i="3"/>
  <c r="H2" i="3"/>
  <c r="G2" i="3"/>
  <c r="F2" i="3"/>
  <c r="E2" i="3"/>
  <c r="D2" i="3"/>
  <c r="C2" i="3"/>
  <c r="J1" i="3"/>
  <c r="I1" i="3"/>
  <c r="H1" i="3"/>
  <c r="G1" i="3"/>
  <c r="F1" i="3"/>
  <c r="E1" i="3"/>
  <c r="D1" i="3"/>
  <c r="C1" i="3"/>
</calcChain>
</file>

<file path=xl/sharedStrings.xml><?xml version="1.0" encoding="utf-8"?>
<sst xmlns="http://schemas.openxmlformats.org/spreadsheetml/2006/main" count="1791" uniqueCount="1188">
  <si>
    <t>邮件id</t>
  </si>
  <si>
    <t>天赋描述</t>
  </si>
  <si>
    <t>技能描述</t>
  </si>
  <si>
    <t>both</t>
  </si>
  <si>
    <t>client</t>
  </si>
  <si>
    <t>id</t>
  </si>
  <si>
    <t>des_cn</t>
  </si>
  <si>
    <t>des_zh</t>
  </si>
  <si>
    <t>des_en</t>
  </si>
  <si>
    <t>des_ja</t>
  </si>
  <si>
    <t>des_ko</t>
  </si>
  <si>
    <t>des_de</t>
  </si>
  <si>
    <t>des_fr</t>
  </si>
  <si>
    <t>des_pt</t>
  </si>
  <si>
    <t>des_es</t>
  </si>
  <si>
    <t>int</t>
  </si>
  <si>
    <t>string</t>
  </si>
  <si>
    <t>每波银币获取+{0}</t>
  </si>
  <si>
    <r>
      <t>每波银币获取+</t>
    </r>
    <r>
      <rPr>
        <sz val="12"/>
        <color rgb="FFFF0000"/>
        <rFont val="微软雅黑"/>
        <family val="2"/>
        <charset val="134"/>
      </rPr>
      <t>{0}</t>
    </r>
  </si>
  <si>
    <t>Silver Coins obtained each wave +{0}</t>
  </si>
  <si>
    <t>各WAVEで獲得できる銀貨+{0}</t>
  </si>
  <si>
    <r>
      <t>웨이브당</t>
    </r>
    <r>
      <rPr>
        <sz val="12"/>
        <color theme="1"/>
        <rFont val="微软雅黑"/>
        <family val="2"/>
        <charset val="134"/>
      </rPr>
      <t xml:space="preserve"> </t>
    </r>
    <r>
      <rPr>
        <sz val="12"/>
        <color theme="1"/>
        <rFont val="MS Gothic"/>
        <family val="3"/>
        <charset val="128"/>
      </rPr>
      <t>은화</t>
    </r>
    <r>
      <rPr>
        <sz val="12"/>
        <color theme="1"/>
        <rFont val="微软雅黑"/>
        <family val="2"/>
        <charset val="134"/>
      </rPr>
      <t xml:space="preserve"> </t>
    </r>
    <r>
      <rPr>
        <sz val="12"/>
        <color theme="1"/>
        <rFont val="MS Gothic"/>
        <family val="3"/>
        <charset val="128"/>
      </rPr>
      <t>획득량</t>
    </r>
    <r>
      <rPr>
        <sz val="12"/>
        <color theme="1"/>
        <rFont val="微软雅黑"/>
        <family val="2"/>
        <charset val="134"/>
      </rPr>
      <t xml:space="preserve"> +{0}</t>
    </r>
  </si>
  <si>
    <t>{0} Silbermünzen mehr pro Welle</t>
  </si>
  <si>
    <t>Pièces d’Argent obtenues à chaque vague +{0}</t>
  </si>
  <si>
    <t>Moedas de Prata obtidas a cada onda +{0}</t>
  </si>
  <si>
    <t>Monedas de Plata obtenidas en cada oleada +{0}</t>
  </si>
  <si>
    <t>对boss的伤害+{0}%</t>
  </si>
  <si>
    <t>DMG dealt to boss +{0}%</t>
  </si>
  <si>
    <t>ボスに与えるダメージ+{0}%</t>
  </si>
  <si>
    <r>
      <t>보스에게</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</si>
  <si>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Verursachter Schaden gegen Endgegner +{0} %</t>
  </si>
  <si>
    <t>DÉG infligés aux Boss +{0} %</t>
  </si>
  <si>
    <t>DNO causado a chefe +{0}%</t>
  </si>
  <si>
    <t>Daño infligido al jefe +{0}%</t>
  </si>
  <si>
    <t>随机1件装备合成等级提升{0}级</t>
  </si>
  <si>
    <t>Merge Level of a random equipment +{0}</t>
  </si>
  <si>
    <t>ランダムな装備品1件のマージレベル+{0}</t>
  </si>
  <si>
    <r>
      <t>무작위로</t>
    </r>
    <r>
      <rPr>
        <sz val="12"/>
        <color theme="1"/>
        <rFont val="微软雅黑"/>
        <family val="2"/>
        <charset val="134"/>
      </rPr>
      <t xml:space="preserve"> 1</t>
    </r>
    <r>
      <rPr>
        <sz val="12"/>
        <color theme="1"/>
        <rFont val="MS Gothic"/>
        <family val="3"/>
        <charset val="128"/>
      </rPr>
      <t>개</t>
    </r>
    <r>
      <rPr>
        <sz val="12"/>
        <color theme="1"/>
        <rFont val="微软雅黑"/>
        <family val="2"/>
        <charset val="134"/>
      </rPr>
      <t xml:space="preserve"> </t>
    </r>
    <r>
      <rPr>
        <sz val="12"/>
        <color theme="1"/>
        <rFont val="MS Gothic"/>
        <family val="3"/>
        <charset val="128"/>
      </rPr>
      <t>장비의</t>
    </r>
    <r>
      <rPr>
        <sz val="12"/>
        <color theme="1"/>
        <rFont val="微软雅黑"/>
        <family val="2"/>
        <charset val="134"/>
      </rPr>
      <t xml:space="preserve"> </t>
    </r>
    <r>
      <rPr>
        <sz val="12"/>
        <color theme="1"/>
        <rFont val="MS Gothic"/>
        <family val="3"/>
        <charset val="128"/>
      </rPr>
      <t>합성</t>
    </r>
    <r>
      <rPr>
        <sz val="12"/>
        <color theme="1"/>
        <rFont val="微软雅黑"/>
        <family val="2"/>
        <charset val="134"/>
      </rPr>
      <t xml:space="preserve"> </t>
    </r>
    <r>
      <rPr>
        <sz val="12"/>
        <color theme="1"/>
        <rFont val="MS Gothic"/>
        <family val="3"/>
        <charset val="128"/>
      </rPr>
      <t>레벨</t>
    </r>
    <r>
      <rPr>
        <sz val="12"/>
        <color theme="1"/>
        <rFont val="微软雅黑"/>
        <family val="2"/>
        <charset val="134"/>
      </rPr>
      <t xml:space="preserve"> +{0}</t>
    </r>
  </si>
  <si>
    <t>Verbindungsstufe von zufälliger Ausrüstung +{0}</t>
  </si>
  <si>
    <t>Niveau de Fusion d’un équipement aléatoire +{0}</t>
  </si>
  <si>
    <t>Nível de Fusão de um equipamento aleatório +{0}</t>
  </si>
  <si>
    <t>Nivel de fusión de equipamiento aleatorio +{0}</t>
  </si>
  <si>
    <t>商店刷新价格-{0}%</t>
  </si>
  <si>
    <t>Refresh price in Shop -{0}%</t>
  </si>
  <si>
    <t>ストア更新の消費-{0}%</t>
  </si>
  <si>
    <r>
      <t>상점</t>
    </r>
    <r>
      <rPr>
        <sz val="12"/>
        <color theme="1"/>
        <rFont val="微软雅黑"/>
        <family val="2"/>
        <charset val="134"/>
      </rPr>
      <t xml:space="preserve"> </t>
    </r>
    <r>
      <rPr>
        <sz val="12"/>
        <color theme="1"/>
        <rFont val="MS Gothic"/>
        <family val="3"/>
        <charset val="128"/>
      </rPr>
      <t>갱신</t>
    </r>
    <r>
      <rPr>
        <sz val="12"/>
        <color theme="1"/>
        <rFont val="微软雅黑"/>
        <family val="2"/>
        <charset val="134"/>
      </rPr>
      <t xml:space="preserve"> </t>
    </r>
    <r>
      <rPr>
        <sz val="12"/>
        <color theme="1"/>
        <rFont val="MS Gothic"/>
        <family val="3"/>
        <charset val="128"/>
      </rPr>
      <t>비용</t>
    </r>
    <r>
      <rPr>
        <sz val="12"/>
        <color theme="1"/>
        <rFont val="微软雅黑"/>
        <family val="2"/>
        <charset val="134"/>
      </rPr>
      <t xml:space="preserve"> -{0}%</t>
    </r>
  </si>
  <si>
    <t>Aktualisierungspreis im Shop -{0} %</t>
  </si>
  <si>
    <t>Prix d’Actualisation de la Vitrine -{0} %</t>
  </si>
  <si>
    <t>Atualização de preço na Loja -{0}%</t>
  </si>
  <si>
    <t>Precio de actualización en la Tienda -{0}%</t>
  </si>
  <si>
    <t>胜利后结算奖励+{0}%</t>
  </si>
  <si>
    <t>Victory Rewards +{0}%</t>
  </si>
  <si>
    <t>勝利後のリザルト報酬+{0}%</t>
  </si>
  <si>
    <r>
      <t>승리</t>
    </r>
    <r>
      <rPr>
        <sz val="12"/>
        <color theme="1"/>
        <rFont val="微软雅黑"/>
        <family val="2"/>
        <charset val="134"/>
      </rPr>
      <t xml:space="preserve"> </t>
    </r>
    <r>
      <rPr>
        <sz val="12"/>
        <color theme="1"/>
        <rFont val="MS Gothic"/>
        <family val="3"/>
        <charset val="128"/>
      </rPr>
      <t>결산</t>
    </r>
    <r>
      <rPr>
        <sz val="12"/>
        <color theme="1"/>
        <rFont val="微软雅黑"/>
        <family val="2"/>
        <charset val="134"/>
      </rPr>
      <t xml:space="preserve"> </t>
    </r>
    <r>
      <rPr>
        <sz val="12"/>
        <color theme="1"/>
        <rFont val="MS Gothic"/>
        <family val="3"/>
        <charset val="128"/>
      </rPr>
      <t>보상</t>
    </r>
    <r>
      <rPr>
        <sz val="12"/>
        <color theme="1"/>
        <rFont val="微软雅黑"/>
        <family val="2"/>
        <charset val="134"/>
      </rPr>
      <t xml:space="preserve"> +{0}%</t>
    </r>
  </si>
  <si>
    <t>Siegprämien +{0} %</t>
  </si>
  <si>
    <t>Récompenses de Victoire +{0} %</t>
  </si>
  <si>
    <t>Recompensas de Vitória +{0}%</t>
  </si>
  <si>
    <t>Recompensas de victoria +{0}%</t>
  </si>
  <si>
    <t>商店免费刷新时多刷{0}个装备</t>
  </si>
  <si>
    <t>Displays {0} more equipment when refreshing for free in Shop.</t>
  </si>
  <si>
    <t>ストア無料更新時、装備品を{0}件追加で更新可能</t>
  </si>
  <si>
    <r>
      <t>상점</t>
    </r>
    <r>
      <rPr>
        <sz val="12"/>
        <color theme="1"/>
        <rFont val="微软雅黑"/>
        <family val="2"/>
        <charset val="134"/>
      </rPr>
      <t xml:space="preserve"> </t>
    </r>
    <r>
      <rPr>
        <sz val="12"/>
        <color theme="1"/>
        <rFont val="MS Gothic"/>
        <family val="3"/>
        <charset val="128"/>
      </rPr>
      <t>갱신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출현하는</t>
    </r>
    <r>
      <rPr>
        <sz val="12"/>
        <color theme="1"/>
        <rFont val="微软雅黑"/>
        <family val="2"/>
        <charset val="134"/>
      </rPr>
      <t xml:space="preserve"> </t>
    </r>
    <r>
      <rPr>
        <sz val="12"/>
        <color theme="1"/>
        <rFont val="MS Gothic"/>
        <family val="3"/>
        <charset val="128"/>
      </rPr>
      <t>장비</t>
    </r>
    <r>
      <rPr>
        <sz val="12"/>
        <color theme="1"/>
        <rFont val="微软雅黑"/>
        <family val="2"/>
        <charset val="134"/>
      </rPr>
      <t xml:space="preserve"> </t>
    </r>
    <r>
      <rPr>
        <sz val="12"/>
        <color theme="1"/>
        <rFont val="MS Gothic"/>
        <family val="3"/>
        <charset val="128"/>
      </rPr>
      <t>개수</t>
    </r>
    <r>
      <rPr>
        <sz val="12"/>
        <color theme="1"/>
        <rFont val="微软雅黑"/>
        <family val="2"/>
        <charset val="134"/>
      </rPr>
      <t xml:space="preserve"> +{0}</t>
    </r>
  </si>
  <si>
    <t>Aktualisiert kostenlos {0} mehr Ausrüstungsgegenstände im Shop.</t>
  </si>
  <si>
    <t>{0} équipement en plus lors de l’actualisation gratuite de la Vitrine.</t>
  </si>
  <si>
    <t>Atualiza mais {0} equipamentos de graça na Loja.</t>
  </si>
  <si>
    <t>Actualiza {0} más equipamiento gratis en la Tienda.</t>
  </si>
  <si>
    <t>背包里每有1件装备伤害+{0}%</t>
  </si>
  <si>
    <t>For every 1 equipment in the backpack, DMG +{0}%.</t>
  </si>
  <si>
    <t>バックパックにある装備品1件ごとに与えるダメージ+{0}%</t>
  </si>
  <si>
    <r>
      <t>배낭에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장비</t>
    </r>
    <r>
      <rPr>
        <sz val="12"/>
        <color theme="1"/>
        <rFont val="微软雅黑"/>
        <family val="2"/>
        <charset val="134"/>
      </rPr>
      <t xml:space="preserve"> 1</t>
    </r>
    <r>
      <rPr>
        <sz val="12"/>
        <color theme="1"/>
        <rFont val="MS Gothic"/>
        <family val="3"/>
        <charset val="128"/>
      </rPr>
      <t>개당</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</si>
  <si>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Pro Ausrüstungsgegenstand im Rucksack Schaden +{0} %</t>
  </si>
  <si>
    <t>Pour chaque équipement dans le sac, DÉG +{0} %.</t>
  </si>
  <si>
    <t>Para cada 1 equipamento na mochila, DNO +{0}%.</t>
  </si>
  <si>
    <t>Daño +{0}% por cada 1 equipamiento en el inventario.</t>
  </si>
  <si>
    <t>每波战斗结束时获得{0}%利息，上限{1}银币</t>
  </si>
  <si>
    <t>Gains {0}% interest at the end of each wave, caps at {1} Silver Coins.</t>
  </si>
  <si>
    <t>WAVE終了時に{0}%の利子を獲得（上限は銀貨×{1}）</t>
  </si>
  <si>
    <r>
      <t>각</t>
    </r>
    <r>
      <rPr>
        <sz val="12"/>
        <color theme="1"/>
        <rFont val="微软雅黑"/>
        <family val="2"/>
        <charset val="134"/>
      </rPr>
      <t xml:space="preserve"> </t>
    </r>
    <r>
      <rPr>
        <sz val="12"/>
        <color theme="1"/>
        <rFont val="MS Gothic"/>
        <family val="3"/>
        <charset val="128"/>
      </rPr>
      <t>웨이브가</t>
    </r>
    <r>
      <rPr>
        <sz val="12"/>
        <color theme="1"/>
        <rFont val="微软雅黑"/>
        <family val="2"/>
        <charset val="134"/>
      </rPr>
      <t xml:space="preserve"> </t>
    </r>
    <r>
      <rPr>
        <sz val="12"/>
        <color theme="1"/>
        <rFont val="MS Gothic"/>
        <family val="3"/>
        <charset val="128"/>
      </rPr>
      <t>끝날</t>
    </r>
    <r>
      <rPr>
        <sz val="12"/>
        <color theme="1"/>
        <rFont val="微软雅黑"/>
        <family val="2"/>
        <charset val="134"/>
      </rPr>
      <t xml:space="preserve"> </t>
    </r>
    <r>
      <rPr>
        <sz val="12"/>
        <color theme="1"/>
        <rFont val="MS Gothic"/>
        <family val="3"/>
        <charset val="128"/>
      </rPr>
      <t>때마다</t>
    </r>
    <r>
      <rPr>
        <sz val="12"/>
        <color theme="1"/>
        <rFont val="微软雅黑"/>
        <family val="2"/>
        <charset val="134"/>
      </rPr>
      <t xml:space="preserve"> {0}%</t>
    </r>
    <r>
      <rPr>
        <sz val="12"/>
        <color theme="1"/>
        <rFont val="MS Gothic"/>
        <family val="3"/>
        <charset val="128"/>
      </rPr>
      <t>의</t>
    </r>
    <r>
      <rPr>
        <sz val="12"/>
        <color theme="1"/>
        <rFont val="微软雅黑"/>
        <family val="2"/>
        <charset val="134"/>
      </rPr>
      <t xml:space="preserve"> </t>
    </r>
    <r>
      <rPr>
        <sz val="12"/>
        <color theme="1"/>
        <rFont val="MS Gothic"/>
        <family val="3"/>
        <charset val="128"/>
      </rPr>
      <t>이자</t>
    </r>
    <r>
      <rPr>
        <sz val="12"/>
        <color theme="1"/>
        <rFont val="微软雅黑"/>
        <family val="2"/>
        <charset val="134"/>
      </rPr>
      <t xml:space="preserve"> </t>
    </r>
    <r>
      <rPr>
        <sz val="12"/>
        <color theme="1"/>
        <rFont val="MS Gothic"/>
        <family val="3"/>
        <charset val="128"/>
      </rPr>
      <t>획득</t>
    </r>
    <r>
      <rPr>
        <sz val="12"/>
        <color theme="1"/>
        <rFont val="微软雅黑"/>
        <family val="2"/>
        <charset val="134"/>
      </rPr>
      <t>. (</t>
    </r>
    <r>
      <rPr>
        <sz val="12"/>
        <color theme="1"/>
        <rFont val="MS Gothic"/>
        <family val="3"/>
        <charset val="128"/>
      </rPr>
      <t>상한</t>
    </r>
    <r>
      <rPr>
        <sz val="12"/>
        <color theme="1"/>
        <rFont val="微软雅黑"/>
        <family val="2"/>
        <charset val="134"/>
      </rPr>
      <t>: {1}</t>
    </r>
    <r>
      <rPr>
        <sz val="12"/>
        <color theme="1"/>
        <rFont val="MS Gothic"/>
        <family val="3"/>
        <charset val="128"/>
      </rPr>
      <t>은화</t>
    </r>
    <r>
      <rPr>
        <sz val="12"/>
        <color theme="1"/>
        <rFont val="微软雅黑"/>
        <family val="2"/>
        <charset val="134"/>
      </rPr>
      <t>)</t>
    </r>
  </si>
  <si>
    <t>Erhält {0} % Zinsen am Ende jeder Welle, maximal {1} Silbermünzen.</t>
  </si>
  <si>
    <t>Gagne {0} % d’intérêts à la fin de chaque vague. {1} Pièces d’Argent.</t>
  </si>
  <si>
    <t>Ganha {0}% de juro no final de cada onda; limite em {1} Moedas de Prata.</t>
  </si>
  <si>
    <t>Se obtiene {0}% de interés al final de cada oleada. Límite: {1} Monedas de Plata.</t>
  </si>
  <si>
    <t>经验获取+{0}%</t>
  </si>
  <si>
    <t>EXP obtained +{0}%</t>
  </si>
  <si>
    <t>獲得EXP+{0}%</t>
  </si>
  <si>
    <r>
      <t>경험치</t>
    </r>
    <r>
      <rPr>
        <sz val="12"/>
        <color theme="1"/>
        <rFont val="微软雅黑"/>
        <family val="2"/>
        <charset val="134"/>
      </rPr>
      <t xml:space="preserve"> </t>
    </r>
    <r>
      <rPr>
        <sz val="12"/>
        <color theme="1"/>
        <rFont val="MS Gothic"/>
        <family val="3"/>
        <charset val="128"/>
      </rPr>
      <t>획득량</t>
    </r>
    <r>
      <rPr>
        <sz val="12"/>
        <color theme="1"/>
        <rFont val="微软雅黑"/>
        <family val="2"/>
        <charset val="134"/>
      </rPr>
      <t xml:space="preserve"> +{0}%</t>
    </r>
  </si>
  <si>
    <t>Gesammelte ERF +{0} %</t>
  </si>
  <si>
    <t>EXP obtenue +{0} %</t>
  </si>
  <si>
    <t>EXP obtida +{0}%</t>
  </si>
  <si>
    <t>EXP obtenida +{0}%</t>
  </si>
  <si>
    <t>立即获得{0}银币</t>
  </si>
  <si>
    <t>Instantly get {0} Silver Coins.</t>
  </si>
  <si>
    <t>銀貨×{0}を直ちに入手</t>
  </si>
  <si>
    <r>
      <t>즉시</t>
    </r>
    <r>
      <rPr>
        <sz val="12"/>
        <color theme="1"/>
        <rFont val="微软雅黑"/>
        <family val="2"/>
        <charset val="134"/>
      </rPr>
      <t xml:space="preserve"> {0}</t>
    </r>
    <r>
      <rPr>
        <sz val="12"/>
        <color theme="1"/>
        <rFont val="MS Gothic"/>
        <family val="3"/>
        <charset val="128"/>
      </rPr>
      <t>은화</t>
    </r>
    <r>
      <rPr>
        <sz val="12"/>
        <color theme="1"/>
        <rFont val="微软雅黑"/>
        <family val="2"/>
        <charset val="134"/>
      </rPr>
      <t xml:space="preserve"> </t>
    </r>
    <r>
      <rPr>
        <sz val="12"/>
        <color theme="1"/>
        <rFont val="MS Gothic"/>
        <family val="3"/>
        <charset val="128"/>
      </rPr>
      <t>획득</t>
    </r>
    <r>
      <rPr>
        <sz val="12"/>
        <color theme="1"/>
        <rFont val="微软雅黑"/>
        <family val="2"/>
        <charset val="134"/>
      </rPr>
      <t>.</t>
    </r>
  </si>
  <si>
    <t>Erhalte sofort {0} Silbermünzen.</t>
  </si>
  <si>
    <t>Reçois immédiatement {0} Pièces d’Argent.</t>
  </si>
  <si>
    <t>Obtenha instantaneamente {0} Moedas de Prata.</t>
  </si>
  <si>
    <t>Se obtienen {0} Monedas de Plata.</t>
  </si>
  <si>
    <t>所有防具生命+{0}%</t>
  </si>
  <si>
    <t>All Armors' HP +{0}%</t>
  </si>
  <si>
    <t>全ての防具のHP+{0}%</t>
  </si>
  <si>
    <r>
      <t>모든</t>
    </r>
    <r>
      <rPr>
        <sz val="12"/>
        <color theme="1"/>
        <rFont val="微软雅黑"/>
        <family val="2"/>
        <charset val="134"/>
      </rPr>
      <t xml:space="preserve"> </t>
    </r>
    <r>
      <rPr>
        <sz val="12"/>
        <color theme="1"/>
        <rFont val="MS Gothic"/>
        <family val="3"/>
        <charset val="128"/>
      </rPr>
      <t>방어구의</t>
    </r>
    <r>
      <rPr>
        <sz val="12"/>
        <color theme="1"/>
        <rFont val="微软雅黑"/>
        <family val="2"/>
        <charset val="134"/>
      </rPr>
      <t xml:space="preserve"> HP +{0}%</t>
    </r>
  </si>
  <si>
    <t>LP aller Rüstungen +{0} %</t>
  </si>
  <si>
    <t>PV de Toutes les Armures +{0} %</t>
  </si>
  <si>
    <t>PV de Todas as Armaduras +{0}%</t>
  </si>
  <si>
    <t>PS de todas las Armaduras +{0}%</t>
  </si>
  <si>
    <t>所有武器伤害+{0}%</t>
  </si>
  <si>
    <t>DMG of All Weapons +{0}%</t>
  </si>
  <si>
    <t>全ての武器のダメージ+{0}%</t>
  </si>
  <si>
    <r>
      <t>모든</t>
    </r>
    <r>
      <rPr>
        <sz val="12"/>
        <color theme="1"/>
        <rFont val="微软雅黑"/>
        <family val="2"/>
        <charset val="134"/>
      </rPr>
      <t xml:space="preserve"> </t>
    </r>
    <r>
      <rPr>
        <sz val="12"/>
        <color theme="1"/>
        <rFont val="MS Gothic"/>
        <family val="3"/>
        <charset val="128"/>
      </rPr>
      <t>무기가</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</si>
  <si>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Schaden aller Waffen +{0} %</t>
  </si>
  <si>
    <t>DÉG de Toutes les Armes +{0} %</t>
  </si>
  <si>
    <t>DNO de Todas as Armas +{0}%</t>
  </si>
  <si>
    <t>Daño de todas las Armas +{0}%</t>
  </si>
  <si>
    <t>所有装备速度+{0}%</t>
  </si>
  <si>
    <t>SPD of All Equipment +{0}%</t>
  </si>
  <si>
    <t>全ての装備品の速度+{0}%</t>
  </si>
  <si>
    <r>
      <t>모든</t>
    </r>
    <r>
      <rPr>
        <sz val="12"/>
        <color theme="1"/>
        <rFont val="微软雅黑"/>
        <family val="2"/>
        <charset val="134"/>
      </rPr>
      <t xml:space="preserve"> </t>
    </r>
    <r>
      <rPr>
        <sz val="12"/>
        <color theme="1"/>
        <rFont val="MS Gothic"/>
        <family val="3"/>
        <charset val="128"/>
      </rPr>
      <t>장비의</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</si>
  <si>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GSW sämtlicher Ausrüstung +{0} %</t>
  </si>
  <si>
    <t>VIT de Tout l’Équipement +{0} %</t>
  </si>
  <si>
    <t>VEL de Todos os Equipamentos +{0}%</t>
  </si>
  <si>
    <t>VEL de todo el Equipamiento +{0}%</t>
  </si>
  <si>
    <t>商店出现2级物品概率+{0}%</t>
  </si>
  <si>
    <t>Chance of Lv. 2 goods appearing in Shop +{0}%</t>
  </si>
  <si>
    <t>ストアにLv.2アイテムの出現率+{0}%</t>
  </si>
  <si>
    <r>
      <t>상점</t>
    </r>
    <r>
      <rPr>
        <sz val="12"/>
        <color theme="1"/>
        <rFont val="微软雅黑"/>
        <family val="2"/>
        <charset val="134"/>
      </rPr>
      <t xml:space="preserve"> </t>
    </r>
    <r>
      <rPr>
        <sz val="12"/>
        <color theme="1"/>
        <rFont val="MS Gothic"/>
        <family val="3"/>
        <charset val="128"/>
      </rPr>
      <t>중</t>
    </r>
    <r>
      <rPr>
        <sz val="12"/>
        <color theme="1"/>
        <rFont val="微软雅黑"/>
        <family val="2"/>
        <charset val="134"/>
      </rPr>
      <t xml:space="preserve"> Lv.2 </t>
    </r>
    <r>
      <rPr>
        <sz val="12"/>
        <color theme="1"/>
        <rFont val="MS Gothic"/>
        <family val="3"/>
        <charset val="128"/>
      </rPr>
      <t>아이템</t>
    </r>
    <r>
      <rPr>
        <sz val="12"/>
        <color theme="1"/>
        <rFont val="微软雅黑"/>
        <family val="2"/>
        <charset val="134"/>
      </rPr>
      <t xml:space="preserve"> </t>
    </r>
    <r>
      <rPr>
        <sz val="12"/>
        <color theme="1"/>
        <rFont val="MS Gothic"/>
        <family val="3"/>
        <charset val="128"/>
      </rPr>
      <t>출현</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</si>
  <si>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Chance auf Stufe-2-Waren im Shop +{0} %</t>
  </si>
  <si>
    <t>Chances d’obtenir des articles de Niv. 2 dans la Vitrine +{0} %</t>
  </si>
  <si>
    <t>Chance de produtos de Nv. 2 aparecerem na Loja +{0}%</t>
  </si>
  <si>
    <t>Posibilidad de que aparezcan objetos de Nv.2 en la Tienda +{0}%</t>
  </si>
  <si>
    <t>所有敌人移动速度-{0}%</t>
  </si>
  <si>
    <t>Moving SPD of All Enemies -{0}%</t>
  </si>
  <si>
    <t>全ての敵の移動速度-{0}%</t>
  </si>
  <si>
    <r>
      <t>모든</t>
    </r>
    <r>
      <rPr>
        <sz val="12"/>
        <color theme="1"/>
        <rFont val="微软雅黑"/>
        <family val="2"/>
        <charset val="134"/>
      </rPr>
      <t xml:space="preserve"> </t>
    </r>
    <r>
      <rPr>
        <sz val="12"/>
        <color theme="1"/>
        <rFont val="MS Gothic"/>
        <family val="3"/>
        <charset val="128"/>
      </rPr>
      <t>적의</t>
    </r>
    <r>
      <rPr>
        <sz val="12"/>
        <color theme="1"/>
        <rFont val="微软雅黑"/>
        <family val="2"/>
        <charset val="134"/>
      </rPr>
      <t xml:space="preserve"> </t>
    </r>
    <r>
      <rPr>
        <sz val="12"/>
        <color theme="1"/>
        <rFont val="MS Gothic"/>
        <family val="3"/>
        <charset val="128"/>
      </rPr>
      <t>이동</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</si>
  <si>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Bewegungsgeschwindigkeit aller Gegner -{0} %</t>
  </si>
  <si>
    <t>VIT de Déplacement de Tous les Ennemis -{0} %</t>
  </si>
  <si>
    <t>VEL de Movimento de Todos os Inimigos -{0}%</t>
  </si>
  <si>
    <t>VEL de Movimiento de los Enemigos -{0}%</t>
  </si>
  <si>
    <t>角色移动速度+{0}%</t>
  </si>
  <si>
    <t>Hero Moving SPD +{0}%</t>
  </si>
  <si>
    <t>ヒーローの移動速度+{0}%</t>
  </si>
  <si>
    <r>
      <t>캐릭터의</t>
    </r>
    <r>
      <rPr>
        <sz val="12"/>
        <color theme="1"/>
        <rFont val="微软雅黑"/>
        <family val="2"/>
        <charset val="134"/>
      </rPr>
      <t xml:space="preserve"> </t>
    </r>
    <r>
      <rPr>
        <sz val="12"/>
        <color theme="1"/>
        <rFont val="MS Gothic"/>
        <family val="3"/>
        <charset val="128"/>
      </rPr>
      <t>이동</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</si>
  <si>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Bewegungsgeschwindigkeit des Helden: +{0} %</t>
  </si>
  <si>
    <t>VIT de Déplacement du Héros +{0} %</t>
  </si>
  <si>
    <t>VEL de Movimento de Herói +{0}%</t>
  </si>
  <si>
    <t>VEL de Movimiento del Héroe +{0}%</t>
  </si>
  <si>
    <t>所有攻击类型装备穿透数量+{0}</t>
  </si>
  <si>
    <t>All ATK Equipment's Piercing Target +{0}</t>
  </si>
  <si>
    <t>全攻撃タイプ装備品の貫通数+{0}</t>
  </si>
  <si>
    <r>
      <t>모든</t>
    </r>
    <r>
      <rPr>
        <sz val="12"/>
        <color theme="1"/>
        <rFont val="微软雅黑"/>
        <family val="2"/>
        <charset val="134"/>
      </rPr>
      <t xml:space="preserve"> </t>
    </r>
    <r>
      <rPr>
        <sz val="12"/>
        <color theme="1"/>
        <rFont val="MS Gothic"/>
        <family val="3"/>
        <charset val="128"/>
      </rPr>
      <t>공격형</t>
    </r>
    <r>
      <rPr>
        <sz val="12"/>
        <color theme="1"/>
        <rFont val="微软雅黑"/>
        <family val="2"/>
        <charset val="134"/>
      </rPr>
      <t xml:space="preserve"> </t>
    </r>
    <r>
      <rPr>
        <sz val="12"/>
        <color theme="1"/>
        <rFont val="MS Gothic"/>
        <family val="3"/>
        <charset val="128"/>
      </rPr>
      <t>장비의</t>
    </r>
    <r>
      <rPr>
        <sz val="12"/>
        <color theme="1"/>
        <rFont val="微软雅黑"/>
        <family val="2"/>
        <charset val="134"/>
      </rPr>
      <t xml:space="preserve"> </t>
    </r>
    <r>
      <rPr>
        <sz val="12"/>
        <color theme="1"/>
        <rFont val="MS Gothic"/>
        <family val="3"/>
        <charset val="128"/>
      </rPr>
      <t>관통</t>
    </r>
    <r>
      <rPr>
        <sz val="12"/>
        <color theme="1"/>
        <rFont val="微软雅黑"/>
        <family val="2"/>
        <charset val="134"/>
      </rPr>
      <t xml:space="preserve"> </t>
    </r>
    <r>
      <rPr>
        <sz val="12"/>
        <color theme="1"/>
        <rFont val="MS Gothic"/>
        <family val="3"/>
        <charset val="128"/>
      </rPr>
      <t>대상</t>
    </r>
    <r>
      <rPr>
        <sz val="12"/>
        <color theme="1"/>
        <rFont val="微软雅黑"/>
        <family val="2"/>
        <charset val="134"/>
      </rPr>
      <t xml:space="preserve"> </t>
    </r>
    <r>
      <rPr>
        <sz val="12"/>
        <color theme="1"/>
        <rFont val="MS Gothic"/>
        <family val="3"/>
        <charset val="128"/>
      </rPr>
      <t>수량</t>
    </r>
    <r>
      <rPr>
        <sz val="12"/>
        <color theme="1"/>
        <rFont val="微软雅黑"/>
        <family val="2"/>
        <charset val="134"/>
      </rPr>
      <t xml:space="preserve"> +{0}</t>
    </r>
  </si>
  <si>
    <t>Durchbohrte Ziele aller ANG-Gegenstände: +{0}</t>
  </si>
  <si>
    <t>Nombre de cibles transpercées par tous les Équipements d’ATQ +{0}</t>
  </si>
  <si>
    <t>Alvo de Perfuração de Todos os Equipamentos de ATQ +{0}%</t>
  </si>
  <si>
    <t>Objetivos perforados de Equipamiento de ATQ +{0}</t>
  </si>
  <si>
    <t>格里芬剑每攻击{0}次后,下次攻击{1}%暴击</t>
  </si>
  <si>
    <t>After every {0} Griffin Sword attacks, the next attack has a {1}% chance to crit.</t>
  </si>
  <si>
    <t>グリフォンソードが{0}回攻撃するごとに、次回の攻撃は{1}%の確率で会心攻撃になる</t>
  </si>
  <si>
    <r>
      <t>그리핀</t>
    </r>
    <r>
      <rPr>
        <sz val="12"/>
        <color theme="1"/>
        <rFont val="微软雅黑"/>
        <family val="2"/>
        <charset val="134"/>
      </rPr>
      <t xml:space="preserve"> </t>
    </r>
    <r>
      <rPr>
        <sz val="12"/>
        <color theme="1"/>
        <rFont val="MS Gothic"/>
        <family val="3"/>
        <charset val="128"/>
      </rPr>
      <t>소드가</t>
    </r>
    <r>
      <rPr>
        <sz val="12"/>
        <color theme="1"/>
        <rFont val="微软雅黑"/>
        <family val="2"/>
        <charset val="134"/>
      </rPr>
      <t xml:space="preserve"> {0}</t>
    </r>
    <r>
      <rPr>
        <sz val="12"/>
        <color theme="1"/>
        <rFont val="MS Gothic"/>
        <family val="3"/>
        <charset val="128"/>
      </rPr>
      <t>번</t>
    </r>
    <r>
      <rPr>
        <sz val="12"/>
        <color theme="1"/>
        <rFont val="微软雅黑"/>
        <family val="2"/>
        <charset val="134"/>
      </rPr>
      <t xml:space="preserve"> </t>
    </r>
    <r>
      <rPr>
        <sz val="12"/>
        <color theme="1"/>
        <rFont val="MS Gothic"/>
        <family val="3"/>
        <charset val="128"/>
      </rPr>
      <t>공격할</t>
    </r>
    <r>
      <rPr>
        <sz val="12"/>
        <color theme="1"/>
        <rFont val="微软雅黑"/>
        <family val="2"/>
        <charset val="134"/>
      </rPr>
      <t xml:space="preserve"> </t>
    </r>
    <r>
      <rPr>
        <sz val="12"/>
        <color theme="1"/>
        <rFont val="MS Gothic"/>
        <family val="3"/>
        <charset val="128"/>
      </rPr>
      <t>때마다</t>
    </r>
    <r>
      <rPr>
        <sz val="12"/>
        <color theme="1"/>
        <rFont val="微软雅黑"/>
        <family val="2"/>
        <charset val="134"/>
      </rPr>
      <t xml:space="preserve"> </t>
    </r>
    <r>
      <rPr>
        <sz val="12"/>
        <color theme="1"/>
        <rFont val="MS Gothic"/>
        <family val="3"/>
        <charset val="128"/>
      </rPr>
      <t>다음</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{1}%</t>
    </r>
    <r>
      <rPr>
        <sz val="12"/>
        <color theme="1"/>
        <rFont val="MS Gothic"/>
        <family val="3"/>
        <charset val="128"/>
      </rPr>
      <t>의</t>
    </r>
    <r>
      <rPr>
        <sz val="12"/>
        <color theme="1"/>
        <rFont val="微软雅黑"/>
        <family val="2"/>
        <charset val="134"/>
      </rPr>
      <t xml:space="preserve">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치명타가</t>
    </r>
    <r>
      <rPr>
        <sz val="12"/>
        <color theme="1"/>
        <rFont val="微软雅黑"/>
        <family val="2"/>
        <charset val="134"/>
      </rPr>
      <t xml:space="preserve"> </t>
    </r>
    <r>
      <rPr>
        <sz val="12"/>
        <color theme="1"/>
        <rFont val="MS Gothic"/>
        <family val="3"/>
        <charset val="128"/>
      </rPr>
      <t>발생한다</t>
    </r>
    <r>
      <rPr>
        <sz val="12"/>
        <color theme="1"/>
        <rFont val="微软雅黑"/>
        <family val="2"/>
        <charset val="134"/>
      </rPr>
      <t>.</t>
    </r>
  </si>
  <si>
    <t>Nach jeweils {0} Angriffen mit dem Greifschwert hat der nächste Angriff eine {1} % Krit.-Chance.</t>
  </si>
  <si>
    <t>Toutes les {0} attaques d’Épée du Griffon, la prochaine attaque a {1} % de chances de porter un Crit.</t>
  </si>
  <si>
    <t>Depois de cada {0} ataques da Espada de Grifo, o ataque seguinte tem {1}% de chance de crítico.</t>
  </si>
  <si>
    <t>Tras {0} ataques de Espada de Griffin, el siguiente ataque tiene un {1}% de probabilidad de ser Crit.</t>
  </si>
  <si>
    <t>格里芬剑固定暴击所需攻击次数-{0}</t>
  </si>
  <si>
    <t>Attack times needed for triggering Griffin Sword's crit -{0}</t>
  </si>
  <si>
    <t>グリフォンソードの会心攻撃確定に必要な攻撃回数-{0}</t>
  </si>
  <si>
    <r>
      <t>그리핀</t>
    </r>
    <r>
      <rPr>
        <sz val="12"/>
        <color theme="1"/>
        <rFont val="微软雅黑"/>
        <family val="2"/>
        <charset val="134"/>
      </rPr>
      <t xml:space="preserve"> </t>
    </r>
    <r>
      <rPr>
        <sz val="12"/>
        <color theme="1"/>
        <rFont val="MS Gothic"/>
        <family val="3"/>
        <charset val="128"/>
      </rPr>
      <t>소드의</t>
    </r>
    <r>
      <rPr>
        <sz val="12"/>
        <color theme="1"/>
        <rFont val="微软雅黑"/>
        <family val="2"/>
        <charset val="134"/>
      </rPr>
      <t xml:space="preserve"> </t>
    </r>
    <r>
      <rPr>
        <sz val="12"/>
        <color theme="1"/>
        <rFont val="MS Gothic"/>
        <family val="3"/>
        <charset val="128"/>
      </rPr>
      <t>치명타</t>
    </r>
    <r>
      <rPr>
        <sz val="12"/>
        <color theme="1"/>
        <rFont val="微软雅黑"/>
        <family val="2"/>
        <charset val="134"/>
      </rPr>
      <t xml:space="preserve"> </t>
    </r>
    <r>
      <rPr>
        <sz val="12"/>
        <color theme="1"/>
        <rFont val="MS Gothic"/>
        <family val="3"/>
        <charset val="128"/>
      </rPr>
      <t>발동에</t>
    </r>
    <r>
      <rPr>
        <sz val="12"/>
        <color theme="1"/>
        <rFont val="微软雅黑"/>
        <family val="2"/>
        <charset val="134"/>
      </rPr>
      <t xml:space="preserve"> </t>
    </r>
    <r>
      <rPr>
        <sz val="12"/>
        <color theme="1"/>
        <rFont val="MS Gothic"/>
        <family val="3"/>
        <charset val="128"/>
      </rPr>
      <t>필요한</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횟수</t>
    </r>
    <r>
      <rPr>
        <sz val="12"/>
        <color theme="1"/>
        <rFont val="微软雅黑"/>
        <family val="2"/>
        <charset val="134"/>
      </rPr>
      <t xml:space="preserve"> -{0}</t>
    </r>
  </si>
  <si>
    <t>Anzahl an Angriffen. um Krit. des Greifschwerts auszulösen -{0}</t>
  </si>
  <si>
    <t>Nombre d’attaques requises pour déclencher le Crit de l’Épée du Griffon -{0}</t>
  </si>
  <si>
    <t>Número de ataques necessários para ativar o crítico da Espada de Grifo -{0}</t>
  </si>
  <si>
    <t>Ataques necesarios para activar el Crit de Espada de Griffin -{0}</t>
  </si>
  <si>
    <t>格里芬剑的攻击+{0}%</t>
  </si>
  <si>
    <t>Griffin Sword ATK +{0}%</t>
  </si>
  <si>
    <t>グリフォンソードの攻撃力+{0}%</t>
  </si>
  <si>
    <r>
      <t>그리핀</t>
    </r>
    <r>
      <rPr>
        <sz val="12"/>
        <color theme="1"/>
        <rFont val="微软雅黑"/>
        <family val="2"/>
        <charset val="134"/>
      </rPr>
      <t xml:space="preserve"> </t>
    </r>
    <r>
      <rPr>
        <sz val="12"/>
        <color theme="1"/>
        <rFont val="MS Gothic"/>
        <family val="3"/>
        <charset val="128"/>
      </rPr>
      <t>소드</t>
    </r>
    <r>
      <rPr>
        <sz val="12"/>
        <color theme="1"/>
        <rFont val="微软雅黑"/>
        <family val="2"/>
        <charset val="134"/>
      </rPr>
      <t xml:space="preserve"> </t>
    </r>
    <r>
      <rPr>
        <sz val="12"/>
        <color theme="1"/>
        <rFont val="MS Gothic"/>
        <family val="3"/>
        <charset val="128"/>
      </rPr>
      <t>공격력</t>
    </r>
    <r>
      <rPr>
        <sz val="12"/>
        <color theme="1"/>
        <rFont val="微软雅黑"/>
        <family val="2"/>
        <charset val="134"/>
      </rPr>
      <t xml:space="preserve"> +{0}%</t>
    </r>
  </si>
  <si>
    <t>Greifschwert-ANG +{0} %</t>
  </si>
  <si>
    <t>ATQ de l’Épée du Griffon +{0} %</t>
  </si>
  <si>
    <t>ATQ de Espada de Grifo +{0}%</t>
  </si>
  <si>
    <t>ATQ de Espada de Griffin +{0}%</t>
  </si>
  <si>
    <t>格里芬剑的暴击伤害+{0}%</t>
  </si>
  <si>
    <t>Griffin Sword Crit DMG +{0}%</t>
  </si>
  <si>
    <t>グリフォンソードの会心ダメージ+{0}%</t>
  </si>
  <si>
    <r>
      <t>그리핀</t>
    </r>
    <r>
      <rPr>
        <sz val="12"/>
        <color theme="1"/>
        <rFont val="微软雅黑"/>
        <family val="2"/>
        <charset val="134"/>
      </rPr>
      <t xml:space="preserve"> </t>
    </r>
    <r>
      <rPr>
        <sz val="12"/>
        <color theme="1"/>
        <rFont val="MS Gothic"/>
        <family val="3"/>
        <charset val="128"/>
      </rPr>
      <t>소드</t>
    </r>
    <r>
      <rPr>
        <sz val="12"/>
        <color theme="1"/>
        <rFont val="微软雅黑"/>
        <family val="2"/>
        <charset val="134"/>
      </rPr>
      <t xml:space="preserve"> </t>
    </r>
    <r>
      <rPr>
        <sz val="12"/>
        <color theme="1"/>
        <rFont val="MS Gothic"/>
        <family val="3"/>
        <charset val="128"/>
      </rPr>
      <t>치명타</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</si>
  <si>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Greifschwert-Krit.-Schaden +{0} %</t>
  </si>
  <si>
    <t>DÉG Crit de l’Épée du Griffon +{0} %</t>
  </si>
  <si>
    <t>DNO CRÍT de Espada de Grifo +{0}%</t>
  </si>
  <si>
    <t>Daño de Espada de Griffin +{0}%</t>
  </si>
  <si>
    <t>碧波格里芬剑对冰冻减速/冻结目标伤害+{0}%</t>
  </si>
  <si>
    <t>DMG dealt by Griffin Sword of Waves to slowed/frozen targets +{0}%</t>
  </si>
  <si>
    <t>グリフォンソード・波が減速/凍結状態のターゲットに与えるダメージ+{0}%</t>
  </si>
  <si>
    <r>
      <t>웨이브</t>
    </r>
    <r>
      <rPr>
        <sz val="12"/>
        <color theme="1"/>
        <rFont val="微软雅黑"/>
        <family val="2"/>
        <charset val="134"/>
      </rPr>
      <t xml:space="preserve"> </t>
    </r>
    <r>
      <rPr>
        <sz val="12"/>
        <color theme="1"/>
        <rFont val="MS Gothic"/>
        <family val="3"/>
        <charset val="128"/>
      </rPr>
      <t>그리핀</t>
    </r>
    <r>
      <rPr>
        <sz val="12"/>
        <color theme="1"/>
        <rFont val="微软雅黑"/>
        <family val="2"/>
        <charset val="134"/>
      </rPr>
      <t xml:space="preserve"> </t>
    </r>
    <r>
      <rPr>
        <sz val="12"/>
        <color theme="1"/>
        <rFont val="MS Gothic"/>
        <family val="3"/>
        <charset val="128"/>
      </rPr>
      <t>소드가</t>
    </r>
    <r>
      <rPr>
        <sz val="12"/>
        <color theme="1"/>
        <rFont val="微软雅黑"/>
        <family val="2"/>
        <charset val="134"/>
      </rPr>
      <t xml:space="preserve"> </t>
    </r>
    <r>
      <rPr>
        <sz val="12"/>
        <color theme="1"/>
        <rFont val="MS Gothic"/>
        <family val="3"/>
        <charset val="128"/>
      </rPr>
      <t>빙결</t>
    </r>
    <r>
      <rPr>
        <sz val="12"/>
        <color theme="1"/>
        <rFont val="微软雅黑"/>
        <family val="2"/>
        <charset val="134"/>
      </rPr>
      <t xml:space="preserve"> </t>
    </r>
    <r>
      <rPr>
        <sz val="12"/>
        <color theme="1"/>
        <rFont val="MS Gothic"/>
        <family val="3"/>
        <charset val="128"/>
      </rPr>
      <t>감속</t>
    </r>
    <r>
      <rPr>
        <sz val="12"/>
        <color theme="1"/>
        <rFont val="微软雅黑"/>
        <family val="2"/>
        <charset val="134"/>
      </rPr>
      <t>/</t>
    </r>
    <r>
      <rPr>
        <sz val="12"/>
        <color theme="1"/>
        <rFont val="MS Gothic"/>
        <family val="3"/>
        <charset val="128"/>
      </rPr>
      <t>동결</t>
    </r>
    <r>
      <rPr>
        <sz val="12"/>
        <color theme="1"/>
        <rFont val="微软雅黑"/>
        <family val="2"/>
        <charset val="134"/>
      </rPr>
      <t xml:space="preserve"> </t>
    </r>
    <r>
      <rPr>
        <sz val="12"/>
        <color theme="1"/>
        <rFont val="MS Gothic"/>
        <family val="3"/>
        <charset val="128"/>
      </rPr>
      <t>상태의</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</si>
  <si>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Greifschwert der Wellen fügt verlangsamten/gefrorenen Zielen +{0} % Schaden zu</t>
  </si>
  <si>
    <t>DÉG infligés par l’Épée du Griffon des Vagues aux cibles ralenties/gelées +{0} %</t>
  </si>
  <si>
    <t>DNO causado por Espada de Grifo das Ondas a alvos lentos/congelados +{0}%</t>
  </si>
  <si>
    <t>Daño infligido por Espada de las Olas de Griffin a objetivos ralentizados/congelados +{0}%</t>
  </si>
  <si>
    <t>烈焰格里芬剑对灼烧目标伤害+{0}%</t>
  </si>
  <si>
    <t>DMG dealt by Griffin Sword of Flame to burnt targets +{0}%</t>
  </si>
  <si>
    <t>グリフォンソード・焔が燃焼状態のターゲットに与えるダメージ+{0}%</t>
  </si>
  <si>
    <r>
      <t>플레임</t>
    </r>
    <r>
      <rPr>
        <sz val="12"/>
        <color theme="1"/>
        <rFont val="微软雅黑"/>
        <family val="2"/>
        <charset val="134"/>
      </rPr>
      <t xml:space="preserve"> </t>
    </r>
    <r>
      <rPr>
        <sz val="12"/>
        <color theme="1"/>
        <rFont val="MS Gothic"/>
        <family val="3"/>
        <charset val="128"/>
      </rPr>
      <t>그리핀</t>
    </r>
    <r>
      <rPr>
        <sz val="12"/>
        <color theme="1"/>
        <rFont val="微软雅黑"/>
        <family val="2"/>
        <charset val="134"/>
      </rPr>
      <t xml:space="preserve"> </t>
    </r>
    <r>
      <rPr>
        <sz val="12"/>
        <color theme="1"/>
        <rFont val="MS Gothic"/>
        <family val="3"/>
        <charset val="128"/>
      </rPr>
      <t>소드가</t>
    </r>
    <r>
      <rPr>
        <sz val="12"/>
        <color theme="1"/>
        <rFont val="微软雅黑"/>
        <family val="2"/>
        <charset val="134"/>
      </rPr>
      <t xml:space="preserve"> </t>
    </r>
    <r>
      <rPr>
        <sz val="12"/>
        <color theme="1"/>
        <rFont val="MS Gothic"/>
        <family val="3"/>
        <charset val="128"/>
      </rPr>
      <t>화상</t>
    </r>
    <r>
      <rPr>
        <sz val="12"/>
        <color theme="1"/>
        <rFont val="微软雅黑"/>
        <family val="2"/>
        <charset val="134"/>
      </rPr>
      <t xml:space="preserve"> </t>
    </r>
    <r>
      <rPr>
        <sz val="12"/>
        <color theme="1"/>
        <rFont val="MS Gothic"/>
        <family val="3"/>
        <charset val="128"/>
      </rPr>
      <t>상태의</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</si>
  <si>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Greifschwert der Flamme fügt verbrannten Zielen +{0} % Schaden zu</t>
  </si>
  <si>
    <t>DÉG infligés par l’Épée du Griffon des Flammes aux cibles qui brûlent +{0} %</t>
  </si>
  <si>
    <t>DNO causado por Espada de Grifo das Chamas a alvos queimados +{0}%</t>
  </si>
  <si>
    <t>Daño infligido por Espada de la Llama de Griffin a objetivos quemados +{0}%</t>
  </si>
  <si>
    <t>在碧波格里芬剑两侧的其他水属性武器击败敌人,回复武器自身攻击{0}%的血量,效果可叠加</t>
  </si>
  <si>
    <t>When other weapons of Water beside Griffin Sword of Waves defeat a target, restores HP by {0}% of the weapon's ATK. Stackable.</t>
  </si>
  <si>
    <t>グリフォンソード・波の両側にある他の水属性武器が敵を倒すと、HPがその武器の攻撃力の{0}%分回復する（重複可能）</t>
  </si>
  <si>
    <r>
      <t>웨이브</t>
    </r>
    <r>
      <rPr>
        <sz val="12"/>
        <color theme="1"/>
        <rFont val="微软雅黑"/>
        <family val="2"/>
        <charset val="134"/>
      </rPr>
      <t xml:space="preserve"> </t>
    </r>
    <r>
      <rPr>
        <sz val="12"/>
        <color theme="1"/>
        <rFont val="MS Gothic"/>
        <family val="3"/>
        <charset val="128"/>
      </rPr>
      <t>그리핀</t>
    </r>
    <r>
      <rPr>
        <sz val="12"/>
        <color theme="1"/>
        <rFont val="微软雅黑"/>
        <family val="2"/>
        <charset val="134"/>
      </rPr>
      <t xml:space="preserve"> </t>
    </r>
    <r>
      <rPr>
        <sz val="12"/>
        <color theme="1"/>
        <rFont val="MS Gothic"/>
        <family val="3"/>
        <charset val="128"/>
      </rPr>
      <t>소드</t>
    </r>
    <r>
      <rPr>
        <sz val="12"/>
        <color theme="1"/>
        <rFont val="微软雅黑"/>
        <family val="2"/>
        <charset val="134"/>
      </rPr>
      <t xml:space="preserve"> </t>
    </r>
    <r>
      <rPr>
        <sz val="12"/>
        <color theme="1"/>
        <rFont val="MS Gothic"/>
        <family val="3"/>
        <charset val="128"/>
      </rPr>
      <t>양쪽의</t>
    </r>
    <r>
      <rPr>
        <sz val="12"/>
        <color theme="1"/>
        <rFont val="微软雅黑"/>
        <family val="2"/>
        <charset val="134"/>
      </rPr>
      <t xml:space="preserve"> </t>
    </r>
    <r>
      <rPr>
        <sz val="12"/>
        <color theme="1"/>
        <rFont val="MS Gothic"/>
        <family val="3"/>
        <charset val="128"/>
      </rPr>
      <t>다른</t>
    </r>
    <r>
      <rPr>
        <sz val="12"/>
        <color theme="1"/>
        <rFont val="微软雅黑"/>
        <family val="2"/>
        <charset val="134"/>
      </rPr>
      <t xml:space="preserve"> </t>
    </r>
    <r>
      <rPr>
        <sz val="12"/>
        <color theme="1"/>
        <rFont val="MS Gothic"/>
        <family val="3"/>
        <charset val="128"/>
      </rPr>
      <t>물</t>
    </r>
    <r>
      <rPr>
        <sz val="12"/>
        <color theme="1"/>
        <rFont val="微软雅黑"/>
        <family val="2"/>
        <charset val="134"/>
      </rPr>
      <t xml:space="preserve"> </t>
    </r>
    <r>
      <rPr>
        <sz val="12"/>
        <color theme="1"/>
        <rFont val="MS Gothic"/>
        <family val="3"/>
        <charset val="128"/>
      </rPr>
      <t>원소</t>
    </r>
    <r>
      <rPr>
        <sz val="12"/>
        <color theme="1"/>
        <rFont val="微软雅黑"/>
        <family val="2"/>
        <charset val="134"/>
      </rPr>
      <t xml:space="preserve"> </t>
    </r>
    <r>
      <rPr>
        <sz val="12"/>
        <color theme="1"/>
        <rFont val="MS Gothic"/>
        <family val="3"/>
        <charset val="128"/>
      </rPr>
      <t>무기로</t>
    </r>
    <r>
      <rPr>
        <sz val="12"/>
        <color theme="1"/>
        <rFont val="微软雅黑"/>
        <family val="2"/>
        <charset val="134"/>
      </rPr>
      <t xml:space="preserve"> </t>
    </r>
    <r>
      <rPr>
        <sz val="12"/>
        <color theme="1"/>
        <rFont val="MS Gothic"/>
        <family val="3"/>
        <charset val="128"/>
      </rPr>
      <t>적을</t>
    </r>
    <r>
      <rPr>
        <sz val="12"/>
        <color theme="1"/>
        <rFont val="微软雅黑"/>
        <family val="2"/>
        <charset val="134"/>
      </rPr>
      <t xml:space="preserve"> </t>
    </r>
    <r>
      <rPr>
        <sz val="12"/>
        <color theme="1"/>
        <rFont val="MS Gothic"/>
        <family val="3"/>
        <charset val="128"/>
      </rPr>
      <t>처치할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해당</t>
    </r>
    <r>
      <rPr>
        <sz val="12"/>
        <color theme="1"/>
        <rFont val="微软雅黑"/>
        <family val="2"/>
        <charset val="134"/>
      </rPr>
      <t xml:space="preserve"> </t>
    </r>
    <r>
      <rPr>
        <sz val="12"/>
        <color theme="1"/>
        <rFont val="MS Gothic"/>
        <family val="3"/>
        <charset val="128"/>
      </rPr>
      <t>무기</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{0}%</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HP</t>
    </r>
    <r>
      <rPr>
        <sz val="12"/>
        <color theme="1"/>
        <rFont val="MS Gothic"/>
        <family val="3"/>
        <charset val="128"/>
      </rPr>
      <t>를</t>
    </r>
    <r>
      <rPr>
        <sz val="12"/>
        <color theme="1"/>
        <rFont val="微软雅黑"/>
        <family val="2"/>
        <charset val="134"/>
      </rPr>
      <t xml:space="preserve"> </t>
    </r>
    <r>
      <rPr>
        <sz val="12"/>
        <color theme="1"/>
        <rFont val="MS Gothic"/>
        <family val="3"/>
        <charset val="128"/>
      </rPr>
      <t>회복한다</t>
    </r>
    <r>
      <rPr>
        <sz val="12"/>
        <color theme="1"/>
        <rFont val="微软雅黑"/>
        <family val="2"/>
        <charset val="134"/>
      </rPr>
      <t>. (</t>
    </r>
    <r>
      <rPr>
        <sz val="12"/>
        <color theme="1"/>
        <rFont val="MS Gothic"/>
        <family val="3"/>
        <charset val="128"/>
      </rPr>
      <t>중첩</t>
    </r>
    <r>
      <rPr>
        <sz val="12"/>
        <color theme="1"/>
        <rFont val="微软雅黑"/>
        <family val="2"/>
        <charset val="134"/>
      </rPr>
      <t xml:space="preserve"> </t>
    </r>
    <r>
      <rPr>
        <sz val="12"/>
        <color theme="1"/>
        <rFont val="MS Gothic"/>
        <family val="3"/>
        <charset val="128"/>
      </rPr>
      <t>가능</t>
    </r>
    <r>
      <rPr>
        <sz val="12"/>
        <color theme="1"/>
        <rFont val="微软雅黑"/>
        <family val="2"/>
        <charset val="134"/>
      </rPr>
      <t>)</t>
    </r>
  </si>
  <si>
    <t>Wenn andere Wasserwaffen als das Greifschwert der Wellen ein Ziel besiegen, werden LP in Höhe von {0} % der ANG-Stapel der Waffe wiederhergestellt.</t>
  </si>
  <si>
    <t>Quand les autres armes d’Eau hormis l’Épée du Griffon des Vagues éliminent une cible, restaure des PV à hauteur de {0} % de l’ATQ de l’arme. Cumulable.</t>
  </si>
  <si>
    <t>Quando outras armas de Água além da Espada de Grifo das Ondas derrota um alvo, restaura PV em {0}% do ATQ de arma. Acumulável.</t>
  </si>
  <si>
    <t>Cuando se derrota a un objetivo con un arma de Agua que no sea la Espada de las Olas de Griffin, se restaura un {0}% del ATQ del arma como PS. Acumulable.</t>
  </si>
  <si>
    <t>烈焰格里芬剑附加灼烧目标数量+{0}</t>
  </si>
  <si>
    <t>Target burned by Griffin Sword of Flame +{0}</t>
  </si>
  <si>
    <t>グリフォンソード・焔の燃焼付与対象の数+{0}</t>
  </si>
  <si>
    <r>
      <t>플레임</t>
    </r>
    <r>
      <rPr>
        <sz val="12"/>
        <color theme="1"/>
        <rFont val="微软雅黑"/>
        <family val="2"/>
        <charset val="134"/>
      </rPr>
      <t xml:space="preserve"> </t>
    </r>
    <r>
      <rPr>
        <sz val="12"/>
        <color theme="1"/>
        <rFont val="MS Gothic"/>
        <family val="3"/>
        <charset val="128"/>
      </rPr>
      <t>그리핀</t>
    </r>
    <r>
      <rPr>
        <sz val="12"/>
        <color theme="1"/>
        <rFont val="微软雅黑"/>
        <family val="2"/>
        <charset val="134"/>
      </rPr>
      <t xml:space="preserve"> </t>
    </r>
    <r>
      <rPr>
        <sz val="12"/>
        <color theme="1"/>
        <rFont val="MS Gothic"/>
        <family val="3"/>
        <charset val="128"/>
      </rPr>
      <t>소드가</t>
    </r>
    <r>
      <rPr>
        <sz val="12"/>
        <color theme="1"/>
        <rFont val="微软雅黑"/>
        <family val="2"/>
        <charset val="134"/>
      </rPr>
      <t xml:space="preserve"> </t>
    </r>
    <r>
      <rPr>
        <sz val="12"/>
        <color theme="1"/>
        <rFont val="MS Gothic"/>
        <family val="3"/>
        <charset val="128"/>
      </rPr>
      <t>화상</t>
    </r>
    <r>
      <rPr>
        <sz val="12"/>
        <color theme="1"/>
        <rFont val="微软雅黑"/>
        <family val="2"/>
        <charset val="134"/>
      </rPr>
      <t xml:space="preserve"> </t>
    </r>
    <r>
      <rPr>
        <sz val="12"/>
        <color theme="1"/>
        <rFont val="MS Gothic"/>
        <family val="3"/>
        <charset val="128"/>
      </rPr>
      <t>상태를</t>
    </r>
    <r>
      <rPr>
        <sz val="12"/>
        <color theme="1"/>
        <rFont val="微软雅黑"/>
        <family val="2"/>
        <charset val="134"/>
      </rPr>
      <t xml:space="preserve"> </t>
    </r>
    <r>
      <rPr>
        <sz val="12"/>
        <color theme="1"/>
        <rFont val="MS Gothic"/>
        <family val="3"/>
        <charset val="128"/>
      </rPr>
      <t>부여하는</t>
    </r>
    <r>
      <rPr>
        <sz val="12"/>
        <color theme="1"/>
        <rFont val="微软雅黑"/>
        <family val="2"/>
        <charset val="134"/>
      </rPr>
      <t xml:space="preserve"> </t>
    </r>
    <r>
      <rPr>
        <sz val="12"/>
        <color theme="1"/>
        <rFont val="MS Gothic"/>
        <family val="3"/>
        <charset val="128"/>
      </rPr>
      <t>대상</t>
    </r>
    <r>
      <rPr>
        <sz val="12"/>
        <color theme="1"/>
        <rFont val="微软雅黑"/>
        <family val="2"/>
        <charset val="134"/>
      </rPr>
      <t xml:space="preserve"> </t>
    </r>
    <r>
      <rPr>
        <sz val="12"/>
        <color theme="1"/>
        <rFont val="MS Gothic"/>
        <family val="3"/>
        <charset val="128"/>
      </rPr>
      <t>수량</t>
    </r>
    <r>
      <rPr>
        <sz val="12"/>
        <color theme="1"/>
        <rFont val="微软雅黑"/>
        <family val="2"/>
        <charset val="134"/>
      </rPr>
      <t xml:space="preserve"> +{0}</t>
    </r>
  </si>
  <si>
    <t>Greifschwert der Flamme verbrennt +{0} Ziele</t>
  </si>
  <si>
    <t>Nombre de cibles brûlées par l’Épée du Griffon des Flammes +{0}</t>
  </si>
  <si>
    <t>Alvo queimado por Espada de Grifo das Chamas +{0}</t>
  </si>
  <si>
    <t>Objetivos quemados por Espada de la Llama de Griffin +{0}</t>
  </si>
  <si>
    <t>魔法匕首攻击同一目标每次伤害+{0}%,最多叠加{1}层</t>
  </si>
  <si>
    <t>When Magic Dagger attacks the same target, DMG +{0} than the previous attack each time. Stackable up to {1} layers.</t>
  </si>
  <si>
    <t>魔術ナイフが同じ敵を攻撃する度に、与えるダメージ+{0}%（最大{1}回重複可能）</t>
  </si>
  <si>
    <r>
      <t>마법</t>
    </r>
    <r>
      <rPr>
        <sz val="12"/>
        <color theme="1"/>
        <rFont val="微软雅黑"/>
        <family val="2"/>
        <charset val="134"/>
      </rPr>
      <t xml:space="preserve"> </t>
    </r>
    <r>
      <rPr>
        <sz val="12"/>
        <color theme="1"/>
        <rFont val="MS Gothic"/>
        <family val="3"/>
        <charset val="128"/>
      </rPr>
      <t>비수로</t>
    </r>
    <r>
      <rPr>
        <sz val="12"/>
        <color theme="1"/>
        <rFont val="微软雅黑"/>
        <family val="2"/>
        <charset val="134"/>
      </rPr>
      <t xml:space="preserve"> </t>
    </r>
    <r>
      <rPr>
        <sz val="12"/>
        <color theme="1"/>
        <rFont val="MS Gothic"/>
        <family val="3"/>
        <charset val="128"/>
      </rPr>
      <t>같은</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공격할</t>
    </r>
    <r>
      <rPr>
        <sz val="12"/>
        <color theme="1"/>
        <rFont val="微软雅黑"/>
        <family val="2"/>
        <charset val="134"/>
      </rPr>
      <t xml:space="preserve"> </t>
    </r>
    <r>
      <rPr>
        <sz val="12"/>
        <color theme="1"/>
        <rFont val="MS Gothic"/>
        <family val="3"/>
        <charset val="128"/>
      </rPr>
      <t>때마다</t>
    </r>
    <r>
      <rPr>
        <sz val="12"/>
        <color theme="1"/>
        <rFont val="微软雅黑"/>
        <family val="2"/>
        <charset val="134"/>
      </rPr>
      <t xml:space="preserve"> </t>
    </r>
    <r>
      <rPr>
        <sz val="12"/>
        <color theme="1"/>
        <rFont val="MS Gothic"/>
        <family val="3"/>
        <charset val="128"/>
      </rPr>
      <t>피해량</t>
    </r>
    <r>
      <rPr>
        <sz val="12"/>
        <color theme="1"/>
        <rFont val="微软雅黑"/>
        <family val="2"/>
        <charset val="134"/>
      </rPr>
      <t xml:space="preserve"> +{0}%(</t>
    </r>
    <r>
      <rPr>
        <sz val="12"/>
        <color theme="1"/>
        <rFont val="MS Gothic"/>
        <family val="3"/>
        <charset val="128"/>
      </rPr>
      <t>최대</t>
    </r>
    <r>
      <rPr>
        <sz val="12"/>
        <color theme="1"/>
        <rFont val="微软雅黑"/>
        <family val="2"/>
        <charset val="134"/>
      </rPr>
      <t xml:space="preserve"> {1}</t>
    </r>
    <r>
      <rPr>
        <sz val="12"/>
        <color theme="1"/>
        <rFont val="MS Gothic"/>
        <family val="3"/>
        <charset val="128"/>
      </rPr>
      <t>스택</t>
    </r>
    <r>
      <rPr>
        <sz val="12"/>
        <color theme="1"/>
        <rFont val="微软雅黑"/>
        <family val="2"/>
        <charset val="134"/>
      </rPr>
      <t xml:space="preserve"> </t>
    </r>
    <r>
      <rPr>
        <sz val="12"/>
        <color theme="1"/>
        <rFont val="MS Gothic"/>
        <family val="3"/>
        <charset val="128"/>
      </rPr>
      <t>중첩</t>
    </r>
    <r>
      <rPr>
        <sz val="12"/>
        <color theme="1"/>
        <rFont val="微软雅黑"/>
        <family val="2"/>
        <charset val="134"/>
      </rPr>
      <t xml:space="preserve"> </t>
    </r>
    <r>
      <rPr>
        <sz val="12"/>
        <color theme="1"/>
        <rFont val="MS Gothic"/>
        <family val="3"/>
        <charset val="128"/>
      </rPr>
      <t>가능</t>
    </r>
    <r>
      <rPr>
        <sz val="12"/>
        <color theme="1"/>
        <rFont val="微软雅黑"/>
        <family val="2"/>
        <charset val="134"/>
      </rPr>
      <t>)</t>
    </r>
  </si>
  <si>
    <t>Wenn Magiedolche dasselbe Ziel treffen, wird der Schaden jedes Mal um {0} erhöht. Bis zu {1}-mal stapelbar.</t>
  </si>
  <si>
    <t>Quand Dague Magique attaque la même cible, chaque attaque inflige +{0} de DÉG que la précédente. Cumulable jusqu’à {1} fois.</t>
  </si>
  <si>
    <t>Quando Adaga Mágica ataca o mesmo alvo, DNO +{0} do que o ataque anterior a cada vez. Acumula até {1} camadas.</t>
  </si>
  <si>
    <t>El Daño de la Daga mágica aumenta {0} al atacar al mismo objetivo repetidamente. Hasta {1} capas.</t>
  </si>
  <si>
    <t>魔法匕首的速度+{0}%</t>
  </si>
  <si>
    <t>Magic Dagger SPD +{0}%</t>
  </si>
  <si>
    <t>魔術ナイフの速度+{0}%</t>
  </si>
  <si>
    <r>
      <t>마법</t>
    </r>
    <r>
      <rPr>
        <sz val="12"/>
        <color theme="1"/>
        <rFont val="微软雅黑"/>
        <family val="2"/>
        <charset val="134"/>
      </rPr>
      <t xml:space="preserve"> </t>
    </r>
    <r>
      <rPr>
        <sz val="12"/>
        <color theme="1"/>
        <rFont val="MS Gothic"/>
        <family val="3"/>
        <charset val="128"/>
      </rPr>
      <t>비수의</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</si>
  <si>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Magiedolch-GSW +{0} %</t>
  </si>
  <si>
    <t>VIT de Dague Magique +{0} %</t>
  </si>
  <si>
    <t>VEL de Adaga Mágica +{0}%</t>
  </si>
  <si>
    <t>VEL de Daga mágica +{0}%</t>
  </si>
  <si>
    <t>魔法匕首的暴击率+{0}%</t>
  </si>
  <si>
    <t>Magic Dagger Crit +{0}%</t>
  </si>
  <si>
    <t>魔術ナイフの会心率+{0}%</t>
  </si>
  <si>
    <r>
      <t>마법</t>
    </r>
    <r>
      <rPr>
        <sz val="12"/>
        <color theme="1"/>
        <rFont val="微软雅黑"/>
        <family val="2"/>
        <charset val="134"/>
      </rPr>
      <t xml:space="preserve"> </t>
    </r>
    <r>
      <rPr>
        <sz val="12"/>
        <color theme="1"/>
        <rFont val="MS Gothic"/>
        <family val="3"/>
        <charset val="128"/>
      </rPr>
      <t>비수의</t>
    </r>
    <r>
      <rPr>
        <sz val="12"/>
        <color theme="1"/>
        <rFont val="微软雅黑"/>
        <family val="2"/>
        <charset val="134"/>
      </rPr>
      <t xml:space="preserve"> </t>
    </r>
    <r>
      <rPr>
        <sz val="12"/>
        <color theme="1"/>
        <rFont val="MS Gothic"/>
        <family val="3"/>
        <charset val="128"/>
      </rPr>
      <t>치명타율</t>
    </r>
    <r>
      <rPr>
        <sz val="12"/>
        <color theme="1"/>
        <rFont val="微软雅黑"/>
        <family val="2"/>
        <charset val="134"/>
      </rPr>
      <t xml:space="preserve"> +{0}%</t>
    </r>
  </si>
  <si>
    <t>Magiedolch-Krit. +{0} %</t>
  </si>
  <si>
    <t>Crit de Dague Magique +{0} %</t>
  </si>
  <si>
    <t>CRÍT de Adaga Mágica +{0}%</t>
  </si>
  <si>
    <t>Crit de Daga mágica +{0}%</t>
  </si>
  <si>
    <t>魔法匕首的暴击伤害+{0}%</t>
  </si>
  <si>
    <t>Magic Dagger Crit DMG +{0}%</t>
  </si>
  <si>
    <t>魔術ナイフの会心ダメージ+{0}%</t>
  </si>
  <si>
    <r>
      <t>마법</t>
    </r>
    <r>
      <rPr>
        <sz val="12"/>
        <color theme="1"/>
        <rFont val="微软雅黑"/>
        <family val="2"/>
        <charset val="134"/>
      </rPr>
      <t xml:space="preserve"> </t>
    </r>
    <r>
      <rPr>
        <sz val="12"/>
        <color theme="1"/>
        <rFont val="MS Gothic"/>
        <family val="3"/>
        <charset val="128"/>
      </rPr>
      <t>비수의</t>
    </r>
    <r>
      <rPr>
        <sz val="12"/>
        <color theme="1"/>
        <rFont val="微软雅黑"/>
        <family val="2"/>
        <charset val="134"/>
      </rPr>
      <t xml:space="preserve"> </t>
    </r>
    <r>
      <rPr>
        <sz val="12"/>
        <color theme="1"/>
        <rFont val="MS Gothic"/>
        <family val="3"/>
        <charset val="128"/>
      </rPr>
      <t>치명타</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</si>
  <si>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Magiedolch-Krit.-Schaden +{0} %</t>
  </si>
  <si>
    <t>DÉG Crit de Dague Magique +{0} %</t>
  </si>
  <si>
    <t>DNO CRÍT de Adaga Mágica +{0}%</t>
  </si>
  <si>
    <t>Daño Crit de Daga mágica +{0}%</t>
  </si>
  <si>
    <t>神风匕首到达场地边缘后反弹,最多{0}次</t>
  </si>
  <si>
    <t>Dagger of Sacred Wind bounces when reaching the edge of the field, up to {0} times.</t>
  </si>
  <si>
    <t>旋風ナイフがフィールドの突き当りに到達後、最大{0}回跳ね返す</t>
  </si>
  <si>
    <r>
      <t>폭풍</t>
    </r>
    <r>
      <rPr>
        <sz val="12"/>
        <color theme="1"/>
        <rFont val="微软雅黑"/>
        <family val="2"/>
        <charset val="134"/>
      </rPr>
      <t xml:space="preserve"> </t>
    </r>
    <r>
      <rPr>
        <sz val="12"/>
        <color theme="1"/>
        <rFont val="MS Gothic"/>
        <family val="3"/>
        <charset val="128"/>
      </rPr>
      <t>비수가</t>
    </r>
    <r>
      <rPr>
        <sz val="12"/>
        <color theme="1"/>
        <rFont val="微软雅黑"/>
        <family val="2"/>
        <charset val="134"/>
      </rPr>
      <t xml:space="preserve"> </t>
    </r>
    <r>
      <rPr>
        <sz val="12"/>
        <color theme="1"/>
        <rFont val="MS Gothic"/>
        <family val="3"/>
        <charset val="128"/>
      </rPr>
      <t>필드의</t>
    </r>
    <r>
      <rPr>
        <sz val="12"/>
        <color theme="1"/>
        <rFont val="微软雅黑"/>
        <family val="2"/>
        <charset val="134"/>
      </rPr>
      <t xml:space="preserve"> </t>
    </r>
    <r>
      <rPr>
        <sz val="12"/>
        <color theme="1"/>
        <rFont val="MS Gothic"/>
        <family val="3"/>
        <charset val="128"/>
      </rPr>
      <t>변두리에</t>
    </r>
    <r>
      <rPr>
        <sz val="12"/>
        <color theme="1"/>
        <rFont val="微软雅黑"/>
        <family val="2"/>
        <charset val="134"/>
      </rPr>
      <t xml:space="preserve"> </t>
    </r>
    <r>
      <rPr>
        <sz val="12"/>
        <color theme="1"/>
        <rFont val="MS Gothic"/>
        <family val="3"/>
        <charset val="128"/>
      </rPr>
      <t>도착한</t>
    </r>
    <r>
      <rPr>
        <sz val="12"/>
        <color theme="1"/>
        <rFont val="微软雅黑"/>
        <family val="2"/>
        <charset val="134"/>
      </rPr>
      <t xml:space="preserve"> </t>
    </r>
    <r>
      <rPr>
        <sz val="12"/>
        <color theme="1"/>
        <rFont val="MS Gothic"/>
        <family val="3"/>
        <charset val="128"/>
      </rPr>
      <t>후</t>
    </r>
    <r>
      <rPr>
        <sz val="12"/>
        <color theme="1"/>
        <rFont val="微软雅黑"/>
        <family val="2"/>
        <charset val="134"/>
      </rPr>
      <t xml:space="preserve">, </t>
    </r>
    <r>
      <rPr>
        <sz val="12"/>
        <color theme="1"/>
        <rFont val="MS Gothic"/>
        <family val="3"/>
        <charset val="128"/>
      </rPr>
      <t>반대</t>
    </r>
    <r>
      <rPr>
        <sz val="12"/>
        <color theme="1"/>
        <rFont val="微软雅黑"/>
        <family val="2"/>
        <charset val="134"/>
      </rPr>
      <t xml:space="preserve"> </t>
    </r>
    <r>
      <rPr>
        <sz val="12"/>
        <color theme="1"/>
        <rFont val="MS Gothic"/>
        <family val="3"/>
        <charset val="128"/>
      </rPr>
      <t>방향으로</t>
    </r>
    <r>
      <rPr>
        <sz val="12"/>
        <color theme="1"/>
        <rFont val="微软雅黑"/>
        <family val="2"/>
        <charset val="134"/>
      </rPr>
      <t xml:space="preserve"> </t>
    </r>
    <r>
      <rPr>
        <sz val="12"/>
        <color theme="1"/>
        <rFont val="MS Gothic"/>
        <family val="3"/>
        <charset val="128"/>
      </rPr>
      <t>튕긴다</t>
    </r>
    <r>
      <rPr>
        <sz val="12"/>
        <color theme="1"/>
        <rFont val="微软雅黑"/>
        <family val="2"/>
        <charset val="134"/>
      </rPr>
      <t>. (</t>
    </r>
    <r>
      <rPr>
        <sz val="12"/>
        <color theme="1"/>
        <rFont val="MS Gothic"/>
        <family val="3"/>
        <charset val="128"/>
      </rPr>
      <t>최대</t>
    </r>
    <r>
      <rPr>
        <sz val="12"/>
        <color theme="1"/>
        <rFont val="微软雅黑"/>
        <family val="2"/>
        <charset val="134"/>
      </rPr>
      <t xml:space="preserve"> {0}</t>
    </r>
    <r>
      <rPr>
        <sz val="12"/>
        <color theme="1"/>
        <rFont val="MS Gothic"/>
        <family val="3"/>
        <charset val="128"/>
      </rPr>
      <t>회</t>
    </r>
    <r>
      <rPr>
        <sz val="12"/>
        <color theme="1"/>
        <rFont val="微软雅黑"/>
        <family val="2"/>
        <charset val="134"/>
      </rPr>
      <t>)</t>
    </r>
  </si>
  <si>
    <t>Der Dolch des heiligen Windes springt bis zu {0}-mal, wenn er den Rand des Schlachtfelds erreicht.</t>
  </si>
  <si>
    <t>Dague du Vent Sacré ricoche quand elle atteint le bord du terrain, jusqu’à {0} fois.</t>
  </si>
  <si>
    <t>Adaga do Vento Sagrado quica ao chegar ao final do campo, até {0} vezes.</t>
  </si>
  <si>
    <t>La Daga del Viento sagrado rebota hasta {0} veces al alcanzar el borde del campo.</t>
  </si>
  <si>
    <t>狼毒匕首对中毒目标伤害{0}%</t>
  </si>
  <si>
    <t>DMG dealt by Dagger of Wolfsbane to poisoned targets +{0}%</t>
  </si>
  <si>
    <t>猛毒ナイフが毒状態の敵に与えるダメージ+{0}%</t>
  </si>
  <si>
    <r>
      <t>늑대</t>
    </r>
    <r>
      <rPr>
        <sz val="12"/>
        <color theme="1"/>
        <rFont val="微软雅黑"/>
        <family val="2"/>
        <charset val="134"/>
      </rPr>
      <t xml:space="preserve"> </t>
    </r>
    <r>
      <rPr>
        <sz val="12"/>
        <color theme="1"/>
        <rFont val="MS Gothic"/>
        <family val="3"/>
        <charset val="128"/>
      </rPr>
      <t>비수가</t>
    </r>
    <r>
      <rPr>
        <sz val="12"/>
        <color theme="1"/>
        <rFont val="微软雅黑"/>
        <family val="2"/>
        <charset val="134"/>
      </rPr>
      <t xml:space="preserve"> </t>
    </r>
    <r>
      <rPr>
        <sz val="12"/>
        <color theme="1"/>
        <rFont val="MS Gothic"/>
        <family val="3"/>
        <charset val="128"/>
      </rPr>
      <t>중독</t>
    </r>
    <r>
      <rPr>
        <sz val="12"/>
        <color theme="1"/>
        <rFont val="微软雅黑"/>
        <family val="2"/>
        <charset val="134"/>
      </rPr>
      <t xml:space="preserve"> </t>
    </r>
    <r>
      <rPr>
        <sz val="12"/>
        <color theme="1"/>
        <rFont val="MS Gothic"/>
        <family val="3"/>
        <charset val="128"/>
      </rPr>
      <t>상태의</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</si>
  <si>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Eisenhutdolch fügt vergifteten Zielen {0} % mehr Schaden zu</t>
  </si>
  <si>
    <t>DÉG infligés par Dague d’Aconit aux cibles empoisonnées +{0} %</t>
  </si>
  <si>
    <t>DNO causado pela Adaga da Maldição do Lobo a alvos envenenados +{0}%</t>
  </si>
  <si>
    <t>Daño de Daga lupina a objetivos envenenados +{0}%</t>
  </si>
  <si>
    <t>神风匕首穿透数量+{0}</t>
  </si>
  <si>
    <t>Piercing target of Dagger of Sacred Wind +{0}</t>
  </si>
  <si>
    <t>旋風ナイフの貫通対象数+{0}</t>
  </si>
  <si>
    <r>
      <t>폭풍</t>
    </r>
    <r>
      <rPr>
        <sz val="12"/>
        <color theme="1"/>
        <rFont val="微软雅黑"/>
        <family val="2"/>
        <charset val="134"/>
      </rPr>
      <t xml:space="preserve"> </t>
    </r>
    <r>
      <rPr>
        <sz val="12"/>
        <color theme="1"/>
        <rFont val="MS Gothic"/>
        <family val="3"/>
        <charset val="128"/>
      </rPr>
      <t>비수의</t>
    </r>
    <r>
      <rPr>
        <sz val="12"/>
        <color theme="1"/>
        <rFont val="微软雅黑"/>
        <family val="2"/>
        <charset val="134"/>
      </rPr>
      <t xml:space="preserve"> </t>
    </r>
    <r>
      <rPr>
        <sz val="12"/>
        <color theme="1"/>
        <rFont val="MS Gothic"/>
        <family val="3"/>
        <charset val="128"/>
      </rPr>
      <t>관통</t>
    </r>
    <r>
      <rPr>
        <sz val="12"/>
        <color theme="1"/>
        <rFont val="微软雅黑"/>
        <family val="2"/>
        <charset val="134"/>
      </rPr>
      <t xml:space="preserve"> </t>
    </r>
    <r>
      <rPr>
        <sz val="12"/>
        <color theme="1"/>
        <rFont val="MS Gothic"/>
        <family val="3"/>
        <charset val="128"/>
      </rPr>
      <t>대상</t>
    </r>
    <r>
      <rPr>
        <sz val="12"/>
        <color theme="1"/>
        <rFont val="微软雅黑"/>
        <family val="2"/>
        <charset val="134"/>
      </rPr>
      <t xml:space="preserve"> </t>
    </r>
    <r>
      <rPr>
        <sz val="12"/>
        <color theme="1"/>
        <rFont val="MS Gothic"/>
        <family val="3"/>
        <charset val="128"/>
      </rPr>
      <t>수량</t>
    </r>
    <r>
      <rPr>
        <sz val="12"/>
        <color theme="1"/>
        <rFont val="微软雅黑"/>
        <family val="2"/>
        <charset val="134"/>
      </rPr>
      <t xml:space="preserve"> +{0}</t>
    </r>
  </si>
  <si>
    <t>#ERROR!</t>
  </si>
  <si>
    <t>Nombre de cibles transpercées par Dague du Vent Sacré +{0}</t>
  </si>
  <si>
    <t>Alvo perfurante de Adaga do Vento Sagrado +{0}</t>
  </si>
  <si>
    <t>Objetivos perforados por Daga del Viento sagrado +{0}</t>
  </si>
  <si>
    <t>狼毒匕首的毒爆会附加中毒:每{0}秒,造成攻击{1}%伤害,持续{2}秒</t>
  </si>
  <si>
    <t>Poison Explosion of Dagger of Wolfsbane inflicts poison: deals DMG by {1}% ATK every {0}s, lasting for {2}s.</t>
  </si>
  <si>
    <t>猛毒ナイフの毒爆発は毒を付与する（毒：{2}秒の間、{0}秒ごとに付与者の攻撃力の{1}%のダメージを受ける）</t>
  </si>
  <si>
    <r>
      <t>늑대</t>
    </r>
    <r>
      <rPr>
        <sz val="12"/>
        <color theme="1"/>
        <rFont val="微软雅黑"/>
        <family val="2"/>
        <charset val="134"/>
      </rPr>
      <t xml:space="preserve"> </t>
    </r>
    <r>
      <rPr>
        <sz val="12"/>
        <color theme="1"/>
        <rFont val="MS Gothic"/>
        <family val="3"/>
        <charset val="128"/>
      </rPr>
      <t>비수가</t>
    </r>
    <r>
      <rPr>
        <sz val="12"/>
        <color theme="1"/>
        <rFont val="微软雅黑"/>
        <family val="2"/>
        <charset val="134"/>
      </rPr>
      <t xml:space="preserve"> </t>
    </r>
    <r>
      <rPr>
        <sz val="12"/>
        <color theme="1"/>
        <rFont val="MS Gothic"/>
        <family val="3"/>
        <charset val="128"/>
      </rPr>
      <t>일으킨</t>
    </r>
    <r>
      <rPr>
        <sz val="12"/>
        <color theme="1"/>
        <rFont val="微软雅黑"/>
        <family val="2"/>
        <charset val="134"/>
      </rPr>
      <t xml:space="preserve"> </t>
    </r>
    <r>
      <rPr>
        <sz val="12"/>
        <color theme="1"/>
        <rFont val="MS Gothic"/>
        <family val="3"/>
        <charset val="128"/>
      </rPr>
      <t>독성</t>
    </r>
    <r>
      <rPr>
        <sz val="12"/>
        <color theme="1"/>
        <rFont val="微软雅黑"/>
        <family val="2"/>
        <charset val="134"/>
      </rPr>
      <t xml:space="preserve"> </t>
    </r>
    <r>
      <rPr>
        <sz val="12"/>
        <color theme="1"/>
        <rFont val="MS Gothic"/>
        <family val="3"/>
        <charset val="128"/>
      </rPr>
      <t>폭발이</t>
    </r>
    <r>
      <rPr>
        <sz val="12"/>
        <color theme="1"/>
        <rFont val="微软雅黑"/>
        <family val="2"/>
        <charset val="134"/>
      </rPr>
      <t xml:space="preserve"> </t>
    </r>
    <r>
      <rPr>
        <sz val="12"/>
        <color theme="1"/>
        <rFont val="MS Gothic"/>
        <family val="3"/>
        <charset val="128"/>
      </rPr>
      <t>중독</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 xml:space="preserve">. </t>
    </r>
    <r>
      <rPr>
        <sz val="12"/>
        <color theme="1"/>
        <rFont val="MS Gothic"/>
        <family val="3"/>
        <charset val="128"/>
      </rPr>
      <t>중독</t>
    </r>
    <r>
      <rPr>
        <sz val="12"/>
        <color theme="1"/>
        <rFont val="微软雅黑"/>
        <family val="2"/>
        <charset val="134"/>
      </rPr>
      <t>: {0}</t>
    </r>
    <r>
      <rPr>
        <sz val="12"/>
        <color theme="1"/>
        <rFont val="MS Gothic"/>
        <family val="3"/>
        <charset val="128"/>
      </rPr>
      <t>초마다</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{1}%</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입힌다</t>
    </r>
    <r>
      <rPr>
        <sz val="12"/>
        <color theme="1"/>
        <rFont val="微软雅黑"/>
        <family val="2"/>
        <charset val="134"/>
      </rPr>
      <t>. ({2}</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t>
    </r>
  </si>
  <si>
    <t>Die Giftexplosion des Eisenhutdolchs fügt Gift zu: Verursacht {2} Sek. lang alle {0} Sek. Schaden in Höhe von {1} % des ANG.</t>
  </si>
  <si>
    <t>L’Explosion Toxique de Dague d’Aconit applique Poison : inflige des DÉG à hauteur de {1} % de l’ATQ toutes les {0} s pendant {2} s.</t>
  </si>
  <si>
    <t>Explosão de Veneno de Adaga da Maldição do Lobo inflige veneno: causa DNO em {1}% do ATQ a cada {0} s, durando {2} s.</t>
  </si>
  <si>
    <t>La Explosión de Veneno de Daga lupina envenena: inflige un {1}% del ATQ como Daño cada {0}s durante {2}s.</t>
  </si>
  <si>
    <t>翼弓攻击时,射出{0}颗箭矢</t>
  </si>
  <si>
    <t>When Wing Bow attacks, shoots {0} arrows.</t>
  </si>
  <si>
    <t>ウイングボウ攻撃時、矢を{0}本放つ</t>
  </si>
  <si>
    <r>
      <t>날개활로</t>
    </r>
    <r>
      <rPr>
        <sz val="12"/>
        <color theme="1"/>
        <rFont val="微软雅黑"/>
        <family val="2"/>
        <charset val="134"/>
      </rPr>
      <t xml:space="preserve"> </t>
    </r>
    <r>
      <rPr>
        <sz val="12"/>
        <color theme="1"/>
        <rFont val="MS Gothic"/>
        <family val="3"/>
        <charset val="128"/>
      </rPr>
      <t>공격할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화살</t>
    </r>
    <r>
      <rPr>
        <sz val="12"/>
        <color theme="1"/>
        <rFont val="微软雅黑"/>
        <family val="2"/>
        <charset val="134"/>
      </rPr>
      <t xml:space="preserve"> {0}</t>
    </r>
    <r>
      <rPr>
        <sz val="12"/>
        <color theme="1"/>
        <rFont val="MS Gothic"/>
        <family val="3"/>
        <charset val="128"/>
      </rPr>
      <t>개</t>
    </r>
    <r>
      <rPr>
        <sz val="12"/>
        <color theme="1"/>
        <rFont val="微软雅黑"/>
        <family val="2"/>
        <charset val="134"/>
      </rPr>
      <t xml:space="preserve"> </t>
    </r>
    <r>
      <rPr>
        <sz val="12"/>
        <color theme="1"/>
        <rFont val="MS Gothic"/>
        <family val="3"/>
        <charset val="128"/>
      </rPr>
      <t>발사한다</t>
    </r>
    <r>
      <rPr>
        <sz val="12"/>
        <color theme="1"/>
        <rFont val="微软雅黑"/>
        <family val="2"/>
        <charset val="134"/>
      </rPr>
      <t>.</t>
    </r>
  </si>
  <si>
    <t>Schwingenbogen schießt beim Angriff {0} Pfeile ab.</t>
  </si>
  <si>
    <t>Quand Arc Ailé attaque, il tire {0} flèches.</t>
  </si>
  <si>
    <t>Quando Arco de Asas ataca, dispara {0} flechas.</t>
  </si>
  <si>
    <t>Arco del Ala dispara {0} flechas al disparar.</t>
  </si>
  <si>
    <t>翼弓攻击可穿透{0}个敌人</t>
  </si>
  <si>
    <t>Wing Bow can pierce {0} enemies.</t>
  </si>
  <si>
    <t>ウイングボウの攻撃は敵{0}体を貫通できる</t>
  </si>
  <si>
    <r>
      <t>날개활은</t>
    </r>
    <r>
      <rPr>
        <sz val="12"/>
        <color theme="1"/>
        <rFont val="微软雅黑"/>
        <family val="2"/>
        <charset val="134"/>
      </rPr>
      <t xml:space="preserve"> {0}</t>
    </r>
    <r>
      <rPr>
        <sz val="12"/>
        <color theme="1"/>
        <rFont val="MS Gothic"/>
        <family val="3"/>
        <charset val="128"/>
      </rPr>
      <t>명의</t>
    </r>
    <r>
      <rPr>
        <sz val="12"/>
        <color theme="1"/>
        <rFont val="微软雅黑"/>
        <family val="2"/>
        <charset val="134"/>
      </rPr>
      <t xml:space="preserve"> </t>
    </r>
    <r>
      <rPr>
        <sz val="12"/>
        <color theme="1"/>
        <rFont val="MS Gothic"/>
        <family val="3"/>
        <charset val="128"/>
      </rPr>
      <t>적을</t>
    </r>
    <r>
      <rPr>
        <sz val="12"/>
        <color theme="1"/>
        <rFont val="微软雅黑"/>
        <family val="2"/>
        <charset val="134"/>
      </rPr>
      <t xml:space="preserve"> </t>
    </r>
    <r>
      <rPr>
        <sz val="12"/>
        <color theme="1"/>
        <rFont val="MS Gothic"/>
        <family val="3"/>
        <charset val="128"/>
      </rPr>
      <t>관통할</t>
    </r>
    <r>
      <rPr>
        <sz val="12"/>
        <color theme="1"/>
        <rFont val="微软雅黑"/>
        <family val="2"/>
        <charset val="134"/>
      </rPr>
      <t xml:space="preserve"> </t>
    </r>
    <r>
      <rPr>
        <sz val="12"/>
        <color theme="1"/>
        <rFont val="MS Gothic"/>
        <family val="3"/>
        <charset val="128"/>
      </rPr>
      <t>수</t>
    </r>
    <r>
      <rPr>
        <sz val="12"/>
        <color theme="1"/>
        <rFont val="微软雅黑"/>
        <family val="2"/>
        <charset val="134"/>
      </rPr>
      <t xml:space="preserve"> </t>
    </r>
    <r>
      <rPr>
        <sz val="12"/>
        <color theme="1"/>
        <rFont val="MS Gothic"/>
        <family val="3"/>
        <charset val="128"/>
      </rPr>
      <t>있다</t>
    </r>
    <r>
      <rPr>
        <sz val="12"/>
        <color theme="1"/>
        <rFont val="微软雅黑"/>
        <family val="2"/>
        <charset val="134"/>
      </rPr>
      <t>.</t>
    </r>
  </si>
  <si>
    <t>Schwingenbogen kann {0} Gegner durchbohren.</t>
  </si>
  <si>
    <t>Arc Ailé peut transpercer {0} ennemis.</t>
  </si>
  <si>
    <t>Arco de Asas pode perfurar {0} inimigos.</t>
  </si>
  <si>
    <t>Arco del Ala puede perforar a {0} enemigos.</t>
  </si>
  <si>
    <t>翼弓散射的箭矢数量+{0}</t>
  </si>
  <si>
    <t>Arrow of Wing Bow's Scatter Shot +{0}</t>
  </si>
  <si>
    <t>ウイングボウが放つ矢の本数+{0}</t>
  </si>
  <si>
    <r>
      <t>날개활</t>
    </r>
    <r>
      <rPr>
        <sz val="12"/>
        <color theme="1"/>
        <rFont val="微软雅黑"/>
        <family val="2"/>
        <charset val="134"/>
      </rPr>
      <t xml:space="preserve"> </t>
    </r>
    <r>
      <rPr>
        <sz val="12"/>
        <color theme="1"/>
        <rFont val="MS Gothic"/>
        <family val="3"/>
        <charset val="128"/>
      </rPr>
      <t>분산</t>
    </r>
    <r>
      <rPr>
        <sz val="12"/>
        <color theme="1"/>
        <rFont val="微软雅黑"/>
        <family val="2"/>
        <charset val="134"/>
      </rPr>
      <t xml:space="preserve"> </t>
    </r>
    <r>
      <rPr>
        <sz val="12"/>
        <color theme="1"/>
        <rFont val="MS Gothic"/>
        <family val="3"/>
        <charset val="128"/>
      </rPr>
      <t>사격</t>
    </r>
    <r>
      <rPr>
        <sz val="12"/>
        <color theme="1"/>
        <rFont val="微软雅黑"/>
        <family val="2"/>
        <charset val="134"/>
      </rPr>
      <t xml:space="preserve"> </t>
    </r>
    <r>
      <rPr>
        <sz val="12"/>
        <color theme="1"/>
        <rFont val="MS Gothic"/>
        <family val="3"/>
        <charset val="128"/>
      </rPr>
      <t>시의</t>
    </r>
    <r>
      <rPr>
        <sz val="12"/>
        <color theme="1"/>
        <rFont val="微软雅黑"/>
        <family val="2"/>
        <charset val="134"/>
      </rPr>
      <t xml:space="preserve"> </t>
    </r>
    <r>
      <rPr>
        <sz val="12"/>
        <color theme="1"/>
        <rFont val="MS Gothic"/>
        <family val="3"/>
        <charset val="128"/>
      </rPr>
      <t>화살</t>
    </r>
    <r>
      <rPr>
        <sz val="12"/>
        <color theme="1"/>
        <rFont val="微软雅黑"/>
        <family val="2"/>
        <charset val="134"/>
      </rPr>
      <t xml:space="preserve"> </t>
    </r>
    <r>
      <rPr>
        <sz val="12"/>
        <color theme="1"/>
        <rFont val="MS Gothic"/>
        <family val="3"/>
        <charset val="128"/>
      </rPr>
      <t>수량</t>
    </r>
    <r>
      <rPr>
        <sz val="12"/>
        <color theme="1"/>
        <rFont val="微软雅黑"/>
        <family val="2"/>
        <charset val="134"/>
      </rPr>
      <t xml:space="preserve"> +{0}</t>
    </r>
  </si>
  <si>
    <t>Tir de Dispersion de la Flèche de l’Arc Ailé +{0}</t>
  </si>
  <si>
    <t>Disparo Dispersor de Flecha de Arco de Asas +{0}</t>
  </si>
  <si>
    <t>Tiro disperso de Arco del Ala +{0}</t>
  </si>
  <si>
    <t>翼弓的速度+{0}%</t>
  </si>
  <si>
    <t>Wing Bow SPD +{0}%</t>
  </si>
  <si>
    <t>ウイングボウの速度+{0}%</t>
  </si>
  <si>
    <r>
      <t>날개활의</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</si>
  <si>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Schwingenbogen-GSW +{0} %</t>
  </si>
  <si>
    <t>VIT d’Arc Ailé +{0} %</t>
  </si>
  <si>
    <t>VEL de Arco de Asas +{0}%</t>
  </si>
  <si>
    <t>VEL de Arco del Ala +{0}%</t>
  </si>
  <si>
    <t>箭雨发动概率额外+{0}%</t>
  </si>
  <si>
    <t>Chance of releasing Arrow Rain +{0}%</t>
  </si>
  <si>
    <t>アローレインの発動確率+{0}%</t>
  </si>
  <si>
    <r>
      <t>화살비</t>
    </r>
    <r>
      <rPr>
        <sz val="12"/>
        <color theme="1"/>
        <rFont val="微软雅黑"/>
        <family val="2"/>
        <charset val="134"/>
      </rPr>
      <t xml:space="preserve"> </t>
    </r>
    <r>
      <rPr>
        <sz val="12"/>
        <color theme="1"/>
        <rFont val="MS Gothic"/>
        <family val="3"/>
        <charset val="128"/>
      </rPr>
      <t>발동</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</si>
  <si>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Chance auf Pfeilregen +{0} %</t>
  </si>
  <si>
    <t>Chances de déclencher Pluie de Flèches +{0} %</t>
  </si>
  <si>
    <t>Chance de liberar Chuva de Flechas +{0}%</t>
  </si>
  <si>
    <t>Probabilidad de lanzar Lluvia de Flechas +{0}%</t>
  </si>
  <si>
    <t>黑暗羽翼秒杀概率额外+{0}%</t>
  </si>
  <si>
    <t>Chance of Wing of Darkness to seckill +{0}%</t>
  </si>
  <si>
    <t>ウイングボウ・宵闇の即死確率+{0}%</t>
  </si>
  <si>
    <r>
      <t>어둠의</t>
    </r>
    <r>
      <rPr>
        <sz val="12"/>
        <color theme="1"/>
        <rFont val="微软雅黑"/>
        <family val="2"/>
        <charset val="134"/>
      </rPr>
      <t xml:space="preserve"> </t>
    </r>
    <r>
      <rPr>
        <sz val="12"/>
        <color theme="1"/>
        <rFont val="MS Gothic"/>
        <family val="3"/>
        <charset val="128"/>
      </rPr>
      <t>날개의</t>
    </r>
    <r>
      <rPr>
        <sz val="12"/>
        <color theme="1"/>
        <rFont val="微软雅黑"/>
        <family val="2"/>
        <charset val="134"/>
      </rPr>
      <t xml:space="preserve"> </t>
    </r>
    <r>
      <rPr>
        <sz val="12"/>
        <color theme="1"/>
        <rFont val="MS Gothic"/>
        <family val="3"/>
        <charset val="128"/>
      </rPr>
      <t>즉시</t>
    </r>
    <r>
      <rPr>
        <sz val="12"/>
        <color theme="1"/>
        <rFont val="微软雅黑"/>
        <family val="2"/>
        <charset val="134"/>
      </rPr>
      <t xml:space="preserve"> </t>
    </r>
    <r>
      <rPr>
        <sz val="12"/>
        <color theme="1"/>
        <rFont val="MS Gothic"/>
        <family val="3"/>
        <charset val="128"/>
      </rPr>
      <t>처치</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t>
    </r>
    <r>
      <rPr>
        <sz val="12"/>
        <color theme="1"/>
        <rFont val="MS Gothic"/>
        <family val="3"/>
        <charset val="128"/>
      </rPr>
      <t>발동</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</si>
  <si>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Chance, dass Schwinge der Dunkelheit sofort tötet +{0} %</t>
  </si>
  <si>
    <t>Chances d’Arc de Ténèbres d’exécuter la cible +{0} %</t>
  </si>
  <si>
    <t>Chance de Asa das Trevas abater por segundo +{0}%</t>
  </si>
  <si>
    <t>Probabilidad de elimininación instantánea de Ala de la Oscuridad +{0}%</t>
  </si>
  <si>
    <t>箭雨有{0}%概率造成眩晕,持续{1}秒</t>
  </si>
  <si>
    <t>Arrow Rain has a {0}% chance of inflicting stun for {1}s.</t>
  </si>
  <si>
    <t>アローレインは{0}%の確率で{1}秒間のめまいを付与する</t>
  </si>
  <si>
    <r>
      <t>화살비</t>
    </r>
    <r>
      <rPr>
        <sz val="12"/>
        <color theme="1"/>
        <rFont val="微软雅黑"/>
        <family val="2"/>
        <charset val="134"/>
      </rPr>
      <t xml:space="preserve"> </t>
    </r>
    <r>
      <rPr>
        <sz val="12"/>
        <color theme="1"/>
        <rFont val="MS Gothic"/>
        <family val="3"/>
        <charset val="128"/>
      </rPr>
      <t>발동</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{1}</t>
    </r>
    <r>
      <rPr>
        <sz val="12"/>
        <color theme="1"/>
        <rFont val="MS Gothic"/>
        <family val="3"/>
        <charset val="128"/>
      </rPr>
      <t>초</t>
    </r>
    <r>
      <rPr>
        <sz val="12"/>
        <color theme="1"/>
        <rFont val="微软雅黑"/>
        <family val="2"/>
        <charset val="134"/>
      </rPr>
      <t xml:space="preserve"> </t>
    </r>
    <r>
      <rPr>
        <sz val="12"/>
        <color theme="1"/>
        <rFont val="MS Gothic"/>
        <family val="3"/>
        <charset val="128"/>
      </rPr>
      <t>동안</t>
    </r>
    <r>
      <rPr>
        <sz val="12"/>
        <color theme="1"/>
        <rFont val="微软雅黑"/>
        <family val="2"/>
        <charset val="134"/>
      </rPr>
      <t xml:space="preserve"> </t>
    </r>
    <r>
      <rPr>
        <sz val="12"/>
        <color theme="1"/>
        <rFont val="MS Gothic"/>
        <family val="3"/>
        <charset val="128"/>
      </rPr>
      <t>기절</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t>
    </r>
  </si>
  <si>
    <t>Pfeilregen hat eine {0} % Chance, {1} Sek. lang Betäuben zu verursachen.</t>
  </si>
  <si>
    <t>Pluie de Flèches a {0} % de chances d’appliquer Étourdissement pendant {1} s.</t>
  </si>
  <si>
    <t>Chuva de Flechas tem {0}% de chance de gerar atordoamento por {1} s.</t>
  </si>
  <si>
    <t>Lluvia de Flechas tiene un {0}% de probabilidad de aturdir {1}s.</t>
  </si>
  <si>
    <t>黑暗羽翼命中后,使目标攻击-{0}%持续{1}秒,效果不叠加,时间覆盖</t>
  </si>
  <si>
    <t>When Wing of Darkness hits, the target's ATK -{0}% for {1}s. The effect cannot be stacked but the duration can be refreshed.</t>
  </si>
  <si>
    <t>ウイングボウ・宵闇命中後、{1}秒の間、ターゲットの攻撃力-{0}%（重複不可。持続時間更新可能）</t>
  </si>
  <si>
    <r>
      <t>어둠의</t>
    </r>
    <r>
      <rPr>
        <sz val="12"/>
        <color theme="1"/>
        <rFont val="微软雅黑"/>
        <family val="2"/>
        <charset val="134"/>
      </rPr>
      <t xml:space="preserve"> </t>
    </r>
    <r>
      <rPr>
        <sz val="12"/>
        <color theme="1"/>
        <rFont val="MS Gothic"/>
        <family val="3"/>
        <charset val="128"/>
      </rPr>
      <t>날개의</t>
    </r>
    <r>
      <rPr>
        <sz val="12"/>
        <color theme="1"/>
        <rFont val="微软雅黑"/>
        <family val="2"/>
        <charset val="134"/>
      </rPr>
      <t xml:space="preserve"> </t>
    </r>
    <r>
      <rPr>
        <sz val="12"/>
        <color theme="1"/>
        <rFont val="MS Gothic"/>
        <family val="3"/>
        <charset val="128"/>
      </rPr>
      <t>공격이</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대상</t>
    </r>
    <r>
      <rPr>
        <sz val="12"/>
        <color theme="1"/>
        <rFont val="微软雅黑"/>
        <family val="2"/>
        <charset val="134"/>
      </rPr>
      <t xml:space="preserve"> </t>
    </r>
    <r>
      <rPr>
        <sz val="12"/>
        <color theme="1"/>
        <rFont val="MS Gothic"/>
        <family val="3"/>
        <charset val="128"/>
      </rPr>
      <t>공격력</t>
    </r>
    <r>
      <rPr>
        <sz val="12"/>
        <color theme="1"/>
        <rFont val="微软雅黑"/>
        <family val="2"/>
        <charset val="134"/>
      </rPr>
      <t xml:space="preserve"> -{0}%({1}</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 xml:space="preserve">). </t>
    </r>
    <r>
      <rPr>
        <sz val="12"/>
        <color theme="1"/>
        <rFont val="MS Gothic"/>
        <family val="3"/>
        <charset val="128"/>
      </rPr>
      <t>효과는</t>
    </r>
    <r>
      <rPr>
        <sz val="12"/>
        <color theme="1"/>
        <rFont val="微软雅黑"/>
        <family val="2"/>
        <charset val="134"/>
      </rPr>
      <t xml:space="preserve"> </t>
    </r>
    <r>
      <rPr>
        <sz val="12"/>
        <color theme="1"/>
        <rFont val="MS Gothic"/>
        <family val="3"/>
        <charset val="128"/>
      </rPr>
      <t>중첩될</t>
    </r>
    <r>
      <rPr>
        <sz val="12"/>
        <color theme="1"/>
        <rFont val="微软雅黑"/>
        <family val="2"/>
        <charset val="134"/>
      </rPr>
      <t xml:space="preserve"> </t>
    </r>
    <r>
      <rPr>
        <sz val="12"/>
        <color theme="1"/>
        <rFont val="MS Gothic"/>
        <family val="3"/>
        <charset val="128"/>
      </rPr>
      <t>수</t>
    </r>
    <r>
      <rPr>
        <sz val="12"/>
        <color theme="1"/>
        <rFont val="微软雅黑"/>
        <family val="2"/>
        <charset val="134"/>
      </rPr>
      <t xml:space="preserve"> </t>
    </r>
    <r>
      <rPr>
        <sz val="12"/>
        <color theme="1"/>
        <rFont val="MS Gothic"/>
        <family val="3"/>
        <charset val="128"/>
      </rPr>
      <t>없지만</t>
    </r>
    <r>
      <rPr>
        <sz val="12"/>
        <color theme="1"/>
        <rFont val="微软雅黑"/>
        <family val="2"/>
        <charset val="134"/>
      </rPr>
      <t xml:space="preserve"> </t>
    </r>
    <r>
      <rPr>
        <sz val="12"/>
        <color theme="1"/>
        <rFont val="MS Gothic"/>
        <family val="3"/>
        <charset val="128"/>
      </rPr>
      <t>지속</t>
    </r>
    <r>
      <rPr>
        <sz val="12"/>
        <color theme="1"/>
        <rFont val="微软雅黑"/>
        <family val="2"/>
        <charset val="134"/>
      </rPr>
      <t xml:space="preserve"> </t>
    </r>
    <r>
      <rPr>
        <sz val="12"/>
        <color theme="1"/>
        <rFont val="MS Gothic"/>
        <family val="3"/>
        <charset val="128"/>
      </rPr>
      <t>시간은</t>
    </r>
    <r>
      <rPr>
        <sz val="12"/>
        <color theme="1"/>
        <rFont val="微软雅黑"/>
        <family val="2"/>
        <charset val="134"/>
      </rPr>
      <t xml:space="preserve"> </t>
    </r>
    <r>
      <rPr>
        <sz val="12"/>
        <color theme="1"/>
        <rFont val="MS Gothic"/>
        <family val="3"/>
        <charset val="128"/>
      </rPr>
      <t>갱신</t>
    </r>
    <r>
      <rPr>
        <sz val="12"/>
        <color theme="1"/>
        <rFont val="微软雅黑"/>
        <family val="2"/>
        <charset val="134"/>
      </rPr>
      <t xml:space="preserve"> </t>
    </r>
    <r>
      <rPr>
        <sz val="12"/>
        <color theme="1"/>
        <rFont val="MS Gothic"/>
        <family val="3"/>
        <charset val="128"/>
      </rPr>
      <t>가능하다</t>
    </r>
    <r>
      <rPr>
        <sz val="12"/>
        <color theme="1"/>
        <rFont val="微软雅黑"/>
        <family val="2"/>
        <charset val="134"/>
      </rPr>
      <t>.</t>
    </r>
  </si>
  <si>
    <t>Wenn Schwinge der Dunkelheit trifft, wird ANG des Ziels {1} Sek. lang um {0} % verringert. Nicht stapelbar, aber Dauer kann erneuert werden.</t>
  </si>
  <si>
    <t>Quand Arc de Ténèbres touche une cible, -{0} % à l’ATQ de cette dernière pendant {1} %. L’effet est non cumulable, mais la durée peut être réinitialisée.</t>
  </si>
  <si>
    <t>Quando Asa das Trevas acerta, o ATQ do alvo -{0}% por {1} s. O efeito não pode ser acumulado, mas a duração pode ser atualizada.</t>
  </si>
  <si>
    <t>Cuando el Ala de la Oscuridad golpea, el ATQ -{0}% durante {1}s. El efecto no se puede acumular pero se puede reiniciar.</t>
  </si>
  <si>
    <t>飞贼命中后,进行一次弹射,最多弹射{0}次</t>
  </si>
  <si>
    <t>Dart bounces once after hitting the target, up to {0} times.</t>
  </si>
  <si>
    <t>ダーツが敵に命中後、1回跳ね返す（最大{0}回）</t>
  </si>
  <si>
    <r>
      <t>다트</t>
    </r>
    <r>
      <rPr>
        <sz val="12"/>
        <color theme="1"/>
        <rFont val="微软雅黑"/>
        <family val="2"/>
        <charset val="134"/>
      </rPr>
      <t xml:space="preserve"> </t>
    </r>
    <r>
      <rPr>
        <sz val="12"/>
        <color theme="1"/>
        <rFont val="MS Gothic"/>
        <family val="3"/>
        <charset val="128"/>
      </rPr>
      <t>적중</t>
    </r>
    <r>
      <rPr>
        <sz val="12"/>
        <color theme="1"/>
        <rFont val="微软雅黑"/>
        <family val="2"/>
        <charset val="134"/>
      </rPr>
      <t xml:space="preserve"> </t>
    </r>
    <r>
      <rPr>
        <sz val="12"/>
        <color theme="1"/>
        <rFont val="MS Gothic"/>
        <family val="3"/>
        <charset val="128"/>
      </rPr>
      <t>후</t>
    </r>
    <r>
      <rPr>
        <sz val="12"/>
        <color theme="1"/>
        <rFont val="微软雅黑"/>
        <family val="2"/>
        <charset val="134"/>
      </rPr>
      <t xml:space="preserve"> </t>
    </r>
    <r>
      <rPr>
        <sz val="12"/>
        <color theme="1"/>
        <rFont val="MS Gothic"/>
        <family val="3"/>
        <charset val="128"/>
      </rPr>
      <t>한</t>
    </r>
    <r>
      <rPr>
        <sz val="12"/>
        <color theme="1"/>
        <rFont val="微软雅黑"/>
        <family val="2"/>
        <charset val="134"/>
      </rPr>
      <t xml:space="preserve"> </t>
    </r>
    <r>
      <rPr>
        <sz val="12"/>
        <color theme="1"/>
        <rFont val="MS Gothic"/>
        <family val="3"/>
        <charset val="128"/>
      </rPr>
      <t>번</t>
    </r>
    <r>
      <rPr>
        <sz val="12"/>
        <color theme="1"/>
        <rFont val="微软雅黑"/>
        <family val="2"/>
        <charset val="134"/>
      </rPr>
      <t xml:space="preserve"> </t>
    </r>
    <r>
      <rPr>
        <sz val="12"/>
        <color theme="1"/>
        <rFont val="MS Gothic"/>
        <family val="3"/>
        <charset val="128"/>
      </rPr>
      <t>튕긴다</t>
    </r>
    <r>
      <rPr>
        <sz val="12"/>
        <color theme="1"/>
        <rFont val="微软雅黑"/>
        <family val="2"/>
        <charset val="134"/>
      </rPr>
      <t>(</t>
    </r>
    <r>
      <rPr>
        <sz val="12"/>
        <color theme="1"/>
        <rFont val="MS Gothic"/>
        <family val="3"/>
        <charset val="128"/>
      </rPr>
      <t>최대</t>
    </r>
    <r>
      <rPr>
        <sz val="12"/>
        <color theme="1"/>
        <rFont val="微软雅黑"/>
        <family val="2"/>
        <charset val="134"/>
      </rPr>
      <t xml:space="preserve"> {0}</t>
    </r>
    <r>
      <rPr>
        <sz val="12"/>
        <color theme="1"/>
        <rFont val="MS Gothic"/>
        <family val="3"/>
        <charset val="128"/>
      </rPr>
      <t>회</t>
    </r>
    <r>
      <rPr>
        <sz val="12"/>
        <color theme="1"/>
        <rFont val="微软雅黑"/>
        <family val="2"/>
        <charset val="134"/>
      </rPr>
      <t>).</t>
    </r>
  </si>
  <si>
    <t>Wurfpfeil springt bis zu {0}-mal weiter, nachdem er ein Ziel trifft.</t>
  </si>
  <si>
    <t>Fléchette ricoche après avoir touché sa cible, jusqu’à {0} fois.</t>
  </si>
  <si>
    <t>O Dardo quica uma vez depois de acertar o alvo, até {0} vezes.</t>
  </si>
  <si>
    <t>El dardo rebota hasta {0} veces al golpear a un objetivo.</t>
  </si>
  <si>
    <t>飞贼的攻击+{0}%</t>
  </si>
  <si>
    <t>Dart ATK +{0}%</t>
  </si>
  <si>
    <t>ダーツの攻撃力+{0}%</t>
  </si>
  <si>
    <r>
      <t>다트의</t>
    </r>
    <r>
      <rPr>
        <sz val="12"/>
        <color theme="1"/>
        <rFont val="微软雅黑"/>
        <family val="2"/>
        <charset val="134"/>
      </rPr>
      <t xml:space="preserve"> </t>
    </r>
    <r>
      <rPr>
        <sz val="12"/>
        <color theme="1"/>
        <rFont val="MS Gothic"/>
        <family val="3"/>
        <charset val="128"/>
      </rPr>
      <t>공격력</t>
    </r>
    <r>
      <rPr>
        <sz val="12"/>
        <color theme="1"/>
        <rFont val="微软雅黑"/>
        <family val="2"/>
        <charset val="134"/>
      </rPr>
      <t xml:space="preserve"> +{0}%</t>
    </r>
  </si>
  <si>
    <t>Wurfpfeil-ANG +{0} %</t>
  </si>
  <si>
    <t>ATQ de Fléchette +{0} %</t>
  </si>
  <si>
    <t>ATQ de Dardo +{0}%</t>
  </si>
  <si>
    <t>ATQ del Dardo +{0}%</t>
  </si>
  <si>
    <t>飞贼的暴击率+{0}%</t>
  </si>
  <si>
    <t>Dart Crit +{0}%</t>
  </si>
  <si>
    <t>ダーツの会心率+{0}%</t>
  </si>
  <si>
    <r>
      <t>다트의</t>
    </r>
    <r>
      <rPr>
        <sz val="12"/>
        <color theme="1"/>
        <rFont val="微软雅黑"/>
        <family val="2"/>
        <charset val="134"/>
      </rPr>
      <t xml:space="preserve"> </t>
    </r>
    <r>
      <rPr>
        <sz val="12"/>
        <color theme="1"/>
        <rFont val="MS Gothic"/>
        <family val="3"/>
        <charset val="128"/>
      </rPr>
      <t>치명타율</t>
    </r>
    <r>
      <rPr>
        <sz val="12"/>
        <color theme="1"/>
        <rFont val="微软雅黑"/>
        <family val="2"/>
        <charset val="134"/>
      </rPr>
      <t xml:space="preserve"> +{0}%</t>
    </r>
  </si>
  <si>
    <t>Wurfpfeil-Krit +{0} %</t>
  </si>
  <si>
    <t>Crit de Fléchette +{0} %</t>
  </si>
  <si>
    <t>CRÍT de Dardo +{0}%</t>
  </si>
  <si>
    <t>Crit del Dardo +{0}%</t>
  </si>
  <si>
    <t>飞贼攻击时,多发射{0}枚飞贼</t>
  </si>
  <si>
    <t>When Dart attacks, launches {0} more Darts.</t>
  </si>
  <si>
    <t>ダーツ攻撃時、追加でダーツを{0}本放つ</t>
  </si>
  <si>
    <r>
      <t>다트로</t>
    </r>
    <r>
      <rPr>
        <sz val="12"/>
        <color theme="1"/>
        <rFont val="微软雅黑"/>
        <family val="2"/>
        <charset val="134"/>
      </rPr>
      <t xml:space="preserve"> </t>
    </r>
    <r>
      <rPr>
        <sz val="12"/>
        <color theme="1"/>
        <rFont val="MS Gothic"/>
        <family val="3"/>
        <charset val="128"/>
      </rPr>
      <t>공격할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t>
    </r>
    <r>
      <rPr>
        <sz val="12"/>
        <color theme="1"/>
        <rFont val="MS Gothic"/>
        <family val="3"/>
        <charset val="128"/>
      </rPr>
      <t>개의</t>
    </r>
    <r>
      <rPr>
        <sz val="12"/>
        <color theme="1"/>
        <rFont val="微软雅黑"/>
        <family val="2"/>
        <charset val="134"/>
      </rPr>
      <t xml:space="preserve"> </t>
    </r>
    <r>
      <rPr>
        <sz val="12"/>
        <color theme="1"/>
        <rFont val="MS Gothic"/>
        <family val="3"/>
        <charset val="128"/>
      </rPr>
      <t>다트를</t>
    </r>
    <r>
      <rPr>
        <sz val="12"/>
        <color theme="1"/>
        <rFont val="微软雅黑"/>
        <family val="2"/>
        <charset val="134"/>
      </rPr>
      <t xml:space="preserve"> </t>
    </r>
    <r>
      <rPr>
        <sz val="12"/>
        <color theme="1"/>
        <rFont val="MS Gothic"/>
        <family val="3"/>
        <charset val="128"/>
      </rPr>
      <t>추가</t>
    </r>
    <r>
      <rPr>
        <sz val="12"/>
        <color theme="1"/>
        <rFont val="微软雅黑"/>
        <family val="2"/>
        <charset val="134"/>
      </rPr>
      <t xml:space="preserve"> </t>
    </r>
    <r>
      <rPr>
        <sz val="12"/>
        <color theme="1"/>
        <rFont val="MS Gothic"/>
        <family val="3"/>
        <charset val="128"/>
      </rPr>
      <t>발사한다</t>
    </r>
    <r>
      <rPr>
        <sz val="12"/>
        <color theme="1"/>
        <rFont val="微软雅黑"/>
        <family val="2"/>
        <charset val="134"/>
      </rPr>
      <t>.</t>
    </r>
  </si>
  <si>
    <t>Feuert {0} mehr Wurfpfeile bei Angriffen.</t>
  </si>
  <si>
    <t>Quand Fléchette attaque, lance {0} Fléchettes en plus.</t>
  </si>
  <si>
    <t>Quando Dardo ataca, lança mais {0} Dardos.</t>
  </si>
  <si>
    <t>Cuando el Dardo ataca, lanza {0} Dardos más.</t>
  </si>
  <si>
    <t>黑暗飞贼附加重伤概率+{0}%</t>
  </si>
  <si>
    <t>Chance of Dart of Darkness to inflict wound +{0}%</t>
  </si>
  <si>
    <t>宵闇ダーツの重傷付与確率+{0}%</t>
  </si>
  <si>
    <r>
      <t>어둠</t>
    </r>
    <r>
      <rPr>
        <sz val="12"/>
        <color theme="1"/>
        <rFont val="微软雅黑"/>
        <family val="2"/>
        <charset val="134"/>
      </rPr>
      <t xml:space="preserve"> </t>
    </r>
    <r>
      <rPr>
        <sz val="12"/>
        <color theme="1"/>
        <rFont val="MS Gothic"/>
        <family val="3"/>
        <charset val="128"/>
      </rPr>
      <t>다트의</t>
    </r>
    <r>
      <rPr>
        <sz val="12"/>
        <color theme="1"/>
        <rFont val="微软雅黑"/>
        <family val="2"/>
        <charset val="134"/>
      </rPr>
      <t xml:space="preserve"> </t>
    </r>
    <r>
      <rPr>
        <sz val="12"/>
        <color theme="1"/>
        <rFont val="MS Gothic"/>
        <family val="3"/>
        <charset val="128"/>
      </rPr>
      <t>중상</t>
    </r>
    <r>
      <rPr>
        <sz val="12"/>
        <color theme="1"/>
        <rFont val="微软雅黑"/>
        <family val="2"/>
        <charset val="134"/>
      </rPr>
      <t xml:space="preserve"> </t>
    </r>
    <r>
      <rPr>
        <sz val="12"/>
        <color theme="1"/>
        <rFont val="MS Gothic"/>
        <family val="3"/>
        <charset val="128"/>
      </rPr>
      <t>부여</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</si>
  <si>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Chance, dass Wurfpfeil der Dunkelheit Wunde zufügt +{0} %</t>
  </si>
  <si>
    <t>Chances pour Fléchette de Ténèbres d’appliquer Blessure +{0} %</t>
  </si>
  <si>
    <t>Chance de Dardo das Trevas infligir ferimento +{0}%</t>
  </si>
  <si>
    <t>Probabilidad de que Dardo de Oscuridad inflija heridas +{0}%</t>
  </si>
  <si>
    <t>神风飞贼弹射不再降低伤害</t>
  </si>
  <si>
    <t>Bounce of Dart of Sacred Wind reduces no more DMG.</t>
  </si>
  <si>
    <t>旋風ダーツが跳ね返す時、ダメージが減少されない</t>
  </si>
  <si>
    <r>
      <t>폭풍</t>
    </r>
    <r>
      <rPr>
        <sz val="12"/>
        <color theme="1"/>
        <rFont val="微软雅黑"/>
        <family val="2"/>
        <charset val="134"/>
      </rPr>
      <t xml:space="preserve"> </t>
    </r>
    <r>
      <rPr>
        <sz val="12"/>
        <color theme="1"/>
        <rFont val="MS Gothic"/>
        <family val="3"/>
        <charset val="128"/>
      </rPr>
      <t>다트가</t>
    </r>
    <r>
      <rPr>
        <sz val="12"/>
        <color theme="1"/>
        <rFont val="微软雅黑"/>
        <family val="2"/>
        <charset val="134"/>
      </rPr>
      <t xml:space="preserve"> </t>
    </r>
    <r>
      <rPr>
        <sz val="12"/>
        <color theme="1"/>
        <rFont val="MS Gothic"/>
        <family val="3"/>
        <charset val="128"/>
      </rPr>
      <t>튕길</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더는</t>
    </r>
    <r>
      <rPr>
        <sz val="12"/>
        <color theme="1"/>
        <rFont val="微软雅黑"/>
        <family val="2"/>
        <charset val="134"/>
      </rPr>
      <t xml:space="preserve"> </t>
    </r>
    <r>
      <rPr>
        <sz val="12"/>
        <color theme="1"/>
        <rFont val="MS Gothic"/>
        <family val="3"/>
        <charset val="128"/>
      </rPr>
      <t>피해가</t>
    </r>
    <r>
      <rPr>
        <sz val="12"/>
        <color theme="1"/>
        <rFont val="微软雅黑"/>
        <family val="2"/>
        <charset val="134"/>
      </rPr>
      <t xml:space="preserve"> </t>
    </r>
    <r>
      <rPr>
        <sz val="12"/>
        <color theme="1"/>
        <rFont val="MS Gothic"/>
        <family val="3"/>
        <charset val="128"/>
      </rPr>
      <t>감소하지</t>
    </r>
    <r>
      <rPr>
        <sz val="12"/>
        <color theme="1"/>
        <rFont val="微软雅黑"/>
        <family val="2"/>
        <charset val="134"/>
      </rPr>
      <t xml:space="preserve"> </t>
    </r>
    <r>
      <rPr>
        <sz val="12"/>
        <color theme="1"/>
        <rFont val="MS Gothic"/>
        <family val="3"/>
        <charset val="128"/>
      </rPr>
      <t>않는다</t>
    </r>
    <r>
      <rPr>
        <sz val="12"/>
        <color theme="1"/>
        <rFont val="微软雅黑"/>
        <family val="2"/>
        <charset val="134"/>
      </rPr>
      <t>.</t>
    </r>
  </si>
  <si>
    <t>Springen des Wurfpfeil des heiligen Windes verringert Schaden nicht mehr.</t>
  </si>
  <si>
    <t>Quand Fléchette de Vent Sacré ricoche, ses DÉG ne sont plus réduits.</t>
  </si>
  <si>
    <t>Dardo do Vento Sagrado que quica não reduz mais DNO.</t>
  </si>
  <si>
    <t>Los rebotes del Dardo del Viento sagrado no reducen más Daño.</t>
  </si>
  <si>
    <t>黑暗飞贼对重伤目标伤害+{0}%</t>
  </si>
  <si>
    <t>DMG dealt by Dart of Darkness to wounded targets +{0}%</t>
  </si>
  <si>
    <t>宵闇ダーツが重傷状態の敵に与えるダメージ+{0}%</t>
  </si>
  <si>
    <r>
      <t>어둠</t>
    </r>
    <r>
      <rPr>
        <sz val="12"/>
        <color theme="1"/>
        <rFont val="微软雅黑"/>
        <family val="2"/>
        <charset val="134"/>
      </rPr>
      <t xml:space="preserve"> </t>
    </r>
    <r>
      <rPr>
        <sz val="12"/>
        <color theme="1"/>
        <rFont val="MS Gothic"/>
        <family val="3"/>
        <charset val="128"/>
      </rPr>
      <t>다트가</t>
    </r>
    <r>
      <rPr>
        <sz val="12"/>
        <color theme="1"/>
        <rFont val="微软雅黑"/>
        <family val="2"/>
        <charset val="134"/>
      </rPr>
      <t xml:space="preserve"> </t>
    </r>
    <r>
      <rPr>
        <sz val="12"/>
        <color theme="1"/>
        <rFont val="MS Gothic"/>
        <family val="3"/>
        <charset val="128"/>
      </rPr>
      <t>중상</t>
    </r>
    <r>
      <rPr>
        <sz val="12"/>
        <color theme="1"/>
        <rFont val="微软雅黑"/>
        <family val="2"/>
        <charset val="134"/>
      </rPr>
      <t xml:space="preserve"> </t>
    </r>
    <r>
      <rPr>
        <sz val="12"/>
        <color theme="1"/>
        <rFont val="MS Gothic"/>
        <family val="3"/>
        <charset val="128"/>
      </rPr>
      <t>상태의</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</si>
  <si>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Wurfpfeil der Dunkelheit fügt verwundeten Zielen {0} % mehr Schaden zu</t>
  </si>
  <si>
    <t>DÉG infligés par Fléchette de Ténèbres aux cibles blessées +{0} %</t>
  </si>
  <si>
    <t>DNO causado por Dardo das Trevas a alvos feridos +{0}%</t>
  </si>
  <si>
    <t>Daño infligido por Dardo de Oscuridad a objetivos heridos +{0}%</t>
  </si>
  <si>
    <t>神风飞贼弹射次数+{0}</t>
  </si>
  <si>
    <t>Bouncing times of Dart of Sacred Wind +{0}</t>
  </si>
  <si>
    <t>旋風ダーツの跳ね返す回数+{0}</t>
  </si>
  <si>
    <r>
      <t>폭풍</t>
    </r>
    <r>
      <rPr>
        <sz val="12"/>
        <color theme="1"/>
        <rFont val="微软雅黑"/>
        <family val="2"/>
        <charset val="134"/>
      </rPr>
      <t xml:space="preserve"> </t>
    </r>
    <r>
      <rPr>
        <sz val="12"/>
        <color theme="1"/>
        <rFont val="MS Gothic"/>
        <family val="3"/>
        <charset val="128"/>
      </rPr>
      <t>다트의</t>
    </r>
    <r>
      <rPr>
        <sz val="12"/>
        <color theme="1"/>
        <rFont val="微软雅黑"/>
        <family val="2"/>
        <charset val="134"/>
      </rPr>
      <t xml:space="preserve"> </t>
    </r>
    <r>
      <rPr>
        <sz val="12"/>
        <color theme="1"/>
        <rFont val="MS Gothic"/>
        <family val="3"/>
        <charset val="128"/>
      </rPr>
      <t>튕기기</t>
    </r>
    <r>
      <rPr>
        <sz val="12"/>
        <color theme="1"/>
        <rFont val="微软雅黑"/>
        <family val="2"/>
        <charset val="134"/>
      </rPr>
      <t xml:space="preserve"> </t>
    </r>
    <r>
      <rPr>
        <sz val="12"/>
        <color theme="1"/>
        <rFont val="MS Gothic"/>
        <family val="3"/>
        <charset val="128"/>
      </rPr>
      <t>횟수</t>
    </r>
    <r>
      <rPr>
        <sz val="12"/>
        <color theme="1"/>
        <rFont val="微软雅黑"/>
        <family val="2"/>
        <charset val="134"/>
      </rPr>
      <t xml:space="preserve"> +{0}</t>
    </r>
  </si>
  <si>
    <t>Wurfpfeil des heiligen Windes springt {0}-mal öfter</t>
  </si>
  <si>
    <t>Nombre de fois où Fléchette de Vent Sacré rebondit +{0}</t>
  </si>
  <si>
    <t>Número de vezes que Dardo do Vento Sagrado quica +{0}</t>
  </si>
  <si>
    <t>Rebotes de Dardo del Viento sagrado +{0}</t>
  </si>
  <si>
    <t>背包中与魔法帽相邻的所有魔法武器攻击+{0}%</t>
  </si>
  <si>
    <t>ATK of all magic weapons adjacent to the Wizard Hat in the backpack +{0}%</t>
  </si>
  <si>
    <t>バックパック内、とんがり帽子に隣接する全ての魔術武器の攻撃力+{0}%</t>
  </si>
  <si>
    <r>
      <t>배낭</t>
    </r>
    <r>
      <rPr>
        <sz val="12"/>
        <color theme="1"/>
        <rFont val="微软雅黑"/>
        <family val="2"/>
        <charset val="134"/>
      </rPr>
      <t xml:space="preserve"> </t>
    </r>
    <r>
      <rPr>
        <sz val="12"/>
        <color theme="1"/>
        <rFont val="MS Gothic"/>
        <family val="3"/>
        <charset val="128"/>
      </rPr>
      <t>중</t>
    </r>
    <r>
      <rPr>
        <sz val="12"/>
        <color theme="1"/>
        <rFont val="微软雅黑"/>
        <family val="2"/>
        <charset val="134"/>
      </rPr>
      <t xml:space="preserve"> </t>
    </r>
    <r>
      <rPr>
        <sz val="12"/>
        <color theme="1"/>
        <rFont val="MS Gothic"/>
        <family val="3"/>
        <charset val="128"/>
      </rPr>
      <t>마법사</t>
    </r>
    <r>
      <rPr>
        <sz val="12"/>
        <color theme="1"/>
        <rFont val="微软雅黑"/>
        <family val="2"/>
        <charset val="134"/>
      </rPr>
      <t xml:space="preserve"> </t>
    </r>
    <r>
      <rPr>
        <sz val="12"/>
        <color theme="1"/>
        <rFont val="MS Gothic"/>
        <family val="3"/>
        <charset val="128"/>
      </rPr>
      <t>모자에</t>
    </r>
    <r>
      <rPr>
        <sz val="12"/>
        <color theme="1"/>
        <rFont val="微软雅黑"/>
        <family val="2"/>
        <charset val="134"/>
      </rPr>
      <t xml:space="preserve"> </t>
    </r>
    <r>
      <rPr>
        <sz val="12"/>
        <color theme="1"/>
        <rFont val="MS Gothic"/>
        <family val="3"/>
        <charset val="128"/>
      </rPr>
      <t>인접한</t>
    </r>
    <r>
      <rPr>
        <sz val="12"/>
        <color theme="1"/>
        <rFont val="微软雅黑"/>
        <family val="2"/>
        <charset val="134"/>
      </rPr>
      <t xml:space="preserve"> </t>
    </r>
    <r>
      <rPr>
        <sz val="12"/>
        <color theme="1"/>
        <rFont val="MS Gothic"/>
        <family val="3"/>
        <charset val="128"/>
      </rPr>
      <t>모든</t>
    </r>
    <r>
      <rPr>
        <sz val="12"/>
        <color theme="1"/>
        <rFont val="微软雅黑"/>
        <family val="2"/>
        <charset val="134"/>
      </rPr>
      <t xml:space="preserve"> </t>
    </r>
    <r>
      <rPr>
        <sz val="12"/>
        <color theme="1"/>
        <rFont val="MS Gothic"/>
        <family val="3"/>
        <charset val="128"/>
      </rPr>
      <t>마법</t>
    </r>
    <r>
      <rPr>
        <sz val="12"/>
        <color theme="1"/>
        <rFont val="微软雅黑"/>
        <family val="2"/>
        <charset val="134"/>
      </rPr>
      <t xml:space="preserve"> </t>
    </r>
    <r>
      <rPr>
        <sz val="12"/>
        <color theme="1"/>
        <rFont val="MS Gothic"/>
        <family val="3"/>
        <charset val="128"/>
      </rPr>
      <t>무기의</t>
    </r>
    <r>
      <rPr>
        <sz val="12"/>
        <color theme="1"/>
        <rFont val="微软雅黑"/>
        <family val="2"/>
        <charset val="134"/>
      </rPr>
      <t xml:space="preserve"> </t>
    </r>
    <r>
      <rPr>
        <sz val="12"/>
        <color theme="1"/>
        <rFont val="MS Gothic"/>
        <family val="3"/>
        <charset val="128"/>
      </rPr>
      <t>공격력</t>
    </r>
    <r>
      <rPr>
        <sz val="12"/>
        <color theme="1"/>
        <rFont val="微软雅黑"/>
        <family val="2"/>
        <charset val="134"/>
      </rPr>
      <t xml:space="preserve"> +{0}%</t>
    </r>
  </si>
  <si>
    <t>ANG aller Magiewaffen, die im Rucksack neben dem Zauberhut liegen, +{0} %</t>
  </si>
  <si>
    <t>ATQ de toutes les armes magiques adjacentes au Chapeau de Mage dans le sac +{0} %</t>
  </si>
  <si>
    <t>ATQ de todas as armas mágicas próximas ao Chapéu de Bruxo na mochila +{0}%</t>
  </si>
  <si>
    <t>ATQ de todas las armas mágicas junto al Sombrero de Mago en el inventario +{0}%</t>
  </si>
  <si>
    <t>魔法帽的回血+{0}%</t>
  </si>
  <si>
    <t>Wizard Hat HP Restoration +{0}%</t>
  </si>
  <si>
    <t>とんがり帽子のHP回復量+{0}%</t>
  </si>
  <si>
    <r>
      <t>마법사</t>
    </r>
    <r>
      <rPr>
        <sz val="12"/>
        <color theme="1"/>
        <rFont val="微软雅黑"/>
        <family val="2"/>
        <charset val="134"/>
      </rPr>
      <t xml:space="preserve"> </t>
    </r>
    <r>
      <rPr>
        <sz val="12"/>
        <color theme="1"/>
        <rFont val="MS Gothic"/>
        <family val="3"/>
        <charset val="128"/>
      </rPr>
      <t>모자의</t>
    </r>
    <r>
      <rPr>
        <sz val="12"/>
        <color theme="1"/>
        <rFont val="微软雅黑"/>
        <family val="2"/>
        <charset val="134"/>
      </rPr>
      <t xml:space="preserve"> HP </t>
    </r>
    <r>
      <rPr>
        <sz val="12"/>
        <color theme="1"/>
        <rFont val="MS Gothic"/>
        <family val="3"/>
        <charset val="128"/>
      </rPr>
      <t>회복</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+{0}%</t>
    </r>
  </si>
  <si>
    <t>Zauberhut-LP-Wiederherstellung +{0} %</t>
  </si>
  <si>
    <t>Restauration des PV du Chapeau de Mage +{0} %</t>
  </si>
  <si>
    <t>Restauração de PV de Chapéu de Bruxo +{0}%</t>
  </si>
  <si>
    <t>Regeneración de PS de Sombrero de Mago +{0}%</t>
  </si>
  <si>
    <t>魔法帽的速度+{0}%</t>
  </si>
  <si>
    <t>Wizard Hat SPD +{0}%</t>
  </si>
  <si>
    <t>とんがり帽子の速度+{0}%</t>
  </si>
  <si>
    <r>
      <t>마법사</t>
    </r>
    <r>
      <rPr>
        <sz val="12"/>
        <color theme="1"/>
        <rFont val="微软雅黑"/>
        <family val="2"/>
        <charset val="134"/>
      </rPr>
      <t xml:space="preserve"> </t>
    </r>
    <r>
      <rPr>
        <sz val="12"/>
        <color theme="1"/>
        <rFont val="MS Gothic"/>
        <family val="3"/>
        <charset val="128"/>
      </rPr>
      <t>모자</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</si>
  <si>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Zauberhut-GSW +{0} %</t>
  </si>
  <si>
    <t>VIT du Chapeau de Mage +{0} %</t>
  </si>
  <si>
    <t>VEL de Chapéu de Bruxo +{0}%</t>
  </si>
  <si>
    <t>VEL de Sombrero de Mago +{0}%</t>
  </si>
  <si>
    <t>叠盾效果额外+{0}%</t>
  </si>
  <si>
    <t>Shield Effect +{0}%</t>
  </si>
  <si>
    <t>シールド効果量+{0}%</t>
  </si>
  <si>
    <r>
      <t>실드</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+{0}%</t>
    </r>
  </si>
  <si>
    <t>Schildeffekt +{0} %</t>
  </si>
  <si>
    <t>Effet Bouclier +{0} %</t>
  </si>
  <si>
    <t>Efeito de Escudo +{0}%</t>
  </si>
  <si>
    <t>Efecto de Escudo +{0}%</t>
  </si>
  <si>
    <t>所有暗属性的武器伤害增幅额外+{0}%</t>
  </si>
  <si>
    <t>DMG boost for all Dark weapons +{0}%</t>
  </si>
  <si>
    <t>全ての闇属性の武器のダメージ+{0}%</t>
  </si>
  <si>
    <r>
      <t>모든</t>
    </r>
    <r>
      <rPr>
        <sz val="12"/>
        <color theme="1"/>
        <rFont val="微软雅黑"/>
        <family val="2"/>
        <charset val="134"/>
      </rPr>
      <t xml:space="preserve"> </t>
    </r>
    <r>
      <rPr>
        <sz val="12"/>
        <color theme="1"/>
        <rFont val="MS Gothic"/>
        <family val="3"/>
        <charset val="128"/>
      </rPr>
      <t>어둠</t>
    </r>
    <r>
      <rPr>
        <sz val="12"/>
        <color theme="1"/>
        <rFont val="微软雅黑"/>
        <family val="2"/>
        <charset val="134"/>
      </rPr>
      <t xml:space="preserve"> </t>
    </r>
    <r>
      <rPr>
        <sz val="12"/>
        <color theme="1"/>
        <rFont val="MS Gothic"/>
        <family val="3"/>
        <charset val="128"/>
      </rPr>
      <t>원소</t>
    </r>
    <r>
      <rPr>
        <sz val="12"/>
        <color theme="1"/>
        <rFont val="微软雅黑"/>
        <family val="2"/>
        <charset val="134"/>
      </rPr>
      <t xml:space="preserve"> </t>
    </r>
    <r>
      <rPr>
        <sz val="12"/>
        <color theme="1"/>
        <rFont val="MS Gothic"/>
        <family val="3"/>
        <charset val="128"/>
      </rPr>
      <t>무기의</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</si>
  <si>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SCHA-Boost für alle Dunkelwaffen +{0} %</t>
  </si>
  <si>
    <t>Bonus de DÉG pour toutes les armes des Ténèbres +{0} %</t>
  </si>
  <si>
    <t>Reforço de DNO para todas as armas das Trevas +{0}%</t>
  </si>
  <si>
    <t>Aumento de Daño de todas las armas de Oscuridad +{0}%</t>
  </si>
  <si>
    <t>与地之魔法帽在同一行的防具都可获得叠盾效果增幅</t>
  </si>
  <si>
    <t>Armor in the same row as the Wizard Hat of Ground gains a Shield Effect boost.</t>
  </si>
  <si>
    <t>とんがり帽子・地と同じ行にある防具のシールド効果量が増加する</t>
  </si>
  <si>
    <r>
      <t>땅의</t>
    </r>
    <r>
      <rPr>
        <sz val="12"/>
        <color theme="1"/>
        <rFont val="微软雅黑"/>
        <family val="2"/>
        <charset val="134"/>
      </rPr>
      <t xml:space="preserve"> </t>
    </r>
    <r>
      <rPr>
        <sz val="12"/>
        <color theme="1"/>
        <rFont val="MS Gothic"/>
        <family val="3"/>
        <charset val="128"/>
      </rPr>
      <t>마법사</t>
    </r>
    <r>
      <rPr>
        <sz val="12"/>
        <color theme="1"/>
        <rFont val="微软雅黑"/>
        <family val="2"/>
        <charset val="134"/>
      </rPr>
      <t xml:space="preserve"> </t>
    </r>
    <r>
      <rPr>
        <sz val="12"/>
        <color theme="1"/>
        <rFont val="MS Gothic"/>
        <family val="3"/>
        <charset val="128"/>
      </rPr>
      <t>모자와</t>
    </r>
    <r>
      <rPr>
        <sz val="12"/>
        <color theme="1"/>
        <rFont val="微软雅黑"/>
        <family val="2"/>
        <charset val="134"/>
      </rPr>
      <t xml:space="preserve"> </t>
    </r>
    <r>
      <rPr>
        <sz val="12"/>
        <color theme="1"/>
        <rFont val="MS Gothic"/>
        <family val="3"/>
        <charset val="128"/>
      </rPr>
      <t>같은</t>
    </r>
    <r>
      <rPr>
        <sz val="12"/>
        <color theme="1"/>
        <rFont val="微软雅黑"/>
        <family val="2"/>
        <charset val="134"/>
      </rPr>
      <t xml:space="preserve"> </t>
    </r>
    <r>
      <rPr>
        <sz val="12"/>
        <color theme="1"/>
        <rFont val="MS Gothic"/>
        <family val="3"/>
        <charset val="128"/>
      </rPr>
      <t>줄에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모든</t>
    </r>
    <r>
      <rPr>
        <sz val="12"/>
        <color theme="1"/>
        <rFont val="微软雅黑"/>
        <family val="2"/>
        <charset val="134"/>
      </rPr>
      <t xml:space="preserve"> </t>
    </r>
    <r>
      <rPr>
        <sz val="12"/>
        <color theme="1"/>
        <rFont val="MS Gothic"/>
        <family val="3"/>
        <charset val="128"/>
      </rPr>
      <t>방어구가</t>
    </r>
    <r>
      <rPr>
        <sz val="12"/>
        <color theme="1"/>
        <rFont val="微软雅黑"/>
        <family val="2"/>
        <charset val="134"/>
      </rPr>
      <t xml:space="preserve"> </t>
    </r>
    <r>
      <rPr>
        <sz val="12"/>
        <color theme="1"/>
        <rFont val="MS Gothic"/>
        <family val="3"/>
        <charset val="128"/>
      </rPr>
      <t>실드</t>
    </r>
    <r>
      <rPr>
        <sz val="12"/>
        <color theme="1"/>
        <rFont val="微软雅黑"/>
        <family val="2"/>
        <charset val="134"/>
      </rPr>
      <t xml:space="preserve"> </t>
    </r>
    <r>
      <rPr>
        <sz val="12"/>
        <color theme="1"/>
        <rFont val="MS Gothic"/>
        <family val="3"/>
        <charset val="128"/>
      </rPr>
      <t>증폭</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t>
    </r>
    <r>
      <rPr>
        <sz val="12"/>
        <color theme="1"/>
        <rFont val="MS Gothic"/>
        <family val="3"/>
        <charset val="128"/>
      </rPr>
      <t>획득</t>
    </r>
    <r>
      <rPr>
        <sz val="12"/>
        <color theme="1"/>
        <rFont val="微软雅黑"/>
        <family val="2"/>
        <charset val="134"/>
      </rPr>
      <t xml:space="preserve"> </t>
    </r>
    <r>
      <rPr>
        <sz val="12"/>
        <color theme="1"/>
        <rFont val="MS Gothic"/>
        <family val="3"/>
        <charset val="128"/>
      </rPr>
      <t>가능</t>
    </r>
  </si>
  <si>
    <t>Rüstung in derselben Reihe wie der Zauberhut erhält einen Schildeffekt-Boost.</t>
  </si>
  <si>
    <t>L’Armure dans la même ligne que le Chapeau de Mage de Terre gagne un bonus d’Effet Bouclier.</t>
  </si>
  <si>
    <t>Armadura na mesma linha que o Chapéu de Bruxo da Terra ganha um reforço de Efeito de Escudo.</t>
  </si>
  <si>
    <t>La armadura en la misma fila que el Sombrero de Mago de Tierra obtiene un aumento del Efecto de Escudo.</t>
  </si>
  <si>
    <t>暗之魔法帽每次扣除的血量-{0}%</t>
  </si>
  <si>
    <t>HP reduction effect of the Wizard Hat of Darkness -{0}%</t>
  </si>
  <si>
    <t>とんがり帽子・闇のHP減少効果-{0}%</t>
  </si>
  <si>
    <r>
      <t>어둠의</t>
    </r>
    <r>
      <rPr>
        <sz val="12"/>
        <color theme="1"/>
        <rFont val="微软雅黑"/>
        <family val="2"/>
        <charset val="134"/>
      </rPr>
      <t xml:space="preserve"> </t>
    </r>
    <r>
      <rPr>
        <sz val="12"/>
        <color theme="1"/>
        <rFont val="MS Gothic"/>
        <family val="3"/>
        <charset val="128"/>
      </rPr>
      <t>마법사</t>
    </r>
    <r>
      <rPr>
        <sz val="12"/>
        <color theme="1"/>
        <rFont val="微软雅黑"/>
        <family val="2"/>
        <charset val="134"/>
      </rPr>
      <t xml:space="preserve"> </t>
    </r>
    <r>
      <rPr>
        <sz val="12"/>
        <color theme="1"/>
        <rFont val="MS Gothic"/>
        <family val="3"/>
        <charset val="128"/>
      </rPr>
      <t>모자의</t>
    </r>
    <r>
      <rPr>
        <sz val="12"/>
        <color theme="1"/>
        <rFont val="微软雅黑"/>
        <family val="2"/>
        <charset val="134"/>
      </rPr>
      <t xml:space="preserve"> 1</t>
    </r>
    <r>
      <rPr>
        <sz val="12"/>
        <color theme="1"/>
        <rFont val="MS Gothic"/>
        <family val="3"/>
        <charset val="128"/>
      </rPr>
      <t>회당</t>
    </r>
    <r>
      <rPr>
        <sz val="12"/>
        <color theme="1"/>
        <rFont val="微软雅黑"/>
        <family val="2"/>
        <charset val="134"/>
      </rPr>
      <t xml:space="preserve"> HP </t>
    </r>
    <r>
      <rPr>
        <sz val="12"/>
        <color theme="1"/>
        <rFont val="MS Gothic"/>
        <family val="3"/>
        <charset val="128"/>
      </rPr>
      <t>감소</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-{0}%</t>
    </r>
  </si>
  <si>
    <t>HP-Verringerung vom Zauberhut der Dunkelheit -{0} %</t>
  </si>
  <si>
    <t>Effet de réduction de PV du Chapeau de Mage de Ténèbres -{0} %</t>
  </si>
  <si>
    <t>Efeito de redução de PV do Chapéu de Bruxo das Trevas -{0}%</t>
  </si>
  <si>
    <t>Efecto de reducción de PS de Sombrero de Mago de Oscuridad -{0}%</t>
  </si>
  <si>
    <t>背包中与龙皮手套相邻的所有物理武器速度+{0}%</t>
  </si>
  <si>
    <t>SPD of all physical weapons adjacent to the Dragonskin Gauntlet in the backpack +{0}%</t>
  </si>
  <si>
    <t>バックパック内、竜革の籠手に隣接する全ての物理武器の速度+{0}%</t>
  </si>
  <si>
    <r>
      <t>배낭에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드래곤</t>
    </r>
    <r>
      <rPr>
        <sz val="12"/>
        <color theme="1"/>
        <rFont val="微软雅黑"/>
        <family val="2"/>
        <charset val="134"/>
      </rPr>
      <t xml:space="preserve"> </t>
    </r>
    <r>
      <rPr>
        <sz val="12"/>
        <color theme="1"/>
        <rFont val="MS Gothic"/>
        <family val="3"/>
        <charset val="128"/>
      </rPr>
      <t>장갑에</t>
    </r>
    <r>
      <rPr>
        <sz val="12"/>
        <color theme="1"/>
        <rFont val="微软雅黑"/>
        <family val="2"/>
        <charset val="134"/>
      </rPr>
      <t xml:space="preserve"> </t>
    </r>
    <r>
      <rPr>
        <sz val="12"/>
        <color theme="1"/>
        <rFont val="MS Gothic"/>
        <family val="3"/>
        <charset val="128"/>
      </rPr>
      <t>인접한</t>
    </r>
    <r>
      <rPr>
        <sz val="12"/>
        <color theme="1"/>
        <rFont val="微软雅黑"/>
        <family val="2"/>
        <charset val="134"/>
      </rPr>
      <t xml:space="preserve"> </t>
    </r>
    <r>
      <rPr>
        <sz val="12"/>
        <color theme="1"/>
        <rFont val="MS Gothic"/>
        <family val="3"/>
        <charset val="128"/>
      </rPr>
      <t>모든</t>
    </r>
    <r>
      <rPr>
        <sz val="12"/>
        <color theme="1"/>
        <rFont val="微软雅黑"/>
        <family val="2"/>
        <charset val="134"/>
      </rPr>
      <t xml:space="preserve"> </t>
    </r>
    <r>
      <rPr>
        <sz val="12"/>
        <color theme="1"/>
        <rFont val="MS Gothic"/>
        <family val="3"/>
        <charset val="128"/>
      </rPr>
      <t>물리</t>
    </r>
    <r>
      <rPr>
        <sz val="12"/>
        <color theme="1"/>
        <rFont val="微软雅黑"/>
        <family val="2"/>
        <charset val="134"/>
      </rPr>
      <t xml:space="preserve"> </t>
    </r>
    <r>
      <rPr>
        <sz val="12"/>
        <color theme="1"/>
        <rFont val="MS Gothic"/>
        <family val="3"/>
        <charset val="128"/>
      </rPr>
      <t>무기의</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</si>
  <si>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GSW aller physischen Waffen, die im Rucksack neben den Drachenhautstulpen liegen, +{0} %</t>
  </si>
  <si>
    <t>VIT de toutes les armes physiques adjacentes au Gantelet Draconique dans le sac +{0} %</t>
  </si>
  <si>
    <t>VEL de todas as armas físicas próximas à Manopla de Pele de Dragão na mochila +{0}%</t>
  </si>
  <si>
    <t>VEL de todas las armas físicas junto al Guantelete dragontino en el inventario +{0}%</t>
  </si>
  <si>
    <t>龙皮手套的速度+{0}%</t>
  </si>
  <si>
    <t>Dragonskin Gauntlet SPD +{0}%</t>
  </si>
  <si>
    <t>竜革の籠手の速度+{0}%</t>
  </si>
  <si>
    <r>
      <t>드래곤</t>
    </r>
    <r>
      <rPr>
        <sz val="12"/>
        <color theme="1"/>
        <rFont val="微软雅黑"/>
        <family val="2"/>
        <charset val="134"/>
      </rPr>
      <t xml:space="preserve"> </t>
    </r>
    <r>
      <rPr>
        <sz val="12"/>
        <color theme="1"/>
        <rFont val="MS Gothic"/>
        <family val="3"/>
        <charset val="128"/>
      </rPr>
      <t>장갑의</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</si>
  <si>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Drachenhautstulpen-GSW +{0} %</t>
  </si>
  <si>
    <t>VIT de Gantelet Draconique +{0} %</t>
  </si>
  <si>
    <t>VEL de Manopla de Pele de Dragão +{0}%</t>
  </si>
  <si>
    <t>VEL de Guantelete dragontino +{0}%</t>
  </si>
  <si>
    <t>龙皮手套的叠盾+{0}%</t>
  </si>
  <si>
    <t>Dragonskin Gauntlet Shield +{0}%</t>
  </si>
  <si>
    <t>竜革の籠手のシールド効果量+{0}%</t>
  </si>
  <si>
    <r>
      <t>드래곤</t>
    </r>
    <r>
      <rPr>
        <sz val="12"/>
        <color theme="1"/>
        <rFont val="微软雅黑"/>
        <family val="2"/>
        <charset val="134"/>
      </rPr>
      <t xml:space="preserve"> </t>
    </r>
    <r>
      <rPr>
        <sz val="12"/>
        <color theme="1"/>
        <rFont val="MS Gothic"/>
        <family val="3"/>
        <charset val="128"/>
      </rPr>
      <t>장갑의</t>
    </r>
    <r>
      <rPr>
        <sz val="12"/>
        <color theme="1"/>
        <rFont val="微软雅黑"/>
        <family val="2"/>
        <charset val="134"/>
      </rPr>
      <t xml:space="preserve"> </t>
    </r>
    <r>
      <rPr>
        <sz val="12"/>
        <color theme="1"/>
        <rFont val="MS Gothic"/>
        <family val="3"/>
        <charset val="128"/>
      </rPr>
      <t>실드</t>
    </r>
    <r>
      <rPr>
        <sz val="12"/>
        <color theme="1"/>
        <rFont val="微软雅黑"/>
        <family val="2"/>
        <charset val="134"/>
      </rPr>
      <t xml:space="preserve"> +{0}%</t>
    </r>
  </si>
  <si>
    <t>Drachenhautstulpen-Schild +{0} %</t>
  </si>
  <si>
    <t>Bouclier de Gantelet Draconique +{0} %</t>
  </si>
  <si>
    <t>Escudo de Manopla de Pele de Dragão +{0}%</t>
  </si>
  <si>
    <t>Escudo de Guantelete dragontino +{0}%</t>
  </si>
  <si>
    <t>火焰手套附魔数量+{0}</t>
  </si>
  <si>
    <t>Gauntlet of Flame Enchantment Count +{0}</t>
  </si>
  <si>
    <t>火焔の籠手のエンチャント数+{0}</t>
  </si>
  <si>
    <r>
      <t>화염</t>
    </r>
    <r>
      <rPr>
        <sz val="12"/>
        <color theme="1"/>
        <rFont val="微软雅黑"/>
        <family val="2"/>
        <charset val="134"/>
      </rPr>
      <t xml:space="preserve"> </t>
    </r>
    <r>
      <rPr>
        <sz val="12"/>
        <color theme="1"/>
        <rFont val="MS Gothic"/>
        <family val="3"/>
        <charset val="128"/>
      </rPr>
      <t>장갑의</t>
    </r>
    <r>
      <rPr>
        <sz val="12"/>
        <color theme="1"/>
        <rFont val="微软雅黑"/>
        <family val="2"/>
        <charset val="134"/>
      </rPr>
      <t xml:space="preserve"> </t>
    </r>
    <r>
      <rPr>
        <sz val="12"/>
        <color theme="1"/>
        <rFont val="MS Gothic"/>
        <family val="3"/>
        <charset val="128"/>
      </rPr>
      <t>인챈트</t>
    </r>
    <r>
      <rPr>
        <sz val="12"/>
        <color theme="1"/>
        <rFont val="微软雅黑"/>
        <family val="2"/>
        <charset val="134"/>
      </rPr>
      <t xml:space="preserve"> </t>
    </r>
    <r>
      <rPr>
        <sz val="12"/>
        <color theme="1"/>
        <rFont val="MS Gothic"/>
        <family val="3"/>
        <charset val="128"/>
      </rPr>
      <t>부여</t>
    </r>
    <r>
      <rPr>
        <sz val="12"/>
        <color theme="1"/>
        <rFont val="微软雅黑"/>
        <family val="2"/>
        <charset val="134"/>
      </rPr>
      <t xml:space="preserve"> </t>
    </r>
    <r>
      <rPr>
        <sz val="12"/>
        <color theme="1"/>
        <rFont val="MS Gothic"/>
        <family val="3"/>
        <charset val="128"/>
      </rPr>
      <t>수량</t>
    </r>
    <r>
      <rPr>
        <sz val="12"/>
        <color theme="1"/>
        <rFont val="微软雅黑"/>
        <family val="2"/>
        <charset val="134"/>
      </rPr>
      <t xml:space="preserve"> +{0}</t>
    </r>
  </si>
  <si>
    <t>Verzauberungswert der Stulpen der Flamme +{0}</t>
  </si>
  <si>
    <t>Nombre d’Enchantements du Gantelet des Flammes +{0}</t>
  </si>
  <si>
    <t>Contagem de Encantos da Manopla das Chamas +{0}</t>
  </si>
  <si>
    <t>Número de Encantamientos de Guantelete de la Llama +{0}</t>
  </si>
  <si>
    <t>神风手套效果触发时,攻速额外+{0}%</t>
  </si>
  <si>
    <t>When Gauntlet of Sacred Wind effect is triggered, ATK SPD +{0}%.</t>
  </si>
  <si>
    <t>旋風の籠手の効果発動時、追加で攻撃速度+{0}%</t>
  </si>
  <si>
    <r>
      <t>폭풍</t>
    </r>
    <r>
      <rPr>
        <sz val="12"/>
        <color theme="1"/>
        <rFont val="微软雅黑"/>
        <family val="2"/>
        <charset val="134"/>
      </rPr>
      <t xml:space="preserve"> </t>
    </r>
    <r>
      <rPr>
        <sz val="12"/>
        <color theme="1"/>
        <rFont val="MS Gothic"/>
        <family val="3"/>
        <charset val="128"/>
      </rPr>
      <t>장갑의</t>
    </r>
    <r>
      <rPr>
        <sz val="12"/>
        <color theme="1"/>
        <rFont val="微软雅黑"/>
        <family val="2"/>
        <charset val="134"/>
      </rPr>
      <t xml:space="preserve"> </t>
    </r>
    <r>
      <rPr>
        <sz val="12"/>
        <color theme="1"/>
        <rFont val="MS Gothic"/>
        <family val="3"/>
        <charset val="128"/>
      </rPr>
      <t>효과가</t>
    </r>
    <r>
      <rPr>
        <sz val="12"/>
        <color theme="1"/>
        <rFont val="微软雅黑"/>
        <family val="2"/>
        <charset val="134"/>
      </rPr>
      <t xml:space="preserve"> </t>
    </r>
    <r>
      <rPr>
        <sz val="12"/>
        <color theme="1"/>
        <rFont val="MS Gothic"/>
        <family val="3"/>
        <charset val="128"/>
      </rPr>
      <t>발동될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</si>
  <si>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Wenn Effekt von Stulpen des heiligen Windes ausgelöst wird, ANG-GSW +{0} %.</t>
  </si>
  <si>
    <t>Quand l’effet de Gantelet du Vent Sacré est déclenché, VIT ATQ +{0} %.</t>
  </si>
  <si>
    <t>Quando o efeito de Manopla do Vento Sagrado é ativado, VEL ATQ +{0}%.</t>
  </si>
  <si>
    <t>VEL de ATQ +{0}% al activar el efecto de Guantelete del Viento sagrado.</t>
  </si>
  <si>
    <t>火焰手套附魔加攻效果额外+{0}%</t>
  </si>
  <si>
    <t>Gauntlet of Flame Enchantment ATK Boost effect +{0}%</t>
  </si>
  <si>
    <t>火焔の籠手のエンチャントの攻撃力増加効果量+{0}%</t>
  </si>
  <si>
    <r>
      <t>화염</t>
    </r>
    <r>
      <rPr>
        <sz val="12"/>
        <color theme="1"/>
        <rFont val="微软雅黑"/>
        <family val="2"/>
        <charset val="134"/>
      </rPr>
      <t xml:space="preserve"> </t>
    </r>
    <r>
      <rPr>
        <sz val="12"/>
        <color theme="1"/>
        <rFont val="MS Gothic"/>
        <family val="3"/>
        <charset val="128"/>
      </rPr>
      <t>장갑</t>
    </r>
    <r>
      <rPr>
        <sz val="12"/>
        <color theme="1"/>
        <rFont val="微软雅黑"/>
        <family val="2"/>
        <charset val="134"/>
      </rPr>
      <t xml:space="preserve"> </t>
    </r>
    <r>
      <rPr>
        <sz val="12"/>
        <color theme="1"/>
        <rFont val="MS Gothic"/>
        <family val="3"/>
        <charset val="128"/>
      </rPr>
      <t>인챈트에</t>
    </r>
    <r>
      <rPr>
        <sz val="12"/>
        <color theme="1"/>
        <rFont val="微软雅黑"/>
        <family val="2"/>
        <charset val="134"/>
      </rPr>
      <t xml:space="preserve"> </t>
    </r>
    <r>
      <rPr>
        <sz val="12"/>
        <color theme="1"/>
        <rFont val="MS Gothic"/>
        <family val="3"/>
        <charset val="128"/>
      </rPr>
      <t>의한</t>
    </r>
    <r>
      <rPr>
        <sz val="12"/>
        <color theme="1"/>
        <rFont val="微软雅黑"/>
        <family val="2"/>
        <charset val="134"/>
      </rPr>
      <t xml:space="preserve"> </t>
    </r>
    <r>
      <rPr>
        <sz val="12"/>
        <color theme="1"/>
        <rFont val="MS Gothic"/>
        <family val="3"/>
        <charset val="128"/>
      </rPr>
      <t>공격력</t>
    </r>
    <r>
      <rPr>
        <sz val="12"/>
        <color theme="1"/>
        <rFont val="微软雅黑"/>
        <family val="2"/>
        <charset val="134"/>
      </rPr>
      <t xml:space="preserve"> </t>
    </r>
    <r>
      <rPr>
        <sz val="12"/>
        <color theme="1"/>
        <rFont val="MS Gothic"/>
        <family val="3"/>
        <charset val="128"/>
      </rPr>
      <t>증폭</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+{0}%</t>
    </r>
  </si>
  <si>
    <t>Stulpen der Flamme – ANG-Bonuseffekt durch Verzauberung +{0} %</t>
  </si>
  <si>
    <t>Boost d’ATQ de l’Enchantement du Gantelet des Flammes +{0} %</t>
  </si>
  <si>
    <t>Efeito de Reforço de ATQ do Encanto de Manopla das Chamas +{0}%</t>
  </si>
  <si>
    <t>Efecto de Aumento de ATQ de Encantamiento de Guantelete de la Llama +{0}%</t>
  </si>
  <si>
    <t>神风手套攻速增持续时间+{0}%</t>
  </si>
  <si>
    <t>Gauntlet of Sacred Wind ATK SPD Boost duration +{0}%</t>
  </si>
  <si>
    <t>旋風の籠手の攻撃速度増加の持続時間+{0}%</t>
  </si>
  <si>
    <r>
      <t>폭풍</t>
    </r>
    <r>
      <rPr>
        <sz val="12"/>
        <color theme="1"/>
        <rFont val="微软雅黑"/>
        <family val="2"/>
        <charset val="134"/>
      </rPr>
      <t xml:space="preserve"> </t>
    </r>
    <r>
      <rPr>
        <sz val="12"/>
        <color theme="1"/>
        <rFont val="MS Gothic"/>
        <family val="3"/>
        <charset val="128"/>
      </rPr>
      <t>장갑에</t>
    </r>
    <r>
      <rPr>
        <sz val="12"/>
        <color theme="1"/>
        <rFont val="微软雅黑"/>
        <family val="2"/>
        <charset val="134"/>
      </rPr>
      <t xml:space="preserve"> </t>
    </r>
    <r>
      <rPr>
        <sz val="12"/>
        <color theme="1"/>
        <rFont val="MS Gothic"/>
        <family val="3"/>
        <charset val="128"/>
      </rPr>
      <t>의한</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t>
    </r>
    <r>
      <rPr>
        <sz val="12"/>
        <color theme="1"/>
        <rFont val="MS Gothic"/>
        <family val="3"/>
        <charset val="128"/>
      </rPr>
      <t>증폭</t>
    </r>
    <r>
      <rPr>
        <sz val="12"/>
        <color theme="1"/>
        <rFont val="微软雅黑"/>
        <family val="2"/>
        <charset val="134"/>
      </rPr>
      <t xml:space="preserve"> </t>
    </r>
    <r>
      <rPr>
        <sz val="12"/>
        <color theme="1"/>
        <rFont val="MS Gothic"/>
        <family val="3"/>
        <charset val="128"/>
      </rPr>
      <t>효과의</t>
    </r>
    <r>
      <rPr>
        <sz val="12"/>
        <color theme="1"/>
        <rFont val="微软雅黑"/>
        <family val="2"/>
        <charset val="134"/>
      </rPr>
      <t xml:space="preserve"> </t>
    </r>
    <r>
      <rPr>
        <sz val="12"/>
        <color theme="1"/>
        <rFont val="MS Gothic"/>
        <family val="3"/>
        <charset val="128"/>
      </rPr>
      <t>지속</t>
    </r>
    <r>
      <rPr>
        <sz val="12"/>
        <color theme="1"/>
        <rFont val="微软雅黑"/>
        <family val="2"/>
        <charset val="134"/>
      </rPr>
      <t xml:space="preserve"> </t>
    </r>
    <r>
      <rPr>
        <sz val="12"/>
        <color theme="1"/>
        <rFont val="MS Gothic"/>
        <family val="3"/>
        <charset val="128"/>
      </rPr>
      <t>시간</t>
    </r>
    <r>
      <rPr>
        <sz val="12"/>
        <color theme="1"/>
        <rFont val="微软雅黑"/>
        <family val="2"/>
        <charset val="134"/>
      </rPr>
      <t xml:space="preserve"> +{0}%</t>
    </r>
  </si>
  <si>
    <t>Stulpen des heiligen Windes – Dauer des ANG-GSW-Boosts +{0} %</t>
  </si>
  <si>
    <t>Durée du Boost de VIT ATQ du Gantelet du Vent Sacré +{0} %</t>
  </si>
  <si>
    <t>Duração de Reforço de VEL de ATQ da Manopla do Vento Sagrado +{0}%</t>
  </si>
  <si>
    <t>Duración del Aumento de VEL de ATQ de Guantelete del Viento sagrado +{0}%</t>
  </si>
  <si>
    <t>冰封魔杖命中后,有{0}%概率使目标冻结,持续{1}秒</t>
  </si>
  <si>
    <t>When the Icebound Magic Staff hits, there is a {0}% chance to freeze the target for {1}s.</t>
  </si>
  <si>
    <t>氷結のステッキ命中後、{0}%の確率で対象を{1}秒間凍結させる</t>
  </si>
  <si>
    <r>
      <t>프로즌</t>
    </r>
    <r>
      <rPr>
        <sz val="12"/>
        <color theme="1"/>
        <rFont val="微软雅黑"/>
        <family val="2"/>
        <charset val="134"/>
      </rPr>
      <t xml:space="preserve"> </t>
    </r>
    <r>
      <rPr>
        <sz val="12"/>
        <color theme="1"/>
        <rFont val="MS Gothic"/>
        <family val="3"/>
        <charset val="128"/>
      </rPr>
      <t>스태프가</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해당</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t>
    </r>
    <r>
      <rPr>
        <sz val="12"/>
        <color theme="1"/>
        <rFont val="MS Gothic"/>
        <family val="3"/>
        <charset val="128"/>
      </rPr>
      <t>동결</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 ({1}</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t>
    </r>
  </si>
  <si>
    <t>Wenn der eisgebundene Magiestab trifft, besteht eine {0} % Chance, das Ziel {1} Sek. lang einzufrieren.</t>
  </si>
  <si>
    <t>Quand le Bâton Magique Hivernal touche une cible, confère {0} % de chances de la geler pendant {1} s.</t>
  </si>
  <si>
    <t>Quando o Cajado Mágico da Prisão de Gelo acerta, tem {0}% de chance de congelar o alvo por {1} s.</t>
  </si>
  <si>
    <t>El Bastón mágico de Hielo tiene un {0}% de congelar al objetivo {1}s al golpearle.</t>
  </si>
  <si>
    <t>冰封魔杖冻结概率+{0}%</t>
  </si>
  <si>
    <t>Icebound Magic Staff freezing chance +{0}%</t>
  </si>
  <si>
    <t>氷結のステッキの凍結付与確率+{0}%</t>
  </si>
  <si>
    <r>
      <t>프로즌</t>
    </r>
    <r>
      <rPr>
        <sz val="12"/>
        <color theme="1"/>
        <rFont val="微软雅黑"/>
        <family val="2"/>
        <charset val="134"/>
      </rPr>
      <t xml:space="preserve"> </t>
    </r>
    <r>
      <rPr>
        <sz val="12"/>
        <color theme="1"/>
        <rFont val="MS Gothic"/>
        <family val="3"/>
        <charset val="128"/>
      </rPr>
      <t>스태프의</t>
    </r>
    <r>
      <rPr>
        <sz val="12"/>
        <color theme="1"/>
        <rFont val="微软雅黑"/>
        <family val="2"/>
        <charset val="134"/>
      </rPr>
      <t xml:space="preserve"> </t>
    </r>
    <r>
      <rPr>
        <sz val="12"/>
        <color theme="1"/>
        <rFont val="MS Gothic"/>
        <family val="3"/>
        <charset val="128"/>
      </rPr>
      <t>동결</t>
    </r>
    <r>
      <rPr>
        <sz val="12"/>
        <color theme="1"/>
        <rFont val="微软雅黑"/>
        <family val="2"/>
        <charset val="134"/>
      </rPr>
      <t xml:space="preserve"> </t>
    </r>
    <r>
      <rPr>
        <sz val="12"/>
        <color theme="1"/>
        <rFont val="MS Gothic"/>
        <family val="3"/>
        <charset val="128"/>
      </rPr>
      <t>부여</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</si>
  <si>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Eisgebundener Magiestab –Einfrierchance +{0} %</t>
  </si>
  <si>
    <t>Chances pour le Bâton Magique Hivernal de geler la cible +{0} %</t>
  </si>
  <si>
    <t>Chance de congelamento do Cajado Mágico da Prisão de Gelo +{0}%</t>
  </si>
  <si>
    <t>Probabilidad de congelación de Bastón mágico de Hielo +{0}%</t>
  </si>
  <si>
    <t>冰封魔杖命中后,分裂出{0}个碎片,碎片伤害为冰封魔杖攻击的{1}%,有概率附加冰冻减速效果</t>
  </si>
  <si>
    <t>When the Icebound Magic Staff hits, it splits into {0} shards, each dealing DMG equal to {1}% of the Icebound Magic Staff's ATK, with a chance to inflict freezing and slow effects.</t>
  </si>
  <si>
    <t>氷結のステッキ命中後、{0}個のピースに分裂する。ピースのダメージは氷結のステッキの攻撃力の{1}%、一定の確率で敵を減速させる</t>
  </si>
  <si>
    <r>
      <t>프로즌</t>
    </r>
    <r>
      <rPr>
        <sz val="12"/>
        <color theme="1"/>
        <rFont val="微软雅黑"/>
        <family val="2"/>
        <charset val="134"/>
      </rPr>
      <t xml:space="preserve"> </t>
    </r>
    <r>
      <rPr>
        <sz val="12"/>
        <color theme="1"/>
        <rFont val="MS Gothic"/>
        <family val="3"/>
        <charset val="128"/>
      </rPr>
      <t>스태프가</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t>
    </r>
    <r>
      <rPr>
        <sz val="12"/>
        <color theme="1"/>
        <rFont val="MS Gothic"/>
        <family val="3"/>
        <charset val="128"/>
      </rPr>
      <t>개의</t>
    </r>
    <r>
      <rPr>
        <sz val="12"/>
        <color theme="1"/>
        <rFont val="微软雅黑"/>
        <family val="2"/>
        <charset val="134"/>
      </rPr>
      <t xml:space="preserve"> </t>
    </r>
    <r>
      <rPr>
        <sz val="12"/>
        <color theme="1"/>
        <rFont val="MS Gothic"/>
        <family val="3"/>
        <charset val="128"/>
      </rPr>
      <t>파편이</t>
    </r>
    <r>
      <rPr>
        <sz val="12"/>
        <color theme="1"/>
        <rFont val="微软雅黑"/>
        <family val="2"/>
        <charset val="134"/>
      </rPr>
      <t xml:space="preserve"> </t>
    </r>
    <r>
      <rPr>
        <sz val="12"/>
        <color theme="1"/>
        <rFont val="MS Gothic"/>
        <family val="3"/>
        <charset val="128"/>
      </rPr>
      <t>생성되며</t>
    </r>
    <r>
      <rPr>
        <sz val="12"/>
        <color theme="1"/>
        <rFont val="微软雅黑"/>
        <family val="2"/>
        <charset val="134"/>
      </rPr>
      <t xml:space="preserve">, </t>
    </r>
    <r>
      <rPr>
        <sz val="12"/>
        <color theme="1"/>
        <rFont val="MS Gothic"/>
        <family val="3"/>
        <charset val="128"/>
      </rPr>
      <t>각각</t>
    </r>
    <r>
      <rPr>
        <sz val="12"/>
        <color theme="1"/>
        <rFont val="微软雅黑"/>
        <family val="2"/>
        <charset val="134"/>
      </rPr>
      <t xml:space="preserve"> </t>
    </r>
    <r>
      <rPr>
        <sz val="12"/>
        <color theme="1"/>
        <rFont val="MS Gothic"/>
        <family val="3"/>
        <charset val="128"/>
      </rPr>
      <t>프로즌</t>
    </r>
    <r>
      <rPr>
        <sz val="12"/>
        <color theme="1"/>
        <rFont val="微软雅黑"/>
        <family val="2"/>
        <charset val="134"/>
      </rPr>
      <t xml:space="preserve"> </t>
    </r>
    <r>
      <rPr>
        <sz val="12"/>
        <color theme="1"/>
        <rFont val="MS Gothic"/>
        <family val="3"/>
        <charset val="128"/>
      </rPr>
      <t>스태프</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{1}%</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주고</t>
    </r>
    <r>
      <rPr>
        <sz val="12"/>
        <color theme="1"/>
        <rFont val="微软雅黑"/>
        <family val="2"/>
        <charset val="134"/>
      </rPr>
      <t xml:space="preserve">, </t>
    </r>
    <r>
      <rPr>
        <sz val="12"/>
        <color theme="1"/>
        <rFont val="MS Gothic"/>
        <family val="3"/>
        <charset val="128"/>
      </rPr>
      <t>일정</t>
    </r>
    <r>
      <rPr>
        <sz val="12"/>
        <color theme="1"/>
        <rFont val="微软雅黑"/>
        <family val="2"/>
        <charset val="134"/>
      </rPr>
      <t xml:space="preserve">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빙결</t>
    </r>
    <r>
      <rPr>
        <sz val="12"/>
        <color theme="1"/>
        <rFont val="微软雅黑"/>
        <family val="2"/>
        <charset val="134"/>
      </rPr>
      <t xml:space="preserve"> </t>
    </r>
    <r>
      <rPr>
        <sz val="12"/>
        <color theme="1"/>
        <rFont val="MS Gothic"/>
        <family val="3"/>
        <charset val="128"/>
      </rPr>
      <t>감속</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t>
    </r>
  </si>
  <si>
    <t>Wenn der eisgebundene Magiestab trifft, teilt er sich in {0} Splitter auf, die jeweils Schaden in Höhe von {1} % des ANG des eisgebundenen Magiestabs verursachen, mit der Chance, Einfrieren und Verlangsamen zuzufügen.</t>
  </si>
  <si>
    <t>Quand le Bâton Magique Hivernal touche une cible, il se scinde en {0} éclats, chacun infligeant des DÉG à hauteur de {1} % de l’ATQ du Bâton Magique Hivernal, avec une chance d’appliquer Gel et Lenteur.</t>
  </si>
  <si>
    <t>Quando o Cajado Mágico da Prisão de Gelo acerta, divide-se em {0} fragmentos, cada um causando DNO igual a {1}% do ATQ do Cajado Mágico da Prisão de Gelo, com uma chance de infligir efeitos de congelamento e lentidão.</t>
  </si>
  <si>
    <t>Cuando Bastón mágico de Hielo golpea, se divide en {0} fragmentos que infligen un {1}% del ATQ del Bastón mágico de Hielo como Daño, y tienen la posibilidad de aplicar congelación y ralentización.</t>
  </si>
  <si>
    <t>冰封魔杖的攻击+{0}%</t>
  </si>
  <si>
    <t>Icebound Magic Staff ATK +{0}%</t>
  </si>
  <si>
    <t>氷結のステッキの攻撃力+{0}%</t>
  </si>
  <si>
    <r>
      <t>프로즌</t>
    </r>
    <r>
      <rPr>
        <sz val="12"/>
        <color theme="1"/>
        <rFont val="微软雅黑"/>
        <family val="2"/>
        <charset val="134"/>
      </rPr>
      <t xml:space="preserve"> </t>
    </r>
    <r>
      <rPr>
        <sz val="12"/>
        <color theme="1"/>
        <rFont val="MS Gothic"/>
        <family val="3"/>
        <charset val="128"/>
      </rPr>
      <t>스태프</t>
    </r>
    <r>
      <rPr>
        <sz val="12"/>
        <color theme="1"/>
        <rFont val="微软雅黑"/>
        <family val="2"/>
        <charset val="134"/>
      </rPr>
      <t xml:space="preserve"> </t>
    </r>
    <r>
      <rPr>
        <sz val="12"/>
        <color theme="1"/>
        <rFont val="MS Gothic"/>
        <family val="3"/>
        <charset val="128"/>
      </rPr>
      <t>공격력</t>
    </r>
    <r>
      <rPr>
        <sz val="12"/>
        <color theme="1"/>
        <rFont val="微软雅黑"/>
        <family val="2"/>
        <charset val="134"/>
      </rPr>
      <t xml:space="preserve"> +{0}%</t>
    </r>
  </si>
  <si>
    <t>Eisgebundener Magiestab – ANG +{0} %</t>
  </si>
  <si>
    <t>ATQ du Bâton Magique Hivernal +{0} %</t>
  </si>
  <si>
    <t>ATQ de Cajado Mágico da Prisão de Gelo +{0}%</t>
  </si>
  <si>
    <t>ATQ de Bastón mágico de Hielo +{0}%</t>
  </si>
  <si>
    <t>冰霜新星有{0}%概率使目标冻结,持续{1}秒</t>
  </si>
  <si>
    <t>Frost Nova has a {0}% chance to freeze the target for {1}s.</t>
  </si>
  <si>
    <t>フロストノヴァは{0}%の確率で対象を{1}秒間凍結させる</t>
  </si>
  <si>
    <r>
      <t>아이스</t>
    </r>
    <r>
      <rPr>
        <sz val="12"/>
        <color theme="1"/>
        <rFont val="微软雅黑"/>
        <family val="2"/>
        <charset val="134"/>
      </rPr>
      <t xml:space="preserve"> </t>
    </r>
    <r>
      <rPr>
        <sz val="12"/>
        <color theme="1"/>
        <rFont val="MS Gothic"/>
        <family val="3"/>
        <charset val="128"/>
      </rPr>
      <t>노바</t>
    </r>
    <r>
      <rPr>
        <sz val="12"/>
        <color theme="1"/>
        <rFont val="微软雅黑"/>
        <family val="2"/>
        <charset val="134"/>
      </rPr>
      <t xml:space="preserve"> </t>
    </r>
    <r>
      <rPr>
        <sz val="12"/>
        <color theme="1"/>
        <rFont val="MS Gothic"/>
        <family val="3"/>
        <charset val="128"/>
      </rPr>
      <t>발동</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동결</t>
    </r>
    <r>
      <rPr>
        <sz val="12"/>
        <color theme="1"/>
        <rFont val="微软雅黑"/>
        <family val="2"/>
        <charset val="134"/>
      </rPr>
      <t xml:space="preserve"> </t>
    </r>
    <r>
      <rPr>
        <sz val="12"/>
        <color theme="1"/>
        <rFont val="MS Gothic"/>
        <family val="3"/>
        <charset val="128"/>
      </rPr>
      <t>상태에</t>
    </r>
    <r>
      <rPr>
        <sz val="12"/>
        <color theme="1"/>
        <rFont val="微软雅黑"/>
        <family val="2"/>
        <charset val="134"/>
      </rPr>
      <t xml:space="preserve"> </t>
    </r>
    <r>
      <rPr>
        <sz val="12"/>
        <color theme="1"/>
        <rFont val="MS Gothic"/>
        <family val="3"/>
        <charset val="128"/>
      </rPr>
      <t>빠뜨린다</t>
    </r>
    <r>
      <rPr>
        <sz val="12"/>
        <color theme="1"/>
        <rFont val="微软雅黑"/>
        <family val="2"/>
        <charset val="134"/>
      </rPr>
      <t>. ({1}</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t>
    </r>
  </si>
  <si>
    <t>Frostnova hat eine {0} % Chance, das Ziel {1} Sek. lang einzufrieren.</t>
  </si>
  <si>
    <t>Nova de Givre a {0} % de chances de geler la cible pendant {1} s.</t>
  </si>
  <si>
    <t>Nova da Geada tem {0}% de chance de congelar o alvo por {1} s.</t>
  </si>
  <si>
    <t>Nova de la Escarcha tiene un {0}% de probabilidad de congelar al ojetivo {1}s.</t>
  </si>
  <si>
    <t>暴风雪范围+{0}%</t>
  </si>
  <si>
    <t>Snowstorm Range +{0}%</t>
  </si>
  <si>
    <t>ブリザードの範囲+{0}%</t>
  </si>
  <si>
    <r>
      <t>눈보라</t>
    </r>
    <r>
      <rPr>
        <sz val="12"/>
        <color theme="1"/>
        <rFont val="微软雅黑"/>
        <family val="2"/>
        <charset val="134"/>
      </rPr>
      <t xml:space="preserve"> </t>
    </r>
    <r>
      <rPr>
        <sz val="12"/>
        <color theme="1"/>
        <rFont val="MS Gothic"/>
        <family val="3"/>
        <charset val="128"/>
      </rPr>
      <t>범위</t>
    </r>
    <r>
      <rPr>
        <sz val="12"/>
        <color theme="1"/>
        <rFont val="微软雅黑"/>
        <family val="2"/>
        <charset val="134"/>
      </rPr>
      <t xml:space="preserve"> +{0}%</t>
    </r>
  </si>
  <si>
    <t>Schneesturm-Reichweite +{0} %</t>
  </si>
  <si>
    <t>Portée de Tempête de Neige +{0} %</t>
  </si>
  <si>
    <t>Alcance da Nevasca +{0}%</t>
  </si>
  <si>
    <t>Alcance de Ventisca +{0}%</t>
  </si>
  <si>
    <t>冰霜新星的范围+{0}%</t>
  </si>
  <si>
    <t>Frost Nova Range +{0}%</t>
  </si>
  <si>
    <t>フロストノヴァの範囲+{0}%</t>
  </si>
  <si>
    <r>
      <t>아이스</t>
    </r>
    <r>
      <rPr>
        <sz val="12"/>
        <color theme="1"/>
        <rFont val="微软雅黑"/>
        <family val="2"/>
        <charset val="134"/>
      </rPr>
      <t xml:space="preserve"> </t>
    </r>
    <r>
      <rPr>
        <sz val="12"/>
        <color theme="1"/>
        <rFont val="MS Gothic"/>
        <family val="3"/>
        <charset val="128"/>
      </rPr>
      <t>노바</t>
    </r>
    <r>
      <rPr>
        <sz val="12"/>
        <color theme="1"/>
        <rFont val="微软雅黑"/>
        <family val="2"/>
        <charset val="134"/>
      </rPr>
      <t xml:space="preserve"> </t>
    </r>
    <r>
      <rPr>
        <sz val="12"/>
        <color theme="1"/>
        <rFont val="MS Gothic"/>
        <family val="3"/>
        <charset val="128"/>
      </rPr>
      <t>범위</t>
    </r>
    <r>
      <rPr>
        <sz val="12"/>
        <color theme="1"/>
        <rFont val="微软雅黑"/>
        <family val="2"/>
        <charset val="134"/>
      </rPr>
      <t xml:space="preserve"> +{0}%</t>
    </r>
  </si>
  <si>
    <t>Frostnova-Reichweite +{0} %</t>
  </si>
  <si>
    <t>Portée de Nova de Givre +{0} %</t>
  </si>
  <si>
    <t>Alcance da Nova da Geada +{0}%</t>
  </si>
  <si>
    <t>Alcance de Nova de la Escarcha +{0}%</t>
  </si>
  <si>
    <t>暴风雪释放时,每次伤害+{0}%</t>
  </si>
  <si>
    <t>When Snowstorm is released, each hit deals {0}% more DMG.</t>
  </si>
  <si>
    <t>ブリザード発動時、毎回のダメージ+{0}%</t>
  </si>
  <si>
    <r>
      <t>눈보라</t>
    </r>
    <r>
      <rPr>
        <sz val="12"/>
        <color theme="1"/>
        <rFont val="微软雅黑"/>
        <family val="2"/>
        <charset val="134"/>
      </rPr>
      <t xml:space="preserve"> </t>
    </r>
    <r>
      <rPr>
        <sz val="12"/>
        <color theme="1"/>
        <rFont val="MS Gothic"/>
        <family val="3"/>
        <charset val="128"/>
      </rPr>
      <t>시전</t>
    </r>
    <r>
      <rPr>
        <sz val="12"/>
        <color theme="1"/>
        <rFont val="微软雅黑"/>
        <family val="2"/>
        <charset val="134"/>
      </rPr>
      <t xml:space="preserve"> 1</t>
    </r>
    <r>
      <rPr>
        <sz val="12"/>
        <color theme="1"/>
        <rFont val="MS Gothic"/>
        <family val="3"/>
        <charset val="128"/>
      </rPr>
      <t>회당</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</si>
  <si>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Wenn Schneesturm entfesselt wird, verursacht jeder Treffer {0} % mehr Schaden.</t>
  </si>
  <si>
    <t>Quand Tempête de Neige est lancé, chaque coup inflige {0} % de DÉG en plus.</t>
  </si>
  <si>
    <t>Quando Nevasca é liberada, cada acerto causa {0}% mais DNO.</t>
  </si>
  <si>
    <t>Al liberar Ventisca, cada golpe inflige un {0}% más de Daño.</t>
  </si>
  <si>
    <t>魔法药剂中毒伤害+{0}%</t>
  </si>
  <si>
    <t>Magic Potion Poison DMG +{0}%</t>
  </si>
  <si>
    <t>魔術ポーションが付与する毒のダメージ+{0}%</t>
  </si>
  <si>
    <r>
      <t>마법</t>
    </r>
    <r>
      <rPr>
        <sz val="12"/>
        <color theme="1"/>
        <rFont val="微软雅黑"/>
        <family val="2"/>
        <charset val="134"/>
      </rPr>
      <t xml:space="preserve"> </t>
    </r>
    <r>
      <rPr>
        <sz val="12"/>
        <color theme="1"/>
        <rFont val="MS Gothic"/>
        <family val="3"/>
        <charset val="128"/>
      </rPr>
      <t>포션의</t>
    </r>
    <r>
      <rPr>
        <sz val="12"/>
        <color theme="1"/>
        <rFont val="微软雅黑"/>
        <family val="2"/>
        <charset val="134"/>
      </rPr>
      <t xml:space="preserve"> </t>
    </r>
    <r>
      <rPr>
        <sz val="12"/>
        <color theme="1"/>
        <rFont val="MS Gothic"/>
        <family val="3"/>
        <charset val="128"/>
      </rPr>
      <t>중독</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</si>
  <si>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Magietrank-Giftschaden +{0} %</t>
  </si>
  <si>
    <t>DÉG de Poison de Potion Magique +{0} %</t>
  </si>
  <si>
    <t>DNO de Poção Mágica de Veneno +{0}%</t>
  </si>
  <si>
    <t>Daño de Veneno de Poción mágica +{0}%</t>
  </si>
  <si>
    <t>魔法药剂的速度+{0}%</t>
  </si>
  <si>
    <t>Magic Potion SPD +{0}%</t>
  </si>
  <si>
    <t>魔術ポーションの速度+{0}%</t>
  </si>
  <si>
    <r>
      <t>마법</t>
    </r>
    <r>
      <rPr>
        <sz val="12"/>
        <color theme="1"/>
        <rFont val="微软雅黑"/>
        <family val="2"/>
        <charset val="134"/>
      </rPr>
      <t xml:space="preserve"> </t>
    </r>
    <r>
      <rPr>
        <sz val="12"/>
        <color theme="1"/>
        <rFont val="MS Gothic"/>
        <family val="3"/>
        <charset val="128"/>
      </rPr>
      <t>포션의</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</si>
  <si>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Magietrank-GSW +{0} %</t>
  </si>
  <si>
    <t>VIT de Potion Magique +{0} %</t>
  </si>
  <si>
    <t>VEL de Poção Mágica +{0}%</t>
  </si>
  <si>
    <t>VEL de Poción mágica +{0}%</t>
  </si>
  <si>
    <t>命中时,对目标周围造成范围伤害,并附加中毒效果</t>
  </si>
  <si>
    <t>Upon hit, deals AoE DMG to the target's surroundings and inflicts a poison effect.</t>
  </si>
  <si>
    <t>命中後、ターゲット周辺に範囲ダメージを与え、毒状態にする</t>
  </si>
  <si>
    <r>
      <t>적중</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대상</t>
    </r>
    <r>
      <rPr>
        <sz val="12"/>
        <color theme="1"/>
        <rFont val="微软雅黑"/>
        <family val="2"/>
        <charset val="134"/>
      </rPr>
      <t xml:space="preserve"> </t>
    </r>
    <r>
      <rPr>
        <sz val="12"/>
        <color theme="1"/>
        <rFont val="MS Gothic"/>
        <family val="3"/>
        <charset val="128"/>
      </rPr>
      <t>주변에</t>
    </r>
    <r>
      <rPr>
        <sz val="12"/>
        <color theme="1"/>
        <rFont val="微软雅黑"/>
        <family val="2"/>
        <charset val="134"/>
      </rPr>
      <t xml:space="preserve"> </t>
    </r>
    <r>
      <rPr>
        <sz val="12"/>
        <color theme="1"/>
        <rFont val="MS Gothic"/>
        <family val="3"/>
        <charset val="128"/>
      </rPr>
      <t>광역</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입히고</t>
    </r>
    <r>
      <rPr>
        <sz val="12"/>
        <color theme="1"/>
        <rFont val="微软雅黑"/>
        <family val="2"/>
        <charset val="134"/>
      </rPr>
      <t xml:space="preserve">, </t>
    </r>
    <r>
      <rPr>
        <sz val="12"/>
        <color theme="1"/>
        <rFont val="MS Gothic"/>
        <family val="3"/>
        <charset val="128"/>
      </rPr>
      <t>중독</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t>
    </r>
  </si>
  <si>
    <t>Verursacht bei Treffern Flächenschaden um das Ziel herum und fügt Gift zu.</t>
  </si>
  <si>
    <t>Quand le personnage est touché, inflige des DÉG de Zone aux alentours de la cible et applique Poison.</t>
  </si>
  <si>
    <t>Ao acertar, causa DNO de Área nas proximidades do alvo e gera efeito de veneno.</t>
  </si>
  <si>
    <t>Al golpear inflige Daño de AdE alrededor del objetivo y aplica un efecto de veneno.</t>
  </si>
  <si>
    <t>中毒持续时间+{0}%</t>
  </si>
  <si>
    <t>Poison Duration +{0}%</t>
  </si>
  <si>
    <t>毒の持続時間+{0}%</t>
  </si>
  <si>
    <r>
      <t>중독</t>
    </r>
    <r>
      <rPr>
        <sz val="12"/>
        <color theme="1"/>
        <rFont val="微软雅黑"/>
        <family val="2"/>
        <charset val="134"/>
      </rPr>
      <t xml:space="preserve"> </t>
    </r>
    <r>
      <rPr>
        <sz val="12"/>
        <color theme="1"/>
        <rFont val="MS Gothic"/>
        <family val="3"/>
        <charset val="128"/>
      </rPr>
      <t>지속</t>
    </r>
    <r>
      <rPr>
        <sz val="12"/>
        <color theme="1"/>
        <rFont val="微软雅黑"/>
        <family val="2"/>
        <charset val="134"/>
      </rPr>
      <t xml:space="preserve"> </t>
    </r>
    <r>
      <rPr>
        <sz val="12"/>
        <color theme="1"/>
        <rFont val="MS Gothic"/>
        <family val="3"/>
        <charset val="128"/>
      </rPr>
      <t>시간</t>
    </r>
    <r>
      <rPr>
        <sz val="12"/>
        <color theme="1"/>
        <rFont val="微软雅黑"/>
        <family val="2"/>
        <charset val="134"/>
      </rPr>
      <t xml:space="preserve"> +{0}%</t>
    </r>
  </si>
  <si>
    <t>Giftdauer +{0} %</t>
  </si>
  <si>
    <t>Durée de Poison +{0} %</t>
  </si>
  <si>
    <t>Duração de Veneno +{0}%</t>
  </si>
  <si>
    <t>Duración de Veneno +{0}%</t>
  </si>
  <si>
    <t>绝望药剂麻痹的减速效果额外-{0}%(最高{1}%)</t>
  </si>
  <si>
    <t>Potion of Despair's slow effect -{0}% (up to {1}%)</t>
  </si>
  <si>
    <t>絶望ポーションの麻痺に影響された敵の移動速度と攻撃速度-{0}%（最大{1}%）</t>
  </si>
  <si>
    <r>
      <t>절망</t>
    </r>
    <r>
      <rPr>
        <sz val="12"/>
        <color theme="1"/>
        <rFont val="微软雅黑"/>
        <family val="2"/>
        <charset val="134"/>
      </rPr>
      <t xml:space="preserve"> </t>
    </r>
    <r>
      <rPr>
        <sz val="12"/>
        <color theme="1"/>
        <rFont val="MS Gothic"/>
        <family val="3"/>
        <charset val="128"/>
      </rPr>
      <t>포션의</t>
    </r>
    <r>
      <rPr>
        <sz val="12"/>
        <color theme="1"/>
        <rFont val="微软雅黑"/>
        <family val="2"/>
        <charset val="134"/>
      </rPr>
      <t xml:space="preserve"> </t>
    </r>
    <r>
      <rPr>
        <sz val="12"/>
        <color theme="1"/>
        <rFont val="MS Gothic"/>
        <family val="3"/>
        <charset val="128"/>
      </rPr>
      <t>감속</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-{0}%(</t>
    </r>
    <r>
      <rPr>
        <sz val="12"/>
        <color theme="1"/>
        <rFont val="MS Gothic"/>
        <family val="3"/>
        <charset val="128"/>
      </rPr>
      <t>최대</t>
    </r>
    <r>
      <rPr>
        <sz val="12"/>
        <color theme="1"/>
        <rFont val="微软雅黑"/>
        <family val="2"/>
        <charset val="134"/>
      </rPr>
      <t xml:space="preserve"> {1}%)</t>
    </r>
  </si>
  <si>
    <t>Trank der Verzweiflung – Verlangsamung -{0} % (bis zu {1} %)</t>
  </si>
  <si>
    <t>Effet Lenteur de Potion de Désespoir -{0} % (jusqu’à {1} %)</t>
  </si>
  <si>
    <t>Efeito de lentidão da Poção de Desespero -{0}% (até {1}%)</t>
  </si>
  <si>
    <t>Ralentización de Poción de la Desesperación -{0}% (hasta {1}%)</t>
  </si>
  <si>
    <t>狼毒药剂叠毒概率额外{0}%</t>
  </si>
  <si>
    <t>Potion of Wolfsbane stacking chance +{0}%</t>
  </si>
  <si>
    <t>猛毒ポーションの毒の追加付与確率+{0}%</t>
  </si>
  <si>
    <r>
      <t>늑대</t>
    </r>
    <r>
      <rPr>
        <sz val="12"/>
        <color theme="1"/>
        <rFont val="微软雅黑"/>
        <family val="2"/>
        <charset val="134"/>
      </rPr>
      <t xml:space="preserve"> </t>
    </r>
    <r>
      <rPr>
        <sz val="12"/>
        <color theme="1"/>
        <rFont val="MS Gothic"/>
        <family val="3"/>
        <charset val="128"/>
      </rPr>
      <t>포션의</t>
    </r>
    <r>
      <rPr>
        <sz val="12"/>
        <color theme="1"/>
        <rFont val="微软雅黑"/>
        <family val="2"/>
        <charset val="134"/>
      </rPr>
      <t xml:space="preserve"> </t>
    </r>
    <r>
      <rPr>
        <sz val="12"/>
        <color theme="1"/>
        <rFont val="MS Gothic"/>
        <family val="3"/>
        <charset val="128"/>
      </rPr>
      <t>중독</t>
    </r>
    <r>
      <rPr>
        <sz val="12"/>
        <color theme="1"/>
        <rFont val="微软雅黑"/>
        <family val="2"/>
        <charset val="134"/>
      </rPr>
      <t xml:space="preserve"> </t>
    </r>
    <r>
      <rPr>
        <sz val="12"/>
        <color theme="1"/>
        <rFont val="MS Gothic"/>
        <family val="3"/>
        <charset val="128"/>
      </rPr>
      <t>중첩</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</si>
  <si>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Eisenhuttrank-Stapelchance +{0} %</t>
  </si>
  <si>
    <t>Chances de cumul de Potion d’Aconit +{0} %</t>
  </si>
  <si>
    <t>Chance de se acumular da Poção de Maldição do Lobo +{0}%</t>
  </si>
  <si>
    <t>Probabilidad de acumulación de Poción lupina +{0}%</t>
  </si>
  <si>
    <t>绝望药剂麻痹触发概率额外+{0}%</t>
  </si>
  <si>
    <t>Potion of Despair's paralysis triggering chance +{0}%</t>
  </si>
  <si>
    <t>絶望ポーションの麻痺付与確率+{0}%</t>
  </si>
  <si>
    <r>
      <t>절망</t>
    </r>
    <r>
      <rPr>
        <sz val="12"/>
        <color theme="1"/>
        <rFont val="微软雅黑"/>
        <family val="2"/>
        <charset val="134"/>
      </rPr>
      <t xml:space="preserve"> </t>
    </r>
    <r>
      <rPr>
        <sz val="12"/>
        <color theme="1"/>
        <rFont val="MS Gothic"/>
        <family val="3"/>
        <charset val="128"/>
      </rPr>
      <t>포션의</t>
    </r>
    <r>
      <rPr>
        <sz val="12"/>
        <color theme="1"/>
        <rFont val="微软雅黑"/>
        <family val="2"/>
        <charset val="134"/>
      </rPr>
      <t xml:space="preserve"> </t>
    </r>
    <r>
      <rPr>
        <sz val="12"/>
        <color theme="1"/>
        <rFont val="MS Gothic"/>
        <family val="3"/>
        <charset val="128"/>
      </rPr>
      <t>마비</t>
    </r>
    <r>
      <rPr>
        <sz val="12"/>
        <color theme="1"/>
        <rFont val="微软雅黑"/>
        <family val="2"/>
        <charset val="134"/>
      </rPr>
      <t xml:space="preserve"> </t>
    </r>
    <r>
      <rPr>
        <sz val="12"/>
        <color theme="1"/>
        <rFont val="MS Gothic"/>
        <family val="3"/>
        <charset val="128"/>
      </rPr>
      <t>발동</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</si>
  <si>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Trank der Verzweiflung – Chance auf Lähmung +{0} %</t>
  </si>
  <si>
    <t>Chances de déclencher l’effet Paralysie de Potion du Désespoir +{0} %</t>
  </si>
  <si>
    <t>Chance de ativar paralisia da Poção de Desespero +{0}%</t>
  </si>
  <si>
    <t>Probabilidad de activar parálisis de Poción de la Desesperación +{0}%</t>
  </si>
  <si>
    <t>狼毒药剂造成的中毒伤害间隔-{0}%</t>
  </si>
  <si>
    <t>Potion of Wolfsbane's poison DMG interval -{0}%</t>
  </si>
  <si>
    <t>猛毒ポーションが付与する毒のダメージ間隔-{0}%</t>
  </si>
  <si>
    <r>
      <t>늑대</t>
    </r>
    <r>
      <rPr>
        <sz val="12"/>
        <color theme="1"/>
        <rFont val="微软雅黑"/>
        <family val="2"/>
        <charset val="134"/>
      </rPr>
      <t xml:space="preserve"> </t>
    </r>
    <r>
      <rPr>
        <sz val="12"/>
        <color theme="1"/>
        <rFont val="MS Gothic"/>
        <family val="3"/>
        <charset val="128"/>
      </rPr>
      <t>포션에</t>
    </r>
    <r>
      <rPr>
        <sz val="12"/>
        <color theme="1"/>
        <rFont val="微软雅黑"/>
        <family val="2"/>
        <charset val="134"/>
      </rPr>
      <t xml:space="preserve"> </t>
    </r>
    <r>
      <rPr>
        <sz val="12"/>
        <color theme="1"/>
        <rFont val="MS Gothic"/>
        <family val="3"/>
        <charset val="128"/>
      </rPr>
      <t>의한</t>
    </r>
    <r>
      <rPr>
        <sz val="12"/>
        <color theme="1"/>
        <rFont val="微软雅黑"/>
        <family val="2"/>
        <charset val="134"/>
      </rPr>
      <t xml:space="preserve"> </t>
    </r>
    <r>
      <rPr>
        <sz val="12"/>
        <color theme="1"/>
        <rFont val="MS Gothic"/>
        <family val="3"/>
        <charset val="128"/>
      </rPr>
      <t>중독</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t>
    </r>
    <r>
      <rPr>
        <sz val="12"/>
        <color theme="1"/>
        <rFont val="MS Gothic"/>
        <family val="3"/>
        <charset val="128"/>
      </rPr>
      <t>부여</t>
    </r>
    <r>
      <rPr>
        <sz val="12"/>
        <color theme="1"/>
        <rFont val="微软雅黑"/>
        <family val="2"/>
        <charset val="134"/>
      </rPr>
      <t xml:space="preserve"> </t>
    </r>
    <r>
      <rPr>
        <sz val="12"/>
        <color theme="1"/>
        <rFont val="MS Gothic"/>
        <family val="3"/>
        <charset val="128"/>
      </rPr>
      <t>간격</t>
    </r>
    <r>
      <rPr>
        <sz val="12"/>
        <color theme="1"/>
        <rFont val="微软雅黑"/>
        <family val="2"/>
        <charset val="134"/>
      </rPr>
      <t xml:space="preserve"> -{0}%</t>
    </r>
  </si>
  <si>
    <t>Eisenhuttrank – Giftschaden-Intervall -{0} %</t>
  </si>
  <si>
    <t>Intervalle des DÉG de Poison de Potion d’Aconit -{0} %</t>
  </si>
  <si>
    <t>Intervalo de DNO de veneno da Poção de Maldição do Lobo -{0}%</t>
  </si>
  <si>
    <t>Intervalo de Daño de veneno de Poción lupina -{0}%</t>
  </si>
  <si>
    <t>每攻击{0}次后,进行蓄力,下次攻击时附带回旋效果</t>
  </si>
  <si>
    <t>After every {0} attacks, accumulates strength and inflicts whirling effect upon the next attack.</t>
  </si>
  <si>
    <t>{0}回攻撃するごとに力を蓄積し、次の攻撃に回転効果が発動される</t>
  </si>
  <si>
    <r>
      <t>{0}</t>
    </r>
    <r>
      <rPr>
        <sz val="12"/>
        <color theme="1"/>
        <rFont val="MS Gothic"/>
        <family val="3"/>
        <charset val="128"/>
      </rPr>
      <t>번</t>
    </r>
    <r>
      <rPr>
        <sz val="12"/>
        <color theme="1"/>
        <rFont val="微软雅黑"/>
        <family val="2"/>
        <charset val="134"/>
      </rPr>
      <t xml:space="preserve"> </t>
    </r>
    <r>
      <rPr>
        <sz val="12"/>
        <color theme="1"/>
        <rFont val="MS Gothic"/>
        <family val="3"/>
        <charset val="128"/>
      </rPr>
      <t>공격할</t>
    </r>
    <r>
      <rPr>
        <sz val="12"/>
        <color theme="1"/>
        <rFont val="微软雅黑"/>
        <family val="2"/>
        <charset val="134"/>
      </rPr>
      <t xml:space="preserve"> </t>
    </r>
    <r>
      <rPr>
        <sz val="12"/>
        <color theme="1"/>
        <rFont val="MS Gothic"/>
        <family val="3"/>
        <charset val="128"/>
      </rPr>
      <t>때마다</t>
    </r>
    <r>
      <rPr>
        <sz val="12"/>
        <color theme="1"/>
        <rFont val="微软雅黑"/>
        <family val="2"/>
        <charset val="134"/>
      </rPr>
      <t xml:space="preserve"> </t>
    </r>
    <r>
      <rPr>
        <sz val="12"/>
        <color theme="1"/>
        <rFont val="MS Gothic"/>
        <family val="3"/>
        <charset val="128"/>
      </rPr>
      <t>차징하고</t>
    </r>
    <r>
      <rPr>
        <sz val="12"/>
        <color theme="1"/>
        <rFont val="微软雅黑"/>
        <family val="2"/>
        <charset val="134"/>
      </rPr>
      <t xml:space="preserve">, </t>
    </r>
    <r>
      <rPr>
        <sz val="12"/>
        <color theme="1"/>
        <rFont val="MS Gothic"/>
        <family val="3"/>
        <charset val="128"/>
      </rPr>
      <t>다음</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추가로</t>
    </r>
    <r>
      <rPr>
        <sz val="12"/>
        <color theme="1"/>
        <rFont val="微软雅黑"/>
        <family val="2"/>
        <charset val="134"/>
      </rPr>
      <t xml:space="preserve"> </t>
    </r>
    <r>
      <rPr>
        <sz val="12"/>
        <color theme="1"/>
        <rFont val="MS Gothic"/>
        <family val="3"/>
        <charset val="128"/>
      </rPr>
      <t>소용돌이</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가한다</t>
    </r>
    <r>
      <rPr>
        <sz val="12"/>
        <color theme="1"/>
        <rFont val="微软雅黑"/>
        <family val="2"/>
        <charset val="134"/>
      </rPr>
      <t>.</t>
    </r>
  </si>
  <si>
    <t>Sammelt nach jeweils {0} Angriffen die Kräfte und fügt mit dem nächsten Angriff Wirbeln zu.</t>
  </si>
  <si>
    <t>Toutes les {0} attaques, accumule de l’énergie et applique un Tourbillon sur sa prochaine attaque.</t>
  </si>
  <si>
    <t>Após cada {0} ataques, acumula força e gera efeito de rodopio no ataque seguinte.</t>
  </si>
  <si>
    <t>Acumula fuerza y aplica un efecto de torbellino cada vez que realiza {0} ataques.</t>
  </si>
  <si>
    <t>每次攻击都发动蓄力回旋</t>
  </si>
  <si>
    <t>Accumulates strength and inflicts whirling effect upon each attack.</t>
  </si>
  <si>
    <t>攻撃する度にチャージ回転効果が発動される</t>
  </si>
  <si>
    <r>
      <t>공격할</t>
    </r>
    <r>
      <rPr>
        <sz val="12"/>
        <color theme="1"/>
        <rFont val="微软雅黑"/>
        <family val="2"/>
        <charset val="134"/>
      </rPr>
      <t xml:space="preserve"> </t>
    </r>
    <r>
      <rPr>
        <sz val="12"/>
        <color theme="1"/>
        <rFont val="MS Gothic"/>
        <family val="3"/>
        <charset val="128"/>
      </rPr>
      <t>때마다</t>
    </r>
    <r>
      <rPr>
        <sz val="12"/>
        <color theme="1"/>
        <rFont val="微软雅黑"/>
        <family val="2"/>
        <charset val="134"/>
      </rPr>
      <t xml:space="preserve"> </t>
    </r>
    <r>
      <rPr>
        <sz val="12"/>
        <color theme="1"/>
        <rFont val="MS Gothic"/>
        <family val="3"/>
        <charset val="128"/>
      </rPr>
      <t>차징</t>
    </r>
    <r>
      <rPr>
        <sz val="12"/>
        <color theme="1"/>
        <rFont val="微软雅黑"/>
        <family val="2"/>
        <charset val="134"/>
      </rPr>
      <t xml:space="preserve"> </t>
    </r>
    <r>
      <rPr>
        <sz val="12"/>
        <color theme="1"/>
        <rFont val="MS Gothic"/>
        <family val="3"/>
        <charset val="128"/>
      </rPr>
      <t>소용돌이</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발동한다</t>
    </r>
    <r>
      <rPr>
        <sz val="12"/>
        <color theme="1"/>
        <rFont val="微软雅黑"/>
        <family val="2"/>
        <charset val="134"/>
      </rPr>
      <t>.</t>
    </r>
  </si>
  <si>
    <t>Sammelt bei jedem Angriff die Kräfte und fügt Wirbeln zu.</t>
  </si>
  <si>
    <t>Accumule de l’énergie et applique un Tourbillon sur chaque attaque.</t>
  </si>
  <si>
    <t>Acumula força e gera efeito de rodopio a cada ataque.</t>
  </si>
  <si>
    <t>Acumula fuerza y aplica un efecto de torbellino en cada ataque.</t>
  </si>
  <si>
    <t>回响之刃最大飞行距离+{0}%</t>
  </si>
  <si>
    <t>Echo Blade's Max Flying Range +{0}%</t>
  </si>
  <si>
    <t>エコーブレードの最大飛行距離+{0}%</t>
  </si>
  <si>
    <r>
      <t>에코</t>
    </r>
    <r>
      <rPr>
        <sz val="12"/>
        <color theme="1"/>
        <rFont val="微软雅黑"/>
        <family val="2"/>
        <charset val="134"/>
      </rPr>
      <t xml:space="preserve"> </t>
    </r>
    <r>
      <rPr>
        <sz val="12"/>
        <color theme="1"/>
        <rFont val="MS Gothic"/>
        <family val="3"/>
        <charset val="128"/>
      </rPr>
      <t>블레이드의</t>
    </r>
    <r>
      <rPr>
        <sz val="12"/>
        <color theme="1"/>
        <rFont val="微软雅黑"/>
        <family val="2"/>
        <charset val="134"/>
      </rPr>
      <t xml:space="preserve"> </t>
    </r>
    <r>
      <rPr>
        <sz val="12"/>
        <color theme="1"/>
        <rFont val="MS Gothic"/>
        <family val="3"/>
        <charset val="128"/>
      </rPr>
      <t>최대</t>
    </r>
    <r>
      <rPr>
        <sz val="12"/>
        <color theme="1"/>
        <rFont val="微软雅黑"/>
        <family val="2"/>
        <charset val="134"/>
      </rPr>
      <t xml:space="preserve"> </t>
    </r>
    <r>
      <rPr>
        <sz val="12"/>
        <color theme="1"/>
        <rFont val="MS Gothic"/>
        <family val="3"/>
        <charset val="128"/>
      </rPr>
      <t>비행</t>
    </r>
    <r>
      <rPr>
        <sz val="12"/>
        <color theme="1"/>
        <rFont val="微软雅黑"/>
        <family val="2"/>
        <charset val="134"/>
      </rPr>
      <t xml:space="preserve"> </t>
    </r>
    <r>
      <rPr>
        <sz val="12"/>
        <color theme="1"/>
        <rFont val="MS Gothic"/>
        <family val="3"/>
        <charset val="128"/>
      </rPr>
      <t>거리</t>
    </r>
    <r>
      <rPr>
        <sz val="12"/>
        <color theme="1"/>
        <rFont val="微软雅黑"/>
        <family val="2"/>
        <charset val="134"/>
      </rPr>
      <t xml:space="preserve"> +{0}%</t>
    </r>
  </si>
  <si>
    <t>Echoklinge – max. Flug-Reichweite +{0} %</t>
  </si>
  <si>
    <t>Portée Max. de Lame d’Écho +{0} %</t>
  </si>
  <si>
    <t>Alcance de Voo Máx. da Lâmina do Eco +{0}%</t>
  </si>
  <si>
    <t>Alcance de Vuelo máximo de Cuchilla de Eco +{0}%</t>
  </si>
  <si>
    <t>回响之刃攻击时额外射出{0}枚回响之刃</t>
  </si>
  <si>
    <t>When Echo Blade attacks, throws {0} extra Echo Blades.</t>
  </si>
  <si>
    <t>エコーブレード攻撃時、追加でエコーブレードを{0}本放つ</t>
  </si>
  <si>
    <r>
      <t>에코</t>
    </r>
    <r>
      <rPr>
        <sz val="12"/>
        <color theme="1"/>
        <rFont val="微软雅黑"/>
        <family val="2"/>
        <charset val="134"/>
      </rPr>
      <t xml:space="preserve"> </t>
    </r>
    <r>
      <rPr>
        <sz val="12"/>
        <color theme="1"/>
        <rFont val="MS Gothic"/>
        <family val="3"/>
        <charset val="128"/>
      </rPr>
      <t>블레이드로</t>
    </r>
    <r>
      <rPr>
        <sz val="12"/>
        <color theme="1"/>
        <rFont val="微软雅黑"/>
        <family val="2"/>
        <charset val="134"/>
      </rPr>
      <t xml:space="preserve"> </t>
    </r>
    <r>
      <rPr>
        <sz val="12"/>
        <color theme="1"/>
        <rFont val="MS Gothic"/>
        <family val="3"/>
        <charset val="128"/>
      </rPr>
      <t>공격할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추가로</t>
    </r>
    <r>
      <rPr>
        <sz val="12"/>
        <color theme="1"/>
        <rFont val="微软雅黑"/>
        <family val="2"/>
        <charset val="134"/>
      </rPr>
      <t xml:space="preserve"> {0}</t>
    </r>
    <r>
      <rPr>
        <sz val="12"/>
        <color theme="1"/>
        <rFont val="MS Gothic"/>
        <family val="3"/>
        <charset val="128"/>
      </rPr>
      <t>개의</t>
    </r>
    <r>
      <rPr>
        <sz val="12"/>
        <color theme="1"/>
        <rFont val="微软雅黑"/>
        <family val="2"/>
        <charset val="134"/>
      </rPr>
      <t xml:space="preserve"> </t>
    </r>
    <r>
      <rPr>
        <sz val="12"/>
        <color theme="1"/>
        <rFont val="MS Gothic"/>
        <family val="3"/>
        <charset val="128"/>
      </rPr>
      <t>에코</t>
    </r>
    <r>
      <rPr>
        <sz val="12"/>
        <color theme="1"/>
        <rFont val="微软雅黑"/>
        <family val="2"/>
        <charset val="134"/>
      </rPr>
      <t xml:space="preserve"> </t>
    </r>
    <r>
      <rPr>
        <sz val="12"/>
        <color theme="1"/>
        <rFont val="MS Gothic"/>
        <family val="3"/>
        <charset val="128"/>
      </rPr>
      <t>블레이드를</t>
    </r>
    <r>
      <rPr>
        <sz val="12"/>
        <color theme="1"/>
        <rFont val="微软雅黑"/>
        <family val="2"/>
        <charset val="134"/>
      </rPr>
      <t xml:space="preserve"> </t>
    </r>
    <r>
      <rPr>
        <sz val="12"/>
        <color theme="1"/>
        <rFont val="MS Gothic"/>
        <family val="3"/>
        <charset val="128"/>
      </rPr>
      <t>던진다</t>
    </r>
    <r>
      <rPr>
        <sz val="12"/>
        <color theme="1"/>
        <rFont val="微软雅黑"/>
        <family val="2"/>
        <charset val="134"/>
      </rPr>
      <t>.</t>
    </r>
  </si>
  <si>
    <t>Wirft bei Angriffen mit der Echoklinge {0} weitere Echoklingen.</t>
  </si>
  <si>
    <t>Quand Lame d’Écho attaque, lance {0} Lames d’Écho en plus.</t>
  </si>
  <si>
    <t>Quando Lâmina do Eco ataca, arremessa {0} Lâminas do Eco extras.</t>
  </si>
  <si>
    <t>Cuchilla de Eco lanza {0} Cuchillas de Eco adicionales al atacar.</t>
  </si>
  <si>
    <t>地精头斧大小+{0}%</t>
  </si>
  <si>
    <t>Goblin Axe Size +{0}%</t>
  </si>
  <si>
    <t>ゴブリンアックスのサイズ+{0}%</t>
  </si>
  <si>
    <r>
      <t>고블린</t>
    </r>
    <r>
      <rPr>
        <sz val="12"/>
        <color theme="1"/>
        <rFont val="微软雅黑"/>
        <family val="2"/>
        <charset val="134"/>
      </rPr>
      <t xml:space="preserve"> </t>
    </r>
    <r>
      <rPr>
        <sz val="12"/>
        <color theme="1"/>
        <rFont val="MS Gothic"/>
        <family val="3"/>
        <charset val="128"/>
      </rPr>
      <t>도끼</t>
    </r>
    <r>
      <rPr>
        <sz val="12"/>
        <color theme="1"/>
        <rFont val="微软雅黑"/>
        <family val="2"/>
        <charset val="134"/>
      </rPr>
      <t xml:space="preserve"> </t>
    </r>
    <r>
      <rPr>
        <sz val="12"/>
        <color theme="1"/>
        <rFont val="MS Gothic"/>
        <family val="3"/>
        <charset val="128"/>
      </rPr>
      <t>크기</t>
    </r>
    <r>
      <rPr>
        <sz val="12"/>
        <color theme="1"/>
        <rFont val="微软雅黑"/>
        <family val="2"/>
        <charset val="134"/>
      </rPr>
      <t xml:space="preserve"> +{0}%</t>
    </r>
  </si>
  <si>
    <t>Goblinaxt-Größe +{0} %</t>
  </si>
  <si>
    <t>Taille de Hache Gobeline +{0} %</t>
  </si>
  <si>
    <t>Tamanho do Machado de Goblin +{0}%</t>
  </si>
  <si>
    <t>Tamaño de Hacha de Goblin +{0}%</t>
  </si>
  <si>
    <t>地精头斧命中后,{0}%概率使目标附加物理重伤:受到物理伤害时,伤害+{1}%,持续{2}秒</t>
  </si>
  <si>
    <t>After Goblin Axe hits a target, there is a {0}% chance of inflicting physical wound: when taking physical DMG, DMG +{1}% for {2}s.</t>
  </si>
  <si>
    <t>ゴブリンアックス命中後、{0}%の確率で対象の敵に物理重傷を付与する（物理ダメージを受けた時、{2}秒間の被ダメージ+{1}%）</t>
  </si>
  <si>
    <r>
      <t>고블린</t>
    </r>
    <r>
      <rPr>
        <sz val="12"/>
        <color theme="1"/>
        <rFont val="微软雅黑"/>
        <family val="2"/>
        <charset val="134"/>
      </rPr>
      <t xml:space="preserve"> </t>
    </r>
    <r>
      <rPr>
        <sz val="12"/>
        <color theme="1"/>
        <rFont val="MS Gothic"/>
        <family val="3"/>
        <charset val="128"/>
      </rPr>
      <t>도끼가</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물리</t>
    </r>
    <r>
      <rPr>
        <sz val="12"/>
        <color theme="1"/>
        <rFont val="微软雅黑"/>
        <family val="2"/>
        <charset val="134"/>
      </rPr>
      <t xml:space="preserve"> </t>
    </r>
    <r>
      <rPr>
        <sz val="12"/>
        <color theme="1"/>
        <rFont val="MS Gothic"/>
        <family val="3"/>
        <charset val="128"/>
      </rPr>
      <t>중상</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부여할</t>
    </r>
    <r>
      <rPr>
        <sz val="12"/>
        <color theme="1"/>
        <rFont val="微软雅黑"/>
        <family val="2"/>
        <charset val="134"/>
      </rPr>
      <t xml:space="preserve"> </t>
    </r>
    <r>
      <rPr>
        <sz val="12"/>
        <color theme="1"/>
        <rFont val="MS Gothic"/>
        <family val="3"/>
        <charset val="128"/>
      </rPr>
      <t>수</t>
    </r>
    <r>
      <rPr>
        <sz val="12"/>
        <color theme="1"/>
        <rFont val="微软雅黑"/>
        <family val="2"/>
        <charset val="134"/>
      </rPr>
      <t xml:space="preserve"> </t>
    </r>
    <r>
      <rPr>
        <sz val="12"/>
        <color theme="1"/>
        <rFont val="MS Gothic"/>
        <family val="3"/>
        <charset val="128"/>
      </rPr>
      <t>있다</t>
    </r>
    <r>
      <rPr>
        <sz val="12"/>
        <color theme="1"/>
        <rFont val="微软雅黑"/>
        <family val="2"/>
        <charset val="134"/>
      </rPr>
      <t xml:space="preserve">. </t>
    </r>
    <r>
      <rPr>
        <sz val="12"/>
        <color theme="1"/>
        <rFont val="MS Gothic"/>
        <family val="3"/>
        <charset val="128"/>
      </rPr>
      <t>물리</t>
    </r>
    <r>
      <rPr>
        <sz val="12"/>
        <color theme="1"/>
        <rFont val="微软雅黑"/>
        <family val="2"/>
        <charset val="134"/>
      </rPr>
      <t xml:space="preserve"> </t>
    </r>
    <r>
      <rPr>
        <sz val="12"/>
        <color theme="1"/>
        <rFont val="MS Gothic"/>
        <family val="3"/>
        <charset val="128"/>
      </rPr>
      <t>중상</t>
    </r>
    <r>
      <rPr>
        <sz val="12"/>
        <color theme="1"/>
        <rFont val="微软雅黑"/>
        <family val="2"/>
        <charset val="134"/>
      </rPr>
      <t xml:space="preserve">: </t>
    </r>
    <r>
      <rPr>
        <sz val="12"/>
        <color theme="1"/>
        <rFont val="MS Gothic"/>
        <family val="3"/>
        <charset val="128"/>
      </rPr>
      <t>받는</t>
    </r>
    <r>
      <rPr>
        <sz val="12"/>
        <color theme="1"/>
        <rFont val="微软雅黑"/>
        <family val="2"/>
        <charset val="134"/>
      </rPr>
      <t xml:space="preserve"> </t>
    </r>
    <r>
      <rPr>
        <sz val="12"/>
        <color theme="1"/>
        <rFont val="MS Gothic"/>
        <family val="3"/>
        <charset val="128"/>
      </rPr>
      <t>물리</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+{1}%({2}</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t>
    </r>
  </si>
  <si>
    <t>Nachdem Goblinaxt ein Ziel trifft, besteht eine {0} % Chance, dass das Ziel eine körperliche Wunde erleidet: {2} Sek. lang +{1} % erlittener körperlicher Schaden.</t>
  </si>
  <si>
    <t>Après que Hache Gobeline a touché une cible, confère {0} % de chances d’appliquer Blessure physique : quand des DÉG physiques sont subis, DÉG +{1} % pendant {2} s.</t>
  </si>
  <si>
    <t>Depois que Machado de Goblin acerta um alvo, há {0}% de chance de infligir ferimento físico: ao receber DNO físico, DNO +{1}% por {2} s.</t>
  </si>
  <si>
    <t>Hay un {0}% de probabilidad de aplicar heridas físicas cuando Hacha de Goblin golpea a un objetivo: Daño +{1}% durante {2}s al recibir Daño físico.</t>
  </si>
  <si>
    <t>地精头斧最大飞行距离+{0}%</t>
  </si>
  <si>
    <t>Goblin Axe's Max Flying Range +{0}%</t>
  </si>
  <si>
    <t>ゴブリンアックスの最大飛行距離+{0}%</t>
  </si>
  <si>
    <r>
      <t>고블린</t>
    </r>
    <r>
      <rPr>
        <sz val="12"/>
        <color theme="1"/>
        <rFont val="微软雅黑"/>
        <family val="2"/>
        <charset val="134"/>
      </rPr>
      <t xml:space="preserve"> </t>
    </r>
    <r>
      <rPr>
        <sz val="12"/>
        <color theme="1"/>
        <rFont val="MS Gothic"/>
        <family val="3"/>
        <charset val="128"/>
      </rPr>
      <t>도끼의</t>
    </r>
    <r>
      <rPr>
        <sz val="12"/>
        <color theme="1"/>
        <rFont val="微软雅黑"/>
        <family val="2"/>
        <charset val="134"/>
      </rPr>
      <t xml:space="preserve"> </t>
    </r>
    <r>
      <rPr>
        <sz val="12"/>
        <color theme="1"/>
        <rFont val="MS Gothic"/>
        <family val="3"/>
        <charset val="128"/>
      </rPr>
      <t>최대</t>
    </r>
    <r>
      <rPr>
        <sz val="12"/>
        <color theme="1"/>
        <rFont val="微软雅黑"/>
        <family val="2"/>
        <charset val="134"/>
      </rPr>
      <t xml:space="preserve"> </t>
    </r>
    <r>
      <rPr>
        <sz val="12"/>
        <color theme="1"/>
        <rFont val="MS Gothic"/>
        <family val="3"/>
        <charset val="128"/>
      </rPr>
      <t>비행</t>
    </r>
    <r>
      <rPr>
        <sz val="12"/>
        <color theme="1"/>
        <rFont val="微软雅黑"/>
        <family val="2"/>
        <charset val="134"/>
      </rPr>
      <t xml:space="preserve"> </t>
    </r>
    <r>
      <rPr>
        <sz val="12"/>
        <color theme="1"/>
        <rFont val="MS Gothic"/>
        <family val="3"/>
        <charset val="128"/>
      </rPr>
      <t>거리</t>
    </r>
    <r>
      <rPr>
        <sz val="12"/>
        <color theme="1"/>
        <rFont val="微软雅黑"/>
        <family val="2"/>
        <charset val="134"/>
      </rPr>
      <t xml:space="preserve"> +{0}%</t>
    </r>
  </si>
  <si>
    <t>Goblinaxt – max. Flug-Reichweite +{0} %</t>
  </si>
  <si>
    <t>Portée Max. de Hache Gobeline +{0} %</t>
  </si>
  <si>
    <t>Alcance de Voo Máx. do Machado de Goblin +{0}%</t>
  </si>
  <si>
    <t>Alcance de Vuelo máximo de Hacha de Goblin +{0}%</t>
  </si>
  <si>
    <t>地精头斧对物理重伤的敌人,暴击率+{0}%</t>
  </si>
  <si>
    <t>Goblin Axe Crit on enemies with physical wound +{0}%</t>
  </si>
  <si>
    <t>ゴブリンアックスが物理重傷状態の敵を攻撃時、会心率+{0}%</t>
  </si>
  <si>
    <r>
      <t>고블린</t>
    </r>
    <r>
      <rPr>
        <sz val="12"/>
        <color theme="1"/>
        <rFont val="微软雅黑"/>
        <family val="2"/>
        <charset val="134"/>
      </rPr>
      <t xml:space="preserve"> </t>
    </r>
    <r>
      <rPr>
        <sz val="12"/>
        <color theme="1"/>
        <rFont val="MS Gothic"/>
        <family val="3"/>
        <charset val="128"/>
      </rPr>
      <t>도끼가</t>
    </r>
    <r>
      <rPr>
        <sz val="12"/>
        <color theme="1"/>
        <rFont val="微软雅黑"/>
        <family val="2"/>
        <charset val="134"/>
      </rPr>
      <t xml:space="preserve"> </t>
    </r>
    <r>
      <rPr>
        <sz val="12"/>
        <color theme="1"/>
        <rFont val="MS Gothic"/>
        <family val="3"/>
        <charset val="128"/>
      </rPr>
      <t>물리</t>
    </r>
    <r>
      <rPr>
        <sz val="12"/>
        <color theme="1"/>
        <rFont val="微软雅黑"/>
        <family val="2"/>
        <charset val="134"/>
      </rPr>
      <t xml:space="preserve"> </t>
    </r>
    <r>
      <rPr>
        <sz val="12"/>
        <color theme="1"/>
        <rFont val="MS Gothic"/>
        <family val="3"/>
        <charset val="128"/>
      </rPr>
      <t>중상</t>
    </r>
    <r>
      <rPr>
        <sz val="12"/>
        <color theme="1"/>
        <rFont val="微软雅黑"/>
        <family val="2"/>
        <charset val="134"/>
      </rPr>
      <t xml:space="preserve"> </t>
    </r>
    <r>
      <rPr>
        <sz val="12"/>
        <color theme="1"/>
        <rFont val="MS Gothic"/>
        <family val="3"/>
        <charset val="128"/>
      </rPr>
      <t>상태의</t>
    </r>
    <r>
      <rPr>
        <sz val="12"/>
        <color theme="1"/>
        <rFont val="微软雅黑"/>
        <family val="2"/>
        <charset val="134"/>
      </rPr>
      <t xml:space="preserve"> </t>
    </r>
    <r>
      <rPr>
        <sz val="12"/>
        <color theme="1"/>
        <rFont val="MS Gothic"/>
        <family val="3"/>
        <charset val="128"/>
      </rPr>
      <t>적에</t>
    </r>
    <r>
      <rPr>
        <sz val="12"/>
        <color theme="1"/>
        <rFont val="微软雅黑"/>
        <family val="2"/>
        <charset val="134"/>
      </rPr>
      <t xml:space="preserve"> </t>
    </r>
    <r>
      <rPr>
        <sz val="12"/>
        <color theme="1"/>
        <rFont val="MS Gothic"/>
        <family val="3"/>
        <charset val="128"/>
      </rPr>
      <t>대한</t>
    </r>
    <r>
      <rPr>
        <sz val="12"/>
        <color theme="1"/>
        <rFont val="微软雅黑"/>
        <family val="2"/>
        <charset val="134"/>
      </rPr>
      <t xml:space="preserve"> </t>
    </r>
    <r>
      <rPr>
        <sz val="12"/>
        <color theme="1"/>
        <rFont val="MS Gothic"/>
        <family val="3"/>
        <charset val="128"/>
      </rPr>
      <t>치명타율</t>
    </r>
    <r>
      <rPr>
        <sz val="12"/>
        <color theme="1"/>
        <rFont val="微软雅黑"/>
        <family val="2"/>
        <charset val="134"/>
      </rPr>
      <t xml:space="preserve"> +{0}%</t>
    </r>
  </si>
  <si>
    <t>Goblinaxt-Krit. bei Gegnern mit körperliche Wunde +{0} %</t>
  </si>
  <si>
    <t>Crit de Hache Gobeline sur les ennemis avec Blessure physique +{0} %</t>
  </si>
  <si>
    <t>CRÍT do Machado de Goblin em inimigos com ferimento físico +{0}%</t>
  </si>
  <si>
    <t>Crit de Hacha de Goblin a enemigos con heridas físicas +{0}%</t>
  </si>
  <si>
    <t>火球的暴击+{0}%</t>
  </si>
  <si>
    <t>Fireball Crit +{0}%</t>
  </si>
  <si>
    <t>ファイアボールの会心率+{0}%</t>
  </si>
  <si>
    <r>
      <t>파이어볼의</t>
    </r>
    <r>
      <rPr>
        <sz val="12"/>
        <color theme="1"/>
        <rFont val="微软雅黑"/>
        <family val="2"/>
        <charset val="134"/>
      </rPr>
      <t xml:space="preserve"> </t>
    </r>
    <r>
      <rPr>
        <sz val="12"/>
        <color theme="1"/>
        <rFont val="MS Gothic"/>
        <family val="3"/>
        <charset val="128"/>
      </rPr>
      <t>치명타율</t>
    </r>
    <r>
      <rPr>
        <sz val="12"/>
        <color theme="1"/>
        <rFont val="微软雅黑"/>
        <family val="2"/>
        <charset val="134"/>
      </rPr>
      <t xml:space="preserve"> +{0}%</t>
    </r>
  </si>
  <si>
    <t>Feuerball-Krit. +{0} %</t>
  </si>
  <si>
    <t>Crit de Boule de Feu +{0} %</t>
  </si>
  <si>
    <t>CRÍT de Bola de Fogo +{0}%</t>
  </si>
  <si>
    <t>Crit de Bola de Fuego +{0}%</t>
  </si>
  <si>
    <t>火球命中后,追加一次火焰爆炸,造成攻击{0}%的伤害</t>
  </si>
  <si>
    <t>After Fireball hits a target, causes fire explosion for once, dealing DMG by {0}% of ATK.</t>
  </si>
  <si>
    <t>ファイアボール命中後、追加で火炎爆発を1回発動させ、攻撃力{0}%のダメージを与える</t>
  </si>
  <si>
    <r>
      <t>파이어볼이</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t>
    </r>
    <r>
      <rPr>
        <sz val="12"/>
        <color theme="1"/>
        <rFont val="MS Gothic"/>
        <family val="3"/>
        <charset val="128"/>
      </rPr>
      <t>적중하면</t>
    </r>
    <r>
      <rPr>
        <sz val="12"/>
        <color theme="1"/>
        <rFont val="微软雅黑"/>
        <family val="2"/>
        <charset val="134"/>
      </rPr>
      <t xml:space="preserve"> </t>
    </r>
    <r>
      <rPr>
        <sz val="12"/>
        <color theme="1"/>
        <rFont val="MS Gothic"/>
        <family val="3"/>
        <charset val="128"/>
      </rPr>
      <t>화염</t>
    </r>
    <r>
      <rPr>
        <sz val="12"/>
        <color theme="1"/>
        <rFont val="微软雅黑"/>
        <family val="2"/>
        <charset val="134"/>
      </rPr>
      <t xml:space="preserve"> </t>
    </r>
    <r>
      <rPr>
        <sz val="12"/>
        <color theme="1"/>
        <rFont val="MS Gothic"/>
        <family val="3"/>
        <charset val="128"/>
      </rPr>
      <t>폭발을</t>
    </r>
    <r>
      <rPr>
        <sz val="12"/>
        <color theme="1"/>
        <rFont val="微软雅黑"/>
        <family val="2"/>
        <charset val="134"/>
      </rPr>
      <t xml:space="preserve"> 1</t>
    </r>
    <r>
      <rPr>
        <sz val="12"/>
        <color theme="1"/>
        <rFont val="MS Gothic"/>
        <family val="3"/>
        <charset val="128"/>
      </rPr>
      <t>번</t>
    </r>
    <r>
      <rPr>
        <sz val="12"/>
        <color theme="1"/>
        <rFont val="微软雅黑"/>
        <family val="2"/>
        <charset val="134"/>
      </rPr>
      <t xml:space="preserve"> </t>
    </r>
    <r>
      <rPr>
        <sz val="12"/>
        <color theme="1"/>
        <rFont val="MS Gothic"/>
        <family val="3"/>
        <charset val="128"/>
      </rPr>
      <t>일으켜</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{0}%</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준다</t>
    </r>
    <r>
      <rPr>
        <sz val="12"/>
        <color theme="1"/>
        <rFont val="微软雅黑"/>
        <family val="2"/>
        <charset val="134"/>
      </rPr>
      <t>.</t>
    </r>
  </si>
  <si>
    <t>Nachdem Feuerball ein Ziel trifft, verursacht es eine Explosion. Verursacht Schaden in Höhe von {0} % des ANG.</t>
  </si>
  <si>
    <t>Après que Boule de Feu a touché une cible, déclenche une fois Explosion de Feu, ce qui inflige des DÉG à hauteur de {0} % de l’ATQ.</t>
  </si>
  <si>
    <t>Depois que Bola de Fogo acerta o alvo, causa explosão de fogo uma vez, causando DNO em {0}% do ATQ.</t>
  </si>
  <si>
    <t>Bola de Fuego produce una explosión de fuego al golpear a un objetivo que inflige un {0}% del ATQ como Daño.</t>
  </si>
  <si>
    <t>火焰爆炸伤害+{0}%</t>
  </si>
  <si>
    <t>Fire Explosion DMG +{0}%</t>
  </si>
  <si>
    <t>火炎爆発のダメージ+{0}%</t>
  </si>
  <si>
    <r>
      <t>화염</t>
    </r>
    <r>
      <rPr>
        <sz val="12"/>
        <color theme="1"/>
        <rFont val="微软雅黑"/>
        <family val="2"/>
        <charset val="134"/>
      </rPr>
      <t xml:space="preserve"> </t>
    </r>
    <r>
      <rPr>
        <sz val="12"/>
        <color theme="1"/>
        <rFont val="MS Gothic"/>
        <family val="3"/>
        <charset val="128"/>
      </rPr>
      <t>폭발</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</si>
  <si>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Schaden von Feuerexplosion +{0} %</t>
  </si>
  <si>
    <t>DÉG d’Explosion de Feu +{0} %</t>
  </si>
  <si>
    <t>DNO de Explosão de Fogo +{0}%</t>
  </si>
  <si>
    <t>Daño de Explosión de Fuego +{0}%</t>
  </si>
  <si>
    <t>火焰爆炸半径+{0}%</t>
  </si>
  <si>
    <t>Fire Explosion Radius +{0}%</t>
  </si>
  <si>
    <t>火炎爆発の半径+{0}%</t>
  </si>
  <si>
    <r>
      <t>화염</t>
    </r>
    <r>
      <rPr>
        <sz val="12"/>
        <color theme="1"/>
        <rFont val="微软雅黑"/>
        <family val="2"/>
        <charset val="134"/>
      </rPr>
      <t xml:space="preserve"> </t>
    </r>
    <r>
      <rPr>
        <sz val="12"/>
        <color theme="1"/>
        <rFont val="MS Gothic"/>
        <family val="3"/>
        <charset val="128"/>
      </rPr>
      <t>폭발</t>
    </r>
    <r>
      <rPr>
        <sz val="12"/>
        <color theme="1"/>
        <rFont val="微软雅黑"/>
        <family val="2"/>
        <charset val="134"/>
      </rPr>
      <t xml:space="preserve"> </t>
    </r>
    <r>
      <rPr>
        <sz val="12"/>
        <color theme="1"/>
        <rFont val="MS Gothic"/>
        <family val="3"/>
        <charset val="128"/>
      </rPr>
      <t>반경</t>
    </r>
    <r>
      <rPr>
        <sz val="12"/>
        <color theme="1"/>
        <rFont val="微软雅黑"/>
        <family val="2"/>
        <charset val="134"/>
      </rPr>
      <t xml:space="preserve"> +{0}%</t>
    </r>
  </si>
  <si>
    <t>Radius von Feuerexplosion +{0} %</t>
  </si>
  <si>
    <t>Rayon d’Explosion de Feu +{0} %</t>
  </si>
  <si>
    <t>Raio de Explosão de Fogo +{0}%</t>
  </si>
  <si>
    <t>Radio de Explosión de Fuego +{0}%</t>
  </si>
  <si>
    <t>落雷杖攻击时额外释放{0}次落雷攻击,目标独立判定</t>
  </si>
  <si>
    <t>When Thunder Staff attacks, releases {0} more thunderbolt attacks and targets are selected independently.</t>
  </si>
  <si>
    <t>サンダーワンド攻撃時、追加で雷撃を{0}回発動する。ターゲット個別で判定する</t>
  </si>
  <si>
    <r>
      <t>썬더</t>
    </r>
    <r>
      <rPr>
        <sz val="12"/>
        <color theme="1"/>
        <rFont val="微软雅黑"/>
        <family val="2"/>
        <charset val="134"/>
      </rPr>
      <t xml:space="preserve"> </t>
    </r>
    <r>
      <rPr>
        <sz val="12"/>
        <color theme="1"/>
        <rFont val="MS Gothic"/>
        <family val="3"/>
        <charset val="128"/>
      </rPr>
      <t>스태프</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추가로</t>
    </r>
    <r>
      <rPr>
        <sz val="12"/>
        <color theme="1"/>
        <rFont val="微软雅黑"/>
        <family val="2"/>
        <charset val="134"/>
      </rPr>
      <t xml:space="preserve"> {0}</t>
    </r>
    <r>
      <rPr>
        <sz val="12"/>
        <color theme="1"/>
        <rFont val="MS Gothic"/>
        <family val="3"/>
        <charset val="128"/>
      </rPr>
      <t>번의</t>
    </r>
    <r>
      <rPr>
        <sz val="12"/>
        <color theme="1"/>
        <rFont val="微软雅黑"/>
        <family val="2"/>
        <charset val="134"/>
      </rPr>
      <t xml:space="preserve"> </t>
    </r>
    <r>
      <rPr>
        <sz val="12"/>
        <color theme="1"/>
        <rFont val="MS Gothic"/>
        <family val="3"/>
        <charset val="128"/>
      </rPr>
      <t>낙뢰</t>
    </r>
    <r>
      <rPr>
        <sz val="12"/>
        <color theme="1"/>
        <rFont val="微软雅黑"/>
        <family val="2"/>
        <charset val="134"/>
      </rPr>
      <t xml:space="preserve"> </t>
    </r>
    <r>
      <rPr>
        <sz val="12"/>
        <color theme="1"/>
        <rFont val="MS Gothic"/>
        <family val="3"/>
        <charset val="128"/>
      </rPr>
      <t>공격을</t>
    </r>
    <r>
      <rPr>
        <sz val="12"/>
        <color theme="1"/>
        <rFont val="微软雅黑"/>
        <family val="2"/>
        <charset val="134"/>
      </rPr>
      <t xml:space="preserve"> </t>
    </r>
    <r>
      <rPr>
        <sz val="12"/>
        <color theme="1"/>
        <rFont val="MS Gothic"/>
        <family val="3"/>
        <charset val="128"/>
      </rPr>
      <t>시전하고</t>
    </r>
    <r>
      <rPr>
        <sz val="12"/>
        <color theme="1"/>
        <rFont val="微软雅黑"/>
        <family val="2"/>
        <charset val="134"/>
      </rPr>
      <t xml:space="preserve">, </t>
    </r>
    <r>
      <rPr>
        <sz val="12"/>
        <color theme="1"/>
        <rFont val="MS Gothic"/>
        <family val="3"/>
        <charset val="128"/>
      </rPr>
      <t>시전</t>
    </r>
    <r>
      <rPr>
        <sz val="12"/>
        <color theme="1"/>
        <rFont val="微软雅黑"/>
        <family val="2"/>
        <charset val="134"/>
      </rPr>
      <t xml:space="preserve"> </t>
    </r>
    <r>
      <rPr>
        <sz val="12"/>
        <color theme="1"/>
        <rFont val="MS Gothic"/>
        <family val="3"/>
        <charset val="128"/>
      </rPr>
      <t>대상은</t>
    </r>
    <r>
      <rPr>
        <sz val="12"/>
        <color theme="1"/>
        <rFont val="微软雅黑"/>
        <family val="2"/>
        <charset val="134"/>
      </rPr>
      <t xml:space="preserve"> </t>
    </r>
    <r>
      <rPr>
        <sz val="12"/>
        <color theme="1"/>
        <rFont val="MS Gothic"/>
        <family val="3"/>
        <charset val="128"/>
      </rPr>
      <t>별개로</t>
    </r>
    <r>
      <rPr>
        <sz val="12"/>
        <color theme="1"/>
        <rFont val="微软雅黑"/>
        <family val="2"/>
        <charset val="134"/>
      </rPr>
      <t xml:space="preserve"> </t>
    </r>
    <r>
      <rPr>
        <sz val="12"/>
        <color theme="1"/>
        <rFont val="MS Gothic"/>
        <family val="3"/>
        <charset val="128"/>
      </rPr>
      <t>선택된다</t>
    </r>
    <r>
      <rPr>
        <sz val="12"/>
        <color theme="1"/>
        <rFont val="微软雅黑"/>
        <family val="2"/>
        <charset val="134"/>
      </rPr>
      <t>.</t>
    </r>
  </si>
  <si>
    <t>Wenn Donnerstab angreift, werden {0} weitere Blitzangriffe entfesselt und die Ziele werden unabhängig ausgewählt.</t>
  </si>
  <si>
    <t>Quand le Bâton de Foudre attaque, lance {0} attaques d’éclair supplémentaires. Les cibles sont choisies de manière indépendante.</t>
  </si>
  <si>
    <t>Quando Cajado do Trovão ataca, libera {0} mais ataques de relâmpago, e os alvos são selecionados independentemente.</t>
  </si>
  <si>
    <t>Bastón del Trueno libera {0} ataques de truenos más al atacar y los objetivos se seleccionan independientemente.</t>
  </si>
  <si>
    <t>落雷杖多重落雷次数+{0}</t>
  </si>
  <si>
    <t>Thunderbolt attack of Thunder Staff +{0}</t>
  </si>
  <si>
    <t>サンダーワンドの雷撃回数+{0}</t>
  </si>
  <si>
    <r>
      <t>썬더</t>
    </r>
    <r>
      <rPr>
        <sz val="12"/>
        <color theme="1"/>
        <rFont val="微软雅黑"/>
        <family val="2"/>
        <charset val="134"/>
      </rPr>
      <t xml:space="preserve"> </t>
    </r>
    <r>
      <rPr>
        <sz val="12"/>
        <color theme="1"/>
        <rFont val="MS Gothic"/>
        <family val="3"/>
        <charset val="128"/>
      </rPr>
      <t>스태프의</t>
    </r>
    <r>
      <rPr>
        <sz val="12"/>
        <color theme="1"/>
        <rFont val="微软雅黑"/>
        <family val="2"/>
        <charset val="134"/>
      </rPr>
      <t xml:space="preserve"> </t>
    </r>
    <r>
      <rPr>
        <sz val="12"/>
        <color theme="1"/>
        <rFont val="MS Gothic"/>
        <family val="3"/>
        <charset val="128"/>
      </rPr>
      <t>낙뢰</t>
    </r>
    <r>
      <rPr>
        <sz val="12"/>
        <color theme="1"/>
        <rFont val="微软雅黑"/>
        <family val="2"/>
        <charset val="134"/>
      </rPr>
      <t xml:space="preserve"> </t>
    </r>
    <r>
      <rPr>
        <sz val="12"/>
        <color theme="1"/>
        <rFont val="MS Gothic"/>
        <family val="3"/>
        <charset val="128"/>
      </rPr>
      <t>시전</t>
    </r>
    <r>
      <rPr>
        <sz val="12"/>
        <color theme="1"/>
        <rFont val="微软雅黑"/>
        <family val="2"/>
        <charset val="134"/>
      </rPr>
      <t xml:space="preserve"> </t>
    </r>
    <r>
      <rPr>
        <sz val="12"/>
        <color theme="1"/>
        <rFont val="MS Gothic"/>
        <family val="3"/>
        <charset val="128"/>
      </rPr>
      <t>횟수</t>
    </r>
    <r>
      <rPr>
        <sz val="12"/>
        <color theme="1"/>
        <rFont val="微软雅黑"/>
        <family val="2"/>
        <charset val="134"/>
      </rPr>
      <t xml:space="preserve"> +{0}</t>
    </r>
  </si>
  <si>
    <t>Blitzangriff des Donnerstabs +{0}</t>
  </si>
  <si>
    <t>Attaque d’Éclair du Bâton de Foudre +{0}</t>
  </si>
  <si>
    <t>Ataque de Relâmpago de Cajado do Trovão +{0}</t>
  </si>
  <si>
    <t>Ataque de truenos de Bastón del Trueno +{0}</t>
  </si>
  <si>
    <t>落雷杖命中后，追加一次半径{0}的磁暴，伤害为武器攻击的{1}%</t>
  </si>
  <si>
    <t>After Thunder Staff hits a target, causes a magnetic storm within a radius of {0}, dealing DMG by {1}% of weapon attack.</t>
  </si>
  <si>
    <t>サンダーワンド命中後、追加で半径{0}の磁気嵐を1回発動させ、武器攻撃力の{1}%のダメージを与える</t>
  </si>
  <si>
    <r>
      <t>썬더</t>
    </r>
    <r>
      <rPr>
        <sz val="12"/>
        <color theme="1"/>
        <rFont val="微软雅黑"/>
        <family val="2"/>
        <charset val="134"/>
      </rPr>
      <t xml:space="preserve"> </t>
    </r>
    <r>
      <rPr>
        <sz val="12"/>
        <color theme="1"/>
        <rFont val="MS Gothic"/>
        <family val="3"/>
        <charset val="128"/>
      </rPr>
      <t>스태프가</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반경</t>
    </r>
    <r>
      <rPr>
        <sz val="12"/>
        <color theme="1"/>
        <rFont val="微软雅黑"/>
        <family val="2"/>
        <charset val="134"/>
      </rPr>
      <t xml:space="preserve"> {0} </t>
    </r>
    <r>
      <rPr>
        <sz val="12"/>
        <color theme="1"/>
        <rFont val="MS Gothic"/>
        <family val="3"/>
        <charset val="128"/>
      </rPr>
      <t>내에</t>
    </r>
    <r>
      <rPr>
        <sz val="12"/>
        <color theme="1"/>
        <rFont val="微软雅黑"/>
        <family val="2"/>
        <charset val="134"/>
      </rPr>
      <t xml:space="preserve"> </t>
    </r>
    <r>
      <rPr>
        <sz val="12"/>
        <color theme="1"/>
        <rFont val="MS Gothic"/>
        <family val="3"/>
        <charset val="128"/>
      </rPr>
      <t>지자기</t>
    </r>
    <r>
      <rPr>
        <sz val="12"/>
        <color theme="1"/>
        <rFont val="微软雅黑"/>
        <family val="2"/>
        <charset val="134"/>
      </rPr>
      <t xml:space="preserve"> </t>
    </r>
    <r>
      <rPr>
        <sz val="12"/>
        <color theme="1"/>
        <rFont val="MS Gothic"/>
        <family val="3"/>
        <charset val="128"/>
      </rPr>
      <t>폭풍을</t>
    </r>
    <r>
      <rPr>
        <sz val="12"/>
        <color theme="1"/>
        <rFont val="微软雅黑"/>
        <family val="2"/>
        <charset val="134"/>
      </rPr>
      <t xml:space="preserve"> </t>
    </r>
    <r>
      <rPr>
        <sz val="12"/>
        <color theme="1"/>
        <rFont val="MS Gothic"/>
        <family val="3"/>
        <charset val="128"/>
      </rPr>
      <t>일으켜</t>
    </r>
    <r>
      <rPr>
        <sz val="12"/>
        <color theme="1"/>
        <rFont val="微软雅黑"/>
        <family val="2"/>
        <charset val="134"/>
      </rPr>
      <t xml:space="preserve"> </t>
    </r>
    <r>
      <rPr>
        <sz val="12"/>
        <color theme="1"/>
        <rFont val="MS Gothic"/>
        <family val="3"/>
        <charset val="128"/>
      </rPr>
      <t>무기</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{1}%</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준다</t>
    </r>
    <r>
      <rPr>
        <sz val="12"/>
        <color theme="1"/>
        <rFont val="微软雅黑"/>
        <family val="2"/>
        <charset val="134"/>
      </rPr>
      <t>.</t>
    </r>
  </si>
  <si>
    <t>Nachdem Donnerstab ein Ziel trifft, entsteht ein Magnetsturm mit einem Radius von {0}. Verursacht Schaden in Höhe von {1} % des Waffenangriffs.</t>
  </si>
  <si>
    <t>Après que le Bâton de Foudre a touché une cible, provoque une tempête magnétique dans un rayon de {0}, ce qui inflige des DÉG à hauteur de {1} % de l’attaque de l’arme.</t>
  </si>
  <si>
    <t>Depois que Cajado do Trovão acerta um alvo, causa tempestade magnética dentro de um raio de {0}, causando DNO {1}% de ataque de arma.</t>
  </si>
  <si>
    <t>Bastón del Trueno produce una tormenta magnética con un radio de {0} al golpear a un objetivo, lo que inflige un {1}% del ataque del arma como Daño.</t>
  </si>
  <si>
    <t>磁暴命中，有{0}%概率使目标感电:受到魔法伤害时，伤害+{1}%，持续{2}秒</t>
  </si>
  <si>
    <t>After magnetic storm hits a target, there is a {0}% chance of shocking the target: when taking magic DMG, DMG +{1}% for {2}s.</t>
  </si>
  <si>
    <t>磁気嵐命中後、{0}%の確率でターゲッ感電トをさせる：魔術ダメージを受けた時、{2}秒間の被ダメージ+{1}%</t>
  </si>
  <si>
    <r>
      <t>지자기</t>
    </r>
    <r>
      <rPr>
        <sz val="12"/>
        <color theme="1"/>
        <rFont val="微软雅黑"/>
        <family val="2"/>
        <charset val="134"/>
      </rPr>
      <t xml:space="preserve"> </t>
    </r>
    <r>
      <rPr>
        <sz val="12"/>
        <color theme="1"/>
        <rFont val="MS Gothic"/>
        <family val="3"/>
        <charset val="128"/>
      </rPr>
      <t>폭풍</t>
    </r>
    <r>
      <rPr>
        <sz val="12"/>
        <color theme="1"/>
        <rFont val="微软雅黑"/>
        <family val="2"/>
        <charset val="134"/>
      </rPr>
      <t xml:space="preserve"> </t>
    </r>
    <r>
      <rPr>
        <sz val="12"/>
        <color theme="1"/>
        <rFont val="MS Gothic"/>
        <family val="3"/>
        <charset val="128"/>
      </rPr>
      <t>명중</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감전시킬</t>
    </r>
    <r>
      <rPr>
        <sz val="12"/>
        <color theme="1"/>
        <rFont val="微软雅黑"/>
        <family val="2"/>
        <charset val="134"/>
      </rPr>
      <t xml:space="preserve"> </t>
    </r>
    <r>
      <rPr>
        <sz val="12"/>
        <color theme="1"/>
        <rFont val="MS Gothic"/>
        <family val="3"/>
        <charset val="128"/>
      </rPr>
      <t>수</t>
    </r>
    <r>
      <rPr>
        <sz val="12"/>
        <color theme="1"/>
        <rFont val="微软雅黑"/>
        <family val="2"/>
        <charset val="134"/>
      </rPr>
      <t xml:space="preserve"> </t>
    </r>
    <r>
      <rPr>
        <sz val="12"/>
        <color theme="1"/>
        <rFont val="MS Gothic"/>
        <family val="3"/>
        <charset val="128"/>
      </rPr>
      <t>있다</t>
    </r>
    <r>
      <rPr>
        <sz val="12"/>
        <color theme="1"/>
        <rFont val="微软雅黑"/>
        <family val="2"/>
        <charset val="134"/>
      </rPr>
      <t xml:space="preserve">. </t>
    </r>
    <r>
      <rPr>
        <sz val="12"/>
        <color theme="1"/>
        <rFont val="MS Gothic"/>
        <family val="3"/>
        <charset val="128"/>
      </rPr>
      <t>감전</t>
    </r>
    <r>
      <rPr>
        <sz val="12"/>
        <color theme="1"/>
        <rFont val="微软雅黑"/>
        <family val="2"/>
        <charset val="134"/>
      </rPr>
      <t xml:space="preserve">: </t>
    </r>
    <r>
      <rPr>
        <sz val="12"/>
        <color theme="1"/>
        <rFont val="MS Gothic"/>
        <family val="3"/>
        <charset val="128"/>
      </rPr>
      <t>마법</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받을</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+{1}%({2}</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t>
    </r>
  </si>
  <si>
    <t>Nachdem Magnetsturm ein Ziel trifft, besteht eine {0} % Chance, dass das Ziel geschockt wird. Bei erlittenem Magieschaden, Schaden {2} Sek. lang +{1} %.</t>
  </si>
  <si>
    <t>Après que la tempête magnétique a touché une cible, confère {0} % de chances d’Électrocuter la cible : quand elle subit des DÉG magiques, DÉG +{1} % pendant {2} s.</t>
  </si>
  <si>
    <t>Depois que a tempestade magnética acerta um alvo, há {0}% de chance de eletrocutar o alvo: ao receber DNO de magia, DNO +{1}% por {2} s.</t>
  </si>
  <si>
    <t>Cuando tormenta magnética golpea a un objetivo, hay un {0}% de probabilidad de electrocutar al objetivo: al recibir Daño mágico, Daño +{1}% {2}s.</t>
  </si>
  <si>
    <t>围巾的血量+{0}%</t>
  </si>
  <si>
    <t>Scarf HP +{0}%</t>
  </si>
  <si>
    <t>スカーフのHP+{0}%</t>
  </si>
  <si>
    <r>
      <t>스카프</t>
    </r>
    <r>
      <rPr>
        <sz val="12"/>
        <color theme="1"/>
        <rFont val="微软雅黑"/>
        <family val="2"/>
        <charset val="134"/>
      </rPr>
      <t xml:space="preserve"> HP +{0}%</t>
    </r>
  </si>
  <si>
    <t>Schal-LP +{0} %</t>
  </si>
  <si>
    <t>PV de Foulard +{0} %</t>
  </si>
  <si>
    <t>PV do Cachecol +{0}%</t>
  </si>
  <si>
    <t>PS de la Bufanda +{0}%</t>
  </si>
  <si>
    <t>围巾的回血效果+{0}%</t>
  </si>
  <si>
    <t>Scarf HP Restoration +{0}%</t>
  </si>
  <si>
    <t>スカーフのHP回復効果+{0}%</t>
  </si>
  <si>
    <r>
      <t>스카프의</t>
    </r>
    <r>
      <rPr>
        <sz val="12"/>
        <color theme="1"/>
        <rFont val="微软雅黑"/>
        <family val="2"/>
        <charset val="134"/>
      </rPr>
      <t xml:space="preserve"> HP </t>
    </r>
    <r>
      <rPr>
        <sz val="12"/>
        <color theme="1"/>
        <rFont val="MS Gothic"/>
        <family val="3"/>
        <charset val="128"/>
      </rPr>
      <t>회복</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+{0}%</t>
    </r>
  </si>
  <si>
    <t>Schal-LP-Wiederherstellung +{0} %</t>
  </si>
  <si>
    <t>Restauration de PV de Foulard +{0} %</t>
  </si>
  <si>
    <t>Restauração de PV do Cachecol +{0}%</t>
  </si>
  <si>
    <t>Regeneración de PS de la Bufanda +{0}%</t>
  </si>
  <si>
    <t>血量&lt;{0}%时，立即回复最大血量的{1}%，每波可触发{2}次，多个围巾不叠力</t>
  </si>
  <si>
    <t>Restores {1}% of Max HP immediately when HP is under {0}%. Up to {2} times can be triggered each wave, unstackable.</t>
  </si>
  <si>
    <t>HPが{0}%を下回った時、直ちに最大HPの{1}%分回復する。1WAVEに{2}回まで発動可能。スカーフの効果は重複できない</t>
  </si>
  <si>
    <r>
      <t>HP</t>
    </r>
    <r>
      <rPr>
        <sz val="12"/>
        <color theme="1"/>
        <rFont val="MS Gothic"/>
        <family val="3"/>
        <charset val="128"/>
      </rPr>
      <t>가</t>
    </r>
    <r>
      <rPr>
        <sz val="12"/>
        <color theme="1"/>
        <rFont val="微软雅黑"/>
        <family val="2"/>
        <charset val="134"/>
      </rPr>
      <t xml:space="preserve"> {0}% </t>
    </r>
    <r>
      <rPr>
        <sz val="12"/>
        <color theme="1"/>
        <rFont val="MS Gothic"/>
        <family val="3"/>
        <charset val="128"/>
      </rPr>
      <t>미만일</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바로</t>
    </r>
    <r>
      <rPr>
        <sz val="12"/>
        <color theme="1"/>
        <rFont val="微软雅黑"/>
        <family val="2"/>
        <charset val="134"/>
      </rPr>
      <t xml:space="preserve"> </t>
    </r>
    <r>
      <rPr>
        <sz val="12"/>
        <color theme="1"/>
        <rFont val="MS Gothic"/>
        <family val="3"/>
        <charset val="128"/>
      </rPr>
      <t>최대</t>
    </r>
    <r>
      <rPr>
        <sz val="12"/>
        <color theme="1"/>
        <rFont val="微软雅黑"/>
        <family val="2"/>
        <charset val="134"/>
      </rPr>
      <t xml:space="preserve"> HP</t>
    </r>
    <r>
      <rPr>
        <sz val="12"/>
        <color theme="1"/>
        <rFont val="MS Gothic"/>
        <family val="3"/>
        <charset val="128"/>
      </rPr>
      <t>의</t>
    </r>
    <r>
      <rPr>
        <sz val="12"/>
        <color theme="1"/>
        <rFont val="微软雅黑"/>
        <family val="2"/>
        <charset val="134"/>
      </rPr>
      <t xml:space="preserve"> {1}%</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HP</t>
    </r>
    <r>
      <rPr>
        <sz val="12"/>
        <color theme="1"/>
        <rFont val="MS Gothic"/>
        <family val="3"/>
        <charset val="128"/>
      </rPr>
      <t>를</t>
    </r>
    <r>
      <rPr>
        <sz val="12"/>
        <color theme="1"/>
        <rFont val="微软雅黑"/>
        <family val="2"/>
        <charset val="134"/>
      </rPr>
      <t xml:space="preserve"> </t>
    </r>
    <r>
      <rPr>
        <sz val="12"/>
        <color theme="1"/>
        <rFont val="MS Gothic"/>
        <family val="3"/>
        <charset val="128"/>
      </rPr>
      <t>회복한다</t>
    </r>
    <r>
      <rPr>
        <sz val="12"/>
        <color theme="1"/>
        <rFont val="微软雅黑"/>
        <family val="2"/>
        <charset val="134"/>
      </rPr>
      <t xml:space="preserve">. </t>
    </r>
    <r>
      <rPr>
        <sz val="12"/>
        <color theme="1"/>
        <rFont val="MS Gothic"/>
        <family val="3"/>
        <charset val="128"/>
      </rPr>
      <t>각</t>
    </r>
    <r>
      <rPr>
        <sz val="12"/>
        <color theme="1"/>
        <rFont val="微软雅黑"/>
        <family val="2"/>
        <charset val="134"/>
      </rPr>
      <t xml:space="preserve"> </t>
    </r>
    <r>
      <rPr>
        <sz val="12"/>
        <color theme="1"/>
        <rFont val="MS Gothic"/>
        <family val="3"/>
        <charset val="128"/>
      </rPr>
      <t>웨이브당</t>
    </r>
    <r>
      <rPr>
        <sz val="12"/>
        <color theme="1"/>
        <rFont val="微软雅黑"/>
        <family val="2"/>
        <charset val="134"/>
      </rPr>
      <t xml:space="preserve"> </t>
    </r>
    <r>
      <rPr>
        <sz val="12"/>
        <color theme="1"/>
        <rFont val="MS Gothic"/>
        <family val="3"/>
        <charset val="128"/>
      </rPr>
      <t>최대</t>
    </r>
    <r>
      <rPr>
        <sz val="12"/>
        <color theme="1"/>
        <rFont val="微软雅黑"/>
        <family val="2"/>
        <charset val="134"/>
      </rPr>
      <t xml:space="preserve"> {2}</t>
    </r>
    <r>
      <rPr>
        <sz val="12"/>
        <color theme="1"/>
        <rFont val="MS Gothic"/>
        <family val="3"/>
        <charset val="128"/>
      </rPr>
      <t>회</t>
    </r>
    <r>
      <rPr>
        <sz val="12"/>
        <color theme="1"/>
        <rFont val="微软雅黑"/>
        <family val="2"/>
        <charset val="134"/>
      </rPr>
      <t xml:space="preserve"> </t>
    </r>
    <r>
      <rPr>
        <sz val="12"/>
        <color theme="1"/>
        <rFont val="MS Gothic"/>
        <family val="3"/>
        <charset val="128"/>
      </rPr>
      <t>발동</t>
    </r>
    <r>
      <rPr>
        <sz val="12"/>
        <color theme="1"/>
        <rFont val="微软雅黑"/>
        <family val="2"/>
        <charset val="134"/>
      </rPr>
      <t xml:space="preserve"> </t>
    </r>
    <r>
      <rPr>
        <sz val="12"/>
        <color theme="1"/>
        <rFont val="MS Gothic"/>
        <family val="3"/>
        <charset val="128"/>
      </rPr>
      <t>가능하며</t>
    </r>
    <r>
      <rPr>
        <sz val="12"/>
        <color theme="1"/>
        <rFont val="微软雅黑"/>
        <family val="2"/>
        <charset val="134"/>
      </rPr>
      <t xml:space="preserve"> </t>
    </r>
    <r>
      <rPr>
        <sz val="12"/>
        <color theme="1"/>
        <rFont val="MS Gothic"/>
        <family val="3"/>
        <charset val="128"/>
      </rPr>
      <t>스카프</t>
    </r>
    <r>
      <rPr>
        <sz val="12"/>
        <color theme="1"/>
        <rFont val="微软雅黑"/>
        <family val="2"/>
        <charset val="134"/>
      </rPr>
      <t xml:space="preserve"> </t>
    </r>
    <r>
      <rPr>
        <sz val="12"/>
        <color theme="1"/>
        <rFont val="MS Gothic"/>
        <family val="3"/>
        <charset val="128"/>
      </rPr>
      <t>여러</t>
    </r>
    <r>
      <rPr>
        <sz val="12"/>
        <color theme="1"/>
        <rFont val="微软雅黑"/>
        <family val="2"/>
        <charset val="134"/>
      </rPr>
      <t xml:space="preserve"> </t>
    </r>
    <r>
      <rPr>
        <sz val="12"/>
        <color theme="1"/>
        <rFont val="MS Gothic"/>
        <family val="3"/>
        <charset val="128"/>
      </rPr>
      <t>개</t>
    </r>
    <r>
      <rPr>
        <sz val="12"/>
        <color theme="1"/>
        <rFont val="微软雅黑"/>
        <family val="2"/>
        <charset val="134"/>
      </rPr>
      <t xml:space="preserve"> </t>
    </r>
    <r>
      <rPr>
        <sz val="12"/>
        <color theme="1"/>
        <rFont val="MS Gothic"/>
        <family val="3"/>
        <charset val="128"/>
      </rPr>
      <t>소지할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중첩되지</t>
    </r>
    <r>
      <rPr>
        <sz val="12"/>
        <color theme="1"/>
        <rFont val="微软雅黑"/>
        <family val="2"/>
        <charset val="134"/>
      </rPr>
      <t xml:space="preserve"> </t>
    </r>
    <r>
      <rPr>
        <sz val="12"/>
        <color theme="1"/>
        <rFont val="MS Gothic"/>
        <family val="3"/>
        <charset val="128"/>
      </rPr>
      <t>않는다</t>
    </r>
    <r>
      <rPr>
        <sz val="12"/>
        <color theme="1"/>
        <rFont val="微软雅黑"/>
        <family val="2"/>
        <charset val="134"/>
      </rPr>
      <t>.</t>
    </r>
  </si>
  <si>
    <t>Stellt sofort {1} % der max. LP wieder her, wenn LP unter {0} % fallen. Kann bis zu {2}-mal pro Welle ausgelöst werden, nicht stapelbar.</t>
  </si>
  <si>
    <t>Quand les PV sont inférieurs à {0} %, restaure {1} % des PV Max. immédiatement. Cet effet peut se déclencher jusqu’à {2} fois par vague et est non cumulable.</t>
  </si>
  <si>
    <t>Restaura {1}% do PV Máx. imediatamente quando o PV fica abaixo de {0}%. Até {2} vezes podem ser ativadas por onda; não acumulável.</t>
  </si>
  <si>
    <t>Restaura un {1}% de los PS Máx cuando los PS bajan del {0}%. Se puede activar hasta {2} veces por oleada. No se puede acumular.</t>
  </si>
  <si>
    <t>急救回复的血量+{0}%</t>
  </si>
  <si>
    <t>HP Restoration by First Aid +{0}%</t>
  </si>
  <si>
    <t>応急処置のHP回復効果+{0}%</t>
  </si>
  <si>
    <r>
      <t>응급처치에</t>
    </r>
    <r>
      <rPr>
        <sz val="12"/>
        <color theme="1"/>
        <rFont val="微软雅黑"/>
        <family val="2"/>
        <charset val="134"/>
      </rPr>
      <t xml:space="preserve"> </t>
    </r>
    <r>
      <rPr>
        <sz val="12"/>
        <color theme="1"/>
        <rFont val="MS Gothic"/>
        <family val="3"/>
        <charset val="128"/>
      </rPr>
      <t>의한</t>
    </r>
    <r>
      <rPr>
        <sz val="12"/>
        <color theme="1"/>
        <rFont val="微软雅黑"/>
        <family val="2"/>
        <charset val="134"/>
      </rPr>
      <t xml:space="preserve"> HP </t>
    </r>
    <r>
      <rPr>
        <sz val="12"/>
        <color theme="1"/>
        <rFont val="MS Gothic"/>
        <family val="3"/>
        <charset val="128"/>
      </rPr>
      <t>회복량</t>
    </r>
    <r>
      <rPr>
        <sz val="12"/>
        <color theme="1"/>
        <rFont val="微软雅黑"/>
        <family val="2"/>
        <charset val="134"/>
      </rPr>
      <t xml:space="preserve"> +{0}%</t>
    </r>
  </si>
  <si>
    <t>LP-Wiederherstellung durch Erste Hilfe +{0} %</t>
  </si>
  <si>
    <t>Restauration de PV par Premiers Secours +{0} %</t>
  </si>
  <si>
    <t>Restauração de PV por Primeiros Socorros +{0}%</t>
  </si>
  <si>
    <t>Regeneración de PS de Primeros Auxilios +{0}%</t>
  </si>
  <si>
    <t>四周每有1件防具时，大地之斧叠盾值+{0}%</t>
  </si>
  <si>
    <t>Axe of Earth Shield value +{0}% for every 1 armor around.</t>
  </si>
  <si>
    <t>周りに防具が1件あるごとに、アースアックスのシールド+{0}%</t>
  </si>
  <si>
    <r>
      <t>주변에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방어구</t>
    </r>
    <r>
      <rPr>
        <sz val="12"/>
        <color theme="1"/>
        <rFont val="微软雅黑"/>
        <family val="2"/>
        <charset val="134"/>
      </rPr>
      <t xml:space="preserve"> 1</t>
    </r>
    <r>
      <rPr>
        <sz val="12"/>
        <color theme="1"/>
        <rFont val="MS Gothic"/>
        <family val="3"/>
        <charset val="128"/>
      </rPr>
      <t>개당</t>
    </r>
    <r>
      <rPr>
        <sz val="12"/>
        <color theme="1"/>
        <rFont val="微软雅黑"/>
        <family val="2"/>
        <charset val="134"/>
      </rPr>
      <t xml:space="preserve"> </t>
    </r>
    <r>
      <rPr>
        <sz val="12"/>
        <color theme="1"/>
        <rFont val="MS Gothic"/>
        <family val="3"/>
        <charset val="128"/>
      </rPr>
      <t>대지의</t>
    </r>
    <r>
      <rPr>
        <sz val="12"/>
        <color theme="1"/>
        <rFont val="微软雅黑"/>
        <family val="2"/>
        <charset val="134"/>
      </rPr>
      <t xml:space="preserve"> </t>
    </r>
    <r>
      <rPr>
        <sz val="12"/>
        <color theme="1"/>
        <rFont val="MS Gothic"/>
        <family val="3"/>
        <charset val="128"/>
      </rPr>
      <t>도끼의</t>
    </r>
    <r>
      <rPr>
        <sz val="12"/>
        <color theme="1"/>
        <rFont val="微软雅黑"/>
        <family val="2"/>
        <charset val="134"/>
      </rPr>
      <t xml:space="preserve"> </t>
    </r>
    <r>
      <rPr>
        <sz val="12"/>
        <color theme="1"/>
        <rFont val="MS Gothic"/>
        <family val="3"/>
        <charset val="128"/>
      </rPr>
      <t>실드</t>
    </r>
    <r>
      <rPr>
        <sz val="12"/>
        <color theme="1"/>
        <rFont val="微软雅黑"/>
        <family val="2"/>
        <charset val="134"/>
      </rPr>
      <t xml:space="preserve"> +{0}%</t>
    </r>
  </si>
  <si>
    <t>Axt der Erde: Schildwert +{0} % pro vorhandenen Rüstungsgegenstand.</t>
  </si>
  <si>
    <t>Valeur du Bouclier de Hache de Terre +{0} % pour chaque Armure adjacente.</t>
  </si>
  <si>
    <t>Valor de Escudo do Machado da Terra +{0}% para cada 1 armadura ao redor.</t>
  </si>
  <si>
    <t>Escudo de Hacha de Tierra +{0}% por cada 1 armadura alrededor.</t>
  </si>
  <si>
    <t>黑暗之斧的暴伤+{0}%</t>
  </si>
  <si>
    <t>Axe of Darkness Crit DMG +{0}%</t>
  </si>
  <si>
    <t>ダークアックスの会心ダメージ+{0}%</t>
  </si>
  <si>
    <r>
      <t>어둠의</t>
    </r>
    <r>
      <rPr>
        <sz val="12"/>
        <color theme="1"/>
        <rFont val="微软雅黑"/>
        <family val="2"/>
        <charset val="134"/>
      </rPr>
      <t xml:space="preserve"> </t>
    </r>
    <r>
      <rPr>
        <sz val="12"/>
        <color theme="1"/>
        <rFont val="MS Gothic"/>
        <family val="3"/>
        <charset val="128"/>
      </rPr>
      <t>도끼의</t>
    </r>
    <r>
      <rPr>
        <sz val="12"/>
        <color theme="1"/>
        <rFont val="微软雅黑"/>
        <family val="2"/>
        <charset val="134"/>
      </rPr>
      <t xml:space="preserve"> </t>
    </r>
    <r>
      <rPr>
        <sz val="12"/>
        <color theme="1"/>
        <rFont val="MS Gothic"/>
        <family val="3"/>
        <charset val="128"/>
      </rPr>
      <t>치명타</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t>
    </r>
  </si>
  <si>
    <t>Axt der Dunkelheit: Krit.-Schaden +{0} %</t>
  </si>
  <si>
    <t>DÉG Crit de Hache de Ténèbres +{0} %</t>
  </si>
  <si>
    <t>DNO CRÍT de Machado das Trevas +{0}%</t>
  </si>
  <si>
    <t>Daño Crit de Hacha de Oscuridad +{0}%</t>
  </si>
  <si>
    <t>满血时，大地之斧攻速+{0}%</t>
  </si>
  <si>
    <t>Axe of Earth ATK SPD +{0}% when HP is full.</t>
  </si>
  <si>
    <t>全快時、アースアックスの攻撃速度+{0}%</t>
  </si>
  <si>
    <r>
      <t>최대</t>
    </r>
    <r>
      <rPr>
        <sz val="12"/>
        <color theme="1"/>
        <rFont val="微软雅黑"/>
        <family val="2"/>
        <charset val="134"/>
      </rPr>
      <t xml:space="preserve"> HP </t>
    </r>
    <r>
      <rPr>
        <sz val="12"/>
        <color theme="1"/>
        <rFont val="MS Gothic"/>
        <family val="3"/>
        <charset val="128"/>
      </rPr>
      <t>상태에서</t>
    </r>
    <r>
      <rPr>
        <sz val="12"/>
        <color theme="1"/>
        <rFont val="微软雅黑"/>
        <family val="2"/>
        <charset val="134"/>
      </rPr>
      <t xml:space="preserve"> </t>
    </r>
    <r>
      <rPr>
        <sz val="12"/>
        <color theme="1"/>
        <rFont val="MS Gothic"/>
        <family val="3"/>
        <charset val="128"/>
      </rPr>
      <t>대지의</t>
    </r>
    <r>
      <rPr>
        <sz val="12"/>
        <color theme="1"/>
        <rFont val="微软雅黑"/>
        <family val="2"/>
        <charset val="134"/>
      </rPr>
      <t xml:space="preserve"> </t>
    </r>
    <r>
      <rPr>
        <sz val="12"/>
        <color theme="1"/>
        <rFont val="MS Gothic"/>
        <family val="3"/>
        <charset val="128"/>
      </rPr>
      <t>도끼의</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</si>
  <si>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Axt der Erde: ANG-GSW +{0} %, wenn LP voll sind.</t>
  </si>
  <si>
    <t>VIT ATQ de Hache de Terre +{0} % quand les PV sont au max.</t>
  </si>
  <si>
    <t>VEL ATQ do Machado da Terra +{0}% quando o PV está cheio.</t>
  </si>
  <si>
    <t>VEL de ATQ de Hacha de Tierra +{0}% cuando los PS están al máximo.</t>
  </si>
  <si>
    <t>血量&lt;{0}%时，黑暗之斧吸血概率+{1}%</t>
  </si>
  <si>
    <t>When HP is under {0}%, Axe of Darkness Leech chance +{1}%</t>
  </si>
  <si>
    <t>HPが{0}%を下回っている間、ダークアックスのHP吸収確率+{1}%</t>
  </si>
  <si>
    <r>
      <t>HP</t>
    </r>
    <r>
      <rPr>
        <sz val="12"/>
        <color theme="1"/>
        <rFont val="MS Gothic"/>
        <family val="3"/>
        <charset val="128"/>
      </rPr>
      <t>가</t>
    </r>
    <r>
      <rPr>
        <sz val="12"/>
        <color theme="1"/>
        <rFont val="微软雅黑"/>
        <family val="2"/>
        <charset val="134"/>
      </rPr>
      <t xml:space="preserve"> {0}% </t>
    </r>
    <r>
      <rPr>
        <sz val="12"/>
        <color theme="1"/>
        <rFont val="MS Gothic"/>
        <family val="3"/>
        <charset val="128"/>
      </rPr>
      <t>미만일</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어둠의</t>
    </r>
    <r>
      <rPr>
        <sz val="12"/>
        <color theme="1"/>
        <rFont val="微软雅黑"/>
        <family val="2"/>
        <charset val="134"/>
      </rPr>
      <t xml:space="preserve"> </t>
    </r>
    <r>
      <rPr>
        <sz val="12"/>
        <color theme="1"/>
        <rFont val="MS Gothic"/>
        <family val="3"/>
        <charset val="128"/>
      </rPr>
      <t>도끼의</t>
    </r>
    <r>
      <rPr>
        <sz val="12"/>
        <color theme="1"/>
        <rFont val="微软雅黑"/>
        <family val="2"/>
        <charset val="134"/>
      </rPr>
      <t xml:space="preserve"> </t>
    </r>
    <r>
      <rPr>
        <sz val="12"/>
        <color theme="1"/>
        <rFont val="MS Gothic"/>
        <family val="3"/>
        <charset val="128"/>
      </rPr>
      <t>흡혈</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+{1}%</t>
    </r>
  </si>
  <si>
    <t>Wenn LP unter {0} % liegen, Raubchance von Axt der Dunkelheit +{1} %</t>
  </si>
  <si>
    <t>Quand les PV sont inférieurs à {0} %, chances de Sangsue de Hache de Ténèbres +{1} %</t>
  </si>
  <si>
    <t>Quando o PV está abaixo de {0}%, chance de Explorar do Machado das Trevas +{1}%</t>
  </si>
  <si>
    <t>Probabilidad de Drenaje de Hacha de Oscuridad +{1}% cuando los PS bajan del {0}%</t>
  </si>
  <si>
    <t>命中后，范围内的目标有30%概率附加迷晕状态:攻速移速-40%，且有40%概率攻击落空，持续4秒</t>
  </si>
  <si>
    <t>After a target is hit, the targets within the area have a {0}% chance of being stunned: ATK SPD and Moving SPD -{1}% and the attack has a {2}% chance to fail, lasting for {3}s.</t>
  </si>
  <si>
    <t>命中後、{0}%の確率で範囲内の敵をよろめきを付与する：{3}秒間、攻撃速度と移動速度-{1}%、攻撃は{2}%の確率でmissになる</t>
  </si>
  <si>
    <r>
      <t>적중</t>
    </r>
    <r>
      <rPr>
        <sz val="12"/>
        <color theme="1"/>
        <rFont val="微软雅黑"/>
        <family val="2"/>
        <charset val="134"/>
      </rPr>
      <t xml:space="preserve"> </t>
    </r>
    <r>
      <rPr>
        <sz val="12"/>
        <color theme="1"/>
        <rFont val="MS Gothic"/>
        <family val="3"/>
        <charset val="128"/>
      </rPr>
      <t>후</t>
    </r>
    <r>
      <rPr>
        <sz val="12"/>
        <color theme="1"/>
        <rFont val="微软雅黑"/>
        <family val="2"/>
        <charset val="134"/>
      </rPr>
      <t xml:space="preserve"> </t>
    </r>
    <r>
      <rPr>
        <sz val="12"/>
        <color theme="1"/>
        <rFont val="MS Gothic"/>
        <family val="3"/>
        <charset val="128"/>
      </rPr>
      <t>범위</t>
    </r>
    <r>
      <rPr>
        <sz val="12"/>
        <color theme="1"/>
        <rFont val="微软雅黑"/>
        <family val="2"/>
        <charset val="134"/>
      </rPr>
      <t xml:space="preserve"> </t>
    </r>
    <r>
      <rPr>
        <sz val="12"/>
        <color theme="1"/>
        <rFont val="MS Gothic"/>
        <family val="3"/>
        <charset val="128"/>
      </rPr>
      <t>내의</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혼미</t>
    </r>
    <r>
      <rPr>
        <sz val="12"/>
        <color theme="1"/>
        <rFont val="微软雅黑"/>
        <family val="2"/>
        <charset val="134"/>
      </rPr>
      <t xml:space="preserve"> </t>
    </r>
    <r>
      <rPr>
        <sz val="12"/>
        <color theme="1"/>
        <rFont val="MS Gothic"/>
        <family val="3"/>
        <charset val="128"/>
      </rPr>
      <t>상태를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 xml:space="preserve">. </t>
    </r>
    <r>
      <rPr>
        <sz val="12"/>
        <color theme="1"/>
        <rFont val="MS Gothic"/>
        <family val="3"/>
        <charset val="128"/>
      </rPr>
      <t>혼미</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t>
    </r>
    <r>
      <rPr>
        <sz val="12"/>
        <color theme="1"/>
        <rFont val="MS Gothic"/>
        <family val="3"/>
        <charset val="128"/>
      </rPr>
      <t>이동</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-{1}%, {2}%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공격이</t>
    </r>
    <r>
      <rPr>
        <sz val="12"/>
        <color theme="1"/>
        <rFont val="微软雅黑"/>
        <family val="2"/>
        <charset val="134"/>
      </rPr>
      <t xml:space="preserve"> </t>
    </r>
    <r>
      <rPr>
        <sz val="12"/>
        <color theme="1"/>
        <rFont val="MS Gothic"/>
        <family val="3"/>
        <charset val="128"/>
      </rPr>
      <t>실패한다</t>
    </r>
    <r>
      <rPr>
        <sz val="12"/>
        <color theme="1"/>
        <rFont val="微软雅黑"/>
        <family val="2"/>
        <charset val="134"/>
      </rPr>
      <t>. ({3}</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t>
    </r>
  </si>
  <si>
    <t>Nachdem ein Ziel getroffen wurde, besteht eine Chance von {0} %, dass den Zielen innerhalb des Bereichs Benommenheit zugefügt wird: ANG-GSW und Bewegungsgeschwindigkeit -{1} %, und es besteht eine Chance von {2} %, dass Angriffe fehlschlagen. Hält {3} Sekunden an.</t>
  </si>
  <si>
    <t>Quand une cible est touchée, les cibles figurant dans la zone ont {0} % de chances d’être affectées par Syncope : VIT d’ATQ et VIT de Déplacement -{1} %, et l’attaque a {2} % de chances d’échouer. Cet effet dure {3} s.</t>
  </si>
  <si>
    <t>Depois de acertar um alvo, os alvos dentro da área têm {0}% de chance de receberem o efeito Tontura: VEL ATQ e VEL de Movimento -{1}% e o ataque tem {2}% de chance de falhar, durando {3} s.</t>
  </si>
  <si>
    <t>Los objetivos dentro de la zona tienen un {0}% probabilidad de quedar aturdidos al recibir ataques: VEL de ATQ y VEL de Movimiento -{1}%, y al atacar tienen un {2}% de fallar durante {3}s.</t>
  </si>
  <si>
    <t>时间沙漏攻击时有30%概率回复时间沙漏自身攻击20%的血量</t>
  </si>
  <si>
    <t>When attacking, Hourglass has a {0}% chance of restoring HP by {1}% of self ATK.</t>
  </si>
  <si>
    <t>時の砂時計攻撃時、{0}%の確率でHPを時の砂時計の攻撃力の{1}%分回復する</t>
  </si>
  <si>
    <r>
      <t>모래시계로</t>
    </r>
    <r>
      <rPr>
        <sz val="12"/>
        <color theme="1"/>
        <rFont val="微软雅黑"/>
        <family val="2"/>
        <charset val="134"/>
      </rPr>
      <t xml:space="preserve"> </t>
    </r>
    <r>
      <rPr>
        <sz val="12"/>
        <color theme="1"/>
        <rFont val="MS Gothic"/>
        <family val="3"/>
        <charset val="128"/>
      </rPr>
      <t>공격할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모래시계</t>
    </r>
    <r>
      <rPr>
        <sz val="12"/>
        <color theme="1"/>
        <rFont val="微软雅黑"/>
        <family val="2"/>
        <charset val="134"/>
      </rPr>
      <t xml:space="preserve"> </t>
    </r>
    <r>
      <rPr>
        <sz val="12"/>
        <color theme="1"/>
        <rFont val="MS Gothic"/>
        <family val="3"/>
        <charset val="128"/>
      </rPr>
      <t>자체</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{1}%</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HP</t>
    </r>
    <r>
      <rPr>
        <sz val="12"/>
        <color theme="1"/>
        <rFont val="MS Gothic"/>
        <family val="3"/>
        <charset val="128"/>
      </rPr>
      <t>를</t>
    </r>
    <r>
      <rPr>
        <sz val="12"/>
        <color theme="1"/>
        <rFont val="微软雅黑"/>
        <family val="2"/>
        <charset val="134"/>
      </rPr>
      <t xml:space="preserve"> </t>
    </r>
    <r>
      <rPr>
        <sz val="12"/>
        <color theme="1"/>
        <rFont val="MS Gothic"/>
        <family val="3"/>
        <charset val="128"/>
      </rPr>
      <t>회복한다</t>
    </r>
    <r>
      <rPr>
        <sz val="12"/>
        <color theme="1"/>
        <rFont val="微软雅黑"/>
        <family val="2"/>
        <charset val="134"/>
      </rPr>
      <t>.</t>
    </r>
  </si>
  <si>
    <t>Beim Angriff hat Sanduhr eine Chance von {0} %, LP um {1} % des eigenen ANG wiederherzustellen.</t>
  </si>
  <si>
    <t>Quand une attaque est lancée, Sablier a {0} % de chances de restaurer des PV à hauteur de {1} % de l’ATQ du héros.</t>
  </si>
  <si>
    <t>Ao atacar, Ampulheta tem {0}% de chance de restaurar PV em {1}% do ATQ de si.</t>
  </si>
  <si>
    <t>Reloj de Arena tienen un {0}% de probabilidad de restaurar un {1}% del ATQ propio como PS.</t>
  </si>
  <si>
    <t>时间沙漏附加迷晕概率+20%</t>
  </si>
  <si>
    <t>Hourglass's chance of inflicting Stun +{0}%</t>
  </si>
  <si>
    <t>時の砂時計のよろめきの付与確率+{0}%</t>
  </si>
  <si>
    <r>
      <t>모래시계의</t>
    </r>
    <r>
      <rPr>
        <sz val="12"/>
        <color theme="1"/>
        <rFont val="微软雅黑"/>
        <family val="2"/>
        <charset val="134"/>
      </rPr>
      <t xml:space="preserve"> </t>
    </r>
    <r>
      <rPr>
        <sz val="12"/>
        <color theme="1"/>
        <rFont val="MS Gothic"/>
        <family val="3"/>
        <charset val="128"/>
      </rPr>
      <t>혼미</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t>
    </r>
    <r>
      <rPr>
        <sz val="12"/>
        <color theme="1"/>
        <rFont val="MS Gothic"/>
        <family val="3"/>
        <charset val="128"/>
      </rPr>
      <t>부여</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</si>
  <si>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+{0} % Chance von Sanduhr, Benommenheit zu verursachen</t>
  </si>
  <si>
    <t>Chances de Sablier d’appliquer Syncope +{0} %</t>
  </si>
  <si>
    <t>Chance de Ampulheta gerar Tontura +{0}%</t>
  </si>
  <si>
    <t>Probabilidad de aturdir de Reloj de Arena +{0}%</t>
  </si>
  <si>
    <t>时间沙漏附加迷晕后，敌人攻击落空概率+30%</t>
  </si>
  <si>
    <t>After Hourglass inflicts Stun, the chance for enemies to fail to attack +{0}%.</t>
  </si>
  <si>
    <t>時の砂時計がよろめき付与後、敵の攻撃がmissになる確率+{0}%</t>
  </si>
  <si>
    <r>
      <t>모래시계가</t>
    </r>
    <r>
      <rPr>
        <sz val="12"/>
        <color theme="1"/>
        <rFont val="微软雅黑"/>
        <family val="2"/>
        <charset val="134"/>
      </rPr>
      <t xml:space="preserve"> </t>
    </r>
    <r>
      <rPr>
        <sz val="12"/>
        <color theme="1"/>
        <rFont val="MS Gothic"/>
        <family val="3"/>
        <charset val="128"/>
      </rPr>
      <t>혼미</t>
    </r>
    <r>
      <rPr>
        <sz val="12"/>
        <color theme="1"/>
        <rFont val="微软雅黑"/>
        <family val="2"/>
        <charset val="134"/>
      </rPr>
      <t xml:space="preserve"> </t>
    </r>
    <r>
      <rPr>
        <sz val="12"/>
        <color theme="1"/>
        <rFont val="MS Gothic"/>
        <family val="3"/>
        <charset val="128"/>
      </rPr>
      <t>효과</t>
    </r>
    <r>
      <rPr>
        <sz val="12"/>
        <color theme="1"/>
        <rFont val="微软雅黑"/>
        <family val="2"/>
        <charset val="134"/>
      </rPr>
      <t xml:space="preserve"> </t>
    </r>
    <r>
      <rPr>
        <sz val="12"/>
        <color theme="1"/>
        <rFont val="MS Gothic"/>
        <family val="3"/>
        <charset val="128"/>
      </rPr>
      <t>부여한</t>
    </r>
    <r>
      <rPr>
        <sz val="12"/>
        <color theme="1"/>
        <rFont val="微软雅黑"/>
        <family val="2"/>
        <charset val="134"/>
      </rPr>
      <t xml:space="preserve"> </t>
    </r>
    <r>
      <rPr>
        <sz val="12"/>
        <color theme="1"/>
        <rFont val="MS Gothic"/>
        <family val="3"/>
        <charset val="128"/>
      </rPr>
      <t>후</t>
    </r>
    <r>
      <rPr>
        <sz val="12"/>
        <color theme="1"/>
        <rFont val="微软雅黑"/>
        <family val="2"/>
        <charset val="134"/>
      </rPr>
      <t xml:space="preserve">, </t>
    </r>
    <r>
      <rPr>
        <sz val="12"/>
        <color theme="1"/>
        <rFont val="MS Gothic"/>
        <family val="3"/>
        <charset val="128"/>
      </rPr>
      <t>적의</t>
    </r>
    <r>
      <rPr>
        <sz val="12"/>
        <color theme="1"/>
        <rFont val="微软雅黑"/>
        <family val="2"/>
        <charset val="134"/>
      </rPr>
      <t xml:space="preserve"> </t>
    </r>
    <r>
      <rPr>
        <sz val="12"/>
        <color theme="1"/>
        <rFont val="MS Gothic"/>
        <family val="3"/>
        <charset val="128"/>
      </rPr>
      <t>공격이</t>
    </r>
    <r>
      <rPr>
        <sz val="12"/>
        <color theme="1"/>
        <rFont val="微软雅黑"/>
        <family val="2"/>
        <charset val="134"/>
      </rPr>
      <t xml:space="preserve"> </t>
    </r>
    <r>
      <rPr>
        <sz val="12"/>
        <color theme="1"/>
        <rFont val="MS Gothic"/>
        <family val="3"/>
        <charset val="128"/>
      </rPr>
      <t>실패할</t>
    </r>
    <r>
      <rPr>
        <sz val="12"/>
        <color theme="1"/>
        <rFont val="微软雅黑"/>
        <family val="2"/>
        <charset val="134"/>
      </rPr>
      <t xml:space="preserve"> </t>
    </r>
    <r>
      <rPr>
        <sz val="12"/>
        <color theme="1"/>
        <rFont val="MS Gothic"/>
        <family val="3"/>
        <charset val="128"/>
      </rPr>
      <t>확률</t>
    </r>
    <r>
      <rPr>
        <sz val="12"/>
        <color theme="1"/>
        <rFont val="微软雅黑"/>
        <family val="2"/>
        <charset val="134"/>
      </rPr>
      <t xml:space="preserve"> +{0}%</t>
    </r>
  </si>
  <si>
    <t>Nachdem Sanduhr Benommenheit verursacht, erhöht sich die Chance, dass Gegner nicht angreifen, um +{0} %.</t>
  </si>
  <si>
    <t>Chances de faire échouer les attaques des ennemis après que Sablier a appliqué Syncope +{0} %.</t>
  </si>
  <si>
    <t>Depois que Ampulheta gera Tontura, chance de os inimigos falharem em atacar +{0}%.</t>
  </si>
  <si>
    <t>Probabilidad de que los enemigos fallen ataques después de que Reloj de Arena les aturda +{0}%.</t>
  </si>
  <si>
    <t>背包内每有1件地元素装备，地之回响攻速+10%</t>
  </si>
  <si>
    <t>For every 1 Earth equipment in the backpack, Echo of Earth ATK SPD +{0}%.</t>
  </si>
  <si>
    <t>バックパックに地属性の装備品が1つあるごとに、土のエコーの攻撃速度+{0}%</t>
  </si>
  <si>
    <r>
      <t>배낭에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땅</t>
    </r>
    <r>
      <rPr>
        <sz val="12"/>
        <color theme="1"/>
        <rFont val="微软雅黑"/>
        <family val="2"/>
        <charset val="134"/>
      </rPr>
      <t xml:space="preserve"> </t>
    </r>
    <r>
      <rPr>
        <sz val="12"/>
        <color theme="1"/>
        <rFont val="MS Gothic"/>
        <family val="3"/>
        <charset val="128"/>
      </rPr>
      <t>원소</t>
    </r>
    <r>
      <rPr>
        <sz val="12"/>
        <color theme="1"/>
        <rFont val="微软雅黑"/>
        <family val="2"/>
        <charset val="134"/>
      </rPr>
      <t xml:space="preserve"> </t>
    </r>
    <r>
      <rPr>
        <sz val="12"/>
        <color theme="1"/>
        <rFont val="MS Gothic"/>
        <family val="3"/>
        <charset val="128"/>
      </rPr>
      <t>장비</t>
    </r>
    <r>
      <rPr>
        <sz val="12"/>
        <color theme="1"/>
        <rFont val="微软雅黑"/>
        <family val="2"/>
        <charset val="134"/>
      </rPr>
      <t xml:space="preserve"> 1</t>
    </r>
    <r>
      <rPr>
        <sz val="12"/>
        <color theme="1"/>
        <rFont val="MS Gothic"/>
        <family val="3"/>
        <charset val="128"/>
      </rPr>
      <t>개당</t>
    </r>
    <r>
      <rPr>
        <sz val="12"/>
        <color theme="1"/>
        <rFont val="微软雅黑"/>
        <family val="2"/>
        <charset val="134"/>
      </rPr>
      <t xml:space="preserve"> </t>
    </r>
    <r>
      <rPr>
        <sz val="12"/>
        <color theme="1"/>
        <rFont val="MS Gothic"/>
        <family val="3"/>
        <charset val="128"/>
      </rPr>
      <t>땅의</t>
    </r>
    <r>
      <rPr>
        <sz val="12"/>
        <color theme="1"/>
        <rFont val="微软雅黑"/>
        <family val="2"/>
        <charset val="134"/>
      </rPr>
      <t xml:space="preserve"> </t>
    </r>
    <r>
      <rPr>
        <sz val="12"/>
        <color theme="1"/>
        <rFont val="MS Gothic"/>
        <family val="3"/>
        <charset val="128"/>
      </rPr>
      <t>메아리의</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</si>
  <si>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Pro Erd-Ausrüstungsgegenstand im Rucksack, ANG-GSW von Echo der Erde: +{0} %</t>
  </si>
  <si>
    <t>Pour chaque équipement de Terre dans le sac, DÉG d’Écho de la Terre +{0} %.</t>
  </si>
  <si>
    <t>Para cada 1 equipamento da Terra na mochila, VEL ATQ de Eco da Terra +{0}%.</t>
  </si>
  <si>
    <t>VEL de ATQ de Eco de la Tierra +{0}% por cada 1 equipamiento de Tierra en el inventario.</t>
  </si>
  <si>
    <t>水之回响造附加减移速、减攻速额外-30%</t>
  </si>
  <si>
    <t>Moving SPD Down and ATK SPD Down effects inflicted by Echo of Water -{0}%.</t>
  </si>
  <si>
    <t>水のエコーは追加で移動速度と攻撃速度-{0}%</t>
  </si>
  <si>
    <r>
      <t>물의</t>
    </r>
    <r>
      <rPr>
        <sz val="12"/>
        <color theme="1"/>
        <rFont val="微软雅黑"/>
        <family val="2"/>
        <charset val="134"/>
      </rPr>
      <t xml:space="preserve"> </t>
    </r>
    <r>
      <rPr>
        <sz val="12"/>
        <color theme="1"/>
        <rFont val="MS Gothic"/>
        <family val="3"/>
        <charset val="128"/>
      </rPr>
      <t>메아리는</t>
    </r>
    <r>
      <rPr>
        <sz val="12"/>
        <color theme="1"/>
        <rFont val="微软雅黑"/>
        <family val="2"/>
        <charset val="134"/>
      </rPr>
      <t xml:space="preserve"> </t>
    </r>
    <r>
      <rPr>
        <sz val="12"/>
        <color theme="1"/>
        <rFont val="MS Gothic"/>
        <family val="3"/>
        <charset val="128"/>
      </rPr>
      <t>추가로</t>
    </r>
    <r>
      <rPr>
        <sz val="12"/>
        <color theme="1"/>
        <rFont val="微软雅黑"/>
        <family val="2"/>
        <charset val="134"/>
      </rPr>
      <t xml:space="preserve"> </t>
    </r>
    <r>
      <rPr>
        <sz val="12"/>
        <color theme="1"/>
        <rFont val="MS Gothic"/>
        <family val="3"/>
        <charset val="128"/>
      </rPr>
      <t>이동</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t>
    </r>
    <r>
      <rPr>
        <sz val="12"/>
        <color theme="1"/>
        <rFont val="MS Gothic"/>
        <family val="3"/>
        <charset val="128"/>
      </rPr>
      <t>감소</t>
    </r>
    <r>
      <rPr>
        <sz val="12"/>
        <color theme="1"/>
        <rFont val="微软雅黑"/>
        <family val="2"/>
        <charset val="134"/>
      </rPr>
      <t xml:space="preserve"> </t>
    </r>
    <r>
      <rPr>
        <sz val="12"/>
        <color theme="1"/>
        <rFont val="MS Gothic"/>
        <family val="3"/>
        <charset val="128"/>
      </rPr>
      <t>효과</t>
    </r>
    <r>
      <rPr>
        <sz val="12"/>
        <color theme="1"/>
        <rFont val="微软雅黑"/>
        <family val="2"/>
        <charset val="134"/>
      </rPr>
      <t>(</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r>
      <rPr>
        <sz val="12"/>
        <color theme="1"/>
        <rFont val="MS Gothic"/>
        <family val="3"/>
        <charset val="128"/>
      </rPr>
      <t>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t>
    </r>
  </si>
  <si>
    <t>Von Echo des Wassers zugefügte Verlangsamungseffekte auf Bewegungsgeschwindigkeit und ANG-GSW: -{0} %.</t>
  </si>
  <si>
    <t>Effets Baisse de la VIT et Baisse de la VIT d’ATQ appliqués par Écho de l’Eau -{0} %.</t>
  </si>
  <si>
    <t>Efeitos de Reduções de VEL de Movimento e VEL ATQ geradas por Eco da Água -{0}%.</t>
  </si>
  <si>
    <t>Efectos de reducción de VEL de Movimiento y VEL de ATQ aplicados por Eco del Agua -{0}%.</t>
  </si>
  <si>
    <t>背包内每有1件地元素装备，地之回响暴击+10%</t>
  </si>
  <si>
    <t>For every 1 Earth equipment in the backpack, Echo of Earth Crit +{0}%.</t>
  </si>
  <si>
    <t>バックパックに地属性の装備品が1つあるごとに、土のエコーの会心率+{0}%</t>
  </si>
  <si>
    <r>
      <t>배낭에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땅</t>
    </r>
    <r>
      <rPr>
        <sz val="12"/>
        <color theme="1"/>
        <rFont val="微软雅黑"/>
        <family val="2"/>
        <charset val="134"/>
      </rPr>
      <t xml:space="preserve"> </t>
    </r>
    <r>
      <rPr>
        <sz val="12"/>
        <color theme="1"/>
        <rFont val="MS Gothic"/>
        <family val="3"/>
        <charset val="128"/>
      </rPr>
      <t>원소</t>
    </r>
    <r>
      <rPr>
        <sz val="12"/>
        <color theme="1"/>
        <rFont val="微软雅黑"/>
        <family val="2"/>
        <charset val="134"/>
      </rPr>
      <t xml:space="preserve"> </t>
    </r>
    <r>
      <rPr>
        <sz val="12"/>
        <color theme="1"/>
        <rFont val="MS Gothic"/>
        <family val="3"/>
        <charset val="128"/>
      </rPr>
      <t>장비</t>
    </r>
    <r>
      <rPr>
        <sz val="12"/>
        <color theme="1"/>
        <rFont val="微软雅黑"/>
        <family val="2"/>
        <charset val="134"/>
      </rPr>
      <t xml:space="preserve"> 1</t>
    </r>
    <r>
      <rPr>
        <sz val="12"/>
        <color theme="1"/>
        <rFont val="MS Gothic"/>
        <family val="3"/>
        <charset val="128"/>
      </rPr>
      <t>개당</t>
    </r>
    <r>
      <rPr>
        <sz val="12"/>
        <color theme="1"/>
        <rFont val="微软雅黑"/>
        <family val="2"/>
        <charset val="134"/>
      </rPr>
      <t xml:space="preserve"> </t>
    </r>
    <r>
      <rPr>
        <sz val="12"/>
        <color theme="1"/>
        <rFont val="MS Gothic"/>
        <family val="3"/>
        <charset val="128"/>
      </rPr>
      <t>땅의</t>
    </r>
    <r>
      <rPr>
        <sz val="12"/>
        <color theme="1"/>
        <rFont val="微软雅黑"/>
        <family val="2"/>
        <charset val="134"/>
      </rPr>
      <t xml:space="preserve"> </t>
    </r>
    <r>
      <rPr>
        <sz val="12"/>
        <color theme="1"/>
        <rFont val="MS Gothic"/>
        <family val="3"/>
        <charset val="128"/>
      </rPr>
      <t>메아리의</t>
    </r>
    <r>
      <rPr>
        <sz val="12"/>
        <color theme="1"/>
        <rFont val="微软雅黑"/>
        <family val="2"/>
        <charset val="134"/>
      </rPr>
      <t xml:space="preserve"> </t>
    </r>
    <r>
      <rPr>
        <sz val="12"/>
        <color theme="1"/>
        <rFont val="MS Gothic"/>
        <family val="3"/>
        <charset val="128"/>
      </rPr>
      <t>치명타율</t>
    </r>
    <r>
      <rPr>
        <sz val="12"/>
        <color theme="1"/>
        <rFont val="微软雅黑"/>
        <family val="2"/>
        <charset val="134"/>
      </rPr>
      <t xml:space="preserve"> +{0}%</t>
    </r>
  </si>
  <si>
    <t>Pro Erd-Ausrüstungsgegenstand im Rucksack, Krit. von Echo der Erde: +{0} %</t>
  </si>
  <si>
    <t>Pour chaque équipement de Terre dans le sac, Crit d’Écho de la Terre +{0} %.</t>
  </si>
  <si>
    <t>Para cada 1 equipamento da Terra na mochila, CRÍT de Eco da Terra +{0}%.</t>
  </si>
  <si>
    <t>Crit de Eco de la Tierra +{0}% por cada 1 equipamiento de Tierra en el inventario.</t>
  </si>
  <si>
    <t>水之回响对冰冻减速目标伤害+50%，对冻结目标伤害+100%</t>
  </si>
  <si>
    <t>DMG dealt by Echo of Water to the targets with freezing and slow effects +{0}%, to the frozen targets +{1}%.</t>
  </si>
  <si>
    <t>水のエコーが減速状態のターゲットに与えるダメージ+{0}%、凍結状態のターゲットに与えるダメージ+{1}%</t>
  </si>
  <si>
    <r>
      <t>물의</t>
    </r>
    <r>
      <rPr>
        <sz val="12"/>
        <color theme="1"/>
        <rFont val="微软雅黑"/>
        <family val="2"/>
        <charset val="134"/>
      </rPr>
      <t xml:space="preserve"> </t>
    </r>
    <r>
      <rPr>
        <sz val="12"/>
        <color theme="1"/>
        <rFont val="MS Gothic"/>
        <family val="3"/>
        <charset val="128"/>
      </rPr>
      <t>메아리가</t>
    </r>
    <r>
      <rPr>
        <sz val="12"/>
        <color theme="1"/>
        <rFont val="微软雅黑"/>
        <family val="2"/>
        <charset val="134"/>
      </rPr>
      <t xml:space="preserve"> </t>
    </r>
    <r>
      <rPr>
        <sz val="12"/>
        <color theme="1"/>
        <rFont val="MS Gothic"/>
        <family val="3"/>
        <charset val="128"/>
      </rPr>
      <t>빙결</t>
    </r>
    <r>
      <rPr>
        <sz val="12"/>
        <color theme="1"/>
        <rFont val="微软雅黑"/>
        <family val="2"/>
        <charset val="134"/>
      </rPr>
      <t xml:space="preserve"> </t>
    </r>
    <r>
      <rPr>
        <sz val="12"/>
        <color theme="1"/>
        <rFont val="MS Gothic"/>
        <family val="3"/>
        <charset val="128"/>
      </rPr>
      <t>감속</t>
    </r>
    <r>
      <rPr>
        <sz val="12"/>
        <color theme="1"/>
        <rFont val="微软雅黑"/>
        <family val="2"/>
        <charset val="134"/>
      </rPr>
      <t xml:space="preserve"> </t>
    </r>
    <r>
      <rPr>
        <sz val="12"/>
        <color theme="1"/>
        <rFont val="MS Gothic"/>
        <family val="3"/>
        <charset val="128"/>
      </rPr>
      <t>상태의</t>
    </r>
    <r>
      <rPr>
        <sz val="12"/>
        <color theme="1"/>
        <rFont val="微软雅黑"/>
        <family val="2"/>
        <charset val="134"/>
      </rPr>
      <t xml:space="preserve"> </t>
    </r>
    <r>
      <rPr>
        <sz val="12"/>
        <color theme="1"/>
        <rFont val="MS Gothic"/>
        <family val="3"/>
        <charset val="128"/>
      </rPr>
      <t>대상에</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+{0}%, </t>
    </r>
    <r>
      <rPr>
        <sz val="12"/>
        <color theme="1"/>
        <rFont val="MS Gothic"/>
        <family val="3"/>
        <charset val="128"/>
      </rPr>
      <t>동결</t>
    </r>
    <r>
      <rPr>
        <sz val="12"/>
        <color theme="1"/>
        <rFont val="微软雅黑"/>
        <family val="2"/>
        <charset val="134"/>
      </rPr>
      <t xml:space="preserve"> </t>
    </r>
    <r>
      <rPr>
        <sz val="12"/>
        <color theme="1"/>
        <rFont val="MS Gothic"/>
        <family val="3"/>
        <charset val="128"/>
      </rPr>
      <t>상태의</t>
    </r>
    <r>
      <rPr>
        <sz val="12"/>
        <color theme="1"/>
        <rFont val="微软雅黑"/>
        <family val="2"/>
        <charset val="134"/>
      </rPr>
      <t xml:space="preserve"> </t>
    </r>
    <r>
      <rPr>
        <sz val="12"/>
        <color theme="1"/>
        <rFont val="MS Gothic"/>
        <family val="3"/>
        <charset val="128"/>
      </rPr>
      <t>대상에</t>
    </r>
    <r>
      <rPr>
        <sz val="12"/>
        <color theme="1"/>
        <rFont val="微软雅黑"/>
        <family val="2"/>
        <charset val="134"/>
      </rPr>
      <t xml:space="preserve"> </t>
    </r>
    <r>
      <rPr>
        <sz val="12"/>
        <color theme="1"/>
        <rFont val="MS Gothic"/>
        <family val="3"/>
        <charset val="128"/>
      </rPr>
      <t>주는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+{1}%</t>
    </r>
  </si>
  <si>
    <t>Ausgeteilter Schaden von Echo des Wassers an Ziele mit Einfrier- und Verlangsamungseffekte: +{0} %, an eingefrorene Ziele +{1} %.</t>
  </si>
  <si>
    <t>DÉG infligés par Écho de l’Eau aux cibles affectées par Gel et Lenteur +{0} %, et aux cibles gelées +{1} %.</t>
  </si>
  <si>
    <t>DNO causado por Eco da Água a alvos com efeitos de congelamento e lentidão +{0}%; a alvos congelados +{1}%.</t>
  </si>
  <si>
    <t>Daño infligido por Eco del Agua a objetivos congelados o ralentizados +{0}%. A los objetivos congelados +{1}%.</t>
  </si>
  <si>
    <t>同时扔出{0}-{1}个魔杖盒</t>
  </si>
  <si>
    <t>Throws {0}-{1} Wand Boxes at the same time.</t>
  </si>
  <si>
    <t>ステッキボックスを同時に{0}～{1}個投げ出す</t>
  </si>
  <si>
    <r>
      <t>동시에</t>
    </r>
    <r>
      <rPr>
        <sz val="12"/>
        <color theme="1"/>
        <rFont val="微软雅黑"/>
        <family val="2"/>
        <charset val="134"/>
      </rPr>
      <t xml:space="preserve"> {0}-{1}</t>
    </r>
    <r>
      <rPr>
        <sz val="12"/>
        <color theme="1"/>
        <rFont val="MS Gothic"/>
        <family val="3"/>
        <charset val="128"/>
      </rPr>
      <t>개의</t>
    </r>
    <r>
      <rPr>
        <sz val="12"/>
        <color theme="1"/>
        <rFont val="微软雅黑"/>
        <family val="2"/>
        <charset val="134"/>
      </rPr>
      <t xml:space="preserve"> </t>
    </r>
    <r>
      <rPr>
        <sz val="12"/>
        <color theme="1"/>
        <rFont val="MS Gothic"/>
        <family val="3"/>
        <charset val="128"/>
      </rPr>
      <t>스태프</t>
    </r>
    <r>
      <rPr>
        <sz val="12"/>
        <color theme="1"/>
        <rFont val="微软雅黑"/>
        <family val="2"/>
        <charset val="134"/>
      </rPr>
      <t xml:space="preserve"> </t>
    </r>
    <r>
      <rPr>
        <sz val="12"/>
        <color theme="1"/>
        <rFont val="MS Gothic"/>
        <family val="3"/>
        <charset val="128"/>
      </rPr>
      <t>박스를</t>
    </r>
    <r>
      <rPr>
        <sz val="12"/>
        <color theme="1"/>
        <rFont val="微软雅黑"/>
        <family val="2"/>
        <charset val="134"/>
      </rPr>
      <t xml:space="preserve"> </t>
    </r>
    <r>
      <rPr>
        <sz val="12"/>
        <color theme="1"/>
        <rFont val="MS Gothic"/>
        <family val="3"/>
        <charset val="128"/>
      </rPr>
      <t>투척한다</t>
    </r>
    <r>
      <rPr>
        <sz val="12"/>
        <color theme="1"/>
        <rFont val="微软雅黑"/>
        <family val="2"/>
        <charset val="134"/>
      </rPr>
      <t>.</t>
    </r>
  </si>
  <si>
    <t>魔杖盒命中有{0}%概率造成击退，击退距离随机</t>
  </si>
  <si>
    <t>Wand Box has a {0}% chance to repulse the enemy by a random distance.</t>
  </si>
  <si>
    <t>ステッキボックス命中後、{0}%の確率で敵を撃退する。撃退距離はランダムに決められる</t>
  </si>
  <si>
    <r>
      <t>스태프</t>
    </r>
    <r>
      <rPr>
        <sz val="12"/>
        <color theme="1"/>
        <rFont val="微软雅黑"/>
        <family val="2"/>
        <charset val="134"/>
      </rPr>
      <t xml:space="preserve"> </t>
    </r>
    <r>
      <rPr>
        <sz val="12"/>
        <color theme="1"/>
        <rFont val="MS Gothic"/>
        <family val="3"/>
        <charset val="128"/>
      </rPr>
      <t>박스가</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격퇴하며</t>
    </r>
    <r>
      <rPr>
        <sz val="12"/>
        <color theme="1"/>
        <rFont val="微软雅黑"/>
        <family val="2"/>
        <charset val="134"/>
      </rPr>
      <t xml:space="preserve">, </t>
    </r>
    <r>
      <rPr>
        <sz val="12"/>
        <color theme="1"/>
        <rFont val="MS Gothic"/>
        <family val="3"/>
        <charset val="128"/>
      </rPr>
      <t>격퇴</t>
    </r>
    <r>
      <rPr>
        <sz val="12"/>
        <color theme="1"/>
        <rFont val="微软雅黑"/>
        <family val="2"/>
        <charset val="134"/>
      </rPr>
      <t xml:space="preserve"> </t>
    </r>
    <r>
      <rPr>
        <sz val="12"/>
        <color theme="1"/>
        <rFont val="MS Gothic"/>
        <family val="3"/>
        <charset val="128"/>
      </rPr>
      <t>거리는</t>
    </r>
    <r>
      <rPr>
        <sz val="12"/>
        <color theme="1"/>
        <rFont val="微软雅黑"/>
        <family val="2"/>
        <charset val="134"/>
      </rPr>
      <t xml:space="preserve"> </t>
    </r>
    <r>
      <rPr>
        <sz val="12"/>
        <color theme="1"/>
        <rFont val="MS Gothic"/>
        <family val="3"/>
        <charset val="128"/>
      </rPr>
      <t>무작위로</t>
    </r>
    <r>
      <rPr>
        <sz val="12"/>
        <color theme="1"/>
        <rFont val="微软雅黑"/>
        <family val="2"/>
        <charset val="134"/>
      </rPr>
      <t xml:space="preserve"> </t>
    </r>
    <r>
      <rPr>
        <sz val="12"/>
        <color theme="1"/>
        <rFont val="MS Gothic"/>
        <family val="3"/>
        <charset val="128"/>
      </rPr>
      <t>정해진다</t>
    </r>
    <r>
      <rPr>
        <sz val="12"/>
        <color theme="1"/>
        <rFont val="微软雅黑"/>
        <family val="2"/>
        <charset val="134"/>
      </rPr>
      <t>.</t>
    </r>
  </si>
  <si>
    <t>魔杖盒命中后有{0}%概率眩晕目标{1}-{2}秒</t>
  </si>
  <si>
    <t>After Wand Box hits a target, there is a {0}% chance to stun them for {1}-{2}s.</t>
  </si>
  <si>
    <t>ステッキボックス命中後、{0}%の確率で敵を{1}～{2}秒間めまいにする</t>
  </si>
  <si>
    <r>
      <t>스태프</t>
    </r>
    <r>
      <rPr>
        <sz val="12"/>
        <color theme="1"/>
        <rFont val="微软雅黑"/>
        <family val="2"/>
        <charset val="134"/>
      </rPr>
      <t xml:space="preserve"> </t>
    </r>
    <r>
      <rPr>
        <sz val="12"/>
        <color theme="1"/>
        <rFont val="MS Gothic"/>
        <family val="3"/>
        <charset val="128"/>
      </rPr>
      <t>박스가</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해당</t>
    </r>
    <r>
      <rPr>
        <sz val="12"/>
        <color theme="1"/>
        <rFont val="微软雅黑"/>
        <family val="2"/>
        <charset val="134"/>
      </rPr>
      <t xml:space="preserve"> </t>
    </r>
    <r>
      <rPr>
        <sz val="12"/>
        <color theme="1"/>
        <rFont val="MS Gothic"/>
        <family val="3"/>
        <charset val="128"/>
      </rPr>
      <t>대상에게</t>
    </r>
    <r>
      <rPr>
        <sz val="12"/>
        <color theme="1"/>
        <rFont val="微软雅黑"/>
        <family val="2"/>
        <charset val="134"/>
      </rPr>
      <t xml:space="preserve"> </t>
    </r>
    <r>
      <rPr>
        <sz val="12"/>
        <color theme="1"/>
        <rFont val="MS Gothic"/>
        <family val="3"/>
        <charset val="128"/>
      </rPr>
      <t>스턴</t>
    </r>
    <r>
      <rPr>
        <sz val="12"/>
        <color theme="1"/>
        <rFont val="微软雅黑"/>
        <family val="2"/>
        <charset val="134"/>
      </rPr>
      <t xml:space="preserve"> </t>
    </r>
    <r>
      <rPr>
        <sz val="12"/>
        <color theme="1"/>
        <rFont val="MS Gothic"/>
        <family val="3"/>
        <charset val="128"/>
      </rPr>
      <t>효과를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 ({1}-{2}</t>
    </r>
    <r>
      <rPr>
        <sz val="12"/>
        <color theme="1"/>
        <rFont val="MS Gothic"/>
        <family val="3"/>
        <charset val="128"/>
      </rPr>
      <t>초간</t>
    </r>
    <r>
      <rPr>
        <sz val="12"/>
        <color theme="1"/>
        <rFont val="微软雅黑"/>
        <family val="2"/>
        <charset val="134"/>
      </rPr>
      <t xml:space="preserve"> </t>
    </r>
    <r>
      <rPr>
        <sz val="12"/>
        <color theme="1"/>
        <rFont val="MS Gothic"/>
        <family val="3"/>
        <charset val="128"/>
      </rPr>
      <t>지속</t>
    </r>
    <r>
      <rPr>
        <sz val="12"/>
        <color theme="1"/>
        <rFont val="微软雅黑"/>
        <family val="2"/>
        <charset val="134"/>
      </rPr>
      <t>)</t>
    </r>
  </si>
  <si>
    <t>命中后对随机范围造成攻击力{0}%的伤害</t>
  </si>
  <si>
    <t>After hitting a target, deals DMG by {0}% of ATK to a random area.</t>
  </si>
  <si>
    <t>命中後、ランダムな範囲内で攻撃力の{0}%のダメージを与える</t>
  </si>
  <si>
    <r>
      <t>적중</t>
    </r>
    <r>
      <rPr>
        <sz val="12"/>
        <color theme="1"/>
        <rFont val="微软雅黑"/>
        <family val="2"/>
        <charset val="134"/>
      </rPr>
      <t xml:space="preserve"> </t>
    </r>
    <r>
      <rPr>
        <sz val="12"/>
        <color theme="1"/>
        <rFont val="MS Gothic"/>
        <family val="3"/>
        <charset val="128"/>
      </rPr>
      <t>후</t>
    </r>
    <r>
      <rPr>
        <sz val="12"/>
        <color theme="1"/>
        <rFont val="微软雅黑"/>
        <family val="2"/>
        <charset val="134"/>
      </rPr>
      <t xml:space="preserve"> </t>
    </r>
    <r>
      <rPr>
        <sz val="12"/>
        <color theme="1"/>
        <rFont val="MS Gothic"/>
        <family val="3"/>
        <charset val="128"/>
      </rPr>
      <t>랜덤</t>
    </r>
    <r>
      <rPr>
        <sz val="12"/>
        <color theme="1"/>
        <rFont val="微软雅黑"/>
        <family val="2"/>
        <charset val="134"/>
      </rPr>
      <t xml:space="preserve"> </t>
    </r>
    <r>
      <rPr>
        <sz val="12"/>
        <color theme="1"/>
        <rFont val="MS Gothic"/>
        <family val="3"/>
        <charset val="128"/>
      </rPr>
      <t>범위에</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{0}%</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부여한다</t>
    </r>
    <r>
      <rPr>
        <sz val="12"/>
        <color theme="1"/>
        <rFont val="微软雅黑"/>
        <family val="2"/>
        <charset val="134"/>
      </rPr>
      <t>.</t>
    </r>
  </si>
  <si>
    <t>飞天扫帚命中后，追加一次半径{0}的地震，造成飞天扫帚攻击{1}%的伤害</t>
  </si>
  <si>
    <t>After Broomstick hits a target, causes an earthquake within a radius of {0}, dealing DMG by {1}% of Broomstick's ATK.</t>
  </si>
  <si>
    <t>空飛ぶ箒命中後、追加で半径{0}の地震を1回発動させ、空飛ぶ箒攻撃力の{1}%のダメージを与える</t>
  </si>
  <si>
    <r>
      <t>마법</t>
    </r>
    <r>
      <rPr>
        <sz val="12"/>
        <color theme="1"/>
        <rFont val="微软雅黑"/>
        <family val="2"/>
        <charset val="134"/>
      </rPr>
      <t xml:space="preserve"> </t>
    </r>
    <r>
      <rPr>
        <sz val="12"/>
        <color theme="1"/>
        <rFont val="MS Gothic"/>
        <family val="3"/>
        <charset val="128"/>
      </rPr>
      <t>빗자루가</t>
    </r>
    <r>
      <rPr>
        <sz val="12"/>
        <color theme="1"/>
        <rFont val="微软雅黑"/>
        <family val="2"/>
        <charset val="134"/>
      </rPr>
      <t xml:space="preserve"> </t>
    </r>
    <r>
      <rPr>
        <sz val="12"/>
        <color theme="1"/>
        <rFont val="MS Gothic"/>
        <family val="3"/>
        <charset val="128"/>
      </rPr>
      <t>대상을</t>
    </r>
    <r>
      <rPr>
        <sz val="12"/>
        <color theme="1"/>
        <rFont val="微软雅黑"/>
        <family val="2"/>
        <charset val="134"/>
      </rPr>
      <t xml:space="preserve"> </t>
    </r>
    <r>
      <rPr>
        <sz val="12"/>
        <color theme="1"/>
        <rFont val="MS Gothic"/>
        <family val="3"/>
        <charset val="128"/>
      </rPr>
      <t>적중할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반경</t>
    </r>
    <r>
      <rPr>
        <sz val="12"/>
        <color theme="1"/>
        <rFont val="微软雅黑"/>
        <family val="2"/>
        <charset val="134"/>
      </rPr>
      <t xml:space="preserve"> {0} </t>
    </r>
    <r>
      <rPr>
        <sz val="12"/>
        <color theme="1"/>
        <rFont val="MS Gothic"/>
        <family val="3"/>
        <charset val="128"/>
      </rPr>
      <t>내에</t>
    </r>
    <r>
      <rPr>
        <sz val="12"/>
        <color theme="1"/>
        <rFont val="微软雅黑"/>
        <family val="2"/>
        <charset val="134"/>
      </rPr>
      <t xml:space="preserve"> </t>
    </r>
    <r>
      <rPr>
        <sz val="12"/>
        <color theme="1"/>
        <rFont val="MS Gothic"/>
        <family val="3"/>
        <charset val="128"/>
      </rPr>
      <t>지진을</t>
    </r>
    <r>
      <rPr>
        <sz val="12"/>
        <color theme="1"/>
        <rFont val="微软雅黑"/>
        <family val="2"/>
        <charset val="134"/>
      </rPr>
      <t xml:space="preserve"> </t>
    </r>
    <r>
      <rPr>
        <sz val="12"/>
        <color theme="1"/>
        <rFont val="MS Gothic"/>
        <family val="3"/>
        <charset val="128"/>
      </rPr>
      <t>일으켜</t>
    </r>
    <r>
      <rPr>
        <sz val="12"/>
        <color theme="1"/>
        <rFont val="微软雅黑"/>
        <family val="2"/>
        <charset val="134"/>
      </rPr>
      <t xml:space="preserve"> </t>
    </r>
    <r>
      <rPr>
        <sz val="12"/>
        <color theme="1"/>
        <rFont val="MS Gothic"/>
        <family val="3"/>
        <charset val="128"/>
      </rPr>
      <t>마법</t>
    </r>
    <r>
      <rPr>
        <sz val="12"/>
        <color theme="1"/>
        <rFont val="微软雅黑"/>
        <family val="2"/>
        <charset val="134"/>
      </rPr>
      <t xml:space="preserve"> </t>
    </r>
    <r>
      <rPr>
        <sz val="12"/>
        <color theme="1"/>
        <rFont val="MS Gothic"/>
        <family val="3"/>
        <charset val="128"/>
      </rPr>
      <t>빗자루</t>
    </r>
    <r>
      <rPr>
        <sz val="12"/>
        <color theme="1"/>
        <rFont val="微软雅黑"/>
        <family val="2"/>
        <charset val="134"/>
      </rPr>
      <t xml:space="preserve"> </t>
    </r>
    <r>
      <rPr>
        <sz val="12"/>
        <color theme="1"/>
        <rFont val="MS Gothic"/>
        <family val="3"/>
        <charset val="128"/>
      </rPr>
      <t>공격력의</t>
    </r>
    <r>
      <rPr>
        <sz val="12"/>
        <color theme="1"/>
        <rFont val="微软雅黑"/>
        <family val="2"/>
        <charset val="134"/>
      </rPr>
      <t xml:space="preserve"> {1}%</t>
    </r>
    <r>
      <rPr>
        <sz val="12"/>
        <color theme="1"/>
        <rFont val="MS Gothic"/>
        <family val="3"/>
        <charset val="128"/>
      </rPr>
      <t>에</t>
    </r>
    <r>
      <rPr>
        <sz val="12"/>
        <color theme="1"/>
        <rFont val="微软雅黑"/>
        <family val="2"/>
        <charset val="134"/>
      </rPr>
      <t xml:space="preserve"> </t>
    </r>
    <r>
      <rPr>
        <sz val="12"/>
        <color theme="1"/>
        <rFont val="MS Gothic"/>
        <family val="3"/>
        <charset val="128"/>
      </rPr>
      <t>해당하는</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준다</t>
    </r>
    <r>
      <rPr>
        <sz val="12"/>
        <color theme="1"/>
        <rFont val="微软雅黑"/>
        <family val="2"/>
        <charset val="134"/>
      </rPr>
      <t>.</t>
    </r>
  </si>
  <si>
    <t>Wenn der Besenstiel ein Ziel trifft, entsteht ein Erdbeben mit einem Radius von {0}, das Schaden in Höhe von {1} % des Besenstiel-ANG verursacht.</t>
  </si>
  <si>
    <t>Après que Balai a touché une cible, provoque un séisme dans un rayon de {0}, infligeant des DÉG à hauteur de {1} % de l’ATQ de Balai.</t>
  </si>
  <si>
    <t>Depois que Vassoura acerta um alvo, causa um terremoto dentro de um raio de {0}, causando DNO de {1}% do ATQ da Vassoura.</t>
  </si>
  <si>
    <t>Escoba produce un terremoto en un radio de {0} al golpear a un objetivo que inflige un {1}% del ATQ de la Escoba como Daño.</t>
  </si>
  <si>
    <t>飞天扫帚的速度+{0}%</t>
  </si>
  <si>
    <t>Broomstick SPD +{0}%</t>
  </si>
  <si>
    <t>空飛ぶ箒の速度+{0}%</t>
  </si>
  <si>
    <r>
      <t>마법</t>
    </r>
    <r>
      <rPr>
        <sz val="12"/>
        <color theme="1"/>
        <rFont val="微软雅黑"/>
        <family val="2"/>
        <charset val="134"/>
      </rPr>
      <t xml:space="preserve"> </t>
    </r>
    <r>
      <rPr>
        <sz val="12"/>
        <color theme="1"/>
        <rFont val="MS Gothic"/>
        <family val="3"/>
        <charset val="128"/>
      </rPr>
      <t>빗자루의</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</si>
  <si>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Besenstiel-GSW +{0} %</t>
  </si>
  <si>
    <t>VIT de Balai +{0} %</t>
  </si>
  <si>
    <t>VEL da Vassoura +{0}%</t>
  </si>
  <si>
    <t>VEL de Escoba +{0}%</t>
  </si>
  <si>
    <t>飞天扫帚造成伤害时，有{0}%概率使敌人攻速和移速-{1}%，持续{2}秒，不叠加</t>
  </si>
  <si>
    <t>When Broomstick deals DMG, there is a {0}% chance to reduce the enemy's ATK SPD and Moving SPD by {1}% for {2}s. Not stackable.</t>
  </si>
  <si>
    <t>空飛ぶ箒がダメージを与える時、{0}%の確率で{2}秒間、敵の移動速度と攻撃速度-{1}%（重複不可）</t>
  </si>
  <si>
    <r>
      <t>마법</t>
    </r>
    <r>
      <rPr>
        <sz val="12"/>
        <color theme="1"/>
        <rFont val="微软雅黑"/>
        <family val="2"/>
        <charset val="134"/>
      </rPr>
      <t xml:space="preserve"> </t>
    </r>
    <r>
      <rPr>
        <sz val="12"/>
        <color theme="1"/>
        <rFont val="MS Gothic"/>
        <family val="3"/>
        <charset val="128"/>
      </rPr>
      <t>빗자루로</t>
    </r>
    <r>
      <rPr>
        <sz val="12"/>
        <color theme="1"/>
        <rFont val="微软雅黑"/>
        <family val="2"/>
        <charset val="134"/>
      </rPr>
      <t xml:space="preserve"> </t>
    </r>
    <r>
      <rPr>
        <sz val="12"/>
        <color theme="1"/>
        <rFont val="MS Gothic"/>
        <family val="3"/>
        <charset val="128"/>
      </rPr>
      <t>피해를</t>
    </r>
    <r>
      <rPr>
        <sz val="12"/>
        <color theme="1"/>
        <rFont val="微软雅黑"/>
        <family val="2"/>
        <charset val="134"/>
      </rPr>
      <t xml:space="preserve"> </t>
    </r>
    <r>
      <rPr>
        <sz val="12"/>
        <color theme="1"/>
        <rFont val="MS Gothic"/>
        <family val="3"/>
        <charset val="128"/>
      </rPr>
      <t>줄</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{2}</t>
    </r>
    <r>
      <rPr>
        <sz val="12"/>
        <color theme="1"/>
        <rFont val="MS Gothic"/>
        <family val="3"/>
        <charset val="128"/>
      </rPr>
      <t>초</t>
    </r>
    <r>
      <rPr>
        <sz val="12"/>
        <color theme="1"/>
        <rFont val="微软雅黑"/>
        <family val="2"/>
        <charset val="134"/>
      </rPr>
      <t xml:space="preserve"> </t>
    </r>
    <r>
      <rPr>
        <sz val="12"/>
        <color theme="1"/>
        <rFont val="MS Gothic"/>
        <family val="3"/>
        <charset val="128"/>
      </rPr>
      <t>동안</t>
    </r>
    <r>
      <rPr>
        <sz val="12"/>
        <color theme="1"/>
        <rFont val="微软雅黑"/>
        <family val="2"/>
        <charset val="134"/>
      </rPr>
      <t xml:space="preserve"> </t>
    </r>
    <r>
      <rPr>
        <sz val="12"/>
        <color theme="1"/>
        <rFont val="MS Gothic"/>
        <family val="3"/>
        <charset val="128"/>
      </rPr>
      <t>적의</t>
    </r>
    <r>
      <rPr>
        <sz val="12"/>
        <color theme="1"/>
        <rFont val="微软雅黑"/>
        <family val="2"/>
        <charset val="134"/>
      </rPr>
      <t xml:space="preserve"> </t>
    </r>
    <r>
      <rPr>
        <sz val="12"/>
        <color theme="1"/>
        <rFont val="MS Gothic"/>
        <family val="3"/>
        <charset val="128"/>
      </rPr>
      <t>이동</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t>
    </r>
    <r>
      <rPr>
        <sz val="12"/>
        <color theme="1"/>
        <rFont val="MS Gothic"/>
        <family val="3"/>
        <charset val="128"/>
      </rPr>
      <t>공격</t>
    </r>
    <r>
      <rPr>
        <sz val="12"/>
        <color theme="1"/>
        <rFont val="微软雅黑"/>
        <family val="2"/>
        <charset val="134"/>
      </rPr>
      <t xml:space="preserve"> </t>
    </r>
    <r>
      <rPr>
        <sz val="12"/>
        <color theme="1"/>
        <rFont val="MS Gothic"/>
        <family val="3"/>
        <charset val="128"/>
      </rPr>
      <t>속도를</t>
    </r>
    <r>
      <rPr>
        <sz val="12"/>
        <color theme="1"/>
        <rFont val="微软雅黑"/>
        <family val="2"/>
        <charset val="134"/>
      </rPr>
      <t xml:space="preserve"> {1}% </t>
    </r>
    <r>
      <rPr>
        <sz val="12"/>
        <color theme="1"/>
        <rFont val="MS Gothic"/>
        <family val="3"/>
        <charset val="128"/>
      </rPr>
      <t>감소시킨다</t>
    </r>
    <r>
      <rPr>
        <sz val="12"/>
        <color theme="1"/>
        <rFont val="微软雅黑"/>
        <family val="2"/>
        <charset val="134"/>
      </rPr>
      <t>. (</t>
    </r>
    <r>
      <rPr>
        <sz val="12"/>
        <color theme="1"/>
        <rFont val="MS Gothic"/>
        <family val="3"/>
        <charset val="128"/>
      </rPr>
      <t>중첩</t>
    </r>
    <r>
      <rPr>
        <sz val="12"/>
        <color theme="1"/>
        <rFont val="微软雅黑"/>
        <family val="2"/>
        <charset val="134"/>
      </rPr>
      <t xml:space="preserve"> </t>
    </r>
    <r>
      <rPr>
        <sz val="12"/>
        <color theme="1"/>
        <rFont val="MS Gothic"/>
        <family val="3"/>
        <charset val="128"/>
      </rPr>
      <t>불가</t>
    </r>
    <r>
      <rPr>
        <sz val="12"/>
        <color theme="1"/>
        <rFont val="微软雅黑"/>
        <family val="2"/>
        <charset val="134"/>
      </rPr>
      <t>)</t>
    </r>
  </si>
  <si>
    <t>Wenn der Besenstiel Schaden zufügt, besteht eine Chance von {0} %, die ANG- und die Bewegungsgeschwindigkeit {2} Sekunden lang um {1} % zu verringern. Nicht stapelbar.</t>
  </si>
  <si>
    <t>Quand Balai inflige des DÉG, confère {0} % de chances de réduire la VIT ATQ et la VIT de Déplacement de l’ennemi de {1} % pendant {2} s. Effet non cumulable.</t>
  </si>
  <si>
    <t>Quando Vassoura causa DNO, há {0}% de chance de reduzir a VEL ATQ e a VEL de Movimento do inimigo em {1}% por {2} s. Não se acumula.</t>
  </si>
  <si>
    <t>Cuando Escoba inflige Daño hay un {0}% de probabilidad de reducir un {1}% la VEL de ATQ y la VEL de Movimiento del enemigo {2}s. No acumulable.</t>
  </si>
  <si>
    <t>飞天扫帚地震范围+{0}%</t>
  </si>
  <si>
    <t>Broomstick's Earthquake Range +{0}%</t>
  </si>
  <si>
    <t>空飛ぶ箒の地震範囲+{0}%</t>
  </si>
  <si>
    <r>
      <t>마법</t>
    </r>
    <r>
      <rPr>
        <sz val="12"/>
        <color theme="1"/>
        <rFont val="微软雅黑"/>
        <family val="2"/>
        <charset val="134"/>
      </rPr>
      <t xml:space="preserve"> </t>
    </r>
    <r>
      <rPr>
        <sz val="12"/>
        <color theme="1"/>
        <rFont val="MS Gothic"/>
        <family val="3"/>
        <charset val="128"/>
      </rPr>
      <t>빗자루가</t>
    </r>
    <r>
      <rPr>
        <sz val="12"/>
        <color theme="1"/>
        <rFont val="微软雅黑"/>
        <family val="2"/>
        <charset val="134"/>
      </rPr>
      <t xml:space="preserve"> </t>
    </r>
    <r>
      <rPr>
        <sz val="12"/>
        <color theme="1"/>
        <rFont val="MS Gothic"/>
        <family val="3"/>
        <charset val="128"/>
      </rPr>
      <t>일으키는</t>
    </r>
    <r>
      <rPr>
        <sz val="12"/>
        <color theme="1"/>
        <rFont val="微软雅黑"/>
        <family val="2"/>
        <charset val="134"/>
      </rPr>
      <t xml:space="preserve"> </t>
    </r>
    <r>
      <rPr>
        <sz val="12"/>
        <color theme="1"/>
        <rFont val="MS Gothic"/>
        <family val="3"/>
        <charset val="128"/>
      </rPr>
      <t>지진</t>
    </r>
    <r>
      <rPr>
        <sz val="12"/>
        <color theme="1"/>
        <rFont val="微软雅黑"/>
        <family val="2"/>
        <charset val="134"/>
      </rPr>
      <t xml:space="preserve"> </t>
    </r>
    <r>
      <rPr>
        <sz val="12"/>
        <color theme="1"/>
        <rFont val="MS Gothic"/>
        <family val="3"/>
        <charset val="128"/>
      </rPr>
      <t>범위</t>
    </r>
    <r>
      <rPr>
        <sz val="12"/>
        <color theme="1"/>
        <rFont val="微软雅黑"/>
        <family val="2"/>
        <charset val="134"/>
      </rPr>
      <t xml:space="preserve"> +{0}%</t>
    </r>
  </si>
  <si>
    <t>Reichweite des Besenstiel-Erdbebens +{0} %</t>
  </si>
  <si>
    <t>Portée du Séisme de Balai +{0} %</t>
  </si>
  <si>
    <t>Alcance do Terremoto da Vassoura +{0}%</t>
  </si>
  <si>
    <t>Alcance del Terremoto de Escoba +{0}%</t>
  </si>
  <si>
    <t>魔法斗篷的叠盾+{0}%</t>
  </si>
  <si>
    <t>Magic Cloak Shield +{0}%</t>
  </si>
  <si>
    <t>魔術マントのシールド効果量+{0}%</t>
  </si>
  <si>
    <r>
      <t>마법</t>
    </r>
    <r>
      <rPr>
        <sz val="12"/>
        <color theme="1"/>
        <rFont val="微软雅黑"/>
        <family val="2"/>
        <charset val="134"/>
      </rPr>
      <t xml:space="preserve"> </t>
    </r>
    <r>
      <rPr>
        <sz val="12"/>
        <color theme="1"/>
        <rFont val="MS Gothic"/>
        <family val="3"/>
        <charset val="128"/>
      </rPr>
      <t>망토의</t>
    </r>
    <r>
      <rPr>
        <sz val="12"/>
        <color theme="1"/>
        <rFont val="微软雅黑"/>
        <family val="2"/>
        <charset val="134"/>
      </rPr>
      <t xml:space="preserve"> </t>
    </r>
    <r>
      <rPr>
        <sz val="12"/>
        <color theme="1"/>
        <rFont val="MS Gothic"/>
        <family val="3"/>
        <charset val="128"/>
      </rPr>
      <t>실드</t>
    </r>
    <r>
      <rPr>
        <sz val="12"/>
        <color theme="1"/>
        <rFont val="微软雅黑"/>
        <family val="2"/>
        <charset val="134"/>
      </rPr>
      <t xml:space="preserve"> +{0}%</t>
    </r>
  </si>
  <si>
    <t>Magischer Umhang Schild +{0} %</t>
  </si>
  <si>
    <t>Bouclier de Cape Magique +{0} %</t>
  </si>
  <si>
    <t>Escudo de Manto Mágico +{0}%</t>
  </si>
  <si>
    <t>Escudo de Capa mágica +{0}%</t>
  </si>
  <si>
    <t>魔法斗篷的血量+{0}%</t>
  </si>
  <si>
    <t>Magic Cloak HP +{0}%</t>
  </si>
  <si>
    <t>魔術マントのHP+{0}%</t>
  </si>
  <si>
    <r>
      <t>마법</t>
    </r>
    <r>
      <rPr>
        <sz val="12"/>
        <color theme="1"/>
        <rFont val="微软雅黑"/>
        <family val="2"/>
        <charset val="134"/>
      </rPr>
      <t xml:space="preserve"> </t>
    </r>
    <r>
      <rPr>
        <sz val="12"/>
        <color theme="1"/>
        <rFont val="MS Gothic"/>
        <family val="3"/>
        <charset val="128"/>
      </rPr>
      <t>망토의</t>
    </r>
    <r>
      <rPr>
        <sz val="12"/>
        <color theme="1"/>
        <rFont val="微软雅黑"/>
        <family val="2"/>
        <charset val="134"/>
      </rPr>
      <t xml:space="preserve"> HP +{0}%</t>
    </r>
  </si>
  <si>
    <t>Magischer Umhang LP +{0} %</t>
  </si>
  <si>
    <t>PV de Cape Magique +{0} %</t>
  </si>
  <si>
    <t>PV de Manto Mágico +{0}%</t>
  </si>
  <si>
    <t>PS de Capa mágica +{0}%</t>
  </si>
  <si>
    <t>被近战攻击时，有{0}%概率受到伤害-{1}%</t>
  </si>
  <si>
    <t>There is a {0}% chance of taking -{1}% DMG when being attacked by melee attacks.</t>
  </si>
  <si>
    <t>近接攻撃を受けた時、{0}%の確率で被ダメージ-{1}%</t>
  </si>
  <si>
    <r>
      <t>근거리</t>
    </r>
    <r>
      <rPr>
        <sz val="12"/>
        <color theme="1"/>
        <rFont val="微软雅黑"/>
        <family val="2"/>
        <charset val="134"/>
      </rPr>
      <t xml:space="preserve"> </t>
    </r>
    <r>
      <rPr>
        <sz val="12"/>
        <color theme="1"/>
        <rFont val="MS Gothic"/>
        <family val="3"/>
        <charset val="128"/>
      </rPr>
      <t>공격을</t>
    </r>
    <r>
      <rPr>
        <sz val="12"/>
        <color theme="1"/>
        <rFont val="微软雅黑"/>
        <family val="2"/>
        <charset val="134"/>
      </rPr>
      <t xml:space="preserve"> </t>
    </r>
    <r>
      <rPr>
        <sz val="12"/>
        <color theme="1"/>
        <rFont val="MS Gothic"/>
        <family val="3"/>
        <charset val="128"/>
      </rPr>
      <t>받을</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받는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-{1}%</t>
    </r>
  </si>
  <si>
    <t>Es besteht eine Chance von {0} %, dass bei Nahkampf-Attacken -{1} % Schaden genommen werden.</t>
  </si>
  <si>
    <t>Confère {0} % de chances de réduire les DÉG subis de {1} % contre les attaques au corps à corps.</t>
  </si>
  <si>
    <t>Há {0}% de chance de sofrer -{1}% de DNO ao sofrer ataques corpo a corpo.</t>
  </si>
  <si>
    <t>Hay un {0}% de probabilidad de recibir -{1}% Daño al recibir ataques cuerpo a cuerpo.</t>
  </si>
  <si>
    <t>被远程攻击时，有{0}%概率受到伤害-{1}%</t>
  </si>
  <si>
    <t>There is a {0}% chance of taking -{1}% DMG when being attacked by ranged attacks.</t>
  </si>
  <si>
    <t>遠距離攻撃を受けた時、{0}%被ダメージ-{1}%</t>
  </si>
  <si>
    <r>
      <t>원거리</t>
    </r>
    <r>
      <rPr>
        <sz val="12"/>
        <color theme="1"/>
        <rFont val="微软雅黑"/>
        <family val="2"/>
        <charset val="134"/>
      </rPr>
      <t xml:space="preserve"> </t>
    </r>
    <r>
      <rPr>
        <sz val="12"/>
        <color theme="1"/>
        <rFont val="MS Gothic"/>
        <family val="3"/>
        <charset val="128"/>
      </rPr>
      <t>공격을</t>
    </r>
    <r>
      <rPr>
        <sz val="12"/>
        <color theme="1"/>
        <rFont val="微软雅黑"/>
        <family val="2"/>
        <charset val="134"/>
      </rPr>
      <t xml:space="preserve"> </t>
    </r>
    <r>
      <rPr>
        <sz val="12"/>
        <color theme="1"/>
        <rFont val="MS Gothic"/>
        <family val="3"/>
        <charset val="128"/>
      </rPr>
      <t>받을</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{0}% </t>
    </r>
    <r>
      <rPr>
        <sz val="12"/>
        <color theme="1"/>
        <rFont val="MS Gothic"/>
        <family val="3"/>
        <charset val="128"/>
      </rPr>
      <t>확률로</t>
    </r>
    <r>
      <rPr>
        <sz val="12"/>
        <color theme="1"/>
        <rFont val="微软雅黑"/>
        <family val="2"/>
        <charset val="134"/>
      </rPr>
      <t xml:space="preserve"> </t>
    </r>
    <r>
      <rPr>
        <sz val="12"/>
        <color theme="1"/>
        <rFont val="MS Gothic"/>
        <family val="3"/>
        <charset val="128"/>
      </rPr>
      <t>받는</t>
    </r>
    <r>
      <rPr>
        <sz val="12"/>
        <color theme="1"/>
        <rFont val="微软雅黑"/>
        <family val="2"/>
        <charset val="134"/>
      </rPr>
      <t xml:space="preserve"> </t>
    </r>
    <r>
      <rPr>
        <sz val="12"/>
        <color theme="1"/>
        <rFont val="MS Gothic"/>
        <family val="3"/>
        <charset val="128"/>
      </rPr>
      <t>피해</t>
    </r>
    <r>
      <rPr>
        <sz val="12"/>
        <color theme="1"/>
        <rFont val="微软雅黑"/>
        <family val="2"/>
        <charset val="134"/>
      </rPr>
      <t xml:space="preserve"> -{1}%</t>
    </r>
  </si>
  <si>
    <t>Es besteht eine Chance von {0} %, dass bei Distanzkampf-Attacken -{1} % Schaden genommen werden.</t>
  </si>
  <si>
    <t>Confère {0} % de chances de réduire les DÉG subis de {1} % contre les attaques à distance.</t>
  </si>
  <si>
    <t>Há {0}% de chance de sofrer -{1}% de DNO ao sofrer ataques à distância.</t>
  </si>
  <si>
    <t>Hay un {0}% de probabilidad de recibir -{1}% Daño al recibir ataques a distancia.</t>
  </si>
  <si>
    <t>魔戒周围的武器提升暴击率(合成1级为{0}%、2级为{1}%、3级为{2}%、4级为{3}%)</t>
  </si>
  <si>
    <t>Increases the Crit rate of weapons around the Magic Ring (Merge Lv. 1: {0}%; Lv. 2: {1}%; Lv. 3: {2}%; Lv. 4: {3}%).</t>
  </si>
  <si>
    <t>マジカルリングと隣接する武器の会心率上昇（マージLv.1：{0}%、Lv.2：{1}%、Lv.3：{2}%、Lv.4：{3}%）</t>
  </si>
  <si>
    <r>
      <t>마법</t>
    </r>
    <r>
      <rPr>
        <sz val="12"/>
        <color theme="1"/>
        <rFont val="微软雅黑"/>
        <family val="2"/>
        <charset val="134"/>
      </rPr>
      <t xml:space="preserve"> </t>
    </r>
    <r>
      <rPr>
        <sz val="12"/>
        <color theme="1"/>
        <rFont val="MS Gothic"/>
        <family val="3"/>
        <charset val="128"/>
      </rPr>
      <t>반지</t>
    </r>
    <r>
      <rPr>
        <sz val="12"/>
        <color theme="1"/>
        <rFont val="微软雅黑"/>
        <family val="2"/>
        <charset val="134"/>
      </rPr>
      <t xml:space="preserve"> </t>
    </r>
    <r>
      <rPr>
        <sz val="12"/>
        <color theme="1"/>
        <rFont val="MS Gothic"/>
        <family val="3"/>
        <charset val="128"/>
      </rPr>
      <t>주변</t>
    </r>
    <r>
      <rPr>
        <sz val="12"/>
        <color theme="1"/>
        <rFont val="微软雅黑"/>
        <family val="2"/>
        <charset val="134"/>
      </rPr>
      <t xml:space="preserve"> </t>
    </r>
    <r>
      <rPr>
        <sz val="12"/>
        <color theme="1"/>
        <rFont val="MS Gothic"/>
        <family val="3"/>
        <charset val="128"/>
      </rPr>
      <t>무기의</t>
    </r>
    <r>
      <rPr>
        <sz val="12"/>
        <color theme="1"/>
        <rFont val="微软雅黑"/>
        <family val="2"/>
        <charset val="134"/>
      </rPr>
      <t xml:space="preserve"> </t>
    </r>
    <r>
      <rPr>
        <sz val="12"/>
        <color theme="1"/>
        <rFont val="MS Gothic"/>
        <family val="3"/>
        <charset val="128"/>
      </rPr>
      <t>치명타율</t>
    </r>
    <r>
      <rPr>
        <sz val="12"/>
        <color theme="1"/>
        <rFont val="微软雅黑"/>
        <family val="2"/>
        <charset val="134"/>
      </rPr>
      <t xml:space="preserve"> </t>
    </r>
    <r>
      <rPr>
        <sz val="12"/>
        <color theme="1"/>
        <rFont val="MS Gothic"/>
        <family val="3"/>
        <charset val="128"/>
      </rPr>
      <t>상승</t>
    </r>
    <r>
      <rPr>
        <sz val="12"/>
        <color theme="1"/>
        <rFont val="微软雅黑"/>
        <family val="2"/>
        <charset val="134"/>
      </rPr>
      <t>(</t>
    </r>
    <r>
      <rPr>
        <sz val="12"/>
        <color theme="1"/>
        <rFont val="MS Gothic"/>
        <family val="3"/>
        <charset val="128"/>
      </rPr>
      <t>합성</t>
    </r>
    <r>
      <rPr>
        <sz val="12"/>
        <color theme="1"/>
        <rFont val="微软雅黑"/>
        <family val="2"/>
        <charset val="134"/>
      </rPr>
      <t xml:space="preserve"> Lv.1: {0}%, Lv.2: {1}%, Lv.3: {2}%, Lv.4: {3}%)</t>
    </r>
  </si>
  <si>
    <t>Erhöht die Krit.-Rate von Waffen rund um den Magischen Ring (Verbindungsstufe 1: {0} %; St. 2: {1} %; St. 3: {2} %; St. 4: {3} %).</t>
  </si>
  <si>
    <t>Augmente le taux Crit des armes autour de l’Anneau Magique (Fusion Niv. 1 : {0} % ; Niv. 2 : {1} % ; Niv. 3 : {2} % ; Niv. 4 : {3} %).</t>
  </si>
  <si>
    <t>Aumenta a taxa de CRÍT de armas ao redor do Anel Mágico (Fusão Nv. 1: {0}%; Nv. 2: {1}%; Nv. 3: {2}%; Nv. 4: {3}%).</t>
  </si>
  <si>
    <t>Aumenta la Tasa Crit de las armas alrededor del Anillo mágico (Fusión de Nv.1: {0}%; Nv.2: {1}%; Nv.3: {2}%; Nv.4: {3}%).</t>
  </si>
  <si>
    <t>多个魔戒提升的暴击率可叠加</t>
  </si>
  <si>
    <t>Crit rate boosted by multiple Magic Rings can be stacked.</t>
  </si>
  <si>
    <t>複数のマジカルリングの会心率上昇効果が重複可能になる</t>
  </si>
  <si>
    <r>
      <t>여러</t>
    </r>
    <r>
      <rPr>
        <sz val="12"/>
        <color theme="1"/>
        <rFont val="微软雅黑"/>
        <family val="2"/>
        <charset val="134"/>
      </rPr>
      <t xml:space="preserve"> </t>
    </r>
    <r>
      <rPr>
        <sz val="12"/>
        <color theme="1"/>
        <rFont val="MS Gothic"/>
        <family val="3"/>
        <charset val="128"/>
      </rPr>
      <t>마법</t>
    </r>
    <r>
      <rPr>
        <sz val="12"/>
        <color theme="1"/>
        <rFont val="微软雅黑"/>
        <family val="2"/>
        <charset val="134"/>
      </rPr>
      <t xml:space="preserve"> </t>
    </r>
    <r>
      <rPr>
        <sz val="12"/>
        <color theme="1"/>
        <rFont val="MS Gothic"/>
        <family val="3"/>
        <charset val="128"/>
      </rPr>
      <t>반지의</t>
    </r>
    <r>
      <rPr>
        <sz val="12"/>
        <color theme="1"/>
        <rFont val="微软雅黑"/>
        <family val="2"/>
        <charset val="134"/>
      </rPr>
      <t xml:space="preserve"> </t>
    </r>
    <r>
      <rPr>
        <sz val="12"/>
        <color theme="1"/>
        <rFont val="MS Gothic"/>
        <family val="3"/>
        <charset val="128"/>
      </rPr>
      <t>치명타율</t>
    </r>
    <r>
      <rPr>
        <sz val="12"/>
        <color theme="1"/>
        <rFont val="微软雅黑"/>
        <family val="2"/>
        <charset val="134"/>
      </rPr>
      <t xml:space="preserve"> </t>
    </r>
    <r>
      <rPr>
        <sz val="12"/>
        <color theme="1"/>
        <rFont val="MS Gothic"/>
        <family val="3"/>
        <charset val="128"/>
      </rPr>
      <t>상승</t>
    </r>
    <r>
      <rPr>
        <sz val="12"/>
        <color theme="1"/>
        <rFont val="微软雅黑"/>
        <family val="2"/>
        <charset val="134"/>
      </rPr>
      <t xml:space="preserve"> </t>
    </r>
    <r>
      <rPr>
        <sz val="12"/>
        <color theme="1"/>
        <rFont val="MS Gothic"/>
        <family val="3"/>
        <charset val="128"/>
      </rPr>
      <t>효과는</t>
    </r>
    <r>
      <rPr>
        <sz val="12"/>
        <color theme="1"/>
        <rFont val="微软雅黑"/>
        <family val="2"/>
        <charset val="134"/>
      </rPr>
      <t xml:space="preserve"> </t>
    </r>
    <r>
      <rPr>
        <sz val="12"/>
        <color theme="1"/>
        <rFont val="MS Gothic"/>
        <family val="3"/>
        <charset val="128"/>
      </rPr>
      <t>중첩</t>
    </r>
    <r>
      <rPr>
        <sz val="12"/>
        <color theme="1"/>
        <rFont val="微软雅黑"/>
        <family val="2"/>
        <charset val="134"/>
      </rPr>
      <t xml:space="preserve"> </t>
    </r>
    <r>
      <rPr>
        <sz val="12"/>
        <color theme="1"/>
        <rFont val="MS Gothic"/>
        <family val="3"/>
        <charset val="128"/>
      </rPr>
      <t>가능하다</t>
    </r>
    <r>
      <rPr>
        <sz val="12"/>
        <color theme="1"/>
        <rFont val="微软雅黑"/>
        <family val="2"/>
        <charset val="134"/>
      </rPr>
      <t>.</t>
    </r>
  </si>
  <si>
    <t>Von mehreren Magischen Ringen geboostete Krit.-Rate kann kombiniert werden.</t>
  </si>
  <si>
    <t>Les bonus de taux Crit octroyés par plusieurs Anneaux Magiques sont cumulables.</t>
  </si>
  <si>
    <t>A Taxa de CRÍT reforçada por múltiplos Anéis Mágicos pode ser acumulada.</t>
  </si>
  <si>
    <t>Se puede acumular el aumento de Tasa Crit de varios Anillos mágicos.</t>
  </si>
  <si>
    <t>魔戒对同行同列的武器均提升暴击率</t>
  </si>
  <si>
    <t>Magic Ring increases Crit rate for weapons of the same line vertically and horizontally.</t>
  </si>
  <si>
    <t>マジカルリングの会心率上昇の効果対象は同じ行/列の武器になる</t>
  </si>
  <si>
    <r>
      <t>마법</t>
    </r>
    <r>
      <rPr>
        <sz val="12"/>
        <color theme="1"/>
        <rFont val="微软雅黑"/>
        <family val="2"/>
        <charset val="134"/>
      </rPr>
      <t xml:space="preserve"> </t>
    </r>
    <r>
      <rPr>
        <sz val="12"/>
        <color theme="1"/>
        <rFont val="MS Gothic"/>
        <family val="3"/>
        <charset val="128"/>
      </rPr>
      <t>반지의</t>
    </r>
    <r>
      <rPr>
        <sz val="12"/>
        <color theme="1"/>
        <rFont val="微软雅黑"/>
        <family val="2"/>
        <charset val="134"/>
      </rPr>
      <t xml:space="preserve"> </t>
    </r>
    <r>
      <rPr>
        <sz val="12"/>
        <color theme="1"/>
        <rFont val="MS Gothic"/>
        <family val="3"/>
        <charset val="128"/>
      </rPr>
      <t>가로</t>
    </r>
    <r>
      <rPr>
        <sz val="12"/>
        <color theme="1"/>
        <rFont val="微软雅黑"/>
        <family val="2"/>
        <charset val="134"/>
      </rPr>
      <t>/</t>
    </r>
    <r>
      <rPr>
        <sz val="12"/>
        <color theme="1"/>
        <rFont val="MS Gothic"/>
        <family val="3"/>
        <charset val="128"/>
      </rPr>
      <t>세로줄에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모든</t>
    </r>
    <r>
      <rPr>
        <sz val="12"/>
        <color theme="1"/>
        <rFont val="微软雅黑"/>
        <family val="2"/>
        <charset val="134"/>
      </rPr>
      <t xml:space="preserve"> </t>
    </r>
    <r>
      <rPr>
        <sz val="12"/>
        <color theme="1"/>
        <rFont val="MS Gothic"/>
        <family val="3"/>
        <charset val="128"/>
      </rPr>
      <t>무기의</t>
    </r>
    <r>
      <rPr>
        <sz val="12"/>
        <color theme="1"/>
        <rFont val="微软雅黑"/>
        <family val="2"/>
        <charset val="134"/>
      </rPr>
      <t xml:space="preserve"> </t>
    </r>
    <r>
      <rPr>
        <sz val="12"/>
        <color theme="1"/>
        <rFont val="MS Gothic"/>
        <family val="3"/>
        <charset val="128"/>
      </rPr>
      <t>치명타율을</t>
    </r>
    <r>
      <rPr>
        <sz val="12"/>
        <color theme="1"/>
        <rFont val="微软雅黑"/>
        <family val="2"/>
        <charset val="134"/>
      </rPr>
      <t xml:space="preserve"> </t>
    </r>
    <r>
      <rPr>
        <sz val="12"/>
        <color theme="1"/>
        <rFont val="MS Gothic"/>
        <family val="3"/>
        <charset val="128"/>
      </rPr>
      <t>상승시킨다</t>
    </r>
    <r>
      <rPr>
        <sz val="12"/>
        <color theme="1"/>
        <rFont val="微软雅黑"/>
        <family val="2"/>
        <charset val="134"/>
      </rPr>
      <t>.</t>
    </r>
  </si>
  <si>
    <t>Magischer Ring erhöht die Krit.-Rate für Waffen derselben Linie vertikal und horizontal.</t>
  </si>
  <si>
    <t>Anneau Magique augmente le taux Crit des armes de la même rangée et de la même colonne.</t>
  </si>
  <si>
    <t>O Anel Mágico aumenta a taxa de CRÍT de armas de mesma linha verticalmente e horizontalmente.</t>
  </si>
  <si>
    <t>El Anillo mágico aumenta la Tasa Crit de las armas en la misma fila o columna.</t>
  </si>
  <si>
    <t>魔戒对背包内所有武器均提升暴击率</t>
  </si>
  <si>
    <t>Magic Ring increases Crit rate for all weapons in the Bag.</t>
  </si>
  <si>
    <t>マジカルリングの会心率上昇の効果対象はバックパック内のすべての武器になる</t>
  </si>
  <si>
    <r>
      <t>마법</t>
    </r>
    <r>
      <rPr>
        <sz val="12"/>
        <color theme="1"/>
        <rFont val="微软雅黑"/>
        <family val="2"/>
        <charset val="134"/>
      </rPr>
      <t xml:space="preserve"> </t>
    </r>
    <r>
      <rPr>
        <sz val="12"/>
        <color theme="1"/>
        <rFont val="MS Gothic"/>
        <family val="3"/>
        <charset val="128"/>
      </rPr>
      <t>반지가</t>
    </r>
    <r>
      <rPr>
        <sz val="12"/>
        <color theme="1"/>
        <rFont val="微软雅黑"/>
        <family val="2"/>
        <charset val="134"/>
      </rPr>
      <t xml:space="preserve"> </t>
    </r>
    <r>
      <rPr>
        <sz val="12"/>
        <color theme="1"/>
        <rFont val="MS Gothic"/>
        <family val="3"/>
        <charset val="128"/>
      </rPr>
      <t>배낭에</t>
    </r>
    <r>
      <rPr>
        <sz val="12"/>
        <color theme="1"/>
        <rFont val="微软雅黑"/>
        <family val="2"/>
        <charset val="134"/>
      </rPr>
      <t xml:space="preserve"> </t>
    </r>
    <r>
      <rPr>
        <sz val="12"/>
        <color theme="1"/>
        <rFont val="MS Gothic"/>
        <family val="3"/>
        <charset val="128"/>
      </rPr>
      <t>있는</t>
    </r>
    <r>
      <rPr>
        <sz val="12"/>
        <color theme="1"/>
        <rFont val="微软雅黑"/>
        <family val="2"/>
        <charset val="134"/>
      </rPr>
      <t xml:space="preserve"> </t>
    </r>
    <r>
      <rPr>
        <sz val="12"/>
        <color theme="1"/>
        <rFont val="MS Gothic"/>
        <family val="3"/>
        <charset val="128"/>
      </rPr>
      <t>모든</t>
    </r>
    <r>
      <rPr>
        <sz val="12"/>
        <color theme="1"/>
        <rFont val="微软雅黑"/>
        <family val="2"/>
        <charset val="134"/>
      </rPr>
      <t xml:space="preserve"> </t>
    </r>
    <r>
      <rPr>
        <sz val="12"/>
        <color theme="1"/>
        <rFont val="MS Gothic"/>
        <family val="3"/>
        <charset val="128"/>
      </rPr>
      <t>무기의</t>
    </r>
    <r>
      <rPr>
        <sz val="12"/>
        <color theme="1"/>
        <rFont val="微软雅黑"/>
        <family val="2"/>
        <charset val="134"/>
      </rPr>
      <t xml:space="preserve"> </t>
    </r>
    <r>
      <rPr>
        <sz val="12"/>
        <color theme="1"/>
        <rFont val="MS Gothic"/>
        <family val="3"/>
        <charset val="128"/>
      </rPr>
      <t>치명타율을</t>
    </r>
    <r>
      <rPr>
        <sz val="12"/>
        <color theme="1"/>
        <rFont val="微软雅黑"/>
        <family val="2"/>
        <charset val="134"/>
      </rPr>
      <t xml:space="preserve"> </t>
    </r>
    <r>
      <rPr>
        <sz val="12"/>
        <color theme="1"/>
        <rFont val="MS Gothic"/>
        <family val="3"/>
        <charset val="128"/>
      </rPr>
      <t>상승시킨다</t>
    </r>
    <r>
      <rPr>
        <sz val="12"/>
        <color theme="1"/>
        <rFont val="微软雅黑"/>
        <family val="2"/>
        <charset val="134"/>
      </rPr>
      <t>.</t>
    </r>
  </si>
  <si>
    <t>Magischer Ring erhöht die Krit.-Rate für alle Waffen im Beutel.</t>
  </si>
  <si>
    <t>Anneau Magique augmente le taux Crit des armes figurant dans le Sac.</t>
  </si>
  <si>
    <t>O Anel Mágico aumenta a taxa de CRÍT de todas as armas na Mochila.</t>
  </si>
  <si>
    <t>El Anillo mágico aumenta la Tasa Crit de todas las armas en el Inventario.</t>
  </si>
  <si>
    <t>命中目标或达到边缘时进行反弹，水晶球射出{0}秒后消失</t>
  </si>
  <si>
    <t>Bounces when hitting a target or reaching the edge, the crystal ball disappears after being released for {0}s.</t>
  </si>
  <si>
    <t>ターゲットに命中、またはフィールドの突き当りに到達後に跳ね返す。発射された水晶玉は{0}秒後に消える</t>
  </si>
  <si>
    <r>
      <t>대상</t>
    </r>
    <r>
      <rPr>
        <sz val="12"/>
        <color theme="1"/>
        <rFont val="微软雅黑"/>
        <family val="2"/>
        <charset val="134"/>
      </rPr>
      <t xml:space="preserve"> </t>
    </r>
    <r>
      <rPr>
        <sz val="12"/>
        <color theme="1"/>
        <rFont val="MS Gothic"/>
        <family val="3"/>
        <charset val="128"/>
      </rPr>
      <t>적중</t>
    </r>
    <r>
      <rPr>
        <sz val="12"/>
        <color theme="1"/>
        <rFont val="微软雅黑"/>
        <family val="2"/>
        <charset val="134"/>
      </rPr>
      <t xml:space="preserve"> </t>
    </r>
    <r>
      <rPr>
        <sz val="12"/>
        <color theme="1"/>
        <rFont val="MS Gothic"/>
        <family val="3"/>
        <charset val="128"/>
      </rPr>
      <t>또는</t>
    </r>
    <r>
      <rPr>
        <sz val="12"/>
        <color theme="1"/>
        <rFont val="微软雅黑"/>
        <family val="2"/>
        <charset val="134"/>
      </rPr>
      <t xml:space="preserve"> </t>
    </r>
    <r>
      <rPr>
        <sz val="12"/>
        <color theme="1"/>
        <rFont val="MS Gothic"/>
        <family val="3"/>
        <charset val="128"/>
      </rPr>
      <t>변두리에</t>
    </r>
    <r>
      <rPr>
        <sz val="12"/>
        <color theme="1"/>
        <rFont val="微软雅黑"/>
        <family val="2"/>
        <charset val="134"/>
      </rPr>
      <t xml:space="preserve"> </t>
    </r>
    <r>
      <rPr>
        <sz val="12"/>
        <color theme="1"/>
        <rFont val="MS Gothic"/>
        <family val="3"/>
        <charset val="128"/>
      </rPr>
      <t>도착할</t>
    </r>
    <r>
      <rPr>
        <sz val="12"/>
        <color theme="1"/>
        <rFont val="微软雅黑"/>
        <family val="2"/>
        <charset val="134"/>
      </rPr>
      <t xml:space="preserve"> </t>
    </r>
    <r>
      <rPr>
        <sz val="12"/>
        <color theme="1"/>
        <rFont val="MS Gothic"/>
        <family val="3"/>
        <charset val="128"/>
      </rPr>
      <t>시</t>
    </r>
    <r>
      <rPr>
        <sz val="12"/>
        <color theme="1"/>
        <rFont val="微软雅黑"/>
        <family val="2"/>
        <charset val="134"/>
      </rPr>
      <t xml:space="preserve"> </t>
    </r>
    <r>
      <rPr>
        <sz val="12"/>
        <color theme="1"/>
        <rFont val="MS Gothic"/>
        <family val="3"/>
        <charset val="128"/>
      </rPr>
      <t>튕기게</t>
    </r>
    <r>
      <rPr>
        <sz val="12"/>
        <color theme="1"/>
        <rFont val="微软雅黑"/>
        <family val="2"/>
        <charset val="134"/>
      </rPr>
      <t xml:space="preserve"> </t>
    </r>
    <r>
      <rPr>
        <sz val="12"/>
        <color theme="1"/>
        <rFont val="MS Gothic"/>
        <family val="3"/>
        <charset val="128"/>
      </rPr>
      <t>되며</t>
    </r>
    <r>
      <rPr>
        <sz val="12"/>
        <color theme="1"/>
        <rFont val="微软雅黑"/>
        <family val="2"/>
        <charset val="134"/>
      </rPr>
      <t xml:space="preserve">, </t>
    </r>
    <r>
      <rPr>
        <sz val="12"/>
        <color theme="1"/>
        <rFont val="MS Gothic"/>
        <family val="3"/>
        <charset val="128"/>
      </rPr>
      <t>수정구슬은</t>
    </r>
    <r>
      <rPr>
        <sz val="12"/>
        <color theme="1"/>
        <rFont val="微软雅黑"/>
        <family val="2"/>
        <charset val="134"/>
      </rPr>
      <t xml:space="preserve"> </t>
    </r>
    <r>
      <rPr>
        <sz val="12"/>
        <color theme="1"/>
        <rFont val="MS Gothic"/>
        <family val="3"/>
        <charset val="128"/>
      </rPr>
      <t>발사</t>
    </r>
    <r>
      <rPr>
        <sz val="12"/>
        <color theme="1"/>
        <rFont val="微软雅黑"/>
        <family val="2"/>
        <charset val="134"/>
      </rPr>
      <t xml:space="preserve"> {0}</t>
    </r>
    <r>
      <rPr>
        <sz val="12"/>
        <color theme="1"/>
        <rFont val="MS Gothic"/>
        <family val="3"/>
        <charset val="128"/>
      </rPr>
      <t>초</t>
    </r>
    <r>
      <rPr>
        <sz val="12"/>
        <color theme="1"/>
        <rFont val="微软雅黑"/>
        <family val="2"/>
        <charset val="134"/>
      </rPr>
      <t xml:space="preserve"> </t>
    </r>
    <r>
      <rPr>
        <sz val="12"/>
        <color theme="1"/>
        <rFont val="MS Gothic"/>
        <family val="3"/>
        <charset val="128"/>
      </rPr>
      <t>후</t>
    </r>
    <r>
      <rPr>
        <sz val="12"/>
        <color theme="1"/>
        <rFont val="微软雅黑"/>
        <family val="2"/>
        <charset val="134"/>
      </rPr>
      <t xml:space="preserve"> </t>
    </r>
    <r>
      <rPr>
        <sz val="12"/>
        <color theme="1"/>
        <rFont val="MS Gothic"/>
        <family val="3"/>
        <charset val="128"/>
      </rPr>
      <t>사라진다</t>
    </r>
    <r>
      <rPr>
        <sz val="12"/>
        <color theme="1"/>
        <rFont val="微软雅黑"/>
        <family val="2"/>
        <charset val="134"/>
      </rPr>
      <t>.</t>
    </r>
  </si>
  <si>
    <t>Springt umher, wenn ein Ziel getroffen oder der Rand des Schlachtfelds erreicht wird. Die Kristallkugel verschwindet {0} Sek. nach dem Auslösen.</t>
  </si>
  <si>
    <t>Rebondit quand elle touche une cible ou un bord ; la boule de cristal disparaît {0} s après son lancement.</t>
  </si>
  <si>
    <t>Quica ao acertar um alvo ou atingir a extremidade; a Bola de Cristal desaparece depois de ser liberada por {0} s.</t>
  </si>
  <si>
    <t>La bola de cristal rebota al golpear a un objetivo o al alcanzar el borde y desaparece {0}s después de liberarla.</t>
  </si>
  <si>
    <t>水晶球攻击+{0}%</t>
  </si>
  <si>
    <t>Crystal Ball ATK +{0}%</t>
  </si>
  <si>
    <t>水晶玉の攻撃力+{0}%</t>
  </si>
  <si>
    <r>
      <t>수정구슬</t>
    </r>
    <r>
      <rPr>
        <sz val="12"/>
        <color theme="1"/>
        <rFont val="微软雅黑"/>
        <family val="2"/>
        <charset val="134"/>
      </rPr>
      <t xml:space="preserve"> </t>
    </r>
    <r>
      <rPr>
        <sz val="12"/>
        <color theme="1"/>
        <rFont val="MS Gothic"/>
        <family val="3"/>
        <charset val="128"/>
      </rPr>
      <t>공격력</t>
    </r>
    <r>
      <rPr>
        <sz val="12"/>
        <color theme="1"/>
        <rFont val="微软雅黑"/>
        <family val="2"/>
        <charset val="134"/>
      </rPr>
      <t xml:space="preserve"> +{0}%</t>
    </r>
  </si>
  <si>
    <t>Kristallkugel-ANG: +{0} %</t>
  </si>
  <si>
    <t>ATQ de Boule de Cristal +{0} %</t>
  </si>
  <si>
    <t>ATQ de Bola de Cristal +{0}%</t>
  </si>
  <si>
    <t>水晶球飞行速度+{0}%</t>
  </si>
  <si>
    <t>Crystal Ball Flying SPD +{0}%</t>
  </si>
  <si>
    <t>水晶玉の飛行速度+{0}%</t>
  </si>
  <si>
    <r>
      <t>수정구슬</t>
    </r>
    <r>
      <rPr>
        <sz val="12"/>
        <color theme="1"/>
        <rFont val="微软雅黑"/>
        <family val="2"/>
        <charset val="134"/>
      </rPr>
      <t xml:space="preserve"> </t>
    </r>
    <r>
      <rPr>
        <sz val="12"/>
        <color theme="1"/>
        <rFont val="MS Gothic"/>
        <family val="3"/>
        <charset val="128"/>
      </rPr>
      <t>비행</t>
    </r>
    <r>
      <rPr>
        <sz val="12"/>
        <color theme="1"/>
        <rFont val="微软雅黑"/>
        <family val="2"/>
        <charset val="134"/>
      </rPr>
      <t xml:space="preserve"> </t>
    </r>
    <r>
      <rPr>
        <sz val="12"/>
        <color theme="1"/>
        <rFont val="MS Gothic"/>
        <family val="3"/>
        <charset val="128"/>
      </rPr>
      <t>속도</t>
    </r>
    <r>
      <rPr>
        <sz val="12"/>
        <color theme="1"/>
        <rFont val="微软雅黑"/>
        <family val="2"/>
        <charset val="134"/>
      </rPr>
      <t xml:space="preserve"> +{0}%</t>
    </r>
  </si>
  <si>
    <t>Kristallkugel-Flug-GSW: +{0} %</t>
  </si>
  <si>
    <t>VIT de Boule de Cristal +{0} %</t>
  </si>
  <si>
    <t>VEL de Voo de Bola de Cristal +{0}%</t>
  </si>
  <si>
    <t>VEL de Vuelo de Bola de Cristal +{0}%</t>
  </si>
  <si>
    <t>水晶球飞行时间+{0}%</t>
  </si>
  <si>
    <t>Crystal Ball Flying Time +{0}%</t>
  </si>
  <si>
    <t>水晶玉の飛行時間+{0}%</t>
  </si>
  <si>
    <r>
      <t>수정구슬</t>
    </r>
    <r>
      <rPr>
        <sz val="12"/>
        <color theme="1"/>
        <rFont val="微软雅黑"/>
        <family val="2"/>
        <charset val="134"/>
      </rPr>
      <t xml:space="preserve"> </t>
    </r>
    <r>
      <rPr>
        <sz val="12"/>
        <color theme="1"/>
        <rFont val="MS Gothic"/>
        <family val="3"/>
        <charset val="128"/>
      </rPr>
      <t>비행</t>
    </r>
    <r>
      <rPr>
        <sz val="12"/>
        <color theme="1"/>
        <rFont val="微软雅黑"/>
        <family val="2"/>
        <charset val="134"/>
      </rPr>
      <t xml:space="preserve"> </t>
    </r>
    <r>
      <rPr>
        <sz val="12"/>
        <color theme="1"/>
        <rFont val="MS Gothic"/>
        <family val="3"/>
        <charset val="128"/>
      </rPr>
      <t>시간</t>
    </r>
    <r>
      <rPr>
        <sz val="12"/>
        <color theme="1"/>
        <rFont val="微软雅黑"/>
        <family val="2"/>
        <charset val="134"/>
      </rPr>
      <t xml:space="preserve"> +{0}%</t>
    </r>
  </si>
  <si>
    <t>Kristallkugel-Flugzeit: +{0} %</t>
  </si>
  <si>
    <t>Durée de Vol de Boule de Cristal +{0} %</t>
  </si>
  <si>
    <t>Tempo de Voo de Bola de Cristal +{0}%</t>
  </si>
  <si>
    <t>Tiempo de Vuelo de Bola de Cristal +{0}%</t>
  </si>
  <si>
    <t>三叉戟会停留在首个攻击的单位处{0}秒，对范围内敌人每{1}秒造成{2}%攻击力伤害</t>
  </si>
  <si>
    <t>Trident will stay at the first target's position for {0}s, dealing {2}% ATK DMG to enemies within the area per {1}s.</t>
  </si>
  <si>
    <t>トライデントは最初の攻撃の単位に{0}秒留まり、範囲内の敵に{1}秒ごとに{2}%の攻撃力ダメージを与える</t>
  </si>
  <si>
    <t>삼지창은 첫 번째 공격의 단위에 {0}초 머무르며, 범위 내 적에게 {1}초당 {2}% 공격력 데미지를 입힙니다</t>
  </si>
  <si>
    <t>三叉戟停留时间+{0}秒</t>
  </si>
  <si>
    <t>Trident stays for {0}s more.</t>
  </si>
  <si>
    <t>トライデント滞留時間+{0}秒</t>
  </si>
  <si>
    <t>트라이던트 체류 시간 +{0}초</t>
  </si>
  <si>
    <t>三叉戟击杀单位时，所有三叉戟体型+{0}%，最大额外增加{1}%，持续至整场战斗结束</t>
  </si>
  <si>
    <t>When Trident kills a target, all tridents' size +{0}% (max: +{1}%), lasting until the end of the battle.</t>
  </si>
  <si>
    <t>トライデントがユニットを撃ち殺した場合、すべてのトライデントの体型は+{0}%、最大追加{1}%増加し、戦闘終了まで継続する</t>
  </si>
  <si>
    <t>트라이던트 처치 단위 시, 모든 트라이던트 체형 + {0}%, 최대 추가 증가 {1}%, 전체 전투가 끝날 때까지 지속</t>
  </si>
  <si>
    <t>三叉戟击杀单位时，所有三叉戟体型额外+{0}%</t>
  </si>
  <si>
    <t>When Trident kills a target, all tridents' size +{0}%.</t>
  </si>
  <si>
    <t>三叉戟撃殺単位の場合、すべての三叉戟の体型は+{0}%余分である</t>
  </si>
  <si>
    <t>트라이던트 처치 단위 시 모든 트라이던트 체형 추가 +{0}%</t>
  </si>
  <si>
    <t>三叉戟攻击距离+{0}</t>
  </si>
  <si>
    <t>Trident ATK Range +{0}</t>
  </si>
  <si>
    <t>トライデント攻撃距離+{0}</t>
  </si>
  <si>
    <t>트라이던트 공격 거리 +{0}</t>
  </si>
  <si>
    <t>三叉戟攻击时，{0}%概率发动万钧一击，对命中的敌人造成{1}%攻击力伤害</t>
  </si>
  <si>
    <t>When Trident attacks, there is a {0}% chance of releasing Crushing Strike, dealing {1}% ATK DMG to the target hit.</t>
  </si>
  <si>
    <t>トライデント攻撃時、{0}%の確率で万鈞の一撃を発動し、命中した敵に{1}%の攻撃力ダメージを与える</t>
  </si>
  <si>
    <t>삼지창 공격 시 {0}% 확률로 만균일격을 발동하여 명중한 적에게 {1}% 공격력 데미지를 입힙니다</t>
  </si>
  <si>
    <t>三叉戟万钧一击发动概率+{0}%</t>
  </si>
  <si>
    <t>Chance of releasing Crushing Strike +{0}%</t>
  </si>
  <si>
    <t>三叉戟万鈞の一撃発動確率+{0}%</t>
  </si>
  <si>
    <t>삼지창 만균일격 발동 확률 +{0}%</t>
  </si>
  <si>
    <t>2回攻撃するごとに、チャージを行い、次の攻撃時に旋回効果を付ける</t>
  </si>
  <si>
    <r>
      <rPr>
        <sz val="11"/>
        <color theme="1"/>
        <rFont val="宋体"/>
        <family val="3"/>
        <charset val="134"/>
        <scheme val="minor"/>
      </rPr>
      <t>매</t>
    </r>
    <r>
      <rPr>
        <sz val="11"/>
        <color theme="1"/>
        <rFont val="宋体"/>
        <family val="3"/>
        <charset val="134"/>
        <scheme val="minor"/>
      </rPr>
      <t xml:space="preserve"> 2</t>
    </r>
    <r>
      <rPr>
        <sz val="11"/>
        <color theme="1"/>
        <rFont val="宋体"/>
        <family val="3"/>
        <charset val="134"/>
        <scheme val="minor"/>
      </rPr>
      <t>회</t>
    </r>
    <r>
      <rPr>
        <sz val="11"/>
        <color theme="1"/>
        <rFont val="宋体"/>
        <family val="3"/>
        <charset val="134"/>
        <scheme val="minor"/>
      </rPr>
      <t xml:space="preserve"> </t>
    </r>
    <r>
      <rPr>
        <sz val="11"/>
        <color theme="1"/>
        <rFont val="宋体"/>
        <family val="3"/>
        <charset val="134"/>
        <scheme val="minor"/>
      </rPr>
      <t>타격</t>
    </r>
    <r>
      <rPr>
        <sz val="11"/>
        <color theme="1"/>
        <rFont val="宋体"/>
        <family val="3"/>
        <charset val="134"/>
        <scheme val="minor"/>
      </rPr>
      <t xml:space="preserve"> </t>
    </r>
    <r>
      <rPr>
        <sz val="11"/>
        <color theme="1"/>
        <rFont val="宋体"/>
        <family val="3"/>
        <charset val="134"/>
        <scheme val="minor"/>
      </rPr>
      <t>후</t>
    </r>
    <r>
      <rPr>
        <sz val="11"/>
        <color theme="1"/>
        <rFont val="宋体"/>
        <family val="3"/>
        <charset val="134"/>
        <scheme val="minor"/>
      </rPr>
      <t xml:space="preserve"> </t>
    </r>
    <r>
      <rPr>
        <sz val="11"/>
        <color theme="1"/>
        <rFont val="宋体"/>
        <family val="3"/>
        <charset val="134"/>
        <scheme val="minor"/>
      </rPr>
      <t>모으기</t>
    </r>
    <r>
      <rPr>
        <sz val="11"/>
        <color theme="1"/>
        <rFont val="宋体"/>
        <family val="3"/>
        <charset val="134"/>
        <scheme val="minor"/>
      </rPr>
      <t xml:space="preserve"> </t>
    </r>
    <r>
      <rPr>
        <sz val="11"/>
        <color theme="1"/>
        <rFont val="宋体"/>
        <family val="3"/>
        <charset val="134"/>
        <scheme val="minor"/>
      </rPr>
      <t>진행</t>
    </r>
    <r>
      <rPr>
        <sz val="11"/>
        <color theme="1"/>
        <rFont val="宋体"/>
        <family val="3"/>
        <charset val="134"/>
        <scheme val="minor"/>
      </rPr>
      <t xml:space="preserve">, </t>
    </r>
    <r>
      <rPr>
        <sz val="11"/>
        <color theme="1"/>
        <rFont val="宋体"/>
        <family val="3"/>
        <charset val="134"/>
        <scheme val="minor"/>
      </rPr>
      <t>다음</t>
    </r>
    <r>
      <rPr>
        <sz val="11"/>
        <color theme="1"/>
        <rFont val="宋体"/>
        <family val="3"/>
        <charset val="134"/>
        <scheme val="minor"/>
      </rPr>
      <t xml:space="preserve"> </t>
    </r>
    <r>
      <rPr>
        <sz val="11"/>
        <color theme="1"/>
        <rFont val="宋体"/>
        <family val="3"/>
        <charset val="134"/>
        <scheme val="minor"/>
      </rPr>
      <t>공격</t>
    </r>
    <r>
      <rPr>
        <sz val="11"/>
        <color theme="1"/>
        <rFont val="宋体"/>
        <family val="3"/>
        <charset val="134"/>
        <scheme val="minor"/>
      </rPr>
      <t xml:space="preserve"> </t>
    </r>
    <r>
      <rPr>
        <sz val="11"/>
        <color theme="1"/>
        <rFont val="宋体"/>
        <family val="3"/>
        <charset val="134"/>
        <scheme val="minor"/>
      </rPr>
      <t>시</t>
    </r>
    <r>
      <rPr>
        <sz val="11"/>
        <color theme="1"/>
        <rFont val="宋体"/>
        <family val="3"/>
        <charset val="134"/>
        <scheme val="minor"/>
      </rPr>
      <t xml:space="preserve"> </t>
    </r>
    <r>
      <rPr>
        <sz val="11"/>
        <color theme="1"/>
        <rFont val="宋体"/>
        <family val="3"/>
        <charset val="134"/>
        <scheme val="minor"/>
      </rPr>
      <t>회전</t>
    </r>
    <r>
      <rPr>
        <sz val="11"/>
        <color theme="1"/>
        <rFont val="宋体"/>
        <family val="3"/>
        <charset val="134"/>
        <scheme val="minor"/>
      </rPr>
      <t xml:space="preserve"> </t>
    </r>
    <r>
      <rPr>
        <sz val="11"/>
        <color theme="1"/>
        <rFont val="宋体"/>
        <family val="3"/>
        <charset val="134"/>
        <scheme val="minor"/>
      </rPr>
      <t>효과</t>
    </r>
    <r>
      <rPr>
        <sz val="11"/>
        <color theme="1"/>
        <rFont val="宋体"/>
        <family val="3"/>
        <charset val="134"/>
        <scheme val="minor"/>
      </rPr>
      <t xml:space="preserve"> </t>
    </r>
    <r>
      <rPr>
        <sz val="11"/>
        <color theme="1"/>
        <rFont val="宋体"/>
        <family val="3"/>
        <charset val="134"/>
        <scheme val="minor"/>
      </rPr>
      <t>추가</t>
    </r>
  </si>
  <si>
    <t>攻撃のたびにチャージバックを発動する</t>
  </si>
  <si>
    <r>
      <rPr>
        <sz val="11"/>
        <color theme="1"/>
        <rFont val="宋体"/>
        <family val="3"/>
        <charset val="134"/>
        <scheme val="minor"/>
      </rPr>
      <t>타격마다</t>
    </r>
    <r>
      <rPr>
        <sz val="11"/>
        <color theme="1"/>
        <rFont val="宋体"/>
        <family val="3"/>
        <charset val="134"/>
        <scheme val="minor"/>
      </rPr>
      <t xml:space="preserve"> </t>
    </r>
    <r>
      <rPr>
        <sz val="11"/>
        <color theme="1"/>
        <rFont val="宋体"/>
        <family val="3"/>
        <charset val="134"/>
        <scheme val="minor"/>
      </rPr>
      <t>모으기</t>
    </r>
    <r>
      <rPr>
        <sz val="11"/>
        <color theme="1"/>
        <rFont val="宋体"/>
        <family val="3"/>
        <charset val="134"/>
        <scheme val="minor"/>
      </rPr>
      <t xml:space="preserve"> </t>
    </r>
    <r>
      <rPr>
        <sz val="11"/>
        <color theme="1"/>
        <rFont val="宋体"/>
        <family val="3"/>
        <charset val="134"/>
        <scheme val="minor"/>
      </rPr>
      <t>회전</t>
    </r>
    <r>
      <rPr>
        <sz val="11"/>
        <color theme="1"/>
        <rFont val="宋体"/>
        <family val="3"/>
        <charset val="134"/>
        <scheme val="minor"/>
      </rPr>
      <t xml:space="preserve"> </t>
    </r>
    <r>
      <rPr>
        <sz val="11"/>
        <color theme="1"/>
        <rFont val="宋体"/>
        <family val="3"/>
        <charset val="134"/>
        <scheme val="minor"/>
      </rPr>
      <t>발동</t>
    </r>
  </si>
  <si>
    <t>ダーツの最大飛距離+25%</t>
  </si>
  <si>
    <r>
      <rPr>
        <sz val="11"/>
        <color theme="1"/>
        <rFont val="宋体"/>
        <family val="3"/>
        <charset val="134"/>
        <scheme val="minor"/>
      </rPr>
      <t>부메랑</t>
    </r>
    <r>
      <rPr>
        <sz val="11"/>
        <color theme="1"/>
        <rFont val="宋体"/>
        <family val="3"/>
        <charset val="134"/>
        <scheme val="minor"/>
      </rPr>
      <t xml:space="preserve"> </t>
    </r>
    <r>
      <rPr>
        <sz val="11"/>
        <color theme="1"/>
        <rFont val="宋体"/>
        <family val="3"/>
        <charset val="134"/>
        <scheme val="minor"/>
      </rPr>
      <t>최대</t>
    </r>
    <r>
      <rPr>
        <sz val="11"/>
        <color theme="1"/>
        <rFont val="宋体"/>
        <family val="3"/>
        <charset val="134"/>
        <scheme val="minor"/>
      </rPr>
      <t xml:space="preserve"> </t>
    </r>
    <r>
      <rPr>
        <sz val="11"/>
        <color theme="1"/>
        <rFont val="宋体"/>
        <family val="3"/>
        <charset val="134"/>
        <scheme val="minor"/>
      </rPr>
      <t>비행</t>
    </r>
    <r>
      <rPr>
        <sz val="11"/>
        <color theme="1"/>
        <rFont val="宋体"/>
        <family val="3"/>
        <charset val="134"/>
        <scheme val="minor"/>
      </rPr>
      <t xml:space="preserve"> </t>
    </r>
    <r>
      <rPr>
        <sz val="11"/>
        <color theme="1"/>
        <rFont val="宋体"/>
        <family val="3"/>
        <charset val="134"/>
        <scheme val="minor"/>
      </rPr>
      <t>거리</t>
    </r>
    <r>
      <rPr>
        <sz val="11"/>
        <color theme="1"/>
        <rFont val="宋体"/>
        <family val="3"/>
        <charset val="134"/>
        <scheme val="minor"/>
      </rPr>
      <t xml:space="preserve"> +25%</t>
    </r>
  </si>
  <si>
    <t>ブーメラン攻撃時に追加で1本のブーメランを放つ</t>
  </si>
  <si>
    <r>
      <rPr>
        <sz val="11"/>
        <color theme="1"/>
        <rFont val="宋体"/>
        <family val="3"/>
        <charset val="134"/>
        <scheme val="minor"/>
      </rPr>
      <t>부메랑</t>
    </r>
    <r>
      <rPr>
        <sz val="11"/>
        <color theme="1"/>
        <rFont val="宋体"/>
        <family val="3"/>
        <charset val="134"/>
        <scheme val="minor"/>
      </rPr>
      <t xml:space="preserve"> </t>
    </r>
    <r>
      <rPr>
        <sz val="11"/>
        <color theme="1"/>
        <rFont val="宋体"/>
        <family val="3"/>
        <charset val="134"/>
        <scheme val="minor"/>
      </rPr>
      <t>타격</t>
    </r>
    <r>
      <rPr>
        <sz val="11"/>
        <color theme="1"/>
        <rFont val="宋体"/>
        <family val="3"/>
        <charset val="134"/>
        <scheme val="minor"/>
      </rPr>
      <t xml:space="preserve"> </t>
    </r>
    <r>
      <rPr>
        <sz val="11"/>
        <color theme="1"/>
        <rFont val="宋体"/>
        <family val="3"/>
        <charset val="134"/>
        <scheme val="minor"/>
      </rPr>
      <t>시</t>
    </r>
    <r>
      <rPr>
        <sz val="11"/>
        <color theme="1"/>
        <rFont val="宋体"/>
        <family val="3"/>
        <charset val="134"/>
        <scheme val="minor"/>
      </rPr>
      <t xml:space="preserve"> </t>
    </r>
    <r>
      <rPr>
        <sz val="11"/>
        <color theme="1"/>
        <rFont val="宋体"/>
        <family val="3"/>
        <charset val="134"/>
        <scheme val="minor"/>
      </rPr>
      <t>부메랑</t>
    </r>
    <r>
      <rPr>
        <sz val="11"/>
        <color theme="1"/>
        <rFont val="宋体"/>
        <family val="3"/>
        <charset val="134"/>
        <scheme val="minor"/>
      </rPr>
      <t xml:space="preserve"> 1</t>
    </r>
    <r>
      <rPr>
        <sz val="11"/>
        <color theme="1"/>
        <rFont val="宋体"/>
        <family val="3"/>
        <charset val="134"/>
        <scheme val="minor"/>
      </rPr>
      <t>개</t>
    </r>
    <r>
      <rPr>
        <sz val="11"/>
        <color theme="1"/>
        <rFont val="宋体"/>
        <family val="3"/>
        <charset val="134"/>
        <scheme val="minor"/>
      </rPr>
      <t xml:space="preserve"> </t>
    </r>
    <r>
      <rPr>
        <sz val="11"/>
        <color theme="1"/>
        <rFont val="宋体"/>
        <family val="3"/>
        <charset val="134"/>
        <scheme val="minor"/>
      </rPr>
      <t>추가</t>
    </r>
    <r>
      <rPr>
        <sz val="11"/>
        <color theme="1"/>
        <rFont val="宋体"/>
        <family val="3"/>
        <charset val="134"/>
        <scheme val="minor"/>
      </rPr>
      <t xml:space="preserve"> </t>
    </r>
    <r>
      <rPr>
        <sz val="11"/>
        <color theme="1"/>
        <rFont val="宋体"/>
        <family val="3"/>
        <charset val="134"/>
        <scheme val="minor"/>
      </rPr>
      <t>발사</t>
    </r>
  </si>
  <si>
    <t>投擲斧サイズ+20%</t>
  </si>
  <si>
    <r>
      <rPr>
        <sz val="11"/>
        <color theme="1"/>
        <rFont val="宋体"/>
        <family val="3"/>
        <charset val="134"/>
        <scheme val="minor"/>
      </rPr>
      <t>투척도끼</t>
    </r>
    <r>
      <rPr>
        <sz val="11"/>
        <color theme="1"/>
        <rFont val="宋体"/>
        <family val="3"/>
        <charset val="134"/>
        <scheme val="minor"/>
      </rPr>
      <t xml:space="preserve"> </t>
    </r>
    <r>
      <rPr>
        <sz val="11"/>
        <color theme="1"/>
        <rFont val="宋体"/>
        <family val="3"/>
        <charset val="134"/>
        <scheme val="minor"/>
      </rPr>
      <t>크기</t>
    </r>
    <r>
      <rPr>
        <sz val="11"/>
        <color theme="1"/>
        <rFont val="宋体"/>
        <family val="3"/>
        <charset val="134"/>
        <scheme val="minor"/>
      </rPr>
      <t xml:space="preserve"> +20%</t>
    </r>
  </si>
  <si>
    <t>斧を投げて命中した後、50%の確率で目標に物理的重傷を負わせた：物理的傷害を受けた時、傷害は+20%で、3秒持続する</t>
  </si>
  <si>
    <r>
      <rPr>
        <sz val="11"/>
        <color theme="1"/>
        <rFont val="宋体"/>
        <family val="3"/>
        <charset val="134"/>
        <scheme val="minor"/>
      </rPr>
      <t>도끼</t>
    </r>
    <r>
      <rPr>
        <sz val="11"/>
        <color theme="1"/>
        <rFont val="宋体"/>
        <family val="3"/>
        <charset val="134"/>
        <scheme val="minor"/>
      </rPr>
      <t xml:space="preserve"> </t>
    </r>
    <r>
      <rPr>
        <sz val="11"/>
        <color theme="1"/>
        <rFont val="宋体"/>
        <family val="3"/>
        <charset val="134"/>
        <scheme val="minor"/>
      </rPr>
      <t>던지기</t>
    </r>
    <r>
      <rPr>
        <sz val="11"/>
        <color theme="1"/>
        <rFont val="宋体"/>
        <family val="3"/>
        <charset val="134"/>
        <scheme val="minor"/>
      </rPr>
      <t xml:space="preserve"> </t>
    </r>
    <r>
      <rPr>
        <sz val="11"/>
        <color theme="1"/>
        <rFont val="宋体"/>
        <family val="3"/>
        <charset val="134"/>
        <scheme val="minor"/>
      </rPr>
      <t>명중</t>
    </r>
    <r>
      <rPr>
        <sz val="11"/>
        <color theme="1"/>
        <rFont val="宋体"/>
        <family val="3"/>
        <charset val="134"/>
        <scheme val="minor"/>
      </rPr>
      <t xml:space="preserve"> </t>
    </r>
    <r>
      <rPr>
        <sz val="11"/>
        <color theme="1"/>
        <rFont val="宋体"/>
        <family val="3"/>
        <charset val="134"/>
        <scheme val="minor"/>
      </rPr>
      <t>후</t>
    </r>
    <r>
      <rPr>
        <sz val="11"/>
        <color theme="1"/>
        <rFont val="宋体"/>
        <family val="3"/>
        <charset val="134"/>
        <scheme val="minor"/>
      </rPr>
      <t xml:space="preserve"> 50% </t>
    </r>
    <r>
      <rPr>
        <sz val="11"/>
        <color theme="1"/>
        <rFont val="宋体"/>
        <family val="3"/>
        <charset val="134"/>
        <scheme val="minor"/>
      </rPr>
      <t>확률로</t>
    </r>
    <r>
      <rPr>
        <sz val="11"/>
        <color theme="1"/>
        <rFont val="宋体"/>
        <family val="3"/>
        <charset val="134"/>
        <scheme val="minor"/>
      </rPr>
      <t xml:space="preserve"> </t>
    </r>
    <r>
      <rPr>
        <sz val="11"/>
        <color theme="1"/>
        <rFont val="宋体"/>
        <family val="3"/>
        <charset val="134"/>
        <scheme val="minor"/>
      </rPr>
      <t>목표에게</t>
    </r>
    <r>
      <rPr>
        <sz val="11"/>
        <color theme="1"/>
        <rFont val="宋体"/>
        <family val="3"/>
        <charset val="134"/>
        <scheme val="minor"/>
      </rPr>
      <t xml:space="preserve"> </t>
    </r>
    <r>
      <rPr>
        <sz val="11"/>
        <color theme="1"/>
        <rFont val="宋体"/>
        <family val="3"/>
        <charset val="134"/>
        <scheme val="minor"/>
      </rPr>
      <t>물리</t>
    </r>
    <r>
      <rPr>
        <sz val="11"/>
        <color theme="1"/>
        <rFont val="宋体"/>
        <family val="3"/>
        <charset val="134"/>
        <scheme val="minor"/>
      </rPr>
      <t xml:space="preserve"> </t>
    </r>
    <r>
      <rPr>
        <sz val="11"/>
        <color theme="1"/>
        <rFont val="宋体"/>
        <family val="3"/>
        <charset val="134"/>
        <scheme val="minor"/>
      </rPr>
      <t>중상을</t>
    </r>
    <r>
      <rPr>
        <sz val="11"/>
        <color theme="1"/>
        <rFont val="宋体"/>
        <family val="3"/>
        <charset val="134"/>
        <scheme val="minor"/>
      </rPr>
      <t xml:space="preserve"> </t>
    </r>
    <r>
      <rPr>
        <sz val="11"/>
        <color theme="1"/>
        <rFont val="宋体"/>
        <family val="3"/>
        <charset val="134"/>
        <scheme val="minor"/>
      </rPr>
      <t>추가</t>
    </r>
    <r>
      <rPr>
        <sz val="11"/>
        <color theme="1"/>
        <rFont val="宋体"/>
        <family val="3"/>
        <charset val="134"/>
        <scheme val="minor"/>
      </rPr>
      <t xml:space="preserve">: </t>
    </r>
    <r>
      <rPr>
        <sz val="11"/>
        <color theme="1"/>
        <rFont val="宋体"/>
        <family val="3"/>
        <charset val="134"/>
        <scheme val="minor"/>
      </rPr>
      <t>물리</t>
    </r>
    <r>
      <rPr>
        <sz val="11"/>
        <color theme="1"/>
        <rFont val="宋体"/>
        <family val="3"/>
        <charset val="134"/>
        <scheme val="minor"/>
      </rPr>
      <t xml:space="preserve"> </t>
    </r>
    <r>
      <rPr>
        <sz val="11"/>
        <color theme="1"/>
        <rFont val="宋体"/>
        <family val="3"/>
        <charset val="134"/>
        <scheme val="minor"/>
      </rPr>
      <t>데미지를</t>
    </r>
    <r>
      <rPr>
        <sz val="11"/>
        <color theme="1"/>
        <rFont val="宋体"/>
        <family val="3"/>
        <charset val="134"/>
        <scheme val="minor"/>
      </rPr>
      <t xml:space="preserve"> </t>
    </r>
    <r>
      <rPr>
        <sz val="11"/>
        <color theme="1"/>
        <rFont val="宋体"/>
        <family val="3"/>
        <charset val="134"/>
        <scheme val="minor"/>
      </rPr>
      <t>입었을</t>
    </r>
    <r>
      <rPr>
        <sz val="11"/>
        <color theme="1"/>
        <rFont val="宋体"/>
        <family val="3"/>
        <charset val="134"/>
        <scheme val="minor"/>
      </rPr>
      <t xml:space="preserve"> </t>
    </r>
    <r>
      <rPr>
        <sz val="11"/>
        <color theme="1"/>
        <rFont val="宋体"/>
        <family val="3"/>
        <charset val="134"/>
        <scheme val="minor"/>
      </rPr>
      <t>때</t>
    </r>
    <r>
      <rPr>
        <sz val="11"/>
        <color theme="1"/>
        <rFont val="宋体"/>
        <family val="3"/>
        <charset val="134"/>
        <scheme val="minor"/>
      </rPr>
      <t xml:space="preserve"> </t>
    </r>
    <r>
      <rPr>
        <sz val="11"/>
        <color theme="1"/>
        <rFont val="宋体"/>
        <family val="3"/>
        <charset val="134"/>
        <scheme val="minor"/>
      </rPr>
      <t>피해</t>
    </r>
    <r>
      <rPr>
        <sz val="11"/>
        <color theme="1"/>
        <rFont val="宋体"/>
        <family val="3"/>
        <charset val="134"/>
        <scheme val="minor"/>
      </rPr>
      <t xml:space="preserve"> +20%, </t>
    </r>
    <r>
      <rPr>
        <sz val="11"/>
        <color theme="1"/>
        <rFont val="宋体"/>
        <family val="3"/>
        <charset val="134"/>
        <scheme val="minor"/>
      </rPr>
      <t>지속</t>
    </r>
    <r>
      <rPr>
        <sz val="11"/>
        <color theme="1"/>
        <rFont val="宋体"/>
        <family val="3"/>
        <charset val="134"/>
        <scheme val="minor"/>
      </rPr>
      <t xml:space="preserve"> 3</t>
    </r>
    <r>
      <rPr>
        <sz val="11"/>
        <color theme="1"/>
        <rFont val="宋体"/>
        <family val="3"/>
        <charset val="134"/>
        <scheme val="minor"/>
      </rPr>
      <t>초</t>
    </r>
  </si>
  <si>
    <t>投擲斧の最大飛距離+25%</t>
  </si>
  <si>
    <r>
      <rPr>
        <sz val="11"/>
        <color theme="1"/>
        <rFont val="宋体"/>
        <family val="3"/>
        <charset val="134"/>
        <scheme val="minor"/>
      </rPr>
      <t>도끼</t>
    </r>
    <r>
      <rPr>
        <sz val="11"/>
        <color theme="1"/>
        <rFont val="宋体"/>
        <family val="3"/>
        <charset val="134"/>
        <scheme val="minor"/>
      </rPr>
      <t xml:space="preserve"> </t>
    </r>
    <r>
      <rPr>
        <sz val="11"/>
        <color theme="1"/>
        <rFont val="宋体"/>
        <family val="3"/>
        <charset val="134"/>
        <scheme val="minor"/>
      </rPr>
      <t>던지기</t>
    </r>
    <r>
      <rPr>
        <sz val="11"/>
        <color theme="1"/>
        <rFont val="宋体"/>
        <family val="3"/>
        <charset val="134"/>
        <scheme val="minor"/>
      </rPr>
      <t xml:space="preserve"> </t>
    </r>
    <r>
      <rPr>
        <sz val="11"/>
        <color theme="1"/>
        <rFont val="宋体"/>
        <family val="3"/>
        <charset val="134"/>
        <scheme val="minor"/>
      </rPr>
      <t>최대</t>
    </r>
    <r>
      <rPr>
        <sz val="11"/>
        <color theme="1"/>
        <rFont val="宋体"/>
        <family val="3"/>
        <charset val="134"/>
        <scheme val="minor"/>
      </rPr>
      <t xml:space="preserve"> </t>
    </r>
    <r>
      <rPr>
        <sz val="11"/>
        <color theme="1"/>
        <rFont val="宋体"/>
        <family val="3"/>
        <charset val="134"/>
        <scheme val="minor"/>
      </rPr>
      <t>비거리</t>
    </r>
    <r>
      <rPr>
        <sz val="11"/>
        <color theme="1"/>
        <rFont val="宋体"/>
        <family val="3"/>
        <charset val="134"/>
        <scheme val="minor"/>
      </rPr>
      <t xml:space="preserve"> +25%</t>
    </r>
  </si>
  <si>
    <t>物理的に重傷を負った敵に斧を投げ、致命的な一撃率+60%</t>
  </si>
  <si>
    <r>
      <rPr>
        <sz val="11"/>
        <color theme="1"/>
        <rFont val="宋体"/>
        <family val="3"/>
        <charset val="134"/>
        <scheme val="minor"/>
      </rPr>
      <t>도끼</t>
    </r>
    <r>
      <rPr>
        <sz val="11"/>
        <color theme="1"/>
        <rFont val="宋体"/>
        <family val="3"/>
        <charset val="134"/>
        <scheme val="minor"/>
      </rPr>
      <t xml:space="preserve"> </t>
    </r>
    <r>
      <rPr>
        <sz val="11"/>
        <color theme="1"/>
        <rFont val="宋体"/>
        <family val="3"/>
        <charset val="134"/>
        <scheme val="minor"/>
      </rPr>
      <t>투척으로</t>
    </r>
    <r>
      <rPr>
        <sz val="11"/>
        <color theme="1"/>
        <rFont val="宋体"/>
        <family val="3"/>
        <charset val="134"/>
        <scheme val="minor"/>
      </rPr>
      <t xml:space="preserve"> </t>
    </r>
    <r>
      <rPr>
        <sz val="11"/>
        <color theme="1"/>
        <rFont val="宋体"/>
        <family val="3"/>
        <charset val="134"/>
        <scheme val="minor"/>
      </rPr>
      <t>물리적으로</t>
    </r>
    <r>
      <rPr>
        <sz val="11"/>
        <color theme="1"/>
        <rFont val="宋体"/>
        <family val="3"/>
        <charset val="134"/>
        <scheme val="minor"/>
      </rPr>
      <t xml:space="preserve"> </t>
    </r>
    <r>
      <rPr>
        <sz val="11"/>
        <color theme="1"/>
        <rFont val="宋体"/>
        <family val="3"/>
        <charset val="134"/>
        <scheme val="minor"/>
      </rPr>
      <t>중상을</t>
    </r>
    <r>
      <rPr>
        <sz val="11"/>
        <color theme="1"/>
        <rFont val="宋体"/>
        <family val="3"/>
        <charset val="134"/>
        <scheme val="minor"/>
      </rPr>
      <t xml:space="preserve"> </t>
    </r>
    <r>
      <rPr>
        <sz val="11"/>
        <color theme="1"/>
        <rFont val="宋体"/>
        <family val="3"/>
        <charset val="134"/>
        <scheme val="minor"/>
      </rPr>
      <t>입은</t>
    </r>
    <r>
      <rPr>
        <sz val="11"/>
        <color theme="1"/>
        <rFont val="宋体"/>
        <family val="3"/>
        <charset val="134"/>
        <scheme val="minor"/>
      </rPr>
      <t xml:space="preserve"> </t>
    </r>
    <r>
      <rPr>
        <sz val="11"/>
        <color theme="1"/>
        <rFont val="宋体"/>
        <family val="3"/>
        <charset val="134"/>
        <scheme val="minor"/>
      </rPr>
      <t>적에게</t>
    </r>
    <r>
      <rPr>
        <sz val="11"/>
        <color theme="1"/>
        <rFont val="宋体"/>
        <family val="3"/>
        <charset val="134"/>
        <scheme val="minor"/>
      </rPr>
      <t xml:space="preserve"> </t>
    </r>
    <r>
      <rPr>
        <sz val="11"/>
        <color theme="1"/>
        <rFont val="宋体"/>
        <family val="3"/>
        <charset val="134"/>
        <scheme val="minor"/>
      </rPr>
      <t>치명타</t>
    </r>
    <r>
      <rPr>
        <sz val="11"/>
        <color theme="1"/>
        <rFont val="宋体"/>
        <family val="3"/>
        <charset val="134"/>
        <scheme val="minor"/>
      </rPr>
      <t xml:space="preserve"> </t>
    </r>
    <r>
      <rPr>
        <sz val="11"/>
        <color theme="1"/>
        <rFont val="宋体"/>
        <family val="3"/>
        <charset val="134"/>
        <scheme val="minor"/>
      </rPr>
      <t>확률</t>
    </r>
    <r>
      <rPr>
        <sz val="11"/>
        <color theme="1"/>
        <rFont val="宋体"/>
        <family val="3"/>
        <charset val="134"/>
        <scheme val="minor"/>
      </rPr>
      <t xml:space="preserve"> +60%</t>
    </r>
  </si>
  <si>
    <t>火の玉の致命的な一撃+50%</t>
  </si>
  <si>
    <r>
      <rPr>
        <sz val="11"/>
        <color theme="1"/>
        <rFont val="宋体"/>
        <family val="3"/>
        <charset val="134"/>
        <scheme val="minor"/>
      </rPr>
      <t>화구의</t>
    </r>
    <r>
      <rPr>
        <sz val="11"/>
        <color theme="1"/>
        <rFont val="宋体"/>
        <family val="3"/>
        <charset val="134"/>
        <scheme val="minor"/>
      </rPr>
      <t xml:space="preserve"> </t>
    </r>
    <r>
      <rPr>
        <sz val="11"/>
        <color theme="1"/>
        <rFont val="宋体"/>
        <family val="3"/>
        <charset val="134"/>
        <scheme val="minor"/>
      </rPr>
      <t>치명타</t>
    </r>
    <r>
      <rPr>
        <sz val="11"/>
        <color theme="1"/>
        <rFont val="宋体"/>
        <family val="3"/>
        <charset val="134"/>
        <scheme val="minor"/>
      </rPr>
      <t xml:space="preserve"> +50%</t>
    </r>
  </si>
  <si>
    <t>火の玉が命中した後、火炎爆発を追加し、攻撃50%のダメージを与えた</t>
  </si>
  <si>
    <r>
      <rPr>
        <sz val="11"/>
        <color theme="1"/>
        <rFont val="宋体"/>
        <family val="3"/>
        <charset val="134"/>
        <scheme val="minor"/>
      </rPr>
      <t>화구</t>
    </r>
    <r>
      <rPr>
        <sz val="11"/>
        <color theme="1"/>
        <rFont val="宋体"/>
        <family val="3"/>
        <charset val="134"/>
        <scheme val="minor"/>
      </rPr>
      <t xml:space="preserve"> </t>
    </r>
    <r>
      <rPr>
        <sz val="11"/>
        <color theme="1"/>
        <rFont val="宋体"/>
        <family val="3"/>
        <charset val="134"/>
        <scheme val="minor"/>
      </rPr>
      <t>적중</t>
    </r>
    <r>
      <rPr>
        <sz val="11"/>
        <color theme="1"/>
        <rFont val="宋体"/>
        <family val="3"/>
        <charset val="134"/>
        <scheme val="minor"/>
      </rPr>
      <t xml:space="preserve"> </t>
    </r>
    <r>
      <rPr>
        <sz val="11"/>
        <color theme="1"/>
        <rFont val="宋体"/>
        <family val="3"/>
        <charset val="134"/>
        <scheme val="minor"/>
      </rPr>
      <t>후</t>
    </r>
    <r>
      <rPr>
        <sz val="11"/>
        <color theme="1"/>
        <rFont val="宋体"/>
        <family val="3"/>
        <charset val="134"/>
        <scheme val="minor"/>
      </rPr>
      <t xml:space="preserve"> </t>
    </r>
    <r>
      <rPr>
        <sz val="11"/>
        <color theme="1"/>
        <rFont val="宋体"/>
        <family val="3"/>
        <charset val="134"/>
        <scheme val="minor"/>
      </rPr>
      <t>화염</t>
    </r>
    <r>
      <rPr>
        <sz val="11"/>
        <color theme="1"/>
        <rFont val="宋体"/>
        <family val="3"/>
        <charset val="134"/>
        <scheme val="minor"/>
      </rPr>
      <t xml:space="preserve"> </t>
    </r>
    <r>
      <rPr>
        <sz val="11"/>
        <color theme="1"/>
        <rFont val="宋体"/>
        <family val="3"/>
        <charset val="134"/>
        <scheme val="minor"/>
      </rPr>
      <t>폭발</t>
    </r>
    <r>
      <rPr>
        <sz val="11"/>
        <color theme="1"/>
        <rFont val="宋体"/>
        <family val="3"/>
        <charset val="134"/>
        <scheme val="minor"/>
      </rPr>
      <t xml:space="preserve"> 1</t>
    </r>
    <r>
      <rPr>
        <sz val="11"/>
        <color theme="1"/>
        <rFont val="宋体"/>
        <family val="3"/>
        <charset val="134"/>
        <scheme val="minor"/>
      </rPr>
      <t>회</t>
    </r>
    <r>
      <rPr>
        <sz val="11"/>
        <color theme="1"/>
        <rFont val="宋体"/>
        <family val="3"/>
        <charset val="134"/>
        <scheme val="minor"/>
      </rPr>
      <t xml:space="preserve"> </t>
    </r>
    <r>
      <rPr>
        <sz val="11"/>
        <color theme="1"/>
        <rFont val="宋体"/>
        <family val="3"/>
        <charset val="134"/>
        <scheme val="minor"/>
      </rPr>
      <t>추가</t>
    </r>
    <r>
      <rPr>
        <sz val="11"/>
        <color theme="1"/>
        <rFont val="宋体"/>
        <family val="3"/>
        <charset val="134"/>
        <scheme val="minor"/>
      </rPr>
      <t xml:space="preserve">, </t>
    </r>
    <r>
      <rPr>
        <sz val="11"/>
        <color theme="1"/>
        <rFont val="宋体"/>
        <family val="3"/>
        <charset val="134"/>
        <scheme val="minor"/>
      </rPr>
      <t>공격력</t>
    </r>
    <r>
      <rPr>
        <sz val="11"/>
        <color theme="1"/>
        <rFont val="宋体"/>
        <family val="3"/>
        <charset val="134"/>
        <scheme val="minor"/>
      </rPr>
      <t xml:space="preserve"> 50% </t>
    </r>
    <r>
      <rPr>
        <sz val="11"/>
        <color theme="1"/>
        <rFont val="宋体"/>
        <family val="3"/>
        <charset val="134"/>
        <scheme val="minor"/>
      </rPr>
      <t>데미지</t>
    </r>
  </si>
  <si>
    <t>火炎爆発ダメージ+50%</t>
  </si>
  <si>
    <r>
      <rPr>
        <sz val="11"/>
        <color theme="1"/>
        <rFont val="宋体"/>
        <family val="3"/>
        <charset val="134"/>
        <scheme val="minor"/>
      </rPr>
      <t>화염</t>
    </r>
    <r>
      <rPr>
        <sz val="11"/>
        <color theme="1"/>
        <rFont val="宋体"/>
        <family val="3"/>
        <charset val="134"/>
        <scheme val="minor"/>
      </rPr>
      <t xml:space="preserve"> </t>
    </r>
    <r>
      <rPr>
        <sz val="11"/>
        <color theme="1"/>
        <rFont val="宋体"/>
        <family val="3"/>
        <charset val="134"/>
        <scheme val="minor"/>
      </rPr>
      <t>폭발</t>
    </r>
    <r>
      <rPr>
        <sz val="11"/>
        <color theme="1"/>
        <rFont val="宋体"/>
        <family val="3"/>
        <charset val="134"/>
        <scheme val="minor"/>
      </rPr>
      <t xml:space="preserve"> </t>
    </r>
    <r>
      <rPr>
        <sz val="11"/>
        <color theme="1"/>
        <rFont val="宋体"/>
        <family val="3"/>
        <charset val="134"/>
        <scheme val="minor"/>
      </rPr>
      <t>피해</t>
    </r>
    <r>
      <rPr>
        <sz val="11"/>
        <color theme="1"/>
        <rFont val="宋体"/>
        <family val="3"/>
        <charset val="134"/>
        <scheme val="minor"/>
      </rPr>
      <t xml:space="preserve"> +50%</t>
    </r>
  </si>
  <si>
    <t>火炎爆発半径+30%</t>
  </si>
  <si>
    <r>
      <rPr>
        <sz val="11"/>
        <color theme="1"/>
        <rFont val="宋体"/>
        <family val="3"/>
        <charset val="134"/>
        <scheme val="minor"/>
      </rPr>
      <t>화염</t>
    </r>
    <r>
      <rPr>
        <sz val="11"/>
        <color theme="1"/>
        <rFont val="宋体"/>
        <family val="3"/>
        <charset val="134"/>
        <scheme val="minor"/>
      </rPr>
      <t xml:space="preserve"> </t>
    </r>
    <r>
      <rPr>
        <sz val="11"/>
        <color theme="1"/>
        <rFont val="宋体"/>
        <family val="3"/>
        <charset val="134"/>
        <scheme val="minor"/>
      </rPr>
      <t>폭발</t>
    </r>
    <r>
      <rPr>
        <sz val="11"/>
        <color theme="1"/>
        <rFont val="宋体"/>
        <family val="3"/>
        <charset val="134"/>
        <scheme val="minor"/>
      </rPr>
      <t xml:space="preserve"> </t>
    </r>
    <r>
      <rPr>
        <sz val="11"/>
        <color theme="1"/>
        <rFont val="宋体"/>
        <family val="3"/>
        <charset val="134"/>
        <scheme val="minor"/>
      </rPr>
      <t>반경</t>
    </r>
    <r>
      <rPr>
        <sz val="11"/>
        <color theme="1"/>
        <rFont val="宋体"/>
        <family val="3"/>
        <charset val="134"/>
        <scheme val="minor"/>
      </rPr>
      <t xml:space="preserve"> +30%</t>
    </r>
  </si>
  <si>
    <t>雷の杖攻撃時に落雷攻撃を1回追加リリースし、目標を独立判定する</t>
  </si>
  <si>
    <r>
      <rPr>
        <sz val="11"/>
        <color theme="1"/>
        <rFont val="宋体"/>
        <family val="3"/>
        <charset val="134"/>
        <scheme val="minor"/>
      </rPr>
      <t>뇌전</t>
    </r>
    <r>
      <rPr>
        <sz val="11"/>
        <color theme="1"/>
        <rFont val="宋体"/>
        <family val="3"/>
        <charset val="134"/>
        <scheme val="minor"/>
      </rPr>
      <t xml:space="preserve"> </t>
    </r>
    <r>
      <rPr>
        <sz val="11"/>
        <color theme="1"/>
        <rFont val="宋体"/>
        <family val="3"/>
        <charset val="134"/>
        <scheme val="minor"/>
      </rPr>
      <t>마법</t>
    </r>
    <r>
      <rPr>
        <sz val="11"/>
        <color theme="1"/>
        <rFont val="宋体"/>
        <family val="3"/>
        <charset val="134"/>
        <scheme val="minor"/>
      </rPr>
      <t xml:space="preserve"> </t>
    </r>
    <r>
      <rPr>
        <sz val="11"/>
        <color theme="1"/>
        <rFont val="宋体"/>
        <family val="3"/>
        <charset val="134"/>
        <scheme val="minor"/>
      </rPr>
      <t>지팡이</t>
    </r>
    <r>
      <rPr>
        <sz val="11"/>
        <color theme="1"/>
        <rFont val="宋体"/>
        <family val="3"/>
        <charset val="134"/>
        <scheme val="minor"/>
      </rPr>
      <t xml:space="preserve"> </t>
    </r>
    <r>
      <rPr>
        <sz val="11"/>
        <color theme="1"/>
        <rFont val="宋体"/>
        <family val="3"/>
        <charset val="134"/>
        <scheme val="minor"/>
      </rPr>
      <t>공격</t>
    </r>
    <r>
      <rPr>
        <sz val="11"/>
        <color theme="1"/>
        <rFont val="宋体"/>
        <family val="3"/>
        <charset val="134"/>
        <scheme val="minor"/>
      </rPr>
      <t xml:space="preserve"> </t>
    </r>
    <r>
      <rPr>
        <sz val="11"/>
        <color theme="1"/>
        <rFont val="宋体"/>
        <family val="3"/>
        <charset val="134"/>
        <scheme val="minor"/>
      </rPr>
      <t>시</t>
    </r>
    <r>
      <rPr>
        <sz val="11"/>
        <color theme="1"/>
        <rFont val="宋体"/>
        <family val="3"/>
        <charset val="134"/>
        <scheme val="minor"/>
      </rPr>
      <t xml:space="preserve"> </t>
    </r>
    <r>
      <rPr>
        <sz val="11"/>
        <color theme="1"/>
        <rFont val="宋体"/>
        <family val="3"/>
        <charset val="134"/>
        <scheme val="minor"/>
      </rPr>
      <t>낙뢰공격</t>
    </r>
    <r>
      <rPr>
        <sz val="11"/>
        <color theme="1"/>
        <rFont val="宋体"/>
        <family val="3"/>
        <charset val="134"/>
        <scheme val="minor"/>
      </rPr>
      <t xml:space="preserve"> 1</t>
    </r>
    <r>
      <rPr>
        <sz val="11"/>
        <color theme="1"/>
        <rFont val="宋体"/>
        <family val="3"/>
        <charset val="134"/>
        <scheme val="minor"/>
      </rPr>
      <t>회</t>
    </r>
    <r>
      <rPr>
        <sz val="11"/>
        <color theme="1"/>
        <rFont val="宋体"/>
        <family val="3"/>
        <charset val="134"/>
        <scheme val="minor"/>
      </rPr>
      <t xml:space="preserve"> </t>
    </r>
    <r>
      <rPr>
        <sz val="11"/>
        <color theme="1"/>
        <rFont val="宋体"/>
        <family val="3"/>
        <charset val="134"/>
        <scheme val="minor"/>
      </rPr>
      <t>추가</t>
    </r>
    <r>
      <rPr>
        <sz val="11"/>
        <color theme="1"/>
        <rFont val="宋体"/>
        <family val="3"/>
        <charset val="134"/>
        <scheme val="minor"/>
      </rPr>
      <t xml:space="preserve"> </t>
    </r>
    <r>
      <rPr>
        <sz val="11"/>
        <color theme="1"/>
        <rFont val="宋体"/>
        <family val="3"/>
        <charset val="134"/>
        <scheme val="minor"/>
      </rPr>
      <t>방출</t>
    </r>
    <r>
      <rPr>
        <sz val="11"/>
        <color theme="1"/>
        <rFont val="宋体"/>
        <family val="3"/>
        <charset val="134"/>
        <scheme val="minor"/>
      </rPr>
      <t xml:space="preserve">, </t>
    </r>
    <r>
      <rPr>
        <sz val="11"/>
        <color theme="1"/>
        <rFont val="宋体"/>
        <family val="3"/>
        <charset val="134"/>
        <scheme val="minor"/>
      </rPr>
      <t>목표</t>
    </r>
    <r>
      <rPr>
        <sz val="11"/>
        <color theme="1"/>
        <rFont val="宋体"/>
        <family val="3"/>
        <charset val="134"/>
        <scheme val="minor"/>
      </rPr>
      <t xml:space="preserve"> </t>
    </r>
    <r>
      <rPr>
        <sz val="11"/>
        <color theme="1"/>
        <rFont val="宋体"/>
        <family val="3"/>
        <charset val="134"/>
        <scheme val="minor"/>
      </rPr>
      <t>독립판정</t>
    </r>
  </si>
  <si>
    <t>雷電杖多重落下雷回数+1</t>
  </si>
  <si>
    <r>
      <rPr>
        <sz val="11"/>
        <color theme="1"/>
        <rFont val="宋体"/>
        <family val="3"/>
        <charset val="134"/>
        <scheme val="minor"/>
      </rPr>
      <t>천둥</t>
    </r>
    <r>
      <rPr>
        <sz val="11"/>
        <color theme="1"/>
        <rFont val="宋体"/>
        <family val="3"/>
        <charset val="134"/>
        <scheme val="minor"/>
      </rPr>
      <t xml:space="preserve"> </t>
    </r>
    <r>
      <rPr>
        <sz val="11"/>
        <color theme="1"/>
        <rFont val="宋体"/>
        <family val="3"/>
        <charset val="134"/>
        <scheme val="minor"/>
      </rPr>
      <t>번개</t>
    </r>
    <r>
      <rPr>
        <sz val="11"/>
        <color theme="1"/>
        <rFont val="宋体"/>
        <family val="3"/>
        <charset val="134"/>
        <scheme val="minor"/>
      </rPr>
      <t xml:space="preserve"> </t>
    </r>
    <r>
      <rPr>
        <sz val="11"/>
        <color theme="1"/>
        <rFont val="宋体"/>
        <family val="3"/>
        <charset val="134"/>
        <scheme val="minor"/>
      </rPr>
      <t>지팡이</t>
    </r>
    <r>
      <rPr>
        <sz val="11"/>
        <color theme="1"/>
        <rFont val="宋体"/>
        <family val="3"/>
        <charset val="134"/>
        <scheme val="minor"/>
      </rPr>
      <t xml:space="preserve"> </t>
    </r>
    <r>
      <rPr>
        <sz val="11"/>
        <color theme="1"/>
        <rFont val="宋体"/>
        <family val="3"/>
        <charset val="134"/>
        <scheme val="minor"/>
      </rPr>
      <t>다중</t>
    </r>
    <r>
      <rPr>
        <sz val="11"/>
        <color theme="1"/>
        <rFont val="宋体"/>
        <family val="3"/>
        <charset val="134"/>
        <scheme val="minor"/>
      </rPr>
      <t xml:space="preserve"> </t>
    </r>
    <r>
      <rPr>
        <sz val="11"/>
        <color theme="1"/>
        <rFont val="宋体"/>
        <family val="3"/>
        <charset val="134"/>
        <scheme val="minor"/>
      </rPr>
      <t>낙하</t>
    </r>
    <r>
      <rPr>
        <sz val="11"/>
        <color theme="1"/>
        <rFont val="宋体"/>
        <family val="3"/>
        <charset val="134"/>
        <scheme val="minor"/>
      </rPr>
      <t xml:space="preserve"> </t>
    </r>
    <r>
      <rPr>
        <sz val="11"/>
        <color theme="1"/>
        <rFont val="宋体"/>
        <family val="3"/>
        <charset val="134"/>
        <scheme val="minor"/>
      </rPr>
      <t>천둥</t>
    </r>
    <r>
      <rPr>
        <sz val="11"/>
        <color theme="1"/>
        <rFont val="宋体"/>
        <family val="3"/>
        <charset val="134"/>
        <scheme val="minor"/>
      </rPr>
      <t xml:space="preserve"> </t>
    </r>
    <r>
      <rPr>
        <sz val="11"/>
        <color theme="1"/>
        <rFont val="宋体"/>
        <family val="3"/>
        <charset val="134"/>
        <scheme val="minor"/>
      </rPr>
      <t>횟수</t>
    </r>
    <r>
      <rPr>
        <sz val="11"/>
        <color theme="1"/>
        <rFont val="宋体"/>
        <family val="3"/>
        <charset val="134"/>
        <scheme val="minor"/>
      </rPr>
      <t xml:space="preserve"> +1</t>
    </r>
  </si>
  <si>
    <t>雷の杖が命中した後、半径1.2の磁気嵐を追加し、ダメージは武器攻撃の30%</t>
  </si>
  <si>
    <r>
      <rPr>
        <sz val="11"/>
        <color theme="1"/>
        <rFont val="宋体"/>
        <family val="3"/>
        <charset val="134"/>
        <scheme val="minor"/>
      </rPr>
      <t>천둥</t>
    </r>
    <r>
      <rPr>
        <sz val="11"/>
        <color theme="1"/>
        <rFont val="宋体"/>
        <family val="3"/>
        <charset val="134"/>
        <scheme val="minor"/>
      </rPr>
      <t xml:space="preserve"> </t>
    </r>
    <r>
      <rPr>
        <sz val="11"/>
        <color theme="1"/>
        <rFont val="宋体"/>
        <family val="3"/>
        <charset val="134"/>
        <scheme val="minor"/>
      </rPr>
      <t>번개</t>
    </r>
    <r>
      <rPr>
        <sz val="11"/>
        <color theme="1"/>
        <rFont val="宋体"/>
        <family val="3"/>
        <charset val="134"/>
        <scheme val="minor"/>
      </rPr>
      <t xml:space="preserve"> </t>
    </r>
    <r>
      <rPr>
        <sz val="11"/>
        <color theme="1"/>
        <rFont val="宋体"/>
        <family val="3"/>
        <charset val="134"/>
        <scheme val="minor"/>
      </rPr>
      <t>지팡이</t>
    </r>
    <r>
      <rPr>
        <sz val="11"/>
        <color theme="1"/>
        <rFont val="宋体"/>
        <family val="3"/>
        <charset val="134"/>
        <scheme val="minor"/>
      </rPr>
      <t xml:space="preserve"> </t>
    </r>
    <r>
      <rPr>
        <sz val="11"/>
        <color theme="1"/>
        <rFont val="宋体"/>
        <family val="3"/>
        <charset val="134"/>
        <scheme val="minor"/>
      </rPr>
      <t>적중</t>
    </r>
    <r>
      <rPr>
        <sz val="11"/>
        <color theme="1"/>
        <rFont val="宋体"/>
        <family val="3"/>
        <charset val="134"/>
        <scheme val="minor"/>
      </rPr>
      <t xml:space="preserve"> </t>
    </r>
    <r>
      <rPr>
        <sz val="11"/>
        <color theme="1"/>
        <rFont val="宋体"/>
        <family val="3"/>
        <charset val="134"/>
        <scheme val="minor"/>
      </rPr>
      <t>시</t>
    </r>
    <r>
      <rPr>
        <sz val="11"/>
        <color theme="1"/>
        <rFont val="宋体"/>
        <family val="3"/>
        <charset val="134"/>
        <scheme val="minor"/>
      </rPr>
      <t xml:space="preserve"> </t>
    </r>
    <r>
      <rPr>
        <sz val="11"/>
        <color theme="1"/>
        <rFont val="宋体"/>
        <family val="3"/>
        <charset val="134"/>
        <scheme val="minor"/>
      </rPr>
      <t>반경</t>
    </r>
    <r>
      <rPr>
        <sz val="11"/>
        <color theme="1"/>
        <rFont val="宋体"/>
        <family val="3"/>
        <charset val="134"/>
        <scheme val="minor"/>
      </rPr>
      <t xml:space="preserve"> 1.2</t>
    </r>
    <r>
      <rPr>
        <sz val="11"/>
        <color theme="1"/>
        <rFont val="宋体"/>
        <family val="3"/>
        <charset val="134"/>
        <scheme val="minor"/>
      </rPr>
      <t>의</t>
    </r>
    <r>
      <rPr>
        <sz val="11"/>
        <color theme="1"/>
        <rFont val="宋体"/>
        <family val="3"/>
        <charset val="134"/>
        <scheme val="minor"/>
      </rPr>
      <t xml:space="preserve"> </t>
    </r>
    <r>
      <rPr>
        <sz val="11"/>
        <color theme="1"/>
        <rFont val="宋体"/>
        <family val="3"/>
        <charset val="134"/>
        <scheme val="minor"/>
      </rPr>
      <t>자폭을</t>
    </r>
    <r>
      <rPr>
        <sz val="11"/>
        <color theme="1"/>
        <rFont val="宋体"/>
        <family val="3"/>
        <charset val="134"/>
        <scheme val="minor"/>
      </rPr>
      <t xml:space="preserve"> 1</t>
    </r>
    <r>
      <rPr>
        <sz val="11"/>
        <color theme="1"/>
        <rFont val="宋体"/>
        <family val="3"/>
        <charset val="134"/>
        <scheme val="minor"/>
      </rPr>
      <t>회</t>
    </r>
    <r>
      <rPr>
        <sz val="11"/>
        <color theme="1"/>
        <rFont val="宋体"/>
        <family val="3"/>
        <charset val="134"/>
        <scheme val="minor"/>
      </rPr>
      <t xml:space="preserve"> </t>
    </r>
    <r>
      <rPr>
        <sz val="11"/>
        <color theme="1"/>
        <rFont val="宋体"/>
        <family val="3"/>
        <charset val="134"/>
        <scheme val="minor"/>
      </rPr>
      <t>추가하여</t>
    </r>
    <r>
      <rPr>
        <sz val="11"/>
        <color theme="1"/>
        <rFont val="宋体"/>
        <family val="3"/>
        <charset val="134"/>
        <scheme val="minor"/>
      </rPr>
      <t xml:space="preserve"> </t>
    </r>
    <r>
      <rPr>
        <sz val="11"/>
        <color theme="1"/>
        <rFont val="宋体"/>
        <family val="3"/>
        <charset val="134"/>
        <scheme val="minor"/>
      </rPr>
      <t>무기</t>
    </r>
    <r>
      <rPr>
        <sz val="11"/>
        <color theme="1"/>
        <rFont val="宋体"/>
        <family val="3"/>
        <charset val="134"/>
        <scheme val="minor"/>
      </rPr>
      <t xml:space="preserve"> </t>
    </r>
    <r>
      <rPr>
        <sz val="11"/>
        <color theme="1"/>
        <rFont val="宋体"/>
        <family val="3"/>
        <charset val="134"/>
        <scheme val="minor"/>
      </rPr>
      <t>공격의</t>
    </r>
    <r>
      <rPr>
        <sz val="11"/>
        <color theme="1"/>
        <rFont val="宋体"/>
        <family val="3"/>
        <charset val="134"/>
        <scheme val="minor"/>
      </rPr>
      <t xml:space="preserve"> 30% </t>
    </r>
    <r>
      <rPr>
        <sz val="11"/>
        <color theme="1"/>
        <rFont val="宋体"/>
        <family val="3"/>
        <charset val="134"/>
        <scheme val="minor"/>
      </rPr>
      <t>대미지</t>
    </r>
  </si>
  <si>
    <t>磁気嵐が命中し、50%の確率で目標を感電させる：魔法ダメージを受けた時、ダメージは+20%で、3秒続く</t>
  </si>
  <si>
    <r>
      <rPr>
        <sz val="11"/>
        <color theme="1"/>
        <rFont val="宋体"/>
        <family val="3"/>
        <charset val="134"/>
        <scheme val="minor"/>
      </rPr>
      <t>자폭</t>
    </r>
    <r>
      <rPr>
        <sz val="11"/>
        <color theme="1"/>
        <rFont val="宋体"/>
        <family val="3"/>
        <charset val="134"/>
        <scheme val="minor"/>
      </rPr>
      <t xml:space="preserve"> </t>
    </r>
    <r>
      <rPr>
        <sz val="11"/>
        <color theme="1"/>
        <rFont val="宋体"/>
        <family val="3"/>
        <charset val="134"/>
        <scheme val="minor"/>
      </rPr>
      <t>적중</t>
    </r>
    <r>
      <rPr>
        <sz val="11"/>
        <color theme="1"/>
        <rFont val="宋体"/>
        <family val="3"/>
        <charset val="134"/>
        <scheme val="minor"/>
      </rPr>
      <t xml:space="preserve">, 50% </t>
    </r>
    <r>
      <rPr>
        <sz val="11"/>
        <color theme="1"/>
        <rFont val="宋体"/>
        <family val="3"/>
        <charset val="134"/>
        <scheme val="minor"/>
      </rPr>
      <t>확률로</t>
    </r>
    <r>
      <rPr>
        <sz val="11"/>
        <color theme="1"/>
        <rFont val="宋体"/>
        <family val="3"/>
        <charset val="134"/>
        <scheme val="minor"/>
      </rPr>
      <t xml:space="preserve"> </t>
    </r>
    <r>
      <rPr>
        <sz val="11"/>
        <color theme="1"/>
        <rFont val="宋体"/>
        <family val="3"/>
        <charset val="134"/>
        <scheme val="minor"/>
      </rPr>
      <t>목표를</t>
    </r>
    <r>
      <rPr>
        <sz val="11"/>
        <color theme="1"/>
        <rFont val="宋体"/>
        <family val="3"/>
        <charset val="134"/>
        <scheme val="minor"/>
      </rPr>
      <t xml:space="preserve"> </t>
    </r>
    <r>
      <rPr>
        <sz val="11"/>
        <color theme="1"/>
        <rFont val="宋体"/>
        <family val="3"/>
        <charset val="134"/>
        <scheme val="minor"/>
      </rPr>
      <t>감전</t>
    </r>
    <r>
      <rPr>
        <sz val="11"/>
        <color theme="1"/>
        <rFont val="宋体"/>
        <family val="3"/>
        <charset val="134"/>
        <scheme val="minor"/>
      </rPr>
      <t xml:space="preserve">: </t>
    </r>
    <r>
      <rPr>
        <sz val="11"/>
        <color theme="1"/>
        <rFont val="宋体"/>
        <family val="3"/>
        <charset val="134"/>
        <scheme val="minor"/>
      </rPr>
      <t>마법</t>
    </r>
    <r>
      <rPr>
        <sz val="11"/>
        <color theme="1"/>
        <rFont val="宋体"/>
        <family val="3"/>
        <charset val="134"/>
        <scheme val="minor"/>
      </rPr>
      <t xml:space="preserve"> </t>
    </r>
    <r>
      <rPr>
        <sz val="11"/>
        <color theme="1"/>
        <rFont val="宋体"/>
        <family val="3"/>
        <charset val="134"/>
        <scheme val="minor"/>
      </rPr>
      <t>피해</t>
    </r>
    <r>
      <rPr>
        <sz val="11"/>
        <color theme="1"/>
        <rFont val="宋体"/>
        <family val="3"/>
        <charset val="134"/>
        <scheme val="minor"/>
      </rPr>
      <t xml:space="preserve"> </t>
    </r>
    <r>
      <rPr>
        <sz val="11"/>
        <color theme="1"/>
        <rFont val="宋体"/>
        <family val="3"/>
        <charset val="134"/>
        <scheme val="minor"/>
      </rPr>
      <t>시</t>
    </r>
    <r>
      <rPr>
        <sz val="11"/>
        <color theme="1"/>
        <rFont val="宋体"/>
        <family val="3"/>
        <charset val="134"/>
        <scheme val="minor"/>
      </rPr>
      <t xml:space="preserve"> </t>
    </r>
    <r>
      <rPr>
        <sz val="11"/>
        <color theme="1"/>
        <rFont val="宋体"/>
        <family val="3"/>
        <charset val="134"/>
        <scheme val="minor"/>
      </rPr>
      <t>피해</t>
    </r>
    <r>
      <rPr>
        <sz val="11"/>
        <color theme="1"/>
        <rFont val="宋体"/>
        <family val="3"/>
        <charset val="134"/>
        <scheme val="minor"/>
      </rPr>
      <t xml:space="preserve"> +20%, </t>
    </r>
    <r>
      <rPr>
        <sz val="11"/>
        <color theme="1"/>
        <rFont val="宋体"/>
        <family val="3"/>
        <charset val="134"/>
        <scheme val="minor"/>
      </rPr>
      <t>지속</t>
    </r>
    <r>
      <rPr>
        <sz val="11"/>
        <color theme="1"/>
        <rFont val="宋体"/>
        <family val="3"/>
        <charset val="134"/>
        <scheme val="minor"/>
      </rPr>
      <t xml:space="preserve"> 3</t>
    </r>
    <r>
      <rPr>
        <sz val="11"/>
        <color theme="1"/>
        <rFont val="宋体"/>
        <family val="3"/>
        <charset val="134"/>
        <scheme val="minor"/>
      </rPr>
      <t>초</t>
    </r>
  </si>
  <si>
    <t>商店刷新时免费多刷{0}个装备</t>
  </si>
  <si>
    <t>Refreshes {0} more equipment for free in Shop.</t>
  </si>
  <si>
    <t>每波战斗结束时获得{0}%利息，上限{1}金币</t>
  </si>
  <si>
    <t>Gains {0}% interest at the end of each wave, caps at {1} Gold Coins.</t>
  </si>
  <si>
    <t>每波銀幣獲取+{0}</t>
  </si>
  <si>
    <t>1波当たりの銀貨取得+{0}</t>
  </si>
  <si>
    <r>
      <rPr>
        <sz val="11"/>
        <color theme="1"/>
        <rFont val="宋体"/>
        <family val="3"/>
        <charset val="134"/>
        <scheme val="minor"/>
      </rPr>
      <t>매</t>
    </r>
    <r>
      <rPr>
        <sz val="11"/>
        <color theme="1"/>
        <rFont val="宋体"/>
        <family val="3"/>
        <charset val="134"/>
        <scheme val="minor"/>
      </rPr>
      <t xml:space="preserve"> </t>
    </r>
    <r>
      <rPr>
        <sz val="11"/>
        <color theme="1"/>
        <rFont val="宋体"/>
        <family val="3"/>
        <charset val="134"/>
        <scheme val="minor"/>
      </rPr>
      <t>라운드</t>
    </r>
    <r>
      <rPr>
        <sz val="11"/>
        <color theme="1"/>
        <rFont val="宋体"/>
        <family val="3"/>
        <charset val="134"/>
        <scheme val="minor"/>
      </rPr>
      <t xml:space="preserve"> </t>
    </r>
    <r>
      <rPr>
        <sz val="11"/>
        <color theme="1"/>
        <rFont val="宋体"/>
        <family val="3"/>
        <charset val="134"/>
        <scheme val="minor"/>
      </rPr>
      <t>은화</t>
    </r>
    <r>
      <rPr>
        <sz val="11"/>
        <color theme="1"/>
        <rFont val="宋体"/>
        <family val="3"/>
        <charset val="134"/>
        <scheme val="minor"/>
      </rPr>
      <t xml:space="preserve"> </t>
    </r>
    <r>
      <rPr>
        <sz val="11"/>
        <color theme="1"/>
        <rFont val="宋体"/>
        <family val="3"/>
        <charset val="134"/>
        <scheme val="minor"/>
      </rPr>
      <t>획득</t>
    </r>
    <r>
      <rPr>
        <sz val="11"/>
        <color theme="1"/>
        <rFont val="宋体"/>
        <family val="3"/>
        <charset val="134"/>
        <scheme val="minor"/>
      </rPr>
      <t xml:space="preserve"> +{0}</t>
    </r>
  </si>
  <si>
    <t>對boss的傷害+{0}%</t>
  </si>
  <si>
    <t>ボスへのダメージ+{0}%</t>
  </si>
  <si>
    <r>
      <rPr>
        <sz val="11"/>
        <color theme="1"/>
        <rFont val="宋体"/>
        <family val="3"/>
        <charset val="134"/>
        <scheme val="minor"/>
      </rPr>
      <t>boss</t>
    </r>
    <r>
      <rPr>
        <sz val="11"/>
        <color theme="1"/>
        <rFont val="宋体"/>
        <family val="3"/>
        <charset val="134"/>
        <scheme val="minor"/>
      </rPr>
      <t>에</t>
    </r>
    <r>
      <rPr>
        <sz val="11"/>
        <color theme="1"/>
        <rFont val="宋体"/>
        <family val="3"/>
        <charset val="134"/>
        <scheme val="minor"/>
      </rPr>
      <t xml:space="preserve"> </t>
    </r>
    <r>
      <rPr>
        <sz val="11"/>
        <color theme="1"/>
        <rFont val="宋体"/>
        <family val="3"/>
        <charset val="134"/>
        <scheme val="minor"/>
      </rPr>
      <t>대한</t>
    </r>
    <r>
      <rPr>
        <sz val="11"/>
        <color theme="1"/>
        <rFont val="宋体"/>
        <family val="3"/>
        <charset val="134"/>
        <scheme val="minor"/>
      </rPr>
      <t xml:space="preserve"> </t>
    </r>
    <r>
      <rPr>
        <sz val="11"/>
        <color theme="1"/>
        <rFont val="宋体"/>
        <family val="3"/>
        <charset val="134"/>
        <scheme val="minor"/>
      </rPr>
      <t>피해</t>
    </r>
    <r>
      <rPr>
        <sz val="11"/>
        <color theme="1"/>
        <rFont val="宋体"/>
        <family val="3"/>
        <charset val="134"/>
        <scheme val="minor"/>
      </rPr>
      <t xml:space="preserve"> +{0}%</t>
    </r>
  </si>
  <si>
    <t>隨機1件裝備合成等級提升{0}級</t>
  </si>
  <si>
    <t>ランダム1装備合成レベル{0}レベルアップ</t>
  </si>
  <si>
    <r>
      <rPr>
        <sz val="11"/>
        <color theme="1"/>
        <rFont val="宋体"/>
        <family val="3"/>
        <charset val="134"/>
        <scheme val="minor"/>
      </rPr>
      <t>랜덤</t>
    </r>
    <r>
      <rPr>
        <sz val="11"/>
        <color theme="1"/>
        <rFont val="宋体"/>
        <family val="3"/>
        <charset val="134"/>
        <scheme val="minor"/>
      </rPr>
      <t xml:space="preserve"> 1 </t>
    </r>
    <r>
      <rPr>
        <sz val="11"/>
        <color theme="1"/>
        <rFont val="宋体"/>
        <family val="3"/>
        <charset val="134"/>
        <scheme val="minor"/>
      </rPr>
      <t>개</t>
    </r>
    <r>
      <rPr>
        <sz val="11"/>
        <color theme="1"/>
        <rFont val="宋体"/>
        <family val="3"/>
        <charset val="134"/>
        <scheme val="minor"/>
      </rPr>
      <t xml:space="preserve"> </t>
    </r>
    <r>
      <rPr>
        <sz val="11"/>
        <color theme="1"/>
        <rFont val="宋体"/>
        <family val="3"/>
        <charset val="134"/>
        <scheme val="minor"/>
      </rPr>
      <t>장비</t>
    </r>
    <r>
      <rPr>
        <sz val="11"/>
        <color theme="1"/>
        <rFont val="宋体"/>
        <family val="3"/>
        <charset val="134"/>
        <scheme val="minor"/>
      </rPr>
      <t xml:space="preserve"> </t>
    </r>
    <r>
      <rPr>
        <sz val="11"/>
        <color theme="1"/>
        <rFont val="宋体"/>
        <family val="3"/>
        <charset val="134"/>
        <scheme val="minor"/>
      </rPr>
      <t>합성</t>
    </r>
    <r>
      <rPr>
        <sz val="11"/>
        <color theme="1"/>
        <rFont val="宋体"/>
        <family val="3"/>
        <charset val="134"/>
        <scheme val="minor"/>
      </rPr>
      <t xml:space="preserve"> </t>
    </r>
    <r>
      <rPr>
        <sz val="11"/>
        <color theme="1"/>
        <rFont val="宋体"/>
        <family val="3"/>
        <charset val="134"/>
        <scheme val="minor"/>
      </rPr>
      <t>레벨</t>
    </r>
    <r>
      <rPr>
        <sz val="11"/>
        <color theme="1"/>
        <rFont val="宋体"/>
        <family val="3"/>
        <charset val="134"/>
        <scheme val="minor"/>
      </rPr>
      <t xml:space="preserve"> </t>
    </r>
    <r>
      <rPr>
        <sz val="11"/>
        <color theme="1"/>
        <rFont val="宋体"/>
        <family val="3"/>
        <charset val="134"/>
        <scheme val="minor"/>
      </rPr>
      <t>승급</t>
    </r>
    <r>
      <rPr>
        <sz val="11"/>
        <color theme="1"/>
        <rFont val="宋体"/>
        <family val="3"/>
        <charset val="134"/>
        <scheme val="minor"/>
      </rPr>
      <t xml:space="preserve"> {0} </t>
    </r>
    <r>
      <rPr>
        <sz val="11"/>
        <color theme="1"/>
        <rFont val="宋体"/>
        <family val="3"/>
        <charset val="134"/>
        <scheme val="minor"/>
      </rPr>
      <t>레벨</t>
    </r>
  </si>
  <si>
    <t>商店重繪價格-{0}%</t>
  </si>
  <si>
    <t>ストアリフレッシュ価格-{0}%</t>
  </si>
  <si>
    <r>
      <rPr>
        <sz val="11"/>
        <color theme="1"/>
        <rFont val="宋体"/>
        <family val="3"/>
        <charset val="134"/>
        <scheme val="minor"/>
      </rPr>
      <t>상점</t>
    </r>
    <r>
      <rPr>
        <sz val="11"/>
        <color theme="1"/>
        <rFont val="宋体"/>
        <family val="3"/>
        <charset val="134"/>
        <scheme val="minor"/>
      </rPr>
      <t xml:space="preserve"> </t>
    </r>
    <r>
      <rPr>
        <sz val="11"/>
        <color theme="1"/>
        <rFont val="宋体"/>
        <family val="3"/>
        <charset val="134"/>
        <scheme val="minor"/>
      </rPr>
      <t>갱신</t>
    </r>
    <r>
      <rPr>
        <sz val="11"/>
        <color theme="1"/>
        <rFont val="宋体"/>
        <family val="3"/>
        <charset val="134"/>
        <scheme val="minor"/>
      </rPr>
      <t xml:space="preserve"> </t>
    </r>
    <r>
      <rPr>
        <sz val="11"/>
        <color theme="1"/>
        <rFont val="宋体"/>
        <family val="3"/>
        <charset val="134"/>
        <scheme val="minor"/>
      </rPr>
      <t>가격</t>
    </r>
    <r>
      <rPr>
        <sz val="11"/>
        <color theme="1"/>
        <rFont val="宋体"/>
        <family val="3"/>
        <charset val="134"/>
        <scheme val="minor"/>
      </rPr>
      <t xml:space="preserve"> -{0}%</t>
    </r>
  </si>
  <si>
    <t>勝利後結算獎勵+{0}%</t>
  </si>
  <si>
    <t>勝利後決済奨励金+{0}%</t>
  </si>
  <si>
    <r>
      <rPr>
        <sz val="11"/>
        <color theme="1"/>
        <rFont val="宋体"/>
        <family val="3"/>
        <charset val="134"/>
        <scheme val="minor"/>
      </rPr>
      <t>승리</t>
    </r>
    <r>
      <rPr>
        <sz val="11"/>
        <color theme="1"/>
        <rFont val="宋体"/>
        <family val="3"/>
        <charset val="134"/>
        <scheme val="minor"/>
      </rPr>
      <t xml:space="preserve"> </t>
    </r>
    <r>
      <rPr>
        <sz val="11"/>
        <color theme="1"/>
        <rFont val="宋体"/>
        <family val="3"/>
        <charset val="134"/>
        <scheme val="minor"/>
      </rPr>
      <t>후</t>
    </r>
    <r>
      <rPr>
        <sz val="11"/>
        <color theme="1"/>
        <rFont val="宋体"/>
        <family val="3"/>
        <charset val="134"/>
        <scheme val="minor"/>
      </rPr>
      <t xml:space="preserve"> </t>
    </r>
    <r>
      <rPr>
        <sz val="11"/>
        <color theme="1"/>
        <rFont val="宋体"/>
        <family val="3"/>
        <charset val="134"/>
        <scheme val="minor"/>
      </rPr>
      <t>결산</t>
    </r>
    <r>
      <rPr>
        <sz val="11"/>
        <color theme="1"/>
        <rFont val="宋体"/>
        <family val="3"/>
        <charset val="134"/>
        <scheme val="minor"/>
      </rPr>
      <t xml:space="preserve"> </t>
    </r>
    <r>
      <rPr>
        <sz val="11"/>
        <color theme="1"/>
        <rFont val="宋体"/>
        <family val="3"/>
        <charset val="134"/>
        <scheme val="minor"/>
      </rPr>
      <t>보상</t>
    </r>
    <r>
      <rPr>
        <sz val="11"/>
        <color theme="1"/>
        <rFont val="宋体"/>
        <family val="3"/>
        <charset val="134"/>
        <scheme val="minor"/>
      </rPr>
      <t xml:space="preserve"> +{0}%</t>
    </r>
  </si>
  <si>
    <t>商店重繪時免費多刷{0}個裝備</t>
  </si>
  <si>
    <t>店舗のリフレッシュ時に無料で複数の装備を追加</t>
  </si>
  <si>
    <r>
      <rPr>
        <sz val="11"/>
        <color theme="1"/>
        <rFont val="宋体"/>
        <family val="3"/>
        <charset val="134"/>
        <scheme val="minor"/>
      </rPr>
      <t>상점</t>
    </r>
    <r>
      <rPr>
        <sz val="11"/>
        <color theme="1"/>
        <rFont val="宋体"/>
        <family val="3"/>
        <charset val="134"/>
        <scheme val="minor"/>
      </rPr>
      <t xml:space="preserve"> </t>
    </r>
    <r>
      <rPr>
        <sz val="11"/>
        <color theme="1"/>
        <rFont val="宋体"/>
        <family val="3"/>
        <charset val="134"/>
        <scheme val="minor"/>
      </rPr>
      <t>갱신</t>
    </r>
    <r>
      <rPr>
        <sz val="11"/>
        <color theme="1"/>
        <rFont val="宋体"/>
        <family val="3"/>
        <charset val="134"/>
        <scheme val="minor"/>
      </rPr>
      <t xml:space="preserve"> </t>
    </r>
    <r>
      <rPr>
        <sz val="11"/>
        <color theme="1"/>
        <rFont val="宋体"/>
        <family val="3"/>
        <charset val="134"/>
        <scheme val="minor"/>
      </rPr>
      <t>시</t>
    </r>
    <r>
      <rPr>
        <sz val="11"/>
        <color theme="1"/>
        <rFont val="宋体"/>
        <family val="3"/>
        <charset val="134"/>
        <scheme val="minor"/>
      </rPr>
      <t xml:space="preserve"> </t>
    </r>
    <r>
      <rPr>
        <sz val="11"/>
        <color theme="1"/>
        <rFont val="宋体"/>
        <family val="3"/>
        <charset val="134"/>
        <scheme val="minor"/>
      </rPr>
      <t>무료</t>
    </r>
    <r>
      <rPr>
        <sz val="11"/>
        <color theme="1"/>
        <rFont val="宋体"/>
        <family val="3"/>
        <charset val="134"/>
        <scheme val="minor"/>
      </rPr>
      <t xml:space="preserve"> </t>
    </r>
    <r>
      <rPr>
        <sz val="11"/>
        <color theme="1"/>
        <rFont val="宋体"/>
        <family val="3"/>
        <charset val="134"/>
        <scheme val="minor"/>
      </rPr>
      <t>다중</t>
    </r>
    <r>
      <rPr>
        <sz val="11"/>
        <color theme="1"/>
        <rFont val="宋体"/>
        <family val="3"/>
        <charset val="134"/>
        <scheme val="minor"/>
      </rPr>
      <t xml:space="preserve"> </t>
    </r>
    <r>
      <rPr>
        <sz val="11"/>
        <color theme="1"/>
        <rFont val="宋体"/>
        <family val="3"/>
        <charset val="134"/>
        <scheme val="minor"/>
      </rPr>
      <t>브러시</t>
    </r>
    <r>
      <rPr>
        <sz val="11"/>
        <color theme="1"/>
        <rFont val="宋体"/>
        <family val="3"/>
        <charset val="134"/>
        <scheme val="minor"/>
      </rPr>
      <t xml:space="preserve"> {0}</t>
    </r>
    <r>
      <rPr>
        <sz val="11"/>
        <color theme="1"/>
        <rFont val="宋体"/>
        <family val="3"/>
        <charset val="134"/>
        <scheme val="minor"/>
      </rPr>
      <t>개</t>
    </r>
    <r>
      <rPr>
        <sz val="11"/>
        <color theme="1"/>
        <rFont val="宋体"/>
        <family val="3"/>
        <charset val="134"/>
        <scheme val="minor"/>
      </rPr>
      <t xml:space="preserve"> </t>
    </r>
    <r>
      <rPr>
        <sz val="11"/>
        <color theme="1"/>
        <rFont val="宋体"/>
        <family val="3"/>
        <charset val="134"/>
        <scheme val="minor"/>
      </rPr>
      <t>장비</t>
    </r>
  </si>
  <si>
    <t>背包裏每有1件裝備傷害+{0}%</t>
  </si>
  <si>
    <t>リュックサックの装備1枚につきダメージ+{0}%</t>
  </si>
  <si>
    <r>
      <rPr>
        <sz val="11"/>
        <color theme="1"/>
        <rFont val="宋体"/>
        <family val="3"/>
        <charset val="134"/>
        <scheme val="minor"/>
      </rPr>
      <t>가방</t>
    </r>
    <r>
      <rPr>
        <sz val="11"/>
        <color theme="1"/>
        <rFont val="宋体"/>
        <family val="3"/>
        <charset val="134"/>
        <scheme val="minor"/>
      </rPr>
      <t xml:space="preserve"> </t>
    </r>
    <r>
      <rPr>
        <sz val="11"/>
        <color theme="1"/>
        <rFont val="宋体"/>
        <family val="3"/>
        <charset val="134"/>
        <scheme val="minor"/>
      </rPr>
      <t>내</t>
    </r>
    <r>
      <rPr>
        <sz val="11"/>
        <color theme="1"/>
        <rFont val="宋体"/>
        <family val="3"/>
        <charset val="134"/>
        <scheme val="minor"/>
      </rPr>
      <t xml:space="preserve"> </t>
    </r>
    <r>
      <rPr>
        <sz val="11"/>
        <color theme="1"/>
        <rFont val="宋体"/>
        <family val="3"/>
        <charset val="134"/>
        <scheme val="minor"/>
      </rPr>
      <t>장비</t>
    </r>
    <r>
      <rPr>
        <sz val="11"/>
        <color theme="1"/>
        <rFont val="宋体"/>
        <family val="3"/>
        <charset val="134"/>
        <scheme val="minor"/>
      </rPr>
      <t xml:space="preserve"> 1</t>
    </r>
    <r>
      <rPr>
        <sz val="11"/>
        <color theme="1"/>
        <rFont val="宋体"/>
        <family val="3"/>
        <charset val="134"/>
        <scheme val="minor"/>
      </rPr>
      <t>개</t>
    </r>
    <r>
      <rPr>
        <sz val="11"/>
        <color theme="1"/>
        <rFont val="宋体"/>
        <family val="3"/>
        <charset val="134"/>
        <scheme val="minor"/>
      </rPr>
      <t xml:space="preserve"> </t>
    </r>
    <r>
      <rPr>
        <sz val="11"/>
        <color theme="1"/>
        <rFont val="宋体"/>
        <family val="3"/>
        <charset val="134"/>
        <scheme val="minor"/>
      </rPr>
      <t>당</t>
    </r>
    <r>
      <rPr>
        <sz val="11"/>
        <color theme="1"/>
        <rFont val="宋体"/>
        <family val="3"/>
        <charset val="134"/>
        <scheme val="minor"/>
      </rPr>
      <t xml:space="preserve"> </t>
    </r>
    <r>
      <rPr>
        <sz val="11"/>
        <color theme="1"/>
        <rFont val="宋体"/>
        <family val="3"/>
        <charset val="134"/>
        <scheme val="minor"/>
      </rPr>
      <t>피해</t>
    </r>
    <r>
      <rPr>
        <sz val="11"/>
        <color theme="1"/>
        <rFont val="宋体"/>
        <family val="3"/>
        <charset val="134"/>
        <scheme val="minor"/>
      </rPr>
      <t xml:space="preserve"> +{0}%</t>
    </r>
  </si>
  <si>
    <t>每波戰鬥結束時獲得{0}%利息，上限{1}金幣</t>
  </si>
  <si>
    <t>毎波戦闘終了時に獲得する利息{0}%上限{1}金貨</t>
  </si>
  <si>
    <r>
      <rPr>
        <sz val="11"/>
        <color theme="1"/>
        <rFont val="宋体"/>
        <family val="3"/>
        <charset val="134"/>
        <scheme val="minor"/>
      </rPr>
      <t>매</t>
    </r>
    <r>
      <rPr>
        <sz val="11"/>
        <color theme="1"/>
        <rFont val="宋体"/>
        <family val="3"/>
        <charset val="134"/>
        <scheme val="minor"/>
      </rPr>
      <t xml:space="preserve"> </t>
    </r>
    <r>
      <rPr>
        <sz val="11"/>
        <color theme="1"/>
        <rFont val="宋体"/>
        <family val="3"/>
        <charset val="134"/>
        <scheme val="minor"/>
      </rPr>
      <t>라운드</t>
    </r>
    <r>
      <rPr>
        <sz val="11"/>
        <color theme="1"/>
        <rFont val="宋体"/>
        <family val="3"/>
        <charset val="134"/>
        <scheme val="minor"/>
      </rPr>
      <t xml:space="preserve"> </t>
    </r>
    <r>
      <rPr>
        <sz val="11"/>
        <color theme="1"/>
        <rFont val="宋体"/>
        <family val="3"/>
        <charset val="134"/>
        <scheme val="minor"/>
      </rPr>
      <t>전투</t>
    </r>
    <r>
      <rPr>
        <sz val="11"/>
        <color theme="1"/>
        <rFont val="宋体"/>
        <family val="3"/>
        <charset val="134"/>
        <scheme val="minor"/>
      </rPr>
      <t xml:space="preserve"> </t>
    </r>
    <r>
      <rPr>
        <sz val="11"/>
        <color theme="1"/>
        <rFont val="宋体"/>
        <family val="3"/>
        <charset val="134"/>
        <scheme val="minor"/>
      </rPr>
      <t>종료</t>
    </r>
    <r>
      <rPr>
        <sz val="11"/>
        <color theme="1"/>
        <rFont val="宋体"/>
        <family val="3"/>
        <charset val="134"/>
        <scheme val="minor"/>
      </rPr>
      <t xml:space="preserve"> </t>
    </r>
    <r>
      <rPr>
        <sz val="11"/>
        <color theme="1"/>
        <rFont val="宋体"/>
        <family val="3"/>
        <charset val="134"/>
        <scheme val="minor"/>
      </rPr>
      <t>시</t>
    </r>
    <r>
      <rPr>
        <sz val="11"/>
        <color theme="1"/>
        <rFont val="宋体"/>
        <family val="3"/>
        <charset val="134"/>
        <scheme val="minor"/>
      </rPr>
      <t xml:space="preserve"> {0}% </t>
    </r>
    <r>
      <rPr>
        <sz val="11"/>
        <color theme="1"/>
        <rFont val="宋体"/>
        <family val="3"/>
        <charset val="134"/>
        <scheme val="minor"/>
      </rPr>
      <t>이자</t>
    </r>
    <r>
      <rPr>
        <sz val="11"/>
        <color theme="1"/>
        <rFont val="宋体"/>
        <family val="3"/>
        <charset val="134"/>
        <scheme val="minor"/>
      </rPr>
      <t xml:space="preserve">, </t>
    </r>
    <r>
      <rPr>
        <sz val="11"/>
        <color theme="1"/>
        <rFont val="宋体"/>
        <family val="3"/>
        <charset val="134"/>
        <scheme val="minor"/>
      </rPr>
      <t>상한</t>
    </r>
    <r>
      <rPr>
        <sz val="11"/>
        <color theme="1"/>
        <rFont val="宋体"/>
        <family val="3"/>
        <charset val="134"/>
        <scheme val="minor"/>
      </rPr>
      <t xml:space="preserve"> {1} </t>
    </r>
    <r>
      <rPr>
        <sz val="11"/>
        <color theme="1"/>
        <rFont val="宋体"/>
        <family val="3"/>
        <charset val="134"/>
        <scheme val="minor"/>
      </rPr>
      <t>금화</t>
    </r>
    <r>
      <rPr>
        <sz val="11"/>
        <color theme="1"/>
        <rFont val="宋体"/>
        <family val="3"/>
        <charset val="134"/>
        <scheme val="minor"/>
      </rPr>
      <t xml:space="preserve"> </t>
    </r>
    <r>
      <rPr>
        <sz val="11"/>
        <color theme="1"/>
        <rFont val="宋体"/>
        <family val="3"/>
        <charset val="134"/>
        <scheme val="minor"/>
      </rPr>
      <t>획득</t>
    </r>
  </si>
  <si>
    <t>經驗獲取+{0}%</t>
  </si>
  <si>
    <t>経験取得+{0}%</t>
  </si>
  <si>
    <r>
      <rPr>
        <sz val="11"/>
        <color theme="1"/>
        <rFont val="宋体"/>
        <family val="3"/>
        <charset val="134"/>
        <scheme val="minor"/>
      </rPr>
      <t>경험치</t>
    </r>
    <r>
      <rPr>
        <sz val="11"/>
        <color theme="1"/>
        <rFont val="宋体"/>
        <family val="3"/>
        <charset val="134"/>
        <scheme val="minor"/>
      </rPr>
      <t xml:space="preserve"> </t>
    </r>
    <r>
      <rPr>
        <sz val="11"/>
        <color theme="1"/>
        <rFont val="宋体"/>
        <family val="3"/>
        <charset val="134"/>
        <scheme val="minor"/>
      </rPr>
      <t>획득</t>
    </r>
    <r>
      <rPr>
        <sz val="11"/>
        <color theme="1"/>
        <rFont val="宋体"/>
        <family val="3"/>
        <charset val="134"/>
        <scheme val="minor"/>
      </rPr>
      <t xml:space="preserve"> +{0}%</t>
    </r>
  </si>
  <si>
    <t>立即獲得{0}銀幣</t>
  </si>
  <si>
    <t>今すぐ銀貨を入手</t>
  </si>
  <si>
    <r>
      <rPr>
        <sz val="11"/>
        <color theme="1"/>
        <rFont val="宋体"/>
        <family val="3"/>
        <charset val="134"/>
        <scheme val="minor"/>
      </rPr>
      <t>즉시</t>
    </r>
    <r>
      <rPr>
        <sz val="11"/>
        <color theme="1"/>
        <rFont val="宋体"/>
        <family val="3"/>
        <charset val="134"/>
        <scheme val="minor"/>
      </rPr>
      <t xml:space="preserve"> {0} </t>
    </r>
    <r>
      <rPr>
        <sz val="11"/>
        <color theme="1"/>
        <rFont val="宋体"/>
        <family val="3"/>
        <charset val="134"/>
        <scheme val="minor"/>
      </rPr>
      <t>은화</t>
    </r>
    <r>
      <rPr>
        <sz val="11"/>
        <color theme="1"/>
        <rFont val="宋体"/>
        <family val="3"/>
        <charset val="134"/>
        <scheme val="minor"/>
      </rPr>
      <t xml:space="preserve"> </t>
    </r>
    <r>
      <rPr>
        <sz val="11"/>
        <color theme="1"/>
        <rFont val="宋体"/>
        <family val="3"/>
        <charset val="134"/>
        <scheme val="minor"/>
      </rPr>
      <t>획득</t>
    </r>
  </si>
  <si>
    <t>すべての防具ライフ+{0}%</t>
  </si>
  <si>
    <r>
      <rPr>
        <sz val="11"/>
        <color theme="1"/>
        <rFont val="宋体"/>
        <family val="3"/>
        <charset val="134"/>
        <scheme val="minor"/>
      </rPr>
      <t>모든</t>
    </r>
    <r>
      <rPr>
        <sz val="11"/>
        <color theme="1"/>
        <rFont val="宋体"/>
        <family val="3"/>
        <charset val="134"/>
        <scheme val="minor"/>
      </rPr>
      <t xml:space="preserve"> </t>
    </r>
    <r>
      <rPr>
        <sz val="11"/>
        <color theme="1"/>
        <rFont val="宋体"/>
        <family val="3"/>
        <charset val="134"/>
        <scheme val="minor"/>
      </rPr>
      <t>방어구</t>
    </r>
    <r>
      <rPr>
        <sz val="11"/>
        <color theme="1"/>
        <rFont val="宋体"/>
        <family val="3"/>
        <charset val="134"/>
        <scheme val="minor"/>
      </rPr>
      <t xml:space="preserve"> </t>
    </r>
    <r>
      <rPr>
        <sz val="11"/>
        <color theme="1"/>
        <rFont val="宋体"/>
        <family val="3"/>
        <charset val="134"/>
        <scheme val="minor"/>
      </rPr>
      <t>생명</t>
    </r>
    <r>
      <rPr>
        <sz val="11"/>
        <color theme="1"/>
        <rFont val="宋体"/>
        <family val="3"/>
        <charset val="134"/>
        <scheme val="minor"/>
      </rPr>
      <t xml:space="preserve"> +{0}%</t>
    </r>
  </si>
  <si>
    <t>所有武器傷害+{0}%</t>
  </si>
  <si>
    <t>すべての武器ダメージ+{0}%</t>
  </si>
  <si>
    <r>
      <rPr>
        <sz val="11"/>
        <color theme="1"/>
        <rFont val="宋体"/>
        <family val="3"/>
        <charset val="134"/>
        <scheme val="minor"/>
      </rPr>
      <t>모든</t>
    </r>
    <r>
      <rPr>
        <sz val="11"/>
        <color theme="1"/>
        <rFont val="宋体"/>
        <family val="3"/>
        <charset val="134"/>
        <scheme val="minor"/>
      </rPr>
      <t xml:space="preserve"> </t>
    </r>
    <r>
      <rPr>
        <sz val="11"/>
        <color theme="1"/>
        <rFont val="宋体"/>
        <family val="3"/>
        <charset val="134"/>
        <scheme val="minor"/>
      </rPr>
      <t>무기</t>
    </r>
    <r>
      <rPr>
        <sz val="11"/>
        <color theme="1"/>
        <rFont val="宋体"/>
        <family val="3"/>
        <charset val="134"/>
        <scheme val="minor"/>
      </rPr>
      <t xml:space="preserve"> </t>
    </r>
    <r>
      <rPr>
        <sz val="11"/>
        <color theme="1"/>
        <rFont val="宋体"/>
        <family val="3"/>
        <charset val="134"/>
        <scheme val="minor"/>
      </rPr>
      <t>피해</t>
    </r>
    <r>
      <rPr>
        <sz val="11"/>
        <color theme="1"/>
        <rFont val="宋体"/>
        <family val="3"/>
        <charset val="134"/>
        <scheme val="minor"/>
      </rPr>
      <t xml:space="preserve"> +{0}%</t>
    </r>
  </si>
  <si>
    <t>所有裝備速度+{0}%</t>
  </si>
  <si>
    <t>全装備速度+{0}%</t>
  </si>
  <si>
    <r>
      <rPr>
        <sz val="11"/>
        <color theme="1"/>
        <rFont val="宋体"/>
        <family val="3"/>
        <charset val="134"/>
        <scheme val="minor"/>
      </rPr>
      <t>모든</t>
    </r>
    <r>
      <rPr>
        <sz val="11"/>
        <color theme="1"/>
        <rFont val="宋体"/>
        <family val="3"/>
        <charset val="134"/>
        <scheme val="minor"/>
      </rPr>
      <t xml:space="preserve"> </t>
    </r>
    <r>
      <rPr>
        <sz val="11"/>
        <color theme="1"/>
        <rFont val="宋体"/>
        <family val="3"/>
        <charset val="134"/>
        <scheme val="minor"/>
      </rPr>
      <t>장비</t>
    </r>
    <r>
      <rPr>
        <sz val="11"/>
        <color theme="1"/>
        <rFont val="宋体"/>
        <family val="3"/>
        <charset val="134"/>
        <scheme val="minor"/>
      </rPr>
      <t xml:space="preserve"> </t>
    </r>
    <r>
      <rPr>
        <sz val="11"/>
        <color theme="1"/>
        <rFont val="宋体"/>
        <family val="3"/>
        <charset val="134"/>
        <scheme val="minor"/>
      </rPr>
      <t>속도</t>
    </r>
    <r>
      <rPr>
        <sz val="11"/>
        <color theme="1"/>
        <rFont val="宋体"/>
        <family val="3"/>
        <charset val="134"/>
        <scheme val="minor"/>
      </rPr>
      <t xml:space="preserve"> +{0}%</t>
    </r>
  </si>
  <si>
    <t>商店出現2級物品概率+{0}%</t>
  </si>
  <si>
    <t>店に2級品が出現する確率+{0}%</t>
  </si>
  <si>
    <r>
      <rPr>
        <sz val="11"/>
        <color theme="1"/>
        <rFont val="宋体"/>
        <family val="3"/>
        <charset val="134"/>
        <scheme val="minor"/>
      </rPr>
      <t>상점</t>
    </r>
    <r>
      <rPr>
        <sz val="11"/>
        <color theme="1"/>
        <rFont val="宋体"/>
        <family val="3"/>
        <charset val="134"/>
        <scheme val="minor"/>
      </rPr>
      <t xml:space="preserve"> 2 </t>
    </r>
    <r>
      <rPr>
        <sz val="11"/>
        <color theme="1"/>
        <rFont val="宋体"/>
        <family val="3"/>
        <charset val="134"/>
        <scheme val="minor"/>
      </rPr>
      <t>레벨</t>
    </r>
    <r>
      <rPr>
        <sz val="11"/>
        <color theme="1"/>
        <rFont val="宋体"/>
        <family val="3"/>
        <charset val="134"/>
        <scheme val="minor"/>
      </rPr>
      <t xml:space="preserve"> </t>
    </r>
    <r>
      <rPr>
        <sz val="11"/>
        <color theme="1"/>
        <rFont val="宋体"/>
        <family val="3"/>
        <charset val="134"/>
        <scheme val="minor"/>
      </rPr>
      <t>아이템</t>
    </r>
    <r>
      <rPr>
        <sz val="11"/>
        <color theme="1"/>
        <rFont val="宋体"/>
        <family val="3"/>
        <charset val="134"/>
        <scheme val="minor"/>
      </rPr>
      <t xml:space="preserve"> </t>
    </r>
    <r>
      <rPr>
        <sz val="11"/>
        <color theme="1"/>
        <rFont val="宋体"/>
        <family val="3"/>
        <charset val="134"/>
        <scheme val="minor"/>
      </rPr>
      <t>출현</t>
    </r>
    <r>
      <rPr>
        <sz val="11"/>
        <color theme="1"/>
        <rFont val="宋体"/>
        <family val="3"/>
        <charset val="134"/>
        <scheme val="minor"/>
      </rPr>
      <t xml:space="preserve"> </t>
    </r>
    <r>
      <rPr>
        <sz val="11"/>
        <color theme="1"/>
        <rFont val="宋体"/>
        <family val="3"/>
        <charset val="134"/>
        <scheme val="minor"/>
      </rPr>
      <t>확률</t>
    </r>
    <r>
      <rPr>
        <sz val="11"/>
        <color theme="1"/>
        <rFont val="宋体"/>
        <family val="3"/>
        <charset val="134"/>
        <scheme val="minor"/>
      </rPr>
      <t xml:space="preserve"> +{0}%</t>
    </r>
  </si>
  <si>
    <t>所有敵人移動速度-{0}%</t>
  </si>
  <si>
    <t>すべての敵の移動速度-{0}%</t>
  </si>
  <si>
    <r>
      <rPr>
        <sz val="11"/>
        <color theme="1"/>
        <rFont val="宋体"/>
        <family val="3"/>
        <charset val="134"/>
        <scheme val="minor"/>
      </rPr>
      <t>모든</t>
    </r>
    <r>
      <rPr>
        <sz val="11"/>
        <color theme="1"/>
        <rFont val="宋体"/>
        <family val="3"/>
        <charset val="134"/>
        <scheme val="minor"/>
      </rPr>
      <t xml:space="preserve"> </t>
    </r>
    <r>
      <rPr>
        <sz val="11"/>
        <color theme="1"/>
        <rFont val="宋体"/>
        <family val="3"/>
        <charset val="134"/>
        <scheme val="minor"/>
      </rPr>
      <t>적</t>
    </r>
    <r>
      <rPr>
        <sz val="11"/>
        <color theme="1"/>
        <rFont val="宋体"/>
        <family val="3"/>
        <charset val="134"/>
        <scheme val="minor"/>
      </rPr>
      <t xml:space="preserve"> </t>
    </r>
    <r>
      <rPr>
        <sz val="11"/>
        <color theme="1"/>
        <rFont val="宋体"/>
        <family val="3"/>
        <charset val="134"/>
        <scheme val="minor"/>
      </rPr>
      <t>이동</t>
    </r>
    <r>
      <rPr>
        <sz val="11"/>
        <color theme="1"/>
        <rFont val="宋体"/>
        <family val="3"/>
        <charset val="134"/>
        <scheme val="minor"/>
      </rPr>
      <t xml:space="preserve"> </t>
    </r>
    <r>
      <rPr>
        <sz val="11"/>
        <color theme="1"/>
        <rFont val="宋体"/>
        <family val="3"/>
        <charset val="134"/>
        <scheme val="minor"/>
      </rPr>
      <t>속도</t>
    </r>
    <r>
      <rPr>
        <sz val="11"/>
        <color theme="1"/>
        <rFont val="宋体"/>
        <family val="3"/>
        <charset val="134"/>
        <scheme val="minor"/>
      </rPr>
      <t xml:space="preserve"> - {0}%</t>
    </r>
  </si>
  <si>
    <t>凤凰魔杖定身触发概率+{0}%</t>
  </si>
  <si>
    <t>雷神权杖暴击率+{0}%</t>
  </si>
  <si>
    <t>雷神权杖发动全体雷击的概率+{0}%</t>
  </si>
  <si>
    <t>Chance of releasing Crushing Strike +{0}%</t>
    <phoneticPr fontId="15" type="noConversion"/>
  </si>
  <si>
    <t>Phoenix Wand Localization Trigger Probability+{0}%</t>
  </si>
  <si>
    <t>Thunder God Scepter Critical Strike Rate+{0}%</t>
  </si>
  <si>
    <t>The probability of Thor's Scepter launching a total lightning strike+{0}%</t>
  </si>
  <si>
    <t>After the Phoenix Wand's immobilization is completed, the attack speed and movement speed are - {0}%, and the deceleration gradually recovers within {1} seconds</t>
    <phoneticPr fontId="15" type="noConversion"/>
  </si>
  <si>
    <t>凤凰魔杖定身结束后，攻速、移速-{0}%，{1}秒内减速逐渐恢复</t>
  </si>
  <si>
    <t>鳳凰の杖固定トリガー確率+{0}%</t>
  </si>
  <si>
    <t>봉황 지팡이 정지 시전 확률 +{0}%</t>
  </si>
  <si>
    <t>雷神の杖の致命的な一撃率+{0}%</t>
  </si>
  <si>
    <t>토르 지팡이 치명타 확률 +{0}%</t>
  </si>
  <si>
    <t>After the Phoenix Wand's immobilization is completed, the attack speed and movement speed are - {0}%, and the deceleration gradually recovers within {1} seconds</t>
  </si>
  <si>
    <t>雷神の杖が落雷全体を発動する確率+{0}%</t>
  </si>
  <si>
    <t>토르 지팡이 전체 벼락 발동 확률 +{0}%</t>
  </si>
  <si>
    <t>鳳凰の杖の定身が終わると、攻撃速度、移動速度-{0}%、{1}秒以内に減速が徐々に回復する</t>
    <phoneticPr fontId="15" type="noConversion"/>
  </si>
  <si>
    <r>
      <rPr>
        <sz val="12"/>
        <color theme="1"/>
        <rFont val="Malgun Gothic"/>
        <family val="2"/>
        <charset val="129"/>
      </rPr>
      <t>피닉스</t>
    </r>
    <r>
      <rPr>
        <sz val="12"/>
        <color theme="1"/>
        <rFont val="微软雅黑"/>
        <family val="2"/>
        <charset val="134"/>
      </rPr>
      <t xml:space="preserve"> </t>
    </r>
    <r>
      <rPr>
        <sz val="12"/>
        <color theme="1"/>
        <rFont val="Malgun Gothic"/>
        <family val="2"/>
        <charset val="129"/>
      </rPr>
      <t>지팡이</t>
    </r>
    <r>
      <rPr>
        <sz val="12"/>
        <color theme="1"/>
        <rFont val="微软雅黑"/>
        <family val="2"/>
        <charset val="134"/>
      </rPr>
      <t xml:space="preserve"> </t>
    </r>
    <r>
      <rPr>
        <sz val="12"/>
        <color theme="1"/>
        <rFont val="Malgun Gothic"/>
        <family val="2"/>
        <charset val="129"/>
      </rPr>
      <t>정지</t>
    </r>
    <r>
      <rPr>
        <sz val="12"/>
        <color theme="1"/>
        <rFont val="微软雅黑"/>
        <family val="2"/>
        <charset val="134"/>
      </rPr>
      <t xml:space="preserve"> </t>
    </r>
    <r>
      <rPr>
        <sz val="12"/>
        <color theme="1"/>
        <rFont val="Malgun Gothic"/>
        <family val="2"/>
        <charset val="129"/>
      </rPr>
      <t>후</t>
    </r>
    <r>
      <rPr>
        <sz val="12"/>
        <color theme="1"/>
        <rFont val="微软雅黑"/>
        <family val="2"/>
        <charset val="134"/>
      </rPr>
      <t xml:space="preserve"> </t>
    </r>
    <r>
      <rPr>
        <sz val="12"/>
        <color theme="1"/>
        <rFont val="Malgun Gothic"/>
        <family val="2"/>
        <charset val="129"/>
      </rPr>
      <t>공격</t>
    </r>
    <r>
      <rPr>
        <sz val="12"/>
        <color theme="1"/>
        <rFont val="微软雅黑"/>
        <family val="2"/>
        <charset val="134"/>
      </rPr>
      <t xml:space="preserve"> </t>
    </r>
    <r>
      <rPr>
        <sz val="12"/>
        <color theme="1"/>
        <rFont val="Malgun Gothic"/>
        <family val="2"/>
        <charset val="129"/>
      </rPr>
      <t>속도</t>
    </r>
    <r>
      <rPr>
        <sz val="12"/>
        <color theme="1"/>
        <rFont val="微软雅黑"/>
        <family val="2"/>
        <charset val="134"/>
      </rPr>
      <t xml:space="preserve">, </t>
    </r>
    <r>
      <rPr>
        <sz val="12"/>
        <color theme="1"/>
        <rFont val="Malgun Gothic"/>
        <family val="2"/>
        <charset val="129"/>
      </rPr>
      <t>이동</t>
    </r>
    <r>
      <rPr>
        <sz val="12"/>
        <color theme="1"/>
        <rFont val="微软雅黑"/>
        <family val="2"/>
        <charset val="134"/>
      </rPr>
      <t xml:space="preserve"> </t>
    </r>
    <r>
      <rPr>
        <sz val="12"/>
        <color theme="1"/>
        <rFont val="Malgun Gothic"/>
        <family val="2"/>
        <charset val="129"/>
      </rPr>
      <t>속도</t>
    </r>
    <r>
      <rPr>
        <sz val="12"/>
        <color theme="1"/>
        <rFont val="微软雅黑"/>
        <family val="2"/>
        <charset val="134"/>
      </rPr>
      <t xml:space="preserve"> -{0}%, {1}</t>
    </r>
    <r>
      <rPr>
        <sz val="12"/>
        <color theme="1"/>
        <rFont val="Malgun Gothic"/>
        <family val="2"/>
        <charset val="129"/>
      </rPr>
      <t>초</t>
    </r>
    <r>
      <rPr>
        <sz val="12"/>
        <color theme="1"/>
        <rFont val="微软雅黑"/>
        <family val="2"/>
        <charset val="134"/>
      </rPr>
      <t xml:space="preserve"> </t>
    </r>
    <r>
      <rPr>
        <sz val="12"/>
        <color theme="1"/>
        <rFont val="Malgun Gothic"/>
        <family val="2"/>
        <charset val="129"/>
      </rPr>
      <t>동안</t>
    </r>
    <r>
      <rPr>
        <sz val="12"/>
        <color theme="1"/>
        <rFont val="微软雅黑"/>
        <family val="2"/>
        <charset val="134"/>
      </rPr>
      <t xml:space="preserve"> </t>
    </r>
    <r>
      <rPr>
        <sz val="12"/>
        <color theme="1"/>
        <rFont val="Malgun Gothic"/>
        <family val="2"/>
        <charset val="129"/>
      </rPr>
      <t>감속</t>
    </r>
    <r>
      <rPr>
        <sz val="12"/>
        <color theme="1"/>
        <rFont val="微软雅黑"/>
        <family val="2"/>
        <charset val="134"/>
      </rPr>
      <t xml:space="preserve"> </t>
    </r>
    <r>
      <rPr>
        <sz val="12"/>
        <color theme="1"/>
        <rFont val="Malgun Gothic"/>
        <family val="2"/>
        <charset val="129"/>
      </rPr>
      <t>점차</t>
    </r>
    <r>
      <rPr>
        <sz val="12"/>
        <color theme="1"/>
        <rFont val="微软雅黑"/>
        <family val="2"/>
        <charset val="134"/>
      </rPr>
      <t xml:space="preserve"> </t>
    </r>
    <r>
      <rPr>
        <sz val="12"/>
        <color theme="1"/>
        <rFont val="Malgun Gothic"/>
        <family val="2"/>
        <charset val="129"/>
      </rPr>
      <t>회복</t>
    </r>
    <phoneticPr fontId="15" type="noConversion"/>
  </si>
  <si>
    <t>老魔杖攻击时,有{0}%的概率使目标被藤曼缠绕无法移动，每秒受到{1}%攻击的伤害，持续{2}秒</t>
    <phoneticPr fontId="15" type="noConversion"/>
  </si>
  <si>
    <t>藤曼缠绕的概率+{0}%</t>
    <phoneticPr fontId="15" type="noConversion"/>
  </si>
  <si>
    <t>老魔杖攻击时，对目标周围造成范围伤害，伤害为老杖攻击的{0}%，并附加曼束缚效果</t>
    <phoneticPr fontId="15" type="noConversion"/>
  </si>
  <si>
    <t>藤曼缠绕时间+{0}s</t>
    <phoneticPr fontId="15" type="noConversion"/>
  </si>
  <si>
    <t>老魔杖攻击速度+{0}%</t>
    <phoneticPr fontId="15" type="noConversion"/>
  </si>
  <si>
    <t>老魔杖攻击时，{0}%的概率发动死亡藤曼，对命中的目标造成{1}%的攻击伤害并施加藤曼束效果</t>
    <phoneticPr fontId="15" type="noConversion"/>
  </si>
  <si>
    <t>老魔杖死亡藤曼的发动概率+{0}%</t>
    <phoneticPr fontId="15" type="noConversion"/>
  </si>
  <si>
    <t>When the Ancient Wand attacks, there is a {0}% chance of twining the target with vines, stopping the target from moving. The target will take {1}% ATK DMG every second, lasting for {2}s.</t>
  </si>
  <si>
    <t>Chance of twining the target with vines +{0}%</t>
  </si>
  <si>
    <t>When the Ancient Wand attacks, deals AoE DMG to the target's surroundings by {0}% of Ancient Wand's ATK and inflicts a twining effect.</t>
  </si>
  <si>
    <t>Duration of twining the target with vines +{0}s</t>
  </si>
  <si>
    <t>Ancient Wand ATK SPD +{0}%</t>
  </si>
  <si>
    <t>When the Ancient Wand attacks, there is a {0}% chance of releasing death vines, twining the target and dealing {1}% ATK DMG to the target upon hit.</t>
  </si>
  <si>
    <t>Chance of releasing death vines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</si>
</sst>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宋体"/>
      <charset val="134"/>
      <scheme val="minor"/>
    </font>
    <font>
      <sz val="12"/>
      <color theme="1"/>
      <name val="微软雅黑"/>
      <family val="2"/>
      <charset val="134"/>
    </font>
    <font>
      <sz val="12"/>
      <color theme="1"/>
      <name val="微软雅黑"/>
      <family val="2"/>
      <charset val="134"/>
    </font>
    <font>
      <sz val="12"/>
      <color theme="0"/>
      <name val="微软雅黑"/>
      <family val="2"/>
      <charset val="134"/>
    </font>
    <font>
      <b/>
      <sz val="12"/>
      <color theme="0"/>
      <name val="微软雅黑"/>
      <family val="2"/>
      <charset val="134"/>
    </font>
    <font>
      <sz val="12"/>
      <name val="微软雅黑"/>
      <family val="2"/>
      <charset val="134"/>
    </font>
    <font>
      <sz val="12"/>
      <color rgb="FF000000"/>
      <name val="微软雅黑"/>
      <family val="2"/>
      <charset val="134"/>
    </font>
    <font>
      <sz val="12"/>
      <color theme="1"/>
      <name val="MS Gothic"/>
      <family val="3"/>
      <charset val="128"/>
    </font>
    <font>
      <sz val="12"/>
      <color theme="1"/>
      <name val="微软雅黑"/>
      <family val="2"/>
      <charset val="134"/>
    </font>
    <font>
      <sz val="12"/>
      <color theme="1"/>
      <name val="MS Gothic"/>
      <family val="3"/>
      <charset val="128"/>
    </font>
    <font>
      <sz val="12"/>
      <color theme="1"/>
      <name val="MS Gothic"/>
      <family val="3"/>
      <charset val="128"/>
    </font>
    <font>
      <sz val="12"/>
      <color theme="1"/>
      <name val="MS Gothic"/>
      <family val="3"/>
      <charset val="128"/>
    </font>
    <font>
      <sz val="11"/>
      <color theme="1"/>
      <name val="宋体"/>
      <family val="3"/>
      <charset val="134"/>
      <scheme val="minor"/>
    </font>
    <font>
      <sz val="11"/>
      <color theme="1"/>
      <name val="宋体"/>
      <family val="3"/>
      <charset val="134"/>
      <scheme val="minor"/>
    </font>
    <font>
      <sz val="12"/>
      <color rgb="FFFF0000"/>
      <name val="微软雅黑"/>
      <family val="2"/>
      <charset val="134"/>
    </font>
    <font>
      <sz val="9"/>
      <name val="宋体"/>
      <family val="3"/>
      <charset val="134"/>
      <scheme val="minor"/>
    </font>
    <font>
      <sz val="12"/>
      <color theme="1"/>
      <name val="Malgun Gothic"/>
      <family val="2"/>
      <charset val="129"/>
    </font>
    <font>
      <sz val="12"/>
      <color theme="1"/>
      <name val="微软雅黑"/>
      <family val="2"/>
      <charset val="129"/>
    </font>
  </fonts>
  <fills count="6">
    <fill>
      <patternFill patternType="none"/>
    </fill>
    <fill>
      <patternFill patternType="gray125"/>
    </fill>
    <fill>
      <patternFill patternType="solid">
        <fgColor rgb="FF002060"/>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rgb="FF6AA84F"/>
        <bgColor rgb="FF6AA84F"/>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13" fillId="0" borderId="0">
      <alignment vertical="center"/>
    </xf>
  </cellStyleXfs>
  <cellXfs count="31">
    <xf numFmtId="0" fontId="0" fillId="0" borderId="0" xfId="0">
      <alignment vertical="center"/>
    </xf>
    <xf numFmtId="0" fontId="0" fillId="0" borderId="0" xfId="0" applyAlignment="1">
      <alignment vertical="center" wrapText="1"/>
    </xf>
    <xf numFmtId="0" fontId="1" fillId="0" borderId="0" xfId="0" applyFont="1" applyAlignment="1">
      <alignment horizontal="left" vertical="center"/>
    </xf>
    <xf numFmtId="0" fontId="1" fillId="0" borderId="0" xfId="0" applyFont="1">
      <alignment vertical="center"/>
    </xf>
    <xf numFmtId="0" fontId="2" fillId="0" borderId="0" xfId="0" applyFont="1">
      <alignment vertical="center"/>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5" fillId="2"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 fillId="0" borderId="1" xfId="0" applyFont="1" applyBorder="1" applyAlignment="1">
      <alignment horizontal="left" vertical="center" wrapText="1"/>
    </xf>
    <xf numFmtId="0" fontId="6" fillId="5" borderId="3" xfId="0" applyFont="1" applyFill="1" applyBorder="1" applyAlignment="1">
      <alignment horizontal="left" wrapText="1"/>
    </xf>
    <xf numFmtId="0" fontId="1" fillId="5" borderId="3" xfId="0" applyFont="1" applyFill="1" applyBorder="1" applyAlignment="1"/>
    <xf numFmtId="0" fontId="7" fillId="5" borderId="3" xfId="0" applyFont="1" applyFill="1" applyBorder="1" applyAlignment="1">
      <alignment wrapText="1"/>
    </xf>
    <xf numFmtId="0" fontId="1" fillId="5" borderId="3" xfId="0" applyFont="1" applyFill="1" applyBorder="1" applyAlignment="1">
      <alignment wrapText="1"/>
    </xf>
    <xf numFmtId="0" fontId="1" fillId="0" borderId="1" xfId="0" applyFont="1" applyBorder="1" applyAlignment="1">
      <alignment horizontal="left" vertical="center"/>
    </xf>
    <xf numFmtId="0" fontId="8" fillId="0" borderId="0" xfId="0" applyFont="1" applyAlignment="1">
      <alignment vertical="center" wrapText="1"/>
    </xf>
    <xf numFmtId="0" fontId="9" fillId="0" borderId="0" xfId="0" applyFont="1" applyAlignment="1">
      <alignment vertical="center" wrapText="1"/>
    </xf>
    <xf numFmtId="0" fontId="8" fillId="0" borderId="0" xfId="0" applyFont="1">
      <alignment vertical="center"/>
    </xf>
    <xf numFmtId="0" fontId="9" fillId="0" borderId="0" xfId="0" applyFont="1">
      <alignment vertical="center"/>
    </xf>
    <xf numFmtId="0" fontId="7" fillId="0" borderId="1" xfId="0" applyFont="1" applyBorder="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7" fillId="0" borderId="0" xfId="0" applyFont="1" applyAlignment="1">
      <alignment horizontal="left" vertical="center"/>
    </xf>
    <xf numFmtId="0" fontId="1"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horizontal="left" vertical="center"/>
    </xf>
    <xf numFmtId="0" fontId="12" fillId="0" borderId="0" xfId="0" applyFont="1">
      <alignment vertical="center"/>
    </xf>
    <xf numFmtId="0" fontId="17" fillId="0" borderId="0" xfId="0" applyFont="1" applyAlignment="1">
      <alignment horizontal="left" vertical="center"/>
    </xf>
  </cellXfs>
  <cellStyles count="2">
    <cellStyle name="常规" xfId="0" builtinId="0"/>
    <cellStyle name="常规 4"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quipSkillLangu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1">
          <cell r="A1" t="str">
            <v>装备技能ID</v>
          </cell>
          <cell r="B1" t="str">
            <v>技能描述</v>
          </cell>
          <cell r="C1" t="str">
            <v>技能描述</v>
          </cell>
          <cell r="D1" t="str">
            <v>技能描述</v>
          </cell>
          <cell r="E1" t="str">
            <v>技能描述</v>
          </cell>
          <cell r="F1" t="str">
            <v>技能描述</v>
          </cell>
          <cell r="G1" t="str">
            <v>技能描述</v>
          </cell>
          <cell r="H1" t="str">
            <v>技能描述</v>
          </cell>
          <cell r="I1" t="str">
            <v>技能描述</v>
          </cell>
          <cell r="J1" t="str">
            <v>技能描述</v>
          </cell>
        </row>
        <row r="2">
          <cell r="A2" t="str">
            <v>both</v>
          </cell>
          <cell r="B2" t="str">
            <v>client</v>
          </cell>
          <cell r="C2" t="str">
            <v>client</v>
          </cell>
          <cell r="D2" t="str">
            <v>client</v>
          </cell>
          <cell r="E2" t="str">
            <v>client</v>
          </cell>
          <cell r="F2" t="str">
            <v>client</v>
          </cell>
          <cell r="G2" t="str">
            <v>client</v>
          </cell>
          <cell r="H2" t="str">
            <v>client</v>
          </cell>
          <cell r="I2" t="str">
            <v>client</v>
          </cell>
          <cell r="J2" t="str">
            <v>client</v>
          </cell>
        </row>
        <row r="3">
          <cell r="A3" t="str">
            <v>id</v>
          </cell>
          <cell r="B3" t="str">
            <v>dec_cn</v>
          </cell>
          <cell r="C3" t="str">
            <v>dec_zh</v>
          </cell>
          <cell r="D3" t="str">
            <v>dec_en</v>
          </cell>
          <cell r="E3" t="str">
            <v>dec_ja</v>
          </cell>
          <cell r="F3" t="str">
            <v>dec_ko</v>
          </cell>
          <cell r="G3" t="str">
            <v>dec_de</v>
          </cell>
          <cell r="H3" t="str">
            <v>dec_fr</v>
          </cell>
          <cell r="I3" t="str">
            <v>dec_pt</v>
          </cell>
          <cell r="J3" t="str">
            <v>dec_es</v>
          </cell>
        </row>
        <row r="4">
          <cell r="A4" t="str">
            <v>int</v>
          </cell>
          <cell r="B4" t="str">
            <v>string</v>
          </cell>
          <cell r="C4" t="str">
            <v>string</v>
          </cell>
          <cell r="D4" t="str">
            <v>string</v>
          </cell>
          <cell r="E4" t="str">
            <v>string</v>
          </cell>
          <cell r="F4" t="str">
            <v>string</v>
          </cell>
          <cell r="G4" t="str">
            <v>string</v>
          </cell>
          <cell r="H4" t="str">
            <v>string</v>
          </cell>
          <cell r="I4" t="str">
            <v>string</v>
          </cell>
          <cell r="J4" t="str">
            <v>string</v>
          </cell>
        </row>
        <row r="5">
          <cell r="A5"/>
          <cell r="B5"/>
          <cell r="C5"/>
          <cell r="D5"/>
          <cell r="E5"/>
          <cell r="F5"/>
          <cell r="G5"/>
          <cell r="H5"/>
          <cell r="I5"/>
          <cell r="J5"/>
        </row>
        <row r="6">
          <cell r="A6">
            <v>1101</v>
          </cell>
          <cell r="B6" t="str">
            <v>开放合成{0}级,解锁{equip1}和{equip2}</v>
          </cell>
          <cell r="C6" t="str">
            <v>开放合成{0}级,解锁{equip1}和{equip2}</v>
          </cell>
          <cell r="D6" t="str">
            <v>Unlock Merge Lv. {0}, {equip1}, and {equip2}.</v>
          </cell>
          <cell r="E6" t="str">
            <v>マージLv.{0}、{equip1}と{equip2}がアンロック</v>
          </cell>
          <cell r="F6" t="str">
            <v>합성 Lv.{0}, {equip1}, {equip2} 잠금 해제</v>
          </cell>
          <cell r="G6" t="str">
            <v>Schalte Verbindungsstufe {0}, {equip1} und {equip2} frei.</v>
          </cell>
          <cell r="H6" t="str">
            <v>Débloque la Fusion de Niv. {0}, {equip1} et {equip2}.</v>
          </cell>
          <cell r="I6" t="str">
            <v>Desbloqueie Fusão Nv. {0}, {equip1} e {equip2}.</v>
          </cell>
          <cell r="J6" t="str">
            <v>Desbloquear Fusión de Nv.{0}, {equip1} y {equip2}.</v>
          </cell>
        </row>
        <row r="7">
          <cell r="A7">
            <v>1201</v>
          </cell>
          <cell r="B7" t="str">
            <v>格里芬剑每攻击{0}次后,下次攻击{1}%暴击</v>
          </cell>
          <cell r="C7" t="str">
            <v>格里芬剑每攻击{0}次后,下次攻击{1}%暴击</v>
          </cell>
          <cell r="D7" t="str">
            <v>After every {0} Griffin Sword attacks, the next attack has a {1}% chance to crit.</v>
          </cell>
          <cell r="E7" t="str">
            <v>グリフォンソードが{0}回攻撃するごとに、次回の攻撃は{1}%の確率で会心攻撃になる</v>
          </cell>
          <cell r="F7" t="str">
            <v>그리핀 소드가 {0}번 공격할 때마다 다음 공격 시 {1}%의 확률로 치명타가 발생한다.</v>
          </cell>
          <cell r="G7" t="str">
            <v>Nach jeweils {0} Angriffen mit dem Greifschwert hat der nächste Angriff eine {1} % Krit.-Chance.</v>
          </cell>
          <cell r="H7" t="str">
            <v>Toutes les {0} attaques d’Épée du Griffon, la prochaine attaque a {1} % de chances de porter un Crit.</v>
          </cell>
          <cell r="I7" t="str">
            <v>Depois de cada {0} ataques da Espada de Grifo, o ataque seguinte tem {1}% de chance de crítico.</v>
          </cell>
          <cell r="J7" t="str">
            <v>Tras {0} ataques de Espada de Griffin, el siguiente ataque tiene un {1}% de probabilidad de ser Crit.</v>
          </cell>
        </row>
        <row r="8">
          <cell r="A8">
            <v>1202</v>
          </cell>
          <cell r="B8" t="str">
            <v>格里芬剑固定暴击所需攻击次数-{0}</v>
          </cell>
          <cell r="C8" t="str">
            <v>格里芬剑固定暴击所需攻击次数-{0}</v>
          </cell>
          <cell r="D8" t="str">
            <v>Attack times needed for triggering Griffin Sword's crit -{0}</v>
          </cell>
          <cell r="E8" t="str">
            <v>グリフォンソードの会心攻撃確定に必要な攻撃回数-{0}</v>
          </cell>
          <cell r="F8" t="str">
            <v>그리핀 소드의 치명타 발동에 필요한 공격 횟수 -{0}</v>
          </cell>
          <cell r="G8" t="str">
            <v>Anzahl an Angriffen. um Krit. des Greifschwerts auszulösen -{0}</v>
          </cell>
          <cell r="H8" t="str">
            <v>Nombre d’attaques requises pour déclencher le Crit de l’Épée du Griffon -{0}</v>
          </cell>
          <cell r="I8" t="str">
            <v>Número de ataques necessários para ativar o crítico da Espada de Grifo -{0}</v>
          </cell>
          <cell r="J8" t="str">
            <v>Ataques necesarios para activar el Crit de Espada de Griffin -{0}</v>
          </cell>
        </row>
        <row r="9">
          <cell r="A9">
            <v>1203</v>
          </cell>
          <cell r="B9" t="str">
            <v>格里芬剑的攻击+{0}%</v>
          </cell>
          <cell r="C9" t="str">
            <v>格里芬剑的攻击+{0}%</v>
          </cell>
          <cell r="D9" t="str">
            <v>Griffin Sword ATK +{0}%</v>
          </cell>
          <cell r="E9" t="str">
            <v>グリフォンソードの攻撃力+{0}%</v>
          </cell>
          <cell r="F9" t="str">
            <v>그리핀 소드 공격력 +{0}%</v>
          </cell>
          <cell r="G9" t="str">
            <v>Greifschwert-ANG +{0} %</v>
          </cell>
          <cell r="H9" t="str">
            <v>ATQ de l’Épée du Griffon +{0} %</v>
          </cell>
          <cell r="I9" t="str">
            <v>ATQ de Espada de Grifo +{0}%</v>
          </cell>
          <cell r="J9" t="str">
            <v>ATQ de Espada de Griffin +{0}%</v>
          </cell>
        </row>
        <row r="10">
          <cell r="A10">
            <v>1204</v>
          </cell>
          <cell r="B10" t="str">
            <v>格里芬剑的暴击伤害+{0}%</v>
          </cell>
          <cell r="C10" t="str">
            <v>格里芬剑的暴击伤害+{0}%</v>
          </cell>
          <cell r="D10" t="str">
            <v>Griffin Sword Crit DMG +{0}%</v>
          </cell>
          <cell r="E10" t="str">
            <v>グリフォンソードの会心ダメージ+{0}%</v>
          </cell>
          <cell r="F10" t="str">
            <v>그리핀 소드 치명타 피해 +{0}%</v>
          </cell>
          <cell r="G10" t="str">
            <v>Greifschwert-Krit.-Schaden +{0} %</v>
          </cell>
          <cell r="H10" t="str">
            <v>DÉG Crit de l’Épée du Griffon +{0} %</v>
          </cell>
          <cell r="I10" t="str">
            <v>DNO CRÍT de Espada de Grifo +{0}%</v>
          </cell>
          <cell r="J10" t="str">
            <v>Daño de Espada de Griffin +{0}%</v>
          </cell>
        </row>
        <row r="11">
          <cell r="A11">
            <v>1205</v>
          </cell>
          <cell r="B11" t="str">
            <v>碧波格里芬剑对冰冻减速/冻结目标伤害+{0}%</v>
          </cell>
          <cell r="C11" t="str">
            <v>碧波格里芬剑对冰冻减速/冻结目标伤害+{0}%</v>
          </cell>
          <cell r="D11" t="str">
            <v>DMG dealt by Griffin Sword of Waves to slowed/frozen targets +{0}%</v>
          </cell>
          <cell r="E11" t="str">
            <v>グリフォンソード・波が減速/凍結状態のターゲットに与えるダメージ+{0}%</v>
          </cell>
          <cell r="F11" t="str">
            <v>웨이브 그리핀 소드가 빙결 감속/동결 상태의 대상에게 주는 피해 +{0}%</v>
          </cell>
          <cell r="G11" t="str">
            <v>Greifschwert der Wellen fügt verlangsamten/gefrorenen Zielen +{0} % Schaden zu</v>
          </cell>
          <cell r="H11" t="str">
            <v>DÉG infligés par l’Épée du Griffon des Vagues aux cibles ralenties/gelées +{0} %</v>
          </cell>
          <cell r="I11" t="str">
            <v>DNO causado por Espada de Grifo das Ondas a alvos lentos/congelados +{0}%</v>
          </cell>
          <cell r="J11" t="str">
            <v>Daño infligido por Espada de las Olas de Griffin a objetivos ralentizados/congelados +{0}%</v>
          </cell>
        </row>
        <row r="12">
          <cell r="A12">
            <v>1206</v>
          </cell>
          <cell r="B12" t="str">
            <v>烈焰格里芬剑对灼烧目标伤害+{0}%</v>
          </cell>
          <cell r="C12" t="str">
            <v>烈焰格里芬剑对灼烧目标伤害+{0}%</v>
          </cell>
          <cell r="D12" t="str">
            <v>DMG dealt by Griffin Sword of Flame to burnt targets +{0}%</v>
          </cell>
          <cell r="E12" t="str">
            <v>グリフォンソード・焔が燃焼状態のターゲットに与えるダメージ+{0}%</v>
          </cell>
          <cell r="F12" t="str">
            <v>플레임 그리핀 소드가 화상 상태의 대상에게 주는 피해 +{0}%</v>
          </cell>
          <cell r="G12" t="str">
            <v>Greifschwert der Flamme fügt verbrannten Zielen +{0} % Schaden zu</v>
          </cell>
          <cell r="H12" t="str">
            <v>DÉG infligés par l’Épée du Griffon des Flammes aux cibles qui brûlent +{0} %</v>
          </cell>
          <cell r="I12" t="str">
            <v>DNO causado por Espada de Grifo das Chamas a alvos queimados +{0}%</v>
          </cell>
          <cell r="J12" t="str">
            <v>Daño infligido por Espada de la Llama de Griffin a objetivos quemados +{0}%</v>
          </cell>
        </row>
        <row r="13">
          <cell r="A13">
            <v>1207</v>
          </cell>
          <cell r="B13" t="str">
            <v>在碧波格里芬剑两侧的其他水元素武器击败敌人,回复武器自身攻击{0}%的血量,效果可叠加</v>
          </cell>
          <cell r="C13" t="str">
            <v>在碧波格里芬剑两侧的其他水元素武器击败敌人,回复武器自身攻击{0}%的血量,效果可叠加</v>
          </cell>
          <cell r="D13" t="str">
            <v>When other weapons of Water beside Griffin Sword of Waves defeat a target, restores HP by {0}% of the weapon's ATK. Stackable.</v>
          </cell>
          <cell r="E13" t="str">
            <v>グリフォンソード・波の両側にある他の水属性武器が敵を倒すと、HPがその武器の攻撃力の{0}%分回復する（重複可能）</v>
          </cell>
          <cell r="F13" t="str">
            <v>웨이브 그리핀 소드 양쪽의 다른 물 원소 무기로 적을 처치할 시, 해당 무기 공격력의 {0}%에 해당하는 HP를 회복한다. (중첩 가능)</v>
          </cell>
          <cell r="G13" t="str">
            <v>Wenn andere Wasserwaffen als das Greifschwert der Wellen ein Ziel besiegen, werden LP in Höhe von {0} % der ANG-Stapel der Waffe wiederhergestellt.</v>
          </cell>
          <cell r="H13" t="str">
            <v>Quand les autres armes d’Eau hormis l’Épée du Griffon des Vagues éliminent une cible, restaure des PV à hauteur de {0} % de l’ATQ de l’arme. Cumulable.</v>
          </cell>
          <cell r="I13" t="str">
            <v>Quando outras armas de Água além da Espada de Grifo das Ondas derrota um alvo, restaura PV em {0}% do ATQ de arma. Acumulável.</v>
          </cell>
          <cell r="J13" t="str">
            <v>Cuando se derrota a un objetivo con un arma de Agua que no sea la Espada de las Olas de Griffin, se restaura un {0}% del ATQ del arma como PS. Acumulable.</v>
          </cell>
        </row>
        <row r="14">
          <cell r="A14">
            <v>1208</v>
          </cell>
          <cell r="B14" t="str">
            <v>烈焰格里芬剑附加灼烧目标数量+{0}</v>
          </cell>
          <cell r="C14" t="str">
            <v>烈焰格里芬剑附加灼烧目标数量+{0}</v>
          </cell>
          <cell r="D14" t="str">
            <v>Target burned by Griffin Sword of Flame +{0}</v>
          </cell>
          <cell r="E14" t="str">
            <v>グリフォンソード・焔の燃焼付与対象の数+{0}</v>
          </cell>
          <cell r="F14" t="str">
            <v>플레임 그리핀 소드가 화상 상태를 부여하는 대상 수량 +{0}</v>
          </cell>
          <cell r="G14" t="str">
            <v>Greifschwert der Flamme verbrennt +{0} Ziele</v>
          </cell>
          <cell r="H14" t="str">
            <v>Nombre de cibles brûlées par l’Épée du Griffon des Flammes +{0}</v>
          </cell>
          <cell r="I14" t="str">
            <v>Alvo queimado por Espada de Grifo das Chamas +{0}</v>
          </cell>
          <cell r="J14" t="str">
            <v>Objetivos quemados por Espada de la Llama de Griffin +{0}</v>
          </cell>
        </row>
        <row r="15">
          <cell r="A15">
            <v>1209</v>
          </cell>
          <cell r="B15" t="str">
            <v>碧波格里芬剑击败目标，回复碧波格里芬剑攻击力{0}%的血量</v>
          </cell>
          <cell r="C15" t="str">
            <v>碧波格里芬剑击败目标，回复碧波格里芬剑攻击力{0}%的血量</v>
          </cell>
          <cell r="D15" t="str">
            <v>When Griffin Sword of Waves defeats a target, restores HP by {0}% of the sword's ATK.</v>
          </cell>
          <cell r="E15" t="str">
            <v>グリフォンソード・波が敵を倒すと、HPがグリフォンソード・波の攻撃力の{0}%分回復する</v>
          </cell>
          <cell r="F15" t="str">
            <v>웨이브 그리핀 소드로 대상을 처치할 시, 웨이브 그리핀 소드 공격력의 {0}%에 해당하는 HP를 회복한다.</v>
          </cell>
          <cell r="G15" t="str">
            <v>Wenn das Greifschwert der Wellen ein Ziel besiegt, werden LP in Höhe von {0} % des ANG des Schwerts wiederhergestellt.</v>
          </cell>
          <cell r="H15" t="str">
            <v>Quand l’Épée du Griffon des Vagues élimine une cible, restaure des PV à hauteur de {0} % de l’ATQ de l’épée.</v>
          </cell>
          <cell r="I15" t="str">
            <v>Quando a Espada de Grifo das Ondas derrota um alvo, restaura PV em {0}% do ATQ da espada.</v>
          </cell>
          <cell r="J15" t="str">
            <v>Se restaura un {0}% del ATQ de la Espada de las Olas de Griffin como PS al derrotar a un objetivo con ella.</v>
          </cell>
        </row>
        <row r="16">
          <cell r="A16">
            <v>1210</v>
          </cell>
          <cell r="B16" t="str">
            <v>烈焰格里芬剑暴击时，随机使最多{0}个敌人附加{1}秒灼烧，每{2}秒扣除本次伤害{3}%的血量</v>
          </cell>
          <cell r="C16" t="str">
            <v>烈焰格里芬剑暴击时，随机使最多{0}个敌人附加{1}秒灼烧，每{2}秒扣除本次伤害{3}%的血量</v>
          </cell>
          <cell r="D16" t="str">
            <v>When Griffin Sword of Flame lands a crit, burns up to {0} random enemies for {1}s, reducing HP every {2}s by {3}% of the DMG dealt this time.</v>
          </cell>
          <cell r="E16" t="str">
            <v>グリフォンソード・焔が会心ダメージを与える時、最大ランダムな敵{0}体を{1}秒間、燃焼状態にする（燃焼：HPが{2}秒ごとに付与時の被ダメージの{3}%分減少する）</v>
          </cell>
          <cell r="F16" t="str">
            <v>플레임 그리핀 소드가 치명타를 입힐 시, {1}초 동안 무작위로 최대 {0}명의 적에게 화상을 입히고, {2}초마다 이번 피해량의 {3}%만큼 HP를 감소시킨다.</v>
          </cell>
          <cell r="G16" t="str">
            <v>Wenn das Greifschwert der Flamme einen Krit. landet, werden bis zu {0} zufällige Ziele {1} Sek. lang verbrannt. Verringert LP alle {2} Sek. um {3} % des verursachten Schadens.</v>
          </cell>
          <cell r="H16" t="str">
            <v>Quand l’Épée du Griffon des Flammes porte un Crit, brûle jusqu’à {0} ennemis aléatoires pendant {1} s, réduisant leurs PV de {3} % des DÉG infligés lors du Crit toutes les {2} s.</v>
          </cell>
          <cell r="I16" t="str">
            <v>Quando a Espada de Grifo das Chamas causa um crítico, queima até {0} inimigos aleatórios por {1} s, reduzindo o PV a cada {2} s em {3}% do DNO causado na vez.</v>
          </cell>
          <cell r="J16" t="str">
            <v>Cuando la Espada de la Llama de Griffin asesta un Crit, quema a hasta {0} enemigos aleatorios {1}s, lo que reduce sus PS una cantidad equivalente al {3}% del Daño infligido cada {2}.</v>
          </cell>
        </row>
        <row r="17">
          <cell r="A17">
            <v>2101</v>
          </cell>
          <cell r="B17" t="str">
            <v>开放合成{0}级,解锁{equip1}和{equip2}</v>
          </cell>
          <cell r="C17" t="str">
            <v>开放合成{0}级,解锁{equip1}和{equip2}</v>
          </cell>
          <cell r="D17" t="str">
            <v>Unlock Merge Lv. {0}, {equip1}, and {equip2}.</v>
          </cell>
          <cell r="E17" t="str">
            <v>マージLv.{0}、{equip1}と{equip2}がアンロック</v>
          </cell>
          <cell r="F17" t="str">
            <v>합성 Lv.{0}, {equip1}, {equip2} 잠금 해제</v>
          </cell>
          <cell r="G17" t="str">
            <v>Schalte Verbindungsstufe {0}, {equip1} und {equip2} frei.</v>
          </cell>
          <cell r="H17" t="str">
            <v>Débloque la Fusion de Niv. {0}, {equip1} et {equip2}.</v>
          </cell>
          <cell r="I17" t="str">
            <v>Desbloqueie Fusão Nv. {0}, {equip1} e {equip2}.</v>
          </cell>
          <cell r="J17" t="str">
            <v>Desbloquear Fusión de Nv.{0}, {equip1} y {equip2}.</v>
          </cell>
        </row>
        <row r="18">
          <cell r="A18">
            <v>2201</v>
          </cell>
          <cell r="B18" t="str">
            <v>魔法匕首攻击同一目标每次伤害+{0}%,最多叠加{1}层</v>
          </cell>
          <cell r="C18" t="str">
            <v>魔法匕首攻击同一目标每次伤害+{0}%,最多叠加{1}层</v>
          </cell>
          <cell r="D18" t="str">
            <v>When Magic Dagger attacks the same target, DMG +{0} than the previous attack each time. Stackable up to {1} layers.</v>
          </cell>
          <cell r="E18" t="str">
            <v>魔術ナイフが同じ敵を攻撃する度に、与えるダメージ+{0}%（最大{1}回重複可能）</v>
          </cell>
          <cell r="F18" t="str">
            <v>마법 비수로 같은 대상을 공격할 때마다 피해량 +{0}%(최대 {1}스택 중첩 가능)</v>
          </cell>
          <cell r="G18" t="str">
            <v>Wenn Magiedolche dasselbe Ziel treffen, wird der Schaden jedes Mal um {0} erhöht. Bis zu {1}-mal stapelbar.</v>
          </cell>
          <cell r="H18" t="str">
            <v>Quand Dague Magique attaque la même cible, chaque attaque inflige +{0} de DÉG que la précédente. Cumulable jusqu’à {1} fois.</v>
          </cell>
          <cell r="I18" t="str">
            <v>Quando Adaga Mágica ataca o mesmo alvo, DNO +{0} do que o ataque anterior a cada vez. Acumula até {1} camadas.</v>
          </cell>
          <cell r="J18" t="str">
            <v>El Daño de la Daga mágica aumenta {0} al atacar al mismo objetivo repetidamente. Hasta {1} capas.</v>
          </cell>
        </row>
        <row r="19">
          <cell r="A19">
            <v>2202</v>
          </cell>
          <cell r="B19" t="str">
            <v>魔法匕首的速度+{0}%</v>
          </cell>
          <cell r="C19" t="str">
            <v>魔法匕首的速度+{0}%</v>
          </cell>
          <cell r="D19" t="str">
            <v>Magic Dagger SPD +{0}%</v>
          </cell>
          <cell r="E19" t="str">
            <v>魔術ナイフの速度+{0}%</v>
          </cell>
          <cell r="F19" t="str">
            <v>마법 비수의 속도 +{0}%</v>
          </cell>
          <cell r="G19" t="str">
            <v>Magiedolch-GSW +{0} %</v>
          </cell>
          <cell r="H19" t="str">
            <v>VIT de Dague Magique +{0} %</v>
          </cell>
          <cell r="I19" t="str">
            <v>VEL de Adaga Mágica +{0}%</v>
          </cell>
          <cell r="J19" t="str">
            <v>VEL de Daga mágica +{0}%</v>
          </cell>
        </row>
        <row r="20">
          <cell r="A20">
            <v>2203</v>
          </cell>
          <cell r="B20" t="str">
            <v>魔法匕首的暴击率+{0}%</v>
          </cell>
          <cell r="C20" t="str">
            <v>魔法匕首的暴击率+{0}%</v>
          </cell>
          <cell r="D20" t="str">
            <v>Magic Dagger Crit +{0}%</v>
          </cell>
          <cell r="E20" t="str">
            <v>魔術ナイフの会心率+{0}%</v>
          </cell>
          <cell r="F20" t="str">
            <v>마법 비수의 치명타율 +{0}%</v>
          </cell>
          <cell r="G20" t="str">
            <v>Magiedolch-Krit. +{0} %</v>
          </cell>
          <cell r="H20" t="str">
            <v>Crit de Dague Magique +{0} %</v>
          </cell>
          <cell r="I20" t="str">
            <v>CRÍT de Adaga Mágica +{0}%</v>
          </cell>
          <cell r="J20" t="str">
            <v>Crit de Daga mágica +{0}%</v>
          </cell>
        </row>
        <row r="21">
          <cell r="A21">
            <v>2204</v>
          </cell>
          <cell r="B21" t="str">
            <v>魔法匕首的暴击伤害+{0}%</v>
          </cell>
          <cell r="C21" t="str">
            <v>魔法匕首的暴击伤害+{0}%</v>
          </cell>
          <cell r="D21" t="str">
            <v>Magic Dagger Crit DMG +{0}%</v>
          </cell>
          <cell r="E21" t="str">
            <v>魔術ナイフの会心ダメージ+{0}%</v>
          </cell>
          <cell r="F21" t="str">
            <v>마법 비수의 치명타 피해 +{0}%</v>
          </cell>
          <cell r="G21" t="str">
            <v>Magiedolch-Krit.-Schaden +{0} %</v>
          </cell>
          <cell r="H21" t="str">
            <v>DÉG Crit de Dague Magique +{0} %</v>
          </cell>
          <cell r="I21" t="str">
            <v>DNO CRÍT de Adaga Mágica +{0}%</v>
          </cell>
          <cell r="J21" t="str">
            <v>Daño Crit de Daga mágica +{0}%</v>
          </cell>
        </row>
        <row r="22">
          <cell r="A22">
            <v>2205</v>
          </cell>
          <cell r="B22" t="str">
            <v>神风匕首到达场地边缘后反弹,最多{0}次</v>
          </cell>
          <cell r="C22" t="str">
            <v>神风匕首到达场地边缘后反弹,最多{0}次</v>
          </cell>
          <cell r="D22" t="str">
            <v>Dagger of Sacred Wind bounces when reaching the edge of the field, up to {0} times.</v>
          </cell>
          <cell r="E22" t="str">
            <v>旋風ナイフがフィールドの突き当りに到達後、最大{0}回跳ね返す</v>
          </cell>
          <cell r="F22" t="str">
            <v>폭풍 비수가 필드의 변두리에 도착한 후, 반대 방향으로 튕긴다. (최대 {0}회)</v>
          </cell>
          <cell r="G22" t="str">
            <v>Der Dolch des heiligen Windes springt bis zu {0}-mal, wenn er den Rand des Schlachtfelds erreicht.</v>
          </cell>
          <cell r="H22" t="str">
            <v>Dague du Vent Sacré ricoche quand elle atteint le bord du terrain, jusqu’à {0} fois.</v>
          </cell>
          <cell r="I22" t="str">
            <v>Adaga do Vento Sagrado quica ao chegar ao final do campo, até {0} vezes.</v>
          </cell>
          <cell r="J22" t="str">
            <v>La Daga del Viento sagrado rebota hasta {0} veces al alcanzar el borde del campo.</v>
          </cell>
        </row>
        <row r="23">
          <cell r="A23">
            <v>2206</v>
          </cell>
          <cell r="B23" t="str">
            <v>狼毒匕首对中毒目标伤害{0}%</v>
          </cell>
          <cell r="C23" t="str">
            <v>狼毒匕首对中毒目标伤害{0}%</v>
          </cell>
          <cell r="D23" t="str">
            <v>DMG dealt by Dagger of Wolfsbane to poisoned targets +{0}%</v>
          </cell>
          <cell r="E23" t="str">
            <v>猛毒ナイフが毒状態の敵に与えるダメージ+{0}%</v>
          </cell>
          <cell r="F23" t="str">
            <v>늑대 비수가 중독 상태의 대상에게 주는 피해 +{0}%</v>
          </cell>
          <cell r="G23" t="str">
            <v>Eisenhutdolch fügt vergifteten Zielen {0} % mehr Schaden zu</v>
          </cell>
          <cell r="H23" t="str">
            <v>DÉG infligés par Dague d’Aconit aux cibles empoisonnées +{0} %</v>
          </cell>
          <cell r="I23" t="str">
            <v>DNO causado pela Adaga da Maldição do Lobo a alvos envenenados +{0}%</v>
          </cell>
          <cell r="J23" t="str">
            <v>Daño de Daga lupina a objetivos envenenados +{0}%</v>
          </cell>
        </row>
        <row r="24">
          <cell r="A24">
            <v>2207</v>
          </cell>
          <cell r="B24" t="str">
            <v>神风匕首穿透数量+{0}</v>
          </cell>
          <cell r="C24" t="str">
            <v>神风匕首穿透数量+{0}</v>
          </cell>
          <cell r="D24" t="str">
            <v>Piercing target of Dagger of Sacred Wind +{0}</v>
          </cell>
          <cell r="E24" t="str">
            <v>旋風ナイフの貫通対象数+{0}</v>
          </cell>
          <cell r="F24" t="str">
            <v>폭풍 비수의 관통 대상 수량 +{0}</v>
          </cell>
          <cell r="G24" t="str">
            <v>#ERROR!</v>
          </cell>
          <cell r="H24" t="str">
            <v>Nombre de cibles transpercées par Dague du Vent Sacré +{0}</v>
          </cell>
          <cell r="I24" t="str">
            <v>Alvo perfurante de Adaga do Vento Sagrado +{0}</v>
          </cell>
          <cell r="J24" t="str">
            <v>Objetivos perforados por Daga del Viento sagrado +{0}</v>
          </cell>
        </row>
        <row r="25">
          <cell r="A25">
            <v>2208</v>
          </cell>
          <cell r="B25" t="str">
            <v>狼毒匕首的毒爆会附加中毒:每{0}秒,造成攻击{1}%伤害,持续{2}秒</v>
          </cell>
          <cell r="C25" t="str">
            <v>狼毒匕首的毒爆会附加中毒:每{0}秒,造成攻击{1}%伤害,持续{2}秒</v>
          </cell>
          <cell r="D25" t="str">
            <v>Poison Explosion of Dagger of Wolfsbane inflicts poison: deals DMG by {1}% ATK every {0}s, lasting for {2}s.</v>
          </cell>
          <cell r="E25" t="str">
            <v>猛毒ナイフの毒爆発は毒を付与する（毒：{2}秒の間、{0}秒ごとに付与者の攻撃力の{1}%のダメージを受ける）</v>
          </cell>
          <cell r="F25" t="str">
            <v>늑대 비수가 일으킨 독성 폭발이 중독 효과를 부여한다. 중독: {0}초마다 공격력의 {1}%에 해당하는 피해를 입힌다. ({2}초간 지속)</v>
          </cell>
          <cell r="G25" t="str">
            <v>Die Giftexplosion des Eisenhutdolchs fügt Gift zu: Verursacht {2} Sek. lang alle {0} Sek. Schaden in Höhe von {1} % des ANG.</v>
          </cell>
          <cell r="H25" t="str">
            <v>L’Explosion Toxique de Dague d’Aconit applique Poison : inflige des DÉG à hauteur de {1} % de l’ATQ toutes les {0} s pendant {2} s.</v>
          </cell>
          <cell r="I25" t="str">
            <v>Explosão de Veneno de Adaga da Maldição do Lobo inflige veneno: causa DNO em {1}% do ATQ a cada {0} s, durando {2} s.</v>
          </cell>
          <cell r="J25" t="str">
            <v>La Explosión de Veneno de Daga lupina envenena: inflige un {1}% del ATQ como Daño cada {0}s durante {2}s.</v>
          </cell>
        </row>
        <row r="26">
          <cell r="A26">
            <v>2209</v>
          </cell>
          <cell r="B26" t="str">
            <v>神风匕首攻击可穿透{0}个敌人</v>
          </cell>
          <cell r="C26" t="str">
            <v>神风匕首攻击可穿透{0}个敌人</v>
          </cell>
          <cell r="D26" t="str">
            <v>Dagger of Sacred Wind can pierce {0} enemies.</v>
          </cell>
          <cell r="E26" t="str">
            <v>旋風ナイフの攻撃は敵{0}体を貫通できる</v>
          </cell>
          <cell r="F26" t="str">
            <v>폭풍 비수는 {0}명의 적을 관통할 수 있다.</v>
          </cell>
          <cell r="G26" t="str">
            <v>Dolch des heiligen Windes kann {0} Gegner durchbohren.</v>
          </cell>
          <cell r="H26" t="str">
            <v>Dague du Vent Sacré peut transpercer {0} ennemis.</v>
          </cell>
          <cell r="I26" t="str">
            <v>Adaga do Vento Sagrado pode perfurar {0} inimigos.</v>
          </cell>
          <cell r="J26" t="str">
            <v>Daga del Viento sagrado puede perforar a {0} enemigos.</v>
          </cell>
        </row>
        <row r="27">
          <cell r="A27">
            <v>2210</v>
          </cell>
          <cell r="B27" t="str">
            <v>狼毒匕首攻击附带中毒,每{0}秒,造成攻击{1}%伤害,持续{2}秒。击败中毒目标时,追加{3}次攻击{4}%的范围伤害</v>
          </cell>
          <cell r="C27" t="str">
            <v>狼毒匕首攻击附带中毒,每{0}秒,造成攻击{1}%伤害,持续{2}秒。击败中毒目标时,追加{3}次攻击{4}%的范围伤害</v>
          </cell>
          <cell r="D27" t="str">
            <v>Dagger of Wolfsbane inflicts poison: deals DMG by {1}% ATK every {0}s, lasting for {2}s. After defeating a poisoned target, attacks {3} more times, dealing AoE DMG by {4}% of ATK each time.</v>
          </cell>
          <cell r="E27" t="str">
            <v>猛毒ナイフ攻撃時、毒を付与する（毒：{2}秒の間、{0}秒ごとに付与者の攻撃力の{1}%のダメージを受ける）。毒状態のターゲットを倒すと、追加で攻撃力{4}%の範囲ダメージを{3}回与える</v>
          </cell>
          <cell r="F27" t="str">
            <v>늑대 비수는 공격 시 중독 효과를 부여해 {0}초마다 공격력의 {1}%에 해당하는 피해를 입힌다({2}초간 지속). 중독 상태의 대상을 공격할 경우, 추가로 공격력의 {4}%에 해당하는 광역 피해를 {3}번 준다.</v>
          </cell>
          <cell r="G27" t="str">
            <v>Eisenhutdolch fügt Gift zu: Verursacht {2} Sek. lang alle {0} Sek. Schaden in Höhe von {1} % des ANG. Greift {3} weitere Male an, wenn ein vergiftetes Ziel stirbt, und verursacht jedes Mal Flächenschaden in Höhe von {4} % des ANG.</v>
          </cell>
          <cell r="H27" t="str">
            <v>Dague d’Aconit applique Poison : inflige des DÉG à hauteur de {1} % de l’ATQ toutes les {0} s pendant {2} s. Après avoir éliminé une cible empoisonnée, attaque {3} fois supplémentaires, infligeant des DÉG de Zone à hauteur de {4} % de l’ATQ à chaque fois.</v>
          </cell>
          <cell r="I27" t="str">
            <v>Adaga da Maldição do Lobo inflige veneno: causa DNO em {1}% do ATQ a cada {0} s, durando {2} s. Depois de derrotar um alvo envenenado, ataca mais {3} vezes, causando DNO de Área em {4}% do ATQ a cada vez.</v>
          </cell>
          <cell r="J27" t="str">
            <v>Daga lupina envenena: inflige un {1}% del ATQ como Daño cada {0}s durante {2}s. Ataca {3} veces más al derrotar a un objetivo envenenado lo que inflige un {4}% del ATQ como Daño de AdE cada vez.</v>
          </cell>
        </row>
        <row r="28">
          <cell r="A28">
            <v>3101</v>
          </cell>
          <cell r="B28" t="str">
            <v>开放合成{0}级,解锁{equip1}和{equip2}</v>
          </cell>
          <cell r="C28" t="str">
            <v>开放合成{0}级,解锁{equip1}和{equip2}</v>
          </cell>
          <cell r="D28" t="str">
            <v>Unlock Merge Lv. {0}, {equip1}, and {equip2}.</v>
          </cell>
          <cell r="E28" t="str">
            <v>マージLv.{0}、{equip1}と{equip2}がアンロック</v>
          </cell>
          <cell r="F28" t="str">
            <v>합성 Lv.{0}, {equip1}, {equip2} 잠금 해제</v>
          </cell>
          <cell r="G28" t="str">
            <v>Schalte Verbindungsstufe {0}, {equip1} und {equip2} frei.</v>
          </cell>
          <cell r="H28" t="str">
            <v>Débloque la Fusion de Niv. {0}, {equip1} et {equip2}.</v>
          </cell>
          <cell r="I28" t="str">
            <v>Desbloqueie Fusão Nv. {0}, {equip1} e {equip2}.</v>
          </cell>
          <cell r="J28" t="str">
            <v>Desbloquear Fusión de Nv.{0}, {equip1} y {equip2}.</v>
          </cell>
        </row>
        <row r="29">
          <cell r="A29">
            <v>3201</v>
          </cell>
          <cell r="B29" t="str">
            <v>翼弓攻击时,射出{0}颗箭矢</v>
          </cell>
          <cell r="C29" t="str">
            <v>翼弓攻击时,射出{0}颗箭矢</v>
          </cell>
          <cell r="D29" t="str">
            <v>When Wing Bow attacks, shoots {0} arrows.</v>
          </cell>
          <cell r="E29" t="str">
            <v>ウイングボウ攻撃時、矢を{0}本放つ</v>
          </cell>
          <cell r="F29" t="str">
            <v>날개활로 공격할 시 화살 {0}개 발사한다.</v>
          </cell>
          <cell r="G29" t="str">
            <v>Schwingenbogen schießt beim Angriff {0} Pfeile ab.</v>
          </cell>
          <cell r="H29" t="str">
            <v>Quand Arc Ailé attaque, il tire {0} flèches.</v>
          </cell>
          <cell r="I29" t="str">
            <v>Quando Arco de Asas ataca, dispara {0} flechas.</v>
          </cell>
          <cell r="J29" t="str">
            <v>Arco del Ala dispara {0} flechas al disparar.</v>
          </cell>
        </row>
        <row r="30">
          <cell r="A30">
            <v>3202</v>
          </cell>
          <cell r="B30" t="str">
            <v>翼弓攻击可穿透{0}个敌人</v>
          </cell>
          <cell r="C30" t="str">
            <v>翼弓攻击可穿透{0}个敌人</v>
          </cell>
          <cell r="D30" t="str">
            <v>Wing Bow can pierce {0} enemies.</v>
          </cell>
          <cell r="E30" t="str">
            <v>ウイングボウの攻撃は敵{0}体を貫通できる</v>
          </cell>
          <cell r="F30" t="str">
            <v>날개활은 {0}명의 적을 관통할 수 있다.</v>
          </cell>
          <cell r="G30" t="str">
            <v>Schwingenbogen kann {0} Gegner durchbohren.</v>
          </cell>
          <cell r="H30" t="str">
            <v>Arc Ailé peut transpercer {0} ennemis.</v>
          </cell>
          <cell r="I30" t="str">
            <v>Arco de Asas pode perfurar {0} inimigos.</v>
          </cell>
          <cell r="J30" t="str">
            <v>Arco del Ala puede perforar a {0} enemigos.</v>
          </cell>
        </row>
        <row r="31">
          <cell r="A31">
            <v>3203</v>
          </cell>
          <cell r="B31" t="str">
            <v>翼弓散射的箭矢数量+{0}</v>
          </cell>
          <cell r="C31" t="str">
            <v>翼弓散射的箭矢数量+{0}</v>
          </cell>
          <cell r="D31" t="str">
            <v>Arrow of Wing Bow's Scatter Shot +{0}</v>
          </cell>
          <cell r="E31" t="str">
            <v>ウイングボウが放つ矢の本数+{0}</v>
          </cell>
          <cell r="F31" t="str">
            <v>날개활 분산 사격 시의 화살 수량 +{0}</v>
          </cell>
          <cell r="G31" t="str">
            <v>#ERROR!</v>
          </cell>
          <cell r="H31" t="str">
            <v>Tir de Dispersion de la Flèche de l’Arc Ailé +{0}</v>
          </cell>
          <cell r="I31" t="str">
            <v>Disparo Dispersor de Flecha de Arco de Asas +{0}</v>
          </cell>
          <cell r="J31" t="str">
            <v>Tiro disperso de Arco del Ala +{0}</v>
          </cell>
        </row>
        <row r="32">
          <cell r="A32">
            <v>3204</v>
          </cell>
          <cell r="B32" t="str">
            <v>翼弓的速度+{0}%</v>
          </cell>
          <cell r="C32" t="str">
            <v>翼弓的速度+{0}%</v>
          </cell>
          <cell r="D32" t="str">
            <v>Wing Bow SPD +{0}%</v>
          </cell>
          <cell r="E32" t="str">
            <v>ウイングボウの速度+{0}%</v>
          </cell>
          <cell r="F32" t="str">
            <v>날개활의 속도 +{0}%</v>
          </cell>
          <cell r="G32" t="str">
            <v>Schwingenbogen-GSW +{0} %</v>
          </cell>
          <cell r="H32" t="str">
            <v>VIT d’Arc Ailé +{0} %</v>
          </cell>
          <cell r="I32" t="str">
            <v>VEL de Arco de Asas +{0}%</v>
          </cell>
          <cell r="J32" t="str">
            <v>VEL de Arco del Ala +{0}%</v>
          </cell>
        </row>
        <row r="33">
          <cell r="A33">
            <v>3205</v>
          </cell>
          <cell r="B33" t="str">
            <v>箭雨发动概率额外+{0}%</v>
          </cell>
          <cell r="C33" t="str">
            <v>箭雨发动概率额外+{0}%</v>
          </cell>
          <cell r="D33" t="str">
            <v>Chance of releasing Arrow Rain +{0}%</v>
          </cell>
          <cell r="E33" t="str">
            <v>アローレインの発動確率+{0}%</v>
          </cell>
          <cell r="F33" t="str">
            <v>화살비 발동 확률 +{0}%</v>
          </cell>
          <cell r="G33" t="str">
            <v>Chance auf Pfeilregen +{0} %</v>
          </cell>
          <cell r="H33" t="str">
            <v>Chances de déclencher Pluie de Flèches +{0} %</v>
          </cell>
          <cell r="I33" t="str">
            <v>Chance de liberar Chuva de Flechas +{0}%</v>
          </cell>
          <cell r="J33" t="str">
            <v>Probabilidad de lanzar Lluvia de Flechas +{0}%</v>
          </cell>
        </row>
        <row r="34">
          <cell r="A34">
            <v>3206</v>
          </cell>
          <cell r="B34" t="str">
            <v>黑暗羽翼秒杀概率额外+{0}%</v>
          </cell>
          <cell r="C34" t="str">
            <v>黑暗羽翼秒杀概率额外+{0}%</v>
          </cell>
          <cell r="D34" t="str">
            <v>Chance of Wing of Darkness to seckill +{0}%</v>
          </cell>
          <cell r="E34" t="str">
            <v>ウイングボウ・宵闇の即死確率+{0}%</v>
          </cell>
          <cell r="F34" t="str">
            <v>어둠의 날개의 즉시 처치 효과 발동 확률 +{0}%</v>
          </cell>
          <cell r="G34" t="str">
            <v>Chance, dass Schwinge der Dunkelheit sofort tötet +{0} %</v>
          </cell>
          <cell r="H34" t="str">
            <v>Chances d’Arc de Ténèbres d’exécuter la cible +{0} %</v>
          </cell>
          <cell r="I34" t="str">
            <v>Chance de Asa das Trevas abater por segundo +{0}%</v>
          </cell>
          <cell r="J34" t="str">
            <v>Probabilidad de elimininación instantánea de Ala de la Oscuridad +{0}%</v>
          </cell>
        </row>
        <row r="35">
          <cell r="A35">
            <v>3207</v>
          </cell>
          <cell r="B35" t="str">
            <v>箭雨有{0}%概率造成眩晕,持续{1}秒</v>
          </cell>
          <cell r="C35" t="str">
            <v>箭雨有{0}%概率造成眩晕,持续{1}秒</v>
          </cell>
          <cell r="D35" t="str">
            <v>Arrow Rain has a {0}% chance of inflicting stun for {1}s.</v>
          </cell>
          <cell r="E35" t="str">
            <v>アローレインは{0}%の確率で{1}秒間のめまいを付与する</v>
          </cell>
          <cell r="F35" t="str">
            <v>화살비 발동 시 {0}% 확률로 {1}초 동안 기절 효과를 부여한다.</v>
          </cell>
          <cell r="G35" t="str">
            <v>Pfeilregen hat eine {0} % Chance, {1} Sek. lang Betäuben zu verursachen.</v>
          </cell>
          <cell r="H35" t="str">
            <v>Pluie de Flèches a {0} % de chances d’appliquer Étourdissement pendant {1} s.</v>
          </cell>
          <cell r="I35" t="str">
            <v>Chuva de Flechas tem {0}% de chance de gerar atordoamento por {1} s.</v>
          </cell>
          <cell r="J35" t="str">
            <v>Lluvia de Flechas tiene un {0}% de probabilidad de aturdir {1}s.</v>
          </cell>
        </row>
        <row r="36">
          <cell r="A36">
            <v>3208</v>
          </cell>
          <cell r="B36" t="str">
            <v>黑暗羽翼命中后,使目标攻击-{0}%持续{1}秒,效果不叠加,时间覆盖</v>
          </cell>
          <cell r="C36" t="str">
            <v>黑暗羽翼命中后,使目标攻击-{0}%持续{1}秒,效果不叠加,时间覆盖</v>
          </cell>
          <cell r="D36" t="str">
            <v>When Wing of Darkness hits, the target's ATK -{0}% for {1}s. The effect cannot be stacked but the duration can be refreshed.</v>
          </cell>
          <cell r="E36" t="str">
            <v>ウイングボウ・宵闇命中後、{1}秒の間、ターゲットの攻撃力-{0}%（重複不可。持続時間更新可能）</v>
          </cell>
          <cell r="F36" t="str">
            <v>어둠의 날개의 공격이 적중할 시, 대상 공격력 -{0}%({1}초간 지속). 효과는 중첩될 수 없지만 지속 시간은 갱신 가능하다.</v>
          </cell>
          <cell r="G36" t="str">
            <v>Wenn Schwinge der Dunkelheit trifft, wird ANG des Ziels {1} Sek. lang um {0} % verringert. Nicht stapelbar, aber Dauer kann erneuert werden.</v>
          </cell>
          <cell r="H36" t="str">
            <v>Quand Arc de Ténèbres touche une cible, -{0} % à l’ATQ de cette dernière pendant {1} %. L’effet est non cumulable, mais la durée peut être réinitialisée.</v>
          </cell>
          <cell r="I36" t="str">
            <v>Quando Asa das Trevas acerta, o ATQ do alvo -{0}% por {1} s. O efeito não pode ser acumulado, mas a duração pode ser atualizada.</v>
          </cell>
          <cell r="J36" t="str">
            <v>Cuando el Ala de la Oscuridad golpea, el ATQ -{0}% durante {1}s. El efecto no se puede acumular pero se puede reiniciar.</v>
          </cell>
        </row>
        <row r="37">
          <cell r="A37">
            <v>3209</v>
          </cell>
          <cell r="B37" t="str">
            <v>耀光翼弓攻击时,{0}%概率对随机目标位置释放一次箭雨,造成攻击{1}%的范围伤害</v>
          </cell>
          <cell r="C37" t="str">
            <v>耀光翼弓攻击时,{0}%概率对随机目标位置释放一次箭雨,造成攻击{1}%的范围伤害</v>
          </cell>
          <cell r="D37" t="str">
            <v>When Wing of Sheen attacks, there is a {0}% chance of releasing Arrow Rain to a random target, dealing AoE DMG by {1}% of ATK.</v>
          </cell>
          <cell r="E37" t="str">
            <v>ウイングボウ・閃光攻撃時、{0}%の確率でランダムな敵がいる場所でアローレインを1回発動、攻撃力{1}%の範囲ダメージを与える</v>
          </cell>
          <cell r="F37" t="str">
            <v>빛의 날개로 공격할 시 {0}% 확률로 랜덤 대상의 위치에 화살비를 시전하여 공격력의 {1}%에 해당하는 광역 피해를 준다.</v>
          </cell>
          <cell r="G37" t="str">
            <v>Wenn Schimmerschwinge trifft, besteht eine {0} % Chance, dass Pfeilregen auf ein zufälliges Ziel niedergeht und Flächenschaden in Höhe von {1} % des ANG verursacht.</v>
          </cell>
          <cell r="H37" t="str">
            <v>Quand Arc d’Éclat attaque, confère {0} % de chances de lancer Pluie de Flèches sur une cible aléatoire, ce qui inflige des DÉG de Zone à hauteur de {1} % de l’ATQ.</v>
          </cell>
          <cell r="I37" t="str">
            <v>Quando Asa de Brilho ataca, há {0}% de chance de liberar Chuva de Flechas em um alvo aleatório, causando DNO de Área em {1}% do ATQ.</v>
          </cell>
          <cell r="J37" t="str">
            <v>Cuando el Ala de la Luz ataca hay un {0}% de probabilidad de liberar una Lluvia de Flechas a un objetivo aleatorio, lo que inflije un {1}% del ATQ como Daño.</v>
          </cell>
        </row>
        <row r="38">
          <cell r="A38">
            <v>3210</v>
          </cell>
          <cell r="B38" t="str">
            <v>黑暗羽翼每次造成伤害时有{0}%的概率秒杀小怪,对精英/Boss怪无效</v>
          </cell>
          <cell r="C38" t="str">
            <v>黑暗羽翼每次造成伤害时有{0}%的概率秒杀小怪,对精英/Boss怪无效</v>
          </cell>
          <cell r="D38" t="str">
            <v>Each time Wing of Darkness deals DMG, there is a {0}% chance of seckilling targets (excluding elite/boss).</v>
          </cell>
          <cell r="E38" t="str">
            <v>ウイングボウ・宵闇がダメージを与える時、{0}%の確率でエリート/ボス以外の敵を即死する</v>
          </cell>
          <cell r="F38" t="str">
            <v>어둠의 날개가 피해를 줄 때마다 {0}% 확률로 즉시 적을 처치한다(정예/보스 제외).</v>
          </cell>
          <cell r="G38" t="str">
            <v>Jedes Mal, wenn Schwinge der Dunkelheit trifft, besteht eine {0} % Chance, dass sie Ziele sofort tötet (ausgenommen Elite/Endgegner).</v>
          </cell>
          <cell r="H38" t="str">
            <v>Chaque fois qu’Arc de Ténèbres inflige des DÉG, confère {0} % de chances d’exécuter les cibles (hormis élite/boss).</v>
          </cell>
          <cell r="I38" t="str">
            <v>Cada vez que Asa das Trevas causa DNO, há {0}% de chance de abater por segundo alvos (exceto elite/chefe).</v>
          </cell>
          <cell r="J38" t="str">
            <v>Cada vez que el Ala de la Oscuridad inflige Daño hay un {0}% de probabilidad de eliminar al instante a los objetivos (excluyendo élites/jefes).</v>
          </cell>
        </row>
        <row r="39">
          <cell r="A39">
            <v>4101</v>
          </cell>
          <cell r="B39" t="str">
            <v>开放合成{0}级,解锁{equip1}和{equip2}</v>
          </cell>
          <cell r="C39" t="str">
            <v>开放合成{0}级,解锁{equip1}和{equip2}</v>
          </cell>
          <cell r="D39" t="str">
            <v>Unlock Merge Lv. {0}, {equip1}, and {equip2}.</v>
          </cell>
          <cell r="E39" t="str">
            <v>マージLv.{0}、{equip1}と{equip2}がアンロック</v>
          </cell>
          <cell r="F39" t="str">
            <v>합성 Lv.{0}, {equip1}, {equip2} 잠금 해제</v>
          </cell>
          <cell r="G39" t="str">
            <v>Schalte Verbindungsstufe {0}, {equip1} und {equip2} frei.</v>
          </cell>
          <cell r="H39" t="str">
            <v>Débloque la Fusion de Niv. {0}, {equip1} et {equip2}.</v>
          </cell>
          <cell r="I39" t="str">
            <v>Desbloqueie Fusão Nv. {0}, {equip1} e {equip2}.</v>
          </cell>
          <cell r="J39" t="str">
            <v>Desbloquear Fusión de Nv.{0}, {equip1} y {equip2}.</v>
          </cell>
        </row>
        <row r="40">
          <cell r="A40">
            <v>4201</v>
          </cell>
          <cell r="B40" t="str">
            <v>飞贼命中后,进行一次弹射,最多弹射{0}次</v>
          </cell>
          <cell r="C40" t="str">
            <v>飞贼命中后,进行一次弹射,最多弹射{0}次</v>
          </cell>
          <cell r="D40" t="str">
            <v>Dart bounces once after hitting the target, up to {0} times.</v>
          </cell>
          <cell r="E40" t="str">
            <v>ダーツが敵に命中後、1回跳ね返す（最大{0}回）</v>
          </cell>
          <cell r="F40" t="str">
            <v>다트 적중 후 한 번 튕긴다(최대 {0}회).</v>
          </cell>
          <cell r="G40" t="str">
            <v>Wurfpfeil springt bis zu {0}-mal weiter, nachdem er ein Ziel trifft.</v>
          </cell>
          <cell r="H40" t="str">
            <v>Fléchette ricoche après avoir touché sa cible, jusqu’à {0} fois.</v>
          </cell>
          <cell r="I40" t="str">
            <v>O Dardo quica uma vez depois de acertar o alvo, até {0} vezes.</v>
          </cell>
          <cell r="J40" t="str">
            <v>El dardo rebota hasta {0} veces al golpear a un objetivo.</v>
          </cell>
        </row>
        <row r="41">
          <cell r="A41">
            <v>4202</v>
          </cell>
          <cell r="B41" t="str">
            <v>飞贼的攻击+{0}%</v>
          </cell>
          <cell r="C41" t="str">
            <v>飞贼的攻击+{0}%</v>
          </cell>
          <cell r="D41" t="str">
            <v>Dart ATK +{0}%</v>
          </cell>
          <cell r="E41" t="str">
            <v>ダーツの攻撃力+{0}%</v>
          </cell>
          <cell r="F41" t="str">
            <v>다트의 공격력 +{0}%</v>
          </cell>
          <cell r="G41" t="str">
            <v>Wurfpfeil-ANG +{0} %</v>
          </cell>
          <cell r="H41" t="str">
            <v>ATQ de Fléchette +{0} %</v>
          </cell>
          <cell r="I41" t="str">
            <v>ATQ de Dardo +{0}%</v>
          </cell>
          <cell r="J41" t="str">
            <v>ATQ del Dardo +{0}%</v>
          </cell>
        </row>
        <row r="42">
          <cell r="A42">
            <v>4203</v>
          </cell>
          <cell r="B42" t="str">
            <v>飞贼的暴击率+{0}%</v>
          </cell>
          <cell r="C42" t="str">
            <v>飞贼的暴击率+{0}%</v>
          </cell>
          <cell r="D42" t="str">
            <v>Dart Crit +{0}%</v>
          </cell>
          <cell r="E42" t="str">
            <v>ダーツの会心率+{0}%</v>
          </cell>
          <cell r="F42" t="str">
            <v>다트의 치명타율 +{0}%</v>
          </cell>
          <cell r="G42" t="str">
            <v>Wurfpfeil-Krit +{0} %</v>
          </cell>
          <cell r="H42" t="str">
            <v>Crit de Fléchette +{0} %</v>
          </cell>
          <cell r="I42" t="str">
            <v>CRÍT de Dardo +{0}%</v>
          </cell>
          <cell r="J42" t="str">
            <v>Crit del Dardo +{0}%</v>
          </cell>
        </row>
        <row r="43">
          <cell r="A43">
            <v>4204</v>
          </cell>
          <cell r="B43" t="str">
            <v>飞贼攻击时,多发射{0}枚飞贼</v>
          </cell>
          <cell r="C43" t="str">
            <v>飞贼攻击时,多发射{0}枚飞贼</v>
          </cell>
          <cell r="D43" t="str">
            <v>When Dart attacks, launches {0} more Darts.</v>
          </cell>
          <cell r="E43" t="str">
            <v>ダーツ攻撃時、追加でダーツを{0}本放つ</v>
          </cell>
          <cell r="F43" t="str">
            <v>다트로 공격할 시 {0}개의 다트를 추가 발사한다.</v>
          </cell>
          <cell r="G43" t="str">
            <v>Feuert {0} mehr Wurfpfeile bei Angriffen.</v>
          </cell>
          <cell r="H43" t="str">
            <v>Quand Fléchette attaque, lance {0} Fléchettes en plus.</v>
          </cell>
          <cell r="I43" t="str">
            <v>Quando Dardo ataca, lança mais {0} Dardos.</v>
          </cell>
          <cell r="J43" t="str">
            <v>Cuando el Dardo ataca, lanza {0} Dardos más.</v>
          </cell>
        </row>
        <row r="44">
          <cell r="A44">
            <v>4205</v>
          </cell>
          <cell r="B44" t="str">
            <v>黑暗飞贼附加重伤概率+{0}%</v>
          </cell>
          <cell r="C44" t="str">
            <v>黑暗飞贼附加重伤概率+{0}%</v>
          </cell>
          <cell r="D44" t="str">
            <v>Chance of Dart of Darkness to inflict wound +{0}%</v>
          </cell>
          <cell r="E44" t="str">
            <v>宵闇ダーツの重傷付与確率+{0}%</v>
          </cell>
          <cell r="F44" t="str">
            <v>어둠 다트의 중상 부여 확률 +{0}%</v>
          </cell>
          <cell r="G44" t="str">
            <v>Chance, dass Wurfpfeil der Dunkelheit Wunde zufügt +{0} %</v>
          </cell>
          <cell r="H44" t="str">
            <v>Chances pour Fléchette de Ténèbres d’appliquer Blessure +{0} %</v>
          </cell>
          <cell r="I44" t="str">
            <v>Chance de Dardo das Trevas infligir ferimento +{0}%</v>
          </cell>
          <cell r="J44" t="str">
            <v>Probabilidad de que Dardo de Oscuridad inflija heridas +{0}%</v>
          </cell>
        </row>
        <row r="45">
          <cell r="A45">
            <v>4206</v>
          </cell>
          <cell r="B45" t="str">
            <v>神风飞贼弹射不再降低伤害</v>
          </cell>
          <cell r="C45" t="str">
            <v>神风飞贼弹射不再降低伤害</v>
          </cell>
          <cell r="D45" t="str">
            <v>Bounce of Dart of Sacred Wind reduces no more DMG.</v>
          </cell>
          <cell r="E45" t="str">
            <v>旋風ダーツが跳ね返す時、ダメージが減少されない</v>
          </cell>
          <cell r="F45" t="str">
            <v>폭풍 다트가 튕길 시 더는 피해가 감소하지 않는다.</v>
          </cell>
          <cell r="G45" t="str">
            <v>Springen des Wurfpfeil des heiligen Windes verringert Schaden nicht mehr.</v>
          </cell>
          <cell r="H45" t="str">
            <v>Quand Fléchette de Vent Sacré ricoche, ses DÉG ne sont plus réduits.</v>
          </cell>
          <cell r="I45" t="str">
            <v>Dardo do Vento Sagrado que quica não reduz mais DNO.</v>
          </cell>
          <cell r="J45" t="str">
            <v>Los rebotes del Dardo del Viento sagrado no reducen más Daño.</v>
          </cell>
        </row>
        <row r="46">
          <cell r="A46">
            <v>4207</v>
          </cell>
          <cell r="B46" t="str">
            <v>黑暗飞贼对重伤目标伤害+{0}%</v>
          </cell>
          <cell r="C46" t="str">
            <v>黑暗飞贼对重伤目标伤害+{0}%</v>
          </cell>
          <cell r="D46" t="str">
            <v>DMG dealt by Dart of Darkness to wounded targets +{0}%</v>
          </cell>
          <cell r="E46" t="str">
            <v>宵闇ダーツが重傷状態の敵に与えるダメージ+{0}%</v>
          </cell>
          <cell r="F46" t="str">
            <v>어둠 다트가 중상 상태의 대상에게 주는 피해 +{0}%</v>
          </cell>
          <cell r="G46" t="str">
            <v>Wurfpfeil der Dunkelheit fügt verwundeten Zielen {0} % mehr Schaden zu</v>
          </cell>
          <cell r="H46" t="str">
            <v>DÉG infligés par Fléchette de Ténèbres aux cibles blessées +{0} %</v>
          </cell>
          <cell r="I46" t="str">
            <v>DNO causado por Dardo das Trevas a alvos feridos +{0}%</v>
          </cell>
          <cell r="J46" t="str">
            <v>Daño infligido por Dardo de Oscuridad a objetivos heridos +{0}%</v>
          </cell>
        </row>
        <row r="47">
          <cell r="A47">
            <v>4208</v>
          </cell>
          <cell r="B47" t="str">
            <v>神风飞贼弹射次数+{0}</v>
          </cell>
          <cell r="C47" t="str">
            <v>神风飞贼弹射次数+{0}</v>
          </cell>
          <cell r="D47" t="str">
            <v>Bouncing times of Dart of Sacred Wind +{0}</v>
          </cell>
          <cell r="E47" t="str">
            <v>旋風ダーツの跳ね返す回数+{0}</v>
          </cell>
          <cell r="F47" t="str">
            <v>폭풍 다트의 튕기기 횟수 +{0}</v>
          </cell>
          <cell r="G47" t="str">
            <v>Wurfpfeil des heiligen Windes springt {0}-mal öfter</v>
          </cell>
          <cell r="H47" t="str">
            <v>Nombre de fois où Fléchette de Vent Sacré rebondit +{0}</v>
          </cell>
          <cell r="I47" t="str">
            <v>Número de vezes que Dardo do Vento Sagrado quica +{0}</v>
          </cell>
          <cell r="J47" t="str">
            <v>Rebotes de Dardo del Viento sagrado +{0}</v>
          </cell>
        </row>
        <row r="48">
          <cell r="A48">
            <v>4209</v>
          </cell>
          <cell r="B48" t="str">
            <v>黑暗飞贼命中时有{0}%概率使目标附加物理重伤:受到物理伤害时,伤害+{1}%,持续{2}秒(与投掷斧的重伤不叠加)</v>
          </cell>
          <cell r="C48" t="str">
            <v>黑暗飞贼命中时有{0}%概率使目标附加物理重伤:受到物理伤害时,伤害+{1}%,持续{2}秒(与地精斧头的重伤不叠加)</v>
          </cell>
          <cell r="D48" t="str">
            <v>When Dart of Darkness hits a target, there is a {0}% chance of inflicting physical wound: when taking physical DMG, DMG +{1}% for {2}s (not stackable with Throwing Goblin Axe's wound effect).</v>
          </cell>
          <cell r="E48" t="str">
            <v>宵闇ダーツ命中後、{0}%の確率で対象の敵に物理重傷を付与する（物理ダメージを受けた時、{2}秒間の被ダメージ+{1}%。ゴブリンアックスの重傷と重複不可）</v>
          </cell>
          <cell r="F48" t="str">
            <v>어둠 다트가 대상을 적중할 시, {0}% 확률로 대상에게 물리 중상 효과를 부여한다. 물리 중상: 받는 물리 피해 +{1}%({2}초간 지속, 고블린 도끼에 의한 중상과 중첩되지 않음)</v>
          </cell>
          <cell r="G48" t="str">
            <v>Wenn Wurfpfeil der Dunkelheit ein Ziel trifft, besteht eine {0} % Chance, dass das Ziel eine körperliche Wunde erleidet: {2} Sek. lang +{1} % erlittener körperlicher Schaden (nicht stapelbar mit Wundeneffekt beim Werfen der Goblinaxt).</v>
          </cell>
          <cell r="H48" t="str">
            <v>Quand Fléchette de Ténèbres touche une cible, confère {0} % de chances d’appliquer Blessure physique : quand des DÉG physiques sont subis, DÉG +{1} % pendant {2} s (non cumulable avec l’effet Blessure de la Hache de Jet Gobeline).</v>
          </cell>
          <cell r="I48" t="str">
            <v>Quando Dardo das Trevas acerta um alvo, há {0}% de chance de infligir ferimento físico: ao receber DNO físico, DNO +{1}% por {2} s (não se acumula com efeito de ferimento de Machado de Goblin de Arremesso.</v>
          </cell>
          <cell r="J48" t="str">
            <v>Cuando Dardo de Oscuridad golpea a un objetivo hay un {0}% de probabilidad de infligir heridas físicas: Daño +{1}% al recibir Daño físico durante {2}s (no se puede acumular con el efecto de herida de Hacha Goblin).</v>
          </cell>
        </row>
        <row r="49">
          <cell r="A49">
            <v>4210</v>
          </cell>
          <cell r="B49" t="str">
            <v>神风飞贼每次弹射时,额外分裂{0}枚飞贼,但每次弹射伤害-{1}%</v>
          </cell>
          <cell r="C49" t="str">
            <v>神风飞贼每次弹射时,额外分裂{0}枚飞贼,但每次弹射伤害-{1}%</v>
          </cell>
          <cell r="D49" t="str">
            <v>Each time Dart of Sacred Wind bounces, splits off {0} darts, DMG after bouncing -{1}%</v>
          </cell>
          <cell r="E49" t="str">
            <v>旋風ダーツが跳ね返す度に、追加でダーツを{0}本分裂できる。ただし、跳ね返す度に、与えるダメージ-{1}%</v>
          </cell>
          <cell r="F49" t="str">
            <v>폭풍 다트가 튕길 때마다 {0}개의 다트가 추가되지만, 1회당 피해가 {1}% 감소된다.</v>
          </cell>
          <cell r="G49" t="str">
            <v>Jedes Mal, wenn Wurfpfeil des heiligen Windes weiterspringt, teilt er sich in {0} Pfeile auf, Schaden nach Springen –{1} %.</v>
          </cell>
          <cell r="H49" t="str">
            <v>Chaque fois que Fléchette de Vent Sacré ricoche, elle se scinde en {0} fléchettes. DÉG après ricochet -{1} %</v>
          </cell>
          <cell r="I49" t="str">
            <v>Cada vez que Dardo do Vento Sagrado quica, divide-se em {0} dardos, DNO depois de quicar -{1}%</v>
          </cell>
          <cell r="J49" t="str">
            <v>Cada vez que Dardo del Viento sagrado rebota, genera {0} dardos más; daño tras rebotar -{1}%</v>
          </cell>
        </row>
        <row r="50">
          <cell r="A50">
            <v>5101</v>
          </cell>
          <cell r="B50" t="str">
            <v>开放合成{0}级,解锁{equip1}和{equip2}</v>
          </cell>
          <cell r="C50" t="str">
            <v>开放合成{0}级,解锁{equip1}和{equip2}</v>
          </cell>
          <cell r="D50" t="str">
            <v>Unlock Merge Lv. {0}, {equip1}, and {equip2}.</v>
          </cell>
          <cell r="E50" t="str">
            <v>マージLv.{0}、{equip1}と{equip2}がアンロック</v>
          </cell>
          <cell r="F50" t="str">
            <v>합성 Lv.{0}, {equip1}, {equip2} 잠금 해제</v>
          </cell>
          <cell r="G50" t="str">
            <v>Schalte Verbindungsstufe {0}, {equip1} und {equip2} frei.</v>
          </cell>
          <cell r="H50" t="str">
            <v>Débloque la Fusion de Niv. {0}, {equip1} et {equip2}.</v>
          </cell>
          <cell r="I50" t="str">
            <v>Desbloqueie Fusão Nv. {0}, {equip1} e {equip2}.</v>
          </cell>
          <cell r="J50" t="str">
            <v>Desbloquear Fusión de Nv.{0}, {equip1} y {equip2}.</v>
          </cell>
        </row>
        <row r="51">
          <cell r="A51">
            <v>5201</v>
          </cell>
          <cell r="B51" t="str">
            <v>背包中与魔法帽相邻的所有魔法武器攻击+{0}%</v>
          </cell>
          <cell r="C51" t="str">
            <v>背包中与魔法帽相邻的所有魔法武器攻击+{0}%</v>
          </cell>
          <cell r="D51" t="str">
            <v>ATK of all magic weapons adjacent to the Wizard Hat in the backpack +{0}%</v>
          </cell>
          <cell r="E51" t="str">
            <v>バックパック内、とんがり帽子に隣接する全ての魔術武器の攻撃力+{0}%</v>
          </cell>
          <cell r="F51" t="str">
            <v>배낭 중 마법사 모자에 인접한 모든 마법 무기의 공격력 +{0}%</v>
          </cell>
          <cell r="G51" t="str">
            <v>ANG aller Magiewaffen, die im Rucksack neben dem Zauberhut liegen, +{0} %</v>
          </cell>
          <cell r="H51" t="str">
            <v>ATQ de toutes les armes magiques adjacentes au Chapeau de Mage dans le sac +{0} %</v>
          </cell>
          <cell r="I51" t="str">
            <v>ATQ de todas as armas mágicas próximas ao Chapéu de Bruxo na mochila +{0}%</v>
          </cell>
          <cell r="J51" t="str">
            <v>ATQ de todas las armas mágicas junto al Sombrero de Mago en el inventario +{0}%</v>
          </cell>
        </row>
        <row r="52">
          <cell r="A52">
            <v>5202</v>
          </cell>
          <cell r="B52" t="str">
            <v>魔法帽的回血+{0}%</v>
          </cell>
          <cell r="C52" t="str">
            <v>魔法帽的回血+{0}%</v>
          </cell>
          <cell r="D52" t="str">
            <v>Wizard Hat HP Restoration +{0}%</v>
          </cell>
          <cell r="E52" t="str">
            <v>とんがり帽子のHP回復量+{0}%</v>
          </cell>
          <cell r="F52" t="str">
            <v>마법사 모자의 HP 회복 효과 +{0}%</v>
          </cell>
          <cell r="G52" t="str">
            <v>Zauberhut-LP-Wiederherstellung +{0} %</v>
          </cell>
          <cell r="H52" t="str">
            <v>Restauration des PV du Chapeau de Mage +{0} %</v>
          </cell>
          <cell r="I52" t="str">
            <v>Restauração de PV de Chapéu de Bruxo +{0}%</v>
          </cell>
          <cell r="J52" t="str">
            <v>Regeneración de PS de Sombrero de Mago +{0}%</v>
          </cell>
        </row>
        <row r="53">
          <cell r="A53">
            <v>5203</v>
          </cell>
          <cell r="B53" t="str">
            <v>背包中与魔法帽相邻的所有魔法武器攻击+{0}%</v>
          </cell>
          <cell r="C53" t="str">
            <v>背包中与魔法帽相邻的所有魔法武器攻击+{0}%</v>
          </cell>
          <cell r="D53" t="str">
            <v>ATK of all magic weapons adjacent to the Wizard Hat in the backpack +{0}%</v>
          </cell>
          <cell r="E53" t="str">
            <v>バックパック内、とんがり帽子に隣接する全ての魔術武器の攻撃力+{0}%</v>
          </cell>
          <cell r="F53" t="str">
            <v>배낭 중 마법사 모자에 인접한 모든 마법 무기의 공격력 +{0}%</v>
          </cell>
          <cell r="G53" t="str">
            <v>ANG aller Magiewaffen, die im Rucksack neben dem Zauberhut liegen, +{0} %</v>
          </cell>
          <cell r="H53" t="str">
            <v>ATQ de toutes les armes magiques adjacentes au Chapeau de Mage dans le sac +{0} %</v>
          </cell>
          <cell r="I53" t="str">
            <v>ATQ de todas as armas mágicas próximas ao Chapéu de Bruxo na mochila +{0}%</v>
          </cell>
          <cell r="J53" t="str">
            <v>ATQ de todas las armas mágicas junto al Sombrero de Mago en el inventario +{0}%</v>
          </cell>
        </row>
        <row r="54">
          <cell r="A54">
            <v>5204</v>
          </cell>
          <cell r="B54" t="str">
            <v>魔法帽的速度+{0}%</v>
          </cell>
          <cell r="C54" t="str">
            <v>魔法帽的速度+{0}%</v>
          </cell>
          <cell r="D54" t="str">
            <v>Wizard Hat SPD +{0}%</v>
          </cell>
          <cell r="E54" t="str">
            <v>とんがり帽子の速度+{0}%</v>
          </cell>
          <cell r="F54" t="str">
            <v>마법사 모자 속도 +{0}%</v>
          </cell>
          <cell r="G54" t="str">
            <v>Zauberhut-GSW +{0} %</v>
          </cell>
          <cell r="H54" t="str">
            <v>VIT du Chapeau de Mage +{0} %</v>
          </cell>
          <cell r="I54" t="str">
            <v>VEL de Chapéu de Bruxo +{0}%</v>
          </cell>
          <cell r="J54" t="str">
            <v>VEL de Sombrero de Mago +{0}%</v>
          </cell>
        </row>
        <row r="55">
          <cell r="A55">
            <v>5205</v>
          </cell>
          <cell r="B55" t="str">
            <v>叠盾效果额外+{0}%</v>
          </cell>
          <cell r="C55" t="str">
            <v>叠盾效果额外+{0}%</v>
          </cell>
          <cell r="D55" t="str">
            <v>Shield Effect +{0}%</v>
          </cell>
          <cell r="E55" t="str">
            <v>シールド効果量+{0}%</v>
          </cell>
          <cell r="F55" t="str">
            <v>실드 효과 +{0}%</v>
          </cell>
          <cell r="G55" t="str">
            <v>Schildeffekt +{0} %</v>
          </cell>
          <cell r="H55" t="str">
            <v>Effet Bouclier +{0} %</v>
          </cell>
          <cell r="I55" t="str">
            <v>Efeito de Escudo +{0}%</v>
          </cell>
          <cell r="J55" t="str">
            <v>Efecto de Escudo +{0}%</v>
          </cell>
        </row>
        <row r="56">
          <cell r="A56">
            <v>5206</v>
          </cell>
          <cell r="B56" t="str">
            <v>所有暗元素的武器伤害增幅额外+{0}%</v>
          </cell>
          <cell r="C56" t="str">
            <v>所有暗元素的武器伤害增幅额外+{0}%</v>
          </cell>
          <cell r="D56" t="str">
            <v>DMG boost for all Dark weapons +{0}%</v>
          </cell>
          <cell r="E56" t="str">
            <v>全ての闇属性の武器のダメージ+{0}%</v>
          </cell>
          <cell r="F56" t="str">
            <v>모든 어둠 원소 무기의 피해 +{0}%</v>
          </cell>
          <cell r="G56" t="str">
            <v>SCHA-Boost für alle Dunkelwaffen +{0} %</v>
          </cell>
          <cell r="H56" t="str">
            <v>Bonus de DÉG pour toutes les armes des Ténèbres +{0} %</v>
          </cell>
          <cell r="I56" t="str">
            <v>Reforço de DNO para todas as armas das Trevas +{0}%</v>
          </cell>
          <cell r="J56" t="str">
            <v>Aumento de Daño de todas las armas de Oscuridad +{0}%</v>
          </cell>
        </row>
        <row r="57">
          <cell r="A57">
            <v>5207</v>
          </cell>
          <cell r="B57" t="str">
            <v>与地之魔法帽在同一行的防具都可获得叠盾效果增幅</v>
          </cell>
          <cell r="C57" t="str">
            <v>与地之魔法帽在同一行的防具都可获得叠盾效果增幅</v>
          </cell>
          <cell r="D57" t="str">
            <v>Armor in the same row as the Wizard Hat of Earth gains a Shield Effect boost.</v>
          </cell>
          <cell r="E57" t="str">
            <v>とんがり帽子・地と同じ行にある防具のシールド効果量が増加する</v>
          </cell>
          <cell r="F57" t="str">
            <v>땅의 마법사 모자와 같은 줄에 있는 모든 방어구가 실드 증폭 효과 획득 가능</v>
          </cell>
          <cell r="G57" t="str">
            <v>Rüstung in derselben Reihe wie der Zauberhut erhält einen Schildeffekt-Boost.</v>
          </cell>
          <cell r="H57" t="str">
            <v>L’Armure dans la même ligne que le Chapeau de Mage de Terre gagne un bonus d’Effet Bouclier.</v>
          </cell>
          <cell r="I57" t="str">
            <v>Armadura na mesma linha que o Chapéu de Bruxo da Terra ganha um reforço de Efeito de Escudo.</v>
          </cell>
          <cell r="J57" t="str">
            <v>La armadura en la misma fila que el Sombrero de Mago de Tierra obtiene un aumento del Efecto de Escudo.</v>
          </cell>
        </row>
        <row r="58">
          <cell r="A58">
            <v>5208</v>
          </cell>
          <cell r="B58" t="str">
            <v>暗之魔法帽每次扣除的血量-{0}%</v>
          </cell>
          <cell r="C58" t="str">
            <v>暗之魔法帽每次扣除的血量-{0}%</v>
          </cell>
          <cell r="D58" t="str">
            <v>HP reduction effect of the Wizard Hat of Darkness -{0}%</v>
          </cell>
          <cell r="E58" t="str">
            <v>とんがり帽子・闇のHP減少効果-{0}%</v>
          </cell>
          <cell r="F58" t="str">
            <v>어둠의 마법사 모자의 1회당 HP 감소 효과 -{0}%</v>
          </cell>
          <cell r="G58" t="str">
            <v>HP-Verringerung vom Zauberhut der Dunkelheit -{0} %</v>
          </cell>
          <cell r="H58" t="str">
            <v>Effet de réduction de PV du Chapeau de Mage de Ténèbres -{0} %</v>
          </cell>
          <cell r="I58" t="str">
            <v>Efeito de redução de PV do Chapéu de Bruxo das Trevas -{0}%</v>
          </cell>
          <cell r="J58" t="str">
            <v>Efecto de reducción de PS de Sombrero de Mago de Oscuridad -{0}%</v>
          </cell>
        </row>
        <row r="59">
          <cell r="A59">
            <v>5209</v>
          </cell>
          <cell r="B59" t="str">
            <v>在地之魔法帽左右位置的防具叠盾效果+{0}%</v>
          </cell>
          <cell r="C59" t="str">
            <v>在地之魔法帽左右位置的防具叠盾效果+{0}%</v>
          </cell>
          <cell r="D59" t="str">
            <v>Shield effect of armor to the left or right of the Wizard Hat of Earth +{0}%</v>
          </cell>
          <cell r="E59" t="str">
            <v>とんがり帽子・地の左右にある防具のシールド効果量+{0}%</v>
          </cell>
          <cell r="F59" t="str">
            <v>땅의 마법사 모자의 양쪽에 위치한 방어구의 실드 효과 +{0}%</v>
          </cell>
          <cell r="G59" t="str">
            <v>Schildeffekt von Rüstung links oder rechts vom Zauberhut des Bodens +{0} %</v>
          </cell>
          <cell r="H59" t="str">
            <v>Effet Bouclier de l’Armure à gauche ou à droite du Chapeau de Mage de Terre +{0} %</v>
          </cell>
          <cell r="I59" t="str">
            <v>Efeito de escudo de armadura à esquerda ou direita do Chapéu de Bruxo da Terra +{0}%</v>
          </cell>
          <cell r="J59" t="str">
            <v>Efecto de Escudo de la armadura a la izquierda o derecha de Sombrero de Mago de Tierra +{0}%</v>
          </cell>
        </row>
        <row r="60">
          <cell r="A60">
            <v>5210</v>
          </cell>
          <cell r="B60" t="str">
            <v>暗之魔法帽不再回血,并每次扣除当前血量{0}%,在暗之魔法帽周围的所有武器伤害+{1}%</v>
          </cell>
          <cell r="C60" t="str">
            <v>暗之魔法帽不再回血,并每次扣除当前血量{0}%,在暗之魔法帽周围的所有武器伤害+{1}%</v>
          </cell>
          <cell r="D60" t="str">
            <v>Wizard Hat of Darkness no longer restores HP, and each time reduces current HP by {0}%. DMG of all weapons around the Wizard Hat of Darkness +{1}%.</v>
          </cell>
          <cell r="E60" t="str">
            <v>とんがり帽子・闇はHPを回復しなくなり、毎回現在のHPを{0}%減少させる。とんがり帽子・闇の周りにあるすべての武器のダメージ+{1}%</v>
          </cell>
          <cell r="F60" t="str">
            <v>어둠의 마법사 모자는 더는 HP를 회복하지 않으며, 매번 현재 HP의 {0}%에 해당하는 HP를 감소하는 동시, 어둠의 마법사 모자 주변의 모든 무기가 주는 피해 +{1}%</v>
          </cell>
          <cell r="G60" t="str">
            <v>Zauberhut der Dunkelheit stellt keine LP wieder her und verringert aktuelle LP jedes Mal um {0} %. Schaden aller Waffen um den Zauberhaut der Dunkelheit herum +{1} %.</v>
          </cell>
          <cell r="H60" t="str">
            <v>Le Chapeau de Mage de Ténèbres ne restaure plus de PV et réduit à chaque fois les PV actuels de {0} %. DÉG de toutes les armes autour du Chapeau de Mage de Ténèbres +{1} %.</v>
          </cell>
          <cell r="I60" t="str">
            <v>O Chapéu de Bruxo das Trevas não restaura mais PV, e reduz PV atuais a cada vez em {0}%. DNO de todas as armas ao redor do Chapéu de Bruxo das Trevas +{1}%.</v>
          </cell>
          <cell r="J60" t="str">
            <v>El Sombrero de Mago de Oscuridad deja de regenerar PS, y cada vez reduce un {0}% los PS actuales. Daño de todas las armas alrededor del Sombrero de Mago de Oscuridad +{1}%.</v>
          </cell>
        </row>
        <row r="61">
          <cell r="A61">
            <v>6101</v>
          </cell>
          <cell r="B61" t="str">
            <v>开放合成{0}级,解锁{equip1}和{equip2}</v>
          </cell>
          <cell r="C61" t="str">
            <v>开放合成{0}级,解锁{equip1}和{equip2}</v>
          </cell>
          <cell r="D61" t="str">
            <v>Unlock Merge Lv. {0}, {equip1}, and {equip2}.</v>
          </cell>
          <cell r="E61" t="str">
            <v>マージLv.{0}、{equip1}と{equip2}がアンロック</v>
          </cell>
          <cell r="F61" t="str">
            <v>합성 Lv.{0}, {equip1}, {equip2} 잠금 해제</v>
          </cell>
          <cell r="G61" t="str">
            <v>Schalte Verbindungsstufe {0}, {equip1} und {equip2} frei.</v>
          </cell>
          <cell r="H61" t="str">
            <v>Débloque la Fusion de Niv. {0}, {equip1} et {equip2}.</v>
          </cell>
          <cell r="I61" t="str">
            <v>Desbloqueie Fusão Nv. {0}, {equip1} e {equip2}.</v>
          </cell>
          <cell r="J61" t="str">
            <v>Desbloquear Fusión de Nv.{0}, {equip1} y {equip2}.</v>
          </cell>
        </row>
        <row r="62">
          <cell r="A62">
            <v>6201</v>
          </cell>
          <cell r="B62" t="str">
            <v>背包中与龙皮手套相邻的所有物理武器速度+{0}%</v>
          </cell>
          <cell r="C62" t="str">
            <v>背包中与龙皮手套相邻的所有物理武器速度+{0}%</v>
          </cell>
          <cell r="D62" t="str">
            <v>SPD of all physical weapons adjacent to the Dragonskin Gauntlet in the backpack +{0}%</v>
          </cell>
          <cell r="E62" t="str">
            <v>バックパック内、竜革の籠手に隣接する全ての物理武器の速度+{0}%</v>
          </cell>
          <cell r="F62" t="str">
            <v>배낭에 있는 드래곤 장갑에 인접한 모든 물리 무기의 속도 +{0}%</v>
          </cell>
          <cell r="G62" t="str">
            <v>GSW aller physischen Waffen, die im Rucksack neben den Drachenhautstulpen liegen, +{0} %</v>
          </cell>
          <cell r="H62" t="str">
            <v>VIT de toutes les armes physiques adjacentes au Gantelet Draconique dans le sac +{0} %</v>
          </cell>
          <cell r="I62" t="str">
            <v>VEL de todas as armas físicas próximas à Manopla de Pele de Dragão na mochila +{0}%</v>
          </cell>
          <cell r="J62" t="str">
            <v>VEL de todas las armas físicas junto al Guantelete dragontino en el inventario +{0}%</v>
          </cell>
        </row>
        <row r="63">
          <cell r="A63">
            <v>6202</v>
          </cell>
          <cell r="B63" t="str">
            <v>龙皮手套的速度+{0}%</v>
          </cell>
          <cell r="C63" t="str">
            <v>龙皮手套的速度+{0}%</v>
          </cell>
          <cell r="D63" t="str">
            <v>Dragonskin Gauntlet SPD +{0}%</v>
          </cell>
          <cell r="E63" t="str">
            <v>竜革の籠手の速度+{0}%</v>
          </cell>
          <cell r="F63" t="str">
            <v>드래곤 장갑의 속도 +{0}%</v>
          </cell>
          <cell r="G63" t="str">
            <v>Drachenhautstulpen-GSW +{0} %</v>
          </cell>
          <cell r="H63" t="str">
            <v>VIT de Gantelet Draconique +{0} %</v>
          </cell>
          <cell r="I63" t="str">
            <v>VEL de Manopla de Pele de Dragão +{0}%</v>
          </cell>
          <cell r="J63" t="str">
            <v>VEL de Guantelete dragontino +{0}%</v>
          </cell>
        </row>
        <row r="64">
          <cell r="A64">
            <v>6203</v>
          </cell>
          <cell r="B64" t="str">
            <v>龙皮手套的叠盾+{0}%</v>
          </cell>
          <cell r="C64" t="str">
            <v>龙皮手套的叠盾+{0}%</v>
          </cell>
          <cell r="D64" t="str">
            <v>Dragonskin Gauntlet Shield +{0}%</v>
          </cell>
          <cell r="E64" t="str">
            <v>竜革の籠手のシールド効果量+{0}%</v>
          </cell>
          <cell r="F64" t="str">
            <v>드래곤 장갑의 실드 +{0}%</v>
          </cell>
          <cell r="G64" t="str">
            <v>Drachenhautstulpen-Schild +{0} %</v>
          </cell>
          <cell r="H64" t="str">
            <v>Bouclier de Gantelet Draconique +{0} %</v>
          </cell>
          <cell r="I64" t="str">
            <v>Escudo de Manopla de Pele de Dragão +{0}%</v>
          </cell>
          <cell r="J64" t="str">
            <v>Escudo de Guantelete dragontino +{0}%</v>
          </cell>
        </row>
        <row r="65">
          <cell r="A65">
            <v>6204</v>
          </cell>
          <cell r="B65" t="str">
            <v>背包中与龙皮手套相邻的所有物理武器速度+{0}%</v>
          </cell>
          <cell r="C65" t="str">
            <v>背包中与龙皮手套相邻的所有物理武器速度+{0}%</v>
          </cell>
          <cell r="D65" t="str">
            <v>SPD of all physical weapons adjacent to the Dragonskin Gauntlet in the backpack +{0}%</v>
          </cell>
          <cell r="E65" t="str">
            <v>バックパック内、竜革の籠手に隣接する全ての物理武器の速度+{0}%</v>
          </cell>
          <cell r="F65" t="str">
            <v>배낭에 있는 드래곤 장갑에 인접한 모든 물리 무기의 속도 +{0}%</v>
          </cell>
          <cell r="G65" t="str">
            <v>GSW aller physischen Waffen, die im Rucksack neben den Drachenhautstulpen liegen, +{0} %</v>
          </cell>
          <cell r="H65" t="str">
            <v>VIT de toutes les armes physiques adjacentes au Gantelet Draconique dans le sac +{0} %</v>
          </cell>
          <cell r="I65" t="str">
            <v>VEL de todas as armas físicas próximas à Manopla de Pele de Dragão na mochila +{0}%</v>
          </cell>
          <cell r="J65" t="str">
            <v>VEL de todas las armas físicas junto al Guantelete dragontino en el inventario +{0}%</v>
          </cell>
        </row>
        <row r="66">
          <cell r="A66">
            <v>6205</v>
          </cell>
          <cell r="B66" t="str">
            <v>火焰手套附魔数量+{0}</v>
          </cell>
          <cell r="C66" t="str">
            <v>火焰手套附魔数量+{0}</v>
          </cell>
          <cell r="D66" t="str">
            <v>Gauntlet of Flame Enchantment Count +{0}</v>
          </cell>
          <cell r="E66" t="str">
            <v>火焔の籠手のエンチャント数+{0}</v>
          </cell>
          <cell r="F66" t="str">
            <v>화염 장갑의 인챈트 부여 수량 +{0}</v>
          </cell>
          <cell r="G66" t="str">
            <v>Verzauberungswert der Stulpen der Flamme +{0}</v>
          </cell>
          <cell r="H66" t="str">
            <v>Nombre d’Enchantements du Gantelet des Flammes +{0}</v>
          </cell>
          <cell r="I66" t="str">
            <v>Contagem de Encantos da Manopla das Chamas +{0}</v>
          </cell>
          <cell r="J66" t="str">
            <v>Número de Encantamientos de Guantelete de la Llama +{0}</v>
          </cell>
        </row>
        <row r="67">
          <cell r="A67">
            <v>6206</v>
          </cell>
          <cell r="B67" t="str">
            <v>神风手套效果触发时,攻速额外+{0}%</v>
          </cell>
          <cell r="C67" t="str">
            <v>神风手套效果触发时,攻速额外+{0}%</v>
          </cell>
          <cell r="D67" t="str">
            <v>When Gauntlet of Sacred Wind effect is triggered, ATK SPD +{0}%.</v>
          </cell>
          <cell r="E67" t="str">
            <v>旋風の籠手の効果発動時、追加で攻撃速度+{0}%</v>
          </cell>
          <cell r="F67" t="str">
            <v>폭풍 장갑의 효과가 발동될 시 공격 속도 +{0}%</v>
          </cell>
          <cell r="G67" t="str">
            <v>Wenn Effekt von Stulpen des heiligen Windes ausgelöst wird, ANG-GSW +{0} %.</v>
          </cell>
          <cell r="H67" t="str">
            <v>Quand l’effet de Gantelet du Vent Sacré est déclenché, VIT ATQ +{0} %.</v>
          </cell>
          <cell r="I67" t="str">
            <v>Quando o efeito de Manopla do Vento Sagrado é ativado, VEL ATQ +{0}%.</v>
          </cell>
          <cell r="J67" t="str">
            <v>VEL de ATQ +{0}% al activar el efecto de Guantelete del Viento sagrado.</v>
          </cell>
        </row>
        <row r="68">
          <cell r="A68">
            <v>6207</v>
          </cell>
          <cell r="B68" t="str">
            <v>火焰手套附魔加攻效果额外+{0}%</v>
          </cell>
          <cell r="C68" t="str">
            <v>火焰手套附魔加攻效果额外+{0}%</v>
          </cell>
          <cell r="D68" t="str">
            <v>Gauntlet of Flame Enchantment ATK Boost effect +{0}%</v>
          </cell>
          <cell r="E68" t="str">
            <v>火焔の籠手のエンチャントの攻撃力増加効果量+{0}%</v>
          </cell>
          <cell r="F68" t="str">
            <v>화염 장갑 인챈트에 의한 공격력 증폭 효과 +{0}%</v>
          </cell>
          <cell r="G68" t="str">
            <v>Stulpen der Flamme – ANG-Bonuseffekt durch Verzauberung +{0} %</v>
          </cell>
          <cell r="H68" t="str">
            <v>Boost d’ATQ de l’Enchantement du Gantelet des Flammes +{0} %</v>
          </cell>
          <cell r="I68" t="str">
            <v>Efeito de Reforço de ATQ do Encanto de Manopla das Chamas +{0}%</v>
          </cell>
          <cell r="J68" t="str">
            <v>Efecto de Aumento de ATQ de Encantamiento de Guantelete de la Llama +{0}%</v>
          </cell>
        </row>
        <row r="69">
          <cell r="A69">
            <v>6208</v>
          </cell>
          <cell r="B69" t="str">
            <v>神风手套攻速增持续时间+{0}%</v>
          </cell>
          <cell r="C69" t="str">
            <v>神风手套攻速增持续时间+{0}%</v>
          </cell>
          <cell r="D69" t="str">
            <v>Gauntlet of Sacred Wind ATK SPD Boost duration +{0}%</v>
          </cell>
          <cell r="E69" t="str">
            <v>旋風の籠手の攻撃速度増加の持続時間+{0}%</v>
          </cell>
          <cell r="F69" t="str">
            <v>폭풍 장갑에 의한 공격 속도 증폭 효과의 지속 시간 +{0}%</v>
          </cell>
          <cell r="G69" t="str">
            <v>Stulpen des heiligen Windes – Dauer des ANG-GSW-Boosts +{0} %</v>
          </cell>
          <cell r="H69" t="str">
            <v>Durée du Boost de VIT ATQ du Gantelet du Vent Sacré +{0} %</v>
          </cell>
          <cell r="I69" t="str">
            <v>Duração de Reforço de VEL de ATQ da Manopla do Vento Sagrado +{0}%</v>
          </cell>
          <cell r="J69" t="str">
            <v>Duración del Aumento de VEL de ATQ de Guantelete del Viento sagrado +{0}%</v>
          </cell>
        </row>
        <row r="70">
          <cell r="A70">
            <v>6209</v>
          </cell>
          <cell r="B70" t="str">
            <v>战斗开始时,火焰手套随机给至多{0}件火元素武器附魔,攻击+{1}%</v>
          </cell>
          <cell r="C70" t="str">
            <v>战斗开始时,火焰手套随机给至多{0}件火元素武器附魔,攻击+{1}%</v>
          </cell>
          <cell r="D70" t="str">
            <v>At the start of battle, Gauntlet of Flame randomly enchants up to {0} fire weapons, increasing ATK by {1}%.</v>
          </cell>
          <cell r="E70" t="str">
            <v>バトル開始時、火焔の籠手は最大{0}件の火属性武器にエンチャントし、エンチャントされた武器の攻撃力+{1}%</v>
          </cell>
          <cell r="F70" t="str">
            <v>전투 시작 시, 화염 장갑이 무작위로 최대 {0}개의 화염 원소 무기에 인챈트 효과를 부여해 공격력을 {1}% 증가시킨다.</v>
          </cell>
          <cell r="G70" t="str">
            <v>Zu Beginn des Kamps verzaubern die Stulpen der Flamme zufällig bis zu {0} Feuerwaffen und erhöhen ANG um {1} %.</v>
          </cell>
          <cell r="H70" t="str">
            <v>Au début du combat, Gantelet des Flammes enchante jusqu’à {0} armes de Feu aléatoires, augmentant leur ATQ de {1} %.</v>
          </cell>
          <cell r="I70" t="str">
            <v>No início da batalha, Manopla das Chamas encanta aleatoriamente até {0} armas de fogo, aumentando o ATQ em {1}%.</v>
          </cell>
          <cell r="J70" t="str">
            <v>Guantelete de la Llama encanta a hasta {0} armas de fuego al inicio de la batalla, lo que aumenta un {1}% el ATQ.</v>
          </cell>
        </row>
        <row r="71">
          <cell r="A71">
            <v>6210</v>
          </cell>
          <cell r="B71" t="str">
            <v>血量&lt;{0}%时,所有装备获得攻速增幅,攻速+{1}%,持续{2}秒,每波最多发动一次,不叠加</v>
          </cell>
          <cell r="C71" t="str">
            <v>血量&lt;{0}%时,所有装备获得攻速增幅,攻速+{1}%,持续{2}秒,每波最多发动一次,不叠加</v>
          </cell>
          <cell r="D71" t="str">
            <v>When HP is below {0}%, all equipment gains an ATK SPD boost of {1}%, lasting for {2}s, triggering up to once per wave and unstackable.</v>
          </cell>
          <cell r="E71" t="str">
            <v>HPが{0}%を下回った時、全ての装備品の攻撃速度+{1}%（{2}秒間持続）。1WAVEに1回のみ発動可能</v>
          </cell>
          <cell r="F71" t="str">
            <v>HP가 {0}% 미만일 경우, 모든 장비가 공격 속도 증폭 효과를 획득한다. 공격 속도 +{1}%({2}초간 지속, 웨이브당 최대 1회 발동, 중첩 불가)</v>
          </cell>
          <cell r="G71" t="str">
            <v>Bei weniger als {0} % LP, erhält sämtliche Ausrüstung {2} Sek. lang einen Angriffsgeschwindigkeits-Boost von {1} %. Wird bis zu einmal pro Welle ausgelöst, nicht stapelbar.</v>
          </cell>
          <cell r="H71" t="str">
            <v>Quand les PV sont inférieurs à {0} %, tout l’équipement gagne un bonus de VIT ATQ de {1} % pendant {2} s. Ne peut se déclencher qu’une fois par vague et non cumulable.</v>
          </cell>
          <cell r="I71" t="str">
            <v>Quando PV está abaixo de {0}%, todos os equipamentos ganham reforço de VEL ATQ de {1}%, durando {2} s, sendo ativado até uma vez por onda e acumulável.</v>
          </cell>
          <cell r="J71" t="str">
            <v>Cuando los PS bajan del {0}%, todo el equipamiento consigue un {1}% de aumento de VEL de ATQ {2}s. Se puede activar una vez por oleada y no se puede acumular.</v>
          </cell>
        </row>
        <row r="72">
          <cell r="A72">
            <v>7101</v>
          </cell>
          <cell r="B72" t="str">
            <v>开放合成{0}级,解锁{equip1}和{equip2}</v>
          </cell>
          <cell r="C72" t="str">
            <v>开放合成{0}级,解锁{equip1}和{equip2}</v>
          </cell>
          <cell r="D72" t="str">
            <v>Unlock Merge Lv. {0}, {equip1}, and {equip2}.</v>
          </cell>
          <cell r="E72" t="str">
            <v>マージLv.{0}、{equip1}と{equip2}がアンロック</v>
          </cell>
          <cell r="F72" t="str">
            <v>합성 Lv.{0}, {equip1}, {equip2} 잠금 해제</v>
          </cell>
          <cell r="G72" t="str">
            <v>Schalte Verbindungsstufe {0}, {equip1} und {equip2} frei.</v>
          </cell>
          <cell r="H72" t="str">
            <v>Débloque la Fusion de Niv. {0}, {equip1} et {equip2}.</v>
          </cell>
          <cell r="I72" t="str">
            <v>Desbloqueie Fusão Nv. {0}, {equip1} e {equip2}.</v>
          </cell>
          <cell r="J72" t="str">
            <v>Desbloquear Fusión de Nv.{0}, {equip1} y {equip2}.</v>
          </cell>
        </row>
        <row r="73">
          <cell r="A73">
            <v>7201</v>
          </cell>
          <cell r="B73" t="str">
            <v>冰封魔杖命中后,有{0}%概率使目标冻结,持续{1}秒</v>
          </cell>
          <cell r="C73" t="str">
            <v>冰封魔杖命中后,有{0}%概率使目标冻结,持续{1}秒</v>
          </cell>
          <cell r="D73" t="str">
            <v>When the Icebound Magic Staff hits, there is a {0}% chance to freeze the target for {1}s.</v>
          </cell>
          <cell r="E73" t="str">
            <v>氷結のステッキ命中後、{0}%の確率で対象を{1}秒間凍結させる</v>
          </cell>
          <cell r="F73" t="str">
            <v>프로즌 스태프가 대상을 적중할 시 {0}% 확률로 해당 대상에게 동결 효과를 부여한다. ({1}초간 지속)</v>
          </cell>
          <cell r="G73" t="str">
            <v>Wenn der eisgebundene Magiestab trifft, besteht eine {0} % Chance, das Ziel {1} Sek. lang einzufrieren.</v>
          </cell>
          <cell r="H73" t="str">
            <v>Quand le Bâton Magique Hivernal touche une cible, confère {0} % de chances de la geler pendant {1} s.</v>
          </cell>
          <cell r="I73" t="str">
            <v>Quando o Cajado Mágico da Prisão de Gelo acerta, tem {0}% de chance de congelar o alvo por {1} s.</v>
          </cell>
          <cell r="J73" t="str">
            <v>El Bastón mágico de Hielo tiene un {0}% de congelar al objetivo {1}s al golpearle.</v>
          </cell>
        </row>
        <row r="74">
          <cell r="A74">
            <v>7202</v>
          </cell>
          <cell r="B74" t="str">
            <v>冰封魔杖冻结概率+{0}%</v>
          </cell>
          <cell r="C74" t="str">
            <v>冰封魔杖冻结概率+{0}%</v>
          </cell>
          <cell r="D74" t="str">
            <v>Icebound Magic Staff freezing chance +{0}%</v>
          </cell>
          <cell r="E74" t="str">
            <v>氷結のステッキの凍結付与確率+{0}%</v>
          </cell>
          <cell r="F74" t="str">
            <v>프로즌 스태프의 동결 부여 확률 +{0}%</v>
          </cell>
          <cell r="G74" t="str">
            <v>Eisgebundener Magiestab –Einfrierchance +{0} %</v>
          </cell>
          <cell r="H74" t="str">
            <v>Chances pour le Bâton Magique Hivernal de geler la cible +{0} %</v>
          </cell>
          <cell r="I74" t="str">
            <v>Chance de congelamento do Cajado Mágico da Prisão de Gelo +{0}%</v>
          </cell>
          <cell r="J74" t="str">
            <v>Probabilidad de congelación de Bastón mágico de Hielo +{0}%</v>
          </cell>
        </row>
        <row r="75">
          <cell r="A75">
            <v>7203</v>
          </cell>
          <cell r="B75" t="str">
            <v>冰封魔杖命中后,分裂出{0}个碎片,碎片伤害为冰封魔杖攻击的{1}%,有概率附加冰冻减速效果</v>
          </cell>
          <cell r="C75" t="str">
            <v>冰封魔杖命中后,分裂出{0}个碎片,碎片伤害为冰封魔杖攻击的{1}%,有概率附加冰冻减速效果</v>
          </cell>
          <cell r="D75" t="str">
            <v>When the Icebound Magic Staff hits, it splits into {0} shards, each dealing DMG equal to {1}% of the Icebound Magic Staff's ATK, with a chance to inflict freezing and slow effects.</v>
          </cell>
          <cell r="E75" t="str">
            <v>氷結のステッキ命中後、{0}個のピースに分裂する。ピースのダメージは氷結のステッキの攻撃力の{1}%、一定の確率で敵を減速させる</v>
          </cell>
          <cell r="F75" t="str">
            <v>프로즌 스태프가 대상을 적중할 시 {0}개의 파편이 생성되며, 각각 프로즌 스태프 공격력의 {1}%에 해당하는 피해를 주고, 일정 확률로 빙결 감속 효과를 부여한다.</v>
          </cell>
          <cell r="G75" t="str">
            <v>Wenn der eisgebundene Magiestab trifft, teilt er sich in {0} Splitter auf, die jeweils Schaden in Höhe von {1} % des ANG des eisgebundenen Magiestabs verursachen, mit der Chance, Einfrieren und Verlangsamen zuzufügen.</v>
          </cell>
          <cell r="H75" t="str">
            <v>Quand le Bâton Magique Hivernal touche une cible, il se scinde en {0} éclats, chacun infligeant des DÉG à hauteur de {1} % de l’ATQ du Bâton Magique Hivernal, avec une chance d’appliquer Gel et Lenteur.</v>
          </cell>
          <cell r="I75" t="str">
            <v>Quando o Cajado Mágico da Prisão de Gelo acerta, divide-se em {0} fragmentos, cada um causando DNO igual a {1}% do ATQ do Cajado Mágico da Prisão de Gelo, com uma chance de infligir efeitos de congelamento e lentidão.</v>
          </cell>
          <cell r="J75" t="str">
            <v>Cuando Bastón mágico de Hielo golpea, se divide en {0} fragmentos que infligen un {1}% del ATQ del Bastón mágico de Hielo como Daño, y tienen la posibilidad de aplicar congelación y ralentización.</v>
          </cell>
        </row>
        <row r="76">
          <cell r="A76">
            <v>7204</v>
          </cell>
          <cell r="B76" t="str">
            <v>冰封魔杖的攻击+{0}%</v>
          </cell>
          <cell r="C76" t="str">
            <v>冰封魔杖的攻击+{0}%</v>
          </cell>
          <cell r="D76" t="str">
            <v>Icebound Magic Staff ATK +{0}%</v>
          </cell>
          <cell r="E76" t="str">
            <v>氷結のステッキの攻撃力+{0}%</v>
          </cell>
          <cell r="F76" t="str">
            <v>프로즌 스태프 공격력 +{0}%</v>
          </cell>
          <cell r="G76" t="str">
            <v>Eisgebundener Magiestab – ANG +{0} %</v>
          </cell>
          <cell r="H76" t="str">
            <v>ATQ du Bâton Magique Hivernal +{0} %</v>
          </cell>
          <cell r="I76" t="str">
            <v>ATQ de Cajado Mágico da Prisão de Gelo +{0}%</v>
          </cell>
          <cell r="J76" t="str">
            <v>ATQ de Bastón mágico de Hielo +{0}%</v>
          </cell>
        </row>
        <row r="77">
          <cell r="A77">
            <v>7205</v>
          </cell>
          <cell r="B77" t="str">
            <v>冰霜新星有{0}%概率使目标冻结,持续{1}秒</v>
          </cell>
          <cell r="C77" t="str">
            <v>冰霜新星有{0}%概率使目标冻结,持续{1}秒</v>
          </cell>
          <cell r="D77" t="str">
            <v>Frost Nova has a {0}% chance to freeze the target for {1}s.</v>
          </cell>
          <cell r="E77" t="str">
            <v>フロストノヴァは{0}%の確率で対象を{1}秒間凍結させる</v>
          </cell>
          <cell r="F77" t="str">
            <v>아이스 노바 발동 시 {0}% 확률로 대상을 동결 상태에 빠뜨린다. ({1}초간 지속)</v>
          </cell>
          <cell r="G77" t="str">
            <v>Frostnova hat eine {0} % Chance, das Ziel {1} Sek. lang einzufrieren.</v>
          </cell>
          <cell r="H77" t="str">
            <v>Nova de Givre a {0} % de chances de geler la cible pendant {1} s.</v>
          </cell>
          <cell r="I77" t="str">
            <v>Nova da Geada tem {0}% de chance de congelar o alvo por {1} s.</v>
          </cell>
          <cell r="J77" t="str">
            <v>Nova de la Escarcha tiene un {0}% de probabilidad de congelar al ojetivo {1}s.</v>
          </cell>
        </row>
        <row r="78">
          <cell r="A78">
            <v>7206</v>
          </cell>
          <cell r="B78" t="str">
            <v>暴风雪范围+{0}%</v>
          </cell>
          <cell r="C78" t="str">
            <v>暴风雪范围+{0}%</v>
          </cell>
          <cell r="D78" t="str">
            <v>Snowstorm Range +{0}%</v>
          </cell>
          <cell r="E78" t="str">
            <v>ブリザードの範囲+{0}%</v>
          </cell>
          <cell r="F78" t="str">
            <v>눈보라 범위 +{0}%</v>
          </cell>
          <cell r="G78" t="str">
            <v>Schneesturm-Reichweite +{0} %</v>
          </cell>
          <cell r="H78" t="str">
            <v>Portée de Tempête de Neige +{0} %</v>
          </cell>
          <cell r="I78" t="str">
            <v>Alcance da Nevasca +{0}%</v>
          </cell>
          <cell r="J78" t="str">
            <v>Alcance de Ventisca +{0}%</v>
          </cell>
        </row>
        <row r="79">
          <cell r="A79">
            <v>7207</v>
          </cell>
          <cell r="B79" t="str">
            <v>冰霜新星的范围+{0}%</v>
          </cell>
          <cell r="C79" t="str">
            <v>冰霜新星的范围+{0}%</v>
          </cell>
          <cell r="D79" t="str">
            <v>Frost Nova Range +{0}%</v>
          </cell>
          <cell r="E79" t="str">
            <v>フロストノヴァの範囲+{0}%</v>
          </cell>
          <cell r="F79" t="str">
            <v>아이스 노바 범위 +{0}%</v>
          </cell>
          <cell r="G79" t="str">
            <v>Frostnova-Reichweite +{0} %</v>
          </cell>
          <cell r="H79" t="str">
            <v>Portée de Nova de Givre +{0} %</v>
          </cell>
          <cell r="I79" t="str">
            <v>Alcance da Nova da Geada +{0}%</v>
          </cell>
          <cell r="J79" t="str">
            <v>Alcance de Nova de la Escarcha +{0}%</v>
          </cell>
        </row>
        <row r="80">
          <cell r="A80">
            <v>7208</v>
          </cell>
          <cell r="B80" t="str">
            <v>暴风雪释放时,每次伤害+{0}%</v>
          </cell>
          <cell r="C80" t="str">
            <v>暴风雪释放时,每次伤害+{0}%</v>
          </cell>
          <cell r="D80" t="str">
            <v>When Snowstorm is released, each hit deals {0}% more DMG.</v>
          </cell>
          <cell r="E80" t="str">
            <v>ブリザード発動時、毎回のダメージ+{0}%</v>
          </cell>
          <cell r="F80" t="str">
            <v>눈보라 시전 1회당 피해 +{0}%</v>
          </cell>
          <cell r="G80" t="str">
            <v>Wenn Schneesturm entfesselt wird, verursacht jeder Treffer {0} % mehr Schaden.</v>
          </cell>
          <cell r="H80" t="str">
            <v>Quand Tempête de Neige est lancé, chaque coup inflige {0} % de DÉG en plus.</v>
          </cell>
          <cell r="I80" t="str">
            <v>Quando Nevasca é liberada, cada acerto causa {0}% mais DNO.</v>
          </cell>
          <cell r="J80" t="str">
            <v>Al liberar Ventisca, cada golpe inflige un {0}% más de Daño.</v>
          </cell>
        </row>
        <row r="81">
          <cell r="A81">
            <v>7209</v>
          </cell>
          <cell r="B81" t="str">
            <v>冰晶魔杖命中后,释放冰霜新星,造成攻击{0}%的范围伤害,附加减速效果</v>
          </cell>
          <cell r="C81" t="str">
            <v>冰晶魔杖命中后,释放冰霜新星,造成攻击{0}%的范围伤害,附加减速效果</v>
          </cell>
          <cell r="D81" t="str">
            <v>When the Magic Staff of Ice Crystal hits, it releases Frost Nova, dealing AoE DMG equal to {0}% of ATK and inflicting a slow effect.</v>
          </cell>
          <cell r="E81" t="str">
            <v>氷晶のステッキ命中後、フロストノヴァを発動する：攻撃力{0}%の範囲ダメージを与え、敵を減速させる</v>
          </cell>
          <cell r="F81" t="str">
            <v>아이스 스태프가 대상을 적중할 시, 아이스 노바를 방출하여 공격력의 {0}%에 해당하는 광역 피해를 주고, 감속 효과를 부여한다.</v>
          </cell>
          <cell r="G81" t="str">
            <v>Wenn der Eiskristall-Magiestab trifft, entfesselt er eine Frostnova. Verursacht Flächenschaden in Höhe von {0} % des ANG und fügt Verlangsamen zu.</v>
          </cell>
          <cell r="H81" t="str">
            <v>Quand Bâton Magique de Cristal de Glace touche une cible, il lance Nova de Givre, ce qui inflige des DÉG de Zone à hauteur de {0} % de l’ATQ et applique Lenteur.</v>
          </cell>
          <cell r="I81" t="str">
            <v>Quando o Cajado Mágico do Cristal de Gelo acerta, libera Nova da Geada, causando DNO de Área igual a {0}% do ATQ e infligindo efeito de lentidão.</v>
          </cell>
          <cell r="J81" t="str">
            <v>El Bastón mágico de Cristal libera Nova de la Escarcha al golpear, lo que inflige un {0}% del ATQ como Daño y aplica ralentización.</v>
          </cell>
        </row>
        <row r="82">
          <cell r="A82">
            <v>7210</v>
          </cell>
          <cell r="B82" t="str">
            <v>暴风魔杖攻击时,有{0}%概率释放暴风雪,每{1}秒造成攻击{2}%的伤害,持续{3}秒,附加冰冻减速效果</v>
          </cell>
          <cell r="C82" t="str">
            <v>暴风魔杖攻击时,有{0}%概率释放暴风雪,每{1}秒造成攻击{2}%的伤害,持续{3}秒,附加冰冻减速效果</v>
          </cell>
          <cell r="D82" t="str">
            <v>When the Magic Staff of Storm attacks, there is a {0}% chance to release a Snowstorm, dealing DMG equal to {2}% of ATK every {1}s for {3}s, and inflicting freezing and slow effects.</v>
          </cell>
          <cell r="E82" t="str">
            <v>暴風のステッキ攻撃時、{0}%の確率でブリザードを発動する：{3}秒の間、{1}秒ごとに攻撃力{2}%のダメージを与え、敵を減速させる</v>
          </cell>
          <cell r="F82" t="str">
            <v>스톰 스태프로 공격할 시 {0}% 확률로 눈보라를 방출하여 {1}초마다 공격력의 {2}%에 해당하는 피해를 주고 빙결 감속 효과를 부여한다({3}초간 지속).</v>
          </cell>
          <cell r="G82" t="str">
            <v>Wenn der Magiestab des Sturms angreift, besteht eine {0} % Chance, einen Schneesturm auszulösen. Verursacht {3} Sek. lang alle {1} Sek. Schaden in Höhe von {2} % des ANG und fügt Einfrieren sowie Verlangsamen zu.</v>
          </cell>
          <cell r="H82" t="str">
            <v>Quand le Bâton Magique de Tempête attaque, confère {0} % de chances de lancer une Tempête de Neige, ce qui inflige des DÉG à hauteur de {2} % de l’ATQ toutes les {1} s pendant {3} s, et applique Gel et Lenteur.</v>
          </cell>
          <cell r="I82" t="str">
            <v>Quando Cajado Mágico da Tempestade ataca, há {0}% de chance de liberar uma Nevasca, causando DNO igual a {2}% do ATQ a cada {1} s por {3} s, e infligindo efeitos de congelamento e lentidão.</v>
          </cell>
          <cell r="J82" t="str">
            <v>Cuando el Bastón mágico de la Tormenta ataca hay un {0}% de probabilidad de liberar una Ventisca que inflige un {2}% del ATQ como Daño cada {1}s durante {3}s y aplica congelación y ralentización.</v>
          </cell>
        </row>
        <row r="83">
          <cell r="A83">
            <v>8101</v>
          </cell>
          <cell r="B83" t="str">
            <v>开放合成{0}级,解锁{equip1}和{equip2}</v>
          </cell>
          <cell r="C83" t="str">
            <v>开放合成{0}级,解锁{equip1}和{equip2}</v>
          </cell>
          <cell r="D83" t="str">
            <v>Unlock Merge Lv. {0}, {equip1}, and {equip2}.</v>
          </cell>
          <cell r="E83" t="str">
            <v>マージLv.{0}、{equip1}と{equip2}がアンロック</v>
          </cell>
          <cell r="F83" t="str">
            <v>합성 Lv.{0}, {equip1}, {equip2} 잠금 해제</v>
          </cell>
          <cell r="G83" t="str">
            <v>Schalte Verbindungsstufe {0}, {equip1} und {equip2} frei.</v>
          </cell>
          <cell r="H83" t="str">
            <v>Débloque la Fusion de Niv. {0}, {equip1} et {equip2}.</v>
          </cell>
          <cell r="I83" t="str">
            <v>Desbloqueie Fusão Nv. {0}, {equip1} e {equip2}.</v>
          </cell>
          <cell r="J83" t="str">
            <v>Desbloquear Fusión de Nv.{0}, {equip1} y {equip2}.</v>
          </cell>
        </row>
        <row r="84">
          <cell r="A84">
            <v>8201</v>
          </cell>
          <cell r="B84" t="str">
            <v>魔法药剂中毒伤害+{0}%</v>
          </cell>
          <cell r="C84" t="str">
            <v>魔法药剂中毒伤害+{0}%</v>
          </cell>
          <cell r="D84" t="str">
            <v>Magic Potion Poison DMG +{0}%</v>
          </cell>
          <cell r="E84" t="str">
            <v>魔術ポーションが付与する毒のダメージ+{0}%</v>
          </cell>
          <cell r="F84" t="str">
            <v>마법 포션의 중독 피해 +{0}%</v>
          </cell>
          <cell r="G84" t="str">
            <v>Magietrank-Giftschaden +{0} %</v>
          </cell>
          <cell r="H84" t="str">
            <v>DÉG de Poison de Potion Magique +{0} %</v>
          </cell>
          <cell r="I84" t="str">
            <v>DNO de Poção Mágica de Veneno +{0}%</v>
          </cell>
          <cell r="J84" t="str">
            <v>Daño de Veneno de Poción mágica +{0}%</v>
          </cell>
        </row>
        <row r="85">
          <cell r="A85">
            <v>8202</v>
          </cell>
          <cell r="B85" t="str">
            <v>魔法药剂的速度+{0}%</v>
          </cell>
          <cell r="C85" t="str">
            <v>魔法药剂的速度+{0}%</v>
          </cell>
          <cell r="D85" t="str">
            <v>Magic Potion SPD +{0}%</v>
          </cell>
          <cell r="E85" t="str">
            <v>魔術ポーションの速度+{0}%</v>
          </cell>
          <cell r="F85" t="str">
            <v>마법 포션의 속도 +{0}%</v>
          </cell>
          <cell r="G85" t="str">
            <v>Magietrank-GSW +{0} %</v>
          </cell>
          <cell r="H85" t="str">
            <v>VIT de Potion Magique +{0} %</v>
          </cell>
          <cell r="I85" t="str">
            <v>VEL de Poção Mágica +{0}%</v>
          </cell>
          <cell r="J85" t="str">
            <v>VEL de Poción mágica +{0}%</v>
          </cell>
        </row>
        <row r="86">
          <cell r="A86">
            <v>8203</v>
          </cell>
          <cell r="B86" t="str">
            <v>命中时,对目标周围造成范围伤害,并附加中毒效果</v>
          </cell>
          <cell r="C86" t="str">
            <v>命中时,对目标周围造成范围伤害,并附加中毒效果</v>
          </cell>
          <cell r="D86" t="str">
            <v>Upon hit, deals AoE DMG to the target's surroundings and inflicts a poison effect.</v>
          </cell>
          <cell r="E86" t="str">
            <v>命中後、ターゲット周辺に範囲ダメージを与え、毒状態にする</v>
          </cell>
          <cell r="F86" t="str">
            <v>적중 시 대상 주변에 광역 피해를 입히고, 중독 효과를 부여한다.</v>
          </cell>
          <cell r="G86" t="str">
            <v>Verursacht bei Treffern Flächenschaden um das Ziel herum und fügt Gift zu.</v>
          </cell>
          <cell r="H86" t="str">
            <v>Quand le personnage est touché, inflige des DÉG de Zone aux alentours de la cible et applique Poison.</v>
          </cell>
          <cell r="I86" t="str">
            <v>Ao acertar, causa DNO de Área nas proximidades do alvo e gera efeito de veneno.</v>
          </cell>
          <cell r="J86" t="str">
            <v>Al golpear inflige Daño de AdE alrededor del objetivo y aplica un efecto de veneno.</v>
          </cell>
        </row>
        <row r="87">
          <cell r="A87">
            <v>8204</v>
          </cell>
          <cell r="B87" t="str">
            <v>中毒持续时间+{0}%</v>
          </cell>
          <cell r="C87" t="str">
            <v>中毒持续时间+{0}%</v>
          </cell>
          <cell r="D87" t="str">
            <v>Poison Duration +{0}%</v>
          </cell>
          <cell r="E87" t="str">
            <v>毒の持続時間+{0}%</v>
          </cell>
          <cell r="F87" t="str">
            <v>중독 지속 시간 +{0}%</v>
          </cell>
          <cell r="G87" t="str">
            <v>Giftdauer +{0} %</v>
          </cell>
          <cell r="H87" t="str">
            <v>Durée de Poison +{0} %</v>
          </cell>
          <cell r="I87" t="str">
            <v>Duração de Veneno +{0}%</v>
          </cell>
          <cell r="J87" t="str">
            <v>Duración de Veneno +{0}%</v>
          </cell>
        </row>
        <row r="88">
          <cell r="A88">
            <v>8205</v>
          </cell>
          <cell r="B88" t="str">
            <v>绝望药剂麻痹的减速效果额外-{0}%(最高{1}%)</v>
          </cell>
          <cell r="C88" t="str">
            <v>绝望药剂麻痹的减速效果额外-{0}%(最高{1}%)</v>
          </cell>
          <cell r="D88" t="str">
            <v>Potion of Despair's slow effect -{0}% (up to {1}%)</v>
          </cell>
          <cell r="E88" t="str">
            <v>絶望ポーションの麻痺に影響された敵の移動速度と攻撃速度-{0}%（最大{1}%）</v>
          </cell>
          <cell r="F88" t="str">
            <v>절망 포션의 감속 효과 -{0}%(최대 {1}%)</v>
          </cell>
          <cell r="G88" t="str">
            <v>Trank der Verzweiflung – Verlangsamung -{0} % (bis zu {1} %)</v>
          </cell>
          <cell r="H88" t="str">
            <v>Effet Lenteur de Potion de Désespoir -{0} % (jusqu’à {1} %)</v>
          </cell>
          <cell r="I88" t="str">
            <v>Efeito de lentidão da Poção de Desespero -{0}% (até {1}%)</v>
          </cell>
          <cell r="J88" t="str">
            <v>Ralentización de Poción de la Desesperación -{0}% (hasta {1}%)</v>
          </cell>
        </row>
        <row r="89">
          <cell r="A89">
            <v>8206</v>
          </cell>
          <cell r="B89" t="str">
            <v>狼毒药剂叠毒概率额外{0}%</v>
          </cell>
          <cell r="C89" t="str">
            <v>狼毒药剂叠毒概率额外{0}%</v>
          </cell>
          <cell r="D89" t="str">
            <v>Potion of Wolfsbane stacking chance +{0}%</v>
          </cell>
          <cell r="E89" t="str">
            <v>猛毒ポーションの毒の追加付与確率+{0}%</v>
          </cell>
          <cell r="F89" t="str">
            <v>늑대 포션의 중독 중첩 확률 +{0}%</v>
          </cell>
          <cell r="G89" t="str">
            <v>Eisenhuttrank-Stapelchance +{0} %</v>
          </cell>
          <cell r="H89" t="str">
            <v>Chances de cumul de Potion d’Aconit +{0} %</v>
          </cell>
          <cell r="I89" t="str">
            <v>Chance de se acumular da Poção de Maldição do Lobo +{0}%</v>
          </cell>
          <cell r="J89" t="str">
            <v>Probabilidad de acumulación de Poción lupina +{0}%</v>
          </cell>
        </row>
        <row r="90">
          <cell r="A90">
            <v>8207</v>
          </cell>
          <cell r="B90" t="str">
            <v>绝望药剂麻痹触发概率额外+{0}%</v>
          </cell>
          <cell r="C90" t="str">
            <v>绝望药剂麻痹触发概率额外+{0}%</v>
          </cell>
          <cell r="D90" t="str">
            <v>Potion of Despair's paralysis triggering chance +{0}%</v>
          </cell>
          <cell r="E90" t="str">
            <v>絶望ポーションの麻痺付与確率+{0}%</v>
          </cell>
          <cell r="F90" t="str">
            <v>절망 포션의 마비 발동 확률 +{0}%</v>
          </cell>
          <cell r="G90" t="str">
            <v>Trank der Verzweiflung – Chance auf Lähmung +{0} %</v>
          </cell>
          <cell r="H90" t="str">
            <v>Chances de déclencher l’effet Paralysie de Potion du Désespoir +{0} %</v>
          </cell>
          <cell r="I90" t="str">
            <v>Chance de ativar paralisia da Poção de Desespero +{0}%</v>
          </cell>
          <cell r="J90" t="str">
            <v>Probabilidad de activar parálisis de Poción de la Desesperación +{0}%</v>
          </cell>
        </row>
        <row r="91">
          <cell r="A91">
            <v>8208</v>
          </cell>
          <cell r="B91" t="str">
            <v>狼毒药剂造成的中毒伤害间隔-{0}%</v>
          </cell>
          <cell r="C91" t="str">
            <v>狼毒药剂造成的中毒伤害间隔-{0}%</v>
          </cell>
          <cell r="D91" t="str">
            <v>Potion of Wolfsbane's poison DMG interval -{0}%</v>
          </cell>
          <cell r="E91" t="str">
            <v>猛毒ポーションが付与する毒のダメージ間隔-{0}%</v>
          </cell>
          <cell r="F91" t="str">
            <v>늑대 포션에 의한 중독 피해 부여 간격 -{0}%</v>
          </cell>
          <cell r="G91" t="str">
            <v>Eisenhuttrank – Giftschaden-Intervall -{0} %</v>
          </cell>
          <cell r="H91" t="str">
            <v>Intervalle des DÉG de Poison de Potion d’Aconit -{0} %</v>
          </cell>
          <cell r="I91" t="str">
            <v>Intervalo de DNO de veneno da Poção de Maldição do Lobo -{0}%</v>
          </cell>
          <cell r="J91" t="str">
            <v>Intervalo de Daño de veneno de Poción lupina -{0}%</v>
          </cell>
        </row>
        <row r="92">
          <cell r="A92">
            <v>8209</v>
          </cell>
          <cell r="B92" t="str">
            <v>绝望药剂命中后,有{0}%概率使目标麻痹,移速、攻速-{1}%，{2}秒内麻痹效果逐渐恢复正常</v>
          </cell>
          <cell r="C92" t="str">
            <v>绝望药剂命中后,有{0}%概率使目标麻痹,移速、攻速-{1}%，{2}秒内麻痹效果逐渐恢复正常</v>
          </cell>
          <cell r="D92" t="str">
            <v>When Potion of Despair hits, there is a {0}% chance to paralyze the target, reducing Moving SPD and ATK SPD by {1}%, with the paralysis effect gradually recovering to normal within {2}s.</v>
          </cell>
          <cell r="E92" t="str">
            <v>絶望ポーション命中後、{0}%の確率でターゲットを麻痺にする（麻痺：移動速度と攻撃速度-{1}%。麻痺の効果は{2}秒内に徐々に減衰する）</v>
          </cell>
          <cell r="F92" t="str">
            <v>절망 포션이 대상을 적중할 시 {0}% 확률로 대상을 마비시켜 이동 속도, 공격 속도를 {1}%씩 감소시키며, 마비 효과는 {2}초 동안 서서히 회복된다.</v>
          </cell>
          <cell r="G92" t="str">
            <v>Wenn Trank der Verzweiflung trifft, besteht eine {0} % Chance, das Ziel zu lähmen. Verringert Bewegungs- und ANG-Geschwindigkeit um {1} %, wobei der Lähmungseffekt innerhalb von {2} Sek. abnimmt.</v>
          </cell>
          <cell r="H92" t="str">
            <v>Quand Potion de Désespoir touche une cible, confère {0} % de chances d’appliquer Paralysie à celle-ci, ce qui réduit sa VIT de Déplacement et d’ATQ de {1} %. L’effet Paralysie se dissipe progressivement en {2} s.</v>
          </cell>
          <cell r="I92" t="str">
            <v>Quando Poção de Desespero acerta, há {0}% de chance de paralisar o alvo, reduzindo a VEL de Movimento e VEL de ATQ em {1}%, com efeito de paralisia gradualmente recuperando normalidade dentro de {2} s.</v>
          </cell>
          <cell r="J92" t="str">
            <v>Poción de la Desesperación tiene un {0}% de probabilidad de paralizar al objetivo al golpear, lo que reduce un {1}% la VEL de Movimiento y la VEL de ATQ. La parálisis recupera la normalidad poco a poco en {2}s.</v>
          </cell>
        </row>
        <row r="93">
          <cell r="A93">
            <v>8210</v>
          </cell>
          <cell r="B93" t="str">
            <v>狼毒药剂造成中毒效果时,有{0}%概率可以额外叠加3层中毒</v>
          </cell>
          <cell r="C93" t="str">
            <v>狼毒药剂造成中毒效果时,有{0}%概率可以额外叠加3层中毒</v>
          </cell>
          <cell r="D93" t="str">
            <v>When Potion of Wolfsbane inflicts a poison effect, there is a {0}% chance to stack an additional 3 layers of poison.</v>
          </cell>
          <cell r="E93" t="str">
            <v>猛毒ポーションが毒を付与する時、{0}%の確率で追加の3スタックの毒を付与できる</v>
          </cell>
          <cell r="F93" t="str">
            <v>늑대 포션으로 중독 효과를 부여할 시 {0}% 확률로 중독 효과를 3스택 추가 중첩시킨다.</v>
          </cell>
          <cell r="G93" t="str">
            <v>Wenn Eisenhuttrank Gift zufügt, besteht eine {0} % Chance, dass sich weitere drei Stapel von Gift ansammeln.</v>
          </cell>
          <cell r="H93" t="str">
            <v>Quand Potion d’Aconit applique Poison, confère {0} % de chances d’appliquer 3 cumuls supplémentaires de Poison.</v>
          </cell>
          <cell r="I93" t="str">
            <v>Quando Poção de Maldição do Lobo inflige um efeito de veneno, há {0}% de chance de acumular 3 camadas extras de veneno.</v>
          </cell>
          <cell r="J93" t="str">
            <v>Poción lupina tiene un {0}% de probabilidad de acumular 3 capas adicionales al aplicar el efecto de veneno.</v>
          </cell>
        </row>
        <row r="94">
          <cell r="A94">
            <v>11101</v>
          </cell>
          <cell r="B94" t="str">
            <v>开放合成{0}级,解锁{equip1}和{equip2}</v>
          </cell>
          <cell r="C94" t="str">
            <v>开放合成{0}级,解锁{equip1}和{equip2}</v>
          </cell>
          <cell r="D94" t="str">
            <v>Unlock Merge Lv. {0}, {equip1}, and {equip2}.</v>
          </cell>
          <cell r="E94" t="str">
            <v>マージLv.{0}、{equip1}と{equip2}がアンロック</v>
          </cell>
          <cell r="F94" t="str">
            <v>합성 Lv.{0}, {equip1}, {equip2} 잠금 해제</v>
          </cell>
          <cell r="G94" t="str">
            <v>Schalte Verbindungsstufe {0}, {equip1} und {equip2} frei.</v>
          </cell>
          <cell r="H94" t="str">
            <v>Débloque la Fusion de Niv. {0}, {equip1} et {equip2}.</v>
          </cell>
          <cell r="I94" t="str">
            <v>Desbloqueie Fusão Nv. {0}, {equip1} e {equip2}.</v>
          </cell>
          <cell r="J94" t="str">
            <v>Desbloquear Fusión de Nv.{0}, {equip1} y {equip2}.</v>
          </cell>
        </row>
        <row r="95">
          <cell r="A95">
            <v>11201</v>
          </cell>
          <cell r="B95" t="str">
            <v>每攻击{0}次后,进行蓄力,下次攻击时附带回旋效果</v>
          </cell>
          <cell r="C95" t="str">
            <v>每攻击{0}次后,进行蓄力,下次攻击时附带回旋效果</v>
          </cell>
          <cell r="D95" t="str">
            <v>After every {0} attacks, accumulates strength and inflicts whirling effect upon the next attack.</v>
          </cell>
          <cell r="E95" t="str">
            <v>{0}回攻撃するごとに力を蓄積し、次の攻撃に回転効果が発動される</v>
          </cell>
          <cell r="F95" t="str">
            <v>{0}번 공격할 때마다 차징하고, 다음 공격 시 추가로 소용돌이 효과를 가한다.</v>
          </cell>
          <cell r="G95" t="str">
            <v>Sammelt nach jeweils {0} Angriffen die Kräfte und fügt mit dem nächsten Angriff Wirbeln zu.</v>
          </cell>
          <cell r="H95" t="str">
            <v>Toutes les {0} attaques, accumule de l’énergie et applique un Tourbillon sur sa prochaine attaque.</v>
          </cell>
          <cell r="I95" t="str">
            <v>Após cada {0} ataques, acumula força e gera efeito de rodopio no ataque seguinte.</v>
          </cell>
          <cell r="J95" t="str">
            <v>Acumula fuerza y aplica un efecto de torbellino cada vez que realiza {0} ataques.</v>
          </cell>
        </row>
        <row r="96">
          <cell r="A96">
            <v>11202</v>
          </cell>
          <cell r="B96" t="str">
            <v>每次攻击都发动蓄力回旋</v>
          </cell>
          <cell r="C96" t="str">
            <v>每次攻击都发动蓄力回旋</v>
          </cell>
          <cell r="D96" t="str">
            <v>Accumulates strength and inflicts whirling effect upon each attack.</v>
          </cell>
          <cell r="E96" t="str">
            <v>攻撃する度にチャージ回転効果が発動される</v>
          </cell>
          <cell r="F96" t="str">
            <v>공격할 때마다 차징 소용돌이 효과를 발동한다.</v>
          </cell>
          <cell r="G96" t="str">
            <v>Sammelt bei jedem Angriff die Kräfte und fügt Wirbeln zu.</v>
          </cell>
          <cell r="H96" t="str">
            <v>Accumule de l’énergie et applique un Tourbillon sur chaque attaque.</v>
          </cell>
          <cell r="I96" t="str">
            <v>Acumula força e gera efeito de rodopio a cada ataque.</v>
          </cell>
          <cell r="J96" t="str">
            <v>Acumula fuerza y aplica un efecto de torbellino en cada ataque.</v>
          </cell>
        </row>
        <row r="97">
          <cell r="A97">
            <v>11203</v>
          </cell>
          <cell r="B97" t="str">
            <v>回响之刃最大飞行距离+{0}%</v>
          </cell>
          <cell r="C97" t="str">
            <v>回响之刃最大飞行距离+{0}%</v>
          </cell>
          <cell r="D97" t="str">
            <v>Echo Blade's Max Flying Range +{0}%</v>
          </cell>
          <cell r="E97" t="str">
            <v>エコーブレードの最大飛行距離+{0}%</v>
          </cell>
          <cell r="F97" t="str">
            <v>에코 블레이드의 최대 비행 거리 +{0}%</v>
          </cell>
          <cell r="G97" t="str">
            <v>Echoklinge – max. Flug-Reichweite +{0} %</v>
          </cell>
          <cell r="H97" t="str">
            <v>Portée Max. de Lame d’Écho +{0} %</v>
          </cell>
          <cell r="I97" t="str">
            <v>Alcance de Voo Máx. da Lâmina do Eco +{0}%</v>
          </cell>
          <cell r="J97" t="str">
            <v>Alcance de Vuelo máximo de Cuchilla de Eco +{0}%</v>
          </cell>
        </row>
        <row r="98">
          <cell r="A98">
            <v>11204</v>
          </cell>
          <cell r="B98" t="str">
            <v>回响之刃攻击时额外射出{0}枚回响之刃</v>
          </cell>
          <cell r="C98" t="str">
            <v>回响之刃攻击时额外射出{0}枚回响之刃</v>
          </cell>
          <cell r="D98" t="str">
            <v>When Echo Blade attacks, throws {0} extra Echo Blades.</v>
          </cell>
          <cell r="E98" t="str">
            <v>エコーブレード攻撃時、追加でエコーブレードを{0}本放つ</v>
          </cell>
          <cell r="F98" t="str">
            <v>에코 블레이드로 공격할 시, 추가로 {0}개의 에코 블레이드를 던진다.</v>
          </cell>
          <cell r="G98" t="str">
            <v>Wirft bei Angriffen mit der Echoklinge {0} weitere Echoklingen.</v>
          </cell>
          <cell r="H98" t="str">
            <v>Quand Lame d’Écho attaque, lance {0} Lames d’Écho en plus.</v>
          </cell>
          <cell r="I98" t="str">
            <v>Quando Lâmina do Eco ataca, arremessa {0} Lâminas do Eco extras.</v>
          </cell>
          <cell r="J98" t="str">
            <v>Cuchilla de Eco lanza {0} Cuchillas de Eco adicionales al atacar.</v>
          </cell>
        </row>
        <row r="99">
          <cell r="A99">
            <v>11205</v>
          </cell>
          <cell r="B99" t="str">
            <v>背包内每有1件地元素装备，地之回响攻速+{0}%</v>
          </cell>
          <cell r="C99" t="str">
            <v>背包内每有1件地元素装备，地之回响攻速+{0}%</v>
          </cell>
          <cell r="D99" t="str">
            <v>For every 1 Earth equipment in the backpack, Echo of Earth ATK SPD +{0}%.</v>
          </cell>
          <cell r="E99" t="str">
            <v>バックパックに地属性の装備品が1つあるごとに、土のエコーの攻撃速度+{0}%</v>
          </cell>
          <cell r="F99" t="str">
            <v>배낭에 있는 땅 원소 장비 1개당 땅의 메아리의 공격 속도 +{0}%</v>
          </cell>
          <cell r="G99" t="str">
            <v>Pro Erd-Ausrüstungsgegenstand im Rucksack, ANG-GSW von Echo der Erde: +{0} %</v>
          </cell>
          <cell r="H99" t="str">
            <v>Pour chaque équipement de Terre dans le sac, DÉG d’Écho de la Terre +{0} %.</v>
          </cell>
          <cell r="I99" t="str">
            <v>Para cada 1 equipamento da Terra na mochila, VEL ATQ de Eco da Terra +{0}%.</v>
          </cell>
          <cell r="J99" t="str">
            <v>VEL de ATQ de Eco de la Tierra +{0}% por cada 1 equipamiento de Tierra en el inventario.</v>
          </cell>
        </row>
        <row r="100">
          <cell r="A100">
            <v>11206</v>
          </cell>
          <cell r="B100" t="str">
            <v>水之回响附加减移速、减攻速效果额外-{0}%</v>
          </cell>
          <cell r="C100" t="str">
            <v>水之回响附加减移速、减攻速效果额外-{0}%</v>
          </cell>
          <cell r="D100" t="str">
            <v>Moving SPD Down and ATK SPD Down effects inflicted by Echo of Water -{0}%.</v>
          </cell>
          <cell r="E100" t="str">
            <v>水のエコーは追加で移動速度と攻撃速度-{0}%</v>
          </cell>
          <cell r="F100" t="str">
            <v>물의 메아리는 추가로 이동 속도 감소 효과(공격 속도 -{0}%)를 부여한다.</v>
          </cell>
          <cell r="G100" t="str">
            <v>Von Echo des Wassers zugefügte Verlangsamungseffekte auf Bewegungsgeschwindigkeit und ANG-GSW: -{0} %.</v>
          </cell>
          <cell r="H100" t="str">
            <v>Effets Baisse de la VIT et Baisse de la VIT d’ATQ appliqués par Écho de l’Eau -{0} %.</v>
          </cell>
          <cell r="I100" t="str">
            <v>Efeitos de Reduções de VEL de Movimento e VEL ATQ geradas por Eco da Água -{0}%.</v>
          </cell>
          <cell r="J100" t="str">
            <v>Efectos de reducción de VEL de Movimiento y VEL de ATQ aplicados por Eco del Agua -{0}%.</v>
          </cell>
        </row>
        <row r="101">
          <cell r="A101">
            <v>11207</v>
          </cell>
          <cell r="B101" t="str">
            <v>背包内每有1件地元素装备，地之回响暴击+{0}%</v>
          </cell>
          <cell r="C101" t="str">
            <v>背包内每有1件地元素装备，地之回响暴击+{0}%</v>
          </cell>
          <cell r="D101" t="str">
            <v>For every 1 Earth equipment in the backpack, Echo of Earth Crit +{0}%.</v>
          </cell>
          <cell r="E101" t="str">
            <v>バックパックに地属性の装備品が1つあるごとに、土のエコーの会心率+{0}%</v>
          </cell>
          <cell r="F101" t="str">
            <v>배낭에 있는 땅 원소 장비 1개당 땅의 메아리의 치명타율 +{0}%</v>
          </cell>
          <cell r="G101" t="str">
            <v>Pro Erd-Ausrüstungsgegenstand im Rucksack, Krit. von Echo der Erde: +{0} %</v>
          </cell>
          <cell r="H101" t="str">
            <v>Pour chaque équipement de Terre dans le sac, Crit d’Écho de la Terre +{0} %.</v>
          </cell>
          <cell r="I101" t="str">
            <v>Para cada 1 equipamento da Terra na mochila, CRÍT de Eco da Terra +{0}%.</v>
          </cell>
          <cell r="J101" t="str">
            <v>Crit de Eco de la Tierra +{0}% por cada 1 equipamiento de Tierra en el inventario.</v>
          </cell>
        </row>
        <row r="102">
          <cell r="A102">
            <v>11208</v>
          </cell>
          <cell r="B102" t="str">
            <v>水之回响对冰冻减速目标伤害+{0}%，对冻结目标伤害+{1}%</v>
          </cell>
          <cell r="C102" t="str">
            <v>水之回响对冰冻减速目标伤害+{0}%，对冻结目标伤害+{1}%</v>
          </cell>
          <cell r="D102" t="str">
            <v>DMG dealt by Echo of Water to the targets with freezing and slow effects +{0}%, to the frozen targets +{1}%.</v>
          </cell>
          <cell r="E102" t="str">
            <v>水のエコーが減速状態のターゲットに与えるダメージ+{0}%、凍結状態のターゲットに与えるダメージ+{1}%</v>
          </cell>
          <cell r="F102" t="str">
            <v>물의 메아리가 빙결 감속 상태의 대상에 주는 피해 +{0}%, 동결 상태의 대상에 주는 피해 +{1}%</v>
          </cell>
          <cell r="G102" t="str">
            <v>Ausgeteilter Schaden von Echo des Wassers an Ziele mit Einfrier- und Verlangsamungseffekte: +{0} %, an eingefrorene Ziele +{1} %.</v>
          </cell>
          <cell r="H102" t="str">
            <v>DÉG infligés par Écho de l’Eau aux cibles affectées par Gel et Lenteur +{0} %, et aux cibles gelées +{1} %.</v>
          </cell>
          <cell r="I102" t="str">
            <v>DNO causado por Eco da Água a alvos com efeitos de congelamento e lentidão +{0}%; a alvos congelados +{1}%.</v>
          </cell>
          <cell r="J102" t="str">
            <v>Daño infligido por Eco del Agua a objetivos congelados o ralentizados +{0}%. A los objetivos congelados +{1}%.</v>
          </cell>
        </row>
        <row r="103">
          <cell r="A103">
            <v>11209</v>
          </cell>
          <cell r="B103" t="str">
            <v>背包内每有1件其他回响之刃，地之回响自身大小+{0}%</v>
          </cell>
          <cell r="C103" t="str">
            <v>背包内每有1件其他回响之刃，地之回响自身大小+{0}%</v>
          </cell>
          <cell r="D103" t="str">
            <v>For every 1 Echo Blade of another type in the backpack, Echo of Earth Size +{0}%.</v>
          </cell>
          <cell r="E103" t="str">
            <v>バックパックに他のエコーブレードが1つあるごとに、土のエコーのサイズ+{0}%</v>
          </cell>
          <cell r="F103" t="str">
            <v>배낭에 있는 다른 에코 블레이드 1개당 땅의 메아리의 크기 +{0}%</v>
          </cell>
          <cell r="G103" t="str">
            <v>Pro 1 Echoklinge eines anderen Typs im Rucksack, Größe von Echo der Erde +{0} %.</v>
          </cell>
          <cell r="H103" t="str">
            <v>Pour chaque Lame d’Écho d’un autre type dans le sac, Taille d’Écho de la Terre +{0} %.</v>
          </cell>
          <cell r="I103" t="str">
            <v>Para cada 1 Lâmina do Eco de outro tipo na mochila, Tamanho de Eco da Terra +{0}%.</v>
          </cell>
          <cell r="J103" t="str">
            <v>Tamaño de Eco de la Tierra +{0}% por cada 1 Cuchilla de Eco o de otro tipo en el inventario.</v>
          </cell>
        </row>
        <row r="104">
          <cell r="A104">
            <v>11210</v>
          </cell>
          <cell r="B104" t="str">
            <v>水之回响造成伤害时，有{0}%概率使目标附加冰冻减速，移速攻速-{1}%，持续{2}秒</v>
          </cell>
          <cell r="C104" t="str">
            <v>水之回响造成伤害时，有{0}%概率使目标附加冰冻减速，移速攻速-{1}%，持续{2}秒</v>
          </cell>
          <cell r="D104" t="str">
            <v>When Echo of Water deals DMG, there is a {0}% chance of inflicting freezing and slow effects, Moving SPD and ATK SPD -{1}%, lasting for {2}s.</v>
          </cell>
          <cell r="E104" t="str">
            <v>水のエコーがダメージを与える時、{0}%の確率敵を減速させる（{2}秒間、移動速度と攻撃速度-{1}%）</v>
          </cell>
          <cell r="F104" t="str">
            <v>물의 메아리로 피해를 줄 시, {0}% 확률로 대상에게 빙결 감속 효과를 부여해 {2}초 동안 이동 속도, 공격 속도를 {1}% 감소시킨다.</v>
          </cell>
          <cell r="G104" t="str">
            <v>Wenn Echo des Wassers Schaden zufügt, besteht eine Chance von {0} %, dass es Einfrier- und Verlangsamungseffekte verursacht, Bewegungsgeschwindigkeit und ANG-GSW -{1} % halten {2} Sekunden lang an.</v>
          </cell>
          <cell r="H104" t="str">
            <v>Quand Écho de l’Eau inflige des DÉG, confère {0} % de chances d’appliquer Gel et Lenteur, VIT de Déplacement et VIT d’ATQ -{1} %. Cet effet dure {2} s.</v>
          </cell>
          <cell r="I104" t="str">
            <v>Quando Eco da Água causa DNO, há {0}% de chance de gerar efeitos de congelamento e lentidão; VEL de Movimento e VEL ATQ -{1}%, durando {2} s.</v>
          </cell>
          <cell r="J104" t="str">
            <v>Cuando Eco del Agua inflige Daño hay un {0}% de probabilidad de congelar y ralentizar, lo que reduce un {1}% la VEL de Movimiento y la VEL de ATQ {2}s.</v>
          </cell>
        </row>
        <row r="105">
          <cell r="A105">
            <v>12101</v>
          </cell>
          <cell r="B105" t="str">
            <v>开放合成{0}级,解锁{equip1}和{equip2}</v>
          </cell>
          <cell r="C105" t="str">
            <v>开放合成{0}级,解锁{equip1}和{equip2}</v>
          </cell>
          <cell r="D105" t="str">
            <v>Unlock Merge Lv. {0}, {equip1}, and {equip2}.</v>
          </cell>
          <cell r="E105" t="str">
            <v>マージLv.{0}、{equip1}と{equip2}がアンロック</v>
          </cell>
          <cell r="F105" t="str">
            <v>합성 Lv.{0}, {equip1}, {equip2} 잠금 해제</v>
          </cell>
          <cell r="G105" t="str">
            <v>Schalte Verbindungsstufe {0}, {equip1} und {equip2} frei.</v>
          </cell>
          <cell r="H105" t="str">
            <v>Débloque la Fusion de Niv. {0}, {equip1} et {equip2}.</v>
          </cell>
          <cell r="I105" t="str">
            <v>Desbloqueie Fusão Nv. {0}, {equip1} e {equip2}.</v>
          </cell>
          <cell r="J105" t="str">
            <v>Desbloquear Fusión de Nv.{0}, {equip1} y {equip2}.</v>
          </cell>
        </row>
        <row r="106">
          <cell r="A106">
            <v>12201</v>
          </cell>
          <cell r="B106" t="str">
            <v>地精头斧大小+{0}%</v>
          </cell>
          <cell r="C106" t="str">
            <v>地精头斧大小+{0}%</v>
          </cell>
          <cell r="D106" t="str">
            <v>Goblin Axe Size +{0}%</v>
          </cell>
          <cell r="E106" t="str">
            <v>ゴブリンアックスのサイズ+{0}%</v>
          </cell>
          <cell r="F106" t="str">
            <v>고블린 도끼 크기 +{0}%</v>
          </cell>
          <cell r="G106" t="str">
            <v>Goblinaxt-Größe +{0} %</v>
          </cell>
          <cell r="H106" t="str">
            <v>Taille de Hache Gobeline +{0} %</v>
          </cell>
          <cell r="I106" t="str">
            <v>Tamanho do Machado de Goblin +{0}%</v>
          </cell>
          <cell r="J106" t="str">
            <v>Tamaño de Hacha de Goblin +{0}%</v>
          </cell>
        </row>
        <row r="107">
          <cell r="A107">
            <v>12202</v>
          </cell>
          <cell r="B107" t="str">
            <v>地精头斧命中后,{0}%概率使目标附加物理重伤:受到物理伤害时,伤害+{1}%,持续{2}秒</v>
          </cell>
          <cell r="C107" t="str">
            <v>地精头斧命中后,{0}%概率使目标附加物理重伤:受到物理伤害时,伤害+{1}%,持续{2}秒</v>
          </cell>
          <cell r="D107" t="str">
            <v>After Goblin Axe hits a target, there is a {0}% chance of inflicting physical wound: when taking physical DMG, DMG +{1}% for {2}s.</v>
          </cell>
          <cell r="E107" t="str">
            <v>ゴブリンアックス命中後、{0}%の確率で対象の敵に物理重傷を付与する（物理ダメージを受けた時、{2}秒間の被ダメージ+{1}%）</v>
          </cell>
          <cell r="F107" t="str">
            <v>고블린 도끼가 대상을 적중할 시 {0}% 확률로 물리 중상 효과를 부여할 수 있다. 물리 중상: 받는 물리 피해 +{1}%({2}초간 지속)</v>
          </cell>
          <cell r="G107" t="str">
            <v>Nachdem Goblinaxt ein Ziel trifft, besteht eine {0} % Chance, dass das Ziel eine körperliche Wunde erleidet: {2} Sek. lang +{1} % erlittener körperlicher Schaden.</v>
          </cell>
          <cell r="H107" t="str">
            <v>Après que Hache Gobeline a touché une cible, confère {0} % de chances d’appliquer Blessure physique : quand des DÉG physiques sont subis, DÉG +{1} % pendant {2} s.</v>
          </cell>
          <cell r="I107" t="str">
            <v>Depois que Machado de Goblin acerta um alvo, há {0}% de chance de infligir ferimento físico: ao receber DNO físico, DNO +{1}% por {2} s.</v>
          </cell>
          <cell r="J107" t="str">
            <v>Hay un {0}% de probabilidad de aplicar heridas físicas cuando Hacha de Goblin golpea a un objetivo: Daño +{1}% durante {2}s al recibir Daño físico.</v>
          </cell>
        </row>
        <row r="108">
          <cell r="A108">
            <v>12203</v>
          </cell>
          <cell r="B108" t="str">
            <v>地精头斧最大飞行距离+{0}%</v>
          </cell>
          <cell r="C108" t="str">
            <v>地精头斧最大飞行距离+{0}%</v>
          </cell>
          <cell r="D108" t="str">
            <v>Goblin Axe's Max Flying Range +{0}%</v>
          </cell>
          <cell r="E108" t="str">
            <v>ゴブリンアックスの最大飛行距離+{0}%</v>
          </cell>
          <cell r="F108" t="str">
            <v>고블린 도끼의 최대 비행 거리 +{0}%</v>
          </cell>
          <cell r="G108" t="str">
            <v>Goblinaxt – max. Flug-Reichweite +{0} %</v>
          </cell>
          <cell r="H108" t="str">
            <v>Portée Max. de Hache Gobeline +{0} %</v>
          </cell>
          <cell r="I108" t="str">
            <v>Alcance de Voo Máx. do Machado de Goblin +{0}%</v>
          </cell>
          <cell r="J108" t="str">
            <v>Alcance de Vuelo máximo de Hacha de Goblin +{0}%</v>
          </cell>
        </row>
        <row r="109">
          <cell r="A109">
            <v>12204</v>
          </cell>
          <cell r="B109" t="str">
            <v>地精头斧对物理重伤的敌人,暴击率+{0}%</v>
          </cell>
          <cell r="C109" t="str">
            <v>地精头斧对物理重伤的敌人,暴击率+{0}%</v>
          </cell>
          <cell r="D109" t="str">
            <v>Goblin Axe Crit on enemies with physical wound +{0}%</v>
          </cell>
          <cell r="E109" t="str">
            <v>ゴブリンアックスが物理重傷状態の敵を攻撃時、会心率+{0}%</v>
          </cell>
          <cell r="F109" t="str">
            <v>고블린 도끼가 물리 중상 상태의 적에 대한 치명타율 +{0}%</v>
          </cell>
          <cell r="G109" t="str">
            <v>Goblinaxt-Krit. bei Gegnern mit körperliche Wunde +{0} %</v>
          </cell>
          <cell r="H109" t="str">
            <v>Crit de Hache Gobeline sur les ennemis avec Blessure physique +{0} %</v>
          </cell>
          <cell r="I109" t="str">
            <v>CRÍT do Machado de Goblin em inimigos com ferimento físico +{0}%</v>
          </cell>
          <cell r="J109" t="str">
            <v>Crit de Hacha de Goblin a enemigos con heridas físicas +{0}%</v>
          </cell>
        </row>
        <row r="110">
          <cell r="A110">
            <v>12205</v>
          </cell>
          <cell r="B110" t="str">
            <v>四周每有1件防具时，大地之斧叠盾值+{0}%</v>
          </cell>
          <cell r="C110" t="str">
            <v>四周每有1件防具时，大地之斧叠盾值+{0}%</v>
          </cell>
          <cell r="D110" t="str">
            <v>Axe of Earth Shield value +{0}% for every 1 armor around.</v>
          </cell>
          <cell r="E110" t="str">
            <v>周りに防具が1件あるごとに、アースアックスのシールド+{0}%</v>
          </cell>
          <cell r="F110" t="str">
            <v>주변에 있는 방어구 1개당 대지의 도끼의 실드 +{0}%</v>
          </cell>
          <cell r="G110" t="str">
            <v>Axt der Erde: Schildwert +{0} % pro vorhandenen Rüstungsgegenstand.</v>
          </cell>
          <cell r="H110" t="str">
            <v>Valeur du Bouclier de Hache de Terre +{0} % pour chaque Armure adjacente.</v>
          </cell>
          <cell r="I110" t="str">
            <v>Valor de Escudo do Machado da Terra +{0}% para cada 1 armadura ao redor.</v>
          </cell>
          <cell r="J110" t="str">
            <v>Escudo de Hacha de Tierra +{0}% por cada 1 armadura alrededor.</v>
          </cell>
        </row>
        <row r="111">
          <cell r="A111">
            <v>12206</v>
          </cell>
          <cell r="B111" t="str">
            <v>黑暗之斧的暴伤+{0}%</v>
          </cell>
          <cell r="C111" t="str">
            <v>黑暗之斧的暴伤+{0}%</v>
          </cell>
          <cell r="D111" t="str">
            <v>Axe of Darkness Crit DMG +{0}%</v>
          </cell>
          <cell r="E111" t="str">
            <v>ダークアックスの会心ダメージ+{0}%</v>
          </cell>
          <cell r="F111" t="str">
            <v>어둠의 도끼의 치명타 피해 +{0}%</v>
          </cell>
          <cell r="G111" t="str">
            <v>Axt der Dunkelheit: Krit.-Schaden +{0} %</v>
          </cell>
          <cell r="H111" t="str">
            <v>DÉG Crit de Hache de Ténèbres +{0} %</v>
          </cell>
          <cell r="I111" t="str">
            <v>DNO CRÍT de Machado das Trevas +{0}%</v>
          </cell>
          <cell r="J111" t="str">
            <v>Daño Crit de Hacha de Oscuridad +{0}%</v>
          </cell>
        </row>
        <row r="112">
          <cell r="A112">
            <v>12207</v>
          </cell>
          <cell r="B112" t="str">
            <v>满血时，大地之斧攻速+{0}%</v>
          </cell>
          <cell r="C112" t="str">
            <v>满血时，大地之斧攻速+{0}%</v>
          </cell>
          <cell r="D112" t="str">
            <v>Axe of Earth ATK SPD +{0}% when HP is full.</v>
          </cell>
          <cell r="E112" t="str">
            <v>全快時、アースアックスの攻撃速度+{0}%</v>
          </cell>
          <cell r="F112" t="str">
            <v>최대 HP 상태에서 대지의 도끼의 공격 속도 +{0}%</v>
          </cell>
          <cell r="G112" t="str">
            <v>Axt der Erde: ANG-GSW +{0} %, wenn LP voll sind.</v>
          </cell>
          <cell r="H112" t="str">
            <v>VIT ATQ de Hache de Terre +{0} % quand les PV sont au max.</v>
          </cell>
          <cell r="I112" t="str">
            <v>VEL ATQ do Machado da Terra +{0}% quando o PV está cheio.</v>
          </cell>
          <cell r="J112" t="str">
            <v>VEL de ATQ de Hacha de Tierra +{0}% cuando los PS están al máximo.</v>
          </cell>
        </row>
        <row r="113">
          <cell r="A113">
            <v>12208</v>
          </cell>
          <cell r="B113" t="str">
            <v>血量&lt;{0}%时，黑暗之斧吸血概率+{1}%</v>
          </cell>
          <cell r="C113" t="str">
            <v>血量&lt;{0}%时，黑暗之斧吸血概率+{1}%</v>
          </cell>
          <cell r="D113" t="str">
            <v>When HP is under {0}%, Axe of Darkness Leech chance +{1}%</v>
          </cell>
          <cell r="E113" t="str">
            <v>HPが{0}%を下回っている間、ダークアックスのHP吸収確率+{1}%</v>
          </cell>
          <cell r="F113" t="str">
            <v>HP가 {0}% 미만일 시, 어둠의 도끼의 흡혈 확률 +{1}%</v>
          </cell>
          <cell r="G113" t="str">
            <v>Wenn LP unter {0} % liegen, Raubchance von Axt der Dunkelheit +{1} %</v>
          </cell>
          <cell r="H113" t="str">
            <v>Quand les PV sont inférieurs à {0} %, chances de Sangsue de Hache de Ténèbres +{1} %</v>
          </cell>
          <cell r="I113" t="str">
            <v>Quando o PV está abaixo de {0}%, chance de Explorar do Machado das Trevas +{1}%</v>
          </cell>
          <cell r="J113" t="str">
            <v>Probabilidad de Drenaje de Hacha de Oscuridad +{1}% cuando los PS bajan del {0}%</v>
          </cell>
        </row>
        <row r="114">
          <cell r="A114">
            <v>12209</v>
          </cell>
          <cell r="B114" t="str">
            <v>大地之斧命中时，有{0}%概率叠盾，增加大地之斧造成伤害的{1}%的护盾值</v>
          </cell>
          <cell r="C114" t="str">
            <v>大地之斧命中时，有{0}%概率叠盾，增加大地之斧造成伤害的{1}%的护盾值</v>
          </cell>
          <cell r="D114" t="str">
            <v>When Axe of Earth hits, there is a {0}% chance to get Shield equal to {1}% of DMG dealt by Axe of Earth.</v>
          </cell>
          <cell r="E114" t="str">
            <v>アースアックス命中後、{0}%の確率でアースアックスの与ダメージの{1}%のシールドを得る</v>
          </cell>
          <cell r="F114" t="str">
            <v>대지의 도끼가 대상을 적중할 시, {0}% 확률로 실드를 부여하고, 실드량이 대지의 도끼가 준 피해의 {1}%만큼 증가한다.</v>
          </cell>
          <cell r="G114" t="str">
            <v>Wenn Axt der Erde trifft, besteht eine Chance von {0} %, Schildwert in Höhe von {1} % des von Axt der Erde zugefügten Schadens zu erhalten.</v>
          </cell>
          <cell r="H114" t="str">
            <v>Quand Hache de Terre touche une cible, confère {0} % de chances d’obtenir un Bouclier à hauteur de {1} % des DÉG infligés par Hache de Terre.</v>
          </cell>
          <cell r="I114" t="str">
            <v>Quando Machado da Terra acerta, há {0}% de chance de obter Escudo igual a {1}% do DNO causado por Machado da Terra.</v>
          </cell>
          <cell r="J114" t="str">
            <v>Cuando Hacha de Tierra golpea hay un {0}% de probabilidad de conseguir un Escudo equivalente al {1}% del Daño infligido por Hacha de Tierra.</v>
          </cell>
        </row>
        <row r="115">
          <cell r="A115">
            <v>12210</v>
          </cell>
          <cell r="B115" t="str">
            <v>黑暗之斧命中时，有{0}%概率吸血，回复黑暗之斧造成伤害的{1}%的血量</v>
          </cell>
          <cell r="C115" t="str">
            <v>黑暗之斧命中时，有{0}%概率吸血，回复黑暗之斧造成伤害的{1}%的血量</v>
          </cell>
          <cell r="D115" t="str">
            <v>When Axe of Darkness hits, there is a {0}% chance to leech, restoring {1}% of DMG dealt by Axe of Darkness.</v>
          </cell>
          <cell r="E115" t="str">
            <v>ダークアックス命中後、{0}%の確率でHP吸収が発生する（ダークアックスの与ダメージの{1}%分吸収する）</v>
          </cell>
          <cell r="F115" t="str">
            <v>어둠의 도끼가 대상을 적중할 시, {0}% 확률로 흡혈하고, 어둠의 도끼가 준 피해의 {1}%만큼 HP를 회복한다.</v>
          </cell>
          <cell r="G115" t="str">
            <v>Wenn Axt der Dunkelheit trifft, besteht eine Raubchance von {0} %, bei der {1} % des von Axt der Dunkelheit zugefügten Schadens als Heilung erhalten wird.</v>
          </cell>
          <cell r="H115" t="str">
            <v>Quand Hache de Ténèbres touche une cible, confère {0} % de chances de déclencher Sangsue, ce qui restaure les PV à hauteur de {1} % des DÉG infligés par Hache de Terre.</v>
          </cell>
          <cell r="I115" t="str">
            <v>Quando Machado das Trevas acerta, há {0}% de chance de explorar, restaurando {1}% do DNO causado por Machado das Trevas.</v>
          </cell>
          <cell r="J115" t="str">
            <v>Cuando Hacha de Oscuridad golpea hay un {0}% de probabilidad de drenar y restaurar un {1}% del Daño infligido por Hacha de Oscuridad.</v>
          </cell>
        </row>
        <row r="116">
          <cell r="A116">
            <v>13201</v>
          </cell>
          <cell r="B116" t="str">
            <v>火球的暴击+{0}%</v>
          </cell>
          <cell r="C116" t="str">
            <v>火球的暴击+{0}%</v>
          </cell>
          <cell r="D116" t="str">
            <v>Fireball Crit +{0}%</v>
          </cell>
          <cell r="E116" t="str">
            <v>ファイアボールの会心率+{0}%</v>
          </cell>
          <cell r="F116" t="str">
            <v>파이어볼의 치명타율 +{0}%</v>
          </cell>
          <cell r="G116" t="str">
            <v>Feuerball-Krit. +{0} %</v>
          </cell>
          <cell r="H116" t="str">
            <v>Crit de Boule de Feu +{0} %</v>
          </cell>
          <cell r="I116" t="str">
            <v>CRÍT de Bola de Fogo +{0}%</v>
          </cell>
          <cell r="J116" t="str">
            <v>Crit de Bola de Fuego +{0}%</v>
          </cell>
        </row>
        <row r="117">
          <cell r="A117">
            <v>13202</v>
          </cell>
          <cell r="B117" t="str">
            <v>火球命中后,追加一次火焰爆炸,造成攻击{0}%的伤害</v>
          </cell>
          <cell r="C117" t="str">
            <v>火球命中后,追加一次火焰爆炸,造成攻击{0}%的伤害</v>
          </cell>
          <cell r="D117" t="str">
            <v>After Fireball hits a target, causes fire explosion for once, dealing DMG by {0}% of ATK.</v>
          </cell>
          <cell r="E117" t="str">
            <v>ファイアボール命中後、追加で火炎爆発を1回発動させ、攻撃力{0}%のダメージを与える</v>
          </cell>
          <cell r="F117" t="str">
            <v>파이어볼이 대상에게 적중하면 화염 폭발을 1번 일으켜 공격력의 {0}%에 해당하는 피해를 준다.</v>
          </cell>
          <cell r="G117" t="str">
            <v>Nachdem Feuerball ein Ziel trifft, verursacht es eine Explosion. Verursacht Schaden in Höhe von {0} % des ANG.</v>
          </cell>
          <cell r="H117" t="str">
            <v>Après que Boule de Feu a touché une cible, déclenche une fois Explosion de Feu, ce qui inflige des DÉG à hauteur de {0} % de l’ATQ.</v>
          </cell>
          <cell r="I117" t="str">
            <v>Depois que Bola de Fogo acerta o alvo, causa explosão de fogo uma vez, causando DNO em {0}% do ATQ.</v>
          </cell>
          <cell r="J117" t="str">
            <v>Bola de Fuego produce una explosión de fuego al golpear a un objetivo que inflige un {0}% del ATQ como Daño.</v>
          </cell>
        </row>
        <row r="118">
          <cell r="A118">
            <v>13203</v>
          </cell>
          <cell r="B118" t="str">
            <v>火焰爆炸伤害+{0}%</v>
          </cell>
          <cell r="C118" t="str">
            <v>火焰爆炸伤害+{0}%</v>
          </cell>
          <cell r="D118" t="str">
            <v>Fire Explosion DMG +{0}%</v>
          </cell>
          <cell r="E118" t="str">
            <v>火炎爆発のダメージ+{0}%</v>
          </cell>
          <cell r="F118" t="str">
            <v>화염 폭발 피해 +{0}%</v>
          </cell>
          <cell r="G118" t="str">
            <v>Schaden von Feuerexplosion +{0} %</v>
          </cell>
          <cell r="H118" t="str">
            <v>DÉG d’Explosion de Feu +{0} %</v>
          </cell>
          <cell r="I118" t="str">
            <v>DNO de Explosão de Fogo +{0}%</v>
          </cell>
          <cell r="J118" t="str">
            <v>Daño de Explosión de Fuego +{0}%</v>
          </cell>
        </row>
        <row r="119">
          <cell r="A119">
            <v>13204</v>
          </cell>
          <cell r="B119" t="str">
            <v>火焰爆炸半径+{0}%</v>
          </cell>
          <cell r="C119" t="str">
            <v>火焰爆炸半径+{0}%</v>
          </cell>
          <cell r="D119" t="str">
            <v>Fire Explosion Radius +{0}%</v>
          </cell>
          <cell r="E119" t="str">
            <v>火炎爆発の半径+{0}%</v>
          </cell>
          <cell r="F119" t="str">
            <v>화염 폭발 반경 +{0}%</v>
          </cell>
          <cell r="G119" t="str">
            <v>Radius von Feuerexplosion +{0} %</v>
          </cell>
          <cell r="H119" t="str">
            <v>Rayon d’Explosion de Feu +{0} %</v>
          </cell>
          <cell r="I119" t="str">
            <v>Raio de Explosão de Fogo +{0}%</v>
          </cell>
          <cell r="J119" t="str">
            <v>Radio de Explosión de Fuego +{0}%</v>
          </cell>
        </row>
        <row r="120">
          <cell r="A120">
            <v>14101</v>
          </cell>
          <cell r="B120" t="str">
            <v>开放合成{0}级,解锁{equip1}和{equip2}</v>
          </cell>
          <cell r="C120" t="str">
            <v>开放合成{0}级,解锁{equip1}和{equip2}</v>
          </cell>
          <cell r="D120" t="str">
            <v>Unlock Merge Lv. {0}, {equip1}, and {equip2}.</v>
          </cell>
          <cell r="E120" t="str">
            <v>マージLv.{0}、{equip1}と{equip2}がアンロック</v>
          </cell>
          <cell r="F120" t="str">
            <v>합성 Lv.{0}, {equip1}, {equip2} 잠금 해제</v>
          </cell>
          <cell r="G120" t="str">
            <v>Schalte Verbindungsstufe {0}, {equip1} und {equip2} frei.</v>
          </cell>
          <cell r="H120" t="str">
            <v>Débloque la Fusion de Niv. {0}, {equip1} et {equip2}.</v>
          </cell>
          <cell r="I120" t="str">
            <v>Desbloqueie Fusão Nv. {0}, {equip1} e {equip2}.</v>
          </cell>
          <cell r="J120" t="str">
            <v>Desbloquear Fusión de Nv.{0}, {equip1} y {equip2}.</v>
          </cell>
        </row>
        <row r="121">
          <cell r="A121">
            <v>14201</v>
          </cell>
          <cell r="B121" t="str">
            <v>雷电法杖攻击时额外释放{0}次落雷攻击,目标独立判定</v>
          </cell>
          <cell r="C121" t="str">
            <v>雷电法杖攻击时额外释放{0}次落雷攻击,目标独立判定</v>
          </cell>
          <cell r="D121" t="str">
            <v>When Thunder Staff attacks, releases {0} more thunderbolt attacks and targets are selected independently.</v>
          </cell>
          <cell r="E121" t="str">
            <v>サンダーワンド攻撃時、追加で雷撃を{0}回発動する。ターゲット個別で判定する</v>
          </cell>
          <cell r="F121" t="str">
            <v>썬더 스태프 공격 시 추가로 {0}번의 낙뢰 공격을 시전하고, 시전 대상은 별개로 선택된다.</v>
          </cell>
          <cell r="G121" t="str">
            <v>Wenn Donnerstab angreift, werden {0} weitere Blitzangriffe entfesselt und die Ziele werden unabhängig ausgewählt.</v>
          </cell>
          <cell r="H121" t="str">
            <v>Quand le Bâton de Foudre attaque, lance {0} attaques d’éclair supplémentaires. Les cibles sont choisies de manière indépendante.</v>
          </cell>
          <cell r="I121" t="str">
            <v>Quando Cajado do Trovão ataca, libera {0} mais ataques de relâmpago, e os alvos são selecionados independentemente.</v>
          </cell>
          <cell r="J121" t="str">
            <v>Bastón del Trueno libera {0} ataques de truenos más al atacar y los objetivos se seleccionan independientemente.</v>
          </cell>
        </row>
        <row r="122">
          <cell r="A122">
            <v>14202</v>
          </cell>
          <cell r="B122" t="str">
            <v>雷电法杖多重落雷次数+{0}</v>
          </cell>
          <cell r="C122" t="str">
            <v>雷电法杖多重落雷次数+{0}</v>
          </cell>
          <cell r="D122" t="str">
            <v>Thunderbolt attack of Thunder Staff +{0}</v>
          </cell>
          <cell r="E122" t="str">
            <v>サンダーワンドの雷撃回数+{0}</v>
          </cell>
          <cell r="F122" t="str">
            <v>썬더 스태프의 낙뢰 시전 횟수 +{0}</v>
          </cell>
          <cell r="G122" t="str">
            <v>Blitzangriff des Donnerstabs +{0}</v>
          </cell>
          <cell r="H122" t="str">
            <v>Attaque d’Éclair du Bâton de Foudre +{0}</v>
          </cell>
          <cell r="I122" t="str">
            <v>Ataque de Relâmpago de Cajado do Trovão +{0}</v>
          </cell>
          <cell r="J122" t="str">
            <v>Ataque de truenos de Bastón del Trueno +{0}</v>
          </cell>
        </row>
        <row r="123">
          <cell r="A123">
            <v>14203</v>
          </cell>
          <cell r="B123" t="str">
            <v>雷电法杖命中后，追加一次半径{0}的磁暴，伤害为武器攻击的{1}%</v>
          </cell>
          <cell r="C123" t="str">
            <v>雷电法杖命中后，追加一次半径{0}的磁暴，伤害为武器攻击的{1}%</v>
          </cell>
          <cell r="D123" t="str">
            <v>After Thunder Staff hits a target, causes a magnetic storm within a radius of {0}, dealing DMG by {1}% of weapon attack.</v>
          </cell>
          <cell r="E123" t="str">
            <v>サンダーワンド命中後、追加で半径{0}の磁気嵐を1回発動させ、武器攻撃力の{1}%のダメージを与える</v>
          </cell>
          <cell r="F123" t="str">
            <v>썬더 스태프가 대상을 적중할 시 반경 {0} 내에 지자기 폭풍을 일으켜 무기 공격력의 {1}%에 해당하는 피해를 준다.</v>
          </cell>
          <cell r="G123" t="str">
            <v>Nachdem Donnerstab ein Ziel trifft, entsteht ein Magnetsturm mit einem Radius von {0}. Verursacht Schaden in Höhe von {1} % des Waffenangriffs.</v>
          </cell>
          <cell r="H123" t="str">
            <v>Après que le Bâton de Foudre a touché une cible, provoque une tempête magnétique dans un rayon de {0}, ce qui inflige des DÉG à hauteur de {1} % de l’attaque de l’arme.</v>
          </cell>
          <cell r="I123" t="str">
            <v>Depois que Cajado do Trovão acerta um alvo, causa tempestade magnética dentro de um raio de {0}, causando DNO {1}% de ataque de arma.</v>
          </cell>
          <cell r="J123" t="str">
            <v>Bastón del Trueno produce una tormenta magnética con un radio de {0} al golpear a un objetivo, lo que inflige un {1}% del ataque del arma como Daño.</v>
          </cell>
        </row>
        <row r="124">
          <cell r="A124">
            <v>14204</v>
          </cell>
          <cell r="B124" t="str">
            <v>磁暴命中，有{0}%概率使目标感电:受到魔法伤害时，伤害+{1}%，持续{2}秒</v>
          </cell>
          <cell r="C124" t="str">
            <v>磁暴命中，有{0}%概率使目标感电:受到魔法伤害时，伤害+{1}%，持续{2}秒</v>
          </cell>
          <cell r="D124" t="str">
            <v>After magnetic storm hits a target, there is a {0}% chance of shocking the target: when taking magic DMG, DMG +{1}% for {2}s.</v>
          </cell>
          <cell r="E124" t="str">
            <v>磁気嵐命中後、{0}%の確率でターゲッ感電トをさせる：魔術ダメージを受けた時、{2}秒間の被ダメージ+{1}%</v>
          </cell>
          <cell r="F124" t="str">
            <v>지자기 폭풍 명중 시, {0}% 확률로 대상을 감전시킬 수 있다. 감전: 마법 피해를 받을 시 피해 +{1}%({2}초간 지속)</v>
          </cell>
          <cell r="G124" t="str">
            <v>Nachdem Magnetsturm ein Ziel trifft, besteht eine {0} % Chance, dass das Ziel geschockt wird. Bei erlittenem Magieschaden, Schaden {2} Sek. lang +{1} %.</v>
          </cell>
          <cell r="H124" t="str">
            <v>Après que la tempête magnétique a touché une cible, confère {0} % de chances d’Électrocuter la cible : quand elle subit des DÉG magiques, DÉG +{1} % pendant {2} s.</v>
          </cell>
          <cell r="I124" t="str">
            <v>Depois que a tempestade magnética acerta um alvo, há {0}% de chance de eletrocutar o alvo: ao receber DNO de magia, DNO +{1}% por {2} s.</v>
          </cell>
          <cell r="J124" t="str">
            <v>Cuando tormenta magnética golpea a un objetivo, hay un {0}% de probabilidad de electrocutar al objetivo: al recibir Daño mágico, Daño +{1}% {2}s.</v>
          </cell>
        </row>
        <row r="125">
          <cell r="A125">
            <v>14205</v>
          </cell>
          <cell r="B125" t="str">
            <v>凤凰魔杖定身触发概率+{0}%</v>
          </cell>
          <cell r="C125" t="str">
            <v>凤凰魔杖定身触发概率+{0}%</v>
          </cell>
          <cell r="D125" t="str">
            <v>Phoenix Wand Localization Trigger Probability+{0}%</v>
          </cell>
          <cell r="E125" t="str">
            <v>鳳凰の杖固定トリガー確率+{0}%</v>
          </cell>
          <cell r="F125" t="str">
            <v>봉황 지팡이 정지 시전 확률 +{0}%</v>
          </cell>
          <cell r="G125" t="str">
            <v>Phoenix Wand Localization Trigger Probability+{0}%</v>
          </cell>
          <cell r="H125" t="str">
            <v>Phoenix Wand Localization Trigger Probability+{0}%</v>
          </cell>
          <cell r="I125" t="str">
            <v>Phoenix Wand Localization Trigger Probability+{0}%</v>
          </cell>
          <cell r="J125" t="str">
            <v>Phoenix Wand Localization Trigger Probability+{0}%</v>
          </cell>
        </row>
        <row r="126">
          <cell r="A126">
            <v>14206</v>
          </cell>
          <cell r="B126" t="str">
            <v>雷神权杖暴击率+{0}%</v>
          </cell>
          <cell r="C126" t="str">
            <v>雷神权杖暴击率+{0}%</v>
          </cell>
          <cell r="D126" t="str">
            <v>Thunder God Scepter Critical Strike Rate+{0}%</v>
          </cell>
          <cell r="E126" t="str">
            <v>雷神の杖の致命的な一撃率+{0}%</v>
          </cell>
          <cell r="F126" t="str">
            <v>토르 지팡이 치명타 확률 +{0}%</v>
          </cell>
          <cell r="G126" t="str">
            <v>Thunder God Scepter Critical Strike Rate+{0}%</v>
          </cell>
          <cell r="H126" t="str">
            <v>Thunder God Scepter Critical Strike Rate+{0}%</v>
          </cell>
          <cell r="I126" t="str">
            <v>Thunder God Scepter Critical Strike Rate+{0}%</v>
          </cell>
          <cell r="J126" t="str">
            <v>Thunder God Scepter Critical Strike Rate+{0}%</v>
          </cell>
        </row>
        <row r="127">
          <cell r="A127">
            <v>14207</v>
          </cell>
          <cell r="B127" t="str">
            <v>凤凰魔杖定身结束后，攻速、移速-{0}%，{1}秒内减速逐渐恢复</v>
          </cell>
          <cell r="C127" t="str">
            <v>凤凰魔杖定身结束后，攻速、移速-{0}%，{1}秒内减速逐渐恢复</v>
          </cell>
          <cell r="D127" t="str">
            <v>After the Phoenix Wand's immobilization is completed, the attack speed and movement speed are - {0}%, and the deceleration gradually recovers within {1} seconds</v>
          </cell>
          <cell r="E127" t="str">
            <v>鳳凰の杖の定身が終わると、攻撃速度、移動速度-{0}%、{1}秒以内に減速が徐々に回復する</v>
          </cell>
          <cell r="F127" t="str">
            <v>피닉스 지팡이 정지 후 공격 속도, 이동 속도 -{0}%, {1}초 동안 감속 점차 회복</v>
          </cell>
          <cell r="G127" t="str">
            <v>After the Phoenix Wand's immobilization is completed, the attack speed and movement speed are - {0}%, and the deceleration gradually recovers within {1} seconds</v>
          </cell>
          <cell r="H127" t="str">
            <v>After the Phoenix Wand's immobilization is completed, the attack speed and movement speed are - {0}%, and the deceleration gradually recovers within {1} seconds</v>
          </cell>
          <cell r="I127" t="str">
            <v>After the Phoenix Wand's immobilization is completed, the attack speed and movement speed are - {0}%, and the deceleration gradually recovers within {1} seconds</v>
          </cell>
          <cell r="J127" t="str">
            <v>After the Phoenix Wand's immobilization is completed, the attack speed and movement speed are - {0}%, and the deceleration gradually recovers within {1} seconds</v>
          </cell>
        </row>
        <row r="128">
          <cell r="A128">
            <v>14208</v>
          </cell>
          <cell r="B128" t="str">
            <v>雷神权杖发动全体雷击的概率+{0}%</v>
          </cell>
          <cell r="C128" t="str">
            <v>雷神权杖发动全体雷击的概率+{0}%</v>
          </cell>
          <cell r="D128" t="str">
            <v>The probability of Thor's Scepter launching a total lightning strike+{0}%</v>
          </cell>
          <cell r="E128" t="str">
            <v>雷神の杖が落雷全体を発動する確率+{0}%</v>
          </cell>
          <cell r="F128" t="str">
            <v>토르 지팡이 전체 벼락 발동 확률 +{0}%</v>
          </cell>
          <cell r="G128" t="str">
            <v>The probability of Thor's Scepter launching a total lightning strike+{0}%</v>
          </cell>
          <cell r="H128" t="str">
            <v>The probability of Thor's Scepter launching a total lightning strike+{0}%</v>
          </cell>
          <cell r="I128" t="str">
            <v>The probability of Thor's Scepter launching a total lightning strike+{0}%</v>
          </cell>
          <cell r="J128" t="str">
            <v>The probability of Thor's Scepter launching a total lightning strike+{0}%</v>
          </cell>
        </row>
        <row r="129">
          <cell r="A129">
            <v>14209</v>
          </cell>
          <cell r="B129" t="str">
            <v>凤凰魔杖造成伤害时有{0}%概率定身{1}秒</v>
          </cell>
          <cell r="C129" t="str">
            <v>凤凰魔杖造成伤害时有{0}%概率定身{1}秒</v>
          </cell>
          <cell r="D129" t="str">
            <v>When the Phoenix Wand deals damage, there is a {0}% chance of paralyzing and immobilizing for {1} seconds</v>
          </cell>
          <cell r="E129" t="str">
            <v>フェニックスの杖がダメージを与えた時{0}%の確率で麻痺して体を固定{1}秒</v>
          </cell>
          <cell r="F129" t="str">
            <v>봉황 지팡이 피해 시 {0}% 확률로 정신마비 {1}초</v>
          </cell>
          <cell r="G129" t="str">
            <v>When the Phoenix Wand deals damage, there is a {0}% chance of paralyzing and immobilizing for {1} seconds</v>
          </cell>
          <cell r="H129" t="str">
            <v>When the Phoenix Wand deals damage, there is a {0}% chance of paralyzing and immobilizing for {1} seconds</v>
          </cell>
          <cell r="I129" t="str">
            <v>When the Phoenix Wand deals damage, there is a {0}% chance of paralyzing and immobilizing for {1} seconds</v>
          </cell>
          <cell r="J129" t="str">
            <v>When the Phoenix Wand deals damage, there is a {0}% chance of paralyzing and immobilizing for {1} seconds</v>
          </cell>
        </row>
        <row r="130">
          <cell r="A130">
            <v>14210</v>
          </cell>
          <cell r="B130" t="str">
            <v>雷神权杖每次攻击时，有{0}%概率额外对全体目标释放一次单体雷击，造成攻击{1}%的伤害</v>
          </cell>
          <cell r="C130" t="str">
            <v>雷神权杖每次攻击时，有{0}%概率额外对全体目标释放一次单体雷击，造成攻击{1}%的伤害</v>
          </cell>
          <cell r="D130" t="str">
            <v>Each time the Thunder God Scepter attacks, there is a {0}% chance that it will release an additional single lightning strike on all targets, causing {1}% damage to the attack</v>
          </cell>
          <cell r="E130" t="str">
            <v>雷神杖が攻撃するたびに、追加でターゲット全体に1回単体落雷を放ち、攻撃{1}%のダメージを与える確率{0}%</v>
          </cell>
          <cell r="F130" t="str">
            <v>뇌신 지팡이 매번 공격 시, {0}% 확률로 전체 목표에게 단일 뇌격을 추가로 1회 방출하여 공격 {1}% 데미지를 입힙니다</v>
          </cell>
          <cell r="G130" t="str">
            <v>Each time the Thunder God Scepter attacks, there is a {0}% chance that it will release an additional single lightning strike on all targets, causing {1}% damage to the attack</v>
          </cell>
          <cell r="H130" t="str">
            <v>Each time the Thunder God Scepter attacks, there is a {0}% chance that it will release an additional single lightning strike on all targets, causing {1}% damage to the attack</v>
          </cell>
          <cell r="I130" t="str">
            <v>Each time the Thunder God Scepter attacks, there is a {0}% chance that it will release an additional single lightning strike on all targets, causing {1}% damage to the attack</v>
          </cell>
          <cell r="J130" t="str">
            <v>Each time the Thunder God Scepter attacks, there is a {0}% chance that it will release an additional single lightning strike on all targets, causing {1}% damage to the attack</v>
          </cell>
        </row>
        <row r="131">
          <cell r="A131">
            <v>15201</v>
          </cell>
          <cell r="B131" t="str">
            <v>围巾的血量+{0}%</v>
          </cell>
          <cell r="C131" t="str">
            <v>围巾的血量+{0}%</v>
          </cell>
          <cell r="D131" t="str">
            <v>Scarf HP +{0}%</v>
          </cell>
          <cell r="E131" t="str">
            <v>スカーフのHP+{0}%</v>
          </cell>
          <cell r="F131" t="str">
            <v>스카프 HP +{0}%</v>
          </cell>
          <cell r="G131" t="str">
            <v>Schal-LP +{0} %</v>
          </cell>
          <cell r="H131" t="str">
            <v>PV de Foulard +{0} %</v>
          </cell>
          <cell r="I131" t="str">
            <v>PV do Cachecol +{0}%</v>
          </cell>
          <cell r="J131" t="str">
            <v>PS de la Bufanda +{0}%</v>
          </cell>
        </row>
        <row r="132">
          <cell r="A132">
            <v>15202</v>
          </cell>
          <cell r="B132" t="str">
            <v>围巾的回血效果+{0}%</v>
          </cell>
          <cell r="C132" t="str">
            <v>围巾的回血效果+{0}%</v>
          </cell>
          <cell r="D132" t="str">
            <v>Scarf HP Restoration +{0}%</v>
          </cell>
          <cell r="E132" t="str">
            <v>スカーフのHP回復効果+{0}%</v>
          </cell>
          <cell r="F132" t="str">
            <v>스카프의 HP 회복 효과 +{0}%</v>
          </cell>
          <cell r="G132" t="str">
            <v>Schal-LP-Wiederherstellung +{0} %</v>
          </cell>
          <cell r="H132" t="str">
            <v>Restauration de PV de Foulard +{0} %</v>
          </cell>
          <cell r="I132" t="str">
            <v>Restauração de PV do Cachecol +{0}%</v>
          </cell>
          <cell r="J132" t="str">
            <v>Regeneración de PS de la Bufanda +{0}%</v>
          </cell>
        </row>
        <row r="133">
          <cell r="A133">
            <v>15203</v>
          </cell>
          <cell r="B133" t="str">
            <v>血量&lt;{0}%时，立即回复最大血量的{1}%，每波可触发{2}次，多个围巾不叠加</v>
          </cell>
          <cell r="C133" t="str">
            <v>血量&lt;{0}%时，立即回复最大血量的{1}%，每波可触发{2}次，多个围巾不叠加</v>
          </cell>
          <cell r="D133" t="str">
            <v>Restores {1}% of Max HP immediately when HP is under {0}%. Up to {2} times can be triggered each wave, unstackable.</v>
          </cell>
          <cell r="E133" t="str">
            <v>HPが{0}%を下回った時、直ちに最大HPの{1}%分回復する。1WAVEに{2}回まで発動可能。スカーフの効果は重複できない</v>
          </cell>
          <cell r="F133" t="str">
            <v>HP가 {0}% 미만일 시 바로 최대 HP의 {1}%에 해당하는 HP를 회복한다. 각 웨이브당 최대 {2}회 발동 가능하며 스카프 여러 개 소지할 시 중첩되지 않는다.</v>
          </cell>
          <cell r="G133" t="str">
            <v>Stellt sofort {1} % der max. LP wieder her, wenn LP unter {0} % fallen. Kann bis zu {2}-mal pro Welle ausgelöst werden, nicht stapelbar.</v>
          </cell>
          <cell r="H133" t="str">
            <v>Quand les PV sont inférieurs à {0} %, restaure {1} % des PV Max. immédiatement. Cet effet peut se déclencher jusqu’à {2} fois par vague et est non cumulable.</v>
          </cell>
          <cell r="I133" t="str">
            <v>Restaura {1}% do PV Máx. imediatamente quando o PV fica abaixo de {0}%. Até {2} vezes podem ser ativadas por onda; não acumulável.</v>
          </cell>
          <cell r="J133" t="str">
            <v>Restaura un {1}% de los PS Máx cuando los PS bajan del {0}%. Se puede activar hasta {2} veces por oleada. No se puede acumular.</v>
          </cell>
        </row>
        <row r="134">
          <cell r="A134">
            <v>15204</v>
          </cell>
          <cell r="B134" t="str">
            <v>急救回复的血量+{0}%</v>
          </cell>
          <cell r="C134" t="str">
            <v>急救回复的血量+{0}%</v>
          </cell>
          <cell r="D134" t="str">
            <v>HP Restoration by First Aid +{0}%</v>
          </cell>
          <cell r="E134" t="str">
            <v>応急処置のHP回復効果+{0}%</v>
          </cell>
          <cell r="F134" t="str">
            <v>응급처치에 의한 HP 회복량 +{0}%</v>
          </cell>
          <cell r="G134" t="str">
            <v>LP-Wiederherstellung durch Erste Hilfe +{0} %</v>
          </cell>
          <cell r="H134" t="str">
            <v>Restauration de PV par Premiers Secours +{0} %</v>
          </cell>
          <cell r="I134" t="str">
            <v>Restauração de PV por Primeiros Socorros +{0}%</v>
          </cell>
          <cell r="J134" t="str">
            <v>Regeneración de PS de Primeros Auxilios +{0}%</v>
          </cell>
        </row>
        <row r="135">
          <cell r="A135">
            <v>16201</v>
          </cell>
          <cell r="B135" t="str">
            <v>命中后，范围内的目标有{0}%概率被附加迷晕状态:攻速移速-{1}%，且有{2}%概率攻击落空，持续{3}秒</v>
          </cell>
          <cell r="C135" t="str">
            <v>命中后，范围内的目标有{0}%概率被附加迷晕状态:攻速移速-{1}%，且有{2}%概率攻击落空，持续{3}秒</v>
          </cell>
          <cell r="D135" t="str">
            <v>After a target is hit, the targets within the area have a {0}% chance of being inflicted with Dizzy: ATK SPD and Moving SPD -{1}% and the attack has a {2}% chance to fail, lasting for {3}s.</v>
          </cell>
          <cell r="E135" t="str">
            <v>命中後、{0}%の確率で範囲内の敵をよろめきを付与する：{3}秒間、攻撃速度と移動速度-{1}%、攻撃は{2}%の確率でmissになる</v>
          </cell>
          <cell r="F135" t="str">
            <v>적중 후 범위 내의 대상에게 {0}% 확률로 혼미 상태를 부여한다. 혼미: 공격 속도, 이동 속도 -{1}%, {2}% 확률로 공격이 실패한다. ({3}초간 지속)</v>
          </cell>
          <cell r="G135" t="str">
            <v>Nachdem ein Ziel getroffen wurde, besteht eine Chance von {0} %, dass den Zielen innerhalb des Bereichs Benommenheit zugefügt wird: ANG-GSW und Bewegungsgeschwindigkeit -{1} %, und es besteht eine Chance von {2} %, dass Angriffe fehlschlagen. Hält {3} Sekunden an.</v>
          </cell>
          <cell r="H135" t="str">
            <v>Quand une cible est touchée, les cibles figurant dans la zone ont {0} % de chances d’être affectées par Syncope : VIT d’ATQ et VIT de Déplacement -{1} %, et l’attaque a {2} % de chances d’échouer. Cet effet dure {3} s.</v>
          </cell>
          <cell r="I135" t="str">
            <v>Depois de acertar um alvo, os alvos dentro da área têm {0}% de chance de receberem o efeito Tontura: VEL ATQ e VEL de Movimento -{1}% e o ataque tem {2}% de chance de falhar, durando {3} s.</v>
          </cell>
          <cell r="J135" t="str">
            <v>Los objetivos dentro de la zona tienen un {0}% probabilidad de quedar aturdidos al recibir ataques: VEL de ATQ y VEL de Movimiento -{1}%, y al atacar tienen un {2}% de fallar durante {3}s.</v>
          </cell>
        </row>
        <row r="136">
          <cell r="A136">
            <v>16202</v>
          </cell>
          <cell r="B136" t="str">
            <v>时间沙漏攻击时有{0}%概率回复时间沙漏自身攻击{1}%的血量</v>
          </cell>
          <cell r="C136" t="str">
            <v>时间沙漏攻击时有{0}%概率回复时间沙漏自身攻击{1}%的血量</v>
          </cell>
          <cell r="D136" t="str">
            <v>When attacking, Hourglass has a {0}% chance of restoring HP by {1}% of self ATK.</v>
          </cell>
          <cell r="E136" t="str">
            <v>時の砂時計攻撃時、{0}%の確率でHPを時の砂時計の攻撃力の{1}%分回復する</v>
          </cell>
          <cell r="F136" t="str">
            <v>모래시계로 공격할 시 {0}% 확률로 모래시계 자체 공격력의 {1}%에 해당하는 HP를 회복한다.</v>
          </cell>
          <cell r="G136" t="str">
            <v>Beim Angriff hat Sanduhr eine Chance von {0} %, LP um {1} % des eigenen ANG wiederherzustellen.</v>
          </cell>
          <cell r="H136" t="str">
            <v>Quand une attaque est lancée, Sablier a {0} % de chances de restaurer des PV à hauteur de {1} % de l’ATQ du héros.</v>
          </cell>
          <cell r="I136" t="str">
            <v>Ao atacar, Ampulheta tem {0}% de chance de restaurar PV em {1}% do ATQ de si.</v>
          </cell>
          <cell r="J136" t="str">
            <v>Reloj de Arena tienen un {0}% de probabilidad de restaurar un {1}% del ATQ propio como PS.</v>
          </cell>
        </row>
        <row r="137">
          <cell r="A137">
            <v>16203</v>
          </cell>
          <cell r="B137" t="str">
            <v>时间沙漏附加迷晕概率+{0}%</v>
          </cell>
          <cell r="C137" t="str">
            <v>时间沙漏附加迷晕概率+{0}%</v>
          </cell>
          <cell r="D137" t="str">
            <v>Hourglass's chance of inflicting Dizzy +{0}%</v>
          </cell>
          <cell r="E137" t="str">
            <v>時の砂時計のよろめきの付与確率+{0}%</v>
          </cell>
          <cell r="F137" t="str">
            <v>모래시계의 혼미 효과 부여 확률 +{0}%</v>
          </cell>
          <cell r="G137" t="str">
            <v>+{0} % Chance von Sanduhr, Benommenheit zu verursachen</v>
          </cell>
          <cell r="H137" t="str">
            <v>Chances de Sablier d’appliquer Syncope +{0} %</v>
          </cell>
          <cell r="I137" t="str">
            <v>Chance de Ampulheta gerar Tontura +{0}%</v>
          </cell>
          <cell r="J137" t="str">
            <v>Probabilidad de aturdir de Reloj de Arena +{0}%</v>
          </cell>
        </row>
        <row r="138">
          <cell r="A138">
            <v>16204</v>
          </cell>
          <cell r="B138" t="str">
            <v>时间沙漏附加迷晕后，敌人攻击落空概率+{0}%</v>
          </cell>
          <cell r="C138" t="str">
            <v>时间沙漏附加迷晕后，敌人攻击落空概率+{0}%</v>
          </cell>
          <cell r="D138" t="str">
            <v>After Hourglass inflicts Dizzy, the chance for enemies to fail to attack +{0}%.</v>
          </cell>
          <cell r="E138" t="str">
            <v>時の砂時計がよろめき付与後、敵の攻撃がmissになる確率+{0}%</v>
          </cell>
          <cell r="F138" t="str">
            <v>모래시계가 혼미 효과 부여한 후, 적의 공격이 실패할 확률 +{0}%</v>
          </cell>
          <cell r="G138" t="str">
            <v>Nachdem Sanduhr Benommenheit verursacht, erhöht sich die Chance, dass Gegner nicht angreifen, um +{0} %.</v>
          </cell>
          <cell r="H138" t="str">
            <v>Chances de faire échouer les attaques des ennemis après que Sablier a appliqué Syncope +{0} %.</v>
          </cell>
          <cell r="I138" t="str">
            <v>Depois que Ampulheta gera Tontura, chance de os inimigos falharem em atacar +{0}%.</v>
          </cell>
          <cell r="J138" t="str">
            <v>Probabilidad de que los enemigos fallen ataques después de que Reloj de Arena les aturda +{0}%.</v>
          </cell>
        </row>
        <row r="139">
          <cell r="A139">
            <v>17201</v>
          </cell>
          <cell r="B139" t="str">
            <v>同时扔出{0}-{1}个魔杖盒</v>
          </cell>
          <cell r="C139" t="str">
            <v>同时扔出{0}-{1}个魔杖盒</v>
          </cell>
          <cell r="D139" t="str">
            <v>Throws {0}-{1} Wand Boxes at the same time.</v>
          </cell>
          <cell r="E139" t="str">
            <v>ステッキボックスを同時に{0}～{1}個投げ出す</v>
          </cell>
          <cell r="F139" t="str">
            <v>동시에 {0}-{1}개의 스태프 박스를 투척한다.</v>
          </cell>
          <cell r="G139" t="str">
            <v>Wirft {0}–{1} Zauberstabkisten gleichzeitig.</v>
          </cell>
          <cell r="H139" t="str">
            <v>Lance {0}-{1} Boîte(s) à Baguette en même temps.</v>
          </cell>
          <cell r="I139" t="str">
            <v>Arremessa {0}-{1} caixas de varinha ao mesmo tempo.</v>
          </cell>
          <cell r="J139" t="str">
            <v>Lanza {0}-{1} Cajas de Varitas a la vez.</v>
          </cell>
        </row>
        <row r="140">
          <cell r="A140">
            <v>17202</v>
          </cell>
          <cell r="B140" t="str">
            <v>魔杖盒命中有{0}%概率造成击退，击退距离随机</v>
          </cell>
          <cell r="C140" t="str">
            <v>魔杖盒命中有{0}%概率造成击退，击退距离随机</v>
          </cell>
          <cell r="D140" t="str">
            <v>Wand Box has a {0}% chance to repulse the enemy by a random distance.</v>
          </cell>
          <cell r="E140" t="str">
            <v>ステッキボックス命中後、{0}%の確率で敵を撃退する。撃退距離はランダムに決められる</v>
          </cell>
          <cell r="F140" t="str">
            <v>스태프 박스가 적중할 시, {0}% 확률로 대상을 격퇴하며, 격퇴 거리는 무작위로 정해진다.</v>
          </cell>
          <cell r="G140" t="str">
            <v>Zauberstabkiste hat eine Chance von {0} %, den Gegner um eine zufällige Distanz zurückzustoßen.</v>
          </cell>
          <cell r="H140" t="str">
            <v>Boîte à Baguette a {0} % de chances de repousser l’ennemi sur une distance aléatoire.</v>
          </cell>
          <cell r="I140" t="str">
            <v>A Caixa de Varinha tem {0}% de chance de repelir o inimigo em uma distância aleatória.</v>
          </cell>
          <cell r="J140" t="str">
            <v>La Caja de Varitas tiene un {0}% de probabilidad de repeler a los enemigos una distancia aleatoria.</v>
          </cell>
        </row>
        <row r="141">
          <cell r="A141">
            <v>17203</v>
          </cell>
          <cell r="B141" t="str">
            <v>魔杖盒命中后有{0}%概率眩晕目标{1}-{2}秒</v>
          </cell>
          <cell r="C141" t="str">
            <v>魔杖盒命中后有{0}%概率眩晕目标{1}-{2}秒</v>
          </cell>
          <cell r="D141" t="str">
            <v>After Wand Box hits a target, there is a {0}% chance to stun them for {1}-{2}s.</v>
          </cell>
          <cell r="E141" t="str">
            <v>ステッキボックス命中後、{0}%の確率で敵を{1}～{2}秒間めまいにする</v>
          </cell>
          <cell r="F141" t="str">
            <v>스태프 박스가 적중할 시 {0}% 확률로 해당 대상에게 스턴 효과를 부여한다. ({1}-{2}초간 지속)</v>
          </cell>
          <cell r="G141" t="str">
            <v>Wenn Zauberstabkiste ein Ziel trifft, besteht eine Chance von {0} %, dass das Ziel {1}–{2} Sekunden lang betäubt wird.</v>
          </cell>
          <cell r="H141" t="str">
            <v>Après que Boîte à Baguette a touché une cible, lui confère {0} % de chances d’étourdir cette cible pendant {1} à {2} s.</v>
          </cell>
          <cell r="I141" t="str">
            <v>Depois que Caixa de Varinha acerta um alvo, há {0}% de chance de atordoá-lo por {1}-{2} s.</v>
          </cell>
          <cell r="J141" t="str">
            <v>Caja de Varitas tiene un {0}% de probabilidad de aturdir a los enemigos {1}-{2}s al golpearlos.</v>
          </cell>
        </row>
        <row r="142">
          <cell r="A142">
            <v>17204</v>
          </cell>
          <cell r="B142" t="str">
            <v>命中后对随机范围造成攻击力{0}%的伤害</v>
          </cell>
          <cell r="C142" t="str">
            <v>命中后对随机范围造成攻击力{0}%的伤害</v>
          </cell>
          <cell r="D142" t="str">
            <v>After hitting a target, deals DMG by {0}% of ATK to a random area.</v>
          </cell>
          <cell r="E142" t="str">
            <v>命中後、ランダムな範囲内で攻撃力の{0}%のダメージを与える</v>
          </cell>
          <cell r="F142" t="str">
            <v>적중 후 랜덤 범위에 공격력의 {0}%에 해당하는 피해를 부여한다.</v>
          </cell>
          <cell r="G142" t="str">
            <v>Wird ein Ziel getroffen, wird innerhalb eines zufälligen Bereichs Schaden in Höhe von {0} % des ANG verursacht.</v>
          </cell>
          <cell r="H142" t="str">
            <v>Après avoir touché une cible, inflige des DÉG à hauteur de {0} % de l’ATQ sur une zone aléatoire.</v>
          </cell>
          <cell r="I142" t="str">
            <v>Depois de acertar um alvo, causa DNO em {0}% do ATQ a uma área aleatória.</v>
          </cell>
          <cell r="J142" t="str">
            <v>Inflige un {0}% del ATQ como Daño en una zona aleatoria al golpear a un objetivo.</v>
          </cell>
        </row>
        <row r="143">
          <cell r="A143">
            <v>18201</v>
          </cell>
          <cell r="B143" t="str">
            <v>飞天扫帚命中后，追加一次半径{0}的地震，造成飞天扫帚攻击{1}%的伤害</v>
          </cell>
          <cell r="C143" t="str">
            <v>飞天扫帚命中后，追加一次半径{0}的地震，造成飞天扫帚攻击{1}%的伤害</v>
          </cell>
          <cell r="D143" t="str">
            <v>After Broomstick hits a target, causes an earthquake within a radius of {0}, dealing DMG by {1}% of Broomstick's ATK.</v>
          </cell>
          <cell r="E143" t="str">
            <v>空飛ぶ箒命中後、追加で半径{0}の地震を1回発動させ、空飛ぶ箒攻撃力の{1}%のダメージを与える</v>
          </cell>
          <cell r="F143" t="str">
            <v>마법 빗자루가 대상을 적중할 시 반경 {0} 내에 지진을 일으켜 마법 빗자루 공격력의 {1}%에 해당하는 피해를 준다.</v>
          </cell>
          <cell r="G143" t="str">
            <v>Wenn der Besenstiel ein Ziel trifft, entsteht ein Erdbeben mit einem Radius von {0}, das Schaden in Höhe von {1} % des Besenstiel-ANG verursacht.</v>
          </cell>
          <cell r="H143" t="str">
            <v>Après que Balai a touché une cible, provoque un séisme dans un rayon de {0}, infligeant des DÉG à hauteur de {1} % de l’ATQ de Balai.</v>
          </cell>
          <cell r="I143" t="str">
            <v>Depois que Vassoura acerta um alvo, causa um terremoto dentro de um raio de {0}, causando DNO de {1}% do ATQ da Vassoura.</v>
          </cell>
          <cell r="J143" t="str">
            <v>Escoba produce un terremoto en un radio de {0} al golpear a un objetivo que inflige un {1}% del ATQ de la Escoba como Daño.</v>
          </cell>
        </row>
        <row r="144">
          <cell r="A144">
            <v>18202</v>
          </cell>
          <cell r="B144" t="str">
            <v>飞天扫帚的速度+{0}%</v>
          </cell>
          <cell r="C144" t="str">
            <v>飞天扫帚的速度+{0}%</v>
          </cell>
          <cell r="D144" t="str">
            <v>Broomstick SPD +{0}%</v>
          </cell>
          <cell r="E144" t="str">
            <v>空飛ぶ箒の速度+{0}%</v>
          </cell>
          <cell r="F144" t="str">
            <v>마법 빗자루의 속도 +{0}%</v>
          </cell>
          <cell r="G144" t="str">
            <v>Besenstiel-GSW +{0} %</v>
          </cell>
          <cell r="H144" t="str">
            <v>VIT de Balai +{0} %</v>
          </cell>
          <cell r="I144" t="str">
            <v>VEL da Vassoura +{0}%</v>
          </cell>
          <cell r="J144" t="str">
            <v>VEL de Escoba +{0}%</v>
          </cell>
        </row>
        <row r="145">
          <cell r="A145">
            <v>18203</v>
          </cell>
          <cell r="B145" t="str">
            <v>飞天扫帚造成伤害时，有{0}%概率使敌人攻速和移速-{1}%，持续{2}秒，不叠加</v>
          </cell>
          <cell r="C145" t="str">
            <v>飞天扫帚造成伤害时，有{0}%概率使敌人攻速和移速-{1}%，持续{2}秒，不叠加</v>
          </cell>
          <cell r="D145" t="str">
            <v>When Broomstick deals DMG, there is a {0}% chance to reduce the enemy's ATK SPD and Moving SPD by {1}% for {2}s. Not stackable.</v>
          </cell>
          <cell r="E145" t="str">
            <v>空飛ぶ箒がダメージを与える時、{0}%の確率で{2}秒間、敵の移動速度と攻撃速度-{1}%（重複不可）</v>
          </cell>
          <cell r="F145" t="str">
            <v>마법 빗자루로 피해를 줄 시, {0}% 확률로 {2}초 동안 적의 이동 속도, 공격 속도를 {1}% 감소시킨다. (중첩 불가)</v>
          </cell>
          <cell r="G145" t="str">
            <v>Wenn der Besenstiel Schaden zufügt, besteht eine Chance von {0} %, die ANG- und die Bewegungsgeschwindigkeit {2} Sekunden lang um {1} % zu verringern. Nicht stapelbar.</v>
          </cell>
          <cell r="H145" t="str">
            <v>Quand Balai inflige des DÉG, confère {0} % de chances de réduire la VIT ATQ et la VIT de Déplacement de l’ennemi de {1} % pendant {2} s. Effet non cumulable.</v>
          </cell>
          <cell r="I145" t="str">
            <v>Quando Vassoura causa DNO, há {0}% de chance de reduzir a VEL ATQ e a VEL de Movimento do inimigo em {1}% por {2} s. Não se acumula.</v>
          </cell>
          <cell r="J145" t="str">
            <v>Cuando Escoba inflige Daño hay un {0}% de probabilidad de reducir un {1}% la VEL de ATQ y la VEL de Movimiento del enemigo {2}s. No acumulable.</v>
          </cell>
        </row>
        <row r="146">
          <cell r="A146">
            <v>18204</v>
          </cell>
          <cell r="B146" t="str">
            <v>飞天扫帚地震范围+{0}%</v>
          </cell>
          <cell r="C146" t="str">
            <v>飞天扫帚地震范围+{0}%</v>
          </cell>
          <cell r="D146" t="str">
            <v>Broomstick's Earthquake Range +{0}%</v>
          </cell>
          <cell r="E146" t="str">
            <v>空飛ぶ箒の地震範囲+{0}%</v>
          </cell>
          <cell r="F146" t="str">
            <v>마법 빗자루가 일으키는 지진 범위 +{0}%</v>
          </cell>
          <cell r="G146" t="str">
            <v>Reichweite des Besenstiel-Erdbebens +{0} %</v>
          </cell>
          <cell r="H146" t="str">
            <v>Portée du Séisme de Balai +{0} %</v>
          </cell>
          <cell r="I146" t="str">
            <v>Alcance do Terremoto da Vassoura +{0}%</v>
          </cell>
          <cell r="J146" t="str">
            <v>Alcance del Terremoto de Escoba +{0}%</v>
          </cell>
        </row>
        <row r="147">
          <cell r="A147">
            <v>19201</v>
          </cell>
          <cell r="B147" t="str">
            <v>魔法斗篷的叠盾+{0}%</v>
          </cell>
          <cell r="C147" t="str">
            <v>魔法斗篷的叠盾+{0}%</v>
          </cell>
          <cell r="D147" t="str">
            <v>Magic Cloak Shield +{0}%</v>
          </cell>
          <cell r="E147" t="str">
            <v>魔術マントのシールド効果量+{0}%</v>
          </cell>
          <cell r="F147" t="str">
            <v>마법 망토의 실드 +{0}%</v>
          </cell>
          <cell r="G147" t="str">
            <v>Magischer Umhang Schild +{0} %</v>
          </cell>
          <cell r="H147" t="str">
            <v>Bouclier de Cape Magique +{0} %</v>
          </cell>
          <cell r="I147" t="str">
            <v>Escudo de Manto Mágico +{0}%</v>
          </cell>
          <cell r="J147" t="str">
            <v>Escudo de Capa mágica +{0}%</v>
          </cell>
        </row>
        <row r="148">
          <cell r="A148">
            <v>19202</v>
          </cell>
          <cell r="B148" t="str">
            <v>魔法斗篷的血量+{0}%</v>
          </cell>
          <cell r="C148" t="str">
            <v>魔法斗篷的血量+{0}%</v>
          </cell>
          <cell r="D148" t="str">
            <v>Magic Cloak HP +{0}%</v>
          </cell>
          <cell r="E148" t="str">
            <v>魔術マントのHP+{0}%</v>
          </cell>
          <cell r="F148" t="str">
            <v>마법 망토의 HP +{0}%</v>
          </cell>
          <cell r="G148" t="str">
            <v>Magischer Umhang LP +{0} %</v>
          </cell>
          <cell r="H148" t="str">
            <v>PV de Cape Magique +{0} %</v>
          </cell>
          <cell r="I148" t="str">
            <v>PV de Manto Mágico +{0}%</v>
          </cell>
          <cell r="J148" t="str">
            <v>PS de Capa mágica +{0}%</v>
          </cell>
        </row>
        <row r="149">
          <cell r="A149">
            <v>19203</v>
          </cell>
          <cell r="B149" t="str">
            <v>被近战攻击时，有{0}%概率受到伤害-{1}%</v>
          </cell>
          <cell r="C149" t="str">
            <v>被近战攻击时，有{0}%概率受到伤害-{1}%</v>
          </cell>
          <cell r="D149" t="str">
            <v>There is a {0}% chance of taking -{1}% DMG when being attacked by melee attacks.</v>
          </cell>
          <cell r="E149" t="str">
            <v>近接攻撃を受けた時、{0}%の確率で被ダメージ-{1}%</v>
          </cell>
          <cell r="F149" t="str">
            <v>근거리 공격을 받을 시, {0}% 확률로 받는 피해 -{1}%</v>
          </cell>
          <cell r="G149" t="str">
            <v>Es besteht eine Chance von {0} %, dass bei Nahkampf-Attacken -{1} % Schaden genommen werden.</v>
          </cell>
          <cell r="H149" t="str">
            <v>Confère {0} % de chances de réduire les DÉG subis de {1} % contre les attaques au corps à corps.</v>
          </cell>
          <cell r="I149" t="str">
            <v>Há {0}% de chance de sofrer -{1}% de DNO ao sofrer ataques corpo a corpo.</v>
          </cell>
          <cell r="J149" t="str">
            <v>Hay un {0}% de probabilidad de recibir -{1}% Daño al recibir ataques cuerpo a cuerpo.</v>
          </cell>
        </row>
        <row r="150">
          <cell r="A150">
            <v>19204</v>
          </cell>
          <cell r="B150" t="str">
            <v>被远程攻击时，有{0}%概率受到伤害-{1}%</v>
          </cell>
          <cell r="C150" t="str">
            <v>被远程攻击时，有{0}%概率受到伤害-{1}%</v>
          </cell>
          <cell r="D150" t="str">
            <v>There is a {0}% chance of taking -{1}% DMG when being attacked by ranged attacks.</v>
          </cell>
          <cell r="E150" t="str">
            <v>遠距離攻撃を受けた時、{0}%被ダメージ-{1}%</v>
          </cell>
          <cell r="F150" t="str">
            <v>원거리 공격을 받을 시, {0}% 확률로 받는 피해 -{1}%</v>
          </cell>
          <cell r="G150" t="str">
            <v>Es besteht eine Chance von {0} %, dass bei Distanzkampf-Attacken -{1} % Schaden genommen werden.</v>
          </cell>
          <cell r="H150" t="str">
            <v>Confère {0} % de chances de réduire les DÉG subis de {1} % contre les attaques à distance.</v>
          </cell>
          <cell r="I150" t="str">
            <v>Há {0}% de chance de sofrer -{1}% de DNO ao sofrer ataques à distância.</v>
          </cell>
          <cell r="J150" t="str">
            <v>Hay un {0}% de probabilidad de recibir -{1}% Daño al recibir ataques a distancia.</v>
          </cell>
        </row>
        <row r="151">
          <cell r="A151">
            <v>20201</v>
          </cell>
          <cell r="B151" t="str">
            <v>魔戒周围的武器提升暴击率(合成1级为{0}%、2级为{1}%、3级为{2}%、4级为{3}%)</v>
          </cell>
          <cell r="C151" t="str">
            <v>魔戒周围的武器提升暴击率(合成1级为{0}%、2级为{1}%、3级为{2}%、4级为{3}%)</v>
          </cell>
          <cell r="D151" t="str">
            <v>Increases the Crit rate of weapons around the Magic Ring (Merge Lv. 1: {0}%; Lv. 2: {1}%; Lv. 3: {2}%; Lv. 4: {3}%).</v>
          </cell>
          <cell r="E151" t="str">
            <v>マジカルリングと隣接する武器の会心率上昇（マージLv.1：{0}%、Lv.2：{1}%、Lv.3：{2}%、Lv.4：{3}%）</v>
          </cell>
          <cell r="F151" t="str">
            <v>마법 반지 주변 무기의 치명타율 상승(합성 Lv.1: {0}%, Lv.2: {1}%, Lv.3: {2}%, Lv.4: {3}%)</v>
          </cell>
          <cell r="G151" t="str">
            <v>Erhöht die Krit.-Rate von Waffen rund um den Magischen Ring (Verbindungsstufe 1: {0} %; St. 2: {1} %; St. 3: {2} %; St. 4: {3} %).</v>
          </cell>
          <cell r="H151" t="str">
            <v>Augmente le taux Crit des armes autour de l’Anneau Magique (Fusion Niv. 1 : {0} % ; Niv. 2 : {1} % ; Niv. 3 : {2} % ; Niv. 4 : {3} %).</v>
          </cell>
          <cell r="I151" t="str">
            <v>Aumenta a taxa de CRÍT de armas ao redor do Anel Mágico (Fusão Nv. 1: {0}%; Nv. 2: {1}%; Nv. 3: {2}%; Nv. 4: {3}%).</v>
          </cell>
          <cell r="J151" t="str">
            <v>Aumenta la Tasa Crit de las armas alrededor del Anillo mágico (Fusión de Nv.1: {0}%; Nv.2: {1}%; Nv.3: {2}%; Nv.4: {3}%).</v>
          </cell>
        </row>
        <row r="152">
          <cell r="A152">
            <v>20202</v>
          </cell>
          <cell r="B152" t="str">
            <v>多个魔戒提升的暴击率可叠加</v>
          </cell>
          <cell r="C152" t="str">
            <v>多个魔戒提升的暴击率可叠加</v>
          </cell>
          <cell r="D152" t="str">
            <v>Crit rate boosted by multiple Magic Rings can be stacked.</v>
          </cell>
          <cell r="E152" t="str">
            <v>複数のマジカルリングの会心率上昇効果が重複可能になる</v>
          </cell>
          <cell r="F152" t="str">
            <v>여러 마법 반지의 치명타율 상승 효과는 중첩 가능하다.</v>
          </cell>
          <cell r="G152" t="str">
            <v>Von mehreren Magischen Ringen geboostete Krit.-Rate kann kombiniert werden.</v>
          </cell>
          <cell r="H152" t="str">
            <v>Les bonus de taux Crit octroyés par plusieurs Anneaux Magiques sont cumulables.</v>
          </cell>
          <cell r="I152" t="str">
            <v>A Taxa de CRÍT reforçada por múltiplos Anéis Mágicos pode ser acumulada.</v>
          </cell>
          <cell r="J152" t="str">
            <v>Se puede acumular el aumento de Tasa Crit de varios Anillos mágicos.</v>
          </cell>
        </row>
        <row r="153">
          <cell r="A153">
            <v>20203</v>
          </cell>
          <cell r="B153" t="str">
            <v>魔戒对同行同列的武器均提升暴击率</v>
          </cell>
          <cell r="C153" t="str">
            <v>魔戒对同行同列的武器均提升暴击率</v>
          </cell>
          <cell r="D153" t="str">
            <v>Magic Ring increases Crit rate for weapons of the same line vertically and horizontally.</v>
          </cell>
          <cell r="E153" t="str">
            <v>マジカルリングの会心率上昇の効果対象は同じ行/列の武器になる</v>
          </cell>
          <cell r="F153" t="str">
            <v>마법 반지의 가로/세로줄에 있는 모든 무기의 치명타율을 상승시킨다.</v>
          </cell>
          <cell r="G153" t="str">
            <v>Magischer Ring erhöht die Krit.-Rate für Waffen derselben Linie vertikal und horizontal.</v>
          </cell>
          <cell r="H153" t="str">
            <v>Anneau Magique augmente le taux Crit des armes de la même rangée et de la même colonne.</v>
          </cell>
          <cell r="I153" t="str">
            <v>O Anel Mágico aumenta a taxa de CRÍT de armas de mesma linha verticalmente e horizontalmente.</v>
          </cell>
          <cell r="J153" t="str">
            <v>El Anillo mágico aumenta la Tasa Crit de las armas en la misma fila o columna.</v>
          </cell>
        </row>
        <row r="154">
          <cell r="A154">
            <v>20204</v>
          </cell>
          <cell r="B154" t="str">
            <v>魔戒对背包内所有武器均提升暴击率</v>
          </cell>
          <cell r="C154" t="str">
            <v>魔戒对背包内所有武器均提升暴击率</v>
          </cell>
          <cell r="D154" t="str">
            <v>Magic Ring increases Crit rate for all weapons in the Bag.</v>
          </cell>
          <cell r="E154" t="str">
            <v>マジカルリングの会心率上昇の効果対象はバックパック内のすべての武器になる</v>
          </cell>
          <cell r="F154" t="str">
            <v>마법 반지가 배낭에 있는 모든 무기의 치명타율을 상승시킨다.</v>
          </cell>
          <cell r="G154" t="str">
            <v>Magischer Ring erhöht die Krit.-Rate für alle Waffen im Beutel.</v>
          </cell>
          <cell r="H154" t="str">
            <v>Anneau Magique augmente le taux Crit des armes figurant dans le Sac.</v>
          </cell>
          <cell r="I154" t="str">
            <v>O Anel Mágico aumenta a taxa de CRÍT de todas as armas na Mochila.</v>
          </cell>
          <cell r="J154" t="str">
            <v>El Anillo mágico aumenta la Tasa Crit de todas las armas en el Inventario.</v>
          </cell>
        </row>
        <row r="155">
          <cell r="A155">
            <v>22201</v>
          </cell>
          <cell r="B155" t="str">
            <v>命中目标或达到边缘时进行反弹，水晶球射出{0}秒后消失</v>
          </cell>
          <cell r="C155" t="str">
            <v>命中目标或达到边缘时进行反弹，水晶球射出{0}秒后消失</v>
          </cell>
          <cell r="D155" t="str">
            <v>Bounces when hitting a target or reaching the edge, the crystal ball disappears after being released for {0}s.</v>
          </cell>
          <cell r="E155" t="str">
            <v>ターゲットに命中、またはフィールドの突き当りに到達後に跳ね返す。発射された水晶玉は{0}秒後に消える</v>
          </cell>
          <cell r="F155" t="str">
            <v>대상 적중 또는 변두리에 도착할 시 튕기게 되며, 수정구슬은 발사 {0}초 후 사라진다.</v>
          </cell>
          <cell r="G155" t="str">
            <v>Springt umher, wenn ein Ziel getroffen oder der Rand des Schlachtfelds erreicht wird. Die Kristallkugel verschwindet {0} Sek. nach dem Auslösen.</v>
          </cell>
          <cell r="H155" t="str">
            <v>Rebondit quand elle touche une cible ou un bord ; la boule de cristal disparaît {0} s après son lancement.</v>
          </cell>
          <cell r="I155" t="str">
            <v>Quica ao acertar um alvo ou atingir a extremidade; a Bola de Cristal desaparece depois de ser liberada por {0} s.</v>
          </cell>
          <cell r="J155" t="str">
            <v>La bola de cristal rebota al golpear a un objetivo o al alcanzar el borde y desaparece {0}s después de liberarla.</v>
          </cell>
        </row>
        <row r="156">
          <cell r="A156">
            <v>22202</v>
          </cell>
          <cell r="B156" t="str">
            <v>水晶球攻击+{0}%</v>
          </cell>
          <cell r="C156" t="str">
            <v>水晶球攻击+{0}%</v>
          </cell>
          <cell r="D156" t="str">
            <v>Crystal Ball ATK +{0}%</v>
          </cell>
          <cell r="E156" t="str">
            <v>水晶玉の攻撃力+{0}%</v>
          </cell>
          <cell r="F156" t="str">
            <v>수정구슬 공격력 +{0}%</v>
          </cell>
          <cell r="G156" t="str">
            <v>Kristallkugel-ANG: +{0} %</v>
          </cell>
          <cell r="H156" t="str">
            <v>ATQ de Boule de Cristal +{0} %</v>
          </cell>
          <cell r="I156" t="str">
            <v>ATQ de Bola de Cristal +{0}%</v>
          </cell>
          <cell r="J156" t="str">
            <v>ATQ de Bola de Cristal +{0}%</v>
          </cell>
        </row>
        <row r="157">
          <cell r="A157">
            <v>22203</v>
          </cell>
          <cell r="B157" t="str">
            <v>水晶球飞行速度+{0}%</v>
          </cell>
          <cell r="C157" t="str">
            <v>水晶球飞行速度+{0}%</v>
          </cell>
          <cell r="D157" t="str">
            <v>Crystal Ball Flying SPD +{0}%</v>
          </cell>
          <cell r="E157" t="str">
            <v>水晶玉の飛行速度+{0}%</v>
          </cell>
          <cell r="F157" t="str">
            <v>수정구슬 비행 속도 +{0}%</v>
          </cell>
          <cell r="G157" t="str">
            <v>Kristallkugel-Flug-GSW: +{0} %</v>
          </cell>
          <cell r="H157" t="str">
            <v>VIT de Boule de Cristal +{0} %</v>
          </cell>
          <cell r="I157" t="str">
            <v>VEL de Voo de Bola de Cristal +{0}%</v>
          </cell>
          <cell r="J157" t="str">
            <v>VEL de Vuelo de Bola de Cristal +{0}%</v>
          </cell>
        </row>
        <row r="158">
          <cell r="A158">
            <v>22204</v>
          </cell>
          <cell r="B158" t="str">
            <v>水晶球飞行时间+{0}%</v>
          </cell>
          <cell r="C158" t="str">
            <v>水晶球飞行时间+{0}%</v>
          </cell>
          <cell r="D158" t="str">
            <v>Crystal Ball Flying Time +{0}%</v>
          </cell>
          <cell r="E158" t="str">
            <v>水晶玉の飛行時間+{0}%</v>
          </cell>
          <cell r="F158" t="str">
            <v>수정구슬 비행 시간 +{0}%</v>
          </cell>
          <cell r="G158" t="str">
            <v>Kristallkugel-Flugzeit: +{0} %</v>
          </cell>
          <cell r="H158" t="str">
            <v>Durée de Vol de Boule de Cristal +{0} %</v>
          </cell>
          <cell r="I158" t="str">
            <v>Tempo de Voo de Bola de Cristal +{0}%</v>
          </cell>
          <cell r="J158" t="str">
            <v>Tiempo de Vuelo de Bola de Cristal +{0}%</v>
          </cell>
        </row>
        <row r="159">
          <cell r="A159">
            <v>24201</v>
          </cell>
          <cell r="B159" t="str">
            <v>三叉戟攻击力+{0}%(被动技能，进入战斗自动携带)</v>
          </cell>
          <cell r="C159" t="str">
            <v>三叉戟攻击力+{0}%(被动技能，进入战斗自动携带)</v>
          </cell>
          <cell r="D159" t="str">
            <v>Trident ATK +{0}% (Passive Skill, carried automatically upon entering the battle.)</v>
          </cell>
          <cell r="E159" t="str">
            <v>トライデントの攻撃力+{0}%（パッシブスキル。バトル開始後に有効）</v>
          </cell>
          <cell r="F159" t="str">
            <v>삼지창 공격력 +{0}%(패시브 스킬, 전투 진입 시 자동 소지)</v>
          </cell>
          <cell r="G159" t="str">
            <v>Dreizack-ANG +{0} % (passive Fertigkeit, wird automatisch beim Eintritt in den Kampf ausgeführt.)</v>
          </cell>
          <cell r="H159" t="str">
            <v>ATQ de Trident +{0} % (Comp. Passive automatiquement prise au combat.)</v>
          </cell>
          <cell r="I159" t="str">
            <v>ATQ de Tridente +{0}% (Habilidade passiva, levada automaticamente ao entrar na batalha.)</v>
          </cell>
          <cell r="J159" t="str">
            <v>ATQ del Tridente +{0}% (Habilidad pasiva que se activa al entrar en el campo de batalla.)</v>
          </cell>
        </row>
        <row r="160">
          <cell r="A160">
            <v>24202</v>
          </cell>
          <cell r="B160" t="str">
            <v>三叉戟暴击+{0}%(被动技能，进入战斗自动携带)</v>
          </cell>
          <cell r="C160" t="str">
            <v>三叉戟暴击+{0}%(被动技能，进入战斗自动携带)</v>
          </cell>
          <cell r="D160" t="str">
            <v>Trident Crit +{0}% (Passive Skill, carried automatically upon entering the battle.)</v>
          </cell>
          <cell r="E160" t="str">
            <v>トライデントの会心率+{0}%（パッシブスキル。バトル開始後に有効）</v>
          </cell>
          <cell r="F160" t="str">
            <v>삼지창 치명타율 +{0}%(패시브 스킬, 전투 진입 시 자동 소지)</v>
          </cell>
          <cell r="G160" t="str">
            <v>Dreizack krit. +{0} % (passive Fertigkeit, wird automatisch beim Eintritt in den Kampf ausgeführt.)</v>
          </cell>
          <cell r="H160" t="str">
            <v>Crit de Trident +{0} % (Comp. Passive automatiquement prise au combat.)</v>
          </cell>
          <cell r="I160" t="str">
            <v>CRÍT de Tridente +{0}% (Habilidade passiva, levada automaticamente ao entrar na batalha.)</v>
          </cell>
          <cell r="J160" t="str">
            <v>Crit del Tridente +{0}% (Habilidad pasiva que se activa al entrar en el campo de batalla.)</v>
          </cell>
        </row>
        <row r="161">
          <cell r="A161">
            <v>24203</v>
          </cell>
          <cell r="B161" t="str">
            <v>三叉戟会停留在首个攻击的单位处{0}秒，对范围内敌人每{1}秒造成{2}%攻击力伤害</v>
          </cell>
          <cell r="C161" t="str">
            <v>三叉戟会停留在首个攻击的单位处{0}秒，对范围内敌人每{1}秒造成{2}%攻击力伤害</v>
          </cell>
          <cell r="D161" t="str">
            <v>Trident will stay at the first target's position for {0}s, dealing {2}% ATK DMG to enemies within the area per {1}s.</v>
          </cell>
          <cell r="E161" t="str">
            <v>トライデントは最初に攻撃した対象の所で{0}秒間留まり、範囲内の敵に{1}秒ごとに攻撃力{2}%のダメージを与える</v>
          </cell>
          <cell r="F161" t="str">
            <v>삼지창이 처음으로 공격한 유닛의 위치에 {0}초 동안 머물러, 일정 범위 내 적들에게 {1}초마다 공격력의 {2}%에 해당하는 피해를 입힌다.</v>
          </cell>
          <cell r="G161" t="str">
            <v>Dreizack bleibt an der Position des ersten Ziels für {0} S., teilt {2} % Angriffsschaden an Feinde innerhalb des Gebiets pro {1} S. aus.</v>
          </cell>
          <cell r="H161" t="str">
            <v>Trident persiste sur la position de la première cible pendant {0} s, infligeant {2} % de DÉG ATQ aux ennemis présents dans la zone pendant {1} s.</v>
          </cell>
          <cell r="I161" t="str">
            <v>Tridente fica na posição do primeiro alvo por {0} s, causando {2}% de DNO ATQ a inimigos dentro da área por {1} s.</v>
          </cell>
          <cell r="J161" t="str">
            <v>El Tridente permanece {0}s en la posición del primer objetivo e inflige un {2}% del ATQ como Daño a los enemigos al alcance durante {1}s.</v>
          </cell>
        </row>
        <row r="162">
          <cell r="A162">
            <v>24204</v>
          </cell>
          <cell r="B162" t="str">
            <v>三叉戟停留时间+{0}秒</v>
          </cell>
          <cell r="C162" t="str">
            <v>三叉戟停留时间+{0}秒</v>
          </cell>
          <cell r="D162" t="str">
            <v>Trident stays for {0}s more.</v>
          </cell>
          <cell r="E162" t="str">
            <v>トライデントの停留時間+{0}秒</v>
          </cell>
          <cell r="F162" t="str">
            <v>삼지창이 {0}초 동안 더 머무른다.</v>
          </cell>
          <cell r="G162" t="str">
            <v>Dreizack bleibt für weitere {0} S.</v>
          </cell>
          <cell r="H162" t="str">
            <v>Trident persiste pendant {0} s supplémentaires.</v>
          </cell>
          <cell r="I162" t="str">
            <v>Tridente fica por mais {0} s.</v>
          </cell>
          <cell r="J162" t="str">
            <v>El Tridente permanece {0}s más.</v>
          </cell>
        </row>
        <row r="163">
          <cell r="A163">
            <v>24205</v>
          </cell>
          <cell r="B163" t="str">
            <v>三叉戟击杀单位时，所有三叉戟体型+{0}%，最大额外增加{1}%，持续至整场战斗结束</v>
          </cell>
          <cell r="C163" t="str">
            <v>三叉戟击杀单位时，所有三叉戟体型+{0}%，最大额外增加{1}%，持续至整场战斗结束</v>
          </cell>
          <cell r="D163" t="str">
            <v>When Trident kills a target, all tridents' size +{0}% (max: +{1}%), lasting until the end of the battle.</v>
          </cell>
          <cell r="E163" t="str">
            <v>トライデントが敵撃破後、バトル終了までの間、すべてのトライデントのサイズ+{0}%（最大{1}%アップ可能）</v>
          </cell>
          <cell r="F163" t="str">
            <v>삼지창으로 적을 처치할 시, 모든 삼지창의 크기 +{0}%(최대 {1}% 증가 가능, 전투가 종료될 때까지 지속)</v>
          </cell>
          <cell r="G163" t="str">
            <v>Wenn Dreizack ein Ziel tötet, wird jeder Dreizack um +{0} % (max. +{1} %) vergrößert, bis zum Ende des Kampfes.</v>
          </cell>
          <cell r="H163" t="str">
            <v>Quand Trident tue une cible, +{0} % à la taille de tous les Tridents (max. : +{1} %). Cet effet dure jusqu’à la fin du combat.</v>
          </cell>
          <cell r="I163" t="str">
            <v>Quando Tridente abate um alvo, o tamanho de todos os tridentes +{0}% (máx.: +{1}%), durando até o final da batalha.</v>
          </cell>
          <cell r="J163" t="str">
            <v>El tamaño de todos los tridentes +{0}% cuando el Tridente elimina a un objetivo (máx.: +{1}%) hasta el final de la batalla.</v>
          </cell>
        </row>
        <row r="164">
          <cell r="A164">
            <v>24206</v>
          </cell>
          <cell r="B164" t="str">
            <v>三叉戟击杀单位时，所有三叉戟体型额外+{0}%</v>
          </cell>
          <cell r="C164" t="str">
            <v>三叉戟击杀单位时，所有三叉戟体型额外+{0}%</v>
          </cell>
          <cell r="D164" t="str">
            <v>When Trident kills a target, all tridents' size +{0}%.</v>
          </cell>
          <cell r="E164" t="str">
            <v>トライデントが敵撃破後、すべてのトライデントのサイズ+{0}%</v>
          </cell>
          <cell r="F164" t="str">
            <v>삼지창으로 적을 처치할 시, 모든 삼지창의 크기 +{0}%</v>
          </cell>
          <cell r="G164" t="str">
            <v>Wenn Dreizack ein Ziel tötet, wird jeder Dreizack um +{0} % vergrößert.</v>
          </cell>
          <cell r="H164" t="str">
            <v>Quand Trident tue une cible, +{0} % à la taille de tous les Tridents</v>
          </cell>
          <cell r="I164" t="str">
            <v>Quando Tridente abate um alvo, o tamanho de todos os tridentes +{0}%.</v>
          </cell>
          <cell r="J164" t="str">
            <v>El tamaño de todos los tridentes +{0}% cuando el Tridente elimina a un objetivo.</v>
          </cell>
        </row>
        <row r="165">
          <cell r="A165">
            <v>24207</v>
          </cell>
          <cell r="B165" t="str">
            <v>三叉戟攻击距离+{0}</v>
          </cell>
          <cell r="C165" t="str">
            <v>三叉戟攻击距离+{0}</v>
          </cell>
          <cell r="D165" t="str">
            <v>Trident ATK Range +{0}</v>
          </cell>
          <cell r="E165" t="str">
            <v>トライデント攻撃距離+{0}</v>
          </cell>
          <cell r="F165" t="str">
            <v>삼지창의 공격 거리 +{0}</v>
          </cell>
          <cell r="G165" t="str">
            <v>Dreizack-ANG-Reichweite +{0}</v>
          </cell>
          <cell r="H165" t="str">
            <v>Portée d’ATQ de Trident +{0}</v>
          </cell>
          <cell r="I165" t="str">
            <v>Alcance do ATQ de Tridente +{0}</v>
          </cell>
          <cell r="J165" t="str">
            <v>Alcance de ATQ del Tridente +{0}</v>
          </cell>
        </row>
        <row r="166">
          <cell r="A166">
            <v>24208</v>
          </cell>
          <cell r="B166" t="str">
            <v>三叉戟攻击时，{0}%概率发动万钧一击，对命中的敌人造成{1}%攻击力伤害</v>
          </cell>
          <cell r="C166" t="str">
            <v>三叉戟攻击时，{0}%概率发动万钧一击，对命中的敌人造成{1}%攻击力伤害</v>
          </cell>
          <cell r="D166" t="str">
            <v>When Trident attacks, there is a {0}% chance of releasing Crushing Strike, dealing {1}% ATK DMG to the target hit.</v>
          </cell>
          <cell r="E166" t="str">
            <v>トライデント攻撃時、{0}%の確率でパワフルアタックを発動し、命中した敵に攻撃力{1}%のダメージを与える</v>
          </cell>
          <cell r="F166" t="str">
            <v>삼지창으로 공격할 시, {0}% 확률로 만균의 일격이 발동되어, 적중한 적에게 공격력의 {1}%에 해당하는 피해를 입힌다.</v>
          </cell>
          <cell r="G166" t="str">
            <v>Wenn Dreizack angreift, gibt es eine Chance von {0} % für das Auslösen von Niederstreckender Schlag, {1} % Angriffsschaden wird an das Ziel ausgeteilt.</v>
          </cell>
          <cell r="H166" t="str">
            <v>Quand Trident attaque, confère {0} % de chances de lancer Frappe Violente, infligeant {1} % de DÉG ATQ à la cible touchée.</v>
          </cell>
          <cell r="I166" t="str">
            <v>Quando Tridente ataca, há {0}% de chance de liberar Ataque Esmagador, causando {1}% de DNO ATQ ao alvo acertado.</v>
          </cell>
          <cell r="J166" t="str">
            <v>Al atacar con el Tridente hay un {0}% de probabilidad de liberar Golpe aplastante, que inflige un {1}% del ATQ como Daño al objetivo golpeado.</v>
          </cell>
        </row>
        <row r="167">
          <cell r="A167">
            <v>24209</v>
          </cell>
          <cell r="B167" t="str">
            <v>三叉戟万钧一击发动概率+{0}%</v>
          </cell>
          <cell r="C167" t="str">
            <v>三叉戟万钧一击发动概率+{0}%</v>
          </cell>
          <cell r="D167" t="str">
            <v>Chance of releasing Crushing Strike +{0}%</v>
          </cell>
          <cell r="E167" t="str">
            <v>トライデントのパワフルアタック発動確率+{0}%</v>
          </cell>
          <cell r="F167" t="str">
            <v>만균의 일격 발동 확률 +{0}%</v>
          </cell>
          <cell r="G167" t="str">
            <v>Chance auf Auslösen von Niederstreckender Schlag +{0} %</v>
          </cell>
          <cell r="H167" t="str">
            <v>Chances de lancer Frappe Violente +{0} %</v>
          </cell>
          <cell r="I167" t="str">
            <v>Chance de liberar Ataque Esmagador +{0}%</v>
          </cell>
          <cell r="J167" t="str">
            <v>Probabilidad de liberar Golpe aplastante +{0}%</v>
          </cell>
        </row>
        <row r="168">
          <cell r="A168">
            <v>24201</v>
          </cell>
          <cell r="B168" t="str">
            <v>老魔杖攻击时可额外攻击{0}次(被动技能进入战斗自动携带)</v>
          </cell>
          <cell r="C168" t="str">
            <v>老魔杖攻击时可额外攻击{0}次(被动技能进入战斗自动携带)</v>
          </cell>
          <cell r="D168" t="str">
            <v>When the Elder Wand attacks, it can attack an additional {0} times (passive skills are automatically carried in combat)</v>
          </cell>
          <cell r="E168" t="str">
            <v>老杖攻撃時に追加攻撃{0}回（受身スキルは戦闘に入って自動的に携帯）</v>
          </cell>
          <cell r="F168" t="str">
            <v>늙은 지팡이 공격 시 추가 공격 {0}회 가능(패시브 스킬 전투 시 자동 장착)</v>
          </cell>
          <cell r="G168" t="str">
            <v>When the Elder Wand attacks, it can attack an additional {0} times (passive skills are automatically carried in combat)</v>
          </cell>
          <cell r="H168" t="str">
            <v>When the Elder Wand attacks, it can attack an additional {0} times (passive skills are automatically carried in combat)</v>
          </cell>
          <cell r="I168" t="str">
            <v>When the Elder Wand attacks, it can attack an additional {0} times (passive skills are automatically carried in combat)</v>
          </cell>
          <cell r="J168" t="str">
            <v>When the Elder Wand attacks, it can attack an additional {0} times (passive skills are automatically carried in combat)</v>
          </cell>
        </row>
        <row r="169">
          <cell r="A169">
            <v>24202</v>
          </cell>
          <cell r="B169" t="str">
            <v>老魔杖法可额外穿透{0}个目标(被动技能进入战斗自动携带)</v>
          </cell>
          <cell r="C169" t="str">
            <v>老魔杖法可额外穿透{0}个目标(被动技能进入战斗自动携带)</v>
          </cell>
          <cell r="D169" t="str">
            <v>The Elder Wand technique can penetrate an additional {0} targets (passive skills automatically carried in combat)</v>
          </cell>
          <cell r="E169" t="str">
            <v>老杖法は追加で{0}個の目標を貫通することができる（受身スキルは戦闘自動携帯に入る）</v>
          </cell>
          <cell r="F169" t="str">
            <v>늙은 지팡이법은 {0}개 목표를 추가로 관통할 수 있습니다(패시브 스킬은 전투 시 자동 장착)</v>
          </cell>
          <cell r="G169" t="str">
            <v>The Elder Wand technique can penetrate an additional {0} targets (passive skills automatically carried in combat)</v>
          </cell>
          <cell r="H169" t="str">
            <v>The Elder Wand technique can penetrate an additional {0} targets (passive skills automatically carried in combat)</v>
          </cell>
          <cell r="I169" t="str">
            <v>The Elder Wand technique can penetrate an additional {0} targets (passive skills automatically carried in combat)</v>
          </cell>
          <cell r="J169" t="str">
            <v>The Elder Wand technique can penetrate an additional {0} targets (passive skills automatically carried in combat)</v>
          </cell>
        </row>
        <row r="170">
          <cell r="A170">
            <v>24203</v>
          </cell>
          <cell r="B170" t="str">
            <v>老魔杖攻击时,有{0}%的概率使目标被藤曼缠绕无法移动，每秒受到{1}%攻击的伤害，持续{2}秒</v>
          </cell>
          <cell r="C170" t="str">
            <v>老魔杖攻击时,有{0}%的概率使目标被藤曼缠绕无法移动，每秒受到{1}%攻击的伤害，持续{2}秒</v>
          </cell>
          <cell r="D170" t="str">
            <v>When the Elder Wand attacks, there is a {0}% chance that the target will be entangled by Tengman and unable to move, receiving {1}% of the attack damage per second for {2} seconds</v>
          </cell>
          <cell r="E170" t="str">
            <v>老杖攻撃時、目標がトウマンに絡まって動かなくなり、毎秒{1}%攻撃のダメージを受け、{2}秒続く{0}%の確率で</v>
          </cell>
          <cell r="F170" t="str">
            <v>늙은 지팡이 공격 시, {0}% 확률로 목표를 등만에 휘감겨 이동불가, 초당 {1}% 공격의 데미지를 입고, 지속 {2}초</v>
          </cell>
          <cell r="G170" t="str">
            <v>When the Elder Wand attacks, there is a {0}% chance that the target will be entangled by Tengman and unable to move, receiving {1}% of the attack damage per second for {2} seconds</v>
          </cell>
          <cell r="H170" t="str">
            <v>When the Elder Wand attacks, there is a {0}% chance that the target will be entangled by Tengman and unable to move, receiving {1}% of the attack damage per second for {2} seconds</v>
          </cell>
          <cell r="I170" t="str">
            <v>When the Elder Wand attacks, there is a {0}% chance that the target will be entangled by Tengman and unable to move, receiving {1}% of the attack damage per second for {2} seconds</v>
          </cell>
          <cell r="J170" t="str">
            <v>When the Elder Wand attacks, there is a {0}% chance that the target will be entangled by Tengman and unable to move, receiving {1}% of the attack damage per second for {2} seconds</v>
          </cell>
        </row>
        <row r="171">
          <cell r="A171">
            <v>24204</v>
          </cell>
          <cell r="B171" t="str">
            <v>藤曼缠绕的概率+{0}%</v>
          </cell>
          <cell r="C171" t="str">
            <v>藤曼缠绕的概率+{0}%</v>
          </cell>
          <cell r="D171" t="str">
            <v>The probability of Tengman entanglement+{0}%</v>
          </cell>
          <cell r="E171" t="str">
            <v>トウマンが絡み合う確率+{0}%</v>
          </cell>
          <cell r="F171" t="str">
            <v>후지맨이 감길 확률 +{0}%</v>
          </cell>
          <cell r="G171" t="str">
            <v>The probability of Tengman entanglement+{0}%</v>
          </cell>
          <cell r="H171" t="str">
            <v>The probability of Tengman entanglement+{0}%</v>
          </cell>
          <cell r="I171" t="str">
            <v>The probability of Tengman entanglement+{0}%</v>
          </cell>
          <cell r="J171" t="str">
            <v>The probability of Tengman entanglement+{0}%</v>
          </cell>
        </row>
        <row r="172">
          <cell r="A172">
            <v>24205</v>
          </cell>
          <cell r="B172" t="str">
            <v>老魔杖攻击时，对目标周围造成范围伤害，伤害为老杖攻击的{0}%，并附加曼束缚效果</v>
          </cell>
          <cell r="C172" t="str">
            <v>老魔杖攻击时，对目标周围造成范围伤害，伤害为老杖攻击的{0}%，并附加曼束缚效果</v>
          </cell>
          <cell r="D172" t="str">
            <v>When attacked by the Elder Wand, it deals range damage to the surrounding area of the target, with a damage of {0}% of the Elder Wand attack, and adds a Mann binding effect</v>
          </cell>
          <cell r="E172" t="str">
            <v>老杖攻撃時、ターゲット周囲に範囲ダメージを与え、ダメージは老杖攻撃の{0}%となり、マン束縛効果を付加する</v>
          </cell>
          <cell r="F172" t="str">
            <v>늙은 지팡이 공격 시 목표 주위에 범위 데미지를 입힙니다. 데미지는 늙은 지팡이 공격의 {0}%이며 만 속박 효과를 부가합니다</v>
          </cell>
          <cell r="G172" t="str">
            <v>When attacked by the Elder Wand, it deals range damage to the surrounding area of the target, with a damage of {0}% of the Elder Wand attack, and adds a Mann binding effect</v>
          </cell>
          <cell r="H172" t="str">
            <v>When attacked by the Elder Wand, it deals range damage to the surrounding area of the target, with a damage of {0}% of the Elder Wand attack, and adds a Mann binding effect</v>
          </cell>
          <cell r="I172" t="str">
            <v>When attacked by the Elder Wand, it deals range damage to the surrounding area of the target, with a damage of {0}% of the Elder Wand attack, and adds a Mann binding effect</v>
          </cell>
          <cell r="J172" t="str">
            <v>When attacked by the Elder Wand, it deals range damage to the surrounding area of the target, with a damage of {0}% of the Elder Wand attack, and adds a Mann binding effect</v>
          </cell>
        </row>
        <row r="173">
          <cell r="A173">
            <v>24206</v>
          </cell>
          <cell r="B173" t="str">
            <v>藤曼缠绕时间+{0}s</v>
          </cell>
          <cell r="C173" t="str">
            <v>藤曼缠绕时间+{0}s</v>
          </cell>
          <cell r="D173" t="str">
            <v>Tengman winding time+ {0}s</v>
          </cell>
          <cell r="E173" t="str">
            <v>トウマン巻き時間+{0}s</v>
          </cell>
          <cell r="F173" t="str">
            <v>후지만 휘감기 시간 +{0}s</v>
          </cell>
          <cell r="G173" t="str">
            <v>Tengman winding time+ {0}s</v>
          </cell>
          <cell r="H173" t="str">
            <v>Tengman winding time+ {0}s</v>
          </cell>
          <cell r="I173" t="str">
            <v>Tengman winding time+ {0}s</v>
          </cell>
          <cell r="J173" t="str">
            <v>Tengman winding time+ {0}s</v>
          </cell>
        </row>
        <row r="174">
          <cell r="A174">
            <v>24207</v>
          </cell>
          <cell r="B174" t="str">
            <v>老魔杖攻击速度+{0}%</v>
          </cell>
          <cell r="C174" t="str">
            <v>老魔杖攻击速度+{0}%</v>
          </cell>
          <cell r="D174" t="str">
            <v>Elder Wand attack speed+{0}%</v>
          </cell>
          <cell r="E174" t="str">
            <v>老杖攻撃速度+{0}%</v>
          </cell>
          <cell r="F174" t="str">
            <v>늙은 지팡이 공격 속도 +{0}%</v>
          </cell>
          <cell r="G174" t="str">
            <v>Elder Wand attack speed+{0}%</v>
          </cell>
          <cell r="H174" t="str">
            <v>Elder Wand attack speed+{0}%</v>
          </cell>
          <cell r="I174" t="str">
            <v>Elder Wand attack speed+{0}%</v>
          </cell>
          <cell r="J174" t="str">
            <v>Elder Wand attack speed+{0}%</v>
          </cell>
        </row>
        <row r="175">
          <cell r="A175">
            <v>24208</v>
          </cell>
          <cell r="B175" t="str">
            <v>老魔杖攻击时，{0}%的概率发动死亡藤曼，对命中的目标造成{1}%的攻击伤害并施加藤曼束效果</v>
          </cell>
          <cell r="C175" t="str">
            <v>老魔杖攻击时，{0}%的概率发动死亡藤曼，对命中的目标造成{1}%的攻击伤害并施加藤曼束效果</v>
          </cell>
          <cell r="D175" t="str">
            <v>When the Elder Wand attacks, there is a {0}% chance to launch the Death Tengman, dealing {1}% attack damage to the target and applying the Tengman Bundle effect</v>
          </cell>
          <cell r="E175" t="str">
            <v>老杖攻撃時、{0}%の確率でデス・トウマンを発動し、命中したターゲットに{1}%の攻撃ダメージを与えトウマンビーム効果を与える</v>
          </cell>
          <cell r="F175" t="str">
            <v>늙은 지팡이 공격 시 {0}% 확률로 사망 덩굴만을 발동, 명중 목표에게 {1}% 공격 대미지를 주고 덩굴만 묶음 효과</v>
          </cell>
          <cell r="G175" t="str">
            <v>When the Elder Wand attacks, there is a {0}% chance to launch the Death Tengman, dealing {1}% attack damage to the target and applying the Tengman Bundle effect</v>
          </cell>
          <cell r="H175" t="str">
            <v>When the Elder Wand attacks, there is a {0}% chance to launch the Death Tengman, dealing {1}% attack damage to the target and applying the Tengman Bundle effect</v>
          </cell>
          <cell r="I175" t="str">
            <v>When the Elder Wand attacks, there is a {0}% chance to launch the Death Tengman, dealing {1}% attack damage to the target and applying the Tengman Bundle effect</v>
          </cell>
          <cell r="J175" t="str">
            <v>When the Elder Wand attacks, there is a {0}% chance to launch the Death Tengman, dealing {1}% attack damage to the target and applying the Tengman Bundle effect</v>
          </cell>
        </row>
        <row r="176">
          <cell r="A176">
            <v>24209</v>
          </cell>
          <cell r="B176" t="str">
            <v>老魔杖死亡藤曼的发动概率+{0}%</v>
          </cell>
          <cell r="C176" t="str">
            <v>老魔杖死亡藤曼的发动概率+{0}%</v>
          </cell>
          <cell r="D176" t="str">
            <v>The activation probability of the Elder Wand's Death Tengman+{0}%</v>
          </cell>
          <cell r="E176" t="str">
            <v>老杖死亡トウマンの発動確率+{0}%</v>
          </cell>
          <cell r="F176" t="str">
            <v>늙은 지팡이 사망 덩굴만 발동 확률 +{0}%</v>
          </cell>
          <cell r="G176" t="str">
            <v>The activation probability of the Elder Wand's Death Tengman+{0}%</v>
          </cell>
          <cell r="H176" t="str">
            <v>The activation probability of the Elder Wand's Death Tengman+{0}%</v>
          </cell>
          <cell r="I176" t="str">
            <v>The activation probability of the Elder Wand's Death Tengman+{0}%</v>
          </cell>
          <cell r="J176" t="str">
            <v>The activation probability of the Elder Wand's Death Tengman+{0}%</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A153" workbookViewId="0">
      <selection activeCell="C178" sqref="C178"/>
    </sheetView>
  </sheetViews>
  <sheetFormatPr defaultColWidth="9" defaultRowHeight="18" customHeight="1" x14ac:dyDescent="0.15"/>
  <cols>
    <col min="1" max="1" width="9" style="2"/>
    <col min="2" max="10" width="40.875" style="2" customWidth="1"/>
    <col min="11" max="16384" width="9" style="3"/>
  </cols>
  <sheetData>
    <row r="1" spans="1:19" s="2" customFormat="1" ht="18" customHeight="1" x14ac:dyDescent="0.15">
      <c r="A1" s="5" t="s">
        <v>0</v>
      </c>
      <c r="B1" s="6" t="s">
        <v>1</v>
      </c>
      <c r="C1" s="6" t="s">
        <v>1</v>
      </c>
      <c r="D1" s="6" t="s">
        <v>1</v>
      </c>
      <c r="E1" s="6" t="s">
        <v>1</v>
      </c>
      <c r="F1" s="6" t="s">
        <v>1</v>
      </c>
      <c r="G1" s="6" t="s">
        <v>2</v>
      </c>
      <c r="H1" s="6" t="s">
        <v>2</v>
      </c>
      <c r="I1" s="6" t="s">
        <v>2</v>
      </c>
      <c r="J1" s="6" t="s">
        <v>2</v>
      </c>
    </row>
    <row r="2" spans="1:19" s="2" customFormat="1" ht="18" customHeight="1" x14ac:dyDescent="0.15">
      <c r="A2" s="7" t="s">
        <v>3</v>
      </c>
      <c r="B2" s="8" t="s">
        <v>4</v>
      </c>
      <c r="C2" s="8" t="s">
        <v>4</v>
      </c>
      <c r="D2" s="8" t="s">
        <v>4</v>
      </c>
      <c r="E2" s="8" t="s">
        <v>4</v>
      </c>
      <c r="F2" s="8" t="s">
        <v>4</v>
      </c>
      <c r="G2" s="9" t="s">
        <v>4</v>
      </c>
      <c r="H2" s="9" t="s">
        <v>4</v>
      </c>
      <c r="I2" s="9" t="s">
        <v>4</v>
      </c>
      <c r="J2" s="9" t="s">
        <v>4</v>
      </c>
    </row>
    <row r="3" spans="1:19" s="2" customFormat="1" ht="18" customHeight="1" x14ac:dyDescent="0.15">
      <c r="A3" s="7" t="s">
        <v>5</v>
      </c>
      <c r="B3" s="8" t="s">
        <v>6</v>
      </c>
      <c r="C3" s="8" t="s">
        <v>7</v>
      </c>
      <c r="D3" s="8" t="s">
        <v>8</v>
      </c>
      <c r="E3" s="8" t="s">
        <v>9</v>
      </c>
      <c r="F3" s="8" t="s">
        <v>10</v>
      </c>
      <c r="G3" s="8" t="s">
        <v>11</v>
      </c>
      <c r="H3" s="8" t="s">
        <v>12</v>
      </c>
      <c r="I3" s="8" t="s">
        <v>13</v>
      </c>
      <c r="J3" s="8" t="s">
        <v>14</v>
      </c>
    </row>
    <row r="4" spans="1:19" s="2" customFormat="1" ht="18" customHeight="1" x14ac:dyDescent="0.15">
      <c r="A4" s="7" t="s">
        <v>15</v>
      </c>
      <c r="B4" s="8" t="s">
        <v>16</v>
      </c>
      <c r="C4" s="8" t="s">
        <v>16</v>
      </c>
      <c r="D4" s="8" t="s">
        <v>16</v>
      </c>
      <c r="E4" s="8" t="s">
        <v>16</v>
      </c>
      <c r="F4" s="8" t="s">
        <v>16</v>
      </c>
      <c r="G4" s="8" t="s">
        <v>16</v>
      </c>
      <c r="H4" s="8" t="s">
        <v>16</v>
      </c>
      <c r="I4" s="8" t="s">
        <v>16</v>
      </c>
      <c r="J4" s="8" t="s">
        <v>16</v>
      </c>
    </row>
    <row r="5" spans="1:19" s="2" customFormat="1" ht="18" customHeight="1" x14ac:dyDescent="0.15">
      <c r="A5" s="10"/>
      <c r="B5" s="11"/>
      <c r="C5" s="11"/>
      <c r="D5" s="11"/>
      <c r="E5" s="11"/>
      <c r="F5" s="11"/>
      <c r="G5" s="11"/>
      <c r="H5" s="11"/>
      <c r="I5" s="11"/>
      <c r="J5" s="11"/>
    </row>
    <row r="6" spans="1:19" ht="18" customHeight="1" x14ac:dyDescent="0.3">
      <c r="A6" s="12">
        <v>101</v>
      </c>
      <c r="B6" s="12" t="s">
        <v>17</v>
      </c>
      <c r="C6" s="13" t="s">
        <v>18</v>
      </c>
      <c r="D6" s="13" t="s">
        <v>19</v>
      </c>
      <c r="E6" s="14" t="s">
        <v>20</v>
      </c>
      <c r="F6" s="15" t="s">
        <v>21</v>
      </c>
      <c r="G6" s="16" t="s">
        <v>22</v>
      </c>
      <c r="H6" s="16" t="s">
        <v>23</v>
      </c>
      <c r="I6" s="16" t="s">
        <v>24</v>
      </c>
      <c r="J6" s="16" t="s">
        <v>25</v>
      </c>
    </row>
    <row r="7" spans="1:19" ht="18" customHeight="1" x14ac:dyDescent="0.3">
      <c r="A7" s="12">
        <v>102</v>
      </c>
      <c r="B7" s="12" t="s">
        <v>26</v>
      </c>
      <c r="C7" s="13" t="s">
        <v>26</v>
      </c>
      <c r="D7" s="13" t="s">
        <v>27</v>
      </c>
      <c r="E7" s="14" t="s">
        <v>28</v>
      </c>
      <c r="F7" s="15" t="s">
        <v>29</v>
      </c>
      <c r="G7" s="16" t="s">
        <v>30</v>
      </c>
      <c r="H7" s="16" t="s">
        <v>31</v>
      </c>
      <c r="I7" s="16" t="s">
        <v>32</v>
      </c>
      <c r="J7" s="16" t="s">
        <v>33</v>
      </c>
    </row>
    <row r="8" spans="1:19" ht="18" customHeight="1" x14ac:dyDescent="0.3">
      <c r="A8" s="12">
        <v>103</v>
      </c>
      <c r="B8" s="12" t="s">
        <v>26</v>
      </c>
      <c r="C8" s="13" t="s">
        <v>26</v>
      </c>
      <c r="D8" s="13" t="s">
        <v>27</v>
      </c>
      <c r="E8" s="14" t="s">
        <v>28</v>
      </c>
      <c r="F8" s="15" t="s">
        <v>29</v>
      </c>
      <c r="G8" s="16" t="s">
        <v>30</v>
      </c>
      <c r="H8" s="16" t="s">
        <v>31</v>
      </c>
      <c r="I8" s="16" t="s">
        <v>32</v>
      </c>
      <c r="J8" s="16" t="s">
        <v>33</v>
      </c>
    </row>
    <row r="9" spans="1:19" ht="18" customHeight="1" x14ac:dyDescent="0.3">
      <c r="A9" s="12">
        <v>104</v>
      </c>
      <c r="B9" s="12" t="s">
        <v>34</v>
      </c>
      <c r="C9" s="13" t="s">
        <v>34</v>
      </c>
      <c r="D9" s="13" t="s">
        <v>35</v>
      </c>
      <c r="E9" s="14" t="s">
        <v>36</v>
      </c>
      <c r="F9" s="15" t="s">
        <v>37</v>
      </c>
      <c r="G9" s="16" t="s">
        <v>38</v>
      </c>
      <c r="H9" s="16" t="s">
        <v>39</v>
      </c>
      <c r="I9" s="16" t="s">
        <v>40</v>
      </c>
      <c r="J9" s="16" t="s">
        <v>41</v>
      </c>
    </row>
    <row r="10" spans="1:19" ht="18" customHeight="1" x14ac:dyDescent="0.3">
      <c r="A10" s="12">
        <v>105</v>
      </c>
      <c r="B10" s="12" t="s">
        <v>42</v>
      </c>
      <c r="C10" s="13" t="s">
        <v>42</v>
      </c>
      <c r="D10" s="13" t="s">
        <v>43</v>
      </c>
      <c r="E10" s="14" t="s">
        <v>44</v>
      </c>
      <c r="F10" s="15" t="s">
        <v>45</v>
      </c>
      <c r="G10" s="16" t="s">
        <v>46</v>
      </c>
      <c r="H10" s="16" t="s">
        <v>47</v>
      </c>
      <c r="I10" s="16" t="s">
        <v>48</v>
      </c>
      <c r="J10" s="16" t="s">
        <v>49</v>
      </c>
    </row>
    <row r="11" spans="1:19" ht="18" customHeight="1" x14ac:dyDescent="0.3">
      <c r="A11" s="12">
        <v>106</v>
      </c>
      <c r="B11" s="12" t="s">
        <v>50</v>
      </c>
      <c r="C11" s="13" t="s">
        <v>50</v>
      </c>
      <c r="D11" s="13" t="s">
        <v>51</v>
      </c>
      <c r="E11" s="14" t="s">
        <v>52</v>
      </c>
      <c r="F11" s="15" t="s">
        <v>53</v>
      </c>
      <c r="G11" s="16" t="s">
        <v>54</v>
      </c>
      <c r="H11" s="16" t="s">
        <v>55</v>
      </c>
      <c r="I11" s="16" t="s">
        <v>56</v>
      </c>
      <c r="J11" s="16" t="s">
        <v>57</v>
      </c>
    </row>
    <row r="12" spans="1:19" s="4" customFormat="1" ht="18" customHeight="1" x14ac:dyDescent="0.3">
      <c r="A12" s="12">
        <v>107</v>
      </c>
      <c r="B12" s="12" t="s">
        <v>50</v>
      </c>
      <c r="C12" s="13" t="s">
        <v>50</v>
      </c>
      <c r="D12" s="13" t="s">
        <v>51</v>
      </c>
      <c r="E12" s="14" t="s">
        <v>52</v>
      </c>
      <c r="F12" s="15" t="s">
        <v>53</v>
      </c>
      <c r="G12" s="16" t="s">
        <v>54</v>
      </c>
      <c r="H12" s="16" t="s">
        <v>55</v>
      </c>
      <c r="I12" s="16" t="s">
        <v>56</v>
      </c>
      <c r="J12" s="16" t="s">
        <v>57</v>
      </c>
      <c r="K12" s="23"/>
      <c r="L12" s="24"/>
      <c r="M12" s="24"/>
      <c r="N12" s="24"/>
      <c r="O12" s="24"/>
      <c r="P12" s="24"/>
      <c r="Q12" s="24"/>
      <c r="R12" s="24"/>
      <c r="S12" s="24"/>
    </row>
    <row r="13" spans="1:19" ht="18" customHeight="1" x14ac:dyDescent="0.3">
      <c r="A13" s="17">
        <v>108</v>
      </c>
      <c r="B13" s="17" t="s">
        <v>50</v>
      </c>
      <c r="C13" s="13" t="s">
        <v>50</v>
      </c>
      <c r="D13" s="13" t="s">
        <v>51</v>
      </c>
      <c r="E13" s="14" t="s">
        <v>52</v>
      </c>
      <c r="F13" s="15" t="s">
        <v>53</v>
      </c>
      <c r="G13" s="16" t="s">
        <v>54</v>
      </c>
      <c r="H13" s="16" t="s">
        <v>55</v>
      </c>
      <c r="I13" s="16" t="s">
        <v>56</v>
      </c>
      <c r="J13" s="16" t="s">
        <v>57</v>
      </c>
    </row>
    <row r="14" spans="1:19" ht="18" customHeight="1" x14ac:dyDescent="0.3">
      <c r="A14" s="17">
        <v>109</v>
      </c>
      <c r="B14" s="17" t="s">
        <v>58</v>
      </c>
      <c r="C14" s="13" t="s">
        <v>58</v>
      </c>
      <c r="D14" s="18" t="s">
        <v>59</v>
      </c>
      <c r="E14" s="18" t="s">
        <v>60</v>
      </c>
      <c r="F14" s="15" t="s">
        <v>61</v>
      </c>
      <c r="G14" s="16" t="s">
        <v>62</v>
      </c>
      <c r="H14" s="16" t="s">
        <v>63</v>
      </c>
      <c r="I14" s="16" t="s">
        <v>64</v>
      </c>
      <c r="J14" s="16" t="s">
        <v>65</v>
      </c>
    </row>
    <row r="15" spans="1:19" ht="18" customHeight="1" x14ac:dyDescent="0.3">
      <c r="A15" s="17">
        <v>110</v>
      </c>
      <c r="B15" s="17" t="s">
        <v>66</v>
      </c>
      <c r="C15" s="13" t="s">
        <v>66</v>
      </c>
      <c r="D15" s="13" t="s">
        <v>67</v>
      </c>
      <c r="E15" s="14" t="s">
        <v>68</v>
      </c>
      <c r="F15" s="15" t="s">
        <v>69</v>
      </c>
      <c r="G15" s="16" t="s">
        <v>70</v>
      </c>
      <c r="H15" s="16" t="s">
        <v>71</v>
      </c>
      <c r="I15" s="16" t="s">
        <v>72</v>
      </c>
      <c r="J15" s="16" t="s">
        <v>73</v>
      </c>
    </row>
    <row r="16" spans="1:19" ht="18" customHeight="1" x14ac:dyDescent="0.3">
      <c r="A16" s="17">
        <v>111</v>
      </c>
      <c r="B16" s="17" t="s">
        <v>66</v>
      </c>
      <c r="C16" s="13" t="s">
        <v>66</v>
      </c>
      <c r="D16" s="13" t="s">
        <v>67</v>
      </c>
      <c r="E16" s="14" t="s">
        <v>68</v>
      </c>
      <c r="F16" s="15" t="s">
        <v>69</v>
      </c>
      <c r="G16" s="16" t="s">
        <v>70</v>
      </c>
      <c r="H16" s="16" t="s">
        <v>71</v>
      </c>
      <c r="I16" s="16" t="s">
        <v>72</v>
      </c>
      <c r="J16" s="16" t="s">
        <v>73</v>
      </c>
    </row>
    <row r="17" spans="1:10" ht="18" customHeight="1" x14ac:dyDescent="0.15">
      <c r="A17" s="17">
        <v>112</v>
      </c>
      <c r="B17" s="18" t="s">
        <v>74</v>
      </c>
      <c r="C17" s="18" t="s">
        <v>74</v>
      </c>
      <c r="D17" s="18" t="s">
        <v>75</v>
      </c>
      <c r="E17" s="18" t="s">
        <v>76</v>
      </c>
      <c r="F17" s="19" t="s">
        <v>77</v>
      </c>
      <c r="G17" s="18" t="s">
        <v>78</v>
      </c>
      <c r="H17" s="18" t="s">
        <v>79</v>
      </c>
      <c r="I17" s="18" t="s">
        <v>80</v>
      </c>
      <c r="J17" s="18" t="s">
        <v>81</v>
      </c>
    </row>
    <row r="18" spans="1:10" ht="18" customHeight="1" x14ac:dyDescent="0.15">
      <c r="A18" s="17">
        <v>113</v>
      </c>
      <c r="B18" s="18" t="s">
        <v>74</v>
      </c>
      <c r="C18" s="18" t="s">
        <v>74</v>
      </c>
      <c r="D18" s="18" t="s">
        <v>75</v>
      </c>
      <c r="E18" s="18" t="s">
        <v>76</v>
      </c>
      <c r="F18" s="19" t="s">
        <v>77</v>
      </c>
      <c r="G18" s="18" t="s">
        <v>78</v>
      </c>
      <c r="H18" s="18" t="s">
        <v>79</v>
      </c>
      <c r="I18" s="18" t="s">
        <v>80</v>
      </c>
      <c r="J18" s="18" t="s">
        <v>81</v>
      </c>
    </row>
    <row r="19" spans="1:10" ht="18" customHeight="1" x14ac:dyDescent="0.15">
      <c r="A19" s="17">
        <v>114</v>
      </c>
      <c r="B19" s="18" t="s">
        <v>74</v>
      </c>
      <c r="C19" s="18" t="s">
        <v>74</v>
      </c>
      <c r="D19" s="18" t="s">
        <v>75</v>
      </c>
      <c r="E19" s="18" t="s">
        <v>76</v>
      </c>
      <c r="F19" s="19" t="s">
        <v>77</v>
      </c>
      <c r="G19" s="18" t="s">
        <v>78</v>
      </c>
      <c r="H19" s="18" t="s">
        <v>79</v>
      </c>
      <c r="I19" s="18" t="s">
        <v>80</v>
      </c>
      <c r="J19" s="18" t="s">
        <v>81</v>
      </c>
    </row>
    <row r="20" spans="1:10" ht="18" customHeight="1" x14ac:dyDescent="0.3">
      <c r="A20" s="17">
        <v>115</v>
      </c>
      <c r="B20" s="17" t="s">
        <v>82</v>
      </c>
      <c r="C20" s="13" t="s">
        <v>82</v>
      </c>
      <c r="D20" s="13" t="s">
        <v>83</v>
      </c>
      <c r="E20" s="14" t="s">
        <v>84</v>
      </c>
      <c r="F20" s="15" t="s">
        <v>85</v>
      </c>
      <c r="G20" s="16" t="s">
        <v>86</v>
      </c>
      <c r="H20" s="16" t="s">
        <v>87</v>
      </c>
      <c r="I20" s="16" t="s">
        <v>88</v>
      </c>
      <c r="J20" s="16" t="s">
        <v>89</v>
      </c>
    </row>
    <row r="21" spans="1:10" ht="18" customHeight="1" x14ac:dyDescent="0.3">
      <c r="A21" s="17">
        <v>116</v>
      </c>
      <c r="B21" s="17" t="s">
        <v>82</v>
      </c>
      <c r="C21" s="13" t="s">
        <v>82</v>
      </c>
      <c r="D21" s="13" t="s">
        <v>83</v>
      </c>
      <c r="E21" s="14" t="s">
        <v>84</v>
      </c>
      <c r="F21" s="15" t="s">
        <v>85</v>
      </c>
      <c r="G21" s="16" t="s">
        <v>86</v>
      </c>
      <c r="H21" s="16" t="s">
        <v>87</v>
      </c>
      <c r="I21" s="16" t="s">
        <v>88</v>
      </c>
      <c r="J21" s="16" t="s">
        <v>89</v>
      </c>
    </row>
    <row r="22" spans="1:10" ht="18" customHeight="1" x14ac:dyDescent="0.3">
      <c r="A22" s="17">
        <v>117</v>
      </c>
      <c r="B22" s="17" t="s">
        <v>82</v>
      </c>
      <c r="C22" s="13" t="s">
        <v>82</v>
      </c>
      <c r="D22" s="13" t="s">
        <v>83</v>
      </c>
      <c r="E22" s="14" t="s">
        <v>84</v>
      </c>
      <c r="F22" s="15" t="s">
        <v>85</v>
      </c>
      <c r="G22" s="16" t="s">
        <v>86</v>
      </c>
      <c r="H22" s="16" t="s">
        <v>87</v>
      </c>
      <c r="I22" s="16" t="s">
        <v>88</v>
      </c>
      <c r="J22" s="16" t="s">
        <v>89</v>
      </c>
    </row>
    <row r="23" spans="1:10" ht="18" customHeight="1" x14ac:dyDescent="0.3">
      <c r="A23" s="17">
        <v>118</v>
      </c>
      <c r="B23" s="17" t="s">
        <v>90</v>
      </c>
      <c r="C23" s="13" t="s">
        <v>90</v>
      </c>
      <c r="D23" s="13" t="s">
        <v>91</v>
      </c>
      <c r="E23" s="14" t="s">
        <v>92</v>
      </c>
      <c r="F23" s="15" t="s">
        <v>93</v>
      </c>
      <c r="G23" s="16" t="s">
        <v>94</v>
      </c>
      <c r="H23" s="16" t="s">
        <v>95</v>
      </c>
      <c r="I23" s="16" t="s">
        <v>96</v>
      </c>
      <c r="J23" s="16" t="s">
        <v>97</v>
      </c>
    </row>
    <row r="24" spans="1:10" ht="18" customHeight="1" x14ac:dyDescent="0.3">
      <c r="A24" s="17">
        <v>119</v>
      </c>
      <c r="B24" s="17" t="s">
        <v>90</v>
      </c>
      <c r="C24" s="13" t="s">
        <v>90</v>
      </c>
      <c r="D24" s="13" t="s">
        <v>91</v>
      </c>
      <c r="E24" s="14" t="s">
        <v>92</v>
      </c>
      <c r="F24" s="15" t="s">
        <v>93</v>
      </c>
      <c r="G24" s="16" t="s">
        <v>94</v>
      </c>
      <c r="H24" s="16" t="s">
        <v>95</v>
      </c>
      <c r="I24" s="16" t="s">
        <v>96</v>
      </c>
      <c r="J24" s="16" t="s">
        <v>97</v>
      </c>
    </row>
    <row r="25" spans="1:10" ht="18" customHeight="1" x14ac:dyDescent="0.3">
      <c r="A25" s="17">
        <v>120</v>
      </c>
      <c r="B25" s="17" t="s">
        <v>90</v>
      </c>
      <c r="C25" s="13" t="s">
        <v>90</v>
      </c>
      <c r="D25" s="13" t="s">
        <v>91</v>
      </c>
      <c r="E25" s="14" t="s">
        <v>92</v>
      </c>
      <c r="F25" s="15" t="s">
        <v>93</v>
      </c>
      <c r="G25" s="16" t="s">
        <v>94</v>
      </c>
      <c r="H25" s="16" t="s">
        <v>95</v>
      </c>
      <c r="I25" s="16" t="s">
        <v>96</v>
      </c>
      <c r="J25" s="16" t="s">
        <v>97</v>
      </c>
    </row>
    <row r="26" spans="1:10" ht="18" customHeight="1" x14ac:dyDescent="0.3">
      <c r="A26" s="17">
        <v>121</v>
      </c>
      <c r="B26" s="17" t="s">
        <v>98</v>
      </c>
      <c r="C26" s="13" t="s">
        <v>98</v>
      </c>
      <c r="D26" s="13" t="s">
        <v>99</v>
      </c>
      <c r="E26" s="14" t="s">
        <v>100</v>
      </c>
      <c r="F26" s="15" t="s">
        <v>101</v>
      </c>
      <c r="G26" s="16" t="s">
        <v>102</v>
      </c>
      <c r="H26" s="16" t="s">
        <v>103</v>
      </c>
      <c r="I26" s="16" t="s">
        <v>104</v>
      </c>
      <c r="J26" s="16" t="s">
        <v>105</v>
      </c>
    </row>
    <row r="27" spans="1:10" ht="18" customHeight="1" x14ac:dyDescent="0.3">
      <c r="A27" s="17">
        <v>122</v>
      </c>
      <c r="B27" s="17" t="s">
        <v>98</v>
      </c>
      <c r="C27" s="13" t="s">
        <v>98</v>
      </c>
      <c r="D27" s="13" t="s">
        <v>99</v>
      </c>
      <c r="E27" s="14" t="s">
        <v>100</v>
      </c>
      <c r="F27" s="15" t="s">
        <v>101</v>
      </c>
      <c r="G27" s="16" t="s">
        <v>102</v>
      </c>
      <c r="H27" s="16" t="s">
        <v>103</v>
      </c>
      <c r="I27" s="16" t="s">
        <v>104</v>
      </c>
      <c r="J27" s="16" t="s">
        <v>105</v>
      </c>
    </row>
    <row r="28" spans="1:10" ht="18" customHeight="1" x14ac:dyDescent="0.3">
      <c r="A28" s="17">
        <v>123</v>
      </c>
      <c r="B28" s="17" t="s">
        <v>98</v>
      </c>
      <c r="C28" s="13" t="s">
        <v>98</v>
      </c>
      <c r="D28" s="13" t="s">
        <v>99</v>
      </c>
      <c r="E28" s="14" t="s">
        <v>100</v>
      </c>
      <c r="F28" s="15" t="s">
        <v>101</v>
      </c>
      <c r="G28" s="16" t="s">
        <v>102</v>
      </c>
      <c r="H28" s="16" t="s">
        <v>103</v>
      </c>
      <c r="I28" s="16" t="s">
        <v>104</v>
      </c>
      <c r="J28" s="16" t="s">
        <v>105</v>
      </c>
    </row>
    <row r="29" spans="1:10" ht="18" customHeight="1" x14ac:dyDescent="0.3">
      <c r="A29" s="17">
        <v>124</v>
      </c>
      <c r="B29" s="17" t="s">
        <v>106</v>
      </c>
      <c r="C29" s="13" t="s">
        <v>106</v>
      </c>
      <c r="D29" s="13" t="s">
        <v>107</v>
      </c>
      <c r="E29" s="14" t="s">
        <v>108</v>
      </c>
      <c r="F29" s="15" t="s">
        <v>109</v>
      </c>
      <c r="G29" s="16" t="s">
        <v>110</v>
      </c>
      <c r="H29" s="16" t="s">
        <v>111</v>
      </c>
      <c r="I29" s="16" t="s">
        <v>112</v>
      </c>
      <c r="J29" s="16" t="s">
        <v>113</v>
      </c>
    </row>
    <row r="30" spans="1:10" ht="18" customHeight="1" x14ac:dyDescent="0.3">
      <c r="A30" s="17">
        <v>125</v>
      </c>
      <c r="B30" s="17" t="s">
        <v>106</v>
      </c>
      <c r="C30" s="13" t="s">
        <v>106</v>
      </c>
      <c r="D30" s="13" t="s">
        <v>107</v>
      </c>
      <c r="E30" s="14" t="s">
        <v>108</v>
      </c>
      <c r="F30" s="15" t="s">
        <v>109</v>
      </c>
      <c r="G30" s="16" t="s">
        <v>110</v>
      </c>
      <c r="H30" s="16" t="s">
        <v>111</v>
      </c>
      <c r="I30" s="16" t="s">
        <v>112</v>
      </c>
      <c r="J30" s="16" t="s">
        <v>113</v>
      </c>
    </row>
    <row r="31" spans="1:10" ht="18" customHeight="1" x14ac:dyDescent="0.3">
      <c r="A31" s="17">
        <v>126</v>
      </c>
      <c r="B31" s="17" t="s">
        <v>106</v>
      </c>
      <c r="C31" s="13" t="s">
        <v>106</v>
      </c>
      <c r="D31" s="13" t="s">
        <v>107</v>
      </c>
      <c r="E31" s="14" t="s">
        <v>108</v>
      </c>
      <c r="F31" s="15" t="s">
        <v>109</v>
      </c>
      <c r="G31" s="16" t="s">
        <v>110</v>
      </c>
      <c r="H31" s="16" t="s">
        <v>111</v>
      </c>
      <c r="I31" s="16" t="s">
        <v>112</v>
      </c>
      <c r="J31" s="16" t="s">
        <v>113</v>
      </c>
    </row>
    <row r="32" spans="1:10" ht="18" customHeight="1" x14ac:dyDescent="0.3">
      <c r="A32" s="17">
        <v>127</v>
      </c>
      <c r="B32" s="17" t="s">
        <v>114</v>
      </c>
      <c r="C32" s="13" t="s">
        <v>114</v>
      </c>
      <c r="D32" s="13" t="s">
        <v>115</v>
      </c>
      <c r="E32" s="14" t="s">
        <v>116</v>
      </c>
      <c r="F32" s="15" t="s">
        <v>117</v>
      </c>
      <c r="G32" s="16" t="s">
        <v>118</v>
      </c>
      <c r="H32" s="16" t="s">
        <v>119</v>
      </c>
      <c r="I32" s="16" t="s">
        <v>120</v>
      </c>
      <c r="J32" s="16" t="s">
        <v>121</v>
      </c>
    </row>
    <row r="33" spans="1:10" ht="18" customHeight="1" x14ac:dyDescent="0.3">
      <c r="A33" s="17">
        <v>128</v>
      </c>
      <c r="B33" s="17" t="s">
        <v>114</v>
      </c>
      <c r="C33" s="13" t="s">
        <v>114</v>
      </c>
      <c r="D33" s="13" t="s">
        <v>115</v>
      </c>
      <c r="E33" s="14" t="s">
        <v>116</v>
      </c>
      <c r="F33" s="15" t="s">
        <v>117</v>
      </c>
      <c r="G33" s="16" t="s">
        <v>118</v>
      </c>
      <c r="H33" s="16" t="s">
        <v>119</v>
      </c>
      <c r="I33" s="16" t="s">
        <v>120</v>
      </c>
      <c r="J33" s="16" t="s">
        <v>121</v>
      </c>
    </row>
    <row r="34" spans="1:10" ht="18" customHeight="1" x14ac:dyDescent="0.3">
      <c r="A34" s="17">
        <v>129</v>
      </c>
      <c r="B34" s="17" t="s">
        <v>114</v>
      </c>
      <c r="C34" s="13" t="s">
        <v>114</v>
      </c>
      <c r="D34" s="13" t="s">
        <v>115</v>
      </c>
      <c r="E34" s="14" t="s">
        <v>116</v>
      </c>
      <c r="F34" s="15" t="s">
        <v>117</v>
      </c>
      <c r="G34" s="16" t="s">
        <v>118</v>
      </c>
      <c r="H34" s="16" t="s">
        <v>119</v>
      </c>
      <c r="I34" s="16" t="s">
        <v>120</v>
      </c>
      <c r="J34" s="16" t="s">
        <v>121</v>
      </c>
    </row>
    <row r="35" spans="1:10" ht="18" customHeight="1" x14ac:dyDescent="0.3">
      <c r="A35" s="17">
        <v>130</v>
      </c>
      <c r="B35" s="17" t="s">
        <v>122</v>
      </c>
      <c r="C35" s="13" t="s">
        <v>122</v>
      </c>
      <c r="D35" s="13" t="s">
        <v>123</v>
      </c>
      <c r="E35" s="14" t="s">
        <v>124</v>
      </c>
      <c r="F35" s="15" t="s">
        <v>125</v>
      </c>
      <c r="G35" s="16" t="s">
        <v>126</v>
      </c>
      <c r="H35" s="16" t="s">
        <v>127</v>
      </c>
      <c r="I35" s="16" t="s">
        <v>128</v>
      </c>
      <c r="J35" s="16" t="s">
        <v>129</v>
      </c>
    </row>
    <row r="36" spans="1:10" ht="18" customHeight="1" x14ac:dyDescent="0.3">
      <c r="A36" s="17">
        <v>131</v>
      </c>
      <c r="B36" s="17" t="s">
        <v>122</v>
      </c>
      <c r="C36" s="13" t="s">
        <v>122</v>
      </c>
      <c r="D36" s="13" t="s">
        <v>123</v>
      </c>
      <c r="E36" s="14" t="s">
        <v>124</v>
      </c>
      <c r="F36" s="15" t="s">
        <v>125</v>
      </c>
      <c r="G36" s="16" t="s">
        <v>126</v>
      </c>
      <c r="H36" s="16" t="s">
        <v>127</v>
      </c>
      <c r="I36" s="16" t="s">
        <v>128</v>
      </c>
      <c r="J36" s="16" t="s">
        <v>129</v>
      </c>
    </row>
    <row r="37" spans="1:10" ht="18" customHeight="1" x14ac:dyDescent="0.3">
      <c r="A37" s="17">
        <v>132</v>
      </c>
      <c r="B37" s="17" t="s">
        <v>122</v>
      </c>
      <c r="C37" s="13" t="s">
        <v>122</v>
      </c>
      <c r="D37" s="13" t="s">
        <v>123</v>
      </c>
      <c r="E37" s="14" t="s">
        <v>124</v>
      </c>
      <c r="F37" s="15" t="s">
        <v>125</v>
      </c>
      <c r="G37" s="16" t="s">
        <v>126</v>
      </c>
      <c r="H37" s="16" t="s">
        <v>127</v>
      </c>
      <c r="I37" s="16" t="s">
        <v>128</v>
      </c>
      <c r="J37" s="16" t="s">
        <v>129</v>
      </c>
    </row>
    <row r="38" spans="1:10" ht="18" customHeight="1" x14ac:dyDescent="0.3">
      <c r="A38" s="17">
        <v>133</v>
      </c>
      <c r="B38" s="17" t="s">
        <v>130</v>
      </c>
      <c r="C38" s="13" t="s">
        <v>130</v>
      </c>
      <c r="D38" s="13" t="s">
        <v>131</v>
      </c>
      <c r="E38" s="14" t="s">
        <v>132</v>
      </c>
      <c r="F38" s="15" t="s">
        <v>133</v>
      </c>
      <c r="G38" s="16" t="s">
        <v>134</v>
      </c>
      <c r="H38" s="16" t="s">
        <v>135</v>
      </c>
      <c r="I38" s="16" t="s">
        <v>136</v>
      </c>
      <c r="J38" s="16" t="s">
        <v>137</v>
      </c>
    </row>
    <row r="39" spans="1:10" ht="18" customHeight="1" x14ac:dyDescent="0.3">
      <c r="A39" s="17">
        <v>134</v>
      </c>
      <c r="B39" s="17" t="s">
        <v>130</v>
      </c>
      <c r="C39" s="13" t="s">
        <v>130</v>
      </c>
      <c r="D39" s="13" t="s">
        <v>131</v>
      </c>
      <c r="E39" s="14" t="s">
        <v>132</v>
      </c>
      <c r="F39" s="15" t="s">
        <v>133</v>
      </c>
      <c r="G39" s="16" t="s">
        <v>134</v>
      </c>
      <c r="H39" s="16" t="s">
        <v>135</v>
      </c>
      <c r="I39" s="16" t="s">
        <v>136</v>
      </c>
      <c r="J39" s="16" t="s">
        <v>137</v>
      </c>
    </row>
    <row r="40" spans="1:10" ht="18" customHeight="1" x14ac:dyDescent="0.3">
      <c r="A40" s="17">
        <v>135</v>
      </c>
      <c r="B40" s="17" t="s">
        <v>130</v>
      </c>
      <c r="C40" s="13" t="s">
        <v>130</v>
      </c>
      <c r="D40" s="13" t="s">
        <v>131</v>
      </c>
      <c r="E40" s="14" t="s">
        <v>132</v>
      </c>
      <c r="F40" s="15" t="s">
        <v>133</v>
      </c>
      <c r="G40" s="16" t="s">
        <v>134</v>
      </c>
      <c r="H40" s="16" t="s">
        <v>135</v>
      </c>
      <c r="I40" s="16" t="s">
        <v>136</v>
      </c>
      <c r="J40" s="16" t="s">
        <v>137</v>
      </c>
    </row>
    <row r="41" spans="1:10" ht="18" customHeight="1" x14ac:dyDescent="0.15">
      <c r="A41" s="17">
        <v>136</v>
      </c>
      <c r="B41" s="17" t="s">
        <v>138</v>
      </c>
      <c r="C41" s="17" t="s">
        <v>138</v>
      </c>
      <c r="D41" s="20" t="s">
        <v>139</v>
      </c>
      <c r="E41" s="20" t="s">
        <v>140</v>
      </c>
      <c r="F41" s="21" t="s">
        <v>141</v>
      </c>
      <c r="G41" s="20" t="s">
        <v>142</v>
      </c>
      <c r="H41" s="20" t="s">
        <v>143</v>
      </c>
      <c r="I41" s="20" t="s">
        <v>144</v>
      </c>
      <c r="J41" s="20" t="s">
        <v>145</v>
      </c>
    </row>
    <row r="42" spans="1:10" ht="18" customHeight="1" x14ac:dyDescent="0.15">
      <c r="A42" s="17">
        <v>137</v>
      </c>
      <c r="B42" s="17" t="s">
        <v>146</v>
      </c>
      <c r="C42" s="17" t="s">
        <v>146</v>
      </c>
      <c r="D42" s="20" t="s">
        <v>147</v>
      </c>
      <c r="E42" s="20" t="s">
        <v>148</v>
      </c>
      <c r="F42" s="21" t="s">
        <v>149</v>
      </c>
      <c r="G42" s="20" t="s">
        <v>150</v>
      </c>
      <c r="H42" s="20" t="s">
        <v>151</v>
      </c>
      <c r="I42" s="20" t="s">
        <v>152</v>
      </c>
      <c r="J42" s="20" t="s">
        <v>153</v>
      </c>
    </row>
    <row r="43" spans="1:10" ht="18" customHeight="1" x14ac:dyDescent="0.15">
      <c r="A43" s="17">
        <v>201</v>
      </c>
      <c r="B43" s="17" t="s">
        <v>154</v>
      </c>
      <c r="C43" s="17" t="s">
        <v>154</v>
      </c>
      <c r="D43" s="17" t="s">
        <v>155</v>
      </c>
      <c r="E43" s="17" t="s">
        <v>156</v>
      </c>
      <c r="F43" s="22" t="s">
        <v>157</v>
      </c>
      <c r="G43" s="2" t="s">
        <v>158</v>
      </c>
      <c r="H43" s="2" t="s">
        <v>159</v>
      </c>
      <c r="I43" s="2" t="s">
        <v>160</v>
      </c>
      <c r="J43" s="2" t="s">
        <v>161</v>
      </c>
    </row>
    <row r="44" spans="1:10" ht="18" customHeight="1" x14ac:dyDescent="0.15">
      <c r="A44" s="17">
        <v>202</v>
      </c>
      <c r="B44" s="17" t="s">
        <v>162</v>
      </c>
      <c r="C44" s="17" t="s">
        <v>162</v>
      </c>
      <c r="D44" s="17" t="s">
        <v>163</v>
      </c>
      <c r="E44" s="17" t="s">
        <v>164</v>
      </c>
      <c r="F44" s="22" t="s">
        <v>165</v>
      </c>
      <c r="G44" s="2" t="s">
        <v>166</v>
      </c>
      <c r="H44" s="2" t="s">
        <v>167</v>
      </c>
      <c r="I44" s="2" t="s">
        <v>168</v>
      </c>
      <c r="J44" s="2" t="s">
        <v>169</v>
      </c>
    </row>
    <row r="45" spans="1:10" ht="18" customHeight="1" x14ac:dyDescent="0.15">
      <c r="A45" s="17">
        <v>203</v>
      </c>
      <c r="B45" s="17" t="s">
        <v>170</v>
      </c>
      <c r="C45" s="17" t="s">
        <v>170</v>
      </c>
      <c r="D45" s="17" t="s">
        <v>171</v>
      </c>
      <c r="E45" s="17" t="s">
        <v>172</v>
      </c>
      <c r="F45" s="22" t="s">
        <v>173</v>
      </c>
      <c r="G45" s="2" t="s">
        <v>174</v>
      </c>
      <c r="H45" s="2" t="s">
        <v>175</v>
      </c>
      <c r="I45" s="2" t="s">
        <v>176</v>
      </c>
      <c r="J45" s="2" t="s">
        <v>177</v>
      </c>
    </row>
    <row r="46" spans="1:10" ht="18" customHeight="1" x14ac:dyDescent="0.15">
      <c r="A46" s="17">
        <v>204</v>
      </c>
      <c r="B46" s="17" t="s">
        <v>178</v>
      </c>
      <c r="C46" s="17" t="s">
        <v>178</v>
      </c>
      <c r="D46" s="17" t="s">
        <v>179</v>
      </c>
      <c r="E46" s="17" t="s">
        <v>180</v>
      </c>
      <c r="F46" s="22" t="s">
        <v>181</v>
      </c>
      <c r="G46" s="2" t="s">
        <v>182</v>
      </c>
      <c r="H46" s="2" t="s">
        <v>183</v>
      </c>
      <c r="I46" s="2" t="s">
        <v>184</v>
      </c>
      <c r="J46" s="2" t="s">
        <v>185</v>
      </c>
    </row>
    <row r="47" spans="1:10" ht="18" customHeight="1" x14ac:dyDescent="0.15">
      <c r="A47" s="17">
        <v>205</v>
      </c>
      <c r="B47" s="17" t="s">
        <v>186</v>
      </c>
      <c r="C47" s="17" t="s">
        <v>186</v>
      </c>
      <c r="D47" s="17" t="s">
        <v>187</v>
      </c>
      <c r="E47" s="17" t="s">
        <v>188</v>
      </c>
      <c r="F47" s="22" t="s">
        <v>189</v>
      </c>
      <c r="G47" s="2" t="s">
        <v>190</v>
      </c>
      <c r="H47" s="2" t="s">
        <v>191</v>
      </c>
      <c r="I47" s="2" t="s">
        <v>192</v>
      </c>
      <c r="J47" s="2" t="s">
        <v>193</v>
      </c>
    </row>
    <row r="48" spans="1:10" ht="18" customHeight="1" x14ac:dyDescent="0.15">
      <c r="A48" s="17">
        <v>206</v>
      </c>
      <c r="B48" s="17" t="s">
        <v>194</v>
      </c>
      <c r="C48" s="17" t="s">
        <v>194</v>
      </c>
      <c r="D48" s="17" t="s">
        <v>195</v>
      </c>
      <c r="E48" s="17" t="s">
        <v>196</v>
      </c>
      <c r="F48" s="22" t="s">
        <v>197</v>
      </c>
      <c r="G48" s="2" t="s">
        <v>198</v>
      </c>
      <c r="H48" s="2" t="s">
        <v>199</v>
      </c>
      <c r="I48" s="2" t="s">
        <v>200</v>
      </c>
      <c r="J48" s="2" t="s">
        <v>201</v>
      </c>
    </row>
    <row r="49" spans="1:10" ht="18" customHeight="1" x14ac:dyDescent="0.15">
      <c r="A49" s="17">
        <v>207</v>
      </c>
      <c r="B49" s="17" t="s">
        <v>202</v>
      </c>
      <c r="C49" s="17" t="s">
        <v>202</v>
      </c>
      <c r="D49" s="17" t="s">
        <v>203</v>
      </c>
      <c r="E49" s="17" t="s">
        <v>204</v>
      </c>
      <c r="F49" s="22" t="s">
        <v>205</v>
      </c>
      <c r="G49" s="2" t="s">
        <v>206</v>
      </c>
      <c r="H49" s="2" t="s">
        <v>207</v>
      </c>
      <c r="I49" s="2" t="s">
        <v>208</v>
      </c>
      <c r="J49" s="2" t="s">
        <v>209</v>
      </c>
    </row>
    <row r="50" spans="1:10" ht="18" customHeight="1" x14ac:dyDescent="0.15">
      <c r="A50" s="17">
        <v>208</v>
      </c>
      <c r="B50" s="17" t="s">
        <v>210</v>
      </c>
      <c r="C50" s="17" t="s">
        <v>210</v>
      </c>
      <c r="D50" s="17" t="s">
        <v>211</v>
      </c>
      <c r="E50" s="17" t="s">
        <v>212</v>
      </c>
      <c r="F50" s="22" t="s">
        <v>213</v>
      </c>
      <c r="G50" s="2" t="s">
        <v>214</v>
      </c>
      <c r="H50" s="2" t="s">
        <v>215</v>
      </c>
      <c r="I50" s="2" t="s">
        <v>216</v>
      </c>
      <c r="J50" s="2" t="s">
        <v>217</v>
      </c>
    </row>
    <row r="51" spans="1:10" ht="18" customHeight="1" x14ac:dyDescent="0.15">
      <c r="A51" s="17">
        <v>209</v>
      </c>
      <c r="B51" s="17" t="s">
        <v>218</v>
      </c>
      <c r="C51" s="17" t="s">
        <v>218</v>
      </c>
      <c r="D51" s="17" t="s">
        <v>219</v>
      </c>
      <c r="E51" s="17" t="s">
        <v>220</v>
      </c>
      <c r="F51" s="22" t="s">
        <v>221</v>
      </c>
      <c r="G51" s="2" t="s">
        <v>222</v>
      </c>
      <c r="H51" s="2" t="s">
        <v>223</v>
      </c>
      <c r="I51" s="2" t="s">
        <v>224</v>
      </c>
      <c r="J51" s="2" t="s">
        <v>225</v>
      </c>
    </row>
    <row r="52" spans="1:10" ht="18" customHeight="1" x14ac:dyDescent="0.15">
      <c r="A52" s="17">
        <v>210</v>
      </c>
      <c r="B52" s="17" t="s">
        <v>226</v>
      </c>
      <c r="C52" s="17" t="s">
        <v>226</v>
      </c>
      <c r="D52" s="17" t="s">
        <v>227</v>
      </c>
      <c r="E52" s="17" t="s">
        <v>228</v>
      </c>
      <c r="F52" s="22" t="s">
        <v>229</v>
      </c>
      <c r="G52" s="2" t="s">
        <v>230</v>
      </c>
      <c r="H52" s="2" t="s">
        <v>231</v>
      </c>
      <c r="I52" s="2" t="s">
        <v>232</v>
      </c>
      <c r="J52" s="2" t="s">
        <v>233</v>
      </c>
    </row>
    <row r="53" spans="1:10" ht="18" customHeight="1" x14ac:dyDescent="0.15">
      <c r="A53" s="17">
        <v>211</v>
      </c>
      <c r="B53" s="17" t="s">
        <v>234</v>
      </c>
      <c r="C53" s="17" t="s">
        <v>234</v>
      </c>
      <c r="D53" s="17" t="s">
        <v>235</v>
      </c>
      <c r="E53" s="17" t="s">
        <v>236</v>
      </c>
      <c r="F53" s="22" t="s">
        <v>237</v>
      </c>
      <c r="G53" s="2" t="s">
        <v>238</v>
      </c>
      <c r="H53" s="2" t="s">
        <v>239</v>
      </c>
      <c r="I53" s="2" t="s">
        <v>240</v>
      </c>
      <c r="J53" s="2" t="s">
        <v>241</v>
      </c>
    </row>
    <row r="54" spans="1:10" ht="18" customHeight="1" x14ac:dyDescent="0.15">
      <c r="A54" s="17">
        <v>212</v>
      </c>
      <c r="B54" s="17" t="s">
        <v>242</v>
      </c>
      <c r="C54" s="17" t="s">
        <v>242</v>
      </c>
      <c r="D54" s="17" t="s">
        <v>243</v>
      </c>
      <c r="E54" s="17" t="s">
        <v>244</v>
      </c>
      <c r="F54" s="22" t="s">
        <v>245</v>
      </c>
      <c r="G54" s="2" t="s">
        <v>246</v>
      </c>
      <c r="H54" s="2" t="s">
        <v>247</v>
      </c>
      <c r="I54" s="2" t="s">
        <v>248</v>
      </c>
      <c r="J54" s="2" t="s">
        <v>249</v>
      </c>
    </row>
    <row r="55" spans="1:10" ht="18" customHeight="1" x14ac:dyDescent="0.15">
      <c r="A55" s="17">
        <v>213</v>
      </c>
      <c r="B55" s="17" t="s">
        <v>250</v>
      </c>
      <c r="C55" s="17" t="s">
        <v>250</v>
      </c>
      <c r="D55" s="17" t="s">
        <v>251</v>
      </c>
      <c r="E55" s="17" t="s">
        <v>252</v>
      </c>
      <c r="F55" s="22" t="s">
        <v>253</v>
      </c>
      <c r="G55" s="2" t="s">
        <v>254</v>
      </c>
      <c r="H55" s="2" t="s">
        <v>255</v>
      </c>
      <c r="I55" s="2" t="s">
        <v>256</v>
      </c>
      <c r="J55" s="2" t="s">
        <v>257</v>
      </c>
    </row>
    <row r="56" spans="1:10" ht="18" customHeight="1" x14ac:dyDescent="0.15">
      <c r="A56" s="17">
        <v>214</v>
      </c>
      <c r="B56" s="17" t="s">
        <v>258</v>
      </c>
      <c r="C56" s="17" t="s">
        <v>258</v>
      </c>
      <c r="D56" s="17" t="s">
        <v>259</v>
      </c>
      <c r="E56" s="17" t="s">
        <v>260</v>
      </c>
      <c r="F56" s="22" t="s">
        <v>261</v>
      </c>
      <c r="G56" s="2" t="s">
        <v>262</v>
      </c>
      <c r="H56" s="2" t="s">
        <v>263</v>
      </c>
      <c r="I56" s="2" t="s">
        <v>264</v>
      </c>
      <c r="J56" s="2" t="s">
        <v>265</v>
      </c>
    </row>
    <row r="57" spans="1:10" ht="18" customHeight="1" x14ac:dyDescent="0.15">
      <c r="A57" s="17">
        <v>215</v>
      </c>
      <c r="B57" s="17" t="s">
        <v>266</v>
      </c>
      <c r="C57" s="17" t="s">
        <v>266</v>
      </c>
      <c r="D57" s="17" t="s">
        <v>267</v>
      </c>
      <c r="E57" s="17" t="s">
        <v>268</v>
      </c>
      <c r="F57" s="22" t="s">
        <v>269</v>
      </c>
      <c r="G57" s="2" t="s">
        <v>270</v>
      </c>
      <c r="H57" s="2" t="s">
        <v>271</v>
      </c>
      <c r="I57" s="2" t="s">
        <v>272</v>
      </c>
      <c r="J57" s="2" t="s">
        <v>273</v>
      </c>
    </row>
    <row r="58" spans="1:10" ht="18" customHeight="1" x14ac:dyDescent="0.15">
      <c r="A58" s="17">
        <v>216</v>
      </c>
      <c r="B58" s="17" t="s">
        <v>274</v>
      </c>
      <c r="C58" s="17" t="s">
        <v>274</v>
      </c>
      <c r="D58" s="17" t="s">
        <v>275</v>
      </c>
      <c r="E58" s="17" t="s">
        <v>276</v>
      </c>
      <c r="F58" s="22" t="s">
        <v>277</v>
      </c>
      <c r="G58" s="2" t="s">
        <v>278</v>
      </c>
      <c r="H58" s="2" t="s">
        <v>279</v>
      </c>
      <c r="I58" s="2" t="s">
        <v>280</v>
      </c>
      <c r="J58" s="2" t="s">
        <v>281</v>
      </c>
    </row>
    <row r="59" spans="1:10" ht="18" customHeight="1" x14ac:dyDescent="0.15">
      <c r="A59" s="17">
        <v>217</v>
      </c>
      <c r="B59" s="17" t="s">
        <v>282</v>
      </c>
      <c r="C59" s="17" t="s">
        <v>282</v>
      </c>
      <c r="D59" s="17" t="s">
        <v>283</v>
      </c>
      <c r="E59" s="17" t="s">
        <v>284</v>
      </c>
      <c r="F59" s="22" t="s">
        <v>285</v>
      </c>
      <c r="G59" s="2" t="s">
        <v>286</v>
      </c>
      <c r="H59" s="2" t="s">
        <v>287</v>
      </c>
      <c r="I59" s="2" t="s">
        <v>288</v>
      </c>
      <c r="J59" s="2" t="s">
        <v>289</v>
      </c>
    </row>
    <row r="60" spans="1:10" ht="18" customHeight="1" x14ac:dyDescent="0.15">
      <c r="A60" s="17">
        <v>218</v>
      </c>
      <c r="B60" s="17" t="s">
        <v>290</v>
      </c>
      <c r="C60" s="17" t="s">
        <v>290</v>
      </c>
      <c r="D60" s="17" t="s">
        <v>291</v>
      </c>
      <c r="E60" s="17" t="s">
        <v>292</v>
      </c>
      <c r="F60" s="22" t="s">
        <v>293</v>
      </c>
      <c r="G60" s="2" t="s">
        <v>294</v>
      </c>
      <c r="H60" s="2" t="s">
        <v>295</v>
      </c>
      <c r="I60" s="2" t="s">
        <v>296</v>
      </c>
      <c r="J60" s="2" t="s">
        <v>297</v>
      </c>
    </row>
    <row r="61" spans="1:10" ht="18" customHeight="1" x14ac:dyDescent="0.15">
      <c r="A61" s="17">
        <v>219</v>
      </c>
      <c r="B61" s="17" t="s">
        <v>298</v>
      </c>
      <c r="C61" s="17" t="s">
        <v>298</v>
      </c>
      <c r="D61" s="17" t="s">
        <v>299</v>
      </c>
      <c r="E61" s="17" t="s">
        <v>300</v>
      </c>
      <c r="F61" s="22" t="s">
        <v>301</v>
      </c>
      <c r="G61" s="2" t="s">
        <v>270</v>
      </c>
      <c r="H61" s="2" t="s">
        <v>302</v>
      </c>
      <c r="I61" s="2" t="s">
        <v>303</v>
      </c>
      <c r="J61" s="2" t="s">
        <v>304</v>
      </c>
    </row>
    <row r="62" spans="1:10" ht="18" customHeight="1" x14ac:dyDescent="0.15">
      <c r="A62" s="17">
        <v>220</v>
      </c>
      <c r="B62" s="17" t="s">
        <v>305</v>
      </c>
      <c r="C62" s="17" t="s">
        <v>305</v>
      </c>
      <c r="D62" s="17" t="s">
        <v>306</v>
      </c>
      <c r="E62" s="17" t="s">
        <v>307</v>
      </c>
      <c r="F62" s="22" t="s">
        <v>308</v>
      </c>
      <c r="G62" s="2" t="s">
        <v>309</v>
      </c>
      <c r="H62" s="2" t="s">
        <v>310</v>
      </c>
      <c r="I62" s="2" t="s">
        <v>311</v>
      </c>
      <c r="J62" s="2" t="s">
        <v>312</v>
      </c>
    </row>
    <row r="63" spans="1:10" ht="18" customHeight="1" x14ac:dyDescent="0.15">
      <c r="A63" s="17">
        <v>221</v>
      </c>
      <c r="B63" s="17" t="s">
        <v>313</v>
      </c>
      <c r="C63" s="17" t="s">
        <v>313</v>
      </c>
      <c r="D63" s="17" t="s">
        <v>314</v>
      </c>
      <c r="E63" s="17" t="s">
        <v>315</v>
      </c>
      <c r="F63" s="22" t="s">
        <v>316</v>
      </c>
      <c r="G63" s="2" t="s">
        <v>317</v>
      </c>
      <c r="H63" s="2" t="s">
        <v>318</v>
      </c>
      <c r="I63" s="2" t="s">
        <v>319</v>
      </c>
      <c r="J63" s="2" t="s">
        <v>320</v>
      </c>
    </row>
    <row r="64" spans="1:10" ht="18" customHeight="1" x14ac:dyDescent="0.15">
      <c r="A64" s="17">
        <v>222</v>
      </c>
      <c r="B64" s="17" t="s">
        <v>321</v>
      </c>
      <c r="C64" s="17" t="s">
        <v>321</v>
      </c>
      <c r="D64" s="17" t="s">
        <v>322</v>
      </c>
      <c r="E64" s="17" t="s">
        <v>323</v>
      </c>
      <c r="F64" s="22" t="s">
        <v>324</v>
      </c>
      <c r="G64" s="2" t="s">
        <v>325</v>
      </c>
      <c r="H64" s="2" t="s">
        <v>326</v>
      </c>
      <c r="I64" s="2" t="s">
        <v>327</v>
      </c>
      <c r="J64" s="2" t="s">
        <v>328</v>
      </c>
    </row>
    <row r="65" spans="1:10" ht="18" customHeight="1" x14ac:dyDescent="0.15">
      <c r="A65" s="17">
        <v>223</v>
      </c>
      <c r="B65" s="17" t="s">
        <v>329</v>
      </c>
      <c r="C65" s="17" t="s">
        <v>329</v>
      </c>
      <c r="D65" s="17" t="s">
        <v>330</v>
      </c>
      <c r="E65" s="17" t="s">
        <v>331</v>
      </c>
      <c r="F65" s="22" t="s">
        <v>332</v>
      </c>
      <c r="G65" s="2" t="s">
        <v>333</v>
      </c>
      <c r="H65" s="2" t="s">
        <v>334</v>
      </c>
      <c r="I65" s="2" t="s">
        <v>335</v>
      </c>
      <c r="J65" s="2" t="s">
        <v>336</v>
      </c>
    </row>
    <row r="66" spans="1:10" ht="18" customHeight="1" x14ac:dyDescent="0.15">
      <c r="A66" s="17">
        <v>224</v>
      </c>
      <c r="B66" s="17" t="s">
        <v>337</v>
      </c>
      <c r="C66" s="17" t="s">
        <v>337</v>
      </c>
      <c r="D66" s="17" t="s">
        <v>338</v>
      </c>
      <c r="E66" s="17" t="s">
        <v>339</v>
      </c>
      <c r="F66" s="22" t="s">
        <v>340</v>
      </c>
      <c r="G66" s="2" t="s">
        <v>341</v>
      </c>
      <c r="H66" s="2" t="s">
        <v>342</v>
      </c>
      <c r="I66" s="2" t="s">
        <v>343</v>
      </c>
      <c r="J66" s="2" t="s">
        <v>344</v>
      </c>
    </row>
    <row r="67" spans="1:10" ht="18" customHeight="1" x14ac:dyDescent="0.15">
      <c r="A67" s="17">
        <v>225</v>
      </c>
      <c r="B67" s="17" t="s">
        <v>345</v>
      </c>
      <c r="C67" s="17" t="s">
        <v>345</v>
      </c>
      <c r="D67" s="17" t="s">
        <v>346</v>
      </c>
      <c r="E67" s="17" t="s">
        <v>347</v>
      </c>
      <c r="F67" s="22" t="s">
        <v>348</v>
      </c>
      <c r="G67" s="2" t="s">
        <v>349</v>
      </c>
      <c r="H67" s="2" t="s">
        <v>350</v>
      </c>
      <c r="I67" s="2" t="s">
        <v>351</v>
      </c>
      <c r="J67" s="2" t="s">
        <v>352</v>
      </c>
    </row>
    <row r="68" spans="1:10" ht="18" customHeight="1" x14ac:dyDescent="0.15">
      <c r="A68" s="17">
        <v>226</v>
      </c>
      <c r="B68" s="17" t="s">
        <v>353</v>
      </c>
      <c r="C68" s="17" t="s">
        <v>353</v>
      </c>
      <c r="D68" s="17" t="s">
        <v>354</v>
      </c>
      <c r="E68" s="17" t="s">
        <v>355</v>
      </c>
      <c r="F68" s="22" t="s">
        <v>356</v>
      </c>
      <c r="G68" s="2" t="s">
        <v>357</v>
      </c>
      <c r="H68" s="2" t="s">
        <v>358</v>
      </c>
      <c r="I68" s="2" t="s">
        <v>359</v>
      </c>
      <c r="J68" s="2" t="s">
        <v>360</v>
      </c>
    </row>
    <row r="69" spans="1:10" ht="18" customHeight="1" x14ac:dyDescent="0.15">
      <c r="A69" s="17">
        <v>227</v>
      </c>
      <c r="B69" s="17" t="s">
        <v>361</v>
      </c>
      <c r="C69" s="17" t="s">
        <v>361</v>
      </c>
      <c r="D69" s="17" t="s">
        <v>362</v>
      </c>
      <c r="E69" s="17" t="s">
        <v>363</v>
      </c>
      <c r="F69" s="22" t="s">
        <v>364</v>
      </c>
      <c r="G69" s="2" t="s">
        <v>365</v>
      </c>
      <c r="H69" s="2" t="s">
        <v>366</v>
      </c>
      <c r="I69" s="2" t="s">
        <v>367</v>
      </c>
      <c r="J69" s="2" t="s">
        <v>368</v>
      </c>
    </row>
    <row r="70" spans="1:10" ht="18" customHeight="1" x14ac:dyDescent="0.15">
      <c r="A70" s="17">
        <v>228</v>
      </c>
      <c r="B70" s="17" t="s">
        <v>369</v>
      </c>
      <c r="C70" s="17" t="s">
        <v>369</v>
      </c>
      <c r="D70" s="17" t="s">
        <v>370</v>
      </c>
      <c r="E70" s="17" t="s">
        <v>371</v>
      </c>
      <c r="F70" s="22" t="s">
        <v>372</v>
      </c>
      <c r="G70" s="2" t="s">
        <v>373</v>
      </c>
      <c r="H70" s="2" t="s">
        <v>374</v>
      </c>
      <c r="I70" s="2" t="s">
        <v>375</v>
      </c>
      <c r="J70" s="2" t="s">
        <v>376</v>
      </c>
    </row>
    <row r="71" spans="1:10" ht="18" customHeight="1" x14ac:dyDescent="0.15">
      <c r="A71" s="17">
        <v>229</v>
      </c>
      <c r="B71" s="17" t="s">
        <v>377</v>
      </c>
      <c r="C71" s="17" t="s">
        <v>377</v>
      </c>
      <c r="D71" s="17" t="s">
        <v>378</v>
      </c>
      <c r="E71" s="17" t="s">
        <v>379</v>
      </c>
      <c r="F71" s="22" t="s">
        <v>380</v>
      </c>
      <c r="G71" s="2" t="s">
        <v>381</v>
      </c>
      <c r="H71" s="2" t="s">
        <v>382</v>
      </c>
      <c r="I71" s="2" t="s">
        <v>383</v>
      </c>
      <c r="J71" s="2" t="s">
        <v>384</v>
      </c>
    </row>
    <row r="72" spans="1:10" ht="18" customHeight="1" x14ac:dyDescent="0.15">
      <c r="A72" s="17">
        <v>230</v>
      </c>
      <c r="B72" s="17" t="s">
        <v>385</v>
      </c>
      <c r="C72" s="17" t="s">
        <v>385</v>
      </c>
      <c r="D72" s="17" t="s">
        <v>386</v>
      </c>
      <c r="E72" s="17" t="s">
        <v>387</v>
      </c>
      <c r="F72" s="22" t="s">
        <v>388</v>
      </c>
      <c r="G72" s="2" t="s">
        <v>389</v>
      </c>
      <c r="H72" s="2" t="s">
        <v>390</v>
      </c>
      <c r="I72" s="2" t="s">
        <v>391</v>
      </c>
      <c r="J72" s="2" t="s">
        <v>392</v>
      </c>
    </row>
    <row r="73" spans="1:10" ht="18" customHeight="1" x14ac:dyDescent="0.15">
      <c r="A73" s="17">
        <v>231</v>
      </c>
      <c r="B73" s="17" t="s">
        <v>393</v>
      </c>
      <c r="C73" s="17" t="s">
        <v>393</v>
      </c>
      <c r="D73" s="17" t="s">
        <v>394</v>
      </c>
      <c r="E73" s="17" t="s">
        <v>395</v>
      </c>
      <c r="F73" s="22" t="s">
        <v>396</v>
      </c>
      <c r="G73" s="2" t="s">
        <v>397</v>
      </c>
      <c r="H73" s="2" t="s">
        <v>398</v>
      </c>
      <c r="I73" s="2" t="s">
        <v>399</v>
      </c>
      <c r="J73" s="2" t="s">
        <v>400</v>
      </c>
    </row>
    <row r="74" spans="1:10" ht="18" customHeight="1" x14ac:dyDescent="0.15">
      <c r="A74" s="17">
        <v>232</v>
      </c>
      <c r="B74" s="17" t="s">
        <v>401</v>
      </c>
      <c r="C74" s="17" t="s">
        <v>401</v>
      </c>
      <c r="D74" s="17" t="s">
        <v>402</v>
      </c>
      <c r="E74" s="17" t="s">
        <v>403</v>
      </c>
      <c r="F74" s="22" t="s">
        <v>404</v>
      </c>
      <c r="G74" s="2" t="s">
        <v>405</v>
      </c>
      <c r="H74" s="2" t="s">
        <v>406</v>
      </c>
      <c r="I74" s="2" t="s">
        <v>407</v>
      </c>
      <c r="J74" s="2" t="s">
        <v>408</v>
      </c>
    </row>
    <row r="75" spans="1:10" ht="18" customHeight="1" x14ac:dyDescent="0.15">
      <c r="A75" s="17">
        <v>233</v>
      </c>
      <c r="B75" s="17" t="s">
        <v>409</v>
      </c>
      <c r="C75" s="17" t="s">
        <v>409</v>
      </c>
      <c r="D75" s="17" t="s">
        <v>410</v>
      </c>
      <c r="E75" s="17" t="s">
        <v>411</v>
      </c>
      <c r="F75" s="22" t="s">
        <v>412</v>
      </c>
      <c r="G75" s="2" t="s">
        <v>413</v>
      </c>
      <c r="H75" s="2" t="s">
        <v>414</v>
      </c>
      <c r="I75" s="2" t="s">
        <v>415</v>
      </c>
      <c r="J75" s="2" t="s">
        <v>416</v>
      </c>
    </row>
    <row r="76" spans="1:10" ht="18" customHeight="1" x14ac:dyDescent="0.15">
      <c r="A76" s="17">
        <v>234</v>
      </c>
      <c r="B76" s="17" t="s">
        <v>417</v>
      </c>
      <c r="C76" s="17" t="s">
        <v>417</v>
      </c>
      <c r="D76" s="17" t="s">
        <v>418</v>
      </c>
      <c r="E76" s="17" t="s">
        <v>419</v>
      </c>
      <c r="F76" s="22" t="s">
        <v>420</v>
      </c>
      <c r="G76" s="2" t="s">
        <v>421</v>
      </c>
      <c r="H76" s="2" t="s">
        <v>422</v>
      </c>
      <c r="I76" s="2" t="s">
        <v>423</v>
      </c>
      <c r="J76" s="2" t="s">
        <v>424</v>
      </c>
    </row>
    <row r="77" spans="1:10" ht="18" customHeight="1" x14ac:dyDescent="0.15">
      <c r="A77" s="17">
        <v>235</v>
      </c>
      <c r="B77" s="17" t="s">
        <v>409</v>
      </c>
      <c r="C77" s="17" t="s">
        <v>409</v>
      </c>
      <c r="D77" s="17" t="s">
        <v>410</v>
      </c>
      <c r="E77" s="17" t="s">
        <v>411</v>
      </c>
      <c r="F77" s="22" t="s">
        <v>412</v>
      </c>
      <c r="G77" s="2" t="s">
        <v>413</v>
      </c>
      <c r="H77" s="2" t="s">
        <v>414</v>
      </c>
      <c r="I77" s="2" t="s">
        <v>415</v>
      </c>
      <c r="J77" s="2" t="s">
        <v>416</v>
      </c>
    </row>
    <row r="78" spans="1:10" ht="18" customHeight="1" x14ac:dyDescent="0.15">
      <c r="A78" s="17">
        <v>236</v>
      </c>
      <c r="B78" s="17" t="s">
        <v>425</v>
      </c>
      <c r="C78" s="17" t="s">
        <v>425</v>
      </c>
      <c r="D78" s="17" t="s">
        <v>426</v>
      </c>
      <c r="E78" s="17" t="s">
        <v>427</v>
      </c>
      <c r="F78" s="22" t="s">
        <v>428</v>
      </c>
      <c r="G78" s="2" t="s">
        <v>429</v>
      </c>
      <c r="H78" s="2" t="s">
        <v>430</v>
      </c>
      <c r="I78" s="2" t="s">
        <v>431</v>
      </c>
      <c r="J78" s="2" t="s">
        <v>432</v>
      </c>
    </row>
    <row r="79" spans="1:10" ht="18" customHeight="1" x14ac:dyDescent="0.15">
      <c r="A79" s="17">
        <v>237</v>
      </c>
      <c r="B79" s="17" t="s">
        <v>433</v>
      </c>
      <c r="C79" s="17" t="s">
        <v>433</v>
      </c>
      <c r="D79" s="17" t="s">
        <v>434</v>
      </c>
      <c r="E79" s="17" t="s">
        <v>435</v>
      </c>
      <c r="F79" s="22" t="s">
        <v>436</v>
      </c>
      <c r="G79" s="2" t="s">
        <v>437</v>
      </c>
      <c r="H79" s="2" t="s">
        <v>438</v>
      </c>
      <c r="I79" s="2" t="s">
        <v>439</v>
      </c>
      <c r="J79" s="2" t="s">
        <v>440</v>
      </c>
    </row>
    <row r="80" spans="1:10" ht="18" customHeight="1" x14ac:dyDescent="0.15">
      <c r="A80" s="17">
        <v>238</v>
      </c>
      <c r="B80" s="17" t="s">
        <v>441</v>
      </c>
      <c r="C80" s="17" t="s">
        <v>441</v>
      </c>
      <c r="D80" s="17" t="s">
        <v>442</v>
      </c>
      <c r="E80" s="17" t="s">
        <v>443</v>
      </c>
      <c r="F80" s="22" t="s">
        <v>444</v>
      </c>
      <c r="G80" s="2" t="s">
        <v>445</v>
      </c>
      <c r="H80" s="2" t="s">
        <v>446</v>
      </c>
      <c r="I80" s="2" t="s">
        <v>447</v>
      </c>
      <c r="J80" s="2" t="s">
        <v>448</v>
      </c>
    </row>
    <row r="81" spans="1:10" ht="18" customHeight="1" x14ac:dyDescent="0.15">
      <c r="A81" s="17">
        <v>239</v>
      </c>
      <c r="B81" s="17" t="s">
        <v>449</v>
      </c>
      <c r="C81" s="17" t="s">
        <v>449</v>
      </c>
      <c r="D81" s="17" t="s">
        <v>450</v>
      </c>
      <c r="E81" s="17" t="s">
        <v>451</v>
      </c>
      <c r="F81" s="22" t="s">
        <v>452</v>
      </c>
      <c r="G81" s="2" t="s">
        <v>453</v>
      </c>
      <c r="H81" s="2" t="s">
        <v>454</v>
      </c>
      <c r="I81" s="2" t="s">
        <v>455</v>
      </c>
      <c r="J81" s="2" t="s">
        <v>456</v>
      </c>
    </row>
    <row r="82" spans="1:10" ht="18" customHeight="1" x14ac:dyDescent="0.15">
      <c r="A82" s="17">
        <v>240</v>
      </c>
      <c r="B82" s="17" t="s">
        <v>457</v>
      </c>
      <c r="C82" s="17" t="s">
        <v>457</v>
      </c>
      <c r="D82" s="17" t="s">
        <v>458</v>
      </c>
      <c r="E82" s="17" t="s">
        <v>459</v>
      </c>
      <c r="F82" s="22" t="s">
        <v>460</v>
      </c>
      <c r="G82" s="2" t="s">
        <v>461</v>
      </c>
      <c r="H82" s="2" t="s">
        <v>462</v>
      </c>
      <c r="I82" s="2" t="s">
        <v>463</v>
      </c>
      <c r="J82" s="2" t="s">
        <v>464</v>
      </c>
    </row>
    <row r="83" spans="1:10" ht="18" customHeight="1" x14ac:dyDescent="0.15">
      <c r="A83" s="17">
        <v>241</v>
      </c>
      <c r="B83" s="17" t="s">
        <v>465</v>
      </c>
      <c r="C83" s="17" t="s">
        <v>465</v>
      </c>
      <c r="D83" s="17" t="s">
        <v>466</v>
      </c>
      <c r="E83" s="17" t="s">
        <v>467</v>
      </c>
      <c r="F83" s="22" t="s">
        <v>468</v>
      </c>
      <c r="G83" s="2" t="s">
        <v>469</v>
      </c>
      <c r="H83" s="2" t="s">
        <v>470</v>
      </c>
      <c r="I83" s="2" t="s">
        <v>471</v>
      </c>
      <c r="J83" s="2" t="s">
        <v>472</v>
      </c>
    </row>
    <row r="84" spans="1:10" ht="18" customHeight="1" x14ac:dyDescent="0.15">
      <c r="A84" s="17">
        <v>242</v>
      </c>
      <c r="B84" s="17" t="s">
        <v>473</v>
      </c>
      <c r="C84" s="17" t="s">
        <v>473</v>
      </c>
      <c r="D84" s="17" t="s">
        <v>474</v>
      </c>
      <c r="E84" s="17" t="s">
        <v>475</v>
      </c>
      <c r="F84" s="22" t="s">
        <v>476</v>
      </c>
      <c r="G84" s="2" t="s">
        <v>477</v>
      </c>
      <c r="H84" s="2" t="s">
        <v>478</v>
      </c>
      <c r="I84" s="2" t="s">
        <v>479</v>
      </c>
      <c r="J84" s="2" t="s">
        <v>480</v>
      </c>
    </row>
    <row r="85" spans="1:10" ht="18" customHeight="1" x14ac:dyDescent="0.15">
      <c r="A85" s="17">
        <v>243</v>
      </c>
      <c r="B85" s="17" t="s">
        <v>481</v>
      </c>
      <c r="C85" s="17" t="s">
        <v>481</v>
      </c>
      <c r="D85" s="17" t="s">
        <v>482</v>
      </c>
      <c r="E85" s="17" t="s">
        <v>483</v>
      </c>
      <c r="F85" s="22" t="s">
        <v>484</v>
      </c>
      <c r="G85" s="2" t="s">
        <v>485</v>
      </c>
      <c r="H85" s="2" t="s">
        <v>486</v>
      </c>
      <c r="I85" s="2" t="s">
        <v>487</v>
      </c>
      <c r="J85" s="2" t="s">
        <v>488</v>
      </c>
    </row>
    <row r="86" spans="1:10" ht="18" customHeight="1" x14ac:dyDescent="0.15">
      <c r="A86" s="17">
        <v>244</v>
      </c>
      <c r="B86" s="17" t="s">
        <v>465</v>
      </c>
      <c r="C86" s="17" t="s">
        <v>465</v>
      </c>
      <c r="D86" s="17" t="s">
        <v>466</v>
      </c>
      <c r="E86" s="17" t="s">
        <v>467</v>
      </c>
      <c r="F86" s="22" t="s">
        <v>468</v>
      </c>
      <c r="G86" s="2" t="s">
        <v>469</v>
      </c>
      <c r="H86" s="2" t="s">
        <v>470</v>
      </c>
      <c r="I86" s="2" t="s">
        <v>471</v>
      </c>
      <c r="J86" s="2" t="s">
        <v>472</v>
      </c>
    </row>
    <row r="87" spans="1:10" ht="18" customHeight="1" x14ac:dyDescent="0.15">
      <c r="A87" s="17">
        <v>245</v>
      </c>
      <c r="B87" s="17" t="s">
        <v>489</v>
      </c>
      <c r="C87" s="17" t="s">
        <v>489</v>
      </c>
      <c r="D87" s="17" t="s">
        <v>490</v>
      </c>
      <c r="E87" s="17" t="s">
        <v>491</v>
      </c>
      <c r="F87" s="22" t="s">
        <v>492</v>
      </c>
      <c r="G87" s="2" t="s">
        <v>493</v>
      </c>
      <c r="H87" s="2" t="s">
        <v>494</v>
      </c>
      <c r="I87" s="2" t="s">
        <v>495</v>
      </c>
      <c r="J87" s="2" t="s">
        <v>496</v>
      </c>
    </row>
    <row r="88" spans="1:10" ht="18" customHeight="1" x14ac:dyDescent="0.15">
      <c r="A88" s="17">
        <v>246</v>
      </c>
      <c r="B88" s="17" t="s">
        <v>497</v>
      </c>
      <c r="C88" s="17" t="s">
        <v>497</v>
      </c>
      <c r="D88" s="17" t="s">
        <v>498</v>
      </c>
      <c r="E88" s="17" t="s">
        <v>499</v>
      </c>
      <c r="F88" s="22" t="s">
        <v>500</v>
      </c>
      <c r="G88" s="2" t="s">
        <v>501</v>
      </c>
      <c r="H88" s="2" t="s">
        <v>502</v>
      </c>
      <c r="I88" s="2" t="s">
        <v>503</v>
      </c>
      <c r="J88" s="2" t="s">
        <v>504</v>
      </c>
    </row>
    <row r="89" spans="1:10" ht="18" customHeight="1" x14ac:dyDescent="0.15">
      <c r="A89" s="17">
        <v>247</v>
      </c>
      <c r="B89" s="17" t="s">
        <v>505</v>
      </c>
      <c r="C89" s="17" t="s">
        <v>505</v>
      </c>
      <c r="D89" s="17" t="s">
        <v>506</v>
      </c>
      <c r="E89" s="17" t="s">
        <v>507</v>
      </c>
      <c r="F89" s="22" t="s">
        <v>508</v>
      </c>
      <c r="G89" s="2" t="s">
        <v>509</v>
      </c>
      <c r="H89" s="2" t="s">
        <v>510</v>
      </c>
      <c r="I89" s="2" t="s">
        <v>511</v>
      </c>
      <c r="J89" s="2" t="s">
        <v>512</v>
      </c>
    </row>
    <row r="90" spans="1:10" ht="18" customHeight="1" x14ac:dyDescent="0.15">
      <c r="A90" s="17">
        <v>248</v>
      </c>
      <c r="B90" s="17" t="s">
        <v>513</v>
      </c>
      <c r="C90" s="17" t="s">
        <v>513</v>
      </c>
      <c r="D90" s="17" t="s">
        <v>514</v>
      </c>
      <c r="E90" s="17" t="s">
        <v>515</v>
      </c>
      <c r="F90" s="22" t="s">
        <v>516</v>
      </c>
      <c r="G90" s="2" t="s">
        <v>517</v>
      </c>
      <c r="H90" s="2" t="s">
        <v>518</v>
      </c>
      <c r="I90" s="2" t="s">
        <v>519</v>
      </c>
      <c r="J90" s="2" t="s">
        <v>520</v>
      </c>
    </row>
    <row r="91" spans="1:10" ht="18" customHeight="1" x14ac:dyDescent="0.15">
      <c r="A91" s="17">
        <v>249</v>
      </c>
      <c r="B91" s="17" t="s">
        <v>521</v>
      </c>
      <c r="C91" s="17" t="s">
        <v>521</v>
      </c>
      <c r="D91" s="17" t="s">
        <v>522</v>
      </c>
      <c r="E91" s="17" t="s">
        <v>523</v>
      </c>
      <c r="F91" s="22" t="s">
        <v>524</v>
      </c>
      <c r="G91" s="2" t="s">
        <v>525</v>
      </c>
      <c r="H91" s="2" t="s">
        <v>526</v>
      </c>
      <c r="I91" s="2" t="s">
        <v>527</v>
      </c>
      <c r="J91" s="2" t="s">
        <v>528</v>
      </c>
    </row>
    <row r="92" spans="1:10" ht="18" customHeight="1" x14ac:dyDescent="0.15">
      <c r="A92" s="17">
        <v>250</v>
      </c>
      <c r="B92" s="17" t="s">
        <v>529</v>
      </c>
      <c r="C92" s="17" t="s">
        <v>529</v>
      </c>
      <c r="D92" s="17" t="s">
        <v>530</v>
      </c>
      <c r="E92" s="17" t="s">
        <v>531</v>
      </c>
      <c r="F92" s="22" t="s">
        <v>532</v>
      </c>
      <c r="G92" s="2" t="s">
        <v>533</v>
      </c>
      <c r="H92" s="2" t="s">
        <v>534</v>
      </c>
      <c r="I92" s="2" t="s">
        <v>535</v>
      </c>
      <c r="J92" s="2" t="s">
        <v>536</v>
      </c>
    </row>
    <row r="93" spans="1:10" ht="18" customHeight="1" x14ac:dyDescent="0.15">
      <c r="A93" s="17">
        <v>251</v>
      </c>
      <c r="B93" s="17" t="s">
        <v>537</v>
      </c>
      <c r="C93" s="17" t="s">
        <v>537</v>
      </c>
      <c r="D93" s="17" t="s">
        <v>538</v>
      </c>
      <c r="E93" s="17" t="s">
        <v>539</v>
      </c>
      <c r="F93" s="22" t="s">
        <v>540</v>
      </c>
      <c r="G93" s="2" t="s">
        <v>541</v>
      </c>
      <c r="H93" s="2" t="s">
        <v>542</v>
      </c>
      <c r="I93" s="2" t="s">
        <v>543</v>
      </c>
      <c r="J93" s="2" t="s">
        <v>544</v>
      </c>
    </row>
    <row r="94" spans="1:10" ht="18" customHeight="1" x14ac:dyDescent="0.15">
      <c r="A94" s="17">
        <v>252</v>
      </c>
      <c r="B94" s="17" t="s">
        <v>545</v>
      </c>
      <c r="C94" s="17" t="s">
        <v>545</v>
      </c>
      <c r="D94" s="17" t="s">
        <v>546</v>
      </c>
      <c r="E94" s="17" t="s">
        <v>547</v>
      </c>
      <c r="F94" s="22" t="s">
        <v>548</v>
      </c>
      <c r="G94" s="2" t="s">
        <v>549</v>
      </c>
      <c r="H94" s="2" t="s">
        <v>550</v>
      </c>
      <c r="I94" s="2" t="s">
        <v>551</v>
      </c>
      <c r="J94" s="2" t="s">
        <v>552</v>
      </c>
    </row>
    <row r="95" spans="1:10" ht="18" customHeight="1" x14ac:dyDescent="0.15">
      <c r="A95" s="17">
        <v>253</v>
      </c>
      <c r="B95" s="17" t="s">
        <v>553</v>
      </c>
      <c r="C95" s="17" t="s">
        <v>553</v>
      </c>
      <c r="D95" s="17" t="s">
        <v>554</v>
      </c>
      <c r="E95" s="17" t="s">
        <v>555</v>
      </c>
      <c r="F95" s="22" t="s">
        <v>556</v>
      </c>
      <c r="G95" s="2" t="s">
        <v>557</v>
      </c>
      <c r="H95" s="2" t="s">
        <v>558</v>
      </c>
      <c r="I95" s="2" t="s">
        <v>559</v>
      </c>
      <c r="J95" s="2" t="s">
        <v>560</v>
      </c>
    </row>
    <row r="96" spans="1:10" ht="18" customHeight="1" x14ac:dyDescent="0.15">
      <c r="A96" s="17">
        <v>254</v>
      </c>
      <c r="B96" s="17" t="s">
        <v>561</v>
      </c>
      <c r="C96" s="17" t="s">
        <v>561</v>
      </c>
      <c r="D96" s="17" t="s">
        <v>562</v>
      </c>
      <c r="E96" s="17" t="s">
        <v>563</v>
      </c>
      <c r="F96" s="22" t="s">
        <v>564</v>
      </c>
      <c r="G96" s="2" t="s">
        <v>565</v>
      </c>
      <c r="H96" s="2" t="s">
        <v>566</v>
      </c>
      <c r="I96" s="2" t="s">
        <v>567</v>
      </c>
      <c r="J96" s="2" t="s">
        <v>568</v>
      </c>
    </row>
    <row r="97" spans="1:10" ht="18" customHeight="1" x14ac:dyDescent="0.15">
      <c r="A97" s="17">
        <v>255</v>
      </c>
      <c r="B97" s="17" t="s">
        <v>569</v>
      </c>
      <c r="C97" s="17" t="s">
        <v>569</v>
      </c>
      <c r="D97" s="17" t="s">
        <v>570</v>
      </c>
      <c r="E97" s="17" t="s">
        <v>571</v>
      </c>
      <c r="F97" s="22" t="s">
        <v>572</v>
      </c>
      <c r="G97" s="2" t="s">
        <v>573</v>
      </c>
      <c r="H97" s="2" t="s">
        <v>574</v>
      </c>
      <c r="I97" s="2" t="s">
        <v>575</v>
      </c>
      <c r="J97" s="2" t="s">
        <v>576</v>
      </c>
    </row>
    <row r="98" spans="1:10" ht="18" customHeight="1" x14ac:dyDescent="0.15">
      <c r="A98" s="17">
        <v>256</v>
      </c>
      <c r="B98" s="17" t="s">
        <v>577</v>
      </c>
      <c r="C98" s="17" t="s">
        <v>577</v>
      </c>
      <c r="D98" s="17" t="s">
        <v>578</v>
      </c>
      <c r="E98" s="17" t="s">
        <v>579</v>
      </c>
      <c r="F98" s="22" t="s">
        <v>580</v>
      </c>
      <c r="G98" s="2" t="s">
        <v>581</v>
      </c>
      <c r="H98" s="2" t="s">
        <v>582</v>
      </c>
      <c r="I98" s="2" t="s">
        <v>583</v>
      </c>
      <c r="J98" s="2" t="s">
        <v>584</v>
      </c>
    </row>
    <row r="99" spans="1:10" ht="18" customHeight="1" x14ac:dyDescent="0.15">
      <c r="A99" s="17">
        <v>257</v>
      </c>
      <c r="B99" s="17" t="s">
        <v>585</v>
      </c>
      <c r="C99" s="17" t="s">
        <v>585</v>
      </c>
      <c r="D99" s="17" t="s">
        <v>586</v>
      </c>
      <c r="E99" s="17" t="s">
        <v>587</v>
      </c>
      <c r="F99" s="22" t="s">
        <v>588</v>
      </c>
      <c r="G99" s="2" t="s">
        <v>589</v>
      </c>
      <c r="H99" s="2" t="s">
        <v>590</v>
      </c>
      <c r="I99" s="2" t="s">
        <v>591</v>
      </c>
      <c r="J99" s="2" t="s">
        <v>592</v>
      </c>
    </row>
    <row r="100" spans="1:10" ht="18" customHeight="1" x14ac:dyDescent="0.15">
      <c r="A100" s="17">
        <v>258</v>
      </c>
      <c r="B100" s="17" t="s">
        <v>593</v>
      </c>
      <c r="C100" s="17" t="s">
        <v>593</v>
      </c>
      <c r="D100" s="17" t="s">
        <v>594</v>
      </c>
      <c r="E100" s="17" t="s">
        <v>595</v>
      </c>
      <c r="F100" s="22" t="s">
        <v>596</v>
      </c>
      <c r="G100" s="2" t="s">
        <v>597</v>
      </c>
      <c r="H100" s="2" t="s">
        <v>598</v>
      </c>
      <c r="I100" s="2" t="s">
        <v>599</v>
      </c>
      <c r="J100" s="2" t="s">
        <v>600</v>
      </c>
    </row>
    <row r="101" spans="1:10" ht="18" customHeight="1" x14ac:dyDescent="0.15">
      <c r="A101" s="17">
        <v>259</v>
      </c>
      <c r="B101" s="17" t="s">
        <v>601</v>
      </c>
      <c r="C101" s="17" t="s">
        <v>601</v>
      </c>
      <c r="D101" s="17" t="s">
        <v>602</v>
      </c>
      <c r="E101" s="17" t="s">
        <v>603</v>
      </c>
      <c r="F101" s="22" t="s">
        <v>604</v>
      </c>
      <c r="G101" s="2" t="s">
        <v>605</v>
      </c>
      <c r="H101" s="2" t="s">
        <v>606</v>
      </c>
      <c r="I101" s="2" t="s">
        <v>607</v>
      </c>
      <c r="J101" s="2" t="s">
        <v>608</v>
      </c>
    </row>
    <row r="102" spans="1:10" ht="18" customHeight="1" x14ac:dyDescent="0.15">
      <c r="A102" s="17">
        <v>260</v>
      </c>
      <c r="B102" s="17" t="s">
        <v>609</v>
      </c>
      <c r="C102" s="17" t="s">
        <v>609</v>
      </c>
      <c r="D102" s="17" t="s">
        <v>610</v>
      </c>
      <c r="E102" s="17" t="s">
        <v>611</v>
      </c>
      <c r="F102" s="22" t="s">
        <v>612</v>
      </c>
      <c r="G102" s="2" t="s">
        <v>613</v>
      </c>
      <c r="H102" s="2" t="s">
        <v>614</v>
      </c>
      <c r="I102" s="2" t="s">
        <v>615</v>
      </c>
      <c r="J102" s="2" t="s">
        <v>616</v>
      </c>
    </row>
    <row r="103" spans="1:10" ht="18" customHeight="1" x14ac:dyDescent="0.15">
      <c r="A103" s="17">
        <v>261</v>
      </c>
      <c r="B103" s="17" t="s">
        <v>617</v>
      </c>
      <c r="C103" s="17" t="s">
        <v>617</v>
      </c>
      <c r="D103" s="17" t="s">
        <v>618</v>
      </c>
      <c r="E103" s="17" t="s">
        <v>619</v>
      </c>
      <c r="F103" s="22" t="s">
        <v>620</v>
      </c>
      <c r="G103" s="2" t="s">
        <v>621</v>
      </c>
      <c r="H103" s="2" t="s">
        <v>622</v>
      </c>
      <c r="I103" s="2" t="s">
        <v>623</v>
      </c>
      <c r="J103" s="2" t="s">
        <v>624</v>
      </c>
    </row>
    <row r="104" spans="1:10" ht="18" customHeight="1" x14ac:dyDescent="0.15">
      <c r="A104" s="17">
        <v>262</v>
      </c>
      <c r="B104" s="17" t="s">
        <v>625</v>
      </c>
      <c r="C104" s="17" t="s">
        <v>625</v>
      </c>
      <c r="D104" s="17" t="s">
        <v>626</v>
      </c>
      <c r="E104" s="17" t="s">
        <v>627</v>
      </c>
      <c r="F104" s="22" t="s">
        <v>628</v>
      </c>
      <c r="G104" s="2" t="s">
        <v>629</v>
      </c>
      <c r="H104" s="2" t="s">
        <v>630</v>
      </c>
      <c r="I104" s="2" t="s">
        <v>631</v>
      </c>
      <c r="J104" s="2" t="s">
        <v>632</v>
      </c>
    </row>
    <row r="105" spans="1:10" ht="18" customHeight="1" x14ac:dyDescent="0.15">
      <c r="A105" s="17">
        <v>263</v>
      </c>
      <c r="B105" s="17" t="s">
        <v>633</v>
      </c>
      <c r="C105" s="17" t="s">
        <v>633</v>
      </c>
      <c r="D105" s="17" t="s">
        <v>634</v>
      </c>
      <c r="E105" s="17" t="s">
        <v>635</v>
      </c>
      <c r="F105" s="22" t="s">
        <v>636</v>
      </c>
      <c r="G105" s="2" t="s">
        <v>637</v>
      </c>
      <c r="H105" s="2" t="s">
        <v>638</v>
      </c>
      <c r="I105" s="2" t="s">
        <v>639</v>
      </c>
      <c r="J105" s="2" t="s">
        <v>640</v>
      </c>
    </row>
    <row r="106" spans="1:10" ht="18" customHeight="1" x14ac:dyDescent="0.15">
      <c r="A106" s="17">
        <v>264</v>
      </c>
      <c r="B106" s="17" t="s">
        <v>641</v>
      </c>
      <c r="C106" s="17" t="s">
        <v>641</v>
      </c>
      <c r="D106" s="17" t="s">
        <v>642</v>
      </c>
      <c r="E106" s="17" t="s">
        <v>643</v>
      </c>
      <c r="F106" s="22" t="s">
        <v>644</v>
      </c>
      <c r="G106" s="2" t="s">
        <v>645</v>
      </c>
      <c r="H106" s="2" t="s">
        <v>646</v>
      </c>
      <c r="I106" s="2" t="s">
        <v>647</v>
      </c>
      <c r="J106" s="2" t="s">
        <v>648</v>
      </c>
    </row>
    <row r="107" spans="1:10" ht="18" customHeight="1" x14ac:dyDescent="0.15">
      <c r="A107" s="17">
        <v>265</v>
      </c>
      <c r="B107" s="17" t="s">
        <v>649</v>
      </c>
      <c r="C107" s="17" t="s">
        <v>649</v>
      </c>
      <c r="D107" s="17" t="s">
        <v>650</v>
      </c>
      <c r="E107" s="17" t="s">
        <v>651</v>
      </c>
      <c r="F107" s="17" t="s">
        <v>652</v>
      </c>
      <c r="G107" s="2" t="s">
        <v>653</v>
      </c>
      <c r="H107" s="2" t="s">
        <v>654</v>
      </c>
      <c r="I107" s="2" t="s">
        <v>655</v>
      </c>
      <c r="J107" s="2" t="s">
        <v>656</v>
      </c>
    </row>
    <row r="108" spans="1:10" ht="18" customHeight="1" x14ac:dyDescent="0.15">
      <c r="A108" s="17">
        <v>266</v>
      </c>
      <c r="B108" s="17" t="s">
        <v>657</v>
      </c>
      <c r="C108" s="17" t="s">
        <v>657</v>
      </c>
      <c r="D108" s="17" t="s">
        <v>658</v>
      </c>
      <c r="E108" s="17" t="s">
        <v>659</v>
      </c>
      <c r="F108" s="22" t="s">
        <v>660</v>
      </c>
      <c r="G108" s="2" t="s">
        <v>661</v>
      </c>
      <c r="H108" s="2" t="s">
        <v>662</v>
      </c>
      <c r="I108" s="2" t="s">
        <v>663</v>
      </c>
      <c r="J108" s="2" t="s">
        <v>664</v>
      </c>
    </row>
    <row r="109" spans="1:10" ht="18" customHeight="1" x14ac:dyDescent="0.15">
      <c r="A109" s="17">
        <v>267</v>
      </c>
      <c r="B109" s="17" t="s">
        <v>665</v>
      </c>
      <c r="C109" s="17" t="s">
        <v>665</v>
      </c>
      <c r="D109" s="17" t="s">
        <v>666</v>
      </c>
      <c r="E109" s="17" t="s">
        <v>667</v>
      </c>
      <c r="F109" s="22" t="s">
        <v>668</v>
      </c>
      <c r="G109" s="2" t="s">
        <v>669</v>
      </c>
      <c r="H109" s="2" t="s">
        <v>670</v>
      </c>
      <c r="I109" s="2" t="s">
        <v>671</v>
      </c>
      <c r="J109" s="2" t="s">
        <v>672</v>
      </c>
    </row>
    <row r="110" spans="1:10" ht="18" customHeight="1" x14ac:dyDescent="0.15">
      <c r="A110" s="17">
        <v>268</v>
      </c>
      <c r="B110" s="17" t="s">
        <v>673</v>
      </c>
      <c r="C110" s="17" t="s">
        <v>673</v>
      </c>
      <c r="D110" s="17" t="s">
        <v>674</v>
      </c>
      <c r="E110" s="17" t="s">
        <v>675</v>
      </c>
      <c r="F110" s="22" t="s">
        <v>676</v>
      </c>
      <c r="G110" s="2" t="s">
        <v>677</v>
      </c>
      <c r="H110" s="2" t="s">
        <v>678</v>
      </c>
      <c r="I110" s="2" t="s">
        <v>679</v>
      </c>
      <c r="J110" s="2" t="s">
        <v>680</v>
      </c>
    </row>
    <row r="111" spans="1:10" ht="18" customHeight="1" x14ac:dyDescent="0.15">
      <c r="A111" s="17">
        <v>269</v>
      </c>
      <c r="B111" s="17" t="s">
        <v>681</v>
      </c>
      <c r="C111" s="17" t="s">
        <v>681</v>
      </c>
      <c r="D111" s="17" t="s">
        <v>682</v>
      </c>
      <c r="E111" s="17" t="s">
        <v>683</v>
      </c>
      <c r="F111" s="22" t="s">
        <v>684</v>
      </c>
      <c r="G111" s="2" t="s">
        <v>685</v>
      </c>
      <c r="H111" s="2" t="s">
        <v>686</v>
      </c>
      <c r="I111" s="2" t="s">
        <v>687</v>
      </c>
      <c r="J111" s="2" t="s">
        <v>688</v>
      </c>
    </row>
    <row r="112" spans="1:10" ht="18" customHeight="1" x14ac:dyDescent="0.15">
      <c r="A112" s="17">
        <v>270</v>
      </c>
      <c r="B112" s="17" t="s">
        <v>689</v>
      </c>
      <c r="C112" s="17" t="s">
        <v>689</v>
      </c>
      <c r="D112" s="17" t="s">
        <v>690</v>
      </c>
      <c r="E112" s="17" t="s">
        <v>691</v>
      </c>
      <c r="F112" s="22" t="s">
        <v>692</v>
      </c>
      <c r="G112" s="2" t="s">
        <v>693</v>
      </c>
      <c r="H112" s="2" t="s">
        <v>694</v>
      </c>
      <c r="I112" s="2" t="s">
        <v>695</v>
      </c>
      <c r="J112" s="2" t="s">
        <v>696</v>
      </c>
    </row>
    <row r="113" spans="1:10" ht="18" customHeight="1" x14ac:dyDescent="0.15">
      <c r="A113" s="17">
        <v>271</v>
      </c>
      <c r="B113" s="17" t="s">
        <v>697</v>
      </c>
      <c r="C113" s="17" t="s">
        <v>697</v>
      </c>
      <c r="D113" s="17" t="s">
        <v>698</v>
      </c>
      <c r="E113" s="17" t="s">
        <v>699</v>
      </c>
      <c r="F113" s="22" t="s">
        <v>700</v>
      </c>
      <c r="G113" s="2" t="s">
        <v>701</v>
      </c>
      <c r="H113" s="2" t="s">
        <v>702</v>
      </c>
      <c r="I113" s="2" t="s">
        <v>703</v>
      </c>
      <c r="J113" s="2" t="s">
        <v>704</v>
      </c>
    </row>
    <row r="114" spans="1:10" ht="18" customHeight="1" x14ac:dyDescent="0.15">
      <c r="A114" s="17">
        <v>272</v>
      </c>
      <c r="B114" s="17" t="s">
        <v>705</v>
      </c>
      <c r="C114" s="17" t="s">
        <v>705</v>
      </c>
      <c r="D114" s="17" t="s">
        <v>706</v>
      </c>
      <c r="E114" s="17" t="s">
        <v>707</v>
      </c>
      <c r="F114" s="22" t="s">
        <v>708</v>
      </c>
      <c r="G114" s="2" t="s">
        <v>709</v>
      </c>
      <c r="H114" s="2" t="s">
        <v>710</v>
      </c>
      <c r="I114" s="2" t="s">
        <v>711</v>
      </c>
      <c r="J114" s="2" t="s">
        <v>712</v>
      </c>
    </row>
    <row r="115" spans="1:10" ht="18" customHeight="1" x14ac:dyDescent="0.15">
      <c r="A115" s="17">
        <v>273</v>
      </c>
      <c r="B115" s="17" t="s">
        <v>713</v>
      </c>
      <c r="C115" s="17" t="s">
        <v>713</v>
      </c>
      <c r="D115" s="17" t="s">
        <v>714</v>
      </c>
      <c r="E115" s="17" t="s">
        <v>715</v>
      </c>
      <c r="F115" s="22" t="s">
        <v>716</v>
      </c>
      <c r="G115" s="2" t="s">
        <v>717</v>
      </c>
      <c r="H115" s="2" t="s">
        <v>718</v>
      </c>
      <c r="I115" s="2" t="s">
        <v>719</v>
      </c>
      <c r="J115" s="2" t="s">
        <v>720</v>
      </c>
    </row>
    <row r="116" spans="1:10" ht="18" customHeight="1" x14ac:dyDescent="0.15">
      <c r="A116" s="17">
        <v>274</v>
      </c>
      <c r="B116" s="17" t="s">
        <v>721</v>
      </c>
      <c r="C116" s="17" t="s">
        <v>721</v>
      </c>
      <c r="D116" s="17" t="s">
        <v>722</v>
      </c>
      <c r="E116" s="17" t="s">
        <v>723</v>
      </c>
      <c r="F116" s="22" t="s">
        <v>724</v>
      </c>
      <c r="G116" s="2" t="s">
        <v>725</v>
      </c>
      <c r="H116" s="2" t="s">
        <v>726</v>
      </c>
      <c r="I116" s="2" t="s">
        <v>727</v>
      </c>
      <c r="J116" s="2" t="s">
        <v>728</v>
      </c>
    </row>
    <row r="117" spans="1:10" ht="18" customHeight="1" x14ac:dyDescent="0.15">
      <c r="A117" s="17">
        <v>275</v>
      </c>
      <c r="B117" s="17" t="s">
        <v>729</v>
      </c>
      <c r="C117" s="17" t="s">
        <v>729</v>
      </c>
      <c r="D117" s="17" t="s">
        <v>730</v>
      </c>
      <c r="E117" s="17" t="s">
        <v>731</v>
      </c>
      <c r="F117" s="22" t="s">
        <v>732</v>
      </c>
      <c r="G117" s="2" t="s">
        <v>733</v>
      </c>
      <c r="H117" s="2" t="s">
        <v>734</v>
      </c>
      <c r="I117" s="2" t="s">
        <v>735</v>
      </c>
      <c r="J117" s="2" t="s">
        <v>736</v>
      </c>
    </row>
    <row r="118" spans="1:10" ht="18" customHeight="1" x14ac:dyDescent="0.15">
      <c r="A118" s="17">
        <v>276</v>
      </c>
      <c r="B118" s="17" t="s">
        <v>737</v>
      </c>
      <c r="C118" s="17" t="s">
        <v>737</v>
      </c>
      <c r="D118" s="17" t="s">
        <v>738</v>
      </c>
      <c r="E118" s="17" t="s">
        <v>739</v>
      </c>
      <c r="F118" s="22" t="s">
        <v>740</v>
      </c>
      <c r="G118" s="2" t="s">
        <v>741</v>
      </c>
      <c r="H118" s="2" t="s">
        <v>742</v>
      </c>
      <c r="I118" s="2" t="s">
        <v>743</v>
      </c>
      <c r="J118" s="2" t="s">
        <v>744</v>
      </c>
    </row>
    <row r="119" spans="1:10" ht="18" customHeight="1" x14ac:dyDescent="0.15">
      <c r="A119" s="17">
        <v>277</v>
      </c>
      <c r="B119" s="17" t="s">
        <v>745</v>
      </c>
      <c r="C119" s="17" t="s">
        <v>745</v>
      </c>
      <c r="D119" s="17" t="s">
        <v>746</v>
      </c>
      <c r="E119" s="17" t="s">
        <v>747</v>
      </c>
      <c r="F119" s="22" t="s">
        <v>748</v>
      </c>
      <c r="G119" s="2" t="s">
        <v>749</v>
      </c>
      <c r="H119" s="2" t="s">
        <v>750</v>
      </c>
      <c r="I119" s="2" t="s">
        <v>751</v>
      </c>
      <c r="J119" s="2" t="s">
        <v>752</v>
      </c>
    </row>
    <row r="120" spans="1:10" ht="18" customHeight="1" x14ac:dyDescent="0.15">
      <c r="A120" s="17">
        <v>278</v>
      </c>
      <c r="B120" s="17" t="s">
        <v>753</v>
      </c>
      <c r="C120" s="17" t="s">
        <v>753</v>
      </c>
      <c r="D120" s="17" t="s">
        <v>754</v>
      </c>
      <c r="E120" s="17" t="s">
        <v>755</v>
      </c>
      <c r="F120" s="22" t="s">
        <v>756</v>
      </c>
      <c r="G120" s="2" t="s">
        <v>757</v>
      </c>
      <c r="H120" s="2" t="s">
        <v>758</v>
      </c>
      <c r="I120" s="2" t="s">
        <v>759</v>
      </c>
      <c r="J120" s="2" t="s">
        <v>760</v>
      </c>
    </row>
    <row r="121" spans="1:10" ht="18" customHeight="1" x14ac:dyDescent="0.15">
      <c r="A121" s="17">
        <v>279</v>
      </c>
      <c r="B121" s="17" t="s">
        <v>761</v>
      </c>
      <c r="C121" s="17" t="s">
        <v>761</v>
      </c>
      <c r="D121" s="17" t="s">
        <v>762</v>
      </c>
      <c r="E121" s="17" t="s">
        <v>763</v>
      </c>
      <c r="F121" s="22" t="s">
        <v>764</v>
      </c>
      <c r="G121" s="2" t="s">
        <v>765</v>
      </c>
      <c r="H121" s="2" t="s">
        <v>766</v>
      </c>
      <c r="I121" s="2" t="s">
        <v>767</v>
      </c>
      <c r="J121" s="2" t="s">
        <v>768</v>
      </c>
    </row>
    <row r="122" spans="1:10" ht="18" customHeight="1" x14ac:dyDescent="0.15">
      <c r="A122" s="17">
        <v>280</v>
      </c>
      <c r="B122" s="17" t="s">
        <v>769</v>
      </c>
      <c r="C122" s="17" t="s">
        <v>769</v>
      </c>
      <c r="D122" s="17" t="s">
        <v>770</v>
      </c>
      <c r="E122" s="17" t="s">
        <v>771</v>
      </c>
      <c r="F122" s="22" t="s">
        <v>772</v>
      </c>
      <c r="G122" s="2" t="s">
        <v>773</v>
      </c>
      <c r="H122" s="2" t="s">
        <v>774</v>
      </c>
      <c r="I122" s="2" t="s">
        <v>775</v>
      </c>
      <c r="J122" s="2" t="s">
        <v>776</v>
      </c>
    </row>
    <row r="123" spans="1:10" ht="18" customHeight="1" x14ac:dyDescent="0.15">
      <c r="A123" s="17">
        <v>281</v>
      </c>
      <c r="B123" s="2" t="s">
        <v>777</v>
      </c>
      <c r="C123" s="2" t="s">
        <v>777</v>
      </c>
      <c r="D123" s="2" t="s">
        <v>778</v>
      </c>
      <c r="E123" s="2" t="s">
        <v>779</v>
      </c>
      <c r="F123" s="25" t="s">
        <v>780</v>
      </c>
      <c r="G123" s="2" t="s">
        <v>781</v>
      </c>
      <c r="H123" s="2" t="s">
        <v>782</v>
      </c>
      <c r="I123" s="2" t="s">
        <v>783</v>
      </c>
      <c r="J123" s="2" t="s">
        <v>784</v>
      </c>
    </row>
    <row r="124" spans="1:10" ht="18" customHeight="1" x14ac:dyDescent="0.15">
      <c r="A124" s="17">
        <v>282</v>
      </c>
      <c r="B124" s="2" t="s">
        <v>785</v>
      </c>
      <c r="C124" s="2" t="s">
        <v>785</v>
      </c>
      <c r="D124" s="2" t="s">
        <v>786</v>
      </c>
      <c r="E124" s="2" t="s">
        <v>787</v>
      </c>
      <c r="F124" s="25" t="s">
        <v>788</v>
      </c>
      <c r="G124" s="2" t="s">
        <v>789</v>
      </c>
      <c r="H124" s="2" t="s">
        <v>790</v>
      </c>
      <c r="I124" s="2" t="s">
        <v>791</v>
      </c>
      <c r="J124" s="2" t="s">
        <v>792</v>
      </c>
    </row>
    <row r="125" spans="1:10" ht="18" customHeight="1" x14ac:dyDescent="0.15">
      <c r="A125" s="17">
        <v>283</v>
      </c>
      <c r="B125" s="2" t="s">
        <v>793</v>
      </c>
      <c r="C125" s="2" t="s">
        <v>793</v>
      </c>
      <c r="D125" s="2" t="s">
        <v>794</v>
      </c>
      <c r="E125" s="2" t="s">
        <v>795</v>
      </c>
      <c r="F125" s="2" t="s">
        <v>796</v>
      </c>
      <c r="G125" s="2" t="s">
        <v>797</v>
      </c>
      <c r="H125" s="2" t="s">
        <v>798</v>
      </c>
      <c r="I125" s="2" t="s">
        <v>799</v>
      </c>
      <c r="J125" s="2" t="s">
        <v>800</v>
      </c>
    </row>
    <row r="126" spans="1:10" ht="18" customHeight="1" x14ac:dyDescent="0.15">
      <c r="A126" s="17">
        <v>284</v>
      </c>
      <c r="B126" s="2" t="s">
        <v>801</v>
      </c>
      <c r="C126" s="2" t="s">
        <v>801</v>
      </c>
      <c r="D126" s="2" t="s">
        <v>802</v>
      </c>
      <c r="E126" s="2" t="s">
        <v>803</v>
      </c>
      <c r="F126" s="25" t="s">
        <v>804</v>
      </c>
      <c r="G126" s="2" t="s">
        <v>805</v>
      </c>
      <c r="H126" s="2" t="s">
        <v>806</v>
      </c>
      <c r="I126" s="2" t="s">
        <v>807</v>
      </c>
      <c r="J126" s="2" t="s">
        <v>808</v>
      </c>
    </row>
    <row r="127" spans="1:10" ht="18" customHeight="1" x14ac:dyDescent="0.15">
      <c r="A127" s="17">
        <v>285</v>
      </c>
      <c r="B127" s="2" t="s">
        <v>809</v>
      </c>
      <c r="C127" s="2" t="s">
        <v>809</v>
      </c>
      <c r="D127" s="2" t="s">
        <v>810</v>
      </c>
      <c r="E127" s="2" t="s">
        <v>811</v>
      </c>
      <c r="F127" s="25" t="s">
        <v>812</v>
      </c>
      <c r="G127" s="2" t="s">
        <v>813</v>
      </c>
      <c r="H127" s="2" t="s">
        <v>814</v>
      </c>
      <c r="I127" s="2" t="s">
        <v>815</v>
      </c>
      <c r="J127" s="2" t="s">
        <v>816</v>
      </c>
    </row>
    <row r="128" spans="1:10" ht="18" customHeight="1" x14ac:dyDescent="0.15">
      <c r="A128" s="17">
        <v>286</v>
      </c>
      <c r="B128" s="2" t="s">
        <v>817</v>
      </c>
      <c r="C128" s="2" t="s">
        <v>817</v>
      </c>
      <c r="D128" s="2" t="s">
        <v>818</v>
      </c>
      <c r="E128" s="2" t="s">
        <v>819</v>
      </c>
      <c r="F128" s="25" t="s">
        <v>820</v>
      </c>
      <c r="G128" s="2" t="s">
        <v>821</v>
      </c>
      <c r="H128" s="2" t="s">
        <v>822</v>
      </c>
      <c r="I128" s="2" t="s">
        <v>823</v>
      </c>
      <c r="J128" s="2" t="s">
        <v>824</v>
      </c>
    </row>
    <row r="129" spans="1:10" ht="18" customHeight="1" x14ac:dyDescent="0.15">
      <c r="A129" s="17">
        <v>287</v>
      </c>
      <c r="B129" s="2" t="s">
        <v>825</v>
      </c>
      <c r="C129" s="2" t="s">
        <v>825</v>
      </c>
      <c r="D129" s="2" t="s">
        <v>826</v>
      </c>
      <c r="E129" s="2" t="s">
        <v>827</v>
      </c>
      <c r="F129" s="25" t="s">
        <v>828</v>
      </c>
      <c r="G129" s="2" t="s">
        <v>829</v>
      </c>
      <c r="H129" s="2" t="s">
        <v>830</v>
      </c>
      <c r="I129" s="2" t="s">
        <v>831</v>
      </c>
      <c r="J129" s="2" t="s">
        <v>832</v>
      </c>
    </row>
    <row r="130" spans="1:10" ht="18" customHeight="1" x14ac:dyDescent="0.15">
      <c r="A130" s="17">
        <v>288</v>
      </c>
      <c r="B130" s="2" t="s">
        <v>833</v>
      </c>
      <c r="C130" s="2" t="s">
        <v>833</v>
      </c>
      <c r="D130" s="2" t="s">
        <v>834</v>
      </c>
      <c r="E130" s="2" t="s">
        <v>835</v>
      </c>
      <c r="F130" s="2" t="s">
        <v>836</v>
      </c>
      <c r="G130" s="2" t="s">
        <v>837</v>
      </c>
      <c r="H130" s="2" t="s">
        <v>838</v>
      </c>
      <c r="I130" s="2" t="s">
        <v>839</v>
      </c>
      <c r="J130" s="2" t="s">
        <v>840</v>
      </c>
    </row>
    <row r="131" spans="1:10" ht="18" customHeight="1" x14ac:dyDescent="0.15">
      <c r="A131" s="17">
        <v>289</v>
      </c>
      <c r="B131" s="2" t="s">
        <v>841</v>
      </c>
      <c r="C131" s="2" t="s">
        <v>841</v>
      </c>
      <c r="D131" s="2" t="s">
        <v>842</v>
      </c>
      <c r="E131" s="2" t="s">
        <v>843</v>
      </c>
      <c r="F131" s="25" t="s">
        <v>844</v>
      </c>
      <c r="G131" s="2" t="s">
        <v>845</v>
      </c>
      <c r="H131" s="2" t="s">
        <v>846</v>
      </c>
      <c r="I131" s="2" t="s">
        <v>847</v>
      </c>
      <c r="J131" s="2" t="s">
        <v>848</v>
      </c>
    </row>
    <row r="132" spans="1:10" ht="18" customHeight="1" x14ac:dyDescent="0.15">
      <c r="A132" s="17">
        <v>290</v>
      </c>
      <c r="B132" s="2" t="s">
        <v>849</v>
      </c>
      <c r="C132" s="2" t="s">
        <v>849</v>
      </c>
      <c r="D132" s="2" t="s">
        <v>850</v>
      </c>
      <c r="E132" s="2" t="s">
        <v>851</v>
      </c>
      <c r="F132" s="25" t="s">
        <v>852</v>
      </c>
      <c r="G132" s="2" t="s">
        <v>853</v>
      </c>
      <c r="H132" s="2" t="s">
        <v>854</v>
      </c>
      <c r="I132" s="2" t="s">
        <v>855</v>
      </c>
      <c r="J132" s="2" t="s">
        <v>856</v>
      </c>
    </row>
    <row r="133" spans="1:10" ht="18" customHeight="1" x14ac:dyDescent="0.15">
      <c r="A133" s="17">
        <v>291</v>
      </c>
      <c r="B133" s="2" t="s">
        <v>857</v>
      </c>
      <c r="C133" s="2" t="s">
        <v>857</v>
      </c>
      <c r="D133" s="2" t="s">
        <v>858</v>
      </c>
      <c r="E133" s="2" t="s">
        <v>859</v>
      </c>
      <c r="F133" s="25" t="s">
        <v>860</v>
      </c>
      <c r="G133" s="2" t="s">
        <v>861</v>
      </c>
      <c r="H133" s="2" t="s">
        <v>862</v>
      </c>
      <c r="I133" s="2" t="s">
        <v>863</v>
      </c>
      <c r="J133" s="2" t="s">
        <v>864</v>
      </c>
    </row>
    <row r="134" spans="1:10" ht="18" customHeight="1" x14ac:dyDescent="0.15">
      <c r="A134" s="17">
        <v>292</v>
      </c>
      <c r="B134" s="2" t="s">
        <v>865</v>
      </c>
      <c r="C134" s="2" t="s">
        <v>865</v>
      </c>
      <c r="D134" s="2" t="s">
        <v>866</v>
      </c>
      <c r="E134" s="2" t="s">
        <v>867</v>
      </c>
      <c r="F134" s="25" t="s">
        <v>868</v>
      </c>
      <c r="G134" s="2" t="s">
        <v>869</v>
      </c>
      <c r="H134" s="2" t="s">
        <v>870</v>
      </c>
      <c r="I134" s="2" t="s">
        <v>871</v>
      </c>
      <c r="J134" s="2" t="s">
        <v>872</v>
      </c>
    </row>
    <row r="135" spans="1:10" ht="18" customHeight="1" x14ac:dyDescent="0.15">
      <c r="A135" s="17">
        <v>293</v>
      </c>
      <c r="B135" s="2" t="s">
        <v>873</v>
      </c>
      <c r="C135" s="2" t="s">
        <v>873</v>
      </c>
      <c r="D135" s="2" t="s">
        <v>874</v>
      </c>
      <c r="E135" s="2" t="s">
        <v>875</v>
      </c>
      <c r="F135" s="25" t="s">
        <v>876</v>
      </c>
      <c r="G135" s="2" t="s">
        <v>877</v>
      </c>
      <c r="H135" s="2" t="s">
        <v>878</v>
      </c>
      <c r="I135" s="2" t="s">
        <v>879</v>
      </c>
      <c r="J135" s="2" t="s">
        <v>880</v>
      </c>
    </row>
    <row r="136" spans="1:10" ht="18" customHeight="1" x14ac:dyDescent="0.15">
      <c r="A136" s="17">
        <v>294</v>
      </c>
      <c r="B136" s="2" t="s">
        <v>881</v>
      </c>
      <c r="C136" s="2" t="s">
        <v>881</v>
      </c>
      <c r="D136" s="2" t="s">
        <v>882</v>
      </c>
      <c r="E136" s="2" t="s">
        <v>883</v>
      </c>
      <c r="F136" s="25" t="s">
        <v>884</v>
      </c>
      <c r="G136" s="2" t="s">
        <v>885</v>
      </c>
      <c r="H136" s="2" t="s">
        <v>886</v>
      </c>
      <c r="I136" s="2" t="s">
        <v>887</v>
      </c>
      <c r="J136" s="2" t="s">
        <v>888</v>
      </c>
    </row>
    <row r="137" spans="1:10" ht="18" customHeight="1" x14ac:dyDescent="0.15">
      <c r="A137" s="17">
        <v>295</v>
      </c>
      <c r="B137" s="2" t="s">
        <v>889</v>
      </c>
      <c r="C137" s="2" t="s">
        <v>889</v>
      </c>
      <c r="D137" s="2" t="s">
        <v>890</v>
      </c>
      <c r="E137" s="2" t="s">
        <v>891</v>
      </c>
      <c r="F137" s="25" t="s">
        <v>892</v>
      </c>
      <c r="G137" s="2" t="s">
        <v>893</v>
      </c>
      <c r="H137" s="2" t="s">
        <v>894</v>
      </c>
      <c r="I137" s="2" t="s">
        <v>895</v>
      </c>
      <c r="J137" s="2" t="s">
        <v>896</v>
      </c>
    </row>
    <row r="138" spans="1:10" ht="18" customHeight="1" x14ac:dyDescent="0.15">
      <c r="A138" s="17">
        <v>296</v>
      </c>
      <c r="B138" s="2" t="s">
        <v>897</v>
      </c>
      <c r="C138" s="2" t="s">
        <v>897</v>
      </c>
      <c r="D138" s="2" t="s">
        <v>898</v>
      </c>
      <c r="E138" s="2" t="s">
        <v>899</v>
      </c>
      <c r="F138" s="25" t="s">
        <v>900</v>
      </c>
      <c r="G138" s="2" t="s">
        <v>901</v>
      </c>
      <c r="H138" s="2" t="s">
        <v>902</v>
      </c>
      <c r="I138" s="2" t="s">
        <v>903</v>
      </c>
      <c r="J138" s="2" t="s">
        <v>904</v>
      </c>
    </row>
    <row r="139" spans="1:10" ht="18" customHeight="1" x14ac:dyDescent="0.15">
      <c r="A139" s="17">
        <v>297</v>
      </c>
      <c r="B139" s="2" t="s">
        <v>905</v>
      </c>
      <c r="C139" s="2" t="s">
        <v>905</v>
      </c>
      <c r="D139" s="26" t="s">
        <v>906</v>
      </c>
      <c r="E139" s="26" t="s">
        <v>907</v>
      </c>
      <c r="F139" s="27" t="s">
        <v>908</v>
      </c>
      <c r="G139" s="26" t="s">
        <v>906</v>
      </c>
      <c r="H139" s="26" t="s">
        <v>906</v>
      </c>
      <c r="I139" s="26" t="s">
        <v>906</v>
      </c>
      <c r="J139" s="26" t="s">
        <v>906</v>
      </c>
    </row>
    <row r="140" spans="1:10" ht="18" customHeight="1" x14ac:dyDescent="0.15">
      <c r="A140" s="17">
        <v>298</v>
      </c>
      <c r="B140" s="2" t="s">
        <v>909</v>
      </c>
      <c r="C140" s="2" t="s">
        <v>909</v>
      </c>
      <c r="D140" s="26" t="s">
        <v>910</v>
      </c>
      <c r="E140" s="26" t="s">
        <v>911</v>
      </c>
      <c r="F140" s="27" t="s">
        <v>912</v>
      </c>
      <c r="G140" s="26" t="s">
        <v>910</v>
      </c>
      <c r="H140" s="26" t="s">
        <v>910</v>
      </c>
      <c r="I140" s="26" t="s">
        <v>910</v>
      </c>
      <c r="J140" s="26" t="s">
        <v>910</v>
      </c>
    </row>
    <row r="141" spans="1:10" ht="18" customHeight="1" x14ac:dyDescent="0.15">
      <c r="A141" s="17">
        <v>299</v>
      </c>
      <c r="B141" s="2" t="s">
        <v>913</v>
      </c>
      <c r="C141" s="2" t="s">
        <v>913</v>
      </c>
      <c r="D141" s="26" t="s">
        <v>914</v>
      </c>
      <c r="E141" s="26" t="s">
        <v>915</v>
      </c>
      <c r="F141" s="27" t="s">
        <v>916</v>
      </c>
      <c r="G141" s="26" t="s">
        <v>914</v>
      </c>
      <c r="H141" s="26" t="s">
        <v>914</v>
      </c>
      <c r="I141" s="26" t="s">
        <v>914</v>
      </c>
      <c r="J141" s="26" t="s">
        <v>914</v>
      </c>
    </row>
    <row r="142" spans="1:10" ht="18" customHeight="1" x14ac:dyDescent="0.15">
      <c r="A142" s="17">
        <v>300</v>
      </c>
      <c r="B142" s="2" t="s">
        <v>917</v>
      </c>
      <c r="C142" s="2" t="s">
        <v>917</v>
      </c>
      <c r="D142" s="26" t="s">
        <v>918</v>
      </c>
      <c r="E142" s="26" t="s">
        <v>919</v>
      </c>
      <c r="F142" s="27" t="s">
        <v>920</v>
      </c>
      <c r="G142" s="26" t="s">
        <v>918</v>
      </c>
      <c r="H142" s="26" t="s">
        <v>918</v>
      </c>
      <c r="I142" s="26" t="s">
        <v>918</v>
      </c>
      <c r="J142" s="26" t="s">
        <v>918</v>
      </c>
    </row>
    <row r="143" spans="1:10" ht="18" customHeight="1" x14ac:dyDescent="0.15">
      <c r="A143" s="17">
        <v>301</v>
      </c>
      <c r="B143" s="2" t="s">
        <v>921</v>
      </c>
      <c r="C143" s="2" t="s">
        <v>921</v>
      </c>
      <c r="D143" s="2" t="s">
        <v>922</v>
      </c>
      <c r="E143" s="2" t="s">
        <v>923</v>
      </c>
      <c r="F143" s="28" t="s">
        <v>924</v>
      </c>
      <c r="G143" s="2" t="s">
        <v>925</v>
      </c>
      <c r="H143" s="2" t="s">
        <v>926</v>
      </c>
      <c r="I143" s="2" t="s">
        <v>927</v>
      </c>
      <c r="J143" s="2" t="s">
        <v>928</v>
      </c>
    </row>
    <row r="144" spans="1:10" ht="18" customHeight="1" x14ac:dyDescent="0.15">
      <c r="A144" s="17">
        <v>302</v>
      </c>
      <c r="B144" s="2" t="s">
        <v>929</v>
      </c>
      <c r="C144" s="2" t="s">
        <v>929</v>
      </c>
      <c r="D144" s="2" t="s">
        <v>930</v>
      </c>
      <c r="E144" s="2" t="s">
        <v>931</v>
      </c>
      <c r="F144" s="28" t="s">
        <v>932</v>
      </c>
      <c r="G144" s="2" t="s">
        <v>933</v>
      </c>
      <c r="H144" s="2" t="s">
        <v>934</v>
      </c>
      <c r="I144" s="2" t="s">
        <v>935</v>
      </c>
      <c r="J144" s="2" t="s">
        <v>936</v>
      </c>
    </row>
    <row r="145" spans="1:10" ht="18" customHeight="1" x14ac:dyDescent="0.15">
      <c r="A145" s="17">
        <v>303</v>
      </c>
      <c r="B145" s="2" t="s">
        <v>937</v>
      </c>
      <c r="C145" s="2" t="s">
        <v>937</v>
      </c>
      <c r="D145" s="2" t="s">
        <v>938</v>
      </c>
      <c r="E145" s="2" t="s">
        <v>939</v>
      </c>
      <c r="F145" s="28" t="s">
        <v>940</v>
      </c>
      <c r="G145" s="2" t="s">
        <v>941</v>
      </c>
      <c r="H145" s="2" t="s">
        <v>942</v>
      </c>
      <c r="I145" s="2" t="s">
        <v>943</v>
      </c>
      <c r="J145" s="2" t="s">
        <v>944</v>
      </c>
    </row>
    <row r="146" spans="1:10" ht="18" customHeight="1" x14ac:dyDescent="0.15">
      <c r="A146" s="17">
        <v>304</v>
      </c>
      <c r="B146" s="2" t="s">
        <v>945</v>
      </c>
      <c r="C146" s="2" t="s">
        <v>945</v>
      </c>
      <c r="D146" s="2" t="s">
        <v>946</v>
      </c>
      <c r="E146" s="2" t="s">
        <v>947</v>
      </c>
      <c r="F146" s="28" t="s">
        <v>948</v>
      </c>
      <c r="G146" s="2" t="s">
        <v>949</v>
      </c>
      <c r="H146" s="2" t="s">
        <v>950</v>
      </c>
      <c r="I146" s="2" t="s">
        <v>951</v>
      </c>
      <c r="J146" s="2" t="s">
        <v>952</v>
      </c>
    </row>
    <row r="147" spans="1:10" ht="18" customHeight="1" x14ac:dyDescent="0.15">
      <c r="A147" s="17">
        <v>305</v>
      </c>
      <c r="B147" s="2" t="s">
        <v>953</v>
      </c>
      <c r="C147" s="2" t="s">
        <v>953</v>
      </c>
      <c r="D147" s="2" t="s">
        <v>954</v>
      </c>
      <c r="E147" s="2" t="s">
        <v>955</v>
      </c>
      <c r="F147" s="28" t="s">
        <v>956</v>
      </c>
      <c r="G147" s="2" t="s">
        <v>957</v>
      </c>
      <c r="H147" s="2" t="s">
        <v>958</v>
      </c>
      <c r="I147" s="2" t="s">
        <v>959</v>
      </c>
      <c r="J147" s="2" t="s">
        <v>960</v>
      </c>
    </row>
    <row r="148" spans="1:10" ht="18" customHeight="1" x14ac:dyDescent="0.15">
      <c r="A148" s="17">
        <v>306</v>
      </c>
      <c r="B148" s="2" t="s">
        <v>961</v>
      </c>
      <c r="C148" s="2" t="s">
        <v>961</v>
      </c>
      <c r="D148" s="2" t="s">
        <v>962</v>
      </c>
      <c r="E148" s="2" t="s">
        <v>963</v>
      </c>
      <c r="F148" s="28" t="s">
        <v>964</v>
      </c>
      <c r="G148" s="2" t="s">
        <v>965</v>
      </c>
      <c r="H148" s="2" t="s">
        <v>966</v>
      </c>
      <c r="I148" s="2" t="s">
        <v>967</v>
      </c>
      <c r="J148" s="2" t="s">
        <v>968</v>
      </c>
    </row>
    <row r="149" spans="1:10" ht="18" customHeight="1" x14ac:dyDescent="0.15">
      <c r="A149" s="17">
        <v>307</v>
      </c>
      <c r="B149" s="2" t="s">
        <v>969</v>
      </c>
      <c r="C149" s="2" t="s">
        <v>969</v>
      </c>
      <c r="D149" s="2" t="s">
        <v>970</v>
      </c>
      <c r="E149" s="2" t="s">
        <v>971</v>
      </c>
      <c r="F149" s="28" t="s">
        <v>972</v>
      </c>
      <c r="G149" s="2" t="s">
        <v>973</v>
      </c>
      <c r="H149" s="2" t="s">
        <v>974</v>
      </c>
      <c r="I149" s="2" t="s">
        <v>975</v>
      </c>
      <c r="J149" s="2" t="s">
        <v>976</v>
      </c>
    </row>
    <row r="150" spans="1:10" ht="18" customHeight="1" x14ac:dyDescent="0.15">
      <c r="A150" s="17">
        <v>308</v>
      </c>
      <c r="B150" s="2" t="s">
        <v>977</v>
      </c>
      <c r="C150" s="2" t="s">
        <v>977</v>
      </c>
      <c r="D150" s="2" t="s">
        <v>978</v>
      </c>
      <c r="E150" s="2" t="s">
        <v>979</v>
      </c>
      <c r="F150" s="28" t="s">
        <v>980</v>
      </c>
      <c r="G150" s="2" t="s">
        <v>981</v>
      </c>
      <c r="H150" s="2" t="s">
        <v>982</v>
      </c>
      <c r="I150" s="2" t="s">
        <v>983</v>
      </c>
      <c r="J150" s="2" t="s">
        <v>984</v>
      </c>
    </row>
    <row r="151" spans="1:10" ht="18" customHeight="1" x14ac:dyDescent="0.15">
      <c r="A151" s="17">
        <v>309</v>
      </c>
      <c r="B151" s="2" t="s">
        <v>985</v>
      </c>
      <c r="C151" s="2" t="s">
        <v>985</v>
      </c>
      <c r="D151" s="2" t="s">
        <v>986</v>
      </c>
      <c r="E151" s="2" t="s">
        <v>987</v>
      </c>
      <c r="F151" s="28" t="s">
        <v>988</v>
      </c>
      <c r="G151" s="2" t="s">
        <v>989</v>
      </c>
      <c r="H151" s="2" t="s">
        <v>990</v>
      </c>
      <c r="I151" s="2" t="s">
        <v>991</v>
      </c>
      <c r="J151" s="2" t="s">
        <v>992</v>
      </c>
    </row>
    <row r="152" spans="1:10" ht="18" customHeight="1" x14ac:dyDescent="0.15">
      <c r="A152" s="17">
        <v>310</v>
      </c>
      <c r="B152" s="2" t="s">
        <v>993</v>
      </c>
      <c r="C152" s="2" t="s">
        <v>993</v>
      </c>
      <c r="D152" s="2" t="s">
        <v>994</v>
      </c>
      <c r="E152" s="2" t="s">
        <v>995</v>
      </c>
      <c r="F152" s="28" t="s">
        <v>996</v>
      </c>
      <c r="G152" s="2" t="s">
        <v>997</v>
      </c>
      <c r="H152" s="2" t="s">
        <v>998</v>
      </c>
      <c r="I152" s="2" t="s">
        <v>999</v>
      </c>
      <c r="J152" s="2" t="s">
        <v>1000</v>
      </c>
    </row>
    <row r="153" spans="1:10" ht="18" customHeight="1" x14ac:dyDescent="0.15">
      <c r="A153" s="17">
        <v>311</v>
      </c>
      <c r="B153" s="2" t="s">
        <v>1001</v>
      </c>
      <c r="C153" s="2" t="s">
        <v>1001</v>
      </c>
      <c r="D153" s="2" t="s">
        <v>1002</v>
      </c>
      <c r="E153" s="2" t="s">
        <v>1003</v>
      </c>
      <c r="F153" s="28" t="s">
        <v>1004</v>
      </c>
      <c r="G153" s="2" t="s">
        <v>1005</v>
      </c>
      <c r="H153" s="2" t="s">
        <v>1006</v>
      </c>
      <c r="I153" s="2" t="s">
        <v>1007</v>
      </c>
      <c r="J153" s="2" t="s">
        <v>1008</v>
      </c>
    </row>
    <row r="154" spans="1:10" ht="18" customHeight="1" x14ac:dyDescent="0.15">
      <c r="A154" s="17">
        <v>312</v>
      </c>
      <c r="B154" s="2" t="s">
        <v>1009</v>
      </c>
      <c r="C154" s="2" t="s">
        <v>1009</v>
      </c>
      <c r="D154" s="2" t="s">
        <v>1010</v>
      </c>
      <c r="E154" s="2" t="s">
        <v>1011</v>
      </c>
      <c r="F154" s="28" t="s">
        <v>1012</v>
      </c>
      <c r="G154" s="2" t="s">
        <v>1013</v>
      </c>
      <c r="H154" s="2" t="s">
        <v>1014</v>
      </c>
      <c r="I154" s="2" t="s">
        <v>1015</v>
      </c>
      <c r="J154" s="2" t="s">
        <v>1016</v>
      </c>
    </row>
    <row r="155" spans="1:10" ht="18" customHeight="1" x14ac:dyDescent="0.15">
      <c r="A155" s="17">
        <v>313</v>
      </c>
      <c r="B155" s="2" t="s">
        <v>1017</v>
      </c>
      <c r="C155" s="2" t="s">
        <v>1017</v>
      </c>
      <c r="D155" s="18" t="s">
        <v>1018</v>
      </c>
      <c r="E155" s="18" t="s">
        <v>1019</v>
      </c>
      <c r="F155" s="19" t="s">
        <v>1020</v>
      </c>
      <c r="G155" s="18" t="s">
        <v>1021</v>
      </c>
      <c r="H155" s="18" t="s">
        <v>1022</v>
      </c>
      <c r="I155" s="18" t="s">
        <v>1023</v>
      </c>
      <c r="J155" s="18" t="s">
        <v>1024</v>
      </c>
    </row>
    <row r="156" spans="1:10" ht="18" customHeight="1" x14ac:dyDescent="0.15">
      <c r="A156" s="17">
        <v>314</v>
      </c>
      <c r="B156" s="2" t="s">
        <v>1025</v>
      </c>
      <c r="C156" s="2" t="s">
        <v>1025</v>
      </c>
      <c r="D156" s="18" t="s">
        <v>1026</v>
      </c>
      <c r="E156" s="18" t="s">
        <v>1027</v>
      </c>
      <c r="F156" s="19" t="s">
        <v>1028</v>
      </c>
      <c r="G156" s="18" t="s">
        <v>1029</v>
      </c>
      <c r="H156" s="18" t="s">
        <v>1030</v>
      </c>
      <c r="I156" s="18" t="s">
        <v>1031</v>
      </c>
      <c r="J156" s="18" t="s">
        <v>1031</v>
      </c>
    </row>
    <row r="157" spans="1:10" ht="18" customHeight="1" x14ac:dyDescent="0.15">
      <c r="A157" s="17">
        <v>315</v>
      </c>
      <c r="B157" s="2" t="s">
        <v>1032</v>
      </c>
      <c r="C157" s="2" t="s">
        <v>1032</v>
      </c>
      <c r="D157" s="18" t="s">
        <v>1033</v>
      </c>
      <c r="E157" s="18" t="s">
        <v>1034</v>
      </c>
      <c r="F157" s="19" t="s">
        <v>1035</v>
      </c>
      <c r="G157" s="18" t="s">
        <v>1036</v>
      </c>
      <c r="H157" s="18" t="s">
        <v>1037</v>
      </c>
      <c r="I157" s="18" t="s">
        <v>1038</v>
      </c>
      <c r="J157" s="18" t="s">
        <v>1039</v>
      </c>
    </row>
    <row r="158" spans="1:10" ht="18" customHeight="1" x14ac:dyDescent="0.15">
      <c r="A158" s="17">
        <v>316</v>
      </c>
      <c r="B158" s="2" t="s">
        <v>1040</v>
      </c>
      <c r="C158" s="2" t="s">
        <v>1040</v>
      </c>
      <c r="D158" s="18" t="s">
        <v>1041</v>
      </c>
      <c r="E158" s="18" t="s">
        <v>1042</v>
      </c>
      <c r="F158" s="19" t="s">
        <v>1043</v>
      </c>
      <c r="G158" s="18" t="s">
        <v>1044</v>
      </c>
      <c r="H158" s="18" t="s">
        <v>1045</v>
      </c>
      <c r="I158" s="18" t="s">
        <v>1046</v>
      </c>
      <c r="J158" s="18" t="s">
        <v>1047</v>
      </c>
    </row>
    <row r="159" spans="1:10" ht="18" customHeight="1" x14ac:dyDescent="0.15">
      <c r="A159" s="2">
        <v>317</v>
      </c>
      <c r="B159" s="2" t="s">
        <v>1048</v>
      </c>
      <c r="C159" s="2" t="s">
        <v>1048</v>
      </c>
      <c r="D159" s="2" t="s">
        <v>1049</v>
      </c>
      <c r="E159" s="20" t="s">
        <v>1050</v>
      </c>
      <c r="F159" s="20" t="s">
        <v>1051</v>
      </c>
      <c r="G159" s="2" t="s">
        <v>1049</v>
      </c>
      <c r="H159" s="2" t="s">
        <v>1049</v>
      </c>
      <c r="I159" s="2" t="s">
        <v>1049</v>
      </c>
      <c r="J159" s="2" t="s">
        <v>1049</v>
      </c>
    </row>
    <row r="160" spans="1:10" ht="18" customHeight="1" x14ac:dyDescent="0.15">
      <c r="A160" s="2">
        <v>318</v>
      </c>
      <c r="B160" s="2" t="s">
        <v>1052</v>
      </c>
      <c r="C160" s="2" t="s">
        <v>1052</v>
      </c>
      <c r="D160" s="2" t="s">
        <v>1053</v>
      </c>
      <c r="E160" s="20" t="s">
        <v>1054</v>
      </c>
      <c r="F160" s="20" t="s">
        <v>1055</v>
      </c>
      <c r="G160" s="2" t="s">
        <v>1053</v>
      </c>
      <c r="H160" s="2" t="s">
        <v>1053</v>
      </c>
      <c r="I160" s="2" t="s">
        <v>1053</v>
      </c>
      <c r="J160" s="2" t="s">
        <v>1053</v>
      </c>
    </row>
    <row r="161" spans="1:10" ht="18" customHeight="1" x14ac:dyDescent="0.15">
      <c r="A161" s="2">
        <v>319</v>
      </c>
      <c r="B161" s="2" t="s">
        <v>1056</v>
      </c>
      <c r="C161" s="2" t="s">
        <v>1056</v>
      </c>
      <c r="D161" s="2" t="s">
        <v>1057</v>
      </c>
      <c r="E161" s="20" t="s">
        <v>1058</v>
      </c>
      <c r="F161" s="20" t="s">
        <v>1059</v>
      </c>
      <c r="G161" s="2" t="s">
        <v>1057</v>
      </c>
      <c r="H161" s="2" t="s">
        <v>1057</v>
      </c>
      <c r="I161" s="2" t="s">
        <v>1057</v>
      </c>
      <c r="J161" s="2" t="s">
        <v>1057</v>
      </c>
    </row>
    <row r="162" spans="1:10" ht="18" customHeight="1" x14ac:dyDescent="0.15">
      <c r="A162" s="2">
        <v>320</v>
      </c>
      <c r="B162" s="2" t="s">
        <v>1060</v>
      </c>
      <c r="C162" s="2" t="s">
        <v>1060</v>
      </c>
      <c r="D162" s="2" t="s">
        <v>1061</v>
      </c>
      <c r="E162" s="20" t="s">
        <v>1062</v>
      </c>
      <c r="F162" s="20" t="s">
        <v>1063</v>
      </c>
      <c r="G162" s="2" t="s">
        <v>1061</v>
      </c>
      <c r="H162" s="2" t="s">
        <v>1061</v>
      </c>
      <c r="I162" s="2" t="s">
        <v>1061</v>
      </c>
      <c r="J162" s="2" t="s">
        <v>1061</v>
      </c>
    </row>
    <row r="163" spans="1:10" ht="18" customHeight="1" x14ac:dyDescent="0.15">
      <c r="A163" s="2">
        <v>321</v>
      </c>
      <c r="B163" s="2" t="s">
        <v>1064</v>
      </c>
      <c r="C163" s="2" t="s">
        <v>1064</v>
      </c>
      <c r="D163" s="2" t="s">
        <v>1065</v>
      </c>
      <c r="E163" s="20" t="s">
        <v>1066</v>
      </c>
      <c r="F163" s="20" t="s">
        <v>1067</v>
      </c>
      <c r="G163" s="2" t="s">
        <v>1065</v>
      </c>
      <c r="H163" s="2" t="s">
        <v>1065</v>
      </c>
      <c r="I163" s="2" t="s">
        <v>1065</v>
      </c>
      <c r="J163" s="2" t="s">
        <v>1065</v>
      </c>
    </row>
    <row r="164" spans="1:10" ht="18" customHeight="1" x14ac:dyDescent="0.15">
      <c r="A164" s="2">
        <v>322</v>
      </c>
      <c r="B164" s="2" t="s">
        <v>1068</v>
      </c>
      <c r="C164" s="2" t="s">
        <v>1068</v>
      </c>
      <c r="D164" s="2" t="s">
        <v>1069</v>
      </c>
      <c r="E164" s="20" t="s">
        <v>1070</v>
      </c>
      <c r="F164" s="20" t="s">
        <v>1071</v>
      </c>
      <c r="G164" s="2" t="s">
        <v>1069</v>
      </c>
      <c r="H164" s="2" t="s">
        <v>1069</v>
      </c>
      <c r="I164" s="2" t="s">
        <v>1069</v>
      </c>
      <c r="J164" s="2" t="s">
        <v>1069</v>
      </c>
    </row>
    <row r="165" spans="1:10" ht="18" customHeight="1" x14ac:dyDescent="0.15">
      <c r="A165" s="2">
        <v>323</v>
      </c>
      <c r="B165" s="2" t="s">
        <v>1072</v>
      </c>
      <c r="C165" s="2" t="s">
        <v>1072</v>
      </c>
      <c r="D165" s="2" t="s">
        <v>1159</v>
      </c>
      <c r="E165" s="20" t="s">
        <v>1074</v>
      </c>
      <c r="F165" s="20" t="s">
        <v>1075</v>
      </c>
      <c r="G165" s="2" t="s">
        <v>1073</v>
      </c>
      <c r="H165" s="2" t="s">
        <v>1073</v>
      </c>
      <c r="I165" s="2" t="s">
        <v>1073</v>
      </c>
      <c r="J165" s="2" t="s">
        <v>1073</v>
      </c>
    </row>
    <row r="166" spans="1:10" ht="18" customHeight="1" x14ac:dyDescent="0.15">
      <c r="A166" s="2">
        <v>324</v>
      </c>
      <c r="B166" s="2" t="s">
        <v>1156</v>
      </c>
      <c r="C166" s="2" t="s">
        <v>1156</v>
      </c>
      <c r="D166" t="s">
        <v>1160</v>
      </c>
      <c r="E166" s="2" t="s">
        <v>1165</v>
      </c>
      <c r="F166" s="2" t="s">
        <v>1166</v>
      </c>
      <c r="G166" s="2" t="s">
        <v>1160</v>
      </c>
      <c r="H166" s="2" t="s">
        <v>1160</v>
      </c>
      <c r="I166" s="2" t="s">
        <v>1160</v>
      </c>
      <c r="J166" s="2" t="s">
        <v>1160</v>
      </c>
    </row>
    <row r="167" spans="1:10" ht="18" customHeight="1" x14ac:dyDescent="0.15">
      <c r="A167" s="2">
        <v>325</v>
      </c>
      <c r="B167" s="2" t="s">
        <v>1157</v>
      </c>
      <c r="C167" s="2" t="s">
        <v>1157</v>
      </c>
      <c r="D167" t="s">
        <v>1161</v>
      </c>
      <c r="E167" s="2" t="s">
        <v>1167</v>
      </c>
      <c r="F167" s="2" t="s">
        <v>1168</v>
      </c>
      <c r="G167" s="2" t="s">
        <v>1161</v>
      </c>
      <c r="H167" s="2" t="s">
        <v>1161</v>
      </c>
      <c r="I167" s="2" t="s">
        <v>1161</v>
      </c>
      <c r="J167" s="2" t="s">
        <v>1161</v>
      </c>
    </row>
    <row r="168" spans="1:10" ht="18" customHeight="1" x14ac:dyDescent="0.15">
      <c r="A168" s="2">
        <v>326</v>
      </c>
      <c r="B168" s="2" t="s">
        <v>1164</v>
      </c>
      <c r="C168" s="2" t="s">
        <v>1164</v>
      </c>
      <c r="D168" s="29" t="s">
        <v>1169</v>
      </c>
      <c r="E168" s="2" t="s">
        <v>1172</v>
      </c>
      <c r="F168" s="30" t="s">
        <v>1173</v>
      </c>
      <c r="G168" s="2" t="s">
        <v>1169</v>
      </c>
      <c r="H168" s="2" t="s">
        <v>1169</v>
      </c>
      <c r="I168" s="2" t="s">
        <v>1169</v>
      </c>
      <c r="J168" s="2" t="s">
        <v>1163</v>
      </c>
    </row>
    <row r="169" spans="1:10" ht="18" customHeight="1" x14ac:dyDescent="0.15">
      <c r="A169" s="2">
        <v>327</v>
      </c>
      <c r="B169" s="2" t="s">
        <v>1158</v>
      </c>
      <c r="C169" s="2" t="s">
        <v>1158</v>
      </c>
      <c r="D169" t="s">
        <v>1162</v>
      </c>
      <c r="E169" s="2" t="s">
        <v>1170</v>
      </c>
      <c r="F169" s="2" t="s">
        <v>1171</v>
      </c>
      <c r="G169" s="2" t="s">
        <v>1162</v>
      </c>
      <c r="H169" s="2" t="s">
        <v>1162</v>
      </c>
      <c r="I169" s="2" t="s">
        <v>1162</v>
      </c>
      <c r="J169" s="2" t="s">
        <v>1162</v>
      </c>
    </row>
    <row r="170" spans="1:10" ht="18" customHeight="1" x14ac:dyDescent="0.15">
      <c r="A170" s="2">
        <v>328</v>
      </c>
      <c r="B170" s="2" t="s">
        <v>1174</v>
      </c>
      <c r="C170" s="2" t="s">
        <v>1174</v>
      </c>
      <c r="D170" s="2" t="s">
        <v>1181</v>
      </c>
      <c r="E170" s="2" t="s">
        <v>1181</v>
      </c>
      <c r="F170" s="2" t="s">
        <v>1181</v>
      </c>
      <c r="G170" s="2" t="s">
        <v>1181</v>
      </c>
      <c r="H170" s="2" t="s">
        <v>1181</v>
      </c>
      <c r="I170" s="2" t="s">
        <v>1181</v>
      </c>
      <c r="J170" s="2" t="s">
        <v>1181</v>
      </c>
    </row>
    <row r="171" spans="1:10" ht="18" customHeight="1" x14ac:dyDescent="0.15">
      <c r="A171" s="2">
        <v>329</v>
      </c>
      <c r="B171" s="2" t="s">
        <v>1175</v>
      </c>
      <c r="C171" s="2" t="s">
        <v>1175</v>
      </c>
      <c r="D171" s="2" t="s">
        <v>1182</v>
      </c>
      <c r="E171" s="2" t="s">
        <v>1182</v>
      </c>
      <c r="F171" s="2" t="s">
        <v>1182</v>
      </c>
      <c r="G171" s="2" t="s">
        <v>1182</v>
      </c>
      <c r="H171" s="2" t="s">
        <v>1182</v>
      </c>
      <c r="I171" s="2" t="s">
        <v>1182</v>
      </c>
      <c r="J171" s="2" t="s">
        <v>1182</v>
      </c>
    </row>
    <row r="172" spans="1:10" ht="18" customHeight="1" x14ac:dyDescent="0.15">
      <c r="A172" s="2">
        <v>330</v>
      </c>
      <c r="B172" s="2" t="s">
        <v>1176</v>
      </c>
      <c r="C172" s="2" t="s">
        <v>1176</v>
      </c>
      <c r="D172" s="2" t="s">
        <v>1183</v>
      </c>
      <c r="E172" s="2" t="s">
        <v>1183</v>
      </c>
      <c r="F172" s="2" t="s">
        <v>1183</v>
      </c>
      <c r="G172" s="2" t="s">
        <v>1183</v>
      </c>
      <c r="H172" s="2" t="s">
        <v>1183</v>
      </c>
      <c r="I172" s="2" t="s">
        <v>1183</v>
      </c>
      <c r="J172" s="2" t="s">
        <v>1183</v>
      </c>
    </row>
    <row r="173" spans="1:10" ht="18" customHeight="1" x14ac:dyDescent="0.15">
      <c r="A173" s="2">
        <v>331</v>
      </c>
      <c r="B173" s="2" t="s">
        <v>1177</v>
      </c>
      <c r="C173" s="2" t="s">
        <v>1177</v>
      </c>
      <c r="D173" s="2" t="s">
        <v>1184</v>
      </c>
      <c r="E173" s="2" t="s">
        <v>1184</v>
      </c>
      <c r="F173" s="2" t="s">
        <v>1184</v>
      </c>
      <c r="G173" s="2" t="s">
        <v>1184</v>
      </c>
      <c r="H173" s="2" t="s">
        <v>1184</v>
      </c>
      <c r="I173" s="2" t="s">
        <v>1184</v>
      </c>
      <c r="J173" s="2" t="s">
        <v>1184</v>
      </c>
    </row>
    <row r="174" spans="1:10" ht="18" customHeight="1" x14ac:dyDescent="0.15">
      <c r="A174" s="2">
        <v>332</v>
      </c>
      <c r="B174" s="2" t="s">
        <v>1178</v>
      </c>
      <c r="C174" s="2" t="s">
        <v>1178</v>
      </c>
      <c r="D174" s="2" t="s">
        <v>1185</v>
      </c>
      <c r="E174" s="2" t="s">
        <v>1185</v>
      </c>
      <c r="F174" s="2" t="s">
        <v>1185</v>
      </c>
      <c r="G174" s="2" t="s">
        <v>1185</v>
      </c>
      <c r="H174" s="2" t="s">
        <v>1185</v>
      </c>
      <c r="I174" s="2" t="s">
        <v>1185</v>
      </c>
      <c r="J174" s="2" t="s">
        <v>1185</v>
      </c>
    </row>
    <row r="175" spans="1:10" ht="18" customHeight="1" x14ac:dyDescent="0.15">
      <c r="A175" s="2">
        <v>333</v>
      </c>
      <c r="B175" s="2" t="s">
        <v>1179</v>
      </c>
      <c r="C175" s="2" t="s">
        <v>1179</v>
      </c>
      <c r="D175" s="2" t="s">
        <v>1186</v>
      </c>
      <c r="E175" s="2" t="s">
        <v>1186</v>
      </c>
      <c r="F175" s="2" t="s">
        <v>1186</v>
      </c>
      <c r="G175" s="2" t="s">
        <v>1186</v>
      </c>
      <c r="H175" s="2" t="s">
        <v>1186</v>
      </c>
      <c r="I175" s="2" t="s">
        <v>1186</v>
      </c>
      <c r="J175" s="2" t="s">
        <v>1186</v>
      </c>
    </row>
    <row r="176" spans="1:10" ht="18" customHeight="1" x14ac:dyDescent="0.15">
      <c r="A176" s="2">
        <v>334</v>
      </c>
      <c r="B176" s="2" t="s">
        <v>1180</v>
      </c>
      <c r="C176" s="2" t="s">
        <v>1180</v>
      </c>
      <c r="D176" s="2" t="s">
        <v>1187</v>
      </c>
      <c r="E176" s="2" t="s">
        <v>1187</v>
      </c>
      <c r="F176" s="2" t="s">
        <v>1187</v>
      </c>
      <c r="G176" s="2" t="s">
        <v>1187</v>
      </c>
      <c r="H176" s="2" t="s">
        <v>1187</v>
      </c>
      <c r="I176" s="2" t="s">
        <v>1187</v>
      </c>
      <c r="J176" s="2" t="s">
        <v>1187</v>
      </c>
    </row>
  </sheetData>
  <phoneticPr fontId="1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134"/>
  <sheetViews>
    <sheetView topLeftCell="A106" workbookViewId="0">
      <selection activeCell="C129" sqref="C129"/>
    </sheetView>
  </sheetViews>
  <sheetFormatPr defaultColWidth="9" defaultRowHeight="13.5" x14ac:dyDescent="0.15"/>
  <cols>
    <col min="3" max="3" width="38.5" customWidth="1"/>
    <col min="4" max="4" width="59.375" customWidth="1"/>
  </cols>
  <sheetData>
    <row r="1" spans="2:10" x14ac:dyDescent="0.15">
      <c r="B1">
        <v>1201</v>
      </c>
      <c r="C1" t="str">
        <f>VLOOKUP(B1,[1]Sheet1!$A:$B,2,0)</f>
        <v>格里芬剑每攻击{0}次后,下次攻击{1}%暴击</v>
      </c>
      <c r="D1" t="str">
        <f>VLOOKUP($B1,[1]Sheet1!$A:$J,4,0)</f>
        <v>After every {0} Griffin Sword attacks, the next attack has a {1}% chance to crit.</v>
      </c>
      <c r="E1" t="str">
        <f>VLOOKUP($B1,[1]Sheet1!$A:$J,5,0)</f>
        <v>グリフォンソードが{0}回攻撃するごとに、次回の攻撃は{1}%の確率で会心攻撃になる</v>
      </c>
      <c r="F1" t="str">
        <f>VLOOKUP($B1,[1]Sheet1!$A:$J,6,0)</f>
        <v>그리핀 소드가 {0}번 공격할 때마다 다음 공격 시 {1}%의 확률로 치명타가 발생한다.</v>
      </c>
      <c r="G1" t="str">
        <f>VLOOKUP($B1,[1]Sheet1!$A:$J,7,0)</f>
        <v>Nach jeweils {0} Angriffen mit dem Greifschwert hat der nächste Angriff eine {1} % Krit.-Chance.</v>
      </c>
      <c r="H1" t="str">
        <f>VLOOKUP($B1,[1]Sheet1!$A:$J,8,0)</f>
        <v>Toutes les {0} attaques d’Épée du Griffon, la prochaine attaque a {1} % de chances de porter un Crit.</v>
      </c>
      <c r="I1" t="str">
        <f>VLOOKUP($B1,[1]Sheet1!$A:$J,9,0)</f>
        <v>Depois de cada {0} ataques da Espada de Grifo, o ataque seguinte tem {1}% de chance de crítico.</v>
      </c>
      <c r="J1" t="str">
        <f>VLOOKUP($B1,[1]Sheet1!$A:$J,10,0)</f>
        <v>Tras {0} ataques de Espada de Griffin, el siguiente ataque tiene un {1}% de probabilidad de ser Crit.</v>
      </c>
    </row>
    <row r="2" spans="2:10" x14ac:dyDescent="0.15">
      <c r="B2">
        <v>1202</v>
      </c>
      <c r="C2" t="str">
        <f>VLOOKUP(B2,[1]Sheet1!$A:$B,2,0)</f>
        <v>格里芬剑固定暴击所需攻击次数-{0}</v>
      </c>
      <c r="D2" t="str">
        <f>VLOOKUP($B2,[1]Sheet1!$A:$J,4,0)</f>
        <v>Attack times needed for triggering Griffin Sword's crit -{0}</v>
      </c>
      <c r="E2" t="str">
        <f>VLOOKUP($B2,[1]Sheet1!$A:$J,5,0)</f>
        <v>グリフォンソードの会心攻撃確定に必要な攻撃回数-{0}</v>
      </c>
      <c r="F2" t="str">
        <f>VLOOKUP($B2,[1]Sheet1!$A:$J,6,0)</f>
        <v>그리핀 소드의 치명타 발동에 필요한 공격 횟수 -{0}</v>
      </c>
      <c r="G2" t="str">
        <f>VLOOKUP($B2,[1]Sheet1!$A:$J,7,0)</f>
        <v>Anzahl an Angriffen. um Krit. des Greifschwerts auszulösen -{0}</v>
      </c>
      <c r="H2" t="str">
        <f>VLOOKUP($B2,[1]Sheet1!$A:$J,8,0)</f>
        <v>Nombre d’attaques requises pour déclencher le Crit de l’Épée du Griffon -{0}</v>
      </c>
      <c r="I2" t="str">
        <f>VLOOKUP($B2,[1]Sheet1!$A:$J,9,0)</f>
        <v>Número de ataques necessários para ativar o crítico da Espada de Grifo -{0}</v>
      </c>
      <c r="J2" t="str">
        <f>VLOOKUP($B2,[1]Sheet1!$A:$J,10,0)</f>
        <v>Ataques necesarios para activar el Crit de Espada de Griffin -{0}</v>
      </c>
    </row>
    <row r="3" spans="2:10" x14ac:dyDescent="0.15">
      <c r="B3">
        <v>1203</v>
      </c>
      <c r="C3" t="str">
        <f>VLOOKUP(B3,[1]Sheet1!$A:$B,2,0)</f>
        <v>格里芬剑的攻击+{0}%</v>
      </c>
      <c r="D3" t="str">
        <f>VLOOKUP($B3,[1]Sheet1!$A:$J,4,0)</f>
        <v>Griffin Sword ATK +{0}%</v>
      </c>
      <c r="E3" t="str">
        <f>VLOOKUP($B3,[1]Sheet1!$A:$J,5,0)</f>
        <v>グリフォンソードの攻撃力+{0}%</v>
      </c>
      <c r="F3" t="str">
        <f>VLOOKUP($B3,[1]Sheet1!$A:$J,6,0)</f>
        <v>그리핀 소드 공격력 +{0}%</v>
      </c>
      <c r="G3" t="str">
        <f>VLOOKUP($B3,[1]Sheet1!$A:$J,7,0)</f>
        <v>Greifschwert-ANG +{0} %</v>
      </c>
      <c r="H3" t="str">
        <f>VLOOKUP($B3,[1]Sheet1!$A:$J,8,0)</f>
        <v>ATQ de l’Épée du Griffon +{0} %</v>
      </c>
      <c r="I3" t="str">
        <f>VLOOKUP($B3,[1]Sheet1!$A:$J,9,0)</f>
        <v>ATQ de Espada de Grifo +{0}%</v>
      </c>
      <c r="J3" t="str">
        <f>VLOOKUP($B3,[1]Sheet1!$A:$J,10,0)</f>
        <v>ATQ de Espada de Griffin +{0}%</v>
      </c>
    </row>
    <row r="4" spans="2:10" x14ac:dyDescent="0.15">
      <c r="B4">
        <v>1204</v>
      </c>
      <c r="C4" t="str">
        <f>VLOOKUP(B4,[1]Sheet1!$A:$B,2,0)</f>
        <v>格里芬剑的暴击伤害+{0}%</v>
      </c>
      <c r="D4" t="str">
        <f>VLOOKUP($B4,[1]Sheet1!$A:$J,4,0)</f>
        <v>Griffin Sword Crit DMG +{0}%</v>
      </c>
      <c r="E4" t="str">
        <f>VLOOKUP($B4,[1]Sheet1!$A:$J,5,0)</f>
        <v>グリフォンソードの会心ダメージ+{0}%</v>
      </c>
      <c r="F4" t="str">
        <f>VLOOKUP($B4,[1]Sheet1!$A:$J,6,0)</f>
        <v>그리핀 소드 치명타 피해 +{0}%</v>
      </c>
      <c r="G4" t="str">
        <f>VLOOKUP($B4,[1]Sheet1!$A:$J,7,0)</f>
        <v>Greifschwert-Krit.-Schaden +{0} %</v>
      </c>
      <c r="H4" t="str">
        <f>VLOOKUP($B4,[1]Sheet1!$A:$J,8,0)</f>
        <v>DÉG Crit de l’Épée du Griffon +{0} %</v>
      </c>
      <c r="I4" t="str">
        <f>VLOOKUP($B4,[1]Sheet1!$A:$J,9,0)</f>
        <v>DNO CRÍT de Espada de Grifo +{0}%</v>
      </c>
      <c r="J4" t="str">
        <f>VLOOKUP($B4,[1]Sheet1!$A:$J,10,0)</f>
        <v>Daño de Espada de Griffin +{0}%</v>
      </c>
    </row>
    <row r="5" spans="2:10" x14ac:dyDescent="0.15">
      <c r="B5">
        <v>1205</v>
      </c>
      <c r="C5" t="str">
        <f>VLOOKUP(B5,[1]Sheet1!$A:$B,2,0)</f>
        <v>碧波格里芬剑对冰冻减速/冻结目标伤害+{0}%</v>
      </c>
      <c r="D5" t="str">
        <f>VLOOKUP($B5,[1]Sheet1!$A:$J,4,0)</f>
        <v>DMG dealt by Griffin Sword of Waves to slowed/frozen targets +{0}%</v>
      </c>
      <c r="E5" t="str">
        <f>VLOOKUP($B5,[1]Sheet1!$A:$J,5,0)</f>
        <v>グリフォンソード・波が減速/凍結状態のターゲットに与えるダメージ+{0}%</v>
      </c>
      <c r="F5" t="str">
        <f>VLOOKUP($B5,[1]Sheet1!$A:$J,6,0)</f>
        <v>웨이브 그리핀 소드가 빙결 감속/동결 상태의 대상에게 주는 피해 +{0}%</v>
      </c>
      <c r="G5" t="str">
        <f>VLOOKUP($B5,[1]Sheet1!$A:$J,7,0)</f>
        <v>Greifschwert der Wellen fügt verlangsamten/gefrorenen Zielen +{0} % Schaden zu</v>
      </c>
      <c r="H5" t="str">
        <f>VLOOKUP($B5,[1]Sheet1!$A:$J,8,0)</f>
        <v>DÉG infligés par l’Épée du Griffon des Vagues aux cibles ralenties/gelées +{0} %</v>
      </c>
      <c r="I5" t="str">
        <f>VLOOKUP($B5,[1]Sheet1!$A:$J,9,0)</f>
        <v>DNO causado por Espada de Grifo das Ondas a alvos lentos/congelados +{0}%</v>
      </c>
      <c r="J5" t="str">
        <f>VLOOKUP($B5,[1]Sheet1!$A:$J,10,0)</f>
        <v>Daño infligido por Espada de las Olas de Griffin a objetivos ralentizados/congelados +{0}%</v>
      </c>
    </row>
    <row r="6" spans="2:10" x14ac:dyDescent="0.15">
      <c r="B6">
        <v>1206</v>
      </c>
      <c r="C6" t="str">
        <f>VLOOKUP(B6,[1]Sheet1!$A:$B,2,0)</f>
        <v>烈焰格里芬剑对灼烧目标伤害+{0}%</v>
      </c>
      <c r="D6" t="str">
        <f>VLOOKUP($B6,[1]Sheet1!$A:$J,4,0)</f>
        <v>DMG dealt by Griffin Sword of Flame to burnt targets +{0}%</v>
      </c>
      <c r="E6" t="str">
        <f>VLOOKUP($B6,[1]Sheet1!$A:$J,5,0)</f>
        <v>グリフォンソード・焔が燃焼状態のターゲットに与えるダメージ+{0}%</v>
      </c>
      <c r="F6" t="str">
        <f>VLOOKUP($B6,[1]Sheet1!$A:$J,6,0)</f>
        <v>플레임 그리핀 소드가 화상 상태의 대상에게 주는 피해 +{0}%</v>
      </c>
      <c r="G6" t="str">
        <f>VLOOKUP($B6,[1]Sheet1!$A:$J,7,0)</f>
        <v>Greifschwert der Flamme fügt verbrannten Zielen +{0} % Schaden zu</v>
      </c>
      <c r="H6" t="str">
        <f>VLOOKUP($B6,[1]Sheet1!$A:$J,8,0)</f>
        <v>DÉG infligés par l’Épée du Griffon des Flammes aux cibles qui brûlent +{0} %</v>
      </c>
      <c r="I6" t="str">
        <f>VLOOKUP($B6,[1]Sheet1!$A:$J,9,0)</f>
        <v>DNO causado por Espada de Grifo das Chamas a alvos queimados +{0}%</v>
      </c>
      <c r="J6" t="str">
        <f>VLOOKUP($B6,[1]Sheet1!$A:$J,10,0)</f>
        <v>Daño infligido por Espada de la Llama de Griffin a objetivos quemados +{0}%</v>
      </c>
    </row>
    <row r="7" spans="2:10" x14ac:dyDescent="0.15">
      <c r="B7">
        <v>1207</v>
      </c>
      <c r="C7" t="str">
        <f>VLOOKUP(B7,[1]Sheet1!$A:$B,2,0)</f>
        <v>在碧波格里芬剑两侧的其他水元素武器击败敌人,回复武器自身攻击{0}%的血量,效果可叠加</v>
      </c>
      <c r="D7" t="str">
        <f>VLOOKUP($B7,[1]Sheet1!$A:$J,4,0)</f>
        <v>When other weapons of Water beside Griffin Sword of Waves defeat a target, restores HP by {0}% of the weapon's ATK. Stackable.</v>
      </c>
      <c r="E7" t="str">
        <f>VLOOKUP($B7,[1]Sheet1!$A:$J,5,0)</f>
        <v>グリフォンソード・波の両側にある他の水属性武器が敵を倒すと、HPがその武器の攻撃力の{0}%分回復する（重複可能）</v>
      </c>
      <c r="F7" t="str">
        <f>VLOOKUP($B7,[1]Sheet1!$A:$J,6,0)</f>
        <v>웨이브 그리핀 소드 양쪽의 다른 물 원소 무기로 적을 처치할 시, 해당 무기 공격력의 {0}%에 해당하는 HP를 회복한다. (중첩 가능)</v>
      </c>
      <c r="G7" t="str">
        <f>VLOOKUP($B7,[1]Sheet1!$A:$J,7,0)</f>
        <v>Wenn andere Wasserwaffen als das Greifschwert der Wellen ein Ziel besiegen, werden LP in Höhe von {0} % der ANG-Stapel der Waffe wiederhergestellt.</v>
      </c>
      <c r="H7" t="str">
        <f>VLOOKUP($B7,[1]Sheet1!$A:$J,8,0)</f>
        <v>Quand les autres armes d’Eau hormis l’Épée du Griffon des Vagues éliminent une cible, restaure des PV à hauteur de {0} % de l’ATQ de l’arme. Cumulable.</v>
      </c>
      <c r="I7" t="str">
        <f>VLOOKUP($B7,[1]Sheet1!$A:$J,9,0)</f>
        <v>Quando outras armas de Água além da Espada de Grifo das Ondas derrota um alvo, restaura PV em {0}% do ATQ de arma. Acumulável.</v>
      </c>
      <c r="J7" t="str">
        <f>VLOOKUP($B7,[1]Sheet1!$A:$J,10,0)</f>
        <v>Cuando se derrota a un objetivo con un arma de Agua que no sea la Espada de las Olas de Griffin, se restaura un {0}% del ATQ del arma como PS. Acumulable.</v>
      </c>
    </row>
    <row r="8" spans="2:10" x14ac:dyDescent="0.15">
      <c r="B8">
        <v>1208</v>
      </c>
      <c r="C8" t="str">
        <f>VLOOKUP(B8,[1]Sheet1!$A:$B,2,0)</f>
        <v>烈焰格里芬剑附加灼烧目标数量+{0}</v>
      </c>
      <c r="D8" t="str">
        <f>VLOOKUP($B8,[1]Sheet1!$A:$J,4,0)</f>
        <v>Target burned by Griffin Sword of Flame +{0}</v>
      </c>
      <c r="E8" t="str">
        <f>VLOOKUP($B8,[1]Sheet1!$A:$J,5,0)</f>
        <v>グリフォンソード・焔の燃焼付与対象の数+{0}</v>
      </c>
      <c r="F8" t="str">
        <f>VLOOKUP($B8,[1]Sheet1!$A:$J,6,0)</f>
        <v>플레임 그리핀 소드가 화상 상태를 부여하는 대상 수량 +{0}</v>
      </c>
      <c r="G8" t="str">
        <f>VLOOKUP($B8,[1]Sheet1!$A:$J,7,0)</f>
        <v>Greifschwert der Flamme verbrennt +{0} Ziele</v>
      </c>
      <c r="H8" t="str">
        <f>VLOOKUP($B8,[1]Sheet1!$A:$J,8,0)</f>
        <v>Nombre de cibles brûlées par l’Épée du Griffon des Flammes +{0}</v>
      </c>
      <c r="I8" t="str">
        <f>VLOOKUP($B8,[1]Sheet1!$A:$J,9,0)</f>
        <v>Alvo queimado por Espada de Grifo das Chamas +{0}</v>
      </c>
      <c r="J8" t="str">
        <f>VLOOKUP($B8,[1]Sheet1!$A:$J,10,0)</f>
        <v>Objetivos quemados por Espada de la Llama de Griffin +{0}</v>
      </c>
    </row>
    <row r="9" spans="2:10" x14ac:dyDescent="0.15">
      <c r="B9">
        <v>2201</v>
      </c>
      <c r="C9" t="str">
        <f>VLOOKUP(B9,[1]Sheet1!$A:$B,2,0)</f>
        <v>魔法匕首攻击同一目标每次伤害+{0}%,最多叠加{1}层</v>
      </c>
      <c r="D9" t="str">
        <f>VLOOKUP($B9,[1]Sheet1!$A:$J,4,0)</f>
        <v>When Magic Dagger attacks the same target, DMG +{0} than the previous attack each time. Stackable up to {1} layers.</v>
      </c>
      <c r="E9" t="str">
        <f>VLOOKUP($B9,[1]Sheet1!$A:$J,5,0)</f>
        <v>魔術ナイフが同じ敵を攻撃する度に、与えるダメージ+{0}%（最大{1}回重複可能）</v>
      </c>
      <c r="F9" t="str">
        <f>VLOOKUP($B9,[1]Sheet1!$A:$J,6,0)</f>
        <v>마법 비수로 같은 대상을 공격할 때마다 피해량 +{0}%(최대 {1}스택 중첩 가능)</v>
      </c>
      <c r="G9" t="str">
        <f>VLOOKUP($B9,[1]Sheet1!$A:$J,7,0)</f>
        <v>Wenn Magiedolche dasselbe Ziel treffen, wird der Schaden jedes Mal um {0} erhöht. Bis zu {1}-mal stapelbar.</v>
      </c>
      <c r="H9" t="str">
        <f>VLOOKUP($B9,[1]Sheet1!$A:$J,8,0)</f>
        <v>Quand Dague Magique attaque la même cible, chaque attaque inflige +{0} de DÉG que la précédente. Cumulable jusqu’à {1} fois.</v>
      </c>
      <c r="I9" t="str">
        <f>VLOOKUP($B9,[1]Sheet1!$A:$J,9,0)</f>
        <v>Quando Adaga Mágica ataca o mesmo alvo, DNO +{0} do que o ataque anterior a cada vez. Acumula até {1} camadas.</v>
      </c>
      <c r="J9" t="str">
        <f>VLOOKUP($B9,[1]Sheet1!$A:$J,10,0)</f>
        <v>El Daño de la Daga mágica aumenta {0} al atacar al mismo objetivo repetidamente. Hasta {1} capas.</v>
      </c>
    </row>
    <row r="10" spans="2:10" x14ac:dyDescent="0.15">
      <c r="B10">
        <v>2202</v>
      </c>
      <c r="C10" t="str">
        <f>VLOOKUP(B10,[1]Sheet1!$A:$B,2,0)</f>
        <v>魔法匕首的速度+{0}%</v>
      </c>
      <c r="D10" t="str">
        <f>VLOOKUP($B10,[1]Sheet1!$A:$J,4,0)</f>
        <v>Magic Dagger SPD +{0}%</v>
      </c>
      <c r="E10" t="str">
        <f>VLOOKUP($B10,[1]Sheet1!$A:$J,5,0)</f>
        <v>魔術ナイフの速度+{0}%</v>
      </c>
      <c r="F10" t="str">
        <f>VLOOKUP($B10,[1]Sheet1!$A:$J,6,0)</f>
        <v>마법 비수의 속도 +{0}%</v>
      </c>
      <c r="G10" t="str">
        <f>VLOOKUP($B10,[1]Sheet1!$A:$J,7,0)</f>
        <v>Magiedolch-GSW +{0} %</v>
      </c>
      <c r="H10" t="str">
        <f>VLOOKUP($B10,[1]Sheet1!$A:$J,8,0)</f>
        <v>VIT de Dague Magique +{0} %</v>
      </c>
      <c r="I10" t="str">
        <f>VLOOKUP($B10,[1]Sheet1!$A:$J,9,0)</f>
        <v>VEL de Adaga Mágica +{0}%</v>
      </c>
      <c r="J10" t="str">
        <f>VLOOKUP($B10,[1]Sheet1!$A:$J,10,0)</f>
        <v>VEL de Daga mágica +{0}%</v>
      </c>
    </row>
    <row r="11" spans="2:10" x14ac:dyDescent="0.15">
      <c r="B11">
        <v>2203</v>
      </c>
      <c r="C11" t="str">
        <f>VLOOKUP(B11,[1]Sheet1!$A:$B,2,0)</f>
        <v>魔法匕首的暴击率+{0}%</v>
      </c>
      <c r="D11" t="str">
        <f>VLOOKUP($B11,[1]Sheet1!$A:$J,4,0)</f>
        <v>Magic Dagger Crit +{0}%</v>
      </c>
      <c r="E11" t="str">
        <f>VLOOKUP($B11,[1]Sheet1!$A:$J,5,0)</f>
        <v>魔術ナイフの会心率+{0}%</v>
      </c>
      <c r="F11" t="str">
        <f>VLOOKUP($B11,[1]Sheet1!$A:$J,6,0)</f>
        <v>마법 비수의 치명타율 +{0}%</v>
      </c>
      <c r="G11" t="str">
        <f>VLOOKUP($B11,[1]Sheet1!$A:$J,7,0)</f>
        <v>Magiedolch-Krit. +{0} %</v>
      </c>
      <c r="H11" t="str">
        <f>VLOOKUP($B11,[1]Sheet1!$A:$J,8,0)</f>
        <v>Crit de Dague Magique +{0} %</v>
      </c>
      <c r="I11" t="str">
        <f>VLOOKUP($B11,[1]Sheet1!$A:$J,9,0)</f>
        <v>CRÍT de Adaga Mágica +{0}%</v>
      </c>
      <c r="J11" t="str">
        <f>VLOOKUP($B11,[1]Sheet1!$A:$J,10,0)</f>
        <v>Crit de Daga mágica +{0}%</v>
      </c>
    </row>
    <row r="12" spans="2:10" x14ac:dyDescent="0.15">
      <c r="B12">
        <v>2204</v>
      </c>
      <c r="C12" t="str">
        <f>VLOOKUP(B12,[1]Sheet1!$A:$B,2,0)</f>
        <v>魔法匕首的暴击伤害+{0}%</v>
      </c>
      <c r="D12" t="str">
        <f>VLOOKUP($B12,[1]Sheet1!$A:$J,4,0)</f>
        <v>Magic Dagger Crit DMG +{0}%</v>
      </c>
      <c r="E12" t="str">
        <f>VLOOKUP($B12,[1]Sheet1!$A:$J,5,0)</f>
        <v>魔術ナイフの会心ダメージ+{0}%</v>
      </c>
      <c r="F12" t="str">
        <f>VLOOKUP($B12,[1]Sheet1!$A:$J,6,0)</f>
        <v>마법 비수의 치명타 피해 +{0}%</v>
      </c>
      <c r="G12" t="str">
        <f>VLOOKUP($B12,[1]Sheet1!$A:$J,7,0)</f>
        <v>Magiedolch-Krit.-Schaden +{0} %</v>
      </c>
      <c r="H12" t="str">
        <f>VLOOKUP($B12,[1]Sheet1!$A:$J,8,0)</f>
        <v>DÉG Crit de Dague Magique +{0} %</v>
      </c>
      <c r="I12" t="str">
        <f>VLOOKUP($B12,[1]Sheet1!$A:$J,9,0)</f>
        <v>DNO CRÍT de Adaga Mágica +{0}%</v>
      </c>
      <c r="J12" t="str">
        <f>VLOOKUP($B12,[1]Sheet1!$A:$J,10,0)</f>
        <v>Daño Crit de Daga mágica +{0}%</v>
      </c>
    </row>
    <row r="13" spans="2:10" x14ac:dyDescent="0.15">
      <c r="B13">
        <v>2205</v>
      </c>
      <c r="C13" t="str">
        <f>VLOOKUP(B13,[1]Sheet1!$A:$B,2,0)</f>
        <v>神风匕首到达场地边缘后反弹,最多{0}次</v>
      </c>
      <c r="D13" t="str">
        <f>VLOOKUP($B13,[1]Sheet1!$A:$J,4,0)</f>
        <v>Dagger of Sacred Wind bounces when reaching the edge of the field, up to {0} times.</v>
      </c>
      <c r="E13" t="str">
        <f>VLOOKUP($B13,[1]Sheet1!$A:$J,5,0)</f>
        <v>旋風ナイフがフィールドの突き当りに到達後、最大{0}回跳ね返す</v>
      </c>
      <c r="F13" t="str">
        <f>VLOOKUP($B13,[1]Sheet1!$A:$J,6,0)</f>
        <v>폭풍 비수가 필드의 변두리에 도착한 후, 반대 방향으로 튕긴다. (최대 {0}회)</v>
      </c>
      <c r="G13" t="str">
        <f>VLOOKUP($B13,[1]Sheet1!$A:$J,7,0)</f>
        <v>Der Dolch des heiligen Windes springt bis zu {0}-mal, wenn er den Rand des Schlachtfelds erreicht.</v>
      </c>
      <c r="H13" t="str">
        <f>VLOOKUP($B13,[1]Sheet1!$A:$J,8,0)</f>
        <v>Dague du Vent Sacré ricoche quand elle atteint le bord du terrain, jusqu’à {0} fois.</v>
      </c>
      <c r="I13" t="str">
        <f>VLOOKUP($B13,[1]Sheet1!$A:$J,9,0)</f>
        <v>Adaga do Vento Sagrado quica ao chegar ao final do campo, até {0} vezes.</v>
      </c>
      <c r="J13" t="str">
        <f>VLOOKUP($B13,[1]Sheet1!$A:$J,10,0)</f>
        <v>La Daga del Viento sagrado rebota hasta {0} veces al alcanzar el borde del campo.</v>
      </c>
    </row>
    <row r="14" spans="2:10" x14ac:dyDescent="0.15">
      <c r="B14">
        <v>2206</v>
      </c>
      <c r="C14" t="str">
        <f>VLOOKUP(B14,[1]Sheet1!$A:$B,2,0)</f>
        <v>狼毒匕首对中毒目标伤害{0}%</v>
      </c>
      <c r="D14" t="str">
        <f>VLOOKUP($B14,[1]Sheet1!$A:$J,4,0)</f>
        <v>DMG dealt by Dagger of Wolfsbane to poisoned targets +{0}%</v>
      </c>
      <c r="E14" t="str">
        <f>VLOOKUP($B14,[1]Sheet1!$A:$J,5,0)</f>
        <v>猛毒ナイフが毒状態の敵に与えるダメージ+{0}%</v>
      </c>
      <c r="F14" t="str">
        <f>VLOOKUP($B14,[1]Sheet1!$A:$J,6,0)</f>
        <v>늑대 비수가 중독 상태의 대상에게 주는 피해 +{0}%</v>
      </c>
      <c r="G14" t="str">
        <f>VLOOKUP($B14,[1]Sheet1!$A:$J,7,0)</f>
        <v>Eisenhutdolch fügt vergifteten Zielen {0} % mehr Schaden zu</v>
      </c>
      <c r="H14" t="str">
        <f>VLOOKUP($B14,[1]Sheet1!$A:$J,8,0)</f>
        <v>DÉG infligés par Dague d’Aconit aux cibles empoisonnées +{0} %</v>
      </c>
      <c r="I14" t="str">
        <f>VLOOKUP($B14,[1]Sheet1!$A:$J,9,0)</f>
        <v>DNO causado pela Adaga da Maldição do Lobo a alvos envenenados +{0}%</v>
      </c>
      <c r="J14" t="str">
        <f>VLOOKUP($B14,[1]Sheet1!$A:$J,10,0)</f>
        <v>Daño de Daga lupina a objetivos envenenados +{0}%</v>
      </c>
    </row>
    <row r="15" spans="2:10" x14ac:dyDescent="0.15">
      <c r="B15">
        <v>2207</v>
      </c>
      <c r="C15" t="str">
        <f>VLOOKUP(B15,[1]Sheet1!$A:$B,2,0)</f>
        <v>神风匕首穿透数量+{0}</v>
      </c>
      <c r="D15" t="str">
        <f>VLOOKUP($B15,[1]Sheet1!$A:$J,4,0)</f>
        <v>Piercing target of Dagger of Sacred Wind +{0}</v>
      </c>
      <c r="E15" t="str">
        <f>VLOOKUP($B15,[1]Sheet1!$A:$J,5,0)</f>
        <v>旋風ナイフの貫通対象数+{0}</v>
      </c>
      <c r="F15" t="str">
        <f>VLOOKUP($B15,[1]Sheet1!$A:$J,6,0)</f>
        <v>폭풍 비수의 관통 대상 수량 +{0}</v>
      </c>
      <c r="G15" t="str">
        <f>VLOOKUP($B15,[1]Sheet1!$A:$J,7,0)</f>
        <v>#ERROR!</v>
      </c>
      <c r="H15" t="str">
        <f>VLOOKUP($B15,[1]Sheet1!$A:$J,8,0)</f>
        <v>Nombre de cibles transpercées par Dague du Vent Sacré +{0}</v>
      </c>
      <c r="I15" t="str">
        <f>VLOOKUP($B15,[1]Sheet1!$A:$J,9,0)</f>
        <v>Alvo perfurante de Adaga do Vento Sagrado +{0}</v>
      </c>
      <c r="J15" t="str">
        <f>VLOOKUP($B15,[1]Sheet1!$A:$J,10,0)</f>
        <v>Objetivos perforados por Daga del Viento sagrado +{0}</v>
      </c>
    </row>
    <row r="16" spans="2:10" x14ac:dyDescent="0.15">
      <c r="B16">
        <v>2208</v>
      </c>
      <c r="C16" t="str">
        <f>VLOOKUP(B16,[1]Sheet1!$A:$B,2,0)</f>
        <v>狼毒匕首的毒爆会附加中毒:每{0}秒,造成攻击{1}%伤害,持续{2}秒</v>
      </c>
      <c r="D16" t="str">
        <f>VLOOKUP($B16,[1]Sheet1!$A:$J,4,0)</f>
        <v>Poison Explosion of Dagger of Wolfsbane inflicts poison: deals DMG by {1}% ATK every {0}s, lasting for {2}s.</v>
      </c>
      <c r="E16" t="str">
        <f>VLOOKUP($B16,[1]Sheet1!$A:$J,5,0)</f>
        <v>猛毒ナイフの毒爆発は毒を付与する（毒：{2}秒の間、{0}秒ごとに付与者の攻撃力の{1}%のダメージを受ける）</v>
      </c>
      <c r="F16" t="str">
        <f>VLOOKUP($B16,[1]Sheet1!$A:$J,6,0)</f>
        <v>늑대 비수가 일으킨 독성 폭발이 중독 효과를 부여한다. 중독: {0}초마다 공격력의 {1}%에 해당하는 피해를 입힌다. ({2}초간 지속)</v>
      </c>
      <c r="G16" t="str">
        <f>VLOOKUP($B16,[1]Sheet1!$A:$J,7,0)</f>
        <v>Die Giftexplosion des Eisenhutdolchs fügt Gift zu: Verursacht {2} Sek. lang alle {0} Sek. Schaden in Höhe von {1} % des ANG.</v>
      </c>
      <c r="H16" t="str">
        <f>VLOOKUP($B16,[1]Sheet1!$A:$J,8,0)</f>
        <v>L’Explosion Toxique de Dague d’Aconit applique Poison : inflige des DÉG à hauteur de {1} % de l’ATQ toutes les {0} s pendant {2} s.</v>
      </c>
      <c r="I16" t="str">
        <f>VLOOKUP($B16,[1]Sheet1!$A:$J,9,0)</f>
        <v>Explosão de Veneno de Adaga da Maldição do Lobo inflige veneno: causa DNO em {1}% do ATQ a cada {0} s, durando {2} s.</v>
      </c>
      <c r="J16" t="str">
        <f>VLOOKUP($B16,[1]Sheet1!$A:$J,10,0)</f>
        <v>La Explosión de Veneno de Daga lupina envenena: inflige un {1}% del ATQ como Daño cada {0}s durante {2}s.</v>
      </c>
    </row>
    <row r="17" spans="2:10" x14ac:dyDescent="0.15">
      <c r="B17">
        <v>3201</v>
      </c>
      <c r="C17" t="str">
        <f>VLOOKUP(B17,[1]Sheet1!$A:$B,2,0)</f>
        <v>翼弓攻击时,射出{0}颗箭矢</v>
      </c>
      <c r="D17" t="str">
        <f>VLOOKUP($B17,[1]Sheet1!$A:$J,4,0)</f>
        <v>When Wing Bow attacks, shoots {0} arrows.</v>
      </c>
      <c r="E17" t="str">
        <f>VLOOKUP($B17,[1]Sheet1!$A:$J,5,0)</f>
        <v>ウイングボウ攻撃時、矢を{0}本放つ</v>
      </c>
      <c r="F17" t="str">
        <f>VLOOKUP($B17,[1]Sheet1!$A:$J,6,0)</f>
        <v>날개활로 공격할 시 화살 {0}개 발사한다.</v>
      </c>
      <c r="G17" t="str">
        <f>VLOOKUP($B17,[1]Sheet1!$A:$J,7,0)</f>
        <v>Schwingenbogen schießt beim Angriff {0} Pfeile ab.</v>
      </c>
      <c r="H17" t="str">
        <f>VLOOKUP($B17,[1]Sheet1!$A:$J,8,0)</f>
        <v>Quand Arc Ailé attaque, il tire {0} flèches.</v>
      </c>
      <c r="I17" t="str">
        <f>VLOOKUP($B17,[1]Sheet1!$A:$J,9,0)</f>
        <v>Quando Arco de Asas ataca, dispara {0} flechas.</v>
      </c>
      <c r="J17" t="str">
        <f>VLOOKUP($B17,[1]Sheet1!$A:$J,10,0)</f>
        <v>Arco del Ala dispara {0} flechas al disparar.</v>
      </c>
    </row>
    <row r="18" spans="2:10" x14ac:dyDescent="0.15">
      <c r="B18">
        <v>3202</v>
      </c>
      <c r="C18" t="str">
        <f>VLOOKUP(B18,[1]Sheet1!$A:$B,2,0)</f>
        <v>翼弓攻击可穿透{0}个敌人</v>
      </c>
      <c r="D18" t="str">
        <f>VLOOKUP($B18,[1]Sheet1!$A:$J,4,0)</f>
        <v>Wing Bow can pierce {0} enemies.</v>
      </c>
      <c r="E18" t="str">
        <f>VLOOKUP($B18,[1]Sheet1!$A:$J,5,0)</f>
        <v>ウイングボウの攻撃は敵{0}体を貫通できる</v>
      </c>
      <c r="F18" t="str">
        <f>VLOOKUP($B18,[1]Sheet1!$A:$J,6,0)</f>
        <v>날개활은 {0}명의 적을 관통할 수 있다.</v>
      </c>
      <c r="G18" t="str">
        <f>VLOOKUP($B18,[1]Sheet1!$A:$J,7,0)</f>
        <v>Schwingenbogen kann {0} Gegner durchbohren.</v>
      </c>
      <c r="H18" t="str">
        <f>VLOOKUP($B18,[1]Sheet1!$A:$J,8,0)</f>
        <v>Arc Ailé peut transpercer {0} ennemis.</v>
      </c>
      <c r="I18" t="str">
        <f>VLOOKUP($B18,[1]Sheet1!$A:$J,9,0)</f>
        <v>Arco de Asas pode perfurar {0} inimigos.</v>
      </c>
      <c r="J18" t="str">
        <f>VLOOKUP($B18,[1]Sheet1!$A:$J,10,0)</f>
        <v>Arco del Ala puede perforar a {0} enemigos.</v>
      </c>
    </row>
    <row r="19" spans="2:10" x14ac:dyDescent="0.15">
      <c r="B19">
        <v>3203</v>
      </c>
      <c r="C19" t="str">
        <f>VLOOKUP(B19,[1]Sheet1!$A:$B,2,0)</f>
        <v>翼弓散射的箭矢数量+{0}</v>
      </c>
      <c r="D19" t="str">
        <f>VLOOKUP($B19,[1]Sheet1!$A:$J,4,0)</f>
        <v>Arrow of Wing Bow's Scatter Shot +{0}</v>
      </c>
      <c r="E19" t="str">
        <f>VLOOKUP($B19,[1]Sheet1!$A:$J,5,0)</f>
        <v>ウイングボウが放つ矢の本数+{0}</v>
      </c>
      <c r="F19" t="str">
        <f>VLOOKUP($B19,[1]Sheet1!$A:$J,6,0)</f>
        <v>날개활 분산 사격 시의 화살 수량 +{0}</v>
      </c>
      <c r="G19" t="str">
        <f>VLOOKUP($B19,[1]Sheet1!$A:$J,7,0)</f>
        <v>#ERROR!</v>
      </c>
      <c r="H19" t="str">
        <f>VLOOKUP($B19,[1]Sheet1!$A:$J,8,0)</f>
        <v>Tir de Dispersion de la Flèche de l’Arc Ailé +{0}</v>
      </c>
      <c r="I19" t="str">
        <f>VLOOKUP($B19,[1]Sheet1!$A:$J,9,0)</f>
        <v>Disparo Dispersor de Flecha de Arco de Asas +{0}</v>
      </c>
      <c r="J19" t="str">
        <f>VLOOKUP($B19,[1]Sheet1!$A:$J,10,0)</f>
        <v>Tiro disperso de Arco del Ala +{0}</v>
      </c>
    </row>
    <row r="20" spans="2:10" x14ac:dyDescent="0.15">
      <c r="B20">
        <v>3204</v>
      </c>
      <c r="C20" t="str">
        <f>VLOOKUP(B20,[1]Sheet1!$A:$B,2,0)</f>
        <v>翼弓的速度+{0}%</v>
      </c>
      <c r="D20" t="str">
        <f>VLOOKUP($B20,[1]Sheet1!$A:$J,4,0)</f>
        <v>Wing Bow SPD +{0}%</v>
      </c>
      <c r="E20" t="str">
        <f>VLOOKUP($B20,[1]Sheet1!$A:$J,5,0)</f>
        <v>ウイングボウの速度+{0}%</v>
      </c>
      <c r="F20" t="str">
        <f>VLOOKUP($B20,[1]Sheet1!$A:$J,6,0)</f>
        <v>날개활의 속도 +{0}%</v>
      </c>
      <c r="G20" t="str">
        <f>VLOOKUP($B20,[1]Sheet1!$A:$J,7,0)</f>
        <v>Schwingenbogen-GSW +{0} %</v>
      </c>
      <c r="H20" t="str">
        <f>VLOOKUP($B20,[1]Sheet1!$A:$J,8,0)</f>
        <v>VIT d’Arc Ailé +{0} %</v>
      </c>
      <c r="I20" t="str">
        <f>VLOOKUP($B20,[1]Sheet1!$A:$J,9,0)</f>
        <v>VEL de Arco de Asas +{0}%</v>
      </c>
      <c r="J20" t="str">
        <f>VLOOKUP($B20,[1]Sheet1!$A:$J,10,0)</f>
        <v>VEL de Arco del Ala +{0}%</v>
      </c>
    </row>
    <row r="21" spans="2:10" x14ac:dyDescent="0.15">
      <c r="B21">
        <v>3205</v>
      </c>
      <c r="C21" t="str">
        <f>VLOOKUP(B21,[1]Sheet1!$A:$B,2,0)</f>
        <v>箭雨发动概率额外+{0}%</v>
      </c>
      <c r="D21" t="str">
        <f>VLOOKUP($B21,[1]Sheet1!$A:$J,4,0)</f>
        <v>Chance of releasing Arrow Rain +{0}%</v>
      </c>
      <c r="E21" t="str">
        <f>VLOOKUP($B21,[1]Sheet1!$A:$J,5,0)</f>
        <v>アローレインの発動確率+{0}%</v>
      </c>
      <c r="F21" t="str">
        <f>VLOOKUP($B21,[1]Sheet1!$A:$J,6,0)</f>
        <v>화살비 발동 확률 +{0}%</v>
      </c>
      <c r="G21" t="str">
        <f>VLOOKUP($B21,[1]Sheet1!$A:$J,7,0)</f>
        <v>Chance auf Pfeilregen +{0} %</v>
      </c>
      <c r="H21" t="str">
        <f>VLOOKUP($B21,[1]Sheet1!$A:$J,8,0)</f>
        <v>Chances de déclencher Pluie de Flèches +{0} %</v>
      </c>
      <c r="I21" t="str">
        <f>VLOOKUP($B21,[1]Sheet1!$A:$J,9,0)</f>
        <v>Chance de liberar Chuva de Flechas +{0}%</v>
      </c>
      <c r="J21" t="str">
        <f>VLOOKUP($B21,[1]Sheet1!$A:$J,10,0)</f>
        <v>Probabilidad de lanzar Lluvia de Flechas +{0}%</v>
      </c>
    </row>
    <row r="22" spans="2:10" x14ac:dyDescent="0.15">
      <c r="B22">
        <v>3206</v>
      </c>
      <c r="C22" t="str">
        <f>VLOOKUP(B22,[1]Sheet1!$A:$B,2,0)</f>
        <v>黑暗羽翼秒杀概率额外+{0}%</v>
      </c>
      <c r="D22" t="str">
        <f>VLOOKUP($B22,[1]Sheet1!$A:$J,4,0)</f>
        <v>Chance of Wing of Darkness to seckill +{0}%</v>
      </c>
      <c r="E22" t="str">
        <f>VLOOKUP($B22,[1]Sheet1!$A:$J,5,0)</f>
        <v>ウイングボウ・宵闇の即死確率+{0}%</v>
      </c>
      <c r="F22" t="str">
        <f>VLOOKUP($B22,[1]Sheet1!$A:$J,6,0)</f>
        <v>어둠의 날개의 즉시 처치 효과 발동 확률 +{0}%</v>
      </c>
      <c r="G22" t="str">
        <f>VLOOKUP($B22,[1]Sheet1!$A:$J,7,0)</f>
        <v>Chance, dass Schwinge der Dunkelheit sofort tötet +{0} %</v>
      </c>
      <c r="H22" t="str">
        <f>VLOOKUP($B22,[1]Sheet1!$A:$J,8,0)</f>
        <v>Chances d’Arc de Ténèbres d’exécuter la cible +{0} %</v>
      </c>
      <c r="I22" t="str">
        <f>VLOOKUP($B22,[1]Sheet1!$A:$J,9,0)</f>
        <v>Chance de Asa das Trevas abater por segundo +{0}%</v>
      </c>
      <c r="J22" t="str">
        <f>VLOOKUP($B22,[1]Sheet1!$A:$J,10,0)</f>
        <v>Probabilidad de elimininación instantánea de Ala de la Oscuridad +{0}%</v>
      </c>
    </row>
    <row r="23" spans="2:10" x14ac:dyDescent="0.15">
      <c r="B23">
        <v>3207</v>
      </c>
      <c r="C23" t="str">
        <f>VLOOKUP(B23,[1]Sheet1!$A:$B,2,0)</f>
        <v>箭雨有{0}%概率造成眩晕,持续{1}秒</v>
      </c>
      <c r="D23" t="str">
        <f>VLOOKUP($B23,[1]Sheet1!$A:$J,4,0)</f>
        <v>Arrow Rain has a {0}% chance of inflicting stun for {1}s.</v>
      </c>
      <c r="E23" t="str">
        <f>VLOOKUP($B23,[1]Sheet1!$A:$J,5,0)</f>
        <v>アローレインは{0}%の確率で{1}秒間のめまいを付与する</v>
      </c>
      <c r="F23" t="str">
        <f>VLOOKUP($B23,[1]Sheet1!$A:$J,6,0)</f>
        <v>화살비 발동 시 {0}% 확률로 {1}초 동안 기절 효과를 부여한다.</v>
      </c>
      <c r="G23" t="str">
        <f>VLOOKUP($B23,[1]Sheet1!$A:$J,7,0)</f>
        <v>Pfeilregen hat eine {0} % Chance, {1} Sek. lang Betäuben zu verursachen.</v>
      </c>
      <c r="H23" t="str">
        <f>VLOOKUP($B23,[1]Sheet1!$A:$J,8,0)</f>
        <v>Pluie de Flèches a {0} % de chances d’appliquer Étourdissement pendant {1} s.</v>
      </c>
      <c r="I23" t="str">
        <f>VLOOKUP($B23,[1]Sheet1!$A:$J,9,0)</f>
        <v>Chuva de Flechas tem {0}% de chance de gerar atordoamento por {1} s.</v>
      </c>
      <c r="J23" t="str">
        <f>VLOOKUP($B23,[1]Sheet1!$A:$J,10,0)</f>
        <v>Lluvia de Flechas tiene un {0}% de probabilidad de aturdir {1}s.</v>
      </c>
    </row>
    <row r="24" spans="2:10" x14ac:dyDescent="0.15">
      <c r="B24">
        <v>3208</v>
      </c>
      <c r="C24" t="str">
        <f>VLOOKUP(B24,[1]Sheet1!$A:$B,2,0)</f>
        <v>黑暗羽翼命中后,使目标攻击-{0}%持续{1}秒,效果不叠加,时间覆盖</v>
      </c>
      <c r="D24" t="str">
        <f>VLOOKUP($B24,[1]Sheet1!$A:$J,4,0)</f>
        <v>When Wing of Darkness hits, the target's ATK -{0}% for {1}s. The effect cannot be stacked but the duration can be refreshed.</v>
      </c>
      <c r="E24" t="str">
        <f>VLOOKUP($B24,[1]Sheet1!$A:$J,5,0)</f>
        <v>ウイングボウ・宵闇命中後、{1}秒の間、ターゲットの攻撃力-{0}%（重複不可。持続時間更新可能）</v>
      </c>
      <c r="F24" t="str">
        <f>VLOOKUP($B24,[1]Sheet1!$A:$J,6,0)</f>
        <v>어둠의 날개의 공격이 적중할 시, 대상 공격력 -{0}%({1}초간 지속). 효과는 중첩될 수 없지만 지속 시간은 갱신 가능하다.</v>
      </c>
      <c r="G24" t="str">
        <f>VLOOKUP($B24,[1]Sheet1!$A:$J,7,0)</f>
        <v>Wenn Schwinge der Dunkelheit trifft, wird ANG des Ziels {1} Sek. lang um {0} % verringert. Nicht stapelbar, aber Dauer kann erneuert werden.</v>
      </c>
      <c r="H24" t="str">
        <f>VLOOKUP($B24,[1]Sheet1!$A:$J,8,0)</f>
        <v>Quand Arc de Ténèbres touche une cible, -{0} % à l’ATQ de cette dernière pendant {1} %. L’effet est non cumulable, mais la durée peut être réinitialisée.</v>
      </c>
      <c r="I24" t="str">
        <f>VLOOKUP($B24,[1]Sheet1!$A:$J,9,0)</f>
        <v>Quando Asa das Trevas acerta, o ATQ do alvo -{0}% por {1} s. O efeito não pode ser acumulado, mas a duração pode ser atualizada.</v>
      </c>
      <c r="J24" t="str">
        <f>VLOOKUP($B24,[1]Sheet1!$A:$J,10,0)</f>
        <v>Cuando el Ala de la Oscuridad golpea, el ATQ -{0}% durante {1}s. El efecto no se puede acumular pero se puede reiniciar.</v>
      </c>
    </row>
    <row r="25" spans="2:10" x14ac:dyDescent="0.15">
      <c r="B25">
        <v>4201</v>
      </c>
      <c r="C25" t="str">
        <f>VLOOKUP(B25,[1]Sheet1!$A:$B,2,0)</f>
        <v>飞贼命中后,进行一次弹射,最多弹射{0}次</v>
      </c>
      <c r="D25" t="str">
        <f>VLOOKUP($B25,[1]Sheet1!$A:$J,4,0)</f>
        <v>Dart bounces once after hitting the target, up to {0} times.</v>
      </c>
      <c r="E25" t="str">
        <f>VLOOKUP($B25,[1]Sheet1!$A:$J,5,0)</f>
        <v>ダーツが敵に命中後、1回跳ね返す（最大{0}回）</v>
      </c>
      <c r="F25" t="str">
        <f>VLOOKUP($B25,[1]Sheet1!$A:$J,6,0)</f>
        <v>다트 적중 후 한 번 튕긴다(최대 {0}회).</v>
      </c>
      <c r="G25" t="str">
        <f>VLOOKUP($B25,[1]Sheet1!$A:$J,7,0)</f>
        <v>Wurfpfeil springt bis zu {0}-mal weiter, nachdem er ein Ziel trifft.</v>
      </c>
      <c r="H25" t="str">
        <f>VLOOKUP($B25,[1]Sheet1!$A:$J,8,0)</f>
        <v>Fléchette ricoche après avoir touché sa cible, jusqu’à {0} fois.</v>
      </c>
      <c r="I25" t="str">
        <f>VLOOKUP($B25,[1]Sheet1!$A:$J,9,0)</f>
        <v>O Dardo quica uma vez depois de acertar o alvo, até {0} vezes.</v>
      </c>
      <c r="J25" t="str">
        <f>VLOOKUP($B25,[1]Sheet1!$A:$J,10,0)</f>
        <v>El dardo rebota hasta {0} veces al golpear a un objetivo.</v>
      </c>
    </row>
    <row r="26" spans="2:10" x14ac:dyDescent="0.15">
      <c r="B26">
        <v>4202</v>
      </c>
      <c r="C26" t="str">
        <f>VLOOKUP(B26,[1]Sheet1!$A:$B,2,0)</f>
        <v>飞贼的攻击+{0}%</v>
      </c>
      <c r="D26" t="str">
        <f>VLOOKUP($B26,[1]Sheet1!$A:$J,4,0)</f>
        <v>Dart ATK +{0}%</v>
      </c>
      <c r="E26" t="str">
        <f>VLOOKUP($B26,[1]Sheet1!$A:$J,5,0)</f>
        <v>ダーツの攻撃力+{0}%</v>
      </c>
      <c r="F26" t="str">
        <f>VLOOKUP($B26,[1]Sheet1!$A:$J,6,0)</f>
        <v>다트의 공격력 +{0}%</v>
      </c>
      <c r="G26" t="str">
        <f>VLOOKUP($B26,[1]Sheet1!$A:$J,7,0)</f>
        <v>Wurfpfeil-ANG +{0} %</v>
      </c>
      <c r="H26" t="str">
        <f>VLOOKUP($B26,[1]Sheet1!$A:$J,8,0)</f>
        <v>ATQ de Fléchette +{0} %</v>
      </c>
      <c r="I26" t="str">
        <f>VLOOKUP($B26,[1]Sheet1!$A:$J,9,0)</f>
        <v>ATQ de Dardo +{0}%</v>
      </c>
      <c r="J26" t="str">
        <f>VLOOKUP($B26,[1]Sheet1!$A:$J,10,0)</f>
        <v>ATQ del Dardo +{0}%</v>
      </c>
    </row>
    <row r="27" spans="2:10" x14ac:dyDescent="0.15">
      <c r="B27">
        <v>4203</v>
      </c>
      <c r="C27" t="str">
        <f>VLOOKUP(B27,[1]Sheet1!$A:$B,2,0)</f>
        <v>飞贼的暴击率+{0}%</v>
      </c>
      <c r="D27" t="str">
        <f>VLOOKUP($B27,[1]Sheet1!$A:$J,4,0)</f>
        <v>Dart Crit +{0}%</v>
      </c>
      <c r="E27" t="str">
        <f>VLOOKUP($B27,[1]Sheet1!$A:$J,5,0)</f>
        <v>ダーツの会心率+{0}%</v>
      </c>
      <c r="F27" t="str">
        <f>VLOOKUP($B27,[1]Sheet1!$A:$J,6,0)</f>
        <v>다트의 치명타율 +{0}%</v>
      </c>
      <c r="G27" t="str">
        <f>VLOOKUP($B27,[1]Sheet1!$A:$J,7,0)</f>
        <v>Wurfpfeil-Krit +{0} %</v>
      </c>
      <c r="H27" t="str">
        <f>VLOOKUP($B27,[1]Sheet1!$A:$J,8,0)</f>
        <v>Crit de Fléchette +{0} %</v>
      </c>
      <c r="I27" t="str">
        <f>VLOOKUP($B27,[1]Sheet1!$A:$J,9,0)</f>
        <v>CRÍT de Dardo +{0}%</v>
      </c>
      <c r="J27" t="str">
        <f>VLOOKUP($B27,[1]Sheet1!$A:$J,10,0)</f>
        <v>Crit del Dardo +{0}%</v>
      </c>
    </row>
    <row r="28" spans="2:10" x14ac:dyDescent="0.15">
      <c r="B28">
        <v>4204</v>
      </c>
      <c r="C28" t="str">
        <f>VLOOKUP(B28,[1]Sheet1!$A:$B,2,0)</f>
        <v>飞贼攻击时,多发射{0}枚飞贼</v>
      </c>
      <c r="D28" t="str">
        <f>VLOOKUP($B28,[1]Sheet1!$A:$J,4,0)</f>
        <v>When Dart attacks, launches {0} more Darts.</v>
      </c>
      <c r="E28" t="str">
        <f>VLOOKUP($B28,[1]Sheet1!$A:$J,5,0)</f>
        <v>ダーツ攻撃時、追加でダーツを{0}本放つ</v>
      </c>
      <c r="F28" t="str">
        <f>VLOOKUP($B28,[1]Sheet1!$A:$J,6,0)</f>
        <v>다트로 공격할 시 {0}개의 다트를 추가 발사한다.</v>
      </c>
      <c r="G28" t="str">
        <f>VLOOKUP($B28,[1]Sheet1!$A:$J,7,0)</f>
        <v>Feuert {0} mehr Wurfpfeile bei Angriffen.</v>
      </c>
      <c r="H28" t="str">
        <f>VLOOKUP($B28,[1]Sheet1!$A:$J,8,0)</f>
        <v>Quand Fléchette attaque, lance {0} Fléchettes en plus.</v>
      </c>
      <c r="I28" t="str">
        <f>VLOOKUP($B28,[1]Sheet1!$A:$J,9,0)</f>
        <v>Quando Dardo ataca, lança mais {0} Dardos.</v>
      </c>
      <c r="J28" t="str">
        <f>VLOOKUP($B28,[1]Sheet1!$A:$J,10,0)</f>
        <v>Cuando el Dardo ataca, lanza {0} Dardos más.</v>
      </c>
    </row>
    <row r="29" spans="2:10" x14ac:dyDescent="0.15">
      <c r="B29">
        <v>4205</v>
      </c>
      <c r="C29" t="str">
        <f>VLOOKUP(B29,[1]Sheet1!$A:$B,2,0)</f>
        <v>黑暗飞贼附加重伤概率+{0}%</v>
      </c>
      <c r="D29" t="str">
        <f>VLOOKUP($B29,[1]Sheet1!$A:$J,4,0)</f>
        <v>Chance of Dart of Darkness to inflict wound +{0}%</v>
      </c>
      <c r="E29" t="str">
        <f>VLOOKUP($B29,[1]Sheet1!$A:$J,5,0)</f>
        <v>宵闇ダーツの重傷付与確率+{0}%</v>
      </c>
      <c r="F29" t="str">
        <f>VLOOKUP($B29,[1]Sheet1!$A:$J,6,0)</f>
        <v>어둠 다트의 중상 부여 확률 +{0}%</v>
      </c>
      <c r="G29" t="str">
        <f>VLOOKUP($B29,[1]Sheet1!$A:$J,7,0)</f>
        <v>Chance, dass Wurfpfeil der Dunkelheit Wunde zufügt +{0} %</v>
      </c>
      <c r="H29" t="str">
        <f>VLOOKUP($B29,[1]Sheet1!$A:$J,8,0)</f>
        <v>Chances pour Fléchette de Ténèbres d’appliquer Blessure +{0} %</v>
      </c>
      <c r="I29" t="str">
        <f>VLOOKUP($B29,[1]Sheet1!$A:$J,9,0)</f>
        <v>Chance de Dardo das Trevas infligir ferimento +{0}%</v>
      </c>
      <c r="J29" t="str">
        <f>VLOOKUP($B29,[1]Sheet1!$A:$J,10,0)</f>
        <v>Probabilidad de que Dardo de Oscuridad inflija heridas +{0}%</v>
      </c>
    </row>
    <row r="30" spans="2:10" x14ac:dyDescent="0.15">
      <c r="B30">
        <v>4206</v>
      </c>
      <c r="C30" t="str">
        <f>VLOOKUP(B30,[1]Sheet1!$A:$B,2,0)</f>
        <v>神风飞贼弹射不再降低伤害</v>
      </c>
      <c r="D30" t="str">
        <f>VLOOKUP($B30,[1]Sheet1!$A:$J,4,0)</f>
        <v>Bounce of Dart of Sacred Wind reduces no more DMG.</v>
      </c>
      <c r="E30" t="str">
        <f>VLOOKUP($B30,[1]Sheet1!$A:$J,5,0)</f>
        <v>旋風ダーツが跳ね返す時、ダメージが減少されない</v>
      </c>
      <c r="F30" t="str">
        <f>VLOOKUP($B30,[1]Sheet1!$A:$J,6,0)</f>
        <v>폭풍 다트가 튕길 시 더는 피해가 감소하지 않는다.</v>
      </c>
      <c r="G30" t="str">
        <f>VLOOKUP($B30,[1]Sheet1!$A:$J,7,0)</f>
        <v>Springen des Wurfpfeil des heiligen Windes verringert Schaden nicht mehr.</v>
      </c>
      <c r="H30" t="str">
        <f>VLOOKUP($B30,[1]Sheet1!$A:$J,8,0)</f>
        <v>Quand Fléchette de Vent Sacré ricoche, ses DÉG ne sont plus réduits.</v>
      </c>
      <c r="I30" t="str">
        <f>VLOOKUP($B30,[1]Sheet1!$A:$J,9,0)</f>
        <v>Dardo do Vento Sagrado que quica não reduz mais DNO.</v>
      </c>
      <c r="J30" t="str">
        <f>VLOOKUP($B30,[1]Sheet1!$A:$J,10,0)</f>
        <v>Los rebotes del Dardo del Viento sagrado no reducen más Daño.</v>
      </c>
    </row>
    <row r="31" spans="2:10" x14ac:dyDescent="0.15">
      <c r="B31">
        <v>4207</v>
      </c>
      <c r="C31" t="str">
        <f>VLOOKUP(B31,[1]Sheet1!$A:$B,2,0)</f>
        <v>黑暗飞贼对重伤目标伤害+{0}%</v>
      </c>
      <c r="D31" t="str">
        <f>VLOOKUP($B31,[1]Sheet1!$A:$J,4,0)</f>
        <v>DMG dealt by Dart of Darkness to wounded targets +{0}%</v>
      </c>
      <c r="E31" t="str">
        <f>VLOOKUP($B31,[1]Sheet1!$A:$J,5,0)</f>
        <v>宵闇ダーツが重傷状態の敵に与えるダメージ+{0}%</v>
      </c>
      <c r="F31" t="str">
        <f>VLOOKUP($B31,[1]Sheet1!$A:$J,6,0)</f>
        <v>어둠 다트가 중상 상태의 대상에게 주는 피해 +{0}%</v>
      </c>
      <c r="G31" t="str">
        <f>VLOOKUP($B31,[1]Sheet1!$A:$J,7,0)</f>
        <v>Wurfpfeil der Dunkelheit fügt verwundeten Zielen {0} % mehr Schaden zu</v>
      </c>
      <c r="H31" t="str">
        <f>VLOOKUP($B31,[1]Sheet1!$A:$J,8,0)</f>
        <v>DÉG infligés par Fléchette de Ténèbres aux cibles blessées +{0} %</v>
      </c>
      <c r="I31" t="str">
        <f>VLOOKUP($B31,[1]Sheet1!$A:$J,9,0)</f>
        <v>DNO causado por Dardo das Trevas a alvos feridos +{0}%</v>
      </c>
      <c r="J31" t="str">
        <f>VLOOKUP($B31,[1]Sheet1!$A:$J,10,0)</f>
        <v>Daño infligido por Dardo de Oscuridad a objetivos heridos +{0}%</v>
      </c>
    </row>
    <row r="32" spans="2:10" x14ac:dyDescent="0.15">
      <c r="B32">
        <v>4208</v>
      </c>
      <c r="C32" t="str">
        <f>VLOOKUP(B32,[1]Sheet1!$A:$B,2,0)</f>
        <v>神风飞贼弹射次数+{0}</v>
      </c>
      <c r="D32" t="str">
        <f>VLOOKUP($B32,[1]Sheet1!$A:$J,4,0)</f>
        <v>Bouncing times of Dart of Sacred Wind +{0}</v>
      </c>
      <c r="E32" t="str">
        <f>VLOOKUP($B32,[1]Sheet1!$A:$J,5,0)</f>
        <v>旋風ダーツの跳ね返す回数+{0}</v>
      </c>
      <c r="F32" t="str">
        <f>VLOOKUP($B32,[1]Sheet1!$A:$J,6,0)</f>
        <v>폭풍 다트의 튕기기 횟수 +{0}</v>
      </c>
      <c r="G32" t="str">
        <f>VLOOKUP($B32,[1]Sheet1!$A:$J,7,0)</f>
        <v>Wurfpfeil des heiligen Windes springt {0}-mal öfter</v>
      </c>
      <c r="H32" t="str">
        <f>VLOOKUP($B32,[1]Sheet1!$A:$J,8,0)</f>
        <v>Nombre de fois où Fléchette de Vent Sacré rebondit +{0}</v>
      </c>
      <c r="I32" t="str">
        <f>VLOOKUP($B32,[1]Sheet1!$A:$J,9,0)</f>
        <v>Número de vezes que Dardo do Vento Sagrado quica +{0}</v>
      </c>
      <c r="J32" t="str">
        <f>VLOOKUP($B32,[1]Sheet1!$A:$J,10,0)</f>
        <v>Rebotes de Dardo del Viento sagrado +{0}</v>
      </c>
    </row>
    <row r="33" spans="2:10" x14ac:dyDescent="0.15">
      <c r="B33">
        <v>5201</v>
      </c>
      <c r="C33" t="str">
        <f>VLOOKUP(B33,[1]Sheet1!$A:$B,2,0)</f>
        <v>背包中与魔法帽相邻的所有魔法武器攻击+{0}%</v>
      </c>
      <c r="D33" t="str">
        <f>VLOOKUP($B33,[1]Sheet1!$A:$J,4,0)</f>
        <v>ATK of all magic weapons adjacent to the Wizard Hat in the backpack +{0}%</v>
      </c>
      <c r="E33" t="str">
        <f>VLOOKUP($B33,[1]Sheet1!$A:$J,5,0)</f>
        <v>バックパック内、とんがり帽子に隣接する全ての魔術武器の攻撃力+{0}%</v>
      </c>
      <c r="F33" t="str">
        <f>VLOOKUP($B33,[1]Sheet1!$A:$J,6,0)</f>
        <v>배낭 중 마법사 모자에 인접한 모든 마법 무기의 공격력 +{0}%</v>
      </c>
      <c r="G33" t="str">
        <f>VLOOKUP($B33,[1]Sheet1!$A:$J,7,0)</f>
        <v>ANG aller Magiewaffen, die im Rucksack neben dem Zauberhut liegen, +{0} %</v>
      </c>
      <c r="H33" t="str">
        <f>VLOOKUP($B33,[1]Sheet1!$A:$J,8,0)</f>
        <v>ATQ de toutes les armes magiques adjacentes au Chapeau de Mage dans le sac +{0} %</v>
      </c>
      <c r="I33" t="str">
        <f>VLOOKUP($B33,[1]Sheet1!$A:$J,9,0)</f>
        <v>ATQ de todas as armas mágicas próximas ao Chapéu de Bruxo na mochila +{0}%</v>
      </c>
      <c r="J33" t="str">
        <f>VLOOKUP($B33,[1]Sheet1!$A:$J,10,0)</f>
        <v>ATQ de todas las armas mágicas junto al Sombrero de Mago en el inventario +{0}%</v>
      </c>
    </row>
    <row r="34" spans="2:10" x14ac:dyDescent="0.15">
      <c r="B34">
        <v>5202</v>
      </c>
      <c r="C34" t="str">
        <f>VLOOKUP(B34,[1]Sheet1!$A:$B,2,0)</f>
        <v>魔法帽的回血+{0}%</v>
      </c>
      <c r="D34" t="str">
        <f>VLOOKUP($B34,[1]Sheet1!$A:$J,4,0)</f>
        <v>Wizard Hat HP Restoration +{0}%</v>
      </c>
      <c r="E34" t="str">
        <f>VLOOKUP($B34,[1]Sheet1!$A:$J,5,0)</f>
        <v>とんがり帽子のHP回復量+{0}%</v>
      </c>
      <c r="F34" t="str">
        <f>VLOOKUP($B34,[1]Sheet1!$A:$J,6,0)</f>
        <v>마법사 모자의 HP 회복 효과 +{0}%</v>
      </c>
      <c r="G34" t="str">
        <f>VLOOKUP($B34,[1]Sheet1!$A:$J,7,0)</f>
        <v>Zauberhut-LP-Wiederherstellung +{0} %</v>
      </c>
      <c r="H34" t="str">
        <f>VLOOKUP($B34,[1]Sheet1!$A:$J,8,0)</f>
        <v>Restauration des PV du Chapeau de Mage +{0} %</v>
      </c>
      <c r="I34" t="str">
        <f>VLOOKUP($B34,[1]Sheet1!$A:$J,9,0)</f>
        <v>Restauração de PV de Chapéu de Bruxo +{0}%</v>
      </c>
      <c r="J34" t="str">
        <f>VLOOKUP($B34,[1]Sheet1!$A:$J,10,0)</f>
        <v>Regeneración de PS de Sombrero de Mago +{0}%</v>
      </c>
    </row>
    <row r="35" spans="2:10" x14ac:dyDescent="0.15">
      <c r="B35">
        <v>5203</v>
      </c>
      <c r="C35" t="str">
        <f>VLOOKUP(B35,[1]Sheet1!$A:$B,2,0)</f>
        <v>背包中与魔法帽相邻的所有魔法武器攻击+{0}%</v>
      </c>
      <c r="D35" t="str">
        <f>VLOOKUP($B35,[1]Sheet1!$A:$J,4,0)</f>
        <v>ATK of all magic weapons adjacent to the Wizard Hat in the backpack +{0}%</v>
      </c>
      <c r="E35" t="str">
        <f>VLOOKUP($B35,[1]Sheet1!$A:$J,5,0)</f>
        <v>バックパック内、とんがり帽子に隣接する全ての魔術武器の攻撃力+{0}%</v>
      </c>
      <c r="F35" t="str">
        <f>VLOOKUP($B35,[1]Sheet1!$A:$J,6,0)</f>
        <v>배낭 중 마법사 모자에 인접한 모든 마법 무기의 공격력 +{0}%</v>
      </c>
      <c r="G35" t="str">
        <f>VLOOKUP($B35,[1]Sheet1!$A:$J,7,0)</f>
        <v>ANG aller Magiewaffen, die im Rucksack neben dem Zauberhut liegen, +{0} %</v>
      </c>
      <c r="H35" t="str">
        <f>VLOOKUP($B35,[1]Sheet1!$A:$J,8,0)</f>
        <v>ATQ de toutes les armes magiques adjacentes au Chapeau de Mage dans le sac +{0} %</v>
      </c>
      <c r="I35" t="str">
        <f>VLOOKUP($B35,[1]Sheet1!$A:$J,9,0)</f>
        <v>ATQ de todas as armas mágicas próximas ao Chapéu de Bruxo na mochila +{0}%</v>
      </c>
      <c r="J35" t="str">
        <f>VLOOKUP($B35,[1]Sheet1!$A:$J,10,0)</f>
        <v>ATQ de todas las armas mágicas junto al Sombrero de Mago en el inventario +{0}%</v>
      </c>
    </row>
    <row r="36" spans="2:10" x14ac:dyDescent="0.15">
      <c r="B36">
        <v>5204</v>
      </c>
      <c r="C36" t="str">
        <f>VLOOKUP(B36,[1]Sheet1!$A:$B,2,0)</f>
        <v>魔法帽的速度+{0}%</v>
      </c>
      <c r="D36" t="str">
        <f>VLOOKUP($B36,[1]Sheet1!$A:$J,4,0)</f>
        <v>Wizard Hat SPD +{0}%</v>
      </c>
      <c r="E36" t="str">
        <f>VLOOKUP($B36,[1]Sheet1!$A:$J,5,0)</f>
        <v>とんがり帽子の速度+{0}%</v>
      </c>
      <c r="F36" t="str">
        <f>VLOOKUP($B36,[1]Sheet1!$A:$J,6,0)</f>
        <v>마법사 모자 속도 +{0}%</v>
      </c>
      <c r="G36" t="str">
        <f>VLOOKUP($B36,[1]Sheet1!$A:$J,7,0)</f>
        <v>Zauberhut-GSW +{0} %</v>
      </c>
      <c r="H36" t="str">
        <f>VLOOKUP($B36,[1]Sheet1!$A:$J,8,0)</f>
        <v>VIT du Chapeau de Mage +{0} %</v>
      </c>
      <c r="I36" t="str">
        <f>VLOOKUP($B36,[1]Sheet1!$A:$J,9,0)</f>
        <v>VEL de Chapéu de Bruxo +{0}%</v>
      </c>
      <c r="J36" t="str">
        <f>VLOOKUP($B36,[1]Sheet1!$A:$J,10,0)</f>
        <v>VEL de Sombrero de Mago +{0}%</v>
      </c>
    </row>
    <row r="37" spans="2:10" x14ac:dyDescent="0.15">
      <c r="B37">
        <v>5205</v>
      </c>
      <c r="C37" t="str">
        <f>VLOOKUP(B37,[1]Sheet1!$A:$B,2,0)</f>
        <v>叠盾效果额外+{0}%</v>
      </c>
      <c r="D37" t="str">
        <f>VLOOKUP($B37,[1]Sheet1!$A:$J,4,0)</f>
        <v>Shield Effect +{0}%</v>
      </c>
      <c r="E37" t="str">
        <f>VLOOKUP($B37,[1]Sheet1!$A:$J,5,0)</f>
        <v>シールド効果量+{0}%</v>
      </c>
      <c r="F37" t="str">
        <f>VLOOKUP($B37,[1]Sheet1!$A:$J,6,0)</f>
        <v>실드 효과 +{0}%</v>
      </c>
      <c r="G37" t="str">
        <f>VLOOKUP($B37,[1]Sheet1!$A:$J,7,0)</f>
        <v>Schildeffekt +{0} %</v>
      </c>
      <c r="H37" t="str">
        <f>VLOOKUP($B37,[1]Sheet1!$A:$J,8,0)</f>
        <v>Effet Bouclier +{0} %</v>
      </c>
      <c r="I37" t="str">
        <f>VLOOKUP($B37,[1]Sheet1!$A:$J,9,0)</f>
        <v>Efeito de Escudo +{0}%</v>
      </c>
      <c r="J37" t="str">
        <f>VLOOKUP($B37,[1]Sheet1!$A:$J,10,0)</f>
        <v>Efecto de Escudo +{0}%</v>
      </c>
    </row>
    <row r="38" spans="2:10" x14ac:dyDescent="0.15">
      <c r="B38">
        <v>5206</v>
      </c>
      <c r="C38" t="str">
        <f>VLOOKUP(B38,[1]Sheet1!$A:$B,2,0)</f>
        <v>所有暗元素的武器伤害增幅额外+{0}%</v>
      </c>
      <c r="D38" t="str">
        <f>VLOOKUP($B38,[1]Sheet1!$A:$J,4,0)</f>
        <v>DMG boost for all Dark weapons +{0}%</v>
      </c>
      <c r="E38" t="str">
        <f>VLOOKUP($B38,[1]Sheet1!$A:$J,5,0)</f>
        <v>全ての闇属性の武器のダメージ+{0}%</v>
      </c>
      <c r="F38" t="str">
        <f>VLOOKUP($B38,[1]Sheet1!$A:$J,6,0)</f>
        <v>모든 어둠 원소 무기의 피해 +{0}%</v>
      </c>
      <c r="G38" t="str">
        <f>VLOOKUP($B38,[1]Sheet1!$A:$J,7,0)</f>
        <v>SCHA-Boost für alle Dunkelwaffen +{0} %</v>
      </c>
      <c r="H38" t="str">
        <f>VLOOKUP($B38,[1]Sheet1!$A:$J,8,0)</f>
        <v>Bonus de DÉG pour toutes les armes des Ténèbres +{0} %</v>
      </c>
      <c r="I38" t="str">
        <f>VLOOKUP($B38,[1]Sheet1!$A:$J,9,0)</f>
        <v>Reforço de DNO para todas as armas das Trevas +{0}%</v>
      </c>
      <c r="J38" t="str">
        <f>VLOOKUP($B38,[1]Sheet1!$A:$J,10,0)</f>
        <v>Aumento de Daño de todas las armas de Oscuridad +{0}%</v>
      </c>
    </row>
    <row r="39" spans="2:10" x14ac:dyDescent="0.15">
      <c r="B39">
        <v>5207</v>
      </c>
      <c r="C39" t="str">
        <f>VLOOKUP(B39,[1]Sheet1!$A:$B,2,0)</f>
        <v>与地之魔法帽在同一行的防具都可获得叠盾效果增幅</v>
      </c>
      <c r="D39" t="str">
        <f>VLOOKUP($B39,[1]Sheet1!$A:$J,4,0)</f>
        <v>Armor in the same row as the Wizard Hat of Earth gains a Shield Effect boost.</v>
      </c>
      <c r="E39" t="str">
        <f>VLOOKUP($B39,[1]Sheet1!$A:$J,5,0)</f>
        <v>とんがり帽子・地と同じ行にある防具のシールド効果量が増加する</v>
      </c>
      <c r="F39" t="str">
        <f>VLOOKUP($B39,[1]Sheet1!$A:$J,6,0)</f>
        <v>땅의 마법사 모자와 같은 줄에 있는 모든 방어구가 실드 증폭 효과 획득 가능</v>
      </c>
      <c r="G39" t="str">
        <f>VLOOKUP($B39,[1]Sheet1!$A:$J,7,0)</f>
        <v>Rüstung in derselben Reihe wie der Zauberhut erhält einen Schildeffekt-Boost.</v>
      </c>
      <c r="H39" t="str">
        <f>VLOOKUP($B39,[1]Sheet1!$A:$J,8,0)</f>
        <v>L’Armure dans la même ligne que le Chapeau de Mage de Terre gagne un bonus d’Effet Bouclier.</v>
      </c>
      <c r="I39" t="str">
        <f>VLOOKUP($B39,[1]Sheet1!$A:$J,9,0)</f>
        <v>Armadura na mesma linha que o Chapéu de Bruxo da Terra ganha um reforço de Efeito de Escudo.</v>
      </c>
      <c r="J39" t="str">
        <f>VLOOKUP($B39,[1]Sheet1!$A:$J,10,0)</f>
        <v>La armadura en la misma fila que el Sombrero de Mago de Tierra obtiene un aumento del Efecto de Escudo.</v>
      </c>
    </row>
    <row r="40" spans="2:10" x14ac:dyDescent="0.15">
      <c r="B40">
        <v>5208</v>
      </c>
      <c r="C40" t="str">
        <f>VLOOKUP(B40,[1]Sheet1!$A:$B,2,0)</f>
        <v>暗之魔法帽每次扣除的血量-{0}%</v>
      </c>
      <c r="D40" t="str">
        <f>VLOOKUP($B40,[1]Sheet1!$A:$J,4,0)</f>
        <v>HP reduction effect of the Wizard Hat of Darkness -{0}%</v>
      </c>
      <c r="E40" t="str">
        <f>VLOOKUP($B40,[1]Sheet1!$A:$J,5,0)</f>
        <v>とんがり帽子・闇のHP減少効果-{0}%</v>
      </c>
      <c r="F40" t="str">
        <f>VLOOKUP($B40,[1]Sheet1!$A:$J,6,0)</f>
        <v>어둠의 마법사 모자의 1회당 HP 감소 효과 -{0}%</v>
      </c>
      <c r="G40" t="str">
        <f>VLOOKUP($B40,[1]Sheet1!$A:$J,7,0)</f>
        <v>HP-Verringerung vom Zauberhut der Dunkelheit -{0} %</v>
      </c>
      <c r="H40" t="str">
        <f>VLOOKUP($B40,[1]Sheet1!$A:$J,8,0)</f>
        <v>Effet de réduction de PV du Chapeau de Mage de Ténèbres -{0} %</v>
      </c>
      <c r="I40" t="str">
        <f>VLOOKUP($B40,[1]Sheet1!$A:$J,9,0)</f>
        <v>Efeito de redução de PV do Chapéu de Bruxo das Trevas -{0}%</v>
      </c>
      <c r="J40" t="str">
        <f>VLOOKUP($B40,[1]Sheet1!$A:$J,10,0)</f>
        <v>Efecto de reducción de PS de Sombrero de Mago de Oscuridad -{0}%</v>
      </c>
    </row>
    <row r="41" spans="2:10" x14ac:dyDescent="0.15">
      <c r="B41">
        <v>6201</v>
      </c>
      <c r="C41" t="str">
        <f>VLOOKUP(B41,[1]Sheet1!$A:$B,2,0)</f>
        <v>背包中与龙皮手套相邻的所有物理武器速度+{0}%</v>
      </c>
      <c r="D41" t="str">
        <f>VLOOKUP($B41,[1]Sheet1!$A:$J,4,0)</f>
        <v>SPD of all physical weapons adjacent to the Dragonskin Gauntlet in the backpack +{0}%</v>
      </c>
      <c r="E41" t="str">
        <f>VLOOKUP($B41,[1]Sheet1!$A:$J,5,0)</f>
        <v>バックパック内、竜革の籠手に隣接する全ての物理武器の速度+{0}%</v>
      </c>
      <c r="F41" t="str">
        <f>VLOOKUP($B41,[1]Sheet1!$A:$J,6,0)</f>
        <v>배낭에 있는 드래곤 장갑에 인접한 모든 물리 무기의 속도 +{0}%</v>
      </c>
      <c r="G41" t="str">
        <f>VLOOKUP($B41,[1]Sheet1!$A:$J,7,0)</f>
        <v>GSW aller physischen Waffen, die im Rucksack neben den Drachenhautstulpen liegen, +{0} %</v>
      </c>
      <c r="H41" t="str">
        <f>VLOOKUP($B41,[1]Sheet1!$A:$J,8,0)</f>
        <v>VIT de toutes les armes physiques adjacentes au Gantelet Draconique dans le sac +{0} %</v>
      </c>
      <c r="I41" t="str">
        <f>VLOOKUP($B41,[1]Sheet1!$A:$J,9,0)</f>
        <v>VEL de todas as armas físicas próximas à Manopla de Pele de Dragão na mochila +{0}%</v>
      </c>
      <c r="J41" t="str">
        <f>VLOOKUP($B41,[1]Sheet1!$A:$J,10,0)</f>
        <v>VEL de todas las armas físicas junto al Guantelete dragontino en el inventario +{0}%</v>
      </c>
    </row>
    <row r="42" spans="2:10" x14ac:dyDescent="0.15">
      <c r="B42">
        <v>6202</v>
      </c>
      <c r="C42" t="str">
        <f>VLOOKUP(B42,[1]Sheet1!$A:$B,2,0)</f>
        <v>龙皮手套的速度+{0}%</v>
      </c>
      <c r="D42" t="str">
        <f>VLOOKUP($B42,[1]Sheet1!$A:$J,4,0)</f>
        <v>Dragonskin Gauntlet SPD +{0}%</v>
      </c>
      <c r="E42" t="str">
        <f>VLOOKUP($B42,[1]Sheet1!$A:$J,5,0)</f>
        <v>竜革の籠手の速度+{0}%</v>
      </c>
      <c r="F42" t="str">
        <f>VLOOKUP($B42,[1]Sheet1!$A:$J,6,0)</f>
        <v>드래곤 장갑의 속도 +{0}%</v>
      </c>
      <c r="G42" t="str">
        <f>VLOOKUP($B42,[1]Sheet1!$A:$J,7,0)</f>
        <v>Drachenhautstulpen-GSW +{0} %</v>
      </c>
      <c r="H42" t="str">
        <f>VLOOKUP($B42,[1]Sheet1!$A:$J,8,0)</f>
        <v>VIT de Gantelet Draconique +{0} %</v>
      </c>
      <c r="I42" t="str">
        <f>VLOOKUP($B42,[1]Sheet1!$A:$J,9,0)</f>
        <v>VEL de Manopla de Pele de Dragão +{0}%</v>
      </c>
      <c r="J42" t="str">
        <f>VLOOKUP($B42,[1]Sheet1!$A:$J,10,0)</f>
        <v>VEL de Guantelete dragontino +{0}%</v>
      </c>
    </row>
    <row r="43" spans="2:10" x14ac:dyDescent="0.15">
      <c r="B43">
        <v>6203</v>
      </c>
      <c r="C43" t="str">
        <f>VLOOKUP(B43,[1]Sheet1!$A:$B,2,0)</f>
        <v>龙皮手套的叠盾+{0}%</v>
      </c>
      <c r="D43" t="str">
        <f>VLOOKUP($B43,[1]Sheet1!$A:$J,4,0)</f>
        <v>Dragonskin Gauntlet Shield +{0}%</v>
      </c>
      <c r="E43" t="str">
        <f>VLOOKUP($B43,[1]Sheet1!$A:$J,5,0)</f>
        <v>竜革の籠手のシールド効果量+{0}%</v>
      </c>
      <c r="F43" t="str">
        <f>VLOOKUP($B43,[1]Sheet1!$A:$J,6,0)</f>
        <v>드래곤 장갑의 실드 +{0}%</v>
      </c>
      <c r="G43" t="str">
        <f>VLOOKUP($B43,[1]Sheet1!$A:$J,7,0)</f>
        <v>Drachenhautstulpen-Schild +{0} %</v>
      </c>
      <c r="H43" t="str">
        <f>VLOOKUP($B43,[1]Sheet1!$A:$J,8,0)</f>
        <v>Bouclier de Gantelet Draconique +{0} %</v>
      </c>
      <c r="I43" t="str">
        <f>VLOOKUP($B43,[1]Sheet1!$A:$J,9,0)</f>
        <v>Escudo de Manopla de Pele de Dragão +{0}%</v>
      </c>
      <c r="J43" t="str">
        <f>VLOOKUP($B43,[1]Sheet1!$A:$J,10,0)</f>
        <v>Escudo de Guantelete dragontino +{0}%</v>
      </c>
    </row>
    <row r="44" spans="2:10" x14ac:dyDescent="0.15">
      <c r="B44">
        <v>6204</v>
      </c>
      <c r="C44" t="str">
        <f>VLOOKUP(B44,[1]Sheet1!$A:$B,2,0)</f>
        <v>背包中与龙皮手套相邻的所有物理武器速度+{0}%</v>
      </c>
      <c r="D44" t="str">
        <f>VLOOKUP($B44,[1]Sheet1!$A:$J,4,0)</f>
        <v>SPD of all physical weapons adjacent to the Dragonskin Gauntlet in the backpack +{0}%</v>
      </c>
      <c r="E44" t="str">
        <f>VLOOKUP($B44,[1]Sheet1!$A:$J,5,0)</f>
        <v>バックパック内、竜革の籠手に隣接する全ての物理武器の速度+{0}%</v>
      </c>
      <c r="F44" t="str">
        <f>VLOOKUP($B44,[1]Sheet1!$A:$J,6,0)</f>
        <v>배낭에 있는 드래곤 장갑에 인접한 모든 물리 무기의 속도 +{0}%</v>
      </c>
      <c r="G44" t="str">
        <f>VLOOKUP($B44,[1]Sheet1!$A:$J,7,0)</f>
        <v>GSW aller physischen Waffen, die im Rucksack neben den Drachenhautstulpen liegen, +{0} %</v>
      </c>
      <c r="H44" t="str">
        <f>VLOOKUP($B44,[1]Sheet1!$A:$J,8,0)</f>
        <v>VIT de toutes les armes physiques adjacentes au Gantelet Draconique dans le sac +{0} %</v>
      </c>
      <c r="I44" t="str">
        <f>VLOOKUP($B44,[1]Sheet1!$A:$J,9,0)</f>
        <v>VEL de todas as armas físicas próximas à Manopla de Pele de Dragão na mochila +{0}%</v>
      </c>
      <c r="J44" t="str">
        <f>VLOOKUP($B44,[1]Sheet1!$A:$J,10,0)</f>
        <v>VEL de todas las armas físicas junto al Guantelete dragontino en el inventario +{0}%</v>
      </c>
    </row>
    <row r="45" spans="2:10" x14ac:dyDescent="0.15">
      <c r="B45">
        <v>6205</v>
      </c>
      <c r="C45" t="str">
        <f>VLOOKUP(B45,[1]Sheet1!$A:$B,2,0)</f>
        <v>火焰手套附魔数量+{0}</v>
      </c>
      <c r="D45" t="str">
        <f>VLOOKUP($B45,[1]Sheet1!$A:$J,4,0)</f>
        <v>Gauntlet of Flame Enchantment Count +{0}</v>
      </c>
      <c r="E45" t="str">
        <f>VLOOKUP($B45,[1]Sheet1!$A:$J,5,0)</f>
        <v>火焔の籠手のエンチャント数+{0}</v>
      </c>
      <c r="F45" t="str">
        <f>VLOOKUP($B45,[1]Sheet1!$A:$J,6,0)</f>
        <v>화염 장갑의 인챈트 부여 수량 +{0}</v>
      </c>
      <c r="G45" t="str">
        <f>VLOOKUP($B45,[1]Sheet1!$A:$J,7,0)</f>
        <v>Verzauberungswert der Stulpen der Flamme +{0}</v>
      </c>
      <c r="H45" t="str">
        <f>VLOOKUP($B45,[1]Sheet1!$A:$J,8,0)</f>
        <v>Nombre d’Enchantements du Gantelet des Flammes +{0}</v>
      </c>
      <c r="I45" t="str">
        <f>VLOOKUP($B45,[1]Sheet1!$A:$J,9,0)</f>
        <v>Contagem de Encantos da Manopla das Chamas +{0}</v>
      </c>
      <c r="J45" t="str">
        <f>VLOOKUP($B45,[1]Sheet1!$A:$J,10,0)</f>
        <v>Número de Encantamientos de Guantelete de la Llama +{0}</v>
      </c>
    </row>
    <row r="46" spans="2:10" x14ac:dyDescent="0.15">
      <c r="B46">
        <v>6206</v>
      </c>
      <c r="C46" t="str">
        <f>VLOOKUP(B46,[1]Sheet1!$A:$B,2,0)</f>
        <v>神风手套效果触发时,攻速额外+{0}%</v>
      </c>
      <c r="D46" t="str">
        <f>VLOOKUP($B46,[1]Sheet1!$A:$J,4,0)</f>
        <v>When Gauntlet of Sacred Wind effect is triggered, ATK SPD +{0}%.</v>
      </c>
      <c r="E46" t="str">
        <f>VLOOKUP($B46,[1]Sheet1!$A:$J,5,0)</f>
        <v>旋風の籠手の効果発動時、追加で攻撃速度+{0}%</v>
      </c>
      <c r="F46" t="str">
        <f>VLOOKUP($B46,[1]Sheet1!$A:$J,6,0)</f>
        <v>폭풍 장갑의 효과가 발동될 시 공격 속도 +{0}%</v>
      </c>
      <c r="G46" t="str">
        <f>VLOOKUP($B46,[1]Sheet1!$A:$J,7,0)</f>
        <v>Wenn Effekt von Stulpen des heiligen Windes ausgelöst wird, ANG-GSW +{0} %.</v>
      </c>
      <c r="H46" t="str">
        <f>VLOOKUP($B46,[1]Sheet1!$A:$J,8,0)</f>
        <v>Quand l’effet de Gantelet du Vent Sacré est déclenché, VIT ATQ +{0} %.</v>
      </c>
      <c r="I46" t="str">
        <f>VLOOKUP($B46,[1]Sheet1!$A:$J,9,0)</f>
        <v>Quando o efeito de Manopla do Vento Sagrado é ativado, VEL ATQ +{0}%.</v>
      </c>
      <c r="J46" t="str">
        <f>VLOOKUP($B46,[1]Sheet1!$A:$J,10,0)</f>
        <v>VEL de ATQ +{0}% al activar el efecto de Guantelete del Viento sagrado.</v>
      </c>
    </row>
    <row r="47" spans="2:10" x14ac:dyDescent="0.15">
      <c r="B47">
        <v>6207</v>
      </c>
      <c r="C47" t="str">
        <f>VLOOKUP(B47,[1]Sheet1!$A:$B,2,0)</f>
        <v>火焰手套附魔加攻效果额外+{0}%</v>
      </c>
      <c r="D47" t="str">
        <f>VLOOKUP($B47,[1]Sheet1!$A:$J,4,0)</f>
        <v>Gauntlet of Flame Enchantment ATK Boost effect +{0}%</v>
      </c>
      <c r="E47" t="str">
        <f>VLOOKUP($B47,[1]Sheet1!$A:$J,5,0)</f>
        <v>火焔の籠手のエンチャントの攻撃力増加効果量+{0}%</v>
      </c>
      <c r="F47" t="str">
        <f>VLOOKUP($B47,[1]Sheet1!$A:$J,6,0)</f>
        <v>화염 장갑 인챈트에 의한 공격력 증폭 효과 +{0}%</v>
      </c>
      <c r="G47" t="str">
        <f>VLOOKUP($B47,[1]Sheet1!$A:$J,7,0)</f>
        <v>Stulpen der Flamme – ANG-Bonuseffekt durch Verzauberung +{0} %</v>
      </c>
      <c r="H47" t="str">
        <f>VLOOKUP($B47,[1]Sheet1!$A:$J,8,0)</f>
        <v>Boost d’ATQ de l’Enchantement du Gantelet des Flammes +{0} %</v>
      </c>
      <c r="I47" t="str">
        <f>VLOOKUP($B47,[1]Sheet1!$A:$J,9,0)</f>
        <v>Efeito de Reforço de ATQ do Encanto de Manopla das Chamas +{0}%</v>
      </c>
      <c r="J47" t="str">
        <f>VLOOKUP($B47,[1]Sheet1!$A:$J,10,0)</f>
        <v>Efecto de Aumento de ATQ de Encantamiento de Guantelete de la Llama +{0}%</v>
      </c>
    </row>
    <row r="48" spans="2:10" x14ac:dyDescent="0.15">
      <c r="B48">
        <v>6208</v>
      </c>
      <c r="C48" t="str">
        <f>VLOOKUP(B48,[1]Sheet1!$A:$B,2,0)</f>
        <v>神风手套攻速增持续时间+{0}%</v>
      </c>
      <c r="D48" t="str">
        <f>VLOOKUP($B48,[1]Sheet1!$A:$J,4,0)</f>
        <v>Gauntlet of Sacred Wind ATK SPD Boost duration +{0}%</v>
      </c>
      <c r="E48" t="str">
        <f>VLOOKUP($B48,[1]Sheet1!$A:$J,5,0)</f>
        <v>旋風の籠手の攻撃速度増加の持続時間+{0}%</v>
      </c>
      <c r="F48" t="str">
        <f>VLOOKUP($B48,[1]Sheet1!$A:$J,6,0)</f>
        <v>폭풍 장갑에 의한 공격 속도 증폭 효과의 지속 시간 +{0}%</v>
      </c>
      <c r="G48" t="str">
        <f>VLOOKUP($B48,[1]Sheet1!$A:$J,7,0)</f>
        <v>Stulpen des heiligen Windes – Dauer des ANG-GSW-Boosts +{0} %</v>
      </c>
      <c r="H48" t="str">
        <f>VLOOKUP($B48,[1]Sheet1!$A:$J,8,0)</f>
        <v>Durée du Boost de VIT ATQ du Gantelet du Vent Sacré +{0} %</v>
      </c>
      <c r="I48" t="str">
        <f>VLOOKUP($B48,[1]Sheet1!$A:$J,9,0)</f>
        <v>Duração de Reforço de VEL de ATQ da Manopla do Vento Sagrado +{0}%</v>
      </c>
      <c r="J48" t="str">
        <f>VLOOKUP($B48,[1]Sheet1!$A:$J,10,0)</f>
        <v>Duración del Aumento de VEL de ATQ de Guantelete del Viento sagrado +{0}%</v>
      </c>
    </row>
    <row r="49" spans="2:10" x14ac:dyDescent="0.15">
      <c r="B49">
        <v>7201</v>
      </c>
      <c r="C49" t="str">
        <f>VLOOKUP(B49,[1]Sheet1!$A:$B,2,0)</f>
        <v>冰封魔杖命中后,有{0}%概率使目标冻结,持续{1}秒</v>
      </c>
      <c r="D49" t="str">
        <f>VLOOKUP($B49,[1]Sheet1!$A:$J,4,0)</f>
        <v>When the Icebound Magic Staff hits, there is a {0}% chance to freeze the target for {1}s.</v>
      </c>
      <c r="E49" t="str">
        <f>VLOOKUP($B49,[1]Sheet1!$A:$J,5,0)</f>
        <v>氷結のステッキ命中後、{0}%の確率で対象を{1}秒間凍結させる</v>
      </c>
      <c r="F49" t="str">
        <f>VLOOKUP($B49,[1]Sheet1!$A:$J,6,0)</f>
        <v>프로즌 스태프가 대상을 적중할 시 {0}% 확률로 해당 대상에게 동결 효과를 부여한다. ({1}초간 지속)</v>
      </c>
      <c r="G49" t="str">
        <f>VLOOKUP($B49,[1]Sheet1!$A:$J,7,0)</f>
        <v>Wenn der eisgebundene Magiestab trifft, besteht eine {0} % Chance, das Ziel {1} Sek. lang einzufrieren.</v>
      </c>
      <c r="H49" t="str">
        <f>VLOOKUP($B49,[1]Sheet1!$A:$J,8,0)</f>
        <v>Quand le Bâton Magique Hivernal touche une cible, confère {0} % de chances de la geler pendant {1} s.</v>
      </c>
      <c r="I49" t="str">
        <f>VLOOKUP($B49,[1]Sheet1!$A:$J,9,0)</f>
        <v>Quando o Cajado Mágico da Prisão de Gelo acerta, tem {0}% de chance de congelar o alvo por {1} s.</v>
      </c>
      <c r="J49" t="str">
        <f>VLOOKUP($B49,[1]Sheet1!$A:$J,10,0)</f>
        <v>El Bastón mágico de Hielo tiene un {0}% de congelar al objetivo {1}s al golpearle.</v>
      </c>
    </row>
    <row r="50" spans="2:10" x14ac:dyDescent="0.15">
      <c r="B50">
        <v>7202</v>
      </c>
      <c r="C50" t="str">
        <f>VLOOKUP(B50,[1]Sheet1!$A:$B,2,0)</f>
        <v>冰封魔杖冻结概率+{0}%</v>
      </c>
      <c r="D50" t="str">
        <f>VLOOKUP($B50,[1]Sheet1!$A:$J,4,0)</f>
        <v>Icebound Magic Staff freezing chance +{0}%</v>
      </c>
      <c r="E50" t="str">
        <f>VLOOKUP($B50,[1]Sheet1!$A:$J,5,0)</f>
        <v>氷結のステッキの凍結付与確率+{0}%</v>
      </c>
      <c r="F50" t="str">
        <f>VLOOKUP($B50,[1]Sheet1!$A:$J,6,0)</f>
        <v>프로즌 스태프의 동결 부여 확률 +{0}%</v>
      </c>
      <c r="G50" t="str">
        <f>VLOOKUP($B50,[1]Sheet1!$A:$J,7,0)</f>
        <v>Eisgebundener Magiestab –Einfrierchance +{0} %</v>
      </c>
      <c r="H50" t="str">
        <f>VLOOKUP($B50,[1]Sheet1!$A:$J,8,0)</f>
        <v>Chances pour le Bâton Magique Hivernal de geler la cible +{0} %</v>
      </c>
      <c r="I50" t="str">
        <f>VLOOKUP($B50,[1]Sheet1!$A:$J,9,0)</f>
        <v>Chance de congelamento do Cajado Mágico da Prisão de Gelo +{0}%</v>
      </c>
      <c r="J50" t="str">
        <f>VLOOKUP($B50,[1]Sheet1!$A:$J,10,0)</f>
        <v>Probabilidad de congelación de Bastón mágico de Hielo +{0}%</v>
      </c>
    </row>
    <row r="51" spans="2:10" x14ac:dyDescent="0.15">
      <c r="B51">
        <v>7203</v>
      </c>
      <c r="C51" t="str">
        <f>VLOOKUP(B51,[1]Sheet1!$A:$B,2,0)</f>
        <v>冰封魔杖命中后,分裂出{0}个碎片,碎片伤害为冰封魔杖攻击的{1}%,有概率附加冰冻减速效果</v>
      </c>
      <c r="D51" t="str">
        <f>VLOOKUP($B51,[1]Sheet1!$A:$J,4,0)</f>
        <v>When the Icebound Magic Staff hits, it splits into {0} shards, each dealing DMG equal to {1}% of the Icebound Magic Staff's ATK, with a chance to inflict freezing and slow effects.</v>
      </c>
      <c r="E51" t="str">
        <f>VLOOKUP($B51,[1]Sheet1!$A:$J,5,0)</f>
        <v>氷結のステッキ命中後、{0}個のピースに分裂する。ピースのダメージは氷結のステッキの攻撃力の{1}%、一定の確率で敵を減速させる</v>
      </c>
      <c r="F51" t="str">
        <f>VLOOKUP($B51,[1]Sheet1!$A:$J,6,0)</f>
        <v>프로즌 스태프가 대상을 적중할 시 {0}개의 파편이 생성되며, 각각 프로즌 스태프 공격력의 {1}%에 해당하는 피해를 주고, 일정 확률로 빙결 감속 효과를 부여한다.</v>
      </c>
      <c r="G51" t="str">
        <f>VLOOKUP($B51,[1]Sheet1!$A:$J,7,0)</f>
        <v>Wenn der eisgebundene Magiestab trifft, teilt er sich in {0} Splitter auf, die jeweils Schaden in Höhe von {1} % des ANG des eisgebundenen Magiestabs verursachen, mit der Chance, Einfrieren und Verlangsamen zuzufügen.</v>
      </c>
      <c r="H51" t="str">
        <f>VLOOKUP($B51,[1]Sheet1!$A:$J,8,0)</f>
        <v>Quand le Bâton Magique Hivernal touche une cible, il se scinde en {0} éclats, chacun infligeant des DÉG à hauteur de {1} % de l’ATQ du Bâton Magique Hivernal, avec une chance d’appliquer Gel et Lenteur.</v>
      </c>
      <c r="I51" t="str">
        <f>VLOOKUP($B51,[1]Sheet1!$A:$J,9,0)</f>
        <v>Quando o Cajado Mágico da Prisão de Gelo acerta, divide-se em {0} fragmentos, cada um causando DNO igual a {1}% do ATQ do Cajado Mágico da Prisão de Gelo, com uma chance de infligir efeitos de congelamento e lentidão.</v>
      </c>
      <c r="J51" t="str">
        <f>VLOOKUP($B51,[1]Sheet1!$A:$J,10,0)</f>
        <v>Cuando Bastón mágico de Hielo golpea, se divide en {0} fragmentos que infligen un {1}% del ATQ del Bastón mágico de Hielo como Daño, y tienen la posibilidad de aplicar congelación y ralentización.</v>
      </c>
    </row>
    <row r="52" spans="2:10" x14ac:dyDescent="0.15">
      <c r="B52">
        <v>7204</v>
      </c>
      <c r="C52" t="str">
        <f>VLOOKUP(B52,[1]Sheet1!$A:$B,2,0)</f>
        <v>冰封魔杖的攻击+{0}%</v>
      </c>
      <c r="D52" t="str">
        <f>VLOOKUP($B52,[1]Sheet1!$A:$J,4,0)</f>
        <v>Icebound Magic Staff ATK +{0}%</v>
      </c>
      <c r="E52" t="str">
        <f>VLOOKUP($B52,[1]Sheet1!$A:$J,5,0)</f>
        <v>氷結のステッキの攻撃力+{0}%</v>
      </c>
      <c r="F52" t="str">
        <f>VLOOKUP($B52,[1]Sheet1!$A:$J,6,0)</f>
        <v>프로즌 스태프 공격력 +{0}%</v>
      </c>
      <c r="G52" t="str">
        <f>VLOOKUP($B52,[1]Sheet1!$A:$J,7,0)</f>
        <v>Eisgebundener Magiestab – ANG +{0} %</v>
      </c>
      <c r="H52" t="str">
        <f>VLOOKUP($B52,[1]Sheet1!$A:$J,8,0)</f>
        <v>ATQ du Bâton Magique Hivernal +{0} %</v>
      </c>
      <c r="I52" t="str">
        <f>VLOOKUP($B52,[1]Sheet1!$A:$J,9,0)</f>
        <v>ATQ de Cajado Mágico da Prisão de Gelo +{0}%</v>
      </c>
      <c r="J52" t="str">
        <f>VLOOKUP($B52,[1]Sheet1!$A:$J,10,0)</f>
        <v>ATQ de Bastón mágico de Hielo +{0}%</v>
      </c>
    </row>
    <row r="53" spans="2:10" x14ac:dyDescent="0.15">
      <c r="B53">
        <v>7205</v>
      </c>
      <c r="C53" t="str">
        <f>VLOOKUP(B53,[1]Sheet1!$A:$B,2,0)</f>
        <v>冰霜新星有{0}%概率使目标冻结,持续{1}秒</v>
      </c>
      <c r="D53" t="str">
        <f>VLOOKUP($B53,[1]Sheet1!$A:$J,4,0)</f>
        <v>Frost Nova has a {0}% chance to freeze the target for {1}s.</v>
      </c>
      <c r="E53" t="str">
        <f>VLOOKUP($B53,[1]Sheet1!$A:$J,5,0)</f>
        <v>フロストノヴァは{0}%の確率で対象を{1}秒間凍結させる</v>
      </c>
      <c r="F53" t="str">
        <f>VLOOKUP($B53,[1]Sheet1!$A:$J,6,0)</f>
        <v>아이스 노바 발동 시 {0}% 확률로 대상을 동결 상태에 빠뜨린다. ({1}초간 지속)</v>
      </c>
      <c r="G53" t="str">
        <f>VLOOKUP($B53,[1]Sheet1!$A:$J,7,0)</f>
        <v>Frostnova hat eine {0} % Chance, das Ziel {1} Sek. lang einzufrieren.</v>
      </c>
      <c r="H53" t="str">
        <f>VLOOKUP($B53,[1]Sheet1!$A:$J,8,0)</f>
        <v>Nova de Givre a {0} % de chances de geler la cible pendant {1} s.</v>
      </c>
      <c r="I53" t="str">
        <f>VLOOKUP($B53,[1]Sheet1!$A:$J,9,0)</f>
        <v>Nova da Geada tem {0}% de chance de congelar o alvo por {1} s.</v>
      </c>
      <c r="J53" t="str">
        <f>VLOOKUP($B53,[1]Sheet1!$A:$J,10,0)</f>
        <v>Nova de la Escarcha tiene un {0}% de probabilidad de congelar al ojetivo {1}s.</v>
      </c>
    </row>
    <row r="54" spans="2:10" x14ac:dyDescent="0.15">
      <c r="B54">
        <v>7206</v>
      </c>
      <c r="C54" t="str">
        <f>VLOOKUP(B54,[1]Sheet1!$A:$B,2,0)</f>
        <v>暴风雪范围+{0}%</v>
      </c>
      <c r="D54" t="str">
        <f>VLOOKUP($B54,[1]Sheet1!$A:$J,4,0)</f>
        <v>Snowstorm Range +{0}%</v>
      </c>
      <c r="E54" t="str">
        <f>VLOOKUP($B54,[1]Sheet1!$A:$J,5,0)</f>
        <v>ブリザードの範囲+{0}%</v>
      </c>
      <c r="F54" t="str">
        <f>VLOOKUP($B54,[1]Sheet1!$A:$J,6,0)</f>
        <v>눈보라 범위 +{0}%</v>
      </c>
      <c r="G54" t="str">
        <f>VLOOKUP($B54,[1]Sheet1!$A:$J,7,0)</f>
        <v>Schneesturm-Reichweite +{0} %</v>
      </c>
      <c r="H54" t="str">
        <f>VLOOKUP($B54,[1]Sheet1!$A:$J,8,0)</f>
        <v>Portée de Tempête de Neige +{0} %</v>
      </c>
      <c r="I54" t="str">
        <f>VLOOKUP($B54,[1]Sheet1!$A:$J,9,0)</f>
        <v>Alcance da Nevasca +{0}%</v>
      </c>
      <c r="J54" t="str">
        <f>VLOOKUP($B54,[1]Sheet1!$A:$J,10,0)</f>
        <v>Alcance de Ventisca +{0}%</v>
      </c>
    </row>
    <row r="55" spans="2:10" x14ac:dyDescent="0.15">
      <c r="B55">
        <v>7207</v>
      </c>
      <c r="C55" t="str">
        <f>VLOOKUP(B55,[1]Sheet1!$A:$B,2,0)</f>
        <v>冰霜新星的范围+{0}%</v>
      </c>
      <c r="D55" t="str">
        <f>VLOOKUP($B55,[1]Sheet1!$A:$J,4,0)</f>
        <v>Frost Nova Range +{0}%</v>
      </c>
      <c r="E55" t="str">
        <f>VLOOKUP($B55,[1]Sheet1!$A:$J,5,0)</f>
        <v>フロストノヴァの範囲+{0}%</v>
      </c>
      <c r="F55" t="str">
        <f>VLOOKUP($B55,[1]Sheet1!$A:$J,6,0)</f>
        <v>아이스 노바 범위 +{0}%</v>
      </c>
      <c r="G55" t="str">
        <f>VLOOKUP($B55,[1]Sheet1!$A:$J,7,0)</f>
        <v>Frostnova-Reichweite +{0} %</v>
      </c>
      <c r="H55" t="str">
        <f>VLOOKUP($B55,[1]Sheet1!$A:$J,8,0)</f>
        <v>Portée de Nova de Givre +{0} %</v>
      </c>
      <c r="I55" t="str">
        <f>VLOOKUP($B55,[1]Sheet1!$A:$J,9,0)</f>
        <v>Alcance da Nova da Geada +{0}%</v>
      </c>
      <c r="J55" t="str">
        <f>VLOOKUP($B55,[1]Sheet1!$A:$J,10,0)</f>
        <v>Alcance de Nova de la Escarcha +{0}%</v>
      </c>
    </row>
    <row r="56" spans="2:10" x14ac:dyDescent="0.15">
      <c r="B56">
        <v>7208</v>
      </c>
      <c r="C56" t="str">
        <f>VLOOKUP(B56,[1]Sheet1!$A:$B,2,0)</f>
        <v>暴风雪释放时,每次伤害+{0}%</v>
      </c>
      <c r="D56" t="str">
        <f>VLOOKUP($B56,[1]Sheet1!$A:$J,4,0)</f>
        <v>When Snowstorm is released, each hit deals {0}% more DMG.</v>
      </c>
      <c r="E56" t="str">
        <f>VLOOKUP($B56,[1]Sheet1!$A:$J,5,0)</f>
        <v>ブリザード発動時、毎回のダメージ+{0}%</v>
      </c>
      <c r="F56" t="str">
        <f>VLOOKUP($B56,[1]Sheet1!$A:$J,6,0)</f>
        <v>눈보라 시전 1회당 피해 +{0}%</v>
      </c>
      <c r="G56" t="str">
        <f>VLOOKUP($B56,[1]Sheet1!$A:$J,7,0)</f>
        <v>Wenn Schneesturm entfesselt wird, verursacht jeder Treffer {0} % mehr Schaden.</v>
      </c>
      <c r="H56" t="str">
        <f>VLOOKUP($B56,[1]Sheet1!$A:$J,8,0)</f>
        <v>Quand Tempête de Neige est lancé, chaque coup inflige {0} % de DÉG en plus.</v>
      </c>
      <c r="I56" t="str">
        <f>VLOOKUP($B56,[1]Sheet1!$A:$J,9,0)</f>
        <v>Quando Nevasca é liberada, cada acerto causa {0}% mais DNO.</v>
      </c>
      <c r="J56" t="str">
        <f>VLOOKUP($B56,[1]Sheet1!$A:$J,10,0)</f>
        <v>Al liberar Ventisca, cada golpe inflige un {0}% más de Daño.</v>
      </c>
    </row>
    <row r="57" spans="2:10" x14ac:dyDescent="0.15">
      <c r="B57">
        <v>8201</v>
      </c>
      <c r="C57" t="str">
        <f>VLOOKUP(B57,[1]Sheet1!$A:$B,2,0)</f>
        <v>魔法药剂中毒伤害+{0}%</v>
      </c>
      <c r="D57" t="str">
        <f>VLOOKUP($B57,[1]Sheet1!$A:$J,4,0)</f>
        <v>Magic Potion Poison DMG +{0}%</v>
      </c>
      <c r="E57" t="str">
        <f>VLOOKUP($B57,[1]Sheet1!$A:$J,5,0)</f>
        <v>魔術ポーションが付与する毒のダメージ+{0}%</v>
      </c>
      <c r="F57" t="str">
        <f>VLOOKUP($B57,[1]Sheet1!$A:$J,6,0)</f>
        <v>마법 포션의 중독 피해 +{0}%</v>
      </c>
      <c r="G57" t="str">
        <f>VLOOKUP($B57,[1]Sheet1!$A:$J,7,0)</f>
        <v>Magietrank-Giftschaden +{0} %</v>
      </c>
      <c r="H57" t="str">
        <f>VLOOKUP($B57,[1]Sheet1!$A:$J,8,0)</f>
        <v>DÉG de Poison de Potion Magique +{0} %</v>
      </c>
      <c r="I57" t="str">
        <f>VLOOKUP($B57,[1]Sheet1!$A:$J,9,0)</f>
        <v>DNO de Poção Mágica de Veneno +{0}%</v>
      </c>
      <c r="J57" t="str">
        <f>VLOOKUP($B57,[1]Sheet1!$A:$J,10,0)</f>
        <v>Daño de Veneno de Poción mágica +{0}%</v>
      </c>
    </row>
    <row r="58" spans="2:10" x14ac:dyDescent="0.15">
      <c r="B58">
        <v>8202</v>
      </c>
      <c r="C58" t="str">
        <f>VLOOKUP(B58,[1]Sheet1!$A:$B,2,0)</f>
        <v>魔法药剂的速度+{0}%</v>
      </c>
      <c r="D58" t="str">
        <f>VLOOKUP($B58,[1]Sheet1!$A:$J,4,0)</f>
        <v>Magic Potion SPD +{0}%</v>
      </c>
      <c r="E58" t="str">
        <f>VLOOKUP($B58,[1]Sheet1!$A:$J,5,0)</f>
        <v>魔術ポーションの速度+{0}%</v>
      </c>
      <c r="F58" t="str">
        <f>VLOOKUP($B58,[1]Sheet1!$A:$J,6,0)</f>
        <v>마법 포션의 속도 +{0}%</v>
      </c>
      <c r="G58" t="str">
        <f>VLOOKUP($B58,[1]Sheet1!$A:$J,7,0)</f>
        <v>Magietrank-GSW +{0} %</v>
      </c>
      <c r="H58" t="str">
        <f>VLOOKUP($B58,[1]Sheet1!$A:$J,8,0)</f>
        <v>VIT de Potion Magique +{0} %</v>
      </c>
      <c r="I58" t="str">
        <f>VLOOKUP($B58,[1]Sheet1!$A:$J,9,0)</f>
        <v>VEL de Poção Mágica +{0}%</v>
      </c>
      <c r="J58" t="str">
        <f>VLOOKUP($B58,[1]Sheet1!$A:$J,10,0)</f>
        <v>VEL de Poción mágica +{0}%</v>
      </c>
    </row>
    <row r="59" spans="2:10" x14ac:dyDescent="0.15">
      <c r="B59">
        <v>8203</v>
      </c>
      <c r="C59" t="str">
        <f>VLOOKUP(B59,[1]Sheet1!$A:$B,2,0)</f>
        <v>命中时,对目标周围造成范围伤害,并附加中毒效果</v>
      </c>
      <c r="D59" t="str">
        <f>VLOOKUP($B59,[1]Sheet1!$A:$J,4,0)</f>
        <v>Upon hit, deals AoE DMG to the target's surroundings and inflicts a poison effect.</v>
      </c>
      <c r="E59" t="str">
        <f>VLOOKUP($B59,[1]Sheet1!$A:$J,5,0)</f>
        <v>命中後、ターゲット周辺に範囲ダメージを与え、毒状態にする</v>
      </c>
      <c r="F59" t="str">
        <f>VLOOKUP($B59,[1]Sheet1!$A:$J,6,0)</f>
        <v>적중 시 대상 주변에 광역 피해를 입히고, 중독 효과를 부여한다.</v>
      </c>
      <c r="G59" t="str">
        <f>VLOOKUP($B59,[1]Sheet1!$A:$J,7,0)</f>
        <v>Verursacht bei Treffern Flächenschaden um das Ziel herum und fügt Gift zu.</v>
      </c>
      <c r="H59" t="str">
        <f>VLOOKUP($B59,[1]Sheet1!$A:$J,8,0)</f>
        <v>Quand le personnage est touché, inflige des DÉG de Zone aux alentours de la cible et applique Poison.</v>
      </c>
      <c r="I59" t="str">
        <f>VLOOKUP($B59,[1]Sheet1!$A:$J,9,0)</f>
        <v>Ao acertar, causa DNO de Área nas proximidades do alvo e gera efeito de veneno.</v>
      </c>
      <c r="J59" t="str">
        <f>VLOOKUP($B59,[1]Sheet1!$A:$J,10,0)</f>
        <v>Al golpear inflige Daño de AdE alrededor del objetivo y aplica un efecto de veneno.</v>
      </c>
    </row>
    <row r="60" spans="2:10" x14ac:dyDescent="0.15">
      <c r="B60">
        <v>8204</v>
      </c>
      <c r="C60" t="str">
        <f>VLOOKUP(B60,[1]Sheet1!$A:$B,2,0)</f>
        <v>中毒持续时间+{0}%</v>
      </c>
      <c r="D60" t="str">
        <f>VLOOKUP($B60,[1]Sheet1!$A:$J,4,0)</f>
        <v>Poison Duration +{0}%</v>
      </c>
      <c r="E60" t="str">
        <f>VLOOKUP($B60,[1]Sheet1!$A:$J,5,0)</f>
        <v>毒の持続時間+{0}%</v>
      </c>
      <c r="F60" t="str">
        <f>VLOOKUP($B60,[1]Sheet1!$A:$J,6,0)</f>
        <v>중독 지속 시간 +{0}%</v>
      </c>
      <c r="G60" t="str">
        <f>VLOOKUP($B60,[1]Sheet1!$A:$J,7,0)</f>
        <v>Giftdauer +{0} %</v>
      </c>
      <c r="H60" t="str">
        <f>VLOOKUP($B60,[1]Sheet1!$A:$J,8,0)</f>
        <v>Durée de Poison +{0} %</v>
      </c>
      <c r="I60" t="str">
        <f>VLOOKUP($B60,[1]Sheet1!$A:$J,9,0)</f>
        <v>Duração de Veneno +{0}%</v>
      </c>
      <c r="J60" t="str">
        <f>VLOOKUP($B60,[1]Sheet1!$A:$J,10,0)</f>
        <v>Duración de Veneno +{0}%</v>
      </c>
    </row>
    <row r="61" spans="2:10" x14ac:dyDescent="0.15">
      <c r="B61">
        <v>8205</v>
      </c>
      <c r="C61" t="str">
        <f>VLOOKUP(B61,[1]Sheet1!$A:$B,2,0)</f>
        <v>绝望药剂麻痹的减速效果额外-{0}%(最高{1}%)</v>
      </c>
      <c r="D61" t="str">
        <f>VLOOKUP($B61,[1]Sheet1!$A:$J,4,0)</f>
        <v>Potion of Despair's slow effect -{0}% (up to {1}%)</v>
      </c>
      <c r="E61" t="str">
        <f>VLOOKUP($B61,[1]Sheet1!$A:$J,5,0)</f>
        <v>絶望ポーションの麻痺に影響された敵の移動速度と攻撃速度-{0}%（最大{1}%）</v>
      </c>
      <c r="F61" t="str">
        <f>VLOOKUP($B61,[1]Sheet1!$A:$J,6,0)</f>
        <v>절망 포션의 감속 효과 -{0}%(최대 {1}%)</v>
      </c>
      <c r="G61" t="str">
        <f>VLOOKUP($B61,[1]Sheet1!$A:$J,7,0)</f>
        <v>Trank der Verzweiflung – Verlangsamung -{0} % (bis zu {1} %)</v>
      </c>
      <c r="H61" t="str">
        <f>VLOOKUP($B61,[1]Sheet1!$A:$J,8,0)</f>
        <v>Effet Lenteur de Potion de Désespoir -{0} % (jusqu’à {1} %)</v>
      </c>
      <c r="I61" t="str">
        <f>VLOOKUP($B61,[1]Sheet1!$A:$J,9,0)</f>
        <v>Efeito de lentidão da Poção de Desespero -{0}% (até {1}%)</v>
      </c>
      <c r="J61" t="str">
        <f>VLOOKUP($B61,[1]Sheet1!$A:$J,10,0)</f>
        <v>Ralentización de Poción de la Desesperación -{0}% (hasta {1}%)</v>
      </c>
    </row>
    <row r="62" spans="2:10" x14ac:dyDescent="0.15">
      <c r="B62">
        <v>8206</v>
      </c>
      <c r="C62" t="str">
        <f>VLOOKUP(B62,[1]Sheet1!$A:$B,2,0)</f>
        <v>狼毒药剂叠毒概率额外{0}%</v>
      </c>
      <c r="D62" t="str">
        <f>VLOOKUP($B62,[1]Sheet1!$A:$J,4,0)</f>
        <v>Potion of Wolfsbane stacking chance +{0}%</v>
      </c>
      <c r="E62" t="str">
        <f>VLOOKUP($B62,[1]Sheet1!$A:$J,5,0)</f>
        <v>猛毒ポーションの毒の追加付与確率+{0}%</v>
      </c>
      <c r="F62" t="str">
        <f>VLOOKUP($B62,[1]Sheet1!$A:$J,6,0)</f>
        <v>늑대 포션의 중독 중첩 확률 +{0}%</v>
      </c>
      <c r="G62" t="str">
        <f>VLOOKUP($B62,[1]Sheet1!$A:$J,7,0)</f>
        <v>Eisenhuttrank-Stapelchance +{0} %</v>
      </c>
      <c r="H62" t="str">
        <f>VLOOKUP($B62,[1]Sheet1!$A:$J,8,0)</f>
        <v>Chances de cumul de Potion d’Aconit +{0} %</v>
      </c>
      <c r="I62" t="str">
        <f>VLOOKUP($B62,[1]Sheet1!$A:$J,9,0)</f>
        <v>Chance de se acumular da Poção de Maldição do Lobo +{0}%</v>
      </c>
      <c r="J62" t="str">
        <f>VLOOKUP($B62,[1]Sheet1!$A:$J,10,0)</f>
        <v>Probabilidad de acumulación de Poción lupina +{0}%</v>
      </c>
    </row>
    <row r="63" spans="2:10" x14ac:dyDescent="0.15">
      <c r="B63">
        <v>8207</v>
      </c>
      <c r="C63" t="str">
        <f>VLOOKUP(B63,[1]Sheet1!$A:$B,2,0)</f>
        <v>绝望药剂麻痹触发概率额外+{0}%</v>
      </c>
      <c r="D63" t="str">
        <f>VLOOKUP($B63,[1]Sheet1!$A:$J,4,0)</f>
        <v>Potion of Despair's paralysis triggering chance +{0}%</v>
      </c>
      <c r="E63" t="str">
        <f>VLOOKUP($B63,[1]Sheet1!$A:$J,5,0)</f>
        <v>絶望ポーションの麻痺付与確率+{0}%</v>
      </c>
      <c r="F63" t="str">
        <f>VLOOKUP($B63,[1]Sheet1!$A:$J,6,0)</f>
        <v>절망 포션의 마비 발동 확률 +{0}%</v>
      </c>
      <c r="G63" t="str">
        <f>VLOOKUP($B63,[1]Sheet1!$A:$J,7,0)</f>
        <v>Trank der Verzweiflung – Chance auf Lähmung +{0} %</v>
      </c>
      <c r="H63" t="str">
        <f>VLOOKUP($B63,[1]Sheet1!$A:$J,8,0)</f>
        <v>Chances de déclencher l’effet Paralysie de Potion du Désespoir +{0} %</v>
      </c>
      <c r="I63" t="str">
        <f>VLOOKUP($B63,[1]Sheet1!$A:$J,9,0)</f>
        <v>Chance de ativar paralisia da Poção de Desespero +{0}%</v>
      </c>
      <c r="J63" t="str">
        <f>VLOOKUP($B63,[1]Sheet1!$A:$J,10,0)</f>
        <v>Probabilidad de activar parálisis de Poción de la Desesperación +{0}%</v>
      </c>
    </row>
    <row r="64" spans="2:10" x14ac:dyDescent="0.15">
      <c r="B64">
        <v>8208</v>
      </c>
      <c r="C64" t="str">
        <f>VLOOKUP(B64,[1]Sheet1!$A:$B,2,0)</f>
        <v>狼毒药剂造成的中毒伤害间隔-{0}%</v>
      </c>
      <c r="D64" t="str">
        <f>VLOOKUP($B64,[1]Sheet1!$A:$J,4,0)</f>
        <v>Potion of Wolfsbane's poison DMG interval -{0}%</v>
      </c>
      <c r="E64" t="str">
        <f>VLOOKUP($B64,[1]Sheet1!$A:$J,5,0)</f>
        <v>猛毒ポーションが付与する毒のダメージ間隔-{0}%</v>
      </c>
      <c r="F64" t="str">
        <f>VLOOKUP($B64,[1]Sheet1!$A:$J,6,0)</f>
        <v>늑대 포션에 의한 중독 피해 부여 간격 -{0}%</v>
      </c>
      <c r="G64" t="str">
        <f>VLOOKUP($B64,[1]Sheet1!$A:$J,7,0)</f>
        <v>Eisenhuttrank – Giftschaden-Intervall -{0} %</v>
      </c>
      <c r="H64" t="str">
        <f>VLOOKUP($B64,[1]Sheet1!$A:$J,8,0)</f>
        <v>Intervalle des DÉG de Poison de Potion d’Aconit -{0} %</v>
      </c>
      <c r="I64" t="str">
        <f>VLOOKUP($B64,[1]Sheet1!$A:$J,9,0)</f>
        <v>Intervalo de DNO de veneno da Poção de Maldição do Lobo -{0}%</v>
      </c>
      <c r="J64" t="str">
        <f>VLOOKUP($B64,[1]Sheet1!$A:$J,10,0)</f>
        <v>Intervalo de Daño de veneno de Poción lupina -{0}%</v>
      </c>
    </row>
    <row r="65" spans="2:10" x14ac:dyDescent="0.15">
      <c r="B65">
        <v>11201</v>
      </c>
      <c r="C65" t="str">
        <f>VLOOKUP(B65,[1]Sheet1!$A:$B,2,0)</f>
        <v>每攻击{0}次后,进行蓄力,下次攻击时附带回旋效果</v>
      </c>
      <c r="D65" t="str">
        <f>VLOOKUP($B65,[1]Sheet1!$A:$J,4,0)</f>
        <v>After every {0} attacks, accumulates strength and inflicts whirling effect upon the next attack.</v>
      </c>
      <c r="E65" t="str">
        <f>VLOOKUP($B65,[1]Sheet1!$A:$J,5,0)</f>
        <v>{0}回攻撃するごとに力を蓄積し、次の攻撃に回転効果が発動される</v>
      </c>
      <c r="F65" t="str">
        <f>VLOOKUP($B65,[1]Sheet1!$A:$J,6,0)</f>
        <v>{0}번 공격할 때마다 차징하고, 다음 공격 시 추가로 소용돌이 효과를 가한다.</v>
      </c>
      <c r="G65" t="str">
        <f>VLOOKUP($B65,[1]Sheet1!$A:$J,7,0)</f>
        <v>Sammelt nach jeweils {0} Angriffen die Kräfte und fügt mit dem nächsten Angriff Wirbeln zu.</v>
      </c>
      <c r="H65" t="str">
        <f>VLOOKUP($B65,[1]Sheet1!$A:$J,8,0)</f>
        <v>Toutes les {0} attaques, accumule de l’énergie et applique un Tourbillon sur sa prochaine attaque.</v>
      </c>
      <c r="I65" t="str">
        <f>VLOOKUP($B65,[1]Sheet1!$A:$J,9,0)</f>
        <v>Após cada {0} ataques, acumula força e gera efeito de rodopio no ataque seguinte.</v>
      </c>
      <c r="J65" t="str">
        <f>VLOOKUP($B65,[1]Sheet1!$A:$J,10,0)</f>
        <v>Acumula fuerza y aplica un efecto de torbellino cada vez que realiza {0} ataques.</v>
      </c>
    </row>
    <row r="66" spans="2:10" x14ac:dyDescent="0.15">
      <c r="B66">
        <v>11202</v>
      </c>
      <c r="C66" t="str">
        <f>VLOOKUP(B66,[1]Sheet1!$A:$B,2,0)</f>
        <v>每次攻击都发动蓄力回旋</v>
      </c>
      <c r="D66" t="str">
        <f>VLOOKUP($B66,[1]Sheet1!$A:$J,4,0)</f>
        <v>Accumulates strength and inflicts whirling effect upon each attack.</v>
      </c>
      <c r="E66" t="str">
        <f>VLOOKUP($B66,[1]Sheet1!$A:$J,5,0)</f>
        <v>攻撃する度にチャージ回転効果が発動される</v>
      </c>
      <c r="F66" t="str">
        <f>VLOOKUP($B66,[1]Sheet1!$A:$J,6,0)</f>
        <v>공격할 때마다 차징 소용돌이 효과를 발동한다.</v>
      </c>
      <c r="G66" t="str">
        <f>VLOOKUP($B66,[1]Sheet1!$A:$J,7,0)</f>
        <v>Sammelt bei jedem Angriff die Kräfte und fügt Wirbeln zu.</v>
      </c>
      <c r="H66" t="str">
        <f>VLOOKUP($B66,[1]Sheet1!$A:$J,8,0)</f>
        <v>Accumule de l’énergie et applique un Tourbillon sur chaque attaque.</v>
      </c>
      <c r="I66" t="str">
        <f>VLOOKUP($B66,[1]Sheet1!$A:$J,9,0)</f>
        <v>Acumula força e gera efeito de rodopio a cada ataque.</v>
      </c>
      <c r="J66" t="str">
        <f>VLOOKUP($B66,[1]Sheet1!$A:$J,10,0)</f>
        <v>Acumula fuerza y aplica un efecto de torbellino en cada ataque.</v>
      </c>
    </row>
    <row r="67" spans="2:10" x14ac:dyDescent="0.15">
      <c r="B67">
        <v>11203</v>
      </c>
      <c r="C67" t="str">
        <f>VLOOKUP(B67,[1]Sheet1!$A:$B,2,0)</f>
        <v>回响之刃最大飞行距离+{0}%</v>
      </c>
      <c r="D67" t="str">
        <f>VLOOKUP($B67,[1]Sheet1!$A:$J,4,0)</f>
        <v>Echo Blade's Max Flying Range +{0}%</v>
      </c>
      <c r="E67" t="str">
        <f>VLOOKUP($B67,[1]Sheet1!$A:$J,5,0)</f>
        <v>エコーブレードの最大飛行距離+{0}%</v>
      </c>
      <c r="F67" t="str">
        <f>VLOOKUP($B67,[1]Sheet1!$A:$J,6,0)</f>
        <v>에코 블레이드의 최대 비행 거리 +{0}%</v>
      </c>
      <c r="G67" t="str">
        <f>VLOOKUP($B67,[1]Sheet1!$A:$J,7,0)</f>
        <v>Echoklinge – max. Flug-Reichweite +{0} %</v>
      </c>
      <c r="H67" t="str">
        <f>VLOOKUP($B67,[1]Sheet1!$A:$J,8,0)</f>
        <v>Portée Max. de Lame d’Écho +{0} %</v>
      </c>
      <c r="I67" t="str">
        <f>VLOOKUP($B67,[1]Sheet1!$A:$J,9,0)</f>
        <v>Alcance de Voo Máx. da Lâmina do Eco +{0}%</v>
      </c>
      <c r="J67" t="str">
        <f>VLOOKUP($B67,[1]Sheet1!$A:$J,10,0)</f>
        <v>Alcance de Vuelo máximo de Cuchilla de Eco +{0}%</v>
      </c>
    </row>
    <row r="68" spans="2:10" x14ac:dyDescent="0.15">
      <c r="B68">
        <v>11204</v>
      </c>
      <c r="C68" t="str">
        <f>VLOOKUP(B68,[1]Sheet1!$A:$B,2,0)</f>
        <v>回响之刃攻击时额外射出{0}枚回响之刃</v>
      </c>
      <c r="D68" t="str">
        <f>VLOOKUP($B68,[1]Sheet1!$A:$J,4,0)</f>
        <v>When Echo Blade attacks, throws {0} extra Echo Blades.</v>
      </c>
      <c r="E68" t="str">
        <f>VLOOKUP($B68,[1]Sheet1!$A:$J,5,0)</f>
        <v>エコーブレード攻撃時、追加でエコーブレードを{0}本放つ</v>
      </c>
      <c r="F68" t="str">
        <f>VLOOKUP($B68,[1]Sheet1!$A:$J,6,0)</f>
        <v>에코 블레이드로 공격할 시, 추가로 {0}개의 에코 블레이드를 던진다.</v>
      </c>
      <c r="G68" t="str">
        <f>VLOOKUP($B68,[1]Sheet1!$A:$J,7,0)</f>
        <v>Wirft bei Angriffen mit der Echoklinge {0} weitere Echoklingen.</v>
      </c>
      <c r="H68" t="str">
        <f>VLOOKUP($B68,[1]Sheet1!$A:$J,8,0)</f>
        <v>Quand Lame d’Écho attaque, lance {0} Lames d’Écho en plus.</v>
      </c>
      <c r="I68" t="str">
        <f>VLOOKUP($B68,[1]Sheet1!$A:$J,9,0)</f>
        <v>Quando Lâmina do Eco ataca, arremessa {0} Lâminas do Eco extras.</v>
      </c>
      <c r="J68" t="str">
        <f>VLOOKUP($B68,[1]Sheet1!$A:$J,10,0)</f>
        <v>Cuchilla de Eco lanza {0} Cuchillas de Eco adicionales al atacar.</v>
      </c>
    </row>
    <row r="69" spans="2:10" x14ac:dyDescent="0.15">
      <c r="B69">
        <v>12201</v>
      </c>
      <c r="C69" t="str">
        <f>VLOOKUP(B69,[1]Sheet1!$A:$B,2,0)</f>
        <v>地精头斧大小+{0}%</v>
      </c>
      <c r="D69" t="str">
        <f>VLOOKUP($B69,[1]Sheet1!$A:$J,4,0)</f>
        <v>Goblin Axe Size +{0}%</v>
      </c>
      <c r="E69" t="str">
        <f>VLOOKUP($B69,[1]Sheet1!$A:$J,5,0)</f>
        <v>ゴブリンアックスのサイズ+{0}%</v>
      </c>
      <c r="F69" t="str">
        <f>VLOOKUP($B69,[1]Sheet1!$A:$J,6,0)</f>
        <v>고블린 도끼 크기 +{0}%</v>
      </c>
      <c r="G69" t="str">
        <f>VLOOKUP($B69,[1]Sheet1!$A:$J,7,0)</f>
        <v>Goblinaxt-Größe +{0} %</v>
      </c>
      <c r="H69" t="str">
        <f>VLOOKUP($B69,[1]Sheet1!$A:$J,8,0)</f>
        <v>Taille de Hache Gobeline +{0} %</v>
      </c>
      <c r="I69" t="str">
        <f>VLOOKUP($B69,[1]Sheet1!$A:$J,9,0)</f>
        <v>Tamanho do Machado de Goblin +{0}%</v>
      </c>
      <c r="J69" t="str">
        <f>VLOOKUP($B69,[1]Sheet1!$A:$J,10,0)</f>
        <v>Tamaño de Hacha de Goblin +{0}%</v>
      </c>
    </row>
    <row r="70" spans="2:10" x14ac:dyDescent="0.15">
      <c r="B70">
        <v>12202</v>
      </c>
      <c r="C70" t="str">
        <f>VLOOKUP(B70,[1]Sheet1!$A:$B,2,0)</f>
        <v>地精头斧命中后,{0}%概率使目标附加物理重伤:受到物理伤害时,伤害+{1}%,持续{2}秒</v>
      </c>
      <c r="D70" t="str">
        <f>VLOOKUP($B70,[1]Sheet1!$A:$J,4,0)</f>
        <v>After Goblin Axe hits a target, there is a {0}% chance of inflicting physical wound: when taking physical DMG, DMG +{1}% for {2}s.</v>
      </c>
      <c r="E70" t="str">
        <f>VLOOKUP($B70,[1]Sheet1!$A:$J,5,0)</f>
        <v>ゴブリンアックス命中後、{0}%の確率で対象の敵に物理重傷を付与する（物理ダメージを受けた時、{2}秒間の被ダメージ+{1}%）</v>
      </c>
      <c r="F70" t="str">
        <f>VLOOKUP($B70,[1]Sheet1!$A:$J,6,0)</f>
        <v>고블린 도끼가 대상을 적중할 시 {0}% 확률로 물리 중상 효과를 부여할 수 있다. 물리 중상: 받는 물리 피해 +{1}%({2}초간 지속)</v>
      </c>
      <c r="G70" t="str">
        <f>VLOOKUP($B70,[1]Sheet1!$A:$J,7,0)</f>
        <v>Nachdem Goblinaxt ein Ziel trifft, besteht eine {0} % Chance, dass das Ziel eine körperliche Wunde erleidet: {2} Sek. lang +{1} % erlittener körperlicher Schaden.</v>
      </c>
      <c r="H70" t="str">
        <f>VLOOKUP($B70,[1]Sheet1!$A:$J,8,0)</f>
        <v>Après que Hache Gobeline a touché une cible, confère {0} % de chances d’appliquer Blessure physique : quand des DÉG physiques sont subis, DÉG +{1} % pendant {2} s.</v>
      </c>
      <c r="I70" t="str">
        <f>VLOOKUP($B70,[1]Sheet1!$A:$J,9,0)</f>
        <v>Depois que Machado de Goblin acerta um alvo, há {0}% de chance de infligir ferimento físico: ao receber DNO físico, DNO +{1}% por {2} s.</v>
      </c>
      <c r="J70" t="str">
        <f>VLOOKUP($B70,[1]Sheet1!$A:$J,10,0)</f>
        <v>Hay un {0}% de probabilidad de aplicar heridas físicas cuando Hacha de Goblin golpea a un objetivo: Daño +{1}% durante {2}s al recibir Daño físico.</v>
      </c>
    </row>
    <row r="71" spans="2:10" x14ac:dyDescent="0.15">
      <c r="B71">
        <v>12203</v>
      </c>
      <c r="C71" t="str">
        <f>VLOOKUP(B71,[1]Sheet1!$A:$B,2,0)</f>
        <v>地精头斧最大飞行距离+{0}%</v>
      </c>
      <c r="D71" t="str">
        <f>VLOOKUP($B71,[1]Sheet1!$A:$J,4,0)</f>
        <v>Goblin Axe's Max Flying Range +{0}%</v>
      </c>
      <c r="E71" t="str">
        <f>VLOOKUP($B71,[1]Sheet1!$A:$J,5,0)</f>
        <v>ゴブリンアックスの最大飛行距離+{0}%</v>
      </c>
      <c r="F71" t="str">
        <f>VLOOKUP($B71,[1]Sheet1!$A:$J,6,0)</f>
        <v>고블린 도끼의 최대 비행 거리 +{0}%</v>
      </c>
      <c r="G71" t="str">
        <f>VLOOKUP($B71,[1]Sheet1!$A:$J,7,0)</f>
        <v>Goblinaxt – max. Flug-Reichweite +{0} %</v>
      </c>
      <c r="H71" t="str">
        <f>VLOOKUP($B71,[1]Sheet1!$A:$J,8,0)</f>
        <v>Portée Max. de Hache Gobeline +{0} %</v>
      </c>
      <c r="I71" t="str">
        <f>VLOOKUP($B71,[1]Sheet1!$A:$J,9,0)</f>
        <v>Alcance de Voo Máx. do Machado de Goblin +{0}%</v>
      </c>
      <c r="J71" t="str">
        <f>VLOOKUP($B71,[1]Sheet1!$A:$J,10,0)</f>
        <v>Alcance de Vuelo máximo de Hacha de Goblin +{0}%</v>
      </c>
    </row>
    <row r="72" spans="2:10" x14ac:dyDescent="0.15">
      <c r="B72">
        <v>12204</v>
      </c>
      <c r="C72" t="str">
        <f>VLOOKUP(B72,[1]Sheet1!$A:$B,2,0)</f>
        <v>地精头斧对物理重伤的敌人,暴击率+{0}%</v>
      </c>
      <c r="D72" t="str">
        <f>VLOOKUP($B72,[1]Sheet1!$A:$J,4,0)</f>
        <v>Goblin Axe Crit on enemies with physical wound +{0}%</v>
      </c>
      <c r="E72" t="str">
        <f>VLOOKUP($B72,[1]Sheet1!$A:$J,5,0)</f>
        <v>ゴブリンアックスが物理重傷状態の敵を攻撃時、会心率+{0}%</v>
      </c>
      <c r="F72" t="str">
        <f>VLOOKUP($B72,[1]Sheet1!$A:$J,6,0)</f>
        <v>고블린 도끼가 물리 중상 상태의 적에 대한 치명타율 +{0}%</v>
      </c>
      <c r="G72" t="str">
        <f>VLOOKUP($B72,[1]Sheet1!$A:$J,7,0)</f>
        <v>Goblinaxt-Krit. bei Gegnern mit körperliche Wunde +{0} %</v>
      </c>
      <c r="H72" t="str">
        <f>VLOOKUP($B72,[1]Sheet1!$A:$J,8,0)</f>
        <v>Crit de Hache Gobeline sur les ennemis avec Blessure physique +{0} %</v>
      </c>
      <c r="I72" t="str">
        <f>VLOOKUP($B72,[1]Sheet1!$A:$J,9,0)</f>
        <v>CRÍT do Machado de Goblin em inimigos com ferimento físico +{0}%</v>
      </c>
      <c r="J72" t="str">
        <f>VLOOKUP($B72,[1]Sheet1!$A:$J,10,0)</f>
        <v>Crit de Hacha de Goblin a enemigos con heridas físicas +{0}%</v>
      </c>
    </row>
    <row r="73" spans="2:10" x14ac:dyDescent="0.15">
      <c r="B73">
        <v>13201</v>
      </c>
      <c r="C73" t="str">
        <f>VLOOKUP(B73,[1]Sheet1!$A:$B,2,0)</f>
        <v>火球的暴击+{0}%</v>
      </c>
      <c r="D73" t="str">
        <f>VLOOKUP($B73,[1]Sheet1!$A:$J,4,0)</f>
        <v>Fireball Crit +{0}%</v>
      </c>
      <c r="E73" t="str">
        <f>VLOOKUP($B73,[1]Sheet1!$A:$J,5,0)</f>
        <v>ファイアボールの会心率+{0}%</v>
      </c>
      <c r="F73" t="str">
        <f>VLOOKUP($B73,[1]Sheet1!$A:$J,6,0)</f>
        <v>파이어볼의 치명타율 +{0}%</v>
      </c>
      <c r="G73" t="str">
        <f>VLOOKUP($B73,[1]Sheet1!$A:$J,7,0)</f>
        <v>Feuerball-Krit. +{0} %</v>
      </c>
      <c r="H73" t="str">
        <f>VLOOKUP($B73,[1]Sheet1!$A:$J,8,0)</f>
        <v>Crit de Boule de Feu +{0} %</v>
      </c>
      <c r="I73" t="str">
        <f>VLOOKUP($B73,[1]Sheet1!$A:$J,9,0)</f>
        <v>CRÍT de Bola de Fogo +{0}%</v>
      </c>
      <c r="J73" t="str">
        <f>VLOOKUP($B73,[1]Sheet1!$A:$J,10,0)</f>
        <v>Crit de Bola de Fuego +{0}%</v>
      </c>
    </row>
    <row r="74" spans="2:10" x14ac:dyDescent="0.15">
      <c r="B74">
        <v>13202</v>
      </c>
      <c r="C74" t="str">
        <f>VLOOKUP(B74,[1]Sheet1!$A:$B,2,0)</f>
        <v>火球命中后,追加一次火焰爆炸,造成攻击{0}%的伤害</v>
      </c>
      <c r="D74" t="str">
        <f>VLOOKUP($B74,[1]Sheet1!$A:$J,4,0)</f>
        <v>After Fireball hits a target, causes fire explosion for once, dealing DMG by {0}% of ATK.</v>
      </c>
      <c r="E74" t="str">
        <f>VLOOKUP($B74,[1]Sheet1!$A:$J,5,0)</f>
        <v>ファイアボール命中後、追加で火炎爆発を1回発動させ、攻撃力{0}%のダメージを与える</v>
      </c>
      <c r="F74" t="str">
        <f>VLOOKUP($B74,[1]Sheet1!$A:$J,6,0)</f>
        <v>파이어볼이 대상에게 적중하면 화염 폭발을 1번 일으켜 공격력의 {0}%에 해당하는 피해를 준다.</v>
      </c>
      <c r="G74" t="str">
        <f>VLOOKUP($B74,[1]Sheet1!$A:$J,7,0)</f>
        <v>Nachdem Feuerball ein Ziel trifft, verursacht es eine Explosion. Verursacht Schaden in Höhe von {0} % des ANG.</v>
      </c>
      <c r="H74" t="str">
        <f>VLOOKUP($B74,[1]Sheet1!$A:$J,8,0)</f>
        <v>Après que Boule de Feu a touché une cible, déclenche une fois Explosion de Feu, ce qui inflige des DÉG à hauteur de {0} % de l’ATQ.</v>
      </c>
      <c r="I74" t="str">
        <f>VLOOKUP($B74,[1]Sheet1!$A:$J,9,0)</f>
        <v>Depois que Bola de Fogo acerta o alvo, causa explosão de fogo uma vez, causando DNO em {0}% do ATQ.</v>
      </c>
      <c r="J74" t="str">
        <f>VLOOKUP($B74,[1]Sheet1!$A:$J,10,0)</f>
        <v>Bola de Fuego produce una explosión de fuego al golpear a un objetivo que inflige un {0}% del ATQ como Daño.</v>
      </c>
    </row>
    <row r="75" spans="2:10" x14ac:dyDescent="0.15">
      <c r="B75">
        <v>13203</v>
      </c>
      <c r="C75" t="str">
        <f>VLOOKUP(B75,[1]Sheet1!$A:$B,2,0)</f>
        <v>火焰爆炸伤害+{0}%</v>
      </c>
      <c r="D75" t="str">
        <f>VLOOKUP($B75,[1]Sheet1!$A:$J,4,0)</f>
        <v>Fire Explosion DMG +{0}%</v>
      </c>
      <c r="E75" t="str">
        <f>VLOOKUP($B75,[1]Sheet1!$A:$J,5,0)</f>
        <v>火炎爆発のダメージ+{0}%</v>
      </c>
      <c r="F75" t="str">
        <f>VLOOKUP($B75,[1]Sheet1!$A:$J,6,0)</f>
        <v>화염 폭발 피해 +{0}%</v>
      </c>
      <c r="G75" t="str">
        <f>VLOOKUP($B75,[1]Sheet1!$A:$J,7,0)</f>
        <v>Schaden von Feuerexplosion +{0} %</v>
      </c>
      <c r="H75" t="str">
        <f>VLOOKUP($B75,[1]Sheet1!$A:$J,8,0)</f>
        <v>DÉG d’Explosion de Feu +{0} %</v>
      </c>
      <c r="I75" t="str">
        <f>VLOOKUP($B75,[1]Sheet1!$A:$J,9,0)</f>
        <v>DNO de Explosão de Fogo +{0}%</v>
      </c>
      <c r="J75" t="str">
        <f>VLOOKUP($B75,[1]Sheet1!$A:$J,10,0)</f>
        <v>Daño de Explosión de Fuego +{0}%</v>
      </c>
    </row>
    <row r="76" spans="2:10" x14ac:dyDescent="0.15">
      <c r="B76">
        <v>13204</v>
      </c>
      <c r="C76" t="str">
        <f>VLOOKUP(B76,[1]Sheet1!$A:$B,2,0)</f>
        <v>火焰爆炸半径+{0}%</v>
      </c>
      <c r="D76" t="str">
        <f>VLOOKUP($B76,[1]Sheet1!$A:$J,4,0)</f>
        <v>Fire Explosion Radius +{0}%</v>
      </c>
      <c r="E76" t="str">
        <f>VLOOKUP($B76,[1]Sheet1!$A:$J,5,0)</f>
        <v>火炎爆発の半径+{0}%</v>
      </c>
      <c r="F76" t="str">
        <f>VLOOKUP($B76,[1]Sheet1!$A:$J,6,0)</f>
        <v>화염 폭발 반경 +{0}%</v>
      </c>
      <c r="G76" t="str">
        <f>VLOOKUP($B76,[1]Sheet1!$A:$J,7,0)</f>
        <v>Radius von Feuerexplosion +{0} %</v>
      </c>
      <c r="H76" t="str">
        <f>VLOOKUP($B76,[1]Sheet1!$A:$J,8,0)</f>
        <v>Rayon d’Explosion de Feu +{0} %</v>
      </c>
      <c r="I76" t="str">
        <f>VLOOKUP($B76,[1]Sheet1!$A:$J,9,0)</f>
        <v>Raio de Explosão de Fogo +{0}%</v>
      </c>
      <c r="J76" t="str">
        <f>VLOOKUP($B76,[1]Sheet1!$A:$J,10,0)</f>
        <v>Radio de Explosión de Fuego +{0}%</v>
      </c>
    </row>
    <row r="77" spans="2:10" x14ac:dyDescent="0.15">
      <c r="B77">
        <v>14201</v>
      </c>
      <c r="C77" t="str">
        <f>VLOOKUP(B77,[1]Sheet1!$A:$B,2,0)</f>
        <v>雷电法杖攻击时额外释放{0}次落雷攻击,目标独立判定</v>
      </c>
      <c r="D77" t="str">
        <f>VLOOKUP($B77,[1]Sheet1!$A:$J,4,0)</f>
        <v>When Thunder Staff attacks, releases {0} more thunderbolt attacks and targets are selected independently.</v>
      </c>
      <c r="E77" t="str">
        <f>VLOOKUP($B77,[1]Sheet1!$A:$J,5,0)</f>
        <v>サンダーワンド攻撃時、追加で雷撃を{0}回発動する。ターゲット個別で判定する</v>
      </c>
      <c r="F77" t="str">
        <f>VLOOKUP($B77,[1]Sheet1!$A:$J,6,0)</f>
        <v>썬더 스태프 공격 시 추가로 {0}번의 낙뢰 공격을 시전하고, 시전 대상은 별개로 선택된다.</v>
      </c>
      <c r="G77" t="str">
        <f>VLOOKUP($B77,[1]Sheet1!$A:$J,7,0)</f>
        <v>Wenn Donnerstab angreift, werden {0} weitere Blitzangriffe entfesselt und die Ziele werden unabhängig ausgewählt.</v>
      </c>
      <c r="H77" t="str">
        <f>VLOOKUP($B77,[1]Sheet1!$A:$J,8,0)</f>
        <v>Quand le Bâton de Foudre attaque, lance {0} attaques d’éclair supplémentaires. Les cibles sont choisies de manière indépendante.</v>
      </c>
      <c r="I77" t="str">
        <f>VLOOKUP($B77,[1]Sheet1!$A:$J,9,0)</f>
        <v>Quando Cajado do Trovão ataca, libera {0} mais ataques de relâmpago, e os alvos são selecionados independentemente.</v>
      </c>
      <c r="J77" t="str">
        <f>VLOOKUP($B77,[1]Sheet1!$A:$J,10,0)</f>
        <v>Bastón del Trueno libera {0} ataques de truenos más al atacar y los objetivos se seleccionan independientemente.</v>
      </c>
    </row>
    <row r="78" spans="2:10" x14ac:dyDescent="0.15">
      <c r="B78">
        <v>14202</v>
      </c>
      <c r="C78" t="str">
        <f>VLOOKUP(B78,[1]Sheet1!$A:$B,2,0)</f>
        <v>雷电法杖多重落雷次数+{0}</v>
      </c>
      <c r="D78" t="str">
        <f>VLOOKUP($B78,[1]Sheet1!$A:$J,4,0)</f>
        <v>Thunderbolt attack of Thunder Staff +{0}</v>
      </c>
      <c r="E78" t="str">
        <f>VLOOKUP($B78,[1]Sheet1!$A:$J,5,0)</f>
        <v>サンダーワンドの雷撃回数+{0}</v>
      </c>
      <c r="F78" t="str">
        <f>VLOOKUP($B78,[1]Sheet1!$A:$J,6,0)</f>
        <v>썬더 스태프의 낙뢰 시전 횟수 +{0}</v>
      </c>
      <c r="G78" t="str">
        <f>VLOOKUP($B78,[1]Sheet1!$A:$J,7,0)</f>
        <v>Blitzangriff des Donnerstabs +{0}</v>
      </c>
      <c r="H78" t="str">
        <f>VLOOKUP($B78,[1]Sheet1!$A:$J,8,0)</f>
        <v>Attaque d’Éclair du Bâton de Foudre +{0}</v>
      </c>
      <c r="I78" t="str">
        <f>VLOOKUP($B78,[1]Sheet1!$A:$J,9,0)</f>
        <v>Ataque de Relâmpago de Cajado do Trovão +{0}</v>
      </c>
      <c r="J78" t="str">
        <f>VLOOKUP($B78,[1]Sheet1!$A:$J,10,0)</f>
        <v>Ataque de truenos de Bastón del Trueno +{0}</v>
      </c>
    </row>
    <row r="79" spans="2:10" x14ac:dyDescent="0.15">
      <c r="B79">
        <v>14203</v>
      </c>
      <c r="C79" t="str">
        <f>VLOOKUP(B79,[1]Sheet1!$A:$B,2,0)</f>
        <v>雷电法杖命中后，追加一次半径{0}的磁暴，伤害为武器攻击的{1}%</v>
      </c>
      <c r="D79" t="str">
        <f>VLOOKUP($B79,[1]Sheet1!$A:$J,4,0)</f>
        <v>After Thunder Staff hits a target, causes a magnetic storm within a radius of {0}, dealing DMG by {1}% of weapon attack.</v>
      </c>
      <c r="E79" t="str">
        <f>VLOOKUP($B79,[1]Sheet1!$A:$J,5,0)</f>
        <v>サンダーワンド命中後、追加で半径{0}の磁気嵐を1回発動させ、武器攻撃力の{1}%のダメージを与える</v>
      </c>
      <c r="F79" t="str">
        <f>VLOOKUP($B79,[1]Sheet1!$A:$J,6,0)</f>
        <v>썬더 스태프가 대상을 적중할 시 반경 {0} 내에 지자기 폭풍을 일으켜 무기 공격력의 {1}%에 해당하는 피해를 준다.</v>
      </c>
      <c r="G79" t="str">
        <f>VLOOKUP($B79,[1]Sheet1!$A:$J,7,0)</f>
        <v>Nachdem Donnerstab ein Ziel trifft, entsteht ein Magnetsturm mit einem Radius von {0}. Verursacht Schaden in Höhe von {1} % des Waffenangriffs.</v>
      </c>
      <c r="H79" t="str">
        <f>VLOOKUP($B79,[1]Sheet1!$A:$J,8,0)</f>
        <v>Après que le Bâton de Foudre a touché une cible, provoque une tempête magnétique dans un rayon de {0}, ce qui inflige des DÉG à hauteur de {1} % de l’attaque de l’arme.</v>
      </c>
      <c r="I79" t="str">
        <f>VLOOKUP($B79,[1]Sheet1!$A:$J,9,0)</f>
        <v>Depois que Cajado do Trovão acerta um alvo, causa tempestade magnética dentro de um raio de {0}, causando DNO {1}% de ataque de arma.</v>
      </c>
      <c r="J79" t="str">
        <f>VLOOKUP($B79,[1]Sheet1!$A:$J,10,0)</f>
        <v>Bastón del Trueno produce una tormenta magnética con un radio de {0} al golpear a un objetivo, lo que inflige un {1}% del ataque del arma como Daño.</v>
      </c>
    </row>
    <row r="80" spans="2:10" x14ac:dyDescent="0.15">
      <c r="B80">
        <v>14204</v>
      </c>
      <c r="C80" t="str">
        <f>VLOOKUP(B80,[1]Sheet1!$A:$B,2,0)</f>
        <v>磁暴命中，有{0}%概率使目标感电:受到魔法伤害时，伤害+{1}%，持续{2}秒</v>
      </c>
      <c r="D80" t="str">
        <f>VLOOKUP($B80,[1]Sheet1!$A:$J,4,0)</f>
        <v>After magnetic storm hits a target, there is a {0}% chance of shocking the target: when taking magic DMG, DMG +{1}% for {2}s.</v>
      </c>
      <c r="E80" t="str">
        <f>VLOOKUP($B80,[1]Sheet1!$A:$J,5,0)</f>
        <v>磁気嵐命中後、{0}%の確率でターゲッ感電トをさせる：魔術ダメージを受けた時、{2}秒間の被ダメージ+{1}%</v>
      </c>
      <c r="F80" t="str">
        <f>VLOOKUP($B80,[1]Sheet1!$A:$J,6,0)</f>
        <v>지자기 폭풍 명중 시, {0}% 확률로 대상을 감전시킬 수 있다. 감전: 마법 피해를 받을 시 피해 +{1}%({2}초간 지속)</v>
      </c>
      <c r="G80" t="str">
        <f>VLOOKUP($B80,[1]Sheet1!$A:$J,7,0)</f>
        <v>Nachdem Magnetsturm ein Ziel trifft, besteht eine {0} % Chance, dass das Ziel geschockt wird. Bei erlittenem Magieschaden, Schaden {2} Sek. lang +{1} %.</v>
      </c>
      <c r="H80" t="str">
        <f>VLOOKUP($B80,[1]Sheet1!$A:$J,8,0)</f>
        <v>Après que la tempête magnétique a touché une cible, confère {0} % de chances d’Électrocuter la cible : quand elle subit des DÉG magiques, DÉG +{1} % pendant {2} s.</v>
      </c>
      <c r="I80" t="str">
        <f>VLOOKUP($B80,[1]Sheet1!$A:$J,9,0)</f>
        <v>Depois que a tempestade magnética acerta um alvo, há {0}% de chance de eletrocutar o alvo: ao receber DNO de magia, DNO +{1}% por {2} s.</v>
      </c>
      <c r="J80" t="str">
        <f>VLOOKUP($B80,[1]Sheet1!$A:$J,10,0)</f>
        <v>Cuando tormenta magnética golpea a un objetivo, hay un {0}% de probabilidad de electrocutar al objetivo: al recibir Daño mágico, Daño +{1}% {2}s.</v>
      </c>
    </row>
    <row r="81" spans="2:10" x14ac:dyDescent="0.15">
      <c r="B81">
        <v>15201</v>
      </c>
      <c r="C81" t="str">
        <f>VLOOKUP(B81,[1]Sheet1!$A:$B,2,0)</f>
        <v>围巾的血量+{0}%</v>
      </c>
      <c r="D81" t="str">
        <f>VLOOKUP($B81,[1]Sheet1!$A:$J,4,0)</f>
        <v>Scarf HP +{0}%</v>
      </c>
      <c r="E81" t="str">
        <f>VLOOKUP($B81,[1]Sheet1!$A:$J,5,0)</f>
        <v>スカーフのHP+{0}%</v>
      </c>
      <c r="F81" t="str">
        <f>VLOOKUP($B81,[1]Sheet1!$A:$J,6,0)</f>
        <v>스카프 HP +{0}%</v>
      </c>
      <c r="G81" t="str">
        <f>VLOOKUP($B81,[1]Sheet1!$A:$J,7,0)</f>
        <v>Schal-LP +{0} %</v>
      </c>
      <c r="H81" t="str">
        <f>VLOOKUP($B81,[1]Sheet1!$A:$J,8,0)</f>
        <v>PV de Foulard +{0} %</v>
      </c>
      <c r="I81" t="str">
        <f>VLOOKUP($B81,[1]Sheet1!$A:$J,9,0)</f>
        <v>PV do Cachecol +{0}%</v>
      </c>
      <c r="J81" t="str">
        <f>VLOOKUP($B81,[1]Sheet1!$A:$J,10,0)</f>
        <v>PS de la Bufanda +{0}%</v>
      </c>
    </row>
    <row r="82" spans="2:10" x14ac:dyDescent="0.15">
      <c r="B82">
        <v>15202</v>
      </c>
      <c r="C82" t="str">
        <f>VLOOKUP(B82,[1]Sheet1!$A:$B,2,0)</f>
        <v>围巾的回血效果+{0}%</v>
      </c>
      <c r="D82" t="str">
        <f>VLOOKUP($B82,[1]Sheet1!$A:$J,4,0)</f>
        <v>Scarf HP Restoration +{0}%</v>
      </c>
      <c r="E82" t="str">
        <f>VLOOKUP($B82,[1]Sheet1!$A:$J,5,0)</f>
        <v>スカーフのHP回復効果+{0}%</v>
      </c>
      <c r="F82" t="str">
        <f>VLOOKUP($B82,[1]Sheet1!$A:$J,6,0)</f>
        <v>스카프의 HP 회복 효과 +{0}%</v>
      </c>
      <c r="G82" t="str">
        <f>VLOOKUP($B82,[1]Sheet1!$A:$J,7,0)</f>
        <v>Schal-LP-Wiederherstellung +{0} %</v>
      </c>
      <c r="H82" t="str">
        <f>VLOOKUP($B82,[1]Sheet1!$A:$J,8,0)</f>
        <v>Restauration de PV de Foulard +{0} %</v>
      </c>
      <c r="I82" t="str">
        <f>VLOOKUP($B82,[1]Sheet1!$A:$J,9,0)</f>
        <v>Restauração de PV do Cachecol +{0}%</v>
      </c>
      <c r="J82" t="str">
        <f>VLOOKUP($B82,[1]Sheet1!$A:$J,10,0)</f>
        <v>Regeneración de PS de la Bufanda +{0}%</v>
      </c>
    </row>
    <row r="83" spans="2:10" x14ac:dyDescent="0.15">
      <c r="B83">
        <v>15203</v>
      </c>
      <c r="C83" t="str">
        <f>VLOOKUP(B83,[1]Sheet1!$A:$B,2,0)</f>
        <v>血量&lt;{0}%时，立即回复最大血量的{1}%，每波可触发{2}次，多个围巾不叠加</v>
      </c>
      <c r="D83" t="str">
        <f>VLOOKUP($B83,[1]Sheet1!$A:$J,4,0)</f>
        <v>Restores {1}% of Max HP immediately when HP is under {0}%. Up to {2} times can be triggered each wave, unstackable.</v>
      </c>
      <c r="E83" t="str">
        <f>VLOOKUP($B83,[1]Sheet1!$A:$J,5,0)</f>
        <v>HPが{0}%を下回った時、直ちに最大HPの{1}%分回復する。1WAVEに{2}回まで発動可能。スカーフの効果は重複できない</v>
      </c>
      <c r="F83" t="str">
        <f>VLOOKUP($B83,[1]Sheet1!$A:$J,6,0)</f>
        <v>HP가 {0}% 미만일 시 바로 최대 HP의 {1}%에 해당하는 HP를 회복한다. 각 웨이브당 최대 {2}회 발동 가능하며 스카프 여러 개 소지할 시 중첩되지 않는다.</v>
      </c>
      <c r="G83" t="str">
        <f>VLOOKUP($B83,[1]Sheet1!$A:$J,7,0)</f>
        <v>Stellt sofort {1} % der max. LP wieder her, wenn LP unter {0} % fallen. Kann bis zu {2}-mal pro Welle ausgelöst werden, nicht stapelbar.</v>
      </c>
      <c r="H83" t="str">
        <f>VLOOKUP($B83,[1]Sheet1!$A:$J,8,0)</f>
        <v>Quand les PV sont inférieurs à {0} %, restaure {1} % des PV Max. immédiatement. Cet effet peut se déclencher jusqu’à {2} fois par vague et est non cumulable.</v>
      </c>
      <c r="I83" t="str">
        <f>VLOOKUP($B83,[1]Sheet1!$A:$J,9,0)</f>
        <v>Restaura {1}% do PV Máx. imediatamente quando o PV fica abaixo de {0}%. Até {2} vezes podem ser ativadas por onda; não acumulável.</v>
      </c>
      <c r="J83" t="str">
        <f>VLOOKUP($B83,[1]Sheet1!$A:$J,10,0)</f>
        <v>Restaura un {1}% de los PS Máx cuando los PS bajan del {0}%. Se puede activar hasta {2} veces por oleada. No se puede acumular.</v>
      </c>
    </row>
    <row r="84" spans="2:10" x14ac:dyDescent="0.15">
      <c r="B84">
        <v>15204</v>
      </c>
      <c r="C84" t="str">
        <f>VLOOKUP(B84,[1]Sheet1!$A:$B,2,0)</f>
        <v>急救回复的血量+{0}%</v>
      </c>
      <c r="D84" t="str">
        <f>VLOOKUP($B84,[1]Sheet1!$A:$J,4,0)</f>
        <v>HP Restoration by First Aid +{0}%</v>
      </c>
      <c r="E84" t="str">
        <f>VLOOKUP($B84,[1]Sheet1!$A:$J,5,0)</f>
        <v>応急処置のHP回復効果+{0}%</v>
      </c>
      <c r="F84" t="str">
        <f>VLOOKUP($B84,[1]Sheet1!$A:$J,6,0)</f>
        <v>응급처치에 의한 HP 회복량 +{0}%</v>
      </c>
      <c r="G84" t="str">
        <f>VLOOKUP($B84,[1]Sheet1!$A:$J,7,0)</f>
        <v>LP-Wiederherstellung durch Erste Hilfe +{0} %</v>
      </c>
      <c r="H84" t="str">
        <f>VLOOKUP($B84,[1]Sheet1!$A:$J,8,0)</f>
        <v>Restauration de PV par Premiers Secours +{0} %</v>
      </c>
      <c r="I84" t="str">
        <f>VLOOKUP($B84,[1]Sheet1!$A:$J,9,0)</f>
        <v>Restauração de PV por Primeiros Socorros +{0}%</v>
      </c>
      <c r="J84" t="str">
        <f>VLOOKUP($B84,[1]Sheet1!$A:$J,10,0)</f>
        <v>Regeneración de PS de Primeros Auxilios +{0}%</v>
      </c>
    </row>
    <row r="85" spans="2:10" x14ac:dyDescent="0.15">
      <c r="B85">
        <v>12205</v>
      </c>
      <c r="C85" t="str">
        <f>VLOOKUP(B85,[1]Sheet1!$A:$B,2,0)</f>
        <v>四周每有1件防具时，大地之斧叠盾值+{0}%</v>
      </c>
      <c r="D85" t="str">
        <f>VLOOKUP($B85,[1]Sheet1!$A:$J,4,0)</f>
        <v>Axe of Earth Shield value +{0}% for every 1 armor around.</v>
      </c>
      <c r="E85" t="str">
        <f>VLOOKUP($B85,[1]Sheet1!$A:$J,5,0)</f>
        <v>周りに防具が1件あるごとに、アースアックスのシールド+{0}%</v>
      </c>
      <c r="F85" t="str">
        <f>VLOOKUP($B85,[1]Sheet1!$A:$J,6,0)</f>
        <v>주변에 있는 방어구 1개당 대지의 도끼의 실드 +{0}%</v>
      </c>
      <c r="G85" t="str">
        <f>VLOOKUP($B85,[1]Sheet1!$A:$J,7,0)</f>
        <v>Axt der Erde: Schildwert +{0} % pro vorhandenen Rüstungsgegenstand.</v>
      </c>
      <c r="H85" t="str">
        <f>VLOOKUP($B85,[1]Sheet1!$A:$J,8,0)</f>
        <v>Valeur du Bouclier de Hache de Terre +{0} % pour chaque Armure adjacente.</v>
      </c>
      <c r="I85" t="str">
        <f>VLOOKUP($B85,[1]Sheet1!$A:$J,9,0)</f>
        <v>Valor de Escudo do Machado da Terra +{0}% para cada 1 armadura ao redor.</v>
      </c>
      <c r="J85" t="str">
        <f>VLOOKUP($B85,[1]Sheet1!$A:$J,10,0)</f>
        <v>Escudo de Hacha de Tierra +{0}% por cada 1 armadura alrededor.</v>
      </c>
    </row>
    <row r="86" spans="2:10" x14ac:dyDescent="0.15">
      <c r="B86">
        <v>12206</v>
      </c>
      <c r="C86" t="str">
        <f>VLOOKUP(B86,[1]Sheet1!$A:$B,2,0)</f>
        <v>黑暗之斧的暴伤+{0}%</v>
      </c>
      <c r="D86" t="str">
        <f>VLOOKUP($B86,[1]Sheet1!$A:$J,4,0)</f>
        <v>Axe of Darkness Crit DMG +{0}%</v>
      </c>
      <c r="E86" t="str">
        <f>VLOOKUP($B86,[1]Sheet1!$A:$J,5,0)</f>
        <v>ダークアックスの会心ダメージ+{0}%</v>
      </c>
      <c r="F86" t="str">
        <f>VLOOKUP($B86,[1]Sheet1!$A:$J,6,0)</f>
        <v>어둠의 도끼의 치명타 피해 +{0}%</v>
      </c>
      <c r="G86" t="str">
        <f>VLOOKUP($B86,[1]Sheet1!$A:$J,7,0)</f>
        <v>Axt der Dunkelheit: Krit.-Schaden +{0} %</v>
      </c>
      <c r="H86" t="str">
        <f>VLOOKUP($B86,[1]Sheet1!$A:$J,8,0)</f>
        <v>DÉG Crit de Hache de Ténèbres +{0} %</v>
      </c>
      <c r="I86" t="str">
        <f>VLOOKUP($B86,[1]Sheet1!$A:$J,9,0)</f>
        <v>DNO CRÍT de Machado das Trevas +{0}%</v>
      </c>
      <c r="J86" t="str">
        <f>VLOOKUP($B86,[1]Sheet1!$A:$J,10,0)</f>
        <v>Daño Crit de Hacha de Oscuridad +{0}%</v>
      </c>
    </row>
    <row r="87" spans="2:10" x14ac:dyDescent="0.15">
      <c r="B87">
        <v>12207</v>
      </c>
      <c r="C87" t="str">
        <f>VLOOKUP(B87,[1]Sheet1!$A:$B,2,0)</f>
        <v>满血时，大地之斧攻速+{0}%</v>
      </c>
      <c r="D87" t="str">
        <f>VLOOKUP($B87,[1]Sheet1!$A:$J,4,0)</f>
        <v>Axe of Earth ATK SPD +{0}% when HP is full.</v>
      </c>
      <c r="E87" t="str">
        <f>VLOOKUP($B87,[1]Sheet1!$A:$J,5,0)</f>
        <v>全快時、アースアックスの攻撃速度+{0}%</v>
      </c>
      <c r="F87" t="str">
        <f>VLOOKUP($B87,[1]Sheet1!$A:$J,6,0)</f>
        <v>최대 HP 상태에서 대지의 도끼의 공격 속도 +{0}%</v>
      </c>
      <c r="G87" t="str">
        <f>VLOOKUP($B87,[1]Sheet1!$A:$J,7,0)</f>
        <v>Axt der Erde: ANG-GSW +{0} %, wenn LP voll sind.</v>
      </c>
      <c r="H87" t="str">
        <f>VLOOKUP($B87,[1]Sheet1!$A:$J,8,0)</f>
        <v>VIT ATQ de Hache de Terre +{0} % quand les PV sont au max.</v>
      </c>
      <c r="I87" t="str">
        <f>VLOOKUP($B87,[1]Sheet1!$A:$J,9,0)</f>
        <v>VEL ATQ do Machado da Terra +{0}% quando o PV está cheio.</v>
      </c>
      <c r="J87" t="str">
        <f>VLOOKUP($B87,[1]Sheet1!$A:$J,10,0)</f>
        <v>VEL de ATQ de Hacha de Tierra +{0}% cuando los PS están al máximo.</v>
      </c>
    </row>
    <row r="88" spans="2:10" x14ac:dyDescent="0.15">
      <c r="B88">
        <v>12208</v>
      </c>
      <c r="C88" t="str">
        <f>VLOOKUP(B88,[1]Sheet1!$A:$B,2,0)</f>
        <v>血量&lt;{0}%时，黑暗之斧吸血概率+{1}%</v>
      </c>
      <c r="D88" t="str">
        <f>VLOOKUP($B88,[1]Sheet1!$A:$J,4,0)</f>
        <v>When HP is under {0}%, Axe of Darkness Leech chance +{1}%</v>
      </c>
      <c r="E88" t="str">
        <f>VLOOKUP($B88,[1]Sheet1!$A:$J,5,0)</f>
        <v>HPが{0}%を下回っている間、ダークアックスのHP吸収確率+{1}%</v>
      </c>
      <c r="F88" t="str">
        <f>VLOOKUP($B88,[1]Sheet1!$A:$J,6,0)</f>
        <v>HP가 {0}% 미만일 시, 어둠의 도끼의 흡혈 확률 +{1}%</v>
      </c>
      <c r="G88" t="str">
        <f>VLOOKUP($B88,[1]Sheet1!$A:$J,7,0)</f>
        <v>Wenn LP unter {0} % liegen, Raubchance von Axt der Dunkelheit +{1} %</v>
      </c>
      <c r="H88" t="str">
        <f>VLOOKUP($B88,[1]Sheet1!$A:$J,8,0)</f>
        <v>Quand les PV sont inférieurs à {0} %, chances de Sangsue de Hache de Ténèbres +{1} %</v>
      </c>
      <c r="I88" t="str">
        <f>VLOOKUP($B88,[1]Sheet1!$A:$J,9,0)</f>
        <v>Quando o PV está abaixo de {0}%, chance de Explorar do Machado das Trevas +{1}%</v>
      </c>
      <c r="J88" t="str">
        <f>VLOOKUP($B88,[1]Sheet1!$A:$J,10,0)</f>
        <v>Probabilidad de Drenaje de Hacha de Oscuridad +{1}% cuando los PS bajan del {0}%</v>
      </c>
    </row>
    <row r="89" spans="2:10" x14ac:dyDescent="0.15">
      <c r="B89">
        <v>16201</v>
      </c>
      <c r="C89" t="s">
        <v>841</v>
      </c>
      <c r="D89" t="str">
        <f>VLOOKUP($B89,[1]Sheet1!$A:$J,4,0)</f>
        <v>After a target is hit, the targets within the area have a {0}% chance of being inflicted with Dizzy: ATK SPD and Moving SPD -{1}% and the attack has a {2}% chance to fail, lasting for {3}s.</v>
      </c>
      <c r="E89" t="str">
        <f>VLOOKUP($B89,[1]Sheet1!$A:$J,5,0)</f>
        <v>命中後、{0}%の確率で範囲内の敵をよろめきを付与する：{3}秒間、攻撃速度と移動速度-{1}%、攻撃は{2}%の確率でmissになる</v>
      </c>
      <c r="F89" t="str">
        <f>VLOOKUP($B89,[1]Sheet1!$A:$J,6,0)</f>
        <v>적중 후 범위 내의 대상에게 {0}% 확률로 혼미 상태를 부여한다. 혼미: 공격 속도, 이동 속도 -{1}%, {2}% 확률로 공격이 실패한다. ({3}초간 지속)</v>
      </c>
      <c r="G89" t="str">
        <f>VLOOKUP($B89,[1]Sheet1!$A:$J,7,0)</f>
        <v>Nachdem ein Ziel getroffen wurde, besteht eine Chance von {0} %, dass den Zielen innerhalb des Bereichs Benommenheit zugefügt wird: ANG-GSW und Bewegungsgeschwindigkeit -{1} %, und es besteht eine Chance von {2} %, dass Angriffe fehlschlagen. Hält {3} Sekunden an.</v>
      </c>
      <c r="H89" t="str">
        <f>VLOOKUP($B89,[1]Sheet1!$A:$J,8,0)</f>
        <v>Quand une cible est touchée, les cibles figurant dans la zone ont {0} % de chances d’être affectées par Syncope : VIT d’ATQ et VIT de Déplacement -{1} %, et l’attaque a {2} % de chances d’échouer. Cet effet dure {3} s.</v>
      </c>
      <c r="I89" t="str">
        <f>VLOOKUP($B89,[1]Sheet1!$A:$J,9,0)</f>
        <v>Depois de acertar um alvo, os alvos dentro da área têm {0}% de chance de receberem o efeito Tontura: VEL ATQ e VEL de Movimento -{1}% e o ataque tem {2}% de chance de falhar, durando {3} s.</v>
      </c>
      <c r="J89" t="str">
        <f>VLOOKUP($B89,[1]Sheet1!$A:$J,10,0)</f>
        <v>Los objetivos dentro de la zona tienen un {0}% probabilidad de quedar aturdidos al recibir ataques: VEL de ATQ y VEL de Movimiento -{1}%, y al atacar tienen un {2}% de fallar durante {3}s.</v>
      </c>
    </row>
    <row r="90" spans="2:10" x14ac:dyDescent="0.15">
      <c r="B90">
        <v>16202</v>
      </c>
      <c r="C90" t="s">
        <v>849</v>
      </c>
      <c r="D90" t="str">
        <f>VLOOKUP($B90,[1]Sheet1!$A:$J,4,0)</f>
        <v>When attacking, Hourglass has a {0}% chance of restoring HP by {1}% of self ATK.</v>
      </c>
      <c r="E90" t="str">
        <f>VLOOKUP($B90,[1]Sheet1!$A:$J,5,0)</f>
        <v>時の砂時計攻撃時、{0}%の確率でHPを時の砂時計の攻撃力の{1}%分回復する</v>
      </c>
      <c r="F90" t="str">
        <f>VLOOKUP($B90,[1]Sheet1!$A:$J,6,0)</f>
        <v>모래시계로 공격할 시 {0}% 확률로 모래시계 자체 공격력의 {1}%에 해당하는 HP를 회복한다.</v>
      </c>
      <c r="G90" t="str">
        <f>VLOOKUP($B90,[1]Sheet1!$A:$J,7,0)</f>
        <v>Beim Angriff hat Sanduhr eine Chance von {0} %, LP um {1} % des eigenen ANG wiederherzustellen.</v>
      </c>
      <c r="H90" t="str">
        <f>VLOOKUP($B90,[1]Sheet1!$A:$J,8,0)</f>
        <v>Quand une attaque est lancée, Sablier a {0} % de chances de restaurer des PV à hauteur de {1} % de l’ATQ du héros.</v>
      </c>
      <c r="I90" t="str">
        <f>VLOOKUP($B90,[1]Sheet1!$A:$J,9,0)</f>
        <v>Ao atacar, Ampulheta tem {0}% de chance de restaurar PV em {1}% do ATQ de si.</v>
      </c>
      <c r="J90" t="str">
        <f>VLOOKUP($B90,[1]Sheet1!$A:$J,10,0)</f>
        <v>Reloj de Arena tienen un {0}% de probabilidad de restaurar un {1}% del ATQ propio como PS.</v>
      </c>
    </row>
    <row r="91" spans="2:10" x14ac:dyDescent="0.15">
      <c r="B91">
        <v>16203</v>
      </c>
      <c r="C91" t="s">
        <v>857</v>
      </c>
      <c r="D91" t="str">
        <f>VLOOKUP($B91,[1]Sheet1!$A:$J,4,0)</f>
        <v>Hourglass's chance of inflicting Dizzy +{0}%</v>
      </c>
      <c r="E91" t="str">
        <f>VLOOKUP($B91,[1]Sheet1!$A:$J,5,0)</f>
        <v>時の砂時計のよろめきの付与確率+{0}%</v>
      </c>
      <c r="F91" t="str">
        <f>VLOOKUP($B91,[1]Sheet1!$A:$J,6,0)</f>
        <v>모래시계의 혼미 효과 부여 확률 +{0}%</v>
      </c>
      <c r="G91" t="str">
        <f>VLOOKUP($B91,[1]Sheet1!$A:$J,7,0)</f>
        <v>+{0} % Chance von Sanduhr, Benommenheit zu verursachen</v>
      </c>
      <c r="H91" t="str">
        <f>VLOOKUP($B91,[1]Sheet1!$A:$J,8,0)</f>
        <v>Chances de Sablier d’appliquer Syncope +{0} %</v>
      </c>
      <c r="I91" t="str">
        <f>VLOOKUP($B91,[1]Sheet1!$A:$J,9,0)</f>
        <v>Chance de Ampulheta gerar Tontura +{0}%</v>
      </c>
      <c r="J91" t="str">
        <f>VLOOKUP($B91,[1]Sheet1!$A:$J,10,0)</f>
        <v>Probabilidad de aturdir de Reloj de Arena +{0}%</v>
      </c>
    </row>
    <row r="92" spans="2:10" x14ac:dyDescent="0.15">
      <c r="B92">
        <v>16204</v>
      </c>
      <c r="C92" t="s">
        <v>865</v>
      </c>
      <c r="D92" t="str">
        <f>VLOOKUP($B92,[1]Sheet1!$A:$J,4,0)</f>
        <v>After Hourglass inflicts Dizzy, the chance for enemies to fail to attack +{0}%.</v>
      </c>
      <c r="E92" t="str">
        <f>VLOOKUP($B92,[1]Sheet1!$A:$J,5,0)</f>
        <v>時の砂時計がよろめき付与後、敵の攻撃がmissになる確率+{0}%</v>
      </c>
      <c r="F92" t="str">
        <f>VLOOKUP($B92,[1]Sheet1!$A:$J,6,0)</f>
        <v>모래시계가 혼미 효과 부여한 후, 적의 공격이 실패할 확률 +{0}%</v>
      </c>
      <c r="G92" t="str">
        <f>VLOOKUP($B92,[1]Sheet1!$A:$J,7,0)</f>
        <v>Nachdem Sanduhr Benommenheit verursacht, erhöht sich die Chance, dass Gegner nicht angreifen, um +{0} %.</v>
      </c>
      <c r="H92" t="str">
        <f>VLOOKUP($B92,[1]Sheet1!$A:$J,8,0)</f>
        <v>Chances de faire échouer les attaques des ennemis après que Sablier a appliqué Syncope +{0} %.</v>
      </c>
      <c r="I92" t="str">
        <f>VLOOKUP($B92,[1]Sheet1!$A:$J,9,0)</f>
        <v>Depois que Ampulheta gera Tontura, chance de os inimigos falharem em atacar +{0}%.</v>
      </c>
      <c r="J92" t="str">
        <f>VLOOKUP($B92,[1]Sheet1!$A:$J,10,0)</f>
        <v>Probabilidad de que los enemigos fallen ataques después de que Reloj de Arena les aturda +{0}%.</v>
      </c>
    </row>
    <row r="93" spans="2:10" x14ac:dyDescent="0.15">
      <c r="B93">
        <v>11205</v>
      </c>
      <c r="C93" t="s">
        <v>873</v>
      </c>
      <c r="D93" t="str">
        <f>VLOOKUP($B93,[1]Sheet1!$A:$J,4,0)</f>
        <v>For every 1 Earth equipment in the backpack, Echo of Earth ATK SPD +{0}%.</v>
      </c>
      <c r="E93" t="str">
        <f>VLOOKUP($B93,[1]Sheet1!$A:$J,5,0)</f>
        <v>バックパックに地属性の装備品が1つあるごとに、土のエコーの攻撃速度+{0}%</v>
      </c>
      <c r="F93" t="str">
        <f>VLOOKUP($B93,[1]Sheet1!$A:$J,6,0)</f>
        <v>배낭에 있는 땅 원소 장비 1개당 땅의 메아리의 공격 속도 +{0}%</v>
      </c>
      <c r="G93" t="str">
        <f>VLOOKUP($B93,[1]Sheet1!$A:$J,7,0)</f>
        <v>Pro Erd-Ausrüstungsgegenstand im Rucksack, ANG-GSW von Echo der Erde: +{0} %</v>
      </c>
      <c r="H93" t="str">
        <f>VLOOKUP($B93,[1]Sheet1!$A:$J,8,0)</f>
        <v>Pour chaque équipement de Terre dans le sac, DÉG d’Écho de la Terre +{0} %.</v>
      </c>
      <c r="I93" t="str">
        <f>VLOOKUP($B93,[1]Sheet1!$A:$J,9,0)</f>
        <v>Para cada 1 equipamento da Terra na mochila, VEL ATQ de Eco da Terra +{0}%.</v>
      </c>
      <c r="J93" t="str">
        <f>VLOOKUP($B93,[1]Sheet1!$A:$J,10,0)</f>
        <v>VEL de ATQ de Eco de la Tierra +{0}% por cada 1 equipamiento de Tierra en el inventario.</v>
      </c>
    </row>
    <row r="94" spans="2:10" x14ac:dyDescent="0.15">
      <c r="B94">
        <v>11206</v>
      </c>
      <c r="C94" t="s">
        <v>881</v>
      </c>
      <c r="D94" t="str">
        <f>VLOOKUP($B94,[1]Sheet1!$A:$J,4,0)</f>
        <v>Moving SPD Down and ATK SPD Down effects inflicted by Echo of Water -{0}%.</v>
      </c>
      <c r="E94" t="str">
        <f>VLOOKUP($B94,[1]Sheet1!$A:$J,5,0)</f>
        <v>水のエコーは追加で移動速度と攻撃速度-{0}%</v>
      </c>
      <c r="F94" t="str">
        <f>VLOOKUP($B94,[1]Sheet1!$A:$J,6,0)</f>
        <v>물의 메아리는 추가로 이동 속도 감소 효과(공격 속도 -{0}%)를 부여한다.</v>
      </c>
      <c r="G94" t="str">
        <f>VLOOKUP($B94,[1]Sheet1!$A:$J,7,0)</f>
        <v>Von Echo des Wassers zugefügte Verlangsamungseffekte auf Bewegungsgeschwindigkeit und ANG-GSW: -{0} %.</v>
      </c>
      <c r="H94" t="str">
        <f>VLOOKUP($B94,[1]Sheet1!$A:$J,8,0)</f>
        <v>Effets Baisse de la VIT et Baisse de la VIT d’ATQ appliqués par Écho de l’Eau -{0} %.</v>
      </c>
      <c r="I94" t="str">
        <f>VLOOKUP($B94,[1]Sheet1!$A:$J,9,0)</f>
        <v>Efeitos de Reduções de VEL de Movimento e VEL ATQ geradas por Eco da Água -{0}%.</v>
      </c>
      <c r="J94" t="str">
        <f>VLOOKUP($B94,[1]Sheet1!$A:$J,10,0)</f>
        <v>Efectos de reducción de VEL de Movimiento y VEL de ATQ aplicados por Eco del Agua -{0}%.</v>
      </c>
    </row>
    <row r="95" spans="2:10" x14ac:dyDescent="0.15">
      <c r="B95">
        <v>11207</v>
      </c>
      <c r="C95" t="s">
        <v>889</v>
      </c>
      <c r="D95" t="str">
        <f>VLOOKUP($B95,[1]Sheet1!$A:$J,4,0)</f>
        <v>For every 1 Earth equipment in the backpack, Echo of Earth Crit +{0}%.</v>
      </c>
      <c r="E95" t="str">
        <f>VLOOKUP($B95,[1]Sheet1!$A:$J,5,0)</f>
        <v>バックパックに地属性の装備品が1つあるごとに、土のエコーの会心率+{0}%</v>
      </c>
      <c r="F95" t="str">
        <f>VLOOKUP($B95,[1]Sheet1!$A:$J,6,0)</f>
        <v>배낭에 있는 땅 원소 장비 1개당 땅의 메아리의 치명타율 +{0}%</v>
      </c>
      <c r="G95" t="str">
        <f>VLOOKUP($B95,[1]Sheet1!$A:$J,7,0)</f>
        <v>Pro Erd-Ausrüstungsgegenstand im Rucksack, Krit. von Echo der Erde: +{0} %</v>
      </c>
      <c r="H95" t="str">
        <f>VLOOKUP($B95,[1]Sheet1!$A:$J,8,0)</f>
        <v>Pour chaque équipement de Terre dans le sac, Crit d’Écho de la Terre +{0} %.</v>
      </c>
      <c r="I95" t="str">
        <f>VLOOKUP($B95,[1]Sheet1!$A:$J,9,0)</f>
        <v>Para cada 1 equipamento da Terra na mochila, CRÍT de Eco da Terra +{0}%.</v>
      </c>
      <c r="J95" t="str">
        <f>VLOOKUP($B95,[1]Sheet1!$A:$J,10,0)</f>
        <v>Crit de Eco de la Tierra +{0}% por cada 1 equipamiento de Tierra en el inventario.</v>
      </c>
    </row>
    <row r="96" spans="2:10" x14ac:dyDescent="0.15">
      <c r="B96">
        <v>11208</v>
      </c>
      <c r="C96" t="s">
        <v>897</v>
      </c>
      <c r="D96" t="str">
        <f>VLOOKUP($B96,[1]Sheet1!$A:$J,4,0)</f>
        <v>DMG dealt by Echo of Water to the targets with freezing and slow effects +{0}%, to the frozen targets +{1}%.</v>
      </c>
      <c r="E96" t="str">
        <f>VLOOKUP($B96,[1]Sheet1!$A:$J,5,0)</f>
        <v>水のエコーが減速状態のターゲットに与えるダメージ+{0}%、凍結状態のターゲットに与えるダメージ+{1}%</v>
      </c>
      <c r="F96" t="str">
        <f>VLOOKUP($B96,[1]Sheet1!$A:$J,6,0)</f>
        <v>물의 메아리가 빙결 감속 상태의 대상에 주는 피해 +{0}%, 동결 상태의 대상에 주는 피해 +{1}%</v>
      </c>
      <c r="G96" t="str">
        <f>VLOOKUP($B96,[1]Sheet1!$A:$J,7,0)</f>
        <v>Ausgeteilter Schaden von Echo des Wassers an Ziele mit Einfrier- und Verlangsamungseffekte: +{0} %, an eingefrorene Ziele +{1} %.</v>
      </c>
      <c r="H96" t="str">
        <f>VLOOKUP($B96,[1]Sheet1!$A:$J,8,0)</f>
        <v>DÉG infligés par Écho de l’Eau aux cibles affectées par Gel et Lenteur +{0} %, et aux cibles gelées +{1} %.</v>
      </c>
      <c r="I96" t="str">
        <f>VLOOKUP($B96,[1]Sheet1!$A:$J,9,0)</f>
        <v>DNO causado por Eco da Água a alvos com efeitos de congelamento e lentidão +{0}%; a alvos congelados +{1}%.</v>
      </c>
      <c r="J96" t="str">
        <f>VLOOKUP($B96,[1]Sheet1!$A:$J,10,0)</f>
        <v>Daño infligido por Eco del Agua a objetivos congelados o ralentizados +{0}%. A los objetivos congelados +{1}%.</v>
      </c>
    </row>
    <row r="97" spans="2:10" x14ac:dyDescent="0.15">
      <c r="B97">
        <v>17201</v>
      </c>
      <c r="C97" t="str">
        <f>VLOOKUP($B97,[1]Sheet1!$A:$J,3,0)</f>
        <v>同时扔出{0}-{1}个魔杖盒</v>
      </c>
      <c r="D97" t="str">
        <f>VLOOKUP($B97,[1]Sheet1!$A:$J,4,0)</f>
        <v>Throws {0}-{1} Wand Boxes at the same time.</v>
      </c>
      <c r="E97" t="str">
        <f>VLOOKUP($B97,[1]Sheet1!$A:$J,5,0)</f>
        <v>ステッキボックスを同時に{0}～{1}個投げ出す</v>
      </c>
      <c r="F97" t="str">
        <f>VLOOKUP($B97,[1]Sheet1!$A:$J,6,0)</f>
        <v>동시에 {0}-{1}개의 스태프 박스를 투척한다.</v>
      </c>
      <c r="G97" t="str">
        <f>VLOOKUP($B97,[1]Sheet1!$A:$J,7,0)</f>
        <v>Wirft {0}–{1} Zauberstabkisten gleichzeitig.</v>
      </c>
      <c r="H97" t="str">
        <f>VLOOKUP($B97,[1]Sheet1!$A:$J,8,0)</f>
        <v>Lance {0}-{1} Boîte(s) à Baguette en même temps.</v>
      </c>
      <c r="I97" t="str">
        <f>VLOOKUP($B97,[1]Sheet1!$A:$J,9,0)</f>
        <v>Arremessa {0}-{1} caixas de varinha ao mesmo tempo.</v>
      </c>
      <c r="J97" t="str">
        <f>VLOOKUP($B97,[1]Sheet1!$A:$J,10,0)</f>
        <v>Lanza {0}-{1} Cajas de Varitas a la vez.</v>
      </c>
    </row>
    <row r="98" spans="2:10" x14ac:dyDescent="0.15">
      <c r="B98">
        <v>17202</v>
      </c>
      <c r="C98" t="str">
        <f>VLOOKUP($B98,[1]Sheet1!$A:$J,3,0)</f>
        <v>魔杖盒命中有{0}%概率造成击退，击退距离随机</v>
      </c>
      <c r="D98" t="str">
        <f>VLOOKUP($B98,[1]Sheet1!$A:$J,4,0)</f>
        <v>Wand Box has a {0}% chance to repulse the enemy by a random distance.</v>
      </c>
      <c r="E98" t="str">
        <f>VLOOKUP($B98,[1]Sheet1!$A:$J,5,0)</f>
        <v>ステッキボックス命中後、{0}%の確率で敵を撃退する。撃退距離はランダムに決められる</v>
      </c>
      <c r="F98" t="str">
        <f>VLOOKUP($B98,[1]Sheet1!$A:$J,6,0)</f>
        <v>스태프 박스가 적중할 시, {0}% 확률로 대상을 격퇴하며, 격퇴 거리는 무작위로 정해진다.</v>
      </c>
      <c r="G98" t="str">
        <f>VLOOKUP($B98,[1]Sheet1!$A:$J,7,0)</f>
        <v>Zauberstabkiste hat eine Chance von {0} %, den Gegner um eine zufällige Distanz zurückzustoßen.</v>
      </c>
      <c r="H98" t="str">
        <f>VLOOKUP($B98,[1]Sheet1!$A:$J,8,0)</f>
        <v>Boîte à Baguette a {0} % de chances de repousser l’ennemi sur une distance aléatoire.</v>
      </c>
      <c r="I98" t="str">
        <f>VLOOKUP($B98,[1]Sheet1!$A:$J,9,0)</f>
        <v>A Caixa de Varinha tem {0}% de chance de repelir o inimigo em uma distância aleatória.</v>
      </c>
      <c r="J98" t="str">
        <f>VLOOKUP($B98,[1]Sheet1!$A:$J,10,0)</f>
        <v>La Caja de Varitas tiene un {0}% de probabilidad de repeler a los enemigos una distancia aleatoria.</v>
      </c>
    </row>
    <row r="99" spans="2:10" x14ac:dyDescent="0.15">
      <c r="B99">
        <v>17203</v>
      </c>
      <c r="C99" t="str">
        <f>VLOOKUP($B99,[1]Sheet1!$A:$J,3,0)</f>
        <v>魔杖盒命中后有{0}%概率眩晕目标{1}-{2}秒</v>
      </c>
      <c r="D99" t="str">
        <f>VLOOKUP($B99,[1]Sheet1!$A:$J,4,0)</f>
        <v>After Wand Box hits a target, there is a {0}% chance to stun them for {1}-{2}s.</v>
      </c>
      <c r="E99" t="str">
        <f>VLOOKUP($B99,[1]Sheet1!$A:$J,5,0)</f>
        <v>ステッキボックス命中後、{0}%の確率で敵を{1}～{2}秒間めまいにする</v>
      </c>
      <c r="F99" t="str">
        <f>VLOOKUP($B99,[1]Sheet1!$A:$J,6,0)</f>
        <v>스태프 박스가 적중할 시 {0}% 확률로 해당 대상에게 스턴 효과를 부여한다. ({1}-{2}초간 지속)</v>
      </c>
      <c r="G99" t="str">
        <f>VLOOKUP($B99,[1]Sheet1!$A:$J,7,0)</f>
        <v>Wenn Zauberstabkiste ein Ziel trifft, besteht eine Chance von {0} %, dass das Ziel {1}–{2} Sekunden lang betäubt wird.</v>
      </c>
      <c r="H99" t="str">
        <f>VLOOKUP($B99,[1]Sheet1!$A:$J,8,0)</f>
        <v>Après que Boîte à Baguette a touché une cible, lui confère {0} % de chances d’étourdir cette cible pendant {1} à {2} s.</v>
      </c>
      <c r="I99" t="str">
        <f>VLOOKUP($B99,[1]Sheet1!$A:$J,9,0)</f>
        <v>Depois que Caixa de Varinha acerta um alvo, há {0}% de chance de atordoá-lo por {1}-{2} s.</v>
      </c>
      <c r="J99" t="str">
        <f>VLOOKUP($B99,[1]Sheet1!$A:$J,10,0)</f>
        <v>Caja de Varitas tiene un {0}% de probabilidad de aturdir a los enemigos {1}-{2}s al golpearlos.</v>
      </c>
    </row>
    <row r="100" spans="2:10" x14ac:dyDescent="0.15">
      <c r="B100">
        <v>17204</v>
      </c>
      <c r="C100" t="str">
        <f>VLOOKUP($B100,[1]Sheet1!$A:$J,3,0)</f>
        <v>命中后对随机范围造成攻击力{0}%的伤害</v>
      </c>
      <c r="D100" t="str">
        <f>VLOOKUP($B100,[1]Sheet1!$A:$J,4,0)</f>
        <v>After hitting a target, deals DMG by {0}% of ATK to a random area.</v>
      </c>
      <c r="E100" t="str">
        <f>VLOOKUP($B100,[1]Sheet1!$A:$J,5,0)</f>
        <v>命中後、ランダムな範囲内で攻撃力の{0}%のダメージを与える</v>
      </c>
      <c r="F100" t="str">
        <f>VLOOKUP($B100,[1]Sheet1!$A:$J,6,0)</f>
        <v>적중 후 랜덤 범위에 공격력의 {0}%에 해당하는 피해를 부여한다.</v>
      </c>
      <c r="G100" t="str">
        <f>VLOOKUP($B100,[1]Sheet1!$A:$J,7,0)</f>
        <v>Wird ein Ziel getroffen, wird innerhalb eines zufälligen Bereichs Schaden in Höhe von {0} % des ANG verursacht.</v>
      </c>
      <c r="H100" t="str">
        <f>VLOOKUP($B100,[1]Sheet1!$A:$J,8,0)</f>
        <v>Après avoir touché une cible, inflige des DÉG à hauteur de {0} % de l’ATQ sur une zone aléatoire.</v>
      </c>
      <c r="I100" t="str">
        <f>VLOOKUP($B100,[1]Sheet1!$A:$J,9,0)</f>
        <v>Depois de acertar um alvo, causa DNO em {0}% do ATQ a uma área aleatória.</v>
      </c>
      <c r="J100" t="str">
        <f>VLOOKUP($B100,[1]Sheet1!$A:$J,10,0)</f>
        <v>Inflige un {0}% del ATQ como Daño en una zona aleatoria al golpear a un objetivo.</v>
      </c>
    </row>
    <row r="101" spans="2:10" x14ac:dyDescent="0.15">
      <c r="B101">
        <v>18201</v>
      </c>
      <c r="C101" t="str">
        <f>VLOOKUP($B101,[1]Sheet1!$A:$J,3,0)</f>
        <v>飞天扫帚命中后，追加一次半径{0}的地震，造成飞天扫帚攻击{1}%的伤害</v>
      </c>
      <c r="D101" t="str">
        <f>VLOOKUP($B101,[1]Sheet1!$A:$J,4,0)</f>
        <v>After Broomstick hits a target, causes an earthquake within a radius of {0}, dealing DMG by {1}% of Broomstick's ATK.</v>
      </c>
      <c r="E101" t="str">
        <f>VLOOKUP($B101,[1]Sheet1!$A:$J,5,0)</f>
        <v>空飛ぶ箒命中後、追加で半径{0}の地震を1回発動させ、空飛ぶ箒攻撃力の{1}%のダメージを与える</v>
      </c>
      <c r="F101" t="str">
        <f>VLOOKUP($B101,[1]Sheet1!$A:$J,6,0)</f>
        <v>마법 빗자루가 대상을 적중할 시 반경 {0} 내에 지진을 일으켜 마법 빗자루 공격력의 {1}%에 해당하는 피해를 준다.</v>
      </c>
      <c r="G101" t="str">
        <f>VLOOKUP($B101,[1]Sheet1!$A:$J,7,0)</f>
        <v>Wenn der Besenstiel ein Ziel trifft, entsteht ein Erdbeben mit einem Radius von {0}, das Schaden in Höhe von {1} % des Besenstiel-ANG verursacht.</v>
      </c>
      <c r="H101" t="str">
        <f>VLOOKUP($B101,[1]Sheet1!$A:$J,8,0)</f>
        <v>Après que Balai a touché une cible, provoque un séisme dans un rayon de {0}, infligeant des DÉG à hauteur de {1} % de l’ATQ de Balai.</v>
      </c>
      <c r="I101" t="str">
        <f>VLOOKUP($B101,[1]Sheet1!$A:$J,9,0)</f>
        <v>Depois que Vassoura acerta um alvo, causa um terremoto dentro de um raio de {0}, causando DNO de {1}% do ATQ da Vassoura.</v>
      </c>
      <c r="J101" t="str">
        <f>VLOOKUP($B101,[1]Sheet1!$A:$J,10,0)</f>
        <v>Escoba produce un terremoto en un radio de {0} al golpear a un objetivo que inflige un {1}% del ATQ de la Escoba como Daño.</v>
      </c>
    </row>
    <row r="102" spans="2:10" x14ac:dyDescent="0.15">
      <c r="B102">
        <v>18202</v>
      </c>
      <c r="C102" t="str">
        <f>VLOOKUP($B102,[1]Sheet1!$A:$J,3,0)</f>
        <v>飞天扫帚的速度+{0}%</v>
      </c>
      <c r="D102" t="str">
        <f>VLOOKUP($B102,[1]Sheet1!$A:$J,4,0)</f>
        <v>Broomstick SPD +{0}%</v>
      </c>
      <c r="E102" t="str">
        <f>VLOOKUP($B102,[1]Sheet1!$A:$J,5,0)</f>
        <v>空飛ぶ箒の速度+{0}%</v>
      </c>
      <c r="F102" t="str">
        <f>VLOOKUP($B102,[1]Sheet1!$A:$J,6,0)</f>
        <v>마법 빗자루의 속도 +{0}%</v>
      </c>
      <c r="G102" t="str">
        <f>VLOOKUP($B102,[1]Sheet1!$A:$J,7,0)</f>
        <v>Besenstiel-GSW +{0} %</v>
      </c>
      <c r="H102" t="str">
        <f>VLOOKUP($B102,[1]Sheet1!$A:$J,8,0)</f>
        <v>VIT de Balai +{0} %</v>
      </c>
      <c r="I102" t="str">
        <f>VLOOKUP($B102,[1]Sheet1!$A:$J,9,0)</f>
        <v>VEL da Vassoura +{0}%</v>
      </c>
      <c r="J102" t="str">
        <f>VLOOKUP($B102,[1]Sheet1!$A:$J,10,0)</f>
        <v>VEL de Escoba +{0}%</v>
      </c>
    </row>
    <row r="103" spans="2:10" x14ac:dyDescent="0.15">
      <c r="B103">
        <v>18203</v>
      </c>
      <c r="C103" t="str">
        <f>VLOOKUP($B103,[1]Sheet1!$A:$J,3,0)</f>
        <v>飞天扫帚造成伤害时，有{0}%概率使敌人攻速和移速-{1}%，持续{2}秒，不叠加</v>
      </c>
      <c r="D103" t="str">
        <f>VLOOKUP($B103,[1]Sheet1!$A:$J,4,0)</f>
        <v>When Broomstick deals DMG, there is a {0}% chance to reduce the enemy's ATK SPD and Moving SPD by {1}% for {2}s. Not stackable.</v>
      </c>
      <c r="E103" t="str">
        <f>VLOOKUP($B103,[1]Sheet1!$A:$J,5,0)</f>
        <v>空飛ぶ箒がダメージを与える時、{0}%の確率で{2}秒間、敵の移動速度と攻撃速度-{1}%（重複不可）</v>
      </c>
      <c r="F103" t="str">
        <f>VLOOKUP($B103,[1]Sheet1!$A:$J,6,0)</f>
        <v>마법 빗자루로 피해를 줄 시, {0}% 확률로 {2}초 동안 적의 이동 속도, 공격 속도를 {1}% 감소시킨다. (중첩 불가)</v>
      </c>
      <c r="G103" t="str">
        <f>VLOOKUP($B103,[1]Sheet1!$A:$J,7,0)</f>
        <v>Wenn der Besenstiel Schaden zufügt, besteht eine Chance von {0} %, die ANG- und die Bewegungsgeschwindigkeit {2} Sekunden lang um {1} % zu verringern. Nicht stapelbar.</v>
      </c>
      <c r="H103" t="str">
        <f>VLOOKUP($B103,[1]Sheet1!$A:$J,8,0)</f>
        <v>Quand Balai inflige des DÉG, confère {0} % de chances de réduire la VIT ATQ et la VIT de Déplacement de l’ennemi de {1} % pendant {2} s. Effet non cumulable.</v>
      </c>
      <c r="I103" t="str">
        <f>VLOOKUP($B103,[1]Sheet1!$A:$J,9,0)</f>
        <v>Quando Vassoura causa DNO, há {0}% de chance de reduzir a VEL ATQ e a VEL de Movimento do inimigo em {1}% por {2} s. Não se acumula.</v>
      </c>
      <c r="J103" t="str">
        <f>VLOOKUP($B103,[1]Sheet1!$A:$J,10,0)</f>
        <v>Cuando Escoba inflige Daño hay un {0}% de probabilidad de reducir un {1}% la VEL de ATQ y la VEL de Movimiento del enemigo {2}s. No acumulable.</v>
      </c>
    </row>
    <row r="104" spans="2:10" x14ac:dyDescent="0.15">
      <c r="B104">
        <v>18204</v>
      </c>
      <c r="C104" t="str">
        <f>VLOOKUP($B104,[1]Sheet1!$A:$J,3,0)</f>
        <v>飞天扫帚地震范围+{0}%</v>
      </c>
      <c r="D104" t="str">
        <f>VLOOKUP($B104,[1]Sheet1!$A:$J,4,0)</f>
        <v>Broomstick's Earthquake Range +{0}%</v>
      </c>
      <c r="E104" t="str">
        <f>VLOOKUP($B104,[1]Sheet1!$A:$J,5,0)</f>
        <v>空飛ぶ箒の地震範囲+{0}%</v>
      </c>
      <c r="F104" t="str">
        <f>VLOOKUP($B104,[1]Sheet1!$A:$J,6,0)</f>
        <v>마법 빗자루가 일으키는 지진 범위 +{0}%</v>
      </c>
      <c r="G104" t="str">
        <f>VLOOKUP($B104,[1]Sheet1!$A:$J,7,0)</f>
        <v>Reichweite des Besenstiel-Erdbebens +{0} %</v>
      </c>
      <c r="H104" t="str">
        <f>VLOOKUP($B104,[1]Sheet1!$A:$J,8,0)</f>
        <v>Portée du Séisme de Balai +{0} %</v>
      </c>
      <c r="I104" t="str">
        <f>VLOOKUP($B104,[1]Sheet1!$A:$J,9,0)</f>
        <v>Alcance do Terremoto da Vassoura +{0}%</v>
      </c>
      <c r="J104" t="str">
        <f>VLOOKUP($B104,[1]Sheet1!$A:$J,10,0)</f>
        <v>Alcance del Terremoto de Escoba +{0}%</v>
      </c>
    </row>
    <row r="105" spans="2:10" x14ac:dyDescent="0.15">
      <c r="B105">
        <v>19201</v>
      </c>
      <c r="C105" t="str">
        <f>VLOOKUP($B105,[1]Sheet1!$A:$J,3,0)</f>
        <v>魔法斗篷的叠盾+{0}%</v>
      </c>
      <c r="D105" t="str">
        <f>VLOOKUP($B105,[1]Sheet1!$A:$J,4,0)</f>
        <v>Magic Cloak Shield +{0}%</v>
      </c>
      <c r="E105" t="str">
        <f>VLOOKUP($B105,[1]Sheet1!$A:$J,5,0)</f>
        <v>魔術マントのシールド効果量+{0}%</v>
      </c>
      <c r="F105" t="str">
        <f>VLOOKUP($B105,[1]Sheet1!$A:$J,6,0)</f>
        <v>마법 망토의 실드 +{0}%</v>
      </c>
      <c r="G105" t="str">
        <f>VLOOKUP($B105,[1]Sheet1!$A:$J,7,0)</f>
        <v>Magischer Umhang Schild +{0} %</v>
      </c>
      <c r="H105" t="str">
        <f>VLOOKUP($B105,[1]Sheet1!$A:$J,8,0)</f>
        <v>Bouclier de Cape Magique +{0} %</v>
      </c>
      <c r="I105" t="str">
        <f>VLOOKUP($B105,[1]Sheet1!$A:$J,9,0)</f>
        <v>Escudo de Manto Mágico +{0}%</v>
      </c>
      <c r="J105" t="str">
        <f>VLOOKUP($B105,[1]Sheet1!$A:$J,10,0)</f>
        <v>Escudo de Capa mágica +{0}%</v>
      </c>
    </row>
    <row r="106" spans="2:10" x14ac:dyDescent="0.15">
      <c r="B106">
        <v>19202</v>
      </c>
      <c r="C106" t="str">
        <f>VLOOKUP($B106,[1]Sheet1!$A:$J,3,0)</f>
        <v>魔法斗篷的血量+{0}%</v>
      </c>
      <c r="D106" t="str">
        <f>VLOOKUP($B106,[1]Sheet1!$A:$J,4,0)</f>
        <v>Magic Cloak HP +{0}%</v>
      </c>
      <c r="E106" t="str">
        <f>VLOOKUP($B106,[1]Sheet1!$A:$J,5,0)</f>
        <v>魔術マントのHP+{0}%</v>
      </c>
      <c r="F106" t="str">
        <f>VLOOKUP($B106,[1]Sheet1!$A:$J,6,0)</f>
        <v>마법 망토의 HP +{0}%</v>
      </c>
      <c r="G106" t="str">
        <f>VLOOKUP($B106,[1]Sheet1!$A:$J,7,0)</f>
        <v>Magischer Umhang LP +{0} %</v>
      </c>
      <c r="H106" t="str">
        <f>VLOOKUP($B106,[1]Sheet1!$A:$J,8,0)</f>
        <v>PV de Cape Magique +{0} %</v>
      </c>
      <c r="I106" t="str">
        <f>VLOOKUP($B106,[1]Sheet1!$A:$J,9,0)</f>
        <v>PV de Manto Mágico +{0}%</v>
      </c>
      <c r="J106" t="str">
        <f>VLOOKUP($B106,[1]Sheet1!$A:$J,10,0)</f>
        <v>PS de Capa mágica +{0}%</v>
      </c>
    </row>
    <row r="107" spans="2:10" x14ac:dyDescent="0.15">
      <c r="B107">
        <v>19203</v>
      </c>
      <c r="C107" t="str">
        <f>VLOOKUP($B107,[1]Sheet1!$A:$J,3,0)</f>
        <v>被近战攻击时，有{0}%概率受到伤害-{1}%</v>
      </c>
      <c r="D107" t="str">
        <f>VLOOKUP($B107,[1]Sheet1!$A:$J,4,0)</f>
        <v>There is a {0}% chance of taking -{1}% DMG when being attacked by melee attacks.</v>
      </c>
      <c r="E107" t="str">
        <f>VLOOKUP($B107,[1]Sheet1!$A:$J,5,0)</f>
        <v>近接攻撃を受けた時、{0}%の確率で被ダメージ-{1}%</v>
      </c>
      <c r="F107" t="str">
        <f>VLOOKUP($B107,[1]Sheet1!$A:$J,6,0)</f>
        <v>근거리 공격을 받을 시, {0}% 확률로 받는 피해 -{1}%</v>
      </c>
      <c r="G107" t="str">
        <f>VLOOKUP($B107,[1]Sheet1!$A:$J,7,0)</f>
        <v>Es besteht eine Chance von {0} %, dass bei Nahkampf-Attacken -{1} % Schaden genommen werden.</v>
      </c>
      <c r="H107" t="str">
        <f>VLOOKUP($B107,[1]Sheet1!$A:$J,8,0)</f>
        <v>Confère {0} % de chances de réduire les DÉG subis de {1} % contre les attaques au corps à corps.</v>
      </c>
      <c r="I107" t="str">
        <f>VLOOKUP($B107,[1]Sheet1!$A:$J,9,0)</f>
        <v>Há {0}% de chance de sofrer -{1}% de DNO ao sofrer ataques corpo a corpo.</v>
      </c>
      <c r="J107" t="str">
        <f>VLOOKUP($B107,[1]Sheet1!$A:$J,10,0)</f>
        <v>Hay un {0}% de probabilidad de recibir -{1}% Daño al recibir ataques cuerpo a cuerpo.</v>
      </c>
    </row>
    <row r="108" spans="2:10" x14ac:dyDescent="0.15">
      <c r="B108">
        <v>19204</v>
      </c>
      <c r="C108" t="str">
        <f>VLOOKUP($B108,[1]Sheet1!$A:$J,3,0)</f>
        <v>被远程攻击时，有{0}%概率受到伤害-{1}%</v>
      </c>
      <c r="D108" t="str">
        <f>VLOOKUP($B108,[1]Sheet1!$A:$J,4,0)</f>
        <v>There is a {0}% chance of taking -{1}% DMG when being attacked by ranged attacks.</v>
      </c>
      <c r="E108" t="str">
        <f>VLOOKUP($B108,[1]Sheet1!$A:$J,5,0)</f>
        <v>遠距離攻撃を受けた時、{0}%被ダメージ-{1}%</v>
      </c>
      <c r="F108" t="str">
        <f>VLOOKUP($B108,[1]Sheet1!$A:$J,6,0)</f>
        <v>원거리 공격을 받을 시, {0}% 확률로 받는 피해 -{1}%</v>
      </c>
      <c r="G108" t="str">
        <f>VLOOKUP($B108,[1]Sheet1!$A:$J,7,0)</f>
        <v>Es besteht eine Chance von {0} %, dass bei Distanzkampf-Attacken -{1} % Schaden genommen werden.</v>
      </c>
      <c r="H108" t="str">
        <f>VLOOKUP($B108,[1]Sheet1!$A:$J,8,0)</f>
        <v>Confère {0} % de chances de réduire les DÉG subis de {1} % contre les attaques à distance.</v>
      </c>
      <c r="I108" t="str">
        <f>VLOOKUP($B108,[1]Sheet1!$A:$J,9,0)</f>
        <v>Há {0}% de chance de sofrer -{1}% de DNO ao sofrer ataques à distância.</v>
      </c>
      <c r="J108" t="str">
        <f>VLOOKUP($B108,[1]Sheet1!$A:$J,10,0)</f>
        <v>Hay un {0}% de probabilidad de recibir -{1}% Daño al recibir ataques a distancia.</v>
      </c>
    </row>
    <row r="109" spans="2:10" x14ac:dyDescent="0.15">
      <c r="B109">
        <v>20201</v>
      </c>
      <c r="C109" t="str">
        <f>VLOOKUP($B109,[1]Sheet1!$A:$J,3,0)</f>
        <v>魔戒周围的武器提升暴击率(合成1级为{0}%、2级为{1}%、3级为{2}%、4级为{3}%)</v>
      </c>
      <c r="D109" t="str">
        <f>VLOOKUP($B109,[1]Sheet1!$A:$J,4,0)</f>
        <v>Increases the Crit rate of weapons around the Magic Ring (Merge Lv. 1: {0}%; Lv. 2: {1}%; Lv. 3: {2}%; Lv. 4: {3}%).</v>
      </c>
      <c r="E109" t="str">
        <f>VLOOKUP($B109,[1]Sheet1!$A:$J,5,0)</f>
        <v>マジカルリングと隣接する武器の会心率上昇（マージLv.1：{0}%、Lv.2：{1}%、Lv.3：{2}%、Lv.4：{3}%）</v>
      </c>
      <c r="F109" t="str">
        <f>VLOOKUP($B109,[1]Sheet1!$A:$J,6,0)</f>
        <v>마법 반지 주변 무기의 치명타율 상승(합성 Lv.1: {0}%, Lv.2: {1}%, Lv.3: {2}%, Lv.4: {3}%)</v>
      </c>
      <c r="G109" t="str">
        <f>VLOOKUP($B109,[1]Sheet1!$A:$J,7,0)</f>
        <v>Erhöht die Krit.-Rate von Waffen rund um den Magischen Ring (Verbindungsstufe 1: {0} %; St. 2: {1} %; St. 3: {2} %; St. 4: {3} %).</v>
      </c>
      <c r="H109" t="str">
        <f>VLOOKUP($B109,[1]Sheet1!$A:$J,8,0)</f>
        <v>Augmente le taux Crit des armes autour de l’Anneau Magique (Fusion Niv. 1 : {0} % ; Niv. 2 : {1} % ; Niv. 3 : {2} % ; Niv. 4 : {3} %).</v>
      </c>
      <c r="I109" t="str">
        <f>VLOOKUP($B109,[1]Sheet1!$A:$J,9,0)</f>
        <v>Aumenta a taxa de CRÍT de armas ao redor do Anel Mágico (Fusão Nv. 1: {0}%; Nv. 2: {1}%; Nv. 3: {2}%; Nv. 4: {3}%).</v>
      </c>
      <c r="J109" t="str">
        <f>VLOOKUP($B109,[1]Sheet1!$A:$J,10,0)</f>
        <v>Aumenta la Tasa Crit de las armas alrededor del Anillo mágico (Fusión de Nv.1: {0}%; Nv.2: {1}%; Nv.3: {2}%; Nv.4: {3}%).</v>
      </c>
    </row>
    <row r="110" spans="2:10" x14ac:dyDescent="0.15">
      <c r="B110">
        <v>20202</v>
      </c>
      <c r="C110" t="str">
        <f>VLOOKUP($B110,[1]Sheet1!$A:$J,3,0)</f>
        <v>多个魔戒提升的暴击率可叠加</v>
      </c>
      <c r="D110" t="str">
        <f>VLOOKUP($B110,[1]Sheet1!$A:$J,4,0)</f>
        <v>Crit rate boosted by multiple Magic Rings can be stacked.</v>
      </c>
      <c r="E110" t="str">
        <f>VLOOKUP($B110,[1]Sheet1!$A:$J,5,0)</f>
        <v>複数のマジカルリングの会心率上昇効果が重複可能になる</v>
      </c>
      <c r="F110" t="str">
        <f>VLOOKUP($B110,[1]Sheet1!$A:$J,6,0)</f>
        <v>여러 마법 반지의 치명타율 상승 효과는 중첩 가능하다.</v>
      </c>
      <c r="G110" t="str">
        <f>VLOOKUP($B110,[1]Sheet1!$A:$J,7,0)</f>
        <v>Von mehreren Magischen Ringen geboostete Krit.-Rate kann kombiniert werden.</v>
      </c>
      <c r="H110" t="str">
        <f>VLOOKUP($B110,[1]Sheet1!$A:$J,8,0)</f>
        <v>Les bonus de taux Crit octroyés par plusieurs Anneaux Magiques sont cumulables.</v>
      </c>
      <c r="I110" t="str">
        <f>VLOOKUP($B110,[1]Sheet1!$A:$J,9,0)</f>
        <v>A Taxa de CRÍT reforçada por múltiplos Anéis Mágicos pode ser acumulada.</v>
      </c>
      <c r="J110" t="str">
        <f>VLOOKUP($B110,[1]Sheet1!$A:$J,10,0)</f>
        <v>Se puede acumular el aumento de Tasa Crit de varios Anillos mágicos.</v>
      </c>
    </row>
    <row r="111" spans="2:10" x14ac:dyDescent="0.15">
      <c r="B111">
        <v>20203</v>
      </c>
      <c r="C111" t="str">
        <f>VLOOKUP($B111,[1]Sheet1!$A:$J,3,0)</f>
        <v>魔戒对同行同列的武器均提升暴击率</v>
      </c>
      <c r="D111" t="str">
        <f>VLOOKUP($B111,[1]Sheet1!$A:$J,4,0)</f>
        <v>Magic Ring increases Crit rate for weapons of the same line vertically and horizontally.</v>
      </c>
      <c r="E111" t="str">
        <f>VLOOKUP($B111,[1]Sheet1!$A:$J,5,0)</f>
        <v>マジカルリングの会心率上昇の効果対象は同じ行/列の武器になる</v>
      </c>
      <c r="F111" t="str">
        <f>VLOOKUP($B111,[1]Sheet1!$A:$J,6,0)</f>
        <v>마법 반지의 가로/세로줄에 있는 모든 무기의 치명타율을 상승시킨다.</v>
      </c>
      <c r="G111" t="str">
        <f>VLOOKUP($B111,[1]Sheet1!$A:$J,7,0)</f>
        <v>Magischer Ring erhöht die Krit.-Rate für Waffen derselben Linie vertikal und horizontal.</v>
      </c>
      <c r="H111" t="str">
        <f>VLOOKUP($B111,[1]Sheet1!$A:$J,8,0)</f>
        <v>Anneau Magique augmente le taux Crit des armes de la même rangée et de la même colonne.</v>
      </c>
      <c r="I111" t="str">
        <f>VLOOKUP($B111,[1]Sheet1!$A:$J,9,0)</f>
        <v>O Anel Mágico aumenta a taxa de CRÍT de armas de mesma linha verticalmente e horizontalmente.</v>
      </c>
      <c r="J111" t="str">
        <f>VLOOKUP($B111,[1]Sheet1!$A:$J,10,0)</f>
        <v>El Anillo mágico aumenta la Tasa Crit de las armas en la misma fila o columna.</v>
      </c>
    </row>
    <row r="112" spans="2:10" x14ac:dyDescent="0.15">
      <c r="B112">
        <v>20204</v>
      </c>
      <c r="C112" t="str">
        <f>VLOOKUP($B112,[1]Sheet1!$A:$J,3,0)</f>
        <v>魔戒对背包内所有武器均提升暴击率</v>
      </c>
      <c r="D112" t="str">
        <f>VLOOKUP($B112,[1]Sheet1!$A:$J,4,0)</f>
        <v>Magic Ring increases Crit rate for all weapons in the Bag.</v>
      </c>
      <c r="E112" t="str">
        <f>VLOOKUP($B112,[1]Sheet1!$A:$J,5,0)</f>
        <v>マジカルリングの会心率上昇の効果対象はバックパック内のすべての武器になる</v>
      </c>
      <c r="F112" t="str">
        <f>VLOOKUP($B112,[1]Sheet1!$A:$J,6,0)</f>
        <v>마법 반지가 배낭에 있는 모든 무기의 치명타율을 상승시킨다.</v>
      </c>
      <c r="G112" t="str">
        <f>VLOOKUP($B112,[1]Sheet1!$A:$J,7,0)</f>
        <v>Magischer Ring erhöht die Krit.-Rate für alle Waffen im Beutel.</v>
      </c>
      <c r="H112" t="str">
        <f>VLOOKUP($B112,[1]Sheet1!$A:$J,8,0)</f>
        <v>Anneau Magique augmente le taux Crit des armes figurant dans le Sac.</v>
      </c>
      <c r="I112" t="str">
        <f>VLOOKUP($B112,[1]Sheet1!$A:$J,9,0)</f>
        <v>O Anel Mágico aumenta a taxa de CRÍT de todas as armas na Mochila.</v>
      </c>
      <c r="J112" t="str">
        <f>VLOOKUP($B112,[1]Sheet1!$A:$J,10,0)</f>
        <v>El Anillo mágico aumenta la Tasa Crit de todas las armas en el Inventario.</v>
      </c>
    </row>
    <row r="113" spans="2:10" x14ac:dyDescent="0.15">
      <c r="B113">
        <v>22201</v>
      </c>
      <c r="C113" t="str">
        <f>VLOOKUP($B113,[1]Sheet1!$A:$J,3,0)</f>
        <v>命中目标或达到边缘时进行反弹，水晶球射出{0}秒后消失</v>
      </c>
      <c r="D113" t="str">
        <f>VLOOKUP($B113,[1]Sheet1!$A:$J,4,0)</f>
        <v>Bounces when hitting a target or reaching the edge, the crystal ball disappears after being released for {0}s.</v>
      </c>
      <c r="E113" t="str">
        <f>VLOOKUP($B113,[1]Sheet1!$A:$J,5,0)</f>
        <v>ターゲットに命中、またはフィールドの突き当りに到達後に跳ね返す。発射された水晶玉は{0}秒後に消える</v>
      </c>
      <c r="F113" t="str">
        <f>VLOOKUP($B113,[1]Sheet1!$A:$J,6,0)</f>
        <v>대상 적중 또는 변두리에 도착할 시 튕기게 되며, 수정구슬은 발사 {0}초 후 사라진다.</v>
      </c>
      <c r="G113" t="str">
        <f>VLOOKUP($B113,[1]Sheet1!$A:$J,7,0)</f>
        <v>Springt umher, wenn ein Ziel getroffen oder der Rand des Schlachtfelds erreicht wird. Die Kristallkugel verschwindet {0} Sek. nach dem Auslösen.</v>
      </c>
      <c r="H113" t="str">
        <f>VLOOKUP($B113,[1]Sheet1!$A:$J,8,0)</f>
        <v>Rebondit quand elle touche une cible ou un bord ; la boule de cristal disparaît {0} s après son lancement.</v>
      </c>
      <c r="I113" t="str">
        <f>VLOOKUP($B113,[1]Sheet1!$A:$J,9,0)</f>
        <v>Quica ao acertar um alvo ou atingir a extremidade; a Bola de Cristal desaparece depois de ser liberada por {0} s.</v>
      </c>
      <c r="J113" t="str">
        <f>VLOOKUP($B113,[1]Sheet1!$A:$J,10,0)</f>
        <v>La bola de cristal rebota al golpear a un objetivo o al alcanzar el borde y desaparece {0}s después de liberarla.</v>
      </c>
    </row>
    <row r="114" spans="2:10" x14ac:dyDescent="0.15">
      <c r="B114">
        <v>22202</v>
      </c>
      <c r="C114" t="str">
        <f>VLOOKUP($B114,[1]Sheet1!$A:$J,3,0)</f>
        <v>水晶球攻击+{0}%</v>
      </c>
      <c r="D114" t="str">
        <f>VLOOKUP($B114,[1]Sheet1!$A:$J,4,0)</f>
        <v>Crystal Ball ATK +{0}%</v>
      </c>
      <c r="E114" t="str">
        <f>VLOOKUP($B114,[1]Sheet1!$A:$J,5,0)</f>
        <v>水晶玉の攻撃力+{0}%</v>
      </c>
      <c r="F114" t="str">
        <f>VLOOKUP($B114,[1]Sheet1!$A:$J,6,0)</f>
        <v>수정구슬 공격력 +{0}%</v>
      </c>
      <c r="G114" t="str">
        <f>VLOOKUP($B114,[1]Sheet1!$A:$J,7,0)</f>
        <v>Kristallkugel-ANG: +{0} %</v>
      </c>
      <c r="H114" t="str">
        <f>VLOOKUP($B114,[1]Sheet1!$A:$J,8,0)</f>
        <v>ATQ de Boule de Cristal +{0} %</v>
      </c>
      <c r="I114" t="str">
        <f>VLOOKUP($B114,[1]Sheet1!$A:$J,9,0)</f>
        <v>ATQ de Bola de Cristal +{0}%</v>
      </c>
      <c r="J114" t="str">
        <f>VLOOKUP($B114,[1]Sheet1!$A:$J,10,0)</f>
        <v>ATQ de Bola de Cristal +{0}%</v>
      </c>
    </row>
    <row r="115" spans="2:10" x14ac:dyDescent="0.15">
      <c r="B115">
        <v>22203</v>
      </c>
      <c r="C115" t="str">
        <f>VLOOKUP($B115,[1]Sheet1!$A:$J,3,0)</f>
        <v>水晶球飞行速度+{0}%</v>
      </c>
      <c r="D115" t="str">
        <f>VLOOKUP($B115,[1]Sheet1!$A:$J,4,0)</f>
        <v>Crystal Ball Flying SPD +{0}%</v>
      </c>
      <c r="E115" t="str">
        <f>VLOOKUP($B115,[1]Sheet1!$A:$J,5,0)</f>
        <v>水晶玉の飛行速度+{0}%</v>
      </c>
      <c r="F115" t="str">
        <f>VLOOKUP($B115,[1]Sheet1!$A:$J,6,0)</f>
        <v>수정구슬 비행 속도 +{0}%</v>
      </c>
      <c r="G115" t="str">
        <f>VLOOKUP($B115,[1]Sheet1!$A:$J,7,0)</f>
        <v>Kristallkugel-Flug-GSW: +{0} %</v>
      </c>
      <c r="H115" t="str">
        <f>VLOOKUP($B115,[1]Sheet1!$A:$J,8,0)</f>
        <v>VIT de Boule de Cristal +{0} %</v>
      </c>
      <c r="I115" t="str">
        <f>VLOOKUP($B115,[1]Sheet1!$A:$J,9,0)</f>
        <v>VEL de Voo de Bola de Cristal +{0}%</v>
      </c>
      <c r="J115" t="str">
        <f>VLOOKUP($B115,[1]Sheet1!$A:$J,10,0)</f>
        <v>VEL de Vuelo de Bola de Cristal +{0}%</v>
      </c>
    </row>
    <row r="116" spans="2:10" x14ac:dyDescent="0.15">
      <c r="B116">
        <v>22204</v>
      </c>
      <c r="C116" t="str">
        <f>VLOOKUP($B116,[1]Sheet1!$A:$J,3,0)</f>
        <v>水晶球飞行时间+{0}%</v>
      </c>
      <c r="D116" t="str">
        <f>VLOOKUP($B116,[1]Sheet1!$A:$J,4,0)</f>
        <v>Crystal Ball Flying Time +{0}%</v>
      </c>
      <c r="E116" t="str">
        <f>VLOOKUP($B116,[1]Sheet1!$A:$J,5,0)</f>
        <v>水晶玉の飛行時間+{0}%</v>
      </c>
      <c r="F116" t="str">
        <f>VLOOKUP($B116,[1]Sheet1!$A:$J,6,0)</f>
        <v>수정구슬 비행 시간 +{0}%</v>
      </c>
      <c r="G116" t="str">
        <f>VLOOKUP($B116,[1]Sheet1!$A:$J,7,0)</f>
        <v>Kristallkugel-Flugzeit: +{0} %</v>
      </c>
      <c r="H116" t="str">
        <f>VLOOKUP($B116,[1]Sheet1!$A:$J,8,0)</f>
        <v>Durée de Vol de Boule de Cristal +{0} %</v>
      </c>
      <c r="I116" t="str">
        <f>VLOOKUP($B116,[1]Sheet1!$A:$J,9,0)</f>
        <v>Tempo de Voo de Bola de Cristal +{0}%</v>
      </c>
      <c r="J116" t="str">
        <f>VLOOKUP($B116,[1]Sheet1!$A:$J,10,0)</f>
        <v>Tiempo de Vuelo de Bola de Cristal +{0}%</v>
      </c>
    </row>
    <row r="117" spans="2:10" x14ac:dyDescent="0.15">
      <c r="B117">
        <v>24203</v>
      </c>
      <c r="C117" t="str">
        <f>VLOOKUP($B117,[1]Sheet1!$A:$J,3,0)</f>
        <v>三叉戟会停留在首个攻击的单位处{0}秒，对范围内敌人每{1}秒造成{2}%攻击力伤害</v>
      </c>
      <c r="D117" t="str">
        <f>VLOOKUP($B117,[1]Sheet1!$A:$J,4,0)</f>
        <v>Trident will stay at the first target's position for {0}s, dealing {2}% ATK DMG to enemies within the area per {1}s.</v>
      </c>
      <c r="E117" t="str">
        <f>VLOOKUP($B117,[1]Sheet1!$A:$J,5,0)</f>
        <v>トライデントは最初に攻撃した対象の所で{0}秒間留まり、範囲内の敵に{1}秒ごとに攻撃力{2}%のダメージを与える</v>
      </c>
      <c r="F117" t="str">
        <f>VLOOKUP($B117,[1]Sheet1!$A:$J,6,0)</f>
        <v>삼지창이 처음으로 공격한 유닛의 위치에 {0}초 동안 머물러, 일정 범위 내 적들에게 {1}초마다 공격력의 {2}%에 해당하는 피해를 입힌다.</v>
      </c>
      <c r="G117" t="str">
        <f>VLOOKUP($B117,[1]Sheet1!$A:$J,7,0)</f>
        <v>Dreizack bleibt an der Position des ersten Ziels für {0} S., teilt {2} % Angriffsschaden an Feinde innerhalb des Gebiets pro {1} S. aus.</v>
      </c>
      <c r="H117" t="str">
        <f>VLOOKUP($B117,[1]Sheet1!$A:$J,8,0)</f>
        <v>Trident persiste sur la position de la première cible pendant {0} s, infligeant {2} % de DÉG ATQ aux ennemis présents dans la zone pendant {1} s.</v>
      </c>
      <c r="I117" t="str">
        <f>VLOOKUP($B117,[1]Sheet1!$A:$J,9,0)</f>
        <v>Tridente fica na posição do primeiro alvo por {0} s, causando {2}% de DNO ATQ a inimigos dentro da área por {1} s.</v>
      </c>
      <c r="J117" t="str">
        <f>VLOOKUP($B117,[1]Sheet1!$A:$J,10,0)</f>
        <v>El Tridente permanece {0}s en la posición del primer objetivo e inflige un {2}% del ATQ como Daño a los enemigos al alcance durante {1}s.</v>
      </c>
    </row>
    <row r="118" spans="2:10" x14ac:dyDescent="0.15">
      <c r="B118">
        <v>24204</v>
      </c>
      <c r="C118" t="str">
        <f>VLOOKUP($B118,[1]Sheet1!$A:$J,3,0)</f>
        <v>三叉戟停留时间+{0}秒</v>
      </c>
      <c r="D118" t="str">
        <f>VLOOKUP($B118,[1]Sheet1!$A:$J,4,0)</f>
        <v>Trident stays for {0}s more.</v>
      </c>
      <c r="E118" t="str">
        <f>VLOOKUP($B118,[1]Sheet1!$A:$J,5,0)</f>
        <v>トライデントの停留時間+{0}秒</v>
      </c>
      <c r="F118" t="str">
        <f>VLOOKUP($B118,[1]Sheet1!$A:$J,6,0)</f>
        <v>삼지창이 {0}초 동안 더 머무른다.</v>
      </c>
      <c r="G118" t="str">
        <f>VLOOKUP($B118,[1]Sheet1!$A:$J,7,0)</f>
        <v>Dreizack bleibt für weitere {0} S.</v>
      </c>
      <c r="H118" t="str">
        <f>VLOOKUP($B118,[1]Sheet1!$A:$J,8,0)</f>
        <v>Trident persiste pendant {0} s supplémentaires.</v>
      </c>
      <c r="I118" t="str">
        <f>VLOOKUP($B118,[1]Sheet1!$A:$J,9,0)</f>
        <v>Tridente fica por mais {0} s.</v>
      </c>
      <c r="J118" t="str">
        <f>VLOOKUP($B118,[1]Sheet1!$A:$J,10,0)</f>
        <v>El Tridente permanece {0}s más.</v>
      </c>
    </row>
    <row r="119" spans="2:10" x14ac:dyDescent="0.15">
      <c r="B119">
        <v>24205</v>
      </c>
      <c r="C119" t="str">
        <f>VLOOKUP($B119,[1]Sheet1!$A:$J,3,0)</f>
        <v>三叉戟击杀单位时，所有三叉戟体型+{0}%，最大额外增加{1}%，持续至整场战斗结束</v>
      </c>
      <c r="D119" t="str">
        <f>VLOOKUP($B119,[1]Sheet1!$A:$J,4,0)</f>
        <v>When Trident kills a target, all tridents' size +{0}% (max: +{1}%), lasting until the end of the battle.</v>
      </c>
      <c r="E119" t="str">
        <f>VLOOKUP($B119,[1]Sheet1!$A:$J,5,0)</f>
        <v>トライデントが敵撃破後、バトル終了までの間、すべてのトライデントのサイズ+{0}%（最大{1}%アップ可能）</v>
      </c>
      <c r="F119" t="str">
        <f>VLOOKUP($B119,[1]Sheet1!$A:$J,6,0)</f>
        <v>삼지창으로 적을 처치할 시, 모든 삼지창의 크기 +{0}%(최대 {1}% 증가 가능, 전투가 종료될 때까지 지속)</v>
      </c>
      <c r="G119" t="str">
        <f>VLOOKUP($B119,[1]Sheet1!$A:$J,7,0)</f>
        <v>Wenn Dreizack ein Ziel tötet, wird jeder Dreizack um +{0} % (max. +{1} %) vergrößert, bis zum Ende des Kampfes.</v>
      </c>
      <c r="H119" t="str">
        <f>VLOOKUP($B119,[1]Sheet1!$A:$J,8,0)</f>
        <v>Quand Trident tue une cible, +{0} % à la taille de tous les Tridents (max. : +{1} %). Cet effet dure jusqu’à la fin du combat.</v>
      </c>
      <c r="I119" t="str">
        <f>VLOOKUP($B119,[1]Sheet1!$A:$J,9,0)</f>
        <v>Quando Tridente abate um alvo, o tamanho de todos os tridentes +{0}% (máx.: +{1}%), durando até o final da batalha.</v>
      </c>
      <c r="J119" t="str">
        <f>VLOOKUP($B119,[1]Sheet1!$A:$J,10,0)</f>
        <v>El tamaño de todos los tridentes +{0}% cuando el Tridente elimina a un objetivo (máx.: +{1}%) hasta el final de la batalla.</v>
      </c>
    </row>
    <row r="120" spans="2:10" x14ac:dyDescent="0.15">
      <c r="B120">
        <v>24206</v>
      </c>
      <c r="C120" t="str">
        <f>VLOOKUP($B120,[1]Sheet1!$A:$J,3,0)</f>
        <v>三叉戟击杀单位时，所有三叉戟体型额外+{0}%</v>
      </c>
      <c r="D120" t="str">
        <f>VLOOKUP($B120,[1]Sheet1!$A:$J,4,0)</f>
        <v>When Trident kills a target, all tridents' size +{0}%.</v>
      </c>
      <c r="E120" t="str">
        <f>VLOOKUP($B120,[1]Sheet1!$A:$J,5,0)</f>
        <v>トライデントが敵撃破後、すべてのトライデントのサイズ+{0}%</v>
      </c>
      <c r="F120" t="str">
        <f>VLOOKUP($B120,[1]Sheet1!$A:$J,6,0)</f>
        <v>삼지창으로 적을 처치할 시, 모든 삼지창의 크기 +{0}%</v>
      </c>
      <c r="G120" t="str">
        <f>VLOOKUP($B120,[1]Sheet1!$A:$J,7,0)</f>
        <v>Wenn Dreizack ein Ziel tötet, wird jeder Dreizack um +{0} % vergrößert.</v>
      </c>
      <c r="H120" t="str">
        <f>VLOOKUP($B120,[1]Sheet1!$A:$J,8,0)</f>
        <v>Quand Trident tue une cible, +{0} % à la taille de tous les Tridents</v>
      </c>
      <c r="I120" t="str">
        <f>VLOOKUP($B120,[1]Sheet1!$A:$J,9,0)</f>
        <v>Quando Tridente abate um alvo, o tamanho de todos os tridentes +{0}%.</v>
      </c>
      <c r="J120" t="str">
        <f>VLOOKUP($B120,[1]Sheet1!$A:$J,10,0)</f>
        <v>El tamaño de todos los tridentes +{0}% cuando el Tridente elimina a un objetivo.</v>
      </c>
    </row>
    <row r="121" spans="2:10" x14ac:dyDescent="0.15">
      <c r="B121">
        <v>24207</v>
      </c>
      <c r="C121" t="str">
        <f>VLOOKUP($B121,[1]Sheet1!$A:$J,3,0)</f>
        <v>三叉戟攻击距离+{0}</v>
      </c>
      <c r="D121" t="str">
        <f>VLOOKUP($B121,[1]Sheet1!$A:$J,4,0)</f>
        <v>Trident ATK Range +{0}</v>
      </c>
      <c r="E121" t="str">
        <f>VLOOKUP($B121,[1]Sheet1!$A:$J,5,0)</f>
        <v>トライデント攻撃距離+{0}</v>
      </c>
      <c r="F121" t="str">
        <f>VLOOKUP($B121,[1]Sheet1!$A:$J,6,0)</f>
        <v>삼지창의 공격 거리 +{0}</v>
      </c>
      <c r="G121" t="str">
        <f>VLOOKUP($B121,[1]Sheet1!$A:$J,7,0)</f>
        <v>Dreizack-ANG-Reichweite +{0}</v>
      </c>
      <c r="H121" t="str">
        <f>VLOOKUP($B121,[1]Sheet1!$A:$J,8,0)</f>
        <v>Portée d’ATQ de Trident +{0}</v>
      </c>
      <c r="I121" t="str">
        <f>VLOOKUP($B121,[1]Sheet1!$A:$J,9,0)</f>
        <v>Alcance do ATQ de Tridente +{0}</v>
      </c>
      <c r="J121" t="str">
        <f>VLOOKUP($B121,[1]Sheet1!$A:$J,10,0)</f>
        <v>Alcance de ATQ del Tridente +{0}</v>
      </c>
    </row>
    <row r="122" spans="2:10" x14ac:dyDescent="0.15">
      <c r="B122">
        <v>24208</v>
      </c>
      <c r="C122" t="str">
        <f>VLOOKUP($B122,[1]Sheet1!$A:$J,3,0)</f>
        <v>三叉戟攻击时，{0}%概率发动万钧一击，对命中的敌人造成{1}%攻击力伤害</v>
      </c>
      <c r="D122" t="str">
        <f>VLOOKUP($B122,[1]Sheet1!$A:$J,4,0)</f>
        <v>When Trident attacks, there is a {0}% chance of releasing Crushing Strike, dealing {1}% ATK DMG to the target hit.</v>
      </c>
      <c r="E122" t="str">
        <f>VLOOKUP($B122,[1]Sheet1!$A:$J,5,0)</f>
        <v>トライデント攻撃時、{0}%の確率でパワフルアタックを発動し、命中した敵に攻撃力{1}%のダメージを与える</v>
      </c>
      <c r="F122" t="str">
        <f>VLOOKUP($B122,[1]Sheet1!$A:$J,6,0)</f>
        <v>삼지창으로 공격할 시, {0}% 확률로 만균의 일격이 발동되어, 적중한 적에게 공격력의 {1}%에 해당하는 피해를 입힌다.</v>
      </c>
      <c r="G122" t="str">
        <f>VLOOKUP($B122,[1]Sheet1!$A:$J,7,0)</f>
        <v>Wenn Dreizack angreift, gibt es eine Chance von {0} % für das Auslösen von Niederstreckender Schlag, {1} % Angriffsschaden wird an das Ziel ausgeteilt.</v>
      </c>
      <c r="H122" t="str">
        <f>VLOOKUP($B122,[1]Sheet1!$A:$J,8,0)</f>
        <v>Quand Trident attaque, confère {0} % de chances de lancer Frappe Violente, infligeant {1} % de DÉG ATQ à la cible touchée.</v>
      </c>
      <c r="I122" t="str">
        <f>VLOOKUP($B122,[1]Sheet1!$A:$J,9,0)</f>
        <v>Quando Tridente ataca, há {0}% de chance de liberar Ataque Esmagador, causando {1}% de DNO ATQ ao alvo acertado.</v>
      </c>
      <c r="J122" t="str">
        <f>VLOOKUP($B122,[1]Sheet1!$A:$J,10,0)</f>
        <v>Al atacar con el Tridente hay un {0}% de probabilidad de liberar Golpe aplastante, que inflige un {1}% del ATQ como Daño al objetivo golpeado.</v>
      </c>
    </row>
    <row r="123" spans="2:10" x14ac:dyDescent="0.15">
      <c r="B123">
        <v>24209</v>
      </c>
      <c r="C123" t="str">
        <f>VLOOKUP($B123,[1]Sheet1!$A:$J,3,0)</f>
        <v>三叉戟万钧一击发动概率+{0}%</v>
      </c>
      <c r="D123" t="str">
        <f>VLOOKUP($B123,[1]Sheet1!$A:$J,4,0)</f>
        <v>Chance of releasing Crushing Strike +{0}%</v>
      </c>
      <c r="E123" t="str">
        <f>VLOOKUP($B123,[1]Sheet1!$A:$J,5,0)</f>
        <v>トライデントのパワフルアタック発動確率+{0}%</v>
      </c>
      <c r="F123" t="str">
        <f>VLOOKUP($B123,[1]Sheet1!$A:$J,6,0)</f>
        <v>만균의 일격 발동 확률 +{0}%</v>
      </c>
      <c r="G123" t="str">
        <f>VLOOKUP($B123,[1]Sheet1!$A:$J,7,0)</f>
        <v>Chance auf Auslösen von Niederstreckender Schlag +{0} %</v>
      </c>
      <c r="H123" t="str">
        <f>VLOOKUP($B123,[1]Sheet1!$A:$J,8,0)</f>
        <v>Chances de lancer Frappe Violente +{0} %</v>
      </c>
      <c r="I123" t="str">
        <f>VLOOKUP($B123,[1]Sheet1!$A:$J,9,0)</f>
        <v>Chance de liberar Ataque Esmagador +{0}%</v>
      </c>
      <c r="J123" t="str">
        <f>VLOOKUP($B123,[1]Sheet1!$A:$J,10,0)</f>
        <v>Probabilidad de liberar Golpe aplastante +{0}%</v>
      </c>
    </row>
    <row r="124" spans="2:10" x14ac:dyDescent="0.15">
      <c r="B124">
        <v>14205</v>
      </c>
      <c r="C124" t="str">
        <f>VLOOKUP($B124,[1]Sheet1!$A:$J,3,0)</f>
        <v>凤凰魔杖定身触发概率+{0}%</v>
      </c>
      <c r="D124" t="str">
        <f>VLOOKUP($B124,[1]Sheet1!$A:$J,4,0)</f>
        <v>Phoenix Wand Localization Trigger Probability+{0}%</v>
      </c>
      <c r="E124" t="str">
        <f>VLOOKUP($B124,[1]Sheet1!$A:$J,5,0)</f>
        <v>鳳凰の杖固定トリガー確率+{0}%</v>
      </c>
      <c r="F124" t="str">
        <f>VLOOKUP($B124,[1]Sheet1!$A:$J,6,0)</f>
        <v>봉황 지팡이 정지 시전 확률 +{0}%</v>
      </c>
      <c r="G124" t="str">
        <f>VLOOKUP($B124,[1]Sheet1!$A:$J,7,0)</f>
        <v>Phoenix Wand Localization Trigger Probability+{0}%</v>
      </c>
      <c r="H124" t="str">
        <f>VLOOKUP($B124,[1]Sheet1!$A:$J,8,0)</f>
        <v>Phoenix Wand Localization Trigger Probability+{0}%</v>
      </c>
      <c r="I124" t="str">
        <f>VLOOKUP($B124,[1]Sheet1!$A:$J,9,0)</f>
        <v>Phoenix Wand Localization Trigger Probability+{0}%</v>
      </c>
      <c r="J124" t="str">
        <f>VLOOKUP($B124,[1]Sheet1!$A:$J,10,0)</f>
        <v>Phoenix Wand Localization Trigger Probability+{0}%</v>
      </c>
    </row>
    <row r="125" spans="2:10" x14ac:dyDescent="0.15">
      <c r="B125">
        <v>14206</v>
      </c>
      <c r="C125" t="str">
        <f>VLOOKUP($B125,[1]Sheet1!$A:$J,3,0)</f>
        <v>雷神权杖暴击率+{0}%</v>
      </c>
      <c r="D125" t="str">
        <f>VLOOKUP($B125,[1]Sheet1!$A:$J,4,0)</f>
        <v>Thunder God Scepter Critical Strike Rate+{0}%</v>
      </c>
      <c r="E125" t="str">
        <f>VLOOKUP($B125,[1]Sheet1!$A:$J,5,0)</f>
        <v>雷神の杖の致命的な一撃率+{0}%</v>
      </c>
      <c r="F125" t="str">
        <f>VLOOKUP($B125,[1]Sheet1!$A:$J,6,0)</f>
        <v>토르 지팡이 치명타 확률 +{0}%</v>
      </c>
      <c r="G125" t="str">
        <f>VLOOKUP($B125,[1]Sheet1!$A:$J,7,0)</f>
        <v>Thunder God Scepter Critical Strike Rate+{0}%</v>
      </c>
      <c r="H125" t="str">
        <f>VLOOKUP($B125,[1]Sheet1!$A:$J,8,0)</f>
        <v>Thunder God Scepter Critical Strike Rate+{0}%</v>
      </c>
      <c r="I125" t="str">
        <f>VLOOKUP($B125,[1]Sheet1!$A:$J,9,0)</f>
        <v>Thunder God Scepter Critical Strike Rate+{0}%</v>
      </c>
      <c r="J125" t="str">
        <f>VLOOKUP($B125,[1]Sheet1!$A:$J,10,0)</f>
        <v>Thunder God Scepter Critical Strike Rate+{0}%</v>
      </c>
    </row>
    <row r="126" spans="2:10" x14ac:dyDescent="0.15">
      <c r="B126">
        <v>14207</v>
      </c>
      <c r="C126" t="str">
        <f>VLOOKUP($B126,[1]Sheet1!$A:$J,3,0)</f>
        <v>凤凰魔杖定身结束后，攻速、移速-{0}%，{1}秒内减速逐渐恢复</v>
      </c>
      <c r="D126" t="str">
        <f>VLOOKUP($B126,[1]Sheet1!$A:$J,4,0)</f>
        <v>After the Phoenix Wand's immobilization is completed, the attack speed and movement speed are - {0}%, and the deceleration gradually recovers within {1} seconds</v>
      </c>
      <c r="E126" t="str">
        <f>VLOOKUP($B126,[1]Sheet1!$A:$J,5,0)</f>
        <v>鳳凰の杖の定身が終わると、攻撃速度、移動速度-{0}%、{1}秒以内に減速が徐々に回復する</v>
      </c>
      <c r="F126" t="str">
        <f>VLOOKUP($B126,[1]Sheet1!$A:$J,6,0)</f>
        <v>피닉스 지팡이 정지 후 공격 속도, 이동 속도 -{0}%, {1}초 동안 감속 점차 회복</v>
      </c>
      <c r="G126" t="str">
        <f>VLOOKUP($B126,[1]Sheet1!$A:$J,7,0)</f>
        <v>After the Phoenix Wand's immobilization is completed, the attack speed and movement speed are - {0}%, and the deceleration gradually recovers within {1} seconds</v>
      </c>
      <c r="H126" t="str">
        <f>VLOOKUP($B126,[1]Sheet1!$A:$J,8,0)</f>
        <v>After the Phoenix Wand's immobilization is completed, the attack speed and movement speed are - {0}%, and the deceleration gradually recovers within {1} seconds</v>
      </c>
      <c r="I126" t="str">
        <f>VLOOKUP($B126,[1]Sheet1!$A:$J,9,0)</f>
        <v>After the Phoenix Wand's immobilization is completed, the attack speed and movement speed are - {0}%, and the deceleration gradually recovers within {1} seconds</v>
      </c>
      <c r="J126" t="str">
        <f>VLOOKUP($B126,[1]Sheet1!$A:$J,10,0)</f>
        <v>After the Phoenix Wand's immobilization is completed, the attack speed and movement speed are - {0}%, and the deceleration gradually recovers within {1} seconds</v>
      </c>
    </row>
    <row r="127" spans="2:10" x14ac:dyDescent="0.15">
      <c r="B127">
        <v>14208</v>
      </c>
      <c r="C127" t="str">
        <f>VLOOKUP($B127,[1]Sheet1!$A:$J,3,0)</f>
        <v>雷神权杖发动全体雷击的概率+{0}%</v>
      </c>
      <c r="D127" t="str">
        <f>VLOOKUP($B127,[1]Sheet1!$A:$J,4,0)</f>
        <v>The probability of Thor's Scepter launching a total lightning strike+{0}%</v>
      </c>
      <c r="E127" t="str">
        <f>VLOOKUP($B127,[1]Sheet1!$A:$J,5,0)</f>
        <v>雷神の杖が落雷全体を発動する確率+{0}%</v>
      </c>
      <c r="F127" t="str">
        <f>VLOOKUP($B127,[1]Sheet1!$A:$J,6,0)</f>
        <v>토르 지팡이 전체 벼락 발동 확률 +{0}%</v>
      </c>
      <c r="G127" t="str">
        <f>VLOOKUP($B127,[1]Sheet1!$A:$J,7,0)</f>
        <v>The probability of Thor's Scepter launching a total lightning strike+{0}%</v>
      </c>
      <c r="H127" t="str">
        <f>VLOOKUP($B127,[1]Sheet1!$A:$J,8,0)</f>
        <v>The probability of Thor's Scepter launching a total lightning strike+{0}%</v>
      </c>
      <c r="I127" t="str">
        <f>VLOOKUP($B127,[1]Sheet1!$A:$J,9,0)</f>
        <v>The probability of Thor's Scepter launching a total lightning strike+{0}%</v>
      </c>
      <c r="J127" t="str">
        <f>VLOOKUP($B127,[1]Sheet1!$A:$J,10,0)</f>
        <v>The probability of Thor's Scepter launching a total lightning strike+{0}%</v>
      </c>
    </row>
    <row r="128" spans="2:10" x14ac:dyDescent="0.15">
      <c r="B128">
        <v>25203</v>
      </c>
      <c r="C128" t="e">
        <f>VLOOKUP($B128,[1]Sheet1!$A:$J,3,0)</f>
        <v>#N/A</v>
      </c>
    </row>
    <row r="129" spans="2:3" x14ac:dyDescent="0.15">
      <c r="B129">
        <v>25204</v>
      </c>
      <c r="C129" t="e">
        <f>VLOOKUP($B129,[1]Sheet1!$A:$J,3,0)</f>
        <v>#N/A</v>
      </c>
    </row>
    <row r="130" spans="2:3" x14ac:dyDescent="0.15">
      <c r="B130">
        <v>25205</v>
      </c>
      <c r="C130" t="e">
        <f>VLOOKUP($B130,[1]Sheet1!$A:$J,3,0)</f>
        <v>#N/A</v>
      </c>
    </row>
    <row r="131" spans="2:3" x14ac:dyDescent="0.15">
      <c r="B131">
        <v>25206</v>
      </c>
      <c r="C131" t="e">
        <f>VLOOKUP($B131,[1]Sheet1!$A:$J,3,0)</f>
        <v>#N/A</v>
      </c>
    </row>
    <row r="132" spans="2:3" x14ac:dyDescent="0.15">
      <c r="B132">
        <v>25207</v>
      </c>
      <c r="C132" t="e">
        <f>VLOOKUP($B132,[1]Sheet1!$A:$J,3,0)</f>
        <v>#N/A</v>
      </c>
    </row>
    <row r="133" spans="2:3" x14ac:dyDescent="0.15">
      <c r="B133">
        <v>25208</v>
      </c>
      <c r="C133" t="e">
        <f>VLOOKUP($B133,[1]Sheet1!$A:$J,3,0)</f>
        <v>#N/A</v>
      </c>
    </row>
    <row r="134" spans="2:3" x14ac:dyDescent="0.15">
      <c r="B134">
        <v>25209</v>
      </c>
      <c r="C134" t="e">
        <f>VLOOKUP($B134,[1]Sheet1!$A:$J,3,0)</f>
        <v>#N/A</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H9:O76"/>
  <sheetViews>
    <sheetView topLeftCell="A16" workbookViewId="0">
      <selection activeCell="L42" sqref="L42"/>
    </sheetView>
  </sheetViews>
  <sheetFormatPr defaultColWidth="9" defaultRowHeight="13.5" x14ac:dyDescent="0.15"/>
  <cols>
    <col min="8" max="8" width="24.25" customWidth="1"/>
  </cols>
  <sheetData>
    <row r="9" spans="8:15" x14ac:dyDescent="0.15">
      <c r="H9" t="s">
        <v>1076</v>
      </c>
      <c r="O9" t="s">
        <v>1077</v>
      </c>
    </row>
    <row r="11" spans="8:15" x14ac:dyDescent="0.15">
      <c r="H11" t="s">
        <v>1078</v>
      </c>
      <c r="O11" t="s">
        <v>1079</v>
      </c>
    </row>
    <row r="13" spans="8:15" x14ac:dyDescent="0.15">
      <c r="H13" t="s">
        <v>1080</v>
      </c>
      <c r="O13" t="s">
        <v>1081</v>
      </c>
    </row>
    <row r="15" spans="8:15" x14ac:dyDescent="0.15">
      <c r="H15" t="s">
        <v>1082</v>
      </c>
      <c r="O15" t="s">
        <v>1083</v>
      </c>
    </row>
    <row r="17" spans="8:15" x14ac:dyDescent="0.15">
      <c r="H17" t="s">
        <v>1084</v>
      </c>
      <c r="O17" t="s">
        <v>1085</v>
      </c>
    </row>
    <row r="19" spans="8:15" x14ac:dyDescent="0.15">
      <c r="H19" t="s">
        <v>1086</v>
      </c>
      <c r="O19" t="s">
        <v>1087</v>
      </c>
    </row>
    <row r="21" spans="8:15" x14ac:dyDescent="0.15">
      <c r="H21" t="s">
        <v>1088</v>
      </c>
      <c r="O21" t="s">
        <v>1089</v>
      </c>
    </row>
    <row r="23" spans="8:15" x14ac:dyDescent="0.15">
      <c r="H23" t="s">
        <v>1090</v>
      </c>
      <c r="O23" t="s">
        <v>1091</v>
      </c>
    </row>
    <row r="25" spans="8:15" x14ac:dyDescent="0.15">
      <c r="H25" t="s">
        <v>1092</v>
      </c>
      <c r="O25" t="s">
        <v>1093</v>
      </c>
    </row>
    <row r="27" spans="8:15" x14ac:dyDescent="0.15">
      <c r="H27" t="s">
        <v>1094</v>
      </c>
      <c r="O27" t="s">
        <v>1095</v>
      </c>
    </row>
    <row r="29" spans="8:15" x14ac:dyDescent="0.15">
      <c r="H29" t="s">
        <v>1096</v>
      </c>
      <c r="O29" t="s">
        <v>1097</v>
      </c>
    </row>
    <row r="31" spans="8:15" x14ac:dyDescent="0.15">
      <c r="H31" t="s">
        <v>1098</v>
      </c>
      <c r="O31" t="s">
        <v>1099</v>
      </c>
    </row>
    <row r="33" spans="8:15" x14ac:dyDescent="0.15">
      <c r="H33" t="s">
        <v>1100</v>
      </c>
      <c r="O33" t="s">
        <v>1101</v>
      </c>
    </row>
    <row r="35" spans="8:15" x14ac:dyDescent="0.15">
      <c r="H35" t="s">
        <v>1102</v>
      </c>
      <c r="O35" t="s">
        <v>1103</v>
      </c>
    </row>
    <row r="37" spans="8:15" x14ac:dyDescent="0.15">
      <c r="H37" t="s">
        <v>1104</v>
      </c>
      <c r="O37" t="s">
        <v>1105</v>
      </c>
    </row>
    <row r="39" spans="8:15" x14ac:dyDescent="0.15">
      <c r="H39" t="s">
        <v>1106</v>
      </c>
      <c r="O39" t="s">
        <v>1107</v>
      </c>
    </row>
    <row r="42" spans="8:15" ht="81" x14ac:dyDescent="0.15">
      <c r="H42" s="1" t="s">
        <v>17</v>
      </c>
      <c r="I42" s="1" t="s">
        <v>19</v>
      </c>
    </row>
    <row r="43" spans="8:15" ht="54" x14ac:dyDescent="0.15">
      <c r="H43" s="1" t="s">
        <v>26</v>
      </c>
      <c r="I43" s="1" t="s">
        <v>27</v>
      </c>
    </row>
    <row r="44" spans="8:15" ht="54" x14ac:dyDescent="0.15">
      <c r="H44" s="1" t="s">
        <v>26</v>
      </c>
      <c r="I44" s="1" t="s">
        <v>27</v>
      </c>
    </row>
    <row r="45" spans="8:15" ht="67.5" x14ac:dyDescent="0.15">
      <c r="H45" s="1" t="s">
        <v>34</v>
      </c>
      <c r="I45" s="1" t="s">
        <v>35</v>
      </c>
    </row>
    <row r="46" spans="8:15" ht="54" x14ac:dyDescent="0.15">
      <c r="H46" s="1" t="s">
        <v>42</v>
      </c>
      <c r="I46" s="1" t="s">
        <v>43</v>
      </c>
    </row>
    <row r="47" spans="8:15" ht="40.5" x14ac:dyDescent="0.15">
      <c r="H47" s="1" t="s">
        <v>50</v>
      </c>
      <c r="I47" s="1" t="s">
        <v>51</v>
      </c>
    </row>
    <row r="48" spans="8:15" ht="40.5" x14ac:dyDescent="0.15">
      <c r="H48" s="1" t="s">
        <v>50</v>
      </c>
      <c r="I48" s="1" t="s">
        <v>51</v>
      </c>
    </row>
    <row r="49" spans="8:9" ht="40.5" x14ac:dyDescent="0.15">
      <c r="H49" s="1" t="s">
        <v>50</v>
      </c>
      <c r="I49" s="1" t="s">
        <v>51</v>
      </c>
    </row>
    <row r="50" spans="8:9" ht="94.5" x14ac:dyDescent="0.15">
      <c r="H50" s="1" t="s">
        <v>1108</v>
      </c>
      <c r="I50" s="1" t="s">
        <v>1109</v>
      </c>
    </row>
    <row r="51" spans="8:9" ht="94.5" x14ac:dyDescent="0.15">
      <c r="H51" s="1" t="s">
        <v>66</v>
      </c>
      <c r="I51" s="1" t="s">
        <v>67</v>
      </c>
    </row>
    <row r="52" spans="8:9" ht="94.5" x14ac:dyDescent="0.15">
      <c r="H52" s="1" t="s">
        <v>66</v>
      </c>
      <c r="I52" s="1" t="s">
        <v>67</v>
      </c>
    </row>
    <row r="53" spans="8:9" ht="135" x14ac:dyDescent="0.15">
      <c r="H53" s="1" t="s">
        <v>1110</v>
      </c>
      <c r="I53" s="1" t="s">
        <v>1111</v>
      </c>
    </row>
    <row r="54" spans="8:9" ht="135" x14ac:dyDescent="0.15">
      <c r="H54" s="1" t="s">
        <v>1110</v>
      </c>
      <c r="I54" s="1" t="s">
        <v>1111</v>
      </c>
    </row>
    <row r="55" spans="8:9" ht="135" x14ac:dyDescent="0.15">
      <c r="H55" s="1" t="s">
        <v>1110</v>
      </c>
      <c r="I55" s="1" t="s">
        <v>1111</v>
      </c>
    </row>
    <row r="56" spans="8:9" ht="40.5" x14ac:dyDescent="0.15">
      <c r="H56" s="1" t="s">
        <v>82</v>
      </c>
      <c r="I56" s="1" t="s">
        <v>83</v>
      </c>
    </row>
    <row r="57" spans="8:9" ht="40.5" x14ac:dyDescent="0.15">
      <c r="H57" s="1" t="s">
        <v>82</v>
      </c>
      <c r="I57" s="1" t="s">
        <v>83</v>
      </c>
    </row>
    <row r="58" spans="8:9" ht="40.5" x14ac:dyDescent="0.15">
      <c r="H58" s="1" t="s">
        <v>82</v>
      </c>
      <c r="I58" s="1" t="s">
        <v>83</v>
      </c>
    </row>
    <row r="59" spans="8:9" ht="67.5" x14ac:dyDescent="0.15">
      <c r="H59" s="1" t="s">
        <v>90</v>
      </c>
      <c r="I59" s="1" t="s">
        <v>91</v>
      </c>
    </row>
    <row r="60" spans="8:9" ht="67.5" x14ac:dyDescent="0.15">
      <c r="H60" s="1" t="s">
        <v>90</v>
      </c>
      <c r="I60" s="1" t="s">
        <v>91</v>
      </c>
    </row>
    <row r="61" spans="8:9" ht="67.5" x14ac:dyDescent="0.15">
      <c r="H61" s="1" t="s">
        <v>90</v>
      </c>
      <c r="I61" s="1" t="s">
        <v>91</v>
      </c>
    </row>
    <row r="62" spans="8:9" ht="40.5" x14ac:dyDescent="0.15">
      <c r="H62" s="1" t="s">
        <v>98</v>
      </c>
      <c r="I62" s="1" t="s">
        <v>99</v>
      </c>
    </row>
    <row r="63" spans="8:9" ht="40.5" x14ac:dyDescent="0.15">
      <c r="H63" s="1" t="s">
        <v>98</v>
      </c>
      <c r="I63" s="1" t="s">
        <v>99</v>
      </c>
    </row>
    <row r="64" spans="8:9" ht="40.5" x14ac:dyDescent="0.15">
      <c r="H64" s="1" t="s">
        <v>98</v>
      </c>
      <c r="I64" s="1" t="s">
        <v>99</v>
      </c>
    </row>
    <row r="65" spans="8:9" ht="54" x14ac:dyDescent="0.15">
      <c r="H65" s="1" t="s">
        <v>106</v>
      </c>
      <c r="I65" s="1" t="s">
        <v>107</v>
      </c>
    </row>
    <row r="66" spans="8:9" ht="54" x14ac:dyDescent="0.15">
      <c r="H66" s="1" t="s">
        <v>106</v>
      </c>
      <c r="I66" s="1" t="s">
        <v>107</v>
      </c>
    </row>
    <row r="67" spans="8:9" ht="54" x14ac:dyDescent="0.15">
      <c r="H67" s="1" t="s">
        <v>106</v>
      </c>
      <c r="I67" s="1" t="s">
        <v>107</v>
      </c>
    </row>
    <row r="68" spans="8:9" ht="54" x14ac:dyDescent="0.15">
      <c r="H68" s="1" t="s">
        <v>114</v>
      </c>
      <c r="I68" s="1" t="s">
        <v>115</v>
      </c>
    </row>
    <row r="69" spans="8:9" ht="54" x14ac:dyDescent="0.15">
      <c r="H69" s="1" t="s">
        <v>114</v>
      </c>
      <c r="I69" s="1" t="s">
        <v>115</v>
      </c>
    </row>
    <row r="70" spans="8:9" ht="54" x14ac:dyDescent="0.15">
      <c r="H70" s="1" t="s">
        <v>114</v>
      </c>
      <c r="I70" s="1" t="s">
        <v>115</v>
      </c>
    </row>
    <row r="71" spans="8:9" ht="94.5" x14ac:dyDescent="0.15">
      <c r="H71" s="1" t="s">
        <v>122</v>
      </c>
      <c r="I71" s="1" t="s">
        <v>123</v>
      </c>
    </row>
    <row r="72" spans="8:9" ht="94.5" x14ac:dyDescent="0.15">
      <c r="H72" s="1" t="s">
        <v>122</v>
      </c>
      <c r="I72" s="1" t="s">
        <v>123</v>
      </c>
    </row>
    <row r="73" spans="8:9" ht="94.5" x14ac:dyDescent="0.15">
      <c r="H73" s="1" t="s">
        <v>122</v>
      </c>
      <c r="I73" s="1" t="s">
        <v>123</v>
      </c>
    </row>
    <row r="74" spans="8:9" ht="67.5" x14ac:dyDescent="0.15">
      <c r="H74" s="1" t="s">
        <v>130</v>
      </c>
      <c r="I74" s="1" t="s">
        <v>131</v>
      </c>
    </row>
    <row r="75" spans="8:9" ht="67.5" x14ac:dyDescent="0.15">
      <c r="H75" s="1" t="s">
        <v>130</v>
      </c>
      <c r="I75" s="1" t="s">
        <v>131</v>
      </c>
    </row>
    <row r="76" spans="8:9" ht="67.5" x14ac:dyDescent="0.15">
      <c r="H76" s="1" t="s">
        <v>130</v>
      </c>
      <c r="I76" s="1" t="s">
        <v>131</v>
      </c>
    </row>
  </sheetData>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G3:I69"/>
  <sheetViews>
    <sheetView workbookViewId="0">
      <selection activeCell="H23" sqref="H23:I23"/>
    </sheetView>
  </sheetViews>
  <sheetFormatPr defaultColWidth="9" defaultRowHeight="13.5" x14ac:dyDescent="0.15"/>
  <cols>
    <col min="7" max="7" width="32.375" customWidth="1"/>
    <col min="8" max="8" width="42.125" customWidth="1"/>
    <col min="9" max="9" width="32.375" customWidth="1"/>
  </cols>
  <sheetData>
    <row r="3" spans="7:9" x14ac:dyDescent="0.15">
      <c r="G3" t="s">
        <v>1112</v>
      </c>
      <c r="H3" t="s">
        <v>1113</v>
      </c>
      <c r="I3" t="s">
        <v>1114</v>
      </c>
    </row>
    <row r="5" spans="7:9" x14ac:dyDescent="0.15">
      <c r="G5" t="s">
        <v>1115</v>
      </c>
      <c r="H5" t="s">
        <v>1116</v>
      </c>
      <c r="I5" t="s">
        <v>1117</v>
      </c>
    </row>
    <row r="7" spans="7:9" x14ac:dyDescent="0.15">
      <c r="G7" t="s">
        <v>1115</v>
      </c>
      <c r="H7" t="s">
        <v>1116</v>
      </c>
      <c r="I7" t="s">
        <v>1117</v>
      </c>
    </row>
    <row r="9" spans="7:9" x14ac:dyDescent="0.15">
      <c r="G9" t="s">
        <v>1118</v>
      </c>
      <c r="H9" t="s">
        <v>1119</v>
      </c>
      <c r="I9" t="s">
        <v>1120</v>
      </c>
    </row>
    <row r="11" spans="7:9" x14ac:dyDescent="0.15">
      <c r="G11" t="s">
        <v>1121</v>
      </c>
      <c r="H11" t="s">
        <v>1122</v>
      </c>
      <c r="I11" t="s">
        <v>1123</v>
      </c>
    </row>
    <row r="13" spans="7:9" x14ac:dyDescent="0.15">
      <c r="G13" t="s">
        <v>1124</v>
      </c>
      <c r="H13" t="s">
        <v>1125</v>
      </c>
      <c r="I13" t="s">
        <v>1126</v>
      </c>
    </row>
    <row r="15" spans="7:9" x14ac:dyDescent="0.15">
      <c r="G15" t="s">
        <v>1124</v>
      </c>
      <c r="H15" t="s">
        <v>1125</v>
      </c>
      <c r="I15" t="s">
        <v>1126</v>
      </c>
    </row>
    <row r="17" spans="7:9" x14ac:dyDescent="0.15">
      <c r="G17" t="s">
        <v>1124</v>
      </c>
      <c r="H17" t="s">
        <v>1125</v>
      </c>
      <c r="I17" t="s">
        <v>1126</v>
      </c>
    </row>
    <row r="19" spans="7:9" x14ac:dyDescent="0.15">
      <c r="G19" t="s">
        <v>1127</v>
      </c>
      <c r="H19" t="s">
        <v>1128</v>
      </c>
      <c r="I19" t="s">
        <v>1129</v>
      </c>
    </row>
    <row r="21" spans="7:9" x14ac:dyDescent="0.15">
      <c r="G21" t="s">
        <v>1130</v>
      </c>
      <c r="H21" t="s">
        <v>1131</v>
      </c>
      <c r="I21" t="s">
        <v>1132</v>
      </c>
    </row>
    <row r="23" spans="7:9" x14ac:dyDescent="0.15">
      <c r="G23" t="s">
        <v>1130</v>
      </c>
      <c r="H23" t="s">
        <v>1131</v>
      </c>
      <c r="I23" t="s">
        <v>1132</v>
      </c>
    </row>
    <row r="25" spans="7:9" x14ac:dyDescent="0.15">
      <c r="G25" t="s">
        <v>1133</v>
      </c>
      <c r="H25" t="s">
        <v>1134</v>
      </c>
      <c r="I25" t="s">
        <v>1135</v>
      </c>
    </row>
    <row r="27" spans="7:9" x14ac:dyDescent="0.15">
      <c r="G27" t="s">
        <v>1133</v>
      </c>
      <c r="H27" t="s">
        <v>1134</v>
      </c>
      <c r="I27" t="s">
        <v>1135</v>
      </c>
    </row>
    <row r="29" spans="7:9" x14ac:dyDescent="0.15">
      <c r="G29" t="s">
        <v>1133</v>
      </c>
      <c r="H29" t="s">
        <v>1134</v>
      </c>
      <c r="I29" t="s">
        <v>1135</v>
      </c>
    </row>
    <row r="31" spans="7:9" x14ac:dyDescent="0.15">
      <c r="G31" t="s">
        <v>1136</v>
      </c>
      <c r="H31" t="s">
        <v>1137</v>
      </c>
      <c r="I31" t="s">
        <v>1138</v>
      </c>
    </row>
    <row r="33" spans="7:9" x14ac:dyDescent="0.15">
      <c r="G33" t="s">
        <v>1136</v>
      </c>
      <c r="H33" t="s">
        <v>1137</v>
      </c>
      <c r="I33" t="s">
        <v>1138</v>
      </c>
    </row>
    <row r="35" spans="7:9" x14ac:dyDescent="0.15">
      <c r="G35" t="s">
        <v>1136</v>
      </c>
      <c r="H35" t="s">
        <v>1137</v>
      </c>
      <c r="I35" t="s">
        <v>1138</v>
      </c>
    </row>
    <row r="37" spans="7:9" x14ac:dyDescent="0.15">
      <c r="G37" t="s">
        <v>1139</v>
      </c>
      <c r="H37" t="s">
        <v>1140</v>
      </c>
      <c r="I37" t="s">
        <v>1141</v>
      </c>
    </row>
    <row r="39" spans="7:9" x14ac:dyDescent="0.15">
      <c r="G39" t="s">
        <v>1139</v>
      </c>
      <c r="H39" t="s">
        <v>1140</v>
      </c>
      <c r="I39" t="s">
        <v>1141</v>
      </c>
    </row>
    <row r="41" spans="7:9" x14ac:dyDescent="0.15">
      <c r="G41" t="s">
        <v>1139</v>
      </c>
      <c r="H41" t="s">
        <v>1140</v>
      </c>
      <c r="I41" t="s">
        <v>1141</v>
      </c>
    </row>
    <row r="43" spans="7:9" x14ac:dyDescent="0.15">
      <c r="G43" t="s">
        <v>98</v>
      </c>
      <c r="H43" t="s">
        <v>1142</v>
      </c>
      <c r="I43" t="s">
        <v>1143</v>
      </c>
    </row>
    <row r="45" spans="7:9" x14ac:dyDescent="0.15">
      <c r="G45" t="s">
        <v>98</v>
      </c>
      <c r="H45" t="s">
        <v>1142</v>
      </c>
      <c r="I45" t="s">
        <v>1143</v>
      </c>
    </row>
    <row r="47" spans="7:9" x14ac:dyDescent="0.15">
      <c r="G47" t="s">
        <v>98</v>
      </c>
      <c r="H47" t="s">
        <v>1142</v>
      </c>
      <c r="I47" t="s">
        <v>1143</v>
      </c>
    </row>
    <row r="49" spans="7:9" x14ac:dyDescent="0.15">
      <c r="G49" t="s">
        <v>1144</v>
      </c>
      <c r="H49" t="s">
        <v>1145</v>
      </c>
      <c r="I49" t="s">
        <v>1146</v>
      </c>
    </row>
    <row r="51" spans="7:9" x14ac:dyDescent="0.15">
      <c r="G51" t="s">
        <v>1144</v>
      </c>
      <c r="H51" t="s">
        <v>1145</v>
      </c>
      <c r="I51" t="s">
        <v>1146</v>
      </c>
    </row>
    <row r="53" spans="7:9" x14ac:dyDescent="0.15">
      <c r="G53" t="s">
        <v>1144</v>
      </c>
      <c r="H53" t="s">
        <v>1145</v>
      </c>
      <c r="I53" t="s">
        <v>1146</v>
      </c>
    </row>
    <row r="55" spans="7:9" x14ac:dyDescent="0.15">
      <c r="G55" t="s">
        <v>1147</v>
      </c>
      <c r="H55" t="s">
        <v>1148</v>
      </c>
      <c r="I55" t="s">
        <v>1149</v>
      </c>
    </row>
    <row r="57" spans="7:9" x14ac:dyDescent="0.15">
      <c r="G57" t="s">
        <v>1147</v>
      </c>
      <c r="H57" t="s">
        <v>1148</v>
      </c>
      <c r="I57" t="s">
        <v>1149</v>
      </c>
    </row>
    <row r="59" spans="7:9" x14ac:dyDescent="0.15">
      <c r="G59" t="s">
        <v>1147</v>
      </c>
      <c r="H59" t="s">
        <v>1148</v>
      </c>
      <c r="I59" t="s">
        <v>1149</v>
      </c>
    </row>
    <row r="61" spans="7:9" x14ac:dyDescent="0.15">
      <c r="G61" t="s">
        <v>1150</v>
      </c>
      <c r="H61" t="s">
        <v>1151</v>
      </c>
      <c r="I61" t="s">
        <v>1152</v>
      </c>
    </row>
    <row r="63" spans="7:9" x14ac:dyDescent="0.15">
      <c r="G63" t="s">
        <v>1150</v>
      </c>
      <c r="H63" t="s">
        <v>1151</v>
      </c>
      <c r="I63" t="s">
        <v>1152</v>
      </c>
    </row>
    <row r="65" spans="7:9" x14ac:dyDescent="0.15">
      <c r="G65" t="s">
        <v>1153</v>
      </c>
      <c r="H65" t="s">
        <v>1154</v>
      </c>
      <c r="I65" t="s">
        <v>1155</v>
      </c>
    </row>
    <row r="67" spans="7:9" x14ac:dyDescent="0.15">
      <c r="G67" t="s">
        <v>1153</v>
      </c>
      <c r="H67" t="s">
        <v>1154</v>
      </c>
      <c r="I67" t="s">
        <v>1155</v>
      </c>
    </row>
    <row r="69" spans="7:9" x14ac:dyDescent="0.15">
      <c r="G69" t="s">
        <v>1153</v>
      </c>
      <c r="H69" t="s">
        <v>1154</v>
      </c>
      <c r="I69" t="s">
        <v>1155</v>
      </c>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zx_yang</dc:creator>
  <cp:lastModifiedBy>晨迪 代</cp:lastModifiedBy>
  <dcterms:created xsi:type="dcterms:W3CDTF">2023-03-20T07:41:00Z</dcterms:created>
  <dcterms:modified xsi:type="dcterms:W3CDTF">2024-10-16T02:30:06Z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3DA1486B15E240C19DEB47477AF4159B</vt:lpwstr>
  </property>
  <property fmtid="{D5CDD505-2E9C-101B-9397-08002B2CF9AE}" pid="3" name="KSOProductBuildVer">
    <vt:lpwstr>2052-12.1.0.18276</vt:lpwstr>
  </property>
  <property fmtid="{D5CDD505-2E9C-101B-9397-08002B2CF9AE}" pid="4" name="KSOReadingLayout">
    <vt:bool>true</vt:bool>
  </property>
</Properties>
</file>