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D:\cy_excel\"/>
    </mc:Choice>
  </mc:AlternateContent>
  <xr:revisionPtr revIDLastSave="0" documentId="13_ncr:1_{9073B4DD-7F5B-4C12-9923-13A62C8B9B1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28" i="1" l="1"/>
  <c r="Q127" i="1"/>
  <c r="Q126" i="1"/>
  <c r="Q95" i="1"/>
  <c r="Q94" i="1"/>
  <c r="S93" i="1"/>
  <c r="S92" i="1"/>
  <c r="S91" i="1"/>
  <c r="S90" i="1"/>
  <c r="S89" i="1"/>
  <c r="R89" i="1"/>
  <c r="S88" i="1"/>
  <c r="R88" i="1"/>
  <c r="S87" i="1"/>
  <c r="R87" i="1"/>
  <c r="S86" i="1"/>
  <c r="R86" i="1"/>
  <c r="Q85" i="1"/>
  <c r="Q84" i="1"/>
  <c r="R83" i="1"/>
  <c r="R82" i="1"/>
  <c r="R81" i="1"/>
  <c r="R80" i="1"/>
  <c r="Q79" i="1"/>
  <c r="Q78" i="1"/>
  <c r="R77" i="1"/>
  <c r="R76" i="1"/>
  <c r="R75" i="1"/>
  <c r="R74" i="1"/>
  <c r="S53" i="1"/>
  <c r="R53" i="1"/>
  <c r="Q53" i="1"/>
  <c r="S52" i="1"/>
  <c r="R52" i="1"/>
  <c r="Q52" i="1"/>
  <c r="S51" i="1"/>
  <c r="R51" i="1"/>
  <c r="S50" i="1"/>
  <c r="R50" i="1"/>
  <c r="S49" i="1"/>
  <c r="R49" i="1"/>
  <c r="S48" i="1"/>
  <c r="R48" i="1"/>
  <c r="S47" i="1"/>
  <c r="R47" i="1"/>
  <c r="Q47" i="1"/>
  <c r="S46" i="1"/>
  <c r="R46" i="1"/>
  <c r="Q46" i="1"/>
  <c r="S45" i="1"/>
  <c r="R45" i="1"/>
  <c r="S44" i="1"/>
  <c r="R44" i="1"/>
  <c r="S43" i="1"/>
  <c r="R43" i="1"/>
  <c r="S42" i="1"/>
  <c r="R42" i="1"/>
  <c r="Q41" i="1"/>
  <c r="Q40" i="1"/>
  <c r="Q35" i="1"/>
  <c r="Q34" i="1"/>
  <c r="R29" i="1"/>
  <c r="Q29" i="1"/>
  <c r="R28" i="1"/>
  <c r="Q28" i="1"/>
  <c r="R27" i="1"/>
  <c r="R26" i="1"/>
  <c r="R25" i="1"/>
  <c r="R24" i="1"/>
  <c r="R23" i="1"/>
  <c r="Q23" i="1"/>
  <c r="R22" i="1"/>
  <c r="Q22" i="1"/>
  <c r="R21" i="1"/>
  <c r="R20" i="1"/>
  <c r="R19" i="1"/>
  <c r="R18" i="1"/>
  <c r="R17" i="1"/>
  <c r="Q17" i="1"/>
  <c r="R16" i="1"/>
  <c r="Q16" i="1"/>
  <c r="R15" i="1"/>
  <c r="R14" i="1"/>
  <c r="R13" i="1"/>
  <c r="R12" i="1"/>
  <c r="R11" i="1"/>
  <c r="Q11" i="1"/>
  <c r="R10" i="1"/>
  <c r="Q10" i="1"/>
  <c r="R9" i="1"/>
  <c r="R8" i="1"/>
  <c r="R7" i="1"/>
  <c r="R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xz_chen</author>
    <author>zx_yang</author>
    <author>ph_li</author>
  </authors>
  <commentList>
    <comment ref="B1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xz_chen:</t>
        </r>
        <r>
          <rPr>
            <sz val="9"/>
            <rFont val="宋体"/>
            <family val="3"/>
            <charset val="134"/>
          </rPr>
          <t xml:space="preserve">
1.装备
2.格子</t>
        </r>
      </text>
    </comment>
    <comment ref="C1" authorId="0" shapeId="0" xr:uid="{00000000-0006-0000-0000-000002000000}">
      <text>
        <r>
          <rPr>
            <b/>
            <sz val="9"/>
            <rFont val="宋体"/>
            <family val="3"/>
            <charset val="134"/>
          </rPr>
          <t>xz_chen:</t>
        </r>
        <r>
          <rPr>
            <sz val="9"/>
            <rFont val="宋体"/>
            <family val="3"/>
            <charset val="134"/>
          </rPr>
          <t xml:space="preserve">
1）1格
2）横排2格
3）竖排2格
4）横排3格
5）竖排3格
6）L型3格（向下）
7）L型3格（向上）
8）丁字4格
9）L型4格
10）L型4格</t>
        </r>
      </text>
    </comment>
    <comment ref="G1" authorId="1" shapeId="0" xr:uid="{00000000-0006-0000-0000-000003000000}">
      <text>
        <r>
          <rPr>
            <sz val="9"/>
            <rFont val="宋体"/>
            <family val="3"/>
            <charset val="134"/>
          </rPr>
          <t xml:space="preserve">droidhang:
1水属性
2火属性
3光属性
4无属性
5暗属性
6土属性
7风属性
</t>
        </r>
      </text>
    </comment>
    <comment ref="J1" authorId="2" shapeId="0" xr:uid="{00000000-0006-0000-0000-000004000000}">
      <text>
        <r>
          <rPr>
            <b/>
            <sz val="9"/>
            <rFont val="宋体"/>
            <family val="3"/>
            <charset val="134"/>
          </rPr>
          <t>ph_li:</t>
        </r>
        <r>
          <rPr>
            <sz val="9"/>
            <rFont val="宋体"/>
            <family val="3"/>
            <charset val="134"/>
          </rPr>
          <t xml:space="preserve">
战斗中合成达到X阶后更换对应形象</t>
        </r>
      </text>
    </comment>
    <comment ref="K1" authorId="2" shapeId="0" xr:uid="{00000000-0006-0000-0000-000005000000}">
      <text>
        <r>
          <rPr>
            <b/>
            <sz val="9"/>
            <rFont val="宋体"/>
            <family val="3"/>
            <charset val="134"/>
          </rPr>
          <t>ph_li:</t>
        </r>
        <r>
          <rPr>
            <sz val="9"/>
            <rFont val="宋体"/>
            <family val="3"/>
            <charset val="134"/>
          </rPr>
          <t xml:space="preserve">
装备局外X级时，装备列表取对应的形象展示
，不填表示不会展示</t>
        </r>
      </text>
    </comment>
    <comment ref="L1" authorId="2" shapeId="0" xr:uid="{00000000-0006-0000-0000-000006000000}">
      <text>
        <r>
          <rPr>
            <b/>
            <sz val="9"/>
            <rFont val="宋体"/>
            <family val="3"/>
            <charset val="134"/>
          </rPr>
          <t>ph_li:</t>
        </r>
        <r>
          <rPr>
            <sz val="9"/>
            <rFont val="宋体"/>
            <family val="3"/>
            <charset val="134"/>
          </rPr>
          <t xml:space="preserve">
如果有多个则触发双属性选择</t>
        </r>
      </text>
    </comment>
    <comment ref="M1" authorId="2" shapeId="0" xr:uid="{00000000-0006-0000-0000-000007000000}">
      <text>
        <r>
          <rPr>
            <b/>
            <sz val="9"/>
            <rFont val="宋体"/>
            <family val="3"/>
            <charset val="134"/>
          </rPr>
          <t>ph_li:</t>
        </r>
        <r>
          <rPr>
            <sz val="9"/>
            <rFont val="宋体"/>
            <family val="3"/>
            <charset val="134"/>
          </rPr>
          <t xml:space="preserve">
模型附加的技能效果，对应equipSkill技能id</t>
        </r>
      </text>
    </comment>
    <comment ref="N1" authorId="2" shapeId="0" xr:uid="{00000000-0006-0000-0000-000008000000}">
      <text>
        <r>
          <rPr>
            <b/>
            <sz val="9"/>
            <rFont val="宋体"/>
            <family val="3"/>
            <charset val="134"/>
          </rPr>
          <t>ph_li:</t>
        </r>
        <r>
          <rPr>
            <sz val="9"/>
            <rFont val="宋体"/>
            <family val="3"/>
            <charset val="134"/>
          </rPr>
          <t xml:space="preserve">
表示钱袋每波开始时获得的银币数量</t>
        </r>
      </text>
    </comment>
    <comment ref="O1" authorId="2" shapeId="0" xr:uid="{00000000-0006-0000-0000-000009000000}">
      <text>
        <r>
          <rPr>
            <b/>
            <sz val="9"/>
            <rFont val="宋体"/>
            <family val="3"/>
            <charset val="134"/>
          </rPr>
          <t>ph_li:</t>
        </r>
        <r>
          <rPr>
            <sz val="9"/>
            <rFont val="宋体"/>
            <family val="3"/>
            <charset val="134"/>
          </rPr>
          <t xml:space="preserve">
合成阶数对应提升系数
万分比</t>
        </r>
      </text>
    </comment>
  </commentList>
</comments>
</file>

<file path=xl/sharedStrings.xml><?xml version="1.0" encoding="utf-8"?>
<sst xmlns="http://schemas.openxmlformats.org/spreadsheetml/2006/main" count="826" uniqueCount="525">
  <si>
    <t>装备形象id</t>
  </si>
  <si>
    <t>类型</t>
  </si>
  <si>
    <t>格子类型</t>
  </si>
  <si>
    <t>形象名称</t>
  </si>
  <si>
    <t>形象icon（小图）</t>
  </si>
  <si>
    <t>战斗形象（大图）</t>
  </si>
  <si>
    <t>属性类型</t>
  </si>
  <si>
    <t>所属装备</t>
  </si>
  <si>
    <t>关联圣物</t>
  </si>
  <si>
    <t>形象阶段</t>
  </si>
  <si>
    <t>展示等级</t>
  </si>
  <si>
    <t>合成后形象</t>
  </si>
  <si>
    <t>附加效果</t>
  </si>
  <si>
    <t>钱袋银币数量</t>
  </si>
  <si>
    <t>合成系数</t>
  </si>
  <si>
    <t>初始效果</t>
  </si>
  <si>
    <t>高阶特效</t>
  </si>
  <si>
    <t>发射音效</t>
  </si>
  <si>
    <t>命中音效</t>
  </si>
  <si>
    <t>合成提升属性</t>
  </si>
  <si>
    <t>both</t>
  </si>
  <si>
    <t>client</t>
  </si>
  <si>
    <t>id</t>
  </si>
  <si>
    <t>type</t>
  </si>
  <si>
    <t>gridType</t>
  </si>
  <si>
    <t>name</t>
  </si>
  <si>
    <t>pic</t>
  </si>
  <si>
    <t>battlePic</t>
  </si>
  <si>
    <t>attrType</t>
  </si>
  <si>
    <t>equip</t>
  </si>
  <si>
    <t>holy</t>
  </si>
  <si>
    <t>class</t>
  </si>
  <si>
    <t>showLv</t>
  </si>
  <si>
    <t>nextId</t>
  </si>
  <si>
    <t>effect</t>
  </si>
  <si>
    <t>coinNum</t>
  </si>
  <si>
    <t>compose</t>
  </si>
  <si>
    <t>initialEffect</t>
  </si>
  <si>
    <t>highEffect</t>
  </si>
  <si>
    <t>equipSfx</t>
  </si>
  <si>
    <t>equipSfx01</t>
  </si>
  <si>
    <t>synthesisAttr</t>
  </si>
  <si>
    <t>int</t>
  </si>
  <si>
    <t>string</t>
  </si>
  <si>
    <t>[int]</t>
  </si>
  <si>
    <t>[Attribute]</t>
  </si>
  <si>
    <t>长剑1阶</t>
  </si>
  <si>
    <t>equip_icon[icon_equip_0101]</t>
  </si>
  <si>
    <t>fight_icon[equip_0101]</t>
  </si>
  <si>
    <t>[102]</t>
  </si>
  <si>
    <t>[10000]</t>
  </si>
  <si>
    <t>[100]</t>
  </si>
  <si>
    <t>battle_monsterHit</t>
  </si>
  <si>
    <t>长剑2阶</t>
  </si>
  <si>
    <t>equip_icon[icon_equip_0102]</t>
  </si>
  <si>
    <t>fight_icon[equip_0102]</t>
  </si>
  <si>
    <t>[103]</t>
  </si>
  <si>
    <t>[15000]</t>
  </si>
  <si>
    <t>长剑3阶</t>
  </si>
  <si>
    <t>equip_icon[icon_equip_0103]</t>
  </si>
  <si>
    <t>fight_icon[equip_0103]</t>
  </si>
  <si>
    <t>[104]</t>
  </si>
  <si>
    <t>[23000]</t>
  </si>
  <si>
    <t>长剑4阶</t>
  </si>
  <si>
    <t>equip_icon[icon_equip_0104]</t>
  </si>
  <si>
    <t>fight_icon[equip_0104]</t>
  </si>
  <si>
    <t>[105,106]</t>
  </si>
  <si>
    <t>[35000]</t>
  </si>
  <si>
    <t>水之剑</t>
  </si>
  <si>
    <t>equip_icon[icon_equip_0105]</t>
  </si>
  <si>
    <t>fight_icon[equip_0105]</t>
  </si>
  <si>
    <t>[52000]</t>
  </si>
  <si>
    <t>火之剑</t>
  </si>
  <si>
    <t>equip_icon[icon_equip_0106]</t>
  </si>
  <si>
    <t>fight_icon[equip_0106]</t>
  </si>
  <si>
    <t>匕首1阶</t>
  </si>
  <si>
    <t>equip_icon[icon_equip_0201]</t>
  </si>
  <si>
    <t>fight_icon[equip_0201]</t>
  </si>
  <si>
    <t>[202]</t>
  </si>
  <si>
    <t>[200]</t>
  </si>
  <si>
    <t>匕首2阶</t>
  </si>
  <si>
    <t>equip_icon[icon_equip_0202]</t>
  </si>
  <si>
    <t>fight_icon[equip_0202]</t>
  </si>
  <si>
    <t>[203]</t>
  </si>
  <si>
    <t>匕首3阶</t>
  </si>
  <si>
    <t>equip_icon[icon_equip_0203]</t>
  </si>
  <si>
    <t>fight_icon[equip_0203]</t>
  </si>
  <si>
    <t>[204]</t>
  </si>
  <si>
    <t>匕首4阶</t>
  </si>
  <si>
    <t>equip_icon[icon_equip_0204]</t>
  </si>
  <si>
    <t>fight_icon[equip_0204]</t>
  </si>
  <si>
    <t>[205,206]</t>
  </si>
  <si>
    <t>风之刃</t>
  </si>
  <si>
    <t>equip_icon[icon_equip_0205]</t>
  </si>
  <si>
    <t>fight_icon[equip_0205]</t>
  </si>
  <si>
    <t>毒之刃</t>
  </si>
  <si>
    <t>equip_icon[icon_equip_0206]</t>
  </si>
  <si>
    <t>fight_icon[equip_0206]</t>
  </si>
  <si>
    <t>弓箭1阶</t>
  </si>
  <si>
    <t>equip_icon[icon_equip_0301]</t>
  </si>
  <si>
    <t>fight_icon[equip_0301]</t>
  </si>
  <si>
    <t>[302]</t>
  </si>
  <si>
    <t>[300]</t>
  </si>
  <si>
    <t>弓箭2阶</t>
  </si>
  <si>
    <t>equip_icon[icon_equip_0302]</t>
  </si>
  <si>
    <t>fight_icon[equip_0302]</t>
  </si>
  <si>
    <t>[303]</t>
  </si>
  <si>
    <t>弓箭3阶</t>
  </si>
  <si>
    <t>equip_icon[icon_equip_0303]</t>
  </si>
  <si>
    <t>fight_icon[equip_0303]</t>
  </si>
  <si>
    <t>[304]</t>
  </si>
  <si>
    <t>弓箭4阶</t>
  </si>
  <si>
    <t>equip_icon[icon_equip_0304]</t>
  </si>
  <si>
    <t>fight_icon[equip_0304]</t>
  </si>
  <si>
    <t>[305,306]</t>
  </si>
  <si>
    <t>光之弓</t>
  </si>
  <si>
    <t>equip_icon[icon_equip_0305]</t>
  </si>
  <si>
    <t>fight_icon[equip_0305]</t>
  </si>
  <si>
    <t>暗之弓</t>
  </si>
  <si>
    <t>equip_icon[icon_equip_0306]</t>
  </si>
  <si>
    <t>fight_icon[equip_0306]</t>
  </si>
  <si>
    <t>飞镖1阶</t>
  </si>
  <si>
    <t>equip_icon[icon_equip_0401]</t>
  </si>
  <si>
    <t>fight_icon[equip_0401]</t>
  </si>
  <si>
    <t>[402]</t>
  </si>
  <si>
    <t>[400]</t>
  </si>
  <si>
    <t>飞镖2阶</t>
  </si>
  <si>
    <t>equip_icon[icon_equip_0402]</t>
  </si>
  <si>
    <t>fight_icon[equip_0402]</t>
  </si>
  <si>
    <t>[403]</t>
  </si>
  <si>
    <t>飞镖3阶</t>
  </si>
  <si>
    <t>equip_icon[icon_equip_0403]</t>
  </si>
  <si>
    <t>fight_icon[equip_0403]</t>
  </si>
  <si>
    <t>[404]</t>
  </si>
  <si>
    <t>飞镖4阶</t>
  </si>
  <si>
    <t>equip_icon[icon_equip_0404]</t>
  </si>
  <si>
    <t>fight_icon[equip_0404]</t>
  </si>
  <si>
    <t>[405,406]</t>
  </si>
  <si>
    <t>暗之飞镖</t>
  </si>
  <si>
    <t>equip_icon[icon_equip_0405]</t>
  </si>
  <si>
    <t>fight_icon[equip_0405]</t>
  </si>
  <si>
    <t>风之飞镖</t>
  </si>
  <si>
    <t>equip_icon[icon_equip_0406]</t>
  </si>
  <si>
    <t>fight_icon[equip_0406]</t>
  </si>
  <si>
    <t>魔法帽1阶</t>
  </si>
  <si>
    <t>equip_icon[icon_equip_0501]</t>
  </si>
  <si>
    <t>fight_icon[equip_0501]</t>
  </si>
  <si>
    <t>[502]</t>
  </si>
  <si>
    <t>[10000,10000]</t>
  </si>
  <si>
    <t>[500]</t>
  </si>
  <si>
    <t>魔法帽2阶</t>
  </si>
  <si>
    <t>equip_icon[icon_equip_0502]</t>
  </si>
  <si>
    <t>fight_icon[equip_0502]</t>
  </si>
  <si>
    <t>[503]</t>
  </si>
  <si>
    <t>[15000,12000]</t>
  </si>
  <si>
    <t>魔法帽3阶</t>
  </si>
  <si>
    <t>equip_icon[icon_equip_0503]</t>
  </si>
  <si>
    <t>fight_icon[equip_0503]</t>
  </si>
  <si>
    <t>[504]</t>
  </si>
  <si>
    <t>[23000,16000]</t>
  </si>
  <si>
    <t>魔法帽4阶</t>
  </si>
  <si>
    <t>equip_icon[icon_equip_0504]</t>
  </si>
  <si>
    <t>fight_icon[equip_0504]</t>
  </si>
  <si>
    <t>[505,506]</t>
  </si>
  <si>
    <t>[35000,20000]</t>
  </si>
  <si>
    <t>地之魔法帽</t>
  </si>
  <si>
    <t>equip_icon[icon_equip_0505]</t>
  </si>
  <si>
    <t>fight_icon[equip_0505]</t>
  </si>
  <si>
    <t>[52000,24000]</t>
  </si>
  <si>
    <t>暗之魔法帽</t>
  </si>
  <si>
    <t>equip_icon[icon_equip_0506]</t>
  </si>
  <si>
    <t>fight_icon[equip_0506]</t>
  </si>
  <si>
    <t>手套1阶</t>
  </si>
  <si>
    <t>equip_icon[icon_equip_0601]</t>
  </si>
  <si>
    <t>fight_icon[equip_0601]</t>
  </si>
  <si>
    <t>[602]</t>
  </si>
  <si>
    <t>[600]</t>
  </si>
  <si>
    <t>手套2阶</t>
  </si>
  <si>
    <t>equip_icon[icon_equip_0602]</t>
  </si>
  <si>
    <t>fight_icon[equip_0602]</t>
  </si>
  <si>
    <t>[603]</t>
  </si>
  <si>
    <t>手套3阶</t>
  </si>
  <si>
    <t>equip_icon[icon_equip_0603]</t>
  </si>
  <si>
    <t>fight_icon[equip_0603]</t>
  </si>
  <si>
    <t>[604]</t>
  </si>
  <si>
    <t>手套4阶</t>
  </si>
  <si>
    <t>equip_icon[icon_equip_0604]</t>
  </si>
  <si>
    <t>fight_icon[equip_0604]</t>
  </si>
  <si>
    <t>[605,606]</t>
  </si>
  <si>
    <t>火之手套</t>
  </si>
  <si>
    <t>equip_icon[icon_equip_0605]</t>
  </si>
  <si>
    <t>fight_icon[equip_0605]</t>
  </si>
  <si>
    <t>风之手套</t>
  </si>
  <si>
    <t>equip_icon[icon_equip_0606]</t>
  </si>
  <si>
    <t>fight_icon[equip_0606]</t>
  </si>
  <si>
    <t>冰杖1阶</t>
  </si>
  <si>
    <t>equip_icon[icon_equip_0701]</t>
  </si>
  <si>
    <t>fight_icon[equip_0701]</t>
  </si>
  <si>
    <t>[702]</t>
  </si>
  <si>
    <t>[700]</t>
  </si>
  <si>
    <t>冰杖2阶</t>
  </si>
  <si>
    <t>equip_icon[icon_equip_0702]</t>
  </si>
  <si>
    <t>fight_icon[equip_0702]</t>
  </si>
  <si>
    <t>[703]</t>
  </si>
  <si>
    <t>冰杖3阶</t>
  </si>
  <si>
    <t>equip_icon[icon_equip_0703]</t>
  </si>
  <si>
    <t>fight_icon[equip_0703]</t>
  </si>
  <si>
    <t>[704]</t>
  </si>
  <si>
    <t>冰杖4阶</t>
  </si>
  <si>
    <t>equip_icon[icon_equip_0704]</t>
  </si>
  <si>
    <t>fight_icon[equip_0704]</t>
  </si>
  <si>
    <t>[705,706]</t>
  </si>
  <si>
    <t>冰霜法杖</t>
  </si>
  <si>
    <t>equip_icon[icon_equip_0705]</t>
  </si>
  <si>
    <t>fight_icon[equip_0705]</t>
  </si>
  <si>
    <t>暴风雪法杖</t>
  </si>
  <si>
    <t>equip_icon[icon_equip_0706]</t>
  </si>
  <si>
    <t>fight_icon[equip_0706]</t>
  </si>
  <si>
    <t>毒药瓶1阶</t>
  </si>
  <si>
    <t>equip_icon[icon_equip_0801]</t>
  </si>
  <si>
    <t>fight_icon[equip_0801]</t>
  </si>
  <si>
    <t>[802]</t>
  </si>
  <si>
    <t>[800]</t>
  </si>
  <si>
    <t>毒药瓶2阶</t>
  </si>
  <si>
    <t>equip_icon[icon_equip_0802]</t>
  </si>
  <si>
    <t>fight_icon[equip_0802]</t>
  </si>
  <si>
    <t>[803]</t>
  </si>
  <si>
    <t>毒药瓶3阶</t>
  </si>
  <si>
    <t>equip_icon[icon_equip_0803]</t>
  </si>
  <si>
    <t>fight_icon[equip_0803]</t>
  </si>
  <si>
    <t>[804]</t>
  </si>
  <si>
    <t>毒药瓶4阶</t>
  </si>
  <si>
    <t>equip_icon[icon_equip_0804]</t>
  </si>
  <si>
    <t>fight_icon[equip_0804]</t>
  </si>
  <si>
    <t>[805,806]</t>
  </si>
  <si>
    <t>麻痹毒药</t>
  </si>
  <si>
    <t>equip_icon[icon_equip_0805]</t>
  </si>
  <si>
    <t>fight_icon[equip_0805]</t>
  </si>
  <si>
    <t>烈性毒药</t>
  </si>
  <si>
    <t>equip_icon[icon_equip_0806]</t>
  </si>
  <si>
    <t>fight_icon[equip_0806]</t>
  </si>
  <si>
    <t>钱袋1阶</t>
  </si>
  <si>
    <t>equip_icon[icon_equip_0901]</t>
  </si>
  <si>
    <t>fight_icon[equip_0901]</t>
  </si>
  <si>
    <t>[902]</t>
  </si>
  <si>
    <t>钱袋2阶</t>
  </si>
  <si>
    <t>equip_icon[icon_equip_0902]</t>
  </si>
  <si>
    <t>fight_icon[equip_0902]</t>
  </si>
  <si>
    <t>[903]</t>
  </si>
  <si>
    <t>钱袋3阶</t>
  </si>
  <si>
    <t>equip_icon[icon_equip_0903]</t>
  </si>
  <si>
    <t>fight_icon[equip_0903]</t>
  </si>
  <si>
    <t>[904]</t>
  </si>
  <si>
    <t>钱袋4阶</t>
  </si>
  <si>
    <t>equip_icon[icon_equip_0904]</t>
  </si>
  <si>
    <t>fight_icon[equip_0904]</t>
  </si>
  <si>
    <t>空白格子1</t>
  </si>
  <si>
    <t>fight_icon[equip_1001]</t>
  </si>
  <si>
    <t>横排格子2</t>
  </si>
  <si>
    <t>fight_icon[equip_1002]</t>
  </si>
  <si>
    <t>竖排格子2</t>
  </si>
  <si>
    <t>fight_icon[equip_1003]</t>
  </si>
  <si>
    <t>横排格子3</t>
  </si>
  <si>
    <t>fight_icon[equip_1004]</t>
  </si>
  <si>
    <t>竖排格子3</t>
  </si>
  <si>
    <t>fight_icon[equip_1005]</t>
  </si>
  <si>
    <t>L型3格</t>
  </si>
  <si>
    <t>fight_icon[equip_1006]</t>
  </si>
  <si>
    <t>L型3格（反转）</t>
  </si>
  <si>
    <t>fight_icon[equip_1007]</t>
  </si>
  <si>
    <t>丁字4格</t>
  </si>
  <si>
    <t>fight_icon[equip_1008]</t>
  </si>
  <si>
    <t>L型4格</t>
  </si>
  <si>
    <t>fight_icon[equip_1009]</t>
  </si>
  <si>
    <t>田字4格</t>
  </si>
  <si>
    <t>fight_icon[equip_1010]</t>
  </si>
  <si>
    <t>回旋镖1阶</t>
  </si>
  <si>
    <t>equip_icon[icon_equip_1101]</t>
  </si>
  <si>
    <t>fight_icon[equip_1101]</t>
  </si>
  <si>
    <t>[1102]</t>
  </si>
  <si>
    <t>[1100]</t>
  </si>
  <si>
    <t>回旋镖2阶</t>
  </si>
  <si>
    <t>equip_icon[icon_equip_1102]</t>
  </si>
  <si>
    <t>fight_icon[equip_1102]</t>
  </si>
  <si>
    <t>[1103]</t>
  </si>
  <si>
    <t>回旋镖3阶</t>
  </si>
  <si>
    <t>equip_icon[icon_equip_1103]</t>
  </si>
  <si>
    <t>fight_icon[equip_1103]</t>
  </si>
  <si>
    <t>[1104]</t>
  </si>
  <si>
    <t>回旋镖4阶</t>
  </si>
  <si>
    <t>equip_icon[icon_equip_1104]</t>
  </si>
  <si>
    <t>fight_icon[equip_1104]</t>
  </si>
  <si>
    <t>[1105,1106]</t>
  </si>
  <si>
    <t>地之回响</t>
  </si>
  <si>
    <t>equip_icon[icon_equip_1105]</t>
  </si>
  <si>
    <t>fight_icon[equip_1105]</t>
  </si>
  <si>
    <t>水之回响</t>
  </si>
  <si>
    <t>equip_icon[icon_equip_1106]</t>
  </si>
  <si>
    <t>fight_icon[equip_1106]</t>
  </si>
  <si>
    <t>投掷斧1阶</t>
  </si>
  <si>
    <t>equip_icon[icon_equip_1201]</t>
  </si>
  <si>
    <t>fight_icon[equip_1201]</t>
  </si>
  <si>
    <t>[1202]</t>
  </si>
  <si>
    <t>[1200]</t>
  </si>
  <si>
    <t>投掷斧2阶</t>
  </si>
  <si>
    <t>equip_icon[icon_equip_1202]</t>
  </si>
  <si>
    <t>fight_icon[equip_1202]</t>
  </si>
  <si>
    <t>[1203]</t>
  </si>
  <si>
    <t>投掷斧3阶</t>
  </si>
  <si>
    <t>equip_icon[icon_equip_1203]</t>
  </si>
  <si>
    <t>fight_icon[equip_1203]</t>
  </si>
  <si>
    <t>[1204]</t>
  </si>
  <si>
    <t>投掷斧4阶</t>
  </si>
  <si>
    <t>equip_icon[icon_equip_1204]</t>
  </si>
  <si>
    <t>fight_icon[equip_1204]</t>
  </si>
  <si>
    <t>[1205,1206]</t>
  </si>
  <si>
    <t>大地之斧</t>
  </si>
  <si>
    <t>equip_icon[icon_equip_1205]</t>
  </si>
  <si>
    <t>fight_icon[equip_1205]</t>
  </si>
  <si>
    <t>黑暗之斧</t>
  </si>
  <si>
    <t>equip_icon[icon_equip_1206]</t>
  </si>
  <si>
    <t>fight_icon[equip_1206]</t>
  </si>
  <si>
    <t>火球术1阶</t>
  </si>
  <si>
    <t>equip_icon[icon_equip_1301]</t>
  </si>
  <si>
    <t>fight_icon[equip_1301]</t>
  </si>
  <si>
    <t>[1302]</t>
  </si>
  <si>
    <t>[1300]</t>
  </si>
  <si>
    <t>火球术2阶</t>
  </si>
  <si>
    <t>equip_icon[icon_equip_1302]</t>
  </si>
  <si>
    <t>fight_icon[equip_1302]</t>
  </si>
  <si>
    <t>[1303]</t>
  </si>
  <si>
    <t>火球术3阶</t>
  </si>
  <si>
    <t>equip_icon[icon_equip_1303]</t>
  </si>
  <si>
    <t>fight_icon[equip_1303]</t>
  </si>
  <si>
    <t>[1304]</t>
  </si>
  <si>
    <t>火球术4阶</t>
  </si>
  <si>
    <t>equip_icon[icon_equip_1304]</t>
  </si>
  <si>
    <t>fight_icon[equip_1304]</t>
  </si>
  <si>
    <t>雷电法杖1阶</t>
  </si>
  <si>
    <t>equip_icon[icon_equip_1401]</t>
  </si>
  <si>
    <t>fight_icon[equip_1401]</t>
  </si>
  <si>
    <t>[1402]</t>
  </si>
  <si>
    <t>[1400]</t>
  </si>
  <si>
    <t>雷电法杖2阶</t>
  </si>
  <si>
    <t>equip_icon[icon_equip_1402]</t>
  </si>
  <si>
    <t>fight_icon[equip_1402]</t>
  </si>
  <si>
    <t>[1403]</t>
  </si>
  <si>
    <t>雷电法杖3阶</t>
  </si>
  <si>
    <t>equip_icon[icon_equip_1403]</t>
  </si>
  <si>
    <t>fight_icon[equip_1403]</t>
  </si>
  <si>
    <t>[1404]</t>
  </si>
  <si>
    <t>雷电法杖4阶</t>
  </si>
  <si>
    <t>equip_icon[icon_equip_1404]</t>
  </si>
  <si>
    <t>fight_icon[equip_1404]</t>
  </si>
  <si>
    <t>[1405,1406]</t>
  </si>
  <si>
    <t>凤凰魔杖</t>
  </si>
  <si>
    <t>equip_icon[icon_equip_1405]</t>
  </si>
  <si>
    <t>fight_icon[equip_1405]</t>
  </si>
  <si>
    <t>雷神权杖</t>
  </si>
  <si>
    <t>equip_icon[icon_equip_1406]</t>
  </si>
  <si>
    <t>fight_icon[equip_1406]</t>
  </si>
  <si>
    <t>腰带1阶</t>
  </si>
  <si>
    <t>equip_icon[icon_equip_1501]</t>
  </si>
  <si>
    <t>fight_icon[equip_1501]</t>
  </si>
  <si>
    <t>[1502]</t>
  </si>
  <si>
    <t>[1500]</t>
  </si>
  <si>
    <t>腰带2阶</t>
  </si>
  <si>
    <t>equip_icon[icon_equip_1502]</t>
  </si>
  <si>
    <t>fight_icon[equip_1502]</t>
  </si>
  <si>
    <t>[1503]</t>
  </si>
  <si>
    <t>腰带3阶</t>
  </si>
  <si>
    <t>equip_icon[icon_equip_1503]</t>
  </si>
  <si>
    <t>fight_icon[equip_1503]</t>
  </si>
  <si>
    <t>[1504]</t>
  </si>
  <si>
    <t>腰带4阶</t>
  </si>
  <si>
    <t>equip_icon[icon_equip_1504]</t>
  </si>
  <si>
    <t>fight_icon[equip_1504]</t>
  </si>
  <si>
    <t>沙漏1阶</t>
  </si>
  <si>
    <t>equip_icon[icon_equip_1601]</t>
  </si>
  <si>
    <t>fight_icon[equip_1601]</t>
  </si>
  <si>
    <t>[1602]</t>
  </si>
  <si>
    <t>[1600]</t>
  </si>
  <si>
    <t>battle_weaponShot1600</t>
  </si>
  <si>
    <t>battle_WeaponHit1600</t>
  </si>
  <si>
    <t>沙漏2阶</t>
  </si>
  <si>
    <t>equip_icon[icon_equip_1602]</t>
  </si>
  <si>
    <t>fight_icon[equip_1602]</t>
  </si>
  <si>
    <t>[1603]</t>
  </si>
  <si>
    <t>沙漏3阶</t>
  </si>
  <si>
    <t>equip_icon[icon_equip_1603]</t>
  </si>
  <si>
    <t>fight_icon[equip_1603]</t>
  </si>
  <si>
    <t>[1604]</t>
  </si>
  <si>
    <t>沙漏4阶</t>
  </si>
  <si>
    <t>equip_icon[icon_equip_1604]</t>
  </si>
  <si>
    <t>fight_icon[equip_1604]</t>
  </si>
  <si>
    <t>魔杖盒1阶</t>
  </si>
  <si>
    <t>equip_icon[icon_equip_1701]</t>
  </si>
  <si>
    <t>fight_icon[equip_1701]</t>
  </si>
  <si>
    <t>[1702]</t>
  </si>
  <si>
    <t>[1700]</t>
  </si>
  <si>
    <t>battle_weaponShot1700</t>
  </si>
  <si>
    <t>battle_WeaponHit1700</t>
  </si>
  <si>
    <t>魔杖盒2阶</t>
  </si>
  <si>
    <t>equip_icon[icon_equip_1702]</t>
  </si>
  <si>
    <t>fight_icon[equip_1702]</t>
  </si>
  <si>
    <t>[1703]</t>
  </si>
  <si>
    <t>魔杖盒3阶</t>
  </si>
  <si>
    <t>equip_icon[icon_equip_1703]</t>
  </si>
  <si>
    <t>fight_icon[equip_1703]</t>
  </si>
  <si>
    <t>[1704]</t>
  </si>
  <si>
    <t>魔杖盒4阶</t>
  </si>
  <si>
    <t>equip_icon[icon_equip_1704]</t>
  </si>
  <si>
    <t>fight_icon[equip_1704]</t>
  </si>
  <si>
    <t>飞天扫帚1阶</t>
  </si>
  <si>
    <t>equip_icon[icon_equip_1801]</t>
  </si>
  <si>
    <t>fight_icon[equip_1801]</t>
  </si>
  <si>
    <t>[1802]</t>
  </si>
  <si>
    <t>[1800]</t>
  </si>
  <si>
    <t>battle_weaponShot1800</t>
  </si>
  <si>
    <t>battle_WeaponHit1800</t>
  </si>
  <si>
    <t>飞天扫帚2阶</t>
  </si>
  <si>
    <t>equip_icon[icon_equip_1802]</t>
  </si>
  <si>
    <t>fight_icon[equip_1802]</t>
  </si>
  <si>
    <t>[1803]</t>
  </si>
  <si>
    <t>飞天扫帚3阶</t>
  </si>
  <si>
    <t>equip_icon[icon_equip_1803]</t>
  </si>
  <si>
    <t>fight_icon[equip_1803]</t>
  </si>
  <si>
    <t>[1804]</t>
  </si>
  <si>
    <t>飞天扫帚4阶</t>
  </si>
  <si>
    <t>equip_icon[icon_equip_1804]</t>
  </si>
  <si>
    <t>fight_icon[equip_1804]</t>
  </si>
  <si>
    <t>魔法斗篷1阶</t>
  </si>
  <si>
    <t>equip_icon[icon_equip_1901]</t>
  </si>
  <si>
    <t>fight_icon[equip_1901]</t>
  </si>
  <si>
    <t>[1902]</t>
  </si>
  <si>
    <t>[1900]</t>
  </si>
  <si>
    <t>魔法斗篷2阶</t>
  </si>
  <si>
    <t>equip_icon[icon_equip_1902]</t>
  </si>
  <si>
    <t>fight_icon[equip_1902]</t>
  </si>
  <si>
    <t>[1903]</t>
  </si>
  <si>
    <t>魔法斗篷3阶</t>
  </si>
  <si>
    <t>equip_icon[icon_equip_1903]</t>
  </si>
  <si>
    <t>fight_icon[equip_1903]</t>
  </si>
  <si>
    <t>[1904]</t>
  </si>
  <si>
    <t>魔法斗篷4阶</t>
  </si>
  <si>
    <t>equip_icon[icon_equip_1904]</t>
  </si>
  <si>
    <t>fight_icon[equip_1904]</t>
  </si>
  <si>
    <t>魔戒1阶</t>
  </si>
  <si>
    <t>equip_icon[icon_equip_2001]</t>
  </si>
  <si>
    <t>fight_icon[equip_2001]</t>
  </si>
  <si>
    <t>[2002]</t>
  </si>
  <si>
    <t>[2000]</t>
  </si>
  <si>
    <t>[{critRate,100}]</t>
  </si>
  <si>
    <t>魔戒2阶</t>
  </si>
  <si>
    <t>equip_icon[icon_equip_2002]</t>
  </si>
  <si>
    <t>fight_icon[equip_2002]</t>
  </si>
  <si>
    <t>[2003]</t>
  </si>
  <si>
    <t>[{critRate,300}]</t>
  </si>
  <si>
    <t>魔戒3阶</t>
  </si>
  <si>
    <t>equip_icon[icon_equip_2003]</t>
  </si>
  <si>
    <t>fight_icon[equip_2003]</t>
  </si>
  <si>
    <t>[2004]</t>
  </si>
  <si>
    <t>[{critRate,500}]</t>
  </si>
  <si>
    <t>魔戒4阶</t>
  </si>
  <si>
    <t>equip_icon[icon_equip_2004]</t>
  </si>
  <si>
    <t>fight_icon[equip_2004]</t>
  </si>
  <si>
    <t>[{critRate,700}]</t>
  </si>
  <si>
    <t>水晶球1阶</t>
  </si>
  <si>
    <t>equip_icon[icon_equip_2201]</t>
  </si>
  <si>
    <t>fight_icon[equip_2201]</t>
  </si>
  <si>
    <t>[2202]</t>
  </si>
  <si>
    <t>[2200]</t>
  </si>
  <si>
    <t>battle_weaponShot2200</t>
  </si>
  <si>
    <t>battle_WeaponHit2200</t>
  </si>
  <si>
    <t>水晶球2阶</t>
  </si>
  <si>
    <t>equip_icon[icon_equip_2202]</t>
  </si>
  <si>
    <t>fight_icon[equip_2202]</t>
  </si>
  <si>
    <t>[2203]</t>
  </si>
  <si>
    <t>水晶球3阶</t>
  </si>
  <si>
    <t>equip_icon[icon_equip_2203]</t>
  </si>
  <si>
    <t>fight_icon[equip_2203]</t>
  </si>
  <si>
    <t>[2204]</t>
  </si>
  <si>
    <t>水晶球4阶</t>
  </si>
  <si>
    <t>equip_icon[icon_equip_2204]</t>
  </si>
  <si>
    <t>fight_icon[equip_2204]</t>
  </si>
  <si>
    <t>三叉戟1阶</t>
  </si>
  <si>
    <t>equip_icon[icon_equip_2401]</t>
  </si>
  <si>
    <t>fight_icon[equip_2401]</t>
  </si>
  <si>
    <t>[2402]</t>
  </si>
  <si>
    <t>[2400]</t>
  </si>
  <si>
    <t>三叉戟2阶</t>
  </si>
  <si>
    <t>equip_icon[icon_equip_2402]</t>
  </si>
  <si>
    <t>fight_icon[equip_2402]</t>
  </si>
  <si>
    <t>[2403]</t>
  </si>
  <si>
    <t>三叉戟3阶</t>
  </si>
  <si>
    <t>equip_icon[icon_equip_2403]</t>
  </si>
  <si>
    <t>fight_icon[equip_2403]</t>
  </si>
  <si>
    <t>[2404]</t>
  </si>
  <si>
    <t>三叉戟4阶</t>
  </si>
  <si>
    <t>equip_icon[icon_equip_2404]</t>
  </si>
  <si>
    <t>fight_icon[equip_2404]</t>
  </si>
  <si>
    <t>[2405]</t>
  </si>
  <si>
    <t>三叉戟5阶</t>
  </si>
  <si>
    <t>equip_icon[icon_equip_2405]</t>
  </si>
  <si>
    <t>fight_icon[equip_2405]</t>
  </si>
  <si>
    <t>老魔杖1阶</t>
  </si>
  <si>
    <t>equip_icon[icon_equip_2501]</t>
  </si>
  <si>
    <t>fight_icon[equip_2501]</t>
  </si>
  <si>
    <t>[2502]</t>
  </si>
  <si>
    <t>[2500]</t>
  </si>
  <si>
    <t>老魔杖2阶</t>
  </si>
  <si>
    <t>equip_icon[icon_equip_2502]</t>
  </si>
  <si>
    <t>fight_icon[equip_2502]</t>
  </si>
  <si>
    <t>[2503]</t>
  </si>
  <si>
    <t>老魔杖3阶</t>
  </si>
  <si>
    <t>fight_icon[equip_2503]</t>
  </si>
  <si>
    <t>[2504]</t>
  </si>
  <si>
    <t>老魔杖4阶</t>
  </si>
  <si>
    <t>equip_icon[icon_equip_2504]</t>
  </si>
  <si>
    <t>fight_icon[equip_2504]</t>
  </si>
  <si>
    <t>[2505]</t>
  </si>
  <si>
    <t>老魔杖5阶</t>
  </si>
  <si>
    <t>equip_icon[icon_equip_2503]</t>
    <phoneticPr fontId="8" type="noConversion"/>
  </si>
  <si>
    <t>equip_icon[icon_equip_2505]</t>
  </si>
  <si>
    <t>fight_icon[equip_2505]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</si>
</sst>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>
    <font>
      <sz val="11"/>
      <color theme="1"/>
      <name val="宋体"/>
      <charset val="134"/>
      <scheme val="minor"/>
    </font>
    <font>
      <sz val="12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2"/>
      <color theme="0"/>
      <name val="微软雅黑"/>
      <family val="2"/>
      <charset val="134"/>
    </font>
    <font>
      <sz val="12"/>
      <name val="微软雅黑"/>
      <family val="2"/>
      <charset val="134"/>
    </font>
    <font>
      <b/>
      <sz val="10"/>
      <name val="微软雅黑"/>
      <family val="2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3"/>
  <sheetViews>
    <sheetView tabSelected="1" workbookViewId="0">
      <pane ySplit="5" topLeftCell="A115" activePane="bottomLeft" state="frozen"/>
      <selection pane="bottomLeft" activeCell="I138" sqref="I138"/>
    </sheetView>
  </sheetViews>
  <sheetFormatPr defaultColWidth="9" defaultRowHeight="17.25"/>
  <cols>
    <col min="1" max="3" width="10.75" style="1" customWidth="1"/>
    <col min="4" max="4" width="15.75" style="1" customWidth="1"/>
    <col min="5" max="5" width="24.5" style="1" customWidth="1"/>
    <col min="6" max="6" width="24.125" style="1" customWidth="1"/>
    <col min="8" max="9" width="11.875" style="1" customWidth="1"/>
    <col min="12" max="13" width="11.5" customWidth="1"/>
    <col min="14" max="16" width="15.625" style="1" customWidth="1"/>
    <col min="17" max="17" width="23.875" style="1" customWidth="1"/>
    <col min="18" max="19" width="23.125" style="1" customWidth="1"/>
    <col min="20" max="20" width="14.625" style="2" customWidth="1"/>
  </cols>
  <sheetData>
    <row r="1" spans="1:2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7" t="s">
        <v>19</v>
      </c>
    </row>
    <row r="2" spans="1:20">
      <c r="A2" s="3" t="s">
        <v>20</v>
      </c>
      <c r="B2" s="3" t="s">
        <v>20</v>
      </c>
      <c r="C2" s="3" t="s">
        <v>20</v>
      </c>
      <c r="D2" s="3"/>
      <c r="E2" s="3" t="s">
        <v>20</v>
      </c>
      <c r="F2" s="3" t="s">
        <v>20</v>
      </c>
      <c r="G2" s="3" t="s">
        <v>20</v>
      </c>
      <c r="H2" s="3" t="s">
        <v>20</v>
      </c>
      <c r="I2" s="3" t="s">
        <v>20</v>
      </c>
      <c r="J2" s="3" t="s">
        <v>20</v>
      </c>
      <c r="K2" s="3" t="s">
        <v>20</v>
      </c>
      <c r="L2" s="3" t="s">
        <v>20</v>
      </c>
      <c r="M2" s="3" t="s">
        <v>20</v>
      </c>
      <c r="N2" s="3" t="s">
        <v>20</v>
      </c>
      <c r="O2" s="3" t="s">
        <v>20</v>
      </c>
      <c r="P2" s="3" t="s">
        <v>20</v>
      </c>
      <c r="Q2" s="3" t="s">
        <v>21</v>
      </c>
      <c r="R2" s="3" t="s">
        <v>20</v>
      </c>
      <c r="S2" s="3" t="s">
        <v>20</v>
      </c>
      <c r="T2" s="3" t="s">
        <v>20</v>
      </c>
    </row>
    <row r="3" spans="1:20">
      <c r="A3" s="3" t="s">
        <v>22</v>
      </c>
      <c r="B3" s="3" t="s">
        <v>23</v>
      </c>
      <c r="C3" s="3" t="s">
        <v>24</v>
      </c>
      <c r="D3" s="3" t="s">
        <v>25</v>
      </c>
      <c r="E3" s="4" t="s">
        <v>26</v>
      </c>
      <c r="F3" s="4" t="s">
        <v>27</v>
      </c>
      <c r="G3" s="3" t="s">
        <v>28</v>
      </c>
      <c r="H3" s="4" t="s">
        <v>29</v>
      </c>
      <c r="I3" s="4" t="s">
        <v>30</v>
      </c>
      <c r="J3" s="4" t="s">
        <v>31</v>
      </c>
      <c r="K3" s="4" t="s">
        <v>32</v>
      </c>
      <c r="L3" s="4" t="s">
        <v>33</v>
      </c>
      <c r="M3" s="4" t="s">
        <v>34</v>
      </c>
      <c r="N3" s="4" t="s">
        <v>35</v>
      </c>
      <c r="O3" s="4" t="s">
        <v>36</v>
      </c>
      <c r="P3" s="4" t="s">
        <v>37</v>
      </c>
      <c r="Q3" s="4" t="s">
        <v>38</v>
      </c>
      <c r="R3" s="4" t="s">
        <v>39</v>
      </c>
      <c r="S3" s="4" t="s">
        <v>40</v>
      </c>
      <c r="T3" s="8" t="s">
        <v>41</v>
      </c>
    </row>
    <row r="4" spans="1:20">
      <c r="A4" s="3" t="s">
        <v>42</v>
      </c>
      <c r="B4" s="3" t="s">
        <v>42</v>
      </c>
      <c r="C4" s="3" t="s">
        <v>42</v>
      </c>
      <c r="D4" s="3" t="s">
        <v>43</v>
      </c>
      <c r="E4" s="4" t="s">
        <v>43</v>
      </c>
      <c r="F4" s="4" t="s">
        <v>43</v>
      </c>
      <c r="G4" s="3" t="s">
        <v>42</v>
      </c>
      <c r="H4" s="4" t="s">
        <v>42</v>
      </c>
      <c r="I4" s="4" t="s">
        <v>42</v>
      </c>
      <c r="J4" s="3" t="s">
        <v>42</v>
      </c>
      <c r="K4" s="3" t="s">
        <v>42</v>
      </c>
      <c r="L4" s="3" t="s">
        <v>44</v>
      </c>
      <c r="M4" s="3" t="s">
        <v>42</v>
      </c>
      <c r="N4" s="4" t="s">
        <v>42</v>
      </c>
      <c r="O4" s="4" t="s">
        <v>44</v>
      </c>
      <c r="P4" s="4" t="s">
        <v>44</v>
      </c>
      <c r="Q4" s="4" t="s">
        <v>43</v>
      </c>
      <c r="R4" s="4" t="s">
        <v>43</v>
      </c>
      <c r="S4" s="4" t="s">
        <v>43</v>
      </c>
      <c r="T4" s="9" t="s">
        <v>45</v>
      </c>
    </row>
    <row r="5" spans="1:20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20">
      <c r="A6" s="5">
        <v>101</v>
      </c>
      <c r="B6" s="5">
        <v>1</v>
      </c>
      <c r="C6" s="5">
        <v>5</v>
      </c>
      <c r="D6" s="5" t="s">
        <v>46</v>
      </c>
      <c r="E6" s="5" t="s">
        <v>47</v>
      </c>
      <c r="F6" s="5" t="s">
        <v>48</v>
      </c>
      <c r="G6" s="5">
        <v>4</v>
      </c>
      <c r="H6" s="5">
        <v>1</v>
      </c>
      <c r="I6" s="5"/>
      <c r="J6" s="6">
        <v>1</v>
      </c>
      <c r="K6" s="6">
        <v>1</v>
      </c>
      <c r="L6" s="6" t="s">
        <v>49</v>
      </c>
      <c r="M6" s="6"/>
      <c r="N6" s="6"/>
      <c r="O6" s="6" t="s">
        <v>50</v>
      </c>
      <c r="P6" s="6" t="s">
        <v>51</v>
      </c>
      <c r="Q6" s="6"/>
      <c r="R6" s="6" t="str">
        <f>"battle_weaponShot"&amp;$H6*100</f>
        <v>battle_weaponShot100</v>
      </c>
      <c r="S6" s="6" t="s">
        <v>52</v>
      </c>
    </row>
    <row r="7" spans="1:20">
      <c r="A7" s="5">
        <v>102</v>
      </c>
      <c r="B7" s="5">
        <v>1</v>
      </c>
      <c r="C7" s="5">
        <v>5</v>
      </c>
      <c r="D7" s="5" t="s">
        <v>53</v>
      </c>
      <c r="E7" s="5" t="s">
        <v>54</v>
      </c>
      <c r="F7" s="5" t="s">
        <v>55</v>
      </c>
      <c r="G7" s="5">
        <v>4</v>
      </c>
      <c r="H7" s="5">
        <v>1</v>
      </c>
      <c r="I7" s="5"/>
      <c r="J7" s="6">
        <v>2</v>
      </c>
      <c r="K7" s="6">
        <v>6</v>
      </c>
      <c r="L7" s="6" t="s">
        <v>56</v>
      </c>
      <c r="M7" s="6"/>
      <c r="N7" s="6"/>
      <c r="O7" s="6" t="s">
        <v>57</v>
      </c>
      <c r="P7" s="6" t="s">
        <v>51</v>
      </c>
      <c r="Q7" s="6"/>
      <c r="R7" s="6" t="str">
        <f t="shared" ref="R7:R29" si="0">"battle_weaponShot"&amp;$H7*100</f>
        <v>battle_weaponShot100</v>
      </c>
      <c r="S7" s="6" t="s">
        <v>52</v>
      </c>
    </row>
    <row r="8" spans="1:20">
      <c r="A8" s="5">
        <v>103</v>
      </c>
      <c r="B8" s="5">
        <v>1</v>
      </c>
      <c r="C8" s="5">
        <v>5</v>
      </c>
      <c r="D8" s="5" t="s">
        <v>58</v>
      </c>
      <c r="E8" s="5" t="s">
        <v>59</v>
      </c>
      <c r="F8" s="5" t="s">
        <v>60</v>
      </c>
      <c r="G8" s="5">
        <v>4</v>
      </c>
      <c r="H8" s="5">
        <v>1</v>
      </c>
      <c r="I8" s="5"/>
      <c r="J8" s="6">
        <v>3</v>
      </c>
      <c r="K8" s="6">
        <v>12</v>
      </c>
      <c r="L8" s="6" t="s">
        <v>61</v>
      </c>
      <c r="M8" s="6"/>
      <c r="N8" s="6"/>
      <c r="O8" s="6" t="s">
        <v>62</v>
      </c>
      <c r="P8" s="6" t="s">
        <v>51</v>
      </c>
      <c r="Q8" s="6"/>
      <c r="R8" s="6" t="str">
        <f t="shared" si="0"/>
        <v>battle_weaponShot100</v>
      </c>
      <c r="S8" s="6" t="s">
        <v>52</v>
      </c>
    </row>
    <row r="9" spans="1:20">
      <c r="A9" s="5">
        <v>104</v>
      </c>
      <c r="B9" s="5">
        <v>1</v>
      </c>
      <c r="C9" s="5">
        <v>5</v>
      </c>
      <c r="D9" s="5" t="s">
        <v>63</v>
      </c>
      <c r="E9" s="5" t="s">
        <v>64</v>
      </c>
      <c r="F9" s="5" t="s">
        <v>65</v>
      </c>
      <c r="G9" s="5">
        <v>4</v>
      </c>
      <c r="H9" s="5">
        <v>1</v>
      </c>
      <c r="I9" s="5"/>
      <c r="J9" s="6">
        <v>4</v>
      </c>
      <c r="K9" s="6">
        <v>17</v>
      </c>
      <c r="L9" s="6" t="s">
        <v>66</v>
      </c>
      <c r="M9" s="6"/>
      <c r="N9" s="6"/>
      <c r="O9" s="6" t="s">
        <v>67</v>
      </c>
      <c r="P9" s="6" t="s">
        <v>51</v>
      </c>
      <c r="Q9" s="6"/>
      <c r="R9" s="6" t="str">
        <f t="shared" si="0"/>
        <v>battle_weaponShot100</v>
      </c>
      <c r="S9" s="6" t="s">
        <v>52</v>
      </c>
    </row>
    <row r="10" spans="1:20">
      <c r="A10" s="5">
        <v>105</v>
      </c>
      <c r="B10" s="5">
        <v>1</v>
      </c>
      <c r="C10" s="5">
        <v>5</v>
      </c>
      <c r="D10" s="5" t="s">
        <v>68</v>
      </c>
      <c r="E10" s="5" t="s">
        <v>69</v>
      </c>
      <c r="F10" s="5" t="s">
        <v>70</v>
      </c>
      <c r="G10" s="5">
        <v>1</v>
      </c>
      <c r="H10" s="5">
        <v>1</v>
      </c>
      <c r="I10" s="5">
        <v>1</v>
      </c>
      <c r="J10" s="6">
        <v>5</v>
      </c>
      <c r="K10" s="6">
        <v>999</v>
      </c>
      <c r="L10" s="6"/>
      <c r="M10" s="6">
        <v>1209</v>
      </c>
      <c r="N10" s="6"/>
      <c r="O10" s="6" t="s">
        <v>71</v>
      </c>
      <c r="P10" s="6" t="s">
        <v>51</v>
      </c>
      <c r="Q10" s="6" t="str">
        <f>"UIEffects/ui_effect_"&amp;A10</f>
        <v>UIEffects/ui_effect_105</v>
      </c>
      <c r="R10" s="6" t="str">
        <f t="shared" si="0"/>
        <v>battle_weaponShot100</v>
      </c>
      <c r="S10" s="6" t="s">
        <v>52</v>
      </c>
    </row>
    <row r="11" spans="1:20">
      <c r="A11" s="5">
        <v>106</v>
      </c>
      <c r="B11" s="5">
        <v>1</v>
      </c>
      <c r="C11" s="5">
        <v>5</v>
      </c>
      <c r="D11" s="5" t="s">
        <v>72</v>
      </c>
      <c r="E11" s="5" t="s">
        <v>73</v>
      </c>
      <c r="F11" s="5" t="s">
        <v>74</v>
      </c>
      <c r="G11" s="5">
        <v>2</v>
      </c>
      <c r="H11" s="5">
        <v>1</v>
      </c>
      <c r="I11" s="5"/>
      <c r="J11" s="6">
        <v>5</v>
      </c>
      <c r="K11" s="6">
        <v>999</v>
      </c>
      <c r="L11" s="6"/>
      <c r="M11" s="6">
        <v>1210</v>
      </c>
      <c r="N11" s="6"/>
      <c r="O11" s="6" t="s">
        <v>71</v>
      </c>
      <c r="P11" s="6" t="s">
        <v>51</v>
      </c>
      <c r="Q11" s="6" t="str">
        <f>"UIEffects/ui_effect_"&amp;A11</f>
        <v>UIEffects/ui_effect_106</v>
      </c>
      <c r="R11" s="6" t="str">
        <f t="shared" si="0"/>
        <v>battle_weaponShot100</v>
      </c>
      <c r="S11" s="6" t="s">
        <v>52</v>
      </c>
    </row>
    <row r="12" spans="1:20">
      <c r="A12" s="5">
        <v>201</v>
      </c>
      <c r="B12" s="5">
        <v>1</v>
      </c>
      <c r="C12" s="5">
        <v>2</v>
      </c>
      <c r="D12" s="5" t="s">
        <v>75</v>
      </c>
      <c r="E12" s="5" t="s">
        <v>76</v>
      </c>
      <c r="F12" s="5" t="s">
        <v>77</v>
      </c>
      <c r="G12" s="5">
        <v>4</v>
      </c>
      <c r="H12" s="5">
        <v>2</v>
      </c>
      <c r="I12" s="5"/>
      <c r="J12" s="6">
        <v>1</v>
      </c>
      <c r="K12" s="6">
        <v>1</v>
      </c>
      <c r="L12" s="6" t="s">
        <v>78</v>
      </c>
      <c r="M12" s="6"/>
      <c r="N12" s="6"/>
      <c r="O12" s="6" t="s">
        <v>50</v>
      </c>
      <c r="P12" s="6" t="s">
        <v>79</v>
      </c>
      <c r="Q12" s="6"/>
      <c r="R12" s="6" t="str">
        <f t="shared" si="0"/>
        <v>battle_weaponShot200</v>
      </c>
      <c r="S12" s="6" t="s">
        <v>52</v>
      </c>
    </row>
    <row r="13" spans="1:20">
      <c r="A13" s="5">
        <v>202</v>
      </c>
      <c r="B13" s="5">
        <v>1</v>
      </c>
      <c r="C13" s="5">
        <v>2</v>
      </c>
      <c r="D13" s="5" t="s">
        <v>80</v>
      </c>
      <c r="E13" s="5" t="s">
        <v>81</v>
      </c>
      <c r="F13" s="5" t="s">
        <v>82</v>
      </c>
      <c r="G13" s="5">
        <v>4</v>
      </c>
      <c r="H13" s="5">
        <v>2</v>
      </c>
      <c r="I13" s="5"/>
      <c r="J13" s="6">
        <v>2</v>
      </c>
      <c r="K13" s="6">
        <v>6</v>
      </c>
      <c r="L13" s="6" t="s">
        <v>83</v>
      </c>
      <c r="M13" s="6"/>
      <c r="N13" s="6"/>
      <c r="O13" s="6" t="s">
        <v>57</v>
      </c>
      <c r="P13" s="6" t="s">
        <v>79</v>
      </c>
      <c r="Q13" s="6"/>
      <c r="R13" s="6" t="str">
        <f t="shared" si="0"/>
        <v>battle_weaponShot200</v>
      </c>
      <c r="S13" s="6" t="s">
        <v>52</v>
      </c>
    </row>
    <row r="14" spans="1:20">
      <c r="A14" s="5">
        <v>203</v>
      </c>
      <c r="B14" s="5">
        <v>1</v>
      </c>
      <c r="C14" s="5">
        <v>2</v>
      </c>
      <c r="D14" s="5" t="s">
        <v>84</v>
      </c>
      <c r="E14" s="5" t="s">
        <v>85</v>
      </c>
      <c r="F14" s="5" t="s">
        <v>86</v>
      </c>
      <c r="G14" s="5">
        <v>4</v>
      </c>
      <c r="H14" s="5">
        <v>2</v>
      </c>
      <c r="I14" s="5"/>
      <c r="J14" s="6">
        <v>3</v>
      </c>
      <c r="K14" s="6">
        <v>12</v>
      </c>
      <c r="L14" s="6" t="s">
        <v>87</v>
      </c>
      <c r="M14" s="6"/>
      <c r="N14" s="6"/>
      <c r="O14" s="6" t="s">
        <v>62</v>
      </c>
      <c r="P14" s="6" t="s">
        <v>79</v>
      </c>
      <c r="Q14" s="6"/>
      <c r="R14" s="6" t="str">
        <f t="shared" si="0"/>
        <v>battle_weaponShot200</v>
      </c>
      <c r="S14" s="6" t="s">
        <v>52</v>
      </c>
    </row>
    <row r="15" spans="1:20">
      <c r="A15" s="5">
        <v>204</v>
      </c>
      <c r="B15" s="5">
        <v>1</v>
      </c>
      <c r="C15" s="5">
        <v>2</v>
      </c>
      <c r="D15" s="5" t="s">
        <v>88</v>
      </c>
      <c r="E15" s="5" t="s">
        <v>89</v>
      </c>
      <c r="F15" s="5" t="s">
        <v>90</v>
      </c>
      <c r="G15" s="5">
        <v>4</v>
      </c>
      <c r="H15" s="5">
        <v>2</v>
      </c>
      <c r="I15" s="5"/>
      <c r="J15" s="6">
        <v>4</v>
      </c>
      <c r="K15" s="6">
        <v>17</v>
      </c>
      <c r="L15" s="6" t="s">
        <v>91</v>
      </c>
      <c r="M15" s="6"/>
      <c r="N15" s="6"/>
      <c r="O15" s="6" t="s">
        <v>67</v>
      </c>
      <c r="P15" s="6" t="s">
        <v>79</v>
      </c>
      <c r="Q15" s="6"/>
      <c r="R15" s="6" t="str">
        <f t="shared" si="0"/>
        <v>battle_weaponShot200</v>
      </c>
      <c r="S15" s="6" t="s">
        <v>52</v>
      </c>
    </row>
    <row r="16" spans="1:20">
      <c r="A16" s="5">
        <v>205</v>
      </c>
      <c r="B16" s="5">
        <v>1</v>
      </c>
      <c r="C16" s="5">
        <v>2</v>
      </c>
      <c r="D16" s="5" t="s">
        <v>92</v>
      </c>
      <c r="E16" s="5" t="s">
        <v>93</v>
      </c>
      <c r="F16" s="5" t="s">
        <v>94</v>
      </c>
      <c r="G16" s="5">
        <v>7</v>
      </c>
      <c r="H16" s="5">
        <v>2</v>
      </c>
      <c r="I16" s="5"/>
      <c r="J16" s="6">
        <v>5</v>
      </c>
      <c r="K16" s="6">
        <v>999</v>
      </c>
      <c r="L16" s="6"/>
      <c r="M16" s="6">
        <v>2209</v>
      </c>
      <c r="N16" s="6"/>
      <c r="O16" s="6" t="s">
        <v>71</v>
      </c>
      <c r="P16" s="6" t="s">
        <v>79</v>
      </c>
      <c r="Q16" s="6" t="str">
        <f>"UIEffects/ui_effect_"&amp;A16</f>
        <v>UIEffects/ui_effect_205</v>
      </c>
      <c r="R16" s="6" t="str">
        <f t="shared" si="0"/>
        <v>battle_weaponShot200</v>
      </c>
      <c r="S16" s="6" t="s">
        <v>52</v>
      </c>
    </row>
    <row r="17" spans="1:19">
      <c r="A17" s="5">
        <v>206</v>
      </c>
      <c r="B17" s="5">
        <v>1</v>
      </c>
      <c r="C17" s="5">
        <v>2</v>
      </c>
      <c r="D17" s="5" t="s">
        <v>95</v>
      </c>
      <c r="E17" s="5" t="s">
        <v>96</v>
      </c>
      <c r="F17" s="5" t="s">
        <v>97</v>
      </c>
      <c r="G17" s="5">
        <v>5</v>
      </c>
      <c r="H17" s="5">
        <v>2</v>
      </c>
      <c r="I17" s="5"/>
      <c r="J17" s="6">
        <v>5</v>
      </c>
      <c r="K17" s="6">
        <v>999</v>
      </c>
      <c r="L17" s="6"/>
      <c r="M17" s="6">
        <v>2210</v>
      </c>
      <c r="N17" s="6"/>
      <c r="O17" s="6" t="s">
        <v>71</v>
      </c>
      <c r="P17" s="6" t="s">
        <v>79</v>
      </c>
      <c r="Q17" s="6" t="str">
        <f>"UIEffects/ui_effect_"&amp;A17</f>
        <v>UIEffects/ui_effect_206</v>
      </c>
      <c r="R17" s="6" t="str">
        <f t="shared" si="0"/>
        <v>battle_weaponShot200</v>
      </c>
      <c r="S17" s="6" t="s">
        <v>52</v>
      </c>
    </row>
    <row r="18" spans="1:19">
      <c r="A18" s="5">
        <v>301</v>
      </c>
      <c r="B18" s="5">
        <v>1</v>
      </c>
      <c r="C18" s="5">
        <v>5</v>
      </c>
      <c r="D18" s="5" t="s">
        <v>98</v>
      </c>
      <c r="E18" s="5" t="s">
        <v>99</v>
      </c>
      <c r="F18" s="5" t="s">
        <v>100</v>
      </c>
      <c r="G18" s="5">
        <v>4</v>
      </c>
      <c r="H18" s="5">
        <v>3</v>
      </c>
      <c r="I18" s="5"/>
      <c r="J18" s="6">
        <v>1</v>
      </c>
      <c r="K18" s="6">
        <v>1</v>
      </c>
      <c r="L18" s="6" t="s">
        <v>101</v>
      </c>
      <c r="M18" s="6"/>
      <c r="N18" s="6"/>
      <c r="O18" s="6" t="s">
        <v>50</v>
      </c>
      <c r="P18" s="6" t="s">
        <v>102</v>
      </c>
      <c r="Q18" s="6"/>
      <c r="R18" s="6" t="str">
        <f t="shared" si="0"/>
        <v>battle_weaponShot300</v>
      </c>
      <c r="S18" s="6" t="s">
        <v>52</v>
      </c>
    </row>
    <row r="19" spans="1:19">
      <c r="A19" s="5">
        <v>302</v>
      </c>
      <c r="B19" s="5">
        <v>1</v>
      </c>
      <c r="C19" s="5">
        <v>5</v>
      </c>
      <c r="D19" s="5" t="s">
        <v>103</v>
      </c>
      <c r="E19" s="5" t="s">
        <v>104</v>
      </c>
      <c r="F19" s="5" t="s">
        <v>105</v>
      </c>
      <c r="G19" s="5">
        <v>4</v>
      </c>
      <c r="H19" s="5">
        <v>3</v>
      </c>
      <c r="I19" s="5"/>
      <c r="J19" s="6">
        <v>2</v>
      </c>
      <c r="K19" s="6">
        <v>6</v>
      </c>
      <c r="L19" s="6" t="s">
        <v>106</v>
      </c>
      <c r="M19" s="6"/>
      <c r="N19" s="6"/>
      <c r="O19" s="6" t="s">
        <v>57</v>
      </c>
      <c r="P19" s="6" t="s">
        <v>102</v>
      </c>
      <c r="Q19" s="6"/>
      <c r="R19" s="6" t="str">
        <f t="shared" si="0"/>
        <v>battle_weaponShot300</v>
      </c>
      <c r="S19" s="6" t="s">
        <v>52</v>
      </c>
    </row>
    <row r="20" spans="1:19">
      <c r="A20" s="5">
        <v>303</v>
      </c>
      <c r="B20" s="5">
        <v>1</v>
      </c>
      <c r="C20" s="5">
        <v>5</v>
      </c>
      <c r="D20" s="5" t="s">
        <v>107</v>
      </c>
      <c r="E20" s="5" t="s">
        <v>108</v>
      </c>
      <c r="F20" s="5" t="s">
        <v>109</v>
      </c>
      <c r="G20" s="5">
        <v>4</v>
      </c>
      <c r="H20" s="5">
        <v>3</v>
      </c>
      <c r="I20" s="5"/>
      <c r="J20" s="6">
        <v>3</v>
      </c>
      <c r="K20" s="6">
        <v>12</v>
      </c>
      <c r="L20" s="6" t="s">
        <v>110</v>
      </c>
      <c r="M20" s="6"/>
      <c r="N20" s="6"/>
      <c r="O20" s="6" t="s">
        <v>62</v>
      </c>
      <c r="P20" s="6" t="s">
        <v>102</v>
      </c>
      <c r="Q20" s="6"/>
      <c r="R20" s="6" t="str">
        <f t="shared" si="0"/>
        <v>battle_weaponShot300</v>
      </c>
      <c r="S20" s="6" t="s">
        <v>52</v>
      </c>
    </row>
    <row r="21" spans="1:19">
      <c r="A21" s="5">
        <v>304</v>
      </c>
      <c r="B21" s="5">
        <v>1</v>
      </c>
      <c r="C21" s="5">
        <v>5</v>
      </c>
      <c r="D21" s="5" t="s">
        <v>111</v>
      </c>
      <c r="E21" s="5" t="s">
        <v>112</v>
      </c>
      <c r="F21" s="5" t="s">
        <v>113</v>
      </c>
      <c r="G21" s="5">
        <v>4</v>
      </c>
      <c r="H21" s="5">
        <v>3</v>
      </c>
      <c r="I21" s="5"/>
      <c r="J21" s="6">
        <v>4</v>
      </c>
      <c r="K21" s="6">
        <v>17</v>
      </c>
      <c r="L21" s="6" t="s">
        <v>114</v>
      </c>
      <c r="M21" s="6"/>
      <c r="N21" s="6"/>
      <c r="O21" s="6" t="s">
        <v>67</v>
      </c>
      <c r="P21" s="6" t="s">
        <v>102</v>
      </c>
      <c r="Q21" s="6"/>
      <c r="R21" s="6" t="str">
        <f t="shared" si="0"/>
        <v>battle_weaponShot300</v>
      </c>
      <c r="S21" s="6" t="s">
        <v>52</v>
      </c>
    </row>
    <row r="22" spans="1:19">
      <c r="A22" s="5">
        <v>305</v>
      </c>
      <c r="B22" s="5">
        <v>1</v>
      </c>
      <c r="C22" s="5">
        <v>5</v>
      </c>
      <c r="D22" s="5" t="s">
        <v>115</v>
      </c>
      <c r="E22" s="5" t="s">
        <v>116</v>
      </c>
      <c r="F22" s="5" t="s">
        <v>117</v>
      </c>
      <c r="G22" s="5">
        <v>3</v>
      </c>
      <c r="H22" s="5">
        <v>3</v>
      </c>
      <c r="I22" s="5"/>
      <c r="J22" s="6">
        <v>5</v>
      </c>
      <c r="K22" s="6">
        <v>999</v>
      </c>
      <c r="L22" s="6"/>
      <c r="M22" s="6">
        <v>3209</v>
      </c>
      <c r="N22" s="6"/>
      <c r="O22" s="6" t="s">
        <v>71</v>
      </c>
      <c r="P22" s="6" t="s">
        <v>102</v>
      </c>
      <c r="Q22" s="6" t="str">
        <f>"UIEffects/ui_effect_"&amp;A22</f>
        <v>UIEffects/ui_effect_305</v>
      </c>
      <c r="R22" s="6" t="str">
        <f t="shared" si="0"/>
        <v>battle_weaponShot300</v>
      </c>
      <c r="S22" s="6" t="s">
        <v>52</v>
      </c>
    </row>
    <row r="23" spans="1:19">
      <c r="A23" s="5">
        <v>306</v>
      </c>
      <c r="B23" s="5">
        <v>1</v>
      </c>
      <c r="C23" s="5">
        <v>5</v>
      </c>
      <c r="D23" s="5" t="s">
        <v>118</v>
      </c>
      <c r="E23" s="5" t="s">
        <v>119</v>
      </c>
      <c r="F23" s="5" t="s">
        <v>120</v>
      </c>
      <c r="G23" s="5">
        <v>5</v>
      </c>
      <c r="H23" s="5">
        <v>3</v>
      </c>
      <c r="I23" s="5"/>
      <c r="J23" s="6">
        <v>5</v>
      </c>
      <c r="K23" s="6">
        <v>999</v>
      </c>
      <c r="L23" s="6"/>
      <c r="M23" s="6">
        <v>3210</v>
      </c>
      <c r="N23" s="6"/>
      <c r="O23" s="6" t="s">
        <v>71</v>
      </c>
      <c r="P23" s="6" t="s">
        <v>102</v>
      </c>
      <c r="Q23" s="6" t="str">
        <f>"UIEffects/ui_effect_"&amp;A23</f>
        <v>UIEffects/ui_effect_306</v>
      </c>
      <c r="R23" s="6" t="str">
        <f t="shared" si="0"/>
        <v>battle_weaponShot300</v>
      </c>
      <c r="S23" s="6" t="s">
        <v>52</v>
      </c>
    </row>
    <row r="24" spans="1:19">
      <c r="A24" s="5">
        <v>401</v>
      </c>
      <c r="B24" s="5">
        <v>1</v>
      </c>
      <c r="C24" s="5">
        <v>1</v>
      </c>
      <c r="D24" s="5" t="s">
        <v>121</v>
      </c>
      <c r="E24" s="5" t="s">
        <v>122</v>
      </c>
      <c r="F24" s="5" t="s">
        <v>123</v>
      </c>
      <c r="G24" s="5">
        <v>4</v>
      </c>
      <c r="H24" s="5">
        <v>4</v>
      </c>
      <c r="I24" s="5"/>
      <c r="J24" s="6">
        <v>1</v>
      </c>
      <c r="K24" s="6">
        <v>1</v>
      </c>
      <c r="L24" s="6" t="s">
        <v>124</v>
      </c>
      <c r="M24" s="6"/>
      <c r="N24" s="6"/>
      <c r="O24" s="6" t="s">
        <v>50</v>
      </c>
      <c r="P24" s="6" t="s">
        <v>125</v>
      </c>
      <c r="Q24" s="6"/>
      <c r="R24" s="6" t="str">
        <f t="shared" si="0"/>
        <v>battle_weaponShot400</v>
      </c>
      <c r="S24" s="6" t="s">
        <v>52</v>
      </c>
    </row>
    <row r="25" spans="1:19">
      <c r="A25" s="5">
        <v>402</v>
      </c>
      <c r="B25" s="5">
        <v>1</v>
      </c>
      <c r="C25" s="5">
        <v>1</v>
      </c>
      <c r="D25" s="5" t="s">
        <v>126</v>
      </c>
      <c r="E25" s="5" t="s">
        <v>127</v>
      </c>
      <c r="F25" s="5" t="s">
        <v>128</v>
      </c>
      <c r="G25" s="5">
        <v>4</v>
      </c>
      <c r="H25" s="5">
        <v>4</v>
      </c>
      <c r="I25" s="5"/>
      <c r="J25" s="6">
        <v>2</v>
      </c>
      <c r="K25" s="6">
        <v>6</v>
      </c>
      <c r="L25" s="6" t="s">
        <v>129</v>
      </c>
      <c r="M25" s="6"/>
      <c r="N25" s="6"/>
      <c r="O25" s="6" t="s">
        <v>57</v>
      </c>
      <c r="P25" s="6" t="s">
        <v>125</v>
      </c>
      <c r="Q25" s="6"/>
      <c r="R25" s="6" t="str">
        <f t="shared" si="0"/>
        <v>battle_weaponShot400</v>
      </c>
      <c r="S25" s="6" t="s">
        <v>52</v>
      </c>
    </row>
    <row r="26" spans="1:19">
      <c r="A26" s="5">
        <v>403</v>
      </c>
      <c r="B26" s="5">
        <v>1</v>
      </c>
      <c r="C26" s="5">
        <v>1</v>
      </c>
      <c r="D26" s="5" t="s">
        <v>130</v>
      </c>
      <c r="E26" s="5" t="s">
        <v>131</v>
      </c>
      <c r="F26" s="5" t="s">
        <v>132</v>
      </c>
      <c r="G26" s="5">
        <v>4</v>
      </c>
      <c r="H26" s="5">
        <v>4</v>
      </c>
      <c r="I26" s="5"/>
      <c r="J26" s="6">
        <v>3</v>
      </c>
      <c r="K26" s="6">
        <v>12</v>
      </c>
      <c r="L26" s="6" t="s">
        <v>133</v>
      </c>
      <c r="M26" s="6"/>
      <c r="N26" s="6"/>
      <c r="O26" s="6" t="s">
        <v>62</v>
      </c>
      <c r="P26" s="6" t="s">
        <v>125</v>
      </c>
      <c r="Q26" s="6"/>
      <c r="R26" s="6" t="str">
        <f t="shared" si="0"/>
        <v>battle_weaponShot400</v>
      </c>
      <c r="S26" s="6" t="s">
        <v>52</v>
      </c>
    </row>
    <row r="27" spans="1:19">
      <c r="A27" s="5">
        <v>404</v>
      </c>
      <c r="B27" s="5">
        <v>1</v>
      </c>
      <c r="C27" s="5">
        <v>1</v>
      </c>
      <c r="D27" s="5" t="s">
        <v>134</v>
      </c>
      <c r="E27" s="5" t="s">
        <v>135</v>
      </c>
      <c r="F27" s="5" t="s">
        <v>136</v>
      </c>
      <c r="G27" s="5">
        <v>4</v>
      </c>
      <c r="H27" s="5">
        <v>4</v>
      </c>
      <c r="I27" s="5"/>
      <c r="J27" s="6">
        <v>4</v>
      </c>
      <c r="K27" s="6">
        <v>17</v>
      </c>
      <c r="L27" s="6" t="s">
        <v>137</v>
      </c>
      <c r="M27" s="6"/>
      <c r="N27" s="6"/>
      <c r="O27" s="6" t="s">
        <v>67</v>
      </c>
      <c r="P27" s="6" t="s">
        <v>125</v>
      </c>
      <c r="Q27" s="6"/>
      <c r="R27" s="6" t="str">
        <f t="shared" si="0"/>
        <v>battle_weaponShot400</v>
      </c>
      <c r="S27" s="6" t="s">
        <v>52</v>
      </c>
    </row>
    <row r="28" spans="1:19">
      <c r="A28" s="5">
        <v>405</v>
      </c>
      <c r="B28" s="5">
        <v>1</v>
      </c>
      <c r="C28" s="5">
        <v>1</v>
      </c>
      <c r="D28" s="5" t="s">
        <v>138</v>
      </c>
      <c r="E28" s="5" t="s">
        <v>139</v>
      </c>
      <c r="F28" s="5" t="s">
        <v>140</v>
      </c>
      <c r="G28" s="5">
        <v>5</v>
      </c>
      <c r="H28" s="5">
        <v>4</v>
      </c>
      <c r="I28" s="5"/>
      <c r="J28" s="6">
        <v>5</v>
      </c>
      <c r="K28" s="6">
        <v>999</v>
      </c>
      <c r="L28" s="6"/>
      <c r="M28" s="6">
        <v>4209</v>
      </c>
      <c r="N28" s="6"/>
      <c r="O28" s="6" t="s">
        <v>71</v>
      </c>
      <c r="P28" s="6" t="s">
        <v>125</v>
      </c>
      <c r="Q28" s="6" t="str">
        <f>"UIEffects/ui_effect_"&amp;A28</f>
        <v>UIEffects/ui_effect_405</v>
      </c>
      <c r="R28" s="6" t="str">
        <f t="shared" si="0"/>
        <v>battle_weaponShot400</v>
      </c>
      <c r="S28" s="6" t="s">
        <v>52</v>
      </c>
    </row>
    <row r="29" spans="1:19">
      <c r="A29" s="5">
        <v>406</v>
      </c>
      <c r="B29" s="5">
        <v>1</v>
      </c>
      <c r="C29" s="5">
        <v>1</v>
      </c>
      <c r="D29" s="5" t="s">
        <v>141</v>
      </c>
      <c r="E29" s="5" t="s">
        <v>142</v>
      </c>
      <c r="F29" s="5" t="s">
        <v>143</v>
      </c>
      <c r="G29" s="5">
        <v>7</v>
      </c>
      <c r="H29" s="5">
        <v>4</v>
      </c>
      <c r="I29" s="5"/>
      <c r="J29" s="6">
        <v>5</v>
      </c>
      <c r="K29" s="6">
        <v>999</v>
      </c>
      <c r="L29" s="6"/>
      <c r="M29" s="6">
        <v>4210</v>
      </c>
      <c r="N29" s="6"/>
      <c r="O29" s="6" t="s">
        <v>71</v>
      </c>
      <c r="P29" s="6" t="s">
        <v>125</v>
      </c>
      <c r="Q29" s="6" t="str">
        <f>"UIEffects/ui_effect_"&amp;A29</f>
        <v>UIEffects/ui_effect_406</v>
      </c>
      <c r="R29" s="6" t="str">
        <f t="shared" si="0"/>
        <v>battle_weaponShot400</v>
      </c>
      <c r="S29" s="6" t="s">
        <v>52</v>
      </c>
    </row>
    <row r="30" spans="1:19">
      <c r="A30" s="5">
        <v>501</v>
      </c>
      <c r="B30" s="5">
        <v>1</v>
      </c>
      <c r="C30" s="5">
        <v>3</v>
      </c>
      <c r="D30" s="5" t="s">
        <v>144</v>
      </c>
      <c r="E30" s="5" t="s">
        <v>145</v>
      </c>
      <c r="F30" s="5" t="s">
        <v>146</v>
      </c>
      <c r="G30" s="5">
        <v>4</v>
      </c>
      <c r="H30" s="5">
        <v>5</v>
      </c>
      <c r="I30" s="5"/>
      <c r="J30" s="6">
        <v>1</v>
      </c>
      <c r="K30" s="6">
        <v>1</v>
      </c>
      <c r="L30" s="6" t="s">
        <v>147</v>
      </c>
      <c r="M30" s="6"/>
      <c r="N30" s="6"/>
      <c r="O30" s="6" t="s">
        <v>148</v>
      </c>
      <c r="P30" s="6" t="s">
        <v>149</v>
      </c>
      <c r="Q30" s="6"/>
      <c r="R30" s="6"/>
      <c r="S30" s="6"/>
    </row>
    <row r="31" spans="1:19">
      <c r="A31" s="5">
        <v>502</v>
      </c>
      <c r="B31" s="5">
        <v>1</v>
      </c>
      <c r="C31" s="5">
        <v>3</v>
      </c>
      <c r="D31" s="5" t="s">
        <v>150</v>
      </c>
      <c r="E31" s="5" t="s">
        <v>151</v>
      </c>
      <c r="F31" s="5" t="s">
        <v>152</v>
      </c>
      <c r="G31" s="5">
        <v>4</v>
      </c>
      <c r="H31" s="5">
        <v>5</v>
      </c>
      <c r="I31" s="5"/>
      <c r="J31" s="6">
        <v>2</v>
      </c>
      <c r="K31" s="6">
        <v>6</v>
      </c>
      <c r="L31" s="6" t="s">
        <v>153</v>
      </c>
      <c r="M31" s="6"/>
      <c r="N31" s="6"/>
      <c r="O31" s="6" t="s">
        <v>154</v>
      </c>
      <c r="P31" s="6" t="s">
        <v>149</v>
      </c>
      <c r="Q31" s="6"/>
      <c r="R31" s="6"/>
      <c r="S31" s="6"/>
    </row>
    <row r="32" spans="1:19">
      <c r="A32" s="5">
        <v>503</v>
      </c>
      <c r="B32" s="5">
        <v>1</v>
      </c>
      <c r="C32" s="5">
        <v>3</v>
      </c>
      <c r="D32" s="5" t="s">
        <v>155</v>
      </c>
      <c r="E32" s="5" t="s">
        <v>156</v>
      </c>
      <c r="F32" s="5" t="s">
        <v>157</v>
      </c>
      <c r="G32" s="5">
        <v>4</v>
      </c>
      <c r="H32" s="5">
        <v>5</v>
      </c>
      <c r="I32" s="5"/>
      <c r="J32" s="6">
        <v>3</v>
      </c>
      <c r="K32" s="6">
        <v>12</v>
      </c>
      <c r="L32" s="6" t="s">
        <v>158</v>
      </c>
      <c r="M32" s="6"/>
      <c r="N32" s="6"/>
      <c r="O32" s="6" t="s">
        <v>159</v>
      </c>
      <c r="P32" s="6" t="s">
        <v>149</v>
      </c>
      <c r="Q32" s="6"/>
      <c r="R32" s="6"/>
      <c r="S32" s="6"/>
    </row>
    <row r="33" spans="1:19">
      <c r="A33" s="5">
        <v>504</v>
      </c>
      <c r="B33" s="5">
        <v>1</v>
      </c>
      <c r="C33" s="5">
        <v>3</v>
      </c>
      <c r="D33" s="5" t="s">
        <v>160</v>
      </c>
      <c r="E33" s="5" t="s">
        <v>161</v>
      </c>
      <c r="F33" s="5" t="s">
        <v>162</v>
      </c>
      <c r="G33" s="5">
        <v>4</v>
      </c>
      <c r="H33" s="5">
        <v>5</v>
      </c>
      <c r="I33" s="5"/>
      <c r="J33" s="6">
        <v>4</v>
      </c>
      <c r="K33" s="6">
        <v>17</v>
      </c>
      <c r="L33" s="6" t="s">
        <v>163</v>
      </c>
      <c r="M33" s="6"/>
      <c r="N33" s="6"/>
      <c r="O33" s="6" t="s">
        <v>164</v>
      </c>
      <c r="P33" s="6" t="s">
        <v>149</v>
      </c>
      <c r="Q33" s="6"/>
      <c r="R33" s="6"/>
      <c r="S33" s="6"/>
    </row>
    <row r="34" spans="1:19">
      <c r="A34" s="5">
        <v>505</v>
      </c>
      <c r="B34" s="5">
        <v>1</v>
      </c>
      <c r="C34" s="5">
        <v>3</v>
      </c>
      <c r="D34" s="5" t="s">
        <v>165</v>
      </c>
      <c r="E34" s="5" t="s">
        <v>166</v>
      </c>
      <c r="F34" s="5" t="s">
        <v>167</v>
      </c>
      <c r="G34" s="5">
        <v>6</v>
      </c>
      <c r="H34" s="5">
        <v>5</v>
      </c>
      <c r="I34" s="5"/>
      <c r="J34" s="6">
        <v>5</v>
      </c>
      <c r="K34" s="6">
        <v>999</v>
      </c>
      <c r="L34" s="6"/>
      <c r="M34" s="6">
        <v>5209</v>
      </c>
      <c r="N34" s="6"/>
      <c r="O34" s="6" t="s">
        <v>168</v>
      </c>
      <c r="P34" s="6" t="s">
        <v>149</v>
      </c>
      <c r="Q34" s="6" t="str">
        <f>"UIEffects/ui_effect_"&amp;A34</f>
        <v>UIEffects/ui_effect_505</v>
      </c>
      <c r="R34" s="6"/>
      <c r="S34" s="6"/>
    </row>
    <row r="35" spans="1:19">
      <c r="A35" s="5">
        <v>506</v>
      </c>
      <c r="B35" s="5">
        <v>1</v>
      </c>
      <c r="C35" s="5">
        <v>3</v>
      </c>
      <c r="D35" s="5" t="s">
        <v>169</v>
      </c>
      <c r="E35" s="5" t="s">
        <v>170</v>
      </c>
      <c r="F35" s="5" t="s">
        <v>171</v>
      </c>
      <c r="G35" s="5">
        <v>5</v>
      </c>
      <c r="H35" s="5">
        <v>5</v>
      </c>
      <c r="I35" s="5"/>
      <c r="J35" s="6">
        <v>5</v>
      </c>
      <c r="K35" s="6">
        <v>999</v>
      </c>
      <c r="L35" s="6"/>
      <c r="M35" s="6">
        <v>5210</v>
      </c>
      <c r="N35" s="6"/>
      <c r="O35" s="6" t="s">
        <v>168</v>
      </c>
      <c r="P35" s="6" t="s">
        <v>149</v>
      </c>
      <c r="Q35" s="6" t="str">
        <f>"UIEffects/ui_effect_"&amp;A35</f>
        <v>UIEffects/ui_effect_506</v>
      </c>
      <c r="R35" s="6"/>
      <c r="S35" s="6"/>
    </row>
    <row r="36" spans="1:19">
      <c r="A36" s="5">
        <v>601</v>
      </c>
      <c r="B36" s="5">
        <v>1</v>
      </c>
      <c r="C36" s="5">
        <v>1</v>
      </c>
      <c r="D36" s="5" t="s">
        <v>172</v>
      </c>
      <c r="E36" s="5" t="s">
        <v>173</v>
      </c>
      <c r="F36" s="5" t="s">
        <v>174</v>
      </c>
      <c r="G36" s="5">
        <v>4</v>
      </c>
      <c r="H36" s="5">
        <v>6</v>
      </c>
      <c r="I36" s="5"/>
      <c r="J36" s="6">
        <v>1</v>
      </c>
      <c r="K36" s="6">
        <v>1</v>
      </c>
      <c r="L36" s="6" t="s">
        <v>175</v>
      </c>
      <c r="M36" s="6"/>
      <c r="N36" s="6"/>
      <c r="O36" s="6" t="s">
        <v>148</v>
      </c>
      <c r="P36" s="6" t="s">
        <v>176</v>
      </c>
      <c r="Q36" s="6"/>
      <c r="R36" s="6"/>
      <c r="S36" s="6"/>
    </row>
    <row r="37" spans="1:19">
      <c r="A37" s="5">
        <v>602</v>
      </c>
      <c r="B37" s="5">
        <v>1</v>
      </c>
      <c r="C37" s="5">
        <v>1</v>
      </c>
      <c r="D37" s="5" t="s">
        <v>177</v>
      </c>
      <c r="E37" s="5" t="s">
        <v>178</v>
      </c>
      <c r="F37" s="5" t="s">
        <v>179</v>
      </c>
      <c r="G37" s="5">
        <v>4</v>
      </c>
      <c r="H37" s="5">
        <v>6</v>
      </c>
      <c r="I37" s="5"/>
      <c r="J37" s="6">
        <v>2</v>
      </c>
      <c r="K37" s="6">
        <v>6</v>
      </c>
      <c r="L37" s="6" t="s">
        <v>180</v>
      </c>
      <c r="M37" s="6"/>
      <c r="N37" s="6"/>
      <c r="O37" s="6" t="s">
        <v>154</v>
      </c>
      <c r="P37" s="6" t="s">
        <v>176</v>
      </c>
      <c r="Q37" s="6"/>
      <c r="R37" s="6"/>
      <c r="S37" s="6"/>
    </row>
    <row r="38" spans="1:19">
      <c r="A38" s="5">
        <v>603</v>
      </c>
      <c r="B38" s="5">
        <v>1</v>
      </c>
      <c r="C38" s="5">
        <v>1</v>
      </c>
      <c r="D38" s="5" t="s">
        <v>181</v>
      </c>
      <c r="E38" s="5" t="s">
        <v>182</v>
      </c>
      <c r="F38" s="5" t="s">
        <v>183</v>
      </c>
      <c r="G38" s="5">
        <v>4</v>
      </c>
      <c r="H38" s="5">
        <v>6</v>
      </c>
      <c r="I38" s="5"/>
      <c r="J38" s="6">
        <v>3</v>
      </c>
      <c r="K38" s="6">
        <v>12</v>
      </c>
      <c r="L38" s="6" t="s">
        <v>184</v>
      </c>
      <c r="M38" s="6"/>
      <c r="N38" s="6"/>
      <c r="O38" s="6" t="s">
        <v>159</v>
      </c>
      <c r="P38" s="6" t="s">
        <v>176</v>
      </c>
      <c r="Q38" s="6"/>
      <c r="R38" s="6"/>
      <c r="S38" s="6"/>
    </row>
    <row r="39" spans="1:19">
      <c r="A39" s="5">
        <v>604</v>
      </c>
      <c r="B39" s="5">
        <v>1</v>
      </c>
      <c r="C39" s="5">
        <v>1</v>
      </c>
      <c r="D39" s="5" t="s">
        <v>185</v>
      </c>
      <c r="E39" s="5" t="s">
        <v>186</v>
      </c>
      <c r="F39" s="5" t="s">
        <v>187</v>
      </c>
      <c r="G39" s="5">
        <v>4</v>
      </c>
      <c r="H39" s="5">
        <v>6</v>
      </c>
      <c r="I39" s="5"/>
      <c r="J39" s="6">
        <v>4</v>
      </c>
      <c r="K39" s="6">
        <v>17</v>
      </c>
      <c r="L39" s="6" t="s">
        <v>188</v>
      </c>
      <c r="M39" s="6"/>
      <c r="N39" s="6"/>
      <c r="O39" s="6" t="s">
        <v>164</v>
      </c>
      <c r="P39" s="6" t="s">
        <v>176</v>
      </c>
      <c r="Q39" s="6"/>
      <c r="R39" s="6"/>
      <c r="S39" s="6"/>
    </row>
    <row r="40" spans="1:19">
      <c r="A40" s="5">
        <v>605</v>
      </c>
      <c r="B40" s="5">
        <v>1</v>
      </c>
      <c r="C40" s="5">
        <v>1</v>
      </c>
      <c r="D40" s="5" t="s">
        <v>189</v>
      </c>
      <c r="E40" s="5" t="s">
        <v>190</v>
      </c>
      <c r="F40" s="5" t="s">
        <v>191</v>
      </c>
      <c r="G40" s="5">
        <v>2</v>
      </c>
      <c r="H40" s="5">
        <v>6</v>
      </c>
      <c r="I40" s="5"/>
      <c r="J40" s="6">
        <v>5</v>
      </c>
      <c r="K40" s="6">
        <v>999</v>
      </c>
      <c r="L40" s="6"/>
      <c r="M40" s="6">
        <v>6209</v>
      </c>
      <c r="N40" s="6"/>
      <c r="O40" s="6" t="s">
        <v>168</v>
      </c>
      <c r="P40" s="6" t="s">
        <v>176</v>
      </c>
      <c r="Q40" s="6" t="str">
        <f>"UIEffects/ui_effect_"&amp;A40</f>
        <v>UIEffects/ui_effect_605</v>
      </c>
      <c r="R40" s="6"/>
      <c r="S40" s="6"/>
    </row>
    <row r="41" spans="1:19">
      <c r="A41" s="5">
        <v>606</v>
      </c>
      <c r="B41" s="5">
        <v>1</v>
      </c>
      <c r="C41" s="5">
        <v>1</v>
      </c>
      <c r="D41" s="5" t="s">
        <v>192</v>
      </c>
      <c r="E41" s="5" t="s">
        <v>193</v>
      </c>
      <c r="F41" s="5" t="s">
        <v>194</v>
      </c>
      <c r="G41" s="5">
        <v>7</v>
      </c>
      <c r="H41" s="5">
        <v>6</v>
      </c>
      <c r="I41" s="5"/>
      <c r="J41" s="6">
        <v>5</v>
      </c>
      <c r="K41" s="6">
        <v>999</v>
      </c>
      <c r="L41" s="6"/>
      <c r="M41" s="6">
        <v>6210</v>
      </c>
      <c r="N41" s="6"/>
      <c r="O41" s="6" t="s">
        <v>168</v>
      </c>
      <c r="P41" s="6" t="s">
        <v>176</v>
      </c>
      <c r="Q41" s="6" t="str">
        <f>"UIEffects/ui_effect_"&amp;A41</f>
        <v>UIEffects/ui_effect_606</v>
      </c>
      <c r="R41" s="6"/>
      <c r="S41" s="6"/>
    </row>
    <row r="42" spans="1:19">
      <c r="A42" s="5">
        <v>701</v>
      </c>
      <c r="B42" s="5">
        <v>1</v>
      </c>
      <c r="C42" s="5">
        <v>2</v>
      </c>
      <c r="D42" s="5" t="s">
        <v>195</v>
      </c>
      <c r="E42" s="5" t="s">
        <v>196</v>
      </c>
      <c r="F42" s="5" t="s">
        <v>197</v>
      </c>
      <c r="G42" s="5">
        <v>1</v>
      </c>
      <c r="H42" s="5">
        <v>7</v>
      </c>
      <c r="I42" s="5"/>
      <c r="J42" s="6">
        <v>1</v>
      </c>
      <c r="K42" s="6">
        <v>1</v>
      </c>
      <c r="L42" s="6" t="s">
        <v>198</v>
      </c>
      <c r="M42" s="6"/>
      <c r="N42" s="6"/>
      <c r="O42" s="6" t="s">
        <v>50</v>
      </c>
      <c r="P42" s="6" t="s">
        <v>199</v>
      </c>
      <c r="Q42" s="6"/>
      <c r="R42" s="6" t="str">
        <f t="shared" ref="R42:R53" si="1">"battle_weaponShot"&amp;$H42*100</f>
        <v>battle_weaponShot700</v>
      </c>
      <c r="S42" s="6" t="str">
        <f t="shared" ref="S42:S53" si="2">"battle_WeaponHit"&amp;$H42*100</f>
        <v>battle_WeaponHit700</v>
      </c>
    </row>
    <row r="43" spans="1:19">
      <c r="A43" s="5">
        <v>702</v>
      </c>
      <c r="B43" s="5">
        <v>1</v>
      </c>
      <c r="C43" s="5">
        <v>2</v>
      </c>
      <c r="D43" s="5" t="s">
        <v>200</v>
      </c>
      <c r="E43" s="5" t="s">
        <v>201</v>
      </c>
      <c r="F43" s="5" t="s">
        <v>202</v>
      </c>
      <c r="G43" s="5">
        <v>1</v>
      </c>
      <c r="H43" s="5">
        <v>7</v>
      </c>
      <c r="I43" s="5"/>
      <c r="J43" s="6">
        <v>2</v>
      </c>
      <c r="K43" s="6">
        <v>6</v>
      </c>
      <c r="L43" s="6" t="s">
        <v>203</v>
      </c>
      <c r="M43" s="6"/>
      <c r="N43" s="6"/>
      <c r="O43" s="6" t="s">
        <v>57</v>
      </c>
      <c r="P43" s="6" t="s">
        <v>199</v>
      </c>
      <c r="Q43" s="6"/>
      <c r="R43" s="6" t="str">
        <f t="shared" si="1"/>
        <v>battle_weaponShot700</v>
      </c>
      <c r="S43" s="6" t="str">
        <f t="shared" si="2"/>
        <v>battle_WeaponHit700</v>
      </c>
    </row>
    <row r="44" spans="1:19">
      <c r="A44" s="5">
        <v>703</v>
      </c>
      <c r="B44" s="5">
        <v>1</v>
      </c>
      <c r="C44" s="5">
        <v>2</v>
      </c>
      <c r="D44" s="5" t="s">
        <v>204</v>
      </c>
      <c r="E44" s="5" t="s">
        <v>205</v>
      </c>
      <c r="F44" s="5" t="s">
        <v>206</v>
      </c>
      <c r="G44" s="5">
        <v>1</v>
      </c>
      <c r="H44" s="5">
        <v>7</v>
      </c>
      <c r="I44" s="5"/>
      <c r="J44" s="6">
        <v>3</v>
      </c>
      <c r="K44" s="6">
        <v>12</v>
      </c>
      <c r="L44" s="6" t="s">
        <v>207</v>
      </c>
      <c r="M44" s="6"/>
      <c r="N44" s="6"/>
      <c r="O44" s="6" t="s">
        <v>62</v>
      </c>
      <c r="P44" s="6" t="s">
        <v>199</v>
      </c>
      <c r="Q44" s="6"/>
      <c r="R44" s="6" t="str">
        <f t="shared" si="1"/>
        <v>battle_weaponShot700</v>
      </c>
      <c r="S44" s="6" t="str">
        <f t="shared" si="2"/>
        <v>battle_WeaponHit700</v>
      </c>
    </row>
    <row r="45" spans="1:19">
      <c r="A45" s="5">
        <v>704</v>
      </c>
      <c r="B45" s="5">
        <v>1</v>
      </c>
      <c r="C45" s="5">
        <v>2</v>
      </c>
      <c r="D45" s="5" t="s">
        <v>208</v>
      </c>
      <c r="E45" s="5" t="s">
        <v>209</v>
      </c>
      <c r="F45" s="5" t="s">
        <v>210</v>
      </c>
      <c r="G45" s="5">
        <v>1</v>
      </c>
      <c r="H45" s="5">
        <v>7</v>
      </c>
      <c r="I45" s="5"/>
      <c r="J45" s="6">
        <v>4</v>
      </c>
      <c r="K45" s="6">
        <v>17</v>
      </c>
      <c r="L45" s="6" t="s">
        <v>211</v>
      </c>
      <c r="M45" s="6"/>
      <c r="N45" s="6"/>
      <c r="O45" s="6" t="s">
        <v>67</v>
      </c>
      <c r="P45" s="6" t="s">
        <v>199</v>
      </c>
      <c r="Q45" s="6"/>
      <c r="R45" s="6" t="str">
        <f t="shared" si="1"/>
        <v>battle_weaponShot700</v>
      </c>
      <c r="S45" s="6" t="str">
        <f t="shared" si="2"/>
        <v>battle_WeaponHit700</v>
      </c>
    </row>
    <row r="46" spans="1:19">
      <c r="A46" s="5">
        <v>705</v>
      </c>
      <c r="B46" s="5">
        <v>1</v>
      </c>
      <c r="C46" s="5">
        <v>2</v>
      </c>
      <c r="D46" s="5" t="s">
        <v>212</v>
      </c>
      <c r="E46" s="5" t="s">
        <v>213</v>
      </c>
      <c r="F46" s="5" t="s">
        <v>214</v>
      </c>
      <c r="G46" s="5">
        <v>1</v>
      </c>
      <c r="H46" s="5">
        <v>7</v>
      </c>
      <c r="I46" s="5"/>
      <c r="J46" s="6">
        <v>5</v>
      </c>
      <c r="K46" s="6">
        <v>999</v>
      </c>
      <c r="L46" s="6"/>
      <c r="M46" s="6">
        <v>7209</v>
      </c>
      <c r="N46" s="6"/>
      <c r="O46" s="6" t="s">
        <v>71</v>
      </c>
      <c r="P46" s="6" t="s">
        <v>199</v>
      </c>
      <c r="Q46" s="6" t="str">
        <f>"UIEffects/ui_effect_"&amp;A46</f>
        <v>UIEffects/ui_effect_705</v>
      </c>
      <c r="R46" s="6" t="str">
        <f t="shared" si="1"/>
        <v>battle_weaponShot700</v>
      </c>
      <c r="S46" s="6" t="str">
        <f t="shared" si="2"/>
        <v>battle_WeaponHit700</v>
      </c>
    </row>
    <row r="47" spans="1:19">
      <c r="A47" s="5">
        <v>706</v>
      </c>
      <c r="B47" s="5">
        <v>1</v>
      </c>
      <c r="C47" s="5">
        <v>2</v>
      </c>
      <c r="D47" s="5" t="s">
        <v>215</v>
      </c>
      <c r="E47" s="5" t="s">
        <v>216</v>
      </c>
      <c r="F47" s="5" t="s">
        <v>217</v>
      </c>
      <c r="G47" s="5">
        <v>1</v>
      </c>
      <c r="H47" s="5">
        <v>7</v>
      </c>
      <c r="I47" s="5">
        <v>3</v>
      </c>
      <c r="J47" s="6">
        <v>5</v>
      </c>
      <c r="K47" s="6">
        <v>999</v>
      </c>
      <c r="L47" s="6"/>
      <c r="M47" s="6">
        <v>7210</v>
      </c>
      <c r="N47" s="6"/>
      <c r="O47" s="6" t="s">
        <v>71</v>
      </c>
      <c r="P47" s="6" t="s">
        <v>199</v>
      </c>
      <c r="Q47" s="6" t="str">
        <f>"UIEffects/ui_effect_"&amp;A47</f>
        <v>UIEffects/ui_effect_706</v>
      </c>
      <c r="R47" s="6" t="str">
        <f t="shared" si="1"/>
        <v>battle_weaponShot700</v>
      </c>
      <c r="S47" s="6" t="str">
        <f t="shared" si="2"/>
        <v>battle_WeaponHit700</v>
      </c>
    </row>
    <row r="48" spans="1:19">
      <c r="A48" s="5">
        <v>801</v>
      </c>
      <c r="B48" s="5">
        <v>1</v>
      </c>
      <c r="C48" s="5">
        <v>3</v>
      </c>
      <c r="D48" s="5" t="s">
        <v>218</v>
      </c>
      <c r="E48" s="5" t="s">
        <v>219</v>
      </c>
      <c r="F48" s="5" t="s">
        <v>220</v>
      </c>
      <c r="G48" s="5">
        <v>5</v>
      </c>
      <c r="H48" s="5">
        <v>8</v>
      </c>
      <c r="I48" s="5"/>
      <c r="J48" s="6">
        <v>1</v>
      </c>
      <c r="K48" s="6">
        <v>1</v>
      </c>
      <c r="L48" s="6" t="s">
        <v>221</v>
      </c>
      <c r="M48" s="6"/>
      <c r="N48" s="6"/>
      <c r="O48" s="6" t="s">
        <v>50</v>
      </c>
      <c r="P48" s="6" t="s">
        <v>222</v>
      </c>
      <c r="Q48" s="6"/>
      <c r="R48" s="6" t="str">
        <f t="shared" si="1"/>
        <v>battle_weaponShot800</v>
      </c>
      <c r="S48" s="6" t="str">
        <f t="shared" si="2"/>
        <v>battle_WeaponHit800</v>
      </c>
    </row>
    <row r="49" spans="1:19">
      <c r="A49" s="5">
        <v>802</v>
      </c>
      <c r="B49" s="5">
        <v>1</v>
      </c>
      <c r="C49" s="5">
        <v>3</v>
      </c>
      <c r="D49" s="5" t="s">
        <v>223</v>
      </c>
      <c r="E49" s="5" t="s">
        <v>224</v>
      </c>
      <c r="F49" s="5" t="s">
        <v>225</v>
      </c>
      <c r="G49" s="5">
        <v>5</v>
      </c>
      <c r="H49" s="5">
        <v>8</v>
      </c>
      <c r="I49" s="5"/>
      <c r="J49" s="6">
        <v>2</v>
      </c>
      <c r="K49" s="6">
        <v>6</v>
      </c>
      <c r="L49" s="6" t="s">
        <v>226</v>
      </c>
      <c r="M49" s="6"/>
      <c r="N49" s="6"/>
      <c r="O49" s="6" t="s">
        <v>57</v>
      </c>
      <c r="P49" s="6" t="s">
        <v>222</v>
      </c>
      <c r="Q49" s="6"/>
      <c r="R49" s="6" t="str">
        <f t="shared" si="1"/>
        <v>battle_weaponShot800</v>
      </c>
      <c r="S49" s="6" t="str">
        <f t="shared" si="2"/>
        <v>battle_WeaponHit800</v>
      </c>
    </row>
    <row r="50" spans="1:19">
      <c r="A50" s="5">
        <v>803</v>
      </c>
      <c r="B50" s="5">
        <v>1</v>
      </c>
      <c r="C50" s="5">
        <v>3</v>
      </c>
      <c r="D50" s="5" t="s">
        <v>227</v>
      </c>
      <c r="E50" s="5" t="s">
        <v>228</v>
      </c>
      <c r="F50" s="5" t="s">
        <v>229</v>
      </c>
      <c r="G50" s="5">
        <v>5</v>
      </c>
      <c r="H50" s="5">
        <v>8</v>
      </c>
      <c r="I50" s="5"/>
      <c r="J50" s="6">
        <v>3</v>
      </c>
      <c r="K50" s="6">
        <v>12</v>
      </c>
      <c r="L50" s="6" t="s">
        <v>230</v>
      </c>
      <c r="M50" s="6"/>
      <c r="N50" s="6"/>
      <c r="O50" s="6" t="s">
        <v>62</v>
      </c>
      <c r="P50" s="6" t="s">
        <v>222</v>
      </c>
      <c r="Q50" s="6"/>
      <c r="R50" s="6" t="str">
        <f t="shared" si="1"/>
        <v>battle_weaponShot800</v>
      </c>
      <c r="S50" s="6" t="str">
        <f t="shared" si="2"/>
        <v>battle_WeaponHit800</v>
      </c>
    </row>
    <row r="51" spans="1:19">
      <c r="A51" s="5">
        <v>804</v>
      </c>
      <c r="B51" s="5">
        <v>1</v>
      </c>
      <c r="C51" s="5">
        <v>3</v>
      </c>
      <c r="D51" s="5" t="s">
        <v>231</v>
      </c>
      <c r="E51" s="5" t="s">
        <v>232</v>
      </c>
      <c r="F51" s="5" t="s">
        <v>233</v>
      </c>
      <c r="G51" s="5">
        <v>5</v>
      </c>
      <c r="H51" s="5">
        <v>8</v>
      </c>
      <c r="I51" s="5"/>
      <c r="J51" s="6">
        <v>4</v>
      </c>
      <c r="K51" s="6">
        <v>17</v>
      </c>
      <c r="L51" s="6" t="s">
        <v>234</v>
      </c>
      <c r="M51" s="6"/>
      <c r="N51" s="6"/>
      <c r="O51" s="6" t="s">
        <v>67</v>
      </c>
      <c r="P51" s="6" t="s">
        <v>222</v>
      </c>
      <c r="Q51" s="6"/>
      <c r="R51" s="6" t="str">
        <f t="shared" si="1"/>
        <v>battle_weaponShot800</v>
      </c>
      <c r="S51" s="6" t="str">
        <f t="shared" si="2"/>
        <v>battle_WeaponHit800</v>
      </c>
    </row>
    <row r="52" spans="1:19">
      <c r="A52" s="5">
        <v>805</v>
      </c>
      <c r="B52" s="5">
        <v>1</v>
      </c>
      <c r="C52" s="5">
        <v>3</v>
      </c>
      <c r="D52" s="5" t="s">
        <v>235</v>
      </c>
      <c r="E52" s="5" t="s">
        <v>236</v>
      </c>
      <c r="F52" s="5" t="s">
        <v>237</v>
      </c>
      <c r="G52" s="5">
        <v>5</v>
      </c>
      <c r="H52" s="5">
        <v>8</v>
      </c>
      <c r="I52" s="5"/>
      <c r="J52" s="6">
        <v>5</v>
      </c>
      <c r="K52" s="6">
        <v>999</v>
      </c>
      <c r="L52" s="6"/>
      <c r="M52" s="6">
        <v>8209</v>
      </c>
      <c r="N52" s="6"/>
      <c r="O52" s="6" t="s">
        <v>71</v>
      </c>
      <c r="P52" s="6" t="s">
        <v>222</v>
      </c>
      <c r="Q52" s="6" t="str">
        <f>"UIEffects/ui_effect_"&amp;A52</f>
        <v>UIEffects/ui_effect_805</v>
      </c>
      <c r="R52" s="6" t="str">
        <f t="shared" si="1"/>
        <v>battle_weaponShot800</v>
      </c>
      <c r="S52" s="6" t="str">
        <f t="shared" si="2"/>
        <v>battle_WeaponHit800</v>
      </c>
    </row>
    <row r="53" spans="1:19">
      <c r="A53" s="5">
        <v>806</v>
      </c>
      <c r="B53" s="5">
        <v>1</v>
      </c>
      <c r="C53" s="5">
        <v>3</v>
      </c>
      <c r="D53" s="5" t="s">
        <v>238</v>
      </c>
      <c r="E53" s="5" t="s">
        <v>239</v>
      </c>
      <c r="F53" s="5" t="s">
        <v>240</v>
      </c>
      <c r="G53" s="5">
        <v>5</v>
      </c>
      <c r="H53" s="5">
        <v>8</v>
      </c>
      <c r="I53" s="5"/>
      <c r="J53" s="6">
        <v>5</v>
      </c>
      <c r="K53" s="6">
        <v>999</v>
      </c>
      <c r="L53" s="6"/>
      <c r="M53" s="6">
        <v>8210</v>
      </c>
      <c r="N53" s="6"/>
      <c r="O53" s="6" t="s">
        <v>71</v>
      </c>
      <c r="P53" s="6" t="s">
        <v>222</v>
      </c>
      <c r="Q53" s="6" t="str">
        <f>"UIEffects/ui_effect_"&amp;A53</f>
        <v>UIEffects/ui_effect_806</v>
      </c>
      <c r="R53" s="6" t="str">
        <f t="shared" si="1"/>
        <v>battle_weaponShot800</v>
      </c>
      <c r="S53" s="6" t="str">
        <f t="shared" si="2"/>
        <v>battle_WeaponHit800</v>
      </c>
    </row>
    <row r="54" spans="1:19">
      <c r="A54" s="5">
        <v>901</v>
      </c>
      <c r="B54" s="5">
        <v>1</v>
      </c>
      <c r="C54" s="5">
        <v>1</v>
      </c>
      <c r="D54" s="5" t="s">
        <v>241</v>
      </c>
      <c r="E54" s="5" t="s">
        <v>242</v>
      </c>
      <c r="F54" s="5" t="s">
        <v>243</v>
      </c>
      <c r="G54" s="5">
        <v>4</v>
      </c>
      <c r="H54" s="5">
        <v>9</v>
      </c>
      <c r="I54" s="5"/>
      <c r="J54" s="6">
        <v>1</v>
      </c>
      <c r="K54" s="6"/>
      <c r="L54" s="5" t="s">
        <v>244</v>
      </c>
      <c r="M54" s="5"/>
      <c r="N54" s="6">
        <v>2</v>
      </c>
      <c r="O54" s="5"/>
      <c r="P54" s="5"/>
      <c r="Q54" s="5"/>
      <c r="R54" s="6"/>
      <c r="S54" s="6"/>
    </row>
    <row r="55" spans="1:19">
      <c r="A55" s="5">
        <v>902</v>
      </c>
      <c r="B55" s="5">
        <v>1</v>
      </c>
      <c r="C55" s="5">
        <v>1</v>
      </c>
      <c r="D55" s="5" t="s">
        <v>245</v>
      </c>
      <c r="E55" s="5" t="s">
        <v>246</v>
      </c>
      <c r="F55" s="5" t="s">
        <v>247</v>
      </c>
      <c r="G55" s="5">
        <v>4</v>
      </c>
      <c r="H55" s="5">
        <v>9</v>
      </c>
      <c r="I55" s="5"/>
      <c r="J55" s="6">
        <v>2</v>
      </c>
      <c r="K55" s="6"/>
      <c r="L55" s="5" t="s">
        <v>248</v>
      </c>
      <c r="M55" s="5"/>
      <c r="N55" s="6">
        <v>4</v>
      </c>
      <c r="O55" s="5"/>
      <c r="P55" s="5"/>
      <c r="Q55" s="5"/>
      <c r="R55" s="6"/>
      <c r="S55" s="6"/>
    </row>
    <row r="56" spans="1:19">
      <c r="A56" s="5">
        <v>903</v>
      </c>
      <c r="B56" s="5">
        <v>1</v>
      </c>
      <c r="C56" s="5">
        <v>1</v>
      </c>
      <c r="D56" s="5" t="s">
        <v>249</v>
      </c>
      <c r="E56" s="5" t="s">
        <v>250</v>
      </c>
      <c r="F56" s="5" t="s">
        <v>251</v>
      </c>
      <c r="G56" s="5">
        <v>4</v>
      </c>
      <c r="H56" s="5">
        <v>9</v>
      </c>
      <c r="I56" s="5"/>
      <c r="J56" s="6">
        <v>3</v>
      </c>
      <c r="K56" s="6"/>
      <c r="L56" s="5" t="s">
        <v>252</v>
      </c>
      <c r="M56" s="5"/>
      <c r="N56" s="6">
        <v>8</v>
      </c>
      <c r="O56" s="5"/>
      <c r="P56" s="5"/>
      <c r="Q56" s="5"/>
      <c r="R56" s="6"/>
      <c r="S56" s="6"/>
    </row>
    <row r="57" spans="1:19">
      <c r="A57" s="5">
        <v>904</v>
      </c>
      <c r="B57" s="5">
        <v>1</v>
      </c>
      <c r="C57" s="5">
        <v>1</v>
      </c>
      <c r="D57" s="5" t="s">
        <v>253</v>
      </c>
      <c r="E57" s="5" t="s">
        <v>254</v>
      </c>
      <c r="F57" s="5" t="s">
        <v>255</v>
      </c>
      <c r="G57" s="5">
        <v>4</v>
      </c>
      <c r="H57" s="5">
        <v>9</v>
      </c>
      <c r="I57" s="5"/>
      <c r="J57" s="6">
        <v>4</v>
      </c>
      <c r="K57" s="6"/>
      <c r="L57" s="6"/>
      <c r="M57" s="6"/>
      <c r="N57" s="6">
        <v>16</v>
      </c>
      <c r="O57" s="5"/>
      <c r="P57" s="5"/>
      <c r="Q57" s="5"/>
      <c r="R57" s="6"/>
      <c r="S57" s="6"/>
    </row>
    <row r="58" spans="1:19">
      <c r="A58" s="5">
        <v>1001</v>
      </c>
      <c r="B58" s="5">
        <v>2</v>
      </c>
      <c r="C58" s="5">
        <v>1</v>
      </c>
      <c r="D58" s="5" t="s">
        <v>256</v>
      </c>
      <c r="E58" s="5" t="s">
        <v>257</v>
      </c>
      <c r="F58" s="5" t="s">
        <v>257</v>
      </c>
      <c r="G58" s="5"/>
      <c r="H58" s="5"/>
      <c r="I58" s="5"/>
      <c r="J58" s="6"/>
      <c r="K58" s="6"/>
      <c r="L58" s="6"/>
      <c r="M58" s="6"/>
      <c r="N58" s="6"/>
      <c r="O58" s="5"/>
      <c r="P58" s="5"/>
      <c r="Q58" s="5"/>
      <c r="R58" s="6"/>
      <c r="S58" s="6"/>
    </row>
    <row r="59" spans="1:19">
      <c r="A59" s="5">
        <v>1002</v>
      </c>
      <c r="B59" s="5">
        <v>2</v>
      </c>
      <c r="C59" s="5">
        <v>2</v>
      </c>
      <c r="D59" s="5" t="s">
        <v>258</v>
      </c>
      <c r="E59" s="5" t="s">
        <v>259</v>
      </c>
      <c r="F59" s="5" t="s">
        <v>259</v>
      </c>
      <c r="G59" s="5"/>
      <c r="H59" s="5"/>
      <c r="I59" s="5"/>
      <c r="J59" s="6"/>
      <c r="K59" s="6"/>
      <c r="L59" s="6"/>
      <c r="M59" s="6"/>
      <c r="N59" s="6"/>
      <c r="O59" s="5"/>
      <c r="P59" s="5"/>
      <c r="Q59" s="5"/>
      <c r="R59" s="6"/>
      <c r="S59" s="6"/>
    </row>
    <row r="60" spans="1:19">
      <c r="A60" s="5">
        <v>1003</v>
      </c>
      <c r="B60" s="5">
        <v>2</v>
      </c>
      <c r="C60" s="5">
        <v>3</v>
      </c>
      <c r="D60" s="5" t="s">
        <v>260</v>
      </c>
      <c r="E60" s="5" t="s">
        <v>261</v>
      </c>
      <c r="F60" s="5" t="s">
        <v>261</v>
      </c>
      <c r="G60" s="5"/>
      <c r="H60" s="5"/>
      <c r="I60" s="5"/>
      <c r="J60" s="6"/>
      <c r="K60" s="6"/>
      <c r="L60" s="6"/>
      <c r="M60" s="6"/>
      <c r="N60" s="6"/>
      <c r="O60" s="5"/>
      <c r="P60" s="5"/>
      <c r="Q60" s="5"/>
      <c r="R60" s="6"/>
      <c r="S60" s="6"/>
    </row>
    <row r="61" spans="1:19">
      <c r="A61" s="5">
        <v>1004</v>
      </c>
      <c r="B61" s="5">
        <v>2</v>
      </c>
      <c r="C61" s="5">
        <v>4</v>
      </c>
      <c r="D61" s="5" t="s">
        <v>262</v>
      </c>
      <c r="E61" s="5" t="s">
        <v>263</v>
      </c>
      <c r="F61" s="5" t="s">
        <v>263</v>
      </c>
      <c r="G61" s="5"/>
      <c r="H61" s="5"/>
      <c r="I61" s="5"/>
      <c r="J61" s="6"/>
      <c r="K61" s="6"/>
      <c r="L61" s="6"/>
      <c r="M61" s="6"/>
      <c r="N61" s="6"/>
      <c r="O61" s="5"/>
      <c r="P61" s="5"/>
      <c r="Q61" s="5"/>
      <c r="R61" s="6"/>
      <c r="S61" s="6"/>
    </row>
    <row r="62" spans="1:19">
      <c r="A62" s="5">
        <v>1005</v>
      </c>
      <c r="B62" s="5">
        <v>2</v>
      </c>
      <c r="C62" s="5">
        <v>5</v>
      </c>
      <c r="D62" s="5" t="s">
        <v>264</v>
      </c>
      <c r="E62" s="5" t="s">
        <v>265</v>
      </c>
      <c r="F62" s="5" t="s">
        <v>265</v>
      </c>
      <c r="G62" s="5"/>
      <c r="H62" s="5"/>
      <c r="I62" s="5"/>
      <c r="J62" s="6"/>
      <c r="K62" s="6"/>
      <c r="L62" s="6"/>
      <c r="M62" s="6"/>
      <c r="N62" s="6"/>
      <c r="O62" s="5"/>
      <c r="P62" s="5"/>
      <c r="Q62" s="5"/>
      <c r="R62" s="6"/>
      <c r="S62" s="6"/>
    </row>
    <row r="63" spans="1:19">
      <c r="A63" s="5">
        <v>1006</v>
      </c>
      <c r="B63" s="5">
        <v>2</v>
      </c>
      <c r="C63" s="5">
        <v>6</v>
      </c>
      <c r="D63" s="5" t="s">
        <v>266</v>
      </c>
      <c r="E63" s="5" t="s">
        <v>267</v>
      </c>
      <c r="F63" s="5" t="s">
        <v>267</v>
      </c>
      <c r="G63" s="5"/>
      <c r="H63" s="5"/>
      <c r="I63" s="5"/>
      <c r="J63" s="6"/>
      <c r="K63" s="6"/>
      <c r="L63" s="6"/>
      <c r="M63" s="6"/>
      <c r="N63" s="6"/>
      <c r="O63" s="5"/>
      <c r="P63" s="5"/>
      <c r="Q63" s="5"/>
      <c r="R63" s="6"/>
      <c r="S63" s="6"/>
    </row>
    <row r="64" spans="1:19">
      <c r="A64" s="5">
        <v>1007</v>
      </c>
      <c r="B64" s="5">
        <v>2</v>
      </c>
      <c r="C64" s="5">
        <v>7</v>
      </c>
      <c r="D64" s="5" t="s">
        <v>268</v>
      </c>
      <c r="E64" s="5" t="s">
        <v>269</v>
      </c>
      <c r="F64" s="5" t="s">
        <v>269</v>
      </c>
      <c r="G64" s="5"/>
      <c r="H64" s="5"/>
      <c r="I64" s="5"/>
      <c r="J64" s="6"/>
      <c r="K64" s="6"/>
      <c r="L64" s="6"/>
      <c r="M64" s="6"/>
      <c r="N64" s="6"/>
      <c r="O64" s="5"/>
      <c r="P64" s="5"/>
      <c r="Q64" s="5"/>
      <c r="R64" s="6"/>
      <c r="S64" s="6"/>
    </row>
    <row r="65" spans="1:19">
      <c r="A65" s="5">
        <v>1008</v>
      </c>
      <c r="B65" s="5">
        <v>2</v>
      </c>
      <c r="C65" s="5">
        <v>8</v>
      </c>
      <c r="D65" s="5" t="s">
        <v>270</v>
      </c>
      <c r="E65" s="5" t="s">
        <v>271</v>
      </c>
      <c r="F65" s="5" t="s">
        <v>271</v>
      </c>
      <c r="G65" s="5"/>
      <c r="H65" s="5"/>
      <c r="I65" s="5"/>
      <c r="J65" s="6"/>
      <c r="K65" s="6"/>
      <c r="L65" s="6"/>
      <c r="M65" s="6"/>
      <c r="N65" s="6"/>
      <c r="O65" s="5"/>
      <c r="P65" s="5"/>
      <c r="Q65" s="5"/>
      <c r="R65" s="6"/>
      <c r="S65" s="6"/>
    </row>
    <row r="66" spans="1:19">
      <c r="A66" s="5">
        <v>1009</v>
      </c>
      <c r="B66" s="5">
        <v>2</v>
      </c>
      <c r="C66" s="5">
        <v>9</v>
      </c>
      <c r="D66" s="5" t="s">
        <v>272</v>
      </c>
      <c r="E66" s="5" t="s">
        <v>273</v>
      </c>
      <c r="F66" s="5" t="s">
        <v>273</v>
      </c>
      <c r="G66" s="5"/>
      <c r="H66" s="5"/>
      <c r="I66" s="5"/>
      <c r="J66" s="6"/>
      <c r="K66" s="6"/>
      <c r="L66" s="6"/>
      <c r="M66" s="6"/>
      <c r="N66" s="6"/>
      <c r="O66" s="5"/>
      <c r="P66" s="5"/>
      <c r="Q66" s="5"/>
      <c r="R66" s="6"/>
      <c r="S66" s="6"/>
    </row>
    <row r="67" spans="1:19">
      <c r="A67" s="5">
        <v>1010</v>
      </c>
      <c r="B67" s="5">
        <v>2</v>
      </c>
      <c r="C67" s="5">
        <v>10</v>
      </c>
      <c r="D67" s="5" t="s">
        <v>274</v>
      </c>
      <c r="E67" s="5" t="s">
        <v>275</v>
      </c>
      <c r="F67" s="5" t="s">
        <v>275</v>
      </c>
      <c r="G67" s="5"/>
      <c r="H67" s="5"/>
      <c r="I67" s="5"/>
      <c r="J67" s="6"/>
      <c r="K67" s="6"/>
      <c r="L67" s="6"/>
      <c r="M67" s="6"/>
      <c r="N67" s="6"/>
      <c r="O67" s="5"/>
      <c r="P67" s="5"/>
      <c r="Q67" s="5"/>
      <c r="R67" s="6"/>
      <c r="S67" s="6"/>
    </row>
    <row r="68" spans="1:19">
      <c r="A68" s="10">
        <v>1011</v>
      </c>
      <c r="B68" s="11">
        <v>2</v>
      </c>
      <c r="C68" s="11">
        <v>2</v>
      </c>
      <c r="D68" s="11" t="s">
        <v>258</v>
      </c>
      <c r="E68" s="11" t="s">
        <v>259</v>
      </c>
      <c r="F68" s="11" t="s">
        <v>259</v>
      </c>
      <c r="G68" s="5"/>
      <c r="H68" s="5"/>
      <c r="I68" s="5"/>
      <c r="J68" s="6"/>
      <c r="K68" s="6"/>
      <c r="L68" s="6"/>
      <c r="M68" s="6"/>
      <c r="N68" s="6"/>
      <c r="O68" s="5"/>
      <c r="P68" s="5"/>
      <c r="Q68" s="5"/>
      <c r="R68" s="6"/>
      <c r="S68" s="6"/>
    </row>
    <row r="69" spans="1:19">
      <c r="A69" s="10">
        <v>1012</v>
      </c>
      <c r="B69" s="11">
        <v>2</v>
      </c>
      <c r="C69" s="11">
        <v>3</v>
      </c>
      <c r="D69" s="11" t="s">
        <v>260</v>
      </c>
      <c r="E69" s="11" t="s">
        <v>261</v>
      </c>
      <c r="F69" s="11" t="s">
        <v>261</v>
      </c>
      <c r="G69" s="5"/>
      <c r="H69" s="5"/>
      <c r="I69" s="5"/>
      <c r="J69" s="6"/>
      <c r="K69" s="6"/>
      <c r="L69" s="6"/>
      <c r="M69" s="6"/>
      <c r="N69" s="6"/>
      <c r="O69" s="5"/>
      <c r="P69" s="5"/>
      <c r="Q69" s="5"/>
      <c r="R69" s="6"/>
      <c r="S69" s="6"/>
    </row>
    <row r="70" spans="1:19">
      <c r="A70" s="10">
        <v>1013</v>
      </c>
      <c r="B70" s="11">
        <v>2</v>
      </c>
      <c r="C70" s="11">
        <v>4</v>
      </c>
      <c r="D70" s="11" t="s">
        <v>262</v>
      </c>
      <c r="E70" s="11" t="s">
        <v>263</v>
      </c>
      <c r="F70" s="11" t="s">
        <v>263</v>
      </c>
      <c r="G70" s="5"/>
      <c r="H70" s="5"/>
      <c r="I70" s="5"/>
      <c r="J70" s="6"/>
      <c r="K70" s="6"/>
      <c r="L70" s="6"/>
      <c r="M70" s="6"/>
      <c r="N70" s="6"/>
      <c r="O70" s="5"/>
      <c r="P70" s="5"/>
      <c r="Q70" s="5"/>
      <c r="R70" s="6"/>
      <c r="S70" s="6"/>
    </row>
    <row r="71" spans="1:19">
      <c r="A71" s="10">
        <v>1014</v>
      </c>
      <c r="B71" s="11">
        <v>2</v>
      </c>
      <c r="C71" s="11">
        <v>5</v>
      </c>
      <c r="D71" s="11" t="s">
        <v>264</v>
      </c>
      <c r="E71" s="11" t="s">
        <v>265</v>
      </c>
      <c r="F71" s="11" t="s">
        <v>265</v>
      </c>
      <c r="G71" s="5"/>
      <c r="H71" s="5"/>
      <c r="I71" s="5"/>
      <c r="J71" s="6"/>
      <c r="K71" s="6"/>
      <c r="L71" s="6"/>
      <c r="M71" s="6"/>
      <c r="N71" s="6"/>
      <c r="O71" s="5"/>
      <c r="P71" s="5"/>
      <c r="Q71" s="5"/>
      <c r="R71" s="6"/>
      <c r="S71" s="6"/>
    </row>
    <row r="72" spans="1:19">
      <c r="A72" s="10">
        <v>1015</v>
      </c>
      <c r="B72" s="11">
        <v>2</v>
      </c>
      <c r="C72" s="11">
        <v>6</v>
      </c>
      <c r="D72" s="11" t="s">
        <v>266</v>
      </c>
      <c r="E72" s="11" t="s">
        <v>267</v>
      </c>
      <c r="F72" s="11" t="s">
        <v>267</v>
      </c>
      <c r="G72" s="5"/>
      <c r="H72" s="5"/>
      <c r="I72" s="5"/>
      <c r="J72" s="6"/>
      <c r="K72" s="6"/>
      <c r="L72" s="6"/>
      <c r="M72" s="6"/>
      <c r="N72" s="6"/>
      <c r="O72" s="5"/>
      <c r="P72" s="5"/>
      <c r="Q72" s="5"/>
      <c r="R72" s="6"/>
      <c r="S72" s="6"/>
    </row>
    <row r="73" spans="1:19">
      <c r="A73" s="10">
        <v>1016</v>
      </c>
      <c r="B73" s="11">
        <v>2</v>
      </c>
      <c r="C73" s="11">
        <v>7</v>
      </c>
      <c r="D73" s="11" t="s">
        <v>268</v>
      </c>
      <c r="E73" s="11" t="s">
        <v>269</v>
      </c>
      <c r="F73" s="11" t="s">
        <v>269</v>
      </c>
      <c r="G73" s="5"/>
      <c r="H73" s="5"/>
      <c r="I73" s="5"/>
      <c r="J73" s="6"/>
      <c r="K73" s="6"/>
      <c r="L73" s="6"/>
      <c r="M73" s="6"/>
      <c r="N73" s="6"/>
      <c r="O73" s="5"/>
      <c r="P73" s="5"/>
      <c r="Q73" s="5"/>
      <c r="R73" s="6"/>
      <c r="S73" s="6"/>
    </row>
    <row r="74" spans="1:19">
      <c r="A74" s="5">
        <v>1101</v>
      </c>
      <c r="B74" s="5">
        <v>1</v>
      </c>
      <c r="C74" s="5">
        <v>7</v>
      </c>
      <c r="D74" s="5" t="s">
        <v>276</v>
      </c>
      <c r="E74" s="5" t="s">
        <v>277</v>
      </c>
      <c r="F74" s="5" t="s">
        <v>278</v>
      </c>
      <c r="G74" s="5">
        <v>4</v>
      </c>
      <c r="H74" s="5">
        <v>11</v>
      </c>
      <c r="I74" s="5"/>
      <c r="J74" s="6">
        <v>1</v>
      </c>
      <c r="K74" s="6">
        <v>1</v>
      </c>
      <c r="L74" s="5" t="s">
        <v>279</v>
      </c>
      <c r="M74" s="6"/>
      <c r="N74" s="6"/>
      <c r="O74" s="6" t="s">
        <v>50</v>
      </c>
      <c r="P74" s="5" t="s">
        <v>280</v>
      </c>
      <c r="Q74" s="5"/>
      <c r="R74" s="6" t="str">
        <f>"battle_weaponShot"&amp;H74*100</f>
        <v>battle_weaponShot1100</v>
      </c>
      <c r="S74" s="6" t="s">
        <v>52</v>
      </c>
    </row>
    <row r="75" spans="1:19">
      <c r="A75" s="5">
        <v>1102</v>
      </c>
      <c r="B75" s="5">
        <v>1</v>
      </c>
      <c r="C75" s="5">
        <v>7</v>
      </c>
      <c r="D75" s="5" t="s">
        <v>281</v>
      </c>
      <c r="E75" s="5" t="s">
        <v>282</v>
      </c>
      <c r="F75" s="5" t="s">
        <v>283</v>
      </c>
      <c r="G75" s="5">
        <v>4</v>
      </c>
      <c r="H75" s="5">
        <v>11</v>
      </c>
      <c r="I75" s="5"/>
      <c r="J75" s="6">
        <v>2</v>
      </c>
      <c r="K75" s="6">
        <v>6</v>
      </c>
      <c r="L75" s="5" t="s">
        <v>284</v>
      </c>
      <c r="M75" s="6"/>
      <c r="N75" s="6"/>
      <c r="O75" s="6" t="s">
        <v>57</v>
      </c>
      <c r="P75" s="5" t="s">
        <v>280</v>
      </c>
      <c r="Q75" s="5"/>
      <c r="R75" s="6" t="str">
        <f>"battle_weaponShot"&amp;H75*100</f>
        <v>battle_weaponShot1100</v>
      </c>
      <c r="S75" s="6" t="s">
        <v>52</v>
      </c>
    </row>
    <row r="76" spans="1:19">
      <c r="A76" s="5">
        <v>1103</v>
      </c>
      <c r="B76" s="5">
        <v>1</v>
      </c>
      <c r="C76" s="5">
        <v>7</v>
      </c>
      <c r="D76" s="5" t="s">
        <v>285</v>
      </c>
      <c r="E76" s="5" t="s">
        <v>286</v>
      </c>
      <c r="F76" s="5" t="s">
        <v>287</v>
      </c>
      <c r="G76" s="5">
        <v>4</v>
      </c>
      <c r="H76" s="5">
        <v>11</v>
      </c>
      <c r="I76" s="5"/>
      <c r="J76" s="6">
        <v>3</v>
      </c>
      <c r="K76" s="6">
        <v>12</v>
      </c>
      <c r="L76" s="5" t="s">
        <v>288</v>
      </c>
      <c r="M76" s="6"/>
      <c r="N76" s="6"/>
      <c r="O76" s="6" t="s">
        <v>62</v>
      </c>
      <c r="P76" s="5" t="s">
        <v>280</v>
      </c>
      <c r="Q76" s="5"/>
      <c r="R76" s="6" t="str">
        <f>"battle_weaponShot"&amp;H76*100</f>
        <v>battle_weaponShot1100</v>
      </c>
      <c r="S76" s="6" t="s">
        <v>52</v>
      </c>
    </row>
    <row r="77" spans="1:19">
      <c r="A77" s="5">
        <v>1104</v>
      </c>
      <c r="B77" s="5">
        <v>1</v>
      </c>
      <c r="C77" s="5">
        <v>7</v>
      </c>
      <c r="D77" s="5" t="s">
        <v>289</v>
      </c>
      <c r="E77" s="5" t="s">
        <v>290</v>
      </c>
      <c r="F77" s="5" t="s">
        <v>291</v>
      </c>
      <c r="G77" s="5">
        <v>4</v>
      </c>
      <c r="H77" s="5">
        <v>11</v>
      </c>
      <c r="I77" s="5"/>
      <c r="J77" s="6">
        <v>4</v>
      </c>
      <c r="K77" s="6">
        <v>17</v>
      </c>
      <c r="L77" s="6" t="s">
        <v>292</v>
      </c>
      <c r="M77" s="6"/>
      <c r="N77" s="6"/>
      <c r="O77" s="6" t="s">
        <v>67</v>
      </c>
      <c r="P77" s="5" t="s">
        <v>280</v>
      </c>
      <c r="Q77" s="5"/>
      <c r="R77" s="6" t="str">
        <f>"battle_weaponShot"&amp;H77*100</f>
        <v>battle_weaponShot1100</v>
      </c>
      <c r="S77" s="6" t="s">
        <v>52</v>
      </c>
    </row>
    <row r="78" spans="1:19">
      <c r="A78" s="5">
        <v>1105</v>
      </c>
      <c r="B78" s="5">
        <v>1</v>
      </c>
      <c r="C78" s="5">
        <v>7</v>
      </c>
      <c r="D78" s="5" t="s">
        <v>293</v>
      </c>
      <c r="E78" s="5" t="s">
        <v>294</v>
      </c>
      <c r="F78" s="5" t="s">
        <v>295</v>
      </c>
      <c r="G78" s="5">
        <v>6</v>
      </c>
      <c r="H78" s="5">
        <v>11</v>
      </c>
      <c r="I78" s="5"/>
      <c r="J78" s="6">
        <v>5</v>
      </c>
      <c r="K78" s="6">
        <v>999</v>
      </c>
      <c r="L78" s="5"/>
      <c r="M78" s="6">
        <v>11209</v>
      </c>
      <c r="N78" s="6"/>
      <c r="O78" s="6" t="s">
        <v>71</v>
      </c>
      <c r="P78" s="5" t="s">
        <v>280</v>
      </c>
      <c r="Q78" s="6" t="str">
        <f>"UIEffects/ui_effect_"&amp;A78</f>
        <v>UIEffects/ui_effect_1105</v>
      </c>
      <c r="S78" s="6"/>
    </row>
    <row r="79" spans="1:19">
      <c r="A79" s="5">
        <v>1106</v>
      </c>
      <c r="B79" s="5">
        <v>1</v>
      </c>
      <c r="C79" s="5">
        <v>7</v>
      </c>
      <c r="D79" s="5" t="s">
        <v>296</v>
      </c>
      <c r="E79" s="5" t="s">
        <v>297</v>
      </c>
      <c r="F79" s="5" t="s">
        <v>298</v>
      </c>
      <c r="G79" s="5">
        <v>1</v>
      </c>
      <c r="H79" s="5">
        <v>11</v>
      </c>
      <c r="I79" s="5"/>
      <c r="J79" s="6">
        <v>5</v>
      </c>
      <c r="K79" s="6">
        <v>999</v>
      </c>
      <c r="L79" s="5"/>
      <c r="M79" s="6">
        <v>11210</v>
      </c>
      <c r="N79" s="6"/>
      <c r="O79" s="6" t="s">
        <v>71</v>
      </c>
      <c r="P79" s="5" t="s">
        <v>280</v>
      </c>
      <c r="Q79" s="6" t="str">
        <f>"UIEffects/ui_effect_"&amp;A79</f>
        <v>UIEffects/ui_effect_1106</v>
      </c>
      <c r="R79" s="6"/>
      <c r="S79" s="6"/>
    </row>
    <row r="80" spans="1:19">
      <c r="A80" s="5">
        <v>1201</v>
      </c>
      <c r="B80" s="5">
        <v>1</v>
      </c>
      <c r="C80" s="5">
        <v>6</v>
      </c>
      <c r="D80" s="5" t="s">
        <v>299</v>
      </c>
      <c r="E80" s="5" t="s">
        <v>300</v>
      </c>
      <c r="F80" s="5" t="s">
        <v>301</v>
      </c>
      <c r="G80" s="5">
        <v>4</v>
      </c>
      <c r="H80" s="5">
        <v>12</v>
      </c>
      <c r="I80" s="5"/>
      <c r="J80" s="6">
        <v>1</v>
      </c>
      <c r="K80" s="6">
        <v>1</v>
      </c>
      <c r="L80" s="5" t="s">
        <v>302</v>
      </c>
      <c r="M80" s="6"/>
      <c r="N80" s="6"/>
      <c r="O80" s="6" t="s">
        <v>50</v>
      </c>
      <c r="P80" s="5" t="s">
        <v>303</v>
      </c>
      <c r="Q80" s="5"/>
      <c r="R80" s="6" t="str">
        <f t="shared" ref="R80:R83" si="3">"battle_weaponShot"&amp;H80*100</f>
        <v>battle_weaponShot1200</v>
      </c>
      <c r="S80" s="6" t="s">
        <v>52</v>
      </c>
    </row>
    <row r="81" spans="1:19">
      <c r="A81" s="5">
        <v>1202</v>
      </c>
      <c r="B81" s="5">
        <v>1</v>
      </c>
      <c r="C81" s="5">
        <v>6</v>
      </c>
      <c r="D81" s="5" t="s">
        <v>304</v>
      </c>
      <c r="E81" s="5" t="s">
        <v>305</v>
      </c>
      <c r="F81" s="5" t="s">
        <v>306</v>
      </c>
      <c r="G81" s="5">
        <v>4</v>
      </c>
      <c r="H81" s="5">
        <v>12</v>
      </c>
      <c r="I81" s="5"/>
      <c r="J81" s="6">
        <v>2</v>
      </c>
      <c r="K81" s="6">
        <v>6</v>
      </c>
      <c r="L81" s="5" t="s">
        <v>307</v>
      </c>
      <c r="M81" s="6"/>
      <c r="N81" s="6"/>
      <c r="O81" s="6" t="s">
        <v>57</v>
      </c>
      <c r="P81" s="5" t="s">
        <v>303</v>
      </c>
      <c r="Q81" s="5"/>
      <c r="R81" s="6" t="str">
        <f t="shared" si="3"/>
        <v>battle_weaponShot1200</v>
      </c>
      <c r="S81" s="6" t="s">
        <v>52</v>
      </c>
    </row>
    <row r="82" spans="1:19">
      <c r="A82" s="5">
        <v>1203</v>
      </c>
      <c r="B82" s="5">
        <v>1</v>
      </c>
      <c r="C82" s="5">
        <v>6</v>
      </c>
      <c r="D82" s="5" t="s">
        <v>308</v>
      </c>
      <c r="E82" s="5" t="s">
        <v>309</v>
      </c>
      <c r="F82" s="5" t="s">
        <v>310</v>
      </c>
      <c r="G82" s="5">
        <v>4</v>
      </c>
      <c r="H82" s="5">
        <v>12</v>
      </c>
      <c r="I82" s="5"/>
      <c r="J82" s="6">
        <v>3</v>
      </c>
      <c r="K82" s="6">
        <v>12</v>
      </c>
      <c r="L82" s="5" t="s">
        <v>311</v>
      </c>
      <c r="M82" s="6"/>
      <c r="N82" s="6"/>
      <c r="O82" s="6" t="s">
        <v>62</v>
      </c>
      <c r="P82" s="5" t="s">
        <v>303</v>
      </c>
      <c r="Q82" s="5"/>
      <c r="R82" s="6" t="str">
        <f t="shared" si="3"/>
        <v>battle_weaponShot1200</v>
      </c>
      <c r="S82" s="6" t="s">
        <v>52</v>
      </c>
    </row>
    <row r="83" spans="1:19">
      <c r="A83" s="5">
        <v>1204</v>
      </c>
      <c r="B83" s="5">
        <v>1</v>
      </c>
      <c r="C83" s="5">
        <v>6</v>
      </c>
      <c r="D83" s="5" t="s">
        <v>312</v>
      </c>
      <c r="E83" s="5" t="s">
        <v>313</v>
      </c>
      <c r="F83" s="5" t="s">
        <v>314</v>
      </c>
      <c r="G83" s="5">
        <v>4</v>
      </c>
      <c r="H83" s="5">
        <v>12</v>
      </c>
      <c r="I83" s="5"/>
      <c r="J83" s="6">
        <v>4</v>
      </c>
      <c r="K83" s="6">
        <v>17</v>
      </c>
      <c r="L83" s="6" t="s">
        <v>315</v>
      </c>
      <c r="M83" s="6"/>
      <c r="N83" s="6"/>
      <c r="O83" s="6" t="s">
        <v>67</v>
      </c>
      <c r="P83" s="5" t="s">
        <v>303</v>
      </c>
      <c r="Q83" s="5"/>
      <c r="R83" s="6" t="str">
        <f t="shared" si="3"/>
        <v>battle_weaponShot1200</v>
      </c>
      <c r="S83" s="6" t="s">
        <v>52</v>
      </c>
    </row>
    <row r="84" spans="1:19">
      <c r="A84" s="5">
        <v>1205</v>
      </c>
      <c r="B84" s="5">
        <v>1</v>
      </c>
      <c r="C84" s="5">
        <v>6</v>
      </c>
      <c r="D84" s="5" t="s">
        <v>316</v>
      </c>
      <c r="E84" s="5" t="s">
        <v>317</v>
      </c>
      <c r="F84" s="5" t="s">
        <v>318</v>
      </c>
      <c r="G84" s="5">
        <v>6</v>
      </c>
      <c r="H84" s="5">
        <v>12</v>
      </c>
      <c r="I84" s="5"/>
      <c r="J84" s="6">
        <v>5</v>
      </c>
      <c r="K84" s="6">
        <v>999</v>
      </c>
      <c r="L84" s="5"/>
      <c r="M84" s="6">
        <v>12209</v>
      </c>
      <c r="N84" s="6"/>
      <c r="O84" s="6" t="s">
        <v>71</v>
      </c>
      <c r="P84" s="5" t="s">
        <v>303</v>
      </c>
      <c r="Q84" s="6" t="str">
        <f>"UIEffects/ui_effect_"&amp;A84</f>
        <v>UIEffects/ui_effect_1205</v>
      </c>
      <c r="R84" s="6"/>
      <c r="S84" s="6"/>
    </row>
    <row r="85" spans="1:19">
      <c r="A85" s="5">
        <v>1206</v>
      </c>
      <c r="B85" s="5">
        <v>1</v>
      </c>
      <c r="C85" s="5">
        <v>6</v>
      </c>
      <c r="D85" s="5" t="s">
        <v>319</v>
      </c>
      <c r="E85" s="5" t="s">
        <v>320</v>
      </c>
      <c r="F85" s="5" t="s">
        <v>321</v>
      </c>
      <c r="G85" s="5">
        <v>5</v>
      </c>
      <c r="H85" s="5">
        <v>12</v>
      </c>
      <c r="I85" s="5">
        <v>2</v>
      </c>
      <c r="J85" s="6">
        <v>5</v>
      </c>
      <c r="K85" s="6">
        <v>999</v>
      </c>
      <c r="L85" s="5"/>
      <c r="M85" s="6">
        <v>12210</v>
      </c>
      <c r="N85" s="6"/>
      <c r="O85" s="6" t="s">
        <v>71</v>
      </c>
      <c r="P85" s="5" t="s">
        <v>303</v>
      </c>
      <c r="Q85" s="6" t="str">
        <f>"UIEffects/ui_effect_"&amp;A85</f>
        <v>UIEffects/ui_effect_1206</v>
      </c>
      <c r="R85" s="6"/>
      <c r="S85" s="6"/>
    </row>
    <row r="86" spans="1:19">
      <c r="A86" s="5">
        <v>1301</v>
      </c>
      <c r="B86" s="5">
        <v>1</v>
      </c>
      <c r="C86" s="5">
        <v>10</v>
      </c>
      <c r="D86" s="5" t="s">
        <v>322</v>
      </c>
      <c r="E86" s="5" t="s">
        <v>323</v>
      </c>
      <c r="F86" s="5" t="s">
        <v>324</v>
      </c>
      <c r="G86" s="5">
        <v>2</v>
      </c>
      <c r="H86" s="5">
        <v>13</v>
      </c>
      <c r="I86" s="5"/>
      <c r="J86" s="6">
        <v>1</v>
      </c>
      <c r="K86" s="6">
        <v>1</v>
      </c>
      <c r="L86" s="5" t="s">
        <v>325</v>
      </c>
      <c r="M86" s="6"/>
      <c r="N86" s="6"/>
      <c r="O86" s="6" t="s">
        <v>50</v>
      </c>
      <c r="P86" s="5" t="s">
        <v>326</v>
      </c>
      <c r="Q86" s="5"/>
      <c r="R86" s="6" t="str">
        <f>"battle_weaponShot"&amp;H86*100</f>
        <v>battle_weaponShot1300</v>
      </c>
      <c r="S86" s="6" t="str">
        <f t="shared" ref="S86:S93" si="4">"battle_WeaponHit"&amp;$H86*100</f>
        <v>battle_WeaponHit1300</v>
      </c>
    </row>
    <row r="87" spans="1:19">
      <c r="A87" s="5">
        <v>1302</v>
      </c>
      <c r="B87" s="5">
        <v>1</v>
      </c>
      <c r="C87" s="5">
        <v>10</v>
      </c>
      <c r="D87" s="5" t="s">
        <v>327</v>
      </c>
      <c r="E87" s="5" t="s">
        <v>328</v>
      </c>
      <c r="F87" s="5" t="s">
        <v>329</v>
      </c>
      <c r="G87" s="5">
        <v>2</v>
      </c>
      <c r="H87" s="5">
        <v>13</v>
      </c>
      <c r="I87" s="5"/>
      <c r="J87" s="6">
        <v>2</v>
      </c>
      <c r="K87" s="6">
        <v>6</v>
      </c>
      <c r="L87" s="5" t="s">
        <v>330</v>
      </c>
      <c r="M87" s="6"/>
      <c r="N87" s="6"/>
      <c r="O87" s="6" t="s">
        <v>57</v>
      </c>
      <c r="P87" s="5" t="s">
        <v>326</v>
      </c>
      <c r="Q87" s="5"/>
      <c r="R87" s="6" t="str">
        <f>"battle_weaponShot"&amp;H87*100</f>
        <v>battle_weaponShot1300</v>
      </c>
      <c r="S87" s="6" t="str">
        <f t="shared" si="4"/>
        <v>battle_WeaponHit1300</v>
      </c>
    </row>
    <row r="88" spans="1:19">
      <c r="A88" s="5">
        <v>1303</v>
      </c>
      <c r="B88" s="5">
        <v>1</v>
      </c>
      <c r="C88" s="5">
        <v>10</v>
      </c>
      <c r="D88" s="5" t="s">
        <v>331</v>
      </c>
      <c r="E88" s="5" t="s">
        <v>332</v>
      </c>
      <c r="F88" s="5" t="s">
        <v>333</v>
      </c>
      <c r="G88" s="5">
        <v>2</v>
      </c>
      <c r="H88" s="5">
        <v>13</v>
      </c>
      <c r="I88" s="5"/>
      <c r="J88" s="6">
        <v>3</v>
      </c>
      <c r="K88" s="6">
        <v>12</v>
      </c>
      <c r="L88" s="5" t="s">
        <v>334</v>
      </c>
      <c r="M88" s="6"/>
      <c r="N88" s="6"/>
      <c r="O88" s="6" t="s">
        <v>62</v>
      </c>
      <c r="P88" s="5" t="s">
        <v>326</v>
      </c>
      <c r="Q88" s="5"/>
      <c r="R88" s="6" t="str">
        <f>"battle_weaponShot"&amp;H88*100</f>
        <v>battle_weaponShot1300</v>
      </c>
      <c r="S88" s="6" t="str">
        <f t="shared" si="4"/>
        <v>battle_WeaponHit1300</v>
      </c>
    </row>
    <row r="89" spans="1:19">
      <c r="A89" s="5">
        <v>1304</v>
      </c>
      <c r="B89" s="5">
        <v>1</v>
      </c>
      <c r="C89" s="5">
        <v>10</v>
      </c>
      <c r="D89" s="5" t="s">
        <v>335</v>
      </c>
      <c r="E89" s="5" t="s">
        <v>336</v>
      </c>
      <c r="F89" s="5" t="s">
        <v>337</v>
      </c>
      <c r="G89" s="5">
        <v>2</v>
      </c>
      <c r="H89" s="5">
        <v>13</v>
      </c>
      <c r="I89" s="5"/>
      <c r="J89" s="6">
        <v>4</v>
      </c>
      <c r="K89" s="6">
        <v>17</v>
      </c>
      <c r="L89" s="6"/>
      <c r="M89" s="6"/>
      <c r="N89" s="6"/>
      <c r="O89" s="6" t="s">
        <v>67</v>
      </c>
      <c r="P89" s="5" t="s">
        <v>326</v>
      </c>
      <c r="Q89" s="5"/>
      <c r="R89" s="6" t="str">
        <f>"battle_weaponShot"&amp;H89*100</f>
        <v>battle_weaponShot1300</v>
      </c>
      <c r="S89" s="6" t="str">
        <f t="shared" si="4"/>
        <v>battle_WeaponHit1300</v>
      </c>
    </row>
    <row r="90" spans="1:19">
      <c r="A90" s="5">
        <v>1401</v>
      </c>
      <c r="B90" s="5">
        <v>1</v>
      </c>
      <c r="C90" s="5">
        <v>5</v>
      </c>
      <c r="D90" s="5" t="s">
        <v>338</v>
      </c>
      <c r="E90" s="5" t="s">
        <v>339</v>
      </c>
      <c r="F90" s="5" t="s">
        <v>340</v>
      </c>
      <c r="G90" s="5">
        <v>3</v>
      </c>
      <c r="H90" s="5">
        <v>14</v>
      </c>
      <c r="I90" s="5"/>
      <c r="J90" s="6">
        <v>1</v>
      </c>
      <c r="K90" s="6">
        <v>1</v>
      </c>
      <c r="L90" s="5" t="s">
        <v>341</v>
      </c>
      <c r="M90" s="6"/>
      <c r="N90" s="6"/>
      <c r="O90" s="6" t="s">
        <v>50</v>
      </c>
      <c r="P90" s="5" t="s">
        <v>342</v>
      </c>
      <c r="Q90" s="5"/>
      <c r="R90" s="6"/>
      <c r="S90" s="6" t="str">
        <f t="shared" si="4"/>
        <v>battle_WeaponHit1400</v>
      </c>
    </row>
    <row r="91" spans="1:19">
      <c r="A91" s="5">
        <v>1402</v>
      </c>
      <c r="B91" s="5">
        <v>1</v>
      </c>
      <c r="C91" s="5">
        <v>5</v>
      </c>
      <c r="D91" s="5" t="s">
        <v>343</v>
      </c>
      <c r="E91" s="5" t="s">
        <v>344</v>
      </c>
      <c r="F91" s="5" t="s">
        <v>345</v>
      </c>
      <c r="G91" s="5">
        <v>3</v>
      </c>
      <c r="H91" s="5">
        <v>14</v>
      </c>
      <c r="I91" s="5"/>
      <c r="J91" s="6">
        <v>2</v>
      </c>
      <c r="K91" s="6">
        <v>6</v>
      </c>
      <c r="L91" s="5" t="s">
        <v>346</v>
      </c>
      <c r="M91" s="6"/>
      <c r="N91" s="6"/>
      <c r="O91" s="6" t="s">
        <v>57</v>
      </c>
      <c r="P91" s="5" t="s">
        <v>342</v>
      </c>
      <c r="Q91" s="5"/>
      <c r="R91" s="6"/>
      <c r="S91" s="6" t="str">
        <f t="shared" si="4"/>
        <v>battle_WeaponHit1400</v>
      </c>
    </row>
    <row r="92" spans="1:19">
      <c r="A92" s="5">
        <v>1403</v>
      </c>
      <c r="B92" s="5">
        <v>1</v>
      </c>
      <c r="C92" s="5">
        <v>5</v>
      </c>
      <c r="D92" s="5" t="s">
        <v>347</v>
      </c>
      <c r="E92" s="5" t="s">
        <v>348</v>
      </c>
      <c r="F92" s="5" t="s">
        <v>349</v>
      </c>
      <c r="G92" s="5">
        <v>3</v>
      </c>
      <c r="H92" s="5">
        <v>14</v>
      </c>
      <c r="I92" s="5"/>
      <c r="J92" s="6">
        <v>3</v>
      </c>
      <c r="K92" s="6">
        <v>12</v>
      </c>
      <c r="L92" s="5" t="s">
        <v>350</v>
      </c>
      <c r="M92" s="6"/>
      <c r="N92" s="6"/>
      <c r="O92" s="6" t="s">
        <v>62</v>
      </c>
      <c r="P92" s="5" t="s">
        <v>342</v>
      </c>
      <c r="Q92" s="5"/>
      <c r="R92" s="6"/>
      <c r="S92" s="6" t="str">
        <f t="shared" si="4"/>
        <v>battle_WeaponHit1400</v>
      </c>
    </row>
    <row r="93" spans="1:19">
      <c r="A93" s="5">
        <v>1404</v>
      </c>
      <c r="B93" s="5">
        <v>1</v>
      </c>
      <c r="C93" s="5">
        <v>5</v>
      </c>
      <c r="D93" s="5" t="s">
        <v>351</v>
      </c>
      <c r="E93" s="5" t="s">
        <v>352</v>
      </c>
      <c r="F93" s="5" t="s">
        <v>353</v>
      </c>
      <c r="G93" s="5">
        <v>3</v>
      </c>
      <c r="H93" s="5">
        <v>14</v>
      </c>
      <c r="I93" s="5"/>
      <c r="J93" s="6">
        <v>4</v>
      </c>
      <c r="K93" s="6">
        <v>17</v>
      </c>
      <c r="L93" s="6" t="s">
        <v>354</v>
      </c>
      <c r="M93" s="6"/>
      <c r="N93" s="6"/>
      <c r="O93" s="6" t="s">
        <v>67</v>
      </c>
      <c r="P93" s="5" t="s">
        <v>342</v>
      </c>
      <c r="Q93" s="5"/>
      <c r="R93" s="6"/>
      <c r="S93" s="6" t="str">
        <f t="shared" si="4"/>
        <v>battle_WeaponHit1400</v>
      </c>
    </row>
    <row r="94" spans="1:19">
      <c r="A94" s="5">
        <v>1405</v>
      </c>
      <c r="B94" s="5">
        <v>1</v>
      </c>
      <c r="C94" s="5">
        <v>5</v>
      </c>
      <c r="D94" s="5" t="s">
        <v>355</v>
      </c>
      <c r="E94" s="5" t="s">
        <v>356</v>
      </c>
      <c r="F94" s="5" t="s">
        <v>357</v>
      </c>
      <c r="G94" s="5">
        <v>3</v>
      </c>
      <c r="H94" s="5">
        <v>14</v>
      </c>
      <c r="I94" s="5"/>
      <c r="J94" s="6">
        <v>5</v>
      </c>
      <c r="K94" s="6">
        <v>999</v>
      </c>
      <c r="L94" s="5"/>
      <c r="M94" s="6">
        <v>14209</v>
      </c>
      <c r="N94" s="6"/>
      <c r="O94" s="6" t="s">
        <v>71</v>
      </c>
      <c r="P94" s="5" t="s">
        <v>342</v>
      </c>
      <c r="Q94" s="6" t="str">
        <f>"UIEffects/ui_effect_"&amp;A94</f>
        <v>UIEffects/ui_effect_1405</v>
      </c>
      <c r="R94" s="6"/>
      <c r="S94" s="6"/>
    </row>
    <row r="95" spans="1:19">
      <c r="A95" s="5">
        <v>1406</v>
      </c>
      <c r="B95" s="5">
        <v>1</v>
      </c>
      <c r="C95" s="5">
        <v>5</v>
      </c>
      <c r="D95" s="5" t="s">
        <v>358</v>
      </c>
      <c r="E95" s="5" t="s">
        <v>359</v>
      </c>
      <c r="F95" s="5" t="s">
        <v>360</v>
      </c>
      <c r="G95" s="5">
        <v>3</v>
      </c>
      <c r="H95" s="5">
        <v>14</v>
      </c>
      <c r="I95" s="5"/>
      <c r="J95" s="6">
        <v>5</v>
      </c>
      <c r="K95" s="6">
        <v>999</v>
      </c>
      <c r="L95" s="5"/>
      <c r="M95" s="6">
        <v>14210</v>
      </c>
      <c r="N95" s="6"/>
      <c r="O95" s="6" t="s">
        <v>71</v>
      </c>
      <c r="P95" s="5" t="s">
        <v>342</v>
      </c>
      <c r="Q95" s="6" t="str">
        <f>"UIEffects/ui_effect_"&amp;A95</f>
        <v>UIEffects/ui_effect_1406</v>
      </c>
      <c r="R95" s="6"/>
      <c r="S95" s="6"/>
    </row>
    <row r="96" spans="1:19">
      <c r="A96" s="5">
        <v>1501</v>
      </c>
      <c r="B96" s="5">
        <v>1</v>
      </c>
      <c r="C96" s="5">
        <v>2</v>
      </c>
      <c r="D96" s="5" t="s">
        <v>361</v>
      </c>
      <c r="E96" s="5" t="s">
        <v>362</v>
      </c>
      <c r="F96" s="5" t="s">
        <v>363</v>
      </c>
      <c r="G96" s="5">
        <v>4</v>
      </c>
      <c r="H96" s="5">
        <v>15</v>
      </c>
      <c r="I96" s="5"/>
      <c r="J96" s="6">
        <v>1</v>
      </c>
      <c r="K96" s="6">
        <v>1</v>
      </c>
      <c r="L96" s="5" t="s">
        <v>364</v>
      </c>
      <c r="M96" s="6"/>
      <c r="N96" s="6"/>
      <c r="O96" s="6" t="s">
        <v>148</v>
      </c>
      <c r="P96" s="5" t="s">
        <v>365</v>
      </c>
      <c r="Q96" s="5"/>
      <c r="R96" s="6"/>
      <c r="S96" s="6"/>
    </row>
    <row r="97" spans="1:19">
      <c r="A97" s="5">
        <v>1502</v>
      </c>
      <c r="B97" s="5">
        <v>1</v>
      </c>
      <c r="C97" s="5">
        <v>2</v>
      </c>
      <c r="D97" s="5" t="s">
        <v>366</v>
      </c>
      <c r="E97" s="5" t="s">
        <v>367</v>
      </c>
      <c r="F97" s="5" t="s">
        <v>368</v>
      </c>
      <c r="G97" s="5">
        <v>4</v>
      </c>
      <c r="H97" s="5">
        <v>15</v>
      </c>
      <c r="I97" s="5"/>
      <c r="J97" s="6">
        <v>2</v>
      </c>
      <c r="K97" s="6">
        <v>6</v>
      </c>
      <c r="L97" s="5" t="s">
        <v>369</v>
      </c>
      <c r="M97" s="6"/>
      <c r="N97" s="6"/>
      <c r="O97" s="6" t="s">
        <v>154</v>
      </c>
      <c r="P97" s="5" t="s">
        <v>365</v>
      </c>
      <c r="Q97" s="5"/>
      <c r="R97" s="6"/>
      <c r="S97" s="6"/>
    </row>
    <row r="98" spans="1:19">
      <c r="A98" s="5">
        <v>1503</v>
      </c>
      <c r="B98" s="5">
        <v>1</v>
      </c>
      <c r="C98" s="5">
        <v>2</v>
      </c>
      <c r="D98" s="5" t="s">
        <v>370</v>
      </c>
      <c r="E98" s="5" t="s">
        <v>371</v>
      </c>
      <c r="F98" s="5" t="s">
        <v>372</v>
      </c>
      <c r="G98" s="5">
        <v>4</v>
      </c>
      <c r="H98" s="5">
        <v>15</v>
      </c>
      <c r="I98" s="5"/>
      <c r="J98" s="6">
        <v>3</v>
      </c>
      <c r="K98" s="6">
        <v>12</v>
      </c>
      <c r="L98" s="5" t="s">
        <v>373</v>
      </c>
      <c r="M98" s="6"/>
      <c r="N98" s="6"/>
      <c r="O98" s="6" t="s">
        <v>159</v>
      </c>
      <c r="P98" s="5" t="s">
        <v>365</v>
      </c>
      <c r="Q98" s="5"/>
      <c r="R98" s="6"/>
      <c r="S98" s="6"/>
    </row>
    <row r="99" spans="1:19">
      <c r="A99" s="5">
        <v>1504</v>
      </c>
      <c r="B99" s="5">
        <v>1</v>
      </c>
      <c r="C99" s="5">
        <v>2</v>
      </c>
      <c r="D99" s="5" t="s">
        <v>374</v>
      </c>
      <c r="E99" s="5" t="s">
        <v>375</v>
      </c>
      <c r="F99" s="5" t="s">
        <v>376</v>
      </c>
      <c r="G99" s="5">
        <v>4</v>
      </c>
      <c r="H99" s="5">
        <v>15</v>
      </c>
      <c r="I99" s="5"/>
      <c r="J99" s="6">
        <v>4</v>
      </c>
      <c r="K99" s="6">
        <v>17</v>
      </c>
      <c r="L99" s="5"/>
      <c r="M99" s="6"/>
      <c r="N99" s="6"/>
      <c r="O99" s="6" t="s">
        <v>164</v>
      </c>
      <c r="P99" s="5" t="s">
        <v>365</v>
      </c>
      <c r="Q99" s="5"/>
      <c r="R99" s="6"/>
      <c r="S99" s="6"/>
    </row>
    <row r="100" spans="1:19">
      <c r="A100" s="1">
        <v>1601</v>
      </c>
      <c r="B100" s="5">
        <v>1</v>
      </c>
      <c r="C100" s="1">
        <v>3</v>
      </c>
      <c r="D100" s="1" t="s">
        <v>377</v>
      </c>
      <c r="E100" s="5" t="s">
        <v>378</v>
      </c>
      <c r="F100" s="5" t="s">
        <v>379</v>
      </c>
      <c r="G100" s="5">
        <v>4</v>
      </c>
      <c r="H100" s="1">
        <v>16</v>
      </c>
      <c r="J100" s="6">
        <v>1</v>
      </c>
      <c r="K100" s="6">
        <v>1</v>
      </c>
      <c r="L100" s="5" t="s">
        <v>380</v>
      </c>
      <c r="O100" s="6" t="s">
        <v>50</v>
      </c>
      <c r="P100" s="5" t="s">
        <v>381</v>
      </c>
      <c r="R100" s="6" t="s">
        <v>382</v>
      </c>
      <c r="S100" s="6" t="s">
        <v>383</v>
      </c>
    </row>
    <row r="101" spans="1:19">
      <c r="A101" s="1">
        <v>1602</v>
      </c>
      <c r="B101" s="5">
        <v>1</v>
      </c>
      <c r="C101" s="1">
        <v>3</v>
      </c>
      <c r="D101" s="1" t="s">
        <v>384</v>
      </c>
      <c r="E101" s="5" t="s">
        <v>385</v>
      </c>
      <c r="F101" s="5" t="s">
        <v>386</v>
      </c>
      <c r="G101" s="5">
        <v>4</v>
      </c>
      <c r="H101" s="1">
        <v>16</v>
      </c>
      <c r="J101" s="6">
        <v>2</v>
      </c>
      <c r="K101" s="6">
        <v>6</v>
      </c>
      <c r="L101" s="5" t="s">
        <v>387</v>
      </c>
      <c r="O101" s="6" t="s">
        <v>57</v>
      </c>
      <c r="P101" s="5" t="s">
        <v>381</v>
      </c>
      <c r="R101" s="6" t="s">
        <v>382</v>
      </c>
      <c r="S101" s="6" t="s">
        <v>383</v>
      </c>
    </row>
    <row r="102" spans="1:19">
      <c r="A102" s="1">
        <v>1603</v>
      </c>
      <c r="B102" s="5">
        <v>1</v>
      </c>
      <c r="C102" s="1">
        <v>3</v>
      </c>
      <c r="D102" s="1" t="s">
        <v>388</v>
      </c>
      <c r="E102" s="5" t="s">
        <v>389</v>
      </c>
      <c r="F102" s="5" t="s">
        <v>390</v>
      </c>
      <c r="G102" s="5">
        <v>4</v>
      </c>
      <c r="H102" s="1">
        <v>16</v>
      </c>
      <c r="J102" s="6">
        <v>3</v>
      </c>
      <c r="K102" s="6">
        <v>12</v>
      </c>
      <c r="L102" s="5" t="s">
        <v>391</v>
      </c>
      <c r="O102" s="6" t="s">
        <v>62</v>
      </c>
      <c r="P102" s="5" t="s">
        <v>381</v>
      </c>
      <c r="R102" s="6" t="s">
        <v>382</v>
      </c>
      <c r="S102" s="6" t="s">
        <v>383</v>
      </c>
    </row>
    <row r="103" spans="1:19">
      <c r="A103" s="1">
        <v>1604</v>
      </c>
      <c r="B103" s="5">
        <v>1</v>
      </c>
      <c r="C103" s="1">
        <v>3</v>
      </c>
      <c r="D103" s="1" t="s">
        <v>392</v>
      </c>
      <c r="E103" s="5" t="s">
        <v>393</v>
      </c>
      <c r="F103" s="5" t="s">
        <v>394</v>
      </c>
      <c r="G103" s="5">
        <v>4</v>
      </c>
      <c r="H103" s="1">
        <v>16</v>
      </c>
      <c r="J103" s="6">
        <v>4</v>
      </c>
      <c r="K103" s="6">
        <v>17</v>
      </c>
      <c r="L103" s="5"/>
      <c r="O103" s="6" t="s">
        <v>67</v>
      </c>
      <c r="P103" s="5" t="s">
        <v>381</v>
      </c>
      <c r="R103" s="6" t="s">
        <v>382</v>
      </c>
      <c r="S103" s="6" t="s">
        <v>383</v>
      </c>
    </row>
    <row r="104" spans="1:19">
      <c r="A104" s="1">
        <v>1701</v>
      </c>
      <c r="B104" s="5">
        <v>1</v>
      </c>
      <c r="C104" s="1">
        <v>2</v>
      </c>
      <c r="D104" s="5" t="s">
        <v>395</v>
      </c>
      <c r="E104" s="5" t="s">
        <v>396</v>
      </c>
      <c r="F104" s="5" t="s">
        <v>397</v>
      </c>
      <c r="G104" s="5">
        <v>4</v>
      </c>
      <c r="H104" s="1">
        <v>17</v>
      </c>
      <c r="J104" s="6">
        <v>1</v>
      </c>
      <c r="K104" s="6">
        <v>1</v>
      </c>
      <c r="L104" s="5" t="s">
        <v>398</v>
      </c>
      <c r="O104" s="6" t="s">
        <v>50</v>
      </c>
      <c r="P104" s="5" t="s">
        <v>399</v>
      </c>
      <c r="R104" s="1" t="s">
        <v>400</v>
      </c>
      <c r="S104" s="6" t="s">
        <v>401</v>
      </c>
    </row>
    <row r="105" spans="1:19">
      <c r="A105" s="1">
        <v>1702</v>
      </c>
      <c r="B105" s="5">
        <v>1</v>
      </c>
      <c r="C105" s="1">
        <v>2</v>
      </c>
      <c r="D105" s="5" t="s">
        <v>402</v>
      </c>
      <c r="E105" s="5" t="s">
        <v>403</v>
      </c>
      <c r="F105" s="5" t="s">
        <v>404</v>
      </c>
      <c r="G105" s="5">
        <v>4</v>
      </c>
      <c r="H105" s="1">
        <v>17</v>
      </c>
      <c r="J105" s="6">
        <v>2</v>
      </c>
      <c r="K105" s="6">
        <v>6</v>
      </c>
      <c r="L105" s="5" t="s">
        <v>405</v>
      </c>
      <c r="O105" s="6" t="s">
        <v>57</v>
      </c>
      <c r="P105" s="5" t="s">
        <v>399</v>
      </c>
      <c r="R105" s="1" t="s">
        <v>400</v>
      </c>
      <c r="S105" s="6" t="s">
        <v>401</v>
      </c>
    </row>
    <row r="106" spans="1:19">
      <c r="A106" s="1">
        <v>1703</v>
      </c>
      <c r="B106" s="5">
        <v>1</v>
      </c>
      <c r="C106" s="1">
        <v>2</v>
      </c>
      <c r="D106" s="5" t="s">
        <v>406</v>
      </c>
      <c r="E106" s="5" t="s">
        <v>407</v>
      </c>
      <c r="F106" s="5" t="s">
        <v>408</v>
      </c>
      <c r="G106" s="5">
        <v>4</v>
      </c>
      <c r="H106" s="1">
        <v>17</v>
      </c>
      <c r="J106" s="6">
        <v>3</v>
      </c>
      <c r="K106" s="6">
        <v>12</v>
      </c>
      <c r="L106" s="5" t="s">
        <v>409</v>
      </c>
      <c r="O106" s="6" t="s">
        <v>62</v>
      </c>
      <c r="P106" s="5" t="s">
        <v>399</v>
      </c>
      <c r="R106" s="1" t="s">
        <v>400</v>
      </c>
      <c r="S106" s="6" t="s">
        <v>401</v>
      </c>
    </row>
    <row r="107" spans="1:19">
      <c r="A107" s="1">
        <v>1704</v>
      </c>
      <c r="B107" s="5">
        <v>1</v>
      </c>
      <c r="C107" s="1">
        <v>2</v>
      </c>
      <c r="D107" s="5" t="s">
        <v>410</v>
      </c>
      <c r="E107" s="5" t="s">
        <v>411</v>
      </c>
      <c r="F107" s="5" t="s">
        <v>412</v>
      </c>
      <c r="G107" s="5">
        <v>4</v>
      </c>
      <c r="H107" s="1">
        <v>17</v>
      </c>
      <c r="J107" s="6">
        <v>4</v>
      </c>
      <c r="K107" s="6">
        <v>17</v>
      </c>
      <c r="L107" s="5"/>
      <c r="O107" s="6" t="s">
        <v>67</v>
      </c>
      <c r="P107" s="5" t="s">
        <v>399</v>
      </c>
      <c r="R107" s="1" t="s">
        <v>400</v>
      </c>
      <c r="S107" s="6" t="s">
        <v>401</v>
      </c>
    </row>
    <row r="108" spans="1:19">
      <c r="A108" s="1">
        <v>1801</v>
      </c>
      <c r="B108" s="5">
        <v>1</v>
      </c>
      <c r="C108" s="1">
        <v>9</v>
      </c>
      <c r="D108" s="5" t="s">
        <v>413</v>
      </c>
      <c r="E108" s="5" t="s">
        <v>414</v>
      </c>
      <c r="F108" s="5" t="s">
        <v>415</v>
      </c>
      <c r="G108" s="5">
        <v>4</v>
      </c>
      <c r="H108" s="1">
        <v>18</v>
      </c>
      <c r="J108" s="6">
        <v>1</v>
      </c>
      <c r="K108" s="6">
        <v>1</v>
      </c>
      <c r="L108" s="5" t="s">
        <v>416</v>
      </c>
      <c r="O108" s="6" t="s">
        <v>50</v>
      </c>
      <c r="P108" s="5" t="s">
        <v>417</v>
      </c>
      <c r="R108" s="6" t="s">
        <v>418</v>
      </c>
      <c r="S108" s="6" t="s">
        <v>419</v>
      </c>
    </row>
    <row r="109" spans="1:19">
      <c r="A109" s="1">
        <v>1802</v>
      </c>
      <c r="B109" s="5">
        <v>1</v>
      </c>
      <c r="C109" s="1">
        <v>9</v>
      </c>
      <c r="D109" s="5" t="s">
        <v>420</v>
      </c>
      <c r="E109" s="5" t="s">
        <v>421</v>
      </c>
      <c r="F109" s="5" t="s">
        <v>422</v>
      </c>
      <c r="G109" s="5">
        <v>4</v>
      </c>
      <c r="H109" s="1">
        <v>18</v>
      </c>
      <c r="J109" s="6">
        <v>2</v>
      </c>
      <c r="K109" s="6">
        <v>6</v>
      </c>
      <c r="L109" s="5" t="s">
        <v>423</v>
      </c>
      <c r="O109" s="6" t="s">
        <v>57</v>
      </c>
      <c r="P109" s="5" t="s">
        <v>417</v>
      </c>
      <c r="R109" s="6" t="s">
        <v>418</v>
      </c>
      <c r="S109" s="6" t="s">
        <v>419</v>
      </c>
    </row>
    <row r="110" spans="1:19">
      <c r="A110" s="1">
        <v>1803</v>
      </c>
      <c r="B110" s="5">
        <v>1</v>
      </c>
      <c r="C110" s="1">
        <v>9</v>
      </c>
      <c r="D110" s="5" t="s">
        <v>424</v>
      </c>
      <c r="E110" s="5" t="s">
        <v>425</v>
      </c>
      <c r="F110" s="5" t="s">
        <v>426</v>
      </c>
      <c r="G110" s="5">
        <v>4</v>
      </c>
      <c r="H110" s="1">
        <v>18</v>
      </c>
      <c r="J110" s="6">
        <v>3</v>
      </c>
      <c r="K110" s="6">
        <v>12</v>
      </c>
      <c r="L110" s="5" t="s">
        <v>427</v>
      </c>
      <c r="O110" s="6" t="s">
        <v>62</v>
      </c>
      <c r="P110" s="5" t="s">
        <v>417</v>
      </c>
      <c r="R110" s="6" t="s">
        <v>418</v>
      </c>
      <c r="S110" s="6" t="s">
        <v>419</v>
      </c>
    </row>
    <row r="111" spans="1:19">
      <c r="A111" s="1">
        <v>1804</v>
      </c>
      <c r="B111" s="5">
        <v>1</v>
      </c>
      <c r="C111" s="1">
        <v>9</v>
      </c>
      <c r="D111" s="5" t="s">
        <v>428</v>
      </c>
      <c r="E111" s="5" t="s">
        <v>429</v>
      </c>
      <c r="F111" s="5" t="s">
        <v>430</v>
      </c>
      <c r="G111" s="5">
        <v>4</v>
      </c>
      <c r="H111" s="1">
        <v>18</v>
      </c>
      <c r="J111" s="6">
        <v>4</v>
      </c>
      <c r="K111" s="6">
        <v>17</v>
      </c>
      <c r="L111" s="5"/>
      <c r="O111" s="6" t="s">
        <v>67</v>
      </c>
      <c r="P111" s="5" t="s">
        <v>417</v>
      </c>
      <c r="R111" s="6" t="s">
        <v>418</v>
      </c>
      <c r="S111" s="6" t="s">
        <v>419</v>
      </c>
    </row>
    <row r="112" spans="1:19">
      <c r="A112" s="1">
        <v>1901</v>
      </c>
      <c r="B112" s="5">
        <v>1</v>
      </c>
      <c r="C112" s="1">
        <v>10</v>
      </c>
      <c r="D112" s="5" t="s">
        <v>431</v>
      </c>
      <c r="E112" s="5" t="s">
        <v>432</v>
      </c>
      <c r="F112" s="5" t="s">
        <v>433</v>
      </c>
      <c r="G112" s="5">
        <v>4</v>
      </c>
      <c r="H112" s="1">
        <v>19</v>
      </c>
      <c r="J112" s="6">
        <v>1</v>
      </c>
      <c r="K112" s="6">
        <v>1</v>
      </c>
      <c r="L112" s="5" t="s">
        <v>434</v>
      </c>
      <c r="O112" s="6" t="s">
        <v>148</v>
      </c>
      <c r="P112" s="5" t="s">
        <v>435</v>
      </c>
      <c r="R112" s="6"/>
      <c r="S112" s="6"/>
    </row>
    <row r="113" spans="1:20">
      <c r="A113" s="1">
        <v>1902</v>
      </c>
      <c r="B113" s="5">
        <v>1</v>
      </c>
      <c r="C113" s="1">
        <v>10</v>
      </c>
      <c r="D113" s="5" t="s">
        <v>436</v>
      </c>
      <c r="E113" s="5" t="s">
        <v>437</v>
      </c>
      <c r="F113" s="5" t="s">
        <v>438</v>
      </c>
      <c r="G113" s="5">
        <v>4</v>
      </c>
      <c r="H113" s="1">
        <v>19</v>
      </c>
      <c r="J113" s="6">
        <v>2</v>
      </c>
      <c r="K113" s="6">
        <v>6</v>
      </c>
      <c r="L113" s="5" t="s">
        <v>439</v>
      </c>
      <c r="O113" s="6" t="s">
        <v>154</v>
      </c>
      <c r="P113" s="5" t="s">
        <v>435</v>
      </c>
      <c r="R113" s="6"/>
      <c r="S113" s="6"/>
    </row>
    <row r="114" spans="1:20">
      <c r="A114" s="1">
        <v>1903</v>
      </c>
      <c r="B114" s="5">
        <v>1</v>
      </c>
      <c r="C114" s="1">
        <v>10</v>
      </c>
      <c r="D114" s="5" t="s">
        <v>440</v>
      </c>
      <c r="E114" s="5" t="s">
        <v>441</v>
      </c>
      <c r="F114" s="5" t="s">
        <v>442</v>
      </c>
      <c r="G114" s="5">
        <v>4</v>
      </c>
      <c r="H114" s="1">
        <v>19</v>
      </c>
      <c r="J114" s="6">
        <v>3</v>
      </c>
      <c r="K114" s="6">
        <v>12</v>
      </c>
      <c r="L114" s="5" t="s">
        <v>443</v>
      </c>
      <c r="O114" s="6" t="s">
        <v>159</v>
      </c>
      <c r="P114" s="5" t="s">
        <v>435</v>
      </c>
      <c r="R114" s="6"/>
      <c r="S114" s="6"/>
    </row>
    <row r="115" spans="1:20">
      <c r="A115" s="1">
        <v>1904</v>
      </c>
      <c r="B115" s="5">
        <v>1</v>
      </c>
      <c r="C115" s="1">
        <v>10</v>
      </c>
      <c r="D115" s="5" t="s">
        <v>444</v>
      </c>
      <c r="E115" s="5" t="s">
        <v>445</v>
      </c>
      <c r="F115" s="5" t="s">
        <v>446</v>
      </c>
      <c r="G115" s="5">
        <v>4</v>
      </c>
      <c r="H115" s="1">
        <v>19</v>
      </c>
      <c r="J115" s="6">
        <v>4</v>
      </c>
      <c r="K115" s="6">
        <v>17</v>
      </c>
      <c r="L115" s="5"/>
      <c r="O115" s="6" t="s">
        <v>164</v>
      </c>
      <c r="P115" s="5" t="s">
        <v>435</v>
      </c>
      <c r="R115" s="6"/>
      <c r="S115" s="6"/>
    </row>
    <row r="116" spans="1:20">
      <c r="A116" s="1">
        <v>2001</v>
      </c>
      <c r="B116" s="5">
        <v>1</v>
      </c>
      <c r="C116" s="1">
        <v>1</v>
      </c>
      <c r="D116" s="5" t="s">
        <v>447</v>
      </c>
      <c r="E116" s="5" t="s">
        <v>448</v>
      </c>
      <c r="F116" s="5" t="s">
        <v>449</v>
      </c>
      <c r="G116" s="5">
        <v>4</v>
      </c>
      <c r="H116" s="1">
        <v>20</v>
      </c>
      <c r="J116" s="6">
        <v>1</v>
      </c>
      <c r="K116" s="6">
        <v>1</v>
      </c>
      <c r="L116" s="5" t="s">
        <v>450</v>
      </c>
      <c r="O116" s="6" t="s">
        <v>148</v>
      </c>
      <c r="P116" s="5" t="s">
        <v>451</v>
      </c>
      <c r="R116" s="6"/>
      <c r="S116" s="6"/>
      <c r="T116" s="2" t="s">
        <v>452</v>
      </c>
    </row>
    <row r="117" spans="1:20">
      <c r="A117" s="1">
        <v>2002</v>
      </c>
      <c r="B117" s="5">
        <v>1</v>
      </c>
      <c r="C117" s="1">
        <v>1</v>
      </c>
      <c r="D117" s="5" t="s">
        <v>453</v>
      </c>
      <c r="E117" s="5" t="s">
        <v>454</v>
      </c>
      <c r="F117" s="5" t="s">
        <v>455</v>
      </c>
      <c r="G117" s="5">
        <v>4</v>
      </c>
      <c r="H117" s="1">
        <v>20</v>
      </c>
      <c r="J117" s="6">
        <v>2</v>
      </c>
      <c r="K117" s="6">
        <v>6</v>
      </c>
      <c r="L117" s="5" t="s">
        <v>456</v>
      </c>
      <c r="O117" s="6" t="s">
        <v>154</v>
      </c>
      <c r="P117" s="5" t="s">
        <v>451</v>
      </c>
      <c r="R117" s="6"/>
      <c r="S117" s="6"/>
      <c r="T117" s="2" t="s">
        <v>457</v>
      </c>
    </row>
    <row r="118" spans="1:20">
      <c r="A118" s="1">
        <v>2003</v>
      </c>
      <c r="B118" s="5">
        <v>1</v>
      </c>
      <c r="C118" s="1">
        <v>1</v>
      </c>
      <c r="D118" s="5" t="s">
        <v>458</v>
      </c>
      <c r="E118" s="5" t="s">
        <v>459</v>
      </c>
      <c r="F118" s="5" t="s">
        <v>460</v>
      </c>
      <c r="G118" s="5">
        <v>4</v>
      </c>
      <c r="H118" s="1">
        <v>20</v>
      </c>
      <c r="J118" s="6">
        <v>3</v>
      </c>
      <c r="K118" s="6">
        <v>12</v>
      </c>
      <c r="L118" s="5" t="s">
        <v>461</v>
      </c>
      <c r="O118" s="6" t="s">
        <v>159</v>
      </c>
      <c r="P118" s="5" t="s">
        <v>451</v>
      </c>
      <c r="R118" s="6"/>
      <c r="S118" s="6"/>
      <c r="T118" s="2" t="s">
        <v>462</v>
      </c>
    </row>
    <row r="119" spans="1:20">
      <c r="A119" s="1">
        <v>2004</v>
      </c>
      <c r="B119" s="5">
        <v>1</v>
      </c>
      <c r="C119" s="1">
        <v>1</v>
      </c>
      <c r="D119" s="5" t="s">
        <v>463</v>
      </c>
      <c r="E119" s="5" t="s">
        <v>464</v>
      </c>
      <c r="F119" s="5" t="s">
        <v>465</v>
      </c>
      <c r="G119" s="5">
        <v>4</v>
      </c>
      <c r="H119" s="1">
        <v>20</v>
      </c>
      <c r="J119" s="6">
        <v>4</v>
      </c>
      <c r="K119" s="6">
        <v>17</v>
      </c>
      <c r="L119" s="5"/>
      <c r="O119" s="6" t="s">
        <v>164</v>
      </c>
      <c r="P119" s="5" t="s">
        <v>451</v>
      </c>
      <c r="R119" s="6"/>
      <c r="S119" s="6"/>
      <c r="T119" s="2" t="s">
        <v>466</v>
      </c>
    </row>
    <row r="120" spans="1:20">
      <c r="A120" s="1">
        <v>2201</v>
      </c>
      <c r="B120" s="5">
        <v>1</v>
      </c>
      <c r="C120" s="1">
        <v>1</v>
      </c>
      <c r="D120" s="5" t="s">
        <v>467</v>
      </c>
      <c r="E120" s="5" t="s">
        <v>468</v>
      </c>
      <c r="F120" s="5" t="s">
        <v>469</v>
      </c>
      <c r="G120" s="5">
        <v>1</v>
      </c>
      <c r="H120" s="1">
        <v>22</v>
      </c>
      <c r="J120" s="6">
        <v>1</v>
      </c>
      <c r="K120" s="6">
        <v>1</v>
      </c>
      <c r="L120" s="5" t="s">
        <v>470</v>
      </c>
      <c r="O120" s="6" t="s">
        <v>50</v>
      </c>
      <c r="P120" s="5" t="s">
        <v>471</v>
      </c>
      <c r="R120" s="6" t="s">
        <v>472</v>
      </c>
      <c r="S120" s="6" t="s">
        <v>473</v>
      </c>
    </row>
    <row r="121" spans="1:20">
      <c r="A121" s="1">
        <v>2202</v>
      </c>
      <c r="B121" s="5">
        <v>1</v>
      </c>
      <c r="C121" s="1">
        <v>1</v>
      </c>
      <c r="D121" s="5" t="s">
        <v>474</v>
      </c>
      <c r="E121" s="5" t="s">
        <v>475</v>
      </c>
      <c r="F121" s="5" t="s">
        <v>476</v>
      </c>
      <c r="G121" s="5">
        <v>1</v>
      </c>
      <c r="H121" s="1">
        <v>22</v>
      </c>
      <c r="J121" s="6">
        <v>2</v>
      </c>
      <c r="K121" s="6">
        <v>6</v>
      </c>
      <c r="L121" s="5" t="s">
        <v>477</v>
      </c>
      <c r="O121" s="6" t="s">
        <v>57</v>
      </c>
      <c r="P121" s="5" t="s">
        <v>471</v>
      </c>
      <c r="R121" s="6" t="s">
        <v>472</v>
      </c>
      <c r="S121" s="6" t="s">
        <v>473</v>
      </c>
    </row>
    <row r="122" spans="1:20">
      <c r="A122" s="1">
        <v>2203</v>
      </c>
      <c r="B122" s="5">
        <v>1</v>
      </c>
      <c r="C122" s="1">
        <v>1</v>
      </c>
      <c r="D122" s="5" t="s">
        <v>478</v>
      </c>
      <c r="E122" s="5" t="s">
        <v>479</v>
      </c>
      <c r="F122" s="5" t="s">
        <v>480</v>
      </c>
      <c r="G122" s="5">
        <v>1</v>
      </c>
      <c r="H122" s="1">
        <v>22</v>
      </c>
      <c r="J122" s="6">
        <v>3</v>
      </c>
      <c r="K122" s="6">
        <v>12</v>
      </c>
      <c r="L122" s="5" t="s">
        <v>481</v>
      </c>
      <c r="O122" s="6" t="s">
        <v>62</v>
      </c>
      <c r="P122" s="5" t="s">
        <v>471</v>
      </c>
      <c r="R122" s="6" t="s">
        <v>472</v>
      </c>
      <c r="S122" s="6" t="s">
        <v>473</v>
      </c>
    </row>
    <row r="123" spans="1:20">
      <c r="A123" s="1">
        <v>2204</v>
      </c>
      <c r="B123" s="5">
        <v>1</v>
      </c>
      <c r="C123" s="1">
        <v>1</v>
      </c>
      <c r="D123" s="5" t="s">
        <v>482</v>
      </c>
      <c r="E123" s="5" t="s">
        <v>483</v>
      </c>
      <c r="F123" s="5" t="s">
        <v>484</v>
      </c>
      <c r="G123" s="5">
        <v>1</v>
      </c>
      <c r="H123" s="1">
        <v>22</v>
      </c>
      <c r="J123" s="6">
        <v>4</v>
      </c>
      <c r="K123" s="6">
        <v>17</v>
      </c>
      <c r="L123" s="5"/>
      <c r="O123" s="6" t="s">
        <v>67</v>
      </c>
      <c r="P123" s="5" t="s">
        <v>471</v>
      </c>
      <c r="R123" s="6" t="s">
        <v>472</v>
      </c>
      <c r="S123" s="6" t="s">
        <v>473</v>
      </c>
    </row>
    <row r="124" spans="1:20">
      <c r="A124" s="1">
        <v>2401</v>
      </c>
      <c r="B124" s="5">
        <v>1</v>
      </c>
      <c r="C124" s="1">
        <v>4</v>
      </c>
      <c r="D124" s="1" t="s">
        <v>485</v>
      </c>
      <c r="E124" s="1" t="s">
        <v>486</v>
      </c>
      <c r="F124" s="1" t="s">
        <v>487</v>
      </c>
      <c r="G124">
        <v>2</v>
      </c>
      <c r="H124" s="1">
        <v>24</v>
      </c>
      <c r="J124" s="6">
        <v>1</v>
      </c>
      <c r="K124" s="6">
        <v>1</v>
      </c>
      <c r="L124" s="5" t="s">
        <v>488</v>
      </c>
      <c r="O124" s="6" t="s">
        <v>50</v>
      </c>
      <c r="P124" s="5" t="s">
        <v>489</v>
      </c>
    </row>
    <row r="125" spans="1:20">
      <c r="A125" s="1">
        <v>2402</v>
      </c>
      <c r="B125" s="5">
        <v>1</v>
      </c>
      <c r="C125" s="1">
        <v>4</v>
      </c>
      <c r="D125" s="1" t="s">
        <v>490</v>
      </c>
      <c r="E125" s="1" t="s">
        <v>491</v>
      </c>
      <c r="F125" s="1" t="s">
        <v>492</v>
      </c>
      <c r="G125">
        <v>2</v>
      </c>
      <c r="H125" s="1">
        <v>24</v>
      </c>
      <c r="J125" s="6">
        <v>2</v>
      </c>
      <c r="K125" s="6">
        <v>5</v>
      </c>
      <c r="L125" s="5" t="s">
        <v>493</v>
      </c>
      <c r="O125" s="6" t="s">
        <v>57</v>
      </c>
      <c r="P125" s="5" t="s">
        <v>489</v>
      </c>
    </row>
    <row r="126" spans="1:20">
      <c r="A126" s="1">
        <v>2403</v>
      </c>
      <c r="B126" s="5">
        <v>1</v>
      </c>
      <c r="C126" s="1">
        <v>4</v>
      </c>
      <c r="D126" s="1" t="s">
        <v>494</v>
      </c>
      <c r="E126" s="1" t="s">
        <v>495</v>
      </c>
      <c r="F126" s="1" t="s">
        <v>496</v>
      </c>
      <c r="G126">
        <v>2</v>
      </c>
      <c r="H126" s="1">
        <v>24</v>
      </c>
      <c r="J126" s="6">
        <v>3</v>
      </c>
      <c r="K126" s="6">
        <v>9</v>
      </c>
      <c r="L126" s="5" t="s">
        <v>497</v>
      </c>
      <c r="O126" s="6" t="s">
        <v>62</v>
      </c>
      <c r="P126" s="5" t="s">
        <v>489</v>
      </c>
      <c r="Q126" s="6" t="str">
        <f>"UIEffects/ui_effect_"&amp;A126</f>
        <v>UIEffects/ui_effect_2403</v>
      </c>
    </row>
    <row r="127" spans="1:20">
      <c r="A127" s="1">
        <v>2404</v>
      </c>
      <c r="B127" s="5">
        <v>1</v>
      </c>
      <c r="C127" s="1">
        <v>4</v>
      </c>
      <c r="D127" s="1" t="s">
        <v>498</v>
      </c>
      <c r="E127" s="1" t="s">
        <v>499</v>
      </c>
      <c r="F127" s="1" t="s">
        <v>500</v>
      </c>
      <c r="G127">
        <v>2</v>
      </c>
      <c r="H127" s="1">
        <v>24</v>
      </c>
      <c r="J127" s="6">
        <v>4</v>
      </c>
      <c r="K127" s="6">
        <v>13</v>
      </c>
      <c r="L127" s="5" t="s">
        <v>501</v>
      </c>
      <c r="O127" s="6" t="s">
        <v>67</v>
      </c>
      <c r="P127" s="5" t="s">
        <v>489</v>
      </c>
      <c r="Q127" s="6" t="str">
        <f t="shared" ref="Q127:Q128" si="5">"UIEffects/ui_effect_"&amp;A127</f>
        <v>UIEffects/ui_effect_2404</v>
      </c>
    </row>
    <row r="128" spans="1:20">
      <c r="A128" s="1">
        <v>2405</v>
      </c>
      <c r="B128" s="5">
        <v>1</v>
      </c>
      <c r="C128" s="1">
        <v>4</v>
      </c>
      <c r="D128" s="1" t="s">
        <v>502</v>
      </c>
      <c r="E128" s="1" t="s">
        <v>503</v>
      </c>
      <c r="F128" s="1" t="s">
        <v>504</v>
      </c>
      <c r="G128">
        <v>2</v>
      </c>
      <c r="H128" s="1">
        <v>24</v>
      </c>
      <c r="J128" s="6">
        <v>5</v>
      </c>
      <c r="K128" s="6">
        <v>17</v>
      </c>
      <c r="O128" s="6" t="s">
        <v>71</v>
      </c>
      <c r="P128" s="5" t="s">
        <v>489</v>
      </c>
      <c r="Q128" s="6" t="str">
        <f t="shared" si="5"/>
        <v>UIEffects/ui_effect_2405</v>
      </c>
    </row>
    <row r="129" spans="1:16">
      <c r="A129" s="1">
        <v>2501</v>
      </c>
      <c r="B129" s="5">
        <v>1</v>
      </c>
      <c r="C129" s="1">
        <v>5</v>
      </c>
      <c r="D129" s="1" t="s">
        <v>505</v>
      </c>
      <c r="E129" s="1" t="s">
        <v>506</v>
      </c>
      <c r="F129" s="1" t="s">
        <v>507</v>
      </c>
      <c r="G129">
        <v>1</v>
      </c>
      <c r="H129" s="1">
        <v>25</v>
      </c>
      <c r="J129" s="6">
        <v>1</v>
      </c>
      <c r="K129" s="6">
        <v>1</v>
      </c>
      <c r="L129" s="5" t="s">
        <v>508</v>
      </c>
      <c r="O129" s="6" t="s">
        <v>50</v>
      </c>
      <c r="P129" s="5" t="s">
        <v>509</v>
      </c>
    </row>
    <row r="130" spans="1:16">
      <c r="A130" s="1">
        <v>2502</v>
      </c>
      <c r="B130" s="5">
        <v>1</v>
      </c>
      <c r="C130" s="1">
        <v>5</v>
      </c>
      <c r="D130" s="1" t="s">
        <v>510</v>
      </c>
      <c r="E130" s="1" t="s">
        <v>511</v>
      </c>
      <c r="F130" s="1" t="s">
        <v>512</v>
      </c>
      <c r="G130">
        <v>1</v>
      </c>
      <c r="H130" s="1">
        <v>25</v>
      </c>
      <c r="J130" s="6">
        <v>2</v>
      </c>
      <c r="K130" s="6">
        <v>5</v>
      </c>
      <c r="L130" s="5" t="s">
        <v>513</v>
      </c>
      <c r="O130" s="6" t="s">
        <v>57</v>
      </c>
      <c r="P130" s="5" t="s">
        <v>509</v>
      </c>
    </row>
    <row r="131" spans="1:16">
      <c r="A131" s="1">
        <v>2503</v>
      </c>
      <c r="B131" s="5">
        <v>1</v>
      </c>
      <c r="C131" s="1">
        <v>5</v>
      </c>
      <c r="D131" s="1" t="s">
        <v>514</v>
      </c>
      <c r="E131" s="1" t="s">
        <v>522</v>
      </c>
      <c r="F131" s="1" t="s">
        <v>515</v>
      </c>
      <c r="G131">
        <v>1</v>
      </c>
      <c r="H131" s="1">
        <v>25</v>
      </c>
      <c r="J131" s="6">
        <v>3</v>
      </c>
      <c r="K131" s="6">
        <v>9</v>
      </c>
      <c r="L131" s="5" t="s">
        <v>516</v>
      </c>
      <c r="O131" s="6" t="s">
        <v>62</v>
      </c>
      <c r="P131" s="5" t="s">
        <v>509</v>
      </c>
    </row>
    <row r="132" spans="1:16">
      <c r="A132" s="1">
        <v>2504</v>
      </c>
      <c r="B132" s="5">
        <v>1</v>
      </c>
      <c r="C132" s="1">
        <v>5</v>
      </c>
      <c r="D132" s="1" t="s">
        <v>517</v>
      </c>
      <c r="E132" s="1" t="s">
        <v>518</v>
      </c>
      <c r="F132" s="1" t="s">
        <v>519</v>
      </c>
      <c r="G132">
        <v>1</v>
      </c>
      <c r="H132" s="1">
        <v>25</v>
      </c>
      <c r="J132" s="6">
        <v>4</v>
      </c>
      <c r="K132" s="6">
        <v>13</v>
      </c>
      <c r="L132" s="5" t="s">
        <v>520</v>
      </c>
      <c r="O132" s="6" t="s">
        <v>67</v>
      </c>
      <c r="P132" s="5" t="s">
        <v>509</v>
      </c>
    </row>
    <row r="133" spans="1:16">
      <c r="A133" s="1">
        <v>2505</v>
      </c>
      <c r="B133" s="5">
        <v>1</v>
      </c>
      <c r="C133" s="1">
        <v>5</v>
      </c>
      <c r="D133" s="1" t="s">
        <v>521</v>
      </c>
      <c r="E133" s="1" t="s">
        <v>523</v>
      </c>
      <c r="F133" s="1" t="s">
        <v>524</v>
      </c>
      <c r="G133">
        <v>1</v>
      </c>
      <c r="H133" s="1">
        <v>25</v>
      </c>
      <c r="J133" s="6">
        <v>5</v>
      </c>
      <c r="K133" s="6">
        <v>17</v>
      </c>
      <c r="O133" s="6" t="s">
        <v>71</v>
      </c>
      <c r="P133" s="5" t="s">
        <v>509</v>
      </c>
    </row>
  </sheetData>
  <phoneticPr fontId="8" type="noConversion"/>
  <pageMargins left="0.75" right="0.75" top="1" bottom="1" header="0.5" footer="0.5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ph_li</dc:creator>
  <cp:lastModifiedBy>晨迪 代</cp:lastModifiedBy>
  <dcterms:created xsi:type="dcterms:W3CDTF">2024-06-20T10:34:00Z</dcterms:created>
  <dcterms:modified xsi:type="dcterms:W3CDTF">2024-10-15T06:56:26Z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60601CB405F047E8ABD353FE910B80C5_11</vt:lpwstr>
  </property>
  <property fmtid="{D5CDD505-2E9C-101B-9397-08002B2CF9AE}" pid="3" name="KSOProductBuildVer">
    <vt:lpwstr>2052-12.1.0.18276</vt:lpwstr>
  </property>
  <property fmtid="{D5CDD505-2E9C-101B-9397-08002B2CF9AE}" pid="4" name="KSOReadingLayout">
    <vt:bool>true</vt:bool>
  </property>
</Properties>
</file>